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DM3PEPF00019ED0\EXCELCNV\0e9e06f2-fe6b-4600-93a9-55a977f6a341\"/>
    </mc:Choice>
  </mc:AlternateContent>
  <xr:revisionPtr revIDLastSave="0" documentId="8_{618DA4EE-C0E9-4356-8294-B994E4D42F4C}" xr6:coauthVersionLast="47" xr6:coauthVersionMax="47" xr10:uidLastSave="{00000000-0000-0000-0000-000000000000}"/>
  <bookViews>
    <workbookView xWindow="-60" yWindow="-60" windowWidth="15480" windowHeight="11640" firstSheet="9" activeTab="10" xr2:uid="{00000000-000D-0000-FFFF-FFFF00000000}"/>
  </bookViews>
  <sheets>
    <sheet name="00_README" sheetId="1" r:id="rId1"/>
    <sheet name="01_Warehouse_Ledger" sheetId="2" r:id="rId2"/>
    <sheet name="02_Warehouse_Locations" sheetId="3" r:id="rId3"/>
    <sheet name="03_Warehouse_Movements" sheetId="4" r:id="rId4"/>
    <sheet name="04_Label_Export" sheetId="5" r:id="rId5"/>
    <sheet name="05_Scan_Lookup" sheetId="6" r:id="rId6"/>
    <sheet name="06_Warehouse_Map" sheetId="7" r:id="rId7"/>
    <sheet name="07_Pallet_Contents" sheetId="8" r:id="rId8"/>
    <sheet name="11 - Inventory Master" sheetId="9" r:id="rId9"/>
    <sheet name="12 - Deployments &amp; Config" sheetId="10" r:id="rId10"/>
    <sheet name="15 - Imaging Progress " sheetId="13" r:id="rId11"/>
    <sheet name="13 - Config_Intake_View" sheetId="11" r:id="rId12"/>
    <sheet name="14 - Config Log" sheetId="12" r:id="rId13"/>
    <sheet name="14A - Config Snapshot" sheetId="25" r:id="rId14"/>
    <sheet name="20_WAVE_1" sheetId="14" r:id="rId15"/>
    <sheet name="21_WAVE_2" sheetId="15" r:id="rId16"/>
    <sheet name="24_ADDONS" sheetId="16" r:id="rId17"/>
    <sheet name="22_PO_CDW" sheetId="17" r:id="rId18"/>
    <sheet name="23_SPARES" sheetId="18" r:id="rId19"/>
    <sheet name="30 - Task List - Gantt Scratch" sheetId="19" r:id="rId20"/>
    <sheet name="40_Dashboard" sheetId="20" r:id="rId21"/>
    <sheet name="50_Checklists" sheetId="21" r:id="rId22"/>
    <sheet name="60_Readiness_Heatmap" sheetId="22" r:id="rId23"/>
    <sheet name="90_Formula_Library" sheetId="23" r:id="rId24"/>
    <sheet name="99_Config" sheetId="24" r:id="rId25"/>
    <sheet name="999 - Geoffs Funhouse" sheetId="26" r:id="rId26"/>
  </sheets>
  <definedNames>
    <definedName name="_xlnm._FilterDatabase" localSheetId="11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7" i="12" l="1"/>
  <c r="D162" i="10"/>
  <c r="J15" i="13"/>
  <c r="J3" i="13"/>
  <c r="J4" i="13"/>
  <c r="J5" i="13"/>
  <c r="J6" i="13"/>
  <c r="J7" i="13"/>
  <c r="J8" i="13"/>
  <c r="J9" i="13"/>
  <c r="J10" i="13"/>
  <c r="J11" i="13"/>
  <c r="J12" i="13"/>
  <c r="J13" i="13"/>
  <c r="J14" i="13"/>
  <c r="J2" i="13"/>
  <c r="H23" i="13"/>
  <c r="B18" i="13"/>
  <c r="E142" i="10"/>
  <c r="F142" i="10"/>
  <c r="BL142" i="10"/>
  <c r="BM142" i="10"/>
  <c r="E141" i="10"/>
  <c r="F141" i="10"/>
  <c r="BL141" i="10"/>
  <c r="BM141" i="10"/>
  <c r="E140" i="10"/>
  <c r="F140" i="10"/>
  <c r="BL140" i="10"/>
  <c r="BM140" i="10"/>
  <c r="E139" i="10"/>
  <c r="F139" i="10"/>
  <c r="BL139" i="10"/>
  <c r="BM139" i="10"/>
  <c r="C6" i="26"/>
  <c r="C4" i="26"/>
  <c r="D4" i="26"/>
  <c r="E4" i="26"/>
  <c r="F4" i="26"/>
  <c r="G4" i="26"/>
  <c r="H4" i="26"/>
  <c r="I4" i="26"/>
  <c r="J4" i="26"/>
  <c r="K4" i="26"/>
  <c r="L4" i="26"/>
  <c r="C5" i="26"/>
  <c r="D5" i="26"/>
  <c r="E5" i="26"/>
  <c r="F5" i="26"/>
  <c r="G5" i="26"/>
  <c r="H5" i="26"/>
  <c r="I5" i="26"/>
  <c r="J5" i="26"/>
  <c r="K5" i="26"/>
  <c r="L5" i="26"/>
  <c r="D6" i="26"/>
  <c r="E6" i="26"/>
  <c r="F6" i="26"/>
  <c r="G6" i="26"/>
  <c r="H6" i="26"/>
  <c r="I6" i="26"/>
  <c r="J6" i="26"/>
  <c r="K6" i="26"/>
  <c r="L6" i="26"/>
  <c r="C7" i="26"/>
  <c r="D7" i="26"/>
  <c r="E7" i="26"/>
  <c r="F7" i="26"/>
  <c r="G7" i="26"/>
  <c r="H7" i="26"/>
  <c r="I7" i="26"/>
  <c r="J7" i="26"/>
  <c r="K7" i="26"/>
  <c r="L7" i="26"/>
  <c r="C8" i="26"/>
  <c r="D8" i="26"/>
  <c r="E8" i="26"/>
  <c r="F8" i="26"/>
  <c r="G8" i="26"/>
  <c r="H8" i="26"/>
  <c r="I8" i="26"/>
  <c r="J8" i="26"/>
  <c r="K8" i="26"/>
  <c r="L8" i="26"/>
  <c r="C9" i="26"/>
  <c r="D9" i="26"/>
  <c r="E9" i="26"/>
  <c r="F9" i="26"/>
  <c r="G9" i="26"/>
  <c r="H9" i="26"/>
  <c r="I9" i="26"/>
  <c r="J9" i="26"/>
  <c r="K9" i="26"/>
  <c r="L9" i="26"/>
  <c r="C10" i="26"/>
  <c r="D10" i="26"/>
  <c r="E10" i="26"/>
  <c r="F10" i="26"/>
  <c r="G10" i="26"/>
  <c r="H10" i="26"/>
  <c r="I10" i="26"/>
  <c r="J10" i="26"/>
  <c r="K10" i="26"/>
  <c r="L10" i="26"/>
  <c r="C11" i="26"/>
  <c r="D11" i="26"/>
  <c r="E11" i="26"/>
  <c r="F11" i="26"/>
  <c r="G11" i="26"/>
  <c r="H11" i="26"/>
  <c r="I11" i="26"/>
  <c r="J11" i="26"/>
  <c r="K11" i="26"/>
  <c r="L11" i="26"/>
  <c r="C12" i="26"/>
  <c r="D12" i="26"/>
  <c r="E12" i="26"/>
  <c r="F12" i="26"/>
  <c r="G12" i="26"/>
  <c r="H12" i="26"/>
  <c r="I12" i="26"/>
  <c r="J12" i="26"/>
  <c r="K12" i="26"/>
  <c r="L12" i="26"/>
  <c r="C13" i="26"/>
  <c r="D13" i="26"/>
  <c r="E13" i="26"/>
  <c r="F13" i="26"/>
  <c r="G13" i="26"/>
  <c r="H13" i="26"/>
  <c r="I13" i="26"/>
  <c r="J13" i="26"/>
  <c r="K13" i="26"/>
  <c r="L13" i="26"/>
  <c r="C14" i="26"/>
  <c r="D14" i="26"/>
  <c r="E14" i="26"/>
  <c r="F14" i="26"/>
  <c r="G14" i="26"/>
  <c r="H14" i="26"/>
  <c r="I14" i="26"/>
  <c r="J14" i="26"/>
  <c r="K14" i="26"/>
  <c r="L14" i="26"/>
  <c r="B14" i="26"/>
  <c r="N14" i="26" s="1"/>
  <c r="B13" i="26"/>
  <c r="N13" i="26" s="1"/>
  <c r="B12" i="26"/>
  <c r="N12" i="26" s="1"/>
  <c r="B11" i="26"/>
  <c r="N11" i="26" s="1"/>
  <c r="B10" i="26"/>
  <c r="N10" i="26" s="1"/>
  <c r="B9" i="26"/>
  <c r="N9" i="26" s="1"/>
  <c r="B8" i="26"/>
  <c r="N8" i="26" s="1"/>
  <c r="B7" i="26"/>
  <c r="N7" i="26" s="1"/>
  <c r="B6" i="26"/>
  <c r="N6" i="26" s="1"/>
  <c r="B5" i="26"/>
  <c r="N5" i="26" s="1"/>
  <c r="B4" i="26"/>
  <c r="N4" i="26" s="1"/>
  <c r="N2" i="26"/>
  <c r="E532" i="10"/>
  <c r="F532" i="10"/>
  <c r="BL532" i="10"/>
  <c r="BM532" i="10"/>
  <c r="F527" i="10"/>
  <c r="F528" i="10"/>
  <c r="F529" i="10"/>
  <c r="F530" i="10"/>
  <c r="F531" i="10"/>
  <c r="E527" i="10"/>
  <c r="E528" i="10"/>
  <c r="E529" i="10"/>
  <c r="E530" i="10"/>
  <c r="E531" i="10"/>
  <c r="D531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154" i="10"/>
  <c r="D155" i="10"/>
  <c r="D156" i="10"/>
  <c r="D157" i="10"/>
  <c r="D158" i="10"/>
  <c r="D159" i="10"/>
  <c r="D160" i="10"/>
  <c r="D161" i="10"/>
  <c r="D163" i="10"/>
  <c r="D164" i="10"/>
  <c r="D165" i="10"/>
  <c r="D166" i="10"/>
  <c r="D49" i="10"/>
  <c r="D36" i="10"/>
  <c r="D31" i="10"/>
  <c r="E138" i="10"/>
  <c r="F138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43" i="10"/>
  <c r="E144" i="10"/>
  <c r="E145" i="10"/>
  <c r="E146" i="10"/>
  <c r="E147" i="10"/>
  <c r="E148" i="10"/>
  <c r="E149" i="10"/>
  <c r="E150" i="10"/>
  <c r="E151" i="10"/>
  <c r="E152" i="10"/>
  <c r="E153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B15" i="20" a="1"/>
  <c r="B15" i="20"/>
  <c r="B16" i="20" a="1"/>
  <c r="B16" i="20"/>
  <c r="B17" i="20" a="1"/>
  <c r="B17" i="20"/>
  <c r="B18" i="20" a="1"/>
  <c r="B18" i="2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53" i="10"/>
  <c r="F152" i="10"/>
  <c r="F151" i="10"/>
  <c r="F150" i="10"/>
  <c r="F149" i="10"/>
  <c r="F148" i="10"/>
  <c r="F147" i="10"/>
  <c r="F146" i="10"/>
  <c r="F145" i="10"/>
  <c r="F144" i="10"/>
  <c r="F143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37" i="10"/>
  <c r="E137" i="10"/>
  <c r="F136" i="10"/>
  <c r="E136" i="10"/>
  <c r="F135" i="10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F127" i="10"/>
  <c r="E127" i="10"/>
  <c r="F126" i="10"/>
  <c r="E126" i="10"/>
  <c r="F125" i="10"/>
  <c r="E125" i="10"/>
  <c r="F124" i="10"/>
  <c r="E124" i="10"/>
  <c r="F123" i="10"/>
  <c r="E123" i="10"/>
  <c r="F122" i="10"/>
  <c r="E122" i="10"/>
  <c r="F121" i="10"/>
  <c r="E121" i="10"/>
  <c r="F120" i="10"/>
  <c r="E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D153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F5" i="13"/>
  <c r="BL138" i="10"/>
  <c r="BM138" i="10"/>
  <c r="BM531" i="10"/>
  <c r="BM530" i="10"/>
  <c r="BM529" i="10"/>
  <c r="BM528" i="10"/>
  <c r="BM527" i="10"/>
  <c r="BM526" i="10"/>
  <c r="BM525" i="10"/>
  <c r="BM524" i="10"/>
  <c r="BM523" i="10"/>
  <c r="BM522" i="10"/>
  <c r="BM521" i="10"/>
  <c r="BM520" i="10"/>
  <c r="BM519" i="10"/>
  <c r="BM518" i="10"/>
  <c r="BM517" i="10"/>
  <c r="BM516" i="10"/>
  <c r="BM515" i="10"/>
  <c r="BM514" i="10"/>
  <c r="BM513" i="10"/>
  <c r="BM512" i="10"/>
  <c r="BM511" i="10"/>
  <c r="BM510" i="10"/>
  <c r="BM509" i="10"/>
  <c r="BL526" i="10"/>
  <c r="BL525" i="10"/>
  <c r="BL524" i="10"/>
  <c r="BL523" i="10"/>
  <c r="BL522" i="10"/>
  <c r="BL521" i="10"/>
  <c r="BL520" i="10"/>
  <c r="BL519" i="10"/>
  <c r="BL518" i="10"/>
  <c r="BL517" i="10"/>
  <c r="BL516" i="10"/>
  <c r="BL515" i="10"/>
  <c r="BL514" i="10"/>
  <c r="BL513" i="10"/>
  <c r="BL512" i="10"/>
  <c r="BL511" i="10"/>
  <c r="BL510" i="10"/>
  <c r="BL509" i="10"/>
  <c r="BP2" i="10"/>
  <c r="BQ2" i="10"/>
  <c r="BP3" i="10"/>
  <c r="BQ3" i="10"/>
  <c r="BQ508" i="10"/>
  <c r="BP508" i="10"/>
  <c r="BQ507" i="10"/>
  <c r="BP507" i="10"/>
  <c r="BQ506" i="10"/>
  <c r="BP506" i="10"/>
  <c r="BQ505" i="10"/>
  <c r="BP505" i="10"/>
  <c r="BQ504" i="10"/>
  <c r="BP504" i="10"/>
  <c r="BQ503" i="10"/>
  <c r="BP503" i="10"/>
  <c r="BQ502" i="10"/>
  <c r="BP502" i="10"/>
  <c r="BQ501" i="10"/>
  <c r="BP501" i="10"/>
  <c r="BQ500" i="10"/>
  <c r="BP500" i="10"/>
  <c r="BQ499" i="10"/>
  <c r="BP499" i="10"/>
  <c r="BQ498" i="10"/>
  <c r="BP498" i="10"/>
  <c r="BQ497" i="10"/>
  <c r="BP497" i="10"/>
  <c r="BQ496" i="10"/>
  <c r="BP496" i="10"/>
  <c r="BQ495" i="10"/>
  <c r="BP495" i="10"/>
  <c r="BQ494" i="10"/>
  <c r="BP494" i="10"/>
  <c r="BQ493" i="10"/>
  <c r="BP493" i="10"/>
  <c r="BQ492" i="10"/>
  <c r="BP492" i="10"/>
  <c r="BQ491" i="10"/>
  <c r="BP491" i="10"/>
  <c r="BQ490" i="10"/>
  <c r="BP490" i="10"/>
  <c r="BQ489" i="10"/>
  <c r="BP489" i="10"/>
  <c r="BQ488" i="10"/>
  <c r="BP488" i="10"/>
  <c r="BQ487" i="10"/>
  <c r="BP487" i="10"/>
  <c r="BQ486" i="10"/>
  <c r="BP486" i="10"/>
  <c r="BQ485" i="10"/>
  <c r="BP485" i="10"/>
  <c r="BQ484" i="10"/>
  <c r="BP484" i="10"/>
  <c r="BQ483" i="10"/>
  <c r="BP483" i="10"/>
  <c r="BQ482" i="10"/>
  <c r="BP482" i="10"/>
  <c r="BQ481" i="10"/>
  <c r="BP481" i="10"/>
  <c r="BQ480" i="10"/>
  <c r="BP480" i="10"/>
  <c r="BQ479" i="10"/>
  <c r="BP479" i="10"/>
  <c r="BQ478" i="10"/>
  <c r="BP478" i="10"/>
  <c r="BQ477" i="10"/>
  <c r="BP477" i="10"/>
  <c r="BQ476" i="10"/>
  <c r="BP476" i="10"/>
  <c r="BQ475" i="10"/>
  <c r="BP475" i="10"/>
  <c r="BQ474" i="10"/>
  <c r="BP474" i="10"/>
  <c r="BQ473" i="10"/>
  <c r="BP473" i="10"/>
  <c r="BQ472" i="10"/>
  <c r="BP472" i="10"/>
  <c r="BQ471" i="10"/>
  <c r="BP471" i="10"/>
  <c r="BQ470" i="10"/>
  <c r="BP470" i="10"/>
  <c r="BQ469" i="10"/>
  <c r="BP469" i="10"/>
  <c r="BQ468" i="10"/>
  <c r="BP468" i="10"/>
  <c r="BQ467" i="10"/>
  <c r="BP467" i="10"/>
  <c r="BQ466" i="10"/>
  <c r="BP466" i="10"/>
  <c r="BQ465" i="10"/>
  <c r="BP465" i="10"/>
  <c r="BQ464" i="10"/>
  <c r="BP464" i="10"/>
  <c r="BQ463" i="10"/>
  <c r="BP463" i="10"/>
  <c r="BQ462" i="10"/>
  <c r="BP462" i="10"/>
  <c r="BQ461" i="10"/>
  <c r="BP461" i="10"/>
  <c r="BQ460" i="10"/>
  <c r="BP460" i="10"/>
  <c r="BQ459" i="10"/>
  <c r="BP459" i="10"/>
  <c r="BQ458" i="10"/>
  <c r="BP458" i="10"/>
  <c r="BQ457" i="10"/>
  <c r="BP457" i="10"/>
  <c r="BQ456" i="10"/>
  <c r="BP456" i="10"/>
  <c r="BQ455" i="10"/>
  <c r="BP455" i="10"/>
  <c r="BQ454" i="10"/>
  <c r="BP454" i="10"/>
  <c r="BQ453" i="10"/>
  <c r="BP453" i="10"/>
  <c r="BQ452" i="10"/>
  <c r="BP452" i="10"/>
  <c r="BQ451" i="10"/>
  <c r="BP451" i="10"/>
  <c r="BQ450" i="10"/>
  <c r="BP450" i="10"/>
  <c r="BQ449" i="10"/>
  <c r="BP449" i="10"/>
  <c r="BQ448" i="10"/>
  <c r="BP448" i="10"/>
  <c r="BQ447" i="10"/>
  <c r="BP447" i="10"/>
  <c r="BQ446" i="10"/>
  <c r="BP446" i="10"/>
  <c r="BQ445" i="10"/>
  <c r="BP445" i="10"/>
  <c r="BQ444" i="10"/>
  <c r="BP444" i="10"/>
  <c r="BQ443" i="10"/>
  <c r="BP443" i="10"/>
  <c r="BQ442" i="10"/>
  <c r="BP442" i="10"/>
  <c r="BQ441" i="10"/>
  <c r="BP441" i="10"/>
  <c r="BQ440" i="10"/>
  <c r="BP440" i="10"/>
  <c r="BQ439" i="10"/>
  <c r="BP439" i="10"/>
  <c r="BQ438" i="10"/>
  <c r="BP438" i="10"/>
  <c r="BQ437" i="10"/>
  <c r="BP437" i="10"/>
  <c r="BQ436" i="10"/>
  <c r="BP436" i="10"/>
  <c r="BQ435" i="10"/>
  <c r="BP435" i="10"/>
  <c r="BQ434" i="10"/>
  <c r="BP434" i="10"/>
  <c r="BQ433" i="10"/>
  <c r="BP433" i="10"/>
  <c r="BQ432" i="10"/>
  <c r="BP432" i="10"/>
  <c r="BQ431" i="10"/>
  <c r="BP431" i="10"/>
  <c r="BQ430" i="10"/>
  <c r="BP430" i="10"/>
  <c r="BQ429" i="10"/>
  <c r="BP429" i="10"/>
  <c r="BQ428" i="10"/>
  <c r="BP428" i="10"/>
  <c r="BQ427" i="10"/>
  <c r="BP427" i="10"/>
  <c r="BQ426" i="10"/>
  <c r="BP426" i="10"/>
  <c r="BQ425" i="10"/>
  <c r="BP425" i="10"/>
  <c r="BQ424" i="10"/>
  <c r="BP424" i="10"/>
  <c r="BQ423" i="10"/>
  <c r="BP423" i="10"/>
  <c r="BQ422" i="10"/>
  <c r="BP422" i="10"/>
  <c r="BQ421" i="10"/>
  <c r="BP421" i="10"/>
  <c r="BQ420" i="10"/>
  <c r="BP420" i="10"/>
  <c r="BQ419" i="10"/>
  <c r="BP419" i="10"/>
  <c r="BQ418" i="10"/>
  <c r="BP418" i="10"/>
  <c r="BQ417" i="10"/>
  <c r="BP417" i="10"/>
  <c r="BQ416" i="10"/>
  <c r="BP416" i="10"/>
  <c r="BQ415" i="10"/>
  <c r="BP415" i="10"/>
  <c r="BQ414" i="10"/>
  <c r="BP414" i="10"/>
  <c r="BQ413" i="10"/>
  <c r="BP413" i="10"/>
  <c r="BQ412" i="10"/>
  <c r="BP412" i="10"/>
  <c r="BQ411" i="10"/>
  <c r="BP411" i="10"/>
  <c r="BQ410" i="10"/>
  <c r="BP410" i="10"/>
  <c r="BQ409" i="10"/>
  <c r="BP409" i="10"/>
  <c r="BQ408" i="10"/>
  <c r="BP408" i="10"/>
  <c r="BQ407" i="10"/>
  <c r="BP407" i="10"/>
  <c r="BQ406" i="10"/>
  <c r="BP406" i="10"/>
  <c r="BQ405" i="10"/>
  <c r="BP405" i="10"/>
  <c r="BQ404" i="10"/>
  <c r="BP404" i="10"/>
  <c r="BQ403" i="10"/>
  <c r="BP403" i="10"/>
  <c r="BQ402" i="10"/>
  <c r="BP402" i="10"/>
  <c r="BQ401" i="10"/>
  <c r="BP401" i="10"/>
  <c r="BQ400" i="10"/>
  <c r="BP400" i="10"/>
  <c r="BQ399" i="10"/>
  <c r="BP399" i="10"/>
  <c r="BQ398" i="10"/>
  <c r="BP398" i="10"/>
  <c r="BQ397" i="10"/>
  <c r="BP397" i="10"/>
  <c r="BQ396" i="10"/>
  <c r="BP396" i="10"/>
  <c r="BQ395" i="10"/>
  <c r="BP395" i="10"/>
  <c r="BQ394" i="10"/>
  <c r="BP394" i="10"/>
  <c r="BQ393" i="10"/>
  <c r="BP393" i="10"/>
  <c r="BQ392" i="10"/>
  <c r="BP392" i="10"/>
  <c r="BQ391" i="10"/>
  <c r="BP391" i="10"/>
  <c r="BQ390" i="10"/>
  <c r="BP390" i="10"/>
  <c r="BQ389" i="10"/>
  <c r="BP389" i="10"/>
  <c r="BQ388" i="10"/>
  <c r="BP388" i="10"/>
  <c r="BQ387" i="10"/>
  <c r="BP387" i="10"/>
  <c r="BQ386" i="10"/>
  <c r="BP386" i="10"/>
  <c r="BQ385" i="10"/>
  <c r="BP385" i="10"/>
  <c r="BQ384" i="10"/>
  <c r="BP384" i="10"/>
  <c r="BQ383" i="10"/>
  <c r="BP383" i="10"/>
  <c r="BQ382" i="10"/>
  <c r="BP382" i="10"/>
  <c r="BQ381" i="10"/>
  <c r="BP381" i="10"/>
  <c r="BQ380" i="10"/>
  <c r="BP380" i="10"/>
  <c r="BQ379" i="10"/>
  <c r="BP379" i="10"/>
  <c r="BQ378" i="10"/>
  <c r="BP378" i="10"/>
  <c r="BQ377" i="10"/>
  <c r="BP377" i="10"/>
  <c r="BQ376" i="10"/>
  <c r="BP376" i="10"/>
  <c r="BQ375" i="10"/>
  <c r="BP375" i="10"/>
  <c r="BQ374" i="10"/>
  <c r="BP374" i="10"/>
  <c r="BQ373" i="10"/>
  <c r="BP373" i="10"/>
  <c r="BQ372" i="10"/>
  <c r="BP372" i="10"/>
  <c r="BQ371" i="10"/>
  <c r="BP371" i="10"/>
  <c r="BQ370" i="10"/>
  <c r="BP370" i="10"/>
  <c r="BQ369" i="10"/>
  <c r="BP369" i="10"/>
  <c r="BQ368" i="10"/>
  <c r="BP368" i="10"/>
  <c r="BQ367" i="10"/>
  <c r="BP367" i="10"/>
  <c r="BQ366" i="10"/>
  <c r="BP366" i="10"/>
  <c r="BQ365" i="10"/>
  <c r="BP365" i="10"/>
  <c r="BQ364" i="10"/>
  <c r="BP364" i="10"/>
  <c r="BQ363" i="10"/>
  <c r="BP363" i="10"/>
  <c r="BQ362" i="10"/>
  <c r="BP362" i="10"/>
  <c r="BQ361" i="10"/>
  <c r="BP361" i="10"/>
  <c r="BQ360" i="10"/>
  <c r="BP360" i="10"/>
  <c r="BQ359" i="10"/>
  <c r="BP359" i="10"/>
  <c r="BQ358" i="10"/>
  <c r="BP358" i="10"/>
  <c r="BQ357" i="10"/>
  <c r="BP357" i="10"/>
  <c r="BQ356" i="10"/>
  <c r="BP356" i="10"/>
  <c r="BQ355" i="10"/>
  <c r="BP355" i="10"/>
  <c r="BQ354" i="10"/>
  <c r="BP354" i="10"/>
  <c r="BQ353" i="10"/>
  <c r="BP353" i="10"/>
  <c r="BQ352" i="10"/>
  <c r="BP352" i="10"/>
  <c r="BQ351" i="10"/>
  <c r="BP351" i="10"/>
  <c r="BQ350" i="10"/>
  <c r="BP350" i="10"/>
  <c r="BQ349" i="10"/>
  <c r="BP349" i="10"/>
  <c r="BQ348" i="10"/>
  <c r="BP348" i="10"/>
  <c r="BQ347" i="10"/>
  <c r="BP347" i="10"/>
  <c r="BQ346" i="10"/>
  <c r="BP346" i="10"/>
  <c r="BQ345" i="10"/>
  <c r="BP345" i="10"/>
  <c r="BQ344" i="10"/>
  <c r="BP344" i="10"/>
  <c r="BQ343" i="10"/>
  <c r="BP343" i="10"/>
  <c r="BQ342" i="10"/>
  <c r="BP342" i="10"/>
  <c r="BQ341" i="10"/>
  <c r="BP341" i="10"/>
  <c r="BQ340" i="10"/>
  <c r="BP340" i="10"/>
  <c r="BQ339" i="10"/>
  <c r="BP339" i="10"/>
  <c r="BQ338" i="10"/>
  <c r="BP338" i="10"/>
  <c r="BQ337" i="10"/>
  <c r="BP337" i="10"/>
  <c r="BQ336" i="10"/>
  <c r="BP336" i="10"/>
  <c r="BQ335" i="10"/>
  <c r="BP335" i="10"/>
  <c r="BQ334" i="10"/>
  <c r="BP334" i="10"/>
  <c r="BQ333" i="10"/>
  <c r="BP333" i="10"/>
  <c r="BQ332" i="10"/>
  <c r="BP332" i="10"/>
  <c r="BQ331" i="10"/>
  <c r="BP331" i="10"/>
  <c r="BQ330" i="10"/>
  <c r="BP330" i="10"/>
  <c r="BQ329" i="10"/>
  <c r="BP329" i="10"/>
  <c r="BQ328" i="10"/>
  <c r="BP328" i="10"/>
  <c r="BQ327" i="10"/>
  <c r="BP327" i="10"/>
  <c r="BQ326" i="10"/>
  <c r="BP326" i="10"/>
  <c r="BQ325" i="10"/>
  <c r="BP325" i="10"/>
  <c r="BQ324" i="10"/>
  <c r="BP324" i="10"/>
  <c r="BQ323" i="10"/>
  <c r="BP323" i="10"/>
  <c r="BQ322" i="10"/>
  <c r="BP322" i="10"/>
  <c r="BQ321" i="10"/>
  <c r="BP321" i="10"/>
  <c r="BQ320" i="10"/>
  <c r="BP320" i="10"/>
  <c r="BQ319" i="10"/>
  <c r="BP319" i="10"/>
  <c r="BQ318" i="10"/>
  <c r="BP318" i="10"/>
  <c r="BQ317" i="10"/>
  <c r="BP317" i="10"/>
  <c r="BQ316" i="10"/>
  <c r="BP316" i="10"/>
  <c r="BQ315" i="10"/>
  <c r="BP315" i="10"/>
  <c r="BQ314" i="10"/>
  <c r="BP314" i="10"/>
  <c r="BQ313" i="10"/>
  <c r="BP313" i="10"/>
  <c r="BQ312" i="10"/>
  <c r="BP312" i="10"/>
  <c r="BQ311" i="10"/>
  <c r="BP311" i="10"/>
  <c r="BQ310" i="10"/>
  <c r="BP310" i="10"/>
  <c r="BQ309" i="10"/>
  <c r="BP309" i="10"/>
  <c r="BQ308" i="10"/>
  <c r="BP308" i="10"/>
  <c r="BQ307" i="10"/>
  <c r="BP307" i="10"/>
  <c r="BQ306" i="10"/>
  <c r="BP306" i="10"/>
  <c r="BQ305" i="10"/>
  <c r="BP305" i="10"/>
  <c r="BQ304" i="10"/>
  <c r="BP304" i="10"/>
  <c r="BQ303" i="10"/>
  <c r="BP303" i="10"/>
  <c r="BQ302" i="10"/>
  <c r="BP302" i="10"/>
  <c r="BQ301" i="10"/>
  <c r="BP301" i="10"/>
  <c r="BQ300" i="10"/>
  <c r="BP300" i="10"/>
  <c r="BQ299" i="10"/>
  <c r="BP299" i="10"/>
  <c r="BQ298" i="10"/>
  <c r="BP298" i="10"/>
  <c r="BQ297" i="10"/>
  <c r="BP297" i="10"/>
  <c r="BQ296" i="10"/>
  <c r="BP296" i="10"/>
  <c r="BQ295" i="10"/>
  <c r="BP295" i="10"/>
  <c r="BQ294" i="10"/>
  <c r="BP294" i="10"/>
  <c r="BQ293" i="10"/>
  <c r="BP293" i="10"/>
  <c r="BQ292" i="10"/>
  <c r="BP292" i="10"/>
  <c r="BQ291" i="10"/>
  <c r="BP291" i="10"/>
  <c r="BQ290" i="10"/>
  <c r="BP290" i="10"/>
  <c r="BQ289" i="10"/>
  <c r="BP289" i="10"/>
  <c r="BQ288" i="10"/>
  <c r="BP288" i="10"/>
  <c r="BQ287" i="10"/>
  <c r="BP287" i="10"/>
  <c r="BQ286" i="10"/>
  <c r="BP286" i="10"/>
  <c r="BQ285" i="10"/>
  <c r="BP285" i="10"/>
  <c r="BQ284" i="10"/>
  <c r="BP284" i="10"/>
  <c r="BQ283" i="10"/>
  <c r="BP283" i="10"/>
  <c r="BQ282" i="10"/>
  <c r="BP282" i="10"/>
  <c r="BQ281" i="10"/>
  <c r="BP281" i="10"/>
  <c r="BQ280" i="10"/>
  <c r="BP280" i="10"/>
  <c r="BQ279" i="10"/>
  <c r="BP279" i="10"/>
  <c r="BQ278" i="10"/>
  <c r="BP278" i="10"/>
  <c r="BQ277" i="10"/>
  <c r="BP277" i="10"/>
  <c r="BQ276" i="10"/>
  <c r="BP276" i="10"/>
  <c r="BQ275" i="10"/>
  <c r="BP275" i="10"/>
  <c r="BQ274" i="10"/>
  <c r="BP274" i="10"/>
  <c r="BQ273" i="10"/>
  <c r="BP273" i="10"/>
  <c r="BQ272" i="10"/>
  <c r="BP272" i="10"/>
  <c r="BQ271" i="10"/>
  <c r="BP271" i="10"/>
  <c r="BQ270" i="10"/>
  <c r="BP270" i="10"/>
  <c r="BQ269" i="10"/>
  <c r="BP269" i="10"/>
  <c r="BQ268" i="10"/>
  <c r="BP268" i="10"/>
  <c r="BQ267" i="10"/>
  <c r="BP267" i="10"/>
  <c r="BQ266" i="10"/>
  <c r="BP266" i="10"/>
  <c r="BQ265" i="10"/>
  <c r="BP265" i="10"/>
  <c r="BQ264" i="10"/>
  <c r="BP264" i="10"/>
  <c r="BQ263" i="10"/>
  <c r="BP263" i="10"/>
  <c r="BQ262" i="10"/>
  <c r="BP262" i="10"/>
  <c r="BQ261" i="10"/>
  <c r="BP261" i="10"/>
  <c r="BQ260" i="10"/>
  <c r="BP260" i="10"/>
  <c r="BQ259" i="10"/>
  <c r="BP259" i="10"/>
  <c r="BQ258" i="10"/>
  <c r="BP258" i="10"/>
  <c r="BQ257" i="10"/>
  <c r="BP257" i="10"/>
  <c r="BQ256" i="10"/>
  <c r="BP256" i="10"/>
  <c r="BQ255" i="10"/>
  <c r="BP255" i="10"/>
  <c r="BQ254" i="10"/>
  <c r="BP254" i="10"/>
  <c r="BQ253" i="10"/>
  <c r="BP253" i="10"/>
  <c r="BQ252" i="10"/>
  <c r="BP252" i="10"/>
  <c r="BQ251" i="10"/>
  <c r="BP251" i="10"/>
  <c r="BQ250" i="10"/>
  <c r="BP250" i="10"/>
  <c r="BQ249" i="10"/>
  <c r="BP249" i="10"/>
  <c r="BQ248" i="10"/>
  <c r="BP248" i="10"/>
  <c r="BQ247" i="10"/>
  <c r="BP247" i="10"/>
  <c r="BQ246" i="10"/>
  <c r="BP246" i="10"/>
  <c r="BQ245" i="10"/>
  <c r="BP245" i="10"/>
  <c r="BQ244" i="10"/>
  <c r="BP244" i="10"/>
  <c r="BQ243" i="10"/>
  <c r="BP243" i="10"/>
  <c r="BQ242" i="10"/>
  <c r="BP242" i="10"/>
  <c r="BQ241" i="10"/>
  <c r="BP241" i="10"/>
  <c r="BQ240" i="10"/>
  <c r="BP240" i="10"/>
  <c r="BQ239" i="10"/>
  <c r="BP239" i="10"/>
  <c r="BQ238" i="10"/>
  <c r="BP238" i="10"/>
  <c r="BQ237" i="10"/>
  <c r="BP237" i="10"/>
  <c r="BQ236" i="10"/>
  <c r="BP236" i="10"/>
  <c r="BQ235" i="10"/>
  <c r="BP235" i="10"/>
  <c r="BQ234" i="10"/>
  <c r="BP234" i="10"/>
  <c r="BQ233" i="10"/>
  <c r="BP233" i="10"/>
  <c r="BQ232" i="10"/>
  <c r="BP232" i="10"/>
  <c r="BQ231" i="10"/>
  <c r="BP231" i="10"/>
  <c r="BQ230" i="10"/>
  <c r="BP230" i="10"/>
  <c r="BQ229" i="10"/>
  <c r="BP229" i="10"/>
  <c r="BQ228" i="10"/>
  <c r="BP228" i="10"/>
  <c r="BQ227" i="10"/>
  <c r="BP227" i="10"/>
  <c r="BQ226" i="10"/>
  <c r="BP226" i="10"/>
  <c r="BQ225" i="10"/>
  <c r="BP225" i="10"/>
  <c r="BQ224" i="10"/>
  <c r="BP224" i="10"/>
  <c r="BQ223" i="10"/>
  <c r="BP223" i="10"/>
  <c r="BQ222" i="10"/>
  <c r="BP222" i="10"/>
  <c r="BQ221" i="10"/>
  <c r="BP221" i="10"/>
  <c r="BQ220" i="10"/>
  <c r="BP220" i="10"/>
  <c r="BQ219" i="10"/>
  <c r="BP219" i="10"/>
  <c r="BQ218" i="10"/>
  <c r="BP218" i="10"/>
  <c r="BQ217" i="10"/>
  <c r="BP217" i="10"/>
  <c r="BQ216" i="10"/>
  <c r="BP216" i="10"/>
  <c r="BQ215" i="10"/>
  <c r="BP215" i="10"/>
  <c r="BQ214" i="10"/>
  <c r="BP214" i="10"/>
  <c r="BQ213" i="10"/>
  <c r="BP213" i="10"/>
  <c r="BQ212" i="10"/>
  <c r="BP212" i="10"/>
  <c r="BQ211" i="10"/>
  <c r="BP211" i="10"/>
  <c r="BQ210" i="10"/>
  <c r="BP210" i="10"/>
  <c r="BQ209" i="10"/>
  <c r="BP209" i="10"/>
  <c r="BQ208" i="10"/>
  <c r="BP208" i="10"/>
  <c r="BQ207" i="10"/>
  <c r="BP207" i="10"/>
  <c r="BQ206" i="10"/>
  <c r="BP206" i="10"/>
  <c r="BQ205" i="10"/>
  <c r="BP205" i="10"/>
  <c r="BQ204" i="10"/>
  <c r="BP204" i="10"/>
  <c r="BQ203" i="10"/>
  <c r="BP203" i="10"/>
  <c r="BQ202" i="10"/>
  <c r="BP202" i="10"/>
  <c r="BQ201" i="10"/>
  <c r="BP201" i="10"/>
  <c r="BQ200" i="10"/>
  <c r="BP200" i="10"/>
  <c r="BQ199" i="10"/>
  <c r="BP199" i="10"/>
  <c r="BQ198" i="10"/>
  <c r="BP198" i="10"/>
  <c r="BQ197" i="10"/>
  <c r="BP197" i="10"/>
  <c r="BQ196" i="10"/>
  <c r="BP196" i="10"/>
  <c r="BQ195" i="10"/>
  <c r="BP195" i="10"/>
  <c r="BQ194" i="10"/>
  <c r="BP194" i="10"/>
  <c r="BQ193" i="10"/>
  <c r="BP193" i="10"/>
  <c r="BQ192" i="10"/>
  <c r="BP192" i="10"/>
  <c r="BQ191" i="10"/>
  <c r="BP191" i="10"/>
  <c r="BQ190" i="10"/>
  <c r="BP190" i="10"/>
  <c r="BQ189" i="10"/>
  <c r="BP189" i="10"/>
  <c r="BQ188" i="10"/>
  <c r="BP188" i="10"/>
  <c r="BQ187" i="10"/>
  <c r="BP187" i="10"/>
  <c r="BQ186" i="10"/>
  <c r="BP186" i="10"/>
  <c r="BQ185" i="10"/>
  <c r="BP185" i="10"/>
  <c r="BQ184" i="10"/>
  <c r="BP184" i="10"/>
  <c r="BQ183" i="10"/>
  <c r="BP183" i="10"/>
  <c r="BQ182" i="10"/>
  <c r="BP182" i="10"/>
  <c r="BQ181" i="10"/>
  <c r="BP181" i="10"/>
  <c r="BQ180" i="10"/>
  <c r="BP180" i="10"/>
  <c r="BQ179" i="10"/>
  <c r="BP179" i="10"/>
  <c r="BQ178" i="10"/>
  <c r="BP178" i="10"/>
  <c r="BQ177" i="10"/>
  <c r="BP177" i="10"/>
  <c r="BQ176" i="10"/>
  <c r="BP176" i="10"/>
  <c r="BQ175" i="10"/>
  <c r="BP175" i="10"/>
  <c r="BQ174" i="10"/>
  <c r="BP174" i="10"/>
  <c r="BQ173" i="10"/>
  <c r="BP173" i="10"/>
  <c r="BQ172" i="10"/>
  <c r="BP172" i="10"/>
  <c r="BQ171" i="10"/>
  <c r="BP171" i="10"/>
  <c r="BQ170" i="10"/>
  <c r="BP170" i="10"/>
  <c r="BQ169" i="10"/>
  <c r="BP169" i="10"/>
  <c r="BQ168" i="10"/>
  <c r="BP168" i="10"/>
  <c r="BQ167" i="10"/>
  <c r="BP167" i="10"/>
  <c r="BQ153" i="10"/>
  <c r="BP153" i="10"/>
  <c r="BQ152" i="10"/>
  <c r="BP152" i="10"/>
  <c r="BQ151" i="10"/>
  <c r="BP151" i="10"/>
  <c r="BQ150" i="10"/>
  <c r="BP150" i="10"/>
  <c r="BQ149" i="10"/>
  <c r="BP149" i="10"/>
  <c r="BQ148" i="10"/>
  <c r="BP148" i="10"/>
  <c r="BQ147" i="10"/>
  <c r="BP147" i="10"/>
  <c r="BQ146" i="10"/>
  <c r="BP146" i="10"/>
  <c r="BQ145" i="10"/>
  <c r="BP145" i="10"/>
  <c r="BQ144" i="10"/>
  <c r="BP144" i="10"/>
  <c r="BQ143" i="10"/>
  <c r="BP143" i="10"/>
  <c r="BQ137" i="10"/>
  <c r="BP137" i="10"/>
  <c r="BQ136" i="10"/>
  <c r="BP136" i="10"/>
  <c r="BQ135" i="10"/>
  <c r="BP135" i="10"/>
  <c r="BQ134" i="10"/>
  <c r="BP134" i="10"/>
  <c r="BQ133" i="10"/>
  <c r="BP133" i="10"/>
  <c r="BQ132" i="10"/>
  <c r="BP132" i="10"/>
  <c r="BQ131" i="10"/>
  <c r="BP131" i="10"/>
  <c r="BQ130" i="10"/>
  <c r="BP130" i="10"/>
  <c r="BQ129" i="10"/>
  <c r="BP129" i="10"/>
  <c r="BQ128" i="10"/>
  <c r="BP128" i="10"/>
  <c r="BQ126" i="10"/>
  <c r="BP126" i="10"/>
  <c r="BQ125" i="10"/>
  <c r="BP125" i="10"/>
  <c r="BQ124" i="10"/>
  <c r="BP124" i="10"/>
  <c r="BQ123" i="10"/>
  <c r="BP123" i="10"/>
  <c r="BQ122" i="10"/>
  <c r="BP122" i="10"/>
  <c r="BQ121" i="10"/>
  <c r="BP121" i="10"/>
  <c r="BQ120" i="10"/>
  <c r="BP120" i="10"/>
  <c r="BQ119" i="10"/>
  <c r="BP119" i="10"/>
  <c r="BQ118" i="10"/>
  <c r="BP118" i="10"/>
  <c r="BQ117" i="10"/>
  <c r="BP117" i="10"/>
  <c r="BQ116" i="10"/>
  <c r="BP116" i="10"/>
  <c r="BQ115" i="10"/>
  <c r="BP115" i="10"/>
  <c r="BQ114" i="10"/>
  <c r="BP114" i="10"/>
  <c r="BQ113" i="10"/>
  <c r="BP113" i="10"/>
  <c r="BQ112" i="10"/>
  <c r="BP112" i="10"/>
  <c r="BQ111" i="10"/>
  <c r="BP111" i="10"/>
  <c r="BQ110" i="10"/>
  <c r="BP110" i="10"/>
  <c r="BQ109" i="10"/>
  <c r="BP109" i="10"/>
  <c r="BQ108" i="10"/>
  <c r="BP108" i="10"/>
  <c r="BQ107" i="10"/>
  <c r="BP107" i="10"/>
  <c r="BQ106" i="10"/>
  <c r="BP106" i="10"/>
  <c r="BQ105" i="10"/>
  <c r="BP105" i="10"/>
  <c r="BQ104" i="10"/>
  <c r="BP104" i="10"/>
  <c r="BQ103" i="10"/>
  <c r="BP103" i="10"/>
  <c r="BQ102" i="10"/>
  <c r="BP102" i="10"/>
  <c r="BQ101" i="10"/>
  <c r="BP101" i="10"/>
  <c r="BQ100" i="10"/>
  <c r="BP100" i="10"/>
  <c r="BQ99" i="10"/>
  <c r="BP99" i="10"/>
  <c r="BQ98" i="10"/>
  <c r="BP98" i="10"/>
  <c r="BQ97" i="10"/>
  <c r="BP97" i="10"/>
  <c r="BQ96" i="10"/>
  <c r="BP96" i="10"/>
  <c r="BQ95" i="10"/>
  <c r="BP95" i="10"/>
  <c r="BQ94" i="10"/>
  <c r="BP94" i="10"/>
  <c r="BQ93" i="10"/>
  <c r="BP93" i="10"/>
  <c r="BQ92" i="10"/>
  <c r="BP92" i="10"/>
  <c r="BQ91" i="10"/>
  <c r="BP91" i="10"/>
  <c r="BQ90" i="10"/>
  <c r="BP90" i="10"/>
  <c r="BQ89" i="10"/>
  <c r="BP89" i="10"/>
  <c r="BQ88" i="10"/>
  <c r="BP88" i="10"/>
  <c r="BQ87" i="10"/>
  <c r="BP87" i="10"/>
  <c r="BQ86" i="10"/>
  <c r="BP86" i="10"/>
  <c r="BQ85" i="10"/>
  <c r="BP85" i="10"/>
  <c r="BQ84" i="10"/>
  <c r="BP84" i="10"/>
  <c r="BQ83" i="10"/>
  <c r="BP83" i="10"/>
  <c r="BQ82" i="10"/>
  <c r="BP82" i="10"/>
  <c r="BQ81" i="10"/>
  <c r="BP81" i="10"/>
  <c r="BQ80" i="10"/>
  <c r="BP80" i="10"/>
  <c r="BQ79" i="10"/>
  <c r="BP79" i="10"/>
  <c r="BQ78" i="10"/>
  <c r="BP78" i="10"/>
  <c r="BQ77" i="10"/>
  <c r="BP77" i="10"/>
  <c r="BQ76" i="10"/>
  <c r="BP76" i="10"/>
  <c r="BQ75" i="10"/>
  <c r="BP75" i="10"/>
  <c r="BQ74" i="10"/>
  <c r="BP74" i="10"/>
  <c r="BQ73" i="10"/>
  <c r="BP73" i="10"/>
  <c r="BQ72" i="10"/>
  <c r="BP72" i="10"/>
  <c r="BQ71" i="10"/>
  <c r="BP71" i="10"/>
  <c r="BQ70" i="10"/>
  <c r="BP70" i="10"/>
  <c r="BQ69" i="10"/>
  <c r="BP69" i="10"/>
  <c r="BQ68" i="10"/>
  <c r="BP68" i="10"/>
  <c r="BQ67" i="10"/>
  <c r="BP67" i="10"/>
  <c r="BQ66" i="10"/>
  <c r="BP66" i="10"/>
  <c r="BQ65" i="10"/>
  <c r="BP65" i="10"/>
  <c r="BQ64" i="10"/>
  <c r="BP64" i="10"/>
  <c r="BQ63" i="10"/>
  <c r="BP63" i="10"/>
  <c r="BQ62" i="10"/>
  <c r="BP62" i="10"/>
  <c r="BQ61" i="10"/>
  <c r="BP61" i="10"/>
  <c r="BQ60" i="10"/>
  <c r="BP60" i="10"/>
  <c r="BQ59" i="10"/>
  <c r="BP59" i="10"/>
  <c r="BQ58" i="10"/>
  <c r="BP58" i="10"/>
  <c r="BQ57" i="10"/>
  <c r="BP57" i="10"/>
  <c r="BQ56" i="10"/>
  <c r="BP56" i="10"/>
  <c r="BQ55" i="10"/>
  <c r="BP55" i="10"/>
  <c r="BQ54" i="10"/>
  <c r="BP54" i="10"/>
  <c r="BQ53" i="10"/>
  <c r="BP53" i="10"/>
  <c r="BQ52" i="10"/>
  <c r="BP52" i="10"/>
  <c r="BQ51" i="10"/>
  <c r="BP51" i="10"/>
  <c r="BQ50" i="10"/>
  <c r="BP50" i="10"/>
  <c r="BQ49" i="10"/>
  <c r="BP49" i="10"/>
  <c r="BQ48" i="10"/>
  <c r="BP48" i="10"/>
  <c r="BQ47" i="10"/>
  <c r="BP47" i="10"/>
  <c r="BQ46" i="10"/>
  <c r="BP46" i="10"/>
  <c r="BQ45" i="10"/>
  <c r="BP45" i="10"/>
  <c r="BQ44" i="10"/>
  <c r="BP44" i="10"/>
  <c r="BQ43" i="10"/>
  <c r="BP43" i="10"/>
  <c r="BQ42" i="10"/>
  <c r="BP42" i="10"/>
  <c r="BQ41" i="10"/>
  <c r="BP41" i="10"/>
  <c r="BQ40" i="10"/>
  <c r="BP40" i="10"/>
  <c r="BQ39" i="10"/>
  <c r="BP39" i="10"/>
  <c r="BQ38" i="10"/>
  <c r="BP38" i="10"/>
  <c r="BQ37" i="10"/>
  <c r="BP37" i="10"/>
  <c r="BQ36" i="10"/>
  <c r="BP36" i="10"/>
  <c r="BQ35" i="10"/>
  <c r="BP35" i="10"/>
  <c r="BQ34" i="10"/>
  <c r="BP34" i="10"/>
  <c r="BQ33" i="10"/>
  <c r="BP33" i="10"/>
  <c r="BQ32" i="10"/>
  <c r="BP32" i="10"/>
  <c r="BQ31" i="10"/>
  <c r="BP31" i="10"/>
  <c r="BQ30" i="10"/>
  <c r="BP30" i="10"/>
  <c r="BQ29" i="10"/>
  <c r="BP29" i="10"/>
  <c r="BQ28" i="10"/>
  <c r="BP28" i="10"/>
  <c r="BQ27" i="10"/>
  <c r="BP27" i="10"/>
  <c r="BQ26" i="10"/>
  <c r="BP26" i="10"/>
  <c r="BQ25" i="10"/>
  <c r="BP25" i="10"/>
  <c r="BQ24" i="10"/>
  <c r="BP24" i="10"/>
  <c r="BQ23" i="10"/>
  <c r="BP23" i="10"/>
  <c r="BQ22" i="10"/>
  <c r="BP22" i="10"/>
  <c r="BQ21" i="10"/>
  <c r="BP21" i="10"/>
  <c r="BQ20" i="10"/>
  <c r="BP20" i="10"/>
  <c r="BQ19" i="10"/>
  <c r="BP19" i="10"/>
  <c r="BQ18" i="10"/>
  <c r="BP18" i="10"/>
  <c r="BQ17" i="10"/>
  <c r="BP17" i="10"/>
  <c r="BQ16" i="10"/>
  <c r="BP16" i="10"/>
  <c r="BQ15" i="10"/>
  <c r="BP15" i="10"/>
  <c r="BQ14" i="10"/>
  <c r="BP14" i="10"/>
  <c r="BQ13" i="10"/>
  <c r="BP13" i="10"/>
  <c r="BQ12" i="10"/>
  <c r="BP12" i="10"/>
  <c r="BQ11" i="10"/>
  <c r="BP11" i="10"/>
  <c r="BQ10" i="10"/>
  <c r="BP10" i="10"/>
  <c r="BQ9" i="10"/>
  <c r="BP9" i="10"/>
  <c r="BQ8" i="10"/>
  <c r="BP8" i="10"/>
  <c r="BQ7" i="10"/>
  <c r="BP7" i="10"/>
  <c r="BQ6" i="10"/>
  <c r="BP6" i="10"/>
  <c r="BQ5" i="10"/>
  <c r="BP5" i="10"/>
  <c r="BQ4" i="10"/>
  <c r="BP4" i="10"/>
  <c r="D5" i="2"/>
  <c r="C18" i="13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5" i="13"/>
  <c r="D6" i="13"/>
  <c r="D50" i="10"/>
  <c r="D2" i="10"/>
  <c r="A66" i="23"/>
  <c r="A65" i="23"/>
  <c r="A64" i="23"/>
  <c r="A63" i="23"/>
  <c r="A62" i="23"/>
  <c r="A61" i="23"/>
  <c r="A60" i="23"/>
  <c r="A59" i="23"/>
  <c r="A57" i="23"/>
  <c r="A56" i="23"/>
  <c r="A55" i="23"/>
  <c r="A54" i="23"/>
  <c r="A51" i="23"/>
  <c r="A50" i="23"/>
  <c r="A47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F9" i="20"/>
  <c r="E9" i="20"/>
  <c r="D9" i="20"/>
  <c r="C9" i="20"/>
  <c r="B9" i="20"/>
  <c r="F8" i="20"/>
  <c r="E8" i="20"/>
  <c r="D8" i="20"/>
  <c r="C8" i="20"/>
  <c r="B8" i="20"/>
  <c r="F7" i="20"/>
  <c r="E7" i="20"/>
  <c r="D7" i="20"/>
  <c r="C7" i="20"/>
  <c r="B7" i="20"/>
  <c r="F6" i="20"/>
  <c r="E6" i="20"/>
  <c r="D6" i="20"/>
  <c r="C6" i="20"/>
  <c r="B6" i="20"/>
  <c r="F5" i="20"/>
  <c r="E5" i="20"/>
  <c r="D5" i="20"/>
  <c r="C5" i="20"/>
  <c r="B5" i="20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K21" i="16"/>
  <c r="J21" i="16"/>
  <c r="H21" i="16"/>
  <c r="G21" i="16"/>
  <c r="F21" i="16"/>
  <c r="E21" i="16"/>
  <c r="D21" i="16"/>
  <c r="C21" i="16"/>
  <c r="B21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1" i="15"/>
  <c r="J21" i="15"/>
  <c r="H21" i="15"/>
  <c r="G21" i="15"/>
  <c r="F21" i="15"/>
  <c r="E21" i="15"/>
  <c r="D21" i="15"/>
  <c r="C21" i="15"/>
  <c r="B21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K21" i="14"/>
  <c r="J21" i="14"/>
  <c r="H21" i="14"/>
  <c r="G21" i="14"/>
  <c r="F21" i="14"/>
  <c r="E21" i="14"/>
  <c r="D21" i="14"/>
  <c r="C21" i="14"/>
  <c r="B21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F4" i="13"/>
  <c r="D4" i="13"/>
  <c r="F3" i="13"/>
  <c r="D3" i="13"/>
  <c r="F2" i="13"/>
  <c r="D2" i="13"/>
  <c r="P503" i="12"/>
  <c r="M503" i="12"/>
  <c r="L503" i="12"/>
  <c r="K503" i="12"/>
  <c r="J503" i="12"/>
  <c r="I503" i="12"/>
  <c r="R503" i="12"/>
  <c r="H503" i="12"/>
  <c r="G503" i="12"/>
  <c r="F503" i="12"/>
  <c r="E503" i="12"/>
  <c r="D503" i="12"/>
  <c r="C503" i="12"/>
  <c r="B503" i="12"/>
  <c r="A503" i="12"/>
  <c r="Q503" i="12"/>
  <c r="P502" i="12"/>
  <c r="M502" i="12"/>
  <c r="L502" i="12"/>
  <c r="K502" i="12"/>
  <c r="J502" i="12"/>
  <c r="I502" i="12"/>
  <c r="R502" i="12"/>
  <c r="H502" i="12"/>
  <c r="G502" i="12"/>
  <c r="F502" i="12"/>
  <c r="E502" i="12"/>
  <c r="D502" i="12"/>
  <c r="C502" i="12"/>
  <c r="B502" i="12"/>
  <c r="A502" i="12"/>
  <c r="Q502" i="12"/>
  <c r="P501" i="12"/>
  <c r="M501" i="12"/>
  <c r="L501" i="12"/>
  <c r="K501" i="12"/>
  <c r="J501" i="12"/>
  <c r="I501" i="12"/>
  <c r="R501" i="12"/>
  <c r="H501" i="12"/>
  <c r="G501" i="12"/>
  <c r="F501" i="12"/>
  <c r="E501" i="12"/>
  <c r="D501" i="12"/>
  <c r="C501" i="12"/>
  <c r="B501" i="12"/>
  <c r="A501" i="12"/>
  <c r="Q501" i="12"/>
  <c r="P500" i="12"/>
  <c r="M500" i="12"/>
  <c r="L500" i="12"/>
  <c r="K500" i="12"/>
  <c r="J500" i="12"/>
  <c r="I500" i="12"/>
  <c r="R500" i="12"/>
  <c r="H500" i="12"/>
  <c r="G500" i="12"/>
  <c r="F500" i="12"/>
  <c r="E500" i="12"/>
  <c r="D500" i="12"/>
  <c r="C500" i="12"/>
  <c r="B500" i="12"/>
  <c r="A500" i="12"/>
  <c r="Q500" i="12"/>
  <c r="P499" i="12"/>
  <c r="M499" i="12"/>
  <c r="L499" i="12"/>
  <c r="K499" i="12"/>
  <c r="J499" i="12"/>
  <c r="I499" i="12"/>
  <c r="R499" i="12"/>
  <c r="H499" i="12"/>
  <c r="G499" i="12"/>
  <c r="F499" i="12"/>
  <c r="E499" i="12"/>
  <c r="D499" i="12"/>
  <c r="C499" i="12"/>
  <c r="B499" i="12"/>
  <c r="A499" i="12"/>
  <c r="Q499" i="12"/>
  <c r="P498" i="12"/>
  <c r="M498" i="12"/>
  <c r="L498" i="12"/>
  <c r="K498" i="12"/>
  <c r="J498" i="12"/>
  <c r="I498" i="12"/>
  <c r="R498" i="12"/>
  <c r="H498" i="12"/>
  <c r="G498" i="12"/>
  <c r="F498" i="12"/>
  <c r="E498" i="12"/>
  <c r="D498" i="12"/>
  <c r="C498" i="12"/>
  <c r="B498" i="12"/>
  <c r="A498" i="12"/>
  <c r="Q498" i="12"/>
  <c r="P497" i="12"/>
  <c r="M497" i="12"/>
  <c r="L497" i="12"/>
  <c r="K497" i="12"/>
  <c r="J497" i="12"/>
  <c r="I497" i="12"/>
  <c r="R497" i="12"/>
  <c r="H497" i="12"/>
  <c r="G497" i="12"/>
  <c r="F497" i="12"/>
  <c r="E497" i="12"/>
  <c r="D497" i="12"/>
  <c r="C497" i="12"/>
  <c r="B497" i="12"/>
  <c r="A497" i="12"/>
  <c r="Q497" i="12"/>
  <c r="P496" i="12"/>
  <c r="M496" i="12"/>
  <c r="L496" i="12"/>
  <c r="K496" i="12"/>
  <c r="J496" i="12"/>
  <c r="I496" i="12"/>
  <c r="R496" i="12"/>
  <c r="H496" i="12"/>
  <c r="G496" i="12"/>
  <c r="F496" i="12"/>
  <c r="E496" i="12"/>
  <c r="D496" i="12"/>
  <c r="C496" i="12"/>
  <c r="B496" i="12"/>
  <c r="A496" i="12"/>
  <c r="Q496" i="12"/>
  <c r="P495" i="12"/>
  <c r="M495" i="12"/>
  <c r="L495" i="12"/>
  <c r="K495" i="12"/>
  <c r="J495" i="12"/>
  <c r="I495" i="12"/>
  <c r="R495" i="12"/>
  <c r="H495" i="12"/>
  <c r="G495" i="12"/>
  <c r="F495" i="12"/>
  <c r="E495" i="12"/>
  <c r="D495" i="12"/>
  <c r="C495" i="12"/>
  <c r="B495" i="12"/>
  <c r="A495" i="12"/>
  <c r="Q495" i="12"/>
  <c r="P494" i="12"/>
  <c r="M494" i="12"/>
  <c r="L494" i="12"/>
  <c r="K494" i="12"/>
  <c r="J494" i="12"/>
  <c r="I494" i="12"/>
  <c r="R494" i="12"/>
  <c r="H494" i="12"/>
  <c r="G494" i="12"/>
  <c r="F494" i="12"/>
  <c r="E494" i="12"/>
  <c r="D494" i="12"/>
  <c r="C494" i="12"/>
  <c r="B494" i="12"/>
  <c r="A494" i="12"/>
  <c r="Q494" i="12"/>
  <c r="P493" i="12"/>
  <c r="M493" i="12"/>
  <c r="L493" i="12"/>
  <c r="K493" i="12"/>
  <c r="J493" i="12"/>
  <c r="I493" i="12"/>
  <c r="R493" i="12"/>
  <c r="H493" i="12"/>
  <c r="G493" i="12"/>
  <c r="F493" i="12"/>
  <c r="E493" i="12"/>
  <c r="D493" i="12"/>
  <c r="C493" i="12"/>
  <c r="B493" i="12"/>
  <c r="A493" i="12"/>
  <c r="Q493" i="12"/>
  <c r="P492" i="12"/>
  <c r="M492" i="12"/>
  <c r="L492" i="12"/>
  <c r="K492" i="12"/>
  <c r="J492" i="12"/>
  <c r="I492" i="12"/>
  <c r="R492" i="12"/>
  <c r="H492" i="12"/>
  <c r="G492" i="12"/>
  <c r="F492" i="12"/>
  <c r="E492" i="12"/>
  <c r="D492" i="12"/>
  <c r="C492" i="12"/>
  <c r="B492" i="12"/>
  <c r="A492" i="12"/>
  <c r="Q492" i="12"/>
  <c r="P491" i="12"/>
  <c r="M491" i="12"/>
  <c r="L491" i="12"/>
  <c r="K491" i="12"/>
  <c r="J491" i="12"/>
  <c r="I491" i="12"/>
  <c r="R491" i="12"/>
  <c r="H491" i="12"/>
  <c r="G491" i="12"/>
  <c r="F491" i="12"/>
  <c r="E491" i="12"/>
  <c r="D491" i="12"/>
  <c r="C491" i="12"/>
  <c r="B491" i="12"/>
  <c r="A491" i="12"/>
  <c r="Q491" i="12"/>
  <c r="P490" i="12"/>
  <c r="M490" i="12"/>
  <c r="L490" i="12"/>
  <c r="K490" i="12"/>
  <c r="J490" i="12"/>
  <c r="I490" i="12"/>
  <c r="R490" i="12"/>
  <c r="H490" i="12"/>
  <c r="G490" i="12"/>
  <c r="F490" i="12"/>
  <c r="E490" i="12"/>
  <c r="D490" i="12"/>
  <c r="C490" i="12"/>
  <c r="B490" i="12"/>
  <c r="A490" i="12"/>
  <c r="Q490" i="12"/>
  <c r="P489" i="12"/>
  <c r="M489" i="12"/>
  <c r="L489" i="12"/>
  <c r="K489" i="12"/>
  <c r="J489" i="12"/>
  <c r="I489" i="12"/>
  <c r="R489" i="12"/>
  <c r="H489" i="12"/>
  <c r="G489" i="12"/>
  <c r="F489" i="12"/>
  <c r="E489" i="12"/>
  <c r="D489" i="12"/>
  <c r="C489" i="12"/>
  <c r="B489" i="12"/>
  <c r="A489" i="12"/>
  <c r="Q489" i="12"/>
  <c r="P488" i="12"/>
  <c r="M488" i="12"/>
  <c r="L488" i="12"/>
  <c r="K488" i="12"/>
  <c r="J488" i="12"/>
  <c r="I488" i="12"/>
  <c r="R488" i="12"/>
  <c r="H488" i="12"/>
  <c r="G488" i="12"/>
  <c r="F488" i="12"/>
  <c r="E488" i="12"/>
  <c r="D488" i="12"/>
  <c r="C488" i="12"/>
  <c r="B488" i="12"/>
  <c r="A488" i="12"/>
  <c r="Q488" i="12"/>
  <c r="P487" i="12"/>
  <c r="M487" i="12"/>
  <c r="L487" i="12"/>
  <c r="K487" i="12"/>
  <c r="J487" i="12"/>
  <c r="I487" i="12"/>
  <c r="R487" i="12"/>
  <c r="H487" i="12"/>
  <c r="G487" i="12"/>
  <c r="F487" i="12"/>
  <c r="E487" i="12"/>
  <c r="D487" i="12"/>
  <c r="C487" i="12"/>
  <c r="B487" i="12"/>
  <c r="A487" i="12"/>
  <c r="Q487" i="12"/>
  <c r="P486" i="12"/>
  <c r="M486" i="12"/>
  <c r="L486" i="12"/>
  <c r="K486" i="12"/>
  <c r="J486" i="12"/>
  <c r="I486" i="12"/>
  <c r="R486" i="12"/>
  <c r="H486" i="12"/>
  <c r="G486" i="12"/>
  <c r="F486" i="12"/>
  <c r="E486" i="12"/>
  <c r="D486" i="12"/>
  <c r="C486" i="12"/>
  <c r="B486" i="12"/>
  <c r="A486" i="12"/>
  <c r="Q486" i="12"/>
  <c r="P485" i="12"/>
  <c r="M485" i="12"/>
  <c r="L485" i="12"/>
  <c r="K485" i="12"/>
  <c r="J485" i="12"/>
  <c r="I485" i="12"/>
  <c r="R485" i="12"/>
  <c r="H485" i="12"/>
  <c r="G485" i="12"/>
  <c r="F485" i="12"/>
  <c r="E485" i="12"/>
  <c r="D485" i="12"/>
  <c r="C485" i="12"/>
  <c r="B485" i="12"/>
  <c r="A485" i="12"/>
  <c r="Q485" i="12"/>
  <c r="P484" i="12"/>
  <c r="M484" i="12"/>
  <c r="L484" i="12"/>
  <c r="K484" i="12"/>
  <c r="J484" i="12"/>
  <c r="I484" i="12"/>
  <c r="R484" i="12"/>
  <c r="H484" i="12"/>
  <c r="G484" i="12"/>
  <c r="F484" i="12"/>
  <c r="E484" i="12"/>
  <c r="D484" i="12"/>
  <c r="C484" i="12"/>
  <c r="B484" i="12"/>
  <c r="A484" i="12"/>
  <c r="Q484" i="12"/>
  <c r="P483" i="12"/>
  <c r="M483" i="12"/>
  <c r="L483" i="12"/>
  <c r="K483" i="12"/>
  <c r="J483" i="12"/>
  <c r="I483" i="12"/>
  <c r="R483" i="12"/>
  <c r="H483" i="12"/>
  <c r="G483" i="12"/>
  <c r="F483" i="12"/>
  <c r="E483" i="12"/>
  <c r="D483" i="12"/>
  <c r="C483" i="12"/>
  <c r="B483" i="12"/>
  <c r="A483" i="12"/>
  <c r="Q483" i="12"/>
  <c r="P482" i="12"/>
  <c r="M482" i="12"/>
  <c r="L482" i="12"/>
  <c r="K482" i="12"/>
  <c r="J482" i="12"/>
  <c r="I482" i="12"/>
  <c r="R482" i="12"/>
  <c r="H482" i="12"/>
  <c r="G482" i="12"/>
  <c r="F482" i="12"/>
  <c r="E482" i="12"/>
  <c r="D482" i="12"/>
  <c r="C482" i="12"/>
  <c r="B482" i="12"/>
  <c r="A482" i="12"/>
  <c r="Q482" i="12"/>
  <c r="P481" i="12"/>
  <c r="M481" i="12"/>
  <c r="L481" i="12"/>
  <c r="K481" i="12"/>
  <c r="J481" i="12"/>
  <c r="I481" i="12"/>
  <c r="R481" i="12"/>
  <c r="H481" i="12"/>
  <c r="G481" i="12"/>
  <c r="F481" i="12"/>
  <c r="E481" i="12"/>
  <c r="D481" i="12"/>
  <c r="C481" i="12"/>
  <c r="B481" i="12"/>
  <c r="A481" i="12"/>
  <c r="Q481" i="12"/>
  <c r="P480" i="12"/>
  <c r="M480" i="12"/>
  <c r="L480" i="12"/>
  <c r="K480" i="12"/>
  <c r="J480" i="12"/>
  <c r="I480" i="12"/>
  <c r="R480" i="12"/>
  <c r="H480" i="12"/>
  <c r="G480" i="12"/>
  <c r="F480" i="12"/>
  <c r="E480" i="12"/>
  <c r="D480" i="12"/>
  <c r="C480" i="12"/>
  <c r="B480" i="12"/>
  <c r="A480" i="12"/>
  <c r="Q480" i="12"/>
  <c r="P479" i="12"/>
  <c r="M479" i="12"/>
  <c r="L479" i="12"/>
  <c r="K479" i="12"/>
  <c r="J479" i="12"/>
  <c r="I479" i="12"/>
  <c r="R479" i="12"/>
  <c r="H479" i="12"/>
  <c r="G479" i="12"/>
  <c r="F479" i="12"/>
  <c r="E479" i="12"/>
  <c r="D479" i="12"/>
  <c r="C479" i="12"/>
  <c r="B479" i="12"/>
  <c r="A479" i="12"/>
  <c r="Q479" i="12"/>
  <c r="P478" i="12"/>
  <c r="M478" i="12"/>
  <c r="L478" i="12"/>
  <c r="K478" i="12"/>
  <c r="J478" i="12"/>
  <c r="I478" i="12"/>
  <c r="R478" i="12"/>
  <c r="H478" i="12"/>
  <c r="G478" i="12"/>
  <c r="F478" i="12"/>
  <c r="E478" i="12"/>
  <c r="D478" i="12"/>
  <c r="C478" i="12"/>
  <c r="B478" i="12"/>
  <c r="A478" i="12"/>
  <c r="Q478" i="12"/>
  <c r="P477" i="12"/>
  <c r="M477" i="12"/>
  <c r="L477" i="12"/>
  <c r="K477" i="12"/>
  <c r="J477" i="12"/>
  <c r="I477" i="12"/>
  <c r="R477" i="12"/>
  <c r="H477" i="12"/>
  <c r="G477" i="12"/>
  <c r="F477" i="12"/>
  <c r="E477" i="12"/>
  <c r="D477" i="12"/>
  <c r="C477" i="12"/>
  <c r="B477" i="12"/>
  <c r="A477" i="12"/>
  <c r="Q477" i="12"/>
  <c r="P476" i="12"/>
  <c r="M476" i="12"/>
  <c r="L476" i="12"/>
  <c r="K476" i="12"/>
  <c r="J476" i="12"/>
  <c r="I476" i="12"/>
  <c r="R476" i="12"/>
  <c r="H476" i="12"/>
  <c r="G476" i="12"/>
  <c r="F476" i="12"/>
  <c r="E476" i="12"/>
  <c r="D476" i="12"/>
  <c r="C476" i="12"/>
  <c r="B476" i="12"/>
  <c r="A476" i="12"/>
  <c r="Q476" i="12"/>
  <c r="P475" i="12"/>
  <c r="M475" i="12"/>
  <c r="L475" i="12"/>
  <c r="K475" i="12"/>
  <c r="J475" i="12"/>
  <c r="I475" i="12"/>
  <c r="R475" i="12"/>
  <c r="H475" i="12"/>
  <c r="G475" i="12"/>
  <c r="F475" i="12"/>
  <c r="E475" i="12"/>
  <c r="D475" i="12"/>
  <c r="C475" i="12"/>
  <c r="B475" i="12"/>
  <c r="A475" i="12"/>
  <c r="Q475" i="12"/>
  <c r="P474" i="12"/>
  <c r="M474" i="12"/>
  <c r="L474" i="12"/>
  <c r="K474" i="12"/>
  <c r="J474" i="12"/>
  <c r="I474" i="12"/>
  <c r="R474" i="12"/>
  <c r="H474" i="12"/>
  <c r="G474" i="12"/>
  <c r="F474" i="12"/>
  <c r="E474" i="12"/>
  <c r="D474" i="12"/>
  <c r="C474" i="12"/>
  <c r="B474" i="12"/>
  <c r="A474" i="12"/>
  <c r="Q474" i="12"/>
  <c r="P473" i="12"/>
  <c r="M473" i="12"/>
  <c r="L473" i="12"/>
  <c r="K473" i="12"/>
  <c r="J473" i="12"/>
  <c r="I473" i="12"/>
  <c r="R473" i="12"/>
  <c r="H473" i="12"/>
  <c r="G473" i="12"/>
  <c r="F473" i="12"/>
  <c r="E473" i="12"/>
  <c r="D473" i="12"/>
  <c r="C473" i="12"/>
  <c r="B473" i="12"/>
  <c r="A473" i="12"/>
  <c r="Q473" i="12"/>
  <c r="P472" i="12"/>
  <c r="M472" i="12"/>
  <c r="L472" i="12"/>
  <c r="K472" i="12"/>
  <c r="J472" i="12"/>
  <c r="I472" i="12"/>
  <c r="R472" i="12"/>
  <c r="H472" i="12"/>
  <c r="G472" i="12"/>
  <c r="F472" i="12"/>
  <c r="E472" i="12"/>
  <c r="D472" i="12"/>
  <c r="C472" i="12"/>
  <c r="B472" i="12"/>
  <c r="A472" i="12"/>
  <c r="Q472" i="12"/>
  <c r="P471" i="12"/>
  <c r="M471" i="12"/>
  <c r="L471" i="12"/>
  <c r="K471" i="12"/>
  <c r="J471" i="12"/>
  <c r="I471" i="12"/>
  <c r="R471" i="12"/>
  <c r="H471" i="12"/>
  <c r="G471" i="12"/>
  <c r="F471" i="12"/>
  <c r="E471" i="12"/>
  <c r="D471" i="12"/>
  <c r="C471" i="12"/>
  <c r="B471" i="12"/>
  <c r="A471" i="12"/>
  <c r="Q471" i="12"/>
  <c r="P470" i="12"/>
  <c r="M470" i="12"/>
  <c r="L470" i="12"/>
  <c r="K470" i="12"/>
  <c r="J470" i="12"/>
  <c r="I470" i="12"/>
  <c r="R470" i="12"/>
  <c r="H470" i="12"/>
  <c r="G470" i="12"/>
  <c r="F470" i="12"/>
  <c r="E470" i="12"/>
  <c r="D470" i="12"/>
  <c r="C470" i="12"/>
  <c r="B470" i="12"/>
  <c r="A470" i="12"/>
  <c r="Q470" i="12"/>
  <c r="P469" i="12"/>
  <c r="M469" i="12"/>
  <c r="L469" i="12"/>
  <c r="K469" i="12"/>
  <c r="J469" i="12"/>
  <c r="I469" i="12"/>
  <c r="R469" i="12"/>
  <c r="H469" i="12"/>
  <c r="G469" i="12"/>
  <c r="F469" i="12"/>
  <c r="E469" i="12"/>
  <c r="D469" i="12"/>
  <c r="C469" i="12"/>
  <c r="B469" i="12"/>
  <c r="A469" i="12"/>
  <c r="Q469" i="12"/>
  <c r="P468" i="12"/>
  <c r="M468" i="12"/>
  <c r="L468" i="12"/>
  <c r="K468" i="12"/>
  <c r="J468" i="12"/>
  <c r="I468" i="12"/>
  <c r="R468" i="12"/>
  <c r="H468" i="12"/>
  <c r="G468" i="12"/>
  <c r="F468" i="12"/>
  <c r="E468" i="12"/>
  <c r="D468" i="12"/>
  <c r="C468" i="12"/>
  <c r="B468" i="12"/>
  <c r="A468" i="12"/>
  <c r="Q468" i="12"/>
  <c r="P467" i="12"/>
  <c r="M467" i="12"/>
  <c r="L467" i="12"/>
  <c r="K467" i="12"/>
  <c r="J467" i="12"/>
  <c r="I467" i="12"/>
  <c r="R467" i="12"/>
  <c r="H467" i="12"/>
  <c r="G467" i="12"/>
  <c r="F467" i="12"/>
  <c r="E467" i="12"/>
  <c r="D467" i="12"/>
  <c r="C467" i="12"/>
  <c r="B467" i="12"/>
  <c r="A467" i="12"/>
  <c r="Q467" i="12"/>
  <c r="P466" i="12"/>
  <c r="M466" i="12"/>
  <c r="L466" i="12"/>
  <c r="K466" i="12"/>
  <c r="J466" i="12"/>
  <c r="I466" i="12"/>
  <c r="R466" i="12"/>
  <c r="H466" i="12"/>
  <c r="G466" i="12"/>
  <c r="F466" i="12"/>
  <c r="E466" i="12"/>
  <c r="D466" i="12"/>
  <c r="C466" i="12"/>
  <c r="B466" i="12"/>
  <c r="A466" i="12"/>
  <c r="Q466" i="12"/>
  <c r="P465" i="12"/>
  <c r="M465" i="12"/>
  <c r="L465" i="12"/>
  <c r="K465" i="12"/>
  <c r="J465" i="12"/>
  <c r="I465" i="12"/>
  <c r="R465" i="12"/>
  <c r="H465" i="12"/>
  <c r="G465" i="12"/>
  <c r="F465" i="12"/>
  <c r="E465" i="12"/>
  <c r="D465" i="12"/>
  <c r="C465" i="12"/>
  <c r="B465" i="12"/>
  <c r="A465" i="12"/>
  <c r="Q465" i="12"/>
  <c r="P464" i="12"/>
  <c r="M464" i="12"/>
  <c r="L464" i="12"/>
  <c r="K464" i="12"/>
  <c r="J464" i="12"/>
  <c r="I464" i="12"/>
  <c r="R464" i="12"/>
  <c r="H464" i="12"/>
  <c r="G464" i="12"/>
  <c r="F464" i="12"/>
  <c r="E464" i="12"/>
  <c r="D464" i="12"/>
  <c r="C464" i="12"/>
  <c r="B464" i="12"/>
  <c r="A464" i="12"/>
  <c r="Q464" i="12"/>
  <c r="P463" i="12"/>
  <c r="M463" i="12"/>
  <c r="L463" i="12"/>
  <c r="K463" i="12"/>
  <c r="J463" i="12"/>
  <c r="I463" i="12"/>
  <c r="R463" i="12"/>
  <c r="H463" i="12"/>
  <c r="G463" i="12"/>
  <c r="F463" i="12"/>
  <c r="E463" i="12"/>
  <c r="D463" i="12"/>
  <c r="C463" i="12"/>
  <c r="B463" i="12"/>
  <c r="A463" i="12"/>
  <c r="Q463" i="12"/>
  <c r="P462" i="12"/>
  <c r="M462" i="12"/>
  <c r="L462" i="12"/>
  <c r="K462" i="12"/>
  <c r="J462" i="12"/>
  <c r="I462" i="12"/>
  <c r="R462" i="12"/>
  <c r="H462" i="12"/>
  <c r="G462" i="12"/>
  <c r="F462" i="12"/>
  <c r="E462" i="12"/>
  <c r="D462" i="12"/>
  <c r="C462" i="12"/>
  <c r="B462" i="12"/>
  <c r="A462" i="12"/>
  <c r="Q462" i="12"/>
  <c r="P461" i="12"/>
  <c r="M461" i="12"/>
  <c r="L461" i="12"/>
  <c r="K461" i="12"/>
  <c r="J461" i="12"/>
  <c r="I461" i="12"/>
  <c r="R461" i="12"/>
  <c r="H461" i="12"/>
  <c r="G461" i="12"/>
  <c r="F461" i="12"/>
  <c r="E461" i="12"/>
  <c r="D461" i="12"/>
  <c r="C461" i="12"/>
  <c r="B461" i="12"/>
  <c r="A461" i="12"/>
  <c r="Q461" i="12"/>
  <c r="P460" i="12"/>
  <c r="M460" i="12"/>
  <c r="L460" i="12"/>
  <c r="K460" i="12"/>
  <c r="J460" i="12"/>
  <c r="I460" i="12"/>
  <c r="R460" i="12"/>
  <c r="H460" i="12"/>
  <c r="G460" i="12"/>
  <c r="F460" i="12"/>
  <c r="E460" i="12"/>
  <c r="D460" i="12"/>
  <c r="C460" i="12"/>
  <c r="B460" i="12"/>
  <c r="A460" i="12"/>
  <c r="Q460" i="12"/>
  <c r="P459" i="12"/>
  <c r="M459" i="12"/>
  <c r="L459" i="12"/>
  <c r="K459" i="12"/>
  <c r="J459" i="12"/>
  <c r="I459" i="12"/>
  <c r="R459" i="12"/>
  <c r="H459" i="12"/>
  <c r="G459" i="12"/>
  <c r="F459" i="12"/>
  <c r="E459" i="12"/>
  <c r="D459" i="12"/>
  <c r="C459" i="12"/>
  <c r="B459" i="12"/>
  <c r="A459" i="12"/>
  <c r="Q459" i="12"/>
  <c r="P458" i="12"/>
  <c r="M458" i="12"/>
  <c r="L458" i="12"/>
  <c r="K458" i="12"/>
  <c r="J458" i="12"/>
  <c r="I458" i="12"/>
  <c r="R458" i="12"/>
  <c r="H458" i="12"/>
  <c r="G458" i="12"/>
  <c r="F458" i="12"/>
  <c r="E458" i="12"/>
  <c r="D458" i="12"/>
  <c r="C458" i="12"/>
  <c r="B458" i="12"/>
  <c r="A458" i="12"/>
  <c r="Q458" i="12"/>
  <c r="P457" i="12"/>
  <c r="M457" i="12"/>
  <c r="L457" i="12"/>
  <c r="K457" i="12"/>
  <c r="J457" i="12"/>
  <c r="I457" i="12"/>
  <c r="R457" i="12"/>
  <c r="H457" i="12"/>
  <c r="G457" i="12"/>
  <c r="F457" i="12"/>
  <c r="E457" i="12"/>
  <c r="D457" i="12"/>
  <c r="C457" i="12"/>
  <c r="B457" i="12"/>
  <c r="A457" i="12"/>
  <c r="Q457" i="12"/>
  <c r="P456" i="12"/>
  <c r="M456" i="12"/>
  <c r="L456" i="12"/>
  <c r="K456" i="12"/>
  <c r="J456" i="12"/>
  <c r="I456" i="12"/>
  <c r="R456" i="12"/>
  <c r="H456" i="12"/>
  <c r="G456" i="12"/>
  <c r="F456" i="12"/>
  <c r="E456" i="12"/>
  <c r="D456" i="12"/>
  <c r="C456" i="12"/>
  <c r="B456" i="12"/>
  <c r="A456" i="12"/>
  <c r="Q456" i="12"/>
  <c r="P455" i="12"/>
  <c r="M455" i="12"/>
  <c r="L455" i="12"/>
  <c r="K455" i="12"/>
  <c r="J455" i="12"/>
  <c r="I455" i="12"/>
  <c r="R455" i="12"/>
  <c r="H455" i="12"/>
  <c r="G455" i="12"/>
  <c r="F455" i="12"/>
  <c r="E455" i="12"/>
  <c r="D455" i="12"/>
  <c r="C455" i="12"/>
  <c r="B455" i="12"/>
  <c r="A455" i="12"/>
  <c r="Q455" i="12"/>
  <c r="P454" i="12"/>
  <c r="M454" i="12"/>
  <c r="L454" i="12"/>
  <c r="K454" i="12"/>
  <c r="J454" i="12"/>
  <c r="I454" i="12"/>
  <c r="R454" i="12"/>
  <c r="H454" i="12"/>
  <c r="G454" i="12"/>
  <c r="F454" i="12"/>
  <c r="E454" i="12"/>
  <c r="D454" i="12"/>
  <c r="C454" i="12"/>
  <c r="B454" i="12"/>
  <c r="A454" i="12"/>
  <c r="Q454" i="12"/>
  <c r="P453" i="12"/>
  <c r="M453" i="12"/>
  <c r="L453" i="12"/>
  <c r="K453" i="12"/>
  <c r="J453" i="12"/>
  <c r="I453" i="12"/>
  <c r="R453" i="12"/>
  <c r="H453" i="12"/>
  <c r="G453" i="12"/>
  <c r="F453" i="12"/>
  <c r="E453" i="12"/>
  <c r="D453" i="12"/>
  <c r="C453" i="12"/>
  <c r="B453" i="12"/>
  <c r="A453" i="12"/>
  <c r="Q453" i="12"/>
  <c r="P452" i="12"/>
  <c r="M452" i="12"/>
  <c r="L452" i="12"/>
  <c r="K452" i="12"/>
  <c r="J452" i="12"/>
  <c r="I452" i="12"/>
  <c r="R452" i="12"/>
  <c r="H452" i="12"/>
  <c r="G452" i="12"/>
  <c r="F452" i="12"/>
  <c r="E452" i="12"/>
  <c r="D452" i="12"/>
  <c r="C452" i="12"/>
  <c r="B452" i="12"/>
  <c r="A452" i="12"/>
  <c r="Q452" i="12"/>
  <c r="P451" i="12"/>
  <c r="M451" i="12"/>
  <c r="L451" i="12"/>
  <c r="K451" i="12"/>
  <c r="J451" i="12"/>
  <c r="I451" i="12"/>
  <c r="R451" i="12"/>
  <c r="H451" i="12"/>
  <c r="G451" i="12"/>
  <c r="F451" i="12"/>
  <c r="E451" i="12"/>
  <c r="D451" i="12"/>
  <c r="C451" i="12"/>
  <c r="B451" i="12"/>
  <c r="A451" i="12"/>
  <c r="Q451" i="12"/>
  <c r="P450" i="12"/>
  <c r="M450" i="12"/>
  <c r="L450" i="12"/>
  <c r="K450" i="12"/>
  <c r="J450" i="12"/>
  <c r="I450" i="12"/>
  <c r="R450" i="12"/>
  <c r="H450" i="12"/>
  <c r="G450" i="12"/>
  <c r="F450" i="12"/>
  <c r="E450" i="12"/>
  <c r="D450" i="12"/>
  <c r="C450" i="12"/>
  <c r="B450" i="12"/>
  <c r="A450" i="12"/>
  <c r="Q450" i="12"/>
  <c r="P449" i="12"/>
  <c r="M449" i="12"/>
  <c r="L449" i="12"/>
  <c r="K449" i="12"/>
  <c r="J449" i="12"/>
  <c r="I449" i="12"/>
  <c r="R449" i="12"/>
  <c r="H449" i="12"/>
  <c r="G449" i="12"/>
  <c r="F449" i="12"/>
  <c r="E449" i="12"/>
  <c r="D449" i="12"/>
  <c r="C449" i="12"/>
  <c r="B449" i="12"/>
  <c r="A449" i="12"/>
  <c r="Q449" i="12"/>
  <c r="P448" i="12"/>
  <c r="M448" i="12"/>
  <c r="L448" i="12"/>
  <c r="K448" i="12"/>
  <c r="J448" i="12"/>
  <c r="I448" i="12"/>
  <c r="R448" i="12"/>
  <c r="H448" i="12"/>
  <c r="G448" i="12"/>
  <c r="F448" i="12"/>
  <c r="E448" i="12"/>
  <c r="D448" i="12"/>
  <c r="C448" i="12"/>
  <c r="B448" i="12"/>
  <c r="A448" i="12"/>
  <c r="Q448" i="12"/>
  <c r="P447" i="12"/>
  <c r="M447" i="12"/>
  <c r="L447" i="12"/>
  <c r="K447" i="12"/>
  <c r="J447" i="12"/>
  <c r="I447" i="12"/>
  <c r="R447" i="12"/>
  <c r="H447" i="12"/>
  <c r="G447" i="12"/>
  <c r="F447" i="12"/>
  <c r="E447" i="12"/>
  <c r="D447" i="12"/>
  <c r="C447" i="12"/>
  <c r="B447" i="12"/>
  <c r="A447" i="12"/>
  <c r="Q447" i="12"/>
  <c r="P446" i="12"/>
  <c r="M446" i="12"/>
  <c r="L446" i="12"/>
  <c r="K446" i="12"/>
  <c r="J446" i="12"/>
  <c r="I446" i="12"/>
  <c r="R446" i="12"/>
  <c r="H446" i="12"/>
  <c r="G446" i="12"/>
  <c r="F446" i="12"/>
  <c r="E446" i="12"/>
  <c r="D446" i="12"/>
  <c r="C446" i="12"/>
  <c r="B446" i="12"/>
  <c r="A446" i="12"/>
  <c r="Q446" i="12"/>
  <c r="P445" i="12"/>
  <c r="M445" i="12"/>
  <c r="L445" i="12"/>
  <c r="K445" i="12"/>
  <c r="J445" i="12"/>
  <c r="I445" i="12"/>
  <c r="R445" i="12"/>
  <c r="H445" i="12"/>
  <c r="G445" i="12"/>
  <c r="F445" i="12"/>
  <c r="E445" i="12"/>
  <c r="D445" i="12"/>
  <c r="C445" i="12"/>
  <c r="B445" i="12"/>
  <c r="A445" i="12"/>
  <c r="Q445" i="12"/>
  <c r="P444" i="12"/>
  <c r="M444" i="12"/>
  <c r="L444" i="12"/>
  <c r="K444" i="12"/>
  <c r="J444" i="12"/>
  <c r="I444" i="12"/>
  <c r="R444" i="12"/>
  <c r="H444" i="12"/>
  <c r="G444" i="12"/>
  <c r="F444" i="12"/>
  <c r="E444" i="12"/>
  <c r="D444" i="12"/>
  <c r="C444" i="12"/>
  <c r="B444" i="12"/>
  <c r="A444" i="12"/>
  <c r="Q444" i="12"/>
  <c r="P443" i="12"/>
  <c r="M443" i="12"/>
  <c r="L443" i="12"/>
  <c r="K443" i="12"/>
  <c r="J443" i="12"/>
  <c r="I443" i="12"/>
  <c r="R443" i="12"/>
  <c r="H443" i="12"/>
  <c r="G443" i="12"/>
  <c r="F443" i="12"/>
  <c r="E443" i="12"/>
  <c r="D443" i="12"/>
  <c r="C443" i="12"/>
  <c r="B443" i="12"/>
  <c r="A443" i="12"/>
  <c r="Q443" i="12"/>
  <c r="P442" i="12"/>
  <c r="M442" i="12"/>
  <c r="L442" i="12"/>
  <c r="K442" i="12"/>
  <c r="J442" i="12"/>
  <c r="I442" i="12"/>
  <c r="R442" i="12"/>
  <c r="H442" i="12"/>
  <c r="G442" i="12"/>
  <c r="F442" i="12"/>
  <c r="E442" i="12"/>
  <c r="D442" i="12"/>
  <c r="C442" i="12"/>
  <c r="B442" i="12"/>
  <c r="A442" i="12"/>
  <c r="Q442" i="12"/>
  <c r="P441" i="12"/>
  <c r="M441" i="12"/>
  <c r="L441" i="12"/>
  <c r="K441" i="12"/>
  <c r="J441" i="12"/>
  <c r="I441" i="12"/>
  <c r="R441" i="12"/>
  <c r="H441" i="12"/>
  <c r="G441" i="12"/>
  <c r="F441" i="12"/>
  <c r="E441" i="12"/>
  <c r="D441" i="12"/>
  <c r="C441" i="12"/>
  <c r="B441" i="12"/>
  <c r="A441" i="12"/>
  <c r="Q441" i="12"/>
  <c r="P440" i="12"/>
  <c r="M440" i="12"/>
  <c r="L440" i="12"/>
  <c r="K440" i="12"/>
  <c r="J440" i="12"/>
  <c r="I440" i="12"/>
  <c r="R440" i="12"/>
  <c r="H440" i="12"/>
  <c r="G440" i="12"/>
  <c r="F440" i="12"/>
  <c r="E440" i="12"/>
  <c r="D440" i="12"/>
  <c r="C440" i="12"/>
  <c r="B440" i="12"/>
  <c r="A440" i="12"/>
  <c r="Q440" i="12"/>
  <c r="P439" i="12"/>
  <c r="M439" i="12"/>
  <c r="L439" i="12"/>
  <c r="K439" i="12"/>
  <c r="J439" i="12"/>
  <c r="I439" i="12"/>
  <c r="R439" i="12"/>
  <c r="H439" i="12"/>
  <c r="G439" i="12"/>
  <c r="F439" i="12"/>
  <c r="E439" i="12"/>
  <c r="D439" i="12"/>
  <c r="C439" i="12"/>
  <c r="B439" i="12"/>
  <c r="A439" i="12"/>
  <c r="Q439" i="12"/>
  <c r="P438" i="12"/>
  <c r="M438" i="12"/>
  <c r="L438" i="12"/>
  <c r="K438" i="12"/>
  <c r="J438" i="12"/>
  <c r="I438" i="12"/>
  <c r="R438" i="12"/>
  <c r="H438" i="12"/>
  <c r="G438" i="12"/>
  <c r="F438" i="12"/>
  <c r="E438" i="12"/>
  <c r="D438" i="12"/>
  <c r="C438" i="12"/>
  <c r="B438" i="12"/>
  <c r="A438" i="12"/>
  <c r="Q438" i="12"/>
  <c r="P437" i="12"/>
  <c r="M437" i="12"/>
  <c r="L437" i="12"/>
  <c r="K437" i="12"/>
  <c r="J437" i="12"/>
  <c r="I437" i="12"/>
  <c r="R437" i="12"/>
  <c r="H437" i="12"/>
  <c r="G437" i="12"/>
  <c r="F437" i="12"/>
  <c r="E437" i="12"/>
  <c r="D437" i="12"/>
  <c r="C437" i="12"/>
  <c r="B437" i="12"/>
  <c r="A437" i="12"/>
  <c r="Q437" i="12"/>
  <c r="P436" i="12"/>
  <c r="M436" i="12"/>
  <c r="L436" i="12"/>
  <c r="K436" i="12"/>
  <c r="J436" i="12"/>
  <c r="I436" i="12"/>
  <c r="R436" i="12"/>
  <c r="H436" i="12"/>
  <c r="G436" i="12"/>
  <c r="F436" i="12"/>
  <c r="E436" i="12"/>
  <c r="D436" i="12"/>
  <c r="C436" i="12"/>
  <c r="B436" i="12"/>
  <c r="A436" i="12"/>
  <c r="Q436" i="12"/>
  <c r="P435" i="12"/>
  <c r="M435" i="12"/>
  <c r="L435" i="12"/>
  <c r="K435" i="12"/>
  <c r="J435" i="12"/>
  <c r="I435" i="12"/>
  <c r="R435" i="12"/>
  <c r="H435" i="12"/>
  <c r="G435" i="12"/>
  <c r="F435" i="12"/>
  <c r="E435" i="12"/>
  <c r="D435" i="12"/>
  <c r="C435" i="12"/>
  <c r="B435" i="12"/>
  <c r="A435" i="12"/>
  <c r="Q435" i="12"/>
  <c r="P434" i="12"/>
  <c r="M434" i="12"/>
  <c r="L434" i="12"/>
  <c r="K434" i="12"/>
  <c r="J434" i="12"/>
  <c r="I434" i="12"/>
  <c r="R434" i="12"/>
  <c r="H434" i="12"/>
  <c r="G434" i="12"/>
  <c r="F434" i="12"/>
  <c r="E434" i="12"/>
  <c r="D434" i="12"/>
  <c r="C434" i="12"/>
  <c r="B434" i="12"/>
  <c r="A434" i="12"/>
  <c r="Q434" i="12"/>
  <c r="P433" i="12"/>
  <c r="M433" i="12"/>
  <c r="L433" i="12"/>
  <c r="K433" i="12"/>
  <c r="J433" i="12"/>
  <c r="I433" i="12"/>
  <c r="R433" i="12"/>
  <c r="H433" i="12"/>
  <c r="G433" i="12"/>
  <c r="F433" i="12"/>
  <c r="E433" i="12"/>
  <c r="D433" i="12"/>
  <c r="C433" i="12"/>
  <c r="B433" i="12"/>
  <c r="A433" i="12"/>
  <c r="Q433" i="12"/>
  <c r="P432" i="12"/>
  <c r="M432" i="12"/>
  <c r="L432" i="12"/>
  <c r="K432" i="12"/>
  <c r="J432" i="12"/>
  <c r="I432" i="12"/>
  <c r="R432" i="12"/>
  <c r="H432" i="12"/>
  <c r="G432" i="12"/>
  <c r="F432" i="12"/>
  <c r="E432" i="12"/>
  <c r="D432" i="12"/>
  <c r="C432" i="12"/>
  <c r="B432" i="12"/>
  <c r="A432" i="12"/>
  <c r="Q432" i="12"/>
  <c r="P431" i="12"/>
  <c r="M431" i="12"/>
  <c r="L431" i="12"/>
  <c r="K431" i="12"/>
  <c r="J431" i="12"/>
  <c r="I431" i="12"/>
  <c r="R431" i="12"/>
  <c r="H431" i="12"/>
  <c r="G431" i="12"/>
  <c r="F431" i="12"/>
  <c r="E431" i="12"/>
  <c r="D431" i="12"/>
  <c r="C431" i="12"/>
  <c r="B431" i="12"/>
  <c r="A431" i="12"/>
  <c r="Q431" i="12"/>
  <c r="P430" i="12"/>
  <c r="M430" i="12"/>
  <c r="L430" i="12"/>
  <c r="K430" i="12"/>
  <c r="J430" i="12"/>
  <c r="I430" i="12"/>
  <c r="R430" i="12"/>
  <c r="H430" i="12"/>
  <c r="G430" i="12"/>
  <c r="F430" i="12"/>
  <c r="E430" i="12"/>
  <c r="D430" i="12"/>
  <c r="C430" i="12"/>
  <c r="B430" i="12"/>
  <c r="A430" i="12"/>
  <c r="Q430" i="12"/>
  <c r="P429" i="12"/>
  <c r="M429" i="12"/>
  <c r="L429" i="12"/>
  <c r="K429" i="12"/>
  <c r="J429" i="12"/>
  <c r="I429" i="12"/>
  <c r="R429" i="12"/>
  <c r="H429" i="12"/>
  <c r="G429" i="12"/>
  <c r="F429" i="12"/>
  <c r="E429" i="12"/>
  <c r="D429" i="12"/>
  <c r="C429" i="12"/>
  <c r="B429" i="12"/>
  <c r="A429" i="12"/>
  <c r="Q429" i="12"/>
  <c r="P428" i="12"/>
  <c r="M428" i="12"/>
  <c r="L428" i="12"/>
  <c r="K428" i="12"/>
  <c r="J428" i="12"/>
  <c r="I428" i="12"/>
  <c r="R428" i="12"/>
  <c r="H428" i="12"/>
  <c r="G428" i="12"/>
  <c r="F428" i="12"/>
  <c r="E428" i="12"/>
  <c r="D428" i="12"/>
  <c r="C428" i="12"/>
  <c r="B428" i="12"/>
  <c r="A428" i="12"/>
  <c r="Q428" i="12"/>
  <c r="P427" i="12"/>
  <c r="M427" i="12"/>
  <c r="L427" i="12"/>
  <c r="K427" i="12"/>
  <c r="J427" i="12"/>
  <c r="I427" i="12"/>
  <c r="R427" i="12"/>
  <c r="H427" i="12"/>
  <c r="G427" i="12"/>
  <c r="F427" i="12"/>
  <c r="E427" i="12"/>
  <c r="D427" i="12"/>
  <c r="C427" i="12"/>
  <c r="B427" i="12"/>
  <c r="A427" i="12"/>
  <c r="Q427" i="12"/>
  <c r="P426" i="12"/>
  <c r="M426" i="12"/>
  <c r="L426" i="12"/>
  <c r="K426" i="12"/>
  <c r="J426" i="12"/>
  <c r="I426" i="12"/>
  <c r="R426" i="12"/>
  <c r="H426" i="12"/>
  <c r="G426" i="12"/>
  <c r="F426" i="12"/>
  <c r="E426" i="12"/>
  <c r="D426" i="12"/>
  <c r="C426" i="12"/>
  <c r="B426" i="12"/>
  <c r="A426" i="12"/>
  <c r="Q426" i="12"/>
  <c r="P425" i="12"/>
  <c r="M425" i="12"/>
  <c r="L425" i="12"/>
  <c r="K425" i="12"/>
  <c r="J425" i="12"/>
  <c r="I425" i="12"/>
  <c r="R425" i="12"/>
  <c r="H425" i="12"/>
  <c r="G425" i="12"/>
  <c r="F425" i="12"/>
  <c r="E425" i="12"/>
  <c r="D425" i="12"/>
  <c r="C425" i="12"/>
  <c r="B425" i="12"/>
  <c r="A425" i="12"/>
  <c r="Q425" i="12"/>
  <c r="P424" i="12"/>
  <c r="M424" i="12"/>
  <c r="L424" i="12"/>
  <c r="K424" i="12"/>
  <c r="J424" i="12"/>
  <c r="I424" i="12"/>
  <c r="R424" i="12"/>
  <c r="H424" i="12"/>
  <c r="G424" i="12"/>
  <c r="F424" i="12"/>
  <c r="E424" i="12"/>
  <c r="D424" i="12"/>
  <c r="C424" i="12"/>
  <c r="B424" i="12"/>
  <c r="A424" i="12"/>
  <c r="Q424" i="12"/>
  <c r="P423" i="12"/>
  <c r="M423" i="12"/>
  <c r="L423" i="12"/>
  <c r="K423" i="12"/>
  <c r="J423" i="12"/>
  <c r="I423" i="12"/>
  <c r="R423" i="12"/>
  <c r="H423" i="12"/>
  <c r="G423" i="12"/>
  <c r="F423" i="12"/>
  <c r="E423" i="12"/>
  <c r="D423" i="12"/>
  <c r="C423" i="12"/>
  <c r="B423" i="12"/>
  <c r="A423" i="12"/>
  <c r="Q423" i="12"/>
  <c r="P422" i="12"/>
  <c r="M422" i="12"/>
  <c r="L422" i="12"/>
  <c r="K422" i="12"/>
  <c r="J422" i="12"/>
  <c r="I422" i="12"/>
  <c r="R422" i="12"/>
  <c r="H422" i="12"/>
  <c r="G422" i="12"/>
  <c r="F422" i="12"/>
  <c r="E422" i="12"/>
  <c r="D422" i="12"/>
  <c r="C422" i="12"/>
  <c r="B422" i="12"/>
  <c r="A422" i="12"/>
  <c r="Q422" i="12"/>
  <c r="P421" i="12"/>
  <c r="M421" i="12"/>
  <c r="L421" i="12"/>
  <c r="K421" i="12"/>
  <c r="J421" i="12"/>
  <c r="I421" i="12"/>
  <c r="R421" i="12"/>
  <c r="H421" i="12"/>
  <c r="G421" i="12"/>
  <c r="F421" i="12"/>
  <c r="E421" i="12"/>
  <c r="D421" i="12"/>
  <c r="C421" i="12"/>
  <c r="B421" i="12"/>
  <c r="A421" i="12"/>
  <c r="Q421" i="12"/>
  <c r="P420" i="12"/>
  <c r="M420" i="12"/>
  <c r="L420" i="12"/>
  <c r="K420" i="12"/>
  <c r="J420" i="12"/>
  <c r="I420" i="12"/>
  <c r="R420" i="12"/>
  <c r="H420" i="12"/>
  <c r="G420" i="12"/>
  <c r="F420" i="12"/>
  <c r="E420" i="12"/>
  <c r="D420" i="12"/>
  <c r="C420" i="12"/>
  <c r="B420" i="12"/>
  <c r="A420" i="12"/>
  <c r="Q420" i="12"/>
  <c r="P419" i="12"/>
  <c r="M419" i="12"/>
  <c r="L419" i="12"/>
  <c r="K419" i="12"/>
  <c r="J419" i="12"/>
  <c r="I419" i="12"/>
  <c r="R419" i="12"/>
  <c r="H419" i="12"/>
  <c r="G419" i="12"/>
  <c r="F419" i="12"/>
  <c r="E419" i="12"/>
  <c r="D419" i="12"/>
  <c r="C419" i="12"/>
  <c r="B419" i="12"/>
  <c r="A419" i="12"/>
  <c r="Q419" i="12"/>
  <c r="P418" i="12"/>
  <c r="M418" i="12"/>
  <c r="L418" i="12"/>
  <c r="K418" i="12"/>
  <c r="J418" i="12"/>
  <c r="I418" i="12"/>
  <c r="R418" i="12"/>
  <c r="H418" i="12"/>
  <c r="G418" i="12"/>
  <c r="F418" i="12"/>
  <c r="E418" i="12"/>
  <c r="D418" i="12"/>
  <c r="C418" i="12"/>
  <c r="B418" i="12"/>
  <c r="A418" i="12"/>
  <c r="Q418" i="12"/>
  <c r="P417" i="12"/>
  <c r="M417" i="12"/>
  <c r="L417" i="12"/>
  <c r="K417" i="12"/>
  <c r="J417" i="12"/>
  <c r="I417" i="12"/>
  <c r="R417" i="12"/>
  <c r="H417" i="12"/>
  <c r="G417" i="12"/>
  <c r="F417" i="12"/>
  <c r="E417" i="12"/>
  <c r="D417" i="12"/>
  <c r="C417" i="12"/>
  <c r="B417" i="12"/>
  <c r="A417" i="12"/>
  <c r="Q417" i="12"/>
  <c r="P416" i="12"/>
  <c r="M416" i="12"/>
  <c r="L416" i="12"/>
  <c r="K416" i="12"/>
  <c r="J416" i="12"/>
  <c r="I416" i="12"/>
  <c r="R416" i="12"/>
  <c r="H416" i="12"/>
  <c r="G416" i="12"/>
  <c r="F416" i="12"/>
  <c r="E416" i="12"/>
  <c r="D416" i="12"/>
  <c r="C416" i="12"/>
  <c r="B416" i="12"/>
  <c r="A416" i="12"/>
  <c r="Q416" i="12"/>
  <c r="P415" i="12"/>
  <c r="M415" i="12"/>
  <c r="L415" i="12"/>
  <c r="K415" i="12"/>
  <c r="J415" i="12"/>
  <c r="I415" i="12"/>
  <c r="R415" i="12"/>
  <c r="H415" i="12"/>
  <c r="G415" i="12"/>
  <c r="F415" i="12"/>
  <c r="E415" i="12"/>
  <c r="D415" i="12"/>
  <c r="C415" i="12"/>
  <c r="B415" i="12"/>
  <c r="A415" i="12"/>
  <c r="Q415" i="12"/>
  <c r="P414" i="12"/>
  <c r="M414" i="12"/>
  <c r="L414" i="12"/>
  <c r="K414" i="12"/>
  <c r="J414" i="12"/>
  <c r="I414" i="12"/>
  <c r="R414" i="12"/>
  <c r="H414" i="12"/>
  <c r="G414" i="12"/>
  <c r="F414" i="12"/>
  <c r="E414" i="12"/>
  <c r="D414" i="12"/>
  <c r="C414" i="12"/>
  <c r="B414" i="12"/>
  <c r="A414" i="12"/>
  <c r="Q414" i="12"/>
  <c r="P413" i="12"/>
  <c r="M413" i="12"/>
  <c r="L413" i="12"/>
  <c r="K413" i="12"/>
  <c r="J413" i="12"/>
  <c r="I413" i="12"/>
  <c r="R413" i="12"/>
  <c r="H413" i="12"/>
  <c r="G413" i="12"/>
  <c r="F413" i="12"/>
  <c r="E413" i="12"/>
  <c r="D413" i="12"/>
  <c r="C413" i="12"/>
  <c r="B413" i="12"/>
  <c r="A413" i="12"/>
  <c r="Q413" i="12"/>
  <c r="P412" i="12"/>
  <c r="M412" i="12"/>
  <c r="L412" i="12"/>
  <c r="K412" i="12"/>
  <c r="J412" i="12"/>
  <c r="I412" i="12"/>
  <c r="R412" i="12"/>
  <c r="H412" i="12"/>
  <c r="G412" i="12"/>
  <c r="F412" i="12"/>
  <c r="E412" i="12"/>
  <c r="D412" i="12"/>
  <c r="C412" i="12"/>
  <c r="B412" i="12"/>
  <c r="A412" i="12"/>
  <c r="Q412" i="12"/>
  <c r="P411" i="12"/>
  <c r="M411" i="12"/>
  <c r="L411" i="12"/>
  <c r="K411" i="12"/>
  <c r="J411" i="12"/>
  <c r="I411" i="12"/>
  <c r="R411" i="12"/>
  <c r="H411" i="12"/>
  <c r="G411" i="12"/>
  <c r="F411" i="12"/>
  <c r="E411" i="12"/>
  <c r="D411" i="12"/>
  <c r="C411" i="12"/>
  <c r="B411" i="12"/>
  <c r="A411" i="12"/>
  <c r="Q411" i="12"/>
  <c r="P410" i="12"/>
  <c r="M410" i="12"/>
  <c r="L410" i="12"/>
  <c r="K410" i="12"/>
  <c r="J410" i="12"/>
  <c r="I410" i="12"/>
  <c r="R410" i="12"/>
  <c r="H410" i="12"/>
  <c r="G410" i="12"/>
  <c r="F410" i="12"/>
  <c r="E410" i="12"/>
  <c r="D410" i="12"/>
  <c r="C410" i="12"/>
  <c r="B410" i="12"/>
  <c r="A410" i="12"/>
  <c r="Q410" i="12"/>
  <c r="P409" i="12"/>
  <c r="M409" i="12"/>
  <c r="L409" i="12"/>
  <c r="K409" i="12"/>
  <c r="J409" i="12"/>
  <c r="I409" i="12"/>
  <c r="R409" i="12"/>
  <c r="H409" i="12"/>
  <c r="G409" i="12"/>
  <c r="F409" i="12"/>
  <c r="E409" i="12"/>
  <c r="D409" i="12"/>
  <c r="C409" i="12"/>
  <c r="B409" i="12"/>
  <c r="A409" i="12"/>
  <c r="Q409" i="12"/>
  <c r="P408" i="12"/>
  <c r="M408" i="12"/>
  <c r="L408" i="12"/>
  <c r="K408" i="12"/>
  <c r="J408" i="12"/>
  <c r="I408" i="12"/>
  <c r="R408" i="12"/>
  <c r="H408" i="12"/>
  <c r="G408" i="12"/>
  <c r="F408" i="12"/>
  <c r="E408" i="12"/>
  <c r="D408" i="12"/>
  <c r="C408" i="12"/>
  <c r="B408" i="12"/>
  <c r="A408" i="12"/>
  <c r="Q408" i="12"/>
  <c r="P407" i="12"/>
  <c r="M407" i="12"/>
  <c r="L407" i="12"/>
  <c r="K407" i="12"/>
  <c r="J407" i="12"/>
  <c r="I407" i="12"/>
  <c r="R407" i="12"/>
  <c r="H407" i="12"/>
  <c r="G407" i="12"/>
  <c r="F407" i="12"/>
  <c r="E407" i="12"/>
  <c r="D407" i="12"/>
  <c r="C407" i="12"/>
  <c r="B407" i="12"/>
  <c r="A407" i="12"/>
  <c r="Q407" i="12"/>
  <c r="P406" i="12"/>
  <c r="M406" i="12"/>
  <c r="L406" i="12"/>
  <c r="K406" i="12"/>
  <c r="J406" i="12"/>
  <c r="I406" i="12"/>
  <c r="R406" i="12"/>
  <c r="H406" i="12"/>
  <c r="G406" i="12"/>
  <c r="F406" i="12"/>
  <c r="E406" i="12"/>
  <c r="D406" i="12"/>
  <c r="C406" i="12"/>
  <c r="B406" i="12"/>
  <c r="A406" i="12"/>
  <c r="Q406" i="12"/>
  <c r="P405" i="12"/>
  <c r="M405" i="12"/>
  <c r="L405" i="12"/>
  <c r="K405" i="12"/>
  <c r="J405" i="12"/>
  <c r="I405" i="12"/>
  <c r="R405" i="12"/>
  <c r="H405" i="12"/>
  <c r="G405" i="12"/>
  <c r="F405" i="12"/>
  <c r="E405" i="12"/>
  <c r="D405" i="12"/>
  <c r="C405" i="12"/>
  <c r="B405" i="12"/>
  <c r="A405" i="12"/>
  <c r="Q405" i="12"/>
  <c r="P404" i="12"/>
  <c r="M404" i="12"/>
  <c r="L404" i="12"/>
  <c r="K404" i="12"/>
  <c r="J404" i="12"/>
  <c r="I404" i="12"/>
  <c r="R404" i="12"/>
  <c r="H404" i="12"/>
  <c r="G404" i="12"/>
  <c r="F404" i="12"/>
  <c r="E404" i="12"/>
  <c r="D404" i="12"/>
  <c r="C404" i="12"/>
  <c r="B404" i="12"/>
  <c r="A404" i="12"/>
  <c r="Q404" i="12"/>
  <c r="P403" i="12"/>
  <c r="M403" i="12"/>
  <c r="L403" i="12"/>
  <c r="K403" i="12"/>
  <c r="J403" i="12"/>
  <c r="I403" i="12"/>
  <c r="R403" i="12"/>
  <c r="H403" i="12"/>
  <c r="G403" i="12"/>
  <c r="F403" i="12"/>
  <c r="E403" i="12"/>
  <c r="D403" i="12"/>
  <c r="C403" i="12"/>
  <c r="B403" i="12"/>
  <c r="A403" i="12"/>
  <c r="Q403" i="12"/>
  <c r="P402" i="12"/>
  <c r="M402" i="12"/>
  <c r="L402" i="12"/>
  <c r="K402" i="12"/>
  <c r="J402" i="12"/>
  <c r="I402" i="12"/>
  <c r="R402" i="12"/>
  <c r="H402" i="12"/>
  <c r="G402" i="12"/>
  <c r="F402" i="12"/>
  <c r="E402" i="12"/>
  <c r="D402" i="12"/>
  <c r="C402" i="12"/>
  <c r="B402" i="12"/>
  <c r="A402" i="12"/>
  <c r="Q402" i="12"/>
  <c r="P401" i="12"/>
  <c r="M401" i="12"/>
  <c r="L401" i="12"/>
  <c r="K401" i="12"/>
  <c r="J401" i="12"/>
  <c r="I401" i="12"/>
  <c r="R401" i="12"/>
  <c r="H401" i="12"/>
  <c r="G401" i="12"/>
  <c r="F401" i="12"/>
  <c r="E401" i="12"/>
  <c r="D401" i="12"/>
  <c r="C401" i="12"/>
  <c r="B401" i="12"/>
  <c r="A401" i="12"/>
  <c r="Q401" i="12"/>
  <c r="P400" i="12"/>
  <c r="M400" i="12"/>
  <c r="L400" i="12"/>
  <c r="K400" i="12"/>
  <c r="J400" i="12"/>
  <c r="I400" i="12"/>
  <c r="R400" i="12"/>
  <c r="H400" i="12"/>
  <c r="G400" i="12"/>
  <c r="F400" i="12"/>
  <c r="E400" i="12"/>
  <c r="D400" i="12"/>
  <c r="C400" i="12"/>
  <c r="B400" i="12"/>
  <c r="A400" i="12"/>
  <c r="Q400" i="12"/>
  <c r="P399" i="12"/>
  <c r="M399" i="12"/>
  <c r="L399" i="12"/>
  <c r="K399" i="12"/>
  <c r="J399" i="12"/>
  <c r="I399" i="12"/>
  <c r="R399" i="12"/>
  <c r="H399" i="12"/>
  <c r="G399" i="12"/>
  <c r="F399" i="12"/>
  <c r="E399" i="12"/>
  <c r="D399" i="12"/>
  <c r="C399" i="12"/>
  <c r="B399" i="12"/>
  <c r="A399" i="12"/>
  <c r="Q399" i="12"/>
  <c r="P398" i="12"/>
  <c r="M398" i="12"/>
  <c r="L398" i="12"/>
  <c r="K398" i="12"/>
  <c r="J398" i="12"/>
  <c r="I398" i="12"/>
  <c r="R398" i="12"/>
  <c r="H398" i="12"/>
  <c r="G398" i="12"/>
  <c r="F398" i="12"/>
  <c r="E398" i="12"/>
  <c r="D398" i="12"/>
  <c r="C398" i="12"/>
  <c r="B398" i="12"/>
  <c r="A398" i="12"/>
  <c r="Q398" i="12"/>
  <c r="P397" i="12"/>
  <c r="M397" i="12"/>
  <c r="L397" i="12"/>
  <c r="K397" i="12"/>
  <c r="J397" i="12"/>
  <c r="I397" i="12"/>
  <c r="R397" i="12"/>
  <c r="H397" i="12"/>
  <c r="G397" i="12"/>
  <c r="F397" i="12"/>
  <c r="E397" i="12"/>
  <c r="D397" i="12"/>
  <c r="C397" i="12"/>
  <c r="B397" i="12"/>
  <c r="A397" i="12"/>
  <c r="Q397" i="12"/>
  <c r="P396" i="12"/>
  <c r="M396" i="12"/>
  <c r="L396" i="12"/>
  <c r="K396" i="12"/>
  <c r="J396" i="12"/>
  <c r="I396" i="12"/>
  <c r="R396" i="12"/>
  <c r="H396" i="12"/>
  <c r="G396" i="12"/>
  <c r="F396" i="12"/>
  <c r="E396" i="12"/>
  <c r="D396" i="12"/>
  <c r="C396" i="12"/>
  <c r="B396" i="12"/>
  <c r="A396" i="12"/>
  <c r="Q396" i="12"/>
  <c r="P395" i="12"/>
  <c r="M395" i="12"/>
  <c r="L395" i="12"/>
  <c r="K395" i="12"/>
  <c r="J395" i="12"/>
  <c r="I395" i="12"/>
  <c r="R395" i="12"/>
  <c r="H395" i="12"/>
  <c r="G395" i="12"/>
  <c r="F395" i="12"/>
  <c r="E395" i="12"/>
  <c r="D395" i="12"/>
  <c r="C395" i="12"/>
  <c r="B395" i="12"/>
  <c r="A395" i="12"/>
  <c r="Q395" i="12"/>
  <c r="P394" i="12"/>
  <c r="M394" i="12"/>
  <c r="L394" i="12"/>
  <c r="K394" i="12"/>
  <c r="J394" i="12"/>
  <c r="I394" i="12"/>
  <c r="R394" i="12"/>
  <c r="H394" i="12"/>
  <c r="G394" i="12"/>
  <c r="F394" i="12"/>
  <c r="E394" i="12"/>
  <c r="D394" i="12"/>
  <c r="C394" i="12"/>
  <c r="B394" i="12"/>
  <c r="A394" i="12"/>
  <c r="Q394" i="12"/>
  <c r="P393" i="12"/>
  <c r="M393" i="12"/>
  <c r="L393" i="12"/>
  <c r="K393" i="12"/>
  <c r="J393" i="12"/>
  <c r="I393" i="12"/>
  <c r="R393" i="12"/>
  <c r="H393" i="12"/>
  <c r="G393" i="12"/>
  <c r="F393" i="12"/>
  <c r="E393" i="12"/>
  <c r="D393" i="12"/>
  <c r="C393" i="12"/>
  <c r="B393" i="12"/>
  <c r="A393" i="12"/>
  <c r="Q393" i="12"/>
  <c r="P392" i="12"/>
  <c r="M392" i="12"/>
  <c r="L392" i="12"/>
  <c r="K392" i="12"/>
  <c r="J392" i="12"/>
  <c r="I392" i="12"/>
  <c r="R392" i="12"/>
  <c r="H392" i="12"/>
  <c r="G392" i="12"/>
  <c r="F392" i="12"/>
  <c r="E392" i="12"/>
  <c r="D392" i="12"/>
  <c r="C392" i="12"/>
  <c r="B392" i="12"/>
  <c r="A392" i="12"/>
  <c r="Q392" i="12"/>
  <c r="P391" i="12"/>
  <c r="M391" i="12"/>
  <c r="L391" i="12"/>
  <c r="K391" i="12"/>
  <c r="J391" i="12"/>
  <c r="I391" i="12"/>
  <c r="R391" i="12"/>
  <c r="H391" i="12"/>
  <c r="G391" i="12"/>
  <c r="F391" i="12"/>
  <c r="E391" i="12"/>
  <c r="D391" i="12"/>
  <c r="C391" i="12"/>
  <c r="B391" i="12"/>
  <c r="A391" i="12"/>
  <c r="Q391" i="12"/>
  <c r="P390" i="12"/>
  <c r="M390" i="12"/>
  <c r="L390" i="12"/>
  <c r="K390" i="12"/>
  <c r="J390" i="12"/>
  <c r="I390" i="12"/>
  <c r="R390" i="12"/>
  <c r="H390" i="12"/>
  <c r="G390" i="12"/>
  <c r="F390" i="12"/>
  <c r="E390" i="12"/>
  <c r="D390" i="12"/>
  <c r="C390" i="12"/>
  <c r="B390" i="12"/>
  <c r="A390" i="12"/>
  <c r="Q390" i="12"/>
  <c r="P389" i="12"/>
  <c r="M389" i="12"/>
  <c r="L389" i="12"/>
  <c r="K389" i="12"/>
  <c r="J389" i="12"/>
  <c r="I389" i="12"/>
  <c r="R389" i="12"/>
  <c r="H389" i="12"/>
  <c r="G389" i="12"/>
  <c r="F389" i="12"/>
  <c r="E389" i="12"/>
  <c r="D389" i="12"/>
  <c r="C389" i="12"/>
  <c r="B389" i="12"/>
  <c r="A389" i="12"/>
  <c r="Q389" i="12"/>
  <c r="P388" i="12"/>
  <c r="M388" i="12"/>
  <c r="L388" i="12"/>
  <c r="K388" i="12"/>
  <c r="J388" i="12"/>
  <c r="I388" i="12"/>
  <c r="R388" i="12"/>
  <c r="H388" i="12"/>
  <c r="G388" i="12"/>
  <c r="F388" i="12"/>
  <c r="E388" i="12"/>
  <c r="D388" i="12"/>
  <c r="C388" i="12"/>
  <c r="B388" i="12"/>
  <c r="A388" i="12"/>
  <c r="Q388" i="12"/>
  <c r="P387" i="12"/>
  <c r="M387" i="12"/>
  <c r="L387" i="12"/>
  <c r="K387" i="12"/>
  <c r="J387" i="12"/>
  <c r="I387" i="12"/>
  <c r="R387" i="12"/>
  <c r="H387" i="12"/>
  <c r="G387" i="12"/>
  <c r="F387" i="12"/>
  <c r="E387" i="12"/>
  <c r="D387" i="12"/>
  <c r="C387" i="12"/>
  <c r="B387" i="12"/>
  <c r="A387" i="12"/>
  <c r="Q387" i="12"/>
  <c r="P386" i="12"/>
  <c r="M386" i="12"/>
  <c r="L386" i="12"/>
  <c r="K386" i="12"/>
  <c r="J386" i="12"/>
  <c r="I386" i="12"/>
  <c r="R386" i="12"/>
  <c r="H386" i="12"/>
  <c r="G386" i="12"/>
  <c r="F386" i="12"/>
  <c r="E386" i="12"/>
  <c r="D386" i="12"/>
  <c r="C386" i="12"/>
  <c r="B386" i="12"/>
  <c r="A386" i="12"/>
  <c r="Q386" i="12"/>
  <c r="P385" i="12"/>
  <c r="M385" i="12"/>
  <c r="L385" i="12"/>
  <c r="K385" i="12"/>
  <c r="J385" i="12"/>
  <c r="I385" i="12"/>
  <c r="R385" i="12"/>
  <c r="H385" i="12"/>
  <c r="G385" i="12"/>
  <c r="F385" i="12"/>
  <c r="E385" i="12"/>
  <c r="D385" i="12"/>
  <c r="C385" i="12"/>
  <c r="B385" i="12"/>
  <c r="A385" i="12"/>
  <c r="Q385" i="12"/>
  <c r="P384" i="12"/>
  <c r="M384" i="12"/>
  <c r="L384" i="12"/>
  <c r="K384" i="12"/>
  <c r="J384" i="12"/>
  <c r="I384" i="12"/>
  <c r="R384" i="12"/>
  <c r="H384" i="12"/>
  <c r="G384" i="12"/>
  <c r="F384" i="12"/>
  <c r="E384" i="12"/>
  <c r="D384" i="12"/>
  <c r="C384" i="12"/>
  <c r="B384" i="12"/>
  <c r="A384" i="12"/>
  <c r="Q384" i="12"/>
  <c r="P383" i="12"/>
  <c r="M383" i="12"/>
  <c r="L383" i="12"/>
  <c r="K383" i="12"/>
  <c r="J383" i="12"/>
  <c r="I383" i="12"/>
  <c r="R383" i="12"/>
  <c r="H383" i="12"/>
  <c r="G383" i="12"/>
  <c r="F383" i="12"/>
  <c r="E383" i="12"/>
  <c r="D383" i="12"/>
  <c r="C383" i="12"/>
  <c r="B383" i="12"/>
  <c r="A383" i="12"/>
  <c r="Q383" i="12"/>
  <c r="P382" i="12"/>
  <c r="M382" i="12"/>
  <c r="L382" i="12"/>
  <c r="K382" i="12"/>
  <c r="J382" i="12"/>
  <c r="I382" i="12"/>
  <c r="R382" i="12"/>
  <c r="H382" i="12"/>
  <c r="G382" i="12"/>
  <c r="F382" i="12"/>
  <c r="E382" i="12"/>
  <c r="D382" i="12"/>
  <c r="C382" i="12"/>
  <c r="B382" i="12"/>
  <c r="A382" i="12"/>
  <c r="Q382" i="12"/>
  <c r="P381" i="12"/>
  <c r="M381" i="12"/>
  <c r="L381" i="12"/>
  <c r="K381" i="12"/>
  <c r="J381" i="12"/>
  <c r="I381" i="12"/>
  <c r="R381" i="12"/>
  <c r="H381" i="12"/>
  <c r="G381" i="12"/>
  <c r="F381" i="12"/>
  <c r="E381" i="12"/>
  <c r="D381" i="12"/>
  <c r="C381" i="12"/>
  <c r="B381" i="12"/>
  <c r="A381" i="12"/>
  <c r="Q381" i="12"/>
  <c r="P380" i="12"/>
  <c r="M380" i="12"/>
  <c r="L380" i="12"/>
  <c r="K380" i="12"/>
  <c r="J380" i="12"/>
  <c r="I380" i="12"/>
  <c r="R380" i="12"/>
  <c r="H380" i="12"/>
  <c r="G380" i="12"/>
  <c r="F380" i="12"/>
  <c r="E380" i="12"/>
  <c r="D380" i="12"/>
  <c r="C380" i="12"/>
  <c r="B380" i="12"/>
  <c r="A380" i="12"/>
  <c r="Q380" i="12"/>
  <c r="P379" i="12"/>
  <c r="M379" i="12"/>
  <c r="L379" i="12"/>
  <c r="K379" i="12"/>
  <c r="J379" i="12"/>
  <c r="I379" i="12"/>
  <c r="R379" i="12"/>
  <c r="H379" i="12"/>
  <c r="G379" i="12"/>
  <c r="F379" i="12"/>
  <c r="E379" i="12"/>
  <c r="D379" i="12"/>
  <c r="C379" i="12"/>
  <c r="B379" i="12"/>
  <c r="A379" i="12"/>
  <c r="Q379" i="12"/>
  <c r="P378" i="12"/>
  <c r="M378" i="12"/>
  <c r="L378" i="12"/>
  <c r="K378" i="12"/>
  <c r="J378" i="12"/>
  <c r="I378" i="12"/>
  <c r="R378" i="12"/>
  <c r="H378" i="12"/>
  <c r="G378" i="12"/>
  <c r="F378" i="12"/>
  <c r="E378" i="12"/>
  <c r="D378" i="12"/>
  <c r="C378" i="12"/>
  <c r="B378" i="12"/>
  <c r="A378" i="12"/>
  <c r="Q378" i="12"/>
  <c r="P377" i="12"/>
  <c r="M377" i="12"/>
  <c r="L377" i="12"/>
  <c r="K377" i="12"/>
  <c r="J377" i="12"/>
  <c r="I377" i="12"/>
  <c r="R377" i="12"/>
  <c r="H377" i="12"/>
  <c r="G377" i="12"/>
  <c r="F377" i="12"/>
  <c r="E377" i="12"/>
  <c r="D377" i="12"/>
  <c r="C377" i="12"/>
  <c r="B377" i="12"/>
  <c r="A377" i="12"/>
  <c r="Q377" i="12"/>
  <c r="P376" i="12"/>
  <c r="M376" i="12"/>
  <c r="L376" i="12"/>
  <c r="K376" i="12"/>
  <c r="J376" i="12"/>
  <c r="I376" i="12"/>
  <c r="R376" i="12"/>
  <c r="H376" i="12"/>
  <c r="G376" i="12"/>
  <c r="F376" i="12"/>
  <c r="E376" i="12"/>
  <c r="D376" i="12"/>
  <c r="C376" i="12"/>
  <c r="B376" i="12"/>
  <c r="A376" i="12"/>
  <c r="Q376" i="12"/>
  <c r="P375" i="12"/>
  <c r="M375" i="12"/>
  <c r="L375" i="12"/>
  <c r="K375" i="12"/>
  <c r="J375" i="12"/>
  <c r="I375" i="12"/>
  <c r="R375" i="12"/>
  <c r="H375" i="12"/>
  <c r="G375" i="12"/>
  <c r="F375" i="12"/>
  <c r="E375" i="12"/>
  <c r="D375" i="12"/>
  <c r="C375" i="12"/>
  <c r="B375" i="12"/>
  <c r="A375" i="12"/>
  <c r="Q375" i="12"/>
  <c r="P374" i="12"/>
  <c r="M374" i="12"/>
  <c r="L374" i="12"/>
  <c r="K374" i="12"/>
  <c r="J374" i="12"/>
  <c r="I374" i="12"/>
  <c r="R374" i="12"/>
  <c r="H374" i="12"/>
  <c r="G374" i="12"/>
  <c r="F374" i="12"/>
  <c r="E374" i="12"/>
  <c r="D374" i="12"/>
  <c r="C374" i="12"/>
  <c r="B374" i="12"/>
  <c r="A374" i="12"/>
  <c r="Q374" i="12"/>
  <c r="P373" i="12"/>
  <c r="M373" i="12"/>
  <c r="L373" i="12"/>
  <c r="K373" i="12"/>
  <c r="J373" i="12"/>
  <c r="I373" i="12"/>
  <c r="R373" i="12"/>
  <c r="H373" i="12"/>
  <c r="G373" i="12"/>
  <c r="F373" i="12"/>
  <c r="E373" i="12"/>
  <c r="D373" i="12"/>
  <c r="C373" i="12"/>
  <c r="B373" i="12"/>
  <c r="A373" i="12"/>
  <c r="Q373" i="12"/>
  <c r="P372" i="12"/>
  <c r="M372" i="12"/>
  <c r="L372" i="12"/>
  <c r="K372" i="12"/>
  <c r="J372" i="12"/>
  <c r="I372" i="12"/>
  <c r="R372" i="12"/>
  <c r="H372" i="12"/>
  <c r="G372" i="12"/>
  <c r="F372" i="12"/>
  <c r="E372" i="12"/>
  <c r="D372" i="12"/>
  <c r="C372" i="12"/>
  <c r="B372" i="12"/>
  <c r="A372" i="12"/>
  <c r="Q372" i="12"/>
  <c r="P371" i="12"/>
  <c r="M371" i="12"/>
  <c r="L371" i="12"/>
  <c r="K371" i="12"/>
  <c r="J371" i="12"/>
  <c r="I371" i="12"/>
  <c r="R371" i="12"/>
  <c r="H371" i="12"/>
  <c r="G371" i="12"/>
  <c r="F371" i="12"/>
  <c r="E371" i="12"/>
  <c r="D371" i="12"/>
  <c r="C371" i="12"/>
  <c r="B371" i="12"/>
  <c r="A371" i="12"/>
  <c r="Q371" i="12"/>
  <c r="P370" i="12"/>
  <c r="M370" i="12"/>
  <c r="L370" i="12"/>
  <c r="K370" i="12"/>
  <c r="J370" i="12"/>
  <c r="I370" i="12"/>
  <c r="R370" i="12"/>
  <c r="H370" i="12"/>
  <c r="G370" i="12"/>
  <c r="F370" i="12"/>
  <c r="E370" i="12"/>
  <c r="D370" i="12"/>
  <c r="C370" i="12"/>
  <c r="B370" i="12"/>
  <c r="A370" i="12"/>
  <c r="Q370" i="12"/>
  <c r="P369" i="12"/>
  <c r="M369" i="12"/>
  <c r="L369" i="12"/>
  <c r="K369" i="12"/>
  <c r="J369" i="12"/>
  <c r="I369" i="12"/>
  <c r="R369" i="12"/>
  <c r="H369" i="12"/>
  <c r="G369" i="12"/>
  <c r="F369" i="12"/>
  <c r="E369" i="12"/>
  <c r="D369" i="12"/>
  <c r="C369" i="12"/>
  <c r="B369" i="12"/>
  <c r="A369" i="12"/>
  <c r="Q369" i="12"/>
  <c r="P368" i="12"/>
  <c r="M368" i="12"/>
  <c r="L368" i="12"/>
  <c r="K368" i="12"/>
  <c r="J368" i="12"/>
  <c r="I368" i="12"/>
  <c r="R368" i="12"/>
  <c r="H368" i="12"/>
  <c r="G368" i="12"/>
  <c r="F368" i="12"/>
  <c r="E368" i="12"/>
  <c r="D368" i="12"/>
  <c r="C368" i="12"/>
  <c r="B368" i="12"/>
  <c r="A368" i="12"/>
  <c r="Q368" i="12"/>
  <c r="P367" i="12"/>
  <c r="M367" i="12"/>
  <c r="L367" i="12"/>
  <c r="K367" i="12"/>
  <c r="J367" i="12"/>
  <c r="I367" i="12"/>
  <c r="R367" i="12"/>
  <c r="H367" i="12"/>
  <c r="G367" i="12"/>
  <c r="F367" i="12"/>
  <c r="E367" i="12"/>
  <c r="D367" i="12"/>
  <c r="C367" i="12"/>
  <c r="B367" i="12"/>
  <c r="A367" i="12"/>
  <c r="Q367" i="12"/>
  <c r="P366" i="12"/>
  <c r="M366" i="12"/>
  <c r="L366" i="12"/>
  <c r="K366" i="12"/>
  <c r="J366" i="12"/>
  <c r="I366" i="12"/>
  <c r="R366" i="12"/>
  <c r="H366" i="12"/>
  <c r="G366" i="12"/>
  <c r="F366" i="12"/>
  <c r="E366" i="12"/>
  <c r="D366" i="12"/>
  <c r="C366" i="12"/>
  <c r="B366" i="12"/>
  <c r="A366" i="12"/>
  <c r="Q366" i="12"/>
  <c r="P365" i="12"/>
  <c r="M365" i="12"/>
  <c r="L365" i="12"/>
  <c r="K365" i="12"/>
  <c r="J365" i="12"/>
  <c r="I365" i="12"/>
  <c r="R365" i="12"/>
  <c r="H365" i="12"/>
  <c r="G365" i="12"/>
  <c r="F365" i="12"/>
  <c r="E365" i="12"/>
  <c r="D365" i="12"/>
  <c r="C365" i="12"/>
  <c r="B365" i="12"/>
  <c r="A365" i="12"/>
  <c r="Q365" i="12"/>
  <c r="P364" i="12"/>
  <c r="M364" i="12"/>
  <c r="L364" i="12"/>
  <c r="K364" i="12"/>
  <c r="J364" i="12"/>
  <c r="I364" i="12"/>
  <c r="R364" i="12"/>
  <c r="H364" i="12"/>
  <c r="G364" i="12"/>
  <c r="F364" i="12"/>
  <c r="E364" i="12"/>
  <c r="D364" i="12"/>
  <c r="C364" i="12"/>
  <c r="B364" i="12"/>
  <c r="A364" i="12"/>
  <c r="Q364" i="12"/>
  <c r="P363" i="12"/>
  <c r="M363" i="12"/>
  <c r="L363" i="12"/>
  <c r="K363" i="12"/>
  <c r="J363" i="12"/>
  <c r="I363" i="12"/>
  <c r="R363" i="12"/>
  <c r="H363" i="12"/>
  <c r="G363" i="12"/>
  <c r="F363" i="12"/>
  <c r="E363" i="12"/>
  <c r="D363" i="12"/>
  <c r="C363" i="12"/>
  <c r="B363" i="12"/>
  <c r="A363" i="12"/>
  <c r="Q363" i="12"/>
  <c r="P362" i="12"/>
  <c r="M362" i="12"/>
  <c r="L362" i="12"/>
  <c r="K362" i="12"/>
  <c r="J362" i="12"/>
  <c r="I362" i="12"/>
  <c r="R362" i="12"/>
  <c r="H362" i="12"/>
  <c r="G362" i="12"/>
  <c r="F362" i="12"/>
  <c r="E362" i="12"/>
  <c r="D362" i="12"/>
  <c r="C362" i="12"/>
  <c r="B362" i="12"/>
  <c r="A362" i="12"/>
  <c r="Q362" i="12"/>
  <c r="P361" i="12"/>
  <c r="M361" i="12"/>
  <c r="L361" i="12"/>
  <c r="K361" i="12"/>
  <c r="J361" i="12"/>
  <c r="I361" i="12"/>
  <c r="R361" i="12"/>
  <c r="H361" i="12"/>
  <c r="G361" i="12"/>
  <c r="F361" i="12"/>
  <c r="E361" i="12"/>
  <c r="D361" i="12"/>
  <c r="C361" i="12"/>
  <c r="B361" i="12"/>
  <c r="A361" i="12"/>
  <c r="Q361" i="12"/>
  <c r="P360" i="12"/>
  <c r="M360" i="12"/>
  <c r="L360" i="12"/>
  <c r="K360" i="12"/>
  <c r="J360" i="12"/>
  <c r="I360" i="12"/>
  <c r="R360" i="12"/>
  <c r="H360" i="12"/>
  <c r="G360" i="12"/>
  <c r="F360" i="12"/>
  <c r="E360" i="12"/>
  <c r="D360" i="12"/>
  <c r="C360" i="12"/>
  <c r="B360" i="12"/>
  <c r="A360" i="12"/>
  <c r="Q360" i="12"/>
  <c r="P359" i="12"/>
  <c r="M359" i="12"/>
  <c r="L359" i="12"/>
  <c r="K359" i="12"/>
  <c r="J359" i="12"/>
  <c r="I359" i="12"/>
  <c r="R359" i="12"/>
  <c r="H359" i="12"/>
  <c r="G359" i="12"/>
  <c r="F359" i="12"/>
  <c r="E359" i="12"/>
  <c r="D359" i="12"/>
  <c r="C359" i="12"/>
  <c r="B359" i="12"/>
  <c r="A359" i="12"/>
  <c r="Q359" i="12"/>
  <c r="P358" i="12"/>
  <c r="M358" i="12"/>
  <c r="L358" i="12"/>
  <c r="K358" i="12"/>
  <c r="J358" i="12"/>
  <c r="I358" i="12"/>
  <c r="R358" i="12"/>
  <c r="H358" i="12"/>
  <c r="G358" i="12"/>
  <c r="F358" i="12"/>
  <c r="E358" i="12"/>
  <c r="D358" i="12"/>
  <c r="C358" i="12"/>
  <c r="B358" i="12"/>
  <c r="A358" i="12"/>
  <c r="Q358" i="12"/>
  <c r="P357" i="12"/>
  <c r="M357" i="12"/>
  <c r="L357" i="12"/>
  <c r="K357" i="12"/>
  <c r="J357" i="12"/>
  <c r="I357" i="12"/>
  <c r="R357" i="12"/>
  <c r="H357" i="12"/>
  <c r="G357" i="12"/>
  <c r="F357" i="12"/>
  <c r="E357" i="12"/>
  <c r="D357" i="12"/>
  <c r="C357" i="12"/>
  <c r="B357" i="12"/>
  <c r="A357" i="12"/>
  <c r="Q357" i="12"/>
  <c r="P356" i="12"/>
  <c r="M356" i="12"/>
  <c r="L356" i="12"/>
  <c r="K356" i="12"/>
  <c r="J356" i="12"/>
  <c r="I356" i="12"/>
  <c r="R356" i="12"/>
  <c r="H356" i="12"/>
  <c r="G356" i="12"/>
  <c r="F356" i="12"/>
  <c r="E356" i="12"/>
  <c r="D356" i="12"/>
  <c r="C356" i="12"/>
  <c r="B356" i="12"/>
  <c r="A356" i="12"/>
  <c r="Q356" i="12"/>
  <c r="P355" i="12"/>
  <c r="M355" i="12"/>
  <c r="L355" i="12"/>
  <c r="K355" i="12"/>
  <c r="J355" i="12"/>
  <c r="I355" i="12"/>
  <c r="R355" i="12"/>
  <c r="H355" i="12"/>
  <c r="G355" i="12"/>
  <c r="F355" i="12"/>
  <c r="E355" i="12"/>
  <c r="D355" i="12"/>
  <c r="C355" i="12"/>
  <c r="B355" i="12"/>
  <c r="A355" i="12"/>
  <c r="Q355" i="12"/>
  <c r="P354" i="12"/>
  <c r="M354" i="12"/>
  <c r="L354" i="12"/>
  <c r="K354" i="12"/>
  <c r="J354" i="12"/>
  <c r="I354" i="12"/>
  <c r="R354" i="12"/>
  <c r="H354" i="12"/>
  <c r="G354" i="12"/>
  <c r="F354" i="12"/>
  <c r="E354" i="12"/>
  <c r="D354" i="12"/>
  <c r="C354" i="12"/>
  <c r="B354" i="12"/>
  <c r="A354" i="12"/>
  <c r="Q354" i="12"/>
  <c r="P353" i="12"/>
  <c r="M353" i="12"/>
  <c r="L353" i="12"/>
  <c r="K353" i="12"/>
  <c r="J353" i="12"/>
  <c r="I353" i="12"/>
  <c r="R353" i="12"/>
  <c r="H353" i="12"/>
  <c r="G353" i="12"/>
  <c r="F353" i="12"/>
  <c r="E353" i="12"/>
  <c r="D353" i="12"/>
  <c r="C353" i="12"/>
  <c r="B353" i="12"/>
  <c r="A353" i="12"/>
  <c r="Q353" i="12"/>
  <c r="P352" i="12"/>
  <c r="M352" i="12"/>
  <c r="L352" i="12"/>
  <c r="K352" i="12"/>
  <c r="J352" i="12"/>
  <c r="I352" i="12"/>
  <c r="R352" i="12"/>
  <c r="H352" i="12"/>
  <c r="G352" i="12"/>
  <c r="F352" i="12"/>
  <c r="E352" i="12"/>
  <c r="D352" i="12"/>
  <c r="C352" i="12"/>
  <c r="B352" i="12"/>
  <c r="A352" i="12"/>
  <c r="Q352" i="12"/>
  <c r="P351" i="12"/>
  <c r="M351" i="12"/>
  <c r="L351" i="12"/>
  <c r="K351" i="12"/>
  <c r="J351" i="12"/>
  <c r="I351" i="12"/>
  <c r="R351" i="12"/>
  <c r="H351" i="12"/>
  <c r="G351" i="12"/>
  <c r="F351" i="12"/>
  <c r="E351" i="12"/>
  <c r="D351" i="12"/>
  <c r="C351" i="12"/>
  <c r="B351" i="12"/>
  <c r="A351" i="12"/>
  <c r="Q351" i="12"/>
  <c r="P350" i="12"/>
  <c r="M350" i="12"/>
  <c r="L350" i="12"/>
  <c r="K350" i="12"/>
  <c r="J350" i="12"/>
  <c r="I350" i="12"/>
  <c r="R350" i="12"/>
  <c r="H350" i="12"/>
  <c r="G350" i="12"/>
  <c r="F350" i="12"/>
  <c r="E350" i="12"/>
  <c r="D350" i="12"/>
  <c r="C350" i="12"/>
  <c r="B350" i="12"/>
  <c r="A350" i="12"/>
  <c r="Q350" i="12"/>
  <c r="P349" i="12"/>
  <c r="M349" i="12"/>
  <c r="L349" i="12"/>
  <c r="K349" i="12"/>
  <c r="J349" i="12"/>
  <c r="I349" i="12"/>
  <c r="R349" i="12"/>
  <c r="H349" i="12"/>
  <c r="G349" i="12"/>
  <c r="F349" i="12"/>
  <c r="E349" i="12"/>
  <c r="D349" i="12"/>
  <c r="C349" i="12"/>
  <c r="B349" i="12"/>
  <c r="A349" i="12"/>
  <c r="Q349" i="12"/>
  <c r="P348" i="12"/>
  <c r="M348" i="12"/>
  <c r="L348" i="12"/>
  <c r="K348" i="12"/>
  <c r="J348" i="12"/>
  <c r="I348" i="12"/>
  <c r="R348" i="12"/>
  <c r="H348" i="12"/>
  <c r="G348" i="12"/>
  <c r="F348" i="12"/>
  <c r="E348" i="12"/>
  <c r="D348" i="12"/>
  <c r="C348" i="12"/>
  <c r="B348" i="12"/>
  <c r="A348" i="12"/>
  <c r="Q348" i="12"/>
  <c r="P347" i="12"/>
  <c r="M347" i="12"/>
  <c r="L347" i="12"/>
  <c r="K347" i="12"/>
  <c r="J347" i="12"/>
  <c r="I347" i="12"/>
  <c r="R347" i="12"/>
  <c r="H347" i="12"/>
  <c r="G347" i="12"/>
  <c r="F347" i="12"/>
  <c r="E347" i="12"/>
  <c r="D347" i="12"/>
  <c r="C347" i="12"/>
  <c r="B347" i="12"/>
  <c r="A347" i="12"/>
  <c r="Q347" i="12"/>
  <c r="P346" i="12"/>
  <c r="M346" i="12"/>
  <c r="L346" i="12"/>
  <c r="K346" i="12"/>
  <c r="J346" i="12"/>
  <c r="I346" i="12"/>
  <c r="R346" i="12"/>
  <c r="H346" i="12"/>
  <c r="G346" i="12"/>
  <c r="F346" i="12"/>
  <c r="E346" i="12"/>
  <c r="D346" i="12"/>
  <c r="C346" i="12"/>
  <c r="B346" i="12"/>
  <c r="A346" i="12"/>
  <c r="Q346" i="12"/>
  <c r="P345" i="12"/>
  <c r="M345" i="12"/>
  <c r="L345" i="12"/>
  <c r="K345" i="12"/>
  <c r="J345" i="12"/>
  <c r="I345" i="12"/>
  <c r="R345" i="12"/>
  <c r="H345" i="12"/>
  <c r="G345" i="12"/>
  <c r="F345" i="12"/>
  <c r="E345" i="12"/>
  <c r="D345" i="12"/>
  <c r="C345" i="12"/>
  <c r="B345" i="12"/>
  <c r="A345" i="12"/>
  <c r="Q345" i="12"/>
  <c r="P344" i="12"/>
  <c r="M344" i="12"/>
  <c r="L344" i="12"/>
  <c r="K344" i="12"/>
  <c r="J344" i="12"/>
  <c r="I344" i="12"/>
  <c r="R344" i="12"/>
  <c r="H344" i="12"/>
  <c r="G344" i="12"/>
  <c r="F344" i="12"/>
  <c r="E344" i="12"/>
  <c r="D344" i="12"/>
  <c r="C344" i="12"/>
  <c r="B344" i="12"/>
  <c r="A344" i="12"/>
  <c r="Q344" i="12"/>
  <c r="P343" i="12"/>
  <c r="M343" i="12"/>
  <c r="L343" i="12"/>
  <c r="K343" i="12"/>
  <c r="J343" i="12"/>
  <c r="I343" i="12"/>
  <c r="R343" i="12"/>
  <c r="H343" i="12"/>
  <c r="G343" i="12"/>
  <c r="F343" i="12"/>
  <c r="E343" i="12"/>
  <c r="D343" i="12"/>
  <c r="C343" i="12"/>
  <c r="B343" i="12"/>
  <c r="A343" i="12"/>
  <c r="Q343" i="12"/>
  <c r="P342" i="12"/>
  <c r="M342" i="12"/>
  <c r="L342" i="12"/>
  <c r="K342" i="12"/>
  <c r="J342" i="12"/>
  <c r="I342" i="12"/>
  <c r="R342" i="12"/>
  <c r="H342" i="12"/>
  <c r="G342" i="12"/>
  <c r="F342" i="12"/>
  <c r="E342" i="12"/>
  <c r="D342" i="12"/>
  <c r="C342" i="12"/>
  <c r="B342" i="12"/>
  <c r="A342" i="12"/>
  <c r="Q342" i="12"/>
  <c r="P341" i="12"/>
  <c r="M341" i="12"/>
  <c r="L341" i="12"/>
  <c r="K341" i="12"/>
  <c r="J341" i="12"/>
  <c r="I341" i="12"/>
  <c r="R341" i="12"/>
  <c r="H341" i="12"/>
  <c r="G341" i="12"/>
  <c r="F341" i="12"/>
  <c r="E341" i="12"/>
  <c r="D341" i="12"/>
  <c r="C341" i="12"/>
  <c r="B341" i="12"/>
  <c r="A341" i="12"/>
  <c r="Q341" i="12"/>
  <c r="P340" i="12"/>
  <c r="M340" i="12"/>
  <c r="L340" i="12"/>
  <c r="K340" i="12"/>
  <c r="J340" i="12"/>
  <c r="I340" i="12"/>
  <c r="R340" i="12"/>
  <c r="H340" i="12"/>
  <c r="G340" i="12"/>
  <c r="F340" i="12"/>
  <c r="E340" i="12"/>
  <c r="D340" i="12"/>
  <c r="C340" i="12"/>
  <c r="B340" i="12"/>
  <c r="A340" i="12"/>
  <c r="Q340" i="12"/>
  <c r="P339" i="12"/>
  <c r="M339" i="12"/>
  <c r="L339" i="12"/>
  <c r="K339" i="12"/>
  <c r="J339" i="12"/>
  <c r="I339" i="12"/>
  <c r="R339" i="12"/>
  <c r="H339" i="12"/>
  <c r="G339" i="12"/>
  <c r="F339" i="12"/>
  <c r="E339" i="12"/>
  <c r="D339" i="12"/>
  <c r="C339" i="12"/>
  <c r="B339" i="12"/>
  <c r="A339" i="12"/>
  <c r="Q339" i="12"/>
  <c r="P338" i="12"/>
  <c r="M338" i="12"/>
  <c r="L338" i="12"/>
  <c r="K338" i="12"/>
  <c r="J338" i="12"/>
  <c r="I338" i="12"/>
  <c r="R338" i="12"/>
  <c r="H338" i="12"/>
  <c r="G338" i="12"/>
  <c r="F338" i="12"/>
  <c r="E338" i="12"/>
  <c r="D338" i="12"/>
  <c r="C338" i="12"/>
  <c r="B338" i="12"/>
  <c r="A338" i="12"/>
  <c r="Q338" i="12"/>
  <c r="P337" i="12"/>
  <c r="M337" i="12"/>
  <c r="L337" i="12"/>
  <c r="K337" i="12"/>
  <c r="J337" i="12"/>
  <c r="I337" i="12"/>
  <c r="R337" i="12"/>
  <c r="H337" i="12"/>
  <c r="G337" i="12"/>
  <c r="F337" i="12"/>
  <c r="E337" i="12"/>
  <c r="D337" i="12"/>
  <c r="C337" i="12"/>
  <c r="B337" i="12"/>
  <c r="A337" i="12"/>
  <c r="Q337" i="12"/>
  <c r="P336" i="12"/>
  <c r="M336" i="12"/>
  <c r="L336" i="12"/>
  <c r="K336" i="12"/>
  <c r="J336" i="12"/>
  <c r="I336" i="12"/>
  <c r="R336" i="12"/>
  <c r="H336" i="12"/>
  <c r="G336" i="12"/>
  <c r="F336" i="12"/>
  <c r="E336" i="12"/>
  <c r="D336" i="12"/>
  <c r="C336" i="12"/>
  <c r="B336" i="12"/>
  <c r="A336" i="12"/>
  <c r="Q336" i="12"/>
  <c r="P335" i="12"/>
  <c r="M335" i="12"/>
  <c r="L335" i="12"/>
  <c r="K335" i="12"/>
  <c r="J335" i="12"/>
  <c r="I335" i="12"/>
  <c r="R335" i="12"/>
  <c r="H335" i="12"/>
  <c r="G335" i="12"/>
  <c r="F335" i="12"/>
  <c r="E335" i="12"/>
  <c r="D335" i="12"/>
  <c r="C335" i="12"/>
  <c r="B335" i="12"/>
  <c r="A335" i="12"/>
  <c r="Q335" i="12"/>
  <c r="P334" i="12"/>
  <c r="M334" i="12"/>
  <c r="L334" i="12"/>
  <c r="K334" i="12"/>
  <c r="J334" i="12"/>
  <c r="I334" i="12"/>
  <c r="R334" i="12"/>
  <c r="H334" i="12"/>
  <c r="G334" i="12"/>
  <c r="F334" i="12"/>
  <c r="E334" i="12"/>
  <c r="D334" i="12"/>
  <c r="C334" i="12"/>
  <c r="B334" i="12"/>
  <c r="A334" i="12"/>
  <c r="Q334" i="12"/>
  <c r="P333" i="12"/>
  <c r="M333" i="12"/>
  <c r="L333" i="12"/>
  <c r="K333" i="12"/>
  <c r="J333" i="12"/>
  <c r="I333" i="12"/>
  <c r="R333" i="12"/>
  <c r="H333" i="12"/>
  <c r="G333" i="12"/>
  <c r="F333" i="12"/>
  <c r="E333" i="12"/>
  <c r="D333" i="12"/>
  <c r="C333" i="12"/>
  <c r="B333" i="12"/>
  <c r="A333" i="12"/>
  <c r="Q333" i="12"/>
  <c r="P332" i="12"/>
  <c r="M332" i="12"/>
  <c r="L332" i="12"/>
  <c r="K332" i="12"/>
  <c r="J332" i="12"/>
  <c r="I332" i="12"/>
  <c r="R332" i="12"/>
  <c r="H332" i="12"/>
  <c r="G332" i="12"/>
  <c r="F332" i="12"/>
  <c r="E332" i="12"/>
  <c r="D332" i="12"/>
  <c r="C332" i="12"/>
  <c r="B332" i="12"/>
  <c r="A332" i="12"/>
  <c r="Q332" i="12"/>
  <c r="P331" i="12"/>
  <c r="M331" i="12"/>
  <c r="L331" i="12"/>
  <c r="K331" i="12"/>
  <c r="J331" i="12"/>
  <c r="I331" i="12"/>
  <c r="R331" i="12"/>
  <c r="H331" i="12"/>
  <c r="G331" i="12"/>
  <c r="F331" i="12"/>
  <c r="E331" i="12"/>
  <c r="D331" i="12"/>
  <c r="C331" i="12"/>
  <c r="B331" i="12"/>
  <c r="A331" i="12"/>
  <c r="Q331" i="12"/>
  <c r="P330" i="12"/>
  <c r="M330" i="12"/>
  <c r="L330" i="12"/>
  <c r="K330" i="12"/>
  <c r="J330" i="12"/>
  <c r="I330" i="12"/>
  <c r="R330" i="12"/>
  <c r="H330" i="12"/>
  <c r="G330" i="12"/>
  <c r="F330" i="12"/>
  <c r="E330" i="12"/>
  <c r="D330" i="12"/>
  <c r="C330" i="12"/>
  <c r="B330" i="12"/>
  <c r="A330" i="12"/>
  <c r="Q330" i="12"/>
  <c r="P329" i="12"/>
  <c r="M329" i="12"/>
  <c r="L329" i="12"/>
  <c r="K329" i="12"/>
  <c r="J329" i="12"/>
  <c r="I329" i="12"/>
  <c r="R329" i="12"/>
  <c r="H329" i="12"/>
  <c r="G329" i="12"/>
  <c r="F329" i="12"/>
  <c r="E329" i="12"/>
  <c r="D329" i="12"/>
  <c r="C329" i="12"/>
  <c r="B329" i="12"/>
  <c r="A329" i="12"/>
  <c r="Q329" i="12"/>
  <c r="P328" i="12"/>
  <c r="M328" i="12"/>
  <c r="L328" i="12"/>
  <c r="K328" i="12"/>
  <c r="J328" i="12"/>
  <c r="I328" i="12"/>
  <c r="R328" i="12"/>
  <c r="H328" i="12"/>
  <c r="G328" i="12"/>
  <c r="F328" i="12"/>
  <c r="E328" i="12"/>
  <c r="D328" i="12"/>
  <c r="C328" i="12"/>
  <c r="B328" i="12"/>
  <c r="A328" i="12"/>
  <c r="Q328" i="12"/>
  <c r="P327" i="12"/>
  <c r="M327" i="12"/>
  <c r="L327" i="12"/>
  <c r="K327" i="12"/>
  <c r="J327" i="12"/>
  <c r="I327" i="12"/>
  <c r="R327" i="12"/>
  <c r="H327" i="12"/>
  <c r="G327" i="12"/>
  <c r="F327" i="12"/>
  <c r="E327" i="12"/>
  <c r="D327" i="12"/>
  <c r="C327" i="12"/>
  <c r="B327" i="12"/>
  <c r="A327" i="12"/>
  <c r="Q327" i="12"/>
  <c r="P326" i="12"/>
  <c r="M326" i="12"/>
  <c r="L326" i="12"/>
  <c r="K326" i="12"/>
  <c r="J326" i="12"/>
  <c r="I326" i="12"/>
  <c r="R326" i="12"/>
  <c r="H326" i="12"/>
  <c r="G326" i="12"/>
  <c r="F326" i="12"/>
  <c r="E326" i="12"/>
  <c r="D326" i="12"/>
  <c r="C326" i="12"/>
  <c r="B326" i="12"/>
  <c r="A326" i="12"/>
  <c r="Q326" i="12"/>
  <c r="P325" i="12"/>
  <c r="M325" i="12"/>
  <c r="L325" i="12"/>
  <c r="K325" i="12"/>
  <c r="J325" i="12"/>
  <c r="I325" i="12"/>
  <c r="R325" i="12"/>
  <c r="H325" i="12"/>
  <c r="G325" i="12"/>
  <c r="F325" i="12"/>
  <c r="E325" i="12"/>
  <c r="D325" i="12"/>
  <c r="C325" i="12"/>
  <c r="B325" i="12"/>
  <c r="A325" i="12"/>
  <c r="Q325" i="12"/>
  <c r="P324" i="12"/>
  <c r="M324" i="12"/>
  <c r="L324" i="12"/>
  <c r="K324" i="12"/>
  <c r="J324" i="12"/>
  <c r="I324" i="12"/>
  <c r="R324" i="12"/>
  <c r="H324" i="12"/>
  <c r="G324" i="12"/>
  <c r="F324" i="12"/>
  <c r="E324" i="12"/>
  <c r="D324" i="12"/>
  <c r="C324" i="12"/>
  <c r="B324" i="12"/>
  <c r="A324" i="12"/>
  <c r="Q324" i="12"/>
  <c r="P323" i="12"/>
  <c r="M323" i="12"/>
  <c r="L323" i="12"/>
  <c r="K323" i="12"/>
  <c r="J323" i="12"/>
  <c r="I323" i="12"/>
  <c r="R323" i="12"/>
  <c r="H323" i="12"/>
  <c r="G323" i="12"/>
  <c r="F323" i="12"/>
  <c r="E323" i="12"/>
  <c r="D323" i="12"/>
  <c r="C323" i="12"/>
  <c r="B323" i="12"/>
  <c r="A323" i="12"/>
  <c r="Q323" i="12"/>
  <c r="P322" i="12"/>
  <c r="M322" i="12"/>
  <c r="L322" i="12"/>
  <c r="K322" i="12"/>
  <c r="J322" i="12"/>
  <c r="I322" i="12"/>
  <c r="R322" i="12"/>
  <c r="H322" i="12"/>
  <c r="G322" i="12"/>
  <c r="F322" i="12"/>
  <c r="E322" i="12"/>
  <c r="D322" i="12"/>
  <c r="C322" i="12"/>
  <c r="B322" i="12"/>
  <c r="A322" i="12"/>
  <c r="Q322" i="12"/>
  <c r="P321" i="12"/>
  <c r="M321" i="12"/>
  <c r="L321" i="12"/>
  <c r="K321" i="12"/>
  <c r="J321" i="12"/>
  <c r="I321" i="12"/>
  <c r="R321" i="12"/>
  <c r="H321" i="12"/>
  <c r="G321" i="12"/>
  <c r="F321" i="12"/>
  <c r="E321" i="12"/>
  <c r="D321" i="12"/>
  <c r="C321" i="12"/>
  <c r="B321" i="12"/>
  <c r="A321" i="12"/>
  <c r="Q321" i="12"/>
  <c r="P320" i="12"/>
  <c r="M320" i="12"/>
  <c r="L320" i="12"/>
  <c r="K320" i="12"/>
  <c r="J320" i="12"/>
  <c r="I320" i="12"/>
  <c r="R320" i="12"/>
  <c r="H320" i="12"/>
  <c r="G320" i="12"/>
  <c r="F320" i="12"/>
  <c r="E320" i="12"/>
  <c r="D320" i="12"/>
  <c r="C320" i="12"/>
  <c r="B320" i="12"/>
  <c r="A320" i="12"/>
  <c r="Q320" i="12"/>
  <c r="P319" i="12"/>
  <c r="M319" i="12"/>
  <c r="L319" i="12"/>
  <c r="K319" i="12"/>
  <c r="J319" i="12"/>
  <c r="I319" i="12"/>
  <c r="R319" i="12"/>
  <c r="H319" i="12"/>
  <c r="G319" i="12"/>
  <c r="F319" i="12"/>
  <c r="E319" i="12"/>
  <c r="D319" i="12"/>
  <c r="C319" i="12"/>
  <c r="B319" i="12"/>
  <c r="A319" i="12"/>
  <c r="Q319" i="12"/>
  <c r="P318" i="12"/>
  <c r="M318" i="12"/>
  <c r="L318" i="12"/>
  <c r="K318" i="12"/>
  <c r="J318" i="12"/>
  <c r="I318" i="12"/>
  <c r="R318" i="12"/>
  <c r="H318" i="12"/>
  <c r="G318" i="12"/>
  <c r="F318" i="12"/>
  <c r="E318" i="12"/>
  <c r="D318" i="12"/>
  <c r="C318" i="12"/>
  <c r="B318" i="12"/>
  <c r="A318" i="12"/>
  <c r="Q318" i="12"/>
  <c r="P317" i="12"/>
  <c r="M317" i="12"/>
  <c r="L317" i="12"/>
  <c r="K317" i="12"/>
  <c r="J317" i="12"/>
  <c r="I317" i="12"/>
  <c r="R317" i="12"/>
  <c r="H317" i="12"/>
  <c r="G317" i="12"/>
  <c r="F317" i="12"/>
  <c r="E317" i="12"/>
  <c r="D317" i="12"/>
  <c r="C317" i="12"/>
  <c r="B317" i="12"/>
  <c r="A317" i="12"/>
  <c r="Q317" i="12"/>
  <c r="P316" i="12"/>
  <c r="M316" i="12"/>
  <c r="L316" i="12"/>
  <c r="K316" i="12"/>
  <c r="J316" i="12"/>
  <c r="I316" i="12"/>
  <c r="R316" i="12"/>
  <c r="H316" i="12"/>
  <c r="G316" i="12"/>
  <c r="F316" i="12"/>
  <c r="E316" i="12"/>
  <c r="D316" i="12"/>
  <c r="C316" i="12"/>
  <c r="B316" i="12"/>
  <c r="A316" i="12"/>
  <c r="Q316" i="12"/>
  <c r="P315" i="12"/>
  <c r="M315" i="12"/>
  <c r="L315" i="12"/>
  <c r="K315" i="12"/>
  <c r="J315" i="12"/>
  <c r="I315" i="12"/>
  <c r="R315" i="12"/>
  <c r="H315" i="12"/>
  <c r="G315" i="12"/>
  <c r="F315" i="12"/>
  <c r="E315" i="12"/>
  <c r="D315" i="12"/>
  <c r="C315" i="12"/>
  <c r="B315" i="12"/>
  <c r="A315" i="12"/>
  <c r="Q315" i="12"/>
  <c r="P314" i="12"/>
  <c r="M314" i="12"/>
  <c r="L314" i="12"/>
  <c r="K314" i="12"/>
  <c r="J314" i="12"/>
  <c r="I314" i="12"/>
  <c r="R314" i="12"/>
  <c r="H314" i="12"/>
  <c r="G314" i="12"/>
  <c r="F314" i="12"/>
  <c r="E314" i="12"/>
  <c r="D314" i="12"/>
  <c r="C314" i="12"/>
  <c r="B314" i="12"/>
  <c r="A314" i="12"/>
  <c r="Q314" i="12"/>
  <c r="P313" i="12"/>
  <c r="M313" i="12"/>
  <c r="L313" i="12"/>
  <c r="K313" i="12"/>
  <c r="J313" i="12"/>
  <c r="I313" i="12"/>
  <c r="R313" i="12"/>
  <c r="H313" i="12"/>
  <c r="G313" i="12"/>
  <c r="F313" i="12"/>
  <c r="E313" i="12"/>
  <c r="D313" i="12"/>
  <c r="C313" i="12"/>
  <c r="B313" i="12"/>
  <c r="A313" i="12"/>
  <c r="Q313" i="12"/>
  <c r="P312" i="12"/>
  <c r="M312" i="12"/>
  <c r="L312" i="12"/>
  <c r="K312" i="12"/>
  <c r="J312" i="12"/>
  <c r="I312" i="12"/>
  <c r="R312" i="12"/>
  <c r="H312" i="12"/>
  <c r="G312" i="12"/>
  <c r="F312" i="12"/>
  <c r="E312" i="12"/>
  <c r="D312" i="12"/>
  <c r="C312" i="12"/>
  <c r="B312" i="12"/>
  <c r="A312" i="12"/>
  <c r="Q312" i="12"/>
  <c r="P311" i="12"/>
  <c r="M311" i="12"/>
  <c r="L311" i="12"/>
  <c r="K311" i="12"/>
  <c r="J311" i="12"/>
  <c r="I311" i="12"/>
  <c r="R311" i="12"/>
  <c r="H311" i="12"/>
  <c r="G311" i="12"/>
  <c r="F311" i="12"/>
  <c r="E311" i="12"/>
  <c r="D311" i="12"/>
  <c r="C311" i="12"/>
  <c r="B311" i="12"/>
  <c r="A311" i="12"/>
  <c r="Q311" i="12"/>
  <c r="P310" i="12"/>
  <c r="M310" i="12"/>
  <c r="L310" i="12"/>
  <c r="K310" i="12"/>
  <c r="J310" i="12"/>
  <c r="I310" i="12"/>
  <c r="R310" i="12"/>
  <c r="H310" i="12"/>
  <c r="G310" i="12"/>
  <c r="F310" i="12"/>
  <c r="E310" i="12"/>
  <c r="D310" i="12"/>
  <c r="C310" i="12"/>
  <c r="B310" i="12"/>
  <c r="A310" i="12"/>
  <c r="Q310" i="12"/>
  <c r="P309" i="12"/>
  <c r="M309" i="12"/>
  <c r="L309" i="12"/>
  <c r="K309" i="12"/>
  <c r="J309" i="12"/>
  <c r="I309" i="12"/>
  <c r="R309" i="12"/>
  <c r="H309" i="12"/>
  <c r="G309" i="12"/>
  <c r="F309" i="12"/>
  <c r="E309" i="12"/>
  <c r="D309" i="12"/>
  <c r="C309" i="12"/>
  <c r="B309" i="12"/>
  <c r="A309" i="12"/>
  <c r="Q309" i="12"/>
  <c r="P308" i="12"/>
  <c r="M308" i="12"/>
  <c r="L308" i="12"/>
  <c r="K308" i="12"/>
  <c r="J308" i="12"/>
  <c r="I308" i="12"/>
  <c r="R308" i="12"/>
  <c r="H308" i="12"/>
  <c r="G308" i="12"/>
  <c r="F308" i="12"/>
  <c r="E308" i="12"/>
  <c r="D308" i="12"/>
  <c r="C308" i="12"/>
  <c r="B308" i="12"/>
  <c r="A308" i="12"/>
  <c r="Q308" i="12"/>
  <c r="P307" i="12"/>
  <c r="M307" i="12"/>
  <c r="L307" i="12"/>
  <c r="K307" i="12"/>
  <c r="J307" i="12"/>
  <c r="I307" i="12"/>
  <c r="R307" i="12"/>
  <c r="H307" i="12"/>
  <c r="G307" i="12"/>
  <c r="F307" i="12"/>
  <c r="E307" i="12"/>
  <c r="D307" i="12"/>
  <c r="C307" i="12"/>
  <c r="B307" i="12"/>
  <c r="A307" i="12"/>
  <c r="Q307" i="12"/>
  <c r="P306" i="12"/>
  <c r="M306" i="12"/>
  <c r="L306" i="12"/>
  <c r="K306" i="12"/>
  <c r="J306" i="12"/>
  <c r="I306" i="12"/>
  <c r="R306" i="12"/>
  <c r="H306" i="12"/>
  <c r="G306" i="12"/>
  <c r="F306" i="12"/>
  <c r="E306" i="12"/>
  <c r="D306" i="12"/>
  <c r="C306" i="12"/>
  <c r="B306" i="12"/>
  <c r="A306" i="12"/>
  <c r="Q306" i="12"/>
  <c r="P305" i="12"/>
  <c r="M305" i="12"/>
  <c r="L305" i="12"/>
  <c r="K305" i="12"/>
  <c r="J305" i="12"/>
  <c r="I305" i="12"/>
  <c r="R305" i="12"/>
  <c r="H305" i="12"/>
  <c r="G305" i="12"/>
  <c r="F305" i="12"/>
  <c r="E305" i="12"/>
  <c r="D305" i="12"/>
  <c r="C305" i="12"/>
  <c r="B305" i="12"/>
  <c r="A305" i="12"/>
  <c r="Q305" i="12"/>
  <c r="P304" i="12"/>
  <c r="M304" i="12"/>
  <c r="L304" i="12"/>
  <c r="K304" i="12"/>
  <c r="J304" i="12"/>
  <c r="I304" i="12"/>
  <c r="R304" i="12"/>
  <c r="H304" i="12"/>
  <c r="G304" i="12"/>
  <c r="F304" i="12"/>
  <c r="E304" i="12"/>
  <c r="D304" i="12"/>
  <c r="C304" i="12"/>
  <c r="B304" i="12"/>
  <c r="A304" i="12"/>
  <c r="Q304" i="12"/>
  <c r="P303" i="12"/>
  <c r="M303" i="12"/>
  <c r="L303" i="12"/>
  <c r="K303" i="12"/>
  <c r="J303" i="12"/>
  <c r="I303" i="12"/>
  <c r="R303" i="12"/>
  <c r="H303" i="12"/>
  <c r="G303" i="12"/>
  <c r="F303" i="12"/>
  <c r="E303" i="12"/>
  <c r="D303" i="12"/>
  <c r="C303" i="12"/>
  <c r="B303" i="12"/>
  <c r="A303" i="12"/>
  <c r="Q303" i="12"/>
  <c r="P302" i="12"/>
  <c r="M302" i="12"/>
  <c r="L302" i="12"/>
  <c r="K302" i="12"/>
  <c r="J302" i="12"/>
  <c r="I302" i="12"/>
  <c r="R302" i="12"/>
  <c r="H302" i="12"/>
  <c r="G302" i="12"/>
  <c r="F302" i="12"/>
  <c r="E302" i="12"/>
  <c r="D302" i="12"/>
  <c r="C302" i="12"/>
  <c r="B302" i="12"/>
  <c r="A302" i="12"/>
  <c r="Q302" i="12"/>
  <c r="P301" i="12"/>
  <c r="M301" i="12"/>
  <c r="L301" i="12"/>
  <c r="K301" i="12"/>
  <c r="J301" i="12"/>
  <c r="I301" i="12"/>
  <c r="R301" i="12"/>
  <c r="H301" i="12"/>
  <c r="G301" i="12"/>
  <c r="F301" i="12"/>
  <c r="E301" i="12"/>
  <c r="D301" i="12"/>
  <c r="C301" i="12"/>
  <c r="B301" i="12"/>
  <c r="A301" i="12"/>
  <c r="Q301" i="12"/>
  <c r="P300" i="12"/>
  <c r="M300" i="12"/>
  <c r="L300" i="12"/>
  <c r="K300" i="12"/>
  <c r="J300" i="12"/>
  <c r="I300" i="12"/>
  <c r="R300" i="12"/>
  <c r="H300" i="12"/>
  <c r="G300" i="12"/>
  <c r="F300" i="12"/>
  <c r="E300" i="12"/>
  <c r="D300" i="12"/>
  <c r="C300" i="12"/>
  <c r="B300" i="12"/>
  <c r="A300" i="12"/>
  <c r="Q300" i="12"/>
  <c r="P299" i="12"/>
  <c r="M299" i="12"/>
  <c r="L299" i="12"/>
  <c r="K299" i="12"/>
  <c r="J299" i="12"/>
  <c r="I299" i="12"/>
  <c r="R299" i="12"/>
  <c r="H299" i="12"/>
  <c r="G299" i="12"/>
  <c r="F299" i="12"/>
  <c r="E299" i="12"/>
  <c r="D299" i="12"/>
  <c r="C299" i="12"/>
  <c r="B299" i="12"/>
  <c r="A299" i="12"/>
  <c r="Q299" i="12"/>
  <c r="P298" i="12"/>
  <c r="M298" i="12"/>
  <c r="L298" i="12"/>
  <c r="K298" i="12"/>
  <c r="J298" i="12"/>
  <c r="I298" i="12"/>
  <c r="R298" i="12"/>
  <c r="H298" i="12"/>
  <c r="G298" i="12"/>
  <c r="F298" i="12"/>
  <c r="E298" i="12"/>
  <c r="D298" i="12"/>
  <c r="C298" i="12"/>
  <c r="B298" i="12"/>
  <c r="A298" i="12"/>
  <c r="Q298" i="12"/>
  <c r="P297" i="12"/>
  <c r="M297" i="12"/>
  <c r="L297" i="12"/>
  <c r="K297" i="12"/>
  <c r="J297" i="12"/>
  <c r="I297" i="12"/>
  <c r="R297" i="12"/>
  <c r="H297" i="12"/>
  <c r="G297" i="12"/>
  <c r="F297" i="12"/>
  <c r="E297" i="12"/>
  <c r="D297" i="12"/>
  <c r="C297" i="12"/>
  <c r="B297" i="12"/>
  <c r="A297" i="12"/>
  <c r="Q297" i="12"/>
  <c r="P296" i="12"/>
  <c r="M296" i="12"/>
  <c r="L296" i="12"/>
  <c r="K296" i="12"/>
  <c r="J296" i="12"/>
  <c r="I296" i="12"/>
  <c r="R296" i="12"/>
  <c r="H296" i="12"/>
  <c r="G296" i="12"/>
  <c r="F296" i="12"/>
  <c r="E296" i="12"/>
  <c r="D296" i="12"/>
  <c r="C296" i="12"/>
  <c r="B296" i="12"/>
  <c r="A296" i="12"/>
  <c r="Q296" i="12"/>
  <c r="P295" i="12"/>
  <c r="M295" i="12"/>
  <c r="L295" i="12"/>
  <c r="K295" i="12"/>
  <c r="J295" i="12"/>
  <c r="I295" i="12"/>
  <c r="R295" i="12"/>
  <c r="H295" i="12"/>
  <c r="G295" i="12"/>
  <c r="F295" i="12"/>
  <c r="E295" i="12"/>
  <c r="D295" i="12"/>
  <c r="C295" i="12"/>
  <c r="B295" i="12"/>
  <c r="A295" i="12"/>
  <c r="Q295" i="12"/>
  <c r="P294" i="12"/>
  <c r="M294" i="12"/>
  <c r="L294" i="12"/>
  <c r="K294" i="12"/>
  <c r="J294" i="12"/>
  <c r="I294" i="12"/>
  <c r="R294" i="12"/>
  <c r="H294" i="12"/>
  <c r="G294" i="12"/>
  <c r="F294" i="12"/>
  <c r="E294" i="12"/>
  <c r="D294" i="12"/>
  <c r="C294" i="12"/>
  <c r="B294" i="12"/>
  <c r="A294" i="12"/>
  <c r="Q294" i="12"/>
  <c r="P293" i="12"/>
  <c r="M293" i="12"/>
  <c r="L293" i="12"/>
  <c r="K293" i="12"/>
  <c r="J293" i="12"/>
  <c r="I293" i="12"/>
  <c r="R293" i="12"/>
  <c r="H293" i="12"/>
  <c r="G293" i="12"/>
  <c r="F293" i="12"/>
  <c r="E293" i="12"/>
  <c r="D293" i="12"/>
  <c r="C293" i="12"/>
  <c r="B293" i="12"/>
  <c r="A293" i="12"/>
  <c r="Q293" i="12"/>
  <c r="P292" i="12"/>
  <c r="M292" i="12"/>
  <c r="L292" i="12"/>
  <c r="K292" i="12"/>
  <c r="J292" i="12"/>
  <c r="I292" i="12"/>
  <c r="R292" i="12"/>
  <c r="H292" i="12"/>
  <c r="G292" i="12"/>
  <c r="F292" i="12"/>
  <c r="E292" i="12"/>
  <c r="D292" i="12"/>
  <c r="C292" i="12"/>
  <c r="B292" i="12"/>
  <c r="A292" i="12"/>
  <c r="Q292" i="12"/>
  <c r="P291" i="12"/>
  <c r="M291" i="12"/>
  <c r="L291" i="12"/>
  <c r="K291" i="12"/>
  <c r="J291" i="12"/>
  <c r="I291" i="12"/>
  <c r="R291" i="12"/>
  <c r="H291" i="12"/>
  <c r="G291" i="12"/>
  <c r="F291" i="12"/>
  <c r="E291" i="12"/>
  <c r="D291" i="12"/>
  <c r="C291" i="12"/>
  <c r="B291" i="12"/>
  <c r="A291" i="12"/>
  <c r="Q291" i="12"/>
  <c r="P290" i="12"/>
  <c r="M290" i="12"/>
  <c r="L290" i="12"/>
  <c r="K290" i="12"/>
  <c r="J290" i="12"/>
  <c r="I290" i="12"/>
  <c r="R290" i="12"/>
  <c r="H290" i="12"/>
  <c r="G290" i="12"/>
  <c r="F290" i="12"/>
  <c r="E290" i="12"/>
  <c r="D290" i="12"/>
  <c r="C290" i="12"/>
  <c r="B290" i="12"/>
  <c r="A290" i="12"/>
  <c r="Q290" i="12"/>
  <c r="P289" i="12"/>
  <c r="M289" i="12"/>
  <c r="L289" i="12"/>
  <c r="K289" i="12"/>
  <c r="J289" i="12"/>
  <c r="I289" i="12"/>
  <c r="R289" i="12"/>
  <c r="H289" i="12"/>
  <c r="G289" i="12"/>
  <c r="F289" i="12"/>
  <c r="E289" i="12"/>
  <c r="D289" i="12"/>
  <c r="C289" i="12"/>
  <c r="B289" i="12"/>
  <c r="A289" i="12"/>
  <c r="Q289" i="12"/>
  <c r="P288" i="12"/>
  <c r="M288" i="12"/>
  <c r="L288" i="12"/>
  <c r="K288" i="12"/>
  <c r="J288" i="12"/>
  <c r="I288" i="12"/>
  <c r="R288" i="12"/>
  <c r="H288" i="12"/>
  <c r="G288" i="12"/>
  <c r="F288" i="12"/>
  <c r="E288" i="12"/>
  <c r="D288" i="12"/>
  <c r="C288" i="12"/>
  <c r="B288" i="12"/>
  <c r="A288" i="12"/>
  <c r="Q288" i="12"/>
  <c r="P287" i="12"/>
  <c r="M287" i="12"/>
  <c r="L287" i="12"/>
  <c r="K287" i="12"/>
  <c r="J287" i="12"/>
  <c r="I287" i="12"/>
  <c r="R287" i="12"/>
  <c r="H287" i="12"/>
  <c r="G287" i="12"/>
  <c r="F287" i="12"/>
  <c r="E287" i="12"/>
  <c r="D287" i="12"/>
  <c r="C287" i="12"/>
  <c r="B287" i="12"/>
  <c r="A287" i="12"/>
  <c r="Q287" i="12"/>
  <c r="P286" i="12"/>
  <c r="M286" i="12"/>
  <c r="L286" i="12"/>
  <c r="K286" i="12"/>
  <c r="J286" i="12"/>
  <c r="I286" i="12"/>
  <c r="R286" i="12"/>
  <c r="H286" i="12"/>
  <c r="G286" i="12"/>
  <c r="F286" i="12"/>
  <c r="E286" i="12"/>
  <c r="D286" i="12"/>
  <c r="C286" i="12"/>
  <c r="B286" i="12"/>
  <c r="A286" i="12"/>
  <c r="Q286" i="12"/>
  <c r="P285" i="12"/>
  <c r="M285" i="12"/>
  <c r="L285" i="12"/>
  <c r="K285" i="12"/>
  <c r="J285" i="12"/>
  <c r="I285" i="12"/>
  <c r="R285" i="12"/>
  <c r="H285" i="12"/>
  <c r="G285" i="12"/>
  <c r="F285" i="12"/>
  <c r="E285" i="12"/>
  <c r="D285" i="12"/>
  <c r="C285" i="12"/>
  <c r="B285" i="12"/>
  <c r="A285" i="12"/>
  <c r="Q285" i="12"/>
  <c r="P284" i="12"/>
  <c r="M284" i="12"/>
  <c r="L284" i="12"/>
  <c r="K284" i="12"/>
  <c r="J284" i="12"/>
  <c r="I284" i="12"/>
  <c r="R284" i="12"/>
  <c r="H284" i="12"/>
  <c r="G284" i="12"/>
  <c r="F284" i="12"/>
  <c r="E284" i="12"/>
  <c r="D284" i="12"/>
  <c r="C284" i="12"/>
  <c r="B284" i="12"/>
  <c r="A284" i="12"/>
  <c r="Q284" i="12"/>
  <c r="P283" i="12"/>
  <c r="M283" i="12"/>
  <c r="L283" i="12"/>
  <c r="K283" i="12"/>
  <c r="J283" i="12"/>
  <c r="I283" i="12"/>
  <c r="R283" i="12"/>
  <c r="H283" i="12"/>
  <c r="G283" i="12"/>
  <c r="F283" i="12"/>
  <c r="E283" i="12"/>
  <c r="D283" i="12"/>
  <c r="C283" i="12"/>
  <c r="B283" i="12"/>
  <c r="A283" i="12"/>
  <c r="Q283" i="12"/>
  <c r="P282" i="12"/>
  <c r="M282" i="12"/>
  <c r="L282" i="12"/>
  <c r="K282" i="12"/>
  <c r="J282" i="12"/>
  <c r="I282" i="12"/>
  <c r="R282" i="12"/>
  <c r="H282" i="12"/>
  <c r="G282" i="12"/>
  <c r="F282" i="12"/>
  <c r="E282" i="12"/>
  <c r="D282" i="12"/>
  <c r="C282" i="12"/>
  <c r="B282" i="12"/>
  <c r="A282" i="12"/>
  <c r="Q282" i="12"/>
  <c r="P281" i="12"/>
  <c r="M281" i="12"/>
  <c r="L281" i="12"/>
  <c r="K281" i="12"/>
  <c r="J281" i="12"/>
  <c r="I281" i="12"/>
  <c r="R281" i="12"/>
  <c r="H281" i="12"/>
  <c r="G281" i="12"/>
  <c r="F281" i="12"/>
  <c r="E281" i="12"/>
  <c r="D281" i="12"/>
  <c r="C281" i="12"/>
  <c r="B281" i="12"/>
  <c r="A281" i="12"/>
  <c r="Q281" i="12"/>
  <c r="P280" i="12"/>
  <c r="M280" i="12"/>
  <c r="L280" i="12"/>
  <c r="K280" i="12"/>
  <c r="J280" i="12"/>
  <c r="I280" i="12"/>
  <c r="R280" i="12"/>
  <c r="H280" i="12"/>
  <c r="G280" i="12"/>
  <c r="F280" i="12"/>
  <c r="E280" i="12"/>
  <c r="D280" i="12"/>
  <c r="C280" i="12"/>
  <c r="B280" i="12"/>
  <c r="A280" i="12"/>
  <c r="Q280" i="12"/>
  <c r="P279" i="12"/>
  <c r="M279" i="12"/>
  <c r="L279" i="12"/>
  <c r="K279" i="12"/>
  <c r="J279" i="12"/>
  <c r="I279" i="12"/>
  <c r="R279" i="12"/>
  <c r="H279" i="12"/>
  <c r="G279" i="12"/>
  <c r="F279" i="12"/>
  <c r="E279" i="12"/>
  <c r="D279" i="12"/>
  <c r="C279" i="12"/>
  <c r="B279" i="12"/>
  <c r="A279" i="12"/>
  <c r="Q279" i="12"/>
  <c r="P278" i="12"/>
  <c r="M278" i="12"/>
  <c r="L278" i="12"/>
  <c r="K278" i="12"/>
  <c r="J278" i="12"/>
  <c r="I278" i="12"/>
  <c r="R278" i="12"/>
  <c r="H278" i="12"/>
  <c r="G278" i="12"/>
  <c r="F278" i="12"/>
  <c r="E278" i="12"/>
  <c r="D278" i="12"/>
  <c r="C278" i="12"/>
  <c r="B278" i="12"/>
  <c r="A278" i="12"/>
  <c r="Q278" i="12"/>
  <c r="P277" i="12"/>
  <c r="M277" i="12"/>
  <c r="L277" i="12"/>
  <c r="K277" i="12"/>
  <c r="J277" i="12"/>
  <c r="I277" i="12"/>
  <c r="R277" i="12"/>
  <c r="H277" i="12"/>
  <c r="G277" i="12"/>
  <c r="F277" i="12"/>
  <c r="E277" i="12"/>
  <c r="D277" i="12"/>
  <c r="C277" i="12"/>
  <c r="B277" i="12"/>
  <c r="A277" i="12"/>
  <c r="Q277" i="12"/>
  <c r="P276" i="12"/>
  <c r="M276" i="12"/>
  <c r="L276" i="12"/>
  <c r="K276" i="12"/>
  <c r="J276" i="12"/>
  <c r="I276" i="12"/>
  <c r="R276" i="12"/>
  <c r="H276" i="12"/>
  <c r="G276" i="12"/>
  <c r="F276" i="12"/>
  <c r="E276" i="12"/>
  <c r="D276" i="12"/>
  <c r="C276" i="12"/>
  <c r="B276" i="12"/>
  <c r="A276" i="12"/>
  <c r="Q276" i="12"/>
  <c r="P275" i="12"/>
  <c r="M275" i="12"/>
  <c r="L275" i="12"/>
  <c r="K275" i="12"/>
  <c r="J275" i="12"/>
  <c r="I275" i="12"/>
  <c r="R275" i="12"/>
  <c r="H275" i="12"/>
  <c r="G275" i="12"/>
  <c r="F275" i="12"/>
  <c r="E275" i="12"/>
  <c r="D275" i="12"/>
  <c r="C275" i="12"/>
  <c r="B275" i="12"/>
  <c r="A275" i="12"/>
  <c r="Q275" i="12"/>
  <c r="P274" i="12"/>
  <c r="M274" i="12"/>
  <c r="L274" i="12"/>
  <c r="K274" i="12"/>
  <c r="J274" i="12"/>
  <c r="I274" i="12"/>
  <c r="R274" i="12"/>
  <c r="H274" i="12"/>
  <c r="G274" i="12"/>
  <c r="F274" i="12"/>
  <c r="E274" i="12"/>
  <c r="D274" i="12"/>
  <c r="C274" i="12"/>
  <c r="B274" i="12"/>
  <c r="A274" i="12"/>
  <c r="Q274" i="12"/>
  <c r="P273" i="12"/>
  <c r="M273" i="12"/>
  <c r="L273" i="12"/>
  <c r="K273" i="12"/>
  <c r="J273" i="12"/>
  <c r="I273" i="12"/>
  <c r="R273" i="12"/>
  <c r="H273" i="12"/>
  <c r="G273" i="12"/>
  <c r="F273" i="12"/>
  <c r="E273" i="12"/>
  <c r="D273" i="12"/>
  <c r="C273" i="12"/>
  <c r="B273" i="12"/>
  <c r="A273" i="12"/>
  <c r="Q273" i="12"/>
  <c r="P272" i="12"/>
  <c r="M272" i="12"/>
  <c r="L272" i="12"/>
  <c r="K272" i="12"/>
  <c r="J272" i="12"/>
  <c r="I272" i="12"/>
  <c r="R272" i="12"/>
  <c r="H272" i="12"/>
  <c r="G272" i="12"/>
  <c r="F272" i="12"/>
  <c r="E272" i="12"/>
  <c r="D272" i="12"/>
  <c r="C272" i="12"/>
  <c r="B272" i="12"/>
  <c r="A272" i="12"/>
  <c r="Q272" i="12"/>
  <c r="P271" i="12"/>
  <c r="M271" i="12"/>
  <c r="L271" i="12"/>
  <c r="K271" i="12"/>
  <c r="J271" i="12"/>
  <c r="I271" i="12"/>
  <c r="R271" i="12"/>
  <c r="H271" i="12"/>
  <c r="G271" i="12"/>
  <c r="F271" i="12"/>
  <c r="E271" i="12"/>
  <c r="D271" i="12"/>
  <c r="C271" i="12"/>
  <c r="B271" i="12"/>
  <c r="A271" i="12"/>
  <c r="Q271" i="12"/>
  <c r="P270" i="12"/>
  <c r="M270" i="12"/>
  <c r="L270" i="12"/>
  <c r="K270" i="12"/>
  <c r="J270" i="12"/>
  <c r="I270" i="12"/>
  <c r="R270" i="12"/>
  <c r="H270" i="12"/>
  <c r="G270" i="12"/>
  <c r="F270" i="12"/>
  <c r="E270" i="12"/>
  <c r="D270" i="12"/>
  <c r="C270" i="12"/>
  <c r="B270" i="12"/>
  <c r="A270" i="12"/>
  <c r="Q270" i="12"/>
  <c r="P269" i="12"/>
  <c r="M269" i="12"/>
  <c r="L269" i="12"/>
  <c r="K269" i="12"/>
  <c r="J269" i="12"/>
  <c r="I269" i="12"/>
  <c r="R269" i="12"/>
  <c r="H269" i="12"/>
  <c r="G269" i="12"/>
  <c r="F269" i="12"/>
  <c r="E269" i="12"/>
  <c r="D269" i="12"/>
  <c r="C269" i="12"/>
  <c r="B269" i="12"/>
  <c r="A269" i="12"/>
  <c r="Q269" i="12"/>
  <c r="P268" i="12"/>
  <c r="M268" i="12"/>
  <c r="L268" i="12"/>
  <c r="K268" i="12"/>
  <c r="J268" i="12"/>
  <c r="I268" i="12"/>
  <c r="R268" i="12"/>
  <c r="H268" i="12"/>
  <c r="G268" i="12"/>
  <c r="F268" i="12"/>
  <c r="E268" i="12"/>
  <c r="D268" i="12"/>
  <c r="C268" i="12"/>
  <c r="B268" i="12"/>
  <c r="A268" i="12"/>
  <c r="Q268" i="12"/>
  <c r="P267" i="12"/>
  <c r="M267" i="12"/>
  <c r="L267" i="12"/>
  <c r="K267" i="12"/>
  <c r="J267" i="12"/>
  <c r="I267" i="12"/>
  <c r="R267" i="12"/>
  <c r="H267" i="12"/>
  <c r="G267" i="12"/>
  <c r="F267" i="12"/>
  <c r="E267" i="12"/>
  <c r="D267" i="12"/>
  <c r="C267" i="12"/>
  <c r="B267" i="12"/>
  <c r="A267" i="12"/>
  <c r="Q267" i="12"/>
  <c r="P266" i="12"/>
  <c r="M266" i="12"/>
  <c r="L266" i="12"/>
  <c r="K266" i="12"/>
  <c r="J266" i="12"/>
  <c r="I266" i="12"/>
  <c r="R266" i="12"/>
  <c r="H266" i="12"/>
  <c r="G266" i="12"/>
  <c r="F266" i="12"/>
  <c r="E266" i="12"/>
  <c r="D266" i="12"/>
  <c r="C266" i="12"/>
  <c r="B266" i="12"/>
  <c r="A266" i="12"/>
  <c r="Q266" i="12"/>
  <c r="P265" i="12"/>
  <c r="M265" i="12"/>
  <c r="L265" i="12"/>
  <c r="K265" i="12"/>
  <c r="J265" i="12"/>
  <c r="I265" i="12"/>
  <c r="R265" i="12"/>
  <c r="H265" i="12"/>
  <c r="G265" i="12"/>
  <c r="F265" i="12"/>
  <c r="E265" i="12"/>
  <c r="D265" i="12"/>
  <c r="C265" i="12"/>
  <c r="B265" i="12"/>
  <c r="A265" i="12"/>
  <c r="Q265" i="12"/>
  <c r="P264" i="12"/>
  <c r="M264" i="12"/>
  <c r="L264" i="12"/>
  <c r="K264" i="12"/>
  <c r="J264" i="12"/>
  <c r="I264" i="12"/>
  <c r="R264" i="12"/>
  <c r="H264" i="12"/>
  <c r="G264" i="12"/>
  <c r="F264" i="12"/>
  <c r="E264" i="12"/>
  <c r="D264" i="12"/>
  <c r="C264" i="12"/>
  <c r="B264" i="12"/>
  <c r="A264" i="12"/>
  <c r="Q264" i="12"/>
  <c r="P263" i="12"/>
  <c r="M263" i="12"/>
  <c r="L263" i="12"/>
  <c r="K263" i="12"/>
  <c r="J263" i="12"/>
  <c r="I263" i="12"/>
  <c r="R263" i="12"/>
  <c r="H263" i="12"/>
  <c r="G263" i="12"/>
  <c r="F263" i="12"/>
  <c r="E263" i="12"/>
  <c r="D263" i="12"/>
  <c r="C263" i="12"/>
  <c r="B263" i="12"/>
  <c r="A263" i="12"/>
  <c r="Q263" i="12"/>
  <c r="P262" i="12"/>
  <c r="M262" i="12"/>
  <c r="L262" i="12"/>
  <c r="K262" i="12"/>
  <c r="J262" i="12"/>
  <c r="I262" i="12"/>
  <c r="R262" i="12"/>
  <c r="H262" i="12"/>
  <c r="G262" i="12"/>
  <c r="F262" i="12"/>
  <c r="E262" i="12"/>
  <c r="D262" i="12"/>
  <c r="C262" i="12"/>
  <c r="B262" i="12"/>
  <c r="A262" i="12"/>
  <c r="Q262" i="12"/>
  <c r="P261" i="12"/>
  <c r="M261" i="12"/>
  <c r="L261" i="12"/>
  <c r="K261" i="12"/>
  <c r="J261" i="12"/>
  <c r="I261" i="12"/>
  <c r="R261" i="12"/>
  <c r="H261" i="12"/>
  <c r="G261" i="12"/>
  <c r="F261" i="12"/>
  <c r="E261" i="12"/>
  <c r="D261" i="12"/>
  <c r="C261" i="12"/>
  <c r="B261" i="12"/>
  <c r="A261" i="12"/>
  <c r="Q261" i="12"/>
  <c r="P260" i="12"/>
  <c r="M260" i="12"/>
  <c r="L260" i="12"/>
  <c r="K260" i="12"/>
  <c r="J260" i="12"/>
  <c r="I260" i="12"/>
  <c r="R260" i="12"/>
  <c r="H260" i="12"/>
  <c r="G260" i="12"/>
  <c r="F260" i="12"/>
  <c r="E260" i="12"/>
  <c r="D260" i="12"/>
  <c r="C260" i="12"/>
  <c r="B260" i="12"/>
  <c r="A260" i="12"/>
  <c r="Q260" i="12"/>
  <c r="P259" i="12"/>
  <c r="M259" i="12"/>
  <c r="L259" i="12"/>
  <c r="K259" i="12"/>
  <c r="J259" i="12"/>
  <c r="I259" i="12"/>
  <c r="R259" i="12"/>
  <c r="H259" i="12"/>
  <c r="G259" i="12"/>
  <c r="F259" i="12"/>
  <c r="E259" i="12"/>
  <c r="D259" i="12"/>
  <c r="C259" i="12"/>
  <c r="B259" i="12"/>
  <c r="A259" i="12"/>
  <c r="Q259" i="12"/>
  <c r="P258" i="12"/>
  <c r="M258" i="12"/>
  <c r="L258" i="12"/>
  <c r="K258" i="12"/>
  <c r="J258" i="12"/>
  <c r="I258" i="12"/>
  <c r="R258" i="12"/>
  <c r="H258" i="12"/>
  <c r="G258" i="12"/>
  <c r="F258" i="12"/>
  <c r="E258" i="12"/>
  <c r="D258" i="12"/>
  <c r="C258" i="12"/>
  <c r="B258" i="12"/>
  <c r="A258" i="12"/>
  <c r="Q258" i="12"/>
  <c r="P257" i="12"/>
  <c r="M257" i="12"/>
  <c r="L257" i="12"/>
  <c r="K257" i="12"/>
  <c r="J257" i="12"/>
  <c r="I257" i="12"/>
  <c r="R257" i="12"/>
  <c r="H257" i="12"/>
  <c r="G257" i="12"/>
  <c r="F257" i="12"/>
  <c r="E257" i="12"/>
  <c r="D257" i="12"/>
  <c r="C257" i="12"/>
  <c r="B257" i="12"/>
  <c r="A257" i="12"/>
  <c r="Q257" i="12"/>
  <c r="P256" i="12"/>
  <c r="M256" i="12"/>
  <c r="L256" i="12"/>
  <c r="K256" i="12"/>
  <c r="J256" i="12"/>
  <c r="I256" i="12"/>
  <c r="R256" i="12"/>
  <c r="H256" i="12"/>
  <c r="G256" i="12"/>
  <c r="F256" i="12"/>
  <c r="E256" i="12"/>
  <c r="D256" i="12"/>
  <c r="C256" i="12"/>
  <c r="B256" i="12"/>
  <c r="A256" i="12"/>
  <c r="Q256" i="12"/>
  <c r="P255" i="12"/>
  <c r="M255" i="12"/>
  <c r="L255" i="12"/>
  <c r="K255" i="12"/>
  <c r="J255" i="12"/>
  <c r="I255" i="12"/>
  <c r="R255" i="12"/>
  <c r="H255" i="12"/>
  <c r="G255" i="12"/>
  <c r="F255" i="12"/>
  <c r="E255" i="12"/>
  <c r="D255" i="12"/>
  <c r="C255" i="12"/>
  <c r="B255" i="12"/>
  <c r="A255" i="12"/>
  <c r="Q255" i="12"/>
  <c r="P254" i="12"/>
  <c r="M254" i="12"/>
  <c r="L254" i="12"/>
  <c r="K254" i="12"/>
  <c r="J254" i="12"/>
  <c r="I254" i="12"/>
  <c r="R254" i="12"/>
  <c r="H254" i="12"/>
  <c r="G254" i="12"/>
  <c r="F254" i="12"/>
  <c r="E254" i="12"/>
  <c r="D254" i="12"/>
  <c r="C254" i="12"/>
  <c r="B254" i="12"/>
  <c r="A254" i="12"/>
  <c r="Q254" i="12"/>
  <c r="P253" i="12"/>
  <c r="M253" i="12"/>
  <c r="L253" i="12"/>
  <c r="K253" i="12"/>
  <c r="J253" i="12"/>
  <c r="I253" i="12"/>
  <c r="R253" i="12"/>
  <c r="H253" i="12"/>
  <c r="G253" i="12"/>
  <c r="F253" i="12"/>
  <c r="E253" i="12"/>
  <c r="D253" i="12"/>
  <c r="C253" i="12"/>
  <c r="B253" i="12"/>
  <c r="A253" i="12"/>
  <c r="Q253" i="12"/>
  <c r="P252" i="12"/>
  <c r="M252" i="12"/>
  <c r="L252" i="12"/>
  <c r="K252" i="12"/>
  <c r="J252" i="12"/>
  <c r="I252" i="12"/>
  <c r="R252" i="12"/>
  <c r="H252" i="12"/>
  <c r="G252" i="12"/>
  <c r="F252" i="12"/>
  <c r="E252" i="12"/>
  <c r="D252" i="12"/>
  <c r="C252" i="12"/>
  <c r="B252" i="12"/>
  <c r="A252" i="12"/>
  <c r="Q252" i="12"/>
  <c r="P251" i="12"/>
  <c r="M251" i="12"/>
  <c r="L251" i="12"/>
  <c r="K251" i="12"/>
  <c r="J251" i="12"/>
  <c r="I251" i="12"/>
  <c r="R251" i="12"/>
  <c r="H251" i="12"/>
  <c r="G251" i="12"/>
  <c r="F251" i="12"/>
  <c r="E251" i="12"/>
  <c r="D251" i="12"/>
  <c r="C251" i="12"/>
  <c r="B251" i="12"/>
  <c r="A251" i="12"/>
  <c r="Q251" i="12"/>
  <c r="P250" i="12"/>
  <c r="M250" i="12"/>
  <c r="L250" i="12"/>
  <c r="K250" i="12"/>
  <c r="J250" i="12"/>
  <c r="I250" i="12"/>
  <c r="R250" i="12"/>
  <c r="H250" i="12"/>
  <c r="G250" i="12"/>
  <c r="F250" i="12"/>
  <c r="E250" i="12"/>
  <c r="D250" i="12"/>
  <c r="C250" i="12"/>
  <c r="B250" i="12"/>
  <c r="A250" i="12"/>
  <c r="Q250" i="12"/>
  <c r="P249" i="12"/>
  <c r="M249" i="12"/>
  <c r="L249" i="12"/>
  <c r="K249" i="12"/>
  <c r="J249" i="12"/>
  <c r="I249" i="12"/>
  <c r="R249" i="12"/>
  <c r="H249" i="12"/>
  <c r="G249" i="12"/>
  <c r="F249" i="12"/>
  <c r="E249" i="12"/>
  <c r="D249" i="12"/>
  <c r="C249" i="12"/>
  <c r="B249" i="12"/>
  <c r="A249" i="12"/>
  <c r="Q249" i="12"/>
  <c r="P248" i="12"/>
  <c r="M248" i="12"/>
  <c r="L248" i="12"/>
  <c r="K248" i="12"/>
  <c r="J248" i="12"/>
  <c r="I248" i="12"/>
  <c r="R248" i="12"/>
  <c r="H248" i="12"/>
  <c r="G248" i="12"/>
  <c r="F248" i="12"/>
  <c r="E248" i="12"/>
  <c r="D248" i="12"/>
  <c r="C248" i="12"/>
  <c r="B248" i="12"/>
  <c r="A248" i="12"/>
  <c r="Q248" i="12"/>
  <c r="P247" i="12"/>
  <c r="M247" i="12"/>
  <c r="L247" i="12"/>
  <c r="K247" i="12"/>
  <c r="J247" i="12"/>
  <c r="I247" i="12"/>
  <c r="R247" i="12"/>
  <c r="H247" i="12"/>
  <c r="G247" i="12"/>
  <c r="F247" i="12"/>
  <c r="E247" i="12"/>
  <c r="D247" i="12"/>
  <c r="C247" i="12"/>
  <c r="B247" i="12"/>
  <c r="A247" i="12"/>
  <c r="Q247" i="12"/>
  <c r="P246" i="12"/>
  <c r="M246" i="12"/>
  <c r="L246" i="12"/>
  <c r="K246" i="12"/>
  <c r="J246" i="12"/>
  <c r="I246" i="12"/>
  <c r="R246" i="12"/>
  <c r="H246" i="12"/>
  <c r="G246" i="12"/>
  <c r="F246" i="12"/>
  <c r="E246" i="12"/>
  <c r="D246" i="12"/>
  <c r="C246" i="12"/>
  <c r="B246" i="12"/>
  <c r="A246" i="12"/>
  <c r="Q246" i="12"/>
  <c r="P245" i="12"/>
  <c r="M245" i="12"/>
  <c r="L245" i="12"/>
  <c r="K245" i="12"/>
  <c r="J245" i="12"/>
  <c r="I245" i="12"/>
  <c r="R245" i="12"/>
  <c r="H245" i="12"/>
  <c r="G245" i="12"/>
  <c r="F245" i="12"/>
  <c r="E245" i="12"/>
  <c r="D245" i="12"/>
  <c r="C245" i="12"/>
  <c r="B245" i="12"/>
  <c r="A245" i="12"/>
  <c r="Q245" i="12"/>
  <c r="P244" i="12"/>
  <c r="M244" i="12"/>
  <c r="L244" i="12"/>
  <c r="K244" i="12"/>
  <c r="J244" i="12"/>
  <c r="I244" i="12"/>
  <c r="R244" i="12"/>
  <c r="H244" i="12"/>
  <c r="G244" i="12"/>
  <c r="F244" i="12"/>
  <c r="E244" i="12"/>
  <c r="D244" i="12"/>
  <c r="C244" i="12"/>
  <c r="B244" i="12"/>
  <c r="A244" i="12"/>
  <c r="Q244" i="12"/>
  <c r="P243" i="12"/>
  <c r="M243" i="12"/>
  <c r="L243" i="12"/>
  <c r="K243" i="12"/>
  <c r="J243" i="12"/>
  <c r="I243" i="12"/>
  <c r="R243" i="12"/>
  <c r="H243" i="12"/>
  <c r="G243" i="12"/>
  <c r="F243" i="12"/>
  <c r="E243" i="12"/>
  <c r="D243" i="12"/>
  <c r="C243" i="12"/>
  <c r="B243" i="12"/>
  <c r="A243" i="12"/>
  <c r="Q243" i="12"/>
  <c r="P242" i="12"/>
  <c r="M242" i="12"/>
  <c r="L242" i="12"/>
  <c r="K242" i="12"/>
  <c r="J242" i="12"/>
  <c r="I242" i="12"/>
  <c r="R242" i="12"/>
  <c r="H242" i="12"/>
  <c r="G242" i="12"/>
  <c r="F242" i="12"/>
  <c r="E242" i="12"/>
  <c r="D242" i="12"/>
  <c r="C242" i="12"/>
  <c r="B242" i="12"/>
  <c r="A242" i="12"/>
  <c r="Q242" i="12"/>
  <c r="P241" i="12"/>
  <c r="M241" i="12"/>
  <c r="L241" i="12"/>
  <c r="K241" i="12"/>
  <c r="J241" i="12"/>
  <c r="I241" i="12"/>
  <c r="R241" i="12"/>
  <c r="H241" i="12"/>
  <c r="G241" i="12"/>
  <c r="F241" i="12"/>
  <c r="E241" i="12"/>
  <c r="D241" i="12"/>
  <c r="C241" i="12"/>
  <c r="B241" i="12"/>
  <c r="A241" i="12"/>
  <c r="Q241" i="12"/>
  <c r="P240" i="12"/>
  <c r="M240" i="12"/>
  <c r="L240" i="12"/>
  <c r="K240" i="12"/>
  <c r="J240" i="12"/>
  <c r="I240" i="12"/>
  <c r="R240" i="12"/>
  <c r="H240" i="12"/>
  <c r="G240" i="12"/>
  <c r="F240" i="12"/>
  <c r="E240" i="12"/>
  <c r="D240" i="12"/>
  <c r="C240" i="12"/>
  <c r="B240" i="12"/>
  <c r="A240" i="12"/>
  <c r="Q240" i="12"/>
  <c r="P239" i="12"/>
  <c r="M239" i="12"/>
  <c r="L239" i="12"/>
  <c r="K239" i="12"/>
  <c r="J239" i="12"/>
  <c r="I239" i="12"/>
  <c r="R239" i="12"/>
  <c r="H239" i="12"/>
  <c r="G239" i="12"/>
  <c r="F239" i="12"/>
  <c r="E239" i="12"/>
  <c r="D239" i="12"/>
  <c r="C239" i="12"/>
  <c r="B239" i="12"/>
  <c r="A239" i="12"/>
  <c r="Q239" i="12"/>
  <c r="P238" i="12"/>
  <c r="M238" i="12"/>
  <c r="L238" i="12"/>
  <c r="K238" i="12"/>
  <c r="J238" i="12"/>
  <c r="I238" i="12"/>
  <c r="R238" i="12"/>
  <c r="H238" i="12"/>
  <c r="G238" i="12"/>
  <c r="F238" i="12"/>
  <c r="E238" i="12"/>
  <c r="D238" i="12"/>
  <c r="C238" i="12"/>
  <c r="B238" i="12"/>
  <c r="A238" i="12"/>
  <c r="Q238" i="12"/>
  <c r="P237" i="12"/>
  <c r="M237" i="12"/>
  <c r="L237" i="12"/>
  <c r="K237" i="12"/>
  <c r="J237" i="12"/>
  <c r="I237" i="12"/>
  <c r="R237" i="12"/>
  <c r="H237" i="12"/>
  <c r="G237" i="12"/>
  <c r="F237" i="12"/>
  <c r="E237" i="12"/>
  <c r="D237" i="12"/>
  <c r="C237" i="12"/>
  <c r="B237" i="12"/>
  <c r="A237" i="12"/>
  <c r="Q237" i="12"/>
  <c r="P236" i="12"/>
  <c r="M236" i="12"/>
  <c r="L236" i="12"/>
  <c r="K236" i="12"/>
  <c r="J236" i="12"/>
  <c r="I236" i="12"/>
  <c r="R236" i="12"/>
  <c r="H236" i="12"/>
  <c r="G236" i="12"/>
  <c r="F236" i="12"/>
  <c r="E236" i="12"/>
  <c r="D236" i="12"/>
  <c r="C236" i="12"/>
  <c r="B236" i="12"/>
  <c r="A236" i="12"/>
  <c r="Q236" i="12"/>
  <c r="P235" i="12"/>
  <c r="M235" i="12"/>
  <c r="L235" i="12"/>
  <c r="K235" i="12"/>
  <c r="J235" i="12"/>
  <c r="I235" i="12"/>
  <c r="R235" i="12"/>
  <c r="H235" i="12"/>
  <c r="G235" i="12"/>
  <c r="F235" i="12"/>
  <c r="E235" i="12"/>
  <c r="D235" i="12"/>
  <c r="C235" i="12"/>
  <c r="B235" i="12"/>
  <c r="A235" i="12"/>
  <c r="Q235" i="12"/>
  <c r="P234" i="12"/>
  <c r="M234" i="12"/>
  <c r="L234" i="12"/>
  <c r="K234" i="12"/>
  <c r="J234" i="12"/>
  <c r="I234" i="12"/>
  <c r="R234" i="12"/>
  <c r="H234" i="12"/>
  <c r="G234" i="12"/>
  <c r="F234" i="12"/>
  <c r="E234" i="12"/>
  <c r="D234" i="12"/>
  <c r="C234" i="12"/>
  <c r="B234" i="12"/>
  <c r="A234" i="12"/>
  <c r="Q234" i="12"/>
  <c r="P233" i="12"/>
  <c r="M233" i="12"/>
  <c r="L233" i="12"/>
  <c r="K233" i="12"/>
  <c r="J233" i="12"/>
  <c r="I233" i="12"/>
  <c r="R233" i="12"/>
  <c r="H233" i="12"/>
  <c r="G233" i="12"/>
  <c r="F233" i="12"/>
  <c r="E233" i="12"/>
  <c r="D233" i="12"/>
  <c r="C233" i="12"/>
  <c r="B233" i="12"/>
  <c r="A233" i="12"/>
  <c r="Q233" i="12"/>
  <c r="P232" i="12"/>
  <c r="M232" i="12"/>
  <c r="L232" i="12"/>
  <c r="K232" i="12"/>
  <c r="J232" i="12"/>
  <c r="I232" i="12"/>
  <c r="R232" i="12"/>
  <c r="H232" i="12"/>
  <c r="G232" i="12"/>
  <c r="F232" i="12"/>
  <c r="E232" i="12"/>
  <c r="D232" i="12"/>
  <c r="C232" i="12"/>
  <c r="B232" i="12"/>
  <c r="A232" i="12"/>
  <c r="Q232" i="12"/>
  <c r="P231" i="12"/>
  <c r="M231" i="12"/>
  <c r="L231" i="12"/>
  <c r="K231" i="12"/>
  <c r="J231" i="12"/>
  <c r="I231" i="12"/>
  <c r="R231" i="12"/>
  <c r="H231" i="12"/>
  <c r="G231" i="12"/>
  <c r="F231" i="12"/>
  <c r="E231" i="12"/>
  <c r="D231" i="12"/>
  <c r="C231" i="12"/>
  <c r="B231" i="12"/>
  <c r="A231" i="12"/>
  <c r="Q231" i="12"/>
  <c r="P230" i="12"/>
  <c r="M230" i="12"/>
  <c r="L230" i="12"/>
  <c r="K230" i="12"/>
  <c r="J230" i="12"/>
  <c r="I230" i="12"/>
  <c r="R230" i="12"/>
  <c r="H230" i="12"/>
  <c r="G230" i="12"/>
  <c r="F230" i="12"/>
  <c r="E230" i="12"/>
  <c r="D230" i="12"/>
  <c r="C230" i="12"/>
  <c r="B230" i="12"/>
  <c r="A230" i="12"/>
  <c r="Q230" i="12"/>
  <c r="P229" i="12"/>
  <c r="M229" i="12"/>
  <c r="L229" i="12"/>
  <c r="K229" i="12"/>
  <c r="J229" i="12"/>
  <c r="I229" i="12"/>
  <c r="R229" i="12"/>
  <c r="H229" i="12"/>
  <c r="G229" i="12"/>
  <c r="F229" i="12"/>
  <c r="E229" i="12"/>
  <c r="D229" i="12"/>
  <c r="C229" i="12"/>
  <c r="B229" i="12"/>
  <c r="A229" i="12"/>
  <c r="Q229" i="12"/>
  <c r="P228" i="12"/>
  <c r="M228" i="12"/>
  <c r="L228" i="12"/>
  <c r="K228" i="12"/>
  <c r="J228" i="12"/>
  <c r="I228" i="12"/>
  <c r="R228" i="12"/>
  <c r="H228" i="12"/>
  <c r="G228" i="12"/>
  <c r="F228" i="12"/>
  <c r="E228" i="12"/>
  <c r="D228" i="12"/>
  <c r="C228" i="12"/>
  <c r="B228" i="12"/>
  <c r="A228" i="12"/>
  <c r="Q228" i="12"/>
  <c r="P227" i="12"/>
  <c r="M227" i="12"/>
  <c r="L227" i="12"/>
  <c r="K227" i="12"/>
  <c r="J227" i="12"/>
  <c r="I227" i="12"/>
  <c r="R227" i="12"/>
  <c r="H227" i="12"/>
  <c r="G227" i="12"/>
  <c r="F227" i="12"/>
  <c r="E227" i="12"/>
  <c r="D227" i="12"/>
  <c r="C227" i="12"/>
  <c r="B227" i="12"/>
  <c r="A227" i="12"/>
  <c r="Q227" i="12"/>
  <c r="P226" i="12"/>
  <c r="M226" i="12"/>
  <c r="L226" i="12"/>
  <c r="K226" i="12"/>
  <c r="J226" i="12"/>
  <c r="I226" i="12"/>
  <c r="R226" i="12"/>
  <c r="H226" i="12"/>
  <c r="G226" i="12"/>
  <c r="F226" i="12"/>
  <c r="E226" i="12"/>
  <c r="D226" i="12"/>
  <c r="C226" i="12"/>
  <c r="B226" i="12"/>
  <c r="A226" i="12"/>
  <c r="Q226" i="12"/>
  <c r="P225" i="12"/>
  <c r="M225" i="12"/>
  <c r="L225" i="12"/>
  <c r="K225" i="12"/>
  <c r="J225" i="12"/>
  <c r="I225" i="12"/>
  <c r="R225" i="12"/>
  <c r="H225" i="12"/>
  <c r="G225" i="12"/>
  <c r="F225" i="12"/>
  <c r="E225" i="12"/>
  <c r="D225" i="12"/>
  <c r="C225" i="12"/>
  <c r="B225" i="12"/>
  <c r="A225" i="12"/>
  <c r="Q225" i="12"/>
  <c r="P224" i="12"/>
  <c r="M224" i="12"/>
  <c r="L224" i="12"/>
  <c r="K224" i="12"/>
  <c r="J224" i="12"/>
  <c r="I224" i="12"/>
  <c r="R224" i="12"/>
  <c r="H224" i="12"/>
  <c r="G224" i="12"/>
  <c r="F224" i="12"/>
  <c r="E224" i="12"/>
  <c r="D224" i="12"/>
  <c r="C224" i="12"/>
  <c r="B224" i="12"/>
  <c r="A224" i="12"/>
  <c r="Q224" i="12"/>
  <c r="P223" i="12"/>
  <c r="M223" i="12"/>
  <c r="L223" i="12"/>
  <c r="K223" i="12"/>
  <c r="J223" i="12"/>
  <c r="I223" i="12"/>
  <c r="R223" i="12"/>
  <c r="H223" i="12"/>
  <c r="G223" i="12"/>
  <c r="F223" i="12"/>
  <c r="E223" i="12"/>
  <c r="D223" i="12"/>
  <c r="C223" i="12"/>
  <c r="B223" i="12"/>
  <c r="A223" i="12"/>
  <c r="Q223" i="12"/>
  <c r="P222" i="12"/>
  <c r="M222" i="12"/>
  <c r="L222" i="12"/>
  <c r="K222" i="12"/>
  <c r="J222" i="12"/>
  <c r="I222" i="12"/>
  <c r="R222" i="12"/>
  <c r="H222" i="12"/>
  <c r="G222" i="12"/>
  <c r="F222" i="12"/>
  <c r="E222" i="12"/>
  <c r="D222" i="12"/>
  <c r="C222" i="12"/>
  <c r="B222" i="12"/>
  <c r="A222" i="12"/>
  <c r="Q222" i="12"/>
  <c r="P221" i="12"/>
  <c r="M221" i="12"/>
  <c r="L221" i="12"/>
  <c r="K221" i="12"/>
  <c r="J221" i="12"/>
  <c r="I221" i="12"/>
  <c r="R221" i="12"/>
  <c r="H221" i="12"/>
  <c r="G221" i="12"/>
  <c r="F221" i="12"/>
  <c r="E221" i="12"/>
  <c r="D221" i="12"/>
  <c r="C221" i="12"/>
  <c r="B221" i="12"/>
  <c r="A221" i="12"/>
  <c r="Q221" i="12"/>
  <c r="P220" i="12"/>
  <c r="M220" i="12"/>
  <c r="L220" i="12"/>
  <c r="K220" i="12"/>
  <c r="J220" i="12"/>
  <c r="I220" i="12"/>
  <c r="R220" i="12"/>
  <c r="H220" i="12"/>
  <c r="G220" i="12"/>
  <c r="F220" i="12"/>
  <c r="E220" i="12"/>
  <c r="D220" i="12"/>
  <c r="C220" i="12"/>
  <c r="B220" i="12"/>
  <c r="A220" i="12"/>
  <c r="Q220" i="12"/>
  <c r="P219" i="12"/>
  <c r="M219" i="12"/>
  <c r="L219" i="12"/>
  <c r="K219" i="12"/>
  <c r="J219" i="12"/>
  <c r="I219" i="12"/>
  <c r="R219" i="12"/>
  <c r="H219" i="12"/>
  <c r="G219" i="12"/>
  <c r="F219" i="12"/>
  <c r="E219" i="12"/>
  <c r="D219" i="12"/>
  <c r="C219" i="12"/>
  <c r="B219" i="12"/>
  <c r="A219" i="12"/>
  <c r="Q219" i="12"/>
  <c r="P218" i="12"/>
  <c r="M218" i="12"/>
  <c r="L218" i="12"/>
  <c r="K218" i="12"/>
  <c r="J218" i="12"/>
  <c r="I218" i="12"/>
  <c r="R218" i="12"/>
  <c r="H218" i="12"/>
  <c r="G218" i="12"/>
  <c r="F218" i="12"/>
  <c r="E218" i="12"/>
  <c r="D218" i="12"/>
  <c r="C218" i="12"/>
  <c r="B218" i="12"/>
  <c r="A218" i="12"/>
  <c r="Q218" i="12"/>
  <c r="P217" i="12"/>
  <c r="M217" i="12"/>
  <c r="L217" i="12"/>
  <c r="K217" i="12"/>
  <c r="J217" i="12"/>
  <c r="I217" i="12"/>
  <c r="R217" i="12"/>
  <c r="H217" i="12"/>
  <c r="G217" i="12"/>
  <c r="F217" i="12"/>
  <c r="E217" i="12"/>
  <c r="D217" i="12"/>
  <c r="C217" i="12"/>
  <c r="B217" i="12"/>
  <c r="A217" i="12"/>
  <c r="Q217" i="12"/>
  <c r="P216" i="12"/>
  <c r="M216" i="12"/>
  <c r="L216" i="12"/>
  <c r="K216" i="12"/>
  <c r="J216" i="12"/>
  <c r="I216" i="12"/>
  <c r="R216" i="12"/>
  <c r="H216" i="12"/>
  <c r="G216" i="12"/>
  <c r="F216" i="12"/>
  <c r="E216" i="12"/>
  <c r="D216" i="12"/>
  <c r="C216" i="12"/>
  <c r="B216" i="12"/>
  <c r="A216" i="12"/>
  <c r="Q216" i="12"/>
  <c r="P215" i="12"/>
  <c r="M215" i="12"/>
  <c r="L215" i="12"/>
  <c r="K215" i="12"/>
  <c r="J215" i="12"/>
  <c r="I215" i="12"/>
  <c r="R215" i="12"/>
  <c r="H215" i="12"/>
  <c r="G215" i="12"/>
  <c r="F215" i="12"/>
  <c r="E215" i="12"/>
  <c r="D215" i="12"/>
  <c r="C215" i="12"/>
  <c r="B215" i="12"/>
  <c r="A215" i="12"/>
  <c r="Q215" i="12"/>
  <c r="P214" i="12"/>
  <c r="M214" i="12"/>
  <c r="L214" i="12"/>
  <c r="K214" i="12"/>
  <c r="J214" i="12"/>
  <c r="I214" i="12"/>
  <c r="R214" i="12"/>
  <c r="H214" i="12"/>
  <c r="G214" i="12"/>
  <c r="F214" i="12"/>
  <c r="E214" i="12"/>
  <c r="D214" i="12"/>
  <c r="C214" i="12"/>
  <c r="B214" i="12"/>
  <c r="A214" i="12"/>
  <c r="Q214" i="12"/>
  <c r="P213" i="12"/>
  <c r="M213" i="12"/>
  <c r="L213" i="12"/>
  <c r="K213" i="12"/>
  <c r="J213" i="12"/>
  <c r="I213" i="12"/>
  <c r="R213" i="12"/>
  <c r="H213" i="12"/>
  <c r="G213" i="12"/>
  <c r="F213" i="12"/>
  <c r="E213" i="12"/>
  <c r="D213" i="12"/>
  <c r="C213" i="12"/>
  <c r="B213" i="12"/>
  <c r="A213" i="12"/>
  <c r="Q213" i="12"/>
  <c r="P212" i="12"/>
  <c r="M212" i="12"/>
  <c r="L212" i="12"/>
  <c r="K212" i="12"/>
  <c r="J212" i="12"/>
  <c r="I212" i="12"/>
  <c r="R212" i="12"/>
  <c r="H212" i="12"/>
  <c r="G212" i="12"/>
  <c r="F212" i="12"/>
  <c r="E212" i="12"/>
  <c r="D212" i="12"/>
  <c r="C212" i="12"/>
  <c r="B212" i="12"/>
  <c r="A212" i="12"/>
  <c r="Q212" i="12"/>
  <c r="P211" i="12"/>
  <c r="M211" i="12"/>
  <c r="L211" i="12"/>
  <c r="K211" i="12"/>
  <c r="J211" i="12"/>
  <c r="I211" i="12"/>
  <c r="R211" i="12"/>
  <c r="H211" i="12"/>
  <c r="G211" i="12"/>
  <c r="F211" i="12"/>
  <c r="E211" i="12"/>
  <c r="D211" i="12"/>
  <c r="C211" i="12"/>
  <c r="B211" i="12"/>
  <c r="A211" i="12"/>
  <c r="Q211" i="12"/>
  <c r="P210" i="12"/>
  <c r="M210" i="12"/>
  <c r="L210" i="12"/>
  <c r="K210" i="12"/>
  <c r="J210" i="12"/>
  <c r="I210" i="12"/>
  <c r="R210" i="12"/>
  <c r="H210" i="12"/>
  <c r="G210" i="12"/>
  <c r="F210" i="12"/>
  <c r="E210" i="12"/>
  <c r="D210" i="12"/>
  <c r="C210" i="12"/>
  <c r="B210" i="12"/>
  <c r="A210" i="12"/>
  <c r="Q210" i="12"/>
  <c r="P209" i="12"/>
  <c r="M209" i="12"/>
  <c r="L209" i="12"/>
  <c r="K209" i="12"/>
  <c r="J209" i="12"/>
  <c r="I209" i="12"/>
  <c r="R209" i="12"/>
  <c r="H209" i="12"/>
  <c r="G209" i="12"/>
  <c r="F209" i="12"/>
  <c r="E209" i="12"/>
  <c r="D209" i="12"/>
  <c r="C209" i="12"/>
  <c r="B209" i="12"/>
  <c r="A209" i="12"/>
  <c r="Q209" i="12"/>
  <c r="P208" i="12"/>
  <c r="M208" i="12"/>
  <c r="L208" i="12"/>
  <c r="K208" i="12"/>
  <c r="J208" i="12"/>
  <c r="I208" i="12"/>
  <c r="R208" i="12"/>
  <c r="H208" i="12"/>
  <c r="G208" i="12"/>
  <c r="F208" i="12"/>
  <c r="E208" i="12"/>
  <c r="D208" i="12"/>
  <c r="C208" i="12"/>
  <c r="B208" i="12"/>
  <c r="A208" i="12"/>
  <c r="Q208" i="12"/>
  <c r="P207" i="12"/>
  <c r="M207" i="12"/>
  <c r="L207" i="12"/>
  <c r="K207" i="12"/>
  <c r="J207" i="12"/>
  <c r="I207" i="12"/>
  <c r="R207" i="12"/>
  <c r="H207" i="12"/>
  <c r="G207" i="12"/>
  <c r="F207" i="12"/>
  <c r="E207" i="12"/>
  <c r="D207" i="12"/>
  <c r="C207" i="12"/>
  <c r="B207" i="12"/>
  <c r="A207" i="12"/>
  <c r="Q207" i="12"/>
  <c r="P206" i="12"/>
  <c r="M206" i="12"/>
  <c r="L206" i="12"/>
  <c r="K206" i="12"/>
  <c r="J206" i="12"/>
  <c r="I206" i="12"/>
  <c r="R206" i="12"/>
  <c r="H206" i="12"/>
  <c r="G206" i="12"/>
  <c r="F206" i="12"/>
  <c r="E206" i="12"/>
  <c r="D206" i="12"/>
  <c r="C206" i="12"/>
  <c r="B206" i="12"/>
  <c r="A206" i="12"/>
  <c r="Q206" i="12"/>
  <c r="P205" i="12"/>
  <c r="M205" i="12"/>
  <c r="L205" i="12"/>
  <c r="K205" i="12"/>
  <c r="J205" i="12"/>
  <c r="I205" i="12"/>
  <c r="R205" i="12"/>
  <c r="H205" i="12"/>
  <c r="G205" i="12"/>
  <c r="F205" i="12"/>
  <c r="E205" i="12"/>
  <c r="D205" i="12"/>
  <c r="C205" i="12"/>
  <c r="B205" i="12"/>
  <c r="A205" i="12"/>
  <c r="Q205" i="12"/>
  <c r="P204" i="12"/>
  <c r="M204" i="12"/>
  <c r="L204" i="12"/>
  <c r="K204" i="12"/>
  <c r="J204" i="12"/>
  <c r="I204" i="12"/>
  <c r="R204" i="12"/>
  <c r="H204" i="12"/>
  <c r="G204" i="12"/>
  <c r="F204" i="12"/>
  <c r="E204" i="12"/>
  <c r="D204" i="12"/>
  <c r="C204" i="12"/>
  <c r="B204" i="12"/>
  <c r="A204" i="12"/>
  <c r="Q204" i="12"/>
  <c r="P203" i="12"/>
  <c r="M203" i="12"/>
  <c r="L203" i="12"/>
  <c r="K203" i="12"/>
  <c r="J203" i="12"/>
  <c r="I203" i="12"/>
  <c r="R203" i="12"/>
  <c r="H203" i="12"/>
  <c r="G203" i="12"/>
  <c r="F203" i="12"/>
  <c r="E203" i="12"/>
  <c r="D203" i="12"/>
  <c r="C203" i="12"/>
  <c r="B203" i="12"/>
  <c r="A203" i="12"/>
  <c r="Q203" i="12"/>
  <c r="P202" i="12"/>
  <c r="M202" i="12"/>
  <c r="L202" i="12"/>
  <c r="K202" i="12"/>
  <c r="J202" i="12"/>
  <c r="I202" i="12"/>
  <c r="R202" i="12"/>
  <c r="H202" i="12"/>
  <c r="G202" i="12"/>
  <c r="F202" i="12"/>
  <c r="E202" i="12"/>
  <c r="D202" i="12"/>
  <c r="C202" i="12"/>
  <c r="B202" i="12"/>
  <c r="A202" i="12"/>
  <c r="Q202" i="12"/>
  <c r="P201" i="12"/>
  <c r="M201" i="12"/>
  <c r="L201" i="12"/>
  <c r="K201" i="12"/>
  <c r="J201" i="12"/>
  <c r="I201" i="12"/>
  <c r="R201" i="12"/>
  <c r="H201" i="12"/>
  <c r="G201" i="12"/>
  <c r="F201" i="12"/>
  <c r="E201" i="12"/>
  <c r="D201" i="12"/>
  <c r="C201" i="12"/>
  <c r="B201" i="12"/>
  <c r="A201" i="12"/>
  <c r="Q201" i="12"/>
  <c r="P200" i="12"/>
  <c r="M200" i="12"/>
  <c r="L200" i="12"/>
  <c r="K200" i="12"/>
  <c r="J200" i="12"/>
  <c r="I200" i="12"/>
  <c r="R200" i="12"/>
  <c r="H200" i="12"/>
  <c r="G200" i="12"/>
  <c r="F200" i="12"/>
  <c r="E200" i="12"/>
  <c r="D200" i="12"/>
  <c r="C200" i="12"/>
  <c r="B200" i="12"/>
  <c r="A200" i="12"/>
  <c r="Q200" i="12"/>
  <c r="P199" i="12"/>
  <c r="M199" i="12"/>
  <c r="L199" i="12"/>
  <c r="K199" i="12"/>
  <c r="J199" i="12"/>
  <c r="I199" i="12"/>
  <c r="R199" i="12"/>
  <c r="H199" i="12"/>
  <c r="G199" i="12"/>
  <c r="F199" i="12"/>
  <c r="E199" i="12"/>
  <c r="D199" i="12"/>
  <c r="C199" i="12"/>
  <c r="B199" i="12"/>
  <c r="A199" i="12"/>
  <c r="Q199" i="12"/>
  <c r="P198" i="12"/>
  <c r="M198" i="12"/>
  <c r="L198" i="12"/>
  <c r="K198" i="12"/>
  <c r="J198" i="12"/>
  <c r="I198" i="12"/>
  <c r="R198" i="12"/>
  <c r="H198" i="12"/>
  <c r="G198" i="12"/>
  <c r="F198" i="12"/>
  <c r="E198" i="12"/>
  <c r="D198" i="12"/>
  <c r="C198" i="12"/>
  <c r="B198" i="12"/>
  <c r="A198" i="12"/>
  <c r="Q198" i="12"/>
  <c r="P197" i="12"/>
  <c r="M197" i="12"/>
  <c r="L197" i="12"/>
  <c r="K197" i="12"/>
  <c r="J197" i="12"/>
  <c r="I197" i="12"/>
  <c r="R197" i="12"/>
  <c r="H197" i="12"/>
  <c r="G197" i="12"/>
  <c r="F197" i="12"/>
  <c r="E197" i="12"/>
  <c r="D197" i="12"/>
  <c r="C197" i="12"/>
  <c r="B197" i="12"/>
  <c r="A197" i="12"/>
  <c r="Q197" i="12"/>
  <c r="P196" i="12"/>
  <c r="M196" i="12"/>
  <c r="L196" i="12"/>
  <c r="K196" i="12"/>
  <c r="J196" i="12"/>
  <c r="I196" i="12"/>
  <c r="R196" i="12"/>
  <c r="H196" i="12"/>
  <c r="G196" i="12"/>
  <c r="F196" i="12"/>
  <c r="E196" i="12"/>
  <c r="D196" i="12"/>
  <c r="C196" i="12"/>
  <c r="B196" i="12"/>
  <c r="A196" i="12"/>
  <c r="Q196" i="12"/>
  <c r="P195" i="12"/>
  <c r="M195" i="12"/>
  <c r="L195" i="12"/>
  <c r="K195" i="12"/>
  <c r="J195" i="12"/>
  <c r="I195" i="12"/>
  <c r="R195" i="12"/>
  <c r="H195" i="12"/>
  <c r="G195" i="12"/>
  <c r="F195" i="12"/>
  <c r="E195" i="12"/>
  <c r="D195" i="12"/>
  <c r="C195" i="12"/>
  <c r="B195" i="12"/>
  <c r="A195" i="12"/>
  <c r="Q195" i="12"/>
  <c r="P194" i="12"/>
  <c r="M194" i="12"/>
  <c r="L194" i="12"/>
  <c r="K194" i="12"/>
  <c r="J194" i="12"/>
  <c r="I194" i="12"/>
  <c r="R194" i="12"/>
  <c r="H194" i="12"/>
  <c r="G194" i="12"/>
  <c r="F194" i="12"/>
  <c r="E194" i="12"/>
  <c r="D194" i="12"/>
  <c r="C194" i="12"/>
  <c r="B194" i="12"/>
  <c r="A194" i="12"/>
  <c r="Q194" i="12"/>
  <c r="P193" i="12"/>
  <c r="M193" i="12"/>
  <c r="L193" i="12"/>
  <c r="K193" i="12"/>
  <c r="J193" i="12"/>
  <c r="I193" i="12"/>
  <c r="R193" i="12"/>
  <c r="H193" i="12"/>
  <c r="G193" i="12"/>
  <c r="F193" i="12"/>
  <c r="E193" i="12"/>
  <c r="D193" i="12"/>
  <c r="C193" i="12"/>
  <c r="B193" i="12"/>
  <c r="A193" i="12"/>
  <c r="Q193" i="12"/>
  <c r="P192" i="12"/>
  <c r="M192" i="12"/>
  <c r="L192" i="12"/>
  <c r="K192" i="12"/>
  <c r="J192" i="12"/>
  <c r="I192" i="12"/>
  <c r="R192" i="12"/>
  <c r="H192" i="12"/>
  <c r="G192" i="12"/>
  <c r="F192" i="12"/>
  <c r="E192" i="12"/>
  <c r="D192" i="12"/>
  <c r="C192" i="12"/>
  <c r="B192" i="12"/>
  <c r="A192" i="12"/>
  <c r="Q192" i="12"/>
  <c r="P191" i="12"/>
  <c r="M191" i="12"/>
  <c r="L191" i="12"/>
  <c r="K191" i="12"/>
  <c r="J191" i="12"/>
  <c r="I191" i="12"/>
  <c r="R191" i="12"/>
  <c r="H191" i="12"/>
  <c r="G191" i="12"/>
  <c r="F191" i="12"/>
  <c r="E191" i="12"/>
  <c r="D191" i="12"/>
  <c r="C191" i="12"/>
  <c r="B191" i="12"/>
  <c r="A191" i="12"/>
  <c r="Q191" i="12"/>
  <c r="P190" i="12"/>
  <c r="M190" i="12"/>
  <c r="L190" i="12"/>
  <c r="K190" i="12"/>
  <c r="J190" i="12"/>
  <c r="I190" i="12"/>
  <c r="R190" i="12"/>
  <c r="H190" i="12"/>
  <c r="G190" i="12"/>
  <c r="F190" i="12"/>
  <c r="E190" i="12"/>
  <c r="D190" i="12"/>
  <c r="C190" i="12"/>
  <c r="B190" i="12"/>
  <c r="A190" i="12"/>
  <c r="Q190" i="12"/>
  <c r="P189" i="12"/>
  <c r="M189" i="12"/>
  <c r="L189" i="12"/>
  <c r="K189" i="12"/>
  <c r="J189" i="12"/>
  <c r="I189" i="12"/>
  <c r="R189" i="12"/>
  <c r="H189" i="12"/>
  <c r="G189" i="12"/>
  <c r="F189" i="12"/>
  <c r="E189" i="12"/>
  <c r="D189" i="12"/>
  <c r="C189" i="12"/>
  <c r="B189" i="12"/>
  <c r="A189" i="12"/>
  <c r="Q189" i="12"/>
  <c r="P188" i="12"/>
  <c r="M188" i="12"/>
  <c r="L188" i="12"/>
  <c r="K188" i="12"/>
  <c r="J188" i="12"/>
  <c r="I188" i="12"/>
  <c r="R188" i="12"/>
  <c r="H188" i="12"/>
  <c r="G188" i="12"/>
  <c r="F188" i="12"/>
  <c r="E188" i="12"/>
  <c r="D188" i="12"/>
  <c r="C188" i="12"/>
  <c r="B188" i="12"/>
  <c r="A188" i="12"/>
  <c r="Q188" i="12"/>
  <c r="P187" i="12"/>
  <c r="M187" i="12"/>
  <c r="L187" i="12"/>
  <c r="K187" i="12"/>
  <c r="J187" i="12"/>
  <c r="I187" i="12"/>
  <c r="R187" i="12"/>
  <c r="H187" i="12"/>
  <c r="G187" i="12"/>
  <c r="F187" i="12"/>
  <c r="E187" i="12"/>
  <c r="D187" i="12"/>
  <c r="C187" i="12"/>
  <c r="B187" i="12"/>
  <c r="A187" i="12"/>
  <c r="Q187" i="12"/>
  <c r="P186" i="12"/>
  <c r="M186" i="12"/>
  <c r="L186" i="12"/>
  <c r="K186" i="12"/>
  <c r="J186" i="12"/>
  <c r="I186" i="12"/>
  <c r="R186" i="12"/>
  <c r="H186" i="12"/>
  <c r="G186" i="12"/>
  <c r="F186" i="12"/>
  <c r="E186" i="12"/>
  <c r="D186" i="12"/>
  <c r="C186" i="12"/>
  <c r="B186" i="12"/>
  <c r="A186" i="12"/>
  <c r="Q186" i="12"/>
  <c r="P185" i="12"/>
  <c r="M185" i="12"/>
  <c r="L185" i="12"/>
  <c r="K185" i="12"/>
  <c r="J185" i="12"/>
  <c r="I185" i="12"/>
  <c r="R185" i="12"/>
  <c r="H185" i="12"/>
  <c r="G185" i="12"/>
  <c r="F185" i="12"/>
  <c r="E185" i="12"/>
  <c r="D185" i="12"/>
  <c r="C185" i="12"/>
  <c r="B185" i="12"/>
  <c r="A185" i="12"/>
  <c r="Q185" i="12"/>
  <c r="P184" i="12"/>
  <c r="M184" i="12"/>
  <c r="L184" i="12"/>
  <c r="K184" i="12"/>
  <c r="J184" i="12"/>
  <c r="I184" i="12"/>
  <c r="R184" i="12"/>
  <c r="H184" i="12"/>
  <c r="G184" i="12"/>
  <c r="F184" i="12"/>
  <c r="E184" i="12"/>
  <c r="D184" i="12"/>
  <c r="C184" i="12"/>
  <c r="B184" i="12"/>
  <c r="A184" i="12"/>
  <c r="Q184" i="12"/>
  <c r="P183" i="12"/>
  <c r="M183" i="12"/>
  <c r="L183" i="12"/>
  <c r="K183" i="12"/>
  <c r="J183" i="12"/>
  <c r="I183" i="12"/>
  <c r="R183" i="12"/>
  <c r="H183" i="12"/>
  <c r="G183" i="12"/>
  <c r="F183" i="12"/>
  <c r="E183" i="12"/>
  <c r="D183" i="12"/>
  <c r="C183" i="12"/>
  <c r="B183" i="12"/>
  <c r="A183" i="12"/>
  <c r="Q183" i="12"/>
  <c r="P182" i="12"/>
  <c r="M182" i="12"/>
  <c r="L182" i="12"/>
  <c r="K182" i="12"/>
  <c r="J182" i="12"/>
  <c r="I182" i="12"/>
  <c r="R182" i="12"/>
  <c r="H182" i="12"/>
  <c r="G182" i="12"/>
  <c r="F182" i="12"/>
  <c r="E182" i="12"/>
  <c r="D182" i="12"/>
  <c r="C182" i="12"/>
  <c r="B182" i="12"/>
  <c r="A182" i="12"/>
  <c r="Q182" i="12"/>
  <c r="P181" i="12"/>
  <c r="M181" i="12"/>
  <c r="L181" i="12"/>
  <c r="K181" i="12"/>
  <c r="J181" i="12"/>
  <c r="I181" i="12"/>
  <c r="R181" i="12"/>
  <c r="H181" i="12"/>
  <c r="G181" i="12"/>
  <c r="F181" i="12"/>
  <c r="E181" i="12"/>
  <c r="D181" i="12"/>
  <c r="C181" i="12"/>
  <c r="B181" i="12"/>
  <c r="A181" i="12"/>
  <c r="Q181" i="12"/>
  <c r="P180" i="12"/>
  <c r="M180" i="12"/>
  <c r="L180" i="12"/>
  <c r="K180" i="12"/>
  <c r="J180" i="12"/>
  <c r="I180" i="12"/>
  <c r="R180" i="12"/>
  <c r="H180" i="12"/>
  <c r="G180" i="12"/>
  <c r="F180" i="12"/>
  <c r="E180" i="12"/>
  <c r="D180" i="12"/>
  <c r="C180" i="12"/>
  <c r="B180" i="12"/>
  <c r="A180" i="12"/>
  <c r="Q180" i="12"/>
  <c r="P179" i="12"/>
  <c r="M179" i="12"/>
  <c r="L179" i="12"/>
  <c r="K179" i="12"/>
  <c r="J179" i="12"/>
  <c r="I179" i="12"/>
  <c r="R179" i="12"/>
  <c r="H179" i="12"/>
  <c r="G179" i="12"/>
  <c r="F179" i="12"/>
  <c r="E179" i="12"/>
  <c r="D179" i="12"/>
  <c r="C179" i="12"/>
  <c r="B179" i="12"/>
  <c r="A179" i="12"/>
  <c r="Q179" i="12"/>
  <c r="P178" i="12"/>
  <c r="M178" i="12"/>
  <c r="L178" i="12"/>
  <c r="K178" i="12"/>
  <c r="J178" i="12"/>
  <c r="I178" i="12"/>
  <c r="R178" i="12"/>
  <c r="H178" i="12"/>
  <c r="G178" i="12"/>
  <c r="F178" i="12"/>
  <c r="E178" i="12"/>
  <c r="D178" i="12"/>
  <c r="C178" i="12"/>
  <c r="B178" i="12"/>
  <c r="A178" i="12"/>
  <c r="Q178" i="12"/>
  <c r="P177" i="12"/>
  <c r="M177" i="12"/>
  <c r="L177" i="12"/>
  <c r="K177" i="12"/>
  <c r="J177" i="12"/>
  <c r="I177" i="12"/>
  <c r="R177" i="12"/>
  <c r="H177" i="12"/>
  <c r="G177" i="12"/>
  <c r="F177" i="12"/>
  <c r="E177" i="12"/>
  <c r="D177" i="12"/>
  <c r="C177" i="12"/>
  <c r="B177" i="12"/>
  <c r="A177" i="12"/>
  <c r="Q177" i="12"/>
  <c r="P176" i="12"/>
  <c r="M176" i="12"/>
  <c r="L176" i="12"/>
  <c r="K176" i="12"/>
  <c r="J176" i="12"/>
  <c r="I176" i="12"/>
  <c r="R176" i="12"/>
  <c r="H176" i="12"/>
  <c r="G176" i="12"/>
  <c r="F176" i="12"/>
  <c r="E176" i="12"/>
  <c r="D176" i="12"/>
  <c r="C176" i="12"/>
  <c r="B176" i="12"/>
  <c r="A176" i="12"/>
  <c r="Q176" i="12"/>
  <c r="P175" i="12"/>
  <c r="M175" i="12"/>
  <c r="L175" i="12"/>
  <c r="K175" i="12"/>
  <c r="J175" i="12"/>
  <c r="I175" i="12"/>
  <c r="R175" i="12"/>
  <c r="H175" i="12"/>
  <c r="G175" i="12"/>
  <c r="F175" i="12"/>
  <c r="E175" i="12"/>
  <c r="D175" i="12"/>
  <c r="C175" i="12"/>
  <c r="B175" i="12"/>
  <c r="A175" i="12"/>
  <c r="Q175" i="12"/>
  <c r="P174" i="12"/>
  <c r="M174" i="12"/>
  <c r="L174" i="12"/>
  <c r="K174" i="12"/>
  <c r="J174" i="12"/>
  <c r="I174" i="12"/>
  <c r="R174" i="12"/>
  <c r="H174" i="12"/>
  <c r="G174" i="12"/>
  <c r="F174" i="12"/>
  <c r="E174" i="12"/>
  <c r="D174" i="12"/>
  <c r="C174" i="12"/>
  <c r="B174" i="12"/>
  <c r="A174" i="12"/>
  <c r="Q174" i="12"/>
  <c r="P173" i="12"/>
  <c r="M173" i="12"/>
  <c r="L173" i="12"/>
  <c r="K173" i="12"/>
  <c r="J173" i="12"/>
  <c r="I173" i="12"/>
  <c r="R173" i="12"/>
  <c r="H173" i="12"/>
  <c r="G173" i="12"/>
  <c r="F173" i="12"/>
  <c r="E173" i="12"/>
  <c r="D173" i="12"/>
  <c r="C173" i="12"/>
  <c r="B173" i="12"/>
  <c r="A173" i="12"/>
  <c r="Q173" i="12"/>
  <c r="P172" i="12"/>
  <c r="M172" i="12"/>
  <c r="L172" i="12"/>
  <c r="K172" i="12"/>
  <c r="J172" i="12"/>
  <c r="I172" i="12"/>
  <c r="R172" i="12"/>
  <c r="H172" i="12"/>
  <c r="G172" i="12"/>
  <c r="F172" i="12"/>
  <c r="E172" i="12"/>
  <c r="D172" i="12"/>
  <c r="C172" i="12"/>
  <c r="B172" i="12"/>
  <c r="A172" i="12"/>
  <c r="Q172" i="12"/>
  <c r="P171" i="12"/>
  <c r="M171" i="12"/>
  <c r="L171" i="12"/>
  <c r="K171" i="12"/>
  <c r="J171" i="12"/>
  <c r="I171" i="12"/>
  <c r="R171" i="12"/>
  <c r="H171" i="12"/>
  <c r="G171" i="12"/>
  <c r="F171" i="12"/>
  <c r="E171" i="12"/>
  <c r="D171" i="12"/>
  <c r="C171" i="12"/>
  <c r="B171" i="12"/>
  <c r="A171" i="12"/>
  <c r="Q171" i="12"/>
  <c r="P170" i="12"/>
  <c r="M170" i="12"/>
  <c r="L170" i="12"/>
  <c r="K170" i="12"/>
  <c r="J170" i="12"/>
  <c r="I170" i="12"/>
  <c r="R170" i="12"/>
  <c r="H170" i="12"/>
  <c r="G170" i="12"/>
  <c r="F170" i="12"/>
  <c r="E170" i="12"/>
  <c r="D170" i="12"/>
  <c r="C170" i="12"/>
  <c r="B170" i="12"/>
  <c r="A170" i="12"/>
  <c r="Q170" i="12"/>
  <c r="P169" i="12"/>
  <c r="M169" i="12"/>
  <c r="L169" i="12"/>
  <c r="K169" i="12"/>
  <c r="J169" i="12"/>
  <c r="I169" i="12"/>
  <c r="R169" i="12"/>
  <c r="H169" i="12"/>
  <c r="G169" i="12"/>
  <c r="F169" i="12"/>
  <c r="E169" i="12"/>
  <c r="D169" i="12"/>
  <c r="C169" i="12"/>
  <c r="B169" i="12"/>
  <c r="A169" i="12"/>
  <c r="Q169" i="12"/>
  <c r="P168" i="12"/>
  <c r="M168" i="12"/>
  <c r="L168" i="12"/>
  <c r="K168" i="12"/>
  <c r="J168" i="12"/>
  <c r="I168" i="12"/>
  <c r="R168" i="12"/>
  <c r="H168" i="12"/>
  <c r="G168" i="12"/>
  <c r="F168" i="12"/>
  <c r="E168" i="12"/>
  <c r="D168" i="12"/>
  <c r="C168" i="12"/>
  <c r="B168" i="12"/>
  <c r="A168" i="12"/>
  <c r="Q168" i="12"/>
  <c r="P167" i="12"/>
  <c r="M167" i="12"/>
  <c r="L167" i="12"/>
  <c r="K167" i="12"/>
  <c r="J167" i="12"/>
  <c r="I167" i="12"/>
  <c r="R167" i="12"/>
  <c r="H167" i="12"/>
  <c r="G167" i="12"/>
  <c r="F167" i="12"/>
  <c r="E167" i="12"/>
  <c r="D167" i="12"/>
  <c r="C167" i="12"/>
  <c r="B167" i="12"/>
  <c r="A167" i="12"/>
  <c r="Q167" i="12"/>
  <c r="P166" i="12"/>
  <c r="M166" i="12"/>
  <c r="L166" i="12"/>
  <c r="K166" i="12"/>
  <c r="J166" i="12"/>
  <c r="I166" i="12"/>
  <c r="R166" i="12"/>
  <c r="H166" i="12"/>
  <c r="G166" i="12"/>
  <c r="F166" i="12"/>
  <c r="E166" i="12"/>
  <c r="D166" i="12"/>
  <c r="C166" i="12"/>
  <c r="B166" i="12"/>
  <c r="A166" i="12"/>
  <c r="Q166" i="12"/>
  <c r="P165" i="12"/>
  <c r="M165" i="12"/>
  <c r="L165" i="12"/>
  <c r="K165" i="12"/>
  <c r="J165" i="12"/>
  <c r="I165" i="12"/>
  <c r="R165" i="12"/>
  <c r="H165" i="12"/>
  <c r="G165" i="12"/>
  <c r="F165" i="12"/>
  <c r="E165" i="12"/>
  <c r="D165" i="12"/>
  <c r="C165" i="12"/>
  <c r="B165" i="12"/>
  <c r="A165" i="12"/>
  <c r="Q165" i="12"/>
  <c r="P164" i="12"/>
  <c r="M164" i="12"/>
  <c r="L164" i="12"/>
  <c r="K164" i="12"/>
  <c r="J164" i="12"/>
  <c r="I164" i="12"/>
  <c r="R164" i="12"/>
  <c r="H164" i="12"/>
  <c r="G164" i="12"/>
  <c r="F164" i="12"/>
  <c r="E164" i="12"/>
  <c r="D164" i="12"/>
  <c r="C164" i="12"/>
  <c r="B164" i="12"/>
  <c r="A164" i="12"/>
  <c r="Q164" i="12"/>
  <c r="P163" i="12"/>
  <c r="M163" i="12"/>
  <c r="L163" i="12"/>
  <c r="K163" i="12"/>
  <c r="J163" i="12"/>
  <c r="I163" i="12"/>
  <c r="R163" i="12"/>
  <c r="H163" i="12"/>
  <c r="G163" i="12"/>
  <c r="F163" i="12"/>
  <c r="E163" i="12"/>
  <c r="D163" i="12"/>
  <c r="C163" i="12"/>
  <c r="B163" i="12"/>
  <c r="A163" i="12"/>
  <c r="Q163" i="12"/>
  <c r="P162" i="12"/>
  <c r="M162" i="12"/>
  <c r="L162" i="12"/>
  <c r="K162" i="12"/>
  <c r="J162" i="12"/>
  <c r="I162" i="12"/>
  <c r="R162" i="12"/>
  <c r="H162" i="12"/>
  <c r="G162" i="12"/>
  <c r="F162" i="12"/>
  <c r="E162" i="12"/>
  <c r="D162" i="12"/>
  <c r="C162" i="12"/>
  <c r="B162" i="12"/>
  <c r="A162" i="12"/>
  <c r="Q162" i="12"/>
  <c r="P161" i="12"/>
  <c r="M161" i="12"/>
  <c r="L161" i="12"/>
  <c r="K161" i="12"/>
  <c r="J161" i="12"/>
  <c r="I161" i="12"/>
  <c r="R161" i="12"/>
  <c r="H161" i="12"/>
  <c r="G161" i="12"/>
  <c r="F161" i="12"/>
  <c r="E161" i="12"/>
  <c r="D161" i="12"/>
  <c r="C161" i="12"/>
  <c r="B161" i="12"/>
  <c r="A161" i="12"/>
  <c r="Q161" i="12"/>
  <c r="P160" i="12"/>
  <c r="M160" i="12"/>
  <c r="L160" i="12"/>
  <c r="K160" i="12"/>
  <c r="J160" i="12"/>
  <c r="I160" i="12"/>
  <c r="R160" i="12"/>
  <c r="H160" i="12"/>
  <c r="G160" i="12"/>
  <c r="F160" i="12"/>
  <c r="E160" i="12"/>
  <c r="D160" i="12"/>
  <c r="C160" i="12"/>
  <c r="B160" i="12"/>
  <c r="A160" i="12"/>
  <c r="Q160" i="12"/>
  <c r="P159" i="12"/>
  <c r="M159" i="12"/>
  <c r="L159" i="12"/>
  <c r="K159" i="12"/>
  <c r="J159" i="12"/>
  <c r="I159" i="12"/>
  <c r="R159" i="12"/>
  <c r="H159" i="12"/>
  <c r="G159" i="12"/>
  <c r="F159" i="12"/>
  <c r="E159" i="12"/>
  <c r="D159" i="12"/>
  <c r="C159" i="12"/>
  <c r="B159" i="12"/>
  <c r="A159" i="12"/>
  <c r="Q159" i="12"/>
  <c r="P158" i="12"/>
  <c r="M158" i="12"/>
  <c r="L158" i="12"/>
  <c r="K158" i="12"/>
  <c r="J158" i="12"/>
  <c r="I158" i="12"/>
  <c r="R158" i="12"/>
  <c r="H158" i="12"/>
  <c r="G158" i="12"/>
  <c r="F158" i="12"/>
  <c r="E158" i="12"/>
  <c r="D158" i="12"/>
  <c r="C158" i="12"/>
  <c r="B158" i="12"/>
  <c r="A158" i="12"/>
  <c r="Q158" i="12"/>
  <c r="P157" i="12"/>
  <c r="M157" i="12"/>
  <c r="L157" i="12"/>
  <c r="K157" i="12"/>
  <c r="J157" i="12"/>
  <c r="I157" i="12"/>
  <c r="R157" i="12"/>
  <c r="H157" i="12"/>
  <c r="G157" i="12"/>
  <c r="F157" i="12"/>
  <c r="E157" i="12"/>
  <c r="D157" i="12"/>
  <c r="C157" i="12"/>
  <c r="B157" i="12"/>
  <c r="A157" i="12"/>
  <c r="Q157" i="12"/>
  <c r="P156" i="12"/>
  <c r="M156" i="12"/>
  <c r="L156" i="12"/>
  <c r="K156" i="12"/>
  <c r="J156" i="12"/>
  <c r="I156" i="12"/>
  <c r="R156" i="12"/>
  <c r="H156" i="12"/>
  <c r="G156" i="12"/>
  <c r="F156" i="12"/>
  <c r="E156" i="12"/>
  <c r="D156" i="12"/>
  <c r="C156" i="12"/>
  <c r="B156" i="12"/>
  <c r="A156" i="12"/>
  <c r="Q156" i="12"/>
  <c r="P155" i="12"/>
  <c r="M155" i="12"/>
  <c r="L155" i="12"/>
  <c r="K155" i="12"/>
  <c r="J155" i="12"/>
  <c r="I155" i="12"/>
  <c r="R155" i="12"/>
  <c r="H155" i="12"/>
  <c r="G155" i="12"/>
  <c r="F155" i="12"/>
  <c r="E155" i="12"/>
  <c r="D155" i="12"/>
  <c r="C155" i="12"/>
  <c r="B155" i="12"/>
  <c r="A155" i="12"/>
  <c r="Q155" i="12"/>
  <c r="P154" i="12"/>
  <c r="M154" i="12"/>
  <c r="L154" i="12"/>
  <c r="K154" i="12"/>
  <c r="J154" i="12"/>
  <c r="I154" i="12"/>
  <c r="R154" i="12"/>
  <c r="H154" i="12"/>
  <c r="G154" i="12"/>
  <c r="F154" i="12"/>
  <c r="E154" i="12"/>
  <c r="D154" i="12"/>
  <c r="C154" i="12"/>
  <c r="B154" i="12"/>
  <c r="A154" i="12"/>
  <c r="Q154" i="12"/>
  <c r="P153" i="12"/>
  <c r="M153" i="12"/>
  <c r="L153" i="12"/>
  <c r="K153" i="12"/>
  <c r="J153" i="12"/>
  <c r="I153" i="12"/>
  <c r="R153" i="12"/>
  <c r="H153" i="12"/>
  <c r="G153" i="12"/>
  <c r="F153" i="12"/>
  <c r="E153" i="12"/>
  <c r="D153" i="12"/>
  <c r="C153" i="12"/>
  <c r="B153" i="12"/>
  <c r="A153" i="12"/>
  <c r="Q153" i="12"/>
  <c r="P152" i="12"/>
  <c r="M152" i="12"/>
  <c r="L152" i="12"/>
  <c r="K152" i="12"/>
  <c r="J152" i="12"/>
  <c r="I152" i="12"/>
  <c r="R152" i="12"/>
  <c r="H152" i="12"/>
  <c r="G152" i="12"/>
  <c r="F152" i="12"/>
  <c r="E152" i="12"/>
  <c r="D152" i="12"/>
  <c r="C152" i="12"/>
  <c r="B152" i="12"/>
  <c r="A152" i="12"/>
  <c r="Q152" i="12"/>
  <c r="P151" i="12"/>
  <c r="M151" i="12"/>
  <c r="L151" i="12"/>
  <c r="K151" i="12"/>
  <c r="J151" i="12"/>
  <c r="I151" i="12"/>
  <c r="R151" i="12"/>
  <c r="H151" i="12"/>
  <c r="G151" i="12"/>
  <c r="F151" i="12"/>
  <c r="E151" i="12"/>
  <c r="D151" i="12"/>
  <c r="C151" i="12"/>
  <c r="B151" i="12"/>
  <c r="A151" i="12"/>
  <c r="Q151" i="12"/>
  <c r="P150" i="12"/>
  <c r="M150" i="12"/>
  <c r="L150" i="12"/>
  <c r="K150" i="12"/>
  <c r="J150" i="12"/>
  <c r="I150" i="12"/>
  <c r="R150" i="12"/>
  <c r="H150" i="12"/>
  <c r="G150" i="12"/>
  <c r="F150" i="12"/>
  <c r="E150" i="12"/>
  <c r="D150" i="12"/>
  <c r="C150" i="12"/>
  <c r="B150" i="12"/>
  <c r="A150" i="12"/>
  <c r="Q150" i="12"/>
  <c r="P149" i="12"/>
  <c r="M149" i="12"/>
  <c r="L149" i="12"/>
  <c r="K149" i="12"/>
  <c r="J149" i="12"/>
  <c r="I149" i="12"/>
  <c r="R149" i="12"/>
  <c r="H149" i="12"/>
  <c r="G149" i="12"/>
  <c r="F149" i="12"/>
  <c r="E149" i="12"/>
  <c r="D149" i="12"/>
  <c r="C149" i="12"/>
  <c r="B149" i="12"/>
  <c r="A149" i="12"/>
  <c r="Q149" i="12"/>
  <c r="P148" i="12"/>
  <c r="M148" i="12"/>
  <c r="L148" i="12"/>
  <c r="K148" i="12"/>
  <c r="J148" i="12"/>
  <c r="I148" i="12"/>
  <c r="R148" i="12"/>
  <c r="H148" i="12"/>
  <c r="G148" i="12"/>
  <c r="F148" i="12"/>
  <c r="E148" i="12"/>
  <c r="D148" i="12"/>
  <c r="C148" i="12"/>
  <c r="B148" i="12"/>
  <c r="A148" i="12"/>
  <c r="Q148" i="12"/>
  <c r="P147" i="12"/>
  <c r="M147" i="12"/>
  <c r="L147" i="12"/>
  <c r="K147" i="12"/>
  <c r="J147" i="12"/>
  <c r="I147" i="12"/>
  <c r="R147" i="12"/>
  <c r="H147" i="12"/>
  <c r="G147" i="12"/>
  <c r="F147" i="12"/>
  <c r="E147" i="12"/>
  <c r="D147" i="12"/>
  <c r="C147" i="12"/>
  <c r="B147" i="12"/>
  <c r="A147" i="12"/>
  <c r="Q147" i="12"/>
  <c r="P146" i="12"/>
  <c r="M146" i="12"/>
  <c r="L146" i="12"/>
  <c r="K146" i="12"/>
  <c r="J146" i="12"/>
  <c r="I146" i="12"/>
  <c r="R146" i="12"/>
  <c r="H146" i="12"/>
  <c r="G146" i="12"/>
  <c r="F146" i="12"/>
  <c r="E146" i="12"/>
  <c r="D146" i="12"/>
  <c r="C146" i="12"/>
  <c r="B146" i="12"/>
  <c r="A146" i="12"/>
  <c r="Q146" i="12"/>
  <c r="P145" i="12"/>
  <c r="M145" i="12"/>
  <c r="L145" i="12"/>
  <c r="K145" i="12"/>
  <c r="J145" i="12"/>
  <c r="I145" i="12"/>
  <c r="R145" i="12"/>
  <c r="H145" i="12"/>
  <c r="G145" i="12"/>
  <c r="F145" i="12"/>
  <c r="E145" i="12"/>
  <c r="D145" i="12"/>
  <c r="C145" i="12"/>
  <c r="B145" i="12"/>
  <c r="A145" i="12"/>
  <c r="Q145" i="12"/>
  <c r="P144" i="12"/>
  <c r="M144" i="12"/>
  <c r="L144" i="12"/>
  <c r="K144" i="12"/>
  <c r="J144" i="12"/>
  <c r="I144" i="12"/>
  <c r="R144" i="12"/>
  <c r="H144" i="12"/>
  <c r="G144" i="12"/>
  <c r="F144" i="12"/>
  <c r="E144" i="12"/>
  <c r="D144" i="12"/>
  <c r="C144" i="12"/>
  <c r="B144" i="12"/>
  <c r="A144" i="12"/>
  <c r="Q144" i="12"/>
  <c r="P143" i="12"/>
  <c r="M143" i="12"/>
  <c r="L143" i="12"/>
  <c r="K143" i="12"/>
  <c r="J143" i="12"/>
  <c r="I143" i="12"/>
  <c r="R143" i="12"/>
  <c r="H143" i="12"/>
  <c r="G143" i="12"/>
  <c r="F143" i="12"/>
  <c r="E143" i="12"/>
  <c r="D143" i="12"/>
  <c r="C143" i="12"/>
  <c r="B143" i="12"/>
  <c r="A143" i="12"/>
  <c r="Q143" i="12"/>
  <c r="P142" i="12"/>
  <c r="M142" i="12"/>
  <c r="L142" i="12"/>
  <c r="K142" i="12"/>
  <c r="J142" i="12"/>
  <c r="I142" i="12"/>
  <c r="R142" i="12"/>
  <c r="H142" i="12"/>
  <c r="G142" i="12"/>
  <c r="F142" i="12"/>
  <c r="E142" i="12"/>
  <c r="D142" i="12"/>
  <c r="C142" i="12"/>
  <c r="B142" i="12"/>
  <c r="A142" i="12"/>
  <c r="P141" i="12"/>
  <c r="M141" i="12"/>
  <c r="L141" i="12"/>
  <c r="K141" i="12"/>
  <c r="J141" i="12"/>
  <c r="I141" i="12"/>
  <c r="R141" i="12"/>
  <c r="H141" i="12"/>
  <c r="G141" i="12"/>
  <c r="F141" i="12"/>
  <c r="E141" i="12"/>
  <c r="D141" i="12"/>
  <c r="C141" i="12"/>
  <c r="B141" i="12"/>
  <c r="A141" i="12"/>
  <c r="P140" i="12"/>
  <c r="M140" i="12"/>
  <c r="L140" i="12"/>
  <c r="K140" i="12"/>
  <c r="J140" i="12"/>
  <c r="I140" i="12"/>
  <c r="R140" i="12"/>
  <c r="H140" i="12"/>
  <c r="G140" i="12"/>
  <c r="F140" i="12"/>
  <c r="E140" i="12"/>
  <c r="D140" i="12"/>
  <c r="C140" i="12"/>
  <c r="B140" i="12"/>
  <c r="A140" i="12"/>
  <c r="P139" i="12"/>
  <c r="M139" i="12"/>
  <c r="L139" i="12"/>
  <c r="K139" i="12"/>
  <c r="J139" i="12"/>
  <c r="I139" i="12"/>
  <c r="R139" i="12"/>
  <c r="H139" i="12"/>
  <c r="G139" i="12"/>
  <c r="F139" i="12"/>
  <c r="E139" i="12"/>
  <c r="D139" i="12"/>
  <c r="C139" i="12"/>
  <c r="B139" i="12"/>
  <c r="A139" i="12"/>
  <c r="P138" i="12"/>
  <c r="M138" i="12"/>
  <c r="L138" i="12"/>
  <c r="K138" i="12"/>
  <c r="J138" i="12"/>
  <c r="I138" i="12"/>
  <c r="R138" i="12"/>
  <c r="H138" i="12"/>
  <c r="G138" i="12"/>
  <c r="F138" i="12"/>
  <c r="E138" i="12"/>
  <c r="D138" i="12"/>
  <c r="C138" i="12"/>
  <c r="B138" i="12"/>
  <c r="A138" i="12"/>
  <c r="P137" i="12"/>
  <c r="M137" i="12"/>
  <c r="L137" i="12"/>
  <c r="J137" i="12"/>
  <c r="I137" i="12"/>
  <c r="R137" i="12"/>
  <c r="H137" i="12"/>
  <c r="G137" i="12"/>
  <c r="F137" i="12"/>
  <c r="E137" i="12"/>
  <c r="D137" i="12"/>
  <c r="C137" i="12"/>
  <c r="B137" i="12"/>
  <c r="A137" i="12"/>
  <c r="P136" i="12"/>
  <c r="M136" i="12"/>
  <c r="L136" i="12"/>
  <c r="K136" i="12"/>
  <c r="J136" i="12"/>
  <c r="I136" i="12"/>
  <c r="R136" i="12"/>
  <c r="H136" i="12"/>
  <c r="G136" i="12"/>
  <c r="F136" i="12"/>
  <c r="E136" i="12"/>
  <c r="D136" i="12"/>
  <c r="C136" i="12"/>
  <c r="B136" i="12"/>
  <c r="A136" i="12"/>
  <c r="P135" i="12"/>
  <c r="M135" i="12"/>
  <c r="L135" i="12"/>
  <c r="K135" i="12"/>
  <c r="J135" i="12"/>
  <c r="I135" i="12"/>
  <c r="R135" i="12"/>
  <c r="H135" i="12"/>
  <c r="G135" i="12"/>
  <c r="F135" i="12"/>
  <c r="E135" i="12"/>
  <c r="D135" i="12"/>
  <c r="C135" i="12"/>
  <c r="B135" i="12"/>
  <c r="A135" i="12"/>
  <c r="P134" i="12"/>
  <c r="M134" i="12"/>
  <c r="L134" i="12"/>
  <c r="K134" i="12"/>
  <c r="J134" i="12"/>
  <c r="I134" i="12"/>
  <c r="R134" i="12"/>
  <c r="H134" i="12"/>
  <c r="G134" i="12"/>
  <c r="F134" i="12"/>
  <c r="E134" i="12"/>
  <c r="D134" i="12"/>
  <c r="C134" i="12"/>
  <c r="B134" i="12"/>
  <c r="A134" i="12"/>
  <c r="P133" i="12"/>
  <c r="M133" i="12"/>
  <c r="L133" i="12"/>
  <c r="K133" i="12"/>
  <c r="J133" i="12"/>
  <c r="I133" i="12"/>
  <c r="R133" i="12"/>
  <c r="H133" i="12"/>
  <c r="G133" i="12"/>
  <c r="F133" i="12"/>
  <c r="E133" i="12"/>
  <c r="D133" i="12"/>
  <c r="C133" i="12"/>
  <c r="B133" i="12"/>
  <c r="A133" i="12"/>
  <c r="P132" i="12"/>
  <c r="M132" i="12"/>
  <c r="L132" i="12"/>
  <c r="K132" i="12"/>
  <c r="J132" i="12"/>
  <c r="I132" i="12"/>
  <c r="R132" i="12"/>
  <c r="H132" i="12"/>
  <c r="G132" i="12"/>
  <c r="F132" i="12"/>
  <c r="E132" i="12"/>
  <c r="D132" i="12"/>
  <c r="C132" i="12"/>
  <c r="B132" i="12"/>
  <c r="A132" i="12"/>
  <c r="P131" i="12"/>
  <c r="M131" i="12"/>
  <c r="L131" i="12"/>
  <c r="K131" i="12"/>
  <c r="J131" i="12"/>
  <c r="I131" i="12"/>
  <c r="R131" i="12"/>
  <c r="H131" i="12"/>
  <c r="G131" i="12"/>
  <c r="F131" i="12"/>
  <c r="E131" i="12"/>
  <c r="D131" i="12"/>
  <c r="C131" i="12"/>
  <c r="B131" i="12"/>
  <c r="A131" i="12"/>
  <c r="P130" i="12"/>
  <c r="M130" i="12"/>
  <c r="L130" i="12"/>
  <c r="K130" i="12"/>
  <c r="J130" i="12"/>
  <c r="I130" i="12"/>
  <c r="R130" i="12"/>
  <c r="H130" i="12"/>
  <c r="G130" i="12"/>
  <c r="F130" i="12"/>
  <c r="E130" i="12"/>
  <c r="D130" i="12"/>
  <c r="C130" i="12"/>
  <c r="B130" i="12"/>
  <c r="A130" i="12"/>
  <c r="P129" i="12"/>
  <c r="M129" i="12"/>
  <c r="L129" i="12"/>
  <c r="K129" i="12"/>
  <c r="J129" i="12"/>
  <c r="I129" i="12"/>
  <c r="R129" i="12"/>
  <c r="H129" i="12"/>
  <c r="G129" i="12"/>
  <c r="F129" i="12"/>
  <c r="E129" i="12"/>
  <c r="D129" i="12"/>
  <c r="C129" i="12"/>
  <c r="B129" i="12"/>
  <c r="A129" i="12"/>
  <c r="P128" i="12"/>
  <c r="M128" i="12"/>
  <c r="L128" i="12"/>
  <c r="K128" i="12"/>
  <c r="J128" i="12"/>
  <c r="I128" i="12"/>
  <c r="R128" i="12"/>
  <c r="H128" i="12"/>
  <c r="G128" i="12"/>
  <c r="F128" i="12"/>
  <c r="E128" i="12"/>
  <c r="D128" i="12"/>
  <c r="C128" i="12"/>
  <c r="B128" i="12"/>
  <c r="A128" i="12"/>
  <c r="P127" i="12"/>
  <c r="M127" i="12"/>
  <c r="L127" i="12"/>
  <c r="K127" i="12"/>
  <c r="J127" i="12"/>
  <c r="I127" i="12"/>
  <c r="R127" i="12"/>
  <c r="H127" i="12"/>
  <c r="G127" i="12"/>
  <c r="F127" i="12"/>
  <c r="E127" i="12"/>
  <c r="D127" i="12"/>
  <c r="C127" i="12"/>
  <c r="B127" i="12"/>
  <c r="A127" i="12"/>
  <c r="P126" i="12"/>
  <c r="M126" i="12"/>
  <c r="L126" i="12"/>
  <c r="K126" i="12"/>
  <c r="J126" i="12"/>
  <c r="I126" i="12"/>
  <c r="R126" i="12"/>
  <c r="H126" i="12"/>
  <c r="G126" i="12"/>
  <c r="F126" i="12"/>
  <c r="E126" i="12"/>
  <c r="D126" i="12"/>
  <c r="C126" i="12"/>
  <c r="B126" i="12"/>
  <c r="A126" i="12"/>
  <c r="P125" i="12"/>
  <c r="M125" i="12"/>
  <c r="L125" i="12"/>
  <c r="K125" i="12"/>
  <c r="J125" i="12"/>
  <c r="I125" i="12"/>
  <c r="R125" i="12"/>
  <c r="H125" i="12"/>
  <c r="G125" i="12"/>
  <c r="F125" i="12"/>
  <c r="E125" i="12"/>
  <c r="D125" i="12"/>
  <c r="C125" i="12"/>
  <c r="B125" i="12"/>
  <c r="A125" i="12"/>
  <c r="P124" i="12"/>
  <c r="M124" i="12"/>
  <c r="L124" i="12"/>
  <c r="K124" i="12"/>
  <c r="J124" i="12"/>
  <c r="I124" i="12"/>
  <c r="R124" i="12"/>
  <c r="H124" i="12"/>
  <c r="G124" i="12"/>
  <c r="F124" i="12"/>
  <c r="E124" i="12"/>
  <c r="D124" i="12"/>
  <c r="C124" i="12"/>
  <c r="B124" i="12"/>
  <c r="A124" i="12"/>
  <c r="P123" i="12"/>
  <c r="M123" i="12"/>
  <c r="L123" i="12"/>
  <c r="K123" i="12"/>
  <c r="J123" i="12"/>
  <c r="I123" i="12"/>
  <c r="R123" i="12"/>
  <c r="H123" i="12"/>
  <c r="G123" i="12"/>
  <c r="F123" i="12"/>
  <c r="E123" i="12"/>
  <c r="D123" i="12"/>
  <c r="C123" i="12"/>
  <c r="B123" i="12"/>
  <c r="A123" i="12"/>
  <c r="P122" i="12"/>
  <c r="M122" i="12"/>
  <c r="L122" i="12"/>
  <c r="K122" i="12"/>
  <c r="J122" i="12"/>
  <c r="I122" i="12"/>
  <c r="R122" i="12"/>
  <c r="H122" i="12"/>
  <c r="G122" i="12"/>
  <c r="F122" i="12"/>
  <c r="E122" i="12"/>
  <c r="D122" i="12"/>
  <c r="C122" i="12"/>
  <c r="B122" i="12"/>
  <c r="A122" i="12"/>
  <c r="P121" i="12"/>
  <c r="M121" i="12"/>
  <c r="L121" i="12"/>
  <c r="K121" i="12"/>
  <c r="J121" i="12"/>
  <c r="I121" i="12"/>
  <c r="R121" i="12"/>
  <c r="H121" i="12"/>
  <c r="G121" i="12"/>
  <c r="F121" i="12"/>
  <c r="E121" i="12"/>
  <c r="D121" i="12"/>
  <c r="C121" i="12"/>
  <c r="B121" i="12"/>
  <c r="A121" i="12"/>
  <c r="P120" i="12"/>
  <c r="M120" i="12"/>
  <c r="L120" i="12"/>
  <c r="K120" i="12"/>
  <c r="J120" i="12"/>
  <c r="I120" i="12"/>
  <c r="R120" i="12"/>
  <c r="H120" i="12"/>
  <c r="G120" i="12"/>
  <c r="F120" i="12"/>
  <c r="E120" i="12"/>
  <c r="D120" i="12"/>
  <c r="C120" i="12"/>
  <c r="B120" i="12"/>
  <c r="A120" i="12"/>
  <c r="P119" i="12"/>
  <c r="M119" i="12"/>
  <c r="L119" i="12"/>
  <c r="K119" i="12"/>
  <c r="J119" i="12"/>
  <c r="I119" i="12"/>
  <c r="R119" i="12"/>
  <c r="H119" i="12"/>
  <c r="G119" i="12"/>
  <c r="F119" i="12"/>
  <c r="E119" i="12"/>
  <c r="D119" i="12"/>
  <c r="C119" i="12"/>
  <c r="B119" i="12"/>
  <c r="A119" i="12"/>
  <c r="P118" i="12"/>
  <c r="M118" i="12"/>
  <c r="L118" i="12"/>
  <c r="K118" i="12"/>
  <c r="J118" i="12"/>
  <c r="I118" i="12"/>
  <c r="R118" i="12"/>
  <c r="H118" i="12"/>
  <c r="G118" i="12"/>
  <c r="F118" i="12"/>
  <c r="E118" i="12"/>
  <c r="D118" i="12"/>
  <c r="C118" i="12"/>
  <c r="B118" i="12"/>
  <c r="A118" i="12"/>
  <c r="P117" i="12"/>
  <c r="M117" i="12"/>
  <c r="L117" i="12"/>
  <c r="K117" i="12"/>
  <c r="J117" i="12"/>
  <c r="I117" i="12"/>
  <c r="R117" i="12"/>
  <c r="H117" i="12"/>
  <c r="G117" i="12"/>
  <c r="F117" i="12"/>
  <c r="E117" i="12"/>
  <c r="D117" i="12"/>
  <c r="C117" i="12"/>
  <c r="B117" i="12"/>
  <c r="A117" i="12"/>
  <c r="P116" i="12"/>
  <c r="M116" i="12"/>
  <c r="L116" i="12"/>
  <c r="K116" i="12"/>
  <c r="J116" i="12"/>
  <c r="I116" i="12"/>
  <c r="R116" i="12"/>
  <c r="H116" i="12"/>
  <c r="G116" i="12"/>
  <c r="F116" i="12"/>
  <c r="E116" i="12"/>
  <c r="D116" i="12"/>
  <c r="C116" i="12"/>
  <c r="B116" i="12"/>
  <c r="A116" i="12"/>
  <c r="P115" i="12"/>
  <c r="M115" i="12"/>
  <c r="L115" i="12"/>
  <c r="K115" i="12"/>
  <c r="J115" i="12"/>
  <c r="I115" i="12"/>
  <c r="R115" i="12"/>
  <c r="H115" i="12"/>
  <c r="G115" i="12"/>
  <c r="F115" i="12"/>
  <c r="E115" i="12"/>
  <c r="D115" i="12"/>
  <c r="C115" i="12"/>
  <c r="B115" i="12"/>
  <c r="A115" i="12"/>
  <c r="P114" i="12"/>
  <c r="M114" i="12"/>
  <c r="L114" i="12"/>
  <c r="K114" i="12"/>
  <c r="J114" i="12"/>
  <c r="I114" i="12"/>
  <c r="R114" i="12"/>
  <c r="H114" i="12"/>
  <c r="G114" i="12"/>
  <c r="F114" i="12"/>
  <c r="E114" i="12"/>
  <c r="D114" i="12"/>
  <c r="C114" i="12"/>
  <c r="B114" i="12"/>
  <c r="A114" i="12"/>
  <c r="P113" i="12"/>
  <c r="M113" i="12"/>
  <c r="L113" i="12"/>
  <c r="K113" i="12"/>
  <c r="J113" i="12"/>
  <c r="I113" i="12"/>
  <c r="R113" i="12"/>
  <c r="H113" i="12"/>
  <c r="G113" i="12"/>
  <c r="F113" i="12"/>
  <c r="S113" i="12"/>
  <c r="E113" i="12"/>
  <c r="D113" i="12"/>
  <c r="C113" i="12"/>
  <c r="B113" i="12"/>
  <c r="A113" i="12"/>
  <c r="P112" i="12"/>
  <c r="M112" i="12"/>
  <c r="L112" i="12"/>
  <c r="K112" i="12"/>
  <c r="J112" i="12"/>
  <c r="I112" i="12"/>
  <c r="R112" i="12"/>
  <c r="H112" i="12"/>
  <c r="G112" i="12"/>
  <c r="F112" i="12"/>
  <c r="S112" i="12"/>
  <c r="E112" i="12"/>
  <c r="D112" i="12"/>
  <c r="C112" i="12"/>
  <c r="B112" i="12"/>
  <c r="A112" i="12"/>
  <c r="P111" i="12"/>
  <c r="M111" i="12"/>
  <c r="L111" i="12"/>
  <c r="K111" i="12"/>
  <c r="J111" i="12"/>
  <c r="I111" i="12"/>
  <c r="R111" i="12"/>
  <c r="H111" i="12"/>
  <c r="G111" i="12"/>
  <c r="F111" i="12"/>
  <c r="S111" i="12"/>
  <c r="E111" i="12"/>
  <c r="D111" i="12"/>
  <c r="C111" i="12"/>
  <c r="B111" i="12"/>
  <c r="A111" i="12"/>
  <c r="P110" i="12"/>
  <c r="M110" i="12"/>
  <c r="L110" i="12"/>
  <c r="K110" i="12"/>
  <c r="J110" i="12"/>
  <c r="I110" i="12"/>
  <c r="R110" i="12"/>
  <c r="H110" i="12"/>
  <c r="G110" i="12"/>
  <c r="F110" i="12"/>
  <c r="S110" i="12"/>
  <c r="E110" i="12"/>
  <c r="D110" i="12"/>
  <c r="C110" i="12"/>
  <c r="B110" i="12"/>
  <c r="A110" i="12"/>
  <c r="P109" i="12"/>
  <c r="M109" i="12"/>
  <c r="L109" i="12"/>
  <c r="K109" i="12"/>
  <c r="J109" i="12"/>
  <c r="I109" i="12"/>
  <c r="R109" i="12"/>
  <c r="H109" i="12"/>
  <c r="G109" i="12"/>
  <c r="F109" i="12"/>
  <c r="S109" i="12"/>
  <c r="E109" i="12"/>
  <c r="D109" i="12"/>
  <c r="C109" i="12"/>
  <c r="B109" i="12"/>
  <c r="A109" i="12"/>
  <c r="P108" i="12"/>
  <c r="M108" i="12"/>
  <c r="L108" i="12"/>
  <c r="K108" i="12"/>
  <c r="J108" i="12"/>
  <c r="I108" i="12"/>
  <c r="R108" i="12"/>
  <c r="H108" i="12"/>
  <c r="G108" i="12"/>
  <c r="F108" i="12"/>
  <c r="S108" i="12"/>
  <c r="E108" i="12"/>
  <c r="D108" i="12"/>
  <c r="C108" i="12"/>
  <c r="B108" i="12"/>
  <c r="A108" i="12"/>
  <c r="P107" i="12"/>
  <c r="M107" i="12"/>
  <c r="L107" i="12"/>
  <c r="K107" i="12"/>
  <c r="J107" i="12"/>
  <c r="I107" i="12"/>
  <c r="R107" i="12"/>
  <c r="H107" i="12"/>
  <c r="G107" i="12"/>
  <c r="F107" i="12"/>
  <c r="S107" i="12"/>
  <c r="E107" i="12"/>
  <c r="D107" i="12"/>
  <c r="C107" i="12"/>
  <c r="B107" i="12"/>
  <c r="A107" i="12"/>
  <c r="P106" i="12"/>
  <c r="M106" i="12"/>
  <c r="L106" i="12"/>
  <c r="K106" i="12"/>
  <c r="J106" i="12"/>
  <c r="I106" i="12"/>
  <c r="R106" i="12"/>
  <c r="H106" i="12"/>
  <c r="G106" i="12"/>
  <c r="F106" i="12"/>
  <c r="S106" i="12"/>
  <c r="E106" i="12"/>
  <c r="D106" i="12"/>
  <c r="C106" i="12"/>
  <c r="B106" i="12"/>
  <c r="A106" i="12"/>
  <c r="P105" i="12"/>
  <c r="M105" i="12"/>
  <c r="L105" i="12"/>
  <c r="K105" i="12"/>
  <c r="J105" i="12"/>
  <c r="I105" i="12"/>
  <c r="R105" i="12"/>
  <c r="H105" i="12"/>
  <c r="G105" i="12"/>
  <c r="F105" i="12"/>
  <c r="S105" i="12"/>
  <c r="E105" i="12"/>
  <c r="D105" i="12"/>
  <c r="C105" i="12"/>
  <c r="B105" i="12"/>
  <c r="A105" i="12"/>
  <c r="P104" i="12"/>
  <c r="M104" i="12"/>
  <c r="L104" i="12"/>
  <c r="K104" i="12"/>
  <c r="J104" i="12"/>
  <c r="I104" i="12"/>
  <c r="R104" i="12"/>
  <c r="H104" i="12"/>
  <c r="G104" i="12"/>
  <c r="F104" i="12"/>
  <c r="S104" i="12"/>
  <c r="E104" i="12"/>
  <c r="D104" i="12"/>
  <c r="C104" i="12"/>
  <c r="B104" i="12"/>
  <c r="A104" i="12"/>
  <c r="P103" i="12"/>
  <c r="M103" i="12"/>
  <c r="L103" i="12"/>
  <c r="K103" i="12"/>
  <c r="J103" i="12"/>
  <c r="I103" i="12"/>
  <c r="R103" i="12"/>
  <c r="H103" i="12"/>
  <c r="G103" i="12"/>
  <c r="F103" i="12"/>
  <c r="S103" i="12"/>
  <c r="E103" i="12"/>
  <c r="D103" i="12"/>
  <c r="C103" i="12"/>
  <c r="B103" i="12"/>
  <c r="A103" i="12"/>
  <c r="P102" i="12"/>
  <c r="M102" i="12"/>
  <c r="L102" i="12"/>
  <c r="K102" i="12"/>
  <c r="J102" i="12"/>
  <c r="I102" i="12"/>
  <c r="R102" i="12"/>
  <c r="H102" i="12"/>
  <c r="G102" i="12"/>
  <c r="F102" i="12"/>
  <c r="S102" i="12"/>
  <c r="E102" i="12"/>
  <c r="D102" i="12"/>
  <c r="C102" i="12"/>
  <c r="B102" i="12"/>
  <c r="A102" i="12"/>
  <c r="P101" i="12"/>
  <c r="M101" i="12"/>
  <c r="L101" i="12"/>
  <c r="K101" i="12"/>
  <c r="J101" i="12"/>
  <c r="I101" i="12"/>
  <c r="R101" i="12"/>
  <c r="H101" i="12"/>
  <c r="G101" i="12"/>
  <c r="F101" i="12"/>
  <c r="S101" i="12"/>
  <c r="E101" i="12"/>
  <c r="D101" i="12"/>
  <c r="C101" i="12"/>
  <c r="B101" i="12"/>
  <c r="A101" i="12"/>
  <c r="P100" i="12"/>
  <c r="M100" i="12"/>
  <c r="L100" i="12"/>
  <c r="K100" i="12"/>
  <c r="J100" i="12"/>
  <c r="I100" i="12"/>
  <c r="R100" i="12"/>
  <c r="H100" i="12"/>
  <c r="G100" i="12"/>
  <c r="F100" i="12"/>
  <c r="S100" i="12"/>
  <c r="E100" i="12"/>
  <c r="D100" i="12"/>
  <c r="C100" i="12"/>
  <c r="B100" i="12"/>
  <c r="A100" i="12"/>
  <c r="P99" i="12"/>
  <c r="M99" i="12"/>
  <c r="L99" i="12"/>
  <c r="K99" i="12"/>
  <c r="J99" i="12"/>
  <c r="I99" i="12"/>
  <c r="R99" i="12"/>
  <c r="H99" i="12"/>
  <c r="G99" i="12"/>
  <c r="F99" i="12"/>
  <c r="S99" i="12"/>
  <c r="E99" i="12"/>
  <c r="D99" i="12"/>
  <c r="C99" i="12"/>
  <c r="B99" i="12"/>
  <c r="A99" i="12"/>
  <c r="P98" i="12"/>
  <c r="M98" i="12"/>
  <c r="L98" i="12"/>
  <c r="K98" i="12"/>
  <c r="J98" i="12"/>
  <c r="I98" i="12"/>
  <c r="R98" i="12"/>
  <c r="H98" i="12"/>
  <c r="G98" i="12"/>
  <c r="F98" i="12"/>
  <c r="S98" i="12"/>
  <c r="E98" i="12"/>
  <c r="D98" i="12"/>
  <c r="C98" i="12"/>
  <c r="B98" i="12"/>
  <c r="A98" i="12"/>
  <c r="P97" i="12"/>
  <c r="M97" i="12"/>
  <c r="L97" i="12"/>
  <c r="K97" i="12"/>
  <c r="J97" i="12"/>
  <c r="I97" i="12"/>
  <c r="R97" i="12"/>
  <c r="H97" i="12"/>
  <c r="G97" i="12"/>
  <c r="F97" i="12"/>
  <c r="S97" i="12"/>
  <c r="E97" i="12"/>
  <c r="D97" i="12"/>
  <c r="C97" i="12"/>
  <c r="B97" i="12"/>
  <c r="A97" i="12"/>
  <c r="P96" i="12"/>
  <c r="M96" i="12"/>
  <c r="L96" i="12"/>
  <c r="K96" i="12"/>
  <c r="J96" i="12"/>
  <c r="I96" i="12"/>
  <c r="R96" i="12"/>
  <c r="H96" i="12"/>
  <c r="G96" i="12"/>
  <c r="F96" i="12"/>
  <c r="S96" i="12"/>
  <c r="E96" i="12"/>
  <c r="D96" i="12"/>
  <c r="C96" i="12"/>
  <c r="B96" i="12"/>
  <c r="A96" i="12"/>
  <c r="P95" i="12"/>
  <c r="M95" i="12"/>
  <c r="L95" i="12"/>
  <c r="K95" i="12"/>
  <c r="J95" i="12"/>
  <c r="I95" i="12"/>
  <c r="R95" i="12"/>
  <c r="H95" i="12"/>
  <c r="G95" i="12"/>
  <c r="F95" i="12"/>
  <c r="S95" i="12"/>
  <c r="E95" i="12"/>
  <c r="D95" i="12"/>
  <c r="C95" i="12"/>
  <c r="B95" i="12"/>
  <c r="A95" i="12"/>
  <c r="P94" i="12"/>
  <c r="M94" i="12"/>
  <c r="L94" i="12"/>
  <c r="K94" i="12"/>
  <c r="J94" i="12"/>
  <c r="I94" i="12"/>
  <c r="R94" i="12"/>
  <c r="H94" i="12"/>
  <c r="G94" i="12"/>
  <c r="F94" i="12"/>
  <c r="S94" i="12"/>
  <c r="E94" i="12"/>
  <c r="D94" i="12"/>
  <c r="C94" i="12"/>
  <c r="B94" i="12"/>
  <c r="A94" i="12"/>
  <c r="P93" i="12"/>
  <c r="M93" i="12"/>
  <c r="L93" i="12"/>
  <c r="K93" i="12"/>
  <c r="J93" i="12"/>
  <c r="I93" i="12"/>
  <c r="R93" i="12"/>
  <c r="H93" i="12"/>
  <c r="G93" i="12"/>
  <c r="F93" i="12"/>
  <c r="S93" i="12"/>
  <c r="E93" i="12"/>
  <c r="D93" i="12"/>
  <c r="C93" i="12"/>
  <c r="B93" i="12"/>
  <c r="A93" i="12"/>
  <c r="P92" i="12"/>
  <c r="M92" i="12"/>
  <c r="L92" i="12"/>
  <c r="K92" i="12"/>
  <c r="J92" i="12"/>
  <c r="I92" i="12"/>
  <c r="R92" i="12"/>
  <c r="H92" i="12"/>
  <c r="G92" i="12"/>
  <c r="F92" i="12"/>
  <c r="S92" i="12"/>
  <c r="E92" i="12"/>
  <c r="D92" i="12"/>
  <c r="C92" i="12"/>
  <c r="B92" i="12"/>
  <c r="A92" i="12"/>
  <c r="Q92" i="12"/>
  <c r="P91" i="12"/>
  <c r="M91" i="12"/>
  <c r="L91" i="12"/>
  <c r="K91" i="12"/>
  <c r="J91" i="12"/>
  <c r="I91" i="12"/>
  <c r="R91" i="12"/>
  <c r="H91" i="12"/>
  <c r="G91" i="12"/>
  <c r="F91" i="12"/>
  <c r="S91" i="12"/>
  <c r="E91" i="12"/>
  <c r="D91" i="12"/>
  <c r="C91" i="12"/>
  <c r="B91" i="12"/>
  <c r="A91" i="12"/>
  <c r="Q91" i="12"/>
  <c r="P90" i="12"/>
  <c r="M90" i="12"/>
  <c r="L90" i="12"/>
  <c r="K90" i="12"/>
  <c r="J90" i="12"/>
  <c r="I90" i="12"/>
  <c r="R90" i="12"/>
  <c r="H90" i="12"/>
  <c r="G90" i="12"/>
  <c r="F90" i="12"/>
  <c r="S90" i="12"/>
  <c r="E90" i="12"/>
  <c r="D90" i="12"/>
  <c r="C90" i="12"/>
  <c r="B90" i="12"/>
  <c r="A90" i="12"/>
  <c r="Q90" i="12"/>
  <c r="P89" i="12"/>
  <c r="M89" i="12"/>
  <c r="L89" i="12"/>
  <c r="K89" i="12"/>
  <c r="J89" i="12"/>
  <c r="I89" i="12"/>
  <c r="R89" i="12"/>
  <c r="H89" i="12"/>
  <c r="G89" i="12"/>
  <c r="F89" i="12"/>
  <c r="S89" i="12"/>
  <c r="E89" i="12"/>
  <c r="D89" i="12"/>
  <c r="C89" i="12"/>
  <c r="B89" i="12"/>
  <c r="A89" i="12"/>
  <c r="Q89" i="12"/>
  <c r="P88" i="12"/>
  <c r="M88" i="12"/>
  <c r="L88" i="12"/>
  <c r="K88" i="12"/>
  <c r="J88" i="12"/>
  <c r="I88" i="12"/>
  <c r="R88" i="12"/>
  <c r="H88" i="12"/>
  <c r="G88" i="12"/>
  <c r="F88" i="12"/>
  <c r="S88" i="12"/>
  <c r="E88" i="12"/>
  <c r="D88" i="12"/>
  <c r="C88" i="12"/>
  <c r="B88" i="12"/>
  <c r="A88" i="12"/>
  <c r="Q88" i="12"/>
  <c r="P87" i="12"/>
  <c r="M87" i="12"/>
  <c r="L87" i="12"/>
  <c r="K87" i="12"/>
  <c r="J87" i="12"/>
  <c r="I87" i="12"/>
  <c r="R87" i="12"/>
  <c r="H87" i="12"/>
  <c r="G87" i="12"/>
  <c r="F87" i="12"/>
  <c r="S87" i="12"/>
  <c r="E87" i="12"/>
  <c r="D87" i="12"/>
  <c r="C87" i="12"/>
  <c r="B87" i="12"/>
  <c r="A87" i="12"/>
  <c r="Q87" i="12"/>
  <c r="P86" i="12"/>
  <c r="M86" i="12"/>
  <c r="L86" i="12"/>
  <c r="K86" i="12"/>
  <c r="J86" i="12"/>
  <c r="I86" i="12"/>
  <c r="R86" i="12"/>
  <c r="H86" i="12"/>
  <c r="G86" i="12"/>
  <c r="F86" i="12"/>
  <c r="S86" i="12"/>
  <c r="E86" i="12"/>
  <c r="D86" i="12"/>
  <c r="C86" i="12"/>
  <c r="B86" i="12"/>
  <c r="A86" i="12"/>
  <c r="Q86" i="12"/>
  <c r="P85" i="12"/>
  <c r="M85" i="12"/>
  <c r="L85" i="12"/>
  <c r="K85" i="12"/>
  <c r="J85" i="12"/>
  <c r="I85" i="12"/>
  <c r="R85" i="12"/>
  <c r="H85" i="12"/>
  <c r="G85" i="12"/>
  <c r="F85" i="12"/>
  <c r="S85" i="12"/>
  <c r="E85" i="12"/>
  <c r="D85" i="12"/>
  <c r="C85" i="12"/>
  <c r="B85" i="12"/>
  <c r="A85" i="12"/>
  <c r="Q85" i="12"/>
  <c r="P84" i="12"/>
  <c r="M84" i="12"/>
  <c r="L84" i="12"/>
  <c r="K84" i="12"/>
  <c r="J84" i="12"/>
  <c r="I84" i="12"/>
  <c r="R84" i="12"/>
  <c r="H84" i="12"/>
  <c r="G84" i="12"/>
  <c r="F84" i="12"/>
  <c r="S84" i="12"/>
  <c r="E84" i="12"/>
  <c r="D84" i="12"/>
  <c r="C84" i="12"/>
  <c r="B84" i="12"/>
  <c r="A84" i="12"/>
  <c r="Q84" i="12"/>
  <c r="P83" i="12"/>
  <c r="M83" i="12"/>
  <c r="L83" i="12"/>
  <c r="K83" i="12"/>
  <c r="J83" i="12"/>
  <c r="I83" i="12"/>
  <c r="R83" i="12"/>
  <c r="H83" i="12"/>
  <c r="G83" i="12"/>
  <c r="F83" i="12"/>
  <c r="S83" i="12"/>
  <c r="E83" i="12"/>
  <c r="D83" i="12"/>
  <c r="C83" i="12"/>
  <c r="B83" i="12"/>
  <c r="A83" i="12"/>
  <c r="Q83" i="12"/>
  <c r="P82" i="12"/>
  <c r="M82" i="12"/>
  <c r="L82" i="12"/>
  <c r="K82" i="12"/>
  <c r="J82" i="12"/>
  <c r="I82" i="12"/>
  <c r="R82" i="12"/>
  <c r="H82" i="12"/>
  <c r="G82" i="12"/>
  <c r="F82" i="12"/>
  <c r="S82" i="12"/>
  <c r="E82" i="12"/>
  <c r="D82" i="12"/>
  <c r="C82" i="12"/>
  <c r="B82" i="12"/>
  <c r="A82" i="12"/>
  <c r="Q82" i="12"/>
  <c r="P81" i="12"/>
  <c r="M81" i="12"/>
  <c r="L81" i="12"/>
  <c r="K81" i="12"/>
  <c r="J81" i="12"/>
  <c r="I81" i="12"/>
  <c r="R81" i="12"/>
  <c r="H81" i="12"/>
  <c r="G81" i="12"/>
  <c r="F81" i="12"/>
  <c r="S81" i="12"/>
  <c r="E81" i="12"/>
  <c r="D81" i="12"/>
  <c r="C81" i="12"/>
  <c r="B81" i="12"/>
  <c r="A81" i="12"/>
  <c r="Q81" i="12"/>
  <c r="P80" i="12"/>
  <c r="M80" i="12"/>
  <c r="L80" i="12"/>
  <c r="K80" i="12"/>
  <c r="J80" i="12"/>
  <c r="I80" i="12"/>
  <c r="R80" i="12"/>
  <c r="H80" i="12"/>
  <c r="G80" i="12"/>
  <c r="F80" i="12"/>
  <c r="S80" i="12"/>
  <c r="E80" i="12"/>
  <c r="D80" i="12"/>
  <c r="C80" i="12"/>
  <c r="B80" i="12"/>
  <c r="A80" i="12"/>
  <c r="Q80" i="12"/>
  <c r="P79" i="12"/>
  <c r="M79" i="12"/>
  <c r="L79" i="12"/>
  <c r="K79" i="12"/>
  <c r="J79" i="12"/>
  <c r="I79" i="12"/>
  <c r="R79" i="12"/>
  <c r="H79" i="12"/>
  <c r="G79" i="12"/>
  <c r="F79" i="12"/>
  <c r="S79" i="12"/>
  <c r="E79" i="12"/>
  <c r="D79" i="12"/>
  <c r="C79" i="12"/>
  <c r="B79" i="12"/>
  <c r="A79" i="12"/>
  <c r="Q79" i="12"/>
  <c r="P78" i="12"/>
  <c r="M78" i="12"/>
  <c r="L78" i="12"/>
  <c r="K78" i="12"/>
  <c r="J78" i="12"/>
  <c r="I78" i="12"/>
  <c r="R78" i="12"/>
  <c r="H78" i="12"/>
  <c r="G78" i="12"/>
  <c r="F78" i="12"/>
  <c r="S78" i="12"/>
  <c r="E78" i="12"/>
  <c r="D78" i="12"/>
  <c r="C78" i="12"/>
  <c r="B78" i="12"/>
  <c r="A78" i="12"/>
  <c r="Q78" i="12"/>
  <c r="P77" i="12"/>
  <c r="M77" i="12"/>
  <c r="L77" i="12"/>
  <c r="K77" i="12"/>
  <c r="J77" i="12"/>
  <c r="I77" i="12"/>
  <c r="R77" i="12"/>
  <c r="H77" i="12"/>
  <c r="G77" i="12"/>
  <c r="F77" i="12"/>
  <c r="S77" i="12"/>
  <c r="E77" i="12"/>
  <c r="D77" i="12"/>
  <c r="C77" i="12"/>
  <c r="B77" i="12"/>
  <c r="A77" i="12"/>
  <c r="Q77" i="12"/>
  <c r="P76" i="12"/>
  <c r="M76" i="12"/>
  <c r="L76" i="12"/>
  <c r="K76" i="12"/>
  <c r="J76" i="12"/>
  <c r="I76" i="12"/>
  <c r="R76" i="12"/>
  <c r="H76" i="12"/>
  <c r="G76" i="12"/>
  <c r="F76" i="12"/>
  <c r="S76" i="12"/>
  <c r="E76" i="12"/>
  <c r="D76" i="12"/>
  <c r="C76" i="12"/>
  <c r="B76" i="12"/>
  <c r="A76" i="12"/>
  <c r="Q76" i="12"/>
  <c r="P75" i="12"/>
  <c r="M75" i="12"/>
  <c r="L75" i="12"/>
  <c r="K75" i="12"/>
  <c r="J75" i="12"/>
  <c r="I75" i="12"/>
  <c r="R75" i="12"/>
  <c r="H75" i="12"/>
  <c r="G75" i="12"/>
  <c r="F75" i="12"/>
  <c r="S75" i="12"/>
  <c r="E75" i="12"/>
  <c r="D75" i="12"/>
  <c r="C75" i="12"/>
  <c r="B75" i="12"/>
  <c r="A75" i="12"/>
  <c r="Q75" i="12"/>
  <c r="P74" i="12"/>
  <c r="M74" i="12"/>
  <c r="L74" i="12"/>
  <c r="K74" i="12"/>
  <c r="J74" i="12"/>
  <c r="I74" i="12"/>
  <c r="R74" i="12"/>
  <c r="H74" i="12"/>
  <c r="G74" i="12"/>
  <c r="F74" i="12"/>
  <c r="S74" i="12"/>
  <c r="E74" i="12"/>
  <c r="D74" i="12"/>
  <c r="C74" i="12"/>
  <c r="B74" i="12"/>
  <c r="A74" i="12"/>
  <c r="Q74" i="12"/>
  <c r="P73" i="12"/>
  <c r="M73" i="12"/>
  <c r="L73" i="12"/>
  <c r="K73" i="12"/>
  <c r="J73" i="12"/>
  <c r="I73" i="12"/>
  <c r="R73" i="12"/>
  <c r="H73" i="12"/>
  <c r="G73" i="12"/>
  <c r="F73" i="12"/>
  <c r="S73" i="12"/>
  <c r="E73" i="12"/>
  <c r="D73" i="12"/>
  <c r="C73" i="12"/>
  <c r="B73" i="12"/>
  <c r="A73" i="12"/>
  <c r="Q73" i="12"/>
  <c r="P72" i="12"/>
  <c r="M72" i="12"/>
  <c r="L72" i="12"/>
  <c r="K72" i="12"/>
  <c r="J72" i="12"/>
  <c r="I72" i="12"/>
  <c r="R72" i="12"/>
  <c r="H72" i="12"/>
  <c r="G72" i="12"/>
  <c r="F72" i="12"/>
  <c r="S72" i="12"/>
  <c r="E72" i="12"/>
  <c r="D72" i="12"/>
  <c r="C72" i="12"/>
  <c r="B72" i="12"/>
  <c r="A72" i="12"/>
  <c r="Q72" i="12"/>
  <c r="P71" i="12"/>
  <c r="M71" i="12"/>
  <c r="L71" i="12"/>
  <c r="K71" i="12"/>
  <c r="J71" i="12"/>
  <c r="I71" i="12"/>
  <c r="R71" i="12"/>
  <c r="H71" i="12"/>
  <c r="G71" i="12"/>
  <c r="F71" i="12"/>
  <c r="S71" i="12"/>
  <c r="E71" i="12"/>
  <c r="D71" i="12"/>
  <c r="C71" i="12"/>
  <c r="B71" i="12"/>
  <c r="A71" i="12"/>
  <c r="Q71" i="12"/>
  <c r="P70" i="12"/>
  <c r="M70" i="12"/>
  <c r="L70" i="12"/>
  <c r="K70" i="12"/>
  <c r="J70" i="12"/>
  <c r="I70" i="12"/>
  <c r="R70" i="12"/>
  <c r="H70" i="12"/>
  <c r="G70" i="12"/>
  <c r="F70" i="12"/>
  <c r="S70" i="12"/>
  <c r="E70" i="12"/>
  <c r="D70" i="12"/>
  <c r="C70" i="12"/>
  <c r="B70" i="12"/>
  <c r="A70" i="12"/>
  <c r="Q70" i="12"/>
  <c r="P69" i="12"/>
  <c r="M69" i="12"/>
  <c r="L69" i="12"/>
  <c r="K69" i="12"/>
  <c r="J69" i="12"/>
  <c r="I69" i="12"/>
  <c r="R69" i="12"/>
  <c r="H69" i="12"/>
  <c r="G69" i="12"/>
  <c r="F69" i="12"/>
  <c r="S69" i="12"/>
  <c r="E69" i="12"/>
  <c r="D69" i="12"/>
  <c r="C69" i="12"/>
  <c r="B69" i="12"/>
  <c r="A69" i="12"/>
  <c r="Q69" i="12"/>
  <c r="P68" i="12"/>
  <c r="M68" i="12"/>
  <c r="L68" i="12"/>
  <c r="K68" i="12"/>
  <c r="J68" i="12"/>
  <c r="I68" i="12"/>
  <c r="R68" i="12"/>
  <c r="H68" i="12"/>
  <c r="G68" i="12"/>
  <c r="F68" i="12"/>
  <c r="S68" i="12"/>
  <c r="E68" i="12"/>
  <c r="D68" i="12"/>
  <c r="C68" i="12"/>
  <c r="B68" i="12"/>
  <c r="A68" i="12"/>
  <c r="Q68" i="12"/>
  <c r="P67" i="12"/>
  <c r="M67" i="12"/>
  <c r="L67" i="12"/>
  <c r="K67" i="12"/>
  <c r="J67" i="12"/>
  <c r="I67" i="12"/>
  <c r="R67" i="12"/>
  <c r="H67" i="12"/>
  <c r="G67" i="12"/>
  <c r="F67" i="12"/>
  <c r="S67" i="12"/>
  <c r="E67" i="12"/>
  <c r="D67" i="12"/>
  <c r="C67" i="12"/>
  <c r="B67" i="12"/>
  <c r="A67" i="12"/>
  <c r="Q67" i="12"/>
  <c r="P66" i="12"/>
  <c r="M66" i="12"/>
  <c r="L66" i="12"/>
  <c r="K66" i="12"/>
  <c r="J66" i="12"/>
  <c r="I66" i="12"/>
  <c r="R66" i="12"/>
  <c r="H66" i="12"/>
  <c r="G66" i="12"/>
  <c r="F66" i="12"/>
  <c r="S66" i="12"/>
  <c r="E66" i="12"/>
  <c r="D66" i="12"/>
  <c r="C66" i="12"/>
  <c r="B66" i="12"/>
  <c r="A66" i="12"/>
  <c r="Q66" i="12"/>
  <c r="P65" i="12"/>
  <c r="M65" i="12"/>
  <c r="L65" i="12"/>
  <c r="K65" i="12"/>
  <c r="J65" i="12"/>
  <c r="I65" i="12"/>
  <c r="R65" i="12"/>
  <c r="H65" i="12"/>
  <c r="G65" i="12"/>
  <c r="F65" i="12"/>
  <c r="S65" i="12"/>
  <c r="E65" i="12"/>
  <c r="D65" i="12"/>
  <c r="C65" i="12"/>
  <c r="B65" i="12"/>
  <c r="A65" i="12"/>
  <c r="Q65" i="12"/>
  <c r="P64" i="12"/>
  <c r="M64" i="12"/>
  <c r="L64" i="12"/>
  <c r="K64" i="12"/>
  <c r="J64" i="12"/>
  <c r="I64" i="12"/>
  <c r="R64" i="12"/>
  <c r="H64" i="12"/>
  <c r="G64" i="12"/>
  <c r="F64" i="12"/>
  <c r="S64" i="12"/>
  <c r="E64" i="12"/>
  <c r="D64" i="12"/>
  <c r="C64" i="12"/>
  <c r="B64" i="12"/>
  <c r="A64" i="12"/>
  <c r="Q64" i="12"/>
  <c r="P63" i="12"/>
  <c r="M63" i="12"/>
  <c r="L63" i="12"/>
  <c r="K63" i="12"/>
  <c r="J63" i="12"/>
  <c r="I63" i="12"/>
  <c r="R63" i="12"/>
  <c r="H63" i="12"/>
  <c r="G63" i="12"/>
  <c r="F63" i="12"/>
  <c r="S63" i="12"/>
  <c r="E63" i="12"/>
  <c r="D63" i="12"/>
  <c r="C63" i="12"/>
  <c r="B63" i="12"/>
  <c r="A63" i="12"/>
  <c r="Q63" i="12"/>
  <c r="P62" i="12"/>
  <c r="M62" i="12"/>
  <c r="L62" i="12"/>
  <c r="K62" i="12"/>
  <c r="J62" i="12"/>
  <c r="I62" i="12"/>
  <c r="R62" i="12"/>
  <c r="H62" i="12"/>
  <c r="G62" i="12"/>
  <c r="F62" i="12"/>
  <c r="S62" i="12"/>
  <c r="E62" i="12"/>
  <c r="D62" i="12"/>
  <c r="C62" i="12"/>
  <c r="B62" i="12"/>
  <c r="A62" i="12"/>
  <c r="Q62" i="12"/>
  <c r="P61" i="12"/>
  <c r="M61" i="12"/>
  <c r="L61" i="12"/>
  <c r="K61" i="12"/>
  <c r="J61" i="12"/>
  <c r="I61" i="12"/>
  <c r="R61" i="12"/>
  <c r="H61" i="12"/>
  <c r="G61" i="12"/>
  <c r="F61" i="12"/>
  <c r="S61" i="12"/>
  <c r="E61" i="12"/>
  <c r="D61" i="12"/>
  <c r="C61" i="12"/>
  <c r="B61" i="12"/>
  <c r="A61" i="12"/>
  <c r="Q61" i="12"/>
  <c r="P60" i="12"/>
  <c r="M60" i="12"/>
  <c r="L60" i="12"/>
  <c r="K60" i="12"/>
  <c r="J60" i="12"/>
  <c r="I60" i="12"/>
  <c r="R60" i="12"/>
  <c r="H60" i="12"/>
  <c r="G60" i="12"/>
  <c r="F60" i="12"/>
  <c r="S60" i="12"/>
  <c r="E60" i="12"/>
  <c r="D60" i="12"/>
  <c r="C60" i="12"/>
  <c r="B60" i="12"/>
  <c r="A60" i="12"/>
  <c r="Q60" i="12"/>
  <c r="P59" i="12"/>
  <c r="M59" i="12"/>
  <c r="L59" i="12"/>
  <c r="K59" i="12"/>
  <c r="J59" i="12"/>
  <c r="I59" i="12"/>
  <c r="R59" i="12"/>
  <c r="H59" i="12"/>
  <c r="G59" i="12"/>
  <c r="F59" i="12"/>
  <c r="S59" i="12"/>
  <c r="E59" i="12"/>
  <c r="D59" i="12"/>
  <c r="C59" i="12"/>
  <c r="B59" i="12"/>
  <c r="A59" i="12"/>
  <c r="Q59" i="12"/>
  <c r="P58" i="12"/>
  <c r="M58" i="12"/>
  <c r="L58" i="12"/>
  <c r="K58" i="12"/>
  <c r="J58" i="12"/>
  <c r="I58" i="12"/>
  <c r="R58" i="12"/>
  <c r="H58" i="12"/>
  <c r="G58" i="12"/>
  <c r="F58" i="12"/>
  <c r="S58" i="12"/>
  <c r="E58" i="12"/>
  <c r="D58" i="12"/>
  <c r="C58" i="12"/>
  <c r="B58" i="12"/>
  <c r="A58" i="12"/>
  <c r="Q58" i="12"/>
  <c r="P57" i="12"/>
  <c r="M57" i="12"/>
  <c r="L57" i="12"/>
  <c r="K57" i="12"/>
  <c r="J57" i="12"/>
  <c r="I57" i="12"/>
  <c r="R57" i="12"/>
  <c r="H57" i="12"/>
  <c r="G57" i="12"/>
  <c r="F57" i="12"/>
  <c r="S57" i="12"/>
  <c r="E57" i="12"/>
  <c r="D57" i="12"/>
  <c r="C57" i="12"/>
  <c r="B57" i="12"/>
  <c r="A57" i="12"/>
  <c r="Q57" i="12"/>
  <c r="P56" i="12"/>
  <c r="M56" i="12"/>
  <c r="L56" i="12"/>
  <c r="K56" i="12"/>
  <c r="J56" i="12"/>
  <c r="I56" i="12"/>
  <c r="R56" i="12"/>
  <c r="H56" i="12"/>
  <c r="G56" i="12"/>
  <c r="F56" i="12"/>
  <c r="S56" i="12"/>
  <c r="E56" i="12"/>
  <c r="D56" i="12"/>
  <c r="C56" i="12"/>
  <c r="B56" i="12"/>
  <c r="A56" i="12"/>
  <c r="Q56" i="12"/>
  <c r="P55" i="12"/>
  <c r="M55" i="12"/>
  <c r="L55" i="12"/>
  <c r="K55" i="12"/>
  <c r="J55" i="12"/>
  <c r="I55" i="12"/>
  <c r="R55" i="12"/>
  <c r="H55" i="12"/>
  <c r="G55" i="12"/>
  <c r="F55" i="12"/>
  <c r="S55" i="12"/>
  <c r="E55" i="12"/>
  <c r="D55" i="12"/>
  <c r="C55" i="12"/>
  <c r="B55" i="12"/>
  <c r="A55" i="12"/>
  <c r="Q55" i="12"/>
  <c r="P54" i="12"/>
  <c r="M54" i="12"/>
  <c r="L54" i="12"/>
  <c r="K54" i="12"/>
  <c r="J54" i="12"/>
  <c r="I54" i="12"/>
  <c r="R54" i="12"/>
  <c r="H54" i="12"/>
  <c r="G54" i="12"/>
  <c r="F54" i="12"/>
  <c r="S54" i="12"/>
  <c r="E54" i="12"/>
  <c r="D54" i="12"/>
  <c r="C54" i="12"/>
  <c r="B54" i="12"/>
  <c r="A54" i="12"/>
  <c r="Q54" i="12"/>
  <c r="P53" i="12"/>
  <c r="M53" i="12"/>
  <c r="L53" i="12"/>
  <c r="K53" i="12"/>
  <c r="J53" i="12"/>
  <c r="I53" i="12"/>
  <c r="R53" i="12"/>
  <c r="H53" i="12"/>
  <c r="G53" i="12"/>
  <c r="F53" i="12"/>
  <c r="S53" i="12"/>
  <c r="E53" i="12"/>
  <c r="D53" i="12"/>
  <c r="C53" i="12"/>
  <c r="B53" i="12"/>
  <c r="A53" i="12"/>
  <c r="Q53" i="12"/>
  <c r="P52" i="12"/>
  <c r="M52" i="12"/>
  <c r="L52" i="12"/>
  <c r="K52" i="12"/>
  <c r="J52" i="12"/>
  <c r="I52" i="12"/>
  <c r="R52" i="12"/>
  <c r="H52" i="12"/>
  <c r="G52" i="12"/>
  <c r="F52" i="12"/>
  <c r="S52" i="12"/>
  <c r="E52" i="12"/>
  <c r="D52" i="12"/>
  <c r="C52" i="12"/>
  <c r="B52" i="12"/>
  <c r="A52" i="12"/>
  <c r="Q52" i="12"/>
  <c r="P51" i="12"/>
  <c r="M51" i="12"/>
  <c r="L51" i="12"/>
  <c r="K51" i="12"/>
  <c r="J51" i="12"/>
  <c r="I51" i="12"/>
  <c r="R51" i="12"/>
  <c r="H51" i="12"/>
  <c r="G51" i="12"/>
  <c r="F51" i="12"/>
  <c r="S51" i="12"/>
  <c r="E51" i="12"/>
  <c r="D51" i="12"/>
  <c r="C51" i="12"/>
  <c r="B51" i="12"/>
  <c r="A51" i="12"/>
  <c r="Q51" i="12"/>
  <c r="P50" i="12"/>
  <c r="M50" i="12"/>
  <c r="L50" i="12"/>
  <c r="K50" i="12"/>
  <c r="J50" i="12"/>
  <c r="I50" i="12"/>
  <c r="R50" i="12"/>
  <c r="H50" i="12"/>
  <c r="G50" i="12"/>
  <c r="F50" i="12"/>
  <c r="S50" i="12"/>
  <c r="E50" i="12"/>
  <c r="D50" i="12"/>
  <c r="C50" i="12"/>
  <c r="B50" i="12"/>
  <c r="A50" i="12"/>
  <c r="Q50" i="12"/>
  <c r="P49" i="12"/>
  <c r="M49" i="12"/>
  <c r="L49" i="12"/>
  <c r="K49" i="12"/>
  <c r="J49" i="12"/>
  <c r="I49" i="12"/>
  <c r="R49" i="12"/>
  <c r="H49" i="12"/>
  <c r="G49" i="12"/>
  <c r="F49" i="12"/>
  <c r="E49" i="12"/>
  <c r="D49" i="12"/>
  <c r="C49" i="12"/>
  <c r="B49" i="12"/>
  <c r="A49" i="12"/>
  <c r="Q49" i="12"/>
  <c r="P48" i="12"/>
  <c r="M48" i="12"/>
  <c r="L48" i="12"/>
  <c r="K48" i="12"/>
  <c r="J48" i="12"/>
  <c r="I48" i="12"/>
  <c r="R48" i="12"/>
  <c r="H48" i="12"/>
  <c r="G48" i="12"/>
  <c r="F48" i="12"/>
  <c r="E48" i="12"/>
  <c r="D48" i="12"/>
  <c r="C48" i="12"/>
  <c r="B48" i="12"/>
  <c r="A48" i="12"/>
  <c r="Q48" i="12"/>
  <c r="P47" i="12"/>
  <c r="M47" i="12"/>
  <c r="L47" i="12"/>
  <c r="K47" i="12"/>
  <c r="J47" i="12"/>
  <c r="I47" i="12"/>
  <c r="R47" i="12"/>
  <c r="H47" i="12"/>
  <c r="G47" i="12"/>
  <c r="F47" i="12"/>
  <c r="E47" i="12"/>
  <c r="D47" i="12"/>
  <c r="C47" i="12"/>
  <c r="B47" i="12"/>
  <c r="A47" i="12"/>
  <c r="Q47" i="12"/>
  <c r="P46" i="12"/>
  <c r="M46" i="12"/>
  <c r="L46" i="12"/>
  <c r="K46" i="12"/>
  <c r="J46" i="12"/>
  <c r="I46" i="12"/>
  <c r="R46" i="12"/>
  <c r="H46" i="12"/>
  <c r="G46" i="12"/>
  <c r="F46" i="12"/>
  <c r="E46" i="12"/>
  <c r="D46" i="12"/>
  <c r="C46" i="12"/>
  <c r="B46" i="12"/>
  <c r="A46" i="12"/>
  <c r="Q46" i="12"/>
  <c r="P45" i="12"/>
  <c r="M45" i="12"/>
  <c r="L45" i="12"/>
  <c r="K45" i="12"/>
  <c r="J45" i="12"/>
  <c r="I45" i="12"/>
  <c r="R45" i="12"/>
  <c r="H45" i="12"/>
  <c r="G45" i="12"/>
  <c r="F45" i="12"/>
  <c r="E45" i="12"/>
  <c r="D45" i="12"/>
  <c r="C45" i="12"/>
  <c r="B45" i="12"/>
  <c r="A45" i="12"/>
  <c r="Q45" i="12"/>
  <c r="P44" i="12"/>
  <c r="M44" i="12"/>
  <c r="L44" i="12"/>
  <c r="K44" i="12"/>
  <c r="J44" i="12"/>
  <c r="I44" i="12"/>
  <c r="R44" i="12"/>
  <c r="H44" i="12"/>
  <c r="G44" i="12"/>
  <c r="F44" i="12"/>
  <c r="E44" i="12"/>
  <c r="D44" i="12"/>
  <c r="C44" i="12"/>
  <c r="B44" i="12"/>
  <c r="A44" i="12"/>
  <c r="Q44" i="12"/>
  <c r="P43" i="12"/>
  <c r="M43" i="12"/>
  <c r="L43" i="12"/>
  <c r="K43" i="12"/>
  <c r="J43" i="12"/>
  <c r="I43" i="12"/>
  <c r="R43" i="12"/>
  <c r="H43" i="12"/>
  <c r="G43" i="12"/>
  <c r="F43" i="12"/>
  <c r="E43" i="12"/>
  <c r="D43" i="12"/>
  <c r="C43" i="12"/>
  <c r="B43" i="12"/>
  <c r="A43" i="12"/>
  <c r="Q43" i="12"/>
  <c r="P42" i="12"/>
  <c r="M42" i="12"/>
  <c r="L42" i="12"/>
  <c r="K42" i="12"/>
  <c r="J42" i="12"/>
  <c r="I42" i="12"/>
  <c r="R42" i="12"/>
  <c r="H42" i="12"/>
  <c r="G42" i="12"/>
  <c r="F42" i="12"/>
  <c r="E42" i="12"/>
  <c r="D42" i="12"/>
  <c r="C42" i="12"/>
  <c r="B42" i="12"/>
  <c r="A42" i="12"/>
  <c r="Q42" i="12"/>
  <c r="P41" i="12"/>
  <c r="M41" i="12"/>
  <c r="L41" i="12"/>
  <c r="K41" i="12"/>
  <c r="J41" i="12"/>
  <c r="I41" i="12"/>
  <c r="R41" i="12"/>
  <c r="H41" i="12"/>
  <c r="G41" i="12"/>
  <c r="F41" i="12"/>
  <c r="E41" i="12"/>
  <c r="D41" i="12"/>
  <c r="C41" i="12"/>
  <c r="B41" i="12"/>
  <c r="A41" i="12"/>
  <c r="Q41" i="12"/>
  <c r="P40" i="12"/>
  <c r="M40" i="12"/>
  <c r="L40" i="12"/>
  <c r="K40" i="12"/>
  <c r="J40" i="12"/>
  <c r="I40" i="12"/>
  <c r="R40" i="12"/>
  <c r="H40" i="12"/>
  <c r="G40" i="12"/>
  <c r="F40" i="12"/>
  <c r="E40" i="12"/>
  <c r="D40" i="12"/>
  <c r="C40" i="12"/>
  <c r="B40" i="12"/>
  <c r="A40" i="12"/>
  <c r="Q40" i="12"/>
  <c r="P39" i="12"/>
  <c r="M39" i="12"/>
  <c r="L39" i="12"/>
  <c r="K39" i="12"/>
  <c r="J39" i="12"/>
  <c r="I39" i="12"/>
  <c r="R39" i="12"/>
  <c r="H39" i="12"/>
  <c r="G39" i="12"/>
  <c r="F39" i="12"/>
  <c r="E39" i="12"/>
  <c r="D39" i="12"/>
  <c r="C39" i="12"/>
  <c r="B39" i="12"/>
  <c r="A39" i="12"/>
  <c r="Q39" i="12"/>
  <c r="P38" i="12"/>
  <c r="M38" i="12"/>
  <c r="L38" i="12"/>
  <c r="K38" i="12"/>
  <c r="J38" i="12"/>
  <c r="I38" i="12"/>
  <c r="R38" i="12"/>
  <c r="H38" i="12"/>
  <c r="G38" i="12"/>
  <c r="F38" i="12"/>
  <c r="E38" i="12"/>
  <c r="D38" i="12"/>
  <c r="C38" i="12"/>
  <c r="B38" i="12"/>
  <c r="A38" i="12"/>
  <c r="Q38" i="12"/>
  <c r="P37" i="12"/>
  <c r="M37" i="12"/>
  <c r="L37" i="12"/>
  <c r="K37" i="12"/>
  <c r="J37" i="12"/>
  <c r="I37" i="12"/>
  <c r="R37" i="12"/>
  <c r="H37" i="12"/>
  <c r="G37" i="12"/>
  <c r="F37" i="12"/>
  <c r="E37" i="12"/>
  <c r="D37" i="12"/>
  <c r="C37" i="12"/>
  <c r="B37" i="12"/>
  <c r="A37" i="12"/>
  <c r="Q37" i="12"/>
  <c r="P36" i="12"/>
  <c r="M36" i="12"/>
  <c r="L36" i="12"/>
  <c r="K36" i="12"/>
  <c r="J36" i="12"/>
  <c r="I36" i="12"/>
  <c r="R36" i="12"/>
  <c r="H36" i="12"/>
  <c r="G36" i="12"/>
  <c r="F36" i="12"/>
  <c r="E36" i="12"/>
  <c r="D36" i="12"/>
  <c r="C36" i="12"/>
  <c r="B36" i="12"/>
  <c r="A36" i="12"/>
  <c r="Q36" i="12"/>
  <c r="P35" i="12"/>
  <c r="M35" i="12"/>
  <c r="L35" i="12"/>
  <c r="K35" i="12"/>
  <c r="J35" i="12"/>
  <c r="I35" i="12"/>
  <c r="R35" i="12"/>
  <c r="H35" i="12"/>
  <c r="G35" i="12"/>
  <c r="F35" i="12"/>
  <c r="E35" i="12"/>
  <c r="D35" i="12"/>
  <c r="C35" i="12"/>
  <c r="B35" i="12"/>
  <c r="A35" i="12"/>
  <c r="Q35" i="12"/>
  <c r="P34" i="12"/>
  <c r="M34" i="12"/>
  <c r="L34" i="12"/>
  <c r="K34" i="12"/>
  <c r="J34" i="12"/>
  <c r="I34" i="12"/>
  <c r="R34" i="12"/>
  <c r="H34" i="12"/>
  <c r="G34" i="12"/>
  <c r="F34" i="12"/>
  <c r="E34" i="12"/>
  <c r="D34" i="12"/>
  <c r="C34" i="12"/>
  <c r="B34" i="12"/>
  <c r="A34" i="12"/>
  <c r="Q34" i="12"/>
  <c r="P33" i="12"/>
  <c r="M33" i="12"/>
  <c r="L33" i="12"/>
  <c r="K33" i="12"/>
  <c r="J33" i="12"/>
  <c r="I33" i="12"/>
  <c r="R33" i="12"/>
  <c r="H33" i="12"/>
  <c r="G33" i="12"/>
  <c r="F33" i="12"/>
  <c r="E33" i="12"/>
  <c r="D33" i="12"/>
  <c r="C33" i="12"/>
  <c r="B33" i="12"/>
  <c r="A33" i="12"/>
  <c r="Q33" i="12"/>
  <c r="P32" i="12"/>
  <c r="M32" i="12"/>
  <c r="L32" i="12"/>
  <c r="K32" i="12"/>
  <c r="J32" i="12"/>
  <c r="I32" i="12"/>
  <c r="R32" i="12"/>
  <c r="H32" i="12"/>
  <c r="G32" i="12"/>
  <c r="F32" i="12"/>
  <c r="E32" i="12"/>
  <c r="D32" i="12"/>
  <c r="C32" i="12"/>
  <c r="B32" i="12"/>
  <c r="A32" i="12"/>
  <c r="Q32" i="12"/>
  <c r="P31" i="12"/>
  <c r="M31" i="12"/>
  <c r="L31" i="12"/>
  <c r="K31" i="12"/>
  <c r="J31" i="12"/>
  <c r="I31" i="12"/>
  <c r="R31" i="12"/>
  <c r="H31" i="12"/>
  <c r="G31" i="12"/>
  <c r="F31" i="12"/>
  <c r="E31" i="12"/>
  <c r="D31" i="12"/>
  <c r="C31" i="12"/>
  <c r="B31" i="12"/>
  <c r="A31" i="12"/>
  <c r="Q31" i="12"/>
  <c r="P30" i="12"/>
  <c r="M30" i="12"/>
  <c r="L30" i="12"/>
  <c r="K30" i="12"/>
  <c r="J30" i="12"/>
  <c r="I30" i="12"/>
  <c r="R30" i="12"/>
  <c r="H30" i="12"/>
  <c r="G30" i="12"/>
  <c r="F30" i="12"/>
  <c r="E30" i="12"/>
  <c r="D30" i="12"/>
  <c r="C30" i="12"/>
  <c r="B30" i="12"/>
  <c r="A30" i="12"/>
  <c r="Q30" i="12"/>
  <c r="P29" i="12"/>
  <c r="M29" i="12"/>
  <c r="L29" i="12"/>
  <c r="K29" i="12"/>
  <c r="J29" i="12"/>
  <c r="I29" i="12"/>
  <c r="R29" i="12"/>
  <c r="H29" i="12"/>
  <c r="G29" i="12"/>
  <c r="F29" i="12"/>
  <c r="E29" i="12"/>
  <c r="D29" i="12"/>
  <c r="C29" i="12"/>
  <c r="B29" i="12"/>
  <c r="A29" i="12"/>
  <c r="Q29" i="12"/>
  <c r="P28" i="12"/>
  <c r="M28" i="12"/>
  <c r="L28" i="12"/>
  <c r="K28" i="12"/>
  <c r="J28" i="12"/>
  <c r="I28" i="12"/>
  <c r="R28" i="12"/>
  <c r="H28" i="12"/>
  <c r="G28" i="12"/>
  <c r="F28" i="12"/>
  <c r="E28" i="12"/>
  <c r="D28" i="12"/>
  <c r="C28" i="12"/>
  <c r="B28" i="12"/>
  <c r="A28" i="12"/>
  <c r="Q28" i="12"/>
  <c r="P27" i="12"/>
  <c r="M27" i="12"/>
  <c r="L27" i="12"/>
  <c r="K27" i="12"/>
  <c r="J27" i="12"/>
  <c r="I27" i="12"/>
  <c r="R27" i="12"/>
  <c r="H27" i="12"/>
  <c r="G27" i="12"/>
  <c r="F27" i="12"/>
  <c r="E27" i="12"/>
  <c r="D27" i="12"/>
  <c r="C27" i="12"/>
  <c r="B27" i="12"/>
  <c r="A27" i="12"/>
  <c r="Q27" i="12"/>
  <c r="P26" i="12"/>
  <c r="M26" i="12"/>
  <c r="L26" i="12"/>
  <c r="K26" i="12"/>
  <c r="J26" i="12"/>
  <c r="I26" i="12"/>
  <c r="R26" i="12"/>
  <c r="H26" i="12"/>
  <c r="G26" i="12"/>
  <c r="F26" i="12"/>
  <c r="E26" i="12"/>
  <c r="D26" i="12"/>
  <c r="C26" i="12"/>
  <c r="B26" i="12"/>
  <c r="A26" i="12"/>
  <c r="Q26" i="12"/>
  <c r="P25" i="12"/>
  <c r="M25" i="12"/>
  <c r="L25" i="12"/>
  <c r="K25" i="12"/>
  <c r="J25" i="12"/>
  <c r="I25" i="12"/>
  <c r="R25" i="12"/>
  <c r="H25" i="12"/>
  <c r="G25" i="12"/>
  <c r="F25" i="12"/>
  <c r="E25" i="12"/>
  <c r="D25" i="12"/>
  <c r="C25" i="12"/>
  <c r="B25" i="12"/>
  <c r="A25" i="12"/>
  <c r="Q25" i="12"/>
  <c r="P24" i="12"/>
  <c r="M24" i="12"/>
  <c r="L24" i="12"/>
  <c r="K24" i="12"/>
  <c r="J24" i="12"/>
  <c r="I24" i="12"/>
  <c r="R24" i="12"/>
  <c r="H24" i="12"/>
  <c r="G24" i="12"/>
  <c r="F24" i="12"/>
  <c r="E24" i="12"/>
  <c r="D24" i="12"/>
  <c r="C24" i="12"/>
  <c r="B24" i="12"/>
  <c r="A24" i="12"/>
  <c r="Q24" i="12"/>
  <c r="P23" i="12"/>
  <c r="M23" i="12"/>
  <c r="L23" i="12"/>
  <c r="K23" i="12"/>
  <c r="J23" i="12"/>
  <c r="I23" i="12"/>
  <c r="R23" i="12"/>
  <c r="H23" i="12"/>
  <c r="G23" i="12"/>
  <c r="F23" i="12"/>
  <c r="E23" i="12"/>
  <c r="D23" i="12"/>
  <c r="C23" i="12"/>
  <c r="B23" i="12"/>
  <c r="A23" i="12"/>
  <c r="Q23" i="12"/>
  <c r="P22" i="12"/>
  <c r="M22" i="12"/>
  <c r="L22" i="12"/>
  <c r="K22" i="12"/>
  <c r="J22" i="12"/>
  <c r="I22" i="12"/>
  <c r="R22" i="12"/>
  <c r="H22" i="12"/>
  <c r="G22" i="12"/>
  <c r="F22" i="12"/>
  <c r="E22" i="12"/>
  <c r="D22" i="12"/>
  <c r="C22" i="12"/>
  <c r="B22" i="12"/>
  <c r="A22" i="12"/>
  <c r="Q22" i="12"/>
  <c r="P21" i="12"/>
  <c r="M21" i="12"/>
  <c r="L21" i="12"/>
  <c r="K21" i="12"/>
  <c r="J21" i="12"/>
  <c r="I21" i="12"/>
  <c r="R21" i="12"/>
  <c r="H21" i="12"/>
  <c r="G21" i="12"/>
  <c r="F21" i="12"/>
  <c r="E21" i="12"/>
  <c r="D21" i="12"/>
  <c r="C21" i="12"/>
  <c r="B21" i="12"/>
  <c r="A21" i="12"/>
  <c r="Q21" i="12"/>
  <c r="P20" i="12"/>
  <c r="M20" i="12"/>
  <c r="L20" i="12"/>
  <c r="K20" i="12"/>
  <c r="J20" i="12"/>
  <c r="I20" i="12"/>
  <c r="R20" i="12"/>
  <c r="H20" i="12"/>
  <c r="G20" i="12"/>
  <c r="F20" i="12"/>
  <c r="E20" i="12"/>
  <c r="D20" i="12"/>
  <c r="C20" i="12"/>
  <c r="B20" i="12"/>
  <c r="A20" i="12"/>
  <c r="Q20" i="12"/>
  <c r="P19" i="12"/>
  <c r="M19" i="12"/>
  <c r="L19" i="12"/>
  <c r="K19" i="12"/>
  <c r="J19" i="12"/>
  <c r="I19" i="12"/>
  <c r="R19" i="12"/>
  <c r="H19" i="12"/>
  <c r="G19" i="12"/>
  <c r="F19" i="12"/>
  <c r="E19" i="12"/>
  <c r="D19" i="12"/>
  <c r="C19" i="12"/>
  <c r="B19" i="12"/>
  <c r="A19" i="12"/>
  <c r="Q19" i="12"/>
  <c r="P18" i="12"/>
  <c r="M18" i="12"/>
  <c r="L18" i="12"/>
  <c r="K18" i="12"/>
  <c r="J18" i="12"/>
  <c r="I18" i="12"/>
  <c r="R18" i="12"/>
  <c r="H18" i="12"/>
  <c r="G18" i="12"/>
  <c r="F18" i="12"/>
  <c r="E18" i="12"/>
  <c r="D18" i="12"/>
  <c r="C18" i="12"/>
  <c r="B18" i="12"/>
  <c r="A18" i="12"/>
  <c r="Q18" i="12"/>
  <c r="P17" i="12"/>
  <c r="M17" i="12"/>
  <c r="L17" i="12"/>
  <c r="K17" i="12"/>
  <c r="J17" i="12"/>
  <c r="I17" i="12"/>
  <c r="R17" i="12"/>
  <c r="H17" i="12"/>
  <c r="G17" i="12"/>
  <c r="F17" i="12"/>
  <c r="E17" i="12"/>
  <c r="D17" i="12"/>
  <c r="C17" i="12"/>
  <c r="B17" i="12"/>
  <c r="A17" i="12"/>
  <c r="Q17" i="12"/>
  <c r="P16" i="12"/>
  <c r="M16" i="12"/>
  <c r="L16" i="12"/>
  <c r="K16" i="12"/>
  <c r="J16" i="12"/>
  <c r="I16" i="12"/>
  <c r="R16" i="12"/>
  <c r="H16" i="12"/>
  <c r="G16" i="12"/>
  <c r="F16" i="12"/>
  <c r="E16" i="12"/>
  <c r="D16" i="12"/>
  <c r="C16" i="12"/>
  <c r="B16" i="12"/>
  <c r="A16" i="12"/>
  <c r="Q16" i="12"/>
  <c r="P15" i="12"/>
  <c r="M15" i="12"/>
  <c r="L15" i="12"/>
  <c r="K15" i="12"/>
  <c r="J15" i="12"/>
  <c r="I15" i="12"/>
  <c r="R15" i="12"/>
  <c r="H15" i="12"/>
  <c r="G15" i="12"/>
  <c r="F15" i="12"/>
  <c r="E15" i="12"/>
  <c r="D15" i="12"/>
  <c r="C15" i="12"/>
  <c r="B15" i="12"/>
  <c r="A15" i="12"/>
  <c r="Q15" i="12"/>
  <c r="P14" i="12"/>
  <c r="M14" i="12"/>
  <c r="L14" i="12"/>
  <c r="K14" i="12"/>
  <c r="J14" i="12"/>
  <c r="I14" i="12"/>
  <c r="R14" i="12"/>
  <c r="H14" i="12"/>
  <c r="G14" i="12"/>
  <c r="F14" i="12"/>
  <c r="E14" i="12"/>
  <c r="D14" i="12"/>
  <c r="C14" i="12"/>
  <c r="B14" i="12"/>
  <c r="A14" i="12"/>
  <c r="Q14" i="12"/>
  <c r="P13" i="12"/>
  <c r="M13" i="12"/>
  <c r="L13" i="12"/>
  <c r="K13" i="12"/>
  <c r="J13" i="12"/>
  <c r="I13" i="12"/>
  <c r="R13" i="12"/>
  <c r="H13" i="12"/>
  <c r="G13" i="12"/>
  <c r="F13" i="12"/>
  <c r="E13" i="12"/>
  <c r="D13" i="12"/>
  <c r="C13" i="12"/>
  <c r="B13" i="12"/>
  <c r="A13" i="12"/>
  <c r="Q13" i="12"/>
  <c r="P12" i="12"/>
  <c r="M12" i="12"/>
  <c r="L12" i="12"/>
  <c r="K12" i="12"/>
  <c r="J12" i="12"/>
  <c r="I12" i="12"/>
  <c r="R12" i="12"/>
  <c r="H12" i="12"/>
  <c r="G12" i="12"/>
  <c r="F12" i="12"/>
  <c r="E12" i="12"/>
  <c r="D12" i="12"/>
  <c r="C12" i="12"/>
  <c r="B12" i="12"/>
  <c r="A12" i="12"/>
  <c r="Q12" i="12"/>
  <c r="P11" i="12"/>
  <c r="M11" i="12"/>
  <c r="L11" i="12"/>
  <c r="K11" i="12"/>
  <c r="J11" i="12"/>
  <c r="I11" i="12"/>
  <c r="R11" i="12"/>
  <c r="H11" i="12"/>
  <c r="G11" i="12"/>
  <c r="F11" i="12"/>
  <c r="E11" i="12"/>
  <c r="D11" i="12"/>
  <c r="C11" i="12"/>
  <c r="B11" i="12"/>
  <c r="A11" i="12"/>
  <c r="Q11" i="12"/>
  <c r="P10" i="12"/>
  <c r="M10" i="12"/>
  <c r="L10" i="12"/>
  <c r="K10" i="12"/>
  <c r="J10" i="12"/>
  <c r="I10" i="12"/>
  <c r="R10" i="12"/>
  <c r="H10" i="12"/>
  <c r="G10" i="12"/>
  <c r="F10" i="12"/>
  <c r="E10" i="12"/>
  <c r="D10" i="12"/>
  <c r="C10" i="12"/>
  <c r="B10" i="12"/>
  <c r="A10" i="12"/>
  <c r="Q10" i="12"/>
  <c r="P9" i="12"/>
  <c r="M9" i="12"/>
  <c r="L9" i="12"/>
  <c r="K9" i="12"/>
  <c r="J9" i="12"/>
  <c r="I9" i="12"/>
  <c r="R9" i="12"/>
  <c r="H9" i="12"/>
  <c r="G9" i="12"/>
  <c r="F9" i="12"/>
  <c r="E9" i="12"/>
  <c r="D9" i="12"/>
  <c r="C9" i="12"/>
  <c r="B9" i="12"/>
  <c r="A9" i="12"/>
  <c r="Q9" i="12"/>
  <c r="P8" i="12"/>
  <c r="M8" i="12"/>
  <c r="L8" i="12"/>
  <c r="K8" i="12"/>
  <c r="J8" i="12"/>
  <c r="I8" i="12"/>
  <c r="R8" i="12"/>
  <c r="H8" i="12"/>
  <c r="G8" i="12"/>
  <c r="F8" i="12"/>
  <c r="E8" i="12"/>
  <c r="D8" i="12"/>
  <c r="C8" i="12"/>
  <c r="B8" i="12"/>
  <c r="A8" i="12"/>
  <c r="Q8" i="12"/>
  <c r="P7" i="12"/>
  <c r="M7" i="12"/>
  <c r="L7" i="12"/>
  <c r="K7" i="12"/>
  <c r="J7" i="12"/>
  <c r="I7" i="12"/>
  <c r="R7" i="12"/>
  <c r="H7" i="12"/>
  <c r="G7" i="12"/>
  <c r="F7" i="12"/>
  <c r="E7" i="12"/>
  <c r="D7" i="12"/>
  <c r="C7" i="12"/>
  <c r="B7" i="12"/>
  <c r="A7" i="12"/>
  <c r="Q7" i="12"/>
  <c r="P6" i="12"/>
  <c r="M6" i="12"/>
  <c r="L6" i="12"/>
  <c r="K6" i="12"/>
  <c r="J6" i="12"/>
  <c r="I6" i="12"/>
  <c r="R6" i="12"/>
  <c r="H6" i="12"/>
  <c r="G6" i="12"/>
  <c r="F6" i="12"/>
  <c r="E6" i="12"/>
  <c r="D6" i="12"/>
  <c r="C6" i="12"/>
  <c r="B6" i="12"/>
  <c r="A6" i="12"/>
  <c r="Q6" i="12"/>
  <c r="P5" i="12"/>
  <c r="M5" i="12"/>
  <c r="L5" i="12"/>
  <c r="K5" i="12"/>
  <c r="J5" i="12"/>
  <c r="I5" i="12"/>
  <c r="R5" i="12"/>
  <c r="H5" i="12"/>
  <c r="G5" i="12"/>
  <c r="F5" i="12"/>
  <c r="E5" i="12"/>
  <c r="D5" i="12"/>
  <c r="C5" i="12"/>
  <c r="B5" i="12"/>
  <c r="A5" i="12"/>
  <c r="Q5" i="12"/>
  <c r="P4" i="12"/>
  <c r="M4" i="12"/>
  <c r="L4" i="12"/>
  <c r="K4" i="12"/>
  <c r="J4" i="12"/>
  <c r="I4" i="12"/>
  <c r="R4" i="12"/>
  <c r="H4" i="12"/>
  <c r="G4" i="12"/>
  <c r="F4" i="12"/>
  <c r="E4" i="12"/>
  <c r="D4" i="12"/>
  <c r="C4" i="12"/>
  <c r="B4" i="12"/>
  <c r="A4" i="12"/>
  <c r="Q4" i="12"/>
  <c r="P3" i="12"/>
  <c r="M3" i="12"/>
  <c r="L3" i="12"/>
  <c r="K3" i="12"/>
  <c r="J3" i="12"/>
  <c r="I3" i="12"/>
  <c r="R3" i="12"/>
  <c r="H3" i="12"/>
  <c r="G3" i="12"/>
  <c r="F3" i="12"/>
  <c r="E3" i="12"/>
  <c r="D3" i="12"/>
  <c r="C3" i="12"/>
  <c r="B3" i="12"/>
  <c r="A3" i="12"/>
  <c r="Q3" i="12"/>
  <c r="P2" i="12"/>
  <c r="M2" i="12"/>
  <c r="L2" i="12"/>
  <c r="K2" i="12"/>
  <c r="J2" i="12"/>
  <c r="I2" i="12"/>
  <c r="R2" i="12"/>
  <c r="H2" i="12"/>
  <c r="G2" i="12"/>
  <c r="F2" i="12"/>
  <c r="E2" i="12"/>
  <c r="D2" i="12"/>
  <c r="C2" i="12"/>
  <c r="B2" i="12"/>
  <c r="A2" i="12"/>
  <c r="Q2" i="12"/>
  <c r="AA503" i="11"/>
  <c r="Z503" i="11"/>
  <c r="Y503" i="11"/>
  <c r="W503" i="11"/>
  <c r="V503" i="11"/>
  <c r="U503" i="11"/>
  <c r="T503" i="11"/>
  <c r="S503" i="11"/>
  <c r="R503" i="11"/>
  <c r="P503" i="11"/>
  <c r="O503" i="11"/>
  <c r="N503" i="11"/>
  <c r="L503" i="11"/>
  <c r="K503" i="11"/>
  <c r="J503" i="11"/>
  <c r="I503" i="11"/>
  <c r="H503" i="11"/>
  <c r="G503" i="11"/>
  <c r="F503" i="11"/>
  <c r="E503" i="11"/>
  <c r="D503" i="11"/>
  <c r="C503" i="11"/>
  <c r="AA502" i="11"/>
  <c r="Z502" i="11"/>
  <c r="Y502" i="11"/>
  <c r="W502" i="11"/>
  <c r="V502" i="11"/>
  <c r="U502" i="11"/>
  <c r="T502" i="11"/>
  <c r="S502" i="11"/>
  <c r="R502" i="11"/>
  <c r="P502" i="11"/>
  <c r="O502" i="11"/>
  <c r="N502" i="11"/>
  <c r="L502" i="11"/>
  <c r="K502" i="11"/>
  <c r="J502" i="11"/>
  <c r="I502" i="11"/>
  <c r="H502" i="11"/>
  <c r="G502" i="11"/>
  <c r="F502" i="11"/>
  <c r="E502" i="11"/>
  <c r="D502" i="11"/>
  <c r="C502" i="11"/>
  <c r="AA501" i="11"/>
  <c r="Z501" i="11"/>
  <c r="Y501" i="11"/>
  <c r="W501" i="11"/>
  <c r="V501" i="11"/>
  <c r="U501" i="11"/>
  <c r="T501" i="11"/>
  <c r="S501" i="11"/>
  <c r="R501" i="11"/>
  <c r="P501" i="11"/>
  <c r="O501" i="11"/>
  <c r="N501" i="11"/>
  <c r="L501" i="11"/>
  <c r="K501" i="11"/>
  <c r="J501" i="11"/>
  <c r="I501" i="11"/>
  <c r="H501" i="11"/>
  <c r="G501" i="11"/>
  <c r="F501" i="11"/>
  <c r="E501" i="11"/>
  <c r="D501" i="11"/>
  <c r="C501" i="11"/>
  <c r="AA500" i="11"/>
  <c r="Z500" i="11"/>
  <c r="Y500" i="11"/>
  <c r="W500" i="11"/>
  <c r="V500" i="11"/>
  <c r="U500" i="11"/>
  <c r="T500" i="11"/>
  <c r="S500" i="11"/>
  <c r="R500" i="11"/>
  <c r="P500" i="11"/>
  <c r="O500" i="11"/>
  <c r="N500" i="11"/>
  <c r="L500" i="11"/>
  <c r="K500" i="11"/>
  <c r="J500" i="11"/>
  <c r="I500" i="11"/>
  <c r="H500" i="11"/>
  <c r="G500" i="11"/>
  <c r="F500" i="11"/>
  <c r="E500" i="11"/>
  <c r="D500" i="11"/>
  <c r="C500" i="11"/>
  <c r="AA499" i="11"/>
  <c r="Z499" i="11"/>
  <c r="Y499" i="11"/>
  <c r="W499" i="11"/>
  <c r="V499" i="11"/>
  <c r="U499" i="11"/>
  <c r="T499" i="11"/>
  <c r="S499" i="11"/>
  <c r="R499" i="11"/>
  <c r="P499" i="11"/>
  <c r="O499" i="11"/>
  <c r="N499" i="11"/>
  <c r="L499" i="11"/>
  <c r="K499" i="11"/>
  <c r="J499" i="11"/>
  <c r="I499" i="11"/>
  <c r="H499" i="11"/>
  <c r="G499" i="11"/>
  <c r="F499" i="11"/>
  <c r="E499" i="11"/>
  <c r="D499" i="11"/>
  <c r="C499" i="11"/>
  <c r="AA498" i="11"/>
  <c r="Z498" i="11"/>
  <c r="Y498" i="11"/>
  <c r="W498" i="11"/>
  <c r="V498" i="11"/>
  <c r="U498" i="11"/>
  <c r="T498" i="11"/>
  <c r="S498" i="11"/>
  <c r="R498" i="11"/>
  <c r="P498" i="11"/>
  <c r="O498" i="11"/>
  <c r="N498" i="11"/>
  <c r="L498" i="11"/>
  <c r="K498" i="11"/>
  <c r="J498" i="11"/>
  <c r="I498" i="11"/>
  <c r="H498" i="11"/>
  <c r="G498" i="11"/>
  <c r="F498" i="11"/>
  <c r="E498" i="11"/>
  <c r="D498" i="11"/>
  <c r="C498" i="11"/>
  <c r="AA497" i="11"/>
  <c r="Z497" i="11"/>
  <c r="Y497" i="11"/>
  <c r="W497" i="11"/>
  <c r="V497" i="11"/>
  <c r="U497" i="11"/>
  <c r="T497" i="11"/>
  <c r="S497" i="11"/>
  <c r="R497" i="11"/>
  <c r="P497" i="11"/>
  <c r="O497" i="11"/>
  <c r="N497" i="11"/>
  <c r="L497" i="11"/>
  <c r="K497" i="11"/>
  <c r="J497" i="11"/>
  <c r="I497" i="11"/>
  <c r="H497" i="11"/>
  <c r="G497" i="11"/>
  <c r="F497" i="11"/>
  <c r="E497" i="11"/>
  <c r="D497" i="11"/>
  <c r="C497" i="11"/>
  <c r="AA496" i="11"/>
  <c r="Z496" i="11"/>
  <c r="Y496" i="11"/>
  <c r="W496" i="11"/>
  <c r="V496" i="11"/>
  <c r="U496" i="11"/>
  <c r="T496" i="11"/>
  <c r="S496" i="11"/>
  <c r="R496" i="11"/>
  <c r="P496" i="11"/>
  <c r="O496" i="11"/>
  <c r="N496" i="11"/>
  <c r="L496" i="11"/>
  <c r="K496" i="11"/>
  <c r="J496" i="11"/>
  <c r="I496" i="11"/>
  <c r="H496" i="11"/>
  <c r="G496" i="11"/>
  <c r="F496" i="11"/>
  <c r="E496" i="11"/>
  <c r="D496" i="11"/>
  <c r="C496" i="11"/>
  <c r="AA495" i="11"/>
  <c r="Z495" i="11"/>
  <c r="Y495" i="11"/>
  <c r="W495" i="11"/>
  <c r="V495" i="11"/>
  <c r="U495" i="11"/>
  <c r="T495" i="11"/>
  <c r="S495" i="11"/>
  <c r="R495" i="11"/>
  <c r="P495" i="11"/>
  <c r="O495" i="11"/>
  <c r="N495" i="11"/>
  <c r="L495" i="11"/>
  <c r="K495" i="11"/>
  <c r="J495" i="11"/>
  <c r="I495" i="11"/>
  <c r="H495" i="11"/>
  <c r="G495" i="11"/>
  <c r="F495" i="11"/>
  <c r="E495" i="11"/>
  <c r="D495" i="11"/>
  <c r="C495" i="11"/>
  <c r="AA494" i="11"/>
  <c r="Z494" i="11"/>
  <c r="Y494" i="11"/>
  <c r="W494" i="11"/>
  <c r="V494" i="11"/>
  <c r="U494" i="11"/>
  <c r="T494" i="11"/>
  <c r="S494" i="11"/>
  <c r="R494" i="11"/>
  <c r="P494" i="11"/>
  <c r="O494" i="11"/>
  <c r="N494" i="11"/>
  <c r="L494" i="11"/>
  <c r="K494" i="11"/>
  <c r="J494" i="11"/>
  <c r="I494" i="11"/>
  <c r="H494" i="11"/>
  <c r="G494" i="11"/>
  <c r="F494" i="11"/>
  <c r="E494" i="11"/>
  <c r="D494" i="11"/>
  <c r="C494" i="11"/>
  <c r="AA493" i="11"/>
  <c r="Z493" i="11"/>
  <c r="Y493" i="11"/>
  <c r="W493" i="11"/>
  <c r="V493" i="11"/>
  <c r="U493" i="11"/>
  <c r="T493" i="11"/>
  <c r="S493" i="11"/>
  <c r="R493" i="11"/>
  <c r="P493" i="11"/>
  <c r="O493" i="11"/>
  <c r="N493" i="11"/>
  <c r="L493" i="11"/>
  <c r="K493" i="11"/>
  <c r="J493" i="11"/>
  <c r="I493" i="11"/>
  <c r="H493" i="11"/>
  <c r="G493" i="11"/>
  <c r="F493" i="11"/>
  <c r="E493" i="11"/>
  <c r="D493" i="11"/>
  <c r="C493" i="11"/>
  <c r="AA492" i="11"/>
  <c r="Z492" i="11"/>
  <c r="Y492" i="11"/>
  <c r="W492" i="11"/>
  <c r="V492" i="11"/>
  <c r="U492" i="11"/>
  <c r="T492" i="11"/>
  <c r="S492" i="11"/>
  <c r="R492" i="11"/>
  <c r="P492" i="11"/>
  <c r="O492" i="11"/>
  <c r="N492" i="11"/>
  <c r="L492" i="11"/>
  <c r="K492" i="11"/>
  <c r="J492" i="11"/>
  <c r="I492" i="11"/>
  <c r="H492" i="11"/>
  <c r="G492" i="11"/>
  <c r="F492" i="11"/>
  <c r="E492" i="11"/>
  <c r="D492" i="11"/>
  <c r="C492" i="11"/>
  <c r="AA491" i="11"/>
  <c r="Z491" i="11"/>
  <c r="Y491" i="11"/>
  <c r="W491" i="11"/>
  <c r="V491" i="11"/>
  <c r="U491" i="11"/>
  <c r="T491" i="11"/>
  <c r="S491" i="11"/>
  <c r="R491" i="11"/>
  <c r="P491" i="11"/>
  <c r="O491" i="11"/>
  <c r="N491" i="11"/>
  <c r="L491" i="11"/>
  <c r="K491" i="11"/>
  <c r="J491" i="11"/>
  <c r="I491" i="11"/>
  <c r="H491" i="11"/>
  <c r="G491" i="11"/>
  <c r="F491" i="11"/>
  <c r="E491" i="11"/>
  <c r="D491" i="11"/>
  <c r="C491" i="11"/>
  <c r="AA490" i="11"/>
  <c r="Z490" i="11"/>
  <c r="Y490" i="11"/>
  <c r="W490" i="11"/>
  <c r="V490" i="11"/>
  <c r="U490" i="11"/>
  <c r="T490" i="11"/>
  <c r="S490" i="11"/>
  <c r="R490" i="11"/>
  <c r="P490" i="11"/>
  <c r="O490" i="11"/>
  <c r="N490" i="11"/>
  <c r="L490" i="11"/>
  <c r="K490" i="11"/>
  <c r="J490" i="11"/>
  <c r="I490" i="11"/>
  <c r="H490" i="11"/>
  <c r="G490" i="11"/>
  <c r="F490" i="11"/>
  <c r="E490" i="11"/>
  <c r="D490" i="11"/>
  <c r="C490" i="11"/>
  <c r="AA489" i="11"/>
  <c r="Z489" i="11"/>
  <c r="Y489" i="11"/>
  <c r="W489" i="11"/>
  <c r="V489" i="11"/>
  <c r="U489" i="11"/>
  <c r="T489" i="11"/>
  <c r="S489" i="11"/>
  <c r="R489" i="11"/>
  <c r="P489" i="11"/>
  <c r="O489" i="11"/>
  <c r="N489" i="11"/>
  <c r="L489" i="11"/>
  <c r="K489" i="11"/>
  <c r="J489" i="11"/>
  <c r="I489" i="11"/>
  <c r="H489" i="11"/>
  <c r="G489" i="11"/>
  <c r="F489" i="11"/>
  <c r="E489" i="11"/>
  <c r="D489" i="11"/>
  <c r="C489" i="11"/>
  <c r="AA488" i="11"/>
  <c r="Z488" i="11"/>
  <c r="Y488" i="11"/>
  <c r="W488" i="11"/>
  <c r="V488" i="11"/>
  <c r="U488" i="11"/>
  <c r="T488" i="11"/>
  <c r="S488" i="11"/>
  <c r="R488" i="11"/>
  <c r="P488" i="11"/>
  <c r="O488" i="11"/>
  <c r="N488" i="11"/>
  <c r="L488" i="11"/>
  <c r="K488" i="11"/>
  <c r="J488" i="11"/>
  <c r="I488" i="11"/>
  <c r="H488" i="11"/>
  <c r="G488" i="11"/>
  <c r="F488" i="11"/>
  <c r="E488" i="11"/>
  <c r="D488" i="11"/>
  <c r="C488" i="11"/>
  <c r="AA487" i="11"/>
  <c r="Z487" i="11"/>
  <c r="Y487" i="11"/>
  <c r="W487" i="11"/>
  <c r="V487" i="11"/>
  <c r="U487" i="11"/>
  <c r="T487" i="11"/>
  <c r="S487" i="11"/>
  <c r="R487" i="11"/>
  <c r="P487" i="11"/>
  <c r="O487" i="11"/>
  <c r="N487" i="11"/>
  <c r="L487" i="11"/>
  <c r="K487" i="11"/>
  <c r="J487" i="11"/>
  <c r="I487" i="11"/>
  <c r="H487" i="11"/>
  <c r="G487" i="11"/>
  <c r="F487" i="11"/>
  <c r="E487" i="11"/>
  <c r="D487" i="11"/>
  <c r="C487" i="11"/>
  <c r="AA486" i="11"/>
  <c r="Z486" i="11"/>
  <c r="Y486" i="11"/>
  <c r="W486" i="11"/>
  <c r="V486" i="11"/>
  <c r="U486" i="11"/>
  <c r="T486" i="11"/>
  <c r="S486" i="11"/>
  <c r="R486" i="11"/>
  <c r="P486" i="11"/>
  <c r="O486" i="11"/>
  <c r="N486" i="11"/>
  <c r="L486" i="11"/>
  <c r="K486" i="11"/>
  <c r="J486" i="11"/>
  <c r="I486" i="11"/>
  <c r="H486" i="11"/>
  <c r="G486" i="11"/>
  <c r="F486" i="11"/>
  <c r="E486" i="11"/>
  <c r="D486" i="11"/>
  <c r="C486" i="11"/>
  <c r="AA485" i="11"/>
  <c r="Z485" i="11"/>
  <c r="Y485" i="11"/>
  <c r="W485" i="11"/>
  <c r="V485" i="11"/>
  <c r="U485" i="11"/>
  <c r="T485" i="11"/>
  <c r="S485" i="11"/>
  <c r="R485" i="11"/>
  <c r="P485" i="11"/>
  <c r="O485" i="11"/>
  <c r="N485" i="11"/>
  <c r="L485" i="11"/>
  <c r="K485" i="11"/>
  <c r="J485" i="11"/>
  <c r="I485" i="11"/>
  <c r="H485" i="11"/>
  <c r="G485" i="11"/>
  <c r="F485" i="11"/>
  <c r="E485" i="11"/>
  <c r="D485" i="11"/>
  <c r="C485" i="11"/>
  <c r="AA484" i="11"/>
  <c r="Z484" i="11"/>
  <c r="Y484" i="11"/>
  <c r="W484" i="11"/>
  <c r="V484" i="11"/>
  <c r="U484" i="11"/>
  <c r="T484" i="11"/>
  <c r="S484" i="11"/>
  <c r="R484" i="11"/>
  <c r="P484" i="11"/>
  <c r="O484" i="11"/>
  <c r="N484" i="11"/>
  <c r="L484" i="11"/>
  <c r="K484" i="11"/>
  <c r="J484" i="11"/>
  <c r="I484" i="11"/>
  <c r="H484" i="11"/>
  <c r="G484" i="11"/>
  <c r="F484" i="11"/>
  <c r="E484" i="11"/>
  <c r="D484" i="11"/>
  <c r="C484" i="11"/>
  <c r="AA483" i="11"/>
  <c r="Z483" i="11"/>
  <c r="Y483" i="11"/>
  <c r="W483" i="11"/>
  <c r="V483" i="11"/>
  <c r="U483" i="11"/>
  <c r="T483" i="11"/>
  <c r="S483" i="11"/>
  <c r="R483" i="11"/>
  <c r="P483" i="11"/>
  <c r="O483" i="11"/>
  <c r="N483" i="11"/>
  <c r="L483" i="11"/>
  <c r="K483" i="11"/>
  <c r="J483" i="11"/>
  <c r="I483" i="11"/>
  <c r="H483" i="11"/>
  <c r="G483" i="11"/>
  <c r="F483" i="11"/>
  <c r="E483" i="11"/>
  <c r="D483" i="11"/>
  <c r="C483" i="11"/>
  <c r="AA482" i="11"/>
  <c r="Z482" i="11"/>
  <c r="Y482" i="11"/>
  <c r="W482" i="11"/>
  <c r="V482" i="11"/>
  <c r="U482" i="11"/>
  <c r="T482" i="11"/>
  <c r="S482" i="11"/>
  <c r="R482" i="11"/>
  <c r="P482" i="11"/>
  <c r="O482" i="11"/>
  <c r="N482" i="11"/>
  <c r="L482" i="11"/>
  <c r="K482" i="11"/>
  <c r="J482" i="11"/>
  <c r="I482" i="11"/>
  <c r="H482" i="11"/>
  <c r="G482" i="11"/>
  <c r="F482" i="11"/>
  <c r="E482" i="11"/>
  <c r="D482" i="11"/>
  <c r="C482" i="11"/>
  <c r="AA481" i="11"/>
  <c r="Z481" i="11"/>
  <c r="Y481" i="11"/>
  <c r="W481" i="11"/>
  <c r="V481" i="11"/>
  <c r="U481" i="11"/>
  <c r="T481" i="11"/>
  <c r="S481" i="11"/>
  <c r="R481" i="11"/>
  <c r="P481" i="11"/>
  <c r="O481" i="11"/>
  <c r="N481" i="11"/>
  <c r="L481" i="11"/>
  <c r="K481" i="11"/>
  <c r="J481" i="11"/>
  <c r="I481" i="11"/>
  <c r="H481" i="11"/>
  <c r="G481" i="11"/>
  <c r="F481" i="11"/>
  <c r="E481" i="11"/>
  <c r="D481" i="11"/>
  <c r="C481" i="11"/>
  <c r="AA480" i="11"/>
  <c r="Z480" i="11"/>
  <c r="Y480" i="11"/>
  <c r="W480" i="11"/>
  <c r="V480" i="11"/>
  <c r="U480" i="11"/>
  <c r="T480" i="11"/>
  <c r="S480" i="11"/>
  <c r="R480" i="11"/>
  <c r="P480" i="11"/>
  <c r="O480" i="11"/>
  <c r="N480" i="11"/>
  <c r="L480" i="11"/>
  <c r="K480" i="11"/>
  <c r="J480" i="11"/>
  <c r="I480" i="11"/>
  <c r="H480" i="11"/>
  <c r="G480" i="11"/>
  <c r="F480" i="11"/>
  <c r="E480" i="11"/>
  <c r="D480" i="11"/>
  <c r="C480" i="11"/>
  <c r="AA479" i="11"/>
  <c r="Z479" i="11"/>
  <c r="Y479" i="11"/>
  <c r="W479" i="11"/>
  <c r="V479" i="11"/>
  <c r="U479" i="11"/>
  <c r="T479" i="11"/>
  <c r="S479" i="11"/>
  <c r="R479" i="11"/>
  <c r="P479" i="11"/>
  <c r="O479" i="11"/>
  <c r="N479" i="11"/>
  <c r="L479" i="11"/>
  <c r="K479" i="11"/>
  <c r="J479" i="11"/>
  <c r="I479" i="11"/>
  <c r="H479" i="11"/>
  <c r="G479" i="11"/>
  <c r="F479" i="11"/>
  <c r="E479" i="11"/>
  <c r="D479" i="11"/>
  <c r="C479" i="11"/>
  <c r="AA478" i="11"/>
  <c r="Z478" i="11"/>
  <c r="Y478" i="11"/>
  <c r="W478" i="11"/>
  <c r="V478" i="11"/>
  <c r="U478" i="11"/>
  <c r="T478" i="11"/>
  <c r="S478" i="11"/>
  <c r="R478" i="11"/>
  <c r="P478" i="11"/>
  <c r="O478" i="11"/>
  <c r="N478" i="11"/>
  <c r="L478" i="11"/>
  <c r="K478" i="11"/>
  <c r="J478" i="11"/>
  <c r="I478" i="11"/>
  <c r="H478" i="11"/>
  <c r="G478" i="11"/>
  <c r="F478" i="11"/>
  <c r="E478" i="11"/>
  <c r="D478" i="11"/>
  <c r="C478" i="11"/>
  <c r="AA477" i="11"/>
  <c r="Z477" i="11"/>
  <c r="Y477" i="11"/>
  <c r="W477" i="11"/>
  <c r="V477" i="11"/>
  <c r="U477" i="11"/>
  <c r="T477" i="11"/>
  <c r="S477" i="11"/>
  <c r="R477" i="11"/>
  <c r="P477" i="11"/>
  <c r="O477" i="11"/>
  <c r="N477" i="11"/>
  <c r="L477" i="11"/>
  <c r="K477" i="11"/>
  <c r="J477" i="11"/>
  <c r="I477" i="11"/>
  <c r="H477" i="11"/>
  <c r="G477" i="11"/>
  <c r="F477" i="11"/>
  <c r="E477" i="11"/>
  <c r="D477" i="11"/>
  <c r="C477" i="11"/>
  <c r="AA476" i="11"/>
  <c r="Z476" i="11"/>
  <c r="Y476" i="11"/>
  <c r="W476" i="11"/>
  <c r="V476" i="11"/>
  <c r="U476" i="11"/>
  <c r="T476" i="11"/>
  <c r="S476" i="11"/>
  <c r="R476" i="11"/>
  <c r="P476" i="11"/>
  <c r="O476" i="11"/>
  <c r="N476" i="11"/>
  <c r="L476" i="11"/>
  <c r="K476" i="11"/>
  <c r="J476" i="11"/>
  <c r="I476" i="11"/>
  <c r="H476" i="11"/>
  <c r="G476" i="11"/>
  <c r="F476" i="11"/>
  <c r="E476" i="11"/>
  <c r="D476" i="11"/>
  <c r="C476" i="11"/>
  <c r="AA475" i="11"/>
  <c r="Z475" i="11"/>
  <c r="Y475" i="11"/>
  <c r="W475" i="11"/>
  <c r="V475" i="11"/>
  <c r="U475" i="11"/>
  <c r="T475" i="11"/>
  <c r="S475" i="11"/>
  <c r="R475" i="11"/>
  <c r="P475" i="11"/>
  <c r="O475" i="11"/>
  <c r="N475" i="11"/>
  <c r="L475" i="11"/>
  <c r="K475" i="11"/>
  <c r="J475" i="11"/>
  <c r="I475" i="11"/>
  <c r="H475" i="11"/>
  <c r="G475" i="11"/>
  <c r="F475" i="11"/>
  <c r="E475" i="11"/>
  <c r="D475" i="11"/>
  <c r="C475" i="11"/>
  <c r="AA474" i="11"/>
  <c r="Z474" i="11"/>
  <c r="Y474" i="11"/>
  <c r="W474" i="11"/>
  <c r="V474" i="11"/>
  <c r="U474" i="11"/>
  <c r="T474" i="11"/>
  <c r="S474" i="11"/>
  <c r="R474" i="11"/>
  <c r="P474" i="11"/>
  <c r="O474" i="11"/>
  <c r="N474" i="11"/>
  <c r="L474" i="11"/>
  <c r="K474" i="11"/>
  <c r="J474" i="11"/>
  <c r="I474" i="11"/>
  <c r="H474" i="11"/>
  <c r="G474" i="11"/>
  <c r="F474" i="11"/>
  <c r="E474" i="11"/>
  <c r="D474" i="11"/>
  <c r="C474" i="11"/>
  <c r="AA473" i="11"/>
  <c r="Z473" i="11"/>
  <c r="Y473" i="11"/>
  <c r="W473" i="11"/>
  <c r="V473" i="11"/>
  <c r="U473" i="11"/>
  <c r="T473" i="11"/>
  <c r="S473" i="11"/>
  <c r="R473" i="11"/>
  <c r="P473" i="11"/>
  <c r="O473" i="11"/>
  <c r="N473" i="11"/>
  <c r="L473" i="11"/>
  <c r="K473" i="11"/>
  <c r="J473" i="11"/>
  <c r="I473" i="11"/>
  <c r="H473" i="11"/>
  <c r="G473" i="11"/>
  <c r="F473" i="11"/>
  <c r="E473" i="11"/>
  <c r="D473" i="11"/>
  <c r="C473" i="11"/>
  <c r="AA472" i="11"/>
  <c r="Z472" i="11"/>
  <c r="Y472" i="11"/>
  <c r="W472" i="11"/>
  <c r="V472" i="11"/>
  <c r="U472" i="11"/>
  <c r="T472" i="11"/>
  <c r="S472" i="11"/>
  <c r="R472" i="11"/>
  <c r="P472" i="11"/>
  <c r="O472" i="11"/>
  <c r="N472" i="11"/>
  <c r="L472" i="11"/>
  <c r="K472" i="11"/>
  <c r="J472" i="11"/>
  <c r="I472" i="11"/>
  <c r="H472" i="11"/>
  <c r="G472" i="11"/>
  <c r="F472" i="11"/>
  <c r="E472" i="11"/>
  <c r="D472" i="11"/>
  <c r="C472" i="11"/>
  <c r="AA471" i="11"/>
  <c r="Z471" i="11"/>
  <c r="Y471" i="11"/>
  <c r="W471" i="11"/>
  <c r="V471" i="11"/>
  <c r="U471" i="11"/>
  <c r="T471" i="11"/>
  <c r="S471" i="11"/>
  <c r="R471" i="11"/>
  <c r="P471" i="11"/>
  <c r="O471" i="11"/>
  <c r="N471" i="11"/>
  <c r="L471" i="11"/>
  <c r="K471" i="11"/>
  <c r="J471" i="11"/>
  <c r="I471" i="11"/>
  <c r="H471" i="11"/>
  <c r="G471" i="11"/>
  <c r="F471" i="11"/>
  <c r="E471" i="11"/>
  <c r="D471" i="11"/>
  <c r="C471" i="11"/>
  <c r="AA470" i="11"/>
  <c r="Z470" i="11"/>
  <c r="Y470" i="11"/>
  <c r="W470" i="11"/>
  <c r="V470" i="11"/>
  <c r="U470" i="11"/>
  <c r="T470" i="11"/>
  <c r="S470" i="11"/>
  <c r="R470" i="11"/>
  <c r="P470" i="11"/>
  <c r="O470" i="11"/>
  <c r="N470" i="11"/>
  <c r="L470" i="11"/>
  <c r="K470" i="11"/>
  <c r="J470" i="11"/>
  <c r="I470" i="11"/>
  <c r="H470" i="11"/>
  <c r="G470" i="11"/>
  <c r="F470" i="11"/>
  <c r="E470" i="11"/>
  <c r="D470" i="11"/>
  <c r="C470" i="11"/>
  <c r="AA469" i="11"/>
  <c r="Z469" i="11"/>
  <c r="Y469" i="11"/>
  <c r="W469" i="11"/>
  <c r="V469" i="11"/>
  <c r="U469" i="11"/>
  <c r="T469" i="11"/>
  <c r="S469" i="11"/>
  <c r="R469" i="11"/>
  <c r="P469" i="11"/>
  <c r="O469" i="11"/>
  <c r="N469" i="11"/>
  <c r="L469" i="11"/>
  <c r="K469" i="11"/>
  <c r="J469" i="11"/>
  <c r="I469" i="11"/>
  <c r="H469" i="11"/>
  <c r="G469" i="11"/>
  <c r="F469" i="11"/>
  <c r="E469" i="11"/>
  <c r="D469" i="11"/>
  <c r="C469" i="11"/>
  <c r="AA468" i="11"/>
  <c r="Z468" i="11"/>
  <c r="Y468" i="11"/>
  <c r="W468" i="11"/>
  <c r="V468" i="11"/>
  <c r="U468" i="11"/>
  <c r="T468" i="11"/>
  <c r="S468" i="11"/>
  <c r="R468" i="11"/>
  <c r="P468" i="11"/>
  <c r="O468" i="11"/>
  <c r="N468" i="11"/>
  <c r="L468" i="11"/>
  <c r="K468" i="11"/>
  <c r="J468" i="11"/>
  <c r="I468" i="11"/>
  <c r="H468" i="11"/>
  <c r="G468" i="11"/>
  <c r="F468" i="11"/>
  <c r="E468" i="11"/>
  <c r="D468" i="11"/>
  <c r="C468" i="11"/>
  <c r="AA467" i="11"/>
  <c r="Z467" i="11"/>
  <c r="Y467" i="11"/>
  <c r="W467" i="11"/>
  <c r="V467" i="11"/>
  <c r="U467" i="11"/>
  <c r="T467" i="11"/>
  <c r="S467" i="11"/>
  <c r="R467" i="11"/>
  <c r="P467" i="11"/>
  <c r="O467" i="11"/>
  <c r="N467" i="11"/>
  <c r="L467" i="11"/>
  <c r="K467" i="11"/>
  <c r="J467" i="11"/>
  <c r="I467" i="11"/>
  <c r="H467" i="11"/>
  <c r="G467" i="11"/>
  <c r="F467" i="11"/>
  <c r="E467" i="11"/>
  <c r="D467" i="11"/>
  <c r="C467" i="11"/>
  <c r="AA466" i="11"/>
  <c r="Z466" i="11"/>
  <c r="Y466" i="11"/>
  <c r="W466" i="11"/>
  <c r="V466" i="11"/>
  <c r="U466" i="11"/>
  <c r="T466" i="11"/>
  <c r="S466" i="11"/>
  <c r="R466" i="11"/>
  <c r="P466" i="11"/>
  <c r="O466" i="11"/>
  <c r="N466" i="11"/>
  <c r="L466" i="11"/>
  <c r="K466" i="11"/>
  <c r="J466" i="11"/>
  <c r="I466" i="11"/>
  <c r="H466" i="11"/>
  <c r="G466" i="11"/>
  <c r="F466" i="11"/>
  <c r="E466" i="11"/>
  <c r="D466" i="11"/>
  <c r="C466" i="11"/>
  <c r="AA465" i="11"/>
  <c r="Z465" i="11"/>
  <c r="Y465" i="11"/>
  <c r="W465" i="11"/>
  <c r="V465" i="11"/>
  <c r="U465" i="11"/>
  <c r="T465" i="11"/>
  <c r="S465" i="11"/>
  <c r="R465" i="11"/>
  <c r="P465" i="11"/>
  <c r="O465" i="11"/>
  <c r="N465" i="11"/>
  <c r="L465" i="11"/>
  <c r="K465" i="11"/>
  <c r="J465" i="11"/>
  <c r="I465" i="11"/>
  <c r="H465" i="11"/>
  <c r="G465" i="11"/>
  <c r="F465" i="11"/>
  <c r="E465" i="11"/>
  <c r="D465" i="11"/>
  <c r="C465" i="11"/>
  <c r="AA464" i="11"/>
  <c r="Z464" i="11"/>
  <c r="Y464" i="11"/>
  <c r="W464" i="11"/>
  <c r="V464" i="11"/>
  <c r="U464" i="11"/>
  <c r="T464" i="11"/>
  <c r="S464" i="11"/>
  <c r="R464" i="11"/>
  <c r="P464" i="11"/>
  <c r="O464" i="11"/>
  <c r="N464" i="11"/>
  <c r="L464" i="11"/>
  <c r="K464" i="11"/>
  <c r="J464" i="11"/>
  <c r="I464" i="11"/>
  <c r="H464" i="11"/>
  <c r="G464" i="11"/>
  <c r="F464" i="11"/>
  <c r="E464" i="11"/>
  <c r="D464" i="11"/>
  <c r="C464" i="11"/>
  <c r="AA463" i="11"/>
  <c r="Z463" i="11"/>
  <c r="Y463" i="11"/>
  <c r="W463" i="11"/>
  <c r="V463" i="11"/>
  <c r="U463" i="11"/>
  <c r="T463" i="11"/>
  <c r="S463" i="11"/>
  <c r="R463" i="11"/>
  <c r="P463" i="11"/>
  <c r="O463" i="11"/>
  <c r="N463" i="11"/>
  <c r="L463" i="11"/>
  <c r="K463" i="11"/>
  <c r="J463" i="11"/>
  <c r="I463" i="11"/>
  <c r="H463" i="11"/>
  <c r="G463" i="11"/>
  <c r="F463" i="11"/>
  <c r="E463" i="11"/>
  <c r="D463" i="11"/>
  <c r="C463" i="11"/>
  <c r="AA462" i="11"/>
  <c r="Z462" i="11"/>
  <c r="Y462" i="11"/>
  <c r="W462" i="11"/>
  <c r="V462" i="11"/>
  <c r="U462" i="11"/>
  <c r="T462" i="11"/>
  <c r="S462" i="11"/>
  <c r="R462" i="11"/>
  <c r="P462" i="11"/>
  <c r="O462" i="11"/>
  <c r="N462" i="11"/>
  <c r="L462" i="11"/>
  <c r="K462" i="11"/>
  <c r="J462" i="11"/>
  <c r="I462" i="11"/>
  <c r="H462" i="11"/>
  <c r="G462" i="11"/>
  <c r="F462" i="11"/>
  <c r="E462" i="11"/>
  <c r="D462" i="11"/>
  <c r="C462" i="11"/>
  <c r="AA461" i="11"/>
  <c r="Z461" i="11"/>
  <c r="Y461" i="11"/>
  <c r="W461" i="11"/>
  <c r="V461" i="11"/>
  <c r="U461" i="11"/>
  <c r="T461" i="11"/>
  <c r="S461" i="11"/>
  <c r="R461" i="11"/>
  <c r="P461" i="11"/>
  <c r="O461" i="11"/>
  <c r="N461" i="11"/>
  <c r="L461" i="11"/>
  <c r="K461" i="11"/>
  <c r="J461" i="11"/>
  <c r="I461" i="11"/>
  <c r="H461" i="11"/>
  <c r="G461" i="11"/>
  <c r="F461" i="11"/>
  <c r="E461" i="11"/>
  <c r="D461" i="11"/>
  <c r="C461" i="11"/>
  <c r="AA460" i="11"/>
  <c r="Z460" i="11"/>
  <c r="Y460" i="11"/>
  <c r="W460" i="11"/>
  <c r="V460" i="11"/>
  <c r="U460" i="11"/>
  <c r="T460" i="11"/>
  <c r="S460" i="11"/>
  <c r="R460" i="11"/>
  <c r="P460" i="11"/>
  <c r="O460" i="11"/>
  <c r="N460" i="11"/>
  <c r="L460" i="11"/>
  <c r="K460" i="11"/>
  <c r="J460" i="11"/>
  <c r="I460" i="11"/>
  <c r="H460" i="11"/>
  <c r="G460" i="11"/>
  <c r="F460" i="11"/>
  <c r="E460" i="11"/>
  <c r="D460" i="11"/>
  <c r="C460" i="11"/>
  <c r="AA459" i="11"/>
  <c r="Z459" i="11"/>
  <c r="Y459" i="11"/>
  <c r="W459" i="11"/>
  <c r="V459" i="11"/>
  <c r="U459" i="11"/>
  <c r="T459" i="11"/>
  <c r="S459" i="11"/>
  <c r="R459" i="11"/>
  <c r="P459" i="11"/>
  <c r="O459" i="11"/>
  <c r="N459" i="11"/>
  <c r="L459" i="11"/>
  <c r="K459" i="11"/>
  <c r="J459" i="11"/>
  <c r="I459" i="11"/>
  <c r="H459" i="11"/>
  <c r="G459" i="11"/>
  <c r="F459" i="11"/>
  <c r="E459" i="11"/>
  <c r="D459" i="11"/>
  <c r="C459" i="11"/>
  <c r="AA458" i="11"/>
  <c r="Z458" i="11"/>
  <c r="Y458" i="11"/>
  <c r="W458" i="11"/>
  <c r="V458" i="11"/>
  <c r="U458" i="11"/>
  <c r="T458" i="11"/>
  <c r="S458" i="11"/>
  <c r="R458" i="11"/>
  <c r="P458" i="11"/>
  <c r="O458" i="11"/>
  <c r="N458" i="11"/>
  <c r="L458" i="11"/>
  <c r="K458" i="11"/>
  <c r="J458" i="11"/>
  <c r="I458" i="11"/>
  <c r="H458" i="11"/>
  <c r="G458" i="11"/>
  <c r="F458" i="11"/>
  <c r="E458" i="11"/>
  <c r="D458" i="11"/>
  <c r="C458" i="11"/>
  <c r="AA457" i="11"/>
  <c r="Z457" i="11"/>
  <c r="Y457" i="11"/>
  <c r="W457" i="11"/>
  <c r="V457" i="11"/>
  <c r="U457" i="11"/>
  <c r="T457" i="11"/>
  <c r="S457" i="11"/>
  <c r="R457" i="11"/>
  <c r="P457" i="11"/>
  <c r="O457" i="11"/>
  <c r="N457" i="11"/>
  <c r="L457" i="11"/>
  <c r="K457" i="11"/>
  <c r="J457" i="11"/>
  <c r="I457" i="11"/>
  <c r="H457" i="11"/>
  <c r="G457" i="11"/>
  <c r="F457" i="11"/>
  <c r="E457" i="11"/>
  <c r="D457" i="11"/>
  <c r="C457" i="11"/>
  <c r="AA456" i="11"/>
  <c r="Z456" i="11"/>
  <c r="Y456" i="11"/>
  <c r="W456" i="11"/>
  <c r="V456" i="11"/>
  <c r="U456" i="11"/>
  <c r="T456" i="11"/>
  <c r="S456" i="11"/>
  <c r="R456" i="11"/>
  <c r="P456" i="11"/>
  <c r="O456" i="11"/>
  <c r="N456" i="11"/>
  <c r="L456" i="11"/>
  <c r="K456" i="11"/>
  <c r="J456" i="11"/>
  <c r="I456" i="11"/>
  <c r="H456" i="11"/>
  <c r="G456" i="11"/>
  <c r="F456" i="11"/>
  <c r="E456" i="11"/>
  <c r="D456" i="11"/>
  <c r="C456" i="11"/>
  <c r="AA455" i="11"/>
  <c r="Z455" i="11"/>
  <c r="Y455" i="11"/>
  <c r="W455" i="11"/>
  <c r="V455" i="11"/>
  <c r="U455" i="11"/>
  <c r="T455" i="11"/>
  <c r="S455" i="11"/>
  <c r="R455" i="11"/>
  <c r="P455" i="11"/>
  <c r="O455" i="11"/>
  <c r="N455" i="11"/>
  <c r="L455" i="11"/>
  <c r="K455" i="11"/>
  <c r="J455" i="11"/>
  <c r="I455" i="11"/>
  <c r="H455" i="11"/>
  <c r="G455" i="11"/>
  <c r="F455" i="11"/>
  <c r="E455" i="11"/>
  <c r="D455" i="11"/>
  <c r="C455" i="11"/>
  <c r="AA454" i="11"/>
  <c r="Z454" i="11"/>
  <c r="Y454" i="11"/>
  <c r="W454" i="11"/>
  <c r="V454" i="11"/>
  <c r="U454" i="11"/>
  <c r="T454" i="11"/>
  <c r="S454" i="11"/>
  <c r="R454" i="11"/>
  <c r="P454" i="11"/>
  <c r="O454" i="11"/>
  <c r="N454" i="11"/>
  <c r="L454" i="11"/>
  <c r="K454" i="11"/>
  <c r="J454" i="11"/>
  <c r="I454" i="11"/>
  <c r="H454" i="11"/>
  <c r="G454" i="11"/>
  <c r="F454" i="11"/>
  <c r="E454" i="11"/>
  <c r="D454" i="11"/>
  <c r="C454" i="11"/>
  <c r="AA453" i="11"/>
  <c r="Z453" i="11"/>
  <c r="Y453" i="11"/>
  <c r="W453" i="11"/>
  <c r="V453" i="11"/>
  <c r="U453" i="11"/>
  <c r="T453" i="11"/>
  <c r="S453" i="11"/>
  <c r="R453" i="11"/>
  <c r="P453" i="11"/>
  <c r="O453" i="11"/>
  <c r="N453" i="11"/>
  <c r="L453" i="11"/>
  <c r="K453" i="11"/>
  <c r="J453" i="11"/>
  <c r="I453" i="11"/>
  <c r="H453" i="11"/>
  <c r="G453" i="11"/>
  <c r="F453" i="11"/>
  <c r="E453" i="11"/>
  <c r="D453" i="11"/>
  <c r="C453" i="11"/>
  <c r="AA452" i="11"/>
  <c r="Z452" i="11"/>
  <c r="Y452" i="11"/>
  <c r="W452" i="11"/>
  <c r="V452" i="11"/>
  <c r="U452" i="11"/>
  <c r="T452" i="11"/>
  <c r="S452" i="11"/>
  <c r="R452" i="11"/>
  <c r="P452" i="11"/>
  <c r="O452" i="11"/>
  <c r="N452" i="11"/>
  <c r="L452" i="11"/>
  <c r="K452" i="11"/>
  <c r="J452" i="11"/>
  <c r="I452" i="11"/>
  <c r="H452" i="11"/>
  <c r="G452" i="11"/>
  <c r="F452" i="11"/>
  <c r="E452" i="11"/>
  <c r="D452" i="11"/>
  <c r="C452" i="11"/>
  <c r="AA451" i="11"/>
  <c r="Z451" i="11"/>
  <c r="Y451" i="11"/>
  <c r="W451" i="11"/>
  <c r="V451" i="11"/>
  <c r="U451" i="11"/>
  <c r="T451" i="11"/>
  <c r="S451" i="11"/>
  <c r="R451" i="11"/>
  <c r="P451" i="11"/>
  <c r="O451" i="11"/>
  <c r="N451" i="11"/>
  <c r="L451" i="11"/>
  <c r="K451" i="11"/>
  <c r="J451" i="11"/>
  <c r="I451" i="11"/>
  <c r="H451" i="11"/>
  <c r="G451" i="11"/>
  <c r="F451" i="11"/>
  <c r="E451" i="11"/>
  <c r="D451" i="11"/>
  <c r="C451" i="11"/>
  <c r="AA450" i="11"/>
  <c r="Z450" i="11"/>
  <c r="Y450" i="11"/>
  <c r="W450" i="11"/>
  <c r="V450" i="11"/>
  <c r="U450" i="11"/>
  <c r="T450" i="11"/>
  <c r="S450" i="11"/>
  <c r="R450" i="11"/>
  <c r="P450" i="11"/>
  <c r="O450" i="11"/>
  <c r="N450" i="11"/>
  <c r="L450" i="11"/>
  <c r="K450" i="11"/>
  <c r="J450" i="11"/>
  <c r="I450" i="11"/>
  <c r="H450" i="11"/>
  <c r="G450" i="11"/>
  <c r="F450" i="11"/>
  <c r="E450" i="11"/>
  <c r="D450" i="11"/>
  <c r="C450" i="11"/>
  <c r="AA449" i="11"/>
  <c r="Z449" i="11"/>
  <c r="Y449" i="11"/>
  <c r="W449" i="11"/>
  <c r="V449" i="11"/>
  <c r="U449" i="11"/>
  <c r="T449" i="11"/>
  <c r="S449" i="11"/>
  <c r="R449" i="11"/>
  <c r="P449" i="11"/>
  <c r="O449" i="11"/>
  <c r="N449" i="11"/>
  <c r="L449" i="11"/>
  <c r="K449" i="11"/>
  <c r="J449" i="11"/>
  <c r="I449" i="11"/>
  <c r="H449" i="11"/>
  <c r="G449" i="11"/>
  <c r="F449" i="11"/>
  <c r="E449" i="11"/>
  <c r="D449" i="11"/>
  <c r="C449" i="11"/>
  <c r="AA448" i="11"/>
  <c r="Z448" i="11"/>
  <c r="Y448" i="11"/>
  <c r="W448" i="11"/>
  <c r="V448" i="11"/>
  <c r="U448" i="11"/>
  <c r="T448" i="11"/>
  <c r="S448" i="11"/>
  <c r="R448" i="11"/>
  <c r="P448" i="11"/>
  <c r="O448" i="11"/>
  <c r="N448" i="11"/>
  <c r="L448" i="11"/>
  <c r="K448" i="11"/>
  <c r="J448" i="11"/>
  <c r="I448" i="11"/>
  <c r="H448" i="11"/>
  <c r="G448" i="11"/>
  <c r="F448" i="11"/>
  <c r="E448" i="11"/>
  <c r="D448" i="11"/>
  <c r="C448" i="11"/>
  <c r="AA447" i="11"/>
  <c r="Z447" i="11"/>
  <c r="Y447" i="11"/>
  <c r="W447" i="11"/>
  <c r="V447" i="11"/>
  <c r="U447" i="11"/>
  <c r="T447" i="11"/>
  <c r="S447" i="11"/>
  <c r="R447" i="11"/>
  <c r="P447" i="11"/>
  <c r="O447" i="11"/>
  <c r="N447" i="11"/>
  <c r="L447" i="11"/>
  <c r="K447" i="11"/>
  <c r="J447" i="11"/>
  <c r="I447" i="11"/>
  <c r="H447" i="11"/>
  <c r="G447" i="11"/>
  <c r="F447" i="11"/>
  <c r="E447" i="11"/>
  <c r="D447" i="11"/>
  <c r="C447" i="11"/>
  <c r="AA446" i="11"/>
  <c r="Z446" i="11"/>
  <c r="Y446" i="11"/>
  <c r="W446" i="11"/>
  <c r="V446" i="11"/>
  <c r="U446" i="11"/>
  <c r="T446" i="11"/>
  <c r="S446" i="11"/>
  <c r="R446" i="11"/>
  <c r="P446" i="11"/>
  <c r="O446" i="11"/>
  <c r="N446" i="11"/>
  <c r="L446" i="11"/>
  <c r="K446" i="11"/>
  <c r="J446" i="11"/>
  <c r="I446" i="11"/>
  <c r="H446" i="11"/>
  <c r="G446" i="11"/>
  <c r="F446" i="11"/>
  <c r="E446" i="11"/>
  <c r="D446" i="11"/>
  <c r="C446" i="11"/>
  <c r="AA445" i="11"/>
  <c r="Z445" i="11"/>
  <c r="Y445" i="11"/>
  <c r="W445" i="11"/>
  <c r="V445" i="11"/>
  <c r="U445" i="11"/>
  <c r="T445" i="11"/>
  <c r="S445" i="11"/>
  <c r="R445" i="11"/>
  <c r="P445" i="11"/>
  <c r="O445" i="11"/>
  <c r="N445" i="11"/>
  <c r="L445" i="11"/>
  <c r="K445" i="11"/>
  <c r="J445" i="11"/>
  <c r="I445" i="11"/>
  <c r="H445" i="11"/>
  <c r="G445" i="11"/>
  <c r="F445" i="11"/>
  <c r="E445" i="11"/>
  <c r="D445" i="11"/>
  <c r="C445" i="11"/>
  <c r="AA444" i="11"/>
  <c r="Z444" i="11"/>
  <c r="Y444" i="11"/>
  <c r="W444" i="11"/>
  <c r="V444" i="11"/>
  <c r="U444" i="11"/>
  <c r="T444" i="11"/>
  <c r="S444" i="11"/>
  <c r="R444" i="11"/>
  <c r="P444" i="11"/>
  <c r="O444" i="11"/>
  <c r="N444" i="11"/>
  <c r="L444" i="11"/>
  <c r="K444" i="11"/>
  <c r="J444" i="11"/>
  <c r="I444" i="11"/>
  <c r="H444" i="11"/>
  <c r="G444" i="11"/>
  <c r="F444" i="11"/>
  <c r="E444" i="11"/>
  <c r="D444" i="11"/>
  <c r="C444" i="11"/>
  <c r="AA443" i="11"/>
  <c r="Z443" i="11"/>
  <c r="Y443" i="11"/>
  <c r="W443" i="11"/>
  <c r="V443" i="11"/>
  <c r="U443" i="11"/>
  <c r="T443" i="11"/>
  <c r="S443" i="11"/>
  <c r="R443" i="11"/>
  <c r="P443" i="11"/>
  <c r="O443" i="11"/>
  <c r="N443" i="11"/>
  <c r="L443" i="11"/>
  <c r="K443" i="11"/>
  <c r="J443" i="11"/>
  <c r="I443" i="11"/>
  <c r="H443" i="11"/>
  <c r="G443" i="11"/>
  <c r="F443" i="11"/>
  <c r="E443" i="11"/>
  <c r="D443" i="11"/>
  <c r="C443" i="11"/>
  <c r="AA442" i="11"/>
  <c r="Z442" i="11"/>
  <c r="Y442" i="11"/>
  <c r="W442" i="11"/>
  <c r="V442" i="11"/>
  <c r="U442" i="11"/>
  <c r="T442" i="11"/>
  <c r="S442" i="11"/>
  <c r="R442" i="11"/>
  <c r="P442" i="11"/>
  <c r="O442" i="11"/>
  <c r="N442" i="11"/>
  <c r="L442" i="11"/>
  <c r="K442" i="11"/>
  <c r="J442" i="11"/>
  <c r="I442" i="11"/>
  <c r="H442" i="11"/>
  <c r="G442" i="11"/>
  <c r="F442" i="11"/>
  <c r="E442" i="11"/>
  <c r="D442" i="11"/>
  <c r="C442" i="11"/>
  <c r="AA441" i="11"/>
  <c r="Z441" i="11"/>
  <c r="Y441" i="11"/>
  <c r="W441" i="11"/>
  <c r="V441" i="11"/>
  <c r="U441" i="11"/>
  <c r="T441" i="11"/>
  <c r="S441" i="11"/>
  <c r="R441" i="11"/>
  <c r="P441" i="11"/>
  <c r="O441" i="11"/>
  <c r="N441" i="11"/>
  <c r="L441" i="11"/>
  <c r="K441" i="11"/>
  <c r="J441" i="11"/>
  <c r="I441" i="11"/>
  <c r="H441" i="11"/>
  <c r="G441" i="11"/>
  <c r="F441" i="11"/>
  <c r="E441" i="11"/>
  <c r="D441" i="11"/>
  <c r="C441" i="11"/>
  <c r="AA440" i="11"/>
  <c r="Z440" i="11"/>
  <c r="Y440" i="11"/>
  <c r="W440" i="11"/>
  <c r="V440" i="11"/>
  <c r="U440" i="11"/>
  <c r="T440" i="11"/>
  <c r="S440" i="11"/>
  <c r="R440" i="11"/>
  <c r="P440" i="11"/>
  <c r="O440" i="11"/>
  <c r="N440" i="11"/>
  <c r="L440" i="11"/>
  <c r="K440" i="11"/>
  <c r="J440" i="11"/>
  <c r="I440" i="11"/>
  <c r="H440" i="11"/>
  <c r="G440" i="11"/>
  <c r="F440" i="11"/>
  <c r="E440" i="11"/>
  <c r="D440" i="11"/>
  <c r="C440" i="11"/>
  <c r="AA439" i="11"/>
  <c r="Z439" i="11"/>
  <c r="Y439" i="11"/>
  <c r="W439" i="11"/>
  <c r="V439" i="11"/>
  <c r="U439" i="11"/>
  <c r="T439" i="11"/>
  <c r="S439" i="11"/>
  <c r="R439" i="11"/>
  <c r="P439" i="11"/>
  <c r="O439" i="11"/>
  <c r="N439" i="11"/>
  <c r="L439" i="11"/>
  <c r="K439" i="11"/>
  <c r="J439" i="11"/>
  <c r="I439" i="11"/>
  <c r="H439" i="11"/>
  <c r="G439" i="11"/>
  <c r="F439" i="11"/>
  <c r="E439" i="11"/>
  <c r="D439" i="11"/>
  <c r="C439" i="11"/>
  <c r="AA438" i="11"/>
  <c r="Z438" i="11"/>
  <c r="Y438" i="11"/>
  <c r="W438" i="11"/>
  <c r="V438" i="11"/>
  <c r="U438" i="11"/>
  <c r="T438" i="11"/>
  <c r="S438" i="11"/>
  <c r="R438" i="11"/>
  <c r="P438" i="11"/>
  <c r="O438" i="11"/>
  <c r="N438" i="11"/>
  <c r="L438" i="11"/>
  <c r="K438" i="11"/>
  <c r="J438" i="11"/>
  <c r="I438" i="11"/>
  <c r="H438" i="11"/>
  <c r="G438" i="11"/>
  <c r="F438" i="11"/>
  <c r="E438" i="11"/>
  <c r="D438" i="11"/>
  <c r="C438" i="11"/>
  <c r="AA437" i="11"/>
  <c r="Z437" i="11"/>
  <c r="Y437" i="11"/>
  <c r="W437" i="11"/>
  <c r="V437" i="11"/>
  <c r="U437" i="11"/>
  <c r="T437" i="11"/>
  <c r="S437" i="11"/>
  <c r="R437" i="11"/>
  <c r="P437" i="11"/>
  <c r="O437" i="11"/>
  <c r="N437" i="11"/>
  <c r="L437" i="11"/>
  <c r="K437" i="11"/>
  <c r="J437" i="11"/>
  <c r="I437" i="11"/>
  <c r="H437" i="11"/>
  <c r="G437" i="11"/>
  <c r="F437" i="11"/>
  <c r="E437" i="11"/>
  <c r="D437" i="11"/>
  <c r="C437" i="11"/>
  <c r="AA436" i="11"/>
  <c r="Z436" i="11"/>
  <c r="Y436" i="11"/>
  <c r="W436" i="11"/>
  <c r="V436" i="11"/>
  <c r="U436" i="11"/>
  <c r="T436" i="11"/>
  <c r="S436" i="11"/>
  <c r="R436" i="11"/>
  <c r="P436" i="11"/>
  <c r="O436" i="11"/>
  <c r="N436" i="11"/>
  <c r="L436" i="11"/>
  <c r="K436" i="11"/>
  <c r="J436" i="11"/>
  <c r="I436" i="11"/>
  <c r="H436" i="11"/>
  <c r="G436" i="11"/>
  <c r="F436" i="11"/>
  <c r="E436" i="11"/>
  <c r="D436" i="11"/>
  <c r="C436" i="11"/>
  <c r="AA435" i="11"/>
  <c r="Z435" i="11"/>
  <c r="Y435" i="11"/>
  <c r="W435" i="11"/>
  <c r="V435" i="11"/>
  <c r="U435" i="11"/>
  <c r="T435" i="11"/>
  <c r="S435" i="11"/>
  <c r="R435" i="11"/>
  <c r="P435" i="11"/>
  <c r="O435" i="11"/>
  <c r="N435" i="11"/>
  <c r="L435" i="11"/>
  <c r="K435" i="11"/>
  <c r="J435" i="11"/>
  <c r="I435" i="11"/>
  <c r="H435" i="11"/>
  <c r="G435" i="11"/>
  <c r="F435" i="11"/>
  <c r="E435" i="11"/>
  <c r="D435" i="11"/>
  <c r="C435" i="11"/>
  <c r="AA434" i="11"/>
  <c r="Z434" i="11"/>
  <c r="Y434" i="11"/>
  <c r="W434" i="11"/>
  <c r="V434" i="11"/>
  <c r="U434" i="11"/>
  <c r="T434" i="11"/>
  <c r="S434" i="11"/>
  <c r="R434" i="11"/>
  <c r="P434" i="11"/>
  <c r="O434" i="11"/>
  <c r="N434" i="11"/>
  <c r="L434" i="11"/>
  <c r="K434" i="11"/>
  <c r="J434" i="11"/>
  <c r="I434" i="11"/>
  <c r="H434" i="11"/>
  <c r="G434" i="11"/>
  <c r="F434" i="11"/>
  <c r="E434" i="11"/>
  <c r="D434" i="11"/>
  <c r="C434" i="11"/>
  <c r="AA433" i="11"/>
  <c r="Z433" i="11"/>
  <c r="Y433" i="11"/>
  <c r="W433" i="11"/>
  <c r="V433" i="11"/>
  <c r="U433" i="11"/>
  <c r="T433" i="11"/>
  <c r="S433" i="11"/>
  <c r="R433" i="11"/>
  <c r="P433" i="11"/>
  <c r="O433" i="11"/>
  <c r="N433" i="11"/>
  <c r="L433" i="11"/>
  <c r="K433" i="11"/>
  <c r="J433" i="11"/>
  <c r="I433" i="11"/>
  <c r="H433" i="11"/>
  <c r="G433" i="11"/>
  <c r="F433" i="11"/>
  <c r="E433" i="11"/>
  <c r="D433" i="11"/>
  <c r="C433" i="11"/>
  <c r="AA432" i="11"/>
  <c r="Z432" i="11"/>
  <c r="Y432" i="11"/>
  <c r="W432" i="11"/>
  <c r="V432" i="11"/>
  <c r="U432" i="11"/>
  <c r="T432" i="11"/>
  <c r="S432" i="11"/>
  <c r="R432" i="11"/>
  <c r="P432" i="11"/>
  <c r="O432" i="11"/>
  <c r="N432" i="11"/>
  <c r="L432" i="11"/>
  <c r="K432" i="11"/>
  <c r="J432" i="11"/>
  <c r="I432" i="11"/>
  <c r="H432" i="11"/>
  <c r="G432" i="11"/>
  <c r="F432" i="11"/>
  <c r="E432" i="11"/>
  <c r="D432" i="11"/>
  <c r="C432" i="11"/>
  <c r="AA431" i="11"/>
  <c r="Z431" i="11"/>
  <c r="Y431" i="11"/>
  <c r="W431" i="11"/>
  <c r="V431" i="11"/>
  <c r="U431" i="11"/>
  <c r="T431" i="11"/>
  <c r="S431" i="11"/>
  <c r="R431" i="11"/>
  <c r="P431" i="11"/>
  <c r="O431" i="11"/>
  <c r="N431" i="11"/>
  <c r="L431" i="11"/>
  <c r="K431" i="11"/>
  <c r="J431" i="11"/>
  <c r="I431" i="11"/>
  <c r="H431" i="11"/>
  <c r="G431" i="11"/>
  <c r="F431" i="11"/>
  <c r="E431" i="11"/>
  <c r="D431" i="11"/>
  <c r="C431" i="11"/>
  <c r="AA430" i="11"/>
  <c r="Z430" i="11"/>
  <c r="Y430" i="11"/>
  <c r="W430" i="11"/>
  <c r="V430" i="11"/>
  <c r="U430" i="11"/>
  <c r="T430" i="11"/>
  <c r="S430" i="11"/>
  <c r="R430" i="11"/>
  <c r="P430" i="11"/>
  <c r="O430" i="11"/>
  <c r="N430" i="11"/>
  <c r="L430" i="11"/>
  <c r="K430" i="11"/>
  <c r="J430" i="11"/>
  <c r="I430" i="11"/>
  <c r="H430" i="11"/>
  <c r="G430" i="11"/>
  <c r="F430" i="11"/>
  <c r="E430" i="11"/>
  <c r="D430" i="11"/>
  <c r="C430" i="11"/>
  <c r="AA429" i="11"/>
  <c r="Z429" i="11"/>
  <c r="Y429" i="11"/>
  <c r="W429" i="11"/>
  <c r="V429" i="11"/>
  <c r="U429" i="11"/>
  <c r="T429" i="11"/>
  <c r="S429" i="11"/>
  <c r="R429" i="11"/>
  <c r="P429" i="11"/>
  <c r="O429" i="11"/>
  <c r="N429" i="11"/>
  <c r="L429" i="11"/>
  <c r="K429" i="11"/>
  <c r="J429" i="11"/>
  <c r="I429" i="11"/>
  <c r="H429" i="11"/>
  <c r="G429" i="11"/>
  <c r="F429" i="11"/>
  <c r="E429" i="11"/>
  <c r="D429" i="11"/>
  <c r="C429" i="11"/>
  <c r="AA428" i="11"/>
  <c r="Z428" i="11"/>
  <c r="Y428" i="11"/>
  <c r="W428" i="11"/>
  <c r="V428" i="11"/>
  <c r="U428" i="11"/>
  <c r="T428" i="11"/>
  <c r="S428" i="11"/>
  <c r="R428" i="11"/>
  <c r="P428" i="11"/>
  <c r="O428" i="11"/>
  <c r="N428" i="11"/>
  <c r="L428" i="11"/>
  <c r="K428" i="11"/>
  <c r="J428" i="11"/>
  <c r="I428" i="11"/>
  <c r="H428" i="11"/>
  <c r="G428" i="11"/>
  <c r="F428" i="11"/>
  <c r="E428" i="11"/>
  <c r="D428" i="11"/>
  <c r="C428" i="11"/>
  <c r="AA427" i="11"/>
  <c r="Z427" i="11"/>
  <c r="Y427" i="11"/>
  <c r="W427" i="11"/>
  <c r="V427" i="11"/>
  <c r="U427" i="11"/>
  <c r="T427" i="11"/>
  <c r="S427" i="11"/>
  <c r="R427" i="11"/>
  <c r="P427" i="11"/>
  <c r="O427" i="11"/>
  <c r="N427" i="11"/>
  <c r="L427" i="11"/>
  <c r="K427" i="11"/>
  <c r="J427" i="11"/>
  <c r="I427" i="11"/>
  <c r="H427" i="11"/>
  <c r="G427" i="11"/>
  <c r="F427" i="11"/>
  <c r="E427" i="11"/>
  <c r="D427" i="11"/>
  <c r="C427" i="11"/>
  <c r="AA426" i="11"/>
  <c r="Z426" i="11"/>
  <c r="Y426" i="11"/>
  <c r="W426" i="11"/>
  <c r="V426" i="11"/>
  <c r="U426" i="11"/>
  <c r="T426" i="11"/>
  <c r="S426" i="11"/>
  <c r="R426" i="11"/>
  <c r="P426" i="11"/>
  <c r="O426" i="11"/>
  <c r="N426" i="11"/>
  <c r="L426" i="11"/>
  <c r="K426" i="11"/>
  <c r="J426" i="11"/>
  <c r="I426" i="11"/>
  <c r="H426" i="11"/>
  <c r="G426" i="11"/>
  <c r="F426" i="11"/>
  <c r="E426" i="11"/>
  <c r="D426" i="11"/>
  <c r="C426" i="11"/>
  <c r="AA425" i="11"/>
  <c r="Z425" i="11"/>
  <c r="Y425" i="11"/>
  <c r="W425" i="11"/>
  <c r="V425" i="11"/>
  <c r="U425" i="11"/>
  <c r="T425" i="11"/>
  <c r="S425" i="11"/>
  <c r="R425" i="11"/>
  <c r="P425" i="11"/>
  <c r="O425" i="11"/>
  <c r="N425" i="11"/>
  <c r="L425" i="11"/>
  <c r="K425" i="11"/>
  <c r="J425" i="11"/>
  <c r="I425" i="11"/>
  <c r="H425" i="11"/>
  <c r="G425" i="11"/>
  <c r="F425" i="11"/>
  <c r="E425" i="11"/>
  <c r="D425" i="11"/>
  <c r="C425" i="11"/>
  <c r="AA424" i="11"/>
  <c r="Z424" i="11"/>
  <c r="Y424" i="11"/>
  <c r="W424" i="11"/>
  <c r="V424" i="11"/>
  <c r="U424" i="11"/>
  <c r="T424" i="11"/>
  <c r="S424" i="11"/>
  <c r="R424" i="11"/>
  <c r="P424" i="11"/>
  <c r="O424" i="11"/>
  <c r="N424" i="11"/>
  <c r="L424" i="11"/>
  <c r="K424" i="11"/>
  <c r="J424" i="11"/>
  <c r="I424" i="11"/>
  <c r="H424" i="11"/>
  <c r="G424" i="11"/>
  <c r="F424" i="11"/>
  <c r="E424" i="11"/>
  <c r="D424" i="11"/>
  <c r="C424" i="11"/>
  <c r="AA423" i="11"/>
  <c r="Z423" i="11"/>
  <c r="Y423" i="11"/>
  <c r="W423" i="11"/>
  <c r="V423" i="11"/>
  <c r="U423" i="11"/>
  <c r="T423" i="11"/>
  <c r="S423" i="11"/>
  <c r="R423" i="11"/>
  <c r="P423" i="11"/>
  <c r="O423" i="11"/>
  <c r="N423" i="11"/>
  <c r="L423" i="11"/>
  <c r="K423" i="11"/>
  <c r="J423" i="11"/>
  <c r="I423" i="11"/>
  <c r="H423" i="11"/>
  <c r="G423" i="11"/>
  <c r="F423" i="11"/>
  <c r="E423" i="11"/>
  <c r="D423" i="11"/>
  <c r="C423" i="11"/>
  <c r="AA422" i="11"/>
  <c r="Z422" i="11"/>
  <c r="Y422" i="11"/>
  <c r="W422" i="11"/>
  <c r="V422" i="11"/>
  <c r="U422" i="11"/>
  <c r="T422" i="11"/>
  <c r="S422" i="11"/>
  <c r="R422" i="11"/>
  <c r="P422" i="11"/>
  <c r="O422" i="11"/>
  <c r="N422" i="11"/>
  <c r="L422" i="11"/>
  <c r="K422" i="11"/>
  <c r="J422" i="11"/>
  <c r="I422" i="11"/>
  <c r="H422" i="11"/>
  <c r="G422" i="11"/>
  <c r="F422" i="11"/>
  <c r="E422" i="11"/>
  <c r="D422" i="11"/>
  <c r="C422" i="11"/>
  <c r="AA421" i="11"/>
  <c r="Z421" i="11"/>
  <c r="Y421" i="11"/>
  <c r="W421" i="11"/>
  <c r="V421" i="11"/>
  <c r="U421" i="11"/>
  <c r="T421" i="11"/>
  <c r="S421" i="11"/>
  <c r="R421" i="11"/>
  <c r="P421" i="11"/>
  <c r="O421" i="11"/>
  <c r="N421" i="11"/>
  <c r="L421" i="11"/>
  <c r="K421" i="11"/>
  <c r="J421" i="11"/>
  <c r="I421" i="11"/>
  <c r="H421" i="11"/>
  <c r="G421" i="11"/>
  <c r="F421" i="11"/>
  <c r="E421" i="11"/>
  <c r="D421" i="11"/>
  <c r="C421" i="11"/>
  <c r="AA420" i="11"/>
  <c r="Z420" i="11"/>
  <c r="Y420" i="11"/>
  <c r="W420" i="11"/>
  <c r="V420" i="11"/>
  <c r="U420" i="11"/>
  <c r="T420" i="11"/>
  <c r="S420" i="11"/>
  <c r="R420" i="11"/>
  <c r="P420" i="11"/>
  <c r="O420" i="11"/>
  <c r="N420" i="11"/>
  <c r="L420" i="11"/>
  <c r="K420" i="11"/>
  <c r="J420" i="11"/>
  <c r="I420" i="11"/>
  <c r="H420" i="11"/>
  <c r="G420" i="11"/>
  <c r="F420" i="11"/>
  <c r="E420" i="11"/>
  <c r="D420" i="11"/>
  <c r="C420" i="11"/>
  <c r="AA419" i="11"/>
  <c r="Z419" i="11"/>
  <c r="Y419" i="11"/>
  <c r="W419" i="11"/>
  <c r="V419" i="11"/>
  <c r="U419" i="11"/>
  <c r="T419" i="11"/>
  <c r="S419" i="11"/>
  <c r="R419" i="11"/>
  <c r="P419" i="11"/>
  <c r="O419" i="11"/>
  <c r="N419" i="11"/>
  <c r="L419" i="11"/>
  <c r="K419" i="11"/>
  <c r="J419" i="11"/>
  <c r="I419" i="11"/>
  <c r="H419" i="11"/>
  <c r="G419" i="11"/>
  <c r="F419" i="11"/>
  <c r="E419" i="11"/>
  <c r="D419" i="11"/>
  <c r="C419" i="11"/>
  <c r="AA418" i="11"/>
  <c r="Z418" i="11"/>
  <c r="Y418" i="11"/>
  <c r="W418" i="11"/>
  <c r="V418" i="11"/>
  <c r="U418" i="11"/>
  <c r="T418" i="11"/>
  <c r="S418" i="11"/>
  <c r="R418" i="11"/>
  <c r="P418" i="11"/>
  <c r="O418" i="11"/>
  <c r="N418" i="11"/>
  <c r="L418" i="11"/>
  <c r="K418" i="11"/>
  <c r="J418" i="11"/>
  <c r="I418" i="11"/>
  <c r="H418" i="11"/>
  <c r="G418" i="11"/>
  <c r="F418" i="11"/>
  <c r="E418" i="11"/>
  <c r="D418" i="11"/>
  <c r="C418" i="11"/>
  <c r="AA417" i="11"/>
  <c r="Z417" i="11"/>
  <c r="Y417" i="11"/>
  <c r="W417" i="11"/>
  <c r="V417" i="11"/>
  <c r="U417" i="11"/>
  <c r="T417" i="11"/>
  <c r="S417" i="11"/>
  <c r="R417" i="11"/>
  <c r="P417" i="11"/>
  <c r="O417" i="11"/>
  <c r="N417" i="11"/>
  <c r="L417" i="11"/>
  <c r="K417" i="11"/>
  <c r="J417" i="11"/>
  <c r="I417" i="11"/>
  <c r="H417" i="11"/>
  <c r="G417" i="11"/>
  <c r="F417" i="11"/>
  <c r="E417" i="11"/>
  <c r="D417" i="11"/>
  <c r="C417" i="11"/>
  <c r="AA416" i="11"/>
  <c r="Z416" i="11"/>
  <c r="Y416" i="11"/>
  <c r="W416" i="11"/>
  <c r="V416" i="11"/>
  <c r="U416" i="11"/>
  <c r="T416" i="11"/>
  <c r="S416" i="11"/>
  <c r="R416" i="11"/>
  <c r="P416" i="11"/>
  <c r="O416" i="11"/>
  <c r="N416" i="11"/>
  <c r="L416" i="11"/>
  <c r="K416" i="11"/>
  <c r="J416" i="11"/>
  <c r="I416" i="11"/>
  <c r="H416" i="11"/>
  <c r="G416" i="11"/>
  <c r="F416" i="11"/>
  <c r="E416" i="11"/>
  <c r="D416" i="11"/>
  <c r="C416" i="11"/>
  <c r="AA415" i="11"/>
  <c r="Z415" i="11"/>
  <c r="Y415" i="11"/>
  <c r="W415" i="11"/>
  <c r="V415" i="11"/>
  <c r="U415" i="11"/>
  <c r="T415" i="11"/>
  <c r="S415" i="11"/>
  <c r="R415" i="11"/>
  <c r="P415" i="11"/>
  <c r="O415" i="11"/>
  <c r="N415" i="11"/>
  <c r="L415" i="11"/>
  <c r="K415" i="11"/>
  <c r="J415" i="11"/>
  <c r="I415" i="11"/>
  <c r="H415" i="11"/>
  <c r="G415" i="11"/>
  <c r="F415" i="11"/>
  <c r="E415" i="11"/>
  <c r="D415" i="11"/>
  <c r="C415" i="11"/>
  <c r="AA414" i="11"/>
  <c r="Z414" i="11"/>
  <c r="Y414" i="11"/>
  <c r="W414" i="11"/>
  <c r="V414" i="11"/>
  <c r="U414" i="11"/>
  <c r="T414" i="11"/>
  <c r="S414" i="11"/>
  <c r="R414" i="11"/>
  <c r="P414" i="11"/>
  <c r="O414" i="11"/>
  <c r="N414" i="11"/>
  <c r="L414" i="11"/>
  <c r="K414" i="11"/>
  <c r="J414" i="11"/>
  <c r="I414" i="11"/>
  <c r="H414" i="11"/>
  <c r="G414" i="11"/>
  <c r="F414" i="11"/>
  <c r="E414" i="11"/>
  <c r="D414" i="11"/>
  <c r="C414" i="11"/>
  <c r="AA413" i="11"/>
  <c r="Z413" i="11"/>
  <c r="Y413" i="11"/>
  <c r="W413" i="11"/>
  <c r="V413" i="11"/>
  <c r="U413" i="11"/>
  <c r="T413" i="11"/>
  <c r="S413" i="11"/>
  <c r="R413" i="11"/>
  <c r="P413" i="11"/>
  <c r="O413" i="11"/>
  <c r="N413" i="11"/>
  <c r="L413" i="11"/>
  <c r="K413" i="11"/>
  <c r="J413" i="11"/>
  <c r="I413" i="11"/>
  <c r="H413" i="11"/>
  <c r="G413" i="11"/>
  <c r="F413" i="11"/>
  <c r="E413" i="11"/>
  <c r="D413" i="11"/>
  <c r="C413" i="11"/>
  <c r="AA412" i="11"/>
  <c r="Z412" i="11"/>
  <c r="Y412" i="11"/>
  <c r="W412" i="11"/>
  <c r="V412" i="11"/>
  <c r="U412" i="11"/>
  <c r="T412" i="11"/>
  <c r="S412" i="11"/>
  <c r="R412" i="11"/>
  <c r="P412" i="11"/>
  <c r="O412" i="11"/>
  <c r="N412" i="11"/>
  <c r="L412" i="11"/>
  <c r="K412" i="11"/>
  <c r="J412" i="11"/>
  <c r="I412" i="11"/>
  <c r="H412" i="11"/>
  <c r="G412" i="11"/>
  <c r="F412" i="11"/>
  <c r="E412" i="11"/>
  <c r="D412" i="11"/>
  <c r="C412" i="11"/>
  <c r="AA411" i="11"/>
  <c r="Z411" i="11"/>
  <c r="Y411" i="11"/>
  <c r="W411" i="11"/>
  <c r="V411" i="11"/>
  <c r="U411" i="11"/>
  <c r="T411" i="11"/>
  <c r="S411" i="11"/>
  <c r="R411" i="11"/>
  <c r="P411" i="11"/>
  <c r="O411" i="11"/>
  <c r="N411" i="11"/>
  <c r="L411" i="11"/>
  <c r="K411" i="11"/>
  <c r="J411" i="11"/>
  <c r="I411" i="11"/>
  <c r="H411" i="11"/>
  <c r="G411" i="11"/>
  <c r="F411" i="11"/>
  <c r="E411" i="11"/>
  <c r="D411" i="11"/>
  <c r="C411" i="11"/>
  <c r="AA410" i="11"/>
  <c r="Z410" i="11"/>
  <c r="Y410" i="11"/>
  <c r="W410" i="11"/>
  <c r="V410" i="11"/>
  <c r="U410" i="11"/>
  <c r="T410" i="11"/>
  <c r="S410" i="11"/>
  <c r="R410" i="11"/>
  <c r="P410" i="11"/>
  <c r="O410" i="11"/>
  <c r="N410" i="11"/>
  <c r="L410" i="11"/>
  <c r="K410" i="11"/>
  <c r="J410" i="11"/>
  <c r="I410" i="11"/>
  <c r="H410" i="11"/>
  <c r="G410" i="11"/>
  <c r="F410" i="11"/>
  <c r="E410" i="11"/>
  <c r="D410" i="11"/>
  <c r="C410" i="11"/>
  <c r="AA409" i="11"/>
  <c r="Z409" i="11"/>
  <c r="Y409" i="11"/>
  <c r="W409" i="11"/>
  <c r="V409" i="11"/>
  <c r="U409" i="11"/>
  <c r="T409" i="11"/>
  <c r="S409" i="11"/>
  <c r="R409" i="11"/>
  <c r="P409" i="11"/>
  <c r="O409" i="11"/>
  <c r="N409" i="11"/>
  <c r="L409" i="11"/>
  <c r="K409" i="11"/>
  <c r="J409" i="11"/>
  <c r="I409" i="11"/>
  <c r="H409" i="11"/>
  <c r="G409" i="11"/>
  <c r="F409" i="11"/>
  <c r="E409" i="11"/>
  <c r="D409" i="11"/>
  <c r="C409" i="11"/>
  <c r="AA408" i="11"/>
  <c r="Z408" i="11"/>
  <c r="Y408" i="11"/>
  <c r="W408" i="11"/>
  <c r="V408" i="11"/>
  <c r="U408" i="11"/>
  <c r="T408" i="11"/>
  <c r="S408" i="11"/>
  <c r="R408" i="11"/>
  <c r="P408" i="11"/>
  <c r="O408" i="11"/>
  <c r="N408" i="11"/>
  <c r="L408" i="11"/>
  <c r="K408" i="11"/>
  <c r="J408" i="11"/>
  <c r="I408" i="11"/>
  <c r="H408" i="11"/>
  <c r="G408" i="11"/>
  <c r="F408" i="11"/>
  <c r="E408" i="11"/>
  <c r="D408" i="11"/>
  <c r="C408" i="11"/>
  <c r="AA407" i="11"/>
  <c r="Z407" i="11"/>
  <c r="Y407" i="11"/>
  <c r="W407" i="11"/>
  <c r="V407" i="11"/>
  <c r="U407" i="11"/>
  <c r="T407" i="11"/>
  <c r="S407" i="11"/>
  <c r="R407" i="11"/>
  <c r="P407" i="11"/>
  <c r="O407" i="11"/>
  <c r="N407" i="11"/>
  <c r="L407" i="11"/>
  <c r="K407" i="11"/>
  <c r="J407" i="11"/>
  <c r="I407" i="11"/>
  <c r="H407" i="11"/>
  <c r="G407" i="11"/>
  <c r="F407" i="11"/>
  <c r="E407" i="11"/>
  <c r="D407" i="11"/>
  <c r="C407" i="11"/>
  <c r="AA406" i="11"/>
  <c r="Z406" i="11"/>
  <c r="Y406" i="11"/>
  <c r="W406" i="11"/>
  <c r="V406" i="11"/>
  <c r="U406" i="11"/>
  <c r="T406" i="11"/>
  <c r="S406" i="11"/>
  <c r="R406" i="11"/>
  <c r="P406" i="11"/>
  <c r="O406" i="11"/>
  <c r="N406" i="11"/>
  <c r="L406" i="11"/>
  <c r="K406" i="11"/>
  <c r="J406" i="11"/>
  <c r="I406" i="11"/>
  <c r="H406" i="11"/>
  <c r="G406" i="11"/>
  <c r="F406" i="11"/>
  <c r="E406" i="11"/>
  <c r="D406" i="11"/>
  <c r="C406" i="11"/>
  <c r="AA405" i="11"/>
  <c r="Z405" i="11"/>
  <c r="Y405" i="11"/>
  <c r="W405" i="11"/>
  <c r="V405" i="11"/>
  <c r="U405" i="11"/>
  <c r="T405" i="11"/>
  <c r="S405" i="11"/>
  <c r="R405" i="11"/>
  <c r="P405" i="11"/>
  <c r="O405" i="11"/>
  <c r="N405" i="11"/>
  <c r="L405" i="11"/>
  <c r="K405" i="11"/>
  <c r="J405" i="11"/>
  <c r="I405" i="11"/>
  <c r="H405" i="11"/>
  <c r="G405" i="11"/>
  <c r="F405" i="11"/>
  <c r="E405" i="11"/>
  <c r="D405" i="11"/>
  <c r="C405" i="11"/>
  <c r="AA404" i="11"/>
  <c r="Z404" i="11"/>
  <c r="Y404" i="11"/>
  <c r="W404" i="11"/>
  <c r="V404" i="11"/>
  <c r="U404" i="11"/>
  <c r="T404" i="11"/>
  <c r="S404" i="11"/>
  <c r="R404" i="11"/>
  <c r="P404" i="11"/>
  <c r="O404" i="11"/>
  <c r="N404" i="11"/>
  <c r="L404" i="11"/>
  <c r="K404" i="11"/>
  <c r="J404" i="11"/>
  <c r="I404" i="11"/>
  <c r="H404" i="11"/>
  <c r="G404" i="11"/>
  <c r="F404" i="11"/>
  <c r="E404" i="11"/>
  <c r="D404" i="11"/>
  <c r="C404" i="11"/>
  <c r="AA403" i="11"/>
  <c r="Z403" i="11"/>
  <c r="Y403" i="11"/>
  <c r="W403" i="11"/>
  <c r="V403" i="11"/>
  <c r="U403" i="11"/>
  <c r="T403" i="11"/>
  <c r="S403" i="11"/>
  <c r="R403" i="11"/>
  <c r="P403" i="11"/>
  <c r="O403" i="11"/>
  <c r="N403" i="11"/>
  <c r="L403" i="11"/>
  <c r="K403" i="11"/>
  <c r="J403" i="11"/>
  <c r="I403" i="11"/>
  <c r="H403" i="11"/>
  <c r="G403" i="11"/>
  <c r="F403" i="11"/>
  <c r="E403" i="11"/>
  <c r="D403" i="11"/>
  <c r="C403" i="11"/>
  <c r="AA402" i="11"/>
  <c r="Z402" i="11"/>
  <c r="Y402" i="11"/>
  <c r="W402" i="11"/>
  <c r="V402" i="11"/>
  <c r="U402" i="11"/>
  <c r="T402" i="11"/>
  <c r="S402" i="11"/>
  <c r="R402" i="11"/>
  <c r="P402" i="11"/>
  <c r="O402" i="11"/>
  <c r="N402" i="11"/>
  <c r="L402" i="11"/>
  <c r="K402" i="11"/>
  <c r="J402" i="11"/>
  <c r="I402" i="11"/>
  <c r="H402" i="11"/>
  <c r="G402" i="11"/>
  <c r="F402" i="11"/>
  <c r="E402" i="11"/>
  <c r="D402" i="11"/>
  <c r="C402" i="11"/>
  <c r="AA401" i="11"/>
  <c r="Z401" i="11"/>
  <c r="Y401" i="11"/>
  <c r="W401" i="11"/>
  <c r="V401" i="11"/>
  <c r="U401" i="11"/>
  <c r="T401" i="11"/>
  <c r="S401" i="11"/>
  <c r="R401" i="11"/>
  <c r="P401" i="11"/>
  <c r="O401" i="11"/>
  <c r="N401" i="11"/>
  <c r="L401" i="11"/>
  <c r="K401" i="11"/>
  <c r="J401" i="11"/>
  <c r="I401" i="11"/>
  <c r="H401" i="11"/>
  <c r="G401" i="11"/>
  <c r="F401" i="11"/>
  <c r="E401" i="11"/>
  <c r="D401" i="11"/>
  <c r="C401" i="11"/>
  <c r="AA400" i="11"/>
  <c r="Z400" i="11"/>
  <c r="Y400" i="11"/>
  <c r="W400" i="11"/>
  <c r="V400" i="11"/>
  <c r="U400" i="11"/>
  <c r="T400" i="11"/>
  <c r="S400" i="11"/>
  <c r="R400" i="11"/>
  <c r="P400" i="11"/>
  <c r="O400" i="11"/>
  <c r="N400" i="11"/>
  <c r="L400" i="11"/>
  <c r="K400" i="11"/>
  <c r="J400" i="11"/>
  <c r="I400" i="11"/>
  <c r="H400" i="11"/>
  <c r="G400" i="11"/>
  <c r="F400" i="11"/>
  <c r="E400" i="11"/>
  <c r="D400" i="11"/>
  <c r="C400" i="11"/>
  <c r="AA399" i="11"/>
  <c r="Z399" i="11"/>
  <c r="Y399" i="11"/>
  <c r="W399" i="11"/>
  <c r="V399" i="11"/>
  <c r="U399" i="11"/>
  <c r="T399" i="11"/>
  <c r="S399" i="11"/>
  <c r="R399" i="11"/>
  <c r="P399" i="11"/>
  <c r="O399" i="11"/>
  <c r="N399" i="11"/>
  <c r="L399" i="11"/>
  <c r="K399" i="11"/>
  <c r="J399" i="11"/>
  <c r="I399" i="11"/>
  <c r="H399" i="11"/>
  <c r="G399" i="11"/>
  <c r="F399" i="11"/>
  <c r="E399" i="11"/>
  <c r="D399" i="11"/>
  <c r="C399" i="11"/>
  <c r="AA398" i="11"/>
  <c r="Z398" i="11"/>
  <c r="Y398" i="11"/>
  <c r="W398" i="11"/>
  <c r="V398" i="11"/>
  <c r="U398" i="11"/>
  <c r="T398" i="11"/>
  <c r="S398" i="11"/>
  <c r="R398" i="11"/>
  <c r="P398" i="11"/>
  <c r="O398" i="11"/>
  <c r="N398" i="11"/>
  <c r="L398" i="11"/>
  <c r="K398" i="11"/>
  <c r="J398" i="11"/>
  <c r="I398" i="11"/>
  <c r="H398" i="11"/>
  <c r="G398" i="11"/>
  <c r="F398" i="11"/>
  <c r="E398" i="11"/>
  <c r="D398" i="11"/>
  <c r="C398" i="11"/>
  <c r="AA397" i="11"/>
  <c r="Z397" i="11"/>
  <c r="Y397" i="11"/>
  <c r="W397" i="11"/>
  <c r="V397" i="11"/>
  <c r="U397" i="11"/>
  <c r="T397" i="11"/>
  <c r="S397" i="11"/>
  <c r="R397" i="11"/>
  <c r="P397" i="11"/>
  <c r="O397" i="11"/>
  <c r="N397" i="11"/>
  <c r="L397" i="11"/>
  <c r="K397" i="11"/>
  <c r="J397" i="11"/>
  <c r="I397" i="11"/>
  <c r="H397" i="11"/>
  <c r="G397" i="11"/>
  <c r="F397" i="11"/>
  <c r="E397" i="11"/>
  <c r="D397" i="11"/>
  <c r="C397" i="11"/>
  <c r="AA396" i="11"/>
  <c r="Z396" i="11"/>
  <c r="Y396" i="11"/>
  <c r="W396" i="11"/>
  <c r="V396" i="11"/>
  <c r="U396" i="11"/>
  <c r="T396" i="11"/>
  <c r="S396" i="11"/>
  <c r="R396" i="11"/>
  <c r="P396" i="11"/>
  <c r="O396" i="11"/>
  <c r="N396" i="11"/>
  <c r="L396" i="11"/>
  <c r="K396" i="11"/>
  <c r="J396" i="11"/>
  <c r="I396" i="11"/>
  <c r="H396" i="11"/>
  <c r="G396" i="11"/>
  <c r="F396" i="11"/>
  <c r="E396" i="11"/>
  <c r="D396" i="11"/>
  <c r="C396" i="11"/>
  <c r="AA395" i="11"/>
  <c r="Z395" i="11"/>
  <c r="Y395" i="11"/>
  <c r="W395" i="11"/>
  <c r="V395" i="11"/>
  <c r="U395" i="11"/>
  <c r="T395" i="11"/>
  <c r="S395" i="11"/>
  <c r="R395" i="11"/>
  <c r="P395" i="11"/>
  <c r="O395" i="11"/>
  <c r="N395" i="11"/>
  <c r="L395" i="11"/>
  <c r="K395" i="11"/>
  <c r="J395" i="11"/>
  <c r="I395" i="11"/>
  <c r="H395" i="11"/>
  <c r="G395" i="11"/>
  <c r="F395" i="11"/>
  <c r="E395" i="11"/>
  <c r="D395" i="11"/>
  <c r="C395" i="11"/>
  <c r="AA394" i="11"/>
  <c r="Z394" i="11"/>
  <c r="Y394" i="11"/>
  <c r="W394" i="11"/>
  <c r="V394" i="11"/>
  <c r="U394" i="11"/>
  <c r="T394" i="11"/>
  <c r="S394" i="11"/>
  <c r="R394" i="11"/>
  <c r="P394" i="11"/>
  <c r="O394" i="11"/>
  <c r="N394" i="11"/>
  <c r="L394" i="11"/>
  <c r="K394" i="11"/>
  <c r="J394" i="11"/>
  <c r="I394" i="11"/>
  <c r="H394" i="11"/>
  <c r="G394" i="11"/>
  <c r="F394" i="11"/>
  <c r="E394" i="11"/>
  <c r="D394" i="11"/>
  <c r="C394" i="11"/>
  <c r="AA393" i="11"/>
  <c r="Z393" i="11"/>
  <c r="Y393" i="11"/>
  <c r="W393" i="11"/>
  <c r="V393" i="11"/>
  <c r="U393" i="11"/>
  <c r="T393" i="11"/>
  <c r="S393" i="11"/>
  <c r="R393" i="11"/>
  <c r="P393" i="11"/>
  <c r="O393" i="11"/>
  <c r="N393" i="11"/>
  <c r="L393" i="11"/>
  <c r="K393" i="11"/>
  <c r="J393" i="11"/>
  <c r="I393" i="11"/>
  <c r="H393" i="11"/>
  <c r="G393" i="11"/>
  <c r="F393" i="11"/>
  <c r="E393" i="11"/>
  <c r="D393" i="11"/>
  <c r="C393" i="11"/>
  <c r="AA392" i="11"/>
  <c r="Z392" i="11"/>
  <c r="Y392" i="11"/>
  <c r="W392" i="11"/>
  <c r="V392" i="11"/>
  <c r="U392" i="11"/>
  <c r="T392" i="11"/>
  <c r="S392" i="11"/>
  <c r="R392" i="11"/>
  <c r="P392" i="11"/>
  <c r="O392" i="11"/>
  <c r="N392" i="11"/>
  <c r="L392" i="11"/>
  <c r="K392" i="11"/>
  <c r="J392" i="11"/>
  <c r="I392" i="11"/>
  <c r="H392" i="11"/>
  <c r="G392" i="11"/>
  <c r="F392" i="11"/>
  <c r="E392" i="11"/>
  <c r="D392" i="11"/>
  <c r="C392" i="11"/>
  <c r="AA391" i="11"/>
  <c r="Z391" i="11"/>
  <c r="Y391" i="11"/>
  <c r="W391" i="11"/>
  <c r="V391" i="11"/>
  <c r="U391" i="11"/>
  <c r="T391" i="11"/>
  <c r="S391" i="11"/>
  <c r="R391" i="11"/>
  <c r="P391" i="11"/>
  <c r="O391" i="11"/>
  <c r="N391" i="11"/>
  <c r="L391" i="11"/>
  <c r="K391" i="11"/>
  <c r="J391" i="11"/>
  <c r="I391" i="11"/>
  <c r="H391" i="11"/>
  <c r="G391" i="11"/>
  <c r="F391" i="11"/>
  <c r="E391" i="11"/>
  <c r="D391" i="11"/>
  <c r="C391" i="11"/>
  <c r="AA390" i="11"/>
  <c r="Z390" i="11"/>
  <c r="Y390" i="11"/>
  <c r="W390" i="11"/>
  <c r="V390" i="11"/>
  <c r="U390" i="11"/>
  <c r="T390" i="11"/>
  <c r="S390" i="11"/>
  <c r="R390" i="11"/>
  <c r="P390" i="11"/>
  <c r="O390" i="11"/>
  <c r="N390" i="11"/>
  <c r="L390" i="11"/>
  <c r="K390" i="11"/>
  <c r="J390" i="11"/>
  <c r="I390" i="11"/>
  <c r="H390" i="11"/>
  <c r="G390" i="11"/>
  <c r="F390" i="11"/>
  <c r="E390" i="11"/>
  <c r="D390" i="11"/>
  <c r="C390" i="11"/>
  <c r="AA389" i="11"/>
  <c r="Z389" i="11"/>
  <c r="Y389" i="11"/>
  <c r="W389" i="11"/>
  <c r="V389" i="11"/>
  <c r="U389" i="11"/>
  <c r="T389" i="11"/>
  <c r="S389" i="11"/>
  <c r="R389" i="11"/>
  <c r="P389" i="11"/>
  <c r="O389" i="11"/>
  <c r="N389" i="11"/>
  <c r="L389" i="11"/>
  <c r="K389" i="11"/>
  <c r="J389" i="11"/>
  <c r="I389" i="11"/>
  <c r="H389" i="11"/>
  <c r="G389" i="11"/>
  <c r="F389" i="11"/>
  <c r="E389" i="11"/>
  <c r="D389" i="11"/>
  <c r="C389" i="11"/>
  <c r="AA388" i="11"/>
  <c r="Z388" i="11"/>
  <c r="Y388" i="11"/>
  <c r="W388" i="11"/>
  <c r="V388" i="11"/>
  <c r="U388" i="11"/>
  <c r="T388" i="11"/>
  <c r="S388" i="11"/>
  <c r="R388" i="11"/>
  <c r="P388" i="11"/>
  <c r="O388" i="11"/>
  <c r="N388" i="11"/>
  <c r="L388" i="11"/>
  <c r="K388" i="11"/>
  <c r="J388" i="11"/>
  <c r="I388" i="11"/>
  <c r="H388" i="11"/>
  <c r="G388" i="11"/>
  <c r="F388" i="11"/>
  <c r="E388" i="11"/>
  <c r="D388" i="11"/>
  <c r="C388" i="11"/>
  <c r="AA387" i="11"/>
  <c r="Z387" i="11"/>
  <c r="Y387" i="11"/>
  <c r="W387" i="11"/>
  <c r="V387" i="11"/>
  <c r="U387" i="11"/>
  <c r="T387" i="11"/>
  <c r="S387" i="11"/>
  <c r="R387" i="11"/>
  <c r="P387" i="11"/>
  <c r="O387" i="11"/>
  <c r="N387" i="11"/>
  <c r="L387" i="11"/>
  <c r="K387" i="11"/>
  <c r="J387" i="11"/>
  <c r="I387" i="11"/>
  <c r="H387" i="11"/>
  <c r="G387" i="11"/>
  <c r="F387" i="11"/>
  <c r="E387" i="11"/>
  <c r="D387" i="11"/>
  <c r="C387" i="11"/>
  <c r="AA386" i="11"/>
  <c r="Z386" i="11"/>
  <c r="Y386" i="11"/>
  <c r="W386" i="11"/>
  <c r="V386" i="11"/>
  <c r="U386" i="11"/>
  <c r="T386" i="11"/>
  <c r="S386" i="11"/>
  <c r="R386" i="11"/>
  <c r="P386" i="11"/>
  <c r="O386" i="11"/>
  <c r="N386" i="11"/>
  <c r="L386" i="11"/>
  <c r="K386" i="11"/>
  <c r="J386" i="11"/>
  <c r="I386" i="11"/>
  <c r="H386" i="11"/>
  <c r="G386" i="11"/>
  <c r="F386" i="11"/>
  <c r="E386" i="11"/>
  <c r="D386" i="11"/>
  <c r="C386" i="11"/>
  <c r="AA385" i="11"/>
  <c r="Z385" i="11"/>
  <c r="Y385" i="11"/>
  <c r="W385" i="11"/>
  <c r="V385" i="11"/>
  <c r="U385" i="11"/>
  <c r="T385" i="11"/>
  <c r="S385" i="11"/>
  <c r="R385" i="11"/>
  <c r="P385" i="11"/>
  <c r="O385" i="11"/>
  <c r="N385" i="11"/>
  <c r="L385" i="11"/>
  <c r="K385" i="11"/>
  <c r="J385" i="11"/>
  <c r="I385" i="11"/>
  <c r="H385" i="11"/>
  <c r="G385" i="11"/>
  <c r="F385" i="11"/>
  <c r="E385" i="11"/>
  <c r="D385" i="11"/>
  <c r="C385" i="11"/>
  <c r="AA384" i="11"/>
  <c r="Z384" i="11"/>
  <c r="Y384" i="11"/>
  <c r="W384" i="11"/>
  <c r="V384" i="11"/>
  <c r="U384" i="11"/>
  <c r="T384" i="11"/>
  <c r="S384" i="11"/>
  <c r="R384" i="11"/>
  <c r="P384" i="11"/>
  <c r="O384" i="11"/>
  <c r="N384" i="11"/>
  <c r="L384" i="11"/>
  <c r="K384" i="11"/>
  <c r="J384" i="11"/>
  <c r="I384" i="11"/>
  <c r="H384" i="11"/>
  <c r="G384" i="11"/>
  <c r="F384" i="11"/>
  <c r="E384" i="11"/>
  <c r="D384" i="11"/>
  <c r="C384" i="11"/>
  <c r="AA383" i="11"/>
  <c r="Z383" i="11"/>
  <c r="Y383" i="11"/>
  <c r="W383" i="11"/>
  <c r="V383" i="11"/>
  <c r="U383" i="11"/>
  <c r="T383" i="11"/>
  <c r="S383" i="11"/>
  <c r="R383" i="11"/>
  <c r="P383" i="11"/>
  <c r="O383" i="11"/>
  <c r="N383" i="11"/>
  <c r="L383" i="11"/>
  <c r="K383" i="11"/>
  <c r="J383" i="11"/>
  <c r="I383" i="11"/>
  <c r="H383" i="11"/>
  <c r="G383" i="11"/>
  <c r="F383" i="11"/>
  <c r="E383" i="11"/>
  <c r="D383" i="11"/>
  <c r="C383" i="11"/>
  <c r="AA382" i="11"/>
  <c r="Z382" i="11"/>
  <c r="Y382" i="11"/>
  <c r="W382" i="11"/>
  <c r="V382" i="11"/>
  <c r="U382" i="11"/>
  <c r="T382" i="11"/>
  <c r="S382" i="11"/>
  <c r="R382" i="11"/>
  <c r="P382" i="11"/>
  <c r="O382" i="11"/>
  <c r="N382" i="11"/>
  <c r="L382" i="11"/>
  <c r="K382" i="11"/>
  <c r="J382" i="11"/>
  <c r="I382" i="11"/>
  <c r="H382" i="11"/>
  <c r="G382" i="11"/>
  <c r="F382" i="11"/>
  <c r="E382" i="11"/>
  <c r="D382" i="11"/>
  <c r="C382" i="11"/>
  <c r="AA381" i="11"/>
  <c r="Z381" i="11"/>
  <c r="Y381" i="11"/>
  <c r="W381" i="11"/>
  <c r="V381" i="11"/>
  <c r="U381" i="11"/>
  <c r="T381" i="11"/>
  <c r="S381" i="11"/>
  <c r="R381" i="11"/>
  <c r="P381" i="11"/>
  <c r="O381" i="11"/>
  <c r="N381" i="11"/>
  <c r="L381" i="11"/>
  <c r="K381" i="11"/>
  <c r="J381" i="11"/>
  <c r="I381" i="11"/>
  <c r="H381" i="11"/>
  <c r="G381" i="11"/>
  <c r="F381" i="11"/>
  <c r="E381" i="11"/>
  <c r="D381" i="11"/>
  <c r="C381" i="11"/>
  <c r="AA380" i="11"/>
  <c r="Z380" i="11"/>
  <c r="Y380" i="11"/>
  <c r="W380" i="11"/>
  <c r="V380" i="11"/>
  <c r="U380" i="11"/>
  <c r="T380" i="11"/>
  <c r="S380" i="11"/>
  <c r="R380" i="11"/>
  <c r="P380" i="11"/>
  <c r="O380" i="11"/>
  <c r="N380" i="11"/>
  <c r="L380" i="11"/>
  <c r="K380" i="11"/>
  <c r="J380" i="11"/>
  <c r="I380" i="11"/>
  <c r="H380" i="11"/>
  <c r="G380" i="11"/>
  <c r="F380" i="11"/>
  <c r="E380" i="11"/>
  <c r="D380" i="11"/>
  <c r="C380" i="11"/>
  <c r="AA379" i="11"/>
  <c r="Z379" i="11"/>
  <c r="Y379" i="11"/>
  <c r="W379" i="11"/>
  <c r="V379" i="11"/>
  <c r="U379" i="11"/>
  <c r="T379" i="11"/>
  <c r="S379" i="11"/>
  <c r="R379" i="11"/>
  <c r="P379" i="11"/>
  <c r="O379" i="11"/>
  <c r="N379" i="11"/>
  <c r="L379" i="11"/>
  <c r="K379" i="11"/>
  <c r="J379" i="11"/>
  <c r="I379" i="11"/>
  <c r="H379" i="11"/>
  <c r="G379" i="11"/>
  <c r="F379" i="11"/>
  <c r="E379" i="11"/>
  <c r="D379" i="11"/>
  <c r="C379" i="11"/>
  <c r="AA378" i="11"/>
  <c r="Z378" i="11"/>
  <c r="Y378" i="11"/>
  <c r="W378" i="11"/>
  <c r="V378" i="11"/>
  <c r="U378" i="11"/>
  <c r="T378" i="11"/>
  <c r="S378" i="11"/>
  <c r="R378" i="11"/>
  <c r="P378" i="11"/>
  <c r="O378" i="11"/>
  <c r="N378" i="11"/>
  <c r="L378" i="11"/>
  <c r="K378" i="11"/>
  <c r="J378" i="11"/>
  <c r="I378" i="11"/>
  <c r="H378" i="11"/>
  <c r="G378" i="11"/>
  <c r="F378" i="11"/>
  <c r="E378" i="11"/>
  <c r="D378" i="11"/>
  <c r="C378" i="11"/>
  <c r="AA377" i="11"/>
  <c r="Z377" i="11"/>
  <c r="Y377" i="11"/>
  <c r="W377" i="11"/>
  <c r="V377" i="11"/>
  <c r="U377" i="11"/>
  <c r="T377" i="11"/>
  <c r="S377" i="11"/>
  <c r="R377" i="11"/>
  <c r="P377" i="11"/>
  <c r="O377" i="11"/>
  <c r="N377" i="11"/>
  <c r="L377" i="11"/>
  <c r="K377" i="11"/>
  <c r="J377" i="11"/>
  <c r="I377" i="11"/>
  <c r="H377" i="11"/>
  <c r="G377" i="11"/>
  <c r="F377" i="11"/>
  <c r="E377" i="11"/>
  <c r="D377" i="11"/>
  <c r="C377" i="11"/>
  <c r="AA376" i="11"/>
  <c r="Z376" i="11"/>
  <c r="Y376" i="11"/>
  <c r="W376" i="11"/>
  <c r="V376" i="11"/>
  <c r="U376" i="11"/>
  <c r="T376" i="11"/>
  <c r="S376" i="11"/>
  <c r="R376" i="11"/>
  <c r="P376" i="11"/>
  <c r="O376" i="11"/>
  <c r="N376" i="11"/>
  <c r="L376" i="11"/>
  <c r="K376" i="11"/>
  <c r="J376" i="11"/>
  <c r="I376" i="11"/>
  <c r="H376" i="11"/>
  <c r="G376" i="11"/>
  <c r="F376" i="11"/>
  <c r="E376" i="11"/>
  <c r="D376" i="11"/>
  <c r="C376" i="11"/>
  <c r="AA375" i="11"/>
  <c r="Z375" i="11"/>
  <c r="Y375" i="11"/>
  <c r="W375" i="11"/>
  <c r="V375" i="11"/>
  <c r="U375" i="11"/>
  <c r="T375" i="11"/>
  <c r="S375" i="11"/>
  <c r="R375" i="11"/>
  <c r="P375" i="11"/>
  <c r="O375" i="11"/>
  <c r="N375" i="11"/>
  <c r="L375" i="11"/>
  <c r="K375" i="11"/>
  <c r="J375" i="11"/>
  <c r="I375" i="11"/>
  <c r="H375" i="11"/>
  <c r="G375" i="11"/>
  <c r="F375" i="11"/>
  <c r="E375" i="11"/>
  <c r="D375" i="11"/>
  <c r="C375" i="11"/>
  <c r="AA374" i="11"/>
  <c r="Z374" i="11"/>
  <c r="Y374" i="11"/>
  <c r="W374" i="11"/>
  <c r="V374" i="11"/>
  <c r="U374" i="11"/>
  <c r="T374" i="11"/>
  <c r="S374" i="11"/>
  <c r="R374" i="11"/>
  <c r="P374" i="11"/>
  <c r="O374" i="11"/>
  <c r="N374" i="11"/>
  <c r="L374" i="11"/>
  <c r="K374" i="11"/>
  <c r="J374" i="11"/>
  <c r="I374" i="11"/>
  <c r="H374" i="11"/>
  <c r="G374" i="11"/>
  <c r="F374" i="11"/>
  <c r="E374" i="11"/>
  <c r="D374" i="11"/>
  <c r="C374" i="11"/>
  <c r="AA373" i="11"/>
  <c r="Z373" i="11"/>
  <c r="Y373" i="11"/>
  <c r="W373" i="11"/>
  <c r="V373" i="11"/>
  <c r="U373" i="11"/>
  <c r="T373" i="11"/>
  <c r="S373" i="11"/>
  <c r="R373" i="11"/>
  <c r="P373" i="11"/>
  <c r="O373" i="11"/>
  <c r="N373" i="11"/>
  <c r="L373" i="11"/>
  <c r="K373" i="11"/>
  <c r="J373" i="11"/>
  <c r="I373" i="11"/>
  <c r="H373" i="11"/>
  <c r="G373" i="11"/>
  <c r="F373" i="11"/>
  <c r="E373" i="11"/>
  <c r="D373" i="11"/>
  <c r="C373" i="11"/>
  <c r="AA372" i="11"/>
  <c r="Z372" i="11"/>
  <c r="Y372" i="11"/>
  <c r="W372" i="11"/>
  <c r="V372" i="11"/>
  <c r="U372" i="11"/>
  <c r="T372" i="11"/>
  <c r="S372" i="11"/>
  <c r="R372" i="11"/>
  <c r="P372" i="11"/>
  <c r="O372" i="11"/>
  <c r="N372" i="11"/>
  <c r="L372" i="11"/>
  <c r="K372" i="11"/>
  <c r="J372" i="11"/>
  <c r="I372" i="11"/>
  <c r="H372" i="11"/>
  <c r="G372" i="11"/>
  <c r="F372" i="11"/>
  <c r="E372" i="11"/>
  <c r="D372" i="11"/>
  <c r="C372" i="11"/>
  <c r="AA371" i="11"/>
  <c r="Z371" i="11"/>
  <c r="Y371" i="11"/>
  <c r="W371" i="11"/>
  <c r="V371" i="11"/>
  <c r="U371" i="11"/>
  <c r="T371" i="11"/>
  <c r="S371" i="11"/>
  <c r="R371" i="11"/>
  <c r="P371" i="11"/>
  <c r="O371" i="11"/>
  <c r="N371" i="11"/>
  <c r="L371" i="11"/>
  <c r="K371" i="11"/>
  <c r="J371" i="11"/>
  <c r="I371" i="11"/>
  <c r="H371" i="11"/>
  <c r="G371" i="11"/>
  <c r="F371" i="11"/>
  <c r="E371" i="11"/>
  <c r="D371" i="11"/>
  <c r="C371" i="11"/>
  <c r="AA370" i="11"/>
  <c r="Z370" i="11"/>
  <c r="Y370" i="11"/>
  <c r="W370" i="11"/>
  <c r="V370" i="11"/>
  <c r="U370" i="11"/>
  <c r="T370" i="11"/>
  <c r="S370" i="11"/>
  <c r="R370" i="11"/>
  <c r="P370" i="11"/>
  <c r="O370" i="11"/>
  <c r="N370" i="11"/>
  <c r="L370" i="11"/>
  <c r="K370" i="11"/>
  <c r="J370" i="11"/>
  <c r="I370" i="11"/>
  <c r="H370" i="11"/>
  <c r="G370" i="11"/>
  <c r="F370" i="11"/>
  <c r="E370" i="11"/>
  <c r="D370" i="11"/>
  <c r="C370" i="11"/>
  <c r="AA369" i="11"/>
  <c r="Z369" i="11"/>
  <c r="Y369" i="11"/>
  <c r="W369" i="11"/>
  <c r="V369" i="11"/>
  <c r="U369" i="11"/>
  <c r="T369" i="11"/>
  <c r="S369" i="11"/>
  <c r="R369" i="11"/>
  <c r="P369" i="11"/>
  <c r="O369" i="11"/>
  <c r="N369" i="11"/>
  <c r="L369" i="11"/>
  <c r="K369" i="11"/>
  <c r="J369" i="11"/>
  <c r="I369" i="11"/>
  <c r="H369" i="11"/>
  <c r="G369" i="11"/>
  <c r="F369" i="11"/>
  <c r="E369" i="11"/>
  <c r="D369" i="11"/>
  <c r="C369" i="11"/>
  <c r="AA368" i="11"/>
  <c r="Z368" i="11"/>
  <c r="Y368" i="11"/>
  <c r="W368" i="11"/>
  <c r="V368" i="11"/>
  <c r="U368" i="11"/>
  <c r="T368" i="11"/>
  <c r="S368" i="11"/>
  <c r="R368" i="11"/>
  <c r="P368" i="11"/>
  <c r="O368" i="11"/>
  <c r="N368" i="11"/>
  <c r="L368" i="11"/>
  <c r="K368" i="11"/>
  <c r="J368" i="11"/>
  <c r="I368" i="11"/>
  <c r="H368" i="11"/>
  <c r="G368" i="11"/>
  <c r="F368" i="11"/>
  <c r="E368" i="11"/>
  <c r="D368" i="11"/>
  <c r="C368" i="11"/>
  <c r="AA367" i="11"/>
  <c r="Z367" i="11"/>
  <c r="Y367" i="11"/>
  <c r="W367" i="11"/>
  <c r="V367" i="11"/>
  <c r="U367" i="11"/>
  <c r="T367" i="11"/>
  <c r="S367" i="11"/>
  <c r="R367" i="11"/>
  <c r="P367" i="11"/>
  <c r="O367" i="11"/>
  <c r="N367" i="11"/>
  <c r="L367" i="11"/>
  <c r="K367" i="11"/>
  <c r="J367" i="11"/>
  <c r="I367" i="11"/>
  <c r="H367" i="11"/>
  <c r="G367" i="11"/>
  <c r="F367" i="11"/>
  <c r="E367" i="11"/>
  <c r="D367" i="11"/>
  <c r="C367" i="11"/>
  <c r="AA366" i="11"/>
  <c r="Z366" i="11"/>
  <c r="Y366" i="11"/>
  <c r="W366" i="11"/>
  <c r="V366" i="11"/>
  <c r="U366" i="11"/>
  <c r="T366" i="11"/>
  <c r="S366" i="11"/>
  <c r="R366" i="11"/>
  <c r="P366" i="11"/>
  <c r="O366" i="11"/>
  <c r="N366" i="11"/>
  <c r="L366" i="11"/>
  <c r="K366" i="11"/>
  <c r="J366" i="11"/>
  <c r="I366" i="11"/>
  <c r="H366" i="11"/>
  <c r="G366" i="11"/>
  <c r="F366" i="11"/>
  <c r="E366" i="11"/>
  <c r="D366" i="11"/>
  <c r="C366" i="11"/>
  <c r="AA365" i="11"/>
  <c r="Z365" i="11"/>
  <c r="Y365" i="11"/>
  <c r="W365" i="11"/>
  <c r="V365" i="11"/>
  <c r="U365" i="11"/>
  <c r="T365" i="11"/>
  <c r="S365" i="11"/>
  <c r="R365" i="11"/>
  <c r="P365" i="11"/>
  <c r="O365" i="11"/>
  <c r="N365" i="11"/>
  <c r="L365" i="11"/>
  <c r="K365" i="11"/>
  <c r="J365" i="11"/>
  <c r="I365" i="11"/>
  <c r="H365" i="11"/>
  <c r="G365" i="11"/>
  <c r="F365" i="11"/>
  <c r="E365" i="11"/>
  <c r="D365" i="11"/>
  <c r="C365" i="11"/>
  <c r="AA364" i="11"/>
  <c r="Z364" i="11"/>
  <c r="Y364" i="11"/>
  <c r="W364" i="11"/>
  <c r="V364" i="11"/>
  <c r="U364" i="11"/>
  <c r="T364" i="11"/>
  <c r="S364" i="11"/>
  <c r="R364" i="11"/>
  <c r="P364" i="11"/>
  <c r="O364" i="11"/>
  <c r="N364" i="11"/>
  <c r="L364" i="11"/>
  <c r="K364" i="11"/>
  <c r="J364" i="11"/>
  <c r="I364" i="11"/>
  <c r="H364" i="11"/>
  <c r="G364" i="11"/>
  <c r="F364" i="11"/>
  <c r="E364" i="11"/>
  <c r="D364" i="11"/>
  <c r="C364" i="11"/>
  <c r="AA363" i="11"/>
  <c r="Z363" i="11"/>
  <c r="Y363" i="11"/>
  <c r="W363" i="11"/>
  <c r="V363" i="11"/>
  <c r="U363" i="11"/>
  <c r="T363" i="11"/>
  <c r="S363" i="11"/>
  <c r="R363" i="11"/>
  <c r="P363" i="11"/>
  <c r="O363" i="11"/>
  <c r="N363" i="11"/>
  <c r="L363" i="11"/>
  <c r="K363" i="11"/>
  <c r="J363" i="11"/>
  <c r="I363" i="11"/>
  <c r="H363" i="11"/>
  <c r="G363" i="11"/>
  <c r="F363" i="11"/>
  <c r="E363" i="11"/>
  <c r="D363" i="11"/>
  <c r="C363" i="11"/>
  <c r="AA362" i="11"/>
  <c r="Z362" i="11"/>
  <c r="Y362" i="11"/>
  <c r="W362" i="11"/>
  <c r="V362" i="11"/>
  <c r="U362" i="11"/>
  <c r="T362" i="11"/>
  <c r="S362" i="11"/>
  <c r="R362" i="11"/>
  <c r="P362" i="11"/>
  <c r="O362" i="11"/>
  <c r="N362" i="11"/>
  <c r="L362" i="11"/>
  <c r="K362" i="11"/>
  <c r="J362" i="11"/>
  <c r="I362" i="11"/>
  <c r="H362" i="11"/>
  <c r="G362" i="11"/>
  <c r="F362" i="11"/>
  <c r="E362" i="11"/>
  <c r="D362" i="11"/>
  <c r="C362" i="11"/>
  <c r="AA361" i="11"/>
  <c r="Z361" i="11"/>
  <c r="Y361" i="11"/>
  <c r="W361" i="11"/>
  <c r="V361" i="11"/>
  <c r="U361" i="11"/>
  <c r="T361" i="11"/>
  <c r="S361" i="11"/>
  <c r="R361" i="11"/>
  <c r="P361" i="11"/>
  <c r="O361" i="11"/>
  <c r="N361" i="11"/>
  <c r="L361" i="11"/>
  <c r="K361" i="11"/>
  <c r="J361" i="11"/>
  <c r="I361" i="11"/>
  <c r="H361" i="11"/>
  <c r="G361" i="11"/>
  <c r="F361" i="11"/>
  <c r="E361" i="11"/>
  <c r="D361" i="11"/>
  <c r="C361" i="11"/>
  <c r="AA360" i="11"/>
  <c r="Z360" i="11"/>
  <c r="Y360" i="11"/>
  <c r="W360" i="11"/>
  <c r="V360" i="11"/>
  <c r="U360" i="11"/>
  <c r="T360" i="11"/>
  <c r="S360" i="11"/>
  <c r="R360" i="11"/>
  <c r="P360" i="11"/>
  <c r="O360" i="11"/>
  <c r="N360" i="11"/>
  <c r="L360" i="11"/>
  <c r="K360" i="11"/>
  <c r="J360" i="11"/>
  <c r="I360" i="11"/>
  <c r="H360" i="11"/>
  <c r="G360" i="11"/>
  <c r="F360" i="11"/>
  <c r="E360" i="11"/>
  <c r="D360" i="11"/>
  <c r="C360" i="11"/>
  <c r="AA359" i="11"/>
  <c r="Z359" i="11"/>
  <c r="Y359" i="11"/>
  <c r="W359" i="11"/>
  <c r="V359" i="11"/>
  <c r="U359" i="11"/>
  <c r="T359" i="11"/>
  <c r="S359" i="11"/>
  <c r="R359" i="11"/>
  <c r="P359" i="11"/>
  <c r="O359" i="11"/>
  <c r="N359" i="11"/>
  <c r="L359" i="11"/>
  <c r="K359" i="11"/>
  <c r="J359" i="11"/>
  <c r="I359" i="11"/>
  <c r="H359" i="11"/>
  <c r="G359" i="11"/>
  <c r="F359" i="11"/>
  <c r="E359" i="11"/>
  <c r="D359" i="11"/>
  <c r="C359" i="11"/>
  <c r="AA358" i="11"/>
  <c r="Z358" i="11"/>
  <c r="Y358" i="11"/>
  <c r="W358" i="11"/>
  <c r="V358" i="11"/>
  <c r="U358" i="11"/>
  <c r="T358" i="11"/>
  <c r="S358" i="11"/>
  <c r="R358" i="11"/>
  <c r="P358" i="11"/>
  <c r="O358" i="11"/>
  <c r="N358" i="11"/>
  <c r="L358" i="11"/>
  <c r="K358" i="11"/>
  <c r="J358" i="11"/>
  <c r="I358" i="11"/>
  <c r="H358" i="11"/>
  <c r="G358" i="11"/>
  <c r="F358" i="11"/>
  <c r="E358" i="11"/>
  <c r="D358" i="11"/>
  <c r="C358" i="11"/>
  <c r="AA357" i="11"/>
  <c r="Z357" i="11"/>
  <c r="Y357" i="11"/>
  <c r="W357" i="11"/>
  <c r="V357" i="11"/>
  <c r="U357" i="11"/>
  <c r="T357" i="11"/>
  <c r="S357" i="11"/>
  <c r="R357" i="11"/>
  <c r="P357" i="11"/>
  <c r="O357" i="11"/>
  <c r="N357" i="11"/>
  <c r="L357" i="11"/>
  <c r="K357" i="11"/>
  <c r="J357" i="11"/>
  <c r="I357" i="11"/>
  <c r="H357" i="11"/>
  <c r="G357" i="11"/>
  <c r="F357" i="11"/>
  <c r="E357" i="11"/>
  <c r="D357" i="11"/>
  <c r="C357" i="11"/>
  <c r="AA356" i="11"/>
  <c r="Z356" i="11"/>
  <c r="Y356" i="11"/>
  <c r="W356" i="11"/>
  <c r="V356" i="11"/>
  <c r="U356" i="11"/>
  <c r="T356" i="11"/>
  <c r="S356" i="11"/>
  <c r="R356" i="11"/>
  <c r="P356" i="11"/>
  <c r="O356" i="11"/>
  <c r="N356" i="11"/>
  <c r="L356" i="11"/>
  <c r="K356" i="11"/>
  <c r="J356" i="11"/>
  <c r="I356" i="11"/>
  <c r="H356" i="11"/>
  <c r="G356" i="11"/>
  <c r="F356" i="11"/>
  <c r="E356" i="11"/>
  <c r="D356" i="11"/>
  <c r="C356" i="11"/>
  <c r="AA355" i="11"/>
  <c r="Z355" i="11"/>
  <c r="Y355" i="11"/>
  <c r="W355" i="11"/>
  <c r="V355" i="11"/>
  <c r="U355" i="11"/>
  <c r="T355" i="11"/>
  <c r="S355" i="11"/>
  <c r="R355" i="11"/>
  <c r="P355" i="11"/>
  <c r="O355" i="11"/>
  <c r="N355" i="11"/>
  <c r="L355" i="11"/>
  <c r="K355" i="11"/>
  <c r="J355" i="11"/>
  <c r="I355" i="11"/>
  <c r="H355" i="11"/>
  <c r="G355" i="11"/>
  <c r="F355" i="11"/>
  <c r="E355" i="11"/>
  <c r="D355" i="11"/>
  <c r="C355" i="11"/>
  <c r="AA354" i="11"/>
  <c r="Z354" i="11"/>
  <c r="Y354" i="11"/>
  <c r="W354" i="11"/>
  <c r="V354" i="11"/>
  <c r="U354" i="11"/>
  <c r="T354" i="11"/>
  <c r="S354" i="11"/>
  <c r="R354" i="11"/>
  <c r="P354" i="11"/>
  <c r="O354" i="11"/>
  <c r="N354" i="11"/>
  <c r="L354" i="11"/>
  <c r="K354" i="11"/>
  <c r="J354" i="11"/>
  <c r="I354" i="11"/>
  <c r="H354" i="11"/>
  <c r="G354" i="11"/>
  <c r="F354" i="11"/>
  <c r="E354" i="11"/>
  <c r="D354" i="11"/>
  <c r="C354" i="11"/>
  <c r="AA353" i="11"/>
  <c r="Z353" i="11"/>
  <c r="Y353" i="11"/>
  <c r="W353" i="11"/>
  <c r="V353" i="11"/>
  <c r="U353" i="11"/>
  <c r="T353" i="11"/>
  <c r="S353" i="11"/>
  <c r="R353" i="11"/>
  <c r="P353" i="11"/>
  <c r="O353" i="11"/>
  <c r="N353" i="11"/>
  <c r="L353" i="11"/>
  <c r="K353" i="11"/>
  <c r="J353" i="11"/>
  <c r="I353" i="11"/>
  <c r="H353" i="11"/>
  <c r="G353" i="11"/>
  <c r="F353" i="11"/>
  <c r="E353" i="11"/>
  <c r="D353" i="11"/>
  <c r="C353" i="11"/>
  <c r="AA352" i="11"/>
  <c r="Z352" i="11"/>
  <c r="Y352" i="11"/>
  <c r="W352" i="11"/>
  <c r="V352" i="11"/>
  <c r="U352" i="11"/>
  <c r="T352" i="11"/>
  <c r="S352" i="11"/>
  <c r="R352" i="11"/>
  <c r="P352" i="11"/>
  <c r="O352" i="11"/>
  <c r="N352" i="11"/>
  <c r="L352" i="11"/>
  <c r="K352" i="11"/>
  <c r="J352" i="11"/>
  <c r="I352" i="11"/>
  <c r="H352" i="11"/>
  <c r="G352" i="11"/>
  <c r="F352" i="11"/>
  <c r="E352" i="11"/>
  <c r="D352" i="11"/>
  <c r="C352" i="11"/>
  <c r="AA351" i="11"/>
  <c r="Z351" i="11"/>
  <c r="Y351" i="11"/>
  <c r="W351" i="11"/>
  <c r="V351" i="11"/>
  <c r="U351" i="11"/>
  <c r="T351" i="11"/>
  <c r="S351" i="11"/>
  <c r="R351" i="11"/>
  <c r="P351" i="11"/>
  <c r="O351" i="11"/>
  <c r="N351" i="11"/>
  <c r="L351" i="11"/>
  <c r="K351" i="11"/>
  <c r="J351" i="11"/>
  <c r="I351" i="11"/>
  <c r="H351" i="11"/>
  <c r="G351" i="11"/>
  <c r="F351" i="11"/>
  <c r="E351" i="11"/>
  <c r="D351" i="11"/>
  <c r="C351" i="11"/>
  <c r="AA350" i="11"/>
  <c r="Z350" i="11"/>
  <c r="Y350" i="11"/>
  <c r="W350" i="11"/>
  <c r="V350" i="11"/>
  <c r="U350" i="11"/>
  <c r="T350" i="11"/>
  <c r="S350" i="11"/>
  <c r="R350" i="11"/>
  <c r="P350" i="11"/>
  <c r="O350" i="11"/>
  <c r="N350" i="11"/>
  <c r="L350" i="11"/>
  <c r="K350" i="11"/>
  <c r="J350" i="11"/>
  <c r="I350" i="11"/>
  <c r="H350" i="11"/>
  <c r="G350" i="11"/>
  <c r="F350" i="11"/>
  <c r="E350" i="11"/>
  <c r="D350" i="11"/>
  <c r="C350" i="11"/>
  <c r="AA349" i="11"/>
  <c r="Z349" i="11"/>
  <c r="Y349" i="11"/>
  <c r="W349" i="11"/>
  <c r="V349" i="11"/>
  <c r="U349" i="11"/>
  <c r="T349" i="11"/>
  <c r="S349" i="11"/>
  <c r="R349" i="11"/>
  <c r="P349" i="11"/>
  <c r="O349" i="11"/>
  <c r="N349" i="11"/>
  <c r="L349" i="11"/>
  <c r="K349" i="11"/>
  <c r="J349" i="11"/>
  <c r="I349" i="11"/>
  <c r="H349" i="11"/>
  <c r="G349" i="11"/>
  <c r="F349" i="11"/>
  <c r="E349" i="11"/>
  <c r="D349" i="11"/>
  <c r="C349" i="11"/>
  <c r="AA348" i="11"/>
  <c r="Z348" i="11"/>
  <c r="Y348" i="11"/>
  <c r="W348" i="11"/>
  <c r="V348" i="11"/>
  <c r="U348" i="11"/>
  <c r="T348" i="11"/>
  <c r="S348" i="11"/>
  <c r="R348" i="11"/>
  <c r="P348" i="11"/>
  <c r="O348" i="11"/>
  <c r="N348" i="11"/>
  <c r="L348" i="11"/>
  <c r="K348" i="11"/>
  <c r="J348" i="11"/>
  <c r="I348" i="11"/>
  <c r="H348" i="11"/>
  <c r="G348" i="11"/>
  <c r="F348" i="11"/>
  <c r="E348" i="11"/>
  <c r="D348" i="11"/>
  <c r="C348" i="11"/>
  <c r="AA347" i="11"/>
  <c r="Z347" i="11"/>
  <c r="Y347" i="11"/>
  <c r="W347" i="11"/>
  <c r="V347" i="11"/>
  <c r="U347" i="11"/>
  <c r="T347" i="11"/>
  <c r="S347" i="11"/>
  <c r="R347" i="11"/>
  <c r="P347" i="11"/>
  <c r="O347" i="11"/>
  <c r="N347" i="11"/>
  <c r="L347" i="11"/>
  <c r="K347" i="11"/>
  <c r="J347" i="11"/>
  <c r="I347" i="11"/>
  <c r="H347" i="11"/>
  <c r="G347" i="11"/>
  <c r="F347" i="11"/>
  <c r="E347" i="11"/>
  <c r="D347" i="11"/>
  <c r="C347" i="11"/>
  <c r="AA346" i="11"/>
  <c r="Z346" i="11"/>
  <c r="Y346" i="11"/>
  <c r="W346" i="11"/>
  <c r="V346" i="11"/>
  <c r="U346" i="11"/>
  <c r="T346" i="11"/>
  <c r="S346" i="11"/>
  <c r="R346" i="11"/>
  <c r="P346" i="11"/>
  <c r="O346" i="11"/>
  <c r="N346" i="11"/>
  <c r="L346" i="11"/>
  <c r="K346" i="11"/>
  <c r="J346" i="11"/>
  <c r="I346" i="11"/>
  <c r="H346" i="11"/>
  <c r="G346" i="11"/>
  <c r="F346" i="11"/>
  <c r="E346" i="11"/>
  <c r="D346" i="11"/>
  <c r="C346" i="11"/>
  <c r="AA345" i="11"/>
  <c r="Z345" i="11"/>
  <c r="Y345" i="11"/>
  <c r="W345" i="11"/>
  <c r="V345" i="11"/>
  <c r="U345" i="11"/>
  <c r="T345" i="11"/>
  <c r="S345" i="11"/>
  <c r="R345" i="11"/>
  <c r="P345" i="11"/>
  <c r="O345" i="11"/>
  <c r="N345" i="11"/>
  <c r="L345" i="11"/>
  <c r="K345" i="11"/>
  <c r="J345" i="11"/>
  <c r="I345" i="11"/>
  <c r="H345" i="11"/>
  <c r="G345" i="11"/>
  <c r="F345" i="11"/>
  <c r="E345" i="11"/>
  <c r="D345" i="11"/>
  <c r="C345" i="11"/>
  <c r="AA344" i="11"/>
  <c r="Z344" i="11"/>
  <c r="Y344" i="11"/>
  <c r="W344" i="11"/>
  <c r="V344" i="11"/>
  <c r="U344" i="11"/>
  <c r="T344" i="11"/>
  <c r="S344" i="11"/>
  <c r="R344" i="11"/>
  <c r="P344" i="11"/>
  <c r="O344" i="11"/>
  <c r="N344" i="11"/>
  <c r="L344" i="11"/>
  <c r="K344" i="11"/>
  <c r="J344" i="11"/>
  <c r="I344" i="11"/>
  <c r="H344" i="11"/>
  <c r="G344" i="11"/>
  <c r="F344" i="11"/>
  <c r="E344" i="11"/>
  <c r="D344" i="11"/>
  <c r="C344" i="11"/>
  <c r="AA343" i="11"/>
  <c r="Z343" i="11"/>
  <c r="Y343" i="11"/>
  <c r="W343" i="11"/>
  <c r="V343" i="11"/>
  <c r="U343" i="11"/>
  <c r="T343" i="11"/>
  <c r="S343" i="11"/>
  <c r="R343" i="11"/>
  <c r="P343" i="11"/>
  <c r="O343" i="11"/>
  <c r="N343" i="11"/>
  <c r="L343" i="11"/>
  <c r="K343" i="11"/>
  <c r="J343" i="11"/>
  <c r="I343" i="11"/>
  <c r="H343" i="11"/>
  <c r="G343" i="11"/>
  <c r="F343" i="11"/>
  <c r="E343" i="11"/>
  <c r="D343" i="11"/>
  <c r="C343" i="11"/>
  <c r="AA342" i="11"/>
  <c r="Z342" i="11"/>
  <c r="Y342" i="11"/>
  <c r="W342" i="11"/>
  <c r="V342" i="11"/>
  <c r="U342" i="11"/>
  <c r="T342" i="11"/>
  <c r="S342" i="11"/>
  <c r="R342" i="11"/>
  <c r="P342" i="11"/>
  <c r="O342" i="11"/>
  <c r="N342" i="11"/>
  <c r="L342" i="11"/>
  <c r="K342" i="11"/>
  <c r="J342" i="11"/>
  <c r="I342" i="11"/>
  <c r="H342" i="11"/>
  <c r="G342" i="11"/>
  <c r="F342" i="11"/>
  <c r="E342" i="11"/>
  <c r="D342" i="11"/>
  <c r="C342" i="11"/>
  <c r="AA341" i="11"/>
  <c r="Z341" i="11"/>
  <c r="Y341" i="11"/>
  <c r="W341" i="11"/>
  <c r="V341" i="11"/>
  <c r="U341" i="11"/>
  <c r="T341" i="11"/>
  <c r="S341" i="11"/>
  <c r="R341" i="11"/>
  <c r="P341" i="11"/>
  <c r="O341" i="11"/>
  <c r="N341" i="11"/>
  <c r="L341" i="11"/>
  <c r="K341" i="11"/>
  <c r="J341" i="11"/>
  <c r="I341" i="11"/>
  <c r="H341" i="11"/>
  <c r="G341" i="11"/>
  <c r="F341" i="11"/>
  <c r="E341" i="11"/>
  <c r="D341" i="11"/>
  <c r="C341" i="11"/>
  <c r="AA340" i="11"/>
  <c r="Z340" i="11"/>
  <c r="Y340" i="11"/>
  <c r="W340" i="11"/>
  <c r="V340" i="11"/>
  <c r="U340" i="11"/>
  <c r="T340" i="11"/>
  <c r="S340" i="11"/>
  <c r="R340" i="11"/>
  <c r="P340" i="11"/>
  <c r="O340" i="11"/>
  <c r="N340" i="11"/>
  <c r="L340" i="11"/>
  <c r="K340" i="11"/>
  <c r="J340" i="11"/>
  <c r="I340" i="11"/>
  <c r="H340" i="11"/>
  <c r="G340" i="11"/>
  <c r="F340" i="11"/>
  <c r="E340" i="11"/>
  <c r="D340" i="11"/>
  <c r="C340" i="11"/>
  <c r="AA339" i="11"/>
  <c r="Z339" i="11"/>
  <c r="Y339" i="11"/>
  <c r="W339" i="11"/>
  <c r="V339" i="11"/>
  <c r="U339" i="11"/>
  <c r="T339" i="11"/>
  <c r="S339" i="11"/>
  <c r="R339" i="11"/>
  <c r="P339" i="11"/>
  <c r="O339" i="11"/>
  <c r="N339" i="11"/>
  <c r="L339" i="11"/>
  <c r="K339" i="11"/>
  <c r="J339" i="11"/>
  <c r="I339" i="11"/>
  <c r="H339" i="11"/>
  <c r="G339" i="11"/>
  <c r="F339" i="11"/>
  <c r="E339" i="11"/>
  <c r="D339" i="11"/>
  <c r="C339" i="11"/>
  <c r="AA338" i="11"/>
  <c r="Z338" i="11"/>
  <c r="Y338" i="11"/>
  <c r="W338" i="11"/>
  <c r="V338" i="11"/>
  <c r="U338" i="11"/>
  <c r="T338" i="11"/>
  <c r="S338" i="11"/>
  <c r="R338" i="11"/>
  <c r="P338" i="11"/>
  <c r="O338" i="11"/>
  <c r="N338" i="11"/>
  <c r="L338" i="11"/>
  <c r="K338" i="11"/>
  <c r="J338" i="11"/>
  <c r="I338" i="11"/>
  <c r="H338" i="11"/>
  <c r="G338" i="11"/>
  <c r="F338" i="11"/>
  <c r="E338" i="11"/>
  <c r="D338" i="11"/>
  <c r="C338" i="11"/>
  <c r="AA337" i="11"/>
  <c r="Z337" i="11"/>
  <c r="Y337" i="11"/>
  <c r="W337" i="11"/>
  <c r="V337" i="11"/>
  <c r="U337" i="11"/>
  <c r="T337" i="11"/>
  <c r="S337" i="11"/>
  <c r="R337" i="11"/>
  <c r="P337" i="11"/>
  <c r="O337" i="11"/>
  <c r="N337" i="11"/>
  <c r="L337" i="11"/>
  <c r="K337" i="11"/>
  <c r="J337" i="11"/>
  <c r="I337" i="11"/>
  <c r="H337" i="11"/>
  <c r="G337" i="11"/>
  <c r="F337" i="11"/>
  <c r="E337" i="11"/>
  <c r="D337" i="11"/>
  <c r="C337" i="11"/>
  <c r="AA336" i="11"/>
  <c r="Z336" i="11"/>
  <c r="Y336" i="11"/>
  <c r="W336" i="11"/>
  <c r="V336" i="11"/>
  <c r="U336" i="11"/>
  <c r="T336" i="11"/>
  <c r="S336" i="11"/>
  <c r="R336" i="11"/>
  <c r="P336" i="11"/>
  <c r="O336" i="11"/>
  <c r="N336" i="11"/>
  <c r="L336" i="11"/>
  <c r="K336" i="11"/>
  <c r="J336" i="11"/>
  <c r="I336" i="11"/>
  <c r="H336" i="11"/>
  <c r="G336" i="11"/>
  <c r="F336" i="11"/>
  <c r="E336" i="11"/>
  <c r="D336" i="11"/>
  <c r="C336" i="11"/>
  <c r="AA335" i="11"/>
  <c r="Z335" i="11"/>
  <c r="Y335" i="11"/>
  <c r="W335" i="11"/>
  <c r="V335" i="11"/>
  <c r="U335" i="11"/>
  <c r="T335" i="11"/>
  <c r="S335" i="11"/>
  <c r="R335" i="11"/>
  <c r="P335" i="11"/>
  <c r="O335" i="11"/>
  <c r="N335" i="11"/>
  <c r="L335" i="11"/>
  <c r="K335" i="11"/>
  <c r="J335" i="11"/>
  <c r="I335" i="11"/>
  <c r="H335" i="11"/>
  <c r="G335" i="11"/>
  <c r="F335" i="11"/>
  <c r="E335" i="11"/>
  <c r="D335" i="11"/>
  <c r="C335" i="11"/>
  <c r="AA334" i="11"/>
  <c r="Z334" i="11"/>
  <c r="Y334" i="11"/>
  <c r="W334" i="11"/>
  <c r="V334" i="11"/>
  <c r="U334" i="11"/>
  <c r="T334" i="11"/>
  <c r="S334" i="11"/>
  <c r="R334" i="11"/>
  <c r="P334" i="11"/>
  <c r="O334" i="11"/>
  <c r="N334" i="11"/>
  <c r="L334" i="11"/>
  <c r="K334" i="11"/>
  <c r="J334" i="11"/>
  <c r="I334" i="11"/>
  <c r="H334" i="11"/>
  <c r="G334" i="11"/>
  <c r="F334" i="11"/>
  <c r="E334" i="11"/>
  <c r="D334" i="11"/>
  <c r="C334" i="11"/>
  <c r="AA333" i="11"/>
  <c r="Z333" i="11"/>
  <c r="Y333" i="11"/>
  <c r="W333" i="11"/>
  <c r="V333" i="11"/>
  <c r="U333" i="11"/>
  <c r="T333" i="11"/>
  <c r="S333" i="11"/>
  <c r="R333" i="11"/>
  <c r="P333" i="11"/>
  <c r="O333" i="11"/>
  <c r="N333" i="11"/>
  <c r="L333" i="11"/>
  <c r="K333" i="11"/>
  <c r="J333" i="11"/>
  <c r="I333" i="11"/>
  <c r="H333" i="11"/>
  <c r="G333" i="11"/>
  <c r="F333" i="11"/>
  <c r="E333" i="11"/>
  <c r="D333" i="11"/>
  <c r="C333" i="11"/>
  <c r="AA332" i="11"/>
  <c r="Z332" i="11"/>
  <c r="Y332" i="11"/>
  <c r="W332" i="11"/>
  <c r="V332" i="11"/>
  <c r="U332" i="11"/>
  <c r="T332" i="11"/>
  <c r="S332" i="11"/>
  <c r="R332" i="11"/>
  <c r="P332" i="11"/>
  <c r="O332" i="11"/>
  <c r="N332" i="11"/>
  <c r="L332" i="11"/>
  <c r="K332" i="11"/>
  <c r="J332" i="11"/>
  <c r="I332" i="11"/>
  <c r="H332" i="11"/>
  <c r="G332" i="11"/>
  <c r="F332" i="11"/>
  <c r="E332" i="11"/>
  <c r="D332" i="11"/>
  <c r="C332" i="11"/>
  <c r="AA331" i="11"/>
  <c r="Z331" i="11"/>
  <c r="Y331" i="11"/>
  <c r="W331" i="11"/>
  <c r="V331" i="11"/>
  <c r="U331" i="11"/>
  <c r="T331" i="11"/>
  <c r="S331" i="11"/>
  <c r="R331" i="11"/>
  <c r="P331" i="11"/>
  <c r="O331" i="11"/>
  <c r="N331" i="11"/>
  <c r="L331" i="11"/>
  <c r="K331" i="11"/>
  <c r="J331" i="11"/>
  <c r="I331" i="11"/>
  <c r="H331" i="11"/>
  <c r="G331" i="11"/>
  <c r="F331" i="11"/>
  <c r="E331" i="11"/>
  <c r="D331" i="11"/>
  <c r="C331" i="11"/>
  <c r="AA330" i="11"/>
  <c r="Z330" i="11"/>
  <c r="Y330" i="11"/>
  <c r="W330" i="11"/>
  <c r="V330" i="11"/>
  <c r="U330" i="11"/>
  <c r="T330" i="11"/>
  <c r="S330" i="11"/>
  <c r="R330" i="11"/>
  <c r="P330" i="11"/>
  <c r="O330" i="11"/>
  <c r="N330" i="11"/>
  <c r="L330" i="11"/>
  <c r="K330" i="11"/>
  <c r="J330" i="11"/>
  <c r="I330" i="11"/>
  <c r="H330" i="11"/>
  <c r="G330" i="11"/>
  <c r="F330" i="11"/>
  <c r="E330" i="11"/>
  <c r="D330" i="11"/>
  <c r="C330" i="11"/>
  <c r="AA329" i="11"/>
  <c r="Z329" i="11"/>
  <c r="Y329" i="11"/>
  <c r="W329" i="11"/>
  <c r="V329" i="11"/>
  <c r="U329" i="11"/>
  <c r="T329" i="11"/>
  <c r="S329" i="11"/>
  <c r="R329" i="11"/>
  <c r="P329" i="11"/>
  <c r="O329" i="11"/>
  <c r="N329" i="11"/>
  <c r="L329" i="11"/>
  <c r="K329" i="11"/>
  <c r="J329" i="11"/>
  <c r="I329" i="11"/>
  <c r="H329" i="11"/>
  <c r="G329" i="11"/>
  <c r="F329" i="11"/>
  <c r="E329" i="11"/>
  <c r="D329" i="11"/>
  <c r="C329" i="11"/>
  <c r="AA328" i="11"/>
  <c r="Z328" i="11"/>
  <c r="Y328" i="11"/>
  <c r="W328" i="11"/>
  <c r="V328" i="11"/>
  <c r="U328" i="11"/>
  <c r="T328" i="11"/>
  <c r="S328" i="11"/>
  <c r="R328" i="11"/>
  <c r="P328" i="11"/>
  <c r="O328" i="11"/>
  <c r="N328" i="11"/>
  <c r="L328" i="11"/>
  <c r="K328" i="11"/>
  <c r="J328" i="11"/>
  <c r="I328" i="11"/>
  <c r="H328" i="11"/>
  <c r="G328" i="11"/>
  <c r="F328" i="11"/>
  <c r="E328" i="11"/>
  <c r="D328" i="11"/>
  <c r="C328" i="11"/>
  <c r="AA327" i="11"/>
  <c r="Z327" i="11"/>
  <c r="Y327" i="11"/>
  <c r="W327" i="11"/>
  <c r="V327" i="11"/>
  <c r="U327" i="11"/>
  <c r="T327" i="11"/>
  <c r="S327" i="11"/>
  <c r="R327" i="11"/>
  <c r="P327" i="11"/>
  <c r="O327" i="11"/>
  <c r="N327" i="11"/>
  <c r="L327" i="11"/>
  <c r="K327" i="11"/>
  <c r="J327" i="11"/>
  <c r="I327" i="11"/>
  <c r="H327" i="11"/>
  <c r="G327" i="11"/>
  <c r="F327" i="11"/>
  <c r="E327" i="11"/>
  <c r="D327" i="11"/>
  <c r="C327" i="11"/>
  <c r="AA326" i="11"/>
  <c r="Z326" i="11"/>
  <c r="Y326" i="11"/>
  <c r="W326" i="11"/>
  <c r="V326" i="11"/>
  <c r="U326" i="11"/>
  <c r="T326" i="11"/>
  <c r="S326" i="11"/>
  <c r="R326" i="11"/>
  <c r="P326" i="11"/>
  <c r="O326" i="11"/>
  <c r="N326" i="11"/>
  <c r="L326" i="11"/>
  <c r="K326" i="11"/>
  <c r="J326" i="11"/>
  <c r="I326" i="11"/>
  <c r="H326" i="11"/>
  <c r="G326" i="11"/>
  <c r="F326" i="11"/>
  <c r="E326" i="11"/>
  <c r="D326" i="11"/>
  <c r="C326" i="11"/>
  <c r="AA325" i="11"/>
  <c r="Z325" i="11"/>
  <c r="Y325" i="11"/>
  <c r="W325" i="11"/>
  <c r="V325" i="11"/>
  <c r="U325" i="11"/>
  <c r="T325" i="11"/>
  <c r="S325" i="11"/>
  <c r="R325" i="11"/>
  <c r="P325" i="11"/>
  <c r="O325" i="11"/>
  <c r="N325" i="11"/>
  <c r="L325" i="11"/>
  <c r="K325" i="11"/>
  <c r="J325" i="11"/>
  <c r="I325" i="11"/>
  <c r="H325" i="11"/>
  <c r="G325" i="11"/>
  <c r="F325" i="11"/>
  <c r="E325" i="11"/>
  <c r="D325" i="11"/>
  <c r="C325" i="11"/>
  <c r="AA324" i="11"/>
  <c r="Z324" i="11"/>
  <c r="Y324" i="11"/>
  <c r="W324" i="11"/>
  <c r="V324" i="11"/>
  <c r="U324" i="11"/>
  <c r="T324" i="11"/>
  <c r="S324" i="11"/>
  <c r="R324" i="11"/>
  <c r="P324" i="11"/>
  <c r="O324" i="11"/>
  <c r="N324" i="11"/>
  <c r="L324" i="11"/>
  <c r="K324" i="11"/>
  <c r="J324" i="11"/>
  <c r="I324" i="11"/>
  <c r="H324" i="11"/>
  <c r="G324" i="11"/>
  <c r="F324" i="11"/>
  <c r="E324" i="11"/>
  <c r="D324" i="11"/>
  <c r="C324" i="11"/>
  <c r="AA323" i="11"/>
  <c r="Z323" i="11"/>
  <c r="Y323" i="11"/>
  <c r="W323" i="11"/>
  <c r="V323" i="11"/>
  <c r="U323" i="11"/>
  <c r="T323" i="11"/>
  <c r="S323" i="11"/>
  <c r="R323" i="11"/>
  <c r="P323" i="11"/>
  <c r="O323" i="11"/>
  <c r="N323" i="11"/>
  <c r="L323" i="11"/>
  <c r="K323" i="11"/>
  <c r="J323" i="11"/>
  <c r="I323" i="11"/>
  <c r="H323" i="11"/>
  <c r="G323" i="11"/>
  <c r="F323" i="11"/>
  <c r="E323" i="11"/>
  <c r="D323" i="11"/>
  <c r="C323" i="11"/>
  <c r="AA322" i="11"/>
  <c r="Z322" i="11"/>
  <c r="Y322" i="11"/>
  <c r="W322" i="11"/>
  <c r="V322" i="11"/>
  <c r="U322" i="11"/>
  <c r="T322" i="11"/>
  <c r="S322" i="11"/>
  <c r="R322" i="11"/>
  <c r="P322" i="11"/>
  <c r="O322" i="11"/>
  <c r="N322" i="11"/>
  <c r="L322" i="11"/>
  <c r="K322" i="11"/>
  <c r="J322" i="11"/>
  <c r="I322" i="11"/>
  <c r="H322" i="11"/>
  <c r="G322" i="11"/>
  <c r="F322" i="11"/>
  <c r="E322" i="11"/>
  <c r="D322" i="11"/>
  <c r="C322" i="11"/>
  <c r="AA321" i="11"/>
  <c r="Z321" i="11"/>
  <c r="Y321" i="11"/>
  <c r="W321" i="11"/>
  <c r="V321" i="11"/>
  <c r="U321" i="11"/>
  <c r="T321" i="11"/>
  <c r="S321" i="11"/>
  <c r="R321" i="11"/>
  <c r="P321" i="11"/>
  <c r="O321" i="11"/>
  <c r="N321" i="11"/>
  <c r="L321" i="11"/>
  <c r="K321" i="11"/>
  <c r="J321" i="11"/>
  <c r="I321" i="11"/>
  <c r="H321" i="11"/>
  <c r="G321" i="11"/>
  <c r="F321" i="11"/>
  <c r="E321" i="11"/>
  <c r="D321" i="11"/>
  <c r="C321" i="11"/>
  <c r="AA320" i="11"/>
  <c r="Z320" i="11"/>
  <c r="Y320" i="11"/>
  <c r="W320" i="11"/>
  <c r="V320" i="11"/>
  <c r="U320" i="11"/>
  <c r="T320" i="11"/>
  <c r="S320" i="11"/>
  <c r="R320" i="11"/>
  <c r="P320" i="11"/>
  <c r="O320" i="11"/>
  <c r="N320" i="11"/>
  <c r="L320" i="11"/>
  <c r="K320" i="11"/>
  <c r="J320" i="11"/>
  <c r="I320" i="11"/>
  <c r="H320" i="11"/>
  <c r="G320" i="11"/>
  <c r="F320" i="11"/>
  <c r="E320" i="11"/>
  <c r="D320" i="11"/>
  <c r="C320" i="11"/>
  <c r="AA319" i="11"/>
  <c r="Z319" i="11"/>
  <c r="Y319" i="11"/>
  <c r="W319" i="11"/>
  <c r="V319" i="11"/>
  <c r="U319" i="11"/>
  <c r="T319" i="11"/>
  <c r="S319" i="11"/>
  <c r="R319" i="11"/>
  <c r="P319" i="11"/>
  <c r="O319" i="11"/>
  <c r="N319" i="11"/>
  <c r="L319" i="11"/>
  <c r="K319" i="11"/>
  <c r="J319" i="11"/>
  <c r="I319" i="11"/>
  <c r="H319" i="11"/>
  <c r="G319" i="11"/>
  <c r="F319" i="11"/>
  <c r="E319" i="11"/>
  <c r="D319" i="11"/>
  <c r="C319" i="11"/>
  <c r="AA318" i="11"/>
  <c r="Z318" i="11"/>
  <c r="Y318" i="11"/>
  <c r="W318" i="11"/>
  <c r="V318" i="11"/>
  <c r="U318" i="11"/>
  <c r="T318" i="11"/>
  <c r="S318" i="11"/>
  <c r="R318" i="11"/>
  <c r="P318" i="11"/>
  <c r="O318" i="11"/>
  <c r="N318" i="11"/>
  <c r="L318" i="11"/>
  <c r="K318" i="11"/>
  <c r="J318" i="11"/>
  <c r="I318" i="11"/>
  <c r="H318" i="11"/>
  <c r="G318" i="11"/>
  <c r="F318" i="11"/>
  <c r="E318" i="11"/>
  <c r="D318" i="11"/>
  <c r="C318" i="11"/>
  <c r="AA317" i="11"/>
  <c r="Z317" i="11"/>
  <c r="Y317" i="11"/>
  <c r="W317" i="11"/>
  <c r="V317" i="11"/>
  <c r="U317" i="11"/>
  <c r="T317" i="11"/>
  <c r="S317" i="11"/>
  <c r="R317" i="11"/>
  <c r="P317" i="11"/>
  <c r="O317" i="11"/>
  <c r="N317" i="11"/>
  <c r="L317" i="11"/>
  <c r="K317" i="11"/>
  <c r="J317" i="11"/>
  <c r="I317" i="11"/>
  <c r="H317" i="11"/>
  <c r="G317" i="11"/>
  <c r="F317" i="11"/>
  <c r="E317" i="11"/>
  <c r="D317" i="11"/>
  <c r="C317" i="11"/>
  <c r="AA316" i="11"/>
  <c r="Z316" i="11"/>
  <c r="Y316" i="11"/>
  <c r="W316" i="11"/>
  <c r="V316" i="11"/>
  <c r="U316" i="11"/>
  <c r="T316" i="11"/>
  <c r="S316" i="11"/>
  <c r="R316" i="11"/>
  <c r="P316" i="11"/>
  <c r="O316" i="11"/>
  <c r="N316" i="11"/>
  <c r="L316" i="11"/>
  <c r="K316" i="11"/>
  <c r="J316" i="11"/>
  <c r="I316" i="11"/>
  <c r="H316" i="11"/>
  <c r="G316" i="11"/>
  <c r="F316" i="11"/>
  <c r="E316" i="11"/>
  <c r="D316" i="11"/>
  <c r="C316" i="11"/>
  <c r="AA315" i="11"/>
  <c r="Z315" i="11"/>
  <c r="Y315" i="11"/>
  <c r="W315" i="11"/>
  <c r="V315" i="11"/>
  <c r="U315" i="11"/>
  <c r="T315" i="11"/>
  <c r="S315" i="11"/>
  <c r="R315" i="11"/>
  <c r="P315" i="11"/>
  <c r="O315" i="11"/>
  <c r="N315" i="11"/>
  <c r="L315" i="11"/>
  <c r="K315" i="11"/>
  <c r="J315" i="11"/>
  <c r="I315" i="11"/>
  <c r="H315" i="11"/>
  <c r="G315" i="11"/>
  <c r="F315" i="11"/>
  <c r="E315" i="11"/>
  <c r="D315" i="11"/>
  <c r="C315" i="11"/>
  <c r="AA314" i="11"/>
  <c r="Z314" i="11"/>
  <c r="Y314" i="11"/>
  <c r="W314" i="11"/>
  <c r="V314" i="11"/>
  <c r="U314" i="11"/>
  <c r="T314" i="11"/>
  <c r="S314" i="11"/>
  <c r="R314" i="11"/>
  <c r="P314" i="11"/>
  <c r="O314" i="11"/>
  <c r="N314" i="11"/>
  <c r="L314" i="11"/>
  <c r="K314" i="11"/>
  <c r="J314" i="11"/>
  <c r="I314" i="11"/>
  <c r="H314" i="11"/>
  <c r="G314" i="11"/>
  <c r="F314" i="11"/>
  <c r="E314" i="11"/>
  <c r="D314" i="11"/>
  <c r="C314" i="11"/>
  <c r="AA313" i="11"/>
  <c r="Z313" i="11"/>
  <c r="Y313" i="11"/>
  <c r="W313" i="11"/>
  <c r="V313" i="11"/>
  <c r="U313" i="11"/>
  <c r="T313" i="11"/>
  <c r="S313" i="11"/>
  <c r="R313" i="11"/>
  <c r="P313" i="11"/>
  <c r="O313" i="11"/>
  <c r="N313" i="11"/>
  <c r="L313" i="11"/>
  <c r="K313" i="11"/>
  <c r="J313" i="11"/>
  <c r="I313" i="11"/>
  <c r="H313" i="11"/>
  <c r="G313" i="11"/>
  <c r="F313" i="11"/>
  <c r="E313" i="11"/>
  <c r="D313" i="11"/>
  <c r="C313" i="11"/>
  <c r="AA312" i="11"/>
  <c r="Z312" i="11"/>
  <c r="Y312" i="11"/>
  <c r="W312" i="11"/>
  <c r="V312" i="11"/>
  <c r="U312" i="11"/>
  <c r="T312" i="11"/>
  <c r="S312" i="11"/>
  <c r="R312" i="11"/>
  <c r="P312" i="11"/>
  <c r="O312" i="11"/>
  <c r="N312" i="11"/>
  <c r="L312" i="11"/>
  <c r="K312" i="11"/>
  <c r="J312" i="11"/>
  <c r="I312" i="11"/>
  <c r="H312" i="11"/>
  <c r="G312" i="11"/>
  <c r="F312" i="11"/>
  <c r="E312" i="11"/>
  <c r="D312" i="11"/>
  <c r="C312" i="11"/>
  <c r="AA311" i="11"/>
  <c r="Z311" i="11"/>
  <c r="Y311" i="11"/>
  <c r="W311" i="11"/>
  <c r="V311" i="11"/>
  <c r="U311" i="11"/>
  <c r="T311" i="11"/>
  <c r="S311" i="11"/>
  <c r="R311" i="11"/>
  <c r="P311" i="11"/>
  <c r="O311" i="11"/>
  <c r="N311" i="11"/>
  <c r="L311" i="11"/>
  <c r="K311" i="11"/>
  <c r="J311" i="11"/>
  <c r="I311" i="11"/>
  <c r="H311" i="11"/>
  <c r="G311" i="11"/>
  <c r="F311" i="11"/>
  <c r="E311" i="11"/>
  <c r="D311" i="11"/>
  <c r="C311" i="11"/>
  <c r="AA310" i="11"/>
  <c r="Z310" i="11"/>
  <c r="Y310" i="11"/>
  <c r="W310" i="11"/>
  <c r="V310" i="11"/>
  <c r="U310" i="11"/>
  <c r="T310" i="11"/>
  <c r="S310" i="11"/>
  <c r="R310" i="11"/>
  <c r="P310" i="11"/>
  <c r="O310" i="11"/>
  <c r="N310" i="11"/>
  <c r="L310" i="11"/>
  <c r="K310" i="11"/>
  <c r="J310" i="11"/>
  <c r="I310" i="11"/>
  <c r="H310" i="11"/>
  <c r="G310" i="11"/>
  <c r="F310" i="11"/>
  <c r="E310" i="11"/>
  <c r="D310" i="11"/>
  <c r="C310" i="11"/>
  <c r="AA309" i="11"/>
  <c r="Z309" i="11"/>
  <c r="Y309" i="11"/>
  <c r="W309" i="11"/>
  <c r="V309" i="11"/>
  <c r="U309" i="11"/>
  <c r="T309" i="11"/>
  <c r="S309" i="11"/>
  <c r="R309" i="11"/>
  <c r="P309" i="11"/>
  <c r="O309" i="11"/>
  <c r="N309" i="11"/>
  <c r="L309" i="11"/>
  <c r="K309" i="11"/>
  <c r="J309" i="11"/>
  <c r="I309" i="11"/>
  <c r="H309" i="11"/>
  <c r="G309" i="11"/>
  <c r="F309" i="11"/>
  <c r="E309" i="11"/>
  <c r="D309" i="11"/>
  <c r="C309" i="11"/>
  <c r="AA308" i="11"/>
  <c r="Z308" i="11"/>
  <c r="Y308" i="11"/>
  <c r="W308" i="11"/>
  <c r="V308" i="11"/>
  <c r="U308" i="11"/>
  <c r="T308" i="11"/>
  <c r="S308" i="11"/>
  <c r="R308" i="11"/>
  <c r="P308" i="11"/>
  <c r="O308" i="11"/>
  <c r="N308" i="11"/>
  <c r="L308" i="11"/>
  <c r="K308" i="11"/>
  <c r="J308" i="11"/>
  <c r="I308" i="11"/>
  <c r="H308" i="11"/>
  <c r="G308" i="11"/>
  <c r="F308" i="11"/>
  <c r="E308" i="11"/>
  <c r="D308" i="11"/>
  <c r="C308" i="11"/>
  <c r="AA307" i="11"/>
  <c r="Z307" i="11"/>
  <c r="Y307" i="11"/>
  <c r="W307" i="11"/>
  <c r="V307" i="11"/>
  <c r="U307" i="11"/>
  <c r="T307" i="11"/>
  <c r="S307" i="11"/>
  <c r="R307" i="11"/>
  <c r="P307" i="11"/>
  <c r="O307" i="11"/>
  <c r="N307" i="11"/>
  <c r="L307" i="11"/>
  <c r="K307" i="11"/>
  <c r="J307" i="11"/>
  <c r="I307" i="11"/>
  <c r="H307" i="11"/>
  <c r="G307" i="11"/>
  <c r="F307" i="11"/>
  <c r="E307" i="11"/>
  <c r="D307" i="11"/>
  <c r="C307" i="11"/>
  <c r="AA306" i="11"/>
  <c r="Z306" i="11"/>
  <c r="Y306" i="11"/>
  <c r="W306" i="11"/>
  <c r="V306" i="11"/>
  <c r="U306" i="11"/>
  <c r="T306" i="11"/>
  <c r="S306" i="11"/>
  <c r="R306" i="11"/>
  <c r="P306" i="11"/>
  <c r="O306" i="11"/>
  <c r="N306" i="11"/>
  <c r="L306" i="11"/>
  <c r="K306" i="11"/>
  <c r="J306" i="11"/>
  <c r="I306" i="11"/>
  <c r="H306" i="11"/>
  <c r="G306" i="11"/>
  <c r="F306" i="11"/>
  <c r="E306" i="11"/>
  <c r="D306" i="11"/>
  <c r="C306" i="11"/>
  <c r="AA305" i="11"/>
  <c r="Z305" i="11"/>
  <c r="Y305" i="11"/>
  <c r="W305" i="11"/>
  <c r="V305" i="11"/>
  <c r="U305" i="11"/>
  <c r="T305" i="11"/>
  <c r="S305" i="11"/>
  <c r="R305" i="11"/>
  <c r="P305" i="11"/>
  <c r="O305" i="11"/>
  <c r="N305" i="11"/>
  <c r="L305" i="11"/>
  <c r="K305" i="11"/>
  <c r="J305" i="11"/>
  <c r="I305" i="11"/>
  <c r="H305" i="11"/>
  <c r="G305" i="11"/>
  <c r="F305" i="11"/>
  <c r="E305" i="11"/>
  <c r="D305" i="11"/>
  <c r="C305" i="11"/>
  <c r="AA304" i="11"/>
  <c r="Z304" i="11"/>
  <c r="Y304" i="11"/>
  <c r="W304" i="11"/>
  <c r="V304" i="11"/>
  <c r="U304" i="11"/>
  <c r="T304" i="11"/>
  <c r="S304" i="11"/>
  <c r="R304" i="11"/>
  <c r="P304" i="11"/>
  <c r="O304" i="11"/>
  <c r="N304" i="11"/>
  <c r="L304" i="11"/>
  <c r="K304" i="11"/>
  <c r="J304" i="11"/>
  <c r="I304" i="11"/>
  <c r="H304" i="11"/>
  <c r="G304" i="11"/>
  <c r="F304" i="11"/>
  <c r="E304" i="11"/>
  <c r="D304" i="11"/>
  <c r="C304" i="11"/>
  <c r="AA303" i="11"/>
  <c r="Z303" i="11"/>
  <c r="Y303" i="11"/>
  <c r="W303" i="11"/>
  <c r="V303" i="11"/>
  <c r="U303" i="11"/>
  <c r="T303" i="11"/>
  <c r="S303" i="11"/>
  <c r="R303" i="11"/>
  <c r="P303" i="11"/>
  <c r="O303" i="11"/>
  <c r="N303" i="11"/>
  <c r="L303" i="11"/>
  <c r="K303" i="11"/>
  <c r="J303" i="11"/>
  <c r="I303" i="11"/>
  <c r="H303" i="11"/>
  <c r="G303" i="11"/>
  <c r="F303" i="11"/>
  <c r="E303" i="11"/>
  <c r="D303" i="11"/>
  <c r="C303" i="11"/>
  <c r="AA302" i="11"/>
  <c r="Z302" i="11"/>
  <c r="Y302" i="11"/>
  <c r="W302" i="11"/>
  <c r="V302" i="11"/>
  <c r="U302" i="11"/>
  <c r="T302" i="11"/>
  <c r="S302" i="11"/>
  <c r="R302" i="11"/>
  <c r="P302" i="11"/>
  <c r="O302" i="11"/>
  <c r="N302" i="11"/>
  <c r="L302" i="11"/>
  <c r="K302" i="11"/>
  <c r="J302" i="11"/>
  <c r="I302" i="11"/>
  <c r="H302" i="11"/>
  <c r="G302" i="11"/>
  <c r="F302" i="11"/>
  <c r="E302" i="11"/>
  <c r="D302" i="11"/>
  <c r="C302" i="11"/>
  <c r="AA301" i="11"/>
  <c r="Z301" i="11"/>
  <c r="Y301" i="11"/>
  <c r="W301" i="11"/>
  <c r="V301" i="11"/>
  <c r="U301" i="11"/>
  <c r="T301" i="11"/>
  <c r="S301" i="11"/>
  <c r="R301" i="11"/>
  <c r="P301" i="11"/>
  <c r="O301" i="11"/>
  <c r="N301" i="11"/>
  <c r="L301" i="11"/>
  <c r="K301" i="11"/>
  <c r="J301" i="11"/>
  <c r="I301" i="11"/>
  <c r="H301" i="11"/>
  <c r="G301" i="11"/>
  <c r="F301" i="11"/>
  <c r="E301" i="11"/>
  <c r="D301" i="11"/>
  <c r="C301" i="11"/>
  <c r="AA300" i="11"/>
  <c r="Z300" i="11"/>
  <c r="Y300" i="11"/>
  <c r="W300" i="11"/>
  <c r="V300" i="11"/>
  <c r="U300" i="11"/>
  <c r="T300" i="11"/>
  <c r="S300" i="11"/>
  <c r="R300" i="11"/>
  <c r="P300" i="11"/>
  <c r="O300" i="11"/>
  <c r="N300" i="11"/>
  <c r="L300" i="11"/>
  <c r="K300" i="11"/>
  <c r="J300" i="11"/>
  <c r="I300" i="11"/>
  <c r="H300" i="11"/>
  <c r="G300" i="11"/>
  <c r="F300" i="11"/>
  <c r="E300" i="11"/>
  <c r="D300" i="11"/>
  <c r="C300" i="11"/>
  <c r="AA299" i="11"/>
  <c r="Z299" i="11"/>
  <c r="Y299" i="11"/>
  <c r="W299" i="11"/>
  <c r="V299" i="11"/>
  <c r="U299" i="11"/>
  <c r="T299" i="11"/>
  <c r="S299" i="11"/>
  <c r="R299" i="11"/>
  <c r="P299" i="11"/>
  <c r="O299" i="11"/>
  <c r="N299" i="11"/>
  <c r="L299" i="11"/>
  <c r="K299" i="11"/>
  <c r="J299" i="11"/>
  <c r="I299" i="11"/>
  <c r="H299" i="11"/>
  <c r="G299" i="11"/>
  <c r="F299" i="11"/>
  <c r="E299" i="11"/>
  <c r="D299" i="11"/>
  <c r="C299" i="11"/>
  <c r="AA298" i="11"/>
  <c r="Z298" i="11"/>
  <c r="Y298" i="11"/>
  <c r="W298" i="11"/>
  <c r="V298" i="11"/>
  <c r="U298" i="11"/>
  <c r="T298" i="11"/>
  <c r="S298" i="11"/>
  <c r="R298" i="11"/>
  <c r="P298" i="11"/>
  <c r="O298" i="11"/>
  <c r="N298" i="11"/>
  <c r="L298" i="11"/>
  <c r="K298" i="11"/>
  <c r="J298" i="11"/>
  <c r="I298" i="11"/>
  <c r="H298" i="11"/>
  <c r="G298" i="11"/>
  <c r="F298" i="11"/>
  <c r="E298" i="11"/>
  <c r="D298" i="11"/>
  <c r="C298" i="11"/>
  <c r="AA297" i="11"/>
  <c r="Z297" i="11"/>
  <c r="Y297" i="11"/>
  <c r="W297" i="11"/>
  <c r="V297" i="11"/>
  <c r="U297" i="11"/>
  <c r="T297" i="11"/>
  <c r="S297" i="11"/>
  <c r="R297" i="11"/>
  <c r="P297" i="11"/>
  <c r="O297" i="11"/>
  <c r="N297" i="11"/>
  <c r="L297" i="11"/>
  <c r="K297" i="11"/>
  <c r="J297" i="11"/>
  <c r="I297" i="11"/>
  <c r="H297" i="11"/>
  <c r="G297" i="11"/>
  <c r="F297" i="11"/>
  <c r="E297" i="11"/>
  <c r="D297" i="11"/>
  <c r="C297" i="11"/>
  <c r="AA296" i="11"/>
  <c r="Z296" i="11"/>
  <c r="Y296" i="11"/>
  <c r="W296" i="11"/>
  <c r="V296" i="11"/>
  <c r="U296" i="11"/>
  <c r="T296" i="11"/>
  <c r="S296" i="11"/>
  <c r="R296" i="11"/>
  <c r="P296" i="11"/>
  <c r="O296" i="11"/>
  <c r="N296" i="11"/>
  <c r="L296" i="11"/>
  <c r="K296" i="11"/>
  <c r="J296" i="11"/>
  <c r="I296" i="11"/>
  <c r="H296" i="11"/>
  <c r="G296" i="11"/>
  <c r="F296" i="11"/>
  <c r="E296" i="11"/>
  <c r="D296" i="11"/>
  <c r="C296" i="11"/>
  <c r="AA295" i="11"/>
  <c r="Z295" i="11"/>
  <c r="Y295" i="11"/>
  <c r="W295" i="11"/>
  <c r="V295" i="11"/>
  <c r="U295" i="11"/>
  <c r="T295" i="11"/>
  <c r="S295" i="11"/>
  <c r="R295" i="11"/>
  <c r="P295" i="11"/>
  <c r="O295" i="11"/>
  <c r="N295" i="11"/>
  <c r="L295" i="11"/>
  <c r="K295" i="11"/>
  <c r="J295" i="11"/>
  <c r="I295" i="11"/>
  <c r="H295" i="11"/>
  <c r="G295" i="11"/>
  <c r="F295" i="11"/>
  <c r="E295" i="11"/>
  <c r="D295" i="11"/>
  <c r="C295" i="11"/>
  <c r="AA294" i="11"/>
  <c r="Z294" i="11"/>
  <c r="Y294" i="11"/>
  <c r="W294" i="11"/>
  <c r="V294" i="11"/>
  <c r="U294" i="11"/>
  <c r="T294" i="11"/>
  <c r="S294" i="11"/>
  <c r="R294" i="11"/>
  <c r="P294" i="11"/>
  <c r="O294" i="11"/>
  <c r="N294" i="11"/>
  <c r="L294" i="11"/>
  <c r="K294" i="11"/>
  <c r="J294" i="11"/>
  <c r="I294" i="11"/>
  <c r="H294" i="11"/>
  <c r="G294" i="11"/>
  <c r="F294" i="11"/>
  <c r="E294" i="11"/>
  <c r="D294" i="11"/>
  <c r="C294" i="11"/>
  <c r="AA293" i="11"/>
  <c r="Z293" i="11"/>
  <c r="Y293" i="11"/>
  <c r="W293" i="11"/>
  <c r="V293" i="11"/>
  <c r="U293" i="11"/>
  <c r="T293" i="11"/>
  <c r="S293" i="11"/>
  <c r="R293" i="11"/>
  <c r="P293" i="11"/>
  <c r="O293" i="11"/>
  <c r="N293" i="11"/>
  <c r="L293" i="11"/>
  <c r="K293" i="11"/>
  <c r="J293" i="11"/>
  <c r="I293" i="11"/>
  <c r="H293" i="11"/>
  <c r="G293" i="11"/>
  <c r="F293" i="11"/>
  <c r="E293" i="11"/>
  <c r="D293" i="11"/>
  <c r="C293" i="11"/>
  <c r="AA292" i="11"/>
  <c r="Z292" i="11"/>
  <c r="Y292" i="11"/>
  <c r="W292" i="11"/>
  <c r="V292" i="11"/>
  <c r="U292" i="11"/>
  <c r="T292" i="11"/>
  <c r="S292" i="11"/>
  <c r="R292" i="11"/>
  <c r="P292" i="11"/>
  <c r="O292" i="11"/>
  <c r="N292" i="11"/>
  <c r="L292" i="11"/>
  <c r="K292" i="11"/>
  <c r="J292" i="11"/>
  <c r="I292" i="11"/>
  <c r="H292" i="11"/>
  <c r="G292" i="11"/>
  <c r="F292" i="11"/>
  <c r="E292" i="11"/>
  <c r="D292" i="11"/>
  <c r="C292" i="11"/>
  <c r="AA291" i="11"/>
  <c r="Z291" i="11"/>
  <c r="Y291" i="11"/>
  <c r="W291" i="11"/>
  <c r="V291" i="11"/>
  <c r="U291" i="11"/>
  <c r="T291" i="11"/>
  <c r="S291" i="11"/>
  <c r="R291" i="11"/>
  <c r="P291" i="11"/>
  <c r="O291" i="11"/>
  <c r="N291" i="11"/>
  <c r="L291" i="11"/>
  <c r="K291" i="11"/>
  <c r="J291" i="11"/>
  <c r="I291" i="11"/>
  <c r="H291" i="11"/>
  <c r="G291" i="11"/>
  <c r="F291" i="11"/>
  <c r="E291" i="11"/>
  <c r="D291" i="11"/>
  <c r="C291" i="11"/>
  <c r="AA290" i="11"/>
  <c r="Z290" i="11"/>
  <c r="Y290" i="11"/>
  <c r="W290" i="11"/>
  <c r="V290" i="11"/>
  <c r="U290" i="11"/>
  <c r="T290" i="11"/>
  <c r="S290" i="11"/>
  <c r="R290" i="11"/>
  <c r="P290" i="11"/>
  <c r="O290" i="11"/>
  <c r="N290" i="11"/>
  <c r="L290" i="11"/>
  <c r="K290" i="11"/>
  <c r="J290" i="11"/>
  <c r="I290" i="11"/>
  <c r="H290" i="11"/>
  <c r="G290" i="11"/>
  <c r="F290" i="11"/>
  <c r="E290" i="11"/>
  <c r="D290" i="11"/>
  <c r="C290" i="11"/>
  <c r="AA289" i="11"/>
  <c r="Z289" i="11"/>
  <c r="Y289" i="11"/>
  <c r="W289" i="11"/>
  <c r="V289" i="11"/>
  <c r="U289" i="11"/>
  <c r="T289" i="11"/>
  <c r="S289" i="11"/>
  <c r="R289" i="11"/>
  <c r="P289" i="11"/>
  <c r="O289" i="11"/>
  <c r="N289" i="11"/>
  <c r="L289" i="11"/>
  <c r="K289" i="11"/>
  <c r="J289" i="11"/>
  <c r="I289" i="11"/>
  <c r="H289" i="11"/>
  <c r="G289" i="11"/>
  <c r="F289" i="11"/>
  <c r="E289" i="11"/>
  <c r="D289" i="11"/>
  <c r="C289" i="11"/>
  <c r="AA288" i="11"/>
  <c r="Z288" i="11"/>
  <c r="Y288" i="11"/>
  <c r="W288" i="11"/>
  <c r="V288" i="11"/>
  <c r="U288" i="11"/>
  <c r="T288" i="11"/>
  <c r="S288" i="11"/>
  <c r="R288" i="11"/>
  <c r="P288" i="11"/>
  <c r="O288" i="11"/>
  <c r="N288" i="11"/>
  <c r="L288" i="11"/>
  <c r="K288" i="11"/>
  <c r="J288" i="11"/>
  <c r="I288" i="11"/>
  <c r="H288" i="11"/>
  <c r="G288" i="11"/>
  <c r="F288" i="11"/>
  <c r="E288" i="11"/>
  <c r="D288" i="11"/>
  <c r="C288" i="11"/>
  <c r="AA287" i="11"/>
  <c r="Z287" i="11"/>
  <c r="Y287" i="11"/>
  <c r="W287" i="11"/>
  <c r="V287" i="11"/>
  <c r="U287" i="11"/>
  <c r="T287" i="11"/>
  <c r="S287" i="11"/>
  <c r="R287" i="11"/>
  <c r="P287" i="11"/>
  <c r="O287" i="11"/>
  <c r="N287" i="11"/>
  <c r="L287" i="11"/>
  <c r="K287" i="11"/>
  <c r="J287" i="11"/>
  <c r="I287" i="11"/>
  <c r="H287" i="11"/>
  <c r="G287" i="11"/>
  <c r="F287" i="11"/>
  <c r="E287" i="11"/>
  <c r="D287" i="11"/>
  <c r="C287" i="11"/>
  <c r="AA286" i="11"/>
  <c r="Z286" i="11"/>
  <c r="Y286" i="11"/>
  <c r="W286" i="11"/>
  <c r="V286" i="11"/>
  <c r="U286" i="11"/>
  <c r="T286" i="11"/>
  <c r="S286" i="11"/>
  <c r="R286" i="11"/>
  <c r="P286" i="11"/>
  <c r="O286" i="11"/>
  <c r="N286" i="11"/>
  <c r="L286" i="11"/>
  <c r="K286" i="11"/>
  <c r="J286" i="11"/>
  <c r="I286" i="11"/>
  <c r="H286" i="11"/>
  <c r="G286" i="11"/>
  <c r="F286" i="11"/>
  <c r="E286" i="11"/>
  <c r="D286" i="11"/>
  <c r="C286" i="11"/>
  <c r="AA285" i="11"/>
  <c r="Z285" i="11"/>
  <c r="Y285" i="11"/>
  <c r="W285" i="11"/>
  <c r="V285" i="11"/>
  <c r="U285" i="11"/>
  <c r="T285" i="11"/>
  <c r="S285" i="11"/>
  <c r="R285" i="11"/>
  <c r="P285" i="11"/>
  <c r="O285" i="11"/>
  <c r="N285" i="11"/>
  <c r="L285" i="11"/>
  <c r="K285" i="11"/>
  <c r="J285" i="11"/>
  <c r="I285" i="11"/>
  <c r="H285" i="11"/>
  <c r="G285" i="11"/>
  <c r="F285" i="11"/>
  <c r="E285" i="11"/>
  <c r="D285" i="11"/>
  <c r="C285" i="11"/>
  <c r="AA284" i="11"/>
  <c r="Z284" i="11"/>
  <c r="Y284" i="11"/>
  <c r="W284" i="11"/>
  <c r="V284" i="11"/>
  <c r="U284" i="11"/>
  <c r="T284" i="11"/>
  <c r="S284" i="11"/>
  <c r="R284" i="11"/>
  <c r="P284" i="11"/>
  <c r="O284" i="11"/>
  <c r="N284" i="11"/>
  <c r="L284" i="11"/>
  <c r="K284" i="11"/>
  <c r="J284" i="11"/>
  <c r="I284" i="11"/>
  <c r="H284" i="11"/>
  <c r="G284" i="11"/>
  <c r="F284" i="11"/>
  <c r="E284" i="11"/>
  <c r="D284" i="11"/>
  <c r="C284" i="11"/>
  <c r="AA283" i="11"/>
  <c r="Z283" i="11"/>
  <c r="Y283" i="11"/>
  <c r="W283" i="11"/>
  <c r="V283" i="11"/>
  <c r="U283" i="11"/>
  <c r="T283" i="11"/>
  <c r="S283" i="11"/>
  <c r="R283" i="11"/>
  <c r="P283" i="11"/>
  <c r="O283" i="11"/>
  <c r="N283" i="11"/>
  <c r="L283" i="11"/>
  <c r="K283" i="11"/>
  <c r="J283" i="11"/>
  <c r="I283" i="11"/>
  <c r="H283" i="11"/>
  <c r="G283" i="11"/>
  <c r="F283" i="11"/>
  <c r="E283" i="11"/>
  <c r="D283" i="11"/>
  <c r="C283" i="11"/>
  <c r="AA282" i="11"/>
  <c r="Z282" i="11"/>
  <c r="Y282" i="11"/>
  <c r="W282" i="11"/>
  <c r="V282" i="11"/>
  <c r="U282" i="11"/>
  <c r="T282" i="11"/>
  <c r="S282" i="11"/>
  <c r="R282" i="11"/>
  <c r="P282" i="11"/>
  <c r="O282" i="11"/>
  <c r="N282" i="11"/>
  <c r="L282" i="11"/>
  <c r="K282" i="11"/>
  <c r="J282" i="11"/>
  <c r="I282" i="11"/>
  <c r="H282" i="11"/>
  <c r="G282" i="11"/>
  <c r="F282" i="11"/>
  <c r="E282" i="11"/>
  <c r="D282" i="11"/>
  <c r="C282" i="11"/>
  <c r="AA281" i="11"/>
  <c r="Z281" i="11"/>
  <c r="Y281" i="11"/>
  <c r="W281" i="11"/>
  <c r="V281" i="11"/>
  <c r="U281" i="11"/>
  <c r="T281" i="11"/>
  <c r="S281" i="11"/>
  <c r="R281" i="11"/>
  <c r="P281" i="11"/>
  <c r="O281" i="11"/>
  <c r="N281" i="11"/>
  <c r="L281" i="11"/>
  <c r="K281" i="11"/>
  <c r="J281" i="11"/>
  <c r="I281" i="11"/>
  <c r="H281" i="11"/>
  <c r="G281" i="11"/>
  <c r="F281" i="11"/>
  <c r="E281" i="11"/>
  <c r="D281" i="11"/>
  <c r="C281" i="11"/>
  <c r="AA280" i="11"/>
  <c r="Z280" i="11"/>
  <c r="Y280" i="11"/>
  <c r="W280" i="11"/>
  <c r="V280" i="11"/>
  <c r="U280" i="11"/>
  <c r="T280" i="11"/>
  <c r="S280" i="11"/>
  <c r="R280" i="11"/>
  <c r="P280" i="11"/>
  <c r="O280" i="11"/>
  <c r="N280" i="11"/>
  <c r="L280" i="11"/>
  <c r="K280" i="11"/>
  <c r="J280" i="11"/>
  <c r="I280" i="11"/>
  <c r="H280" i="11"/>
  <c r="G280" i="11"/>
  <c r="F280" i="11"/>
  <c r="E280" i="11"/>
  <c r="D280" i="11"/>
  <c r="C280" i="11"/>
  <c r="AA279" i="11"/>
  <c r="Z279" i="11"/>
  <c r="Y279" i="11"/>
  <c r="W279" i="11"/>
  <c r="V279" i="11"/>
  <c r="U279" i="11"/>
  <c r="T279" i="11"/>
  <c r="S279" i="11"/>
  <c r="R279" i="11"/>
  <c r="P279" i="11"/>
  <c r="O279" i="11"/>
  <c r="N279" i="11"/>
  <c r="L279" i="11"/>
  <c r="K279" i="11"/>
  <c r="J279" i="11"/>
  <c r="I279" i="11"/>
  <c r="H279" i="11"/>
  <c r="G279" i="11"/>
  <c r="F279" i="11"/>
  <c r="E279" i="11"/>
  <c r="D279" i="11"/>
  <c r="C279" i="11"/>
  <c r="AA278" i="11"/>
  <c r="Z278" i="11"/>
  <c r="Y278" i="11"/>
  <c r="W278" i="11"/>
  <c r="V278" i="11"/>
  <c r="U278" i="11"/>
  <c r="T278" i="11"/>
  <c r="S278" i="11"/>
  <c r="R278" i="11"/>
  <c r="P278" i="11"/>
  <c r="O278" i="11"/>
  <c r="N278" i="11"/>
  <c r="L278" i="11"/>
  <c r="K278" i="11"/>
  <c r="J278" i="11"/>
  <c r="I278" i="11"/>
  <c r="H278" i="11"/>
  <c r="G278" i="11"/>
  <c r="F278" i="11"/>
  <c r="E278" i="11"/>
  <c r="D278" i="11"/>
  <c r="C278" i="11"/>
  <c r="AA277" i="11"/>
  <c r="Z277" i="11"/>
  <c r="Y277" i="11"/>
  <c r="W277" i="11"/>
  <c r="V277" i="11"/>
  <c r="U277" i="11"/>
  <c r="T277" i="11"/>
  <c r="S277" i="11"/>
  <c r="R277" i="11"/>
  <c r="P277" i="11"/>
  <c r="O277" i="11"/>
  <c r="N277" i="11"/>
  <c r="L277" i="11"/>
  <c r="K277" i="11"/>
  <c r="J277" i="11"/>
  <c r="I277" i="11"/>
  <c r="H277" i="11"/>
  <c r="G277" i="11"/>
  <c r="F277" i="11"/>
  <c r="E277" i="11"/>
  <c r="D277" i="11"/>
  <c r="C277" i="11"/>
  <c r="AA276" i="11"/>
  <c r="Z276" i="11"/>
  <c r="Y276" i="11"/>
  <c r="W276" i="11"/>
  <c r="V276" i="11"/>
  <c r="U276" i="11"/>
  <c r="T276" i="11"/>
  <c r="S276" i="11"/>
  <c r="R276" i="11"/>
  <c r="P276" i="11"/>
  <c r="O276" i="11"/>
  <c r="N276" i="11"/>
  <c r="L276" i="11"/>
  <c r="K276" i="11"/>
  <c r="J276" i="11"/>
  <c r="I276" i="11"/>
  <c r="H276" i="11"/>
  <c r="G276" i="11"/>
  <c r="F276" i="11"/>
  <c r="E276" i="11"/>
  <c r="D276" i="11"/>
  <c r="C276" i="11"/>
  <c r="AA275" i="11"/>
  <c r="Z275" i="11"/>
  <c r="Y275" i="11"/>
  <c r="W275" i="11"/>
  <c r="V275" i="11"/>
  <c r="U275" i="11"/>
  <c r="T275" i="11"/>
  <c r="S275" i="11"/>
  <c r="R275" i="11"/>
  <c r="P275" i="11"/>
  <c r="O275" i="11"/>
  <c r="N275" i="11"/>
  <c r="L275" i="11"/>
  <c r="K275" i="11"/>
  <c r="J275" i="11"/>
  <c r="I275" i="11"/>
  <c r="H275" i="11"/>
  <c r="G275" i="11"/>
  <c r="F275" i="11"/>
  <c r="E275" i="11"/>
  <c r="D275" i="11"/>
  <c r="C275" i="11"/>
  <c r="AA274" i="11"/>
  <c r="Z274" i="11"/>
  <c r="Y274" i="11"/>
  <c r="W274" i="11"/>
  <c r="V274" i="11"/>
  <c r="U274" i="11"/>
  <c r="T274" i="11"/>
  <c r="S274" i="11"/>
  <c r="R274" i="11"/>
  <c r="P274" i="11"/>
  <c r="O274" i="11"/>
  <c r="N274" i="11"/>
  <c r="L274" i="11"/>
  <c r="K274" i="11"/>
  <c r="J274" i="11"/>
  <c r="I274" i="11"/>
  <c r="H274" i="11"/>
  <c r="G274" i="11"/>
  <c r="F274" i="11"/>
  <c r="E274" i="11"/>
  <c r="D274" i="11"/>
  <c r="C274" i="11"/>
  <c r="AA273" i="11"/>
  <c r="Z273" i="11"/>
  <c r="Y273" i="11"/>
  <c r="W273" i="11"/>
  <c r="V273" i="11"/>
  <c r="U273" i="11"/>
  <c r="T273" i="11"/>
  <c r="S273" i="11"/>
  <c r="R273" i="11"/>
  <c r="P273" i="11"/>
  <c r="O273" i="11"/>
  <c r="N273" i="11"/>
  <c r="L273" i="11"/>
  <c r="K273" i="11"/>
  <c r="J273" i="11"/>
  <c r="I273" i="11"/>
  <c r="H273" i="11"/>
  <c r="G273" i="11"/>
  <c r="F273" i="11"/>
  <c r="E273" i="11"/>
  <c r="D273" i="11"/>
  <c r="C273" i="11"/>
  <c r="AA272" i="11"/>
  <c r="Z272" i="11"/>
  <c r="Y272" i="11"/>
  <c r="W272" i="11"/>
  <c r="V272" i="11"/>
  <c r="U272" i="11"/>
  <c r="T272" i="11"/>
  <c r="S272" i="11"/>
  <c r="R272" i="11"/>
  <c r="P272" i="11"/>
  <c r="O272" i="11"/>
  <c r="N272" i="11"/>
  <c r="L272" i="11"/>
  <c r="K272" i="11"/>
  <c r="J272" i="11"/>
  <c r="I272" i="11"/>
  <c r="H272" i="11"/>
  <c r="G272" i="11"/>
  <c r="F272" i="11"/>
  <c r="E272" i="11"/>
  <c r="D272" i="11"/>
  <c r="C272" i="11"/>
  <c r="AA271" i="11"/>
  <c r="Z271" i="11"/>
  <c r="Y271" i="11"/>
  <c r="W271" i="11"/>
  <c r="V271" i="11"/>
  <c r="U271" i="11"/>
  <c r="T271" i="11"/>
  <c r="S271" i="11"/>
  <c r="R271" i="11"/>
  <c r="P271" i="11"/>
  <c r="O271" i="11"/>
  <c r="N271" i="11"/>
  <c r="L271" i="11"/>
  <c r="K271" i="11"/>
  <c r="J271" i="11"/>
  <c r="I271" i="11"/>
  <c r="H271" i="11"/>
  <c r="G271" i="11"/>
  <c r="F271" i="11"/>
  <c r="E271" i="11"/>
  <c r="D271" i="11"/>
  <c r="C271" i="11"/>
  <c r="AA270" i="11"/>
  <c r="Z270" i="11"/>
  <c r="Y270" i="11"/>
  <c r="W270" i="11"/>
  <c r="V270" i="11"/>
  <c r="U270" i="11"/>
  <c r="T270" i="11"/>
  <c r="S270" i="11"/>
  <c r="R270" i="11"/>
  <c r="P270" i="11"/>
  <c r="O270" i="11"/>
  <c r="N270" i="11"/>
  <c r="L270" i="11"/>
  <c r="K270" i="11"/>
  <c r="J270" i="11"/>
  <c r="I270" i="11"/>
  <c r="H270" i="11"/>
  <c r="G270" i="11"/>
  <c r="F270" i="11"/>
  <c r="E270" i="11"/>
  <c r="D270" i="11"/>
  <c r="C270" i="11"/>
  <c r="AA269" i="11"/>
  <c r="Z269" i="11"/>
  <c r="Y269" i="11"/>
  <c r="W269" i="11"/>
  <c r="V269" i="11"/>
  <c r="U269" i="11"/>
  <c r="T269" i="11"/>
  <c r="S269" i="11"/>
  <c r="R269" i="11"/>
  <c r="P269" i="11"/>
  <c r="O269" i="11"/>
  <c r="N269" i="11"/>
  <c r="L269" i="11"/>
  <c r="K269" i="11"/>
  <c r="J269" i="11"/>
  <c r="I269" i="11"/>
  <c r="H269" i="11"/>
  <c r="G269" i="11"/>
  <c r="F269" i="11"/>
  <c r="E269" i="11"/>
  <c r="D269" i="11"/>
  <c r="C269" i="11"/>
  <c r="AA268" i="11"/>
  <c r="Z268" i="11"/>
  <c r="Y268" i="11"/>
  <c r="W268" i="11"/>
  <c r="V268" i="11"/>
  <c r="U268" i="11"/>
  <c r="T268" i="11"/>
  <c r="S268" i="11"/>
  <c r="R268" i="11"/>
  <c r="P268" i="11"/>
  <c r="O268" i="11"/>
  <c r="N268" i="11"/>
  <c r="L268" i="11"/>
  <c r="K268" i="11"/>
  <c r="J268" i="11"/>
  <c r="I268" i="11"/>
  <c r="H268" i="11"/>
  <c r="G268" i="11"/>
  <c r="F268" i="11"/>
  <c r="E268" i="11"/>
  <c r="D268" i="11"/>
  <c r="C268" i="11"/>
  <c r="AA267" i="11"/>
  <c r="Z267" i="11"/>
  <c r="Y267" i="11"/>
  <c r="W267" i="11"/>
  <c r="V267" i="11"/>
  <c r="U267" i="11"/>
  <c r="T267" i="11"/>
  <c r="S267" i="11"/>
  <c r="R267" i="11"/>
  <c r="P267" i="11"/>
  <c r="O267" i="11"/>
  <c r="N267" i="11"/>
  <c r="L267" i="11"/>
  <c r="K267" i="11"/>
  <c r="J267" i="11"/>
  <c r="I267" i="11"/>
  <c r="H267" i="11"/>
  <c r="G267" i="11"/>
  <c r="F267" i="11"/>
  <c r="E267" i="11"/>
  <c r="D267" i="11"/>
  <c r="C267" i="11"/>
  <c r="AA266" i="11"/>
  <c r="Z266" i="11"/>
  <c r="Y266" i="11"/>
  <c r="W266" i="11"/>
  <c r="V266" i="11"/>
  <c r="U266" i="11"/>
  <c r="T266" i="11"/>
  <c r="S266" i="11"/>
  <c r="R266" i="11"/>
  <c r="P266" i="11"/>
  <c r="O266" i="11"/>
  <c r="N266" i="11"/>
  <c r="L266" i="11"/>
  <c r="K266" i="11"/>
  <c r="J266" i="11"/>
  <c r="I266" i="11"/>
  <c r="H266" i="11"/>
  <c r="G266" i="11"/>
  <c r="F266" i="11"/>
  <c r="E266" i="11"/>
  <c r="D266" i="11"/>
  <c r="C266" i="11"/>
  <c r="AA265" i="11"/>
  <c r="Z265" i="11"/>
  <c r="Y265" i="11"/>
  <c r="W265" i="11"/>
  <c r="V265" i="11"/>
  <c r="U265" i="11"/>
  <c r="T265" i="11"/>
  <c r="S265" i="11"/>
  <c r="R265" i="11"/>
  <c r="P265" i="11"/>
  <c r="O265" i="11"/>
  <c r="N265" i="11"/>
  <c r="L265" i="11"/>
  <c r="K265" i="11"/>
  <c r="J265" i="11"/>
  <c r="I265" i="11"/>
  <c r="H265" i="11"/>
  <c r="G265" i="11"/>
  <c r="F265" i="11"/>
  <c r="E265" i="11"/>
  <c r="D265" i="11"/>
  <c r="C265" i="11"/>
  <c r="AA264" i="11"/>
  <c r="Z264" i="11"/>
  <c r="Y264" i="11"/>
  <c r="W264" i="11"/>
  <c r="V264" i="11"/>
  <c r="U264" i="11"/>
  <c r="T264" i="11"/>
  <c r="S264" i="11"/>
  <c r="R264" i="11"/>
  <c r="P264" i="11"/>
  <c r="O264" i="11"/>
  <c r="N264" i="11"/>
  <c r="L264" i="11"/>
  <c r="K264" i="11"/>
  <c r="J264" i="11"/>
  <c r="I264" i="11"/>
  <c r="H264" i="11"/>
  <c r="G264" i="11"/>
  <c r="F264" i="11"/>
  <c r="E264" i="11"/>
  <c r="D264" i="11"/>
  <c r="C264" i="11"/>
  <c r="AA263" i="11"/>
  <c r="Z263" i="11"/>
  <c r="Y263" i="11"/>
  <c r="W263" i="11"/>
  <c r="V263" i="11"/>
  <c r="U263" i="11"/>
  <c r="T263" i="11"/>
  <c r="S263" i="11"/>
  <c r="R263" i="11"/>
  <c r="P263" i="11"/>
  <c r="O263" i="11"/>
  <c r="N263" i="11"/>
  <c r="L263" i="11"/>
  <c r="K263" i="11"/>
  <c r="J263" i="11"/>
  <c r="I263" i="11"/>
  <c r="H263" i="11"/>
  <c r="G263" i="11"/>
  <c r="F263" i="11"/>
  <c r="E263" i="11"/>
  <c r="D263" i="11"/>
  <c r="C263" i="11"/>
  <c r="AA262" i="11"/>
  <c r="Z262" i="11"/>
  <c r="Y262" i="11"/>
  <c r="W262" i="11"/>
  <c r="V262" i="11"/>
  <c r="U262" i="11"/>
  <c r="T262" i="11"/>
  <c r="S262" i="11"/>
  <c r="R262" i="11"/>
  <c r="P262" i="11"/>
  <c r="O262" i="11"/>
  <c r="N262" i="11"/>
  <c r="L262" i="11"/>
  <c r="K262" i="11"/>
  <c r="J262" i="11"/>
  <c r="I262" i="11"/>
  <c r="H262" i="11"/>
  <c r="G262" i="11"/>
  <c r="F262" i="11"/>
  <c r="E262" i="11"/>
  <c r="D262" i="11"/>
  <c r="C262" i="11"/>
  <c r="AA261" i="11"/>
  <c r="Z261" i="11"/>
  <c r="Y261" i="11"/>
  <c r="W261" i="11"/>
  <c r="V261" i="11"/>
  <c r="U261" i="11"/>
  <c r="T261" i="11"/>
  <c r="S261" i="11"/>
  <c r="R261" i="11"/>
  <c r="P261" i="11"/>
  <c r="O261" i="11"/>
  <c r="N261" i="11"/>
  <c r="L261" i="11"/>
  <c r="K261" i="11"/>
  <c r="J261" i="11"/>
  <c r="I261" i="11"/>
  <c r="H261" i="11"/>
  <c r="G261" i="11"/>
  <c r="F261" i="11"/>
  <c r="E261" i="11"/>
  <c r="D261" i="11"/>
  <c r="C261" i="11"/>
  <c r="AA260" i="11"/>
  <c r="Z260" i="11"/>
  <c r="Y260" i="11"/>
  <c r="W260" i="11"/>
  <c r="V260" i="11"/>
  <c r="U260" i="11"/>
  <c r="T260" i="11"/>
  <c r="S260" i="11"/>
  <c r="R260" i="11"/>
  <c r="P260" i="11"/>
  <c r="O260" i="11"/>
  <c r="N260" i="11"/>
  <c r="L260" i="11"/>
  <c r="K260" i="11"/>
  <c r="J260" i="11"/>
  <c r="I260" i="11"/>
  <c r="H260" i="11"/>
  <c r="G260" i="11"/>
  <c r="F260" i="11"/>
  <c r="E260" i="11"/>
  <c r="D260" i="11"/>
  <c r="C260" i="11"/>
  <c r="AA259" i="11"/>
  <c r="Z259" i="11"/>
  <c r="Y259" i="11"/>
  <c r="W259" i="11"/>
  <c r="V259" i="11"/>
  <c r="U259" i="11"/>
  <c r="T259" i="11"/>
  <c r="S259" i="11"/>
  <c r="R259" i="11"/>
  <c r="P259" i="11"/>
  <c r="O259" i="11"/>
  <c r="N259" i="11"/>
  <c r="L259" i="11"/>
  <c r="K259" i="11"/>
  <c r="J259" i="11"/>
  <c r="I259" i="11"/>
  <c r="H259" i="11"/>
  <c r="G259" i="11"/>
  <c r="F259" i="11"/>
  <c r="E259" i="11"/>
  <c r="D259" i="11"/>
  <c r="C259" i="11"/>
  <c r="AA258" i="11"/>
  <c r="Z258" i="11"/>
  <c r="Y258" i="11"/>
  <c r="W258" i="11"/>
  <c r="V258" i="11"/>
  <c r="U258" i="11"/>
  <c r="T258" i="11"/>
  <c r="S258" i="11"/>
  <c r="R258" i="11"/>
  <c r="P258" i="11"/>
  <c r="O258" i="11"/>
  <c r="N258" i="11"/>
  <c r="L258" i="11"/>
  <c r="K258" i="11"/>
  <c r="J258" i="11"/>
  <c r="I258" i="11"/>
  <c r="H258" i="11"/>
  <c r="G258" i="11"/>
  <c r="F258" i="11"/>
  <c r="E258" i="11"/>
  <c r="D258" i="11"/>
  <c r="C258" i="11"/>
  <c r="AA257" i="11"/>
  <c r="Z257" i="11"/>
  <c r="Y257" i="11"/>
  <c r="W257" i="11"/>
  <c r="V257" i="11"/>
  <c r="U257" i="11"/>
  <c r="T257" i="11"/>
  <c r="S257" i="11"/>
  <c r="R257" i="11"/>
  <c r="P257" i="11"/>
  <c r="O257" i="11"/>
  <c r="N257" i="11"/>
  <c r="L257" i="11"/>
  <c r="K257" i="11"/>
  <c r="J257" i="11"/>
  <c r="I257" i="11"/>
  <c r="H257" i="11"/>
  <c r="G257" i="11"/>
  <c r="F257" i="11"/>
  <c r="E257" i="11"/>
  <c r="D257" i="11"/>
  <c r="C257" i="11"/>
  <c r="AA256" i="11"/>
  <c r="Z256" i="11"/>
  <c r="Y256" i="11"/>
  <c r="W256" i="11"/>
  <c r="V256" i="11"/>
  <c r="U256" i="11"/>
  <c r="T256" i="11"/>
  <c r="S256" i="11"/>
  <c r="R256" i="11"/>
  <c r="P256" i="11"/>
  <c r="O256" i="11"/>
  <c r="N256" i="11"/>
  <c r="L256" i="11"/>
  <c r="K256" i="11"/>
  <c r="J256" i="11"/>
  <c r="I256" i="11"/>
  <c r="H256" i="11"/>
  <c r="G256" i="11"/>
  <c r="F256" i="11"/>
  <c r="E256" i="11"/>
  <c r="D256" i="11"/>
  <c r="C256" i="11"/>
  <c r="AA255" i="11"/>
  <c r="Z255" i="11"/>
  <c r="Y255" i="11"/>
  <c r="W255" i="11"/>
  <c r="V255" i="11"/>
  <c r="U255" i="11"/>
  <c r="T255" i="11"/>
  <c r="S255" i="11"/>
  <c r="R255" i="11"/>
  <c r="P255" i="11"/>
  <c r="O255" i="11"/>
  <c r="N255" i="11"/>
  <c r="L255" i="11"/>
  <c r="K255" i="11"/>
  <c r="J255" i="11"/>
  <c r="I255" i="11"/>
  <c r="H255" i="11"/>
  <c r="G255" i="11"/>
  <c r="F255" i="11"/>
  <c r="E255" i="11"/>
  <c r="D255" i="11"/>
  <c r="C255" i="11"/>
  <c r="AA254" i="11"/>
  <c r="Z254" i="11"/>
  <c r="Y254" i="11"/>
  <c r="W254" i="11"/>
  <c r="V254" i="11"/>
  <c r="U254" i="11"/>
  <c r="T254" i="11"/>
  <c r="S254" i="11"/>
  <c r="R254" i="11"/>
  <c r="P254" i="11"/>
  <c r="O254" i="11"/>
  <c r="N254" i="11"/>
  <c r="L254" i="11"/>
  <c r="K254" i="11"/>
  <c r="J254" i="11"/>
  <c r="I254" i="11"/>
  <c r="H254" i="11"/>
  <c r="G254" i="11"/>
  <c r="F254" i="11"/>
  <c r="E254" i="11"/>
  <c r="D254" i="11"/>
  <c r="C254" i="11"/>
  <c r="AA253" i="11"/>
  <c r="Z253" i="11"/>
  <c r="Y253" i="11"/>
  <c r="W253" i="11"/>
  <c r="V253" i="11"/>
  <c r="U253" i="11"/>
  <c r="T253" i="11"/>
  <c r="S253" i="11"/>
  <c r="R253" i="11"/>
  <c r="P253" i="11"/>
  <c r="O253" i="11"/>
  <c r="N253" i="11"/>
  <c r="L253" i="11"/>
  <c r="K253" i="11"/>
  <c r="J253" i="11"/>
  <c r="I253" i="11"/>
  <c r="H253" i="11"/>
  <c r="G253" i="11"/>
  <c r="F253" i="11"/>
  <c r="E253" i="11"/>
  <c r="D253" i="11"/>
  <c r="C253" i="11"/>
  <c r="AA252" i="11"/>
  <c r="Z252" i="11"/>
  <c r="Y252" i="11"/>
  <c r="W252" i="11"/>
  <c r="V252" i="11"/>
  <c r="U252" i="11"/>
  <c r="T252" i="11"/>
  <c r="S252" i="11"/>
  <c r="R252" i="11"/>
  <c r="P252" i="11"/>
  <c r="O252" i="11"/>
  <c r="N252" i="11"/>
  <c r="L252" i="11"/>
  <c r="K252" i="11"/>
  <c r="J252" i="11"/>
  <c r="I252" i="11"/>
  <c r="H252" i="11"/>
  <c r="G252" i="11"/>
  <c r="F252" i="11"/>
  <c r="E252" i="11"/>
  <c r="D252" i="11"/>
  <c r="C252" i="11"/>
  <c r="AA251" i="11"/>
  <c r="Z251" i="11"/>
  <c r="Y251" i="11"/>
  <c r="W251" i="11"/>
  <c r="V251" i="11"/>
  <c r="U251" i="11"/>
  <c r="T251" i="11"/>
  <c r="S251" i="11"/>
  <c r="R251" i="11"/>
  <c r="P251" i="11"/>
  <c r="O251" i="11"/>
  <c r="N251" i="11"/>
  <c r="L251" i="11"/>
  <c r="K251" i="11"/>
  <c r="J251" i="11"/>
  <c r="I251" i="11"/>
  <c r="H251" i="11"/>
  <c r="G251" i="11"/>
  <c r="F251" i="11"/>
  <c r="E251" i="11"/>
  <c r="D251" i="11"/>
  <c r="C251" i="11"/>
  <c r="AA250" i="11"/>
  <c r="Z250" i="11"/>
  <c r="Y250" i="11"/>
  <c r="W250" i="11"/>
  <c r="V250" i="11"/>
  <c r="U250" i="11"/>
  <c r="T250" i="11"/>
  <c r="S250" i="11"/>
  <c r="R250" i="11"/>
  <c r="P250" i="11"/>
  <c r="O250" i="11"/>
  <c r="N250" i="11"/>
  <c r="L250" i="11"/>
  <c r="K250" i="11"/>
  <c r="J250" i="11"/>
  <c r="I250" i="11"/>
  <c r="H250" i="11"/>
  <c r="G250" i="11"/>
  <c r="F250" i="11"/>
  <c r="E250" i="11"/>
  <c r="D250" i="11"/>
  <c r="C250" i="11"/>
  <c r="AA249" i="11"/>
  <c r="Z249" i="11"/>
  <c r="Y249" i="11"/>
  <c r="W249" i="11"/>
  <c r="V249" i="11"/>
  <c r="U249" i="11"/>
  <c r="T249" i="11"/>
  <c r="S249" i="11"/>
  <c r="R249" i="11"/>
  <c r="P249" i="11"/>
  <c r="O249" i="11"/>
  <c r="N249" i="11"/>
  <c r="L249" i="11"/>
  <c r="K249" i="11"/>
  <c r="J249" i="11"/>
  <c r="I249" i="11"/>
  <c r="H249" i="11"/>
  <c r="G249" i="11"/>
  <c r="F249" i="11"/>
  <c r="E249" i="11"/>
  <c r="D249" i="11"/>
  <c r="C249" i="11"/>
  <c r="AA248" i="11"/>
  <c r="Z248" i="11"/>
  <c r="Y248" i="11"/>
  <c r="W248" i="11"/>
  <c r="V248" i="11"/>
  <c r="U248" i="11"/>
  <c r="T248" i="11"/>
  <c r="S248" i="11"/>
  <c r="R248" i="11"/>
  <c r="P248" i="11"/>
  <c r="O248" i="11"/>
  <c r="N248" i="11"/>
  <c r="L248" i="11"/>
  <c r="K248" i="11"/>
  <c r="J248" i="11"/>
  <c r="I248" i="11"/>
  <c r="H248" i="11"/>
  <c r="G248" i="11"/>
  <c r="F248" i="11"/>
  <c r="E248" i="11"/>
  <c r="D248" i="11"/>
  <c r="C248" i="11"/>
  <c r="AA247" i="11"/>
  <c r="Z247" i="11"/>
  <c r="Y247" i="11"/>
  <c r="W247" i="11"/>
  <c r="V247" i="11"/>
  <c r="U247" i="11"/>
  <c r="T247" i="11"/>
  <c r="S247" i="11"/>
  <c r="R247" i="11"/>
  <c r="P247" i="11"/>
  <c r="O247" i="11"/>
  <c r="N247" i="11"/>
  <c r="L247" i="11"/>
  <c r="K247" i="11"/>
  <c r="J247" i="11"/>
  <c r="I247" i="11"/>
  <c r="H247" i="11"/>
  <c r="G247" i="11"/>
  <c r="F247" i="11"/>
  <c r="E247" i="11"/>
  <c r="D247" i="11"/>
  <c r="C247" i="11"/>
  <c r="AA246" i="11"/>
  <c r="Z246" i="11"/>
  <c r="Y246" i="11"/>
  <c r="W246" i="11"/>
  <c r="V246" i="11"/>
  <c r="U246" i="11"/>
  <c r="T246" i="11"/>
  <c r="S246" i="11"/>
  <c r="R246" i="11"/>
  <c r="P246" i="11"/>
  <c r="O246" i="11"/>
  <c r="N246" i="11"/>
  <c r="L246" i="11"/>
  <c r="K246" i="11"/>
  <c r="J246" i="11"/>
  <c r="I246" i="11"/>
  <c r="H246" i="11"/>
  <c r="G246" i="11"/>
  <c r="F246" i="11"/>
  <c r="E246" i="11"/>
  <c r="D246" i="11"/>
  <c r="C246" i="11"/>
  <c r="AA245" i="11"/>
  <c r="Z245" i="11"/>
  <c r="Y245" i="11"/>
  <c r="W245" i="11"/>
  <c r="V245" i="11"/>
  <c r="U245" i="11"/>
  <c r="T245" i="11"/>
  <c r="S245" i="11"/>
  <c r="R245" i="11"/>
  <c r="P245" i="11"/>
  <c r="O245" i="11"/>
  <c r="N245" i="11"/>
  <c r="L245" i="11"/>
  <c r="K245" i="11"/>
  <c r="J245" i="11"/>
  <c r="I245" i="11"/>
  <c r="H245" i="11"/>
  <c r="G245" i="11"/>
  <c r="F245" i="11"/>
  <c r="E245" i="11"/>
  <c r="D245" i="11"/>
  <c r="C245" i="11"/>
  <c r="AA244" i="11"/>
  <c r="Z244" i="11"/>
  <c r="Y244" i="11"/>
  <c r="W244" i="11"/>
  <c r="V244" i="11"/>
  <c r="U244" i="11"/>
  <c r="T244" i="11"/>
  <c r="S244" i="11"/>
  <c r="R244" i="11"/>
  <c r="P244" i="11"/>
  <c r="O244" i="11"/>
  <c r="N244" i="11"/>
  <c r="L244" i="11"/>
  <c r="K244" i="11"/>
  <c r="J244" i="11"/>
  <c r="I244" i="11"/>
  <c r="H244" i="11"/>
  <c r="G244" i="11"/>
  <c r="F244" i="11"/>
  <c r="E244" i="11"/>
  <c r="D244" i="11"/>
  <c r="C244" i="11"/>
  <c r="AA243" i="11"/>
  <c r="Z243" i="11"/>
  <c r="Y243" i="11"/>
  <c r="W243" i="11"/>
  <c r="V243" i="11"/>
  <c r="U243" i="11"/>
  <c r="T243" i="11"/>
  <c r="S243" i="11"/>
  <c r="R243" i="11"/>
  <c r="P243" i="11"/>
  <c r="O243" i="11"/>
  <c r="N243" i="11"/>
  <c r="L243" i="11"/>
  <c r="K243" i="11"/>
  <c r="J243" i="11"/>
  <c r="I243" i="11"/>
  <c r="H243" i="11"/>
  <c r="G243" i="11"/>
  <c r="F243" i="11"/>
  <c r="E243" i="11"/>
  <c r="D243" i="11"/>
  <c r="C243" i="11"/>
  <c r="AA242" i="11"/>
  <c r="Z242" i="11"/>
  <c r="Y242" i="11"/>
  <c r="W242" i="11"/>
  <c r="V242" i="11"/>
  <c r="U242" i="11"/>
  <c r="T242" i="11"/>
  <c r="S242" i="11"/>
  <c r="R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AA241" i="11"/>
  <c r="Z241" i="11"/>
  <c r="Y241" i="11"/>
  <c r="W241" i="11"/>
  <c r="V241" i="11"/>
  <c r="U241" i="11"/>
  <c r="T241" i="11"/>
  <c r="S241" i="11"/>
  <c r="R241" i="11"/>
  <c r="P241" i="11"/>
  <c r="O241" i="11"/>
  <c r="N241" i="11"/>
  <c r="L241" i="11"/>
  <c r="K241" i="11"/>
  <c r="J241" i="11"/>
  <c r="I241" i="11"/>
  <c r="H241" i="11"/>
  <c r="G241" i="11"/>
  <c r="F241" i="11"/>
  <c r="E241" i="11"/>
  <c r="D241" i="11"/>
  <c r="C241" i="11"/>
  <c r="AA240" i="11"/>
  <c r="Z240" i="11"/>
  <c r="Y240" i="11"/>
  <c r="W240" i="11"/>
  <c r="V240" i="11"/>
  <c r="U240" i="11"/>
  <c r="T240" i="11"/>
  <c r="S240" i="11"/>
  <c r="R240" i="11"/>
  <c r="P240" i="11"/>
  <c r="O240" i="11"/>
  <c r="N240" i="11"/>
  <c r="L240" i="11"/>
  <c r="K240" i="11"/>
  <c r="J240" i="11"/>
  <c r="I240" i="11"/>
  <c r="H240" i="11"/>
  <c r="G240" i="11"/>
  <c r="F240" i="11"/>
  <c r="E240" i="11"/>
  <c r="D240" i="11"/>
  <c r="C240" i="11"/>
  <c r="AA239" i="11"/>
  <c r="Z239" i="11"/>
  <c r="Y239" i="11"/>
  <c r="W239" i="11"/>
  <c r="V239" i="11"/>
  <c r="U239" i="11"/>
  <c r="T239" i="11"/>
  <c r="S239" i="11"/>
  <c r="R239" i="11"/>
  <c r="P239" i="11"/>
  <c r="O239" i="11"/>
  <c r="N239" i="11"/>
  <c r="L239" i="11"/>
  <c r="K239" i="11"/>
  <c r="J239" i="11"/>
  <c r="I239" i="11"/>
  <c r="H239" i="11"/>
  <c r="G239" i="11"/>
  <c r="F239" i="11"/>
  <c r="E239" i="11"/>
  <c r="D239" i="11"/>
  <c r="C239" i="11"/>
  <c r="AA238" i="11"/>
  <c r="Z238" i="11"/>
  <c r="Y238" i="11"/>
  <c r="W238" i="11"/>
  <c r="V238" i="11"/>
  <c r="U238" i="11"/>
  <c r="T238" i="11"/>
  <c r="S238" i="11"/>
  <c r="R238" i="11"/>
  <c r="P238" i="11"/>
  <c r="O238" i="11"/>
  <c r="N238" i="11"/>
  <c r="L238" i="11"/>
  <c r="K238" i="11"/>
  <c r="J238" i="11"/>
  <c r="I238" i="11"/>
  <c r="H238" i="11"/>
  <c r="G238" i="11"/>
  <c r="F238" i="11"/>
  <c r="E238" i="11"/>
  <c r="D238" i="11"/>
  <c r="C238" i="11"/>
  <c r="AA237" i="11"/>
  <c r="Z237" i="11"/>
  <c r="Y237" i="11"/>
  <c r="W237" i="11"/>
  <c r="V237" i="11"/>
  <c r="U237" i="11"/>
  <c r="T237" i="11"/>
  <c r="S237" i="11"/>
  <c r="R237" i="11"/>
  <c r="P237" i="11"/>
  <c r="O237" i="11"/>
  <c r="N237" i="11"/>
  <c r="L237" i="11"/>
  <c r="K237" i="11"/>
  <c r="J237" i="11"/>
  <c r="I237" i="11"/>
  <c r="H237" i="11"/>
  <c r="G237" i="11"/>
  <c r="F237" i="11"/>
  <c r="E237" i="11"/>
  <c r="D237" i="11"/>
  <c r="C237" i="11"/>
  <c r="AA236" i="11"/>
  <c r="Z236" i="11"/>
  <c r="Y236" i="11"/>
  <c r="W236" i="11"/>
  <c r="V236" i="11"/>
  <c r="U236" i="11"/>
  <c r="T236" i="11"/>
  <c r="S236" i="11"/>
  <c r="R236" i="11"/>
  <c r="P236" i="11"/>
  <c r="O236" i="11"/>
  <c r="N236" i="11"/>
  <c r="L236" i="11"/>
  <c r="K236" i="11"/>
  <c r="J236" i="11"/>
  <c r="I236" i="11"/>
  <c r="H236" i="11"/>
  <c r="G236" i="11"/>
  <c r="F236" i="11"/>
  <c r="E236" i="11"/>
  <c r="D236" i="11"/>
  <c r="C236" i="11"/>
  <c r="AA235" i="11"/>
  <c r="Z235" i="11"/>
  <c r="Y235" i="11"/>
  <c r="W235" i="11"/>
  <c r="V235" i="11"/>
  <c r="U235" i="11"/>
  <c r="T235" i="11"/>
  <c r="S235" i="11"/>
  <c r="R235" i="11"/>
  <c r="P235" i="11"/>
  <c r="O235" i="11"/>
  <c r="N235" i="11"/>
  <c r="L235" i="11"/>
  <c r="K235" i="11"/>
  <c r="J235" i="11"/>
  <c r="I235" i="11"/>
  <c r="H235" i="11"/>
  <c r="G235" i="11"/>
  <c r="F235" i="11"/>
  <c r="E235" i="11"/>
  <c r="D235" i="11"/>
  <c r="C235" i="11"/>
  <c r="AA234" i="11"/>
  <c r="Z234" i="11"/>
  <c r="Y234" i="11"/>
  <c r="W234" i="11"/>
  <c r="V234" i="11"/>
  <c r="U234" i="11"/>
  <c r="T234" i="11"/>
  <c r="S234" i="11"/>
  <c r="R234" i="11"/>
  <c r="P234" i="11"/>
  <c r="O234" i="11"/>
  <c r="N234" i="11"/>
  <c r="L234" i="11"/>
  <c r="K234" i="11"/>
  <c r="J234" i="11"/>
  <c r="I234" i="11"/>
  <c r="H234" i="11"/>
  <c r="G234" i="11"/>
  <c r="F234" i="11"/>
  <c r="E234" i="11"/>
  <c r="D234" i="11"/>
  <c r="C234" i="11"/>
  <c r="AA233" i="11"/>
  <c r="Z233" i="11"/>
  <c r="Y233" i="11"/>
  <c r="W233" i="11"/>
  <c r="V233" i="11"/>
  <c r="U233" i="11"/>
  <c r="T233" i="11"/>
  <c r="S233" i="11"/>
  <c r="R233" i="11"/>
  <c r="P233" i="11"/>
  <c r="O233" i="11"/>
  <c r="N233" i="11"/>
  <c r="L233" i="11"/>
  <c r="K233" i="11"/>
  <c r="J233" i="11"/>
  <c r="I233" i="11"/>
  <c r="H233" i="11"/>
  <c r="G233" i="11"/>
  <c r="F233" i="11"/>
  <c r="E233" i="11"/>
  <c r="D233" i="11"/>
  <c r="C233" i="11"/>
  <c r="AA232" i="11"/>
  <c r="Z232" i="11"/>
  <c r="Y232" i="11"/>
  <c r="W232" i="11"/>
  <c r="V232" i="11"/>
  <c r="U232" i="11"/>
  <c r="T232" i="11"/>
  <c r="S232" i="11"/>
  <c r="R232" i="11"/>
  <c r="P232" i="11"/>
  <c r="O232" i="11"/>
  <c r="N232" i="11"/>
  <c r="L232" i="11"/>
  <c r="K232" i="11"/>
  <c r="J232" i="11"/>
  <c r="I232" i="11"/>
  <c r="H232" i="11"/>
  <c r="G232" i="11"/>
  <c r="F232" i="11"/>
  <c r="E232" i="11"/>
  <c r="D232" i="11"/>
  <c r="C232" i="11"/>
  <c r="AA231" i="11"/>
  <c r="Z231" i="11"/>
  <c r="Y231" i="11"/>
  <c r="W231" i="11"/>
  <c r="V231" i="11"/>
  <c r="U231" i="11"/>
  <c r="T231" i="11"/>
  <c r="S231" i="11"/>
  <c r="R231" i="11"/>
  <c r="P231" i="11"/>
  <c r="O231" i="11"/>
  <c r="N231" i="11"/>
  <c r="L231" i="11"/>
  <c r="K231" i="11"/>
  <c r="J231" i="11"/>
  <c r="I231" i="11"/>
  <c r="H231" i="11"/>
  <c r="G231" i="11"/>
  <c r="F231" i="11"/>
  <c r="E231" i="11"/>
  <c r="D231" i="11"/>
  <c r="C231" i="11"/>
  <c r="AA230" i="11"/>
  <c r="Z230" i="11"/>
  <c r="Y230" i="11"/>
  <c r="W230" i="11"/>
  <c r="V230" i="11"/>
  <c r="U230" i="11"/>
  <c r="T230" i="11"/>
  <c r="S230" i="11"/>
  <c r="R230" i="11"/>
  <c r="P230" i="11"/>
  <c r="O230" i="11"/>
  <c r="N230" i="11"/>
  <c r="L230" i="11"/>
  <c r="K230" i="11"/>
  <c r="J230" i="11"/>
  <c r="I230" i="11"/>
  <c r="H230" i="11"/>
  <c r="G230" i="11"/>
  <c r="F230" i="11"/>
  <c r="E230" i="11"/>
  <c r="D230" i="11"/>
  <c r="C230" i="11"/>
  <c r="AA229" i="11"/>
  <c r="Z229" i="11"/>
  <c r="Y229" i="11"/>
  <c r="W229" i="11"/>
  <c r="V229" i="11"/>
  <c r="U229" i="11"/>
  <c r="T229" i="11"/>
  <c r="S229" i="11"/>
  <c r="R229" i="11"/>
  <c r="P229" i="11"/>
  <c r="O229" i="11"/>
  <c r="N229" i="11"/>
  <c r="L229" i="11"/>
  <c r="K229" i="11"/>
  <c r="J229" i="11"/>
  <c r="I229" i="11"/>
  <c r="H229" i="11"/>
  <c r="G229" i="11"/>
  <c r="F229" i="11"/>
  <c r="E229" i="11"/>
  <c r="D229" i="11"/>
  <c r="C229" i="11"/>
  <c r="AA228" i="11"/>
  <c r="Z228" i="11"/>
  <c r="Y228" i="11"/>
  <c r="W228" i="11"/>
  <c r="V228" i="11"/>
  <c r="U228" i="11"/>
  <c r="T228" i="11"/>
  <c r="S228" i="11"/>
  <c r="R228" i="11"/>
  <c r="P228" i="11"/>
  <c r="O228" i="11"/>
  <c r="N228" i="11"/>
  <c r="L228" i="11"/>
  <c r="K228" i="11"/>
  <c r="J228" i="11"/>
  <c r="I228" i="11"/>
  <c r="H228" i="11"/>
  <c r="G228" i="11"/>
  <c r="F228" i="11"/>
  <c r="E228" i="11"/>
  <c r="D228" i="11"/>
  <c r="C228" i="11"/>
  <c r="AA227" i="11"/>
  <c r="Z227" i="11"/>
  <c r="Y227" i="11"/>
  <c r="W227" i="11"/>
  <c r="V227" i="11"/>
  <c r="U227" i="11"/>
  <c r="T227" i="11"/>
  <c r="S227" i="11"/>
  <c r="R227" i="11"/>
  <c r="P227" i="11"/>
  <c r="O227" i="11"/>
  <c r="N227" i="11"/>
  <c r="L227" i="11"/>
  <c r="K227" i="11"/>
  <c r="J227" i="11"/>
  <c r="I227" i="11"/>
  <c r="H227" i="11"/>
  <c r="G227" i="11"/>
  <c r="F227" i="11"/>
  <c r="E227" i="11"/>
  <c r="D227" i="11"/>
  <c r="C227" i="11"/>
  <c r="AA226" i="11"/>
  <c r="Z226" i="11"/>
  <c r="Y226" i="11"/>
  <c r="W226" i="11"/>
  <c r="V226" i="11"/>
  <c r="U226" i="11"/>
  <c r="T226" i="11"/>
  <c r="S226" i="11"/>
  <c r="R226" i="11"/>
  <c r="P226" i="11"/>
  <c r="O226" i="11"/>
  <c r="N226" i="11"/>
  <c r="L226" i="11"/>
  <c r="K226" i="11"/>
  <c r="J226" i="11"/>
  <c r="I226" i="11"/>
  <c r="H226" i="11"/>
  <c r="G226" i="11"/>
  <c r="F226" i="11"/>
  <c r="E226" i="11"/>
  <c r="D226" i="11"/>
  <c r="C226" i="11"/>
  <c r="AA225" i="11"/>
  <c r="Z225" i="11"/>
  <c r="Y225" i="11"/>
  <c r="W225" i="11"/>
  <c r="V225" i="11"/>
  <c r="U225" i="11"/>
  <c r="T225" i="11"/>
  <c r="S225" i="11"/>
  <c r="R225" i="11"/>
  <c r="P225" i="11"/>
  <c r="O225" i="11"/>
  <c r="N225" i="11"/>
  <c r="L225" i="11"/>
  <c r="K225" i="11"/>
  <c r="J225" i="11"/>
  <c r="I225" i="11"/>
  <c r="H225" i="11"/>
  <c r="G225" i="11"/>
  <c r="F225" i="11"/>
  <c r="E225" i="11"/>
  <c r="D225" i="11"/>
  <c r="C225" i="11"/>
  <c r="AA224" i="11"/>
  <c r="Z224" i="11"/>
  <c r="Y224" i="11"/>
  <c r="W224" i="11"/>
  <c r="V224" i="11"/>
  <c r="U224" i="11"/>
  <c r="T224" i="11"/>
  <c r="S224" i="11"/>
  <c r="R224" i="11"/>
  <c r="P224" i="11"/>
  <c r="O224" i="11"/>
  <c r="N224" i="11"/>
  <c r="L224" i="11"/>
  <c r="K224" i="11"/>
  <c r="J224" i="11"/>
  <c r="I224" i="11"/>
  <c r="H224" i="11"/>
  <c r="G224" i="11"/>
  <c r="F224" i="11"/>
  <c r="E224" i="11"/>
  <c r="D224" i="11"/>
  <c r="C224" i="11"/>
  <c r="AA223" i="11"/>
  <c r="Z223" i="11"/>
  <c r="Y223" i="11"/>
  <c r="W223" i="11"/>
  <c r="V223" i="11"/>
  <c r="U223" i="11"/>
  <c r="T223" i="11"/>
  <c r="S223" i="11"/>
  <c r="R223" i="11"/>
  <c r="P223" i="11"/>
  <c r="O223" i="11"/>
  <c r="N223" i="11"/>
  <c r="L223" i="11"/>
  <c r="K223" i="11"/>
  <c r="J223" i="11"/>
  <c r="I223" i="11"/>
  <c r="H223" i="11"/>
  <c r="G223" i="11"/>
  <c r="F223" i="11"/>
  <c r="E223" i="11"/>
  <c r="D223" i="11"/>
  <c r="C223" i="11"/>
  <c r="AA222" i="11"/>
  <c r="Z222" i="11"/>
  <c r="Y222" i="11"/>
  <c r="W222" i="11"/>
  <c r="V222" i="11"/>
  <c r="U222" i="11"/>
  <c r="T222" i="11"/>
  <c r="S222" i="11"/>
  <c r="R222" i="11"/>
  <c r="P222" i="11"/>
  <c r="O222" i="11"/>
  <c r="N222" i="11"/>
  <c r="L222" i="11"/>
  <c r="K222" i="11"/>
  <c r="J222" i="11"/>
  <c r="I222" i="11"/>
  <c r="H222" i="11"/>
  <c r="G222" i="11"/>
  <c r="F222" i="11"/>
  <c r="E222" i="11"/>
  <c r="D222" i="11"/>
  <c r="C222" i="11"/>
  <c r="AA221" i="11"/>
  <c r="Z221" i="11"/>
  <c r="Y221" i="11"/>
  <c r="W221" i="11"/>
  <c r="V221" i="11"/>
  <c r="U221" i="11"/>
  <c r="T221" i="11"/>
  <c r="S221" i="11"/>
  <c r="R221" i="11"/>
  <c r="P221" i="11"/>
  <c r="O221" i="11"/>
  <c r="N221" i="11"/>
  <c r="L221" i="11"/>
  <c r="K221" i="11"/>
  <c r="J221" i="11"/>
  <c r="I221" i="11"/>
  <c r="H221" i="11"/>
  <c r="G221" i="11"/>
  <c r="F221" i="11"/>
  <c r="E221" i="11"/>
  <c r="D221" i="11"/>
  <c r="C221" i="11"/>
  <c r="AA220" i="11"/>
  <c r="Z220" i="11"/>
  <c r="Y220" i="11"/>
  <c r="W220" i="11"/>
  <c r="V220" i="11"/>
  <c r="U220" i="11"/>
  <c r="T220" i="11"/>
  <c r="S220" i="11"/>
  <c r="R220" i="11"/>
  <c r="P220" i="11"/>
  <c r="O220" i="11"/>
  <c r="N220" i="11"/>
  <c r="L220" i="11"/>
  <c r="K220" i="11"/>
  <c r="J220" i="11"/>
  <c r="I220" i="11"/>
  <c r="H220" i="11"/>
  <c r="G220" i="11"/>
  <c r="F220" i="11"/>
  <c r="E220" i="11"/>
  <c r="D220" i="11"/>
  <c r="C220" i="11"/>
  <c r="AA219" i="11"/>
  <c r="Z219" i="11"/>
  <c r="Y219" i="11"/>
  <c r="W219" i="11"/>
  <c r="V219" i="11"/>
  <c r="U219" i="11"/>
  <c r="T219" i="11"/>
  <c r="S219" i="11"/>
  <c r="R219" i="11"/>
  <c r="P219" i="11"/>
  <c r="O219" i="11"/>
  <c r="N219" i="11"/>
  <c r="L219" i="11"/>
  <c r="K219" i="11"/>
  <c r="J219" i="11"/>
  <c r="I219" i="11"/>
  <c r="H219" i="11"/>
  <c r="G219" i="11"/>
  <c r="F219" i="11"/>
  <c r="E219" i="11"/>
  <c r="D219" i="11"/>
  <c r="C219" i="11"/>
  <c r="AA218" i="11"/>
  <c r="Z218" i="11"/>
  <c r="Y218" i="11"/>
  <c r="W218" i="11"/>
  <c r="V218" i="11"/>
  <c r="U218" i="11"/>
  <c r="T218" i="11"/>
  <c r="S218" i="11"/>
  <c r="R218" i="11"/>
  <c r="P218" i="11"/>
  <c r="O218" i="11"/>
  <c r="N218" i="11"/>
  <c r="L218" i="11"/>
  <c r="K218" i="11"/>
  <c r="J218" i="11"/>
  <c r="I218" i="11"/>
  <c r="H218" i="11"/>
  <c r="G218" i="11"/>
  <c r="F218" i="11"/>
  <c r="E218" i="11"/>
  <c r="D218" i="11"/>
  <c r="C218" i="11"/>
  <c r="AA217" i="11"/>
  <c r="Z217" i="11"/>
  <c r="Y217" i="11"/>
  <c r="W217" i="11"/>
  <c r="V217" i="11"/>
  <c r="U217" i="11"/>
  <c r="T217" i="11"/>
  <c r="S217" i="11"/>
  <c r="R217" i="11"/>
  <c r="P217" i="11"/>
  <c r="O217" i="11"/>
  <c r="N217" i="11"/>
  <c r="L217" i="11"/>
  <c r="K217" i="11"/>
  <c r="J217" i="11"/>
  <c r="I217" i="11"/>
  <c r="H217" i="11"/>
  <c r="G217" i="11"/>
  <c r="F217" i="11"/>
  <c r="E217" i="11"/>
  <c r="D217" i="11"/>
  <c r="C217" i="11"/>
  <c r="AA216" i="11"/>
  <c r="Z216" i="11"/>
  <c r="Y216" i="11"/>
  <c r="W216" i="11"/>
  <c r="V216" i="11"/>
  <c r="U216" i="11"/>
  <c r="T216" i="11"/>
  <c r="S216" i="11"/>
  <c r="R216" i="11"/>
  <c r="P216" i="11"/>
  <c r="O216" i="11"/>
  <c r="N216" i="11"/>
  <c r="L216" i="11"/>
  <c r="K216" i="11"/>
  <c r="J216" i="11"/>
  <c r="I216" i="11"/>
  <c r="H216" i="11"/>
  <c r="G216" i="11"/>
  <c r="F216" i="11"/>
  <c r="E216" i="11"/>
  <c r="D216" i="11"/>
  <c r="C216" i="11"/>
  <c r="AA215" i="11"/>
  <c r="Z215" i="11"/>
  <c r="Y215" i="11"/>
  <c r="W215" i="11"/>
  <c r="V215" i="11"/>
  <c r="U215" i="11"/>
  <c r="T215" i="11"/>
  <c r="S215" i="11"/>
  <c r="R215" i="11"/>
  <c r="P215" i="11"/>
  <c r="O215" i="11"/>
  <c r="N215" i="11"/>
  <c r="L215" i="11"/>
  <c r="K215" i="11"/>
  <c r="J215" i="11"/>
  <c r="I215" i="11"/>
  <c r="H215" i="11"/>
  <c r="G215" i="11"/>
  <c r="F215" i="11"/>
  <c r="E215" i="11"/>
  <c r="D215" i="11"/>
  <c r="C215" i="11"/>
  <c r="AA214" i="11"/>
  <c r="Z214" i="11"/>
  <c r="Y214" i="11"/>
  <c r="W214" i="11"/>
  <c r="V214" i="11"/>
  <c r="U214" i="11"/>
  <c r="T214" i="11"/>
  <c r="S214" i="11"/>
  <c r="R214" i="11"/>
  <c r="P214" i="11"/>
  <c r="O214" i="11"/>
  <c r="N214" i="11"/>
  <c r="L214" i="11"/>
  <c r="K214" i="11"/>
  <c r="J214" i="11"/>
  <c r="I214" i="11"/>
  <c r="H214" i="11"/>
  <c r="G214" i="11"/>
  <c r="F214" i="11"/>
  <c r="E214" i="11"/>
  <c r="D214" i="11"/>
  <c r="C214" i="11"/>
  <c r="AA213" i="11"/>
  <c r="Z213" i="11"/>
  <c r="Y213" i="11"/>
  <c r="W213" i="11"/>
  <c r="V213" i="11"/>
  <c r="U213" i="11"/>
  <c r="T213" i="11"/>
  <c r="S213" i="11"/>
  <c r="R213" i="11"/>
  <c r="P213" i="11"/>
  <c r="O213" i="11"/>
  <c r="N213" i="11"/>
  <c r="L213" i="11"/>
  <c r="K213" i="11"/>
  <c r="J213" i="11"/>
  <c r="I213" i="11"/>
  <c r="H213" i="11"/>
  <c r="G213" i="11"/>
  <c r="F213" i="11"/>
  <c r="E213" i="11"/>
  <c r="D213" i="11"/>
  <c r="C213" i="11"/>
  <c r="AA212" i="11"/>
  <c r="Z212" i="11"/>
  <c r="Y212" i="11"/>
  <c r="W212" i="11"/>
  <c r="V212" i="11"/>
  <c r="U212" i="11"/>
  <c r="T212" i="11"/>
  <c r="S212" i="11"/>
  <c r="R212" i="11"/>
  <c r="P212" i="11"/>
  <c r="O212" i="11"/>
  <c r="N212" i="11"/>
  <c r="L212" i="11"/>
  <c r="K212" i="11"/>
  <c r="J212" i="11"/>
  <c r="I212" i="11"/>
  <c r="H212" i="11"/>
  <c r="G212" i="11"/>
  <c r="F212" i="11"/>
  <c r="E212" i="11"/>
  <c r="D212" i="11"/>
  <c r="C212" i="11"/>
  <c r="AA211" i="11"/>
  <c r="Z211" i="11"/>
  <c r="Y211" i="11"/>
  <c r="W211" i="11"/>
  <c r="V211" i="11"/>
  <c r="U211" i="11"/>
  <c r="T211" i="11"/>
  <c r="S211" i="11"/>
  <c r="R211" i="11"/>
  <c r="P211" i="11"/>
  <c r="O211" i="11"/>
  <c r="N211" i="11"/>
  <c r="L211" i="11"/>
  <c r="K211" i="11"/>
  <c r="J211" i="11"/>
  <c r="I211" i="11"/>
  <c r="H211" i="11"/>
  <c r="G211" i="11"/>
  <c r="F211" i="11"/>
  <c r="E211" i="11"/>
  <c r="D211" i="11"/>
  <c r="C211" i="11"/>
  <c r="AA210" i="11"/>
  <c r="Z210" i="11"/>
  <c r="Y210" i="11"/>
  <c r="W210" i="11"/>
  <c r="V210" i="11"/>
  <c r="U210" i="11"/>
  <c r="T210" i="11"/>
  <c r="S210" i="11"/>
  <c r="R210" i="11"/>
  <c r="P210" i="11"/>
  <c r="O210" i="11"/>
  <c r="N210" i="11"/>
  <c r="L210" i="11"/>
  <c r="K210" i="11"/>
  <c r="J210" i="11"/>
  <c r="I210" i="11"/>
  <c r="H210" i="11"/>
  <c r="G210" i="11"/>
  <c r="F210" i="11"/>
  <c r="E210" i="11"/>
  <c r="D210" i="11"/>
  <c r="C210" i="11"/>
  <c r="AA209" i="11"/>
  <c r="Z209" i="11"/>
  <c r="Y209" i="11"/>
  <c r="W209" i="11"/>
  <c r="V209" i="11"/>
  <c r="U209" i="11"/>
  <c r="T209" i="11"/>
  <c r="S209" i="11"/>
  <c r="R209" i="11"/>
  <c r="P209" i="11"/>
  <c r="O209" i="11"/>
  <c r="N209" i="11"/>
  <c r="L209" i="11"/>
  <c r="K209" i="11"/>
  <c r="J209" i="11"/>
  <c r="I209" i="11"/>
  <c r="H209" i="11"/>
  <c r="G209" i="11"/>
  <c r="F209" i="11"/>
  <c r="E209" i="11"/>
  <c r="D209" i="11"/>
  <c r="C209" i="11"/>
  <c r="AA208" i="11"/>
  <c r="Z208" i="11"/>
  <c r="Y208" i="11"/>
  <c r="W208" i="11"/>
  <c r="V208" i="11"/>
  <c r="U208" i="11"/>
  <c r="T208" i="11"/>
  <c r="S208" i="11"/>
  <c r="R208" i="11"/>
  <c r="P208" i="11"/>
  <c r="O208" i="11"/>
  <c r="N208" i="11"/>
  <c r="L208" i="11"/>
  <c r="K208" i="11"/>
  <c r="J208" i="11"/>
  <c r="I208" i="11"/>
  <c r="H208" i="11"/>
  <c r="G208" i="11"/>
  <c r="F208" i="11"/>
  <c r="E208" i="11"/>
  <c r="D208" i="11"/>
  <c r="C208" i="11"/>
  <c r="AA207" i="11"/>
  <c r="Z207" i="11"/>
  <c r="Y207" i="11"/>
  <c r="W207" i="11"/>
  <c r="V207" i="11"/>
  <c r="U207" i="11"/>
  <c r="T207" i="11"/>
  <c r="S207" i="11"/>
  <c r="R207" i="11"/>
  <c r="P207" i="11"/>
  <c r="O207" i="11"/>
  <c r="N207" i="11"/>
  <c r="L207" i="11"/>
  <c r="K207" i="11"/>
  <c r="J207" i="11"/>
  <c r="I207" i="11"/>
  <c r="H207" i="11"/>
  <c r="G207" i="11"/>
  <c r="F207" i="11"/>
  <c r="E207" i="11"/>
  <c r="D207" i="11"/>
  <c r="C207" i="11"/>
  <c r="AA206" i="11"/>
  <c r="Z206" i="11"/>
  <c r="Y206" i="11"/>
  <c r="W206" i="11"/>
  <c r="V206" i="11"/>
  <c r="U206" i="11"/>
  <c r="T206" i="11"/>
  <c r="S206" i="11"/>
  <c r="R206" i="11"/>
  <c r="P206" i="11"/>
  <c r="O206" i="11"/>
  <c r="N206" i="11"/>
  <c r="L206" i="11"/>
  <c r="K206" i="11"/>
  <c r="J206" i="11"/>
  <c r="I206" i="11"/>
  <c r="H206" i="11"/>
  <c r="G206" i="11"/>
  <c r="F206" i="11"/>
  <c r="E206" i="11"/>
  <c r="D206" i="11"/>
  <c r="C206" i="11"/>
  <c r="AA205" i="11"/>
  <c r="Z205" i="11"/>
  <c r="Y205" i="11"/>
  <c r="W205" i="11"/>
  <c r="V205" i="11"/>
  <c r="U205" i="11"/>
  <c r="T205" i="11"/>
  <c r="S205" i="11"/>
  <c r="R205" i="11"/>
  <c r="P205" i="11"/>
  <c r="O205" i="11"/>
  <c r="N205" i="11"/>
  <c r="L205" i="11"/>
  <c r="K205" i="11"/>
  <c r="J205" i="11"/>
  <c r="I205" i="11"/>
  <c r="H205" i="11"/>
  <c r="G205" i="11"/>
  <c r="F205" i="11"/>
  <c r="E205" i="11"/>
  <c r="D205" i="11"/>
  <c r="C205" i="11"/>
  <c r="AA204" i="11"/>
  <c r="Z204" i="11"/>
  <c r="Y204" i="11"/>
  <c r="W204" i="11"/>
  <c r="V204" i="11"/>
  <c r="U204" i="11"/>
  <c r="T204" i="11"/>
  <c r="S204" i="11"/>
  <c r="R204" i="11"/>
  <c r="P204" i="11"/>
  <c r="O204" i="11"/>
  <c r="N204" i="11"/>
  <c r="L204" i="11"/>
  <c r="K204" i="11"/>
  <c r="J204" i="11"/>
  <c r="I204" i="11"/>
  <c r="H204" i="11"/>
  <c r="G204" i="11"/>
  <c r="F204" i="11"/>
  <c r="E204" i="11"/>
  <c r="D204" i="11"/>
  <c r="C204" i="11"/>
  <c r="AA203" i="11"/>
  <c r="Z203" i="11"/>
  <c r="Y203" i="11"/>
  <c r="W203" i="11"/>
  <c r="V203" i="11"/>
  <c r="U203" i="11"/>
  <c r="T203" i="11"/>
  <c r="S203" i="11"/>
  <c r="R203" i="11"/>
  <c r="P203" i="11"/>
  <c r="O203" i="11"/>
  <c r="N203" i="11"/>
  <c r="L203" i="11"/>
  <c r="K203" i="11"/>
  <c r="J203" i="11"/>
  <c r="I203" i="11"/>
  <c r="H203" i="11"/>
  <c r="G203" i="11"/>
  <c r="F203" i="11"/>
  <c r="E203" i="11"/>
  <c r="D203" i="11"/>
  <c r="C203" i="11"/>
  <c r="AA202" i="11"/>
  <c r="Z202" i="11"/>
  <c r="Y202" i="11"/>
  <c r="W202" i="11"/>
  <c r="V202" i="11"/>
  <c r="U202" i="11"/>
  <c r="T202" i="11"/>
  <c r="S202" i="11"/>
  <c r="R202" i="11"/>
  <c r="P202" i="11"/>
  <c r="O202" i="11"/>
  <c r="N202" i="11"/>
  <c r="L202" i="11"/>
  <c r="K202" i="11"/>
  <c r="J202" i="11"/>
  <c r="I202" i="11"/>
  <c r="H202" i="11"/>
  <c r="G202" i="11"/>
  <c r="F202" i="11"/>
  <c r="E202" i="11"/>
  <c r="D202" i="11"/>
  <c r="C202" i="11"/>
  <c r="AA201" i="11"/>
  <c r="Z201" i="11"/>
  <c r="Y201" i="11"/>
  <c r="W201" i="11"/>
  <c r="V201" i="11"/>
  <c r="U201" i="11"/>
  <c r="T201" i="11"/>
  <c r="S201" i="11"/>
  <c r="R201" i="11"/>
  <c r="P201" i="11"/>
  <c r="O201" i="11"/>
  <c r="N201" i="11"/>
  <c r="L201" i="11"/>
  <c r="K201" i="11"/>
  <c r="J201" i="11"/>
  <c r="I201" i="11"/>
  <c r="H201" i="11"/>
  <c r="G201" i="11"/>
  <c r="F201" i="11"/>
  <c r="E201" i="11"/>
  <c r="D201" i="11"/>
  <c r="C201" i="11"/>
  <c r="AA200" i="11"/>
  <c r="Z200" i="11"/>
  <c r="Y200" i="11"/>
  <c r="W200" i="11"/>
  <c r="V200" i="11"/>
  <c r="U200" i="11"/>
  <c r="T200" i="11"/>
  <c r="S200" i="11"/>
  <c r="R200" i="11"/>
  <c r="P200" i="11"/>
  <c r="O200" i="11"/>
  <c r="N200" i="11"/>
  <c r="L200" i="11"/>
  <c r="K200" i="11"/>
  <c r="J200" i="11"/>
  <c r="I200" i="11"/>
  <c r="H200" i="11"/>
  <c r="G200" i="11"/>
  <c r="F200" i="11"/>
  <c r="E200" i="11"/>
  <c r="D200" i="11"/>
  <c r="C200" i="11"/>
  <c r="AA199" i="11"/>
  <c r="Z199" i="11"/>
  <c r="Y199" i="11"/>
  <c r="W199" i="11"/>
  <c r="V199" i="11"/>
  <c r="U199" i="11"/>
  <c r="T199" i="11"/>
  <c r="S199" i="11"/>
  <c r="R199" i="11"/>
  <c r="P199" i="11"/>
  <c r="O199" i="11"/>
  <c r="N199" i="11"/>
  <c r="L199" i="11"/>
  <c r="K199" i="11"/>
  <c r="J199" i="11"/>
  <c r="I199" i="11"/>
  <c r="H199" i="11"/>
  <c r="G199" i="11"/>
  <c r="F199" i="11"/>
  <c r="E199" i="11"/>
  <c r="D199" i="11"/>
  <c r="C199" i="11"/>
  <c r="AA198" i="11"/>
  <c r="Z198" i="11"/>
  <c r="Y198" i="11"/>
  <c r="W198" i="11"/>
  <c r="V198" i="11"/>
  <c r="U198" i="11"/>
  <c r="T198" i="11"/>
  <c r="S198" i="11"/>
  <c r="R198" i="11"/>
  <c r="P198" i="11"/>
  <c r="O198" i="11"/>
  <c r="N198" i="11"/>
  <c r="L198" i="11"/>
  <c r="K198" i="11"/>
  <c r="J198" i="11"/>
  <c r="I198" i="11"/>
  <c r="H198" i="11"/>
  <c r="G198" i="11"/>
  <c r="F198" i="11"/>
  <c r="E198" i="11"/>
  <c r="D198" i="11"/>
  <c r="C198" i="11"/>
  <c r="AA197" i="11"/>
  <c r="Z197" i="11"/>
  <c r="Y197" i="11"/>
  <c r="W197" i="11"/>
  <c r="V197" i="11"/>
  <c r="U197" i="11"/>
  <c r="T197" i="11"/>
  <c r="S197" i="11"/>
  <c r="R197" i="11"/>
  <c r="P197" i="11"/>
  <c r="O197" i="11"/>
  <c r="N197" i="11"/>
  <c r="L197" i="11"/>
  <c r="K197" i="11"/>
  <c r="J197" i="11"/>
  <c r="I197" i="11"/>
  <c r="H197" i="11"/>
  <c r="G197" i="11"/>
  <c r="F197" i="11"/>
  <c r="E197" i="11"/>
  <c r="D197" i="11"/>
  <c r="C197" i="11"/>
  <c r="AA196" i="11"/>
  <c r="Z196" i="11"/>
  <c r="Y196" i="11"/>
  <c r="W196" i="11"/>
  <c r="V196" i="11"/>
  <c r="U196" i="11"/>
  <c r="T196" i="11"/>
  <c r="S196" i="11"/>
  <c r="R196" i="11"/>
  <c r="P196" i="11"/>
  <c r="O196" i="11"/>
  <c r="N196" i="11"/>
  <c r="L196" i="11"/>
  <c r="K196" i="11"/>
  <c r="J196" i="11"/>
  <c r="I196" i="11"/>
  <c r="H196" i="11"/>
  <c r="G196" i="11"/>
  <c r="F196" i="11"/>
  <c r="E196" i="11"/>
  <c r="D196" i="11"/>
  <c r="C196" i="11"/>
  <c r="AA195" i="11"/>
  <c r="Z195" i="11"/>
  <c r="Y195" i="11"/>
  <c r="W195" i="11"/>
  <c r="V195" i="11"/>
  <c r="U195" i="11"/>
  <c r="T195" i="11"/>
  <c r="S195" i="11"/>
  <c r="R195" i="11"/>
  <c r="P195" i="11"/>
  <c r="O195" i="11"/>
  <c r="N195" i="11"/>
  <c r="L195" i="11"/>
  <c r="K195" i="11"/>
  <c r="J195" i="11"/>
  <c r="I195" i="11"/>
  <c r="H195" i="11"/>
  <c r="G195" i="11"/>
  <c r="F195" i="11"/>
  <c r="E195" i="11"/>
  <c r="D195" i="11"/>
  <c r="C195" i="11"/>
  <c r="AA194" i="11"/>
  <c r="Z194" i="11"/>
  <c r="Y194" i="11"/>
  <c r="W194" i="11"/>
  <c r="V194" i="11"/>
  <c r="U194" i="11"/>
  <c r="T194" i="11"/>
  <c r="S194" i="11"/>
  <c r="R194" i="11"/>
  <c r="P194" i="11"/>
  <c r="O194" i="11"/>
  <c r="N194" i="11"/>
  <c r="L194" i="11"/>
  <c r="K194" i="11"/>
  <c r="J194" i="11"/>
  <c r="I194" i="11"/>
  <c r="H194" i="11"/>
  <c r="G194" i="11"/>
  <c r="F194" i="11"/>
  <c r="E194" i="11"/>
  <c r="D194" i="11"/>
  <c r="C194" i="11"/>
  <c r="AA193" i="11"/>
  <c r="Z193" i="11"/>
  <c r="Y193" i="11"/>
  <c r="W193" i="11"/>
  <c r="V193" i="11"/>
  <c r="U193" i="11"/>
  <c r="T193" i="11"/>
  <c r="S193" i="11"/>
  <c r="R193" i="11"/>
  <c r="P193" i="11"/>
  <c r="O193" i="11"/>
  <c r="N193" i="11"/>
  <c r="L193" i="11"/>
  <c r="K193" i="11"/>
  <c r="J193" i="11"/>
  <c r="I193" i="11"/>
  <c r="H193" i="11"/>
  <c r="G193" i="11"/>
  <c r="F193" i="11"/>
  <c r="E193" i="11"/>
  <c r="D193" i="11"/>
  <c r="C193" i="11"/>
  <c r="AA192" i="11"/>
  <c r="Z192" i="11"/>
  <c r="Y192" i="11"/>
  <c r="W192" i="11"/>
  <c r="V192" i="11"/>
  <c r="U192" i="11"/>
  <c r="T192" i="11"/>
  <c r="S192" i="11"/>
  <c r="R192" i="11"/>
  <c r="P192" i="11"/>
  <c r="O192" i="11"/>
  <c r="N192" i="11"/>
  <c r="L192" i="11"/>
  <c r="K192" i="11"/>
  <c r="J192" i="11"/>
  <c r="I192" i="11"/>
  <c r="H192" i="11"/>
  <c r="G192" i="11"/>
  <c r="F192" i="11"/>
  <c r="E192" i="11"/>
  <c r="D192" i="11"/>
  <c r="C192" i="11"/>
  <c r="AA191" i="11"/>
  <c r="Z191" i="11"/>
  <c r="Y191" i="11"/>
  <c r="W191" i="11"/>
  <c r="V191" i="11"/>
  <c r="U191" i="11"/>
  <c r="T191" i="11"/>
  <c r="S191" i="11"/>
  <c r="R191" i="11"/>
  <c r="P191" i="11"/>
  <c r="O191" i="11"/>
  <c r="N191" i="11"/>
  <c r="L191" i="11"/>
  <c r="K191" i="11"/>
  <c r="J191" i="11"/>
  <c r="I191" i="11"/>
  <c r="H191" i="11"/>
  <c r="G191" i="11"/>
  <c r="F191" i="11"/>
  <c r="E191" i="11"/>
  <c r="D191" i="11"/>
  <c r="C191" i="11"/>
  <c r="AA190" i="11"/>
  <c r="Z190" i="11"/>
  <c r="Y190" i="11"/>
  <c r="W190" i="11"/>
  <c r="V190" i="11"/>
  <c r="U190" i="11"/>
  <c r="T190" i="11"/>
  <c r="S190" i="11"/>
  <c r="R190" i="11"/>
  <c r="P190" i="11"/>
  <c r="O190" i="11"/>
  <c r="N190" i="11"/>
  <c r="L190" i="11"/>
  <c r="K190" i="11"/>
  <c r="J190" i="11"/>
  <c r="I190" i="11"/>
  <c r="H190" i="11"/>
  <c r="G190" i="11"/>
  <c r="F190" i="11"/>
  <c r="E190" i="11"/>
  <c r="D190" i="11"/>
  <c r="C190" i="11"/>
  <c r="AA189" i="11"/>
  <c r="Z189" i="11"/>
  <c r="Y189" i="11"/>
  <c r="W189" i="11"/>
  <c r="V189" i="11"/>
  <c r="U189" i="11"/>
  <c r="T189" i="11"/>
  <c r="S189" i="11"/>
  <c r="R189" i="11"/>
  <c r="P189" i="11"/>
  <c r="O189" i="11"/>
  <c r="N189" i="11"/>
  <c r="L189" i="11"/>
  <c r="K189" i="11"/>
  <c r="J189" i="11"/>
  <c r="I189" i="11"/>
  <c r="H189" i="11"/>
  <c r="G189" i="11"/>
  <c r="F189" i="11"/>
  <c r="E189" i="11"/>
  <c r="D189" i="11"/>
  <c r="C189" i="11"/>
  <c r="AA188" i="11"/>
  <c r="Z188" i="11"/>
  <c r="Y188" i="11"/>
  <c r="W188" i="11"/>
  <c r="V188" i="11"/>
  <c r="U188" i="11"/>
  <c r="T188" i="11"/>
  <c r="S188" i="11"/>
  <c r="R188" i="11"/>
  <c r="P188" i="11"/>
  <c r="O188" i="11"/>
  <c r="N188" i="11"/>
  <c r="L188" i="11"/>
  <c r="K188" i="11"/>
  <c r="J188" i="11"/>
  <c r="I188" i="11"/>
  <c r="H188" i="11"/>
  <c r="G188" i="11"/>
  <c r="F188" i="11"/>
  <c r="E188" i="11"/>
  <c r="D188" i="11"/>
  <c r="C188" i="11"/>
  <c r="AA187" i="11"/>
  <c r="Z187" i="11"/>
  <c r="Y187" i="11"/>
  <c r="W187" i="11"/>
  <c r="V187" i="11"/>
  <c r="U187" i="11"/>
  <c r="T187" i="11"/>
  <c r="S187" i="11"/>
  <c r="R187" i="11"/>
  <c r="P187" i="11"/>
  <c r="O187" i="11"/>
  <c r="N187" i="11"/>
  <c r="L187" i="11"/>
  <c r="K187" i="11"/>
  <c r="J187" i="11"/>
  <c r="I187" i="11"/>
  <c r="H187" i="11"/>
  <c r="G187" i="11"/>
  <c r="F187" i="11"/>
  <c r="E187" i="11"/>
  <c r="D187" i="11"/>
  <c r="C187" i="11"/>
  <c r="AA186" i="11"/>
  <c r="Z186" i="11"/>
  <c r="Y186" i="11"/>
  <c r="W186" i="11"/>
  <c r="V186" i="11"/>
  <c r="U186" i="11"/>
  <c r="T186" i="11"/>
  <c r="S186" i="11"/>
  <c r="R186" i="11"/>
  <c r="P186" i="11"/>
  <c r="O186" i="11"/>
  <c r="N186" i="11"/>
  <c r="L186" i="11"/>
  <c r="K186" i="11"/>
  <c r="J186" i="11"/>
  <c r="I186" i="11"/>
  <c r="H186" i="11"/>
  <c r="G186" i="11"/>
  <c r="F186" i="11"/>
  <c r="E186" i="11"/>
  <c r="D186" i="11"/>
  <c r="C186" i="11"/>
  <c r="AA185" i="11"/>
  <c r="Z185" i="11"/>
  <c r="Y185" i="11"/>
  <c r="W185" i="11"/>
  <c r="V185" i="11"/>
  <c r="U185" i="11"/>
  <c r="T185" i="11"/>
  <c r="S185" i="11"/>
  <c r="R185" i="11"/>
  <c r="P185" i="11"/>
  <c r="O185" i="11"/>
  <c r="N185" i="11"/>
  <c r="L185" i="11"/>
  <c r="K185" i="11"/>
  <c r="J185" i="11"/>
  <c r="I185" i="11"/>
  <c r="H185" i="11"/>
  <c r="G185" i="11"/>
  <c r="F185" i="11"/>
  <c r="E185" i="11"/>
  <c r="D185" i="11"/>
  <c r="C185" i="11"/>
  <c r="AA184" i="11"/>
  <c r="Z184" i="11"/>
  <c r="Y184" i="11"/>
  <c r="W184" i="11"/>
  <c r="V184" i="11"/>
  <c r="U184" i="11"/>
  <c r="T184" i="11"/>
  <c r="S184" i="11"/>
  <c r="R184" i="11"/>
  <c r="P184" i="11"/>
  <c r="O184" i="11"/>
  <c r="N184" i="11"/>
  <c r="L184" i="11"/>
  <c r="K184" i="11"/>
  <c r="J184" i="11"/>
  <c r="I184" i="11"/>
  <c r="H184" i="11"/>
  <c r="G184" i="11"/>
  <c r="F184" i="11"/>
  <c r="E184" i="11"/>
  <c r="D184" i="11"/>
  <c r="C184" i="11"/>
  <c r="AA183" i="11"/>
  <c r="Z183" i="11"/>
  <c r="Y183" i="11"/>
  <c r="W183" i="11"/>
  <c r="V183" i="11"/>
  <c r="U183" i="11"/>
  <c r="T183" i="11"/>
  <c r="S183" i="11"/>
  <c r="R183" i="11"/>
  <c r="P183" i="11"/>
  <c r="O183" i="11"/>
  <c r="N183" i="11"/>
  <c r="L183" i="11"/>
  <c r="K183" i="11"/>
  <c r="J183" i="11"/>
  <c r="I183" i="11"/>
  <c r="H183" i="11"/>
  <c r="G183" i="11"/>
  <c r="F183" i="11"/>
  <c r="E183" i="11"/>
  <c r="D183" i="11"/>
  <c r="C183" i="11"/>
  <c r="AA182" i="11"/>
  <c r="Z182" i="11"/>
  <c r="Y182" i="11"/>
  <c r="W182" i="11"/>
  <c r="V182" i="11"/>
  <c r="U182" i="11"/>
  <c r="T182" i="11"/>
  <c r="S182" i="11"/>
  <c r="R182" i="11"/>
  <c r="P182" i="11"/>
  <c r="O182" i="11"/>
  <c r="N182" i="11"/>
  <c r="L182" i="11"/>
  <c r="K182" i="11"/>
  <c r="J182" i="11"/>
  <c r="I182" i="11"/>
  <c r="H182" i="11"/>
  <c r="G182" i="11"/>
  <c r="F182" i="11"/>
  <c r="E182" i="11"/>
  <c r="D182" i="11"/>
  <c r="C182" i="11"/>
  <c r="AA181" i="11"/>
  <c r="Z181" i="11"/>
  <c r="Y181" i="11"/>
  <c r="W181" i="11"/>
  <c r="V181" i="11"/>
  <c r="U181" i="11"/>
  <c r="T181" i="11"/>
  <c r="S181" i="11"/>
  <c r="R181" i="11"/>
  <c r="P181" i="11"/>
  <c r="O181" i="11"/>
  <c r="N181" i="11"/>
  <c r="L181" i="11"/>
  <c r="K181" i="11"/>
  <c r="J181" i="11"/>
  <c r="I181" i="11"/>
  <c r="H181" i="11"/>
  <c r="G181" i="11"/>
  <c r="F181" i="11"/>
  <c r="E181" i="11"/>
  <c r="D181" i="11"/>
  <c r="C181" i="11"/>
  <c r="AA180" i="11"/>
  <c r="Z180" i="11"/>
  <c r="Y180" i="11"/>
  <c r="W180" i="11"/>
  <c r="V180" i="11"/>
  <c r="U180" i="11"/>
  <c r="T180" i="11"/>
  <c r="S180" i="11"/>
  <c r="R180" i="11"/>
  <c r="P180" i="11"/>
  <c r="O180" i="11"/>
  <c r="N180" i="11"/>
  <c r="L180" i="11"/>
  <c r="K180" i="11"/>
  <c r="J180" i="11"/>
  <c r="I180" i="11"/>
  <c r="H180" i="11"/>
  <c r="G180" i="11"/>
  <c r="F180" i="11"/>
  <c r="E180" i="11"/>
  <c r="D180" i="11"/>
  <c r="C180" i="11"/>
  <c r="AA179" i="11"/>
  <c r="Z179" i="11"/>
  <c r="Y179" i="11"/>
  <c r="W179" i="11"/>
  <c r="V179" i="11"/>
  <c r="U179" i="11"/>
  <c r="T179" i="11"/>
  <c r="S179" i="11"/>
  <c r="R179" i="11"/>
  <c r="P179" i="11"/>
  <c r="O179" i="11"/>
  <c r="N179" i="11"/>
  <c r="L179" i="11"/>
  <c r="K179" i="11"/>
  <c r="J179" i="11"/>
  <c r="I179" i="11"/>
  <c r="H179" i="11"/>
  <c r="G179" i="11"/>
  <c r="F179" i="11"/>
  <c r="E179" i="11"/>
  <c r="D179" i="11"/>
  <c r="C179" i="11"/>
  <c r="AA178" i="11"/>
  <c r="Z178" i="11"/>
  <c r="Y178" i="11"/>
  <c r="W178" i="11"/>
  <c r="V178" i="11"/>
  <c r="U178" i="11"/>
  <c r="T178" i="11"/>
  <c r="S178" i="11"/>
  <c r="R178" i="11"/>
  <c r="P178" i="11"/>
  <c r="O178" i="11"/>
  <c r="N178" i="11"/>
  <c r="L178" i="11"/>
  <c r="K178" i="11"/>
  <c r="J178" i="11"/>
  <c r="I178" i="11"/>
  <c r="H178" i="11"/>
  <c r="G178" i="11"/>
  <c r="F178" i="11"/>
  <c r="E178" i="11"/>
  <c r="D178" i="11"/>
  <c r="C178" i="11"/>
  <c r="AA177" i="11"/>
  <c r="Z177" i="11"/>
  <c r="Y177" i="11"/>
  <c r="W177" i="11"/>
  <c r="V177" i="11"/>
  <c r="U177" i="11"/>
  <c r="T177" i="11"/>
  <c r="S177" i="11"/>
  <c r="R177" i="11"/>
  <c r="P177" i="11"/>
  <c r="O177" i="11"/>
  <c r="N177" i="11"/>
  <c r="L177" i="11"/>
  <c r="K177" i="11"/>
  <c r="J177" i="11"/>
  <c r="I177" i="11"/>
  <c r="H177" i="11"/>
  <c r="G177" i="11"/>
  <c r="F177" i="11"/>
  <c r="E177" i="11"/>
  <c r="D177" i="11"/>
  <c r="C177" i="11"/>
  <c r="AA176" i="11"/>
  <c r="Z176" i="11"/>
  <c r="Y176" i="11"/>
  <c r="W176" i="11"/>
  <c r="V176" i="11"/>
  <c r="U176" i="11"/>
  <c r="T176" i="11"/>
  <c r="S176" i="11"/>
  <c r="R176" i="11"/>
  <c r="P176" i="11"/>
  <c r="O176" i="11"/>
  <c r="N176" i="11"/>
  <c r="L176" i="11"/>
  <c r="K176" i="11"/>
  <c r="J176" i="11"/>
  <c r="I176" i="11"/>
  <c r="H176" i="11"/>
  <c r="G176" i="11"/>
  <c r="F176" i="11"/>
  <c r="E176" i="11"/>
  <c r="D176" i="11"/>
  <c r="C176" i="11"/>
  <c r="AA175" i="11"/>
  <c r="Z175" i="11"/>
  <c r="Y175" i="11"/>
  <c r="W175" i="11"/>
  <c r="V175" i="11"/>
  <c r="U175" i="11"/>
  <c r="T175" i="11"/>
  <c r="S175" i="11"/>
  <c r="R175" i="11"/>
  <c r="P175" i="11"/>
  <c r="O175" i="11"/>
  <c r="N175" i="11"/>
  <c r="L175" i="11"/>
  <c r="K175" i="11"/>
  <c r="J175" i="11"/>
  <c r="I175" i="11"/>
  <c r="H175" i="11"/>
  <c r="G175" i="11"/>
  <c r="F175" i="11"/>
  <c r="E175" i="11"/>
  <c r="D175" i="11"/>
  <c r="C175" i="11"/>
  <c r="AA174" i="11"/>
  <c r="Z174" i="11"/>
  <c r="Y174" i="11"/>
  <c r="W174" i="11"/>
  <c r="V174" i="11"/>
  <c r="U174" i="11"/>
  <c r="T174" i="11"/>
  <c r="S174" i="11"/>
  <c r="R174" i="11"/>
  <c r="P174" i="11"/>
  <c r="O174" i="11"/>
  <c r="N174" i="11"/>
  <c r="L174" i="11"/>
  <c r="K174" i="11"/>
  <c r="J174" i="11"/>
  <c r="I174" i="11"/>
  <c r="H174" i="11"/>
  <c r="G174" i="11"/>
  <c r="F174" i="11"/>
  <c r="E174" i="11"/>
  <c r="D174" i="11"/>
  <c r="C174" i="11"/>
  <c r="AA173" i="11"/>
  <c r="Z173" i="11"/>
  <c r="Y173" i="11"/>
  <c r="W173" i="11"/>
  <c r="V173" i="11"/>
  <c r="U173" i="11"/>
  <c r="T173" i="11"/>
  <c r="S173" i="11"/>
  <c r="R173" i="11"/>
  <c r="P173" i="11"/>
  <c r="O173" i="11"/>
  <c r="N173" i="11"/>
  <c r="L173" i="11"/>
  <c r="K173" i="11"/>
  <c r="J173" i="11"/>
  <c r="I173" i="11"/>
  <c r="H173" i="11"/>
  <c r="G173" i="11"/>
  <c r="F173" i="11"/>
  <c r="E173" i="11"/>
  <c r="D173" i="11"/>
  <c r="C173" i="11"/>
  <c r="AA172" i="11"/>
  <c r="Z172" i="11"/>
  <c r="Y172" i="11"/>
  <c r="W172" i="11"/>
  <c r="V172" i="11"/>
  <c r="U172" i="11"/>
  <c r="T172" i="11"/>
  <c r="S172" i="11"/>
  <c r="R172" i="11"/>
  <c r="P172" i="11"/>
  <c r="O172" i="11"/>
  <c r="N172" i="11"/>
  <c r="L172" i="11"/>
  <c r="K172" i="11"/>
  <c r="J172" i="11"/>
  <c r="I172" i="11"/>
  <c r="H172" i="11"/>
  <c r="G172" i="11"/>
  <c r="F172" i="11"/>
  <c r="E172" i="11"/>
  <c r="D172" i="11"/>
  <c r="C172" i="11"/>
  <c r="AA171" i="11"/>
  <c r="Z171" i="11"/>
  <c r="Y171" i="11"/>
  <c r="W171" i="11"/>
  <c r="V171" i="11"/>
  <c r="U171" i="11"/>
  <c r="T171" i="11"/>
  <c r="S171" i="11"/>
  <c r="R171" i="11"/>
  <c r="P171" i="11"/>
  <c r="O171" i="11"/>
  <c r="N171" i="11"/>
  <c r="L171" i="11"/>
  <c r="K171" i="11"/>
  <c r="J171" i="11"/>
  <c r="I171" i="11"/>
  <c r="H171" i="11"/>
  <c r="G171" i="11"/>
  <c r="F171" i="11"/>
  <c r="E171" i="11"/>
  <c r="D171" i="11"/>
  <c r="C171" i="11"/>
  <c r="AA170" i="11"/>
  <c r="Z170" i="11"/>
  <c r="Y170" i="11"/>
  <c r="W170" i="11"/>
  <c r="V170" i="11"/>
  <c r="U170" i="11"/>
  <c r="T170" i="11"/>
  <c r="S170" i="11"/>
  <c r="R170" i="11"/>
  <c r="P170" i="11"/>
  <c r="O170" i="11"/>
  <c r="N170" i="11"/>
  <c r="L170" i="11"/>
  <c r="K170" i="11"/>
  <c r="J170" i="11"/>
  <c r="I170" i="11"/>
  <c r="H170" i="11"/>
  <c r="G170" i="11"/>
  <c r="F170" i="11"/>
  <c r="E170" i="11"/>
  <c r="D170" i="11"/>
  <c r="C170" i="11"/>
  <c r="AA169" i="11"/>
  <c r="Z169" i="11"/>
  <c r="Y169" i="11"/>
  <c r="W169" i="11"/>
  <c r="V169" i="11"/>
  <c r="U169" i="11"/>
  <c r="T169" i="11"/>
  <c r="S169" i="11"/>
  <c r="R169" i="11"/>
  <c r="P169" i="11"/>
  <c r="O169" i="11"/>
  <c r="N169" i="11"/>
  <c r="L169" i="11"/>
  <c r="K169" i="11"/>
  <c r="J169" i="11"/>
  <c r="I169" i="11"/>
  <c r="H169" i="11"/>
  <c r="G169" i="11"/>
  <c r="F169" i="11"/>
  <c r="E169" i="11"/>
  <c r="D169" i="11"/>
  <c r="C169" i="11"/>
  <c r="AA168" i="11"/>
  <c r="Z168" i="11"/>
  <c r="Y168" i="11"/>
  <c r="W168" i="11"/>
  <c r="V168" i="11"/>
  <c r="U168" i="11"/>
  <c r="T168" i="11"/>
  <c r="S168" i="11"/>
  <c r="R168" i="11"/>
  <c r="P168" i="11"/>
  <c r="O168" i="11"/>
  <c r="N168" i="11"/>
  <c r="L168" i="11"/>
  <c r="K168" i="11"/>
  <c r="J168" i="11"/>
  <c r="I168" i="11"/>
  <c r="H168" i="11"/>
  <c r="G168" i="11"/>
  <c r="F168" i="11"/>
  <c r="E168" i="11"/>
  <c r="D168" i="11"/>
  <c r="C168" i="11"/>
  <c r="AA167" i="11"/>
  <c r="Z167" i="11"/>
  <c r="Y167" i="11"/>
  <c r="W167" i="11"/>
  <c r="V167" i="11"/>
  <c r="U167" i="11"/>
  <c r="T167" i="11"/>
  <c r="S167" i="11"/>
  <c r="R167" i="11"/>
  <c r="P167" i="11"/>
  <c r="O167" i="11"/>
  <c r="N167" i="11"/>
  <c r="L167" i="11"/>
  <c r="K167" i="11"/>
  <c r="J167" i="11"/>
  <c r="I167" i="11"/>
  <c r="H167" i="11"/>
  <c r="G167" i="11"/>
  <c r="F167" i="11"/>
  <c r="E167" i="11"/>
  <c r="D167" i="11"/>
  <c r="C167" i="11"/>
  <c r="AA166" i="11"/>
  <c r="Z166" i="11"/>
  <c r="Y166" i="11"/>
  <c r="W166" i="11"/>
  <c r="V166" i="11"/>
  <c r="U166" i="11"/>
  <c r="T166" i="11"/>
  <c r="S166" i="11"/>
  <c r="R166" i="11"/>
  <c r="P166" i="11"/>
  <c r="O166" i="11"/>
  <c r="N166" i="11"/>
  <c r="L166" i="11"/>
  <c r="K166" i="11"/>
  <c r="J166" i="11"/>
  <c r="I166" i="11"/>
  <c r="H166" i="11"/>
  <c r="G166" i="11"/>
  <c r="F166" i="11"/>
  <c r="E166" i="11"/>
  <c r="D166" i="11"/>
  <c r="C166" i="11"/>
  <c r="AA165" i="11"/>
  <c r="Z165" i="11"/>
  <c r="Y165" i="11"/>
  <c r="W165" i="11"/>
  <c r="V165" i="11"/>
  <c r="U165" i="11"/>
  <c r="T165" i="11"/>
  <c r="S165" i="11"/>
  <c r="R165" i="11"/>
  <c r="P165" i="11"/>
  <c r="O165" i="11"/>
  <c r="N165" i="11"/>
  <c r="L165" i="11"/>
  <c r="K165" i="11"/>
  <c r="J165" i="11"/>
  <c r="I165" i="11"/>
  <c r="H165" i="11"/>
  <c r="G165" i="11"/>
  <c r="F165" i="11"/>
  <c r="E165" i="11"/>
  <c r="D165" i="11"/>
  <c r="C165" i="11"/>
  <c r="AA164" i="11"/>
  <c r="Z164" i="11"/>
  <c r="Y164" i="11"/>
  <c r="W164" i="11"/>
  <c r="V164" i="11"/>
  <c r="U164" i="11"/>
  <c r="T164" i="11"/>
  <c r="S164" i="11"/>
  <c r="R164" i="11"/>
  <c r="P164" i="11"/>
  <c r="O164" i="11"/>
  <c r="N164" i="11"/>
  <c r="L164" i="11"/>
  <c r="K164" i="11"/>
  <c r="J164" i="11"/>
  <c r="I164" i="11"/>
  <c r="H164" i="11"/>
  <c r="G164" i="11"/>
  <c r="F164" i="11"/>
  <c r="E164" i="11"/>
  <c r="D164" i="11"/>
  <c r="C164" i="11"/>
  <c r="AA163" i="11"/>
  <c r="Z163" i="11"/>
  <c r="Y163" i="11"/>
  <c r="W163" i="11"/>
  <c r="V163" i="11"/>
  <c r="U163" i="11"/>
  <c r="T163" i="11"/>
  <c r="S163" i="11"/>
  <c r="R163" i="11"/>
  <c r="P163" i="11"/>
  <c r="O163" i="11"/>
  <c r="N163" i="11"/>
  <c r="L163" i="11"/>
  <c r="K163" i="11"/>
  <c r="J163" i="11"/>
  <c r="I163" i="11"/>
  <c r="H163" i="11"/>
  <c r="G163" i="11"/>
  <c r="F163" i="11"/>
  <c r="E163" i="11"/>
  <c r="D163" i="11"/>
  <c r="C163" i="11"/>
  <c r="AA162" i="11"/>
  <c r="Z162" i="11"/>
  <c r="Y162" i="11"/>
  <c r="W162" i="11"/>
  <c r="V162" i="11"/>
  <c r="U162" i="11"/>
  <c r="T162" i="11"/>
  <c r="S162" i="11"/>
  <c r="R162" i="11"/>
  <c r="P162" i="11"/>
  <c r="O162" i="11"/>
  <c r="N162" i="11"/>
  <c r="L162" i="11"/>
  <c r="K162" i="11"/>
  <c r="J162" i="11"/>
  <c r="I162" i="11"/>
  <c r="H162" i="11"/>
  <c r="G162" i="11"/>
  <c r="F162" i="11"/>
  <c r="E162" i="11"/>
  <c r="D162" i="11"/>
  <c r="C162" i="11"/>
  <c r="AA161" i="11"/>
  <c r="Z161" i="11"/>
  <c r="Y161" i="11"/>
  <c r="W161" i="11"/>
  <c r="V161" i="11"/>
  <c r="U161" i="11"/>
  <c r="T161" i="11"/>
  <c r="S161" i="11"/>
  <c r="R161" i="11"/>
  <c r="P161" i="11"/>
  <c r="O161" i="11"/>
  <c r="N161" i="11"/>
  <c r="L161" i="11"/>
  <c r="K161" i="11"/>
  <c r="J161" i="11"/>
  <c r="I161" i="11"/>
  <c r="H161" i="11"/>
  <c r="G161" i="11"/>
  <c r="F161" i="11"/>
  <c r="E161" i="11"/>
  <c r="D161" i="11"/>
  <c r="C161" i="11"/>
  <c r="AA160" i="11"/>
  <c r="Z160" i="11"/>
  <c r="Y160" i="11"/>
  <c r="W160" i="11"/>
  <c r="V160" i="11"/>
  <c r="U160" i="11"/>
  <c r="T160" i="11"/>
  <c r="S160" i="11"/>
  <c r="R160" i="11"/>
  <c r="P160" i="11"/>
  <c r="O160" i="11"/>
  <c r="N160" i="11"/>
  <c r="L160" i="11"/>
  <c r="K160" i="11"/>
  <c r="J160" i="11"/>
  <c r="I160" i="11"/>
  <c r="H160" i="11"/>
  <c r="G160" i="11"/>
  <c r="F160" i="11"/>
  <c r="E160" i="11"/>
  <c r="D160" i="11"/>
  <c r="C160" i="11"/>
  <c r="AA159" i="11"/>
  <c r="Z159" i="11"/>
  <c r="Y159" i="11"/>
  <c r="W159" i="11"/>
  <c r="V159" i="11"/>
  <c r="U159" i="11"/>
  <c r="T159" i="11"/>
  <c r="S159" i="11"/>
  <c r="R159" i="11"/>
  <c r="P159" i="11"/>
  <c r="O159" i="11"/>
  <c r="N159" i="11"/>
  <c r="L159" i="11"/>
  <c r="K159" i="11"/>
  <c r="J159" i="11"/>
  <c r="I159" i="11"/>
  <c r="H159" i="11"/>
  <c r="G159" i="11"/>
  <c r="F159" i="11"/>
  <c r="E159" i="11"/>
  <c r="D159" i="11"/>
  <c r="C159" i="11"/>
  <c r="AA158" i="11"/>
  <c r="Z158" i="11"/>
  <c r="Y158" i="11"/>
  <c r="W158" i="11"/>
  <c r="V158" i="11"/>
  <c r="U158" i="11"/>
  <c r="T158" i="11"/>
  <c r="S158" i="11"/>
  <c r="R158" i="11"/>
  <c r="P158" i="11"/>
  <c r="O158" i="11"/>
  <c r="N158" i="11"/>
  <c r="L158" i="11"/>
  <c r="K158" i="11"/>
  <c r="J158" i="11"/>
  <c r="I158" i="11"/>
  <c r="H158" i="11"/>
  <c r="G158" i="11"/>
  <c r="F158" i="11"/>
  <c r="E158" i="11"/>
  <c r="D158" i="11"/>
  <c r="C158" i="11"/>
  <c r="AA157" i="11"/>
  <c r="Z157" i="11"/>
  <c r="Y157" i="11"/>
  <c r="W157" i="11"/>
  <c r="V157" i="11"/>
  <c r="U157" i="11"/>
  <c r="T157" i="11"/>
  <c r="S157" i="11"/>
  <c r="R157" i="11"/>
  <c r="P157" i="11"/>
  <c r="O157" i="11"/>
  <c r="N157" i="11"/>
  <c r="L157" i="11"/>
  <c r="K157" i="11"/>
  <c r="J157" i="11"/>
  <c r="I157" i="11"/>
  <c r="H157" i="11"/>
  <c r="G157" i="11"/>
  <c r="F157" i="11"/>
  <c r="E157" i="11"/>
  <c r="D157" i="11"/>
  <c r="C157" i="11"/>
  <c r="AA156" i="11"/>
  <c r="Z156" i="11"/>
  <c r="Y156" i="11"/>
  <c r="W156" i="11"/>
  <c r="V156" i="11"/>
  <c r="U156" i="11"/>
  <c r="T156" i="11"/>
  <c r="S156" i="11"/>
  <c r="R156" i="11"/>
  <c r="P156" i="11"/>
  <c r="O156" i="11"/>
  <c r="N156" i="11"/>
  <c r="L156" i="11"/>
  <c r="K156" i="11"/>
  <c r="J156" i="11"/>
  <c r="I156" i="11"/>
  <c r="H156" i="11"/>
  <c r="G156" i="11"/>
  <c r="F156" i="11"/>
  <c r="E156" i="11"/>
  <c r="D156" i="11"/>
  <c r="C156" i="11"/>
  <c r="AA155" i="11"/>
  <c r="Z155" i="11"/>
  <c r="Y155" i="11"/>
  <c r="W155" i="11"/>
  <c r="V155" i="11"/>
  <c r="U155" i="11"/>
  <c r="T155" i="11"/>
  <c r="S155" i="11"/>
  <c r="R155" i="11"/>
  <c r="P155" i="11"/>
  <c r="O155" i="11"/>
  <c r="N155" i="11"/>
  <c r="L155" i="11"/>
  <c r="K155" i="11"/>
  <c r="J155" i="11"/>
  <c r="I155" i="11"/>
  <c r="H155" i="11"/>
  <c r="G155" i="11"/>
  <c r="F155" i="11"/>
  <c r="E155" i="11"/>
  <c r="D155" i="11"/>
  <c r="C155" i="11"/>
  <c r="AA154" i="11"/>
  <c r="Z154" i="11"/>
  <c r="Y154" i="11"/>
  <c r="W154" i="11"/>
  <c r="V154" i="11"/>
  <c r="U154" i="11"/>
  <c r="T154" i="11"/>
  <c r="S154" i="11"/>
  <c r="R154" i="11"/>
  <c r="P154" i="11"/>
  <c r="O154" i="11"/>
  <c r="N154" i="11"/>
  <c r="L154" i="11"/>
  <c r="K154" i="11"/>
  <c r="J154" i="11"/>
  <c r="I154" i="11"/>
  <c r="H154" i="11"/>
  <c r="G154" i="11"/>
  <c r="F154" i="11"/>
  <c r="E154" i="11"/>
  <c r="D154" i="11"/>
  <c r="C154" i="11"/>
  <c r="AA153" i="11"/>
  <c r="Z153" i="11"/>
  <c r="Y153" i="11"/>
  <c r="W153" i="11"/>
  <c r="V153" i="11"/>
  <c r="U153" i="11"/>
  <c r="T153" i="11"/>
  <c r="S153" i="11"/>
  <c r="R153" i="11"/>
  <c r="P153" i="11"/>
  <c r="O153" i="11"/>
  <c r="N153" i="11"/>
  <c r="L153" i="11"/>
  <c r="K153" i="11"/>
  <c r="J153" i="11"/>
  <c r="I153" i="11"/>
  <c r="H153" i="11"/>
  <c r="G153" i="11"/>
  <c r="F153" i="11"/>
  <c r="E153" i="11"/>
  <c r="D153" i="11"/>
  <c r="C153" i="11"/>
  <c r="AA152" i="11"/>
  <c r="Z152" i="11"/>
  <c r="Y152" i="11"/>
  <c r="W152" i="11"/>
  <c r="V152" i="11"/>
  <c r="U152" i="11"/>
  <c r="T152" i="11"/>
  <c r="S152" i="11"/>
  <c r="R152" i="11"/>
  <c r="P152" i="11"/>
  <c r="O152" i="11"/>
  <c r="N152" i="11"/>
  <c r="L152" i="11"/>
  <c r="K152" i="11"/>
  <c r="J152" i="11"/>
  <c r="I152" i="11"/>
  <c r="H152" i="11"/>
  <c r="G152" i="11"/>
  <c r="F152" i="11"/>
  <c r="E152" i="11"/>
  <c r="D152" i="11"/>
  <c r="C152" i="11"/>
  <c r="AA151" i="11"/>
  <c r="Z151" i="11"/>
  <c r="Y151" i="11"/>
  <c r="W151" i="11"/>
  <c r="V151" i="11"/>
  <c r="U151" i="11"/>
  <c r="T151" i="11"/>
  <c r="S151" i="11"/>
  <c r="R151" i="11"/>
  <c r="P151" i="11"/>
  <c r="O151" i="11"/>
  <c r="N151" i="11"/>
  <c r="L151" i="11"/>
  <c r="K151" i="11"/>
  <c r="J151" i="11"/>
  <c r="I151" i="11"/>
  <c r="H151" i="11"/>
  <c r="G151" i="11"/>
  <c r="F151" i="11"/>
  <c r="E151" i="11"/>
  <c r="D151" i="11"/>
  <c r="C151" i="11"/>
  <c r="AA150" i="11"/>
  <c r="Z150" i="11"/>
  <c r="Y150" i="11"/>
  <c r="W150" i="11"/>
  <c r="V150" i="11"/>
  <c r="U150" i="11"/>
  <c r="T150" i="11"/>
  <c r="S150" i="11"/>
  <c r="R150" i="11"/>
  <c r="P150" i="11"/>
  <c r="O150" i="11"/>
  <c r="N150" i="11"/>
  <c r="L150" i="11"/>
  <c r="K150" i="11"/>
  <c r="J150" i="11"/>
  <c r="I150" i="11"/>
  <c r="H150" i="11"/>
  <c r="G150" i="11"/>
  <c r="F150" i="11"/>
  <c r="E150" i="11"/>
  <c r="D150" i="11"/>
  <c r="C150" i="11"/>
  <c r="AA149" i="11"/>
  <c r="Z149" i="11"/>
  <c r="Y149" i="11"/>
  <c r="W149" i="11"/>
  <c r="V149" i="11"/>
  <c r="U149" i="11"/>
  <c r="T149" i="11"/>
  <c r="S149" i="11"/>
  <c r="R149" i="11"/>
  <c r="P149" i="11"/>
  <c r="O149" i="11"/>
  <c r="N149" i="11"/>
  <c r="L149" i="11"/>
  <c r="K149" i="11"/>
  <c r="J149" i="11"/>
  <c r="I149" i="11"/>
  <c r="H149" i="11"/>
  <c r="G149" i="11"/>
  <c r="F149" i="11"/>
  <c r="E149" i="11"/>
  <c r="D149" i="11"/>
  <c r="C149" i="11"/>
  <c r="AA148" i="11"/>
  <c r="Z148" i="11"/>
  <c r="Y148" i="11"/>
  <c r="W148" i="11"/>
  <c r="V148" i="11"/>
  <c r="U148" i="11"/>
  <c r="T148" i="11"/>
  <c r="S148" i="11"/>
  <c r="R148" i="11"/>
  <c r="P148" i="11"/>
  <c r="O148" i="11"/>
  <c r="N148" i="11"/>
  <c r="L148" i="11"/>
  <c r="K148" i="11"/>
  <c r="J148" i="11"/>
  <c r="I148" i="11"/>
  <c r="H148" i="11"/>
  <c r="G148" i="11"/>
  <c r="F148" i="11"/>
  <c r="E148" i="11"/>
  <c r="D148" i="11"/>
  <c r="C148" i="11"/>
  <c r="AA147" i="11"/>
  <c r="Z147" i="11"/>
  <c r="Y147" i="11"/>
  <c r="W147" i="11"/>
  <c r="V147" i="11"/>
  <c r="U147" i="11"/>
  <c r="T147" i="11"/>
  <c r="S147" i="11"/>
  <c r="R147" i="11"/>
  <c r="P147" i="11"/>
  <c r="O147" i="11"/>
  <c r="N147" i="11"/>
  <c r="L147" i="11"/>
  <c r="K147" i="11"/>
  <c r="J147" i="11"/>
  <c r="I147" i="11"/>
  <c r="H147" i="11"/>
  <c r="G147" i="11"/>
  <c r="F147" i="11"/>
  <c r="E147" i="11"/>
  <c r="D147" i="11"/>
  <c r="C147" i="11"/>
  <c r="AA146" i="11"/>
  <c r="Z146" i="11"/>
  <c r="Y146" i="11"/>
  <c r="W146" i="11"/>
  <c r="V146" i="11"/>
  <c r="U146" i="11"/>
  <c r="T146" i="11"/>
  <c r="S146" i="11"/>
  <c r="R146" i="11"/>
  <c r="P146" i="11"/>
  <c r="O146" i="11"/>
  <c r="N146" i="11"/>
  <c r="L146" i="11"/>
  <c r="K146" i="11"/>
  <c r="J146" i="11"/>
  <c r="I146" i="11"/>
  <c r="H146" i="11"/>
  <c r="G146" i="11"/>
  <c r="F146" i="11"/>
  <c r="E146" i="11"/>
  <c r="D146" i="11"/>
  <c r="C146" i="11"/>
  <c r="AA145" i="11"/>
  <c r="Z145" i="11"/>
  <c r="Y145" i="11"/>
  <c r="W145" i="11"/>
  <c r="V145" i="11"/>
  <c r="U145" i="11"/>
  <c r="T145" i="11"/>
  <c r="S145" i="11"/>
  <c r="R145" i="11"/>
  <c r="P145" i="11"/>
  <c r="O145" i="11"/>
  <c r="N145" i="11"/>
  <c r="L145" i="11"/>
  <c r="K145" i="11"/>
  <c r="J145" i="11"/>
  <c r="I145" i="11"/>
  <c r="H145" i="11"/>
  <c r="G145" i="11"/>
  <c r="F145" i="11"/>
  <c r="E145" i="11"/>
  <c r="D145" i="11"/>
  <c r="C145" i="11"/>
  <c r="AA144" i="11"/>
  <c r="Z144" i="11"/>
  <c r="Y144" i="11"/>
  <c r="W144" i="11"/>
  <c r="V144" i="11"/>
  <c r="U144" i="11"/>
  <c r="T144" i="11"/>
  <c r="S144" i="11"/>
  <c r="R144" i="11"/>
  <c r="P144" i="11"/>
  <c r="O144" i="11"/>
  <c r="N144" i="11"/>
  <c r="L144" i="11"/>
  <c r="K144" i="11"/>
  <c r="J144" i="11"/>
  <c r="I144" i="11"/>
  <c r="H144" i="11"/>
  <c r="G144" i="11"/>
  <c r="F144" i="11"/>
  <c r="E144" i="11"/>
  <c r="D144" i="11"/>
  <c r="C144" i="11"/>
  <c r="AA143" i="11"/>
  <c r="Z143" i="11"/>
  <c r="Y143" i="11"/>
  <c r="W143" i="11"/>
  <c r="V143" i="11"/>
  <c r="U143" i="11"/>
  <c r="T143" i="11"/>
  <c r="S143" i="11"/>
  <c r="R143" i="11"/>
  <c r="P143" i="11"/>
  <c r="O143" i="11"/>
  <c r="N143" i="11"/>
  <c r="L143" i="11"/>
  <c r="K143" i="11"/>
  <c r="J143" i="11"/>
  <c r="I143" i="11"/>
  <c r="H143" i="11"/>
  <c r="G143" i="11"/>
  <c r="F143" i="11"/>
  <c r="E143" i="11"/>
  <c r="D143" i="11"/>
  <c r="C143" i="11"/>
  <c r="AA142" i="11"/>
  <c r="Z142" i="11"/>
  <c r="Y142" i="11"/>
  <c r="W142" i="11"/>
  <c r="V142" i="11"/>
  <c r="U142" i="11"/>
  <c r="T142" i="11"/>
  <c r="S142" i="11"/>
  <c r="R142" i="11"/>
  <c r="P142" i="11"/>
  <c r="O142" i="11"/>
  <c r="N142" i="11"/>
  <c r="L142" i="11"/>
  <c r="K142" i="11"/>
  <c r="J142" i="11"/>
  <c r="I142" i="11"/>
  <c r="H142" i="11"/>
  <c r="G142" i="11"/>
  <c r="F142" i="11"/>
  <c r="E142" i="11"/>
  <c r="D142" i="11"/>
  <c r="C142" i="11"/>
  <c r="AA141" i="11"/>
  <c r="Z141" i="11"/>
  <c r="Y141" i="11"/>
  <c r="W141" i="11"/>
  <c r="V141" i="11"/>
  <c r="U141" i="11"/>
  <c r="T141" i="11"/>
  <c r="S141" i="11"/>
  <c r="R141" i="11"/>
  <c r="P141" i="11"/>
  <c r="O141" i="11"/>
  <c r="N141" i="11"/>
  <c r="L141" i="11"/>
  <c r="K141" i="11"/>
  <c r="J141" i="11"/>
  <c r="I141" i="11"/>
  <c r="H141" i="11"/>
  <c r="G141" i="11"/>
  <c r="F141" i="11"/>
  <c r="E141" i="11"/>
  <c r="D141" i="11"/>
  <c r="C141" i="11"/>
  <c r="AA140" i="11"/>
  <c r="Z140" i="11"/>
  <c r="Y140" i="11"/>
  <c r="W140" i="11"/>
  <c r="V140" i="11"/>
  <c r="U140" i="11"/>
  <c r="T140" i="11"/>
  <c r="S140" i="11"/>
  <c r="R140" i="11"/>
  <c r="P140" i="11"/>
  <c r="O140" i="11"/>
  <c r="N140" i="11"/>
  <c r="L140" i="11"/>
  <c r="K140" i="11"/>
  <c r="J140" i="11"/>
  <c r="I140" i="11"/>
  <c r="H140" i="11"/>
  <c r="G140" i="11"/>
  <c r="F140" i="11"/>
  <c r="E140" i="11"/>
  <c r="D140" i="11"/>
  <c r="C140" i="11"/>
  <c r="AA139" i="11"/>
  <c r="Z139" i="11"/>
  <c r="Y139" i="11"/>
  <c r="W139" i="11"/>
  <c r="V139" i="11"/>
  <c r="U139" i="11"/>
  <c r="T139" i="11"/>
  <c r="S139" i="11"/>
  <c r="R139" i="11"/>
  <c r="P139" i="11"/>
  <c r="O139" i="11"/>
  <c r="N139" i="11"/>
  <c r="L139" i="11"/>
  <c r="K139" i="11"/>
  <c r="J139" i="11"/>
  <c r="I139" i="11"/>
  <c r="H139" i="11"/>
  <c r="G139" i="11"/>
  <c r="F139" i="11"/>
  <c r="E139" i="11"/>
  <c r="D139" i="11"/>
  <c r="C139" i="11"/>
  <c r="AA138" i="11"/>
  <c r="Z138" i="11"/>
  <c r="Y138" i="11"/>
  <c r="W138" i="11"/>
  <c r="V138" i="11"/>
  <c r="U138" i="11"/>
  <c r="T138" i="11"/>
  <c r="S138" i="11"/>
  <c r="R138" i="11"/>
  <c r="P138" i="11"/>
  <c r="O138" i="11"/>
  <c r="N138" i="11"/>
  <c r="L138" i="11"/>
  <c r="K138" i="11"/>
  <c r="J138" i="11"/>
  <c r="I138" i="11"/>
  <c r="H138" i="11"/>
  <c r="G138" i="11"/>
  <c r="F138" i="11"/>
  <c r="E138" i="11"/>
  <c r="D138" i="11"/>
  <c r="C138" i="11"/>
  <c r="AA137" i="11"/>
  <c r="Z137" i="11"/>
  <c r="Y137" i="11"/>
  <c r="W137" i="11"/>
  <c r="V137" i="11"/>
  <c r="U137" i="11"/>
  <c r="T137" i="11"/>
  <c r="S137" i="11"/>
  <c r="R137" i="11"/>
  <c r="P137" i="11"/>
  <c r="O137" i="11"/>
  <c r="N137" i="11"/>
  <c r="L137" i="11"/>
  <c r="K137" i="11"/>
  <c r="J137" i="11"/>
  <c r="I137" i="11"/>
  <c r="H137" i="11"/>
  <c r="G137" i="11"/>
  <c r="F137" i="11"/>
  <c r="E137" i="11"/>
  <c r="D137" i="11"/>
  <c r="C137" i="11"/>
  <c r="AA136" i="11"/>
  <c r="Z136" i="11"/>
  <c r="Y136" i="11"/>
  <c r="W136" i="11"/>
  <c r="V136" i="11"/>
  <c r="U136" i="11"/>
  <c r="T136" i="11"/>
  <c r="S136" i="11"/>
  <c r="R136" i="11"/>
  <c r="P136" i="11"/>
  <c r="O136" i="11"/>
  <c r="N136" i="11"/>
  <c r="L136" i="11"/>
  <c r="K136" i="11"/>
  <c r="J136" i="11"/>
  <c r="I136" i="11"/>
  <c r="H136" i="11"/>
  <c r="G136" i="11"/>
  <c r="F136" i="11"/>
  <c r="E136" i="11"/>
  <c r="D136" i="11"/>
  <c r="C136" i="11"/>
  <c r="AA135" i="11"/>
  <c r="Z135" i="11"/>
  <c r="Y135" i="11"/>
  <c r="W135" i="11"/>
  <c r="V135" i="11"/>
  <c r="U135" i="11"/>
  <c r="T135" i="11"/>
  <c r="S135" i="11"/>
  <c r="R135" i="11"/>
  <c r="P135" i="11"/>
  <c r="O135" i="11"/>
  <c r="N135" i="11"/>
  <c r="L135" i="11"/>
  <c r="K135" i="11"/>
  <c r="J135" i="11"/>
  <c r="I135" i="11"/>
  <c r="H135" i="11"/>
  <c r="G135" i="11"/>
  <c r="F135" i="11"/>
  <c r="E135" i="11"/>
  <c r="D135" i="11"/>
  <c r="C135" i="11"/>
  <c r="AA134" i="11"/>
  <c r="Z134" i="11"/>
  <c r="Y134" i="11"/>
  <c r="W134" i="11"/>
  <c r="V134" i="11"/>
  <c r="U134" i="11"/>
  <c r="T134" i="11"/>
  <c r="S134" i="11"/>
  <c r="R134" i="11"/>
  <c r="P134" i="11"/>
  <c r="O134" i="11"/>
  <c r="N134" i="11"/>
  <c r="L134" i="11"/>
  <c r="K134" i="11"/>
  <c r="J134" i="11"/>
  <c r="I134" i="11"/>
  <c r="H134" i="11"/>
  <c r="G134" i="11"/>
  <c r="F134" i="11"/>
  <c r="E134" i="11"/>
  <c r="D134" i="11"/>
  <c r="C134" i="11"/>
  <c r="AA133" i="11"/>
  <c r="Z133" i="11"/>
  <c r="Y133" i="11"/>
  <c r="W133" i="11"/>
  <c r="V133" i="11"/>
  <c r="U133" i="11"/>
  <c r="T133" i="11"/>
  <c r="S133" i="11"/>
  <c r="R133" i="11"/>
  <c r="P133" i="11"/>
  <c r="O133" i="11"/>
  <c r="N133" i="11"/>
  <c r="L133" i="11"/>
  <c r="K133" i="11"/>
  <c r="J133" i="11"/>
  <c r="I133" i="11"/>
  <c r="H133" i="11"/>
  <c r="G133" i="11"/>
  <c r="F133" i="11"/>
  <c r="E133" i="11"/>
  <c r="D133" i="11"/>
  <c r="C133" i="11"/>
  <c r="AA132" i="11"/>
  <c r="Z132" i="11"/>
  <c r="Y132" i="11"/>
  <c r="W132" i="11"/>
  <c r="V132" i="11"/>
  <c r="U132" i="11"/>
  <c r="T132" i="11"/>
  <c r="S132" i="11"/>
  <c r="R132" i="11"/>
  <c r="P132" i="11"/>
  <c r="O132" i="11"/>
  <c r="N132" i="11"/>
  <c r="L132" i="11"/>
  <c r="K132" i="11"/>
  <c r="J132" i="11"/>
  <c r="I132" i="11"/>
  <c r="H132" i="11"/>
  <c r="G132" i="11"/>
  <c r="F132" i="11"/>
  <c r="E132" i="11"/>
  <c r="D132" i="11"/>
  <c r="C132" i="11"/>
  <c r="AA131" i="11"/>
  <c r="Z131" i="11"/>
  <c r="Y131" i="11"/>
  <c r="W131" i="11"/>
  <c r="V131" i="11"/>
  <c r="U131" i="11"/>
  <c r="T131" i="11"/>
  <c r="S131" i="11"/>
  <c r="R131" i="11"/>
  <c r="P131" i="11"/>
  <c r="O131" i="11"/>
  <c r="N131" i="11"/>
  <c r="L131" i="11"/>
  <c r="K131" i="11"/>
  <c r="J131" i="11"/>
  <c r="I131" i="11"/>
  <c r="H131" i="11"/>
  <c r="G131" i="11"/>
  <c r="F131" i="11"/>
  <c r="E131" i="11"/>
  <c r="D131" i="11"/>
  <c r="C131" i="11"/>
  <c r="AA130" i="11"/>
  <c r="Z130" i="11"/>
  <c r="Y130" i="11"/>
  <c r="W130" i="11"/>
  <c r="V130" i="11"/>
  <c r="U130" i="11"/>
  <c r="T130" i="11"/>
  <c r="S130" i="11"/>
  <c r="R130" i="11"/>
  <c r="P130" i="11"/>
  <c r="O130" i="11"/>
  <c r="N130" i="11"/>
  <c r="L130" i="11"/>
  <c r="K130" i="11"/>
  <c r="J130" i="11"/>
  <c r="I130" i="11"/>
  <c r="H130" i="11"/>
  <c r="G130" i="11"/>
  <c r="F130" i="11"/>
  <c r="E130" i="11"/>
  <c r="D130" i="11"/>
  <c r="C130" i="11"/>
  <c r="AA129" i="11"/>
  <c r="Z129" i="11"/>
  <c r="Y129" i="11"/>
  <c r="W129" i="11"/>
  <c r="V129" i="11"/>
  <c r="U129" i="11"/>
  <c r="T129" i="11"/>
  <c r="S129" i="11"/>
  <c r="R129" i="11"/>
  <c r="P129" i="11"/>
  <c r="O129" i="11"/>
  <c r="N129" i="11"/>
  <c r="L129" i="11"/>
  <c r="K129" i="11"/>
  <c r="J129" i="11"/>
  <c r="I129" i="11"/>
  <c r="H129" i="11"/>
  <c r="G129" i="11"/>
  <c r="F129" i="11"/>
  <c r="E129" i="11"/>
  <c r="D129" i="11"/>
  <c r="C129" i="11"/>
  <c r="AA128" i="11"/>
  <c r="Z128" i="11"/>
  <c r="Y128" i="11"/>
  <c r="W128" i="11"/>
  <c r="V128" i="11"/>
  <c r="U128" i="11"/>
  <c r="T128" i="11"/>
  <c r="S128" i="11"/>
  <c r="R128" i="11"/>
  <c r="P128" i="11"/>
  <c r="O128" i="11"/>
  <c r="N128" i="11"/>
  <c r="L128" i="11"/>
  <c r="K128" i="11"/>
  <c r="J128" i="11"/>
  <c r="I128" i="11"/>
  <c r="H128" i="11"/>
  <c r="G128" i="11"/>
  <c r="F128" i="11"/>
  <c r="E128" i="11"/>
  <c r="D128" i="11"/>
  <c r="C128" i="11"/>
  <c r="AA127" i="11"/>
  <c r="Z127" i="11"/>
  <c r="Y127" i="11"/>
  <c r="W127" i="11"/>
  <c r="V127" i="11"/>
  <c r="U127" i="11"/>
  <c r="T127" i="11"/>
  <c r="S127" i="11"/>
  <c r="R127" i="11"/>
  <c r="P127" i="11"/>
  <c r="O127" i="11"/>
  <c r="N127" i="11"/>
  <c r="L127" i="11"/>
  <c r="K127" i="11"/>
  <c r="J127" i="11"/>
  <c r="I127" i="11"/>
  <c r="H127" i="11"/>
  <c r="G127" i="11"/>
  <c r="F127" i="11"/>
  <c r="E127" i="11"/>
  <c r="D127" i="11"/>
  <c r="C127" i="11"/>
  <c r="AA126" i="11"/>
  <c r="Z126" i="11"/>
  <c r="Y126" i="11"/>
  <c r="W126" i="11"/>
  <c r="V126" i="11"/>
  <c r="U126" i="11"/>
  <c r="T126" i="11"/>
  <c r="S126" i="11"/>
  <c r="R126" i="11"/>
  <c r="P126" i="11"/>
  <c r="O126" i="11"/>
  <c r="N126" i="11"/>
  <c r="L126" i="11"/>
  <c r="K126" i="11"/>
  <c r="J126" i="11"/>
  <c r="I126" i="11"/>
  <c r="H126" i="11"/>
  <c r="G126" i="11"/>
  <c r="F126" i="11"/>
  <c r="E126" i="11"/>
  <c r="D126" i="11"/>
  <c r="C126" i="11"/>
  <c r="AA125" i="11"/>
  <c r="Z125" i="11"/>
  <c r="Y125" i="11"/>
  <c r="W125" i="11"/>
  <c r="V125" i="11"/>
  <c r="U125" i="11"/>
  <c r="T125" i="11"/>
  <c r="S125" i="11"/>
  <c r="R125" i="11"/>
  <c r="P125" i="11"/>
  <c r="O125" i="11"/>
  <c r="N125" i="11"/>
  <c r="L125" i="11"/>
  <c r="K125" i="11"/>
  <c r="J125" i="11"/>
  <c r="I125" i="11"/>
  <c r="H125" i="11"/>
  <c r="G125" i="11"/>
  <c r="F125" i="11"/>
  <c r="E125" i="11"/>
  <c r="D125" i="11"/>
  <c r="C125" i="11"/>
  <c r="AA124" i="11"/>
  <c r="Z124" i="11"/>
  <c r="Y124" i="11"/>
  <c r="W124" i="11"/>
  <c r="V124" i="11"/>
  <c r="U124" i="11"/>
  <c r="T124" i="11"/>
  <c r="S124" i="11"/>
  <c r="R124" i="11"/>
  <c r="P124" i="11"/>
  <c r="O124" i="11"/>
  <c r="N124" i="11"/>
  <c r="L124" i="11"/>
  <c r="K124" i="11"/>
  <c r="J124" i="11"/>
  <c r="I124" i="11"/>
  <c r="H124" i="11"/>
  <c r="G124" i="11"/>
  <c r="F124" i="11"/>
  <c r="E124" i="11"/>
  <c r="D124" i="11"/>
  <c r="C124" i="11"/>
  <c r="AA123" i="11"/>
  <c r="Z123" i="11"/>
  <c r="Y123" i="11"/>
  <c r="W123" i="11"/>
  <c r="V123" i="11"/>
  <c r="U123" i="11"/>
  <c r="T123" i="11"/>
  <c r="S123" i="11"/>
  <c r="R123" i="11"/>
  <c r="P123" i="11"/>
  <c r="O123" i="11"/>
  <c r="N123" i="11"/>
  <c r="L123" i="11"/>
  <c r="K123" i="11"/>
  <c r="J123" i="11"/>
  <c r="I123" i="11"/>
  <c r="H123" i="11"/>
  <c r="G123" i="11"/>
  <c r="F123" i="11"/>
  <c r="E123" i="11"/>
  <c r="D123" i="11"/>
  <c r="C123" i="11"/>
  <c r="AA122" i="11"/>
  <c r="Z122" i="11"/>
  <c r="Y122" i="11"/>
  <c r="W122" i="11"/>
  <c r="V122" i="11"/>
  <c r="U122" i="11"/>
  <c r="T122" i="11"/>
  <c r="S122" i="11"/>
  <c r="R122" i="11"/>
  <c r="P122" i="11"/>
  <c r="O122" i="11"/>
  <c r="N122" i="11"/>
  <c r="L122" i="11"/>
  <c r="K122" i="11"/>
  <c r="J122" i="11"/>
  <c r="I122" i="11"/>
  <c r="H122" i="11"/>
  <c r="G122" i="11"/>
  <c r="F122" i="11"/>
  <c r="E122" i="11"/>
  <c r="D122" i="11"/>
  <c r="C122" i="11"/>
  <c r="AA121" i="11"/>
  <c r="Z121" i="11"/>
  <c r="Y121" i="11"/>
  <c r="W121" i="11"/>
  <c r="V121" i="11"/>
  <c r="U121" i="11"/>
  <c r="T121" i="11"/>
  <c r="S121" i="11"/>
  <c r="R121" i="11"/>
  <c r="P121" i="11"/>
  <c r="O121" i="11"/>
  <c r="N121" i="11"/>
  <c r="L121" i="11"/>
  <c r="K121" i="11"/>
  <c r="J121" i="11"/>
  <c r="I121" i="11"/>
  <c r="H121" i="11"/>
  <c r="G121" i="11"/>
  <c r="F121" i="11"/>
  <c r="E121" i="11"/>
  <c r="D121" i="11"/>
  <c r="C121" i="11"/>
  <c r="AA120" i="11"/>
  <c r="Z120" i="11"/>
  <c r="Y120" i="11"/>
  <c r="W120" i="11"/>
  <c r="V120" i="11"/>
  <c r="U120" i="11"/>
  <c r="T120" i="11"/>
  <c r="S120" i="11"/>
  <c r="R120" i="11"/>
  <c r="P120" i="11"/>
  <c r="O120" i="11"/>
  <c r="N120" i="11"/>
  <c r="L120" i="11"/>
  <c r="K120" i="11"/>
  <c r="J120" i="11"/>
  <c r="I120" i="11"/>
  <c r="H120" i="11"/>
  <c r="G120" i="11"/>
  <c r="F120" i="11"/>
  <c r="E120" i="11"/>
  <c r="D120" i="11"/>
  <c r="C120" i="11"/>
  <c r="AA119" i="11"/>
  <c r="Z119" i="11"/>
  <c r="Y119" i="11"/>
  <c r="W119" i="11"/>
  <c r="V119" i="11"/>
  <c r="U119" i="11"/>
  <c r="T119" i="11"/>
  <c r="S119" i="11"/>
  <c r="R119" i="11"/>
  <c r="P119" i="11"/>
  <c r="O119" i="11"/>
  <c r="N119" i="11"/>
  <c r="L119" i="11"/>
  <c r="K119" i="11"/>
  <c r="J119" i="11"/>
  <c r="I119" i="11"/>
  <c r="H119" i="11"/>
  <c r="G119" i="11"/>
  <c r="F119" i="11"/>
  <c r="E119" i="11"/>
  <c r="D119" i="11"/>
  <c r="C119" i="11"/>
  <c r="AA118" i="11"/>
  <c r="Z118" i="11"/>
  <c r="Y118" i="11"/>
  <c r="W118" i="11"/>
  <c r="V118" i="11"/>
  <c r="U118" i="11"/>
  <c r="T118" i="11"/>
  <c r="S118" i="11"/>
  <c r="R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AA117" i="11"/>
  <c r="Z117" i="11"/>
  <c r="Y117" i="11"/>
  <c r="W117" i="11"/>
  <c r="V117" i="11"/>
  <c r="U117" i="11"/>
  <c r="T117" i="11"/>
  <c r="S117" i="11"/>
  <c r="R117" i="11"/>
  <c r="P117" i="11"/>
  <c r="O117" i="11"/>
  <c r="N117" i="11"/>
  <c r="L117" i="11"/>
  <c r="K117" i="11"/>
  <c r="J117" i="11"/>
  <c r="I117" i="11"/>
  <c r="H117" i="11"/>
  <c r="G117" i="11"/>
  <c r="F117" i="11"/>
  <c r="E117" i="11"/>
  <c r="D117" i="11"/>
  <c r="C117" i="11"/>
  <c r="AA116" i="11"/>
  <c r="Z116" i="11"/>
  <c r="Y116" i="11"/>
  <c r="W116" i="11"/>
  <c r="V116" i="11"/>
  <c r="U116" i="11"/>
  <c r="T116" i="11"/>
  <c r="S116" i="11"/>
  <c r="R116" i="11"/>
  <c r="P116" i="11"/>
  <c r="O116" i="11"/>
  <c r="N116" i="11"/>
  <c r="L116" i="11"/>
  <c r="K116" i="11"/>
  <c r="J116" i="11"/>
  <c r="I116" i="11"/>
  <c r="H116" i="11"/>
  <c r="G116" i="11"/>
  <c r="F116" i="11"/>
  <c r="E116" i="11"/>
  <c r="D116" i="11"/>
  <c r="C116" i="11"/>
  <c r="AA115" i="11"/>
  <c r="Z115" i="11"/>
  <c r="Y115" i="11"/>
  <c r="W115" i="11"/>
  <c r="V115" i="11"/>
  <c r="U115" i="11"/>
  <c r="T115" i="11"/>
  <c r="S115" i="11"/>
  <c r="R115" i="11"/>
  <c r="P115" i="11"/>
  <c r="O115" i="11"/>
  <c r="N115" i="11"/>
  <c r="L115" i="11"/>
  <c r="K115" i="11"/>
  <c r="J115" i="11"/>
  <c r="I115" i="11"/>
  <c r="H115" i="11"/>
  <c r="G115" i="11"/>
  <c r="F115" i="11"/>
  <c r="E115" i="11"/>
  <c r="D115" i="11"/>
  <c r="C115" i="11"/>
  <c r="AA114" i="11"/>
  <c r="Z114" i="11"/>
  <c r="Y114" i="11"/>
  <c r="W114" i="11"/>
  <c r="V114" i="11"/>
  <c r="U114" i="11"/>
  <c r="T114" i="11"/>
  <c r="S114" i="11"/>
  <c r="R114" i="11"/>
  <c r="P114" i="11"/>
  <c r="O114" i="11"/>
  <c r="N114" i="11"/>
  <c r="L114" i="11"/>
  <c r="K114" i="11"/>
  <c r="J114" i="11"/>
  <c r="I114" i="11"/>
  <c r="H114" i="11"/>
  <c r="G114" i="11"/>
  <c r="F114" i="11"/>
  <c r="E114" i="11"/>
  <c r="D114" i="11"/>
  <c r="C114" i="11"/>
  <c r="AA113" i="11"/>
  <c r="Z113" i="11"/>
  <c r="Y113" i="11"/>
  <c r="W113" i="11"/>
  <c r="V113" i="11"/>
  <c r="U113" i="11"/>
  <c r="T113" i="11"/>
  <c r="S113" i="11"/>
  <c r="R113" i="11"/>
  <c r="P113" i="11"/>
  <c r="O113" i="11"/>
  <c r="N113" i="11"/>
  <c r="L113" i="11"/>
  <c r="K113" i="11"/>
  <c r="J113" i="11"/>
  <c r="I113" i="11"/>
  <c r="H113" i="11"/>
  <c r="G113" i="11"/>
  <c r="F113" i="11"/>
  <c r="E113" i="11"/>
  <c r="D113" i="11"/>
  <c r="C113" i="11"/>
  <c r="AA112" i="11"/>
  <c r="Z112" i="11"/>
  <c r="Y112" i="11"/>
  <c r="W112" i="11"/>
  <c r="V112" i="11"/>
  <c r="U112" i="11"/>
  <c r="T112" i="11"/>
  <c r="S112" i="11"/>
  <c r="R112" i="11"/>
  <c r="P112" i="11"/>
  <c r="O112" i="11"/>
  <c r="N112" i="11"/>
  <c r="L112" i="11"/>
  <c r="K112" i="11"/>
  <c r="J112" i="11"/>
  <c r="I112" i="11"/>
  <c r="H112" i="11"/>
  <c r="G112" i="11"/>
  <c r="F112" i="11"/>
  <c r="E112" i="11"/>
  <c r="D112" i="11"/>
  <c r="C112" i="11"/>
  <c r="AA111" i="11"/>
  <c r="Z111" i="11"/>
  <c r="Y111" i="11"/>
  <c r="W111" i="11"/>
  <c r="V111" i="11"/>
  <c r="U111" i="11"/>
  <c r="T111" i="11"/>
  <c r="S111" i="11"/>
  <c r="R111" i="11"/>
  <c r="P111" i="11"/>
  <c r="O111" i="11"/>
  <c r="N111" i="11"/>
  <c r="L111" i="11"/>
  <c r="K111" i="11"/>
  <c r="J111" i="11"/>
  <c r="I111" i="11"/>
  <c r="H111" i="11"/>
  <c r="G111" i="11"/>
  <c r="F111" i="11"/>
  <c r="E111" i="11"/>
  <c r="D111" i="11"/>
  <c r="C111" i="11"/>
  <c r="AA110" i="11"/>
  <c r="Z110" i="11"/>
  <c r="Y110" i="11"/>
  <c r="W110" i="11"/>
  <c r="V110" i="11"/>
  <c r="U110" i="11"/>
  <c r="T110" i="11"/>
  <c r="S110" i="11"/>
  <c r="R110" i="11"/>
  <c r="P110" i="11"/>
  <c r="O110" i="11"/>
  <c r="N110" i="11"/>
  <c r="L110" i="11"/>
  <c r="K110" i="11"/>
  <c r="J110" i="11"/>
  <c r="I110" i="11"/>
  <c r="H110" i="11"/>
  <c r="G110" i="11"/>
  <c r="F110" i="11"/>
  <c r="E110" i="11"/>
  <c r="D110" i="11"/>
  <c r="C110" i="11"/>
  <c r="AA109" i="11"/>
  <c r="Z109" i="11"/>
  <c r="Y109" i="11"/>
  <c r="W109" i="11"/>
  <c r="V109" i="11"/>
  <c r="U109" i="11"/>
  <c r="T109" i="11"/>
  <c r="S109" i="11"/>
  <c r="R109" i="11"/>
  <c r="P109" i="11"/>
  <c r="O109" i="11"/>
  <c r="N109" i="11"/>
  <c r="L109" i="11"/>
  <c r="K109" i="11"/>
  <c r="J109" i="11"/>
  <c r="I109" i="11"/>
  <c r="H109" i="11"/>
  <c r="G109" i="11"/>
  <c r="F109" i="11"/>
  <c r="E109" i="11"/>
  <c r="D109" i="11"/>
  <c r="C109" i="11"/>
  <c r="AA108" i="11"/>
  <c r="Z108" i="11"/>
  <c r="Y108" i="11"/>
  <c r="W108" i="11"/>
  <c r="V108" i="11"/>
  <c r="U108" i="11"/>
  <c r="T108" i="11"/>
  <c r="S108" i="11"/>
  <c r="R108" i="11"/>
  <c r="P108" i="11"/>
  <c r="O108" i="11"/>
  <c r="N108" i="11"/>
  <c r="L108" i="11"/>
  <c r="K108" i="11"/>
  <c r="J108" i="11"/>
  <c r="I108" i="11"/>
  <c r="H108" i="11"/>
  <c r="G108" i="11"/>
  <c r="F108" i="11"/>
  <c r="E108" i="11"/>
  <c r="D108" i="11"/>
  <c r="C108" i="11"/>
  <c r="AA107" i="11"/>
  <c r="Z107" i="11"/>
  <c r="Y107" i="11"/>
  <c r="W107" i="11"/>
  <c r="V107" i="11"/>
  <c r="U107" i="11"/>
  <c r="T107" i="11"/>
  <c r="S107" i="11"/>
  <c r="R107" i="11"/>
  <c r="P107" i="11"/>
  <c r="O107" i="11"/>
  <c r="N107" i="11"/>
  <c r="L107" i="11"/>
  <c r="K107" i="11"/>
  <c r="J107" i="11"/>
  <c r="I107" i="11"/>
  <c r="H107" i="11"/>
  <c r="G107" i="11"/>
  <c r="F107" i="11"/>
  <c r="E107" i="11"/>
  <c r="D107" i="11"/>
  <c r="C107" i="11"/>
  <c r="AA106" i="11"/>
  <c r="Z106" i="11"/>
  <c r="Y106" i="11"/>
  <c r="W106" i="11"/>
  <c r="V106" i="11"/>
  <c r="U106" i="11"/>
  <c r="T106" i="11"/>
  <c r="S106" i="11"/>
  <c r="R106" i="11"/>
  <c r="P106" i="11"/>
  <c r="O106" i="11"/>
  <c r="N106" i="11"/>
  <c r="L106" i="11"/>
  <c r="K106" i="11"/>
  <c r="J106" i="11"/>
  <c r="I106" i="11"/>
  <c r="H106" i="11"/>
  <c r="G106" i="11"/>
  <c r="F106" i="11"/>
  <c r="E106" i="11"/>
  <c r="D106" i="11"/>
  <c r="C106" i="11"/>
  <c r="AA105" i="11"/>
  <c r="Z105" i="11"/>
  <c r="Y105" i="11"/>
  <c r="W105" i="11"/>
  <c r="V105" i="11"/>
  <c r="U105" i="11"/>
  <c r="T105" i="11"/>
  <c r="S105" i="11"/>
  <c r="R105" i="11"/>
  <c r="P105" i="11"/>
  <c r="O105" i="11"/>
  <c r="N105" i="11"/>
  <c r="L105" i="11"/>
  <c r="K105" i="11"/>
  <c r="J105" i="11"/>
  <c r="I105" i="11"/>
  <c r="H105" i="11"/>
  <c r="G105" i="11"/>
  <c r="F105" i="11"/>
  <c r="E105" i="11"/>
  <c r="D105" i="11"/>
  <c r="C105" i="11"/>
  <c r="AA104" i="11"/>
  <c r="Z104" i="11"/>
  <c r="Y104" i="11"/>
  <c r="W104" i="11"/>
  <c r="V104" i="11"/>
  <c r="U104" i="11"/>
  <c r="T104" i="11"/>
  <c r="S104" i="11"/>
  <c r="R104" i="11"/>
  <c r="P104" i="11"/>
  <c r="O104" i="11"/>
  <c r="N104" i="11"/>
  <c r="L104" i="11"/>
  <c r="K104" i="11"/>
  <c r="J104" i="11"/>
  <c r="I104" i="11"/>
  <c r="H104" i="11"/>
  <c r="G104" i="11"/>
  <c r="F104" i="11"/>
  <c r="E104" i="11"/>
  <c r="D104" i="11"/>
  <c r="C104" i="11"/>
  <c r="AA103" i="11"/>
  <c r="Z103" i="11"/>
  <c r="Y103" i="11"/>
  <c r="W103" i="11"/>
  <c r="V103" i="11"/>
  <c r="U103" i="11"/>
  <c r="T103" i="11"/>
  <c r="S103" i="11"/>
  <c r="R103" i="11"/>
  <c r="P103" i="11"/>
  <c r="O103" i="11"/>
  <c r="N103" i="11"/>
  <c r="L103" i="11"/>
  <c r="K103" i="11"/>
  <c r="J103" i="11"/>
  <c r="I103" i="11"/>
  <c r="H103" i="11"/>
  <c r="G103" i="11"/>
  <c r="F103" i="11"/>
  <c r="E103" i="11"/>
  <c r="D103" i="11"/>
  <c r="C103" i="11"/>
  <c r="AA102" i="11"/>
  <c r="Z102" i="11"/>
  <c r="Y102" i="11"/>
  <c r="W102" i="11"/>
  <c r="V102" i="11"/>
  <c r="U102" i="11"/>
  <c r="T102" i="11"/>
  <c r="S102" i="11"/>
  <c r="R102" i="11"/>
  <c r="P102" i="11"/>
  <c r="O102" i="11"/>
  <c r="N102" i="11"/>
  <c r="L102" i="11"/>
  <c r="K102" i="11"/>
  <c r="J102" i="11"/>
  <c r="I102" i="11"/>
  <c r="H102" i="11"/>
  <c r="G102" i="11"/>
  <c r="F102" i="11"/>
  <c r="E102" i="11"/>
  <c r="D102" i="11"/>
  <c r="C102" i="11"/>
  <c r="AA101" i="11"/>
  <c r="Z101" i="11"/>
  <c r="Y101" i="11"/>
  <c r="W101" i="11"/>
  <c r="V101" i="11"/>
  <c r="U101" i="11"/>
  <c r="T101" i="11"/>
  <c r="S101" i="11"/>
  <c r="R101" i="11"/>
  <c r="P101" i="11"/>
  <c r="O101" i="11"/>
  <c r="N101" i="11"/>
  <c r="L101" i="11"/>
  <c r="K101" i="11"/>
  <c r="J101" i="11"/>
  <c r="I101" i="11"/>
  <c r="H101" i="11"/>
  <c r="G101" i="11"/>
  <c r="F101" i="11"/>
  <c r="E101" i="11"/>
  <c r="D101" i="11"/>
  <c r="C101" i="11"/>
  <c r="AA100" i="11"/>
  <c r="Z100" i="11"/>
  <c r="Y100" i="11"/>
  <c r="W100" i="11"/>
  <c r="V100" i="11"/>
  <c r="U100" i="11"/>
  <c r="T100" i="11"/>
  <c r="S100" i="11"/>
  <c r="R100" i="11"/>
  <c r="P100" i="11"/>
  <c r="O100" i="11"/>
  <c r="N100" i="11"/>
  <c r="L100" i="11"/>
  <c r="K100" i="11"/>
  <c r="J100" i="11"/>
  <c r="I100" i="11"/>
  <c r="H100" i="11"/>
  <c r="G100" i="11"/>
  <c r="F100" i="11"/>
  <c r="E100" i="11"/>
  <c r="D100" i="11"/>
  <c r="C100" i="11"/>
  <c r="AA99" i="11"/>
  <c r="Z99" i="11"/>
  <c r="Y99" i="11"/>
  <c r="W99" i="11"/>
  <c r="V99" i="11"/>
  <c r="U99" i="11"/>
  <c r="T99" i="11"/>
  <c r="S99" i="11"/>
  <c r="R99" i="11"/>
  <c r="P99" i="11"/>
  <c r="O99" i="11"/>
  <c r="N99" i="11"/>
  <c r="L99" i="11"/>
  <c r="K99" i="11"/>
  <c r="J99" i="11"/>
  <c r="I99" i="11"/>
  <c r="H99" i="11"/>
  <c r="G99" i="11"/>
  <c r="F99" i="11"/>
  <c r="E99" i="11"/>
  <c r="D99" i="11"/>
  <c r="C99" i="11"/>
  <c r="AA98" i="11"/>
  <c r="Z98" i="11"/>
  <c r="Y98" i="11"/>
  <c r="W98" i="11"/>
  <c r="V98" i="11"/>
  <c r="U98" i="11"/>
  <c r="T98" i="11"/>
  <c r="S98" i="11"/>
  <c r="R98" i="11"/>
  <c r="P98" i="11"/>
  <c r="O98" i="11"/>
  <c r="N98" i="11"/>
  <c r="L98" i="11"/>
  <c r="K98" i="11"/>
  <c r="J98" i="11"/>
  <c r="I98" i="11"/>
  <c r="H98" i="11"/>
  <c r="G98" i="11"/>
  <c r="F98" i="11"/>
  <c r="E98" i="11"/>
  <c r="D98" i="11"/>
  <c r="C98" i="11"/>
  <c r="AA97" i="11"/>
  <c r="Z97" i="11"/>
  <c r="Y97" i="11"/>
  <c r="W97" i="11"/>
  <c r="V97" i="11"/>
  <c r="U97" i="11"/>
  <c r="T97" i="11"/>
  <c r="S97" i="11"/>
  <c r="R97" i="11"/>
  <c r="P97" i="11"/>
  <c r="O97" i="11"/>
  <c r="N97" i="11"/>
  <c r="L97" i="11"/>
  <c r="K97" i="11"/>
  <c r="J97" i="11"/>
  <c r="I97" i="11"/>
  <c r="H97" i="11"/>
  <c r="G97" i="11"/>
  <c r="F97" i="11"/>
  <c r="E97" i="11"/>
  <c r="D97" i="11"/>
  <c r="C97" i="11"/>
  <c r="AA96" i="11"/>
  <c r="Z96" i="11"/>
  <c r="Y96" i="11"/>
  <c r="W96" i="11"/>
  <c r="V96" i="11"/>
  <c r="U96" i="11"/>
  <c r="T96" i="11"/>
  <c r="S96" i="11"/>
  <c r="R96" i="11"/>
  <c r="P96" i="11"/>
  <c r="O96" i="11"/>
  <c r="N96" i="11"/>
  <c r="L96" i="11"/>
  <c r="K96" i="11"/>
  <c r="J96" i="11"/>
  <c r="I96" i="11"/>
  <c r="H96" i="11"/>
  <c r="G96" i="11"/>
  <c r="F96" i="11"/>
  <c r="E96" i="11"/>
  <c r="D96" i="11"/>
  <c r="C96" i="11"/>
  <c r="AA95" i="11"/>
  <c r="Z95" i="11"/>
  <c r="Y95" i="11"/>
  <c r="W95" i="11"/>
  <c r="V95" i="11"/>
  <c r="U95" i="11"/>
  <c r="T95" i="11"/>
  <c r="S95" i="11"/>
  <c r="R95" i="11"/>
  <c r="P95" i="11"/>
  <c r="O95" i="11"/>
  <c r="N95" i="11"/>
  <c r="L95" i="11"/>
  <c r="K95" i="11"/>
  <c r="J95" i="11"/>
  <c r="I95" i="11"/>
  <c r="H95" i="11"/>
  <c r="G95" i="11"/>
  <c r="F95" i="11"/>
  <c r="E95" i="11"/>
  <c r="D95" i="11"/>
  <c r="C95" i="11"/>
  <c r="AA94" i="11"/>
  <c r="Z94" i="11"/>
  <c r="Y94" i="11"/>
  <c r="W94" i="11"/>
  <c r="V94" i="11"/>
  <c r="U94" i="11"/>
  <c r="T94" i="11"/>
  <c r="S94" i="11"/>
  <c r="R94" i="11"/>
  <c r="P94" i="11"/>
  <c r="O94" i="11"/>
  <c r="N94" i="11"/>
  <c r="L94" i="11"/>
  <c r="K94" i="11"/>
  <c r="J94" i="11"/>
  <c r="I94" i="11"/>
  <c r="H94" i="11"/>
  <c r="G94" i="11"/>
  <c r="F94" i="11"/>
  <c r="E94" i="11"/>
  <c r="D94" i="11"/>
  <c r="C94" i="11"/>
  <c r="AA93" i="11"/>
  <c r="Z93" i="11"/>
  <c r="Y93" i="11"/>
  <c r="W93" i="11"/>
  <c r="V93" i="11"/>
  <c r="U93" i="11"/>
  <c r="T93" i="11"/>
  <c r="S93" i="11"/>
  <c r="R93" i="11"/>
  <c r="P93" i="11"/>
  <c r="O93" i="11"/>
  <c r="N93" i="11"/>
  <c r="L93" i="11"/>
  <c r="K93" i="11"/>
  <c r="J93" i="11"/>
  <c r="I93" i="11"/>
  <c r="H93" i="11"/>
  <c r="G93" i="11"/>
  <c r="F93" i="11"/>
  <c r="E93" i="11"/>
  <c r="D93" i="11"/>
  <c r="C93" i="11"/>
  <c r="AA92" i="11"/>
  <c r="Z92" i="11"/>
  <c r="Y92" i="11"/>
  <c r="W92" i="11"/>
  <c r="V92" i="11"/>
  <c r="U92" i="11"/>
  <c r="T92" i="11"/>
  <c r="S92" i="11"/>
  <c r="R92" i="11"/>
  <c r="P92" i="11"/>
  <c r="O92" i="11"/>
  <c r="N92" i="11"/>
  <c r="L92" i="11"/>
  <c r="K92" i="11"/>
  <c r="J92" i="11"/>
  <c r="I92" i="11"/>
  <c r="H92" i="11"/>
  <c r="G92" i="11"/>
  <c r="F92" i="11"/>
  <c r="E92" i="11"/>
  <c r="D92" i="11"/>
  <c r="C92" i="11"/>
  <c r="AA91" i="11"/>
  <c r="Z91" i="11"/>
  <c r="Y91" i="11"/>
  <c r="W91" i="11"/>
  <c r="V91" i="11"/>
  <c r="U91" i="11"/>
  <c r="T91" i="11"/>
  <c r="S91" i="11"/>
  <c r="R91" i="11"/>
  <c r="P91" i="11"/>
  <c r="O91" i="11"/>
  <c r="N91" i="11"/>
  <c r="L91" i="11"/>
  <c r="K91" i="11"/>
  <c r="J91" i="11"/>
  <c r="I91" i="11"/>
  <c r="H91" i="11"/>
  <c r="G91" i="11"/>
  <c r="F91" i="11"/>
  <c r="E91" i="11"/>
  <c r="D91" i="11"/>
  <c r="C91" i="11"/>
  <c r="AA90" i="11"/>
  <c r="Z90" i="11"/>
  <c r="Y90" i="11"/>
  <c r="W90" i="11"/>
  <c r="V90" i="11"/>
  <c r="U90" i="11"/>
  <c r="T90" i="11"/>
  <c r="S90" i="11"/>
  <c r="R90" i="11"/>
  <c r="P90" i="11"/>
  <c r="O90" i="11"/>
  <c r="N90" i="11"/>
  <c r="L90" i="11"/>
  <c r="K90" i="11"/>
  <c r="J90" i="11"/>
  <c r="I90" i="11"/>
  <c r="H90" i="11"/>
  <c r="G90" i="11"/>
  <c r="F90" i="11"/>
  <c r="E90" i="11"/>
  <c r="D90" i="11"/>
  <c r="C90" i="11"/>
  <c r="AA89" i="11"/>
  <c r="Z89" i="11"/>
  <c r="Y89" i="11"/>
  <c r="W89" i="11"/>
  <c r="V89" i="11"/>
  <c r="U89" i="11"/>
  <c r="T89" i="11"/>
  <c r="S89" i="11"/>
  <c r="R89" i="11"/>
  <c r="P89" i="11"/>
  <c r="O89" i="11"/>
  <c r="N89" i="11"/>
  <c r="L89" i="11"/>
  <c r="K89" i="11"/>
  <c r="J89" i="11"/>
  <c r="I89" i="11"/>
  <c r="H89" i="11"/>
  <c r="G89" i="11"/>
  <c r="F89" i="11"/>
  <c r="E89" i="11"/>
  <c r="D89" i="11"/>
  <c r="C89" i="11"/>
  <c r="AA88" i="11"/>
  <c r="Z88" i="11"/>
  <c r="Y88" i="11"/>
  <c r="W88" i="11"/>
  <c r="V88" i="11"/>
  <c r="U88" i="11"/>
  <c r="T88" i="11"/>
  <c r="S88" i="11"/>
  <c r="R88" i="11"/>
  <c r="P88" i="11"/>
  <c r="O88" i="11"/>
  <c r="N88" i="11"/>
  <c r="L88" i="11"/>
  <c r="K88" i="11"/>
  <c r="J88" i="11"/>
  <c r="I88" i="11"/>
  <c r="H88" i="11"/>
  <c r="G88" i="11"/>
  <c r="F88" i="11"/>
  <c r="E88" i="11"/>
  <c r="D88" i="11"/>
  <c r="C88" i="11"/>
  <c r="AA87" i="11"/>
  <c r="Z87" i="11"/>
  <c r="Y87" i="11"/>
  <c r="W87" i="11"/>
  <c r="V87" i="11"/>
  <c r="U87" i="11"/>
  <c r="T87" i="11"/>
  <c r="S87" i="11"/>
  <c r="R87" i="11"/>
  <c r="P87" i="11"/>
  <c r="O87" i="11"/>
  <c r="N87" i="11"/>
  <c r="L87" i="11"/>
  <c r="K87" i="11"/>
  <c r="J87" i="11"/>
  <c r="I87" i="11"/>
  <c r="H87" i="11"/>
  <c r="G87" i="11"/>
  <c r="F87" i="11"/>
  <c r="E87" i="11"/>
  <c r="D87" i="11"/>
  <c r="C87" i="11"/>
  <c r="AA86" i="11"/>
  <c r="Z86" i="11"/>
  <c r="Y86" i="11"/>
  <c r="W86" i="11"/>
  <c r="V86" i="11"/>
  <c r="U86" i="11"/>
  <c r="T86" i="11"/>
  <c r="S86" i="11"/>
  <c r="R86" i="11"/>
  <c r="P86" i="11"/>
  <c r="O86" i="11"/>
  <c r="N86" i="11"/>
  <c r="L86" i="11"/>
  <c r="K86" i="11"/>
  <c r="J86" i="11"/>
  <c r="I86" i="11"/>
  <c r="H86" i="11"/>
  <c r="G86" i="11"/>
  <c r="F86" i="11"/>
  <c r="E86" i="11"/>
  <c r="D86" i="11"/>
  <c r="C86" i="11"/>
  <c r="AA85" i="11"/>
  <c r="Z85" i="11"/>
  <c r="Y85" i="11"/>
  <c r="W85" i="11"/>
  <c r="V85" i="11"/>
  <c r="U85" i="11"/>
  <c r="T85" i="11"/>
  <c r="S85" i="11"/>
  <c r="R85" i="11"/>
  <c r="P85" i="11"/>
  <c r="O85" i="11"/>
  <c r="N85" i="11"/>
  <c r="L85" i="11"/>
  <c r="K85" i="11"/>
  <c r="J85" i="11"/>
  <c r="I85" i="11"/>
  <c r="H85" i="11"/>
  <c r="G85" i="11"/>
  <c r="F85" i="11"/>
  <c r="E85" i="11"/>
  <c r="D85" i="11"/>
  <c r="C85" i="11"/>
  <c r="AA84" i="11"/>
  <c r="Z84" i="11"/>
  <c r="Y84" i="11"/>
  <c r="W84" i="11"/>
  <c r="V84" i="11"/>
  <c r="U84" i="11"/>
  <c r="T84" i="11"/>
  <c r="S84" i="11"/>
  <c r="R84" i="11"/>
  <c r="P84" i="11"/>
  <c r="O84" i="11"/>
  <c r="N84" i="11"/>
  <c r="L84" i="11"/>
  <c r="K84" i="11"/>
  <c r="J84" i="11"/>
  <c r="I84" i="11"/>
  <c r="H84" i="11"/>
  <c r="G84" i="11"/>
  <c r="F84" i="11"/>
  <c r="E84" i="11"/>
  <c r="D84" i="11"/>
  <c r="C84" i="11"/>
  <c r="AA83" i="11"/>
  <c r="Z83" i="11"/>
  <c r="Y83" i="11"/>
  <c r="W83" i="11"/>
  <c r="V83" i="11"/>
  <c r="U83" i="11"/>
  <c r="T83" i="11"/>
  <c r="S83" i="11"/>
  <c r="R83" i="11"/>
  <c r="P83" i="11"/>
  <c r="O83" i="11"/>
  <c r="N83" i="11"/>
  <c r="L83" i="11"/>
  <c r="K83" i="11"/>
  <c r="J83" i="11"/>
  <c r="I83" i="11"/>
  <c r="H83" i="11"/>
  <c r="G83" i="11"/>
  <c r="F83" i="11"/>
  <c r="E83" i="11"/>
  <c r="D83" i="11"/>
  <c r="C83" i="11"/>
  <c r="AA82" i="11"/>
  <c r="Z82" i="11"/>
  <c r="Y82" i="11"/>
  <c r="W82" i="11"/>
  <c r="V82" i="11"/>
  <c r="U82" i="11"/>
  <c r="T82" i="11"/>
  <c r="S82" i="11"/>
  <c r="R82" i="11"/>
  <c r="P82" i="11"/>
  <c r="O82" i="11"/>
  <c r="N82" i="11"/>
  <c r="L82" i="11"/>
  <c r="K82" i="11"/>
  <c r="J82" i="11"/>
  <c r="I82" i="11"/>
  <c r="H82" i="11"/>
  <c r="G82" i="11"/>
  <c r="F82" i="11"/>
  <c r="E82" i="11"/>
  <c r="D82" i="11"/>
  <c r="C82" i="11"/>
  <c r="AA81" i="11"/>
  <c r="Z81" i="11"/>
  <c r="Y81" i="11"/>
  <c r="W81" i="11"/>
  <c r="V81" i="11"/>
  <c r="U81" i="11"/>
  <c r="T81" i="11"/>
  <c r="S81" i="11"/>
  <c r="R81" i="11"/>
  <c r="P81" i="11"/>
  <c r="O81" i="11"/>
  <c r="N81" i="11"/>
  <c r="L81" i="11"/>
  <c r="K81" i="11"/>
  <c r="J81" i="11"/>
  <c r="I81" i="11"/>
  <c r="H81" i="11"/>
  <c r="G81" i="11"/>
  <c r="F81" i="11"/>
  <c r="E81" i="11"/>
  <c r="D81" i="11"/>
  <c r="C81" i="11"/>
  <c r="AA80" i="11"/>
  <c r="Z80" i="11"/>
  <c r="Y80" i="11"/>
  <c r="W80" i="11"/>
  <c r="V80" i="11"/>
  <c r="U80" i="11"/>
  <c r="T80" i="11"/>
  <c r="S80" i="11"/>
  <c r="R80" i="11"/>
  <c r="P80" i="11"/>
  <c r="O80" i="11"/>
  <c r="N80" i="11"/>
  <c r="L80" i="11"/>
  <c r="K80" i="11"/>
  <c r="J80" i="11"/>
  <c r="I80" i="11"/>
  <c r="H80" i="11"/>
  <c r="G80" i="11"/>
  <c r="F80" i="11"/>
  <c r="E80" i="11"/>
  <c r="D80" i="11"/>
  <c r="C80" i="11"/>
  <c r="AA79" i="11"/>
  <c r="Z79" i="11"/>
  <c r="Y79" i="11"/>
  <c r="W79" i="11"/>
  <c r="V79" i="11"/>
  <c r="U79" i="11"/>
  <c r="T79" i="11"/>
  <c r="S79" i="11"/>
  <c r="R79" i="11"/>
  <c r="P79" i="11"/>
  <c r="O79" i="11"/>
  <c r="N79" i="11"/>
  <c r="L79" i="11"/>
  <c r="K79" i="11"/>
  <c r="J79" i="11"/>
  <c r="I79" i="11"/>
  <c r="H79" i="11"/>
  <c r="G79" i="11"/>
  <c r="F79" i="11"/>
  <c r="E79" i="11"/>
  <c r="D79" i="11"/>
  <c r="C79" i="11"/>
  <c r="AA78" i="11"/>
  <c r="Z78" i="11"/>
  <c r="Y78" i="11"/>
  <c r="W78" i="11"/>
  <c r="V78" i="11"/>
  <c r="U78" i="11"/>
  <c r="T78" i="11"/>
  <c r="S78" i="11"/>
  <c r="R78" i="11"/>
  <c r="P78" i="11"/>
  <c r="O78" i="11"/>
  <c r="N78" i="11"/>
  <c r="L78" i="11"/>
  <c r="K78" i="11"/>
  <c r="J78" i="11"/>
  <c r="I78" i="11"/>
  <c r="H78" i="11"/>
  <c r="G78" i="11"/>
  <c r="F78" i="11"/>
  <c r="E78" i="11"/>
  <c r="D78" i="11"/>
  <c r="C78" i="11"/>
  <c r="AA77" i="11"/>
  <c r="Z77" i="11"/>
  <c r="Y77" i="11"/>
  <c r="W77" i="11"/>
  <c r="V77" i="11"/>
  <c r="U77" i="11"/>
  <c r="T77" i="11"/>
  <c r="S77" i="11"/>
  <c r="R77" i="11"/>
  <c r="P77" i="11"/>
  <c r="O77" i="11"/>
  <c r="N77" i="11"/>
  <c r="L77" i="11"/>
  <c r="K77" i="11"/>
  <c r="J77" i="11"/>
  <c r="I77" i="11"/>
  <c r="H77" i="11"/>
  <c r="G77" i="11"/>
  <c r="F77" i="11"/>
  <c r="E77" i="11"/>
  <c r="D77" i="11"/>
  <c r="C77" i="11"/>
  <c r="AA76" i="11"/>
  <c r="Z76" i="11"/>
  <c r="Y76" i="11"/>
  <c r="W76" i="11"/>
  <c r="V76" i="11"/>
  <c r="U76" i="11"/>
  <c r="T76" i="11"/>
  <c r="S76" i="11"/>
  <c r="R76" i="11"/>
  <c r="P76" i="11"/>
  <c r="O76" i="11"/>
  <c r="N76" i="11"/>
  <c r="L76" i="11"/>
  <c r="K76" i="11"/>
  <c r="J76" i="11"/>
  <c r="I76" i="11"/>
  <c r="H76" i="11"/>
  <c r="G76" i="11"/>
  <c r="F76" i="11"/>
  <c r="E76" i="11"/>
  <c r="D76" i="11"/>
  <c r="C76" i="11"/>
  <c r="AA75" i="11"/>
  <c r="Z75" i="11"/>
  <c r="Y75" i="11"/>
  <c r="W75" i="11"/>
  <c r="V75" i="11"/>
  <c r="U75" i="11"/>
  <c r="T75" i="11"/>
  <c r="S75" i="11"/>
  <c r="R75" i="11"/>
  <c r="P75" i="11"/>
  <c r="O75" i="11"/>
  <c r="N75" i="11"/>
  <c r="L75" i="11"/>
  <c r="K75" i="11"/>
  <c r="J75" i="11"/>
  <c r="I75" i="11"/>
  <c r="H75" i="11"/>
  <c r="G75" i="11"/>
  <c r="F75" i="11"/>
  <c r="E75" i="11"/>
  <c r="D75" i="11"/>
  <c r="C75" i="11"/>
  <c r="AA74" i="11"/>
  <c r="Z74" i="11"/>
  <c r="Y74" i="11"/>
  <c r="W74" i="11"/>
  <c r="V74" i="11"/>
  <c r="U74" i="11"/>
  <c r="T74" i="11"/>
  <c r="S74" i="11"/>
  <c r="R74" i="11"/>
  <c r="P74" i="11"/>
  <c r="O74" i="11"/>
  <c r="N74" i="11"/>
  <c r="L74" i="11"/>
  <c r="K74" i="11"/>
  <c r="J74" i="11"/>
  <c r="I74" i="11"/>
  <c r="H74" i="11"/>
  <c r="G74" i="11"/>
  <c r="F74" i="11"/>
  <c r="E74" i="11"/>
  <c r="D74" i="11"/>
  <c r="C74" i="11"/>
  <c r="AA73" i="11"/>
  <c r="Z73" i="11"/>
  <c r="Y73" i="11"/>
  <c r="W73" i="11"/>
  <c r="V73" i="11"/>
  <c r="U73" i="11"/>
  <c r="T73" i="11"/>
  <c r="S73" i="11"/>
  <c r="R73" i="11"/>
  <c r="P73" i="11"/>
  <c r="O73" i="11"/>
  <c r="N73" i="11"/>
  <c r="L73" i="11"/>
  <c r="K73" i="11"/>
  <c r="J73" i="11"/>
  <c r="I73" i="11"/>
  <c r="H73" i="11"/>
  <c r="G73" i="11"/>
  <c r="F73" i="11"/>
  <c r="E73" i="11"/>
  <c r="D73" i="11"/>
  <c r="C73" i="11"/>
  <c r="AA72" i="11"/>
  <c r="Z72" i="11"/>
  <c r="Y72" i="11"/>
  <c r="W72" i="11"/>
  <c r="V72" i="11"/>
  <c r="U72" i="11"/>
  <c r="T72" i="11"/>
  <c r="S72" i="11"/>
  <c r="R72" i="11"/>
  <c r="P72" i="11"/>
  <c r="O72" i="11"/>
  <c r="N72" i="11"/>
  <c r="L72" i="11"/>
  <c r="K72" i="11"/>
  <c r="J72" i="11"/>
  <c r="I72" i="11"/>
  <c r="H72" i="11"/>
  <c r="G72" i="11"/>
  <c r="F72" i="11"/>
  <c r="E72" i="11"/>
  <c r="D72" i="11"/>
  <c r="C72" i="11"/>
  <c r="AA71" i="11"/>
  <c r="Z71" i="11"/>
  <c r="Y71" i="11"/>
  <c r="W71" i="11"/>
  <c r="V71" i="11"/>
  <c r="U71" i="11"/>
  <c r="T71" i="11"/>
  <c r="S71" i="11"/>
  <c r="R71" i="11"/>
  <c r="P71" i="11"/>
  <c r="O71" i="11"/>
  <c r="N71" i="11"/>
  <c r="L71" i="11"/>
  <c r="K71" i="11"/>
  <c r="J71" i="11"/>
  <c r="I71" i="11"/>
  <c r="H71" i="11"/>
  <c r="G71" i="11"/>
  <c r="F71" i="11"/>
  <c r="E71" i="11"/>
  <c r="D71" i="11"/>
  <c r="C71" i="11"/>
  <c r="AA70" i="11"/>
  <c r="Z70" i="11"/>
  <c r="Y70" i="11"/>
  <c r="W70" i="11"/>
  <c r="V70" i="11"/>
  <c r="U70" i="11"/>
  <c r="T70" i="11"/>
  <c r="S70" i="11"/>
  <c r="R70" i="11"/>
  <c r="P70" i="11"/>
  <c r="O70" i="11"/>
  <c r="N70" i="11"/>
  <c r="L70" i="11"/>
  <c r="K70" i="11"/>
  <c r="J70" i="11"/>
  <c r="I70" i="11"/>
  <c r="H70" i="11"/>
  <c r="G70" i="11"/>
  <c r="F70" i="11"/>
  <c r="E70" i="11"/>
  <c r="D70" i="11"/>
  <c r="C70" i="11"/>
  <c r="AA69" i="11"/>
  <c r="Z69" i="11"/>
  <c r="Y69" i="11"/>
  <c r="W69" i="11"/>
  <c r="V69" i="11"/>
  <c r="U69" i="11"/>
  <c r="T69" i="11"/>
  <c r="S69" i="11"/>
  <c r="R69" i="11"/>
  <c r="P69" i="11"/>
  <c r="O69" i="11"/>
  <c r="N69" i="11"/>
  <c r="L69" i="11"/>
  <c r="K69" i="11"/>
  <c r="J69" i="11"/>
  <c r="I69" i="11"/>
  <c r="H69" i="11"/>
  <c r="G69" i="11"/>
  <c r="F69" i="11"/>
  <c r="E69" i="11"/>
  <c r="D69" i="11"/>
  <c r="C69" i="11"/>
  <c r="AA68" i="11"/>
  <c r="Z68" i="11"/>
  <c r="Y68" i="11"/>
  <c r="W68" i="11"/>
  <c r="V68" i="11"/>
  <c r="U68" i="11"/>
  <c r="T68" i="11"/>
  <c r="S68" i="11"/>
  <c r="R68" i="11"/>
  <c r="P68" i="11"/>
  <c r="O68" i="11"/>
  <c r="N68" i="11"/>
  <c r="L68" i="11"/>
  <c r="K68" i="11"/>
  <c r="J68" i="11"/>
  <c r="I68" i="11"/>
  <c r="H68" i="11"/>
  <c r="G68" i="11"/>
  <c r="F68" i="11"/>
  <c r="E68" i="11"/>
  <c r="D68" i="11"/>
  <c r="C68" i="11"/>
  <c r="AA67" i="11"/>
  <c r="Z67" i="11"/>
  <c r="Y67" i="11"/>
  <c r="W67" i="11"/>
  <c r="V67" i="11"/>
  <c r="U67" i="11"/>
  <c r="T67" i="11"/>
  <c r="S67" i="11"/>
  <c r="R67" i="11"/>
  <c r="P67" i="11"/>
  <c r="O67" i="11"/>
  <c r="N67" i="11"/>
  <c r="L67" i="11"/>
  <c r="K67" i="11"/>
  <c r="J67" i="11"/>
  <c r="I67" i="11"/>
  <c r="H67" i="11"/>
  <c r="G67" i="11"/>
  <c r="F67" i="11"/>
  <c r="E67" i="11"/>
  <c r="D67" i="11"/>
  <c r="C67" i="11"/>
  <c r="AA66" i="11"/>
  <c r="Z66" i="11"/>
  <c r="Y66" i="11"/>
  <c r="W66" i="11"/>
  <c r="V66" i="11"/>
  <c r="U66" i="11"/>
  <c r="T66" i="11"/>
  <c r="S66" i="11"/>
  <c r="R66" i="11"/>
  <c r="P66" i="11"/>
  <c r="O66" i="11"/>
  <c r="N66" i="11"/>
  <c r="L66" i="11"/>
  <c r="K66" i="11"/>
  <c r="J66" i="11"/>
  <c r="I66" i="11"/>
  <c r="H66" i="11"/>
  <c r="G66" i="11"/>
  <c r="F66" i="11"/>
  <c r="E66" i="11"/>
  <c r="D66" i="11"/>
  <c r="C66" i="11"/>
  <c r="AA65" i="11"/>
  <c r="Z65" i="11"/>
  <c r="Y65" i="11"/>
  <c r="W65" i="11"/>
  <c r="V65" i="11"/>
  <c r="U65" i="11"/>
  <c r="T65" i="11"/>
  <c r="S65" i="11"/>
  <c r="R65" i="11"/>
  <c r="P65" i="11"/>
  <c r="O65" i="11"/>
  <c r="N65" i="11"/>
  <c r="L65" i="11"/>
  <c r="K65" i="11"/>
  <c r="J65" i="11"/>
  <c r="I65" i="11"/>
  <c r="H65" i="11"/>
  <c r="G65" i="11"/>
  <c r="F65" i="11"/>
  <c r="E65" i="11"/>
  <c r="D65" i="11"/>
  <c r="C65" i="11"/>
  <c r="AA64" i="11"/>
  <c r="Z64" i="11"/>
  <c r="Y64" i="11"/>
  <c r="W64" i="11"/>
  <c r="V64" i="11"/>
  <c r="U64" i="11"/>
  <c r="T64" i="11"/>
  <c r="S64" i="11"/>
  <c r="R64" i="11"/>
  <c r="P64" i="11"/>
  <c r="O64" i="11"/>
  <c r="N64" i="11"/>
  <c r="L64" i="11"/>
  <c r="K64" i="11"/>
  <c r="J64" i="11"/>
  <c r="I64" i="11"/>
  <c r="H64" i="11"/>
  <c r="G64" i="11"/>
  <c r="F64" i="11"/>
  <c r="E64" i="11"/>
  <c r="D64" i="11"/>
  <c r="C64" i="11"/>
  <c r="AA63" i="11"/>
  <c r="Z63" i="11"/>
  <c r="Y63" i="11"/>
  <c r="W63" i="11"/>
  <c r="V63" i="11"/>
  <c r="U63" i="11"/>
  <c r="T63" i="11"/>
  <c r="S63" i="11"/>
  <c r="R63" i="11"/>
  <c r="P63" i="11"/>
  <c r="O63" i="11"/>
  <c r="N63" i="11"/>
  <c r="L63" i="11"/>
  <c r="K63" i="11"/>
  <c r="J63" i="11"/>
  <c r="I63" i="11"/>
  <c r="H63" i="11"/>
  <c r="G63" i="11"/>
  <c r="F63" i="11"/>
  <c r="E63" i="11"/>
  <c r="D63" i="11"/>
  <c r="C63" i="11"/>
  <c r="AA62" i="11"/>
  <c r="Z62" i="11"/>
  <c r="Y62" i="11"/>
  <c r="W62" i="11"/>
  <c r="V62" i="11"/>
  <c r="U62" i="11"/>
  <c r="T62" i="11"/>
  <c r="S62" i="11"/>
  <c r="R62" i="11"/>
  <c r="P62" i="11"/>
  <c r="O62" i="11"/>
  <c r="N62" i="11"/>
  <c r="L62" i="11"/>
  <c r="K62" i="11"/>
  <c r="J62" i="11"/>
  <c r="I62" i="11"/>
  <c r="H62" i="11"/>
  <c r="G62" i="11"/>
  <c r="F62" i="11"/>
  <c r="E62" i="11"/>
  <c r="D62" i="11"/>
  <c r="C62" i="11"/>
  <c r="AA61" i="11"/>
  <c r="Z61" i="11"/>
  <c r="Y61" i="11"/>
  <c r="W61" i="11"/>
  <c r="V61" i="11"/>
  <c r="U61" i="11"/>
  <c r="T61" i="11"/>
  <c r="S61" i="11"/>
  <c r="R61" i="11"/>
  <c r="P61" i="11"/>
  <c r="O61" i="11"/>
  <c r="N61" i="11"/>
  <c r="L61" i="11"/>
  <c r="K61" i="11"/>
  <c r="J61" i="11"/>
  <c r="I61" i="11"/>
  <c r="H61" i="11"/>
  <c r="G61" i="11"/>
  <c r="F61" i="11"/>
  <c r="E61" i="11"/>
  <c r="D61" i="11"/>
  <c r="C61" i="11"/>
  <c r="AA60" i="11"/>
  <c r="Z60" i="11"/>
  <c r="Y60" i="11"/>
  <c r="W60" i="11"/>
  <c r="V60" i="11"/>
  <c r="U60" i="11"/>
  <c r="T60" i="11"/>
  <c r="S60" i="11"/>
  <c r="R60" i="11"/>
  <c r="P60" i="11"/>
  <c r="O60" i="11"/>
  <c r="N60" i="11"/>
  <c r="L60" i="11"/>
  <c r="K60" i="11"/>
  <c r="J60" i="11"/>
  <c r="I60" i="11"/>
  <c r="H60" i="11"/>
  <c r="G60" i="11"/>
  <c r="F60" i="11"/>
  <c r="E60" i="11"/>
  <c r="D60" i="11"/>
  <c r="C60" i="11"/>
  <c r="AA59" i="11"/>
  <c r="Z59" i="11"/>
  <c r="Y59" i="11"/>
  <c r="W59" i="11"/>
  <c r="V59" i="11"/>
  <c r="U59" i="11"/>
  <c r="T59" i="11"/>
  <c r="S59" i="11"/>
  <c r="R59" i="11"/>
  <c r="P59" i="11"/>
  <c r="O59" i="11"/>
  <c r="N59" i="11"/>
  <c r="L59" i="11"/>
  <c r="K59" i="11"/>
  <c r="J59" i="11"/>
  <c r="I59" i="11"/>
  <c r="H59" i="11"/>
  <c r="G59" i="11"/>
  <c r="F59" i="11"/>
  <c r="E59" i="11"/>
  <c r="D59" i="11"/>
  <c r="C59" i="11"/>
  <c r="AA58" i="11"/>
  <c r="Z58" i="11"/>
  <c r="Y58" i="11"/>
  <c r="W58" i="11"/>
  <c r="V58" i="11"/>
  <c r="U58" i="11"/>
  <c r="T58" i="11"/>
  <c r="S58" i="11"/>
  <c r="R58" i="11"/>
  <c r="P58" i="11"/>
  <c r="O58" i="11"/>
  <c r="N58" i="11"/>
  <c r="L58" i="11"/>
  <c r="K58" i="11"/>
  <c r="J58" i="11"/>
  <c r="I58" i="11"/>
  <c r="H58" i="11"/>
  <c r="G58" i="11"/>
  <c r="F58" i="11"/>
  <c r="E58" i="11"/>
  <c r="D58" i="11"/>
  <c r="C58" i="11"/>
  <c r="AA57" i="11"/>
  <c r="Z57" i="11"/>
  <c r="Y57" i="11"/>
  <c r="W57" i="11"/>
  <c r="V57" i="11"/>
  <c r="U57" i="11"/>
  <c r="T57" i="11"/>
  <c r="S57" i="11"/>
  <c r="R57" i="11"/>
  <c r="P57" i="11"/>
  <c r="O57" i="11"/>
  <c r="N57" i="11"/>
  <c r="L57" i="11"/>
  <c r="K57" i="11"/>
  <c r="J57" i="11"/>
  <c r="I57" i="11"/>
  <c r="H57" i="11"/>
  <c r="G57" i="11"/>
  <c r="F57" i="11"/>
  <c r="E57" i="11"/>
  <c r="D57" i="11"/>
  <c r="C57" i="11"/>
  <c r="AA56" i="11"/>
  <c r="Z56" i="11"/>
  <c r="Y56" i="11"/>
  <c r="W56" i="11"/>
  <c r="V56" i="11"/>
  <c r="U56" i="11"/>
  <c r="T56" i="11"/>
  <c r="S56" i="11"/>
  <c r="R56" i="11"/>
  <c r="P56" i="11"/>
  <c r="O56" i="11"/>
  <c r="N56" i="11"/>
  <c r="L56" i="11"/>
  <c r="K56" i="11"/>
  <c r="J56" i="11"/>
  <c r="I56" i="11"/>
  <c r="H56" i="11"/>
  <c r="G56" i="11"/>
  <c r="F56" i="11"/>
  <c r="E56" i="11"/>
  <c r="D56" i="11"/>
  <c r="C56" i="11"/>
  <c r="AA55" i="11"/>
  <c r="Z55" i="11"/>
  <c r="Y55" i="11"/>
  <c r="W55" i="11"/>
  <c r="V55" i="11"/>
  <c r="U55" i="11"/>
  <c r="T55" i="11"/>
  <c r="S55" i="11"/>
  <c r="R55" i="11"/>
  <c r="P55" i="11"/>
  <c r="O55" i="11"/>
  <c r="N55" i="11"/>
  <c r="L55" i="11"/>
  <c r="K55" i="11"/>
  <c r="J55" i="11"/>
  <c r="I55" i="11"/>
  <c r="H55" i="11"/>
  <c r="G55" i="11"/>
  <c r="F55" i="11"/>
  <c r="E55" i="11"/>
  <c r="D55" i="11"/>
  <c r="C55" i="11"/>
  <c r="AA54" i="11"/>
  <c r="Z54" i="11"/>
  <c r="Y54" i="11"/>
  <c r="W54" i="11"/>
  <c r="V54" i="11"/>
  <c r="U54" i="11"/>
  <c r="T54" i="11"/>
  <c r="S54" i="11"/>
  <c r="R54" i="11"/>
  <c r="P54" i="11"/>
  <c r="O54" i="11"/>
  <c r="N54" i="11"/>
  <c r="L54" i="11"/>
  <c r="K54" i="11"/>
  <c r="J54" i="11"/>
  <c r="I54" i="11"/>
  <c r="H54" i="11"/>
  <c r="G54" i="11"/>
  <c r="F54" i="11"/>
  <c r="E54" i="11"/>
  <c r="D54" i="11"/>
  <c r="C54" i="11"/>
  <c r="AA53" i="11"/>
  <c r="Z53" i="11"/>
  <c r="Y53" i="11"/>
  <c r="W53" i="11"/>
  <c r="V53" i="11"/>
  <c r="U53" i="11"/>
  <c r="T53" i="11"/>
  <c r="S53" i="11"/>
  <c r="R53" i="11"/>
  <c r="P53" i="11"/>
  <c r="O53" i="11"/>
  <c r="N53" i="11"/>
  <c r="L53" i="11"/>
  <c r="K53" i="11"/>
  <c r="J53" i="11"/>
  <c r="I53" i="11"/>
  <c r="H53" i="11"/>
  <c r="G53" i="11"/>
  <c r="F53" i="11"/>
  <c r="E53" i="11"/>
  <c r="D53" i="11"/>
  <c r="C53" i="11"/>
  <c r="AA52" i="11"/>
  <c r="Z52" i="11"/>
  <c r="Y52" i="11"/>
  <c r="W52" i="11"/>
  <c r="V52" i="11"/>
  <c r="U52" i="11"/>
  <c r="T52" i="11"/>
  <c r="S52" i="11"/>
  <c r="R52" i="11"/>
  <c r="P52" i="11"/>
  <c r="O52" i="11"/>
  <c r="N52" i="11"/>
  <c r="L52" i="11"/>
  <c r="K52" i="11"/>
  <c r="J52" i="11"/>
  <c r="I52" i="11"/>
  <c r="H52" i="11"/>
  <c r="G52" i="11"/>
  <c r="F52" i="11"/>
  <c r="E52" i="11"/>
  <c r="D52" i="11"/>
  <c r="C52" i="11"/>
  <c r="AA51" i="11"/>
  <c r="Z51" i="11"/>
  <c r="Y51" i="11"/>
  <c r="W51" i="11"/>
  <c r="V51" i="11"/>
  <c r="U51" i="11"/>
  <c r="T51" i="11"/>
  <c r="S51" i="11"/>
  <c r="R51" i="11"/>
  <c r="P51" i="11"/>
  <c r="O51" i="11"/>
  <c r="N51" i="11"/>
  <c r="L51" i="11"/>
  <c r="K51" i="11"/>
  <c r="J51" i="11"/>
  <c r="I51" i="11"/>
  <c r="H51" i="11"/>
  <c r="G51" i="11"/>
  <c r="F51" i="11"/>
  <c r="E51" i="11"/>
  <c r="D51" i="11"/>
  <c r="C51" i="11"/>
  <c r="AA50" i="11"/>
  <c r="Z50" i="11"/>
  <c r="Y50" i="11"/>
  <c r="W50" i="11"/>
  <c r="V50" i="11"/>
  <c r="U50" i="11"/>
  <c r="T50" i="11"/>
  <c r="S50" i="11"/>
  <c r="R50" i="11"/>
  <c r="P50" i="11"/>
  <c r="O50" i="11"/>
  <c r="N50" i="11"/>
  <c r="L50" i="11"/>
  <c r="K50" i="11"/>
  <c r="J50" i="11"/>
  <c r="I50" i="11"/>
  <c r="H50" i="11"/>
  <c r="G50" i="11"/>
  <c r="F50" i="11"/>
  <c r="E50" i="11"/>
  <c r="D50" i="11"/>
  <c r="C50" i="11"/>
  <c r="AA49" i="11"/>
  <c r="Z49" i="11"/>
  <c r="Y49" i="11"/>
  <c r="W49" i="11"/>
  <c r="V49" i="11"/>
  <c r="U49" i="11"/>
  <c r="T49" i="11"/>
  <c r="S49" i="11"/>
  <c r="R49" i="11"/>
  <c r="P49" i="11"/>
  <c r="O49" i="11"/>
  <c r="N49" i="11"/>
  <c r="L49" i="11"/>
  <c r="K49" i="11"/>
  <c r="J49" i="11"/>
  <c r="I49" i="11"/>
  <c r="H49" i="11"/>
  <c r="G49" i="11"/>
  <c r="F49" i="11"/>
  <c r="E49" i="11"/>
  <c r="D49" i="11"/>
  <c r="C49" i="11"/>
  <c r="AA48" i="11"/>
  <c r="Z48" i="11"/>
  <c r="Y48" i="11"/>
  <c r="W48" i="11"/>
  <c r="V48" i="11"/>
  <c r="U48" i="11"/>
  <c r="T48" i="11"/>
  <c r="S48" i="11"/>
  <c r="R48" i="11"/>
  <c r="P48" i="11"/>
  <c r="O48" i="11"/>
  <c r="N48" i="11"/>
  <c r="L48" i="11"/>
  <c r="K48" i="11"/>
  <c r="J48" i="11"/>
  <c r="I48" i="11"/>
  <c r="H48" i="11"/>
  <c r="G48" i="11"/>
  <c r="F48" i="11"/>
  <c r="E48" i="11"/>
  <c r="D48" i="11"/>
  <c r="C48" i="11"/>
  <c r="AA47" i="11"/>
  <c r="Z47" i="11"/>
  <c r="Y47" i="11"/>
  <c r="W47" i="11"/>
  <c r="V47" i="11"/>
  <c r="U47" i="11"/>
  <c r="T47" i="11"/>
  <c r="S47" i="11"/>
  <c r="R47" i="11"/>
  <c r="P47" i="11"/>
  <c r="O47" i="11"/>
  <c r="N47" i="11"/>
  <c r="L47" i="11"/>
  <c r="K47" i="11"/>
  <c r="J47" i="11"/>
  <c r="I47" i="11"/>
  <c r="H47" i="11"/>
  <c r="G47" i="11"/>
  <c r="F47" i="11"/>
  <c r="E47" i="11"/>
  <c r="D47" i="11"/>
  <c r="C47" i="11"/>
  <c r="AA46" i="11"/>
  <c r="Z46" i="11"/>
  <c r="Y46" i="11"/>
  <c r="W46" i="11"/>
  <c r="V46" i="11"/>
  <c r="U46" i="11"/>
  <c r="T46" i="11"/>
  <c r="S46" i="11"/>
  <c r="R46" i="11"/>
  <c r="P46" i="11"/>
  <c r="O46" i="11"/>
  <c r="N46" i="11"/>
  <c r="L46" i="11"/>
  <c r="K46" i="11"/>
  <c r="J46" i="11"/>
  <c r="I46" i="11"/>
  <c r="H46" i="11"/>
  <c r="G46" i="11"/>
  <c r="F46" i="11"/>
  <c r="E46" i="11"/>
  <c r="D46" i="11"/>
  <c r="C46" i="11"/>
  <c r="AA45" i="11"/>
  <c r="Z45" i="11"/>
  <c r="Y45" i="11"/>
  <c r="W45" i="11"/>
  <c r="V45" i="11"/>
  <c r="U45" i="11"/>
  <c r="T45" i="11"/>
  <c r="S45" i="11"/>
  <c r="R45" i="11"/>
  <c r="P45" i="11"/>
  <c r="O45" i="11"/>
  <c r="N45" i="11"/>
  <c r="L45" i="11"/>
  <c r="K45" i="11"/>
  <c r="J45" i="11"/>
  <c r="I45" i="11"/>
  <c r="H45" i="11"/>
  <c r="G45" i="11"/>
  <c r="F45" i="11"/>
  <c r="E45" i="11"/>
  <c r="D45" i="11"/>
  <c r="C45" i="11"/>
  <c r="AA44" i="11"/>
  <c r="Z44" i="11"/>
  <c r="Y44" i="11"/>
  <c r="W44" i="11"/>
  <c r="V44" i="11"/>
  <c r="U44" i="11"/>
  <c r="T44" i="11"/>
  <c r="S44" i="11"/>
  <c r="R44" i="11"/>
  <c r="P44" i="11"/>
  <c r="O44" i="11"/>
  <c r="N44" i="11"/>
  <c r="L44" i="11"/>
  <c r="K44" i="11"/>
  <c r="J44" i="11"/>
  <c r="I44" i="11"/>
  <c r="H44" i="11"/>
  <c r="G44" i="11"/>
  <c r="F44" i="11"/>
  <c r="E44" i="11"/>
  <c r="D44" i="11"/>
  <c r="C44" i="11"/>
  <c r="AA43" i="11"/>
  <c r="Z43" i="11"/>
  <c r="Y43" i="11"/>
  <c r="W43" i="11"/>
  <c r="V43" i="11"/>
  <c r="U43" i="11"/>
  <c r="T43" i="11"/>
  <c r="S43" i="11"/>
  <c r="R43" i="11"/>
  <c r="P43" i="11"/>
  <c r="O43" i="11"/>
  <c r="N43" i="11"/>
  <c r="L43" i="11"/>
  <c r="K43" i="11"/>
  <c r="J43" i="11"/>
  <c r="I43" i="11"/>
  <c r="H43" i="11"/>
  <c r="G43" i="11"/>
  <c r="F43" i="11"/>
  <c r="E43" i="11"/>
  <c r="D43" i="11"/>
  <c r="C43" i="11"/>
  <c r="AA42" i="11"/>
  <c r="Z42" i="11"/>
  <c r="Y42" i="11"/>
  <c r="W42" i="11"/>
  <c r="V42" i="11"/>
  <c r="U42" i="11"/>
  <c r="T42" i="11"/>
  <c r="S42" i="11"/>
  <c r="R42" i="11"/>
  <c r="P42" i="11"/>
  <c r="O42" i="11"/>
  <c r="N42" i="11"/>
  <c r="L42" i="11"/>
  <c r="K42" i="11"/>
  <c r="J42" i="11"/>
  <c r="I42" i="11"/>
  <c r="H42" i="11"/>
  <c r="G42" i="11"/>
  <c r="F42" i="11"/>
  <c r="E42" i="11"/>
  <c r="D42" i="11"/>
  <c r="C42" i="11"/>
  <c r="AA41" i="11"/>
  <c r="Z41" i="11"/>
  <c r="Y41" i="11"/>
  <c r="W41" i="11"/>
  <c r="V41" i="11"/>
  <c r="U41" i="11"/>
  <c r="T41" i="11"/>
  <c r="S41" i="11"/>
  <c r="R41" i="11"/>
  <c r="P41" i="11"/>
  <c r="O41" i="11"/>
  <c r="N41" i="11"/>
  <c r="L41" i="11"/>
  <c r="K41" i="11"/>
  <c r="J41" i="11"/>
  <c r="I41" i="11"/>
  <c r="H41" i="11"/>
  <c r="G41" i="11"/>
  <c r="F41" i="11"/>
  <c r="E41" i="11"/>
  <c r="D41" i="11"/>
  <c r="C41" i="11"/>
  <c r="AA40" i="11"/>
  <c r="Z40" i="11"/>
  <c r="Y40" i="11"/>
  <c r="W40" i="11"/>
  <c r="V40" i="11"/>
  <c r="U40" i="11"/>
  <c r="T40" i="11"/>
  <c r="S40" i="11"/>
  <c r="R40" i="11"/>
  <c r="P40" i="11"/>
  <c r="O40" i="11"/>
  <c r="N40" i="11"/>
  <c r="L40" i="11"/>
  <c r="K40" i="11"/>
  <c r="J40" i="11"/>
  <c r="I40" i="11"/>
  <c r="H40" i="11"/>
  <c r="G40" i="11"/>
  <c r="F40" i="11"/>
  <c r="E40" i="11"/>
  <c r="D40" i="11"/>
  <c r="C40" i="11"/>
  <c r="AA39" i="11"/>
  <c r="Z39" i="11"/>
  <c r="Y39" i="11"/>
  <c r="W39" i="11"/>
  <c r="V39" i="11"/>
  <c r="U39" i="11"/>
  <c r="T39" i="11"/>
  <c r="S39" i="11"/>
  <c r="R39" i="11"/>
  <c r="P39" i="11"/>
  <c r="O39" i="11"/>
  <c r="N39" i="11"/>
  <c r="L39" i="11"/>
  <c r="K39" i="11"/>
  <c r="J39" i="11"/>
  <c r="I39" i="11"/>
  <c r="H39" i="11"/>
  <c r="G39" i="11"/>
  <c r="F39" i="11"/>
  <c r="E39" i="11"/>
  <c r="D39" i="11"/>
  <c r="C39" i="11"/>
  <c r="AA38" i="11"/>
  <c r="Z38" i="11"/>
  <c r="Y38" i="11"/>
  <c r="W38" i="11"/>
  <c r="V38" i="11"/>
  <c r="U38" i="11"/>
  <c r="T38" i="11"/>
  <c r="S38" i="11"/>
  <c r="R38" i="11"/>
  <c r="P38" i="11"/>
  <c r="O38" i="11"/>
  <c r="N38" i="11"/>
  <c r="L38" i="11"/>
  <c r="K38" i="11"/>
  <c r="J38" i="11"/>
  <c r="I38" i="11"/>
  <c r="H38" i="11"/>
  <c r="G38" i="11"/>
  <c r="F38" i="11"/>
  <c r="E38" i="11"/>
  <c r="D38" i="11"/>
  <c r="C38" i="11"/>
  <c r="AA37" i="11"/>
  <c r="Z37" i="11"/>
  <c r="Y37" i="11"/>
  <c r="W37" i="11"/>
  <c r="V37" i="11"/>
  <c r="U37" i="11"/>
  <c r="T37" i="11"/>
  <c r="S37" i="11"/>
  <c r="R37" i="11"/>
  <c r="P37" i="11"/>
  <c r="O37" i="11"/>
  <c r="N37" i="11"/>
  <c r="L37" i="11"/>
  <c r="K37" i="11"/>
  <c r="J37" i="11"/>
  <c r="I37" i="11"/>
  <c r="H37" i="11"/>
  <c r="G37" i="11"/>
  <c r="F37" i="11"/>
  <c r="E37" i="11"/>
  <c r="D37" i="11"/>
  <c r="C37" i="11"/>
  <c r="AA36" i="11"/>
  <c r="Z36" i="11"/>
  <c r="Y36" i="11"/>
  <c r="W36" i="11"/>
  <c r="V36" i="11"/>
  <c r="U36" i="11"/>
  <c r="T36" i="11"/>
  <c r="S36" i="11"/>
  <c r="R36" i="11"/>
  <c r="P36" i="11"/>
  <c r="O36" i="11"/>
  <c r="N36" i="11"/>
  <c r="L36" i="11"/>
  <c r="K36" i="11"/>
  <c r="J36" i="11"/>
  <c r="I36" i="11"/>
  <c r="H36" i="11"/>
  <c r="G36" i="11"/>
  <c r="F36" i="11"/>
  <c r="E36" i="11"/>
  <c r="D36" i="11"/>
  <c r="C36" i="11"/>
  <c r="AA35" i="11"/>
  <c r="Z35" i="11"/>
  <c r="Y35" i="11"/>
  <c r="W35" i="11"/>
  <c r="V35" i="11"/>
  <c r="U35" i="11"/>
  <c r="T35" i="11"/>
  <c r="S35" i="11"/>
  <c r="R35" i="11"/>
  <c r="P35" i="11"/>
  <c r="O35" i="11"/>
  <c r="N35" i="11"/>
  <c r="L35" i="11"/>
  <c r="K35" i="11"/>
  <c r="J35" i="11"/>
  <c r="I35" i="11"/>
  <c r="H35" i="11"/>
  <c r="G35" i="11"/>
  <c r="F35" i="11"/>
  <c r="E35" i="11"/>
  <c r="D35" i="11"/>
  <c r="C35" i="11"/>
  <c r="AA34" i="11"/>
  <c r="Z34" i="11"/>
  <c r="Y34" i="11"/>
  <c r="W34" i="11"/>
  <c r="V34" i="11"/>
  <c r="U34" i="11"/>
  <c r="T34" i="11"/>
  <c r="S34" i="11"/>
  <c r="R34" i="11"/>
  <c r="P34" i="11"/>
  <c r="O34" i="11"/>
  <c r="N34" i="11"/>
  <c r="L34" i="11"/>
  <c r="K34" i="11"/>
  <c r="J34" i="11"/>
  <c r="I34" i="11"/>
  <c r="H34" i="11"/>
  <c r="G34" i="11"/>
  <c r="F34" i="11"/>
  <c r="E34" i="11"/>
  <c r="D34" i="11"/>
  <c r="C34" i="11"/>
  <c r="AA33" i="11"/>
  <c r="Z33" i="11"/>
  <c r="Y33" i="11"/>
  <c r="W33" i="11"/>
  <c r="V33" i="11"/>
  <c r="U33" i="11"/>
  <c r="T33" i="11"/>
  <c r="S33" i="11"/>
  <c r="R33" i="11"/>
  <c r="P33" i="11"/>
  <c r="O33" i="11"/>
  <c r="N33" i="11"/>
  <c r="L33" i="11"/>
  <c r="K33" i="11"/>
  <c r="J33" i="11"/>
  <c r="I33" i="11"/>
  <c r="H33" i="11"/>
  <c r="G33" i="11"/>
  <c r="F33" i="11"/>
  <c r="E33" i="11"/>
  <c r="D33" i="11"/>
  <c r="C33" i="11"/>
  <c r="AA32" i="11"/>
  <c r="Z32" i="11"/>
  <c r="Y32" i="11"/>
  <c r="W32" i="11"/>
  <c r="V32" i="11"/>
  <c r="U32" i="11"/>
  <c r="T32" i="11"/>
  <c r="S32" i="11"/>
  <c r="R32" i="11"/>
  <c r="P32" i="11"/>
  <c r="O32" i="11"/>
  <c r="N32" i="11"/>
  <c r="L32" i="11"/>
  <c r="K32" i="11"/>
  <c r="J32" i="11"/>
  <c r="I32" i="11"/>
  <c r="H32" i="11"/>
  <c r="G32" i="11"/>
  <c r="F32" i="11"/>
  <c r="E32" i="11"/>
  <c r="D32" i="11"/>
  <c r="C32" i="11"/>
  <c r="AA31" i="11"/>
  <c r="Z31" i="11"/>
  <c r="Y31" i="11"/>
  <c r="W31" i="11"/>
  <c r="V31" i="11"/>
  <c r="U31" i="11"/>
  <c r="T31" i="11"/>
  <c r="S31" i="11"/>
  <c r="R31" i="11"/>
  <c r="P31" i="11"/>
  <c r="O31" i="11"/>
  <c r="N31" i="11"/>
  <c r="L31" i="11"/>
  <c r="K31" i="11"/>
  <c r="J31" i="11"/>
  <c r="I31" i="11"/>
  <c r="H31" i="11"/>
  <c r="G31" i="11"/>
  <c r="F31" i="11"/>
  <c r="E31" i="11"/>
  <c r="D31" i="11"/>
  <c r="C31" i="11"/>
  <c r="AA30" i="11"/>
  <c r="Z30" i="11"/>
  <c r="Y30" i="11"/>
  <c r="W30" i="11"/>
  <c r="V30" i="11"/>
  <c r="U30" i="11"/>
  <c r="T30" i="11"/>
  <c r="S30" i="11"/>
  <c r="R30" i="11"/>
  <c r="P30" i="11"/>
  <c r="O30" i="11"/>
  <c r="N30" i="11"/>
  <c r="L30" i="11"/>
  <c r="K30" i="11"/>
  <c r="J30" i="11"/>
  <c r="I30" i="11"/>
  <c r="H30" i="11"/>
  <c r="G30" i="11"/>
  <c r="F30" i="11"/>
  <c r="E30" i="11"/>
  <c r="D30" i="11"/>
  <c r="C30" i="11"/>
  <c r="AA29" i="11"/>
  <c r="Z29" i="11"/>
  <c r="Y29" i="11"/>
  <c r="W29" i="11"/>
  <c r="V29" i="11"/>
  <c r="U29" i="11"/>
  <c r="T29" i="11"/>
  <c r="S29" i="11"/>
  <c r="R29" i="11"/>
  <c r="P29" i="11"/>
  <c r="O29" i="11"/>
  <c r="N29" i="11"/>
  <c r="L29" i="11"/>
  <c r="K29" i="11"/>
  <c r="J29" i="11"/>
  <c r="I29" i="11"/>
  <c r="H29" i="11"/>
  <c r="G29" i="11"/>
  <c r="F29" i="11"/>
  <c r="E29" i="11"/>
  <c r="D29" i="11"/>
  <c r="C29" i="11"/>
  <c r="AA28" i="11"/>
  <c r="Z28" i="11"/>
  <c r="Y28" i="11"/>
  <c r="W28" i="11"/>
  <c r="V28" i="11"/>
  <c r="U28" i="11"/>
  <c r="T28" i="11"/>
  <c r="S28" i="11"/>
  <c r="R28" i="11"/>
  <c r="P28" i="11"/>
  <c r="O28" i="11"/>
  <c r="N28" i="11"/>
  <c r="L28" i="11"/>
  <c r="K28" i="11"/>
  <c r="J28" i="11"/>
  <c r="I28" i="11"/>
  <c r="H28" i="11"/>
  <c r="G28" i="11"/>
  <c r="F28" i="11"/>
  <c r="E28" i="11"/>
  <c r="D28" i="11"/>
  <c r="C28" i="11"/>
  <c r="AA27" i="11"/>
  <c r="Z27" i="11"/>
  <c r="Y27" i="11"/>
  <c r="W27" i="11"/>
  <c r="V27" i="11"/>
  <c r="U27" i="11"/>
  <c r="T27" i="11"/>
  <c r="S27" i="11"/>
  <c r="R27" i="11"/>
  <c r="P27" i="11"/>
  <c r="O27" i="11"/>
  <c r="N27" i="11"/>
  <c r="L27" i="11"/>
  <c r="K27" i="11"/>
  <c r="J27" i="11"/>
  <c r="I27" i="11"/>
  <c r="H27" i="11"/>
  <c r="G27" i="11"/>
  <c r="F27" i="11"/>
  <c r="E27" i="11"/>
  <c r="D27" i="11"/>
  <c r="C27" i="11"/>
  <c r="AA26" i="11"/>
  <c r="Z26" i="11"/>
  <c r="Y26" i="11"/>
  <c r="W26" i="11"/>
  <c r="V26" i="11"/>
  <c r="U26" i="11"/>
  <c r="T26" i="11"/>
  <c r="S26" i="11"/>
  <c r="R26" i="11"/>
  <c r="P26" i="11"/>
  <c r="O26" i="11"/>
  <c r="N26" i="11"/>
  <c r="L26" i="11"/>
  <c r="K26" i="11"/>
  <c r="J26" i="11"/>
  <c r="I26" i="11"/>
  <c r="H26" i="11"/>
  <c r="G26" i="11"/>
  <c r="F26" i="11"/>
  <c r="E26" i="11"/>
  <c r="D26" i="11"/>
  <c r="C26" i="11"/>
  <c r="AA25" i="11"/>
  <c r="Z25" i="11"/>
  <c r="Y25" i="11"/>
  <c r="W25" i="11"/>
  <c r="V25" i="11"/>
  <c r="U25" i="11"/>
  <c r="T25" i="11"/>
  <c r="S25" i="11"/>
  <c r="R25" i="11"/>
  <c r="P25" i="11"/>
  <c r="O25" i="11"/>
  <c r="N25" i="11"/>
  <c r="L25" i="11"/>
  <c r="K25" i="11"/>
  <c r="J25" i="11"/>
  <c r="I25" i="11"/>
  <c r="H25" i="11"/>
  <c r="G25" i="11"/>
  <c r="F25" i="11"/>
  <c r="E25" i="11"/>
  <c r="D25" i="11"/>
  <c r="C25" i="11"/>
  <c r="AA24" i="11"/>
  <c r="Z24" i="11"/>
  <c r="Y24" i="11"/>
  <c r="W24" i="11"/>
  <c r="V24" i="11"/>
  <c r="U24" i="11"/>
  <c r="T24" i="11"/>
  <c r="S24" i="11"/>
  <c r="R24" i="11"/>
  <c r="P24" i="11"/>
  <c r="O24" i="11"/>
  <c r="N24" i="11"/>
  <c r="L24" i="11"/>
  <c r="K24" i="11"/>
  <c r="J24" i="11"/>
  <c r="I24" i="11"/>
  <c r="H24" i="11"/>
  <c r="G24" i="11"/>
  <c r="F24" i="11"/>
  <c r="E24" i="11"/>
  <c r="D24" i="11"/>
  <c r="C24" i="11"/>
  <c r="AA23" i="11"/>
  <c r="Z23" i="11"/>
  <c r="Y23" i="11"/>
  <c r="W23" i="11"/>
  <c r="V23" i="11"/>
  <c r="U23" i="11"/>
  <c r="T23" i="11"/>
  <c r="S23" i="11"/>
  <c r="R23" i="11"/>
  <c r="P23" i="11"/>
  <c r="O23" i="11"/>
  <c r="N23" i="11"/>
  <c r="L23" i="11"/>
  <c r="K23" i="11"/>
  <c r="J23" i="11"/>
  <c r="I23" i="11"/>
  <c r="H23" i="11"/>
  <c r="G23" i="11"/>
  <c r="F23" i="11"/>
  <c r="E23" i="11"/>
  <c r="D23" i="11"/>
  <c r="C23" i="11"/>
  <c r="AA22" i="11"/>
  <c r="Z22" i="11"/>
  <c r="Y22" i="11"/>
  <c r="W22" i="11"/>
  <c r="V22" i="11"/>
  <c r="U22" i="11"/>
  <c r="T22" i="11"/>
  <c r="S22" i="11"/>
  <c r="R22" i="11"/>
  <c r="P22" i="11"/>
  <c r="O22" i="11"/>
  <c r="N22" i="11"/>
  <c r="L22" i="11"/>
  <c r="K22" i="11"/>
  <c r="J22" i="11"/>
  <c r="I22" i="11"/>
  <c r="H22" i="11"/>
  <c r="G22" i="11"/>
  <c r="F22" i="11"/>
  <c r="E22" i="11"/>
  <c r="D22" i="11"/>
  <c r="C22" i="11"/>
  <c r="AA21" i="11"/>
  <c r="Z21" i="11"/>
  <c r="Y21" i="11"/>
  <c r="W21" i="11"/>
  <c r="V21" i="11"/>
  <c r="U21" i="11"/>
  <c r="T21" i="11"/>
  <c r="S21" i="11"/>
  <c r="R21" i="11"/>
  <c r="P21" i="11"/>
  <c r="O21" i="11"/>
  <c r="N21" i="11"/>
  <c r="L21" i="11"/>
  <c r="K21" i="11"/>
  <c r="J21" i="11"/>
  <c r="I21" i="11"/>
  <c r="H21" i="11"/>
  <c r="G21" i="11"/>
  <c r="F21" i="11"/>
  <c r="E21" i="11"/>
  <c r="D21" i="11"/>
  <c r="C21" i="11"/>
  <c r="AA20" i="11"/>
  <c r="Z20" i="11"/>
  <c r="Y20" i="11"/>
  <c r="W20" i="11"/>
  <c r="V20" i="11"/>
  <c r="U20" i="11"/>
  <c r="T20" i="11"/>
  <c r="S20" i="11"/>
  <c r="R20" i="11"/>
  <c r="P20" i="11"/>
  <c r="O20" i="11"/>
  <c r="N20" i="11"/>
  <c r="L20" i="11"/>
  <c r="K20" i="11"/>
  <c r="J20" i="11"/>
  <c r="I20" i="11"/>
  <c r="H20" i="11"/>
  <c r="G20" i="11"/>
  <c r="F20" i="11"/>
  <c r="E20" i="11"/>
  <c r="D20" i="11"/>
  <c r="C20" i="11"/>
  <c r="AA19" i="11"/>
  <c r="Z19" i="11"/>
  <c r="Y19" i="11"/>
  <c r="W19" i="11"/>
  <c r="V19" i="11"/>
  <c r="U19" i="11"/>
  <c r="T19" i="11"/>
  <c r="S19" i="11"/>
  <c r="R19" i="11"/>
  <c r="P19" i="11"/>
  <c r="O19" i="11"/>
  <c r="N19" i="11"/>
  <c r="L19" i="11"/>
  <c r="K19" i="11"/>
  <c r="J19" i="11"/>
  <c r="I19" i="11"/>
  <c r="H19" i="11"/>
  <c r="G19" i="11"/>
  <c r="F19" i="11"/>
  <c r="E19" i="11"/>
  <c r="D19" i="11"/>
  <c r="C19" i="11"/>
  <c r="AA18" i="11"/>
  <c r="Z18" i="11"/>
  <c r="Y18" i="11"/>
  <c r="W18" i="11"/>
  <c r="V18" i="11"/>
  <c r="U18" i="11"/>
  <c r="T18" i="11"/>
  <c r="S18" i="11"/>
  <c r="R18" i="11"/>
  <c r="P18" i="11"/>
  <c r="O18" i="11"/>
  <c r="N18" i="11"/>
  <c r="L18" i="11"/>
  <c r="K18" i="11"/>
  <c r="J18" i="11"/>
  <c r="I18" i="11"/>
  <c r="H18" i="11"/>
  <c r="G18" i="11"/>
  <c r="F18" i="11"/>
  <c r="E18" i="11"/>
  <c r="D18" i="11"/>
  <c r="C18" i="11"/>
  <c r="AA17" i="11"/>
  <c r="Z17" i="11"/>
  <c r="Y17" i="11"/>
  <c r="W17" i="11"/>
  <c r="V17" i="11"/>
  <c r="U17" i="11"/>
  <c r="T17" i="11"/>
  <c r="S17" i="11"/>
  <c r="R17" i="11"/>
  <c r="P17" i="11"/>
  <c r="O17" i="11"/>
  <c r="N17" i="11"/>
  <c r="L17" i="11"/>
  <c r="K17" i="11"/>
  <c r="J17" i="11"/>
  <c r="I17" i="11"/>
  <c r="H17" i="11"/>
  <c r="G17" i="11"/>
  <c r="F17" i="11"/>
  <c r="E17" i="11"/>
  <c r="D17" i="11"/>
  <c r="C17" i="11"/>
  <c r="AA16" i="11"/>
  <c r="Z16" i="11"/>
  <c r="Y16" i="11"/>
  <c r="W16" i="11"/>
  <c r="V16" i="11"/>
  <c r="U16" i="11"/>
  <c r="T16" i="11"/>
  <c r="S16" i="11"/>
  <c r="R16" i="11"/>
  <c r="P16" i="11"/>
  <c r="O16" i="11"/>
  <c r="N16" i="11"/>
  <c r="L16" i="11"/>
  <c r="K16" i="11"/>
  <c r="J16" i="11"/>
  <c r="I16" i="11"/>
  <c r="H16" i="11"/>
  <c r="G16" i="11"/>
  <c r="F16" i="11"/>
  <c r="E16" i="11"/>
  <c r="D16" i="11"/>
  <c r="C16" i="11"/>
  <c r="AA15" i="11"/>
  <c r="Z15" i="11"/>
  <c r="Y15" i="11"/>
  <c r="W15" i="11"/>
  <c r="V15" i="11"/>
  <c r="U15" i="11"/>
  <c r="T15" i="11"/>
  <c r="S15" i="11"/>
  <c r="R15" i="11"/>
  <c r="P15" i="11"/>
  <c r="O15" i="11"/>
  <c r="N15" i="11"/>
  <c r="L15" i="11"/>
  <c r="K15" i="11"/>
  <c r="J15" i="11"/>
  <c r="I15" i="11"/>
  <c r="H15" i="11"/>
  <c r="G15" i="11"/>
  <c r="F15" i="11"/>
  <c r="E15" i="11"/>
  <c r="D15" i="11"/>
  <c r="C15" i="11"/>
  <c r="AA14" i="11"/>
  <c r="Z14" i="11"/>
  <c r="Y14" i="11"/>
  <c r="W14" i="11"/>
  <c r="V14" i="11"/>
  <c r="U14" i="11"/>
  <c r="T14" i="11"/>
  <c r="S14" i="11"/>
  <c r="R14" i="11"/>
  <c r="P14" i="11"/>
  <c r="O14" i="11"/>
  <c r="N14" i="11"/>
  <c r="L14" i="11"/>
  <c r="K14" i="11"/>
  <c r="J14" i="11"/>
  <c r="I14" i="11"/>
  <c r="H14" i="11"/>
  <c r="G14" i="11"/>
  <c r="F14" i="11"/>
  <c r="E14" i="11"/>
  <c r="D14" i="11"/>
  <c r="C14" i="11"/>
  <c r="AA13" i="11"/>
  <c r="Z13" i="11"/>
  <c r="Y13" i="11"/>
  <c r="W13" i="11"/>
  <c r="V13" i="11"/>
  <c r="U13" i="11"/>
  <c r="T13" i="11"/>
  <c r="S13" i="11"/>
  <c r="R13" i="11"/>
  <c r="P13" i="11"/>
  <c r="O13" i="11"/>
  <c r="N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W12" i="11"/>
  <c r="V12" i="11"/>
  <c r="U12" i="11"/>
  <c r="T12" i="11"/>
  <c r="S12" i="11"/>
  <c r="R12" i="11"/>
  <c r="P12" i="11"/>
  <c r="O12" i="11"/>
  <c r="N12" i="11"/>
  <c r="L12" i="11"/>
  <c r="K12" i="11"/>
  <c r="J12" i="11"/>
  <c r="I12" i="11"/>
  <c r="H12" i="11"/>
  <c r="G12" i="11"/>
  <c r="F12" i="11"/>
  <c r="E12" i="11"/>
  <c r="D12" i="11"/>
  <c r="C12" i="11"/>
  <c r="AA11" i="11"/>
  <c r="Z11" i="11"/>
  <c r="Y11" i="11"/>
  <c r="W11" i="11"/>
  <c r="V11" i="11"/>
  <c r="U11" i="11"/>
  <c r="T11" i="11"/>
  <c r="S11" i="11"/>
  <c r="R11" i="11"/>
  <c r="P11" i="11"/>
  <c r="O11" i="11"/>
  <c r="N11" i="11"/>
  <c r="L11" i="11"/>
  <c r="K11" i="11"/>
  <c r="J11" i="11"/>
  <c r="I11" i="11"/>
  <c r="H11" i="11"/>
  <c r="G11" i="11"/>
  <c r="F11" i="11"/>
  <c r="E11" i="11"/>
  <c r="D11" i="11"/>
  <c r="C11" i="11"/>
  <c r="AA10" i="11"/>
  <c r="Z10" i="11"/>
  <c r="Y10" i="11"/>
  <c r="W10" i="11"/>
  <c r="V10" i="11"/>
  <c r="U10" i="11"/>
  <c r="T10" i="11"/>
  <c r="S10" i="11"/>
  <c r="R10" i="11"/>
  <c r="P10" i="11"/>
  <c r="O10" i="11"/>
  <c r="N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W9" i="11"/>
  <c r="V9" i="11"/>
  <c r="U9" i="11"/>
  <c r="T9" i="11"/>
  <c r="S9" i="11"/>
  <c r="R9" i="11"/>
  <c r="P9" i="11"/>
  <c r="O9" i="11"/>
  <c r="N9" i="11"/>
  <c r="L9" i="11"/>
  <c r="K9" i="11"/>
  <c r="J9" i="11"/>
  <c r="I9" i="11"/>
  <c r="H9" i="11"/>
  <c r="G9" i="11"/>
  <c r="F9" i="11"/>
  <c r="E9" i="11"/>
  <c r="D9" i="11"/>
  <c r="C9" i="11"/>
  <c r="AA8" i="11"/>
  <c r="Z8" i="11"/>
  <c r="Y8" i="11"/>
  <c r="W8" i="11"/>
  <c r="V8" i="11"/>
  <c r="U8" i="11"/>
  <c r="T8" i="11"/>
  <c r="S8" i="11"/>
  <c r="R8" i="11"/>
  <c r="P8" i="11"/>
  <c r="O8" i="11"/>
  <c r="N8" i="11"/>
  <c r="L8" i="11"/>
  <c r="K8" i="11"/>
  <c r="J8" i="11"/>
  <c r="I8" i="11"/>
  <c r="H8" i="11"/>
  <c r="G8" i="11"/>
  <c r="F8" i="11"/>
  <c r="E8" i="11"/>
  <c r="D8" i="11"/>
  <c r="C8" i="11"/>
  <c r="AA7" i="11"/>
  <c r="Z7" i="11"/>
  <c r="Y7" i="11"/>
  <c r="W7" i="11"/>
  <c r="V7" i="11"/>
  <c r="U7" i="11"/>
  <c r="T7" i="11"/>
  <c r="S7" i="11"/>
  <c r="R7" i="11"/>
  <c r="P7" i="11"/>
  <c r="O7" i="11"/>
  <c r="N7" i="11"/>
  <c r="L7" i="11"/>
  <c r="K7" i="11"/>
  <c r="J7" i="11"/>
  <c r="I7" i="11"/>
  <c r="H7" i="11"/>
  <c r="G7" i="11"/>
  <c r="F7" i="11"/>
  <c r="E7" i="11"/>
  <c r="D7" i="11"/>
  <c r="C7" i="11"/>
  <c r="AA6" i="11"/>
  <c r="Z6" i="11"/>
  <c r="Y6" i="11"/>
  <c r="W6" i="11"/>
  <c r="V6" i="11"/>
  <c r="U6" i="11"/>
  <c r="T6" i="11"/>
  <c r="S6" i="11"/>
  <c r="R6" i="11"/>
  <c r="P6" i="11"/>
  <c r="O6" i="11"/>
  <c r="N6" i="11"/>
  <c r="L6" i="11"/>
  <c r="K6" i="11"/>
  <c r="J6" i="11"/>
  <c r="I6" i="11"/>
  <c r="H6" i="11"/>
  <c r="G6" i="11"/>
  <c r="F6" i="11"/>
  <c r="E6" i="11"/>
  <c r="D6" i="11"/>
  <c r="C6" i="11"/>
  <c r="AA5" i="11"/>
  <c r="Z5" i="11"/>
  <c r="Y5" i="11"/>
  <c r="W5" i="11"/>
  <c r="V5" i="11"/>
  <c r="U5" i="11"/>
  <c r="T5" i="11"/>
  <c r="S5" i="11"/>
  <c r="R5" i="11"/>
  <c r="P5" i="11"/>
  <c r="O5" i="11"/>
  <c r="N5" i="11"/>
  <c r="L5" i="11"/>
  <c r="K5" i="11"/>
  <c r="J5" i="11"/>
  <c r="I5" i="11"/>
  <c r="H5" i="11"/>
  <c r="G5" i="11"/>
  <c r="F5" i="11"/>
  <c r="E5" i="11"/>
  <c r="D5" i="11"/>
  <c r="C5" i="11"/>
  <c r="AA4" i="11"/>
  <c r="Z4" i="11"/>
  <c r="Y4" i="11"/>
  <c r="W4" i="11"/>
  <c r="V4" i="11"/>
  <c r="U4" i="11"/>
  <c r="T4" i="11"/>
  <c r="S4" i="11"/>
  <c r="R4" i="11"/>
  <c r="P4" i="11"/>
  <c r="O4" i="11"/>
  <c r="N4" i="11"/>
  <c r="L4" i="11"/>
  <c r="K4" i="11"/>
  <c r="J4" i="11"/>
  <c r="I4" i="11"/>
  <c r="H4" i="11"/>
  <c r="G4" i="11"/>
  <c r="F4" i="11"/>
  <c r="E4" i="11"/>
  <c r="D4" i="11"/>
  <c r="C4" i="11"/>
  <c r="AA3" i="11"/>
  <c r="Z3" i="11"/>
  <c r="Y3" i="11"/>
  <c r="W3" i="11"/>
  <c r="V3" i="11"/>
  <c r="U3" i="11"/>
  <c r="T3" i="11"/>
  <c r="S3" i="11"/>
  <c r="R3" i="11"/>
  <c r="P3" i="11"/>
  <c r="O3" i="11"/>
  <c r="N3" i="11"/>
  <c r="L3" i="11"/>
  <c r="K3" i="11"/>
  <c r="J3" i="11"/>
  <c r="I3" i="11"/>
  <c r="H3" i="11"/>
  <c r="G3" i="11"/>
  <c r="F3" i="11"/>
  <c r="E3" i="11"/>
  <c r="D3" i="11"/>
  <c r="C3" i="11"/>
  <c r="AA2" i="11"/>
  <c r="Z2" i="11"/>
  <c r="Y2" i="11"/>
  <c r="W2" i="11"/>
  <c r="V2" i="11"/>
  <c r="U2" i="11"/>
  <c r="T2" i="11"/>
  <c r="S2" i="11"/>
  <c r="R2" i="11"/>
  <c r="P2" i="11"/>
  <c r="O2" i="11"/>
  <c r="N2" i="11"/>
  <c r="L2" i="11"/>
  <c r="K2" i="11"/>
  <c r="J2" i="11"/>
  <c r="I2" i="11"/>
  <c r="H2" i="11"/>
  <c r="G2" i="11"/>
  <c r="F2" i="11"/>
  <c r="E2" i="11"/>
  <c r="D2" i="11"/>
  <c r="C2" i="11"/>
  <c r="BR508" i="10"/>
  <c r="BM508" i="10"/>
  <c r="O503" i="12"/>
  <c r="BL508" i="10"/>
  <c r="BR507" i="10"/>
  <c r="BM507" i="10"/>
  <c r="O502" i="12"/>
  <c r="BL507" i="10"/>
  <c r="BR506" i="10"/>
  <c r="BM506" i="10"/>
  <c r="O501" i="12"/>
  <c r="BL506" i="10"/>
  <c r="BR505" i="10"/>
  <c r="BM505" i="10"/>
  <c r="O500" i="12"/>
  <c r="BL505" i="10"/>
  <c r="BR504" i="10"/>
  <c r="BM504" i="10"/>
  <c r="O499" i="12"/>
  <c r="BL504" i="10"/>
  <c r="BR503" i="10"/>
  <c r="BM503" i="10"/>
  <c r="O498" i="12"/>
  <c r="BL503" i="10"/>
  <c r="BR502" i="10"/>
  <c r="BM502" i="10"/>
  <c r="O497" i="12"/>
  <c r="BL502" i="10"/>
  <c r="BR501" i="10"/>
  <c r="BM501" i="10"/>
  <c r="O496" i="12"/>
  <c r="BL501" i="10"/>
  <c r="BR500" i="10"/>
  <c r="BM500" i="10"/>
  <c r="O495" i="12"/>
  <c r="BL500" i="10"/>
  <c r="BR499" i="10"/>
  <c r="BM499" i="10"/>
  <c r="O494" i="12"/>
  <c r="BL499" i="10"/>
  <c r="BR498" i="10"/>
  <c r="BM498" i="10"/>
  <c r="O493" i="12"/>
  <c r="BL498" i="10"/>
  <c r="BR497" i="10"/>
  <c r="BM497" i="10"/>
  <c r="O492" i="12"/>
  <c r="BL497" i="10"/>
  <c r="BR496" i="10"/>
  <c r="BM496" i="10"/>
  <c r="O491" i="12"/>
  <c r="BL496" i="10"/>
  <c r="BR495" i="10"/>
  <c r="BM495" i="10"/>
  <c r="O490" i="12"/>
  <c r="BL495" i="10"/>
  <c r="BR494" i="10"/>
  <c r="BM494" i="10"/>
  <c r="O489" i="12"/>
  <c r="BL494" i="10"/>
  <c r="BR493" i="10"/>
  <c r="BM493" i="10"/>
  <c r="O488" i="12"/>
  <c r="BL493" i="10"/>
  <c r="BR492" i="10"/>
  <c r="BM492" i="10"/>
  <c r="O487" i="12"/>
  <c r="BL492" i="10"/>
  <c r="BR491" i="10"/>
  <c r="BM491" i="10"/>
  <c r="O486" i="12"/>
  <c r="BL491" i="10"/>
  <c r="BR490" i="10"/>
  <c r="BM490" i="10"/>
  <c r="O485" i="12"/>
  <c r="BL490" i="10"/>
  <c r="BR489" i="10"/>
  <c r="BM489" i="10"/>
  <c r="O484" i="12"/>
  <c r="BL489" i="10"/>
  <c r="BR488" i="10"/>
  <c r="BM488" i="10"/>
  <c r="O483" i="12"/>
  <c r="BL488" i="10"/>
  <c r="BR487" i="10"/>
  <c r="BM487" i="10"/>
  <c r="O482" i="12"/>
  <c r="BL487" i="10"/>
  <c r="BR486" i="10"/>
  <c r="BM486" i="10"/>
  <c r="O481" i="12"/>
  <c r="BL486" i="10"/>
  <c r="BR485" i="10"/>
  <c r="BM485" i="10"/>
  <c r="O480" i="12"/>
  <c r="BL485" i="10"/>
  <c r="BR484" i="10"/>
  <c r="BM484" i="10"/>
  <c r="O479" i="12"/>
  <c r="BL484" i="10"/>
  <c r="BR483" i="10"/>
  <c r="BM483" i="10"/>
  <c r="O478" i="12"/>
  <c r="BL483" i="10"/>
  <c r="BR482" i="10"/>
  <c r="BM482" i="10"/>
  <c r="O477" i="12"/>
  <c r="BL482" i="10"/>
  <c r="BR481" i="10"/>
  <c r="BM481" i="10"/>
  <c r="O476" i="12"/>
  <c r="BL481" i="10"/>
  <c r="BR480" i="10"/>
  <c r="BM480" i="10"/>
  <c r="O475" i="12"/>
  <c r="BL480" i="10"/>
  <c r="BR479" i="10"/>
  <c r="BM479" i="10"/>
  <c r="O474" i="12"/>
  <c r="BL479" i="10"/>
  <c r="BR478" i="10"/>
  <c r="BM478" i="10"/>
  <c r="O473" i="12"/>
  <c r="BL478" i="10"/>
  <c r="BR477" i="10"/>
  <c r="BM477" i="10"/>
  <c r="O472" i="12"/>
  <c r="BL477" i="10"/>
  <c r="BR476" i="10"/>
  <c r="BM476" i="10"/>
  <c r="O471" i="12"/>
  <c r="BL476" i="10"/>
  <c r="BR475" i="10"/>
  <c r="BM475" i="10"/>
  <c r="O470" i="12"/>
  <c r="BL475" i="10"/>
  <c r="BR474" i="10"/>
  <c r="BM474" i="10"/>
  <c r="O469" i="12"/>
  <c r="BL474" i="10"/>
  <c r="BR473" i="10"/>
  <c r="BM473" i="10"/>
  <c r="O468" i="12"/>
  <c r="BL473" i="10"/>
  <c r="BR472" i="10"/>
  <c r="BM472" i="10"/>
  <c r="O467" i="12"/>
  <c r="BL472" i="10"/>
  <c r="BR471" i="10"/>
  <c r="BM471" i="10"/>
  <c r="O466" i="12"/>
  <c r="BL471" i="10"/>
  <c r="BR470" i="10"/>
  <c r="BM470" i="10"/>
  <c r="O465" i="12"/>
  <c r="BL470" i="10"/>
  <c r="BR469" i="10"/>
  <c r="BM469" i="10"/>
  <c r="O464" i="12"/>
  <c r="BL469" i="10"/>
  <c r="BR468" i="10"/>
  <c r="BM468" i="10"/>
  <c r="O463" i="12"/>
  <c r="BL468" i="10"/>
  <c r="BR467" i="10"/>
  <c r="BM467" i="10"/>
  <c r="O462" i="12"/>
  <c r="BL467" i="10"/>
  <c r="BR466" i="10"/>
  <c r="BM466" i="10"/>
  <c r="O461" i="12"/>
  <c r="BL466" i="10"/>
  <c r="BR465" i="10"/>
  <c r="BM465" i="10"/>
  <c r="O460" i="12"/>
  <c r="BL465" i="10"/>
  <c r="BR464" i="10"/>
  <c r="BM464" i="10"/>
  <c r="O459" i="12"/>
  <c r="BL464" i="10"/>
  <c r="BR463" i="10"/>
  <c r="BM463" i="10"/>
  <c r="O458" i="12"/>
  <c r="BL463" i="10"/>
  <c r="BR462" i="10"/>
  <c r="BM462" i="10"/>
  <c r="O457" i="12"/>
  <c r="BL462" i="10"/>
  <c r="BR461" i="10"/>
  <c r="BM461" i="10"/>
  <c r="O456" i="12"/>
  <c r="BL461" i="10"/>
  <c r="BR460" i="10"/>
  <c r="BM460" i="10"/>
  <c r="O455" i="12"/>
  <c r="BL460" i="10"/>
  <c r="BR459" i="10"/>
  <c r="BM459" i="10"/>
  <c r="O454" i="12"/>
  <c r="BL459" i="10"/>
  <c r="BR458" i="10"/>
  <c r="BM458" i="10"/>
  <c r="O453" i="12"/>
  <c r="BL458" i="10"/>
  <c r="BR457" i="10"/>
  <c r="BM457" i="10"/>
  <c r="O452" i="12"/>
  <c r="BL457" i="10"/>
  <c r="BR456" i="10"/>
  <c r="BM456" i="10"/>
  <c r="O451" i="12"/>
  <c r="BL456" i="10"/>
  <c r="BR455" i="10"/>
  <c r="BM455" i="10"/>
  <c r="O450" i="12"/>
  <c r="BL455" i="10"/>
  <c r="BR454" i="10"/>
  <c r="BM454" i="10"/>
  <c r="O449" i="12"/>
  <c r="BL454" i="10"/>
  <c r="BR453" i="10"/>
  <c r="BM453" i="10"/>
  <c r="O448" i="12"/>
  <c r="BL453" i="10"/>
  <c r="BR452" i="10"/>
  <c r="BM452" i="10"/>
  <c r="O447" i="12"/>
  <c r="BL452" i="10"/>
  <c r="BR451" i="10"/>
  <c r="BM451" i="10"/>
  <c r="O446" i="12"/>
  <c r="BL451" i="10"/>
  <c r="BR450" i="10"/>
  <c r="BM450" i="10"/>
  <c r="O445" i="12"/>
  <c r="BL450" i="10"/>
  <c r="BR449" i="10"/>
  <c r="BM449" i="10"/>
  <c r="O444" i="12"/>
  <c r="BL449" i="10"/>
  <c r="BR448" i="10"/>
  <c r="BM448" i="10"/>
  <c r="O443" i="12"/>
  <c r="BL448" i="10"/>
  <c r="BR447" i="10"/>
  <c r="BM447" i="10"/>
  <c r="O442" i="12"/>
  <c r="BL447" i="10"/>
  <c r="BR446" i="10"/>
  <c r="BM446" i="10"/>
  <c r="O441" i="12"/>
  <c r="BL446" i="10"/>
  <c r="BR445" i="10"/>
  <c r="BM445" i="10"/>
  <c r="O440" i="12"/>
  <c r="BL445" i="10"/>
  <c r="BR444" i="10"/>
  <c r="BM444" i="10"/>
  <c r="O439" i="12"/>
  <c r="BL444" i="10"/>
  <c r="BR443" i="10"/>
  <c r="BM443" i="10"/>
  <c r="O438" i="12"/>
  <c r="BL443" i="10"/>
  <c r="BR442" i="10"/>
  <c r="BM442" i="10"/>
  <c r="O437" i="12"/>
  <c r="BL442" i="10"/>
  <c r="BR441" i="10"/>
  <c r="BM441" i="10"/>
  <c r="O436" i="12"/>
  <c r="BL441" i="10"/>
  <c r="BR440" i="10"/>
  <c r="BM440" i="10"/>
  <c r="O435" i="12"/>
  <c r="BL440" i="10"/>
  <c r="BR439" i="10"/>
  <c r="BM439" i="10"/>
  <c r="O434" i="12"/>
  <c r="BL439" i="10"/>
  <c r="BR438" i="10"/>
  <c r="BM438" i="10"/>
  <c r="O433" i="12"/>
  <c r="BL438" i="10"/>
  <c r="BR437" i="10"/>
  <c r="BM437" i="10"/>
  <c r="O432" i="12"/>
  <c r="BL437" i="10"/>
  <c r="BR436" i="10"/>
  <c r="BM436" i="10"/>
  <c r="O431" i="12"/>
  <c r="BL436" i="10"/>
  <c r="BR435" i="10"/>
  <c r="BM435" i="10"/>
  <c r="O430" i="12"/>
  <c r="BL435" i="10"/>
  <c r="BR434" i="10"/>
  <c r="BM434" i="10"/>
  <c r="O429" i="12"/>
  <c r="BL434" i="10"/>
  <c r="BR433" i="10"/>
  <c r="BM433" i="10"/>
  <c r="O428" i="12"/>
  <c r="BL433" i="10"/>
  <c r="BR432" i="10"/>
  <c r="BM432" i="10"/>
  <c r="O427" i="12"/>
  <c r="BL432" i="10"/>
  <c r="BR431" i="10"/>
  <c r="BM431" i="10"/>
  <c r="O426" i="12"/>
  <c r="BL431" i="10"/>
  <c r="BR430" i="10"/>
  <c r="BM430" i="10"/>
  <c r="O425" i="12"/>
  <c r="BL430" i="10"/>
  <c r="BR429" i="10"/>
  <c r="BM429" i="10"/>
  <c r="O424" i="12"/>
  <c r="BL429" i="10"/>
  <c r="BR428" i="10"/>
  <c r="BM428" i="10"/>
  <c r="O423" i="12"/>
  <c r="BL428" i="10"/>
  <c r="BR427" i="10"/>
  <c r="BM427" i="10"/>
  <c r="O422" i="12"/>
  <c r="BL427" i="10"/>
  <c r="BR426" i="10"/>
  <c r="BM426" i="10"/>
  <c r="O421" i="12"/>
  <c r="BL426" i="10"/>
  <c r="BR425" i="10"/>
  <c r="BM425" i="10"/>
  <c r="O420" i="12"/>
  <c r="BL425" i="10"/>
  <c r="BR424" i="10"/>
  <c r="BM424" i="10"/>
  <c r="O419" i="12"/>
  <c r="BL424" i="10"/>
  <c r="BR423" i="10"/>
  <c r="BM423" i="10"/>
  <c r="O418" i="12"/>
  <c r="BL423" i="10"/>
  <c r="BR422" i="10"/>
  <c r="BM422" i="10"/>
  <c r="O417" i="12"/>
  <c r="BL422" i="10"/>
  <c r="BR421" i="10"/>
  <c r="BM421" i="10"/>
  <c r="O416" i="12"/>
  <c r="BL421" i="10"/>
  <c r="BR420" i="10"/>
  <c r="BM420" i="10"/>
  <c r="O415" i="12"/>
  <c r="BL420" i="10"/>
  <c r="BR419" i="10"/>
  <c r="BM419" i="10"/>
  <c r="O414" i="12"/>
  <c r="BL419" i="10"/>
  <c r="BR418" i="10"/>
  <c r="BM418" i="10"/>
  <c r="O413" i="12"/>
  <c r="BL418" i="10"/>
  <c r="BR417" i="10"/>
  <c r="BM417" i="10"/>
  <c r="O412" i="12"/>
  <c r="BL417" i="10"/>
  <c r="BR416" i="10"/>
  <c r="BM416" i="10"/>
  <c r="O411" i="12"/>
  <c r="BL416" i="10"/>
  <c r="BR415" i="10"/>
  <c r="BM415" i="10"/>
  <c r="O410" i="12"/>
  <c r="BL415" i="10"/>
  <c r="BR414" i="10"/>
  <c r="BM414" i="10"/>
  <c r="O409" i="12"/>
  <c r="BL414" i="10"/>
  <c r="BR413" i="10"/>
  <c r="BM413" i="10"/>
  <c r="O408" i="12"/>
  <c r="BL413" i="10"/>
  <c r="BR412" i="10"/>
  <c r="BM412" i="10"/>
  <c r="O407" i="12"/>
  <c r="BL412" i="10"/>
  <c r="BR411" i="10"/>
  <c r="BM411" i="10"/>
  <c r="O406" i="12"/>
  <c r="BL411" i="10"/>
  <c r="BR410" i="10"/>
  <c r="BM410" i="10"/>
  <c r="O405" i="12"/>
  <c r="BL410" i="10"/>
  <c r="BR409" i="10"/>
  <c r="BM409" i="10"/>
  <c r="O404" i="12"/>
  <c r="BL409" i="10"/>
  <c r="BR408" i="10"/>
  <c r="BM408" i="10"/>
  <c r="O403" i="12"/>
  <c r="BL408" i="10"/>
  <c r="BR407" i="10"/>
  <c r="BM407" i="10"/>
  <c r="O402" i="12"/>
  <c r="BL407" i="10"/>
  <c r="BR406" i="10"/>
  <c r="BM406" i="10"/>
  <c r="O401" i="12"/>
  <c r="BL406" i="10"/>
  <c r="BR405" i="10"/>
  <c r="BM405" i="10"/>
  <c r="O400" i="12"/>
  <c r="BL405" i="10"/>
  <c r="BR404" i="10"/>
  <c r="BM404" i="10"/>
  <c r="O399" i="12"/>
  <c r="BL404" i="10"/>
  <c r="BR403" i="10"/>
  <c r="BM403" i="10"/>
  <c r="O398" i="12"/>
  <c r="BL403" i="10"/>
  <c r="BR402" i="10"/>
  <c r="BM402" i="10"/>
  <c r="O397" i="12"/>
  <c r="BL402" i="10"/>
  <c r="BR401" i="10"/>
  <c r="BM401" i="10"/>
  <c r="O396" i="12"/>
  <c r="BL401" i="10"/>
  <c r="BR400" i="10"/>
  <c r="BM400" i="10"/>
  <c r="O395" i="12"/>
  <c r="BL400" i="10"/>
  <c r="BR399" i="10"/>
  <c r="BM399" i="10"/>
  <c r="O394" i="12"/>
  <c r="BL399" i="10"/>
  <c r="BR398" i="10"/>
  <c r="BM398" i="10"/>
  <c r="O393" i="12"/>
  <c r="BL398" i="10"/>
  <c r="BR397" i="10"/>
  <c r="BM397" i="10"/>
  <c r="O392" i="12"/>
  <c r="BL397" i="10"/>
  <c r="BR396" i="10"/>
  <c r="BM396" i="10"/>
  <c r="O391" i="12"/>
  <c r="BL396" i="10"/>
  <c r="BR395" i="10"/>
  <c r="BM395" i="10"/>
  <c r="O390" i="12"/>
  <c r="BL395" i="10"/>
  <c r="BR394" i="10"/>
  <c r="BM394" i="10"/>
  <c r="O389" i="12"/>
  <c r="BL394" i="10"/>
  <c r="BR393" i="10"/>
  <c r="BM393" i="10"/>
  <c r="O388" i="12"/>
  <c r="BL393" i="10"/>
  <c r="BR392" i="10"/>
  <c r="BM392" i="10"/>
  <c r="O387" i="12"/>
  <c r="BL392" i="10"/>
  <c r="BR391" i="10"/>
  <c r="BM391" i="10"/>
  <c r="O386" i="12"/>
  <c r="BL391" i="10"/>
  <c r="BR390" i="10"/>
  <c r="BM390" i="10"/>
  <c r="O385" i="12"/>
  <c r="BL390" i="10"/>
  <c r="BR389" i="10"/>
  <c r="BM389" i="10"/>
  <c r="O384" i="12"/>
  <c r="BL389" i="10"/>
  <c r="BR388" i="10"/>
  <c r="BM388" i="10"/>
  <c r="O383" i="12"/>
  <c r="BL388" i="10"/>
  <c r="BR387" i="10"/>
  <c r="BM387" i="10"/>
  <c r="O382" i="12"/>
  <c r="BL387" i="10"/>
  <c r="BR386" i="10"/>
  <c r="BM386" i="10"/>
  <c r="O381" i="12"/>
  <c r="BL386" i="10"/>
  <c r="BR385" i="10"/>
  <c r="BM385" i="10"/>
  <c r="O380" i="12"/>
  <c r="BL385" i="10"/>
  <c r="BR384" i="10"/>
  <c r="BM384" i="10"/>
  <c r="O379" i="12"/>
  <c r="BL384" i="10"/>
  <c r="BR383" i="10"/>
  <c r="BM383" i="10"/>
  <c r="O378" i="12"/>
  <c r="BL383" i="10"/>
  <c r="BR382" i="10"/>
  <c r="BM382" i="10"/>
  <c r="O377" i="12"/>
  <c r="BL382" i="10"/>
  <c r="BR381" i="10"/>
  <c r="BM381" i="10"/>
  <c r="O376" i="12"/>
  <c r="BL381" i="10"/>
  <c r="BR380" i="10"/>
  <c r="BM380" i="10"/>
  <c r="O375" i="12"/>
  <c r="BL380" i="10"/>
  <c r="BR379" i="10"/>
  <c r="BM379" i="10"/>
  <c r="O374" i="12"/>
  <c r="BL379" i="10"/>
  <c r="BR378" i="10"/>
  <c r="BM378" i="10"/>
  <c r="O373" i="12"/>
  <c r="BL378" i="10"/>
  <c r="BR377" i="10"/>
  <c r="BM377" i="10"/>
  <c r="O372" i="12"/>
  <c r="BL377" i="10"/>
  <c r="BR376" i="10"/>
  <c r="BM376" i="10"/>
  <c r="O371" i="12"/>
  <c r="BL376" i="10"/>
  <c r="BR375" i="10"/>
  <c r="BM375" i="10"/>
  <c r="O370" i="12"/>
  <c r="BL375" i="10"/>
  <c r="BR374" i="10"/>
  <c r="BM374" i="10"/>
  <c r="O369" i="12"/>
  <c r="BL374" i="10"/>
  <c r="BR373" i="10"/>
  <c r="BM373" i="10"/>
  <c r="O368" i="12"/>
  <c r="BL373" i="10"/>
  <c r="BR372" i="10"/>
  <c r="BM372" i="10"/>
  <c r="O367" i="12"/>
  <c r="BL372" i="10"/>
  <c r="BR371" i="10"/>
  <c r="BM371" i="10"/>
  <c r="O366" i="12"/>
  <c r="BL371" i="10"/>
  <c r="BR370" i="10"/>
  <c r="BM370" i="10"/>
  <c r="O365" i="12"/>
  <c r="BL370" i="10"/>
  <c r="BR369" i="10"/>
  <c r="BM369" i="10"/>
  <c r="O364" i="12"/>
  <c r="BL369" i="10"/>
  <c r="BR368" i="10"/>
  <c r="BM368" i="10"/>
  <c r="O363" i="12"/>
  <c r="BL368" i="10"/>
  <c r="BR367" i="10"/>
  <c r="BM367" i="10"/>
  <c r="O362" i="12"/>
  <c r="BL367" i="10"/>
  <c r="BR366" i="10"/>
  <c r="BM366" i="10"/>
  <c r="O361" i="12"/>
  <c r="BL366" i="10"/>
  <c r="BR365" i="10"/>
  <c r="BM365" i="10"/>
  <c r="O360" i="12"/>
  <c r="BL365" i="10"/>
  <c r="BR364" i="10"/>
  <c r="BM364" i="10"/>
  <c r="O359" i="12"/>
  <c r="BL364" i="10"/>
  <c r="BR363" i="10"/>
  <c r="BM363" i="10"/>
  <c r="O358" i="12"/>
  <c r="BL363" i="10"/>
  <c r="BR362" i="10"/>
  <c r="BM362" i="10"/>
  <c r="O357" i="12"/>
  <c r="BL362" i="10"/>
  <c r="BR361" i="10"/>
  <c r="BM361" i="10"/>
  <c r="O356" i="12"/>
  <c r="BL361" i="10"/>
  <c r="BR360" i="10"/>
  <c r="BM360" i="10"/>
  <c r="O355" i="12"/>
  <c r="BL360" i="10"/>
  <c r="BR359" i="10"/>
  <c r="BM359" i="10"/>
  <c r="O354" i="12"/>
  <c r="BL359" i="10"/>
  <c r="BR358" i="10"/>
  <c r="BM358" i="10"/>
  <c r="O353" i="12"/>
  <c r="BL358" i="10"/>
  <c r="BR357" i="10"/>
  <c r="BM357" i="10"/>
  <c r="O352" i="12"/>
  <c r="BL357" i="10"/>
  <c r="BR356" i="10"/>
  <c r="BM356" i="10"/>
  <c r="O351" i="12"/>
  <c r="BL356" i="10"/>
  <c r="BR355" i="10"/>
  <c r="BM355" i="10"/>
  <c r="O350" i="12"/>
  <c r="BL355" i="10"/>
  <c r="BR354" i="10"/>
  <c r="BM354" i="10"/>
  <c r="O349" i="12"/>
  <c r="BL354" i="10"/>
  <c r="BR353" i="10"/>
  <c r="BM353" i="10"/>
  <c r="O348" i="12"/>
  <c r="BL353" i="10"/>
  <c r="BR352" i="10"/>
  <c r="BM352" i="10"/>
  <c r="O347" i="12"/>
  <c r="BL352" i="10"/>
  <c r="BR351" i="10"/>
  <c r="BM351" i="10"/>
  <c r="O346" i="12"/>
  <c r="BL351" i="10"/>
  <c r="BR350" i="10"/>
  <c r="BM350" i="10"/>
  <c r="O345" i="12"/>
  <c r="BL350" i="10"/>
  <c r="BR349" i="10"/>
  <c r="BM349" i="10"/>
  <c r="O344" i="12"/>
  <c r="BL349" i="10"/>
  <c r="BR348" i="10"/>
  <c r="BM348" i="10"/>
  <c r="O343" i="12"/>
  <c r="BL348" i="10"/>
  <c r="BR347" i="10"/>
  <c r="BM347" i="10"/>
  <c r="O342" i="12"/>
  <c r="BL347" i="10"/>
  <c r="BR346" i="10"/>
  <c r="BM346" i="10"/>
  <c r="O341" i="12"/>
  <c r="BL346" i="10"/>
  <c r="BR345" i="10"/>
  <c r="BM345" i="10"/>
  <c r="O340" i="12"/>
  <c r="BL345" i="10"/>
  <c r="BR344" i="10"/>
  <c r="BM344" i="10"/>
  <c r="O339" i="12"/>
  <c r="BL344" i="10"/>
  <c r="BR343" i="10"/>
  <c r="BM343" i="10"/>
  <c r="O338" i="12"/>
  <c r="BL343" i="10"/>
  <c r="BR342" i="10"/>
  <c r="BM342" i="10"/>
  <c r="O337" i="12"/>
  <c r="BL342" i="10"/>
  <c r="BR341" i="10"/>
  <c r="BM341" i="10"/>
  <c r="O336" i="12"/>
  <c r="BL341" i="10"/>
  <c r="BR340" i="10"/>
  <c r="BM340" i="10"/>
  <c r="O335" i="12"/>
  <c r="BL340" i="10"/>
  <c r="BR339" i="10"/>
  <c r="BM339" i="10"/>
  <c r="O334" i="12"/>
  <c r="BL339" i="10"/>
  <c r="BR338" i="10"/>
  <c r="BM338" i="10"/>
  <c r="O333" i="12"/>
  <c r="BL338" i="10"/>
  <c r="BR337" i="10"/>
  <c r="BM337" i="10"/>
  <c r="O332" i="12"/>
  <c r="BL337" i="10"/>
  <c r="BR336" i="10"/>
  <c r="BM336" i="10"/>
  <c r="O331" i="12"/>
  <c r="BL336" i="10"/>
  <c r="BR335" i="10"/>
  <c r="BM335" i="10"/>
  <c r="O330" i="12"/>
  <c r="BL335" i="10"/>
  <c r="BR334" i="10"/>
  <c r="BM334" i="10"/>
  <c r="O329" i="12"/>
  <c r="BL334" i="10"/>
  <c r="BR333" i="10"/>
  <c r="BM333" i="10"/>
  <c r="O328" i="12"/>
  <c r="BL333" i="10"/>
  <c r="BR332" i="10"/>
  <c r="BM332" i="10"/>
  <c r="O327" i="12"/>
  <c r="BL332" i="10"/>
  <c r="BR331" i="10"/>
  <c r="BM331" i="10"/>
  <c r="O326" i="12"/>
  <c r="BL331" i="10"/>
  <c r="BR330" i="10"/>
  <c r="BM330" i="10"/>
  <c r="O325" i="12"/>
  <c r="BL330" i="10"/>
  <c r="BR329" i="10"/>
  <c r="BM329" i="10"/>
  <c r="O324" i="12"/>
  <c r="BL329" i="10"/>
  <c r="BR328" i="10"/>
  <c r="BM328" i="10"/>
  <c r="O323" i="12"/>
  <c r="BL328" i="10"/>
  <c r="BR327" i="10"/>
  <c r="BM327" i="10"/>
  <c r="O322" i="12"/>
  <c r="BL327" i="10"/>
  <c r="BR326" i="10"/>
  <c r="BM326" i="10"/>
  <c r="O321" i="12"/>
  <c r="BL326" i="10"/>
  <c r="BR325" i="10"/>
  <c r="BM325" i="10"/>
  <c r="O320" i="12"/>
  <c r="BL325" i="10"/>
  <c r="BR324" i="10"/>
  <c r="BM324" i="10"/>
  <c r="O319" i="12"/>
  <c r="BL324" i="10"/>
  <c r="BR323" i="10"/>
  <c r="BM323" i="10"/>
  <c r="O318" i="12"/>
  <c r="BL323" i="10"/>
  <c r="BR322" i="10"/>
  <c r="BM322" i="10"/>
  <c r="O317" i="12"/>
  <c r="BL322" i="10"/>
  <c r="BR321" i="10"/>
  <c r="BM321" i="10"/>
  <c r="O316" i="12"/>
  <c r="BL321" i="10"/>
  <c r="BR320" i="10"/>
  <c r="BM320" i="10"/>
  <c r="O315" i="12"/>
  <c r="BL320" i="10"/>
  <c r="BR319" i="10"/>
  <c r="BM319" i="10"/>
  <c r="O314" i="12"/>
  <c r="BL319" i="10"/>
  <c r="BR318" i="10"/>
  <c r="BM318" i="10"/>
  <c r="O313" i="12"/>
  <c r="BL318" i="10"/>
  <c r="BR317" i="10"/>
  <c r="BM317" i="10"/>
  <c r="O312" i="12"/>
  <c r="BL317" i="10"/>
  <c r="BR316" i="10"/>
  <c r="BM316" i="10"/>
  <c r="O311" i="12"/>
  <c r="BL316" i="10"/>
  <c r="BR315" i="10"/>
  <c r="BM315" i="10"/>
  <c r="O310" i="12"/>
  <c r="BL315" i="10"/>
  <c r="BR314" i="10"/>
  <c r="BM314" i="10"/>
  <c r="O309" i="12"/>
  <c r="BL314" i="10"/>
  <c r="BR313" i="10"/>
  <c r="BM313" i="10"/>
  <c r="O308" i="12"/>
  <c r="BL313" i="10"/>
  <c r="BR312" i="10"/>
  <c r="BM312" i="10"/>
  <c r="O307" i="12"/>
  <c r="BL312" i="10"/>
  <c r="BR311" i="10"/>
  <c r="BM311" i="10"/>
  <c r="O306" i="12"/>
  <c r="BL311" i="10"/>
  <c r="BR310" i="10"/>
  <c r="BM310" i="10"/>
  <c r="O305" i="12"/>
  <c r="BL310" i="10"/>
  <c r="BR309" i="10"/>
  <c r="BM309" i="10"/>
  <c r="O304" i="12"/>
  <c r="BL309" i="10"/>
  <c r="BR308" i="10"/>
  <c r="BM308" i="10"/>
  <c r="O303" i="12"/>
  <c r="BL308" i="10"/>
  <c r="BR307" i="10"/>
  <c r="BM307" i="10"/>
  <c r="O302" i="12"/>
  <c r="BL307" i="10"/>
  <c r="BR306" i="10"/>
  <c r="BM306" i="10"/>
  <c r="O301" i="12"/>
  <c r="BL306" i="10"/>
  <c r="BR305" i="10"/>
  <c r="BM305" i="10"/>
  <c r="O300" i="12"/>
  <c r="BL305" i="10"/>
  <c r="BR304" i="10"/>
  <c r="BM304" i="10"/>
  <c r="O299" i="12"/>
  <c r="BL304" i="10"/>
  <c r="BR303" i="10"/>
  <c r="BM303" i="10"/>
  <c r="O298" i="12"/>
  <c r="BL303" i="10"/>
  <c r="BR302" i="10"/>
  <c r="BM302" i="10"/>
  <c r="O297" i="12"/>
  <c r="BL302" i="10"/>
  <c r="BR301" i="10"/>
  <c r="BM301" i="10"/>
  <c r="O296" i="12"/>
  <c r="BL301" i="10"/>
  <c r="BR300" i="10"/>
  <c r="BM300" i="10"/>
  <c r="O295" i="12"/>
  <c r="BL300" i="10"/>
  <c r="BR299" i="10"/>
  <c r="BM299" i="10"/>
  <c r="O294" i="12"/>
  <c r="BL299" i="10"/>
  <c r="BR298" i="10"/>
  <c r="BM298" i="10"/>
  <c r="O293" i="12"/>
  <c r="BL298" i="10"/>
  <c r="BR297" i="10"/>
  <c r="BM297" i="10"/>
  <c r="O292" i="12"/>
  <c r="BL297" i="10"/>
  <c r="BR296" i="10"/>
  <c r="BM296" i="10"/>
  <c r="O291" i="12"/>
  <c r="BL296" i="10"/>
  <c r="BR295" i="10"/>
  <c r="BM295" i="10"/>
  <c r="O290" i="12"/>
  <c r="BL295" i="10"/>
  <c r="BR294" i="10"/>
  <c r="BM294" i="10"/>
  <c r="O289" i="12"/>
  <c r="BL294" i="10"/>
  <c r="BR293" i="10"/>
  <c r="BM293" i="10"/>
  <c r="O288" i="12"/>
  <c r="BL293" i="10"/>
  <c r="BR292" i="10"/>
  <c r="BM292" i="10"/>
  <c r="O287" i="12"/>
  <c r="BL292" i="10"/>
  <c r="BR291" i="10"/>
  <c r="BM291" i="10"/>
  <c r="O286" i="12"/>
  <c r="BL291" i="10"/>
  <c r="BR290" i="10"/>
  <c r="BM290" i="10"/>
  <c r="O285" i="12"/>
  <c r="BL290" i="10"/>
  <c r="BR289" i="10"/>
  <c r="BM289" i="10"/>
  <c r="O284" i="12"/>
  <c r="BL289" i="10"/>
  <c r="BR288" i="10"/>
  <c r="BM288" i="10"/>
  <c r="O283" i="12"/>
  <c r="BL288" i="10"/>
  <c r="BR287" i="10"/>
  <c r="BM287" i="10"/>
  <c r="O282" i="12"/>
  <c r="BL287" i="10"/>
  <c r="BR286" i="10"/>
  <c r="BM286" i="10"/>
  <c r="O281" i="12"/>
  <c r="BL286" i="10"/>
  <c r="BR285" i="10"/>
  <c r="BM285" i="10"/>
  <c r="O280" i="12"/>
  <c r="BL285" i="10"/>
  <c r="BR284" i="10"/>
  <c r="BM284" i="10"/>
  <c r="O279" i="12"/>
  <c r="BL284" i="10"/>
  <c r="BR283" i="10"/>
  <c r="BM283" i="10"/>
  <c r="O278" i="12"/>
  <c r="BL283" i="10"/>
  <c r="BR282" i="10"/>
  <c r="BM282" i="10"/>
  <c r="O277" i="12"/>
  <c r="BL282" i="10"/>
  <c r="BR281" i="10"/>
  <c r="BM281" i="10"/>
  <c r="O276" i="12"/>
  <c r="BL281" i="10"/>
  <c r="BR280" i="10"/>
  <c r="BM280" i="10"/>
  <c r="O275" i="12"/>
  <c r="BL280" i="10"/>
  <c r="BR279" i="10"/>
  <c r="BM279" i="10"/>
  <c r="O274" i="12"/>
  <c r="BL279" i="10"/>
  <c r="BR278" i="10"/>
  <c r="BM278" i="10"/>
  <c r="O273" i="12"/>
  <c r="BL278" i="10"/>
  <c r="BR277" i="10"/>
  <c r="BM277" i="10"/>
  <c r="O272" i="12"/>
  <c r="BL277" i="10"/>
  <c r="BR276" i="10"/>
  <c r="BM276" i="10"/>
  <c r="O271" i="12"/>
  <c r="BL276" i="10"/>
  <c r="BR275" i="10"/>
  <c r="BM275" i="10"/>
  <c r="O270" i="12"/>
  <c r="BL275" i="10"/>
  <c r="BR274" i="10"/>
  <c r="BM274" i="10"/>
  <c r="O269" i="12"/>
  <c r="BL274" i="10"/>
  <c r="BR273" i="10"/>
  <c r="BM273" i="10"/>
  <c r="O268" i="12"/>
  <c r="BL273" i="10"/>
  <c r="BR272" i="10"/>
  <c r="BM272" i="10"/>
  <c r="O267" i="12"/>
  <c r="BL272" i="10"/>
  <c r="BR271" i="10"/>
  <c r="BM271" i="10"/>
  <c r="O266" i="12"/>
  <c r="BL271" i="10"/>
  <c r="BR270" i="10"/>
  <c r="BM270" i="10"/>
  <c r="O265" i="12"/>
  <c r="BL270" i="10"/>
  <c r="BR269" i="10"/>
  <c r="BM269" i="10"/>
  <c r="O264" i="12"/>
  <c r="BL269" i="10"/>
  <c r="BR268" i="10"/>
  <c r="BM268" i="10"/>
  <c r="O263" i="12"/>
  <c r="BL268" i="10"/>
  <c r="BR267" i="10"/>
  <c r="BM267" i="10"/>
  <c r="O262" i="12"/>
  <c r="BL267" i="10"/>
  <c r="BR266" i="10"/>
  <c r="BM266" i="10"/>
  <c r="O261" i="12"/>
  <c r="BL266" i="10"/>
  <c r="BR265" i="10"/>
  <c r="BM265" i="10"/>
  <c r="O260" i="12"/>
  <c r="BL265" i="10"/>
  <c r="BR264" i="10"/>
  <c r="BM264" i="10"/>
  <c r="O259" i="12"/>
  <c r="BL264" i="10"/>
  <c r="BR263" i="10"/>
  <c r="BM263" i="10"/>
  <c r="O258" i="12"/>
  <c r="BL263" i="10"/>
  <c r="BR262" i="10"/>
  <c r="BM262" i="10"/>
  <c r="O257" i="12"/>
  <c r="BL262" i="10"/>
  <c r="BR261" i="10"/>
  <c r="BM261" i="10"/>
  <c r="O256" i="12"/>
  <c r="BL261" i="10"/>
  <c r="BR260" i="10"/>
  <c r="BM260" i="10"/>
  <c r="O255" i="12"/>
  <c r="BL260" i="10"/>
  <c r="BR259" i="10"/>
  <c r="BM259" i="10"/>
  <c r="O254" i="12"/>
  <c r="BL259" i="10"/>
  <c r="BR258" i="10"/>
  <c r="BM258" i="10"/>
  <c r="O253" i="12"/>
  <c r="BL258" i="10"/>
  <c r="BR257" i="10"/>
  <c r="BM257" i="10"/>
  <c r="O252" i="12"/>
  <c r="BL257" i="10"/>
  <c r="BR256" i="10"/>
  <c r="BM256" i="10"/>
  <c r="O251" i="12"/>
  <c r="BL256" i="10"/>
  <c r="BR255" i="10"/>
  <c r="BM255" i="10"/>
  <c r="O250" i="12"/>
  <c r="BL255" i="10"/>
  <c r="BR254" i="10"/>
  <c r="BM254" i="10"/>
  <c r="O249" i="12"/>
  <c r="BL254" i="10"/>
  <c r="BR253" i="10"/>
  <c r="BM253" i="10"/>
  <c r="O248" i="12"/>
  <c r="BL253" i="10"/>
  <c r="BR252" i="10"/>
  <c r="BM252" i="10"/>
  <c r="O247" i="12"/>
  <c r="BL252" i="10"/>
  <c r="BR251" i="10"/>
  <c r="BM251" i="10"/>
  <c r="O246" i="12"/>
  <c r="BL251" i="10"/>
  <c r="BR250" i="10"/>
  <c r="BM250" i="10"/>
  <c r="O245" i="12"/>
  <c r="BL250" i="10"/>
  <c r="BR249" i="10"/>
  <c r="BM249" i="10"/>
  <c r="O244" i="12"/>
  <c r="BL249" i="10"/>
  <c r="BR248" i="10"/>
  <c r="BM248" i="10"/>
  <c r="O243" i="12"/>
  <c r="BL248" i="10"/>
  <c r="BR247" i="10"/>
  <c r="BM247" i="10"/>
  <c r="O242" i="12"/>
  <c r="BL247" i="10"/>
  <c r="BR246" i="10"/>
  <c r="BM246" i="10"/>
  <c r="O241" i="12"/>
  <c r="BL246" i="10"/>
  <c r="BR245" i="10"/>
  <c r="BM245" i="10"/>
  <c r="O240" i="12"/>
  <c r="BL245" i="10"/>
  <c r="BR244" i="10"/>
  <c r="BM244" i="10"/>
  <c r="O239" i="12"/>
  <c r="BL244" i="10"/>
  <c r="BR243" i="10"/>
  <c r="BM243" i="10"/>
  <c r="O238" i="12"/>
  <c r="BL243" i="10"/>
  <c r="BR242" i="10"/>
  <c r="BM242" i="10"/>
  <c r="O237" i="12"/>
  <c r="BL242" i="10"/>
  <c r="BR241" i="10"/>
  <c r="BM241" i="10"/>
  <c r="O236" i="12"/>
  <c r="BL241" i="10"/>
  <c r="BR240" i="10"/>
  <c r="BM240" i="10"/>
  <c r="O235" i="12"/>
  <c r="BL240" i="10"/>
  <c r="BR239" i="10"/>
  <c r="BM239" i="10"/>
  <c r="O234" i="12"/>
  <c r="BL239" i="10"/>
  <c r="BR238" i="10"/>
  <c r="BM238" i="10"/>
  <c r="O233" i="12"/>
  <c r="BL238" i="10"/>
  <c r="BR237" i="10"/>
  <c r="BM237" i="10"/>
  <c r="O232" i="12"/>
  <c r="BL237" i="10"/>
  <c r="BR236" i="10"/>
  <c r="BM236" i="10"/>
  <c r="O231" i="12"/>
  <c r="BL236" i="10"/>
  <c r="BR235" i="10"/>
  <c r="BM235" i="10"/>
  <c r="O230" i="12"/>
  <c r="BL235" i="10"/>
  <c r="BR234" i="10"/>
  <c r="BM234" i="10"/>
  <c r="O229" i="12"/>
  <c r="BL234" i="10"/>
  <c r="BR233" i="10"/>
  <c r="BM233" i="10"/>
  <c r="O228" i="12"/>
  <c r="BL233" i="10"/>
  <c r="BR232" i="10"/>
  <c r="BM232" i="10"/>
  <c r="O227" i="12"/>
  <c r="BL232" i="10"/>
  <c r="BR231" i="10"/>
  <c r="BM231" i="10"/>
  <c r="O226" i="12"/>
  <c r="BL231" i="10"/>
  <c r="BR230" i="10"/>
  <c r="BM230" i="10"/>
  <c r="O225" i="12"/>
  <c r="BL230" i="10"/>
  <c r="BR229" i="10"/>
  <c r="BM229" i="10"/>
  <c r="O224" i="12"/>
  <c r="BL229" i="10"/>
  <c r="BR228" i="10"/>
  <c r="BM228" i="10"/>
  <c r="O223" i="12"/>
  <c r="BL228" i="10"/>
  <c r="BR227" i="10"/>
  <c r="BM227" i="10"/>
  <c r="O222" i="12"/>
  <c r="BL227" i="10"/>
  <c r="BR226" i="10"/>
  <c r="BM226" i="10"/>
  <c r="O221" i="12"/>
  <c r="BL226" i="10"/>
  <c r="BR225" i="10"/>
  <c r="BM225" i="10"/>
  <c r="O220" i="12"/>
  <c r="BL225" i="10"/>
  <c r="BR224" i="10"/>
  <c r="BM224" i="10"/>
  <c r="O219" i="12"/>
  <c r="BL224" i="10"/>
  <c r="BR223" i="10"/>
  <c r="BM223" i="10"/>
  <c r="O218" i="12"/>
  <c r="BL223" i="10"/>
  <c r="BR222" i="10"/>
  <c r="BM222" i="10"/>
  <c r="O217" i="12"/>
  <c r="BL222" i="10"/>
  <c r="BR221" i="10"/>
  <c r="BM221" i="10"/>
  <c r="O216" i="12"/>
  <c r="BL221" i="10"/>
  <c r="BR220" i="10"/>
  <c r="BM220" i="10"/>
  <c r="O215" i="12"/>
  <c r="BL220" i="10"/>
  <c r="BR219" i="10"/>
  <c r="BM219" i="10"/>
  <c r="O214" i="12"/>
  <c r="BL219" i="10"/>
  <c r="BR218" i="10"/>
  <c r="BM218" i="10"/>
  <c r="O213" i="12"/>
  <c r="BL218" i="10"/>
  <c r="BR217" i="10"/>
  <c r="BM217" i="10"/>
  <c r="O212" i="12"/>
  <c r="BL217" i="10"/>
  <c r="BR216" i="10"/>
  <c r="BM216" i="10"/>
  <c r="O211" i="12"/>
  <c r="BL216" i="10"/>
  <c r="BR215" i="10"/>
  <c r="BM215" i="10"/>
  <c r="O210" i="12"/>
  <c r="BL215" i="10"/>
  <c r="BR214" i="10"/>
  <c r="BM214" i="10"/>
  <c r="O209" i="12"/>
  <c r="BL214" i="10"/>
  <c r="BR213" i="10"/>
  <c r="BM213" i="10"/>
  <c r="O208" i="12"/>
  <c r="BL213" i="10"/>
  <c r="BR212" i="10"/>
  <c r="BM212" i="10"/>
  <c r="O207" i="12"/>
  <c r="BL212" i="10"/>
  <c r="BR211" i="10"/>
  <c r="BM211" i="10"/>
  <c r="O206" i="12"/>
  <c r="BL211" i="10"/>
  <c r="BR210" i="10"/>
  <c r="BM210" i="10"/>
  <c r="O205" i="12"/>
  <c r="BL210" i="10"/>
  <c r="BR209" i="10"/>
  <c r="BM209" i="10"/>
  <c r="O204" i="12"/>
  <c r="BL209" i="10"/>
  <c r="BR208" i="10"/>
  <c r="BM208" i="10"/>
  <c r="O203" i="12"/>
  <c r="BL208" i="10"/>
  <c r="BR207" i="10"/>
  <c r="BM207" i="10"/>
  <c r="O202" i="12"/>
  <c r="BL207" i="10"/>
  <c r="BR206" i="10"/>
  <c r="BM206" i="10"/>
  <c r="O201" i="12"/>
  <c r="BL206" i="10"/>
  <c r="BR205" i="10"/>
  <c r="BM205" i="10"/>
  <c r="O200" i="12"/>
  <c r="BL205" i="10"/>
  <c r="BR204" i="10"/>
  <c r="BM204" i="10"/>
  <c r="O199" i="12"/>
  <c r="BL204" i="10"/>
  <c r="BR203" i="10"/>
  <c r="BM203" i="10"/>
  <c r="O198" i="12"/>
  <c r="BL203" i="10"/>
  <c r="BR202" i="10"/>
  <c r="BM202" i="10"/>
  <c r="O197" i="12"/>
  <c r="BL202" i="10"/>
  <c r="BR201" i="10"/>
  <c r="BM201" i="10"/>
  <c r="O196" i="12"/>
  <c r="BL201" i="10"/>
  <c r="BR200" i="10"/>
  <c r="BM200" i="10"/>
  <c r="O195" i="12"/>
  <c r="BL200" i="10"/>
  <c r="BR199" i="10"/>
  <c r="BM199" i="10"/>
  <c r="O194" i="12"/>
  <c r="BL199" i="10"/>
  <c r="BR198" i="10"/>
  <c r="BM198" i="10"/>
  <c r="O193" i="12"/>
  <c r="BL198" i="10"/>
  <c r="BR197" i="10"/>
  <c r="BM197" i="10"/>
  <c r="O192" i="12"/>
  <c r="BL197" i="10"/>
  <c r="BR196" i="10"/>
  <c r="BM196" i="10"/>
  <c r="O191" i="12"/>
  <c r="BL196" i="10"/>
  <c r="BR195" i="10"/>
  <c r="BM195" i="10"/>
  <c r="O190" i="12"/>
  <c r="BL195" i="10"/>
  <c r="BR194" i="10"/>
  <c r="BM194" i="10"/>
  <c r="O189" i="12"/>
  <c r="BL194" i="10"/>
  <c r="BR193" i="10"/>
  <c r="BM193" i="10"/>
  <c r="O188" i="12"/>
  <c r="BL193" i="10"/>
  <c r="BR192" i="10"/>
  <c r="BM192" i="10"/>
  <c r="O187" i="12"/>
  <c r="BL192" i="10"/>
  <c r="BR191" i="10"/>
  <c r="BM191" i="10"/>
  <c r="O186" i="12"/>
  <c r="BL191" i="10"/>
  <c r="BR190" i="10"/>
  <c r="BM190" i="10"/>
  <c r="O185" i="12"/>
  <c r="BL190" i="10"/>
  <c r="BR189" i="10"/>
  <c r="BM189" i="10"/>
  <c r="O184" i="12"/>
  <c r="BL189" i="10"/>
  <c r="BR188" i="10"/>
  <c r="BM188" i="10"/>
  <c r="O183" i="12"/>
  <c r="BL188" i="10"/>
  <c r="BR187" i="10"/>
  <c r="BM187" i="10"/>
  <c r="O182" i="12"/>
  <c r="BL187" i="10"/>
  <c r="BR186" i="10"/>
  <c r="BM186" i="10"/>
  <c r="O181" i="12"/>
  <c r="BL186" i="10"/>
  <c r="BR185" i="10"/>
  <c r="BM185" i="10"/>
  <c r="O180" i="12"/>
  <c r="BL185" i="10"/>
  <c r="BR184" i="10"/>
  <c r="BM184" i="10"/>
  <c r="O179" i="12"/>
  <c r="BL184" i="10"/>
  <c r="BR183" i="10"/>
  <c r="BM183" i="10"/>
  <c r="O178" i="12"/>
  <c r="BL183" i="10"/>
  <c r="BR182" i="10"/>
  <c r="BM182" i="10"/>
  <c r="O177" i="12"/>
  <c r="BL182" i="10"/>
  <c r="BR181" i="10"/>
  <c r="BM181" i="10"/>
  <c r="O176" i="12"/>
  <c r="BL181" i="10"/>
  <c r="BR180" i="10"/>
  <c r="BM180" i="10"/>
  <c r="O175" i="12"/>
  <c r="BL180" i="10"/>
  <c r="BR179" i="10"/>
  <c r="BM179" i="10"/>
  <c r="O174" i="12"/>
  <c r="BL179" i="10"/>
  <c r="BR178" i="10"/>
  <c r="BM178" i="10"/>
  <c r="O173" i="12"/>
  <c r="BL178" i="10"/>
  <c r="BR177" i="10"/>
  <c r="BM177" i="10"/>
  <c r="O172" i="12"/>
  <c r="BL177" i="10"/>
  <c r="BR176" i="10"/>
  <c r="BM176" i="10"/>
  <c r="O171" i="12"/>
  <c r="BL176" i="10"/>
  <c r="BR175" i="10"/>
  <c r="BM175" i="10"/>
  <c r="O170" i="12"/>
  <c r="BL175" i="10"/>
  <c r="BR174" i="10"/>
  <c r="BM174" i="10"/>
  <c r="O169" i="12"/>
  <c r="BL174" i="10"/>
  <c r="BR173" i="10"/>
  <c r="BM173" i="10"/>
  <c r="O168" i="12"/>
  <c r="BL173" i="10"/>
  <c r="BR172" i="10"/>
  <c r="BM172" i="10"/>
  <c r="O167" i="12"/>
  <c r="BL172" i="10"/>
  <c r="BR171" i="10"/>
  <c r="BM171" i="10"/>
  <c r="O166" i="12"/>
  <c r="BL171" i="10"/>
  <c r="BR170" i="10"/>
  <c r="BM170" i="10"/>
  <c r="O165" i="12"/>
  <c r="BL170" i="10"/>
  <c r="BR169" i="10"/>
  <c r="BM169" i="10"/>
  <c r="O164" i="12"/>
  <c r="BL169" i="10"/>
  <c r="BR168" i="10"/>
  <c r="BM168" i="10"/>
  <c r="O163" i="12"/>
  <c r="BL168" i="10"/>
  <c r="BR167" i="10"/>
  <c r="BM167" i="10"/>
  <c r="O162" i="12"/>
  <c r="BL167" i="10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BR153" i="10"/>
  <c r="BM153" i="10"/>
  <c r="O148" i="12"/>
  <c r="BL153" i="10"/>
  <c r="D152" i="10"/>
  <c r="BR152" i="10"/>
  <c r="BM152" i="10"/>
  <c r="O147" i="12"/>
  <c r="BL152" i="10"/>
  <c r="D151" i="10"/>
  <c r="BR151" i="10"/>
  <c r="BM151" i="10"/>
  <c r="O146" i="12"/>
  <c r="BL151" i="10"/>
  <c r="D150" i="10"/>
  <c r="BR150" i="10"/>
  <c r="BM150" i="10"/>
  <c r="O145" i="12"/>
  <c r="BL150" i="10"/>
  <c r="D149" i="10"/>
  <c r="BR149" i="10"/>
  <c r="BL149" i="10"/>
  <c r="BM149" i="10" s="1"/>
  <c r="O144" i="12" s="1"/>
  <c r="D148" i="10"/>
  <c r="BR148" i="10"/>
  <c r="BL148" i="10"/>
  <c r="BM148" i="10" s="1"/>
  <c r="O143" i="12" s="1"/>
  <c r="D147" i="10"/>
  <c r="BR147" i="10"/>
  <c r="BL147" i="10"/>
  <c r="BM147" i="10" s="1"/>
  <c r="O142" i="12" s="1"/>
  <c r="D146" i="10"/>
  <c r="BR146" i="10"/>
  <c r="BL146" i="10"/>
  <c r="BM146" i="10" s="1"/>
  <c r="O141" i="12" s="1"/>
  <c r="D145" i="10"/>
  <c r="BR145" i="10"/>
  <c r="BL145" i="10"/>
  <c r="BM145" i="10"/>
  <c r="O140" i="12"/>
  <c r="D144" i="10"/>
  <c r="BR144" i="10"/>
  <c r="BL144" i="10"/>
  <c r="BM144" i="10"/>
  <c r="O139" i="12"/>
  <c r="D143" i="10"/>
  <c r="BR143" i="10"/>
  <c r="BL143" i="10"/>
  <c r="BM143" i="10"/>
  <c r="O138" i="12"/>
  <c r="BR137" i="10"/>
  <c r="BM137" i="10"/>
  <c r="O137" i="12"/>
  <c r="BL137" i="10"/>
  <c r="BR136" i="10"/>
  <c r="BM136" i="10"/>
  <c r="O136" i="12"/>
  <c r="BL136" i="10"/>
  <c r="BR135" i="10"/>
  <c r="BM135" i="10"/>
  <c r="O135" i="12"/>
  <c r="BL135" i="10"/>
  <c r="BR134" i="10"/>
  <c r="BM134" i="10"/>
  <c r="O134" i="12"/>
  <c r="BL134" i="10"/>
  <c r="BR133" i="10"/>
  <c r="BM133" i="10"/>
  <c r="O133" i="12"/>
  <c r="BL133" i="10"/>
  <c r="BR132" i="10"/>
  <c r="BM132" i="10"/>
  <c r="O132" i="12"/>
  <c r="BL132" i="10"/>
  <c r="BR131" i="10"/>
  <c r="BM131" i="10"/>
  <c r="O131" i="12"/>
  <c r="BL131" i="10"/>
  <c r="BR130" i="10"/>
  <c r="BL130" i="10"/>
  <c r="BM130" i="10" s="1"/>
  <c r="O130" i="12" s="1"/>
  <c r="BR129" i="10"/>
  <c r="BL129" i="10"/>
  <c r="BM129" i="10" s="1"/>
  <c r="O129" i="12" s="1"/>
  <c r="BR128" i="10"/>
  <c r="BL128" i="10"/>
  <c r="BM128" i="10" s="1"/>
  <c r="O128" i="12" s="1"/>
  <c r="O127" i="12"/>
  <c r="BR126" i="10"/>
  <c r="BL126" i="10"/>
  <c r="BM126" i="10" s="1"/>
  <c r="O126" i="12" s="1"/>
  <c r="BR125" i="10"/>
  <c r="BL125" i="10"/>
  <c r="BM125" i="10" s="1"/>
  <c r="O125" i="12" s="1"/>
  <c r="BR124" i="10"/>
  <c r="BL124" i="10"/>
  <c r="BM124" i="10" s="1"/>
  <c r="O124" i="12" s="1"/>
  <c r="BR123" i="10"/>
  <c r="BL123" i="10"/>
  <c r="BM123" i="10" s="1"/>
  <c r="O123" i="12" s="1"/>
  <c r="BR122" i="10"/>
  <c r="BM122" i="10"/>
  <c r="O122" i="12"/>
  <c r="BL122" i="10"/>
  <c r="BR121" i="10"/>
  <c r="BM121" i="10"/>
  <c r="O121" i="12"/>
  <c r="BL121" i="10"/>
  <c r="BR120" i="10"/>
  <c r="BL120" i="10"/>
  <c r="BM120" i="10" s="1"/>
  <c r="O120" i="12" s="1"/>
  <c r="BR119" i="10"/>
  <c r="BM119" i="10"/>
  <c r="O119" i="12"/>
  <c r="BL119" i="10"/>
  <c r="BR118" i="10"/>
  <c r="BL118" i="10"/>
  <c r="BM118" i="10" s="1"/>
  <c r="O118" i="12" s="1"/>
  <c r="BR117" i="10"/>
  <c r="BL117" i="10"/>
  <c r="BM117" i="10" s="1"/>
  <c r="O117" i="12" s="1"/>
  <c r="BR116" i="10"/>
  <c r="BM116" i="10"/>
  <c r="O116" i="12"/>
  <c r="BL116" i="10"/>
  <c r="BR115" i="10"/>
  <c r="BM115" i="10"/>
  <c r="O115" i="12"/>
  <c r="BL115" i="10"/>
  <c r="BR114" i="10"/>
  <c r="BM114" i="10"/>
  <c r="O114" i="12"/>
  <c r="BL114" i="10"/>
  <c r="D113" i="10"/>
  <c r="BR113" i="10"/>
  <c r="BM113" i="10"/>
  <c r="O113" i="12"/>
  <c r="BL113" i="10"/>
  <c r="D112" i="10"/>
  <c r="BR112" i="10"/>
  <c r="BL112" i="10"/>
  <c r="BM112" i="10" s="1"/>
  <c r="O112" i="12" s="1"/>
  <c r="D111" i="10"/>
  <c r="BR111" i="10"/>
  <c r="BL111" i="10"/>
  <c r="BM111" i="10" s="1"/>
  <c r="O111" i="12" s="1"/>
  <c r="D110" i="10"/>
  <c r="BR110" i="10"/>
  <c r="BL110" i="10"/>
  <c r="BM110" i="10" s="1"/>
  <c r="O110" i="12" s="1"/>
  <c r="D109" i="10"/>
  <c r="BR109" i="10"/>
  <c r="BL109" i="10"/>
  <c r="BM109" i="10" s="1"/>
  <c r="O109" i="12" s="1"/>
  <c r="D108" i="10"/>
  <c r="BR108" i="10"/>
  <c r="BL108" i="10"/>
  <c r="BM108" i="10" s="1"/>
  <c r="O108" i="12" s="1"/>
  <c r="D107" i="10"/>
  <c r="BR107" i="10"/>
  <c r="BL107" i="10"/>
  <c r="BM107" i="10" s="1"/>
  <c r="O107" i="12" s="1"/>
  <c r="D106" i="10"/>
  <c r="BR106" i="10"/>
  <c r="BM106" i="10"/>
  <c r="O106" i="12"/>
  <c r="BL106" i="10"/>
  <c r="D105" i="10"/>
  <c r="BR105" i="10"/>
  <c r="BL105" i="10"/>
  <c r="BM105" i="10" s="1"/>
  <c r="O105" i="12" s="1"/>
  <c r="D104" i="10"/>
  <c r="BR104" i="10"/>
  <c r="BL104" i="10"/>
  <c r="BM104" i="10" s="1"/>
  <c r="O104" i="12" s="1"/>
  <c r="D103" i="10"/>
  <c r="BR103" i="10"/>
  <c r="BL103" i="10"/>
  <c r="BM103" i="10" s="1"/>
  <c r="O103" i="12" s="1"/>
  <c r="D102" i="10"/>
  <c r="BR102" i="10"/>
  <c r="BL102" i="10"/>
  <c r="BM102" i="10" s="1"/>
  <c r="O102" i="12" s="1"/>
  <c r="D101" i="10"/>
  <c r="BR101" i="10"/>
  <c r="BL101" i="10"/>
  <c r="BM101" i="10" s="1"/>
  <c r="O101" i="12" s="1"/>
  <c r="D100" i="10"/>
  <c r="BR100" i="10"/>
  <c r="BM100" i="10"/>
  <c r="O100" i="12"/>
  <c r="BL100" i="10"/>
  <c r="D99" i="10"/>
  <c r="BR99" i="10"/>
  <c r="BM99" i="10"/>
  <c r="O99" i="12"/>
  <c r="BL99" i="10"/>
  <c r="D98" i="10"/>
  <c r="BR98" i="10"/>
  <c r="BM98" i="10"/>
  <c r="O98" i="12"/>
  <c r="BL98" i="10"/>
  <c r="D97" i="10"/>
  <c r="BR97" i="10"/>
  <c r="BM97" i="10"/>
  <c r="O97" i="12"/>
  <c r="BL97" i="10"/>
  <c r="D96" i="10"/>
  <c r="BR96" i="10"/>
  <c r="BM96" i="10"/>
  <c r="O96" i="12"/>
  <c r="BL96" i="10"/>
  <c r="D95" i="10"/>
  <c r="BR95" i="10"/>
  <c r="BM95" i="10"/>
  <c r="O95" i="12"/>
  <c r="BL95" i="10"/>
  <c r="D94" i="10"/>
  <c r="BR94" i="10"/>
  <c r="BM94" i="10"/>
  <c r="O94" i="12"/>
  <c r="BL94" i="10"/>
  <c r="D93" i="10"/>
  <c r="BR93" i="10"/>
  <c r="BM93" i="10"/>
  <c r="BL93" i="10"/>
  <c r="D92" i="10"/>
  <c r="BR92" i="10"/>
  <c r="BM92" i="10"/>
  <c r="O92" i="12"/>
  <c r="BL92" i="10"/>
  <c r="D91" i="10"/>
  <c r="BR91" i="10"/>
  <c r="BM91" i="10"/>
  <c r="O91" i="12"/>
  <c r="BL91" i="10"/>
  <c r="D90" i="10"/>
  <c r="BR90" i="10"/>
  <c r="BM90" i="10"/>
  <c r="O90" i="12"/>
  <c r="BL90" i="10"/>
  <c r="D89" i="10"/>
  <c r="BR89" i="10"/>
  <c r="BM89" i="10"/>
  <c r="O89" i="12"/>
  <c r="BL89" i="10"/>
  <c r="D88" i="10"/>
  <c r="BR88" i="10"/>
  <c r="BM88" i="10"/>
  <c r="O88" i="12"/>
  <c r="BL88" i="10"/>
  <c r="D87" i="10"/>
  <c r="BR87" i="10"/>
  <c r="BM87" i="10"/>
  <c r="O87" i="12"/>
  <c r="BL87" i="10"/>
  <c r="D86" i="10"/>
  <c r="BR86" i="10"/>
  <c r="BM86" i="10"/>
  <c r="O86" i="12"/>
  <c r="BL86" i="10"/>
  <c r="D85" i="10"/>
  <c r="BR85" i="10"/>
  <c r="BM85" i="10"/>
  <c r="O85" i="12"/>
  <c r="BL85" i="10"/>
  <c r="D84" i="10"/>
  <c r="BR84" i="10"/>
  <c r="BM84" i="10"/>
  <c r="O84" i="12"/>
  <c r="BL84" i="10"/>
  <c r="D83" i="10"/>
  <c r="BR83" i="10"/>
  <c r="BM83" i="10"/>
  <c r="O83" i="12"/>
  <c r="BL83" i="10"/>
  <c r="D82" i="10"/>
  <c r="BR82" i="10"/>
  <c r="BM82" i="10"/>
  <c r="O82" i="12"/>
  <c r="BL82" i="10"/>
  <c r="D81" i="10"/>
  <c r="BR81" i="10"/>
  <c r="BM81" i="10"/>
  <c r="O81" i="12"/>
  <c r="BL81" i="10"/>
  <c r="D80" i="10"/>
  <c r="BR80" i="10"/>
  <c r="BM80" i="10"/>
  <c r="O80" i="12"/>
  <c r="BL80" i="10"/>
  <c r="D79" i="10"/>
  <c r="BR79" i="10"/>
  <c r="BM79" i="10"/>
  <c r="O79" i="12"/>
  <c r="BL79" i="10"/>
  <c r="D78" i="10"/>
  <c r="BR78" i="10"/>
  <c r="BM78" i="10"/>
  <c r="O78" i="12"/>
  <c r="BL78" i="10"/>
  <c r="D77" i="10"/>
  <c r="BR77" i="10"/>
  <c r="BM77" i="10"/>
  <c r="O77" i="12"/>
  <c r="BL77" i="10"/>
  <c r="D76" i="10"/>
  <c r="BR76" i="10"/>
  <c r="BM76" i="10"/>
  <c r="O76" i="12"/>
  <c r="BL76" i="10"/>
  <c r="D75" i="10"/>
  <c r="BR75" i="10"/>
  <c r="BM75" i="10"/>
  <c r="O75" i="12"/>
  <c r="BL75" i="10"/>
  <c r="D74" i="10"/>
  <c r="BR74" i="10"/>
  <c r="BM74" i="10"/>
  <c r="O74" i="12"/>
  <c r="BL74" i="10"/>
  <c r="D73" i="10"/>
  <c r="BR73" i="10"/>
  <c r="BM73" i="10"/>
  <c r="O73" i="12"/>
  <c r="BL73" i="10"/>
  <c r="D72" i="10"/>
  <c r="BR72" i="10"/>
  <c r="BM72" i="10"/>
  <c r="O72" i="12"/>
  <c r="BL72" i="10"/>
  <c r="D71" i="10"/>
  <c r="BR71" i="10"/>
  <c r="BM71" i="10"/>
  <c r="O71" i="12"/>
  <c r="BL71" i="10"/>
  <c r="D70" i="10"/>
  <c r="BR70" i="10"/>
  <c r="BM70" i="10"/>
  <c r="O70" i="12"/>
  <c r="BL70" i="10"/>
  <c r="D69" i="10"/>
  <c r="BR69" i="10"/>
  <c r="BM69" i="10"/>
  <c r="O69" i="12"/>
  <c r="BL69" i="10"/>
  <c r="D68" i="10"/>
  <c r="BR68" i="10"/>
  <c r="BM68" i="10"/>
  <c r="O68" i="12"/>
  <c r="BL68" i="10"/>
  <c r="D67" i="10"/>
  <c r="BR67" i="10"/>
  <c r="BM67" i="10"/>
  <c r="O67" i="12"/>
  <c r="BL67" i="10"/>
  <c r="D66" i="10"/>
  <c r="BR66" i="10"/>
  <c r="BM66" i="10"/>
  <c r="O66" i="12"/>
  <c r="BL66" i="10"/>
  <c r="D65" i="10"/>
  <c r="BR65" i="10"/>
  <c r="BM65" i="10"/>
  <c r="O65" i="12"/>
  <c r="BL65" i="10"/>
  <c r="D64" i="10"/>
  <c r="BR64" i="10"/>
  <c r="BM64" i="10"/>
  <c r="O64" i="12"/>
  <c r="BL64" i="10"/>
  <c r="D63" i="10"/>
  <c r="BR63" i="10"/>
  <c r="BM63" i="10"/>
  <c r="O63" i="12"/>
  <c r="BL63" i="10"/>
  <c r="D62" i="10"/>
  <c r="BR62" i="10"/>
  <c r="BM62" i="10"/>
  <c r="O62" i="12"/>
  <c r="BL62" i="10"/>
  <c r="D61" i="10"/>
  <c r="BR61" i="10"/>
  <c r="BM61" i="10"/>
  <c r="O61" i="12"/>
  <c r="BL61" i="10"/>
  <c r="D60" i="10"/>
  <c r="BR60" i="10"/>
  <c r="BM60" i="10"/>
  <c r="O60" i="12"/>
  <c r="BL60" i="10"/>
  <c r="D59" i="10"/>
  <c r="BR59" i="10"/>
  <c r="BM59" i="10"/>
  <c r="O59" i="12"/>
  <c r="BL59" i="10"/>
  <c r="D58" i="10"/>
  <c r="BR58" i="10"/>
  <c r="BM58" i="10"/>
  <c r="O58" i="12"/>
  <c r="BL58" i="10"/>
  <c r="D57" i="10"/>
  <c r="BR57" i="10"/>
  <c r="BM57" i="10"/>
  <c r="O57" i="12"/>
  <c r="BL57" i="10"/>
  <c r="D56" i="10"/>
  <c r="BR56" i="10"/>
  <c r="BM56" i="10"/>
  <c r="O56" i="12"/>
  <c r="BL56" i="10"/>
  <c r="D55" i="10"/>
  <c r="BR55" i="10"/>
  <c r="BM55" i="10"/>
  <c r="O55" i="12"/>
  <c r="BL55" i="10"/>
  <c r="D54" i="10"/>
  <c r="BR54" i="10"/>
  <c r="BM54" i="10"/>
  <c r="O54" i="12"/>
  <c r="BL54" i="10"/>
  <c r="D53" i="10"/>
  <c r="BR53" i="10"/>
  <c r="BM53" i="10"/>
  <c r="O53" i="12"/>
  <c r="BL53" i="10"/>
  <c r="D52" i="10"/>
  <c r="BR52" i="10"/>
  <c r="BM52" i="10"/>
  <c r="O52" i="12"/>
  <c r="BL52" i="10"/>
  <c r="D51" i="10"/>
  <c r="BR51" i="10"/>
  <c r="BM51" i="10"/>
  <c r="O51" i="12"/>
  <c r="BL51" i="10"/>
  <c r="BR50" i="10"/>
  <c r="BM50" i="10"/>
  <c r="O50" i="12"/>
  <c r="BL50" i="10"/>
  <c r="BR49" i="10"/>
  <c r="BL49" i="10"/>
  <c r="D48" i="10"/>
  <c r="BR48" i="10"/>
  <c r="BL48" i="10"/>
  <c r="D47" i="10"/>
  <c r="BR47" i="10"/>
  <c r="BL47" i="10"/>
  <c r="D46" i="10"/>
  <c r="BR46" i="10"/>
  <c r="BL46" i="10"/>
  <c r="BM46" i="10"/>
  <c r="O46" i="12"/>
  <c r="D45" i="10"/>
  <c r="BR45" i="10"/>
  <c r="BL45" i="10"/>
  <c r="D44" i="10"/>
  <c r="BR44" i="10"/>
  <c r="BL44" i="10"/>
  <c r="D43" i="10"/>
  <c r="BR43" i="10"/>
  <c r="BL43" i="10"/>
  <c r="D42" i="10"/>
  <c r="BR42" i="10"/>
  <c r="BL42" i="10"/>
  <c r="D41" i="10"/>
  <c r="BR41" i="10"/>
  <c r="BL41" i="10"/>
  <c r="D40" i="10"/>
  <c r="BR40" i="10"/>
  <c r="BL40" i="10"/>
  <c r="D39" i="10"/>
  <c r="BR39" i="10"/>
  <c r="BL39" i="10"/>
  <c r="D38" i="10"/>
  <c r="BR38" i="10"/>
  <c r="BL38" i="10"/>
  <c r="D37" i="10"/>
  <c r="BR37" i="10"/>
  <c r="BL37" i="10"/>
  <c r="BR36" i="10"/>
  <c r="BL36" i="10"/>
  <c r="D35" i="10"/>
  <c r="BR35" i="10"/>
  <c r="BL35" i="10"/>
  <c r="D34" i="10"/>
  <c r="BR34" i="10"/>
  <c r="BL34" i="10"/>
  <c r="D33" i="10"/>
  <c r="BR33" i="10"/>
  <c r="BL33" i="10"/>
  <c r="D32" i="10"/>
  <c r="BR32" i="10"/>
  <c r="BL32" i="10"/>
  <c r="BR31" i="10"/>
  <c r="BL31" i="10"/>
  <c r="D30" i="10"/>
  <c r="BR30" i="10"/>
  <c r="BL30" i="10"/>
  <c r="D29" i="10"/>
  <c r="BR29" i="10"/>
  <c r="BL29" i="10"/>
  <c r="D28" i="10"/>
  <c r="BR28" i="10"/>
  <c r="BL28" i="10"/>
  <c r="D27" i="10"/>
  <c r="BR27" i="10"/>
  <c r="BL27" i="10"/>
  <c r="D26" i="10"/>
  <c r="BR26" i="10"/>
  <c r="BL26" i="10"/>
  <c r="D25" i="10"/>
  <c r="BR25" i="10"/>
  <c r="BL25" i="10"/>
  <c r="D24" i="10"/>
  <c r="BR24" i="10"/>
  <c r="BL24" i="10"/>
  <c r="D23" i="10"/>
  <c r="BR23" i="10"/>
  <c r="BL23" i="10"/>
  <c r="D22" i="10"/>
  <c r="BR22" i="10"/>
  <c r="BL22" i="10"/>
  <c r="D21" i="10"/>
  <c r="BR21" i="10"/>
  <c r="BL21" i="10"/>
  <c r="D20" i="10"/>
  <c r="BR20" i="10"/>
  <c r="BL20" i="10"/>
  <c r="D19" i="10"/>
  <c r="BR19" i="10"/>
  <c r="BL19" i="10"/>
  <c r="D18" i="10"/>
  <c r="BR18" i="10"/>
  <c r="BL18" i="10"/>
  <c r="D17" i="10"/>
  <c r="BR17" i="10"/>
  <c r="BL17" i="10"/>
  <c r="D16" i="10"/>
  <c r="BR16" i="10"/>
  <c r="BL16" i="10"/>
  <c r="D15" i="10"/>
  <c r="BR15" i="10"/>
  <c r="BL15" i="10"/>
  <c r="D14" i="10"/>
  <c r="BR14" i="10"/>
  <c r="BL14" i="10"/>
  <c r="D13" i="10"/>
  <c r="BR13" i="10"/>
  <c r="BL13" i="10"/>
  <c r="D12" i="10"/>
  <c r="BR12" i="10"/>
  <c r="BL12" i="10"/>
  <c r="D11" i="10"/>
  <c r="BR11" i="10"/>
  <c r="BL11" i="10"/>
  <c r="D10" i="10"/>
  <c r="BR10" i="10"/>
  <c r="BL10" i="10"/>
  <c r="D9" i="10"/>
  <c r="BR9" i="10"/>
  <c r="BL9" i="10"/>
  <c r="D8" i="10"/>
  <c r="BR8" i="10"/>
  <c r="BL8" i="10"/>
  <c r="D7" i="10"/>
  <c r="BR7" i="10"/>
  <c r="BL7" i="10"/>
  <c r="D6" i="10"/>
  <c r="BR6" i="10"/>
  <c r="BL6" i="10"/>
  <c r="D5" i="10"/>
  <c r="BR5" i="10"/>
  <c r="BL5" i="10"/>
  <c r="D4" i="10"/>
  <c r="BR4" i="10"/>
  <c r="BL4" i="10"/>
  <c r="D3" i="10"/>
  <c r="BR3" i="10"/>
  <c r="BL3" i="10"/>
  <c r="BR2" i="10"/>
  <c r="BL2" i="10"/>
  <c r="J3000" i="8"/>
  <c r="I3000" i="8"/>
  <c r="J2999" i="8"/>
  <c r="I2999" i="8"/>
  <c r="J2998" i="8"/>
  <c r="I2998" i="8"/>
  <c r="J2997" i="8"/>
  <c r="I2997" i="8"/>
  <c r="J2996" i="8"/>
  <c r="I2996" i="8"/>
  <c r="J2995" i="8"/>
  <c r="I2995" i="8"/>
  <c r="J2994" i="8"/>
  <c r="I2994" i="8"/>
  <c r="J2993" i="8"/>
  <c r="I2993" i="8"/>
  <c r="J2992" i="8"/>
  <c r="I2992" i="8"/>
  <c r="J2991" i="8"/>
  <c r="I2991" i="8"/>
  <c r="J2990" i="8"/>
  <c r="I2990" i="8"/>
  <c r="J2989" i="8"/>
  <c r="I2989" i="8"/>
  <c r="J2988" i="8"/>
  <c r="I2988" i="8"/>
  <c r="J2987" i="8"/>
  <c r="I2987" i="8"/>
  <c r="J2986" i="8"/>
  <c r="I2986" i="8"/>
  <c r="J2985" i="8"/>
  <c r="I2985" i="8"/>
  <c r="J2984" i="8"/>
  <c r="I2984" i="8"/>
  <c r="J2983" i="8"/>
  <c r="I2983" i="8"/>
  <c r="J2982" i="8"/>
  <c r="I2982" i="8"/>
  <c r="J2981" i="8"/>
  <c r="I2981" i="8"/>
  <c r="J2980" i="8"/>
  <c r="I2980" i="8"/>
  <c r="J2979" i="8"/>
  <c r="I2979" i="8"/>
  <c r="J2978" i="8"/>
  <c r="I2978" i="8"/>
  <c r="J2977" i="8"/>
  <c r="I2977" i="8"/>
  <c r="J2976" i="8"/>
  <c r="I2976" i="8"/>
  <c r="J2975" i="8"/>
  <c r="I2975" i="8"/>
  <c r="J2974" i="8"/>
  <c r="I2974" i="8"/>
  <c r="J2973" i="8"/>
  <c r="I2973" i="8"/>
  <c r="J2972" i="8"/>
  <c r="I2972" i="8"/>
  <c r="J2971" i="8"/>
  <c r="I2971" i="8"/>
  <c r="J2970" i="8"/>
  <c r="I2970" i="8"/>
  <c r="J2969" i="8"/>
  <c r="I2969" i="8"/>
  <c r="J2968" i="8"/>
  <c r="I2968" i="8"/>
  <c r="J2967" i="8"/>
  <c r="I2967" i="8"/>
  <c r="J2966" i="8"/>
  <c r="I2966" i="8"/>
  <c r="J2965" i="8"/>
  <c r="I2965" i="8"/>
  <c r="J2964" i="8"/>
  <c r="I2964" i="8"/>
  <c r="J2963" i="8"/>
  <c r="I2963" i="8"/>
  <c r="J2962" i="8"/>
  <c r="I2962" i="8"/>
  <c r="J2961" i="8"/>
  <c r="I2961" i="8"/>
  <c r="J2960" i="8"/>
  <c r="I2960" i="8"/>
  <c r="J2959" i="8"/>
  <c r="I2959" i="8"/>
  <c r="J2958" i="8"/>
  <c r="I2958" i="8"/>
  <c r="J2957" i="8"/>
  <c r="I2957" i="8"/>
  <c r="J2956" i="8"/>
  <c r="I2956" i="8"/>
  <c r="J2955" i="8"/>
  <c r="I2955" i="8"/>
  <c r="J2954" i="8"/>
  <c r="I2954" i="8"/>
  <c r="J2953" i="8"/>
  <c r="I2953" i="8"/>
  <c r="J2952" i="8"/>
  <c r="I2952" i="8"/>
  <c r="J2951" i="8"/>
  <c r="I2951" i="8"/>
  <c r="J2950" i="8"/>
  <c r="I2950" i="8"/>
  <c r="J2949" i="8"/>
  <c r="I2949" i="8"/>
  <c r="J2948" i="8"/>
  <c r="I2948" i="8"/>
  <c r="J2947" i="8"/>
  <c r="I2947" i="8"/>
  <c r="J2946" i="8"/>
  <c r="I2946" i="8"/>
  <c r="J2945" i="8"/>
  <c r="I2945" i="8"/>
  <c r="J2944" i="8"/>
  <c r="I2944" i="8"/>
  <c r="J2943" i="8"/>
  <c r="I2943" i="8"/>
  <c r="J2942" i="8"/>
  <c r="I2942" i="8"/>
  <c r="J2941" i="8"/>
  <c r="I2941" i="8"/>
  <c r="J2940" i="8"/>
  <c r="I2940" i="8"/>
  <c r="J2939" i="8"/>
  <c r="I2939" i="8"/>
  <c r="J2938" i="8"/>
  <c r="I2938" i="8"/>
  <c r="J2937" i="8"/>
  <c r="I2937" i="8"/>
  <c r="J2936" i="8"/>
  <c r="I2936" i="8"/>
  <c r="J2935" i="8"/>
  <c r="I2935" i="8"/>
  <c r="J2934" i="8"/>
  <c r="I2934" i="8"/>
  <c r="J2933" i="8"/>
  <c r="I2933" i="8"/>
  <c r="J2932" i="8"/>
  <c r="I2932" i="8"/>
  <c r="J2931" i="8"/>
  <c r="I2931" i="8"/>
  <c r="J2930" i="8"/>
  <c r="I2930" i="8"/>
  <c r="J2929" i="8"/>
  <c r="I2929" i="8"/>
  <c r="J2928" i="8"/>
  <c r="I2928" i="8"/>
  <c r="J2927" i="8"/>
  <c r="I2927" i="8"/>
  <c r="J2926" i="8"/>
  <c r="I2926" i="8"/>
  <c r="J2925" i="8"/>
  <c r="I2925" i="8"/>
  <c r="J2924" i="8"/>
  <c r="I2924" i="8"/>
  <c r="J2923" i="8"/>
  <c r="I2923" i="8"/>
  <c r="J2922" i="8"/>
  <c r="I2922" i="8"/>
  <c r="J2921" i="8"/>
  <c r="I2921" i="8"/>
  <c r="J2920" i="8"/>
  <c r="I2920" i="8"/>
  <c r="J2919" i="8"/>
  <c r="I2919" i="8"/>
  <c r="J2918" i="8"/>
  <c r="I2918" i="8"/>
  <c r="J2917" i="8"/>
  <c r="I2917" i="8"/>
  <c r="J2916" i="8"/>
  <c r="I2916" i="8"/>
  <c r="J2915" i="8"/>
  <c r="I2915" i="8"/>
  <c r="J2914" i="8"/>
  <c r="I2914" i="8"/>
  <c r="J2913" i="8"/>
  <c r="I2913" i="8"/>
  <c r="J2912" i="8"/>
  <c r="I2912" i="8"/>
  <c r="J2911" i="8"/>
  <c r="I2911" i="8"/>
  <c r="J2910" i="8"/>
  <c r="I2910" i="8"/>
  <c r="J2909" i="8"/>
  <c r="I2909" i="8"/>
  <c r="J2908" i="8"/>
  <c r="I2908" i="8"/>
  <c r="J2907" i="8"/>
  <c r="I2907" i="8"/>
  <c r="J2906" i="8"/>
  <c r="I2906" i="8"/>
  <c r="J2905" i="8"/>
  <c r="I2905" i="8"/>
  <c r="J2904" i="8"/>
  <c r="I2904" i="8"/>
  <c r="J2903" i="8"/>
  <c r="I2903" i="8"/>
  <c r="J2902" i="8"/>
  <c r="I2902" i="8"/>
  <c r="J2901" i="8"/>
  <c r="I2901" i="8"/>
  <c r="J2900" i="8"/>
  <c r="I2900" i="8"/>
  <c r="J2899" i="8"/>
  <c r="I2899" i="8"/>
  <c r="J2898" i="8"/>
  <c r="I2898" i="8"/>
  <c r="J2897" i="8"/>
  <c r="I2897" i="8"/>
  <c r="J2896" i="8"/>
  <c r="I2896" i="8"/>
  <c r="J2895" i="8"/>
  <c r="I2895" i="8"/>
  <c r="J2894" i="8"/>
  <c r="I2894" i="8"/>
  <c r="J2893" i="8"/>
  <c r="I2893" i="8"/>
  <c r="J2892" i="8"/>
  <c r="I2892" i="8"/>
  <c r="J2891" i="8"/>
  <c r="I2891" i="8"/>
  <c r="J2890" i="8"/>
  <c r="I2890" i="8"/>
  <c r="J2889" i="8"/>
  <c r="I2889" i="8"/>
  <c r="J2888" i="8"/>
  <c r="I2888" i="8"/>
  <c r="J2887" i="8"/>
  <c r="I2887" i="8"/>
  <c r="J2886" i="8"/>
  <c r="I2886" i="8"/>
  <c r="J2885" i="8"/>
  <c r="I2885" i="8"/>
  <c r="J2884" i="8"/>
  <c r="I2884" i="8"/>
  <c r="J2883" i="8"/>
  <c r="I2883" i="8"/>
  <c r="J2882" i="8"/>
  <c r="I2882" i="8"/>
  <c r="J2881" i="8"/>
  <c r="I2881" i="8"/>
  <c r="J2880" i="8"/>
  <c r="I2880" i="8"/>
  <c r="J2879" i="8"/>
  <c r="I2879" i="8"/>
  <c r="J2878" i="8"/>
  <c r="I2878" i="8"/>
  <c r="J2877" i="8"/>
  <c r="I2877" i="8"/>
  <c r="J2876" i="8"/>
  <c r="I2876" i="8"/>
  <c r="J2875" i="8"/>
  <c r="I2875" i="8"/>
  <c r="J2874" i="8"/>
  <c r="I2874" i="8"/>
  <c r="J2873" i="8"/>
  <c r="I2873" i="8"/>
  <c r="J2872" i="8"/>
  <c r="I2872" i="8"/>
  <c r="J2871" i="8"/>
  <c r="I2871" i="8"/>
  <c r="J2870" i="8"/>
  <c r="I2870" i="8"/>
  <c r="J2869" i="8"/>
  <c r="I2869" i="8"/>
  <c r="J2868" i="8"/>
  <c r="I2868" i="8"/>
  <c r="J2867" i="8"/>
  <c r="I2867" i="8"/>
  <c r="J2866" i="8"/>
  <c r="I2866" i="8"/>
  <c r="J2865" i="8"/>
  <c r="I2865" i="8"/>
  <c r="J2864" i="8"/>
  <c r="I2864" i="8"/>
  <c r="J2863" i="8"/>
  <c r="I2863" i="8"/>
  <c r="J2862" i="8"/>
  <c r="I2862" i="8"/>
  <c r="J2861" i="8"/>
  <c r="I2861" i="8"/>
  <c r="J2860" i="8"/>
  <c r="I2860" i="8"/>
  <c r="J2859" i="8"/>
  <c r="I2859" i="8"/>
  <c r="J2858" i="8"/>
  <c r="I2858" i="8"/>
  <c r="J2857" i="8"/>
  <c r="I2857" i="8"/>
  <c r="J2856" i="8"/>
  <c r="I2856" i="8"/>
  <c r="J2855" i="8"/>
  <c r="I2855" i="8"/>
  <c r="J2854" i="8"/>
  <c r="I2854" i="8"/>
  <c r="J2853" i="8"/>
  <c r="I2853" i="8"/>
  <c r="J2852" i="8"/>
  <c r="I2852" i="8"/>
  <c r="J2851" i="8"/>
  <c r="I2851" i="8"/>
  <c r="J2850" i="8"/>
  <c r="I2850" i="8"/>
  <c r="J2849" i="8"/>
  <c r="I2849" i="8"/>
  <c r="J2848" i="8"/>
  <c r="I2848" i="8"/>
  <c r="J2847" i="8"/>
  <c r="I2847" i="8"/>
  <c r="J2846" i="8"/>
  <c r="I2846" i="8"/>
  <c r="J2845" i="8"/>
  <c r="I2845" i="8"/>
  <c r="J2844" i="8"/>
  <c r="I2844" i="8"/>
  <c r="J2843" i="8"/>
  <c r="I2843" i="8"/>
  <c r="J2842" i="8"/>
  <c r="I2842" i="8"/>
  <c r="J2841" i="8"/>
  <c r="I2841" i="8"/>
  <c r="J2840" i="8"/>
  <c r="I2840" i="8"/>
  <c r="J2839" i="8"/>
  <c r="I2839" i="8"/>
  <c r="J2838" i="8"/>
  <c r="I2838" i="8"/>
  <c r="J2837" i="8"/>
  <c r="I2837" i="8"/>
  <c r="J2836" i="8"/>
  <c r="I2836" i="8"/>
  <c r="J2835" i="8"/>
  <c r="I2835" i="8"/>
  <c r="J2834" i="8"/>
  <c r="I2834" i="8"/>
  <c r="J2833" i="8"/>
  <c r="I2833" i="8"/>
  <c r="J2832" i="8"/>
  <c r="I2832" i="8"/>
  <c r="J2831" i="8"/>
  <c r="I2831" i="8"/>
  <c r="J2830" i="8"/>
  <c r="I2830" i="8"/>
  <c r="J2829" i="8"/>
  <c r="I2829" i="8"/>
  <c r="J2828" i="8"/>
  <c r="I2828" i="8"/>
  <c r="J2827" i="8"/>
  <c r="I2827" i="8"/>
  <c r="J2826" i="8"/>
  <c r="I2826" i="8"/>
  <c r="J2825" i="8"/>
  <c r="I2825" i="8"/>
  <c r="J2824" i="8"/>
  <c r="I2824" i="8"/>
  <c r="J2823" i="8"/>
  <c r="I2823" i="8"/>
  <c r="J2822" i="8"/>
  <c r="I2822" i="8"/>
  <c r="J2821" i="8"/>
  <c r="I2821" i="8"/>
  <c r="J2820" i="8"/>
  <c r="I2820" i="8"/>
  <c r="J2819" i="8"/>
  <c r="I2819" i="8"/>
  <c r="J2818" i="8"/>
  <c r="I2818" i="8"/>
  <c r="J2817" i="8"/>
  <c r="I2817" i="8"/>
  <c r="J2816" i="8"/>
  <c r="I2816" i="8"/>
  <c r="J2815" i="8"/>
  <c r="I2815" i="8"/>
  <c r="J2814" i="8"/>
  <c r="I2814" i="8"/>
  <c r="J2813" i="8"/>
  <c r="I2813" i="8"/>
  <c r="J2812" i="8"/>
  <c r="I2812" i="8"/>
  <c r="J2811" i="8"/>
  <c r="I2811" i="8"/>
  <c r="J2810" i="8"/>
  <c r="I2810" i="8"/>
  <c r="J2809" i="8"/>
  <c r="I2809" i="8"/>
  <c r="J2808" i="8"/>
  <c r="I2808" i="8"/>
  <c r="J2807" i="8"/>
  <c r="I2807" i="8"/>
  <c r="J2806" i="8"/>
  <c r="I2806" i="8"/>
  <c r="J2805" i="8"/>
  <c r="I2805" i="8"/>
  <c r="J2804" i="8"/>
  <c r="I2804" i="8"/>
  <c r="J2803" i="8"/>
  <c r="I2803" i="8"/>
  <c r="J2802" i="8"/>
  <c r="I2802" i="8"/>
  <c r="J2801" i="8"/>
  <c r="I2801" i="8"/>
  <c r="J2800" i="8"/>
  <c r="I2800" i="8"/>
  <c r="J2799" i="8"/>
  <c r="I2799" i="8"/>
  <c r="J2798" i="8"/>
  <c r="I2798" i="8"/>
  <c r="J2797" i="8"/>
  <c r="I2797" i="8"/>
  <c r="J2796" i="8"/>
  <c r="I2796" i="8"/>
  <c r="J2795" i="8"/>
  <c r="I2795" i="8"/>
  <c r="J2794" i="8"/>
  <c r="I2794" i="8"/>
  <c r="J2793" i="8"/>
  <c r="I2793" i="8"/>
  <c r="J2792" i="8"/>
  <c r="I2792" i="8"/>
  <c r="J2791" i="8"/>
  <c r="I2791" i="8"/>
  <c r="J2790" i="8"/>
  <c r="I2790" i="8"/>
  <c r="J2789" i="8"/>
  <c r="I2789" i="8"/>
  <c r="J2788" i="8"/>
  <c r="I2788" i="8"/>
  <c r="J2787" i="8"/>
  <c r="I2787" i="8"/>
  <c r="J2786" i="8"/>
  <c r="I2786" i="8"/>
  <c r="J2785" i="8"/>
  <c r="I2785" i="8"/>
  <c r="J2784" i="8"/>
  <c r="I2784" i="8"/>
  <c r="J2783" i="8"/>
  <c r="I2783" i="8"/>
  <c r="J2782" i="8"/>
  <c r="I2782" i="8"/>
  <c r="J2781" i="8"/>
  <c r="I2781" i="8"/>
  <c r="J2780" i="8"/>
  <c r="I2780" i="8"/>
  <c r="J2779" i="8"/>
  <c r="I2779" i="8"/>
  <c r="J2778" i="8"/>
  <c r="I2778" i="8"/>
  <c r="J2777" i="8"/>
  <c r="I2777" i="8"/>
  <c r="J2776" i="8"/>
  <c r="I2776" i="8"/>
  <c r="J2775" i="8"/>
  <c r="I2775" i="8"/>
  <c r="J2774" i="8"/>
  <c r="I2774" i="8"/>
  <c r="J2773" i="8"/>
  <c r="I2773" i="8"/>
  <c r="J2772" i="8"/>
  <c r="I2772" i="8"/>
  <c r="J2771" i="8"/>
  <c r="I2771" i="8"/>
  <c r="J2770" i="8"/>
  <c r="I2770" i="8"/>
  <c r="J2769" i="8"/>
  <c r="I2769" i="8"/>
  <c r="J2768" i="8"/>
  <c r="I2768" i="8"/>
  <c r="J2767" i="8"/>
  <c r="I2767" i="8"/>
  <c r="J2766" i="8"/>
  <c r="I2766" i="8"/>
  <c r="J2765" i="8"/>
  <c r="I2765" i="8"/>
  <c r="J2764" i="8"/>
  <c r="I2764" i="8"/>
  <c r="J2763" i="8"/>
  <c r="I2763" i="8"/>
  <c r="J2762" i="8"/>
  <c r="I2762" i="8"/>
  <c r="J2761" i="8"/>
  <c r="I2761" i="8"/>
  <c r="J2760" i="8"/>
  <c r="I2760" i="8"/>
  <c r="J2759" i="8"/>
  <c r="I2759" i="8"/>
  <c r="J2758" i="8"/>
  <c r="I2758" i="8"/>
  <c r="J2757" i="8"/>
  <c r="I2757" i="8"/>
  <c r="J2756" i="8"/>
  <c r="I2756" i="8"/>
  <c r="J2755" i="8"/>
  <c r="I2755" i="8"/>
  <c r="J2754" i="8"/>
  <c r="I2754" i="8"/>
  <c r="J2753" i="8"/>
  <c r="I2753" i="8"/>
  <c r="J2752" i="8"/>
  <c r="I2752" i="8"/>
  <c r="J2751" i="8"/>
  <c r="I2751" i="8"/>
  <c r="J2750" i="8"/>
  <c r="I2750" i="8"/>
  <c r="J2749" i="8"/>
  <c r="I2749" i="8"/>
  <c r="J2748" i="8"/>
  <c r="I2748" i="8"/>
  <c r="J2747" i="8"/>
  <c r="I2747" i="8"/>
  <c r="J2746" i="8"/>
  <c r="I2746" i="8"/>
  <c r="J2745" i="8"/>
  <c r="I2745" i="8"/>
  <c r="J2744" i="8"/>
  <c r="I2744" i="8"/>
  <c r="J2743" i="8"/>
  <c r="I2743" i="8"/>
  <c r="J2742" i="8"/>
  <c r="I2742" i="8"/>
  <c r="J2741" i="8"/>
  <c r="I2741" i="8"/>
  <c r="J2740" i="8"/>
  <c r="I2740" i="8"/>
  <c r="J2739" i="8"/>
  <c r="I2739" i="8"/>
  <c r="J2738" i="8"/>
  <c r="I2738" i="8"/>
  <c r="J2737" i="8"/>
  <c r="I2737" i="8"/>
  <c r="J2736" i="8"/>
  <c r="I2736" i="8"/>
  <c r="J2735" i="8"/>
  <c r="I2735" i="8"/>
  <c r="J2734" i="8"/>
  <c r="I2734" i="8"/>
  <c r="J2733" i="8"/>
  <c r="I2733" i="8"/>
  <c r="J2732" i="8"/>
  <c r="I2732" i="8"/>
  <c r="J2731" i="8"/>
  <c r="I2731" i="8"/>
  <c r="J2730" i="8"/>
  <c r="I2730" i="8"/>
  <c r="J2729" i="8"/>
  <c r="I2729" i="8"/>
  <c r="J2728" i="8"/>
  <c r="I2728" i="8"/>
  <c r="J2727" i="8"/>
  <c r="I2727" i="8"/>
  <c r="J2726" i="8"/>
  <c r="I2726" i="8"/>
  <c r="J2725" i="8"/>
  <c r="I2725" i="8"/>
  <c r="J2724" i="8"/>
  <c r="I2724" i="8"/>
  <c r="J2723" i="8"/>
  <c r="I2723" i="8"/>
  <c r="J2722" i="8"/>
  <c r="I2722" i="8"/>
  <c r="J2721" i="8"/>
  <c r="I2721" i="8"/>
  <c r="J2720" i="8"/>
  <c r="I2720" i="8"/>
  <c r="J2719" i="8"/>
  <c r="I2719" i="8"/>
  <c r="J2718" i="8"/>
  <c r="I2718" i="8"/>
  <c r="J2717" i="8"/>
  <c r="I2717" i="8"/>
  <c r="J2716" i="8"/>
  <c r="I2716" i="8"/>
  <c r="J2715" i="8"/>
  <c r="I2715" i="8"/>
  <c r="J2714" i="8"/>
  <c r="I2714" i="8"/>
  <c r="J2713" i="8"/>
  <c r="I2713" i="8"/>
  <c r="J2712" i="8"/>
  <c r="I2712" i="8"/>
  <c r="J2711" i="8"/>
  <c r="I2711" i="8"/>
  <c r="J2710" i="8"/>
  <c r="I2710" i="8"/>
  <c r="J2709" i="8"/>
  <c r="I2709" i="8"/>
  <c r="J2708" i="8"/>
  <c r="I2708" i="8"/>
  <c r="J2707" i="8"/>
  <c r="I2707" i="8"/>
  <c r="J2706" i="8"/>
  <c r="I2706" i="8"/>
  <c r="J2705" i="8"/>
  <c r="I2705" i="8"/>
  <c r="J2704" i="8"/>
  <c r="I2704" i="8"/>
  <c r="J2703" i="8"/>
  <c r="I2703" i="8"/>
  <c r="J2702" i="8"/>
  <c r="I2702" i="8"/>
  <c r="J2701" i="8"/>
  <c r="I2701" i="8"/>
  <c r="J2700" i="8"/>
  <c r="I2700" i="8"/>
  <c r="J2699" i="8"/>
  <c r="I2699" i="8"/>
  <c r="J2698" i="8"/>
  <c r="I2698" i="8"/>
  <c r="J2697" i="8"/>
  <c r="I2697" i="8"/>
  <c r="J2696" i="8"/>
  <c r="I2696" i="8"/>
  <c r="J2695" i="8"/>
  <c r="I2695" i="8"/>
  <c r="J2694" i="8"/>
  <c r="I2694" i="8"/>
  <c r="J2693" i="8"/>
  <c r="I2693" i="8"/>
  <c r="J2692" i="8"/>
  <c r="I2692" i="8"/>
  <c r="J2691" i="8"/>
  <c r="I2691" i="8"/>
  <c r="J2690" i="8"/>
  <c r="I2690" i="8"/>
  <c r="J2689" i="8"/>
  <c r="I2689" i="8"/>
  <c r="J2688" i="8"/>
  <c r="I2688" i="8"/>
  <c r="J2687" i="8"/>
  <c r="I2687" i="8"/>
  <c r="J2686" i="8"/>
  <c r="I2686" i="8"/>
  <c r="J2685" i="8"/>
  <c r="I2685" i="8"/>
  <c r="J2684" i="8"/>
  <c r="I2684" i="8"/>
  <c r="J2683" i="8"/>
  <c r="I2683" i="8"/>
  <c r="J2682" i="8"/>
  <c r="I2682" i="8"/>
  <c r="J2681" i="8"/>
  <c r="I2681" i="8"/>
  <c r="J2680" i="8"/>
  <c r="I2680" i="8"/>
  <c r="J2679" i="8"/>
  <c r="I2679" i="8"/>
  <c r="J2678" i="8"/>
  <c r="I2678" i="8"/>
  <c r="J2677" i="8"/>
  <c r="I2677" i="8"/>
  <c r="J2676" i="8"/>
  <c r="I2676" i="8"/>
  <c r="J2675" i="8"/>
  <c r="I2675" i="8"/>
  <c r="J2674" i="8"/>
  <c r="I2674" i="8"/>
  <c r="J2673" i="8"/>
  <c r="I2673" i="8"/>
  <c r="J2672" i="8"/>
  <c r="I2672" i="8"/>
  <c r="J2671" i="8"/>
  <c r="I2671" i="8"/>
  <c r="J2670" i="8"/>
  <c r="I2670" i="8"/>
  <c r="J2669" i="8"/>
  <c r="I2669" i="8"/>
  <c r="J2668" i="8"/>
  <c r="I2668" i="8"/>
  <c r="J2667" i="8"/>
  <c r="I2667" i="8"/>
  <c r="J2666" i="8"/>
  <c r="I2666" i="8"/>
  <c r="J2665" i="8"/>
  <c r="I2665" i="8"/>
  <c r="J2664" i="8"/>
  <c r="I2664" i="8"/>
  <c r="J2663" i="8"/>
  <c r="I2663" i="8"/>
  <c r="J2662" i="8"/>
  <c r="I2662" i="8"/>
  <c r="J2661" i="8"/>
  <c r="I2661" i="8"/>
  <c r="J2660" i="8"/>
  <c r="I2660" i="8"/>
  <c r="J2659" i="8"/>
  <c r="I2659" i="8"/>
  <c r="J2658" i="8"/>
  <c r="I2658" i="8"/>
  <c r="J2657" i="8"/>
  <c r="I2657" i="8"/>
  <c r="J2656" i="8"/>
  <c r="I2656" i="8"/>
  <c r="J2655" i="8"/>
  <c r="I2655" i="8"/>
  <c r="J2654" i="8"/>
  <c r="I2654" i="8"/>
  <c r="J2653" i="8"/>
  <c r="I2653" i="8"/>
  <c r="J2652" i="8"/>
  <c r="I2652" i="8"/>
  <c r="J2651" i="8"/>
  <c r="I2651" i="8"/>
  <c r="J2650" i="8"/>
  <c r="I2650" i="8"/>
  <c r="J2649" i="8"/>
  <c r="I2649" i="8"/>
  <c r="J2648" i="8"/>
  <c r="I2648" i="8"/>
  <c r="J2647" i="8"/>
  <c r="I2647" i="8"/>
  <c r="J2646" i="8"/>
  <c r="I2646" i="8"/>
  <c r="J2645" i="8"/>
  <c r="I2645" i="8"/>
  <c r="J2644" i="8"/>
  <c r="I2644" i="8"/>
  <c r="J2643" i="8"/>
  <c r="I2643" i="8"/>
  <c r="J2642" i="8"/>
  <c r="I2642" i="8"/>
  <c r="J2641" i="8"/>
  <c r="I2641" i="8"/>
  <c r="J2640" i="8"/>
  <c r="I2640" i="8"/>
  <c r="J2639" i="8"/>
  <c r="I2639" i="8"/>
  <c r="J2638" i="8"/>
  <c r="I2638" i="8"/>
  <c r="J2637" i="8"/>
  <c r="I2637" i="8"/>
  <c r="J2636" i="8"/>
  <c r="I2636" i="8"/>
  <c r="J2635" i="8"/>
  <c r="I2635" i="8"/>
  <c r="J2634" i="8"/>
  <c r="I2634" i="8"/>
  <c r="J2633" i="8"/>
  <c r="I2633" i="8"/>
  <c r="J2632" i="8"/>
  <c r="I2632" i="8"/>
  <c r="J2631" i="8"/>
  <c r="I2631" i="8"/>
  <c r="J2630" i="8"/>
  <c r="I2630" i="8"/>
  <c r="J2629" i="8"/>
  <c r="I2629" i="8"/>
  <c r="J2628" i="8"/>
  <c r="I2628" i="8"/>
  <c r="J2627" i="8"/>
  <c r="I2627" i="8"/>
  <c r="J2626" i="8"/>
  <c r="I2626" i="8"/>
  <c r="J2625" i="8"/>
  <c r="I2625" i="8"/>
  <c r="J2624" i="8"/>
  <c r="I2624" i="8"/>
  <c r="J2623" i="8"/>
  <c r="I2623" i="8"/>
  <c r="J2622" i="8"/>
  <c r="I2622" i="8"/>
  <c r="J2621" i="8"/>
  <c r="I2621" i="8"/>
  <c r="J2620" i="8"/>
  <c r="I2620" i="8"/>
  <c r="J2619" i="8"/>
  <c r="I2619" i="8"/>
  <c r="J2618" i="8"/>
  <c r="I2618" i="8"/>
  <c r="J2617" i="8"/>
  <c r="I2617" i="8"/>
  <c r="J2616" i="8"/>
  <c r="I2616" i="8"/>
  <c r="J2615" i="8"/>
  <c r="I2615" i="8"/>
  <c r="J2614" i="8"/>
  <c r="I2614" i="8"/>
  <c r="J2613" i="8"/>
  <c r="I2613" i="8"/>
  <c r="J2612" i="8"/>
  <c r="I2612" i="8"/>
  <c r="J2611" i="8"/>
  <c r="I2611" i="8"/>
  <c r="J2610" i="8"/>
  <c r="I2610" i="8"/>
  <c r="J2609" i="8"/>
  <c r="I2609" i="8"/>
  <c r="J2608" i="8"/>
  <c r="I2608" i="8"/>
  <c r="J2607" i="8"/>
  <c r="I2607" i="8"/>
  <c r="J2606" i="8"/>
  <c r="I2606" i="8"/>
  <c r="J2605" i="8"/>
  <c r="I2605" i="8"/>
  <c r="J2604" i="8"/>
  <c r="I2604" i="8"/>
  <c r="J2603" i="8"/>
  <c r="I2603" i="8"/>
  <c r="J2602" i="8"/>
  <c r="I2602" i="8"/>
  <c r="J2601" i="8"/>
  <c r="I2601" i="8"/>
  <c r="J2600" i="8"/>
  <c r="I2600" i="8"/>
  <c r="J2599" i="8"/>
  <c r="I2599" i="8"/>
  <c r="J2598" i="8"/>
  <c r="I2598" i="8"/>
  <c r="J2597" i="8"/>
  <c r="I2597" i="8"/>
  <c r="J2596" i="8"/>
  <c r="I2596" i="8"/>
  <c r="J2595" i="8"/>
  <c r="I2595" i="8"/>
  <c r="J2594" i="8"/>
  <c r="I2594" i="8"/>
  <c r="J2593" i="8"/>
  <c r="I2593" i="8"/>
  <c r="J2592" i="8"/>
  <c r="I2592" i="8"/>
  <c r="J2591" i="8"/>
  <c r="I2591" i="8"/>
  <c r="J2590" i="8"/>
  <c r="I2590" i="8"/>
  <c r="J2589" i="8"/>
  <c r="I2589" i="8"/>
  <c r="J2588" i="8"/>
  <c r="I2588" i="8"/>
  <c r="J2587" i="8"/>
  <c r="I2587" i="8"/>
  <c r="J2586" i="8"/>
  <c r="I2586" i="8"/>
  <c r="J2585" i="8"/>
  <c r="I2585" i="8"/>
  <c r="J2584" i="8"/>
  <c r="I2584" i="8"/>
  <c r="J2583" i="8"/>
  <c r="I2583" i="8"/>
  <c r="J2582" i="8"/>
  <c r="I2582" i="8"/>
  <c r="J2581" i="8"/>
  <c r="I2581" i="8"/>
  <c r="J2580" i="8"/>
  <c r="I2580" i="8"/>
  <c r="J2579" i="8"/>
  <c r="I2579" i="8"/>
  <c r="J2578" i="8"/>
  <c r="I2578" i="8"/>
  <c r="J2577" i="8"/>
  <c r="I2577" i="8"/>
  <c r="J2576" i="8"/>
  <c r="I2576" i="8"/>
  <c r="J2575" i="8"/>
  <c r="I2575" i="8"/>
  <c r="J2574" i="8"/>
  <c r="I2574" i="8"/>
  <c r="J2573" i="8"/>
  <c r="I2573" i="8"/>
  <c r="J2572" i="8"/>
  <c r="I2572" i="8"/>
  <c r="J2571" i="8"/>
  <c r="I2571" i="8"/>
  <c r="J2570" i="8"/>
  <c r="I2570" i="8"/>
  <c r="J2569" i="8"/>
  <c r="I2569" i="8"/>
  <c r="J2568" i="8"/>
  <c r="I2568" i="8"/>
  <c r="J2567" i="8"/>
  <c r="I2567" i="8"/>
  <c r="J2566" i="8"/>
  <c r="I2566" i="8"/>
  <c r="J2565" i="8"/>
  <c r="I2565" i="8"/>
  <c r="J2564" i="8"/>
  <c r="I2564" i="8"/>
  <c r="J2563" i="8"/>
  <c r="I2563" i="8"/>
  <c r="J2562" i="8"/>
  <c r="I2562" i="8"/>
  <c r="J2561" i="8"/>
  <c r="I2561" i="8"/>
  <c r="J2560" i="8"/>
  <c r="I2560" i="8"/>
  <c r="J2559" i="8"/>
  <c r="I2559" i="8"/>
  <c r="J2558" i="8"/>
  <c r="I2558" i="8"/>
  <c r="J2557" i="8"/>
  <c r="I2557" i="8"/>
  <c r="J2556" i="8"/>
  <c r="I2556" i="8"/>
  <c r="J2555" i="8"/>
  <c r="I2555" i="8"/>
  <c r="J2554" i="8"/>
  <c r="I2554" i="8"/>
  <c r="J2553" i="8"/>
  <c r="I2553" i="8"/>
  <c r="J2552" i="8"/>
  <c r="I2552" i="8"/>
  <c r="J2551" i="8"/>
  <c r="I2551" i="8"/>
  <c r="J2550" i="8"/>
  <c r="I2550" i="8"/>
  <c r="J2549" i="8"/>
  <c r="I2549" i="8"/>
  <c r="J2548" i="8"/>
  <c r="I2548" i="8"/>
  <c r="J2547" i="8"/>
  <c r="I2547" i="8"/>
  <c r="J2546" i="8"/>
  <c r="I2546" i="8"/>
  <c r="J2545" i="8"/>
  <c r="I2545" i="8"/>
  <c r="J2544" i="8"/>
  <c r="I2544" i="8"/>
  <c r="J2543" i="8"/>
  <c r="I2543" i="8"/>
  <c r="J2542" i="8"/>
  <c r="I2542" i="8"/>
  <c r="J2541" i="8"/>
  <c r="I2541" i="8"/>
  <c r="J2540" i="8"/>
  <c r="I2540" i="8"/>
  <c r="J2539" i="8"/>
  <c r="I2539" i="8"/>
  <c r="J2538" i="8"/>
  <c r="I2538" i="8"/>
  <c r="J2537" i="8"/>
  <c r="I2537" i="8"/>
  <c r="J2536" i="8"/>
  <c r="I2536" i="8"/>
  <c r="J2535" i="8"/>
  <c r="I2535" i="8"/>
  <c r="J2534" i="8"/>
  <c r="I2534" i="8"/>
  <c r="J2533" i="8"/>
  <c r="I2533" i="8"/>
  <c r="J2532" i="8"/>
  <c r="I2532" i="8"/>
  <c r="J2531" i="8"/>
  <c r="I2531" i="8"/>
  <c r="J2530" i="8"/>
  <c r="I2530" i="8"/>
  <c r="J2529" i="8"/>
  <c r="I2529" i="8"/>
  <c r="J2528" i="8"/>
  <c r="I2528" i="8"/>
  <c r="J2527" i="8"/>
  <c r="I2527" i="8"/>
  <c r="J2526" i="8"/>
  <c r="I2526" i="8"/>
  <c r="J2525" i="8"/>
  <c r="I2525" i="8"/>
  <c r="J2524" i="8"/>
  <c r="I2524" i="8"/>
  <c r="J2523" i="8"/>
  <c r="I2523" i="8"/>
  <c r="J2522" i="8"/>
  <c r="I2522" i="8"/>
  <c r="J2521" i="8"/>
  <c r="I2521" i="8"/>
  <c r="J2520" i="8"/>
  <c r="I2520" i="8"/>
  <c r="J2519" i="8"/>
  <c r="I2519" i="8"/>
  <c r="J2518" i="8"/>
  <c r="I2518" i="8"/>
  <c r="J2517" i="8"/>
  <c r="I2517" i="8"/>
  <c r="J2516" i="8"/>
  <c r="I2516" i="8"/>
  <c r="J2515" i="8"/>
  <c r="I2515" i="8"/>
  <c r="J2514" i="8"/>
  <c r="I2514" i="8"/>
  <c r="J2513" i="8"/>
  <c r="I2513" i="8"/>
  <c r="J2512" i="8"/>
  <c r="I2512" i="8"/>
  <c r="J2511" i="8"/>
  <c r="I2511" i="8"/>
  <c r="J2510" i="8"/>
  <c r="I2510" i="8"/>
  <c r="J2509" i="8"/>
  <c r="I2509" i="8"/>
  <c r="J2508" i="8"/>
  <c r="I2508" i="8"/>
  <c r="J2507" i="8"/>
  <c r="I2507" i="8"/>
  <c r="J2506" i="8"/>
  <c r="I2506" i="8"/>
  <c r="J2505" i="8"/>
  <c r="I2505" i="8"/>
  <c r="J2504" i="8"/>
  <c r="I2504" i="8"/>
  <c r="J2503" i="8"/>
  <c r="I2503" i="8"/>
  <c r="J2502" i="8"/>
  <c r="I2502" i="8"/>
  <c r="J2501" i="8"/>
  <c r="I2501" i="8"/>
  <c r="J2500" i="8"/>
  <c r="I2500" i="8"/>
  <c r="J2499" i="8"/>
  <c r="I2499" i="8"/>
  <c r="J2498" i="8"/>
  <c r="I2498" i="8"/>
  <c r="J2497" i="8"/>
  <c r="I2497" i="8"/>
  <c r="J2496" i="8"/>
  <c r="I2496" i="8"/>
  <c r="J2495" i="8"/>
  <c r="I2495" i="8"/>
  <c r="J2494" i="8"/>
  <c r="I2494" i="8"/>
  <c r="J2493" i="8"/>
  <c r="I2493" i="8"/>
  <c r="J2492" i="8"/>
  <c r="I2492" i="8"/>
  <c r="J2491" i="8"/>
  <c r="I2491" i="8"/>
  <c r="J2490" i="8"/>
  <c r="I2490" i="8"/>
  <c r="J2489" i="8"/>
  <c r="I2489" i="8"/>
  <c r="J2488" i="8"/>
  <c r="I2488" i="8"/>
  <c r="J2487" i="8"/>
  <c r="I2487" i="8"/>
  <c r="J2486" i="8"/>
  <c r="I2486" i="8"/>
  <c r="J2485" i="8"/>
  <c r="I2485" i="8"/>
  <c r="J2484" i="8"/>
  <c r="I2484" i="8"/>
  <c r="J2483" i="8"/>
  <c r="I2483" i="8"/>
  <c r="J2482" i="8"/>
  <c r="I2482" i="8"/>
  <c r="J2481" i="8"/>
  <c r="I2481" i="8"/>
  <c r="J2480" i="8"/>
  <c r="I2480" i="8"/>
  <c r="J2479" i="8"/>
  <c r="I2479" i="8"/>
  <c r="J2478" i="8"/>
  <c r="I2478" i="8"/>
  <c r="J2477" i="8"/>
  <c r="I2477" i="8"/>
  <c r="J2476" i="8"/>
  <c r="I2476" i="8"/>
  <c r="J2475" i="8"/>
  <c r="I2475" i="8"/>
  <c r="J2474" i="8"/>
  <c r="I2474" i="8"/>
  <c r="J2473" i="8"/>
  <c r="I2473" i="8"/>
  <c r="J2472" i="8"/>
  <c r="I2472" i="8"/>
  <c r="J2471" i="8"/>
  <c r="I2471" i="8"/>
  <c r="J2470" i="8"/>
  <c r="I2470" i="8"/>
  <c r="J2469" i="8"/>
  <c r="I2469" i="8"/>
  <c r="J2468" i="8"/>
  <c r="I2468" i="8"/>
  <c r="J2467" i="8"/>
  <c r="I2467" i="8"/>
  <c r="J2466" i="8"/>
  <c r="I2466" i="8"/>
  <c r="J2465" i="8"/>
  <c r="I2465" i="8"/>
  <c r="J2464" i="8"/>
  <c r="I2464" i="8"/>
  <c r="J2463" i="8"/>
  <c r="I2463" i="8"/>
  <c r="J2462" i="8"/>
  <c r="I2462" i="8"/>
  <c r="J2461" i="8"/>
  <c r="I2461" i="8"/>
  <c r="J2460" i="8"/>
  <c r="I2460" i="8"/>
  <c r="J2459" i="8"/>
  <c r="I2459" i="8"/>
  <c r="J2458" i="8"/>
  <c r="I2458" i="8"/>
  <c r="J2457" i="8"/>
  <c r="I2457" i="8"/>
  <c r="J2456" i="8"/>
  <c r="I2456" i="8"/>
  <c r="J2455" i="8"/>
  <c r="I2455" i="8"/>
  <c r="J2454" i="8"/>
  <c r="I2454" i="8"/>
  <c r="J2453" i="8"/>
  <c r="I2453" i="8"/>
  <c r="J2452" i="8"/>
  <c r="I2452" i="8"/>
  <c r="J2451" i="8"/>
  <c r="I2451" i="8"/>
  <c r="J2450" i="8"/>
  <c r="I2450" i="8"/>
  <c r="J2449" i="8"/>
  <c r="I2449" i="8"/>
  <c r="J2448" i="8"/>
  <c r="I2448" i="8"/>
  <c r="J2447" i="8"/>
  <c r="I2447" i="8"/>
  <c r="J2446" i="8"/>
  <c r="I2446" i="8"/>
  <c r="J2445" i="8"/>
  <c r="I2445" i="8"/>
  <c r="J2444" i="8"/>
  <c r="I2444" i="8"/>
  <c r="J2443" i="8"/>
  <c r="I2443" i="8"/>
  <c r="J2442" i="8"/>
  <c r="I2442" i="8"/>
  <c r="J2441" i="8"/>
  <c r="I2441" i="8"/>
  <c r="J2440" i="8"/>
  <c r="I2440" i="8"/>
  <c r="J2439" i="8"/>
  <c r="I2439" i="8"/>
  <c r="J2438" i="8"/>
  <c r="I2438" i="8"/>
  <c r="J2437" i="8"/>
  <c r="I2437" i="8"/>
  <c r="J2436" i="8"/>
  <c r="I2436" i="8"/>
  <c r="J2435" i="8"/>
  <c r="I2435" i="8"/>
  <c r="J2434" i="8"/>
  <c r="I2434" i="8"/>
  <c r="J2433" i="8"/>
  <c r="I2433" i="8"/>
  <c r="J2432" i="8"/>
  <c r="I2432" i="8"/>
  <c r="J2431" i="8"/>
  <c r="I2431" i="8"/>
  <c r="J2430" i="8"/>
  <c r="I2430" i="8"/>
  <c r="J2429" i="8"/>
  <c r="I2429" i="8"/>
  <c r="J2428" i="8"/>
  <c r="I2428" i="8"/>
  <c r="J2427" i="8"/>
  <c r="I2427" i="8"/>
  <c r="J2426" i="8"/>
  <c r="I2426" i="8"/>
  <c r="J2425" i="8"/>
  <c r="I2425" i="8"/>
  <c r="J2424" i="8"/>
  <c r="I2424" i="8"/>
  <c r="J2423" i="8"/>
  <c r="I2423" i="8"/>
  <c r="J2422" i="8"/>
  <c r="I2422" i="8"/>
  <c r="J2421" i="8"/>
  <c r="I2421" i="8"/>
  <c r="J2420" i="8"/>
  <c r="I2420" i="8"/>
  <c r="J2419" i="8"/>
  <c r="I2419" i="8"/>
  <c r="J2418" i="8"/>
  <c r="I2418" i="8"/>
  <c r="J2417" i="8"/>
  <c r="I2417" i="8"/>
  <c r="J2416" i="8"/>
  <c r="I2416" i="8"/>
  <c r="J2415" i="8"/>
  <c r="I2415" i="8"/>
  <c r="J2414" i="8"/>
  <c r="I2414" i="8"/>
  <c r="J2413" i="8"/>
  <c r="I2413" i="8"/>
  <c r="J2412" i="8"/>
  <c r="I2412" i="8"/>
  <c r="J2411" i="8"/>
  <c r="I2411" i="8"/>
  <c r="J2410" i="8"/>
  <c r="I2410" i="8"/>
  <c r="J2409" i="8"/>
  <c r="I2409" i="8"/>
  <c r="J2408" i="8"/>
  <c r="I2408" i="8"/>
  <c r="J2407" i="8"/>
  <c r="I2407" i="8"/>
  <c r="J2406" i="8"/>
  <c r="I2406" i="8"/>
  <c r="J2405" i="8"/>
  <c r="I2405" i="8"/>
  <c r="J2404" i="8"/>
  <c r="I2404" i="8"/>
  <c r="J2403" i="8"/>
  <c r="I2403" i="8"/>
  <c r="J2402" i="8"/>
  <c r="I2402" i="8"/>
  <c r="J2401" i="8"/>
  <c r="I2401" i="8"/>
  <c r="J2400" i="8"/>
  <c r="I2400" i="8"/>
  <c r="J2399" i="8"/>
  <c r="I2399" i="8"/>
  <c r="J2398" i="8"/>
  <c r="I2398" i="8"/>
  <c r="J2397" i="8"/>
  <c r="I2397" i="8"/>
  <c r="J2396" i="8"/>
  <c r="I2396" i="8"/>
  <c r="J2395" i="8"/>
  <c r="I2395" i="8"/>
  <c r="J2394" i="8"/>
  <c r="I2394" i="8"/>
  <c r="J2393" i="8"/>
  <c r="I2393" i="8"/>
  <c r="J2392" i="8"/>
  <c r="I2392" i="8"/>
  <c r="J2391" i="8"/>
  <c r="I2391" i="8"/>
  <c r="J2390" i="8"/>
  <c r="I2390" i="8"/>
  <c r="J2389" i="8"/>
  <c r="I2389" i="8"/>
  <c r="J2388" i="8"/>
  <c r="I2388" i="8"/>
  <c r="J2387" i="8"/>
  <c r="I2387" i="8"/>
  <c r="J2386" i="8"/>
  <c r="I2386" i="8"/>
  <c r="J2385" i="8"/>
  <c r="I2385" i="8"/>
  <c r="J2384" i="8"/>
  <c r="I2384" i="8"/>
  <c r="J2383" i="8"/>
  <c r="I2383" i="8"/>
  <c r="J2382" i="8"/>
  <c r="I2382" i="8"/>
  <c r="J2381" i="8"/>
  <c r="I2381" i="8"/>
  <c r="J2380" i="8"/>
  <c r="I2380" i="8"/>
  <c r="J2379" i="8"/>
  <c r="I2379" i="8"/>
  <c r="J2378" i="8"/>
  <c r="I2378" i="8"/>
  <c r="J2377" i="8"/>
  <c r="I2377" i="8"/>
  <c r="J2376" i="8"/>
  <c r="I2376" i="8"/>
  <c r="J2375" i="8"/>
  <c r="I2375" i="8"/>
  <c r="J2374" i="8"/>
  <c r="I2374" i="8"/>
  <c r="J2373" i="8"/>
  <c r="I2373" i="8"/>
  <c r="J2372" i="8"/>
  <c r="I2372" i="8"/>
  <c r="J2371" i="8"/>
  <c r="I2371" i="8"/>
  <c r="J2370" i="8"/>
  <c r="I2370" i="8"/>
  <c r="J2369" i="8"/>
  <c r="I2369" i="8"/>
  <c r="J2368" i="8"/>
  <c r="I2368" i="8"/>
  <c r="J2367" i="8"/>
  <c r="I2367" i="8"/>
  <c r="J2366" i="8"/>
  <c r="I2366" i="8"/>
  <c r="J2365" i="8"/>
  <c r="I2365" i="8"/>
  <c r="J2364" i="8"/>
  <c r="I2364" i="8"/>
  <c r="J2363" i="8"/>
  <c r="I2363" i="8"/>
  <c r="J2362" i="8"/>
  <c r="I2362" i="8"/>
  <c r="J2361" i="8"/>
  <c r="I2361" i="8"/>
  <c r="J2360" i="8"/>
  <c r="I2360" i="8"/>
  <c r="J2359" i="8"/>
  <c r="I2359" i="8"/>
  <c r="J2358" i="8"/>
  <c r="I2358" i="8"/>
  <c r="J2357" i="8"/>
  <c r="I2357" i="8"/>
  <c r="J2356" i="8"/>
  <c r="I2356" i="8"/>
  <c r="J2355" i="8"/>
  <c r="I2355" i="8"/>
  <c r="J2354" i="8"/>
  <c r="I2354" i="8"/>
  <c r="J2353" i="8"/>
  <c r="I2353" i="8"/>
  <c r="J2352" i="8"/>
  <c r="I2352" i="8"/>
  <c r="J2351" i="8"/>
  <c r="I2351" i="8"/>
  <c r="J2350" i="8"/>
  <c r="I2350" i="8"/>
  <c r="J2349" i="8"/>
  <c r="I2349" i="8"/>
  <c r="J2348" i="8"/>
  <c r="I2348" i="8"/>
  <c r="J2347" i="8"/>
  <c r="I2347" i="8"/>
  <c r="J2346" i="8"/>
  <c r="I2346" i="8"/>
  <c r="J2345" i="8"/>
  <c r="I2345" i="8"/>
  <c r="J2344" i="8"/>
  <c r="I2344" i="8"/>
  <c r="J2343" i="8"/>
  <c r="I2343" i="8"/>
  <c r="J2342" i="8"/>
  <c r="I2342" i="8"/>
  <c r="J2341" i="8"/>
  <c r="I2341" i="8"/>
  <c r="J2340" i="8"/>
  <c r="I2340" i="8"/>
  <c r="J2339" i="8"/>
  <c r="I2339" i="8"/>
  <c r="J2338" i="8"/>
  <c r="I2338" i="8"/>
  <c r="J2337" i="8"/>
  <c r="I2337" i="8"/>
  <c r="J2336" i="8"/>
  <c r="I2336" i="8"/>
  <c r="J2335" i="8"/>
  <c r="I2335" i="8"/>
  <c r="J2334" i="8"/>
  <c r="I2334" i="8"/>
  <c r="J2333" i="8"/>
  <c r="I2333" i="8"/>
  <c r="J2332" i="8"/>
  <c r="I2332" i="8"/>
  <c r="J2331" i="8"/>
  <c r="I2331" i="8"/>
  <c r="J2330" i="8"/>
  <c r="I2330" i="8"/>
  <c r="J2329" i="8"/>
  <c r="I2329" i="8"/>
  <c r="J2328" i="8"/>
  <c r="I2328" i="8"/>
  <c r="J2327" i="8"/>
  <c r="I2327" i="8"/>
  <c r="J2326" i="8"/>
  <c r="I2326" i="8"/>
  <c r="J2325" i="8"/>
  <c r="I2325" i="8"/>
  <c r="J2324" i="8"/>
  <c r="I2324" i="8"/>
  <c r="J2323" i="8"/>
  <c r="I2323" i="8"/>
  <c r="J2322" i="8"/>
  <c r="I2322" i="8"/>
  <c r="J2321" i="8"/>
  <c r="I2321" i="8"/>
  <c r="J2320" i="8"/>
  <c r="I2320" i="8"/>
  <c r="J2319" i="8"/>
  <c r="I2319" i="8"/>
  <c r="J2318" i="8"/>
  <c r="I2318" i="8"/>
  <c r="J2317" i="8"/>
  <c r="I2317" i="8"/>
  <c r="J2316" i="8"/>
  <c r="I2316" i="8"/>
  <c r="J2315" i="8"/>
  <c r="I2315" i="8"/>
  <c r="J2314" i="8"/>
  <c r="I2314" i="8"/>
  <c r="J2313" i="8"/>
  <c r="I2313" i="8"/>
  <c r="J2312" i="8"/>
  <c r="I2312" i="8"/>
  <c r="J2311" i="8"/>
  <c r="I2311" i="8"/>
  <c r="J2310" i="8"/>
  <c r="I2310" i="8"/>
  <c r="J2309" i="8"/>
  <c r="I2309" i="8"/>
  <c r="J2308" i="8"/>
  <c r="I2308" i="8"/>
  <c r="J2307" i="8"/>
  <c r="I2307" i="8"/>
  <c r="J2306" i="8"/>
  <c r="I2306" i="8"/>
  <c r="J2305" i="8"/>
  <c r="I2305" i="8"/>
  <c r="J2304" i="8"/>
  <c r="I2304" i="8"/>
  <c r="J2303" i="8"/>
  <c r="I2303" i="8"/>
  <c r="J2302" i="8"/>
  <c r="I2302" i="8"/>
  <c r="J2301" i="8"/>
  <c r="I2301" i="8"/>
  <c r="J2300" i="8"/>
  <c r="I2300" i="8"/>
  <c r="J2299" i="8"/>
  <c r="I2299" i="8"/>
  <c r="J2298" i="8"/>
  <c r="I2298" i="8"/>
  <c r="J2297" i="8"/>
  <c r="I2297" i="8"/>
  <c r="J2296" i="8"/>
  <c r="I2296" i="8"/>
  <c r="J2295" i="8"/>
  <c r="I2295" i="8"/>
  <c r="J2294" i="8"/>
  <c r="I2294" i="8"/>
  <c r="J2293" i="8"/>
  <c r="I2293" i="8"/>
  <c r="J2292" i="8"/>
  <c r="I2292" i="8"/>
  <c r="J2291" i="8"/>
  <c r="I2291" i="8"/>
  <c r="J2290" i="8"/>
  <c r="I2290" i="8"/>
  <c r="J2289" i="8"/>
  <c r="I2289" i="8"/>
  <c r="J2288" i="8"/>
  <c r="I2288" i="8"/>
  <c r="J2287" i="8"/>
  <c r="I2287" i="8"/>
  <c r="J2286" i="8"/>
  <c r="I2286" i="8"/>
  <c r="J2285" i="8"/>
  <c r="I2285" i="8"/>
  <c r="J2284" i="8"/>
  <c r="I2284" i="8"/>
  <c r="J2283" i="8"/>
  <c r="I2283" i="8"/>
  <c r="J2282" i="8"/>
  <c r="I2282" i="8"/>
  <c r="J2281" i="8"/>
  <c r="I2281" i="8"/>
  <c r="J2280" i="8"/>
  <c r="I2280" i="8"/>
  <c r="J2279" i="8"/>
  <c r="I2279" i="8"/>
  <c r="J2278" i="8"/>
  <c r="I2278" i="8"/>
  <c r="J2277" i="8"/>
  <c r="I2277" i="8"/>
  <c r="J2276" i="8"/>
  <c r="I2276" i="8"/>
  <c r="J2275" i="8"/>
  <c r="I2275" i="8"/>
  <c r="J2274" i="8"/>
  <c r="I2274" i="8"/>
  <c r="J2273" i="8"/>
  <c r="I2273" i="8"/>
  <c r="J2272" i="8"/>
  <c r="I2272" i="8"/>
  <c r="J2271" i="8"/>
  <c r="I2271" i="8"/>
  <c r="J2270" i="8"/>
  <c r="I2270" i="8"/>
  <c r="J2269" i="8"/>
  <c r="I2269" i="8"/>
  <c r="J2268" i="8"/>
  <c r="I2268" i="8"/>
  <c r="J2267" i="8"/>
  <c r="I2267" i="8"/>
  <c r="J2266" i="8"/>
  <c r="I2266" i="8"/>
  <c r="J2265" i="8"/>
  <c r="I2265" i="8"/>
  <c r="J2264" i="8"/>
  <c r="I2264" i="8"/>
  <c r="J2263" i="8"/>
  <c r="I2263" i="8"/>
  <c r="J2262" i="8"/>
  <c r="I2262" i="8"/>
  <c r="J2261" i="8"/>
  <c r="I2261" i="8"/>
  <c r="J2260" i="8"/>
  <c r="I2260" i="8"/>
  <c r="J2259" i="8"/>
  <c r="I2259" i="8"/>
  <c r="J2258" i="8"/>
  <c r="I2258" i="8"/>
  <c r="J2257" i="8"/>
  <c r="I2257" i="8"/>
  <c r="J2256" i="8"/>
  <c r="I2256" i="8"/>
  <c r="J2255" i="8"/>
  <c r="I2255" i="8"/>
  <c r="J2254" i="8"/>
  <c r="I2254" i="8"/>
  <c r="J2253" i="8"/>
  <c r="I2253" i="8"/>
  <c r="J2252" i="8"/>
  <c r="I2252" i="8"/>
  <c r="J2251" i="8"/>
  <c r="I2251" i="8"/>
  <c r="J2250" i="8"/>
  <c r="I2250" i="8"/>
  <c r="J2249" i="8"/>
  <c r="I2249" i="8"/>
  <c r="J2248" i="8"/>
  <c r="I2248" i="8"/>
  <c r="J2247" i="8"/>
  <c r="I2247" i="8"/>
  <c r="J2246" i="8"/>
  <c r="I2246" i="8"/>
  <c r="J2245" i="8"/>
  <c r="I2245" i="8"/>
  <c r="J2244" i="8"/>
  <c r="I2244" i="8"/>
  <c r="J2243" i="8"/>
  <c r="I2243" i="8"/>
  <c r="J2242" i="8"/>
  <c r="I2242" i="8"/>
  <c r="J2241" i="8"/>
  <c r="I2241" i="8"/>
  <c r="J2240" i="8"/>
  <c r="I2240" i="8"/>
  <c r="J2239" i="8"/>
  <c r="I2239" i="8"/>
  <c r="J2238" i="8"/>
  <c r="I2238" i="8"/>
  <c r="J2237" i="8"/>
  <c r="I2237" i="8"/>
  <c r="J2236" i="8"/>
  <c r="I2236" i="8"/>
  <c r="J2235" i="8"/>
  <c r="I2235" i="8"/>
  <c r="J2234" i="8"/>
  <c r="I2234" i="8"/>
  <c r="J2233" i="8"/>
  <c r="I2233" i="8"/>
  <c r="J2232" i="8"/>
  <c r="I2232" i="8"/>
  <c r="J2231" i="8"/>
  <c r="I2231" i="8"/>
  <c r="J2230" i="8"/>
  <c r="I2230" i="8"/>
  <c r="J2229" i="8"/>
  <c r="I2229" i="8"/>
  <c r="J2228" i="8"/>
  <c r="I2228" i="8"/>
  <c r="J2227" i="8"/>
  <c r="I2227" i="8"/>
  <c r="J2226" i="8"/>
  <c r="I2226" i="8"/>
  <c r="J2225" i="8"/>
  <c r="I2225" i="8"/>
  <c r="J2224" i="8"/>
  <c r="I2224" i="8"/>
  <c r="J2223" i="8"/>
  <c r="I2223" i="8"/>
  <c r="J2222" i="8"/>
  <c r="I2222" i="8"/>
  <c r="J2221" i="8"/>
  <c r="I2221" i="8"/>
  <c r="J2220" i="8"/>
  <c r="I2220" i="8"/>
  <c r="J2219" i="8"/>
  <c r="I2219" i="8"/>
  <c r="J2218" i="8"/>
  <c r="I2218" i="8"/>
  <c r="J2217" i="8"/>
  <c r="I2217" i="8"/>
  <c r="J2216" i="8"/>
  <c r="I2216" i="8"/>
  <c r="J2215" i="8"/>
  <c r="I2215" i="8"/>
  <c r="J2214" i="8"/>
  <c r="I2214" i="8"/>
  <c r="J2213" i="8"/>
  <c r="I2213" i="8"/>
  <c r="J2212" i="8"/>
  <c r="I2212" i="8"/>
  <c r="J2211" i="8"/>
  <c r="I2211" i="8"/>
  <c r="J2210" i="8"/>
  <c r="I2210" i="8"/>
  <c r="J2209" i="8"/>
  <c r="I2209" i="8"/>
  <c r="J2208" i="8"/>
  <c r="I2208" i="8"/>
  <c r="J2207" i="8"/>
  <c r="I2207" i="8"/>
  <c r="J2206" i="8"/>
  <c r="I2206" i="8"/>
  <c r="J2205" i="8"/>
  <c r="I2205" i="8"/>
  <c r="J2204" i="8"/>
  <c r="I2204" i="8"/>
  <c r="J2203" i="8"/>
  <c r="I2203" i="8"/>
  <c r="J2202" i="8"/>
  <c r="I2202" i="8"/>
  <c r="J2201" i="8"/>
  <c r="I2201" i="8"/>
  <c r="J2200" i="8"/>
  <c r="I2200" i="8"/>
  <c r="J2199" i="8"/>
  <c r="I2199" i="8"/>
  <c r="J2198" i="8"/>
  <c r="I2198" i="8"/>
  <c r="J2197" i="8"/>
  <c r="I2197" i="8"/>
  <c r="J2196" i="8"/>
  <c r="I2196" i="8"/>
  <c r="J2195" i="8"/>
  <c r="I2195" i="8"/>
  <c r="J2194" i="8"/>
  <c r="I2194" i="8"/>
  <c r="J2193" i="8"/>
  <c r="I2193" i="8"/>
  <c r="J2192" i="8"/>
  <c r="I2192" i="8"/>
  <c r="J2191" i="8"/>
  <c r="I2191" i="8"/>
  <c r="J2190" i="8"/>
  <c r="I2190" i="8"/>
  <c r="J2189" i="8"/>
  <c r="I2189" i="8"/>
  <c r="J2188" i="8"/>
  <c r="I2188" i="8"/>
  <c r="J2187" i="8"/>
  <c r="I2187" i="8"/>
  <c r="J2186" i="8"/>
  <c r="I2186" i="8"/>
  <c r="J2185" i="8"/>
  <c r="I2185" i="8"/>
  <c r="J2184" i="8"/>
  <c r="I2184" i="8"/>
  <c r="J2183" i="8"/>
  <c r="I2183" i="8"/>
  <c r="J2182" i="8"/>
  <c r="I2182" i="8"/>
  <c r="J2181" i="8"/>
  <c r="I2181" i="8"/>
  <c r="J2180" i="8"/>
  <c r="I2180" i="8"/>
  <c r="J2179" i="8"/>
  <c r="I2179" i="8"/>
  <c r="J2178" i="8"/>
  <c r="I2178" i="8"/>
  <c r="J2177" i="8"/>
  <c r="I2177" i="8"/>
  <c r="J2176" i="8"/>
  <c r="I2176" i="8"/>
  <c r="J2175" i="8"/>
  <c r="I2175" i="8"/>
  <c r="J2174" i="8"/>
  <c r="I2174" i="8"/>
  <c r="J2173" i="8"/>
  <c r="I2173" i="8"/>
  <c r="J2172" i="8"/>
  <c r="I2172" i="8"/>
  <c r="J2171" i="8"/>
  <c r="I2171" i="8"/>
  <c r="J2170" i="8"/>
  <c r="I2170" i="8"/>
  <c r="J2169" i="8"/>
  <c r="I2169" i="8"/>
  <c r="J2168" i="8"/>
  <c r="I2168" i="8"/>
  <c r="J2167" i="8"/>
  <c r="I2167" i="8"/>
  <c r="J2166" i="8"/>
  <c r="I2166" i="8"/>
  <c r="J2165" i="8"/>
  <c r="I2165" i="8"/>
  <c r="J2164" i="8"/>
  <c r="I2164" i="8"/>
  <c r="J2163" i="8"/>
  <c r="I2163" i="8"/>
  <c r="J2162" i="8"/>
  <c r="I2162" i="8"/>
  <c r="J2161" i="8"/>
  <c r="I2161" i="8"/>
  <c r="J2160" i="8"/>
  <c r="I2160" i="8"/>
  <c r="J2159" i="8"/>
  <c r="I2159" i="8"/>
  <c r="J2158" i="8"/>
  <c r="I2158" i="8"/>
  <c r="J2157" i="8"/>
  <c r="I2157" i="8"/>
  <c r="J2156" i="8"/>
  <c r="I2156" i="8"/>
  <c r="J2155" i="8"/>
  <c r="I2155" i="8"/>
  <c r="J2154" i="8"/>
  <c r="I2154" i="8"/>
  <c r="J2153" i="8"/>
  <c r="I2153" i="8"/>
  <c r="J2152" i="8"/>
  <c r="I2152" i="8"/>
  <c r="J2151" i="8"/>
  <c r="I2151" i="8"/>
  <c r="J2150" i="8"/>
  <c r="I2150" i="8"/>
  <c r="J2149" i="8"/>
  <c r="I2149" i="8"/>
  <c r="J2148" i="8"/>
  <c r="I2148" i="8"/>
  <c r="J2147" i="8"/>
  <c r="I2147" i="8"/>
  <c r="J2146" i="8"/>
  <c r="I2146" i="8"/>
  <c r="J2145" i="8"/>
  <c r="I2145" i="8"/>
  <c r="J2144" i="8"/>
  <c r="I2144" i="8"/>
  <c r="J2143" i="8"/>
  <c r="I2143" i="8"/>
  <c r="J2142" i="8"/>
  <c r="I2142" i="8"/>
  <c r="J2141" i="8"/>
  <c r="I2141" i="8"/>
  <c r="J2140" i="8"/>
  <c r="I2140" i="8"/>
  <c r="J2139" i="8"/>
  <c r="I2139" i="8"/>
  <c r="J2138" i="8"/>
  <c r="I2138" i="8"/>
  <c r="J2137" i="8"/>
  <c r="I2137" i="8"/>
  <c r="J2136" i="8"/>
  <c r="I2136" i="8"/>
  <c r="J2135" i="8"/>
  <c r="I2135" i="8"/>
  <c r="J2134" i="8"/>
  <c r="I2134" i="8"/>
  <c r="J2133" i="8"/>
  <c r="I2133" i="8"/>
  <c r="J2132" i="8"/>
  <c r="I2132" i="8"/>
  <c r="J2131" i="8"/>
  <c r="I2131" i="8"/>
  <c r="J2130" i="8"/>
  <c r="I2130" i="8"/>
  <c r="J2129" i="8"/>
  <c r="I2129" i="8"/>
  <c r="J2128" i="8"/>
  <c r="I2128" i="8"/>
  <c r="J2127" i="8"/>
  <c r="I2127" i="8"/>
  <c r="J2126" i="8"/>
  <c r="I2126" i="8"/>
  <c r="J2125" i="8"/>
  <c r="I2125" i="8"/>
  <c r="J2124" i="8"/>
  <c r="I2124" i="8"/>
  <c r="J2123" i="8"/>
  <c r="I2123" i="8"/>
  <c r="J2122" i="8"/>
  <c r="I2122" i="8"/>
  <c r="J2121" i="8"/>
  <c r="I2121" i="8"/>
  <c r="J2120" i="8"/>
  <c r="I2120" i="8"/>
  <c r="J2119" i="8"/>
  <c r="I2119" i="8"/>
  <c r="J2118" i="8"/>
  <c r="I2118" i="8"/>
  <c r="J2117" i="8"/>
  <c r="I2117" i="8"/>
  <c r="J2116" i="8"/>
  <c r="I2116" i="8"/>
  <c r="J2115" i="8"/>
  <c r="I2115" i="8"/>
  <c r="J2114" i="8"/>
  <c r="I2114" i="8"/>
  <c r="J2113" i="8"/>
  <c r="I2113" i="8"/>
  <c r="J2112" i="8"/>
  <c r="I2112" i="8"/>
  <c r="J2111" i="8"/>
  <c r="I2111" i="8"/>
  <c r="J2110" i="8"/>
  <c r="I2110" i="8"/>
  <c r="J2109" i="8"/>
  <c r="I2109" i="8"/>
  <c r="J2108" i="8"/>
  <c r="I2108" i="8"/>
  <c r="J2107" i="8"/>
  <c r="I2107" i="8"/>
  <c r="J2106" i="8"/>
  <c r="I2106" i="8"/>
  <c r="J2105" i="8"/>
  <c r="I2105" i="8"/>
  <c r="J2104" i="8"/>
  <c r="I2104" i="8"/>
  <c r="J2103" i="8"/>
  <c r="I2103" i="8"/>
  <c r="J2102" i="8"/>
  <c r="I2102" i="8"/>
  <c r="J2101" i="8"/>
  <c r="I2101" i="8"/>
  <c r="J2100" i="8"/>
  <c r="I2100" i="8"/>
  <c r="J2099" i="8"/>
  <c r="I2099" i="8"/>
  <c r="J2098" i="8"/>
  <c r="I2098" i="8"/>
  <c r="J2097" i="8"/>
  <c r="I2097" i="8"/>
  <c r="J2096" i="8"/>
  <c r="I2096" i="8"/>
  <c r="J2095" i="8"/>
  <c r="I2095" i="8"/>
  <c r="J2094" i="8"/>
  <c r="I2094" i="8"/>
  <c r="J2093" i="8"/>
  <c r="I2093" i="8"/>
  <c r="J2092" i="8"/>
  <c r="I2092" i="8"/>
  <c r="J2091" i="8"/>
  <c r="I2091" i="8"/>
  <c r="J2090" i="8"/>
  <c r="I2090" i="8"/>
  <c r="J2089" i="8"/>
  <c r="I2089" i="8"/>
  <c r="J2088" i="8"/>
  <c r="I2088" i="8"/>
  <c r="J2087" i="8"/>
  <c r="I2087" i="8"/>
  <c r="J2086" i="8"/>
  <c r="I2086" i="8"/>
  <c r="J2085" i="8"/>
  <c r="I2085" i="8"/>
  <c r="J2084" i="8"/>
  <c r="I2084" i="8"/>
  <c r="J2083" i="8"/>
  <c r="I2083" i="8"/>
  <c r="J2082" i="8"/>
  <c r="I2082" i="8"/>
  <c r="J2081" i="8"/>
  <c r="I2081" i="8"/>
  <c r="J2080" i="8"/>
  <c r="I2080" i="8"/>
  <c r="J2079" i="8"/>
  <c r="I2079" i="8"/>
  <c r="J2078" i="8"/>
  <c r="I2078" i="8"/>
  <c r="J2077" i="8"/>
  <c r="I2077" i="8"/>
  <c r="J2076" i="8"/>
  <c r="I2076" i="8"/>
  <c r="J2075" i="8"/>
  <c r="I2075" i="8"/>
  <c r="J2074" i="8"/>
  <c r="I2074" i="8"/>
  <c r="J2073" i="8"/>
  <c r="I2073" i="8"/>
  <c r="J2072" i="8"/>
  <c r="I2072" i="8"/>
  <c r="J2071" i="8"/>
  <c r="I2071" i="8"/>
  <c r="J2070" i="8"/>
  <c r="I2070" i="8"/>
  <c r="J2069" i="8"/>
  <c r="I2069" i="8"/>
  <c r="J2068" i="8"/>
  <c r="I2068" i="8"/>
  <c r="J2067" i="8"/>
  <c r="I2067" i="8"/>
  <c r="J2066" i="8"/>
  <c r="I2066" i="8"/>
  <c r="J2065" i="8"/>
  <c r="I2065" i="8"/>
  <c r="J2064" i="8"/>
  <c r="I2064" i="8"/>
  <c r="J2063" i="8"/>
  <c r="I2063" i="8"/>
  <c r="J2062" i="8"/>
  <c r="I2062" i="8"/>
  <c r="J2061" i="8"/>
  <c r="I2061" i="8"/>
  <c r="J2060" i="8"/>
  <c r="I2060" i="8"/>
  <c r="J2059" i="8"/>
  <c r="I2059" i="8"/>
  <c r="J2058" i="8"/>
  <c r="I2058" i="8"/>
  <c r="J2057" i="8"/>
  <c r="I2057" i="8"/>
  <c r="J2056" i="8"/>
  <c r="I2056" i="8"/>
  <c r="J2055" i="8"/>
  <c r="I2055" i="8"/>
  <c r="J2054" i="8"/>
  <c r="I2054" i="8"/>
  <c r="J2053" i="8"/>
  <c r="I2053" i="8"/>
  <c r="J2052" i="8"/>
  <c r="I2052" i="8"/>
  <c r="J2051" i="8"/>
  <c r="I2051" i="8"/>
  <c r="J2050" i="8"/>
  <c r="I2050" i="8"/>
  <c r="J2049" i="8"/>
  <c r="I2049" i="8"/>
  <c r="J2048" i="8"/>
  <c r="I2048" i="8"/>
  <c r="J2047" i="8"/>
  <c r="I2047" i="8"/>
  <c r="J2046" i="8"/>
  <c r="I2046" i="8"/>
  <c r="J2045" i="8"/>
  <c r="I2045" i="8"/>
  <c r="J2044" i="8"/>
  <c r="I2044" i="8"/>
  <c r="J2043" i="8"/>
  <c r="I2043" i="8"/>
  <c r="J2042" i="8"/>
  <c r="I2042" i="8"/>
  <c r="J2041" i="8"/>
  <c r="I2041" i="8"/>
  <c r="J2040" i="8"/>
  <c r="I2040" i="8"/>
  <c r="J2039" i="8"/>
  <c r="I2039" i="8"/>
  <c r="J2038" i="8"/>
  <c r="I2038" i="8"/>
  <c r="J2037" i="8"/>
  <c r="I2037" i="8"/>
  <c r="J2036" i="8"/>
  <c r="I2036" i="8"/>
  <c r="J2035" i="8"/>
  <c r="I2035" i="8"/>
  <c r="J2034" i="8"/>
  <c r="I2034" i="8"/>
  <c r="J2033" i="8"/>
  <c r="I2033" i="8"/>
  <c r="J2032" i="8"/>
  <c r="I2032" i="8"/>
  <c r="J2031" i="8"/>
  <c r="I2031" i="8"/>
  <c r="J2030" i="8"/>
  <c r="I2030" i="8"/>
  <c r="J2029" i="8"/>
  <c r="I2029" i="8"/>
  <c r="J2028" i="8"/>
  <c r="I2028" i="8"/>
  <c r="J2027" i="8"/>
  <c r="I2027" i="8"/>
  <c r="J2026" i="8"/>
  <c r="I2026" i="8"/>
  <c r="J2025" i="8"/>
  <c r="I2025" i="8"/>
  <c r="J2024" i="8"/>
  <c r="I2024" i="8"/>
  <c r="J2023" i="8"/>
  <c r="I2023" i="8"/>
  <c r="J2022" i="8"/>
  <c r="I2022" i="8"/>
  <c r="J2021" i="8"/>
  <c r="I2021" i="8"/>
  <c r="J2020" i="8"/>
  <c r="I2020" i="8"/>
  <c r="J2019" i="8"/>
  <c r="I2019" i="8"/>
  <c r="J2018" i="8"/>
  <c r="I2018" i="8"/>
  <c r="J2017" i="8"/>
  <c r="I2017" i="8"/>
  <c r="J2016" i="8"/>
  <c r="I2016" i="8"/>
  <c r="J2015" i="8"/>
  <c r="I2015" i="8"/>
  <c r="J2014" i="8"/>
  <c r="I2014" i="8"/>
  <c r="J2013" i="8"/>
  <c r="I2013" i="8"/>
  <c r="J2012" i="8"/>
  <c r="I2012" i="8"/>
  <c r="J2011" i="8"/>
  <c r="I2011" i="8"/>
  <c r="J2010" i="8"/>
  <c r="I2010" i="8"/>
  <c r="J2009" i="8"/>
  <c r="I2009" i="8"/>
  <c r="J2008" i="8"/>
  <c r="I2008" i="8"/>
  <c r="J2007" i="8"/>
  <c r="I2007" i="8"/>
  <c r="J2006" i="8"/>
  <c r="I2006" i="8"/>
  <c r="J2005" i="8"/>
  <c r="I2005" i="8"/>
  <c r="J2004" i="8"/>
  <c r="I2004" i="8"/>
  <c r="J2003" i="8"/>
  <c r="I2003" i="8"/>
  <c r="J2002" i="8"/>
  <c r="I2002" i="8"/>
  <c r="L2001" i="8"/>
  <c r="J2001" i="8"/>
  <c r="I2001" i="8"/>
  <c r="L2000" i="8"/>
  <c r="J2000" i="8"/>
  <c r="I2000" i="8"/>
  <c r="L1999" i="8"/>
  <c r="J1999" i="8"/>
  <c r="I1999" i="8"/>
  <c r="L1998" i="8"/>
  <c r="J1998" i="8"/>
  <c r="I1998" i="8"/>
  <c r="L1997" i="8"/>
  <c r="J1997" i="8"/>
  <c r="I1997" i="8"/>
  <c r="L1996" i="8"/>
  <c r="J1996" i="8"/>
  <c r="I1996" i="8"/>
  <c r="L1995" i="8"/>
  <c r="J1995" i="8"/>
  <c r="I1995" i="8"/>
  <c r="L1994" i="8"/>
  <c r="J1994" i="8"/>
  <c r="I1994" i="8"/>
  <c r="L1993" i="8"/>
  <c r="J1993" i="8"/>
  <c r="I1993" i="8"/>
  <c r="L1992" i="8"/>
  <c r="J1992" i="8"/>
  <c r="I1992" i="8"/>
  <c r="L1991" i="8"/>
  <c r="J1991" i="8"/>
  <c r="I1991" i="8"/>
  <c r="L1990" i="8"/>
  <c r="J1990" i="8"/>
  <c r="I1990" i="8"/>
  <c r="L1989" i="8"/>
  <c r="J1989" i="8"/>
  <c r="I1989" i="8"/>
  <c r="L1988" i="8"/>
  <c r="J1988" i="8"/>
  <c r="I1988" i="8"/>
  <c r="L1987" i="8"/>
  <c r="J1987" i="8"/>
  <c r="I1987" i="8"/>
  <c r="L1986" i="8"/>
  <c r="J1986" i="8"/>
  <c r="I1986" i="8"/>
  <c r="L1985" i="8"/>
  <c r="J1985" i="8"/>
  <c r="I1985" i="8"/>
  <c r="L1984" i="8"/>
  <c r="J1984" i="8"/>
  <c r="I1984" i="8"/>
  <c r="L1983" i="8"/>
  <c r="J1983" i="8"/>
  <c r="I1983" i="8"/>
  <c r="L1982" i="8"/>
  <c r="J1982" i="8"/>
  <c r="I1982" i="8"/>
  <c r="L1981" i="8"/>
  <c r="J1981" i="8"/>
  <c r="I1981" i="8"/>
  <c r="L1980" i="8"/>
  <c r="J1980" i="8"/>
  <c r="I1980" i="8"/>
  <c r="L1979" i="8"/>
  <c r="J1979" i="8"/>
  <c r="I1979" i="8"/>
  <c r="L1978" i="8"/>
  <c r="J1978" i="8"/>
  <c r="I1978" i="8"/>
  <c r="L1977" i="8"/>
  <c r="J1977" i="8"/>
  <c r="I1977" i="8"/>
  <c r="L1976" i="8"/>
  <c r="J1976" i="8"/>
  <c r="I1976" i="8"/>
  <c r="L1975" i="8"/>
  <c r="J1975" i="8"/>
  <c r="I1975" i="8"/>
  <c r="L1974" i="8"/>
  <c r="J1974" i="8"/>
  <c r="I1974" i="8"/>
  <c r="L1973" i="8"/>
  <c r="J1973" i="8"/>
  <c r="I1973" i="8"/>
  <c r="L1972" i="8"/>
  <c r="J1972" i="8"/>
  <c r="I1972" i="8"/>
  <c r="L1971" i="8"/>
  <c r="J1971" i="8"/>
  <c r="I1971" i="8"/>
  <c r="L1970" i="8"/>
  <c r="J1970" i="8"/>
  <c r="I1970" i="8"/>
  <c r="L1969" i="8"/>
  <c r="J1969" i="8"/>
  <c r="I1969" i="8"/>
  <c r="L1968" i="8"/>
  <c r="J1968" i="8"/>
  <c r="I1968" i="8"/>
  <c r="L1967" i="8"/>
  <c r="J1967" i="8"/>
  <c r="I1967" i="8"/>
  <c r="L1966" i="8"/>
  <c r="J1966" i="8"/>
  <c r="I1966" i="8"/>
  <c r="L1965" i="8"/>
  <c r="J1965" i="8"/>
  <c r="I1965" i="8"/>
  <c r="L1964" i="8"/>
  <c r="J1964" i="8"/>
  <c r="I1964" i="8"/>
  <c r="L1963" i="8"/>
  <c r="J1963" i="8"/>
  <c r="I1963" i="8"/>
  <c r="L1962" i="8"/>
  <c r="J1962" i="8"/>
  <c r="I1962" i="8"/>
  <c r="L1961" i="8"/>
  <c r="J1961" i="8"/>
  <c r="I1961" i="8"/>
  <c r="L1960" i="8"/>
  <c r="J1960" i="8"/>
  <c r="I1960" i="8"/>
  <c r="L1959" i="8"/>
  <c r="J1959" i="8"/>
  <c r="I1959" i="8"/>
  <c r="L1958" i="8"/>
  <c r="J1958" i="8"/>
  <c r="I1958" i="8"/>
  <c r="L1957" i="8"/>
  <c r="J1957" i="8"/>
  <c r="I1957" i="8"/>
  <c r="L1956" i="8"/>
  <c r="J1956" i="8"/>
  <c r="I1956" i="8"/>
  <c r="L1955" i="8"/>
  <c r="J1955" i="8"/>
  <c r="I1955" i="8"/>
  <c r="L1954" i="8"/>
  <c r="J1954" i="8"/>
  <c r="I1954" i="8"/>
  <c r="L1953" i="8"/>
  <c r="J1953" i="8"/>
  <c r="I1953" i="8"/>
  <c r="L1952" i="8"/>
  <c r="J1952" i="8"/>
  <c r="I1952" i="8"/>
  <c r="L1951" i="8"/>
  <c r="J1951" i="8"/>
  <c r="I1951" i="8"/>
  <c r="L1950" i="8"/>
  <c r="J1950" i="8"/>
  <c r="I1950" i="8"/>
  <c r="L1949" i="8"/>
  <c r="J1949" i="8"/>
  <c r="I1949" i="8"/>
  <c r="L1948" i="8"/>
  <c r="J1948" i="8"/>
  <c r="I1948" i="8"/>
  <c r="L1947" i="8"/>
  <c r="J1947" i="8"/>
  <c r="I1947" i="8"/>
  <c r="L1946" i="8"/>
  <c r="J1946" i="8"/>
  <c r="I1946" i="8"/>
  <c r="L1945" i="8"/>
  <c r="J1945" i="8"/>
  <c r="I1945" i="8"/>
  <c r="L1944" i="8"/>
  <c r="J1944" i="8"/>
  <c r="I1944" i="8"/>
  <c r="L1943" i="8"/>
  <c r="J1943" i="8"/>
  <c r="I1943" i="8"/>
  <c r="L1942" i="8"/>
  <c r="J1942" i="8"/>
  <c r="I1942" i="8"/>
  <c r="L1941" i="8"/>
  <c r="J1941" i="8"/>
  <c r="I1941" i="8"/>
  <c r="L1940" i="8"/>
  <c r="J1940" i="8"/>
  <c r="I1940" i="8"/>
  <c r="L1939" i="8"/>
  <c r="J1939" i="8"/>
  <c r="I1939" i="8"/>
  <c r="L1938" i="8"/>
  <c r="J1938" i="8"/>
  <c r="I1938" i="8"/>
  <c r="L1937" i="8"/>
  <c r="J1937" i="8"/>
  <c r="I1937" i="8"/>
  <c r="L1936" i="8"/>
  <c r="J1936" i="8"/>
  <c r="I1936" i="8"/>
  <c r="L1935" i="8"/>
  <c r="J1935" i="8"/>
  <c r="I1935" i="8"/>
  <c r="L1934" i="8"/>
  <c r="J1934" i="8"/>
  <c r="I1934" i="8"/>
  <c r="L1933" i="8"/>
  <c r="J1933" i="8"/>
  <c r="I1933" i="8"/>
  <c r="L1932" i="8"/>
  <c r="J1932" i="8"/>
  <c r="I1932" i="8"/>
  <c r="L1931" i="8"/>
  <c r="J1931" i="8"/>
  <c r="I1931" i="8"/>
  <c r="L1930" i="8"/>
  <c r="J1930" i="8"/>
  <c r="I1930" i="8"/>
  <c r="L1929" i="8"/>
  <c r="J1929" i="8"/>
  <c r="I1929" i="8"/>
  <c r="L1928" i="8"/>
  <c r="J1928" i="8"/>
  <c r="I1928" i="8"/>
  <c r="L1927" i="8"/>
  <c r="J1927" i="8"/>
  <c r="I1927" i="8"/>
  <c r="L1926" i="8"/>
  <c r="J1926" i="8"/>
  <c r="I1926" i="8"/>
  <c r="L1925" i="8"/>
  <c r="J1925" i="8"/>
  <c r="I1925" i="8"/>
  <c r="L1924" i="8"/>
  <c r="J1924" i="8"/>
  <c r="I1924" i="8"/>
  <c r="L1923" i="8"/>
  <c r="J1923" i="8"/>
  <c r="I1923" i="8"/>
  <c r="L1922" i="8"/>
  <c r="J1922" i="8"/>
  <c r="I1922" i="8"/>
  <c r="L1921" i="8"/>
  <c r="J1921" i="8"/>
  <c r="I1921" i="8"/>
  <c r="L1920" i="8"/>
  <c r="J1920" i="8"/>
  <c r="I1920" i="8"/>
  <c r="L1919" i="8"/>
  <c r="J1919" i="8"/>
  <c r="I1919" i="8"/>
  <c r="L1918" i="8"/>
  <c r="J1918" i="8"/>
  <c r="I1918" i="8"/>
  <c r="L1917" i="8"/>
  <c r="J1917" i="8"/>
  <c r="I1917" i="8"/>
  <c r="L1916" i="8"/>
  <c r="J1916" i="8"/>
  <c r="I1916" i="8"/>
  <c r="L1915" i="8"/>
  <c r="J1915" i="8"/>
  <c r="I1915" i="8"/>
  <c r="L1914" i="8"/>
  <c r="J1914" i="8"/>
  <c r="I1914" i="8"/>
  <c r="L1913" i="8"/>
  <c r="J1913" i="8"/>
  <c r="I1913" i="8"/>
  <c r="L1912" i="8"/>
  <c r="J1912" i="8"/>
  <c r="I1912" i="8"/>
  <c r="L1911" i="8"/>
  <c r="J1911" i="8"/>
  <c r="I1911" i="8"/>
  <c r="L1910" i="8"/>
  <c r="J1910" i="8"/>
  <c r="I1910" i="8"/>
  <c r="L1909" i="8"/>
  <c r="J1909" i="8"/>
  <c r="I1909" i="8"/>
  <c r="L1908" i="8"/>
  <c r="J1908" i="8"/>
  <c r="I1908" i="8"/>
  <c r="L1907" i="8"/>
  <c r="J1907" i="8"/>
  <c r="I1907" i="8"/>
  <c r="L1906" i="8"/>
  <c r="J1906" i="8"/>
  <c r="I1906" i="8"/>
  <c r="L1905" i="8"/>
  <c r="J1905" i="8"/>
  <c r="I1905" i="8"/>
  <c r="L1904" i="8"/>
  <c r="J1904" i="8"/>
  <c r="I1904" i="8"/>
  <c r="L1903" i="8"/>
  <c r="J1903" i="8"/>
  <c r="I1903" i="8"/>
  <c r="L1902" i="8"/>
  <c r="J1902" i="8"/>
  <c r="I1902" i="8"/>
  <c r="L1901" i="8"/>
  <c r="J1901" i="8"/>
  <c r="I1901" i="8"/>
  <c r="L1900" i="8"/>
  <c r="J1900" i="8"/>
  <c r="I1900" i="8"/>
  <c r="L1899" i="8"/>
  <c r="J1899" i="8"/>
  <c r="I1899" i="8"/>
  <c r="L1898" i="8"/>
  <c r="J1898" i="8"/>
  <c r="I1898" i="8"/>
  <c r="L1897" i="8"/>
  <c r="J1897" i="8"/>
  <c r="I1897" i="8"/>
  <c r="L1896" i="8"/>
  <c r="J1896" i="8"/>
  <c r="I1896" i="8"/>
  <c r="L1895" i="8"/>
  <c r="J1895" i="8"/>
  <c r="I1895" i="8"/>
  <c r="L1894" i="8"/>
  <c r="J1894" i="8"/>
  <c r="I1894" i="8"/>
  <c r="L1893" i="8"/>
  <c r="J1893" i="8"/>
  <c r="I1893" i="8"/>
  <c r="L1892" i="8"/>
  <c r="J1892" i="8"/>
  <c r="I1892" i="8"/>
  <c r="L1891" i="8"/>
  <c r="J1891" i="8"/>
  <c r="I1891" i="8"/>
  <c r="L1890" i="8"/>
  <c r="J1890" i="8"/>
  <c r="I1890" i="8"/>
  <c r="L1889" i="8"/>
  <c r="J1889" i="8"/>
  <c r="I1889" i="8"/>
  <c r="L1888" i="8"/>
  <c r="J1888" i="8"/>
  <c r="I1888" i="8"/>
  <c r="L1887" i="8"/>
  <c r="J1887" i="8"/>
  <c r="I1887" i="8"/>
  <c r="L1886" i="8"/>
  <c r="J1886" i="8"/>
  <c r="I1886" i="8"/>
  <c r="L1885" i="8"/>
  <c r="J1885" i="8"/>
  <c r="I1885" i="8"/>
  <c r="L1884" i="8"/>
  <c r="J1884" i="8"/>
  <c r="I1884" i="8"/>
  <c r="L1883" i="8"/>
  <c r="J1883" i="8"/>
  <c r="I1883" i="8"/>
  <c r="L1882" i="8"/>
  <c r="J1882" i="8"/>
  <c r="I1882" i="8"/>
  <c r="L1881" i="8"/>
  <c r="J1881" i="8"/>
  <c r="I1881" i="8"/>
  <c r="L1880" i="8"/>
  <c r="J1880" i="8"/>
  <c r="I1880" i="8"/>
  <c r="L1879" i="8"/>
  <c r="J1879" i="8"/>
  <c r="I1879" i="8"/>
  <c r="L1878" i="8"/>
  <c r="J1878" i="8"/>
  <c r="I1878" i="8"/>
  <c r="L1877" i="8"/>
  <c r="J1877" i="8"/>
  <c r="I1877" i="8"/>
  <c r="L1876" i="8"/>
  <c r="J1876" i="8"/>
  <c r="I1876" i="8"/>
  <c r="L1875" i="8"/>
  <c r="J1875" i="8"/>
  <c r="I1875" i="8"/>
  <c r="L1874" i="8"/>
  <c r="J1874" i="8"/>
  <c r="I1874" i="8"/>
  <c r="L1873" i="8"/>
  <c r="J1873" i="8"/>
  <c r="I1873" i="8"/>
  <c r="L1872" i="8"/>
  <c r="J1872" i="8"/>
  <c r="I1872" i="8"/>
  <c r="L1871" i="8"/>
  <c r="J1871" i="8"/>
  <c r="I1871" i="8"/>
  <c r="L1870" i="8"/>
  <c r="J1870" i="8"/>
  <c r="I1870" i="8"/>
  <c r="L1869" i="8"/>
  <c r="J1869" i="8"/>
  <c r="I1869" i="8"/>
  <c r="L1868" i="8"/>
  <c r="J1868" i="8"/>
  <c r="I1868" i="8"/>
  <c r="L1867" i="8"/>
  <c r="J1867" i="8"/>
  <c r="I1867" i="8"/>
  <c r="L1866" i="8"/>
  <c r="J1866" i="8"/>
  <c r="I1866" i="8"/>
  <c r="L1865" i="8"/>
  <c r="J1865" i="8"/>
  <c r="I1865" i="8"/>
  <c r="L1864" i="8"/>
  <c r="J1864" i="8"/>
  <c r="I1864" i="8"/>
  <c r="L1863" i="8"/>
  <c r="J1863" i="8"/>
  <c r="I1863" i="8"/>
  <c r="L1862" i="8"/>
  <c r="J1862" i="8"/>
  <c r="I1862" i="8"/>
  <c r="L1861" i="8"/>
  <c r="J1861" i="8"/>
  <c r="I1861" i="8"/>
  <c r="L1860" i="8"/>
  <c r="J1860" i="8"/>
  <c r="I1860" i="8"/>
  <c r="L1859" i="8"/>
  <c r="J1859" i="8"/>
  <c r="I1859" i="8"/>
  <c r="L1858" i="8"/>
  <c r="J1858" i="8"/>
  <c r="I1858" i="8"/>
  <c r="L1857" i="8"/>
  <c r="J1857" i="8"/>
  <c r="I1857" i="8"/>
  <c r="L1856" i="8"/>
  <c r="J1856" i="8"/>
  <c r="I1856" i="8"/>
  <c r="L1855" i="8"/>
  <c r="J1855" i="8"/>
  <c r="I1855" i="8"/>
  <c r="L1854" i="8"/>
  <c r="J1854" i="8"/>
  <c r="I1854" i="8"/>
  <c r="L1853" i="8"/>
  <c r="J1853" i="8"/>
  <c r="I1853" i="8"/>
  <c r="L1852" i="8"/>
  <c r="J1852" i="8"/>
  <c r="I1852" i="8"/>
  <c r="L1851" i="8"/>
  <c r="J1851" i="8"/>
  <c r="I1851" i="8"/>
  <c r="L1850" i="8"/>
  <c r="J1850" i="8"/>
  <c r="I1850" i="8"/>
  <c r="L1849" i="8"/>
  <c r="J1849" i="8"/>
  <c r="I1849" i="8"/>
  <c r="L1848" i="8"/>
  <c r="J1848" i="8"/>
  <c r="I1848" i="8"/>
  <c r="L1847" i="8"/>
  <c r="J1847" i="8"/>
  <c r="I1847" i="8"/>
  <c r="L1846" i="8"/>
  <c r="J1846" i="8"/>
  <c r="I1846" i="8"/>
  <c r="L1845" i="8"/>
  <c r="J1845" i="8"/>
  <c r="I1845" i="8"/>
  <c r="L1844" i="8"/>
  <c r="J1844" i="8"/>
  <c r="I1844" i="8"/>
  <c r="L1843" i="8"/>
  <c r="J1843" i="8"/>
  <c r="I1843" i="8"/>
  <c r="L1842" i="8"/>
  <c r="J1842" i="8"/>
  <c r="I1842" i="8"/>
  <c r="L1841" i="8"/>
  <c r="J1841" i="8"/>
  <c r="I1841" i="8"/>
  <c r="L1840" i="8"/>
  <c r="J1840" i="8"/>
  <c r="I1840" i="8"/>
  <c r="L1839" i="8"/>
  <c r="J1839" i="8"/>
  <c r="I1839" i="8"/>
  <c r="L1838" i="8"/>
  <c r="J1838" i="8"/>
  <c r="I1838" i="8"/>
  <c r="L1837" i="8"/>
  <c r="J1837" i="8"/>
  <c r="I1837" i="8"/>
  <c r="L1836" i="8"/>
  <c r="J1836" i="8"/>
  <c r="I1836" i="8"/>
  <c r="L1835" i="8"/>
  <c r="J1835" i="8"/>
  <c r="I1835" i="8"/>
  <c r="L1834" i="8"/>
  <c r="J1834" i="8"/>
  <c r="I1834" i="8"/>
  <c r="L1833" i="8"/>
  <c r="J1833" i="8"/>
  <c r="I1833" i="8"/>
  <c r="L1832" i="8"/>
  <c r="J1832" i="8"/>
  <c r="I1832" i="8"/>
  <c r="L1831" i="8"/>
  <c r="J1831" i="8"/>
  <c r="I1831" i="8"/>
  <c r="L1830" i="8"/>
  <c r="J1830" i="8"/>
  <c r="I1830" i="8"/>
  <c r="L1829" i="8"/>
  <c r="J1829" i="8"/>
  <c r="I1829" i="8"/>
  <c r="L1828" i="8"/>
  <c r="J1828" i="8"/>
  <c r="I1828" i="8"/>
  <c r="L1827" i="8"/>
  <c r="J1827" i="8"/>
  <c r="I1827" i="8"/>
  <c r="L1826" i="8"/>
  <c r="J1826" i="8"/>
  <c r="I1826" i="8"/>
  <c r="L1825" i="8"/>
  <c r="J1825" i="8"/>
  <c r="I1825" i="8"/>
  <c r="L1824" i="8"/>
  <c r="J1824" i="8"/>
  <c r="I1824" i="8"/>
  <c r="L1823" i="8"/>
  <c r="J1823" i="8"/>
  <c r="I1823" i="8"/>
  <c r="L1822" i="8"/>
  <c r="J1822" i="8"/>
  <c r="I1822" i="8"/>
  <c r="L1821" i="8"/>
  <c r="J1821" i="8"/>
  <c r="I1821" i="8"/>
  <c r="L1820" i="8"/>
  <c r="J1820" i="8"/>
  <c r="I1820" i="8"/>
  <c r="L1819" i="8"/>
  <c r="J1819" i="8"/>
  <c r="I1819" i="8"/>
  <c r="L1818" i="8"/>
  <c r="J1818" i="8"/>
  <c r="I1818" i="8"/>
  <c r="L1817" i="8"/>
  <c r="J1817" i="8"/>
  <c r="I1817" i="8"/>
  <c r="L1816" i="8"/>
  <c r="J1816" i="8"/>
  <c r="I1816" i="8"/>
  <c r="L1815" i="8"/>
  <c r="J1815" i="8"/>
  <c r="I1815" i="8"/>
  <c r="L1814" i="8"/>
  <c r="J1814" i="8"/>
  <c r="I1814" i="8"/>
  <c r="L1813" i="8"/>
  <c r="J1813" i="8"/>
  <c r="I1813" i="8"/>
  <c r="L1812" i="8"/>
  <c r="J1812" i="8"/>
  <c r="I1812" i="8"/>
  <c r="L1811" i="8"/>
  <c r="J1811" i="8"/>
  <c r="I1811" i="8"/>
  <c r="L1810" i="8"/>
  <c r="J1810" i="8"/>
  <c r="I1810" i="8"/>
  <c r="L1809" i="8"/>
  <c r="J1809" i="8"/>
  <c r="I1809" i="8"/>
  <c r="L1808" i="8"/>
  <c r="J1808" i="8"/>
  <c r="I1808" i="8"/>
  <c r="L1807" i="8"/>
  <c r="J1807" i="8"/>
  <c r="I1807" i="8"/>
  <c r="L1806" i="8"/>
  <c r="J1806" i="8"/>
  <c r="I1806" i="8"/>
  <c r="L1805" i="8"/>
  <c r="J1805" i="8"/>
  <c r="I1805" i="8"/>
  <c r="L1804" i="8"/>
  <c r="J1804" i="8"/>
  <c r="I1804" i="8"/>
  <c r="L1803" i="8"/>
  <c r="J1803" i="8"/>
  <c r="I1803" i="8"/>
  <c r="L1802" i="8"/>
  <c r="J1802" i="8"/>
  <c r="I1802" i="8"/>
  <c r="L1801" i="8"/>
  <c r="J1801" i="8"/>
  <c r="I1801" i="8"/>
  <c r="L1800" i="8"/>
  <c r="J1800" i="8"/>
  <c r="I1800" i="8"/>
  <c r="L1799" i="8"/>
  <c r="J1799" i="8"/>
  <c r="I1799" i="8"/>
  <c r="L1798" i="8"/>
  <c r="J1798" i="8"/>
  <c r="I1798" i="8"/>
  <c r="L1797" i="8"/>
  <c r="J1797" i="8"/>
  <c r="I1797" i="8"/>
  <c r="L1796" i="8"/>
  <c r="J1796" i="8"/>
  <c r="I1796" i="8"/>
  <c r="L1795" i="8"/>
  <c r="J1795" i="8"/>
  <c r="I1795" i="8"/>
  <c r="L1794" i="8"/>
  <c r="J1794" i="8"/>
  <c r="I1794" i="8"/>
  <c r="L1793" i="8"/>
  <c r="J1793" i="8"/>
  <c r="I1793" i="8"/>
  <c r="L1792" i="8"/>
  <c r="J1792" i="8"/>
  <c r="I1792" i="8"/>
  <c r="L1791" i="8"/>
  <c r="J1791" i="8"/>
  <c r="I1791" i="8"/>
  <c r="L1790" i="8"/>
  <c r="J1790" i="8"/>
  <c r="I1790" i="8"/>
  <c r="L1789" i="8"/>
  <c r="J1789" i="8"/>
  <c r="I1789" i="8"/>
  <c r="L1788" i="8"/>
  <c r="J1788" i="8"/>
  <c r="I1788" i="8"/>
  <c r="L1787" i="8"/>
  <c r="J1787" i="8"/>
  <c r="I1787" i="8"/>
  <c r="L1786" i="8"/>
  <c r="J1786" i="8"/>
  <c r="I1786" i="8"/>
  <c r="L1785" i="8"/>
  <c r="J1785" i="8"/>
  <c r="I1785" i="8"/>
  <c r="L1784" i="8"/>
  <c r="J1784" i="8"/>
  <c r="I1784" i="8"/>
  <c r="L1783" i="8"/>
  <c r="J1783" i="8"/>
  <c r="I1783" i="8"/>
  <c r="L1782" i="8"/>
  <c r="J1782" i="8"/>
  <c r="I1782" i="8"/>
  <c r="L1781" i="8"/>
  <c r="J1781" i="8"/>
  <c r="I1781" i="8"/>
  <c r="L1780" i="8"/>
  <c r="J1780" i="8"/>
  <c r="I1780" i="8"/>
  <c r="L1779" i="8"/>
  <c r="J1779" i="8"/>
  <c r="I1779" i="8"/>
  <c r="L1778" i="8"/>
  <c r="J1778" i="8"/>
  <c r="I1778" i="8"/>
  <c r="L1777" i="8"/>
  <c r="J1777" i="8"/>
  <c r="I1777" i="8"/>
  <c r="L1776" i="8"/>
  <c r="J1776" i="8"/>
  <c r="I1776" i="8"/>
  <c r="L1775" i="8"/>
  <c r="J1775" i="8"/>
  <c r="I1775" i="8"/>
  <c r="L1774" i="8"/>
  <c r="J1774" i="8"/>
  <c r="I1774" i="8"/>
  <c r="L1773" i="8"/>
  <c r="J1773" i="8"/>
  <c r="I1773" i="8"/>
  <c r="L1772" i="8"/>
  <c r="J1772" i="8"/>
  <c r="I1772" i="8"/>
  <c r="L1771" i="8"/>
  <c r="J1771" i="8"/>
  <c r="I1771" i="8"/>
  <c r="L1770" i="8"/>
  <c r="J1770" i="8"/>
  <c r="I1770" i="8"/>
  <c r="L1769" i="8"/>
  <c r="J1769" i="8"/>
  <c r="I1769" i="8"/>
  <c r="L1768" i="8"/>
  <c r="J1768" i="8"/>
  <c r="I1768" i="8"/>
  <c r="L1767" i="8"/>
  <c r="J1767" i="8"/>
  <c r="I1767" i="8"/>
  <c r="L1766" i="8"/>
  <c r="J1766" i="8"/>
  <c r="I1766" i="8"/>
  <c r="L1765" i="8"/>
  <c r="J1765" i="8"/>
  <c r="I1765" i="8"/>
  <c r="L1764" i="8"/>
  <c r="J1764" i="8"/>
  <c r="I1764" i="8"/>
  <c r="L1763" i="8"/>
  <c r="J1763" i="8"/>
  <c r="I1763" i="8"/>
  <c r="L1762" i="8"/>
  <c r="J1762" i="8"/>
  <c r="I1762" i="8"/>
  <c r="L1761" i="8"/>
  <c r="J1761" i="8"/>
  <c r="I1761" i="8"/>
  <c r="L1760" i="8"/>
  <c r="J1760" i="8"/>
  <c r="I1760" i="8"/>
  <c r="L1759" i="8"/>
  <c r="J1759" i="8"/>
  <c r="I1759" i="8"/>
  <c r="L1758" i="8"/>
  <c r="J1758" i="8"/>
  <c r="I1758" i="8"/>
  <c r="L1757" i="8"/>
  <c r="J1757" i="8"/>
  <c r="I1757" i="8"/>
  <c r="L1756" i="8"/>
  <c r="J1756" i="8"/>
  <c r="I1756" i="8"/>
  <c r="L1755" i="8"/>
  <c r="J1755" i="8"/>
  <c r="I1755" i="8"/>
  <c r="L1754" i="8"/>
  <c r="J1754" i="8"/>
  <c r="I1754" i="8"/>
  <c r="L1753" i="8"/>
  <c r="J1753" i="8"/>
  <c r="I1753" i="8"/>
  <c r="L1752" i="8"/>
  <c r="J1752" i="8"/>
  <c r="I1752" i="8"/>
  <c r="L1751" i="8"/>
  <c r="J1751" i="8"/>
  <c r="I1751" i="8"/>
  <c r="L1750" i="8"/>
  <c r="J1750" i="8"/>
  <c r="I1750" i="8"/>
  <c r="L1749" i="8"/>
  <c r="J1749" i="8"/>
  <c r="I1749" i="8"/>
  <c r="L1748" i="8"/>
  <c r="J1748" i="8"/>
  <c r="I1748" i="8"/>
  <c r="L1747" i="8"/>
  <c r="J1747" i="8"/>
  <c r="I1747" i="8"/>
  <c r="L1746" i="8"/>
  <c r="J1746" i="8"/>
  <c r="I1746" i="8"/>
  <c r="L1745" i="8"/>
  <c r="J1745" i="8"/>
  <c r="I1745" i="8"/>
  <c r="L1744" i="8"/>
  <c r="J1744" i="8"/>
  <c r="I1744" i="8"/>
  <c r="L1743" i="8"/>
  <c r="J1743" i="8"/>
  <c r="I1743" i="8"/>
  <c r="L1742" i="8"/>
  <c r="J1742" i="8"/>
  <c r="I1742" i="8"/>
  <c r="L1741" i="8"/>
  <c r="J1741" i="8"/>
  <c r="I1741" i="8"/>
  <c r="L1740" i="8"/>
  <c r="J1740" i="8"/>
  <c r="I1740" i="8"/>
  <c r="L1739" i="8"/>
  <c r="J1739" i="8"/>
  <c r="I1739" i="8"/>
  <c r="L1738" i="8"/>
  <c r="J1738" i="8"/>
  <c r="I1738" i="8"/>
  <c r="L1737" i="8"/>
  <c r="J1737" i="8"/>
  <c r="I1737" i="8"/>
  <c r="L1736" i="8"/>
  <c r="J1736" i="8"/>
  <c r="I1736" i="8"/>
  <c r="L1735" i="8"/>
  <c r="J1735" i="8"/>
  <c r="I1735" i="8"/>
  <c r="L1734" i="8"/>
  <c r="J1734" i="8"/>
  <c r="I1734" i="8"/>
  <c r="L1733" i="8"/>
  <c r="J1733" i="8"/>
  <c r="I1733" i="8"/>
  <c r="L1732" i="8"/>
  <c r="J1732" i="8"/>
  <c r="I1732" i="8"/>
  <c r="L1731" i="8"/>
  <c r="J1731" i="8"/>
  <c r="I1731" i="8"/>
  <c r="L1730" i="8"/>
  <c r="J1730" i="8"/>
  <c r="I1730" i="8"/>
  <c r="L1729" i="8"/>
  <c r="J1729" i="8"/>
  <c r="I1729" i="8"/>
  <c r="L1728" i="8"/>
  <c r="J1728" i="8"/>
  <c r="I1728" i="8"/>
  <c r="L1727" i="8"/>
  <c r="J1727" i="8"/>
  <c r="I1727" i="8"/>
  <c r="L1726" i="8"/>
  <c r="J1726" i="8"/>
  <c r="I1726" i="8"/>
  <c r="L1725" i="8"/>
  <c r="J1725" i="8"/>
  <c r="I1725" i="8"/>
  <c r="L1724" i="8"/>
  <c r="J1724" i="8"/>
  <c r="I1724" i="8"/>
  <c r="L1723" i="8"/>
  <c r="J1723" i="8"/>
  <c r="I1723" i="8"/>
  <c r="L1722" i="8"/>
  <c r="J1722" i="8"/>
  <c r="I1722" i="8"/>
  <c r="L1721" i="8"/>
  <c r="J1721" i="8"/>
  <c r="I1721" i="8"/>
  <c r="L1720" i="8"/>
  <c r="J1720" i="8"/>
  <c r="I1720" i="8"/>
  <c r="L1719" i="8"/>
  <c r="J1719" i="8"/>
  <c r="I1719" i="8"/>
  <c r="L1718" i="8"/>
  <c r="J1718" i="8"/>
  <c r="I1718" i="8"/>
  <c r="L1717" i="8"/>
  <c r="J1717" i="8"/>
  <c r="I1717" i="8"/>
  <c r="L1716" i="8"/>
  <c r="J1716" i="8"/>
  <c r="I1716" i="8"/>
  <c r="L1715" i="8"/>
  <c r="J1715" i="8"/>
  <c r="I1715" i="8"/>
  <c r="L1714" i="8"/>
  <c r="J1714" i="8"/>
  <c r="I1714" i="8"/>
  <c r="L1713" i="8"/>
  <c r="J1713" i="8"/>
  <c r="I1713" i="8"/>
  <c r="L1712" i="8"/>
  <c r="J1712" i="8"/>
  <c r="I1712" i="8"/>
  <c r="L1711" i="8"/>
  <c r="J1711" i="8"/>
  <c r="I1711" i="8"/>
  <c r="L1710" i="8"/>
  <c r="J1710" i="8"/>
  <c r="I1710" i="8"/>
  <c r="L1709" i="8"/>
  <c r="J1709" i="8"/>
  <c r="I1709" i="8"/>
  <c r="L1708" i="8"/>
  <c r="J1708" i="8"/>
  <c r="I1708" i="8"/>
  <c r="L1707" i="8"/>
  <c r="J1707" i="8"/>
  <c r="I1707" i="8"/>
  <c r="L1706" i="8"/>
  <c r="J1706" i="8"/>
  <c r="I1706" i="8"/>
  <c r="L1705" i="8"/>
  <c r="J1705" i="8"/>
  <c r="I1705" i="8"/>
  <c r="L1704" i="8"/>
  <c r="J1704" i="8"/>
  <c r="I1704" i="8"/>
  <c r="L1703" i="8"/>
  <c r="J1703" i="8"/>
  <c r="I1703" i="8"/>
  <c r="L1702" i="8"/>
  <c r="J1702" i="8"/>
  <c r="I1702" i="8"/>
  <c r="L1701" i="8"/>
  <c r="J1701" i="8"/>
  <c r="I1701" i="8"/>
  <c r="L1700" i="8"/>
  <c r="J1700" i="8"/>
  <c r="I1700" i="8"/>
  <c r="L1699" i="8"/>
  <c r="J1699" i="8"/>
  <c r="I1699" i="8"/>
  <c r="L1698" i="8"/>
  <c r="J1698" i="8"/>
  <c r="I1698" i="8"/>
  <c r="L1697" i="8"/>
  <c r="J1697" i="8"/>
  <c r="I1697" i="8"/>
  <c r="L1696" i="8"/>
  <c r="J1696" i="8"/>
  <c r="I1696" i="8"/>
  <c r="L1695" i="8"/>
  <c r="J1695" i="8"/>
  <c r="I1695" i="8"/>
  <c r="L1694" i="8"/>
  <c r="J1694" i="8"/>
  <c r="I1694" i="8"/>
  <c r="L1693" i="8"/>
  <c r="J1693" i="8"/>
  <c r="I1693" i="8"/>
  <c r="L1692" i="8"/>
  <c r="J1692" i="8"/>
  <c r="I1692" i="8"/>
  <c r="L1691" i="8"/>
  <c r="J1691" i="8"/>
  <c r="I1691" i="8"/>
  <c r="L1690" i="8"/>
  <c r="J1690" i="8"/>
  <c r="I1690" i="8"/>
  <c r="L1689" i="8"/>
  <c r="J1689" i="8"/>
  <c r="I1689" i="8"/>
  <c r="L1688" i="8"/>
  <c r="J1688" i="8"/>
  <c r="I1688" i="8"/>
  <c r="L1687" i="8"/>
  <c r="J1687" i="8"/>
  <c r="I1687" i="8"/>
  <c r="L1686" i="8"/>
  <c r="J1686" i="8"/>
  <c r="I1686" i="8"/>
  <c r="L1685" i="8"/>
  <c r="J1685" i="8"/>
  <c r="I1685" i="8"/>
  <c r="L1684" i="8"/>
  <c r="J1684" i="8"/>
  <c r="I1684" i="8"/>
  <c r="L1683" i="8"/>
  <c r="J1683" i="8"/>
  <c r="I1683" i="8"/>
  <c r="L1682" i="8"/>
  <c r="J1682" i="8"/>
  <c r="I1682" i="8"/>
  <c r="L1681" i="8"/>
  <c r="J1681" i="8"/>
  <c r="I1681" i="8"/>
  <c r="L1680" i="8"/>
  <c r="J1680" i="8"/>
  <c r="I1680" i="8"/>
  <c r="L1679" i="8"/>
  <c r="J1679" i="8"/>
  <c r="I1679" i="8"/>
  <c r="L1678" i="8"/>
  <c r="J1678" i="8"/>
  <c r="I1678" i="8"/>
  <c r="L1677" i="8"/>
  <c r="J1677" i="8"/>
  <c r="I1677" i="8"/>
  <c r="L1676" i="8"/>
  <c r="J1676" i="8"/>
  <c r="I1676" i="8"/>
  <c r="L1675" i="8"/>
  <c r="J1675" i="8"/>
  <c r="I1675" i="8"/>
  <c r="L1674" i="8"/>
  <c r="J1674" i="8"/>
  <c r="I1674" i="8"/>
  <c r="L1673" i="8"/>
  <c r="J1673" i="8"/>
  <c r="I1673" i="8"/>
  <c r="L1672" i="8"/>
  <c r="J1672" i="8"/>
  <c r="I1672" i="8"/>
  <c r="L1671" i="8"/>
  <c r="J1671" i="8"/>
  <c r="I1671" i="8"/>
  <c r="L1670" i="8"/>
  <c r="J1670" i="8"/>
  <c r="I1670" i="8"/>
  <c r="L1669" i="8"/>
  <c r="J1669" i="8"/>
  <c r="I1669" i="8"/>
  <c r="L1668" i="8"/>
  <c r="J1668" i="8"/>
  <c r="I1668" i="8"/>
  <c r="L1667" i="8"/>
  <c r="J1667" i="8"/>
  <c r="I1667" i="8"/>
  <c r="L1666" i="8"/>
  <c r="J1666" i="8"/>
  <c r="I1666" i="8"/>
  <c r="L1665" i="8"/>
  <c r="J1665" i="8"/>
  <c r="I1665" i="8"/>
  <c r="L1664" i="8"/>
  <c r="J1664" i="8"/>
  <c r="I1664" i="8"/>
  <c r="L1663" i="8"/>
  <c r="J1663" i="8"/>
  <c r="I1663" i="8"/>
  <c r="L1662" i="8"/>
  <c r="J1662" i="8"/>
  <c r="I1662" i="8"/>
  <c r="L1661" i="8"/>
  <c r="J1661" i="8"/>
  <c r="I1661" i="8"/>
  <c r="L1660" i="8"/>
  <c r="J1660" i="8"/>
  <c r="I1660" i="8"/>
  <c r="L1659" i="8"/>
  <c r="J1659" i="8"/>
  <c r="I1659" i="8"/>
  <c r="L1658" i="8"/>
  <c r="J1658" i="8"/>
  <c r="I1658" i="8"/>
  <c r="L1657" i="8"/>
  <c r="J1657" i="8"/>
  <c r="I1657" i="8"/>
  <c r="L1656" i="8"/>
  <c r="J1656" i="8"/>
  <c r="I1656" i="8"/>
  <c r="L1655" i="8"/>
  <c r="J1655" i="8"/>
  <c r="I1655" i="8"/>
  <c r="L1654" i="8"/>
  <c r="J1654" i="8"/>
  <c r="I1654" i="8"/>
  <c r="L1653" i="8"/>
  <c r="J1653" i="8"/>
  <c r="I1653" i="8"/>
  <c r="L1652" i="8"/>
  <c r="J1652" i="8"/>
  <c r="I1652" i="8"/>
  <c r="L1651" i="8"/>
  <c r="J1651" i="8"/>
  <c r="I1651" i="8"/>
  <c r="L1650" i="8"/>
  <c r="J1650" i="8"/>
  <c r="I1650" i="8"/>
  <c r="L1649" i="8"/>
  <c r="J1649" i="8"/>
  <c r="I1649" i="8"/>
  <c r="L1648" i="8"/>
  <c r="J1648" i="8"/>
  <c r="I1648" i="8"/>
  <c r="L1647" i="8"/>
  <c r="J1647" i="8"/>
  <c r="I1647" i="8"/>
  <c r="L1646" i="8"/>
  <c r="J1646" i="8"/>
  <c r="I1646" i="8"/>
  <c r="L1645" i="8"/>
  <c r="J1645" i="8"/>
  <c r="I1645" i="8"/>
  <c r="L1644" i="8"/>
  <c r="J1644" i="8"/>
  <c r="I1644" i="8"/>
  <c r="L1643" i="8"/>
  <c r="J1643" i="8"/>
  <c r="I1643" i="8"/>
  <c r="L1642" i="8"/>
  <c r="J1642" i="8"/>
  <c r="I1642" i="8"/>
  <c r="L1641" i="8"/>
  <c r="J1641" i="8"/>
  <c r="I1641" i="8"/>
  <c r="L1640" i="8"/>
  <c r="J1640" i="8"/>
  <c r="I1640" i="8"/>
  <c r="L1639" i="8"/>
  <c r="J1639" i="8"/>
  <c r="I1639" i="8"/>
  <c r="L1638" i="8"/>
  <c r="J1638" i="8"/>
  <c r="I1638" i="8"/>
  <c r="L1637" i="8"/>
  <c r="J1637" i="8"/>
  <c r="I1637" i="8"/>
  <c r="L1636" i="8"/>
  <c r="J1636" i="8"/>
  <c r="I1636" i="8"/>
  <c r="L1635" i="8"/>
  <c r="J1635" i="8"/>
  <c r="I1635" i="8"/>
  <c r="L1634" i="8"/>
  <c r="J1634" i="8"/>
  <c r="I1634" i="8"/>
  <c r="L1633" i="8"/>
  <c r="J1633" i="8"/>
  <c r="I1633" i="8"/>
  <c r="L1632" i="8"/>
  <c r="J1632" i="8"/>
  <c r="I1632" i="8"/>
  <c r="L1631" i="8"/>
  <c r="J1631" i="8"/>
  <c r="I1631" i="8"/>
  <c r="L1630" i="8"/>
  <c r="J1630" i="8"/>
  <c r="I1630" i="8"/>
  <c r="L1629" i="8"/>
  <c r="J1629" i="8"/>
  <c r="I1629" i="8"/>
  <c r="L1628" i="8"/>
  <c r="J1628" i="8"/>
  <c r="I1628" i="8"/>
  <c r="L1627" i="8"/>
  <c r="J1627" i="8"/>
  <c r="I1627" i="8"/>
  <c r="L1626" i="8"/>
  <c r="J1626" i="8"/>
  <c r="I1626" i="8"/>
  <c r="L1625" i="8"/>
  <c r="J1625" i="8"/>
  <c r="I1625" i="8"/>
  <c r="L1624" i="8"/>
  <c r="J1624" i="8"/>
  <c r="I1624" i="8"/>
  <c r="L1623" i="8"/>
  <c r="J1623" i="8"/>
  <c r="I1623" i="8"/>
  <c r="L1622" i="8"/>
  <c r="J1622" i="8"/>
  <c r="I1622" i="8"/>
  <c r="L1621" i="8"/>
  <c r="J1621" i="8"/>
  <c r="I1621" i="8"/>
  <c r="L1620" i="8"/>
  <c r="J1620" i="8"/>
  <c r="I1620" i="8"/>
  <c r="L1619" i="8"/>
  <c r="J1619" i="8"/>
  <c r="I1619" i="8"/>
  <c r="L1618" i="8"/>
  <c r="J1618" i="8"/>
  <c r="I1618" i="8"/>
  <c r="L1617" i="8"/>
  <c r="J1617" i="8"/>
  <c r="I1617" i="8"/>
  <c r="L1616" i="8"/>
  <c r="J1616" i="8"/>
  <c r="I1616" i="8"/>
  <c r="L1615" i="8"/>
  <c r="J1615" i="8"/>
  <c r="I1615" i="8"/>
  <c r="L1614" i="8"/>
  <c r="J1614" i="8"/>
  <c r="I1614" i="8"/>
  <c r="L1613" i="8"/>
  <c r="J1613" i="8"/>
  <c r="I1613" i="8"/>
  <c r="L1612" i="8"/>
  <c r="J1612" i="8"/>
  <c r="I1612" i="8"/>
  <c r="L1611" i="8"/>
  <c r="J1611" i="8"/>
  <c r="I1611" i="8"/>
  <c r="L1610" i="8"/>
  <c r="J1610" i="8"/>
  <c r="I1610" i="8"/>
  <c r="L1609" i="8"/>
  <c r="J1609" i="8"/>
  <c r="I1609" i="8"/>
  <c r="L1608" i="8"/>
  <c r="J1608" i="8"/>
  <c r="I1608" i="8"/>
  <c r="L1607" i="8"/>
  <c r="J1607" i="8"/>
  <c r="I1607" i="8"/>
  <c r="L1606" i="8"/>
  <c r="J1606" i="8"/>
  <c r="I1606" i="8"/>
  <c r="L1605" i="8"/>
  <c r="J1605" i="8"/>
  <c r="I1605" i="8"/>
  <c r="L1604" i="8"/>
  <c r="J1604" i="8"/>
  <c r="I1604" i="8"/>
  <c r="L1603" i="8"/>
  <c r="J1603" i="8"/>
  <c r="I1603" i="8"/>
  <c r="L1602" i="8"/>
  <c r="J1602" i="8"/>
  <c r="I1602" i="8"/>
  <c r="L1601" i="8"/>
  <c r="J1601" i="8"/>
  <c r="I1601" i="8"/>
  <c r="L1600" i="8"/>
  <c r="J1600" i="8"/>
  <c r="I1600" i="8"/>
  <c r="L1599" i="8"/>
  <c r="J1599" i="8"/>
  <c r="I1599" i="8"/>
  <c r="L1598" i="8"/>
  <c r="J1598" i="8"/>
  <c r="I1598" i="8"/>
  <c r="L1597" i="8"/>
  <c r="J1597" i="8"/>
  <c r="I1597" i="8"/>
  <c r="L1596" i="8"/>
  <c r="J1596" i="8"/>
  <c r="I1596" i="8"/>
  <c r="L1595" i="8"/>
  <c r="J1595" i="8"/>
  <c r="I1595" i="8"/>
  <c r="L1594" i="8"/>
  <c r="J1594" i="8"/>
  <c r="I1594" i="8"/>
  <c r="L1593" i="8"/>
  <c r="J1593" i="8"/>
  <c r="I1593" i="8"/>
  <c r="L1592" i="8"/>
  <c r="J1592" i="8"/>
  <c r="I1592" i="8"/>
  <c r="L1591" i="8"/>
  <c r="J1591" i="8"/>
  <c r="I1591" i="8"/>
  <c r="L1590" i="8"/>
  <c r="J1590" i="8"/>
  <c r="I1590" i="8"/>
  <c r="L1589" i="8"/>
  <c r="J1589" i="8"/>
  <c r="I1589" i="8"/>
  <c r="L1588" i="8"/>
  <c r="J1588" i="8"/>
  <c r="I1588" i="8"/>
  <c r="L1587" i="8"/>
  <c r="J1587" i="8"/>
  <c r="I1587" i="8"/>
  <c r="L1586" i="8"/>
  <c r="J1586" i="8"/>
  <c r="I1586" i="8"/>
  <c r="L1585" i="8"/>
  <c r="J1585" i="8"/>
  <c r="I1585" i="8"/>
  <c r="L1584" i="8"/>
  <c r="J1584" i="8"/>
  <c r="I1584" i="8"/>
  <c r="L1583" i="8"/>
  <c r="J1583" i="8"/>
  <c r="I1583" i="8"/>
  <c r="L1582" i="8"/>
  <c r="J1582" i="8"/>
  <c r="I1582" i="8"/>
  <c r="L1581" i="8"/>
  <c r="J1581" i="8"/>
  <c r="I1581" i="8"/>
  <c r="L1580" i="8"/>
  <c r="J1580" i="8"/>
  <c r="I1580" i="8"/>
  <c r="L1579" i="8"/>
  <c r="J1579" i="8"/>
  <c r="I1579" i="8"/>
  <c r="L1578" i="8"/>
  <c r="J1578" i="8"/>
  <c r="I1578" i="8"/>
  <c r="L1577" i="8"/>
  <c r="J1577" i="8"/>
  <c r="I1577" i="8"/>
  <c r="L1576" i="8"/>
  <c r="J1576" i="8"/>
  <c r="I1576" i="8"/>
  <c r="L1575" i="8"/>
  <c r="J1575" i="8"/>
  <c r="I1575" i="8"/>
  <c r="L1574" i="8"/>
  <c r="J1574" i="8"/>
  <c r="I1574" i="8"/>
  <c r="L1573" i="8"/>
  <c r="J1573" i="8"/>
  <c r="I1573" i="8"/>
  <c r="L1572" i="8"/>
  <c r="J1572" i="8"/>
  <c r="I1572" i="8"/>
  <c r="L1571" i="8"/>
  <c r="J1571" i="8"/>
  <c r="I1571" i="8"/>
  <c r="L1570" i="8"/>
  <c r="J1570" i="8"/>
  <c r="I1570" i="8"/>
  <c r="L1569" i="8"/>
  <c r="J1569" i="8"/>
  <c r="I1569" i="8"/>
  <c r="L1568" i="8"/>
  <c r="J1568" i="8"/>
  <c r="I1568" i="8"/>
  <c r="L1567" i="8"/>
  <c r="J1567" i="8"/>
  <c r="I1567" i="8"/>
  <c r="L1566" i="8"/>
  <c r="J1566" i="8"/>
  <c r="I1566" i="8"/>
  <c r="L1565" i="8"/>
  <c r="J1565" i="8"/>
  <c r="I1565" i="8"/>
  <c r="L1564" i="8"/>
  <c r="J1564" i="8"/>
  <c r="I1564" i="8"/>
  <c r="L1563" i="8"/>
  <c r="J1563" i="8"/>
  <c r="I1563" i="8"/>
  <c r="L1562" i="8"/>
  <c r="J1562" i="8"/>
  <c r="I1562" i="8"/>
  <c r="L1561" i="8"/>
  <c r="J1561" i="8"/>
  <c r="I1561" i="8"/>
  <c r="L1560" i="8"/>
  <c r="J1560" i="8"/>
  <c r="I1560" i="8"/>
  <c r="L1559" i="8"/>
  <c r="J1559" i="8"/>
  <c r="I1559" i="8"/>
  <c r="L1558" i="8"/>
  <c r="J1558" i="8"/>
  <c r="I1558" i="8"/>
  <c r="L1557" i="8"/>
  <c r="J1557" i="8"/>
  <c r="I1557" i="8"/>
  <c r="L1556" i="8"/>
  <c r="J1556" i="8"/>
  <c r="I1556" i="8"/>
  <c r="L1555" i="8"/>
  <c r="J1555" i="8"/>
  <c r="I1555" i="8"/>
  <c r="L1554" i="8"/>
  <c r="J1554" i="8"/>
  <c r="I1554" i="8"/>
  <c r="L1553" i="8"/>
  <c r="J1553" i="8"/>
  <c r="I1553" i="8"/>
  <c r="L1552" i="8"/>
  <c r="J1552" i="8"/>
  <c r="I1552" i="8"/>
  <c r="L1551" i="8"/>
  <c r="J1551" i="8"/>
  <c r="I1551" i="8"/>
  <c r="L1550" i="8"/>
  <c r="J1550" i="8"/>
  <c r="I1550" i="8"/>
  <c r="L1549" i="8"/>
  <c r="J1549" i="8"/>
  <c r="I1549" i="8"/>
  <c r="L1548" i="8"/>
  <c r="J1548" i="8"/>
  <c r="I1548" i="8"/>
  <c r="L1547" i="8"/>
  <c r="J1547" i="8"/>
  <c r="I1547" i="8"/>
  <c r="L1546" i="8"/>
  <c r="J1546" i="8"/>
  <c r="I1546" i="8"/>
  <c r="L1545" i="8"/>
  <c r="J1545" i="8"/>
  <c r="I1545" i="8"/>
  <c r="L1544" i="8"/>
  <c r="J1544" i="8"/>
  <c r="I1544" i="8"/>
  <c r="L1543" i="8"/>
  <c r="J1543" i="8"/>
  <c r="I1543" i="8"/>
  <c r="L1542" i="8"/>
  <c r="J1542" i="8"/>
  <c r="I1542" i="8"/>
  <c r="L1541" i="8"/>
  <c r="J1541" i="8"/>
  <c r="I1541" i="8"/>
  <c r="L1540" i="8"/>
  <c r="J1540" i="8"/>
  <c r="I1540" i="8"/>
  <c r="L1539" i="8"/>
  <c r="J1539" i="8"/>
  <c r="I1539" i="8"/>
  <c r="L1538" i="8"/>
  <c r="J1538" i="8"/>
  <c r="I1538" i="8"/>
  <c r="L1537" i="8"/>
  <c r="J1537" i="8"/>
  <c r="I1537" i="8"/>
  <c r="L1536" i="8"/>
  <c r="J1536" i="8"/>
  <c r="I1536" i="8"/>
  <c r="L1535" i="8"/>
  <c r="J1535" i="8"/>
  <c r="I1535" i="8"/>
  <c r="L1534" i="8"/>
  <c r="J1534" i="8"/>
  <c r="I1534" i="8"/>
  <c r="L1533" i="8"/>
  <c r="J1533" i="8"/>
  <c r="I1533" i="8"/>
  <c r="L1532" i="8"/>
  <c r="J1532" i="8"/>
  <c r="I1532" i="8"/>
  <c r="L1531" i="8"/>
  <c r="J1531" i="8"/>
  <c r="I1531" i="8"/>
  <c r="L1530" i="8"/>
  <c r="J1530" i="8"/>
  <c r="I1530" i="8"/>
  <c r="L1529" i="8"/>
  <c r="J1529" i="8"/>
  <c r="I1529" i="8"/>
  <c r="L1528" i="8"/>
  <c r="J1528" i="8"/>
  <c r="I1528" i="8"/>
  <c r="L1527" i="8"/>
  <c r="J1527" i="8"/>
  <c r="I1527" i="8"/>
  <c r="L1526" i="8"/>
  <c r="J1526" i="8"/>
  <c r="I1526" i="8"/>
  <c r="L1525" i="8"/>
  <c r="J1525" i="8"/>
  <c r="I1525" i="8"/>
  <c r="L1524" i="8"/>
  <c r="J1524" i="8"/>
  <c r="I1524" i="8"/>
  <c r="L1523" i="8"/>
  <c r="J1523" i="8"/>
  <c r="I1523" i="8"/>
  <c r="L1522" i="8"/>
  <c r="J1522" i="8"/>
  <c r="I1522" i="8"/>
  <c r="L1521" i="8"/>
  <c r="J1521" i="8"/>
  <c r="I1521" i="8"/>
  <c r="L1520" i="8"/>
  <c r="J1520" i="8"/>
  <c r="I1520" i="8"/>
  <c r="L1519" i="8"/>
  <c r="J1519" i="8"/>
  <c r="I1519" i="8"/>
  <c r="L1518" i="8"/>
  <c r="J1518" i="8"/>
  <c r="I1518" i="8"/>
  <c r="L1517" i="8"/>
  <c r="J1517" i="8"/>
  <c r="I1517" i="8"/>
  <c r="L1516" i="8"/>
  <c r="J1516" i="8"/>
  <c r="I1516" i="8"/>
  <c r="L1515" i="8"/>
  <c r="J1515" i="8"/>
  <c r="I1515" i="8"/>
  <c r="L1514" i="8"/>
  <c r="J1514" i="8"/>
  <c r="I1514" i="8"/>
  <c r="L1513" i="8"/>
  <c r="J1513" i="8"/>
  <c r="I1513" i="8"/>
  <c r="L1512" i="8"/>
  <c r="J1512" i="8"/>
  <c r="I1512" i="8"/>
  <c r="L1511" i="8"/>
  <c r="J1511" i="8"/>
  <c r="I1511" i="8"/>
  <c r="L1510" i="8"/>
  <c r="J1510" i="8"/>
  <c r="I1510" i="8"/>
  <c r="L1509" i="8"/>
  <c r="J1509" i="8"/>
  <c r="I1509" i="8"/>
  <c r="L1508" i="8"/>
  <c r="J1508" i="8"/>
  <c r="I1508" i="8"/>
  <c r="L1507" i="8"/>
  <c r="J1507" i="8"/>
  <c r="I1507" i="8"/>
  <c r="L1506" i="8"/>
  <c r="J1506" i="8"/>
  <c r="I1506" i="8"/>
  <c r="L1505" i="8"/>
  <c r="J1505" i="8"/>
  <c r="I1505" i="8"/>
  <c r="L1504" i="8"/>
  <c r="J1504" i="8"/>
  <c r="I1504" i="8"/>
  <c r="L1503" i="8"/>
  <c r="J1503" i="8"/>
  <c r="I1503" i="8"/>
  <c r="L1502" i="8"/>
  <c r="J1502" i="8"/>
  <c r="I1502" i="8"/>
  <c r="L1501" i="8"/>
  <c r="J1501" i="8"/>
  <c r="I1501" i="8"/>
  <c r="L1500" i="8"/>
  <c r="J1500" i="8"/>
  <c r="I1500" i="8"/>
  <c r="L1499" i="8"/>
  <c r="J1499" i="8"/>
  <c r="I1499" i="8"/>
  <c r="L1498" i="8"/>
  <c r="J1498" i="8"/>
  <c r="I1498" i="8"/>
  <c r="L1497" i="8"/>
  <c r="J1497" i="8"/>
  <c r="I1497" i="8"/>
  <c r="L1496" i="8"/>
  <c r="J1496" i="8"/>
  <c r="I1496" i="8"/>
  <c r="L1495" i="8"/>
  <c r="J1495" i="8"/>
  <c r="I1495" i="8"/>
  <c r="L1494" i="8"/>
  <c r="J1494" i="8"/>
  <c r="I1494" i="8"/>
  <c r="L1493" i="8"/>
  <c r="J1493" i="8"/>
  <c r="I1493" i="8"/>
  <c r="L1492" i="8"/>
  <c r="J1492" i="8"/>
  <c r="I1492" i="8"/>
  <c r="L1491" i="8"/>
  <c r="J1491" i="8"/>
  <c r="I1491" i="8"/>
  <c r="L1490" i="8"/>
  <c r="J1490" i="8"/>
  <c r="I1490" i="8"/>
  <c r="L1489" i="8"/>
  <c r="J1489" i="8"/>
  <c r="I1489" i="8"/>
  <c r="L1488" i="8"/>
  <c r="J1488" i="8"/>
  <c r="I1488" i="8"/>
  <c r="L1487" i="8"/>
  <c r="J1487" i="8"/>
  <c r="I1487" i="8"/>
  <c r="L1486" i="8"/>
  <c r="J1486" i="8"/>
  <c r="I1486" i="8"/>
  <c r="L1485" i="8"/>
  <c r="J1485" i="8"/>
  <c r="I1485" i="8"/>
  <c r="L1484" i="8"/>
  <c r="J1484" i="8"/>
  <c r="I1484" i="8"/>
  <c r="L1483" i="8"/>
  <c r="J1483" i="8"/>
  <c r="I1483" i="8"/>
  <c r="L1482" i="8"/>
  <c r="J1482" i="8"/>
  <c r="I1482" i="8"/>
  <c r="L1481" i="8"/>
  <c r="J1481" i="8"/>
  <c r="I1481" i="8"/>
  <c r="L1480" i="8"/>
  <c r="J1480" i="8"/>
  <c r="I1480" i="8"/>
  <c r="L1479" i="8"/>
  <c r="J1479" i="8"/>
  <c r="I1479" i="8"/>
  <c r="L1478" i="8"/>
  <c r="J1478" i="8"/>
  <c r="I1478" i="8"/>
  <c r="L1477" i="8"/>
  <c r="J1477" i="8"/>
  <c r="I1477" i="8"/>
  <c r="L1476" i="8"/>
  <c r="J1476" i="8"/>
  <c r="I1476" i="8"/>
  <c r="L1475" i="8"/>
  <c r="J1475" i="8"/>
  <c r="I1475" i="8"/>
  <c r="L1474" i="8"/>
  <c r="J1474" i="8"/>
  <c r="I1474" i="8"/>
  <c r="L1473" i="8"/>
  <c r="J1473" i="8"/>
  <c r="I1473" i="8"/>
  <c r="L1472" i="8"/>
  <c r="J1472" i="8"/>
  <c r="I1472" i="8"/>
  <c r="L1471" i="8"/>
  <c r="J1471" i="8"/>
  <c r="I1471" i="8"/>
  <c r="L1470" i="8"/>
  <c r="J1470" i="8"/>
  <c r="I1470" i="8"/>
  <c r="L1469" i="8"/>
  <c r="J1469" i="8"/>
  <c r="I1469" i="8"/>
  <c r="L1468" i="8"/>
  <c r="J1468" i="8"/>
  <c r="I1468" i="8"/>
  <c r="L1467" i="8"/>
  <c r="J1467" i="8"/>
  <c r="I1467" i="8"/>
  <c r="L1466" i="8"/>
  <c r="J1466" i="8"/>
  <c r="I1466" i="8"/>
  <c r="L1465" i="8"/>
  <c r="J1465" i="8"/>
  <c r="I1465" i="8"/>
  <c r="L1464" i="8"/>
  <c r="J1464" i="8"/>
  <c r="I1464" i="8"/>
  <c r="L1463" i="8"/>
  <c r="J1463" i="8"/>
  <c r="I1463" i="8"/>
  <c r="L1462" i="8"/>
  <c r="J1462" i="8"/>
  <c r="I1462" i="8"/>
  <c r="L1461" i="8"/>
  <c r="J1461" i="8"/>
  <c r="I1461" i="8"/>
  <c r="L1460" i="8"/>
  <c r="J1460" i="8"/>
  <c r="I1460" i="8"/>
  <c r="L1459" i="8"/>
  <c r="J1459" i="8"/>
  <c r="I1459" i="8"/>
  <c r="L1458" i="8"/>
  <c r="J1458" i="8"/>
  <c r="I1458" i="8"/>
  <c r="L1457" i="8"/>
  <c r="J1457" i="8"/>
  <c r="I1457" i="8"/>
  <c r="L1456" i="8"/>
  <c r="J1456" i="8"/>
  <c r="I1456" i="8"/>
  <c r="L1455" i="8"/>
  <c r="J1455" i="8"/>
  <c r="I1455" i="8"/>
  <c r="L1454" i="8"/>
  <c r="J1454" i="8"/>
  <c r="I1454" i="8"/>
  <c r="L1453" i="8"/>
  <c r="J1453" i="8"/>
  <c r="I1453" i="8"/>
  <c r="L1452" i="8"/>
  <c r="J1452" i="8"/>
  <c r="I1452" i="8"/>
  <c r="L1451" i="8"/>
  <c r="J1451" i="8"/>
  <c r="I1451" i="8"/>
  <c r="L1450" i="8"/>
  <c r="J1450" i="8"/>
  <c r="I1450" i="8"/>
  <c r="L1449" i="8"/>
  <c r="J1449" i="8"/>
  <c r="I1449" i="8"/>
  <c r="L1448" i="8"/>
  <c r="J1448" i="8"/>
  <c r="I1448" i="8"/>
  <c r="L1447" i="8"/>
  <c r="J1447" i="8"/>
  <c r="I1447" i="8"/>
  <c r="L1446" i="8"/>
  <c r="J1446" i="8"/>
  <c r="I1446" i="8"/>
  <c r="L1445" i="8"/>
  <c r="J1445" i="8"/>
  <c r="I1445" i="8"/>
  <c r="L1444" i="8"/>
  <c r="J1444" i="8"/>
  <c r="I1444" i="8"/>
  <c r="L1443" i="8"/>
  <c r="J1443" i="8"/>
  <c r="I1443" i="8"/>
  <c r="L1442" i="8"/>
  <c r="J1442" i="8"/>
  <c r="I1442" i="8"/>
  <c r="L1441" i="8"/>
  <c r="J1441" i="8"/>
  <c r="I1441" i="8"/>
  <c r="L1440" i="8"/>
  <c r="J1440" i="8"/>
  <c r="I1440" i="8"/>
  <c r="L1439" i="8"/>
  <c r="J1439" i="8"/>
  <c r="I1439" i="8"/>
  <c r="L1438" i="8"/>
  <c r="J1438" i="8"/>
  <c r="I1438" i="8"/>
  <c r="L1437" i="8"/>
  <c r="J1437" i="8"/>
  <c r="I1437" i="8"/>
  <c r="L1436" i="8"/>
  <c r="J1436" i="8"/>
  <c r="I1436" i="8"/>
  <c r="L1435" i="8"/>
  <c r="J1435" i="8"/>
  <c r="I1435" i="8"/>
  <c r="L1434" i="8"/>
  <c r="J1434" i="8"/>
  <c r="I1434" i="8"/>
  <c r="L1433" i="8"/>
  <c r="J1433" i="8"/>
  <c r="I1433" i="8"/>
  <c r="L1432" i="8"/>
  <c r="J1432" i="8"/>
  <c r="I1432" i="8"/>
  <c r="L1431" i="8"/>
  <c r="J1431" i="8"/>
  <c r="I1431" i="8"/>
  <c r="L1430" i="8"/>
  <c r="J1430" i="8"/>
  <c r="I1430" i="8"/>
  <c r="L1429" i="8"/>
  <c r="J1429" i="8"/>
  <c r="I1429" i="8"/>
  <c r="L1428" i="8"/>
  <c r="J1428" i="8"/>
  <c r="I1428" i="8"/>
  <c r="L1427" i="8"/>
  <c r="J1427" i="8"/>
  <c r="I1427" i="8"/>
  <c r="L1426" i="8"/>
  <c r="J1426" i="8"/>
  <c r="I1426" i="8"/>
  <c r="L1425" i="8"/>
  <c r="J1425" i="8"/>
  <c r="I1425" i="8"/>
  <c r="L1424" i="8"/>
  <c r="J1424" i="8"/>
  <c r="I1424" i="8"/>
  <c r="L1423" i="8"/>
  <c r="J1423" i="8"/>
  <c r="I1423" i="8"/>
  <c r="L1422" i="8"/>
  <c r="J1422" i="8"/>
  <c r="I1422" i="8"/>
  <c r="L1421" i="8"/>
  <c r="J1421" i="8"/>
  <c r="I1421" i="8"/>
  <c r="L1420" i="8"/>
  <c r="J1420" i="8"/>
  <c r="I1420" i="8"/>
  <c r="L1419" i="8"/>
  <c r="J1419" i="8"/>
  <c r="I1419" i="8"/>
  <c r="L1418" i="8"/>
  <c r="J1418" i="8"/>
  <c r="I1418" i="8"/>
  <c r="L1417" i="8"/>
  <c r="J1417" i="8"/>
  <c r="I1417" i="8"/>
  <c r="L1416" i="8"/>
  <c r="J1416" i="8"/>
  <c r="I1416" i="8"/>
  <c r="L1415" i="8"/>
  <c r="J1415" i="8"/>
  <c r="I1415" i="8"/>
  <c r="L1414" i="8"/>
  <c r="J1414" i="8"/>
  <c r="I1414" i="8"/>
  <c r="L1413" i="8"/>
  <c r="J1413" i="8"/>
  <c r="I1413" i="8"/>
  <c r="L1412" i="8"/>
  <c r="J1412" i="8"/>
  <c r="I1412" i="8"/>
  <c r="L1411" i="8"/>
  <c r="J1411" i="8"/>
  <c r="I1411" i="8"/>
  <c r="L1410" i="8"/>
  <c r="J1410" i="8"/>
  <c r="I1410" i="8"/>
  <c r="L1409" i="8"/>
  <c r="J1409" i="8"/>
  <c r="I1409" i="8"/>
  <c r="L1408" i="8"/>
  <c r="J1408" i="8"/>
  <c r="I1408" i="8"/>
  <c r="L1407" i="8"/>
  <c r="J1407" i="8"/>
  <c r="I1407" i="8"/>
  <c r="L1406" i="8"/>
  <c r="J1406" i="8"/>
  <c r="I1406" i="8"/>
  <c r="L1405" i="8"/>
  <c r="J1405" i="8"/>
  <c r="I1405" i="8"/>
  <c r="L1404" i="8"/>
  <c r="J1404" i="8"/>
  <c r="I1404" i="8"/>
  <c r="L1403" i="8"/>
  <c r="J1403" i="8"/>
  <c r="I1403" i="8"/>
  <c r="L1402" i="8"/>
  <c r="J1402" i="8"/>
  <c r="I1402" i="8"/>
  <c r="L1401" i="8"/>
  <c r="J1401" i="8"/>
  <c r="I1401" i="8"/>
  <c r="L1400" i="8"/>
  <c r="J1400" i="8"/>
  <c r="I1400" i="8"/>
  <c r="L1399" i="8"/>
  <c r="J1399" i="8"/>
  <c r="I1399" i="8"/>
  <c r="L1398" i="8"/>
  <c r="J1398" i="8"/>
  <c r="I1398" i="8"/>
  <c r="L1397" i="8"/>
  <c r="J1397" i="8"/>
  <c r="I1397" i="8"/>
  <c r="L1396" i="8"/>
  <c r="J1396" i="8"/>
  <c r="I1396" i="8"/>
  <c r="L1395" i="8"/>
  <c r="J1395" i="8"/>
  <c r="I1395" i="8"/>
  <c r="L1394" i="8"/>
  <c r="J1394" i="8"/>
  <c r="I1394" i="8"/>
  <c r="L1393" i="8"/>
  <c r="J1393" i="8"/>
  <c r="I1393" i="8"/>
  <c r="L1392" i="8"/>
  <c r="J1392" i="8"/>
  <c r="I1392" i="8"/>
  <c r="L1391" i="8"/>
  <c r="J1391" i="8"/>
  <c r="I1391" i="8"/>
  <c r="L1390" i="8"/>
  <c r="J1390" i="8"/>
  <c r="I1390" i="8"/>
  <c r="L1389" i="8"/>
  <c r="J1389" i="8"/>
  <c r="I1389" i="8"/>
  <c r="L1388" i="8"/>
  <c r="J1388" i="8"/>
  <c r="I1388" i="8"/>
  <c r="L1387" i="8"/>
  <c r="J1387" i="8"/>
  <c r="I1387" i="8"/>
  <c r="L1386" i="8"/>
  <c r="J1386" i="8"/>
  <c r="I1386" i="8"/>
  <c r="L1385" i="8"/>
  <c r="J1385" i="8"/>
  <c r="I1385" i="8"/>
  <c r="L1384" i="8"/>
  <c r="J1384" i="8"/>
  <c r="I1384" i="8"/>
  <c r="L1383" i="8"/>
  <c r="J1383" i="8"/>
  <c r="I1383" i="8"/>
  <c r="L1382" i="8"/>
  <c r="J1382" i="8"/>
  <c r="I1382" i="8"/>
  <c r="L1381" i="8"/>
  <c r="J1381" i="8"/>
  <c r="I1381" i="8"/>
  <c r="L1380" i="8"/>
  <c r="J1380" i="8"/>
  <c r="I1380" i="8"/>
  <c r="L1379" i="8"/>
  <c r="J1379" i="8"/>
  <c r="I1379" i="8"/>
  <c r="L1378" i="8"/>
  <c r="J1378" i="8"/>
  <c r="I1378" i="8"/>
  <c r="L1377" i="8"/>
  <c r="J1377" i="8"/>
  <c r="I1377" i="8"/>
  <c r="L1376" i="8"/>
  <c r="J1376" i="8"/>
  <c r="I1376" i="8"/>
  <c r="L1375" i="8"/>
  <c r="J1375" i="8"/>
  <c r="I1375" i="8"/>
  <c r="L1374" i="8"/>
  <c r="J1374" i="8"/>
  <c r="I1374" i="8"/>
  <c r="L1373" i="8"/>
  <c r="J1373" i="8"/>
  <c r="I1373" i="8"/>
  <c r="L1372" i="8"/>
  <c r="J1372" i="8"/>
  <c r="I1372" i="8"/>
  <c r="L1371" i="8"/>
  <c r="J1371" i="8"/>
  <c r="I1371" i="8"/>
  <c r="L1370" i="8"/>
  <c r="J1370" i="8"/>
  <c r="I1370" i="8"/>
  <c r="L1369" i="8"/>
  <c r="J1369" i="8"/>
  <c r="I1369" i="8"/>
  <c r="L1368" i="8"/>
  <c r="J1368" i="8"/>
  <c r="I1368" i="8"/>
  <c r="L1367" i="8"/>
  <c r="J1367" i="8"/>
  <c r="I1367" i="8"/>
  <c r="L1366" i="8"/>
  <c r="J1366" i="8"/>
  <c r="I1366" i="8"/>
  <c r="L1365" i="8"/>
  <c r="J1365" i="8"/>
  <c r="I1365" i="8"/>
  <c r="L1364" i="8"/>
  <c r="J1364" i="8"/>
  <c r="I1364" i="8"/>
  <c r="L1363" i="8"/>
  <c r="J1363" i="8"/>
  <c r="I1363" i="8"/>
  <c r="L1362" i="8"/>
  <c r="J1362" i="8"/>
  <c r="I1362" i="8"/>
  <c r="L1361" i="8"/>
  <c r="J1361" i="8"/>
  <c r="I1361" i="8"/>
  <c r="L1360" i="8"/>
  <c r="J1360" i="8"/>
  <c r="I1360" i="8"/>
  <c r="L1359" i="8"/>
  <c r="J1359" i="8"/>
  <c r="I1359" i="8"/>
  <c r="L1358" i="8"/>
  <c r="J1358" i="8"/>
  <c r="I1358" i="8"/>
  <c r="L1357" i="8"/>
  <c r="J1357" i="8"/>
  <c r="I1357" i="8"/>
  <c r="L1356" i="8"/>
  <c r="J1356" i="8"/>
  <c r="I1356" i="8"/>
  <c r="L1355" i="8"/>
  <c r="J1355" i="8"/>
  <c r="I1355" i="8"/>
  <c r="L1354" i="8"/>
  <c r="J1354" i="8"/>
  <c r="I1354" i="8"/>
  <c r="L1353" i="8"/>
  <c r="J1353" i="8"/>
  <c r="I1353" i="8"/>
  <c r="L1352" i="8"/>
  <c r="J1352" i="8"/>
  <c r="I1352" i="8"/>
  <c r="L1351" i="8"/>
  <c r="J1351" i="8"/>
  <c r="I1351" i="8"/>
  <c r="L1350" i="8"/>
  <c r="J1350" i="8"/>
  <c r="I1350" i="8"/>
  <c r="L1349" i="8"/>
  <c r="J1349" i="8"/>
  <c r="I1349" i="8"/>
  <c r="L1348" i="8"/>
  <c r="J1348" i="8"/>
  <c r="I1348" i="8"/>
  <c r="L1347" i="8"/>
  <c r="J1347" i="8"/>
  <c r="I1347" i="8"/>
  <c r="L1346" i="8"/>
  <c r="J1346" i="8"/>
  <c r="I1346" i="8"/>
  <c r="L1345" i="8"/>
  <c r="J1345" i="8"/>
  <c r="I1345" i="8"/>
  <c r="L1344" i="8"/>
  <c r="J1344" i="8"/>
  <c r="I1344" i="8"/>
  <c r="L1343" i="8"/>
  <c r="J1343" i="8"/>
  <c r="I1343" i="8"/>
  <c r="L1342" i="8"/>
  <c r="J1342" i="8"/>
  <c r="I1342" i="8"/>
  <c r="L1341" i="8"/>
  <c r="J1341" i="8"/>
  <c r="I1341" i="8"/>
  <c r="L1340" i="8"/>
  <c r="J1340" i="8"/>
  <c r="I1340" i="8"/>
  <c r="L1339" i="8"/>
  <c r="J1339" i="8"/>
  <c r="I1339" i="8"/>
  <c r="L1338" i="8"/>
  <c r="J1338" i="8"/>
  <c r="I1338" i="8"/>
  <c r="L1337" i="8"/>
  <c r="J1337" i="8"/>
  <c r="I1337" i="8"/>
  <c r="L1336" i="8"/>
  <c r="J1336" i="8"/>
  <c r="I1336" i="8"/>
  <c r="L1335" i="8"/>
  <c r="J1335" i="8"/>
  <c r="I1335" i="8"/>
  <c r="L1334" i="8"/>
  <c r="J1334" i="8"/>
  <c r="I1334" i="8"/>
  <c r="L1333" i="8"/>
  <c r="J1333" i="8"/>
  <c r="I1333" i="8"/>
  <c r="L1332" i="8"/>
  <c r="J1332" i="8"/>
  <c r="I1332" i="8"/>
  <c r="L1331" i="8"/>
  <c r="J1331" i="8"/>
  <c r="I1331" i="8"/>
  <c r="L1330" i="8"/>
  <c r="J1330" i="8"/>
  <c r="I1330" i="8"/>
  <c r="L1329" i="8"/>
  <c r="J1329" i="8"/>
  <c r="I1329" i="8"/>
  <c r="L1328" i="8"/>
  <c r="J1328" i="8"/>
  <c r="I1328" i="8"/>
  <c r="L1327" i="8"/>
  <c r="J1327" i="8"/>
  <c r="I1327" i="8"/>
  <c r="L1326" i="8"/>
  <c r="J1326" i="8"/>
  <c r="I1326" i="8"/>
  <c r="L1325" i="8"/>
  <c r="J1325" i="8"/>
  <c r="I1325" i="8"/>
  <c r="L1324" i="8"/>
  <c r="J1324" i="8"/>
  <c r="I1324" i="8"/>
  <c r="L1323" i="8"/>
  <c r="J1323" i="8"/>
  <c r="I1323" i="8"/>
  <c r="L1322" i="8"/>
  <c r="J1322" i="8"/>
  <c r="I1322" i="8"/>
  <c r="L1321" i="8"/>
  <c r="J1321" i="8"/>
  <c r="I1321" i="8"/>
  <c r="L1320" i="8"/>
  <c r="J1320" i="8"/>
  <c r="I1320" i="8"/>
  <c r="L1319" i="8"/>
  <c r="J1319" i="8"/>
  <c r="I1319" i="8"/>
  <c r="L1318" i="8"/>
  <c r="J1318" i="8"/>
  <c r="I1318" i="8"/>
  <c r="L1317" i="8"/>
  <c r="J1317" i="8"/>
  <c r="I1317" i="8"/>
  <c r="L1316" i="8"/>
  <c r="J1316" i="8"/>
  <c r="I1316" i="8"/>
  <c r="L1315" i="8"/>
  <c r="J1315" i="8"/>
  <c r="I1315" i="8"/>
  <c r="L1314" i="8"/>
  <c r="J1314" i="8"/>
  <c r="I1314" i="8"/>
  <c r="L1313" i="8"/>
  <c r="J1313" i="8"/>
  <c r="I1313" i="8"/>
  <c r="L1312" i="8"/>
  <c r="J1312" i="8"/>
  <c r="I1312" i="8"/>
  <c r="L1311" i="8"/>
  <c r="J1311" i="8"/>
  <c r="I1311" i="8"/>
  <c r="L1310" i="8"/>
  <c r="J1310" i="8"/>
  <c r="I1310" i="8"/>
  <c r="L1309" i="8"/>
  <c r="J1309" i="8"/>
  <c r="I1309" i="8"/>
  <c r="L1308" i="8"/>
  <c r="J1308" i="8"/>
  <c r="I1308" i="8"/>
  <c r="L1307" i="8"/>
  <c r="J1307" i="8"/>
  <c r="I1307" i="8"/>
  <c r="L1306" i="8"/>
  <c r="J1306" i="8"/>
  <c r="I1306" i="8"/>
  <c r="L1305" i="8"/>
  <c r="J1305" i="8"/>
  <c r="I1305" i="8"/>
  <c r="L1304" i="8"/>
  <c r="J1304" i="8"/>
  <c r="I1304" i="8"/>
  <c r="L1303" i="8"/>
  <c r="J1303" i="8"/>
  <c r="I1303" i="8"/>
  <c r="L1302" i="8"/>
  <c r="J1302" i="8"/>
  <c r="I1302" i="8"/>
  <c r="L1301" i="8"/>
  <c r="J1301" i="8"/>
  <c r="I1301" i="8"/>
  <c r="L1300" i="8"/>
  <c r="J1300" i="8"/>
  <c r="I1300" i="8"/>
  <c r="L1299" i="8"/>
  <c r="J1299" i="8"/>
  <c r="I1299" i="8"/>
  <c r="L1298" i="8"/>
  <c r="J1298" i="8"/>
  <c r="I1298" i="8"/>
  <c r="L1297" i="8"/>
  <c r="J1297" i="8"/>
  <c r="I1297" i="8"/>
  <c r="L1296" i="8"/>
  <c r="J1296" i="8"/>
  <c r="I1296" i="8"/>
  <c r="L1295" i="8"/>
  <c r="J1295" i="8"/>
  <c r="I1295" i="8"/>
  <c r="L1294" i="8"/>
  <c r="J1294" i="8"/>
  <c r="I1294" i="8"/>
  <c r="L1293" i="8"/>
  <c r="J1293" i="8"/>
  <c r="I1293" i="8"/>
  <c r="L1292" i="8"/>
  <c r="J1292" i="8"/>
  <c r="I1292" i="8"/>
  <c r="L1291" i="8"/>
  <c r="J1291" i="8"/>
  <c r="I1291" i="8"/>
  <c r="L1290" i="8"/>
  <c r="J1290" i="8"/>
  <c r="I1290" i="8"/>
  <c r="L1289" i="8"/>
  <c r="J1289" i="8"/>
  <c r="I1289" i="8"/>
  <c r="L1288" i="8"/>
  <c r="J1288" i="8"/>
  <c r="I1288" i="8"/>
  <c r="L1287" i="8"/>
  <c r="J1287" i="8"/>
  <c r="I1287" i="8"/>
  <c r="L1286" i="8"/>
  <c r="J1286" i="8"/>
  <c r="I1286" i="8"/>
  <c r="L1285" i="8"/>
  <c r="J1285" i="8"/>
  <c r="I1285" i="8"/>
  <c r="L1284" i="8"/>
  <c r="J1284" i="8"/>
  <c r="I1284" i="8"/>
  <c r="L1283" i="8"/>
  <c r="J1283" i="8"/>
  <c r="I1283" i="8"/>
  <c r="L1282" i="8"/>
  <c r="J1282" i="8"/>
  <c r="I1282" i="8"/>
  <c r="L1281" i="8"/>
  <c r="J1281" i="8"/>
  <c r="I1281" i="8"/>
  <c r="L1280" i="8"/>
  <c r="J1280" i="8"/>
  <c r="I1280" i="8"/>
  <c r="L1279" i="8"/>
  <c r="J1279" i="8"/>
  <c r="I1279" i="8"/>
  <c r="L1278" i="8"/>
  <c r="J1278" i="8"/>
  <c r="I1278" i="8"/>
  <c r="L1277" i="8"/>
  <c r="J1277" i="8"/>
  <c r="I1277" i="8"/>
  <c r="L1276" i="8"/>
  <c r="J1276" i="8"/>
  <c r="I1276" i="8"/>
  <c r="L1275" i="8"/>
  <c r="J1275" i="8"/>
  <c r="I1275" i="8"/>
  <c r="L1274" i="8"/>
  <c r="J1274" i="8"/>
  <c r="I1274" i="8"/>
  <c r="L1273" i="8"/>
  <c r="J1273" i="8"/>
  <c r="I1273" i="8"/>
  <c r="L1272" i="8"/>
  <c r="J1272" i="8"/>
  <c r="I1272" i="8"/>
  <c r="L1271" i="8"/>
  <c r="J1271" i="8"/>
  <c r="I1271" i="8"/>
  <c r="L1270" i="8"/>
  <c r="J1270" i="8"/>
  <c r="I1270" i="8"/>
  <c r="L1269" i="8"/>
  <c r="J1269" i="8"/>
  <c r="I1269" i="8"/>
  <c r="L1268" i="8"/>
  <c r="J1268" i="8"/>
  <c r="I1268" i="8"/>
  <c r="L1267" i="8"/>
  <c r="J1267" i="8"/>
  <c r="I1267" i="8"/>
  <c r="L1266" i="8"/>
  <c r="J1266" i="8"/>
  <c r="I1266" i="8"/>
  <c r="L1265" i="8"/>
  <c r="J1265" i="8"/>
  <c r="I1265" i="8"/>
  <c r="L1264" i="8"/>
  <c r="J1264" i="8"/>
  <c r="I1264" i="8"/>
  <c r="L1263" i="8"/>
  <c r="J1263" i="8"/>
  <c r="I1263" i="8"/>
  <c r="L1262" i="8"/>
  <c r="J1262" i="8"/>
  <c r="I1262" i="8"/>
  <c r="L1261" i="8"/>
  <c r="J1261" i="8"/>
  <c r="I1261" i="8"/>
  <c r="L1260" i="8"/>
  <c r="J1260" i="8"/>
  <c r="I1260" i="8"/>
  <c r="L1259" i="8"/>
  <c r="J1259" i="8"/>
  <c r="I1259" i="8"/>
  <c r="L1258" i="8"/>
  <c r="J1258" i="8"/>
  <c r="I1258" i="8"/>
  <c r="L1257" i="8"/>
  <c r="J1257" i="8"/>
  <c r="I1257" i="8"/>
  <c r="L1256" i="8"/>
  <c r="J1256" i="8"/>
  <c r="I1256" i="8"/>
  <c r="L1255" i="8"/>
  <c r="J1255" i="8"/>
  <c r="I1255" i="8"/>
  <c r="L1254" i="8"/>
  <c r="J1254" i="8"/>
  <c r="I1254" i="8"/>
  <c r="L1253" i="8"/>
  <c r="J1253" i="8"/>
  <c r="I1253" i="8"/>
  <c r="L1252" i="8"/>
  <c r="J1252" i="8"/>
  <c r="I1252" i="8"/>
  <c r="L1251" i="8"/>
  <c r="J1251" i="8"/>
  <c r="I1251" i="8"/>
  <c r="L1250" i="8"/>
  <c r="J1250" i="8"/>
  <c r="I1250" i="8"/>
  <c r="L1249" i="8"/>
  <c r="J1249" i="8"/>
  <c r="I1249" i="8"/>
  <c r="L1248" i="8"/>
  <c r="J1248" i="8"/>
  <c r="I1248" i="8"/>
  <c r="L1247" i="8"/>
  <c r="J1247" i="8"/>
  <c r="I1247" i="8"/>
  <c r="L1246" i="8"/>
  <c r="J1246" i="8"/>
  <c r="I1246" i="8"/>
  <c r="L1245" i="8"/>
  <c r="J1245" i="8"/>
  <c r="I1245" i="8"/>
  <c r="L1244" i="8"/>
  <c r="J1244" i="8"/>
  <c r="I1244" i="8"/>
  <c r="L1243" i="8"/>
  <c r="J1243" i="8"/>
  <c r="I1243" i="8"/>
  <c r="L1242" i="8"/>
  <c r="J1242" i="8"/>
  <c r="I1242" i="8"/>
  <c r="L1241" i="8"/>
  <c r="J1241" i="8"/>
  <c r="I1241" i="8"/>
  <c r="L1240" i="8"/>
  <c r="J1240" i="8"/>
  <c r="I1240" i="8"/>
  <c r="L1239" i="8"/>
  <c r="J1239" i="8"/>
  <c r="I1239" i="8"/>
  <c r="L1238" i="8"/>
  <c r="J1238" i="8"/>
  <c r="I1238" i="8"/>
  <c r="L1237" i="8"/>
  <c r="J1237" i="8"/>
  <c r="I1237" i="8"/>
  <c r="L1236" i="8"/>
  <c r="J1236" i="8"/>
  <c r="I1236" i="8"/>
  <c r="L1235" i="8"/>
  <c r="J1235" i="8"/>
  <c r="I1235" i="8"/>
  <c r="L1234" i="8"/>
  <c r="J1234" i="8"/>
  <c r="I1234" i="8"/>
  <c r="L1233" i="8"/>
  <c r="J1233" i="8"/>
  <c r="I1233" i="8"/>
  <c r="L1232" i="8"/>
  <c r="J1232" i="8"/>
  <c r="I1232" i="8"/>
  <c r="L1231" i="8"/>
  <c r="J1231" i="8"/>
  <c r="I1231" i="8"/>
  <c r="L1230" i="8"/>
  <c r="J1230" i="8"/>
  <c r="I1230" i="8"/>
  <c r="L1229" i="8"/>
  <c r="J1229" i="8"/>
  <c r="I1229" i="8"/>
  <c r="L1228" i="8"/>
  <c r="J1228" i="8"/>
  <c r="I1228" i="8"/>
  <c r="L1227" i="8"/>
  <c r="J1227" i="8"/>
  <c r="I1227" i="8"/>
  <c r="L1226" i="8"/>
  <c r="J1226" i="8"/>
  <c r="I1226" i="8"/>
  <c r="L1225" i="8"/>
  <c r="J1225" i="8"/>
  <c r="I1225" i="8"/>
  <c r="L1224" i="8"/>
  <c r="J1224" i="8"/>
  <c r="I1224" i="8"/>
  <c r="L1223" i="8"/>
  <c r="J1223" i="8"/>
  <c r="I1223" i="8"/>
  <c r="L1222" i="8"/>
  <c r="J1222" i="8"/>
  <c r="I1222" i="8"/>
  <c r="L1221" i="8"/>
  <c r="J1221" i="8"/>
  <c r="I1221" i="8"/>
  <c r="L1220" i="8"/>
  <c r="J1220" i="8"/>
  <c r="I1220" i="8"/>
  <c r="L1219" i="8"/>
  <c r="J1219" i="8"/>
  <c r="I1219" i="8"/>
  <c r="L1218" i="8"/>
  <c r="J1218" i="8"/>
  <c r="I1218" i="8"/>
  <c r="L1217" i="8"/>
  <c r="J1217" i="8"/>
  <c r="I1217" i="8"/>
  <c r="L1216" i="8"/>
  <c r="J1216" i="8"/>
  <c r="I1216" i="8"/>
  <c r="L1215" i="8"/>
  <c r="J1215" i="8"/>
  <c r="I1215" i="8"/>
  <c r="L1214" i="8"/>
  <c r="J1214" i="8"/>
  <c r="I1214" i="8"/>
  <c r="L1213" i="8"/>
  <c r="J1213" i="8"/>
  <c r="I1213" i="8"/>
  <c r="L1212" i="8"/>
  <c r="J1212" i="8"/>
  <c r="I1212" i="8"/>
  <c r="L1211" i="8"/>
  <c r="J1211" i="8"/>
  <c r="I1211" i="8"/>
  <c r="L1210" i="8"/>
  <c r="J1210" i="8"/>
  <c r="I1210" i="8"/>
  <c r="L1209" i="8"/>
  <c r="J1209" i="8"/>
  <c r="I1209" i="8"/>
  <c r="L1208" i="8"/>
  <c r="J1208" i="8"/>
  <c r="I1208" i="8"/>
  <c r="L1207" i="8"/>
  <c r="J1207" i="8"/>
  <c r="I1207" i="8"/>
  <c r="L1206" i="8"/>
  <c r="J1206" i="8"/>
  <c r="I1206" i="8"/>
  <c r="L1205" i="8"/>
  <c r="J1205" i="8"/>
  <c r="I1205" i="8"/>
  <c r="L1204" i="8"/>
  <c r="J1204" i="8"/>
  <c r="I1204" i="8"/>
  <c r="L1203" i="8"/>
  <c r="J1203" i="8"/>
  <c r="I1203" i="8"/>
  <c r="L1202" i="8"/>
  <c r="J1202" i="8"/>
  <c r="I1202" i="8"/>
  <c r="L1201" i="8"/>
  <c r="J1201" i="8"/>
  <c r="I1201" i="8"/>
  <c r="L1200" i="8"/>
  <c r="J1200" i="8"/>
  <c r="I1200" i="8"/>
  <c r="L1199" i="8"/>
  <c r="J1199" i="8"/>
  <c r="I1199" i="8"/>
  <c r="L1198" i="8"/>
  <c r="J1198" i="8"/>
  <c r="I1198" i="8"/>
  <c r="L1197" i="8"/>
  <c r="J1197" i="8"/>
  <c r="I1197" i="8"/>
  <c r="L1196" i="8"/>
  <c r="J1196" i="8"/>
  <c r="I1196" i="8"/>
  <c r="L1195" i="8"/>
  <c r="J1195" i="8"/>
  <c r="I1195" i="8"/>
  <c r="L1194" i="8"/>
  <c r="J1194" i="8"/>
  <c r="I1194" i="8"/>
  <c r="L1193" i="8"/>
  <c r="J1193" i="8"/>
  <c r="I1193" i="8"/>
  <c r="L1192" i="8"/>
  <c r="J1192" i="8"/>
  <c r="I1192" i="8"/>
  <c r="L1191" i="8"/>
  <c r="J1191" i="8"/>
  <c r="I1191" i="8"/>
  <c r="L1190" i="8"/>
  <c r="J1190" i="8"/>
  <c r="I1190" i="8"/>
  <c r="L1189" i="8"/>
  <c r="J1189" i="8"/>
  <c r="I1189" i="8"/>
  <c r="L1188" i="8"/>
  <c r="J1188" i="8"/>
  <c r="I1188" i="8"/>
  <c r="L1187" i="8"/>
  <c r="J1187" i="8"/>
  <c r="I1187" i="8"/>
  <c r="L1186" i="8"/>
  <c r="J1186" i="8"/>
  <c r="I1186" i="8"/>
  <c r="L1185" i="8"/>
  <c r="J1185" i="8"/>
  <c r="I1185" i="8"/>
  <c r="L1184" i="8"/>
  <c r="J1184" i="8"/>
  <c r="I1184" i="8"/>
  <c r="L1183" i="8"/>
  <c r="J1183" i="8"/>
  <c r="I1183" i="8"/>
  <c r="L1182" i="8"/>
  <c r="J1182" i="8"/>
  <c r="I1182" i="8"/>
  <c r="L1181" i="8"/>
  <c r="J1181" i="8"/>
  <c r="I1181" i="8"/>
  <c r="L1180" i="8"/>
  <c r="J1180" i="8"/>
  <c r="I1180" i="8"/>
  <c r="L1179" i="8"/>
  <c r="J1179" i="8"/>
  <c r="I1179" i="8"/>
  <c r="L1178" i="8"/>
  <c r="J1178" i="8"/>
  <c r="I1178" i="8"/>
  <c r="L1177" i="8"/>
  <c r="J1177" i="8"/>
  <c r="I1177" i="8"/>
  <c r="L1176" i="8"/>
  <c r="J1176" i="8"/>
  <c r="I1176" i="8"/>
  <c r="L1175" i="8"/>
  <c r="J1175" i="8"/>
  <c r="I1175" i="8"/>
  <c r="L1174" i="8"/>
  <c r="J1174" i="8"/>
  <c r="I1174" i="8"/>
  <c r="L1173" i="8"/>
  <c r="J1173" i="8"/>
  <c r="I1173" i="8"/>
  <c r="L1172" i="8"/>
  <c r="J1172" i="8"/>
  <c r="I1172" i="8"/>
  <c r="L1171" i="8"/>
  <c r="J1171" i="8"/>
  <c r="I1171" i="8"/>
  <c r="L1170" i="8"/>
  <c r="J1170" i="8"/>
  <c r="I1170" i="8"/>
  <c r="L1169" i="8"/>
  <c r="J1169" i="8"/>
  <c r="I1169" i="8"/>
  <c r="L1168" i="8"/>
  <c r="J1168" i="8"/>
  <c r="I1168" i="8"/>
  <c r="L1167" i="8"/>
  <c r="J1167" i="8"/>
  <c r="I1167" i="8"/>
  <c r="L1166" i="8"/>
  <c r="J1166" i="8"/>
  <c r="I1166" i="8"/>
  <c r="L1165" i="8"/>
  <c r="J1165" i="8"/>
  <c r="I1165" i="8"/>
  <c r="L1164" i="8"/>
  <c r="J1164" i="8"/>
  <c r="I1164" i="8"/>
  <c r="L1163" i="8"/>
  <c r="J1163" i="8"/>
  <c r="I1163" i="8"/>
  <c r="L1162" i="8"/>
  <c r="J1162" i="8"/>
  <c r="I1162" i="8"/>
  <c r="L1161" i="8"/>
  <c r="J1161" i="8"/>
  <c r="I1161" i="8"/>
  <c r="L1160" i="8"/>
  <c r="J1160" i="8"/>
  <c r="I1160" i="8"/>
  <c r="L1159" i="8"/>
  <c r="J1159" i="8"/>
  <c r="I1159" i="8"/>
  <c r="L1158" i="8"/>
  <c r="J1158" i="8"/>
  <c r="I1158" i="8"/>
  <c r="L1157" i="8"/>
  <c r="J1157" i="8"/>
  <c r="I1157" i="8"/>
  <c r="L1156" i="8"/>
  <c r="J1156" i="8"/>
  <c r="I1156" i="8"/>
  <c r="L1155" i="8"/>
  <c r="J1155" i="8"/>
  <c r="I1155" i="8"/>
  <c r="L1154" i="8"/>
  <c r="J1154" i="8"/>
  <c r="I1154" i="8"/>
  <c r="L1153" i="8"/>
  <c r="J1153" i="8"/>
  <c r="I1153" i="8"/>
  <c r="L1152" i="8"/>
  <c r="J1152" i="8"/>
  <c r="I1152" i="8"/>
  <c r="L1151" i="8"/>
  <c r="J1151" i="8"/>
  <c r="I1151" i="8"/>
  <c r="L1150" i="8"/>
  <c r="J1150" i="8"/>
  <c r="I1150" i="8"/>
  <c r="L1149" i="8"/>
  <c r="J1149" i="8"/>
  <c r="I1149" i="8"/>
  <c r="L1148" i="8"/>
  <c r="J1148" i="8"/>
  <c r="I1148" i="8"/>
  <c r="L1147" i="8"/>
  <c r="J1147" i="8"/>
  <c r="I1147" i="8"/>
  <c r="L1146" i="8"/>
  <c r="J1146" i="8"/>
  <c r="I1146" i="8"/>
  <c r="L1145" i="8"/>
  <c r="J1145" i="8"/>
  <c r="I1145" i="8"/>
  <c r="L1144" i="8"/>
  <c r="J1144" i="8"/>
  <c r="I1144" i="8"/>
  <c r="L1143" i="8"/>
  <c r="J1143" i="8"/>
  <c r="I1143" i="8"/>
  <c r="L1142" i="8"/>
  <c r="J1142" i="8"/>
  <c r="I1142" i="8"/>
  <c r="L1141" i="8"/>
  <c r="J1141" i="8"/>
  <c r="I1141" i="8"/>
  <c r="L1140" i="8"/>
  <c r="J1140" i="8"/>
  <c r="I1140" i="8"/>
  <c r="L1139" i="8"/>
  <c r="J1139" i="8"/>
  <c r="I1139" i="8"/>
  <c r="L1138" i="8"/>
  <c r="J1138" i="8"/>
  <c r="I1138" i="8"/>
  <c r="L1137" i="8"/>
  <c r="J1137" i="8"/>
  <c r="I1137" i="8"/>
  <c r="L1136" i="8"/>
  <c r="J1136" i="8"/>
  <c r="I1136" i="8"/>
  <c r="L1135" i="8"/>
  <c r="J1135" i="8"/>
  <c r="I1135" i="8"/>
  <c r="L1134" i="8"/>
  <c r="J1134" i="8"/>
  <c r="I1134" i="8"/>
  <c r="L1133" i="8"/>
  <c r="J1133" i="8"/>
  <c r="I1133" i="8"/>
  <c r="L1132" i="8"/>
  <c r="J1132" i="8"/>
  <c r="I1132" i="8"/>
  <c r="L1131" i="8"/>
  <c r="J1131" i="8"/>
  <c r="I1131" i="8"/>
  <c r="L1130" i="8"/>
  <c r="J1130" i="8"/>
  <c r="I1130" i="8"/>
  <c r="L1129" i="8"/>
  <c r="J1129" i="8"/>
  <c r="I1129" i="8"/>
  <c r="L1128" i="8"/>
  <c r="J1128" i="8"/>
  <c r="I1128" i="8"/>
  <c r="L1127" i="8"/>
  <c r="J1127" i="8"/>
  <c r="I1127" i="8"/>
  <c r="L1126" i="8"/>
  <c r="J1126" i="8"/>
  <c r="I1126" i="8"/>
  <c r="L1125" i="8"/>
  <c r="J1125" i="8"/>
  <c r="I1125" i="8"/>
  <c r="L1124" i="8"/>
  <c r="J1124" i="8"/>
  <c r="I1124" i="8"/>
  <c r="L1123" i="8"/>
  <c r="J1123" i="8"/>
  <c r="I1123" i="8"/>
  <c r="L1122" i="8"/>
  <c r="J1122" i="8"/>
  <c r="I1122" i="8"/>
  <c r="L1121" i="8"/>
  <c r="J1121" i="8"/>
  <c r="I1121" i="8"/>
  <c r="L1120" i="8"/>
  <c r="J1120" i="8"/>
  <c r="I1120" i="8"/>
  <c r="L1119" i="8"/>
  <c r="J1119" i="8"/>
  <c r="I1119" i="8"/>
  <c r="L1118" i="8"/>
  <c r="J1118" i="8"/>
  <c r="I1118" i="8"/>
  <c r="L1117" i="8"/>
  <c r="J1117" i="8"/>
  <c r="I1117" i="8"/>
  <c r="L1116" i="8"/>
  <c r="J1116" i="8"/>
  <c r="I1116" i="8"/>
  <c r="L1115" i="8"/>
  <c r="J1115" i="8"/>
  <c r="I1115" i="8"/>
  <c r="L1114" i="8"/>
  <c r="J1114" i="8"/>
  <c r="I1114" i="8"/>
  <c r="L1113" i="8"/>
  <c r="J1113" i="8"/>
  <c r="I1113" i="8"/>
  <c r="L1112" i="8"/>
  <c r="J1112" i="8"/>
  <c r="I1112" i="8"/>
  <c r="L1111" i="8"/>
  <c r="J1111" i="8"/>
  <c r="I1111" i="8"/>
  <c r="L1110" i="8"/>
  <c r="J1110" i="8"/>
  <c r="I1110" i="8"/>
  <c r="L1109" i="8"/>
  <c r="J1109" i="8"/>
  <c r="I1109" i="8"/>
  <c r="L1108" i="8"/>
  <c r="J1108" i="8"/>
  <c r="I1108" i="8"/>
  <c r="L1107" i="8"/>
  <c r="J1107" i="8"/>
  <c r="I1107" i="8"/>
  <c r="L1106" i="8"/>
  <c r="J1106" i="8"/>
  <c r="I1106" i="8"/>
  <c r="L1105" i="8"/>
  <c r="J1105" i="8"/>
  <c r="I1105" i="8"/>
  <c r="L1104" i="8"/>
  <c r="J1104" i="8"/>
  <c r="I1104" i="8"/>
  <c r="L1103" i="8"/>
  <c r="J1103" i="8"/>
  <c r="I1103" i="8"/>
  <c r="L1102" i="8"/>
  <c r="J1102" i="8"/>
  <c r="I1102" i="8"/>
  <c r="L1101" i="8"/>
  <c r="J1101" i="8"/>
  <c r="I1101" i="8"/>
  <c r="L1100" i="8"/>
  <c r="J1100" i="8"/>
  <c r="I1100" i="8"/>
  <c r="L1099" i="8"/>
  <c r="J1099" i="8"/>
  <c r="I1099" i="8"/>
  <c r="L1098" i="8"/>
  <c r="J1098" i="8"/>
  <c r="I1098" i="8"/>
  <c r="L1097" i="8"/>
  <c r="J1097" i="8"/>
  <c r="I1097" i="8"/>
  <c r="L1096" i="8"/>
  <c r="J1096" i="8"/>
  <c r="I1096" i="8"/>
  <c r="L1095" i="8"/>
  <c r="J1095" i="8"/>
  <c r="I1095" i="8"/>
  <c r="L1094" i="8"/>
  <c r="J1094" i="8"/>
  <c r="I1094" i="8"/>
  <c r="L1093" i="8"/>
  <c r="J1093" i="8"/>
  <c r="I1093" i="8"/>
  <c r="L1092" i="8"/>
  <c r="J1092" i="8"/>
  <c r="I1092" i="8"/>
  <c r="L1091" i="8"/>
  <c r="J1091" i="8"/>
  <c r="I1091" i="8"/>
  <c r="L1090" i="8"/>
  <c r="J1090" i="8"/>
  <c r="I1090" i="8"/>
  <c r="L1089" i="8"/>
  <c r="J1089" i="8"/>
  <c r="I1089" i="8"/>
  <c r="L1088" i="8"/>
  <c r="J1088" i="8"/>
  <c r="I1088" i="8"/>
  <c r="L1087" i="8"/>
  <c r="J1087" i="8"/>
  <c r="I1087" i="8"/>
  <c r="L1086" i="8"/>
  <c r="J1086" i="8"/>
  <c r="I1086" i="8"/>
  <c r="L1085" i="8"/>
  <c r="J1085" i="8"/>
  <c r="I1085" i="8"/>
  <c r="L1084" i="8"/>
  <c r="J1084" i="8"/>
  <c r="I1084" i="8"/>
  <c r="L1083" i="8"/>
  <c r="J1083" i="8"/>
  <c r="I1083" i="8"/>
  <c r="L1082" i="8"/>
  <c r="J1082" i="8"/>
  <c r="I1082" i="8"/>
  <c r="L1081" i="8"/>
  <c r="J1081" i="8"/>
  <c r="I1081" i="8"/>
  <c r="L1080" i="8"/>
  <c r="J1080" i="8"/>
  <c r="I1080" i="8"/>
  <c r="L1079" i="8"/>
  <c r="J1079" i="8"/>
  <c r="I1079" i="8"/>
  <c r="L1078" i="8"/>
  <c r="J1078" i="8"/>
  <c r="I1078" i="8"/>
  <c r="L1077" i="8"/>
  <c r="J1077" i="8"/>
  <c r="I1077" i="8"/>
  <c r="L1076" i="8"/>
  <c r="J1076" i="8"/>
  <c r="I1076" i="8"/>
  <c r="L1075" i="8"/>
  <c r="J1075" i="8"/>
  <c r="I1075" i="8"/>
  <c r="L1074" i="8"/>
  <c r="J1074" i="8"/>
  <c r="I1074" i="8"/>
  <c r="L1073" i="8"/>
  <c r="J1073" i="8"/>
  <c r="I1073" i="8"/>
  <c r="L1072" i="8"/>
  <c r="J1072" i="8"/>
  <c r="I1072" i="8"/>
  <c r="L1071" i="8"/>
  <c r="J1071" i="8"/>
  <c r="I1071" i="8"/>
  <c r="L1070" i="8"/>
  <c r="J1070" i="8"/>
  <c r="I1070" i="8"/>
  <c r="L1069" i="8"/>
  <c r="J1069" i="8"/>
  <c r="I1069" i="8"/>
  <c r="L1068" i="8"/>
  <c r="J1068" i="8"/>
  <c r="I1068" i="8"/>
  <c r="L1067" i="8"/>
  <c r="J1067" i="8"/>
  <c r="I1067" i="8"/>
  <c r="L1066" i="8"/>
  <c r="J1066" i="8"/>
  <c r="I1066" i="8"/>
  <c r="L1065" i="8"/>
  <c r="J1065" i="8"/>
  <c r="I1065" i="8"/>
  <c r="L1064" i="8"/>
  <c r="J1064" i="8"/>
  <c r="I1064" i="8"/>
  <c r="L1063" i="8"/>
  <c r="J1063" i="8"/>
  <c r="I1063" i="8"/>
  <c r="L1062" i="8"/>
  <c r="J1062" i="8"/>
  <c r="I1062" i="8"/>
  <c r="L1061" i="8"/>
  <c r="J1061" i="8"/>
  <c r="I1061" i="8"/>
  <c r="L1060" i="8"/>
  <c r="J1060" i="8"/>
  <c r="I1060" i="8"/>
  <c r="L1059" i="8"/>
  <c r="J1059" i="8"/>
  <c r="I1059" i="8"/>
  <c r="L1058" i="8"/>
  <c r="J1058" i="8"/>
  <c r="I1058" i="8"/>
  <c r="L1057" i="8"/>
  <c r="J1057" i="8"/>
  <c r="I1057" i="8"/>
  <c r="L1056" i="8"/>
  <c r="J1056" i="8"/>
  <c r="I1056" i="8"/>
  <c r="L1055" i="8"/>
  <c r="J1055" i="8"/>
  <c r="I1055" i="8"/>
  <c r="L1054" i="8"/>
  <c r="J1054" i="8"/>
  <c r="I1054" i="8"/>
  <c r="L1053" i="8"/>
  <c r="J1053" i="8"/>
  <c r="I1053" i="8"/>
  <c r="L1052" i="8"/>
  <c r="J1052" i="8"/>
  <c r="I1052" i="8"/>
  <c r="L1051" i="8"/>
  <c r="J1051" i="8"/>
  <c r="I1051" i="8"/>
  <c r="L1050" i="8"/>
  <c r="J1050" i="8"/>
  <c r="I1050" i="8"/>
  <c r="L1049" i="8"/>
  <c r="J1049" i="8"/>
  <c r="I1049" i="8"/>
  <c r="L1048" i="8"/>
  <c r="J1048" i="8"/>
  <c r="I1048" i="8"/>
  <c r="L1047" i="8"/>
  <c r="J1047" i="8"/>
  <c r="I1047" i="8"/>
  <c r="L1046" i="8"/>
  <c r="J1046" i="8"/>
  <c r="I1046" i="8"/>
  <c r="L1045" i="8"/>
  <c r="J1045" i="8"/>
  <c r="I1045" i="8"/>
  <c r="L1044" i="8"/>
  <c r="J1044" i="8"/>
  <c r="I1044" i="8"/>
  <c r="L1043" i="8"/>
  <c r="J1043" i="8"/>
  <c r="I1043" i="8"/>
  <c r="L1042" i="8"/>
  <c r="J1042" i="8"/>
  <c r="I1042" i="8"/>
  <c r="L1041" i="8"/>
  <c r="J1041" i="8"/>
  <c r="I1041" i="8"/>
  <c r="L1040" i="8"/>
  <c r="J1040" i="8"/>
  <c r="I1040" i="8"/>
  <c r="L1039" i="8"/>
  <c r="J1039" i="8"/>
  <c r="I1039" i="8"/>
  <c r="L1038" i="8"/>
  <c r="J1038" i="8"/>
  <c r="I1038" i="8"/>
  <c r="L1037" i="8"/>
  <c r="J1037" i="8"/>
  <c r="I1037" i="8"/>
  <c r="L1036" i="8"/>
  <c r="J1036" i="8"/>
  <c r="I1036" i="8"/>
  <c r="L1035" i="8"/>
  <c r="J1035" i="8"/>
  <c r="I1035" i="8"/>
  <c r="L1034" i="8"/>
  <c r="J1034" i="8"/>
  <c r="I1034" i="8"/>
  <c r="L1033" i="8"/>
  <c r="J1033" i="8"/>
  <c r="I1033" i="8"/>
  <c r="L1032" i="8"/>
  <c r="J1032" i="8"/>
  <c r="I1032" i="8"/>
  <c r="L1031" i="8"/>
  <c r="J1031" i="8"/>
  <c r="I1031" i="8"/>
  <c r="L1030" i="8"/>
  <c r="J1030" i="8"/>
  <c r="I1030" i="8"/>
  <c r="L1029" i="8"/>
  <c r="J1029" i="8"/>
  <c r="I1029" i="8"/>
  <c r="L1028" i="8"/>
  <c r="J1028" i="8"/>
  <c r="I1028" i="8"/>
  <c r="L1027" i="8"/>
  <c r="J1027" i="8"/>
  <c r="I1027" i="8"/>
  <c r="L1026" i="8"/>
  <c r="J1026" i="8"/>
  <c r="I1026" i="8"/>
  <c r="L1025" i="8"/>
  <c r="J1025" i="8"/>
  <c r="I1025" i="8"/>
  <c r="L1024" i="8"/>
  <c r="J1024" i="8"/>
  <c r="I1024" i="8"/>
  <c r="L1023" i="8"/>
  <c r="J1023" i="8"/>
  <c r="I1023" i="8"/>
  <c r="L1022" i="8"/>
  <c r="J1022" i="8"/>
  <c r="I1022" i="8"/>
  <c r="L1021" i="8"/>
  <c r="J1021" i="8"/>
  <c r="I1021" i="8"/>
  <c r="L1020" i="8"/>
  <c r="J1020" i="8"/>
  <c r="I1020" i="8"/>
  <c r="L1019" i="8"/>
  <c r="J1019" i="8"/>
  <c r="I1019" i="8"/>
  <c r="L1018" i="8"/>
  <c r="J1018" i="8"/>
  <c r="I1018" i="8"/>
  <c r="L1017" i="8"/>
  <c r="J1017" i="8"/>
  <c r="I1017" i="8"/>
  <c r="L1016" i="8"/>
  <c r="J1016" i="8"/>
  <c r="I1016" i="8"/>
  <c r="L1015" i="8"/>
  <c r="J1015" i="8"/>
  <c r="I1015" i="8"/>
  <c r="L1014" i="8"/>
  <c r="J1014" i="8"/>
  <c r="I1014" i="8"/>
  <c r="L1013" i="8"/>
  <c r="J1013" i="8"/>
  <c r="I1013" i="8"/>
  <c r="L1012" i="8"/>
  <c r="J1012" i="8"/>
  <c r="I1012" i="8"/>
  <c r="L1011" i="8"/>
  <c r="J1011" i="8"/>
  <c r="I1011" i="8"/>
  <c r="L1010" i="8"/>
  <c r="J1010" i="8"/>
  <c r="I1010" i="8"/>
  <c r="L1009" i="8"/>
  <c r="J1009" i="8"/>
  <c r="I1009" i="8"/>
  <c r="L1008" i="8"/>
  <c r="J1008" i="8"/>
  <c r="I1008" i="8"/>
  <c r="L1007" i="8"/>
  <c r="J1007" i="8"/>
  <c r="I1007" i="8"/>
  <c r="L1006" i="8"/>
  <c r="J1006" i="8"/>
  <c r="I1006" i="8"/>
  <c r="L1005" i="8"/>
  <c r="J1005" i="8"/>
  <c r="I1005" i="8"/>
  <c r="L1004" i="8"/>
  <c r="J1004" i="8"/>
  <c r="I1004" i="8"/>
  <c r="L1003" i="8"/>
  <c r="J1003" i="8"/>
  <c r="I1003" i="8"/>
  <c r="L1002" i="8"/>
  <c r="J1002" i="8"/>
  <c r="I1002" i="8"/>
  <c r="L1001" i="8"/>
  <c r="J1001" i="8"/>
  <c r="I1001" i="8"/>
  <c r="L1000" i="8"/>
  <c r="J1000" i="8"/>
  <c r="I1000" i="8"/>
  <c r="L999" i="8"/>
  <c r="J999" i="8"/>
  <c r="I999" i="8"/>
  <c r="L998" i="8"/>
  <c r="J998" i="8"/>
  <c r="I998" i="8"/>
  <c r="L997" i="8"/>
  <c r="J997" i="8"/>
  <c r="I997" i="8"/>
  <c r="L996" i="8"/>
  <c r="J996" i="8"/>
  <c r="I996" i="8"/>
  <c r="L995" i="8"/>
  <c r="J995" i="8"/>
  <c r="I995" i="8"/>
  <c r="L994" i="8"/>
  <c r="J994" i="8"/>
  <c r="I994" i="8"/>
  <c r="L993" i="8"/>
  <c r="J993" i="8"/>
  <c r="I993" i="8"/>
  <c r="L992" i="8"/>
  <c r="J992" i="8"/>
  <c r="I992" i="8"/>
  <c r="L991" i="8"/>
  <c r="J991" i="8"/>
  <c r="I991" i="8"/>
  <c r="L990" i="8"/>
  <c r="J990" i="8"/>
  <c r="I990" i="8"/>
  <c r="L989" i="8"/>
  <c r="J989" i="8"/>
  <c r="I989" i="8"/>
  <c r="L988" i="8"/>
  <c r="J988" i="8"/>
  <c r="I988" i="8"/>
  <c r="L987" i="8"/>
  <c r="J987" i="8"/>
  <c r="I987" i="8"/>
  <c r="L986" i="8"/>
  <c r="J986" i="8"/>
  <c r="I986" i="8"/>
  <c r="L985" i="8"/>
  <c r="J985" i="8"/>
  <c r="I985" i="8"/>
  <c r="L984" i="8"/>
  <c r="J984" i="8"/>
  <c r="I984" i="8"/>
  <c r="L983" i="8"/>
  <c r="J983" i="8"/>
  <c r="I983" i="8"/>
  <c r="L982" i="8"/>
  <c r="J982" i="8"/>
  <c r="I982" i="8"/>
  <c r="L981" i="8"/>
  <c r="J981" i="8"/>
  <c r="I981" i="8"/>
  <c r="L980" i="8"/>
  <c r="J980" i="8"/>
  <c r="I980" i="8"/>
  <c r="L979" i="8"/>
  <c r="J979" i="8"/>
  <c r="I979" i="8"/>
  <c r="L978" i="8"/>
  <c r="J978" i="8"/>
  <c r="I978" i="8"/>
  <c r="L977" i="8"/>
  <c r="J977" i="8"/>
  <c r="I977" i="8"/>
  <c r="L976" i="8"/>
  <c r="J976" i="8"/>
  <c r="I976" i="8"/>
  <c r="L975" i="8"/>
  <c r="J975" i="8"/>
  <c r="I975" i="8"/>
  <c r="L974" i="8"/>
  <c r="J974" i="8"/>
  <c r="I974" i="8"/>
  <c r="L973" i="8"/>
  <c r="J973" i="8"/>
  <c r="I973" i="8"/>
  <c r="L972" i="8"/>
  <c r="J972" i="8"/>
  <c r="I972" i="8"/>
  <c r="L971" i="8"/>
  <c r="J971" i="8"/>
  <c r="I971" i="8"/>
  <c r="L970" i="8"/>
  <c r="J970" i="8"/>
  <c r="I970" i="8"/>
  <c r="L969" i="8"/>
  <c r="J969" i="8"/>
  <c r="I969" i="8"/>
  <c r="L968" i="8"/>
  <c r="J968" i="8"/>
  <c r="I968" i="8"/>
  <c r="L967" i="8"/>
  <c r="J967" i="8"/>
  <c r="I967" i="8"/>
  <c r="L966" i="8"/>
  <c r="J966" i="8"/>
  <c r="I966" i="8"/>
  <c r="L965" i="8"/>
  <c r="J965" i="8"/>
  <c r="I965" i="8"/>
  <c r="L964" i="8"/>
  <c r="J964" i="8"/>
  <c r="I964" i="8"/>
  <c r="L963" i="8"/>
  <c r="J963" i="8"/>
  <c r="I963" i="8"/>
  <c r="L962" i="8"/>
  <c r="J962" i="8"/>
  <c r="I962" i="8"/>
  <c r="L961" i="8"/>
  <c r="J961" i="8"/>
  <c r="I961" i="8"/>
  <c r="L960" i="8"/>
  <c r="J960" i="8"/>
  <c r="I960" i="8"/>
  <c r="L959" i="8"/>
  <c r="J959" i="8"/>
  <c r="I959" i="8"/>
  <c r="L958" i="8"/>
  <c r="J958" i="8"/>
  <c r="I958" i="8"/>
  <c r="L957" i="8"/>
  <c r="J957" i="8"/>
  <c r="I957" i="8"/>
  <c r="L956" i="8"/>
  <c r="J956" i="8"/>
  <c r="I956" i="8"/>
  <c r="L955" i="8"/>
  <c r="J955" i="8"/>
  <c r="I955" i="8"/>
  <c r="L954" i="8"/>
  <c r="J954" i="8"/>
  <c r="I954" i="8"/>
  <c r="L953" i="8"/>
  <c r="J953" i="8"/>
  <c r="I953" i="8"/>
  <c r="L952" i="8"/>
  <c r="J952" i="8"/>
  <c r="I952" i="8"/>
  <c r="L951" i="8"/>
  <c r="J951" i="8"/>
  <c r="I951" i="8"/>
  <c r="L950" i="8"/>
  <c r="J950" i="8"/>
  <c r="I950" i="8"/>
  <c r="L949" i="8"/>
  <c r="J949" i="8"/>
  <c r="I949" i="8"/>
  <c r="L948" i="8"/>
  <c r="J948" i="8"/>
  <c r="I948" i="8"/>
  <c r="L947" i="8"/>
  <c r="J947" i="8"/>
  <c r="I947" i="8"/>
  <c r="L946" i="8"/>
  <c r="J946" i="8"/>
  <c r="I946" i="8"/>
  <c r="L945" i="8"/>
  <c r="J945" i="8"/>
  <c r="I945" i="8"/>
  <c r="L944" i="8"/>
  <c r="J944" i="8"/>
  <c r="I944" i="8"/>
  <c r="L943" i="8"/>
  <c r="J943" i="8"/>
  <c r="I943" i="8"/>
  <c r="L942" i="8"/>
  <c r="J942" i="8"/>
  <c r="I942" i="8"/>
  <c r="L941" i="8"/>
  <c r="J941" i="8"/>
  <c r="I941" i="8"/>
  <c r="L940" i="8"/>
  <c r="J940" i="8"/>
  <c r="I940" i="8"/>
  <c r="L939" i="8"/>
  <c r="J939" i="8"/>
  <c r="I939" i="8"/>
  <c r="L938" i="8"/>
  <c r="J938" i="8"/>
  <c r="I938" i="8"/>
  <c r="L937" i="8"/>
  <c r="J937" i="8"/>
  <c r="I937" i="8"/>
  <c r="L936" i="8"/>
  <c r="J936" i="8"/>
  <c r="I936" i="8"/>
  <c r="L935" i="8"/>
  <c r="J935" i="8"/>
  <c r="I935" i="8"/>
  <c r="L934" i="8"/>
  <c r="J934" i="8"/>
  <c r="I934" i="8"/>
  <c r="L933" i="8"/>
  <c r="J933" i="8"/>
  <c r="I933" i="8"/>
  <c r="L932" i="8"/>
  <c r="J932" i="8"/>
  <c r="I932" i="8"/>
  <c r="L931" i="8"/>
  <c r="J931" i="8"/>
  <c r="I931" i="8"/>
  <c r="L930" i="8"/>
  <c r="J930" i="8"/>
  <c r="I930" i="8"/>
  <c r="L929" i="8"/>
  <c r="J929" i="8"/>
  <c r="I929" i="8"/>
  <c r="L928" i="8"/>
  <c r="J928" i="8"/>
  <c r="I928" i="8"/>
  <c r="L927" i="8"/>
  <c r="J927" i="8"/>
  <c r="I927" i="8"/>
  <c r="L926" i="8"/>
  <c r="J926" i="8"/>
  <c r="I926" i="8"/>
  <c r="L925" i="8"/>
  <c r="J925" i="8"/>
  <c r="I925" i="8"/>
  <c r="L924" i="8"/>
  <c r="J924" i="8"/>
  <c r="I924" i="8"/>
  <c r="L923" i="8"/>
  <c r="J923" i="8"/>
  <c r="I923" i="8"/>
  <c r="L922" i="8"/>
  <c r="J922" i="8"/>
  <c r="I922" i="8"/>
  <c r="L921" i="8"/>
  <c r="J921" i="8"/>
  <c r="I921" i="8"/>
  <c r="L920" i="8"/>
  <c r="J920" i="8"/>
  <c r="I920" i="8"/>
  <c r="L919" i="8"/>
  <c r="J919" i="8"/>
  <c r="I919" i="8"/>
  <c r="L918" i="8"/>
  <c r="J918" i="8"/>
  <c r="I918" i="8"/>
  <c r="L917" i="8"/>
  <c r="J917" i="8"/>
  <c r="I917" i="8"/>
  <c r="L916" i="8"/>
  <c r="J916" i="8"/>
  <c r="I916" i="8"/>
  <c r="L915" i="8"/>
  <c r="J915" i="8"/>
  <c r="I915" i="8"/>
  <c r="L914" i="8"/>
  <c r="J914" i="8"/>
  <c r="I914" i="8"/>
  <c r="L913" i="8"/>
  <c r="J913" i="8"/>
  <c r="I913" i="8"/>
  <c r="L912" i="8"/>
  <c r="J912" i="8"/>
  <c r="I912" i="8"/>
  <c r="L911" i="8"/>
  <c r="J911" i="8"/>
  <c r="I911" i="8"/>
  <c r="L910" i="8"/>
  <c r="J910" i="8"/>
  <c r="I910" i="8"/>
  <c r="L909" i="8"/>
  <c r="J909" i="8"/>
  <c r="I909" i="8"/>
  <c r="L908" i="8"/>
  <c r="J908" i="8"/>
  <c r="I908" i="8"/>
  <c r="L907" i="8"/>
  <c r="J907" i="8"/>
  <c r="I907" i="8"/>
  <c r="L906" i="8"/>
  <c r="J906" i="8"/>
  <c r="I906" i="8"/>
  <c r="L905" i="8"/>
  <c r="J905" i="8"/>
  <c r="I905" i="8"/>
  <c r="L904" i="8"/>
  <c r="J904" i="8"/>
  <c r="I904" i="8"/>
  <c r="L903" i="8"/>
  <c r="J903" i="8"/>
  <c r="I903" i="8"/>
  <c r="L902" i="8"/>
  <c r="J902" i="8"/>
  <c r="I902" i="8"/>
  <c r="L901" i="8"/>
  <c r="J901" i="8"/>
  <c r="I901" i="8"/>
  <c r="L900" i="8"/>
  <c r="J900" i="8"/>
  <c r="I900" i="8"/>
  <c r="L899" i="8"/>
  <c r="J899" i="8"/>
  <c r="I899" i="8"/>
  <c r="L898" i="8"/>
  <c r="J898" i="8"/>
  <c r="I898" i="8"/>
  <c r="L897" i="8"/>
  <c r="J897" i="8"/>
  <c r="I897" i="8"/>
  <c r="L896" i="8"/>
  <c r="J896" i="8"/>
  <c r="I896" i="8"/>
  <c r="L895" i="8"/>
  <c r="J895" i="8"/>
  <c r="I895" i="8"/>
  <c r="L894" i="8"/>
  <c r="J894" i="8"/>
  <c r="I894" i="8"/>
  <c r="L893" i="8"/>
  <c r="J893" i="8"/>
  <c r="I893" i="8"/>
  <c r="L892" i="8"/>
  <c r="J892" i="8"/>
  <c r="I892" i="8"/>
  <c r="L891" i="8"/>
  <c r="J891" i="8"/>
  <c r="I891" i="8"/>
  <c r="L890" i="8"/>
  <c r="J890" i="8"/>
  <c r="I890" i="8"/>
  <c r="L889" i="8"/>
  <c r="J889" i="8"/>
  <c r="I889" i="8"/>
  <c r="L888" i="8"/>
  <c r="J888" i="8"/>
  <c r="I888" i="8"/>
  <c r="L887" i="8"/>
  <c r="J887" i="8"/>
  <c r="I887" i="8"/>
  <c r="L886" i="8"/>
  <c r="J886" i="8"/>
  <c r="I886" i="8"/>
  <c r="L885" i="8"/>
  <c r="J885" i="8"/>
  <c r="I885" i="8"/>
  <c r="L884" i="8"/>
  <c r="J884" i="8"/>
  <c r="I884" i="8"/>
  <c r="L883" i="8"/>
  <c r="J883" i="8"/>
  <c r="I883" i="8"/>
  <c r="L882" i="8"/>
  <c r="J882" i="8"/>
  <c r="I882" i="8"/>
  <c r="L881" i="8"/>
  <c r="J881" i="8"/>
  <c r="I881" i="8"/>
  <c r="L880" i="8"/>
  <c r="J880" i="8"/>
  <c r="I880" i="8"/>
  <c r="L879" i="8"/>
  <c r="J879" i="8"/>
  <c r="I879" i="8"/>
  <c r="L878" i="8"/>
  <c r="J878" i="8"/>
  <c r="I878" i="8"/>
  <c r="L877" i="8"/>
  <c r="J877" i="8"/>
  <c r="I877" i="8"/>
  <c r="L876" i="8"/>
  <c r="J876" i="8"/>
  <c r="I876" i="8"/>
  <c r="L875" i="8"/>
  <c r="J875" i="8"/>
  <c r="I875" i="8"/>
  <c r="L874" i="8"/>
  <c r="J874" i="8"/>
  <c r="I874" i="8"/>
  <c r="L873" i="8"/>
  <c r="J873" i="8"/>
  <c r="I873" i="8"/>
  <c r="L872" i="8"/>
  <c r="J872" i="8"/>
  <c r="I872" i="8"/>
  <c r="L871" i="8"/>
  <c r="J871" i="8"/>
  <c r="I871" i="8"/>
  <c r="L870" i="8"/>
  <c r="J870" i="8"/>
  <c r="I870" i="8"/>
  <c r="L869" i="8"/>
  <c r="J869" i="8"/>
  <c r="I869" i="8"/>
  <c r="L868" i="8"/>
  <c r="J868" i="8"/>
  <c r="I868" i="8"/>
  <c r="L867" i="8"/>
  <c r="J867" i="8"/>
  <c r="I867" i="8"/>
  <c r="L866" i="8"/>
  <c r="J866" i="8"/>
  <c r="I866" i="8"/>
  <c r="L865" i="8"/>
  <c r="J865" i="8"/>
  <c r="I865" i="8"/>
  <c r="L864" i="8"/>
  <c r="J864" i="8"/>
  <c r="I864" i="8"/>
  <c r="L863" i="8"/>
  <c r="J863" i="8"/>
  <c r="I863" i="8"/>
  <c r="L862" i="8"/>
  <c r="J862" i="8"/>
  <c r="I862" i="8"/>
  <c r="L861" i="8"/>
  <c r="J861" i="8"/>
  <c r="I861" i="8"/>
  <c r="L860" i="8"/>
  <c r="J860" i="8"/>
  <c r="I860" i="8"/>
  <c r="L859" i="8"/>
  <c r="J859" i="8"/>
  <c r="I859" i="8"/>
  <c r="L858" i="8"/>
  <c r="J858" i="8"/>
  <c r="I858" i="8"/>
  <c r="L857" i="8"/>
  <c r="J857" i="8"/>
  <c r="I857" i="8"/>
  <c r="L856" i="8"/>
  <c r="J856" i="8"/>
  <c r="I856" i="8"/>
  <c r="L855" i="8"/>
  <c r="J855" i="8"/>
  <c r="I855" i="8"/>
  <c r="L854" i="8"/>
  <c r="J854" i="8"/>
  <c r="I854" i="8"/>
  <c r="L853" i="8"/>
  <c r="J853" i="8"/>
  <c r="I853" i="8"/>
  <c r="L852" i="8"/>
  <c r="J852" i="8"/>
  <c r="I852" i="8"/>
  <c r="L851" i="8"/>
  <c r="J851" i="8"/>
  <c r="I851" i="8"/>
  <c r="L850" i="8"/>
  <c r="J850" i="8"/>
  <c r="I850" i="8"/>
  <c r="L849" i="8"/>
  <c r="J849" i="8"/>
  <c r="I849" i="8"/>
  <c r="L848" i="8"/>
  <c r="J848" i="8"/>
  <c r="I848" i="8"/>
  <c r="L847" i="8"/>
  <c r="J847" i="8"/>
  <c r="I847" i="8"/>
  <c r="L846" i="8"/>
  <c r="J846" i="8"/>
  <c r="I846" i="8"/>
  <c r="L845" i="8"/>
  <c r="J845" i="8"/>
  <c r="I845" i="8"/>
  <c r="L844" i="8"/>
  <c r="J844" i="8"/>
  <c r="I844" i="8"/>
  <c r="L843" i="8"/>
  <c r="J843" i="8"/>
  <c r="I843" i="8"/>
  <c r="L842" i="8"/>
  <c r="J842" i="8"/>
  <c r="I842" i="8"/>
  <c r="L841" i="8"/>
  <c r="J841" i="8"/>
  <c r="I841" i="8"/>
  <c r="L840" i="8"/>
  <c r="J840" i="8"/>
  <c r="I840" i="8"/>
  <c r="L839" i="8"/>
  <c r="J839" i="8"/>
  <c r="I839" i="8"/>
  <c r="L838" i="8"/>
  <c r="J838" i="8"/>
  <c r="I838" i="8"/>
  <c r="L837" i="8"/>
  <c r="J837" i="8"/>
  <c r="I837" i="8"/>
  <c r="L836" i="8"/>
  <c r="J836" i="8"/>
  <c r="I836" i="8"/>
  <c r="L835" i="8"/>
  <c r="J835" i="8"/>
  <c r="I835" i="8"/>
  <c r="L834" i="8"/>
  <c r="J834" i="8"/>
  <c r="I834" i="8"/>
  <c r="L833" i="8"/>
  <c r="J833" i="8"/>
  <c r="I833" i="8"/>
  <c r="L832" i="8"/>
  <c r="J832" i="8"/>
  <c r="I832" i="8"/>
  <c r="L831" i="8"/>
  <c r="J831" i="8"/>
  <c r="I831" i="8"/>
  <c r="L830" i="8"/>
  <c r="J830" i="8"/>
  <c r="I830" i="8"/>
  <c r="L829" i="8"/>
  <c r="J829" i="8"/>
  <c r="I829" i="8"/>
  <c r="L828" i="8"/>
  <c r="J828" i="8"/>
  <c r="I828" i="8"/>
  <c r="L827" i="8"/>
  <c r="J827" i="8"/>
  <c r="I827" i="8"/>
  <c r="L826" i="8"/>
  <c r="J826" i="8"/>
  <c r="I826" i="8"/>
  <c r="L825" i="8"/>
  <c r="J825" i="8"/>
  <c r="I825" i="8"/>
  <c r="L824" i="8"/>
  <c r="J824" i="8"/>
  <c r="I824" i="8"/>
  <c r="L823" i="8"/>
  <c r="J823" i="8"/>
  <c r="I823" i="8"/>
  <c r="L822" i="8"/>
  <c r="J822" i="8"/>
  <c r="I822" i="8"/>
  <c r="L821" i="8"/>
  <c r="J821" i="8"/>
  <c r="I821" i="8"/>
  <c r="L820" i="8"/>
  <c r="J820" i="8"/>
  <c r="I820" i="8"/>
  <c r="L819" i="8"/>
  <c r="J819" i="8"/>
  <c r="I819" i="8"/>
  <c r="L818" i="8"/>
  <c r="J818" i="8"/>
  <c r="I818" i="8"/>
  <c r="L817" i="8"/>
  <c r="J817" i="8"/>
  <c r="I817" i="8"/>
  <c r="L816" i="8"/>
  <c r="J816" i="8"/>
  <c r="I816" i="8"/>
  <c r="L815" i="8"/>
  <c r="J815" i="8"/>
  <c r="I815" i="8"/>
  <c r="L814" i="8"/>
  <c r="J814" i="8"/>
  <c r="I814" i="8"/>
  <c r="L813" i="8"/>
  <c r="J813" i="8"/>
  <c r="I813" i="8"/>
  <c r="L812" i="8"/>
  <c r="J812" i="8"/>
  <c r="I812" i="8"/>
  <c r="L811" i="8"/>
  <c r="J811" i="8"/>
  <c r="I811" i="8"/>
  <c r="L810" i="8"/>
  <c r="J810" i="8"/>
  <c r="I810" i="8"/>
  <c r="L809" i="8"/>
  <c r="J809" i="8"/>
  <c r="I809" i="8"/>
  <c r="L808" i="8"/>
  <c r="J808" i="8"/>
  <c r="I808" i="8"/>
  <c r="L807" i="8"/>
  <c r="J807" i="8"/>
  <c r="I807" i="8"/>
  <c r="L806" i="8"/>
  <c r="J806" i="8"/>
  <c r="I806" i="8"/>
  <c r="L805" i="8"/>
  <c r="J805" i="8"/>
  <c r="I805" i="8"/>
  <c r="L804" i="8"/>
  <c r="J804" i="8"/>
  <c r="I804" i="8"/>
  <c r="L803" i="8"/>
  <c r="J803" i="8"/>
  <c r="I803" i="8"/>
  <c r="L802" i="8"/>
  <c r="J802" i="8"/>
  <c r="I802" i="8"/>
  <c r="L801" i="8"/>
  <c r="J801" i="8"/>
  <c r="I801" i="8"/>
  <c r="L800" i="8"/>
  <c r="J800" i="8"/>
  <c r="I800" i="8"/>
  <c r="L799" i="8"/>
  <c r="J799" i="8"/>
  <c r="I799" i="8"/>
  <c r="L798" i="8"/>
  <c r="J798" i="8"/>
  <c r="I798" i="8"/>
  <c r="L797" i="8"/>
  <c r="J797" i="8"/>
  <c r="I797" i="8"/>
  <c r="L796" i="8"/>
  <c r="J796" i="8"/>
  <c r="I796" i="8"/>
  <c r="L795" i="8"/>
  <c r="J795" i="8"/>
  <c r="I795" i="8"/>
  <c r="L794" i="8"/>
  <c r="J794" i="8"/>
  <c r="I794" i="8"/>
  <c r="L793" i="8"/>
  <c r="J793" i="8"/>
  <c r="I793" i="8"/>
  <c r="L792" i="8"/>
  <c r="J792" i="8"/>
  <c r="I792" i="8"/>
  <c r="L791" i="8"/>
  <c r="J791" i="8"/>
  <c r="I791" i="8"/>
  <c r="L790" i="8"/>
  <c r="J790" i="8"/>
  <c r="I790" i="8"/>
  <c r="L789" i="8"/>
  <c r="J789" i="8"/>
  <c r="I789" i="8"/>
  <c r="L788" i="8"/>
  <c r="J788" i="8"/>
  <c r="I788" i="8"/>
  <c r="L787" i="8"/>
  <c r="J787" i="8"/>
  <c r="I787" i="8"/>
  <c r="L786" i="8"/>
  <c r="J786" i="8"/>
  <c r="I786" i="8"/>
  <c r="L785" i="8"/>
  <c r="J785" i="8"/>
  <c r="I785" i="8"/>
  <c r="L784" i="8"/>
  <c r="J784" i="8"/>
  <c r="I784" i="8"/>
  <c r="L783" i="8"/>
  <c r="J783" i="8"/>
  <c r="I783" i="8"/>
  <c r="L782" i="8"/>
  <c r="J782" i="8"/>
  <c r="I782" i="8"/>
  <c r="L781" i="8"/>
  <c r="J781" i="8"/>
  <c r="I781" i="8"/>
  <c r="L780" i="8"/>
  <c r="J780" i="8"/>
  <c r="I780" i="8"/>
  <c r="L779" i="8"/>
  <c r="J779" i="8"/>
  <c r="I779" i="8"/>
  <c r="L778" i="8"/>
  <c r="J778" i="8"/>
  <c r="I778" i="8"/>
  <c r="L777" i="8"/>
  <c r="J777" i="8"/>
  <c r="I777" i="8"/>
  <c r="L776" i="8"/>
  <c r="J776" i="8"/>
  <c r="I776" i="8"/>
  <c r="L775" i="8"/>
  <c r="J775" i="8"/>
  <c r="I775" i="8"/>
  <c r="L774" i="8"/>
  <c r="J774" i="8"/>
  <c r="I774" i="8"/>
  <c r="L773" i="8"/>
  <c r="J773" i="8"/>
  <c r="I773" i="8"/>
  <c r="L772" i="8"/>
  <c r="J772" i="8"/>
  <c r="I772" i="8"/>
  <c r="L771" i="8"/>
  <c r="J771" i="8"/>
  <c r="I771" i="8"/>
  <c r="L770" i="8"/>
  <c r="J770" i="8"/>
  <c r="I770" i="8"/>
  <c r="L769" i="8"/>
  <c r="J769" i="8"/>
  <c r="I769" i="8"/>
  <c r="L768" i="8"/>
  <c r="J768" i="8"/>
  <c r="I768" i="8"/>
  <c r="L767" i="8"/>
  <c r="J767" i="8"/>
  <c r="I767" i="8"/>
  <c r="L766" i="8"/>
  <c r="J766" i="8"/>
  <c r="I766" i="8"/>
  <c r="L765" i="8"/>
  <c r="J765" i="8"/>
  <c r="I765" i="8"/>
  <c r="L764" i="8"/>
  <c r="J764" i="8"/>
  <c r="I764" i="8"/>
  <c r="L763" i="8"/>
  <c r="J763" i="8"/>
  <c r="I763" i="8"/>
  <c r="L762" i="8"/>
  <c r="J762" i="8"/>
  <c r="I762" i="8"/>
  <c r="L761" i="8"/>
  <c r="J761" i="8"/>
  <c r="I761" i="8"/>
  <c r="L760" i="8"/>
  <c r="J760" i="8"/>
  <c r="I760" i="8"/>
  <c r="L759" i="8"/>
  <c r="J759" i="8"/>
  <c r="I759" i="8"/>
  <c r="L758" i="8"/>
  <c r="J758" i="8"/>
  <c r="I758" i="8"/>
  <c r="L757" i="8"/>
  <c r="J757" i="8"/>
  <c r="I757" i="8"/>
  <c r="L756" i="8"/>
  <c r="J756" i="8"/>
  <c r="I756" i="8"/>
  <c r="L755" i="8"/>
  <c r="J755" i="8"/>
  <c r="I755" i="8"/>
  <c r="L754" i="8"/>
  <c r="J754" i="8"/>
  <c r="I754" i="8"/>
  <c r="L753" i="8"/>
  <c r="J753" i="8"/>
  <c r="I753" i="8"/>
  <c r="L752" i="8"/>
  <c r="J752" i="8"/>
  <c r="I752" i="8"/>
  <c r="L751" i="8"/>
  <c r="J751" i="8"/>
  <c r="I751" i="8"/>
  <c r="L750" i="8"/>
  <c r="J750" i="8"/>
  <c r="I750" i="8"/>
  <c r="L749" i="8"/>
  <c r="J749" i="8"/>
  <c r="I749" i="8"/>
  <c r="L748" i="8"/>
  <c r="J748" i="8"/>
  <c r="I748" i="8"/>
  <c r="L747" i="8"/>
  <c r="J747" i="8"/>
  <c r="I747" i="8"/>
  <c r="L746" i="8"/>
  <c r="J746" i="8"/>
  <c r="I746" i="8"/>
  <c r="L745" i="8"/>
  <c r="J745" i="8"/>
  <c r="I745" i="8"/>
  <c r="L744" i="8"/>
  <c r="J744" i="8"/>
  <c r="I744" i="8"/>
  <c r="L743" i="8"/>
  <c r="J743" i="8"/>
  <c r="I743" i="8"/>
  <c r="L742" i="8"/>
  <c r="J742" i="8"/>
  <c r="I742" i="8"/>
  <c r="L741" i="8"/>
  <c r="J741" i="8"/>
  <c r="I741" i="8"/>
  <c r="L740" i="8"/>
  <c r="J740" i="8"/>
  <c r="I740" i="8"/>
  <c r="L739" i="8"/>
  <c r="J739" i="8"/>
  <c r="I739" i="8"/>
  <c r="L738" i="8"/>
  <c r="J738" i="8"/>
  <c r="I738" i="8"/>
  <c r="L737" i="8"/>
  <c r="J737" i="8"/>
  <c r="I737" i="8"/>
  <c r="L736" i="8"/>
  <c r="J736" i="8"/>
  <c r="I736" i="8"/>
  <c r="L735" i="8"/>
  <c r="J735" i="8"/>
  <c r="I735" i="8"/>
  <c r="L734" i="8"/>
  <c r="J734" i="8"/>
  <c r="I734" i="8"/>
  <c r="L733" i="8"/>
  <c r="J733" i="8"/>
  <c r="I733" i="8"/>
  <c r="L732" i="8"/>
  <c r="J732" i="8"/>
  <c r="I732" i="8"/>
  <c r="L731" i="8"/>
  <c r="J731" i="8"/>
  <c r="I731" i="8"/>
  <c r="L730" i="8"/>
  <c r="J730" i="8"/>
  <c r="I730" i="8"/>
  <c r="L729" i="8"/>
  <c r="J729" i="8"/>
  <c r="I729" i="8"/>
  <c r="L728" i="8"/>
  <c r="J728" i="8"/>
  <c r="I728" i="8"/>
  <c r="L727" i="8"/>
  <c r="J727" i="8"/>
  <c r="I727" i="8"/>
  <c r="L726" i="8"/>
  <c r="J726" i="8"/>
  <c r="I726" i="8"/>
  <c r="L725" i="8"/>
  <c r="J725" i="8"/>
  <c r="I725" i="8"/>
  <c r="L724" i="8"/>
  <c r="J724" i="8"/>
  <c r="I724" i="8"/>
  <c r="L723" i="8"/>
  <c r="J723" i="8"/>
  <c r="I723" i="8"/>
  <c r="L722" i="8"/>
  <c r="J722" i="8"/>
  <c r="I722" i="8"/>
  <c r="L721" i="8"/>
  <c r="J721" i="8"/>
  <c r="I721" i="8"/>
  <c r="L720" i="8"/>
  <c r="J720" i="8"/>
  <c r="I720" i="8"/>
  <c r="L719" i="8"/>
  <c r="J719" i="8"/>
  <c r="I719" i="8"/>
  <c r="L718" i="8"/>
  <c r="J718" i="8"/>
  <c r="I718" i="8"/>
  <c r="L717" i="8"/>
  <c r="J717" i="8"/>
  <c r="I717" i="8"/>
  <c r="L716" i="8"/>
  <c r="J716" i="8"/>
  <c r="I716" i="8"/>
  <c r="L715" i="8"/>
  <c r="J715" i="8"/>
  <c r="I715" i="8"/>
  <c r="L714" i="8"/>
  <c r="J714" i="8"/>
  <c r="I714" i="8"/>
  <c r="L713" i="8"/>
  <c r="J713" i="8"/>
  <c r="I713" i="8"/>
  <c r="L712" i="8"/>
  <c r="J712" i="8"/>
  <c r="I712" i="8"/>
  <c r="L711" i="8"/>
  <c r="J711" i="8"/>
  <c r="I711" i="8"/>
  <c r="L710" i="8"/>
  <c r="J710" i="8"/>
  <c r="I710" i="8"/>
  <c r="L709" i="8"/>
  <c r="J709" i="8"/>
  <c r="I709" i="8"/>
  <c r="L708" i="8"/>
  <c r="J708" i="8"/>
  <c r="I708" i="8"/>
  <c r="L707" i="8"/>
  <c r="J707" i="8"/>
  <c r="I707" i="8"/>
  <c r="L706" i="8"/>
  <c r="J706" i="8"/>
  <c r="I706" i="8"/>
  <c r="L705" i="8"/>
  <c r="J705" i="8"/>
  <c r="I705" i="8"/>
  <c r="L704" i="8"/>
  <c r="J704" i="8"/>
  <c r="I704" i="8"/>
  <c r="L703" i="8"/>
  <c r="J703" i="8"/>
  <c r="I703" i="8"/>
  <c r="L702" i="8"/>
  <c r="J702" i="8"/>
  <c r="I702" i="8"/>
  <c r="L701" i="8"/>
  <c r="J701" i="8"/>
  <c r="I701" i="8"/>
  <c r="L700" i="8"/>
  <c r="J700" i="8"/>
  <c r="I700" i="8"/>
  <c r="L699" i="8"/>
  <c r="J699" i="8"/>
  <c r="I699" i="8"/>
  <c r="L698" i="8"/>
  <c r="J698" i="8"/>
  <c r="I698" i="8"/>
  <c r="L697" i="8"/>
  <c r="J697" i="8"/>
  <c r="I697" i="8"/>
  <c r="L696" i="8"/>
  <c r="J696" i="8"/>
  <c r="I696" i="8"/>
  <c r="L695" i="8"/>
  <c r="J695" i="8"/>
  <c r="I695" i="8"/>
  <c r="L694" i="8"/>
  <c r="J694" i="8"/>
  <c r="I694" i="8"/>
  <c r="L693" i="8"/>
  <c r="J693" i="8"/>
  <c r="I693" i="8"/>
  <c r="L692" i="8"/>
  <c r="J692" i="8"/>
  <c r="I692" i="8"/>
  <c r="L691" i="8"/>
  <c r="J691" i="8"/>
  <c r="I691" i="8"/>
  <c r="L690" i="8"/>
  <c r="J690" i="8"/>
  <c r="I690" i="8"/>
  <c r="L689" i="8"/>
  <c r="J689" i="8"/>
  <c r="I689" i="8"/>
  <c r="L688" i="8"/>
  <c r="J688" i="8"/>
  <c r="I688" i="8"/>
  <c r="L687" i="8"/>
  <c r="J687" i="8"/>
  <c r="I687" i="8"/>
  <c r="L686" i="8"/>
  <c r="J686" i="8"/>
  <c r="I686" i="8"/>
  <c r="L685" i="8"/>
  <c r="J685" i="8"/>
  <c r="I685" i="8"/>
  <c r="L684" i="8"/>
  <c r="J684" i="8"/>
  <c r="I684" i="8"/>
  <c r="L683" i="8"/>
  <c r="J683" i="8"/>
  <c r="I683" i="8"/>
  <c r="L682" i="8"/>
  <c r="J682" i="8"/>
  <c r="I682" i="8"/>
  <c r="L681" i="8"/>
  <c r="J681" i="8"/>
  <c r="I681" i="8"/>
  <c r="L680" i="8"/>
  <c r="J680" i="8"/>
  <c r="I680" i="8"/>
  <c r="L679" i="8"/>
  <c r="J679" i="8"/>
  <c r="I679" i="8"/>
  <c r="L678" i="8"/>
  <c r="J678" i="8"/>
  <c r="I678" i="8"/>
  <c r="L677" i="8"/>
  <c r="J677" i="8"/>
  <c r="I677" i="8"/>
  <c r="L676" i="8"/>
  <c r="J676" i="8"/>
  <c r="I676" i="8"/>
  <c r="L675" i="8"/>
  <c r="J675" i="8"/>
  <c r="I675" i="8"/>
  <c r="L674" i="8"/>
  <c r="J674" i="8"/>
  <c r="I674" i="8"/>
  <c r="L673" i="8"/>
  <c r="J673" i="8"/>
  <c r="I673" i="8"/>
  <c r="L672" i="8"/>
  <c r="J672" i="8"/>
  <c r="I672" i="8"/>
  <c r="L671" i="8"/>
  <c r="J671" i="8"/>
  <c r="I671" i="8"/>
  <c r="L670" i="8"/>
  <c r="J670" i="8"/>
  <c r="I670" i="8"/>
  <c r="L669" i="8"/>
  <c r="J669" i="8"/>
  <c r="I669" i="8"/>
  <c r="L668" i="8"/>
  <c r="J668" i="8"/>
  <c r="I668" i="8"/>
  <c r="L667" i="8"/>
  <c r="J667" i="8"/>
  <c r="I667" i="8"/>
  <c r="L666" i="8"/>
  <c r="J666" i="8"/>
  <c r="I666" i="8"/>
  <c r="L665" i="8"/>
  <c r="J665" i="8"/>
  <c r="I665" i="8"/>
  <c r="L664" i="8"/>
  <c r="J664" i="8"/>
  <c r="I664" i="8"/>
  <c r="L663" i="8"/>
  <c r="J663" i="8"/>
  <c r="I663" i="8"/>
  <c r="L662" i="8"/>
  <c r="J662" i="8"/>
  <c r="I662" i="8"/>
  <c r="L661" i="8"/>
  <c r="J661" i="8"/>
  <c r="I661" i="8"/>
  <c r="L660" i="8"/>
  <c r="J660" i="8"/>
  <c r="I660" i="8"/>
  <c r="L659" i="8"/>
  <c r="J659" i="8"/>
  <c r="I659" i="8"/>
  <c r="L658" i="8"/>
  <c r="J658" i="8"/>
  <c r="I658" i="8"/>
  <c r="L657" i="8"/>
  <c r="J657" i="8"/>
  <c r="I657" i="8"/>
  <c r="L656" i="8"/>
  <c r="J656" i="8"/>
  <c r="I656" i="8"/>
  <c r="L655" i="8"/>
  <c r="J655" i="8"/>
  <c r="I655" i="8"/>
  <c r="L654" i="8"/>
  <c r="J654" i="8"/>
  <c r="I654" i="8"/>
  <c r="L653" i="8"/>
  <c r="J653" i="8"/>
  <c r="I653" i="8"/>
  <c r="L652" i="8"/>
  <c r="J652" i="8"/>
  <c r="I652" i="8"/>
  <c r="L651" i="8"/>
  <c r="J651" i="8"/>
  <c r="I651" i="8"/>
  <c r="L650" i="8"/>
  <c r="J650" i="8"/>
  <c r="I650" i="8"/>
  <c r="L649" i="8"/>
  <c r="J649" i="8"/>
  <c r="I649" i="8"/>
  <c r="L648" i="8"/>
  <c r="J648" i="8"/>
  <c r="I648" i="8"/>
  <c r="L647" i="8"/>
  <c r="J647" i="8"/>
  <c r="I647" i="8"/>
  <c r="L646" i="8"/>
  <c r="J646" i="8"/>
  <c r="I646" i="8"/>
  <c r="L645" i="8"/>
  <c r="J645" i="8"/>
  <c r="I645" i="8"/>
  <c r="L644" i="8"/>
  <c r="J644" i="8"/>
  <c r="I644" i="8"/>
  <c r="L643" i="8"/>
  <c r="J643" i="8"/>
  <c r="I643" i="8"/>
  <c r="L642" i="8"/>
  <c r="J642" i="8"/>
  <c r="I642" i="8"/>
  <c r="L641" i="8"/>
  <c r="J641" i="8"/>
  <c r="I641" i="8"/>
  <c r="L640" i="8"/>
  <c r="J640" i="8"/>
  <c r="I640" i="8"/>
  <c r="L639" i="8"/>
  <c r="J639" i="8"/>
  <c r="I639" i="8"/>
  <c r="L638" i="8"/>
  <c r="J638" i="8"/>
  <c r="I638" i="8"/>
  <c r="L637" i="8"/>
  <c r="J637" i="8"/>
  <c r="I637" i="8"/>
  <c r="L636" i="8"/>
  <c r="J636" i="8"/>
  <c r="I636" i="8"/>
  <c r="L635" i="8"/>
  <c r="J635" i="8"/>
  <c r="I635" i="8"/>
  <c r="L634" i="8"/>
  <c r="J634" i="8"/>
  <c r="I634" i="8"/>
  <c r="L633" i="8"/>
  <c r="J633" i="8"/>
  <c r="I633" i="8"/>
  <c r="L632" i="8"/>
  <c r="J632" i="8"/>
  <c r="I632" i="8"/>
  <c r="L631" i="8"/>
  <c r="J631" i="8"/>
  <c r="I631" i="8"/>
  <c r="L630" i="8"/>
  <c r="J630" i="8"/>
  <c r="I630" i="8"/>
  <c r="L629" i="8"/>
  <c r="J629" i="8"/>
  <c r="I629" i="8"/>
  <c r="L628" i="8"/>
  <c r="J628" i="8"/>
  <c r="I628" i="8"/>
  <c r="L627" i="8"/>
  <c r="J627" i="8"/>
  <c r="I627" i="8"/>
  <c r="L626" i="8"/>
  <c r="J626" i="8"/>
  <c r="I626" i="8"/>
  <c r="L625" i="8"/>
  <c r="J625" i="8"/>
  <c r="I625" i="8"/>
  <c r="L624" i="8"/>
  <c r="J624" i="8"/>
  <c r="I624" i="8"/>
  <c r="L623" i="8"/>
  <c r="J623" i="8"/>
  <c r="I623" i="8"/>
  <c r="L622" i="8"/>
  <c r="J622" i="8"/>
  <c r="I622" i="8"/>
  <c r="L621" i="8"/>
  <c r="J621" i="8"/>
  <c r="I621" i="8"/>
  <c r="L620" i="8"/>
  <c r="J620" i="8"/>
  <c r="I620" i="8"/>
  <c r="L619" i="8"/>
  <c r="J619" i="8"/>
  <c r="I619" i="8"/>
  <c r="L618" i="8"/>
  <c r="J618" i="8"/>
  <c r="I618" i="8"/>
  <c r="L617" i="8"/>
  <c r="J617" i="8"/>
  <c r="I617" i="8"/>
  <c r="L616" i="8"/>
  <c r="J616" i="8"/>
  <c r="I616" i="8"/>
  <c r="L615" i="8"/>
  <c r="J615" i="8"/>
  <c r="I615" i="8"/>
  <c r="L614" i="8"/>
  <c r="J614" i="8"/>
  <c r="I614" i="8"/>
  <c r="L613" i="8"/>
  <c r="J613" i="8"/>
  <c r="I613" i="8"/>
  <c r="L612" i="8"/>
  <c r="J612" i="8"/>
  <c r="I612" i="8"/>
  <c r="L611" i="8"/>
  <c r="J611" i="8"/>
  <c r="I611" i="8"/>
  <c r="L610" i="8"/>
  <c r="J610" i="8"/>
  <c r="I610" i="8"/>
  <c r="L609" i="8"/>
  <c r="J609" i="8"/>
  <c r="I609" i="8"/>
  <c r="L608" i="8"/>
  <c r="J608" i="8"/>
  <c r="I608" i="8"/>
  <c r="L607" i="8"/>
  <c r="J607" i="8"/>
  <c r="I607" i="8"/>
  <c r="L606" i="8"/>
  <c r="J606" i="8"/>
  <c r="I606" i="8"/>
  <c r="L605" i="8"/>
  <c r="J605" i="8"/>
  <c r="I605" i="8"/>
  <c r="L604" i="8"/>
  <c r="J604" i="8"/>
  <c r="I604" i="8"/>
  <c r="L603" i="8"/>
  <c r="J603" i="8"/>
  <c r="I603" i="8"/>
  <c r="L602" i="8"/>
  <c r="J602" i="8"/>
  <c r="I602" i="8"/>
  <c r="L601" i="8"/>
  <c r="J601" i="8"/>
  <c r="I601" i="8"/>
  <c r="L600" i="8"/>
  <c r="J600" i="8"/>
  <c r="I600" i="8"/>
  <c r="L599" i="8"/>
  <c r="J599" i="8"/>
  <c r="I599" i="8"/>
  <c r="L598" i="8"/>
  <c r="J598" i="8"/>
  <c r="I598" i="8"/>
  <c r="L597" i="8"/>
  <c r="J597" i="8"/>
  <c r="I597" i="8"/>
  <c r="L596" i="8"/>
  <c r="J596" i="8"/>
  <c r="I596" i="8"/>
  <c r="L595" i="8"/>
  <c r="J595" i="8"/>
  <c r="I595" i="8"/>
  <c r="L594" i="8"/>
  <c r="J594" i="8"/>
  <c r="I594" i="8"/>
  <c r="L593" i="8"/>
  <c r="J593" i="8"/>
  <c r="I593" i="8"/>
  <c r="L592" i="8"/>
  <c r="J592" i="8"/>
  <c r="I592" i="8"/>
  <c r="L591" i="8"/>
  <c r="J591" i="8"/>
  <c r="I591" i="8"/>
  <c r="L590" i="8"/>
  <c r="J590" i="8"/>
  <c r="I590" i="8"/>
  <c r="L589" i="8"/>
  <c r="J589" i="8"/>
  <c r="I589" i="8"/>
  <c r="L588" i="8"/>
  <c r="J588" i="8"/>
  <c r="I588" i="8"/>
  <c r="L587" i="8"/>
  <c r="J587" i="8"/>
  <c r="I587" i="8"/>
  <c r="L586" i="8"/>
  <c r="J586" i="8"/>
  <c r="I586" i="8"/>
  <c r="L585" i="8"/>
  <c r="J585" i="8"/>
  <c r="I585" i="8"/>
  <c r="L584" i="8"/>
  <c r="J584" i="8"/>
  <c r="I584" i="8"/>
  <c r="L583" i="8"/>
  <c r="J583" i="8"/>
  <c r="I583" i="8"/>
  <c r="L582" i="8"/>
  <c r="J582" i="8"/>
  <c r="I582" i="8"/>
  <c r="L581" i="8"/>
  <c r="J581" i="8"/>
  <c r="I581" i="8"/>
  <c r="L580" i="8"/>
  <c r="J580" i="8"/>
  <c r="I580" i="8"/>
  <c r="L579" i="8"/>
  <c r="J579" i="8"/>
  <c r="I579" i="8"/>
  <c r="L578" i="8"/>
  <c r="J578" i="8"/>
  <c r="I578" i="8"/>
  <c r="L577" i="8"/>
  <c r="J577" i="8"/>
  <c r="I577" i="8"/>
  <c r="L576" i="8"/>
  <c r="J576" i="8"/>
  <c r="I576" i="8"/>
  <c r="L575" i="8"/>
  <c r="J575" i="8"/>
  <c r="I575" i="8"/>
  <c r="L574" i="8"/>
  <c r="J574" i="8"/>
  <c r="I574" i="8"/>
  <c r="L573" i="8"/>
  <c r="J573" i="8"/>
  <c r="I573" i="8"/>
  <c r="L572" i="8"/>
  <c r="J572" i="8"/>
  <c r="I572" i="8"/>
  <c r="L571" i="8"/>
  <c r="J571" i="8"/>
  <c r="I571" i="8"/>
  <c r="L570" i="8"/>
  <c r="J570" i="8"/>
  <c r="I570" i="8"/>
  <c r="L569" i="8"/>
  <c r="J569" i="8"/>
  <c r="I569" i="8"/>
  <c r="L568" i="8"/>
  <c r="J568" i="8"/>
  <c r="I568" i="8"/>
  <c r="L567" i="8"/>
  <c r="J567" i="8"/>
  <c r="I567" i="8"/>
  <c r="L566" i="8"/>
  <c r="J566" i="8"/>
  <c r="I566" i="8"/>
  <c r="L565" i="8"/>
  <c r="J565" i="8"/>
  <c r="I565" i="8"/>
  <c r="L564" i="8"/>
  <c r="J564" i="8"/>
  <c r="I564" i="8"/>
  <c r="L563" i="8"/>
  <c r="J563" i="8"/>
  <c r="I563" i="8"/>
  <c r="L562" i="8"/>
  <c r="J562" i="8"/>
  <c r="I562" i="8"/>
  <c r="L561" i="8"/>
  <c r="J561" i="8"/>
  <c r="I561" i="8"/>
  <c r="L560" i="8"/>
  <c r="J560" i="8"/>
  <c r="I560" i="8"/>
  <c r="L559" i="8"/>
  <c r="J559" i="8"/>
  <c r="I559" i="8"/>
  <c r="L558" i="8"/>
  <c r="J558" i="8"/>
  <c r="I558" i="8"/>
  <c r="L557" i="8"/>
  <c r="J557" i="8"/>
  <c r="I557" i="8"/>
  <c r="L556" i="8"/>
  <c r="J556" i="8"/>
  <c r="I556" i="8"/>
  <c r="L555" i="8"/>
  <c r="J555" i="8"/>
  <c r="I555" i="8"/>
  <c r="L554" i="8"/>
  <c r="J554" i="8"/>
  <c r="I554" i="8"/>
  <c r="L553" i="8"/>
  <c r="J553" i="8"/>
  <c r="I553" i="8"/>
  <c r="L552" i="8"/>
  <c r="J552" i="8"/>
  <c r="I552" i="8"/>
  <c r="L551" i="8"/>
  <c r="J551" i="8"/>
  <c r="I551" i="8"/>
  <c r="L550" i="8"/>
  <c r="J550" i="8"/>
  <c r="I550" i="8"/>
  <c r="L549" i="8"/>
  <c r="J549" i="8"/>
  <c r="I549" i="8"/>
  <c r="L548" i="8"/>
  <c r="J548" i="8"/>
  <c r="I548" i="8"/>
  <c r="L547" i="8"/>
  <c r="J547" i="8"/>
  <c r="I547" i="8"/>
  <c r="L546" i="8"/>
  <c r="J546" i="8"/>
  <c r="I546" i="8"/>
  <c r="L545" i="8"/>
  <c r="J545" i="8"/>
  <c r="I545" i="8"/>
  <c r="L544" i="8"/>
  <c r="J544" i="8"/>
  <c r="I544" i="8"/>
  <c r="L543" i="8"/>
  <c r="J543" i="8"/>
  <c r="I543" i="8"/>
  <c r="L542" i="8"/>
  <c r="J542" i="8"/>
  <c r="I542" i="8"/>
  <c r="L541" i="8"/>
  <c r="J541" i="8"/>
  <c r="I541" i="8"/>
  <c r="L540" i="8"/>
  <c r="J540" i="8"/>
  <c r="I540" i="8"/>
  <c r="L539" i="8"/>
  <c r="J539" i="8"/>
  <c r="I539" i="8"/>
  <c r="L538" i="8"/>
  <c r="J538" i="8"/>
  <c r="I538" i="8"/>
  <c r="L537" i="8"/>
  <c r="J537" i="8"/>
  <c r="I537" i="8"/>
  <c r="L536" i="8"/>
  <c r="J536" i="8"/>
  <c r="I536" i="8"/>
  <c r="L535" i="8"/>
  <c r="J535" i="8"/>
  <c r="I535" i="8"/>
  <c r="L534" i="8"/>
  <c r="J534" i="8"/>
  <c r="I534" i="8"/>
  <c r="L533" i="8"/>
  <c r="J533" i="8"/>
  <c r="I533" i="8"/>
  <c r="L532" i="8"/>
  <c r="J532" i="8"/>
  <c r="I532" i="8"/>
  <c r="L531" i="8"/>
  <c r="J531" i="8"/>
  <c r="I531" i="8"/>
  <c r="L530" i="8"/>
  <c r="J530" i="8"/>
  <c r="I530" i="8"/>
  <c r="L529" i="8"/>
  <c r="J529" i="8"/>
  <c r="I529" i="8"/>
  <c r="L528" i="8"/>
  <c r="J528" i="8"/>
  <c r="I528" i="8"/>
  <c r="L527" i="8"/>
  <c r="J527" i="8"/>
  <c r="I527" i="8"/>
  <c r="L526" i="8"/>
  <c r="J526" i="8"/>
  <c r="I526" i="8"/>
  <c r="L525" i="8"/>
  <c r="J525" i="8"/>
  <c r="I525" i="8"/>
  <c r="L524" i="8"/>
  <c r="J524" i="8"/>
  <c r="I524" i="8"/>
  <c r="L523" i="8"/>
  <c r="J523" i="8"/>
  <c r="I523" i="8"/>
  <c r="L522" i="8"/>
  <c r="J522" i="8"/>
  <c r="I522" i="8"/>
  <c r="L521" i="8"/>
  <c r="J521" i="8"/>
  <c r="I521" i="8"/>
  <c r="L520" i="8"/>
  <c r="J520" i="8"/>
  <c r="I520" i="8"/>
  <c r="L519" i="8"/>
  <c r="J519" i="8"/>
  <c r="I519" i="8"/>
  <c r="L518" i="8"/>
  <c r="J518" i="8"/>
  <c r="I518" i="8"/>
  <c r="L517" i="8"/>
  <c r="J517" i="8"/>
  <c r="I517" i="8"/>
  <c r="L516" i="8"/>
  <c r="J516" i="8"/>
  <c r="I516" i="8"/>
  <c r="L515" i="8"/>
  <c r="J515" i="8"/>
  <c r="I515" i="8"/>
  <c r="L514" i="8"/>
  <c r="J514" i="8"/>
  <c r="I514" i="8"/>
  <c r="L513" i="8"/>
  <c r="J513" i="8"/>
  <c r="I513" i="8"/>
  <c r="L512" i="8"/>
  <c r="J512" i="8"/>
  <c r="I512" i="8"/>
  <c r="L511" i="8"/>
  <c r="J511" i="8"/>
  <c r="I511" i="8"/>
  <c r="L510" i="8"/>
  <c r="J510" i="8"/>
  <c r="I510" i="8"/>
  <c r="L509" i="8"/>
  <c r="J509" i="8"/>
  <c r="I509" i="8"/>
  <c r="L508" i="8"/>
  <c r="J508" i="8"/>
  <c r="I508" i="8"/>
  <c r="L507" i="8"/>
  <c r="J507" i="8"/>
  <c r="I507" i="8"/>
  <c r="L506" i="8"/>
  <c r="J506" i="8"/>
  <c r="I506" i="8"/>
  <c r="L505" i="8"/>
  <c r="J505" i="8"/>
  <c r="I505" i="8"/>
  <c r="L504" i="8"/>
  <c r="J504" i="8"/>
  <c r="I504" i="8"/>
  <c r="L503" i="8"/>
  <c r="J503" i="8"/>
  <c r="I503" i="8"/>
  <c r="L502" i="8"/>
  <c r="J502" i="8"/>
  <c r="I502" i="8"/>
  <c r="L501" i="8"/>
  <c r="J501" i="8"/>
  <c r="I501" i="8"/>
  <c r="L500" i="8"/>
  <c r="J500" i="8"/>
  <c r="I500" i="8"/>
  <c r="L499" i="8"/>
  <c r="J499" i="8"/>
  <c r="I499" i="8"/>
  <c r="L498" i="8"/>
  <c r="J498" i="8"/>
  <c r="I498" i="8"/>
  <c r="L497" i="8"/>
  <c r="J497" i="8"/>
  <c r="I497" i="8"/>
  <c r="L496" i="8"/>
  <c r="J496" i="8"/>
  <c r="I496" i="8"/>
  <c r="L495" i="8"/>
  <c r="J495" i="8"/>
  <c r="I495" i="8"/>
  <c r="L494" i="8"/>
  <c r="J494" i="8"/>
  <c r="I494" i="8"/>
  <c r="L493" i="8"/>
  <c r="J493" i="8"/>
  <c r="I493" i="8"/>
  <c r="L492" i="8"/>
  <c r="J492" i="8"/>
  <c r="I492" i="8"/>
  <c r="L491" i="8"/>
  <c r="J491" i="8"/>
  <c r="I491" i="8"/>
  <c r="L490" i="8"/>
  <c r="J490" i="8"/>
  <c r="I490" i="8"/>
  <c r="L489" i="8"/>
  <c r="J489" i="8"/>
  <c r="I489" i="8"/>
  <c r="L488" i="8"/>
  <c r="J488" i="8"/>
  <c r="I488" i="8"/>
  <c r="L487" i="8"/>
  <c r="J487" i="8"/>
  <c r="I487" i="8"/>
  <c r="L486" i="8"/>
  <c r="J486" i="8"/>
  <c r="I486" i="8"/>
  <c r="L485" i="8"/>
  <c r="J485" i="8"/>
  <c r="I485" i="8"/>
  <c r="L484" i="8"/>
  <c r="J484" i="8"/>
  <c r="I484" i="8"/>
  <c r="L483" i="8"/>
  <c r="J483" i="8"/>
  <c r="I483" i="8"/>
  <c r="L482" i="8"/>
  <c r="J482" i="8"/>
  <c r="I482" i="8"/>
  <c r="L481" i="8"/>
  <c r="J481" i="8"/>
  <c r="I481" i="8"/>
  <c r="L480" i="8"/>
  <c r="J480" i="8"/>
  <c r="I480" i="8"/>
  <c r="L479" i="8"/>
  <c r="J479" i="8"/>
  <c r="I479" i="8"/>
  <c r="L478" i="8"/>
  <c r="J478" i="8"/>
  <c r="I478" i="8"/>
  <c r="L477" i="8"/>
  <c r="J477" i="8"/>
  <c r="I477" i="8"/>
  <c r="L476" i="8"/>
  <c r="J476" i="8"/>
  <c r="I476" i="8"/>
  <c r="L475" i="8"/>
  <c r="J475" i="8"/>
  <c r="I475" i="8"/>
  <c r="L474" i="8"/>
  <c r="J474" i="8"/>
  <c r="I474" i="8"/>
  <c r="L473" i="8"/>
  <c r="J473" i="8"/>
  <c r="I473" i="8"/>
  <c r="L472" i="8"/>
  <c r="J472" i="8"/>
  <c r="I472" i="8"/>
  <c r="L471" i="8"/>
  <c r="J471" i="8"/>
  <c r="I471" i="8"/>
  <c r="L470" i="8"/>
  <c r="J470" i="8"/>
  <c r="I470" i="8"/>
  <c r="L469" i="8"/>
  <c r="J469" i="8"/>
  <c r="I469" i="8"/>
  <c r="L468" i="8"/>
  <c r="J468" i="8"/>
  <c r="I468" i="8"/>
  <c r="L467" i="8"/>
  <c r="J467" i="8"/>
  <c r="I467" i="8"/>
  <c r="L466" i="8"/>
  <c r="J466" i="8"/>
  <c r="I466" i="8"/>
  <c r="L465" i="8"/>
  <c r="J465" i="8"/>
  <c r="I465" i="8"/>
  <c r="L464" i="8"/>
  <c r="J464" i="8"/>
  <c r="I464" i="8"/>
  <c r="L463" i="8"/>
  <c r="J463" i="8"/>
  <c r="I463" i="8"/>
  <c r="L462" i="8"/>
  <c r="J462" i="8"/>
  <c r="I462" i="8"/>
  <c r="L461" i="8"/>
  <c r="J461" i="8"/>
  <c r="I461" i="8"/>
  <c r="L460" i="8"/>
  <c r="J460" i="8"/>
  <c r="I460" i="8"/>
  <c r="L459" i="8"/>
  <c r="J459" i="8"/>
  <c r="I459" i="8"/>
  <c r="L458" i="8"/>
  <c r="J458" i="8"/>
  <c r="I458" i="8"/>
  <c r="L457" i="8"/>
  <c r="J457" i="8"/>
  <c r="I457" i="8"/>
  <c r="L456" i="8"/>
  <c r="J456" i="8"/>
  <c r="I456" i="8"/>
  <c r="L455" i="8"/>
  <c r="J455" i="8"/>
  <c r="I455" i="8"/>
  <c r="L454" i="8"/>
  <c r="J454" i="8"/>
  <c r="I454" i="8"/>
  <c r="L453" i="8"/>
  <c r="J453" i="8"/>
  <c r="I453" i="8"/>
  <c r="L452" i="8"/>
  <c r="J452" i="8"/>
  <c r="I452" i="8"/>
  <c r="L451" i="8"/>
  <c r="J451" i="8"/>
  <c r="I451" i="8"/>
  <c r="L450" i="8"/>
  <c r="J450" i="8"/>
  <c r="I450" i="8"/>
  <c r="L449" i="8"/>
  <c r="J449" i="8"/>
  <c r="I449" i="8"/>
  <c r="L448" i="8"/>
  <c r="J448" i="8"/>
  <c r="I448" i="8"/>
  <c r="L447" i="8"/>
  <c r="J447" i="8"/>
  <c r="I447" i="8"/>
  <c r="L446" i="8"/>
  <c r="J446" i="8"/>
  <c r="I446" i="8"/>
  <c r="L445" i="8"/>
  <c r="J445" i="8"/>
  <c r="I445" i="8"/>
  <c r="L444" i="8"/>
  <c r="J444" i="8"/>
  <c r="I444" i="8"/>
  <c r="L443" i="8"/>
  <c r="J443" i="8"/>
  <c r="I443" i="8"/>
  <c r="L442" i="8"/>
  <c r="J442" i="8"/>
  <c r="I442" i="8"/>
  <c r="L441" i="8"/>
  <c r="J441" i="8"/>
  <c r="I441" i="8"/>
  <c r="L440" i="8"/>
  <c r="J440" i="8"/>
  <c r="I440" i="8"/>
  <c r="L439" i="8"/>
  <c r="J439" i="8"/>
  <c r="I439" i="8"/>
  <c r="L438" i="8"/>
  <c r="J438" i="8"/>
  <c r="I438" i="8"/>
  <c r="L437" i="8"/>
  <c r="J437" i="8"/>
  <c r="I437" i="8"/>
  <c r="L436" i="8"/>
  <c r="J436" i="8"/>
  <c r="I436" i="8"/>
  <c r="L435" i="8"/>
  <c r="J435" i="8"/>
  <c r="I435" i="8"/>
  <c r="L434" i="8"/>
  <c r="J434" i="8"/>
  <c r="I434" i="8"/>
  <c r="L433" i="8"/>
  <c r="J433" i="8"/>
  <c r="I433" i="8"/>
  <c r="L432" i="8"/>
  <c r="J432" i="8"/>
  <c r="I432" i="8"/>
  <c r="L431" i="8"/>
  <c r="J431" i="8"/>
  <c r="I431" i="8"/>
  <c r="L430" i="8"/>
  <c r="J430" i="8"/>
  <c r="I430" i="8"/>
  <c r="L429" i="8"/>
  <c r="J429" i="8"/>
  <c r="I429" i="8"/>
  <c r="L428" i="8"/>
  <c r="J428" i="8"/>
  <c r="I428" i="8"/>
  <c r="L427" i="8"/>
  <c r="J427" i="8"/>
  <c r="I427" i="8"/>
  <c r="L426" i="8"/>
  <c r="J426" i="8"/>
  <c r="I426" i="8"/>
  <c r="L425" i="8"/>
  <c r="J425" i="8"/>
  <c r="I425" i="8"/>
  <c r="L424" i="8"/>
  <c r="J424" i="8"/>
  <c r="I424" i="8"/>
  <c r="L423" i="8"/>
  <c r="J423" i="8"/>
  <c r="I423" i="8"/>
  <c r="L422" i="8"/>
  <c r="J422" i="8"/>
  <c r="I422" i="8"/>
  <c r="L421" i="8"/>
  <c r="J421" i="8"/>
  <c r="I421" i="8"/>
  <c r="L420" i="8"/>
  <c r="J420" i="8"/>
  <c r="I420" i="8"/>
  <c r="L419" i="8"/>
  <c r="J419" i="8"/>
  <c r="I419" i="8"/>
  <c r="L418" i="8"/>
  <c r="J418" i="8"/>
  <c r="I418" i="8"/>
  <c r="L417" i="8"/>
  <c r="J417" i="8"/>
  <c r="I417" i="8"/>
  <c r="L416" i="8"/>
  <c r="J416" i="8"/>
  <c r="I416" i="8"/>
  <c r="L415" i="8"/>
  <c r="J415" i="8"/>
  <c r="I415" i="8"/>
  <c r="L414" i="8"/>
  <c r="J414" i="8"/>
  <c r="I414" i="8"/>
  <c r="L413" i="8"/>
  <c r="J413" i="8"/>
  <c r="I413" i="8"/>
  <c r="L412" i="8"/>
  <c r="J412" i="8"/>
  <c r="I412" i="8"/>
  <c r="L411" i="8"/>
  <c r="J411" i="8"/>
  <c r="I411" i="8"/>
  <c r="L410" i="8"/>
  <c r="J410" i="8"/>
  <c r="I410" i="8"/>
  <c r="L409" i="8"/>
  <c r="J409" i="8"/>
  <c r="I409" i="8"/>
  <c r="L408" i="8"/>
  <c r="J408" i="8"/>
  <c r="I408" i="8"/>
  <c r="L407" i="8"/>
  <c r="J407" i="8"/>
  <c r="I407" i="8"/>
  <c r="L406" i="8"/>
  <c r="J406" i="8"/>
  <c r="I406" i="8"/>
  <c r="L405" i="8"/>
  <c r="J405" i="8"/>
  <c r="I405" i="8"/>
  <c r="L404" i="8"/>
  <c r="J404" i="8"/>
  <c r="I404" i="8"/>
  <c r="L403" i="8"/>
  <c r="J403" i="8"/>
  <c r="I403" i="8"/>
  <c r="L402" i="8"/>
  <c r="J402" i="8"/>
  <c r="I402" i="8"/>
  <c r="L401" i="8"/>
  <c r="J401" i="8"/>
  <c r="I401" i="8"/>
  <c r="L400" i="8"/>
  <c r="J400" i="8"/>
  <c r="I400" i="8"/>
  <c r="L399" i="8"/>
  <c r="J399" i="8"/>
  <c r="I399" i="8"/>
  <c r="L398" i="8"/>
  <c r="J398" i="8"/>
  <c r="I398" i="8"/>
  <c r="L397" i="8"/>
  <c r="J397" i="8"/>
  <c r="I397" i="8"/>
  <c r="L396" i="8"/>
  <c r="J396" i="8"/>
  <c r="I396" i="8"/>
  <c r="L395" i="8"/>
  <c r="J395" i="8"/>
  <c r="I395" i="8"/>
  <c r="L394" i="8"/>
  <c r="J394" i="8"/>
  <c r="I394" i="8"/>
  <c r="L393" i="8"/>
  <c r="J393" i="8"/>
  <c r="I393" i="8"/>
  <c r="L392" i="8"/>
  <c r="J392" i="8"/>
  <c r="I392" i="8"/>
  <c r="L391" i="8"/>
  <c r="J391" i="8"/>
  <c r="I391" i="8"/>
  <c r="L390" i="8"/>
  <c r="J390" i="8"/>
  <c r="I390" i="8"/>
  <c r="L389" i="8"/>
  <c r="J389" i="8"/>
  <c r="I389" i="8"/>
  <c r="L388" i="8"/>
  <c r="J388" i="8"/>
  <c r="I388" i="8"/>
  <c r="L387" i="8"/>
  <c r="J387" i="8"/>
  <c r="I387" i="8"/>
  <c r="L386" i="8"/>
  <c r="J386" i="8"/>
  <c r="I386" i="8"/>
  <c r="L385" i="8"/>
  <c r="J385" i="8"/>
  <c r="I385" i="8"/>
  <c r="L384" i="8"/>
  <c r="J384" i="8"/>
  <c r="I384" i="8"/>
  <c r="L383" i="8"/>
  <c r="J383" i="8"/>
  <c r="I383" i="8"/>
  <c r="L382" i="8"/>
  <c r="J382" i="8"/>
  <c r="I382" i="8"/>
  <c r="L381" i="8"/>
  <c r="J381" i="8"/>
  <c r="I381" i="8"/>
  <c r="L380" i="8"/>
  <c r="J380" i="8"/>
  <c r="I380" i="8"/>
  <c r="L379" i="8"/>
  <c r="J379" i="8"/>
  <c r="I379" i="8"/>
  <c r="L378" i="8"/>
  <c r="J378" i="8"/>
  <c r="I378" i="8"/>
  <c r="L377" i="8"/>
  <c r="J377" i="8"/>
  <c r="I377" i="8"/>
  <c r="L376" i="8"/>
  <c r="J376" i="8"/>
  <c r="I376" i="8"/>
  <c r="L375" i="8"/>
  <c r="J375" i="8"/>
  <c r="I375" i="8"/>
  <c r="L374" i="8"/>
  <c r="J374" i="8"/>
  <c r="I374" i="8"/>
  <c r="L373" i="8"/>
  <c r="J373" i="8"/>
  <c r="I373" i="8"/>
  <c r="L372" i="8"/>
  <c r="J372" i="8"/>
  <c r="I372" i="8"/>
  <c r="L371" i="8"/>
  <c r="J371" i="8"/>
  <c r="I371" i="8"/>
  <c r="L370" i="8"/>
  <c r="J370" i="8"/>
  <c r="I370" i="8"/>
  <c r="L369" i="8"/>
  <c r="J369" i="8"/>
  <c r="I369" i="8"/>
  <c r="L368" i="8"/>
  <c r="J368" i="8"/>
  <c r="I368" i="8"/>
  <c r="L367" i="8"/>
  <c r="J367" i="8"/>
  <c r="I367" i="8"/>
  <c r="L366" i="8"/>
  <c r="J366" i="8"/>
  <c r="I366" i="8"/>
  <c r="L365" i="8"/>
  <c r="J365" i="8"/>
  <c r="I365" i="8"/>
  <c r="L364" i="8"/>
  <c r="J364" i="8"/>
  <c r="I364" i="8"/>
  <c r="L363" i="8"/>
  <c r="J363" i="8"/>
  <c r="I363" i="8"/>
  <c r="L362" i="8"/>
  <c r="J362" i="8"/>
  <c r="I362" i="8"/>
  <c r="L361" i="8"/>
  <c r="J361" i="8"/>
  <c r="I361" i="8"/>
  <c r="L360" i="8"/>
  <c r="J360" i="8"/>
  <c r="I360" i="8"/>
  <c r="L359" i="8"/>
  <c r="J359" i="8"/>
  <c r="I359" i="8"/>
  <c r="L358" i="8"/>
  <c r="J358" i="8"/>
  <c r="I358" i="8"/>
  <c r="L357" i="8"/>
  <c r="J357" i="8"/>
  <c r="I357" i="8"/>
  <c r="L356" i="8"/>
  <c r="J356" i="8"/>
  <c r="I356" i="8"/>
  <c r="L355" i="8"/>
  <c r="J355" i="8"/>
  <c r="I355" i="8"/>
  <c r="L354" i="8"/>
  <c r="J354" i="8"/>
  <c r="I354" i="8"/>
  <c r="L353" i="8"/>
  <c r="J353" i="8"/>
  <c r="I353" i="8"/>
  <c r="L352" i="8"/>
  <c r="J352" i="8"/>
  <c r="I352" i="8"/>
  <c r="L351" i="8"/>
  <c r="J351" i="8"/>
  <c r="I351" i="8"/>
  <c r="L350" i="8"/>
  <c r="J350" i="8"/>
  <c r="I350" i="8"/>
  <c r="L349" i="8"/>
  <c r="J349" i="8"/>
  <c r="I349" i="8"/>
  <c r="L348" i="8"/>
  <c r="J348" i="8"/>
  <c r="I348" i="8"/>
  <c r="L347" i="8"/>
  <c r="J347" i="8"/>
  <c r="I347" i="8"/>
  <c r="L346" i="8"/>
  <c r="J346" i="8"/>
  <c r="I346" i="8"/>
  <c r="L345" i="8"/>
  <c r="J345" i="8"/>
  <c r="I345" i="8"/>
  <c r="L344" i="8"/>
  <c r="J344" i="8"/>
  <c r="I344" i="8"/>
  <c r="L343" i="8"/>
  <c r="J343" i="8"/>
  <c r="I343" i="8"/>
  <c r="L342" i="8"/>
  <c r="J342" i="8"/>
  <c r="I342" i="8"/>
  <c r="L341" i="8"/>
  <c r="J341" i="8"/>
  <c r="I341" i="8"/>
  <c r="L340" i="8"/>
  <c r="J340" i="8"/>
  <c r="I340" i="8"/>
  <c r="L339" i="8"/>
  <c r="J339" i="8"/>
  <c r="I339" i="8"/>
  <c r="L338" i="8"/>
  <c r="J338" i="8"/>
  <c r="I338" i="8"/>
  <c r="L337" i="8"/>
  <c r="J337" i="8"/>
  <c r="I337" i="8"/>
  <c r="L336" i="8"/>
  <c r="J336" i="8"/>
  <c r="I336" i="8"/>
  <c r="L335" i="8"/>
  <c r="J335" i="8"/>
  <c r="I335" i="8"/>
  <c r="L334" i="8"/>
  <c r="J334" i="8"/>
  <c r="I334" i="8"/>
  <c r="L333" i="8"/>
  <c r="J333" i="8"/>
  <c r="I333" i="8"/>
  <c r="L332" i="8"/>
  <c r="J332" i="8"/>
  <c r="I332" i="8"/>
  <c r="L331" i="8"/>
  <c r="J331" i="8"/>
  <c r="I331" i="8"/>
  <c r="L330" i="8"/>
  <c r="J330" i="8"/>
  <c r="I330" i="8"/>
  <c r="L329" i="8"/>
  <c r="J329" i="8"/>
  <c r="I329" i="8"/>
  <c r="L328" i="8"/>
  <c r="J328" i="8"/>
  <c r="I328" i="8"/>
  <c r="L327" i="8"/>
  <c r="J327" i="8"/>
  <c r="I327" i="8"/>
  <c r="L326" i="8"/>
  <c r="J326" i="8"/>
  <c r="I326" i="8"/>
  <c r="L325" i="8"/>
  <c r="J325" i="8"/>
  <c r="I325" i="8"/>
  <c r="L324" i="8"/>
  <c r="J324" i="8"/>
  <c r="I324" i="8"/>
  <c r="L323" i="8"/>
  <c r="J323" i="8"/>
  <c r="I323" i="8"/>
  <c r="L322" i="8"/>
  <c r="J322" i="8"/>
  <c r="I322" i="8"/>
  <c r="L321" i="8"/>
  <c r="J321" i="8"/>
  <c r="I321" i="8"/>
  <c r="L320" i="8"/>
  <c r="J320" i="8"/>
  <c r="I320" i="8"/>
  <c r="L319" i="8"/>
  <c r="J319" i="8"/>
  <c r="I319" i="8"/>
  <c r="L318" i="8"/>
  <c r="J318" i="8"/>
  <c r="I318" i="8"/>
  <c r="L317" i="8"/>
  <c r="J317" i="8"/>
  <c r="I317" i="8"/>
  <c r="L316" i="8"/>
  <c r="J316" i="8"/>
  <c r="I316" i="8"/>
  <c r="L315" i="8"/>
  <c r="J315" i="8"/>
  <c r="I315" i="8"/>
  <c r="L314" i="8"/>
  <c r="J314" i="8"/>
  <c r="I314" i="8"/>
  <c r="L313" i="8"/>
  <c r="J313" i="8"/>
  <c r="I313" i="8"/>
  <c r="L312" i="8"/>
  <c r="J312" i="8"/>
  <c r="I312" i="8"/>
  <c r="L311" i="8"/>
  <c r="J311" i="8"/>
  <c r="I311" i="8"/>
  <c r="L310" i="8"/>
  <c r="J310" i="8"/>
  <c r="I310" i="8"/>
  <c r="L309" i="8"/>
  <c r="J309" i="8"/>
  <c r="I309" i="8"/>
  <c r="L308" i="8"/>
  <c r="J308" i="8"/>
  <c r="I308" i="8"/>
  <c r="L307" i="8"/>
  <c r="J307" i="8"/>
  <c r="I307" i="8"/>
  <c r="L306" i="8"/>
  <c r="J306" i="8"/>
  <c r="I306" i="8"/>
  <c r="L305" i="8"/>
  <c r="J305" i="8"/>
  <c r="I305" i="8"/>
  <c r="L304" i="8"/>
  <c r="J304" i="8"/>
  <c r="I304" i="8"/>
  <c r="L303" i="8"/>
  <c r="J303" i="8"/>
  <c r="I303" i="8"/>
  <c r="L302" i="8"/>
  <c r="J302" i="8"/>
  <c r="I302" i="8"/>
  <c r="L301" i="8"/>
  <c r="J301" i="8"/>
  <c r="I301" i="8"/>
  <c r="L300" i="8"/>
  <c r="J300" i="8"/>
  <c r="I300" i="8"/>
  <c r="L299" i="8"/>
  <c r="J299" i="8"/>
  <c r="I299" i="8"/>
  <c r="L298" i="8"/>
  <c r="J298" i="8"/>
  <c r="I298" i="8"/>
  <c r="L297" i="8"/>
  <c r="J297" i="8"/>
  <c r="I297" i="8"/>
  <c r="L296" i="8"/>
  <c r="J296" i="8"/>
  <c r="I296" i="8"/>
  <c r="L295" i="8"/>
  <c r="J295" i="8"/>
  <c r="I295" i="8"/>
  <c r="L294" i="8"/>
  <c r="J294" i="8"/>
  <c r="I294" i="8"/>
  <c r="L293" i="8"/>
  <c r="J293" i="8"/>
  <c r="I293" i="8"/>
  <c r="L292" i="8"/>
  <c r="J292" i="8"/>
  <c r="I292" i="8"/>
  <c r="L291" i="8"/>
  <c r="J291" i="8"/>
  <c r="I291" i="8"/>
  <c r="L290" i="8"/>
  <c r="J290" i="8"/>
  <c r="I290" i="8"/>
  <c r="L289" i="8"/>
  <c r="J289" i="8"/>
  <c r="I289" i="8"/>
  <c r="L288" i="8"/>
  <c r="J288" i="8"/>
  <c r="I288" i="8"/>
  <c r="L287" i="8"/>
  <c r="J287" i="8"/>
  <c r="I287" i="8"/>
  <c r="L286" i="8"/>
  <c r="J286" i="8"/>
  <c r="I286" i="8"/>
  <c r="L285" i="8"/>
  <c r="J285" i="8"/>
  <c r="I285" i="8"/>
  <c r="L284" i="8"/>
  <c r="J284" i="8"/>
  <c r="I284" i="8"/>
  <c r="L283" i="8"/>
  <c r="J283" i="8"/>
  <c r="I283" i="8"/>
  <c r="L282" i="8"/>
  <c r="J282" i="8"/>
  <c r="I282" i="8"/>
  <c r="L281" i="8"/>
  <c r="J281" i="8"/>
  <c r="I281" i="8"/>
  <c r="L280" i="8"/>
  <c r="J280" i="8"/>
  <c r="I280" i="8"/>
  <c r="L279" i="8"/>
  <c r="J279" i="8"/>
  <c r="I279" i="8"/>
  <c r="L278" i="8"/>
  <c r="J278" i="8"/>
  <c r="I278" i="8"/>
  <c r="L277" i="8"/>
  <c r="J277" i="8"/>
  <c r="I277" i="8"/>
  <c r="L276" i="8"/>
  <c r="J276" i="8"/>
  <c r="I276" i="8"/>
  <c r="L275" i="8"/>
  <c r="J275" i="8"/>
  <c r="I275" i="8"/>
  <c r="L274" i="8"/>
  <c r="J274" i="8"/>
  <c r="I274" i="8"/>
  <c r="L273" i="8"/>
  <c r="J273" i="8"/>
  <c r="I273" i="8"/>
  <c r="L272" i="8"/>
  <c r="J272" i="8"/>
  <c r="I272" i="8"/>
  <c r="L271" i="8"/>
  <c r="J271" i="8"/>
  <c r="I271" i="8"/>
  <c r="L270" i="8"/>
  <c r="J270" i="8"/>
  <c r="I270" i="8"/>
  <c r="L269" i="8"/>
  <c r="J269" i="8"/>
  <c r="I269" i="8"/>
  <c r="L268" i="8"/>
  <c r="J268" i="8"/>
  <c r="I268" i="8"/>
  <c r="L267" i="8"/>
  <c r="J267" i="8"/>
  <c r="I267" i="8"/>
  <c r="L266" i="8"/>
  <c r="J266" i="8"/>
  <c r="I266" i="8"/>
  <c r="L265" i="8"/>
  <c r="J265" i="8"/>
  <c r="I265" i="8"/>
  <c r="L264" i="8"/>
  <c r="J264" i="8"/>
  <c r="I264" i="8"/>
  <c r="L263" i="8"/>
  <c r="J263" i="8"/>
  <c r="I263" i="8"/>
  <c r="L262" i="8"/>
  <c r="J262" i="8"/>
  <c r="I262" i="8"/>
  <c r="L261" i="8"/>
  <c r="J261" i="8"/>
  <c r="I261" i="8"/>
  <c r="L260" i="8"/>
  <c r="J260" i="8"/>
  <c r="I260" i="8"/>
  <c r="L259" i="8"/>
  <c r="J259" i="8"/>
  <c r="I259" i="8"/>
  <c r="L258" i="8"/>
  <c r="J258" i="8"/>
  <c r="I258" i="8"/>
  <c r="L257" i="8"/>
  <c r="J257" i="8"/>
  <c r="I257" i="8"/>
  <c r="L256" i="8"/>
  <c r="J256" i="8"/>
  <c r="I256" i="8"/>
  <c r="L255" i="8"/>
  <c r="J255" i="8"/>
  <c r="I255" i="8"/>
  <c r="L254" i="8"/>
  <c r="J254" i="8"/>
  <c r="I254" i="8"/>
  <c r="L253" i="8"/>
  <c r="J253" i="8"/>
  <c r="I253" i="8"/>
  <c r="L252" i="8"/>
  <c r="J252" i="8"/>
  <c r="I252" i="8"/>
  <c r="L251" i="8"/>
  <c r="J251" i="8"/>
  <c r="I251" i="8"/>
  <c r="L250" i="8"/>
  <c r="J250" i="8"/>
  <c r="I250" i="8"/>
  <c r="L249" i="8"/>
  <c r="J249" i="8"/>
  <c r="I249" i="8"/>
  <c r="L248" i="8"/>
  <c r="J248" i="8"/>
  <c r="I248" i="8"/>
  <c r="L247" i="8"/>
  <c r="J247" i="8"/>
  <c r="I247" i="8"/>
  <c r="L246" i="8"/>
  <c r="J246" i="8"/>
  <c r="I246" i="8"/>
  <c r="L245" i="8"/>
  <c r="J245" i="8"/>
  <c r="I245" i="8"/>
  <c r="L244" i="8"/>
  <c r="J244" i="8"/>
  <c r="I244" i="8"/>
  <c r="L243" i="8"/>
  <c r="J243" i="8"/>
  <c r="I243" i="8"/>
  <c r="L242" i="8"/>
  <c r="J242" i="8"/>
  <c r="I242" i="8"/>
  <c r="L241" i="8"/>
  <c r="J241" i="8"/>
  <c r="I241" i="8"/>
  <c r="L240" i="8"/>
  <c r="J240" i="8"/>
  <c r="I240" i="8"/>
  <c r="L239" i="8"/>
  <c r="J239" i="8"/>
  <c r="I239" i="8"/>
  <c r="L238" i="8"/>
  <c r="J238" i="8"/>
  <c r="I238" i="8"/>
  <c r="L237" i="8"/>
  <c r="J237" i="8"/>
  <c r="I237" i="8"/>
  <c r="L236" i="8"/>
  <c r="J236" i="8"/>
  <c r="I236" i="8"/>
  <c r="L235" i="8"/>
  <c r="J235" i="8"/>
  <c r="I235" i="8"/>
  <c r="L234" i="8"/>
  <c r="J234" i="8"/>
  <c r="I234" i="8"/>
  <c r="L233" i="8"/>
  <c r="J233" i="8"/>
  <c r="I233" i="8"/>
  <c r="L232" i="8"/>
  <c r="J232" i="8"/>
  <c r="I232" i="8"/>
  <c r="L231" i="8"/>
  <c r="J231" i="8"/>
  <c r="I231" i="8"/>
  <c r="L230" i="8"/>
  <c r="J230" i="8"/>
  <c r="I230" i="8"/>
  <c r="L229" i="8"/>
  <c r="J229" i="8"/>
  <c r="I229" i="8"/>
  <c r="L228" i="8"/>
  <c r="J228" i="8"/>
  <c r="I228" i="8"/>
  <c r="L227" i="8"/>
  <c r="J227" i="8"/>
  <c r="I227" i="8"/>
  <c r="L226" i="8"/>
  <c r="J226" i="8"/>
  <c r="I226" i="8"/>
  <c r="L225" i="8"/>
  <c r="J225" i="8"/>
  <c r="I225" i="8"/>
  <c r="L224" i="8"/>
  <c r="J224" i="8"/>
  <c r="I224" i="8"/>
  <c r="L223" i="8"/>
  <c r="J223" i="8"/>
  <c r="I223" i="8"/>
  <c r="L222" i="8"/>
  <c r="J222" i="8"/>
  <c r="I222" i="8"/>
  <c r="L221" i="8"/>
  <c r="J221" i="8"/>
  <c r="I221" i="8"/>
  <c r="L220" i="8"/>
  <c r="J220" i="8"/>
  <c r="I220" i="8"/>
  <c r="L219" i="8"/>
  <c r="J219" i="8"/>
  <c r="I219" i="8"/>
  <c r="L218" i="8"/>
  <c r="J218" i="8"/>
  <c r="I218" i="8"/>
  <c r="L217" i="8"/>
  <c r="J217" i="8"/>
  <c r="I217" i="8"/>
  <c r="L216" i="8"/>
  <c r="J216" i="8"/>
  <c r="I216" i="8"/>
  <c r="L215" i="8"/>
  <c r="J215" i="8"/>
  <c r="I215" i="8"/>
  <c r="L214" i="8"/>
  <c r="J214" i="8"/>
  <c r="I214" i="8"/>
  <c r="L213" i="8"/>
  <c r="J213" i="8"/>
  <c r="I213" i="8"/>
  <c r="L212" i="8"/>
  <c r="J212" i="8"/>
  <c r="I212" i="8"/>
  <c r="L211" i="8"/>
  <c r="J211" i="8"/>
  <c r="I211" i="8"/>
  <c r="L210" i="8"/>
  <c r="J210" i="8"/>
  <c r="I210" i="8"/>
  <c r="L209" i="8"/>
  <c r="J209" i="8"/>
  <c r="I209" i="8"/>
  <c r="L208" i="8"/>
  <c r="J208" i="8"/>
  <c r="I208" i="8"/>
  <c r="L207" i="8"/>
  <c r="J207" i="8"/>
  <c r="I207" i="8"/>
  <c r="L206" i="8"/>
  <c r="J206" i="8"/>
  <c r="I206" i="8"/>
  <c r="L205" i="8"/>
  <c r="J205" i="8"/>
  <c r="I205" i="8"/>
  <c r="L204" i="8"/>
  <c r="J204" i="8"/>
  <c r="I204" i="8"/>
  <c r="L203" i="8"/>
  <c r="J203" i="8"/>
  <c r="I203" i="8"/>
  <c r="L202" i="8"/>
  <c r="J202" i="8"/>
  <c r="I202" i="8"/>
  <c r="L201" i="8"/>
  <c r="J201" i="8"/>
  <c r="I201" i="8"/>
  <c r="L200" i="8"/>
  <c r="J200" i="8"/>
  <c r="I200" i="8"/>
  <c r="L199" i="8"/>
  <c r="J199" i="8"/>
  <c r="I199" i="8"/>
  <c r="L198" i="8"/>
  <c r="J198" i="8"/>
  <c r="I198" i="8"/>
  <c r="L197" i="8"/>
  <c r="J197" i="8"/>
  <c r="I197" i="8"/>
  <c r="L196" i="8"/>
  <c r="J196" i="8"/>
  <c r="I196" i="8"/>
  <c r="L195" i="8"/>
  <c r="J195" i="8"/>
  <c r="I195" i="8"/>
  <c r="L194" i="8"/>
  <c r="J194" i="8"/>
  <c r="I194" i="8"/>
  <c r="L193" i="8"/>
  <c r="J193" i="8"/>
  <c r="I193" i="8"/>
  <c r="L192" i="8"/>
  <c r="J192" i="8"/>
  <c r="I192" i="8"/>
  <c r="L191" i="8"/>
  <c r="J191" i="8"/>
  <c r="I191" i="8"/>
  <c r="L190" i="8"/>
  <c r="J190" i="8"/>
  <c r="I190" i="8"/>
  <c r="L189" i="8"/>
  <c r="J189" i="8"/>
  <c r="I189" i="8"/>
  <c r="L188" i="8"/>
  <c r="J188" i="8"/>
  <c r="I188" i="8"/>
  <c r="L187" i="8"/>
  <c r="J187" i="8"/>
  <c r="I187" i="8"/>
  <c r="L186" i="8"/>
  <c r="J186" i="8"/>
  <c r="I186" i="8"/>
  <c r="L185" i="8"/>
  <c r="J185" i="8"/>
  <c r="I185" i="8"/>
  <c r="L184" i="8"/>
  <c r="J184" i="8"/>
  <c r="I184" i="8"/>
  <c r="L183" i="8"/>
  <c r="J183" i="8"/>
  <c r="I183" i="8"/>
  <c r="L182" i="8"/>
  <c r="J182" i="8"/>
  <c r="I182" i="8"/>
  <c r="L181" i="8"/>
  <c r="J181" i="8"/>
  <c r="I181" i="8"/>
  <c r="L180" i="8"/>
  <c r="J180" i="8"/>
  <c r="I180" i="8"/>
  <c r="L179" i="8"/>
  <c r="J179" i="8"/>
  <c r="I179" i="8"/>
  <c r="L178" i="8"/>
  <c r="J178" i="8"/>
  <c r="I178" i="8"/>
  <c r="L177" i="8"/>
  <c r="J177" i="8"/>
  <c r="I177" i="8"/>
  <c r="L176" i="8"/>
  <c r="J176" i="8"/>
  <c r="I176" i="8"/>
  <c r="L175" i="8"/>
  <c r="J175" i="8"/>
  <c r="I175" i="8"/>
  <c r="L174" i="8"/>
  <c r="J174" i="8"/>
  <c r="I174" i="8"/>
  <c r="L173" i="8"/>
  <c r="J173" i="8"/>
  <c r="I173" i="8"/>
  <c r="L172" i="8"/>
  <c r="J172" i="8"/>
  <c r="I172" i="8"/>
  <c r="L171" i="8"/>
  <c r="J171" i="8"/>
  <c r="I171" i="8"/>
  <c r="L170" i="8"/>
  <c r="J170" i="8"/>
  <c r="I170" i="8"/>
  <c r="L169" i="8"/>
  <c r="J169" i="8"/>
  <c r="I169" i="8"/>
  <c r="L168" i="8"/>
  <c r="J168" i="8"/>
  <c r="I168" i="8"/>
  <c r="L167" i="8"/>
  <c r="J167" i="8"/>
  <c r="I167" i="8"/>
  <c r="L166" i="8"/>
  <c r="J166" i="8"/>
  <c r="I166" i="8"/>
  <c r="L165" i="8"/>
  <c r="J165" i="8"/>
  <c r="I165" i="8"/>
  <c r="L164" i="8"/>
  <c r="J164" i="8"/>
  <c r="I164" i="8"/>
  <c r="L163" i="8"/>
  <c r="J163" i="8"/>
  <c r="I163" i="8"/>
  <c r="L162" i="8"/>
  <c r="J162" i="8"/>
  <c r="I162" i="8"/>
  <c r="L161" i="8"/>
  <c r="J161" i="8"/>
  <c r="I161" i="8"/>
  <c r="L160" i="8"/>
  <c r="J160" i="8"/>
  <c r="I160" i="8"/>
  <c r="L159" i="8"/>
  <c r="J159" i="8"/>
  <c r="I159" i="8"/>
  <c r="L158" i="8"/>
  <c r="J158" i="8"/>
  <c r="I158" i="8"/>
  <c r="L157" i="8"/>
  <c r="J157" i="8"/>
  <c r="I157" i="8"/>
  <c r="L156" i="8"/>
  <c r="J156" i="8"/>
  <c r="I156" i="8"/>
  <c r="L155" i="8"/>
  <c r="J155" i="8"/>
  <c r="I155" i="8"/>
  <c r="L154" i="8"/>
  <c r="J154" i="8"/>
  <c r="I154" i="8"/>
  <c r="L153" i="8"/>
  <c r="J153" i="8"/>
  <c r="I153" i="8"/>
  <c r="L152" i="8"/>
  <c r="J152" i="8"/>
  <c r="I152" i="8"/>
  <c r="L151" i="8"/>
  <c r="J151" i="8"/>
  <c r="I151" i="8"/>
  <c r="L150" i="8"/>
  <c r="J150" i="8"/>
  <c r="I150" i="8"/>
  <c r="L149" i="8"/>
  <c r="J149" i="8"/>
  <c r="I149" i="8"/>
  <c r="L148" i="8"/>
  <c r="J148" i="8"/>
  <c r="I148" i="8"/>
  <c r="L147" i="8"/>
  <c r="J147" i="8"/>
  <c r="I147" i="8"/>
  <c r="L146" i="8"/>
  <c r="J146" i="8"/>
  <c r="I146" i="8"/>
  <c r="L145" i="8"/>
  <c r="J145" i="8"/>
  <c r="I145" i="8"/>
  <c r="L144" i="8"/>
  <c r="J144" i="8"/>
  <c r="I144" i="8"/>
  <c r="L143" i="8"/>
  <c r="J143" i="8"/>
  <c r="I143" i="8"/>
  <c r="L142" i="8"/>
  <c r="J142" i="8"/>
  <c r="I142" i="8"/>
  <c r="L141" i="8"/>
  <c r="J141" i="8"/>
  <c r="I141" i="8"/>
  <c r="L140" i="8"/>
  <c r="J140" i="8"/>
  <c r="I140" i="8"/>
  <c r="L139" i="8"/>
  <c r="J139" i="8"/>
  <c r="I139" i="8"/>
  <c r="L138" i="8"/>
  <c r="J138" i="8"/>
  <c r="I138" i="8"/>
  <c r="L137" i="8"/>
  <c r="J137" i="8"/>
  <c r="I137" i="8"/>
  <c r="L136" i="8"/>
  <c r="J136" i="8"/>
  <c r="I136" i="8"/>
  <c r="L135" i="8"/>
  <c r="J135" i="8"/>
  <c r="I135" i="8"/>
  <c r="L134" i="8"/>
  <c r="J134" i="8"/>
  <c r="I134" i="8"/>
  <c r="L133" i="8"/>
  <c r="J133" i="8"/>
  <c r="I133" i="8"/>
  <c r="L132" i="8"/>
  <c r="J132" i="8"/>
  <c r="I132" i="8"/>
  <c r="L131" i="8"/>
  <c r="J131" i="8"/>
  <c r="I131" i="8"/>
  <c r="L130" i="8"/>
  <c r="J130" i="8"/>
  <c r="I130" i="8"/>
  <c r="L129" i="8"/>
  <c r="J129" i="8"/>
  <c r="I129" i="8"/>
  <c r="L128" i="8"/>
  <c r="J128" i="8"/>
  <c r="I128" i="8"/>
  <c r="L127" i="8"/>
  <c r="J127" i="8"/>
  <c r="I127" i="8"/>
  <c r="L126" i="8"/>
  <c r="J126" i="8"/>
  <c r="I126" i="8"/>
  <c r="L125" i="8"/>
  <c r="J125" i="8"/>
  <c r="I125" i="8"/>
  <c r="L124" i="8"/>
  <c r="J124" i="8"/>
  <c r="I124" i="8"/>
  <c r="L123" i="8"/>
  <c r="J123" i="8"/>
  <c r="I123" i="8"/>
  <c r="L122" i="8"/>
  <c r="J122" i="8"/>
  <c r="I122" i="8"/>
  <c r="L121" i="8"/>
  <c r="J121" i="8"/>
  <c r="I121" i="8"/>
  <c r="L120" i="8"/>
  <c r="J120" i="8"/>
  <c r="I120" i="8"/>
  <c r="L119" i="8"/>
  <c r="J119" i="8"/>
  <c r="I119" i="8"/>
  <c r="L118" i="8"/>
  <c r="J118" i="8"/>
  <c r="I118" i="8"/>
  <c r="L117" i="8"/>
  <c r="J117" i="8"/>
  <c r="I117" i="8"/>
  <c r="L116" i="8"/>
  <c r="J116" i="8"/>
  <c r="I116" i="8"/>
  <c r="L115" i="8"/>
  <c r="J115" i="8"/>
  <c r="I115" i="8"/>
  <c r="L114" i="8"/>
  <c r="J114" i="8"/>
  <c r="I114" i="8"/>
  <c r="L113" i="8"/>
  <c r="J113" i="8"/>
  <c r="I113" i="8"/>
  <c r="L112" i="8"/>
  <c r="J112" i="8"/>
  <c r="I112" i="8"/>
  <c r="L111" i="8"/>
  <c r="J111" i="8"/>
  <c r="I111" i="8"/>
  <c r="L110" i="8"/>
  <c r="J110" i="8"/>
  <c r="I110" i="8"/>
  <c r="L109" i="8"/>
  <c r="J109" i="8"/>
  <c r="I109" i="8"/>
  <c r="L108" i="8"/>
  <c r="J108" i="8"/>
  <c r="I108" i="8"/>
  <c r="L107" i="8"/>
  <c r="J107" i="8"/>
  <c r="I107" i="8"/>
  <c r="L106" i="8"/>
  <c r="J106" i="8"/>
  <c r="I106" i="8"/>
  <c r="L105" i="8"/>
  <c r="J105" i="8"/>
  <c r="I105" i="8"/>
  <c r="L104" i="8"/>
  <c r="J104" i="8"/>
  <c r="I104" i="8"/>
  <c r="L103" i="8"/>
  <c r="J103" i="8"/>
  <c r="I103" i="8"/>
  <c r="L102" i="8"/>
  <c r="J102" i="8"/>
  <c r="I102" i="8"/>
  <c r="L101" i="8"/>
  <c r="J101" i="8"/>
  <c r="I101" i="8"/>
  <c r="L100" i="8"/>
  <c r="J100" i="8"/>
  <c r="I100" i="8"/>
  <c r="L99" i="8"/>
  <c r="J99" i="8"/>
  <c r="I99" i="8"/>
  <c r="L98" i="8"/>
  <c r="J98" i="8"/>
  <c r="I98" i="8"/>
  <c r="L97" i="8"/>
  <c r="J97" i="8"/>
  <c r="I97" i="8"/>
  <c r="L96" i="8"/>
  <c r="J96" i="8"/>
  <c r="I96" i="8"/>
  <c r="L95" i="8"/>
  <c r="J95" i="8"/>
  <c r="I95" i="8"/>
  <c r="L94" i="8"/>
  <c r="J94" i="8"/>
  <c r="I94" i="8"/>
  <c r="L93" i="8"/>
  <c r="J93" i="8"/>
  <c r="I93" i="8"/>
  <c r="L92" i="8"/>
  <c r="J92" i="8"/>
  <c r="I92" i="8"/>
  <c r="L91" i="8"/>
  <c r="J91" i="8"/>
  <c r="I91" i="8"/>
  <c r="L90" i="8"/>
  <c r="J90" i="8"/>
  <c r="I90" i="8"/>
  <c r="L89" i="8"/>
  <c r="J89" i="8"/>
  <c r="I89" i="8"/>
  <c r="L88" i="8"/>
  <c r="J88" i="8"/>
  <c r="I88" i="8"/>
  <c r="L87" i="8"/>
  <c r="J87" i="8"/>
  <c r="I87" i="8"/>
  <c r="L86" i="8"/>
  <c r="J86" i="8"/>
  <c r="I86" i="8"/>
  <c r="L85" i="8"/>
  <c r="J85" i="8"/>
  <c r="I85" i="8"/>
  <c r="L84" i="8"/>
  <c r="J84" i="8"/>
  <c r="I84" i="8"/>
  <c r="L83" i="8"/>
  <c r="J83" i="8"/>
  <c r="I83" i="8"/>
  <c r="L82" i="8"/>
  <c r="J82" i="8"/>
  <c r="I82" i="8"/>
  <c r="L81" i="8"/>
  <c r="J81" i="8"/>
  <c r="I81" i="8"/>
  <c r="L80" i="8"/>
  <c r="J80" i="8"/>
  <c r="I80" i="8"/>
  <c r="L79" i="8"/>
  <c r="J79" i="8"/>
  <c r="I79" i="8"/>
  <c r="L78" i="8"/>
  <c r="J78" i="8"/>
  <c r="I78" i="8"/>
  <c r="L77" i="8"/>
  <c r="J77" i="8"/>
  <c r="I77" i="8"/>
  <c r="L76" i="8"/>
  <c r="J76" i="8"/>
  <c r="I76" i="8"/>
  <c r="L75" i="8"/>
  <c r="J75" i="8"/>
  <c r="I75" i="8"/>
  <c r="L74" i="8"/>
  <c r="J74" i="8"/>
  <c r="I74" i="8"/>
  <c r="L73" i="8"/>
  <c r="J73" i="8"/>
  <c r="I73" i="8"/>
  <c r="L72" i="8"/>
  <c r="J72" i="8"/>
  <c r="I72" i="8"/>
  <c r="L71" i="8"/>
  <c r="J71" i="8"/>
  <c r="I71" i="8"/>
  <c r="L70" i="8"/>
  <c r="J70" i="8"/>
  <c r="I70" i="8"/>
  <c r="L69" i="8"/>
  <c r="J69" i="8"/>
  <c r="I69" i="8"/>
  <c r="L68" i="8"/>
  <c r="J68" i="8"/>
  <c r="I68" i="8"/>
  <c r="L67" i="8"/>
  <c r="J67" i="8"/>
  <c r="I67" i="8"/>
  <c r="L66" i="8"/>
  <c r="J66" i="8"/>
  <c r="I66" i="8"/>
  <c r="L65" i="8"/>
  <c r="J65" i="8"/>
  <c r="I65" i="8"/>
  <c r="L64" i="8"/>
  <c r="J64" i="8"/>
  <c r="I64" i="8"/>
  <c r="L63" i="8"/>
  <c r="J63" i="8"/>
  <c r="I63" i="8"/>
  <c r="L62" i="8"/>
  <c r="J62" i="8"/>
  <c r="I62" i="8"/>
  <c r="L61" i="8"/>
  <c r="J61" i="8"/>
  <c r="I61" i="8"/>
  <c r="L60" i="8"/>
  <c r="J60" i="8"/>
  <c r="I60" i="8"/>
  <c r="L59" i="8"/>
  <c r="J59" i="8"/>
  <c r="I59" i="8"/>
  <c r="L58" i="8"/>
  <c r="J58" i="8"/>
  <c r="I58" i="8"/>
  <c r="L57" i="8"/>
  <c r="J57" i="8"/>
  <c r="I57" i="8"/>
  <c r="L56" i="8"/>
  <c r="J56" i="8"/>
  <c r="I56" i="8"/>
  <c r="L55" i="8"/>
  <c r="J55" i="8"/>
  <c r="I55" i="8"/>
  <c r="L54" i="8"/>
  <c r="J54" i="8"/>
  <c r="I54" i="8"/>
  <c r="L53" i="8"/>
  <c r="J53" i="8"/>
  <c r="I53" i="8"/>
  <c r="L52" i="8"/>
  <c r="J52" i="8"/>
  <c r="I52" i="8"/>
  <c r="L51" i="8"/>
  <c r="J51" i="8"/>
  <c r="I51" i="8"/>
  <c r="L50" i="8"/>
  <c r="J50" i="8"/>
  <c r="I50" i="8"/>
  <c r="L49" i="8"/>
  <c r="J49" i="8"/>
  <c r="I49" i="8"/>
  <c r="L48" i="8"/>
  <c r="J48" i="8"/>
  <c r="I48" i="8"/>
  <c r="L47" i="8"/>
  <c r="J47" i="8"/>
  <c r="I47" i="8"/>
  <c r="L46" i="8"/>
  <c r="J46" i="8"/>
  <c r="I46" i="8"/>
  <c r="L45" i="8"/>
  <c r="J45" i="8"/>
  <c r="I45" i="8"/>
  <c r="L44" i="8"/>
  <c r="J44" i="8"/>
  <c r="I44" i="8"/>
  <c r="L43" i="8"/>
  <c r="J43" i="8"/>
  <c r="I43" i="8"/>
  <c r="L42" i="8"/>
  <c r="J42" i="8"/>
  <c r="I42" i="8"/>
  <c r="L41" i="8"/>
  <c r="J41" i="8"/>
  <c r="I41" i="8"/>
  <c r="L40" i="8"/>
  <c r="J40" i="8"/>
  <c r="I40" i="8"/>
  <c r="L39" i="8"/>
  <c r="J39" i="8"/>
  <c r="I39" i="8"/>
  <c r="L38" i="8"/>
  <c r="J38" i="8"/>
  <c r="I38" i="8"/>
  <c r="L37" i="8"/>
  <c r="J37" i="8"/>
  <c r="I37" i="8"/>
  <c r="L36" i="8"/>
  <c r="J36" i="8"/>
  <c r="I36" i="8"/>
  <c r="L35" i="8"/>
  <c r="J35" i="8"/>
  <c r="I35" i="8"/>
  <c r="L34" i="8"/>
  <c r="J34" i="8"/>
  <c r="I34" i="8"/>
  <c r="L33" i="8"/>
  <c r="J33" i="8"/>
  <c r="I33" i="8"/>
  <c r="L32" i="8"/>
  <c r="J32" i="8"/>
  <c r="I32" i="8"/>
  <c r="L31" i="8"/>
  <c r="J31" i="8"/>
  <c r="I31" i="8"/>
  <c r="L30" i="8"/>
  <c r="J30" i="8"/>
  <c r="I30" i="8"/>
  <c r="L29" i="8"/>
  <c r="J29" i="8"/>
  <c r="I29" i="8"/>
  <c r="L28" i="8"/>
  <c r="J28" i="8"/>
  <c r="I28" i="8"/>
  <c r="L27" i="8"/>
  <c r="J27" i="8"/>
  <c r="I27" i="8"/>
  <c r="L26" i="8"/>
  <c r="J26" i="8"/>
  <c r="I26" i="8"/>
  <c r="L25" i="8"/>
  <c r="J25" i="8"/>
  <c r="I25" i="8"/>
  <c r="L24" i="8"/>
  <c r="J24" i="8"/>
  <c r="I24" i="8"/>
  <c r="L23" i="8"/>
  <c r="J23" i="8"/>
  <c r="I23" i="8"/>
  <c r="L22" i="8"/>
  <c r="J22" i="8"/>
  <c r="I22" i="8"/>
  <c r="L21" i="8"/>
  <c r="J21" i="8"/>
  <c r="I21" i="8"/>
  <c r="L20" i="8"/>
  <c r="J20" i="8"/>
  <c r="I20" i="8"/>
  <c r="L19" i="8"/>
  <c r="J19" i="8"/>
  <c r="I19" i="8"/>
  <c r="L18" i="8"/>
  <c r="J18" i="8"/>
  <c r="I18" i="8"/>
  <c r="L17" i="8"/>
  <c r="J17" i="8"/>
  <c r="I17" i="8"/>
  <c r="L16" i="8"/>
  <c r="J16" i="8"/>
  <c r="I16" i="8"/>
  <c r="L15" i="8"/>
  <c r="J15" i="8"/>
  <c r="I15" i="8"/>
  <c r="L14" i="8"/>
  <c r="J14" i="8"/>
  <c r="I14" i="8"/>
  <c r="L13" i="8"/>
  <c r="J13" i="8"/>
  <c r="I13" i="8"/>
  <c r="L12" i="8"/>
  <c r="J12" i="8"/>
  <c r="I12" i="8"/>
  <c r="L11" i="8"/>
  <c r="J11" i="8"/>
  <c r="I11" i="8"/>
  <c r="L10" i="8"/>
  <c r="J10" i="8"/>
  <c r="I10" i="8"/>
  <c r="L9" i="8"/>
  <c r="J9" i="8"/>
  <c r="I9" i="8"/>
  <c r="L8" i="8"/>
  <c r="J8" i="8"/>
  <c r="I8" i="8"/>
  <c r="L7" i="8"/>
  <c r="J7" i="8"/>
  <c r="I7" i="8"/>
  <c r="L6" i="8"/>
  <c r="J6" i="8"/>
  <c r="I6" i="8"/>
  <c r="L5" i="8"/>
  <c r="J5" i="8"/>
  <c r="I5" i="8"/>
  <c r="L4" i="8"/>
  <c r="J4" i="8"/>
  <c r="I4" i="8"/>
  <c r="L3" i="8"/>
  <c r="J3" i="8"/>
  <c r="I3" i="8"/>
  <c r="L2" i="8"/>
  <c r="J2" i="8"/>
  <c r="I2" i="8"/>
  <c r="B6" i="6"/>
  <c r="B5" i="6"/>
  <c r="C1005" i="5"/>
  <c r="B1005" i="5"/>
  <c r="C1004" i="5"/>
  <c r="B1004" i="5"/>
  <c r="C1003" i="5"/>
  <c r="B1003" i="5"/>
  <c r="C1002" i="5"/>
  <c r="B1002" i="5"/>
  <c r="C1001" i="5"/>
  <c r="B1001" i="5"/>
  <c r="C1000" i="5"/>
  <c r="B1000" i="5"/>
  <c r="C999" i="5"/>
  <c r="B999" i="5"/>
  <c r="C998" i="5"/>
  <c r="B998" i="5"/>
  <c r="C997" i="5"/>
  <c r="B997" i="5"/>
  <c r="C996" i="5"/>
  <c r="B996" i="5"/>
  <c r="C995" i="5"/>
  <c r="B995" i="5"/>
  <c r="C994" i="5"/>
  <c r="B994" i="5"/>
  <c r="C993" i="5"/>
  <c r="B993" i="5"/>
  <c r="C992" i="5"/>
  <c r="B992" i="5"/>
  <c r="C991" i="5"/>
  <c r="B991" i="5"/>
  <c r="C990" i="5"/>
  <c r="B990" i="5"/>
  <c r="C989" i="5"/>
  <c r="B989" i="5"/>
  <c r="C988" i="5"/>
  <c r="B988" i="5"/>
  <c r="C987" i="5"/>
  <c r="B987" i="5"/>
  <c r="C986" i="5"/>
  <c r="B986" i="5"/>
  <c r="C985" i="5"/>
  <c r="B985" i="5"/>
  <c r="C984" i="5"/>
  <c r="B984" i="5"/>
  <c r="C983" i="5"/>
  <c r="B983" i="5"/>
  <c r="C982" i="5"/>
  <c r="B982" i="5"/>
  <c r="C981" i="5"/>
  <c r="B981" i="5"/>
  <c r="C980" i="5"/>
  <c r="B980" i="5"/>
  <c r="C979" i="5"/>
  <c r="B979" i="5"/>
  <c r="C978" i="5"/>
  <c r="B978" i="5"/>
  <c r="C977" i="5"/>
  <c r="B977" i="5"/>
  <c r="C976" i="5"/>
  <c r="B976" i="5"/>
  <c r="C975" i="5"/>
  <c r="B975" i="5"/>
  <c r="C974" i="5"/>
  <c r="B974" i="5"/>
  <c r="C973" i="5"/>
  <c r="B973" i="5"/>
  <c r="C972" i="5"/>
  <c r="B972" i="5"/>
  <c r="C971" i="5"/>
  <c r="B971" i="5"/>
  <c r="C970" i="5"/>
  <c r="B970" i="5"/>
  <c r="C969" i="5"/>
  <c r="B969" i="5"/>
  <c r="C968" i="5"/>
  <c r="B968" i="5"/>
  <c r="C967" i="5"/>
  <c r="B967" i="5"/>
  <c r="C966" i="5"/>
  <c r="B966" i="5"/>
  <c r="C965" i="5"/>
  <c r="B965" i="5"/>
  <c r="C964" i="5"/>
  <c r="B964" i="5"/>
  <c r="C963" i="5"/>
  <c r="B963" i="5"/>
  <c r="C962" i="5"/>
  <c r="B962" i="5"/>
  <c r="C961" i="5"/>
  <c r="B961" i="5"/>
  <c r="C960" i="5"/>
  <c r="B960" i="5"/>
  <c r="C959" i="5"/>
  <c r="B959" i="5"/>
  <c r="C958" i="5"/>
  <c r="B958" i="5"/>
  <c r="C957" i="5"/>
  <c r="B957" i="5"/>
  <c r="C956" i="5"/>
  <c r="B956" i="5"/>
  <c r="C955" i="5"/>
  <c r="B955" i="5"/>
  <c r="C954" i="5"/>
  <c r="B954" i="5"/>
  <c r="C953" i="5"/>
  <c r="B953" i="5"/>
  <c r="C952" i="5"/>
  <c r="B952" i="5"/>
  <c r="C951" i="5"/>
  <c r="B951" i="5"/>
  <c r="C950" i="5"/>
  <c r="B950" i="5"/>
  <c r="C949" i="5"/>
  <c r="B949" i="5"/>
  <c r="C948" i="5"/>
  <c r="B948" i="5"/>
  <c r="C947" i="5"/>
  <c r="B947" i="5"/>
  <c r="C946" i="5"/>
  <c r="B946" i="5"/>
  <c r="C945" i="5"/>
  <c r="B945" i="5"/>
  <c r="C944" i="5"/>
  <c r="B944" i="5"/>
  <c r="C943" i="5"/>
  <c r="B943" i="5"/>
  <c r="C942" i="5"/>
  <c r="B942" i="5"/>
  <c r="C941" i="5"/>
  <c r="B941" i="5"/>
  <c r="C940" i="5"/>
  <c r="B940" i="5"/>
  <c r="C939" i="5"/>
  <c r="B939" i="5"/>
  <c r="C938" i="5"/>
  <c r="B938" i="5"/>
  <c r="C937" i="5"/>
  <c r="B937" i="5"/>
  <c r="C936" i="5"/>
  <c r="B936" i="5"/>
  <c r="C935" i="5"/>
  <c r="B935" i="5"/>
  <c r="C934" i="5"/>
  <c r="B934" i="5"/>
  <c r="C933" i="5"/>
  <c r="B933" i="5"/>
  <c r="C932" i="5"/>
  <c r="B932" i="5"/>
  <c r="C931" i="5"/>
  <c r="B931" i="5"/>
  <c r="C930" i="5"/>
  <c r="B930" i="5"/>
  <c r="C929" i="5"/>
  <c r="B929" i="5"/>
  <c r="C928" i="5"/>
  <c r="B928" i="5"/>
  <c r="C927" i="5"/>
  <c r="B927" i="5"/>
  <c r="C926" i="5"/>
  <c r="B926" i="5"/>
  <c r="C925" i="5"/>
  <c r="B925" i="5"/>
  <c r="C924" i="5"/>
  <c r="B924" i="5"/>
  <c r="C923" i="5"/>
  <c r="B923" i="5"/>
  <c r="C922" i="5"/>
  <c r="B922" i="5"/>
  <c r="C921" i="5"/>
  <c r="B921" i="5"/>
  <c r="C920" i="5"/>
  <c r="B920" i="5"/>
  <c r="C919" i="5"/>
  <c r="B919" i="5"/>
  <c r="C918" i="5"/>
  <c r="B918" i="5"/>
  <c r="C917" i="5"/>
  <c r="B917" i="5"/>
  <c r="C916" i="5"/>
  <c r="B916" i="5"/>
  <c r="C915" i="5"/>
  <c r="B915" i="5"/>
  <c r="C914" i="5"/>
  <c r="B914" i="5"/>
  <c r="C913" i="5"/>
  <c r="B913" i="5"/>
  <c r="C912" i="5"/>
  <c r="B912" i="5"/>
  <c r="C911" i="5"/>
  <c r="B911" i="5"/>
  <c r="C910" i="5"/>
  <c r="B910" i="5"/>
  <c r="C909" i="5"/>
  <c r="B909" i="5"/>
  <c r="C908" i="5"/>
  <c r="B908" i="5"/>
  <c r="C907" i="5"/>
  <c r="B907" i="5"/>
  <c r="C906" i="5"/>
  <c r="B906" i="5"/>
  <c r="C905" i="5"/>
  <c r="B905" i="5"/>
  <c r="C904" i="5"/>
  <c r="B904" i="5"/>
  <c r="C903" i="5"/>
  <c r="B903" i="5"/>
  <c r="C902" i="5"/>
  <c r="B902" i="5"/>
  <c r="C901" i="5"/>
  <c r="B901" i="5"/>
  <c r="C900" i="5"/>
  <c r="B900" i="5"/>
  <c r="C899" i="5"/>
  <c r="B899" i="5"/>
  <c r="C898" i="5"/>
  <c r="B898" i="5"/>
  <c r="C897" i="5"/>
  <c r="B897" i="5"/>
  <c r="C896" i="5"/>
  <c r="B896" i="5"/>
  <c r="C895" i="5"/>
  <c r="B895" i="5"/>
  <c r="C894" i="5"/>
  <c r="B894" i="5"/>
  <c r="C893" i="5"/>
  <c r="B893" i="5"/>
  <c r="C892" i="5"/>
  <c r="B892" i="5"/>
  <c r="C891" i="5"/>
  <c r="B891" i="5"/>
  <c r="C890" i="5"/>
  <c r="B890" i="5"/>
  <c r="C889" i="5"/>
  <c r="B889" i="5"/>
  <c r="C888" i="5"/>
  <c r="B888" i="5"/>
  <c r="C887" i="5"/>
  <c r="B887" i="5"/>
  <c r="C886" i="5"/>
  <c r="B886" i="5"/>
  <c r="C885" i="5"/>
  <c r="B885" i="5"/>
  <c r="C884" i="5"/>
  <c r="B884" i="5"/>
  <c r="C883" i="5"/>
  <c r="B883" i="5"/>
  <c r="C882" i="5"/>
  <c r="B882" i="5"/>
  <c r="C881" i="5"/>
  <c r="B881" i="5"/>
  <c r="C880" i="5"/>
  <c r="B880" i="5"/>
  <c r="C879" i="5"/>
  <c r="B879" i="5"/>
  <c r="C878" i="5"/>
  <c r="B878" i="5"/>
  <c r="C877" i="5"/>
  <c r="B877" i="5"/>
  <c r="C876" i="5"/>
  <c r="B876" i="5"/>
  <c r="C875" i="5"/>
  <c r="B875" i="5"/>
  <c r="C874" i="5"/>
  <c r="B874" i="5"/>
  <c r="C873" i="5"/>
  <c r="B873" i="5"/>
  <c r="C872" i="5"/>
  <c r="B872" i="5"/>
  <c r="C871" i="5"/>
  <c r="B871" i="5"/>
  <c r="C870" i="5"/>
  <c r="B870" i="5"/>
  <c r="C869" i="5"/>
  <c r="B869" i="5"/>
  <c r="C868" i="5"/>
  <c r="B868" i="5"/>
  <c r="C867" i="5"/>
  <c r="B867" i="5"/>
  <c r="C866" i="5"/>
  <c r="B866" i="5"/>
  <c r="C865" i="5"/>
  <c r="B865" i="5"/>
  <c r="C864" i="5"/>
  <c r="B864" i="5"/>
  <c r="C863" i="5"/>
  <c r="B863" i="5"/>
  <c r="C862" i="5"/>
  <c r="B862" i="5"/>
  <c r="C861" i="5"/>
  <c r="B861" i="5"/>
  <c r="C860" i="5"/>
  <c r="B860" i="5"/>
  <c r="C859" i="5"/>
  <c r="B859" i="5"/>
  <c r="C858" i="5"/>
  <c r="B858" i="5"/>
  <c r="C857" i="5"/>
  <c r="B857" i="5"/>
  <c r="C856" i="5"/>
  <c r="B856" i="5"/>
  <c r="C855" i="5"/>
  <c r="B855" i="5"/>
  <c r="C854" i="5"/>
  <c r="B854" i="5"/>
  <c r="C853" i="5"/>
  <c r="B853" i="5"/>
  <c r="C852" i="5"/>
  <c r="B852" i="5"/>
  <c r="C851" i="5"/>
  <c r="B851" i="5"/>
  <c r="C850" i="5"/>
  <c r="B850" i="5"/>
  <c r="C849" i="5"/>
  <c r="B849" i="5"/>
  <c r="C848" i="5"/>
  <c r="B848" i="5"/>
  <c r="C847" i="5"/>
  <c r="B847" i="5"/>
  <c r="C846" i="5"/>
  <c r="B846" i="5"/>
  <c r="C845" i="5"/>
  <c r="B845" i="5"/>
  <c r="C844" i="5"/>
  <c r="B844" i="5"/>
  <c r="C843" i="5"/>
  <c r="B843" i="5"/>
  <c r="C842" i="5"/>
  <c r="B842" i="5"/>
  <c r="C841" i="5"/>
  <c r="B841" i="5"/>
  <c r="C840" i="5"/>
  <c r="B840" i="5"/>
  <c r="C839" i="5"/>
  <c r="B839" i="5"/>
  <c r="C838" i="5"/>
  <c r="B838" i="5"/>
  <c r="C837" i="5"/>
  <c r="B837" i="5"/>
  <c r="C836" i="5"/>
  <c r="B836" i="5"/>
  <c r="C835" i="5"/>
  <c r="B835" i="5"/>
  <c r="C834" i="5"/>
  <c r="B834" i="5"/>
  <c r="C833" i="5"/>
  <c r="B833" i="5"/>
  <c r="C832" i="5"/>
  <c r="B832" i="5"/>
  <c r="C831" i="5"/>
  <c r="B831" i="5"/>
  <c r="C830" i="5"/>
  <c r="B830" i="5"/>
  <c r="C829" i="5"/>
  <c r="B829" i="5"/>
  <c r="C828" i="5"/>
  <c r="B828" i="5"/>
  <c r="C827" i="5"/>
  <c r="B827" i="5"/>
  <c r="C826" i="5"/>
  <c r="B826" i="5"/>
  <c r="C825" i="5"/>
  <c r="B825" i="5"/>
  <c r="C824" i="5"/>
  <c r="B824" i="5"/>
  <c r="C823" i="5"/>
  <c r="B823" i="5"/>
  <c r="C822" i="5"/>
  <c r="B822" i="5"/>
  <c r="C821" i="5"/>
  <c r="B821" i="5"/>
  <c r="C820" i="5"/>
  <c r="B820" i="5"/>
  <c r="C819" i="5"/>
  <c r="B819" i="5"/>
  <c r="C818" i="5"/>
  <c r="B818" i="5"/>
  <c r="C817" i="5"/>
  <c r="B817" i="5"/>
  <c r="C816" i="5"/>
  <c r="B816" i="5"/>
  <c r="C815" i="5"/>
  <c r="B815" i="5"/>
  <c r="C814" i="5"/>
  <c r="B814" i="5"/>
  <c r="C813" i="5"/>
  <c r="B813" i="5"/>
  <c r="C812" i="5"/>
  <c r="B812" i="5"/>
  <c r="C811" i="5"/>
  <c r="B811" i="5"/>
  <c r="C810" i="5"/>
  <c r="B810" i="5"/>
  <c r="C809" i="5"/>
  <c r="B809" i="5"/>
  <c r="C808" i="5"/>
  <c r="B808" i="5"/>
  <c r="C807" i="5"/>
  <c r="B807" i="5"/>
  <c r="C806" i="5"/>
  <c r="B806" i="5"/>
  <c r="C805" i="5"/>
  <c r="B805" i="5"/>
  <c r="C804" i="5"/>
  <c r="B804" i="5"/>
  <c r="C803" i="5"/>
  <c r="B803" i="5"/>
  <c r="C802" i="5"/>
  <c r="B802" i="5"/>
  <c r="C801" i="5"/>
  <c r="B801" i="5"/>
  <c r="C800" i="5"/>
  <c r="B800" i="5"/>
  <c r="C799" i="5"/>
  <c r="B799" i="5"/>
  <c r="C798" i="5"/>
  <c r="B798" i="5"/>
  <c r="C797" i="5"/>
  <c r="B797" i="5"/>
  <c r="C796" i="5"/>
  <c r="B796" i="5"/>
  <c r="C795" i="5"/>
  <c r="B795" i="5"/>
  <c r="C794" i="5"/>
  <c r="B794" i="5"/>
  <c r="C793" i="5"/>
  <c r="B793" i="5"/>
  <c r="C792" i="5"/>
  <c r="B792" i="5"/>
  <c r="C791" i="5"/>
  <c r="B791" i="5"/>
  <c r="C790" i="5"/>
  <c r="B790" i="5"/>
  <c r="C789" i="5"/>
  <c r="B789" i="5"/>
  <c r="C788" i="5"/>
  <c r="B788" i="5"/>
  <c r="C787" i="5"/>
  <c r="B787" i="5"/>
  <c r="C786" i="5"/>
  <c r="B786" i="5"/>
  <c r="C785" i="5"/>
  <c r="B785" i="5"/>
  <c r="C784" i="5"/>
  <c r="B784" i="5"/>
  <c r="C783" i="5"/>
  <c r="B783" i="5"/>
  <c r="C782" i="5"/>
  <c r="B782" i="5"/>
  <c r="C781" i="5"/>
  <c r="B781" i="5"/>
  <c r="C780" i="5"/>
  <c r="B780" i="5"/>
  <c r="C779" i="5"/>
  <c r="B779" i="5"/>
  <c r="C778" i="5"/>
  <c r="B778" i="5"/>
  <c r="C777" i="5"/>
  <c r="B777" i="5"/>
  <c r="C776" i="5"/>
  <c r="B776" i="5"/>
  <c r="C775" i="5"/>
  <c r="B775" i="5"/>
  <c r="C774" i="5"/>
  <c r="B774" i="5"/>
  <c r="C773" i="5"/>
  <c r="B773" i="5"/>
  <c r="C772" i="5"/>
  <c r="B772" i="5"/>
  <c r="C771" i="5"/>
  <c r="B771" i="5"/>
  <c r="C770" i="5"/>
  <c r="B770" i="5"/>
  <c r="C769" i="5"/>
  <c r="B769" i="5"/>
  <c r="C768" i="5"/>
  <c r="B768" i="5"/>
  <c r="C767" i="5"/>
  <c r="B767" i="5"/>
  <c r="C766" i="5"/>
  <c r="B766" i="5"/>
  <c r="C765" i="5"/>
  <c r="B765" i="5"/>
  <c r="C764" i="5"/>
  <c r="B764" i="5"/>
  <c r="C763" i="5"/>
  <c r="B763" i="5"/>
  <c r="C762" i="5"/>
  <c r="B762" i="5"/>
  <c r="C761" i="5"/>
  <c r="B761" i="5"/>
  <c r="C760" i="5"/>
  <c r="B760" i="5"/>
  <c r="C759" i="5"/>
  <c r="B759" i="5"/>
  <c r="C758" i="5"/>
  <c r="B758" i="5"/>
  <c r="C757" i="5"/>
  <c r="B757" i="5"/>
  <c r="C756" i="5"/>
  <c r="B756" i="5"/>
  <c r="C755" i="5"/>
  <c r="B755" i="5"/>
  <c r="C754" i="5"/>
  <c r="B754" i="5"/>
  <c r="C753" i="5"/>
  <c r="B753" i="5"/>
  <c r="C752" i="5"/>
  <c r="B752" i="5"/>
  <c r="C751" i="5"/>
  <c r="B751" i="5"/>
  <c r="C750" i="5"/>
  <c r="B750" i="5"/>
  <c r="C749" i="5"/>
  <c r="B749" i="5"/>
  <c r="C748" i="5"/>
  <c r="B748" i="5"/>
  <c r="C747" i="5"/>
  <c r="B747" i="5"/>
  <c r="C746" i="5"/>
  <c r="B746" i="5"/>
  <c r="C745" i="5"/>
  <c r="B745" i="5"/>
  <c r="C744" i="5"/>
  <c r="B744" i="5"/>
  <c r="C743" i="5"/>
  <c r="B743" i="5"/>
  <c r="C742" i="5"/>
  <c r="B742" i="5"/>
  <c r="C741" i="5"/>
  <c r="B741" i="5"/>
  <c r="C740" i="5"/>
  <c r="B740" i="5"/>
  <c r="C739" i="5"/>
  <c r="B739" i="5"/>
  <c r="C738" i="5"/>
  <c r="B738" i="5"/>
  <c r="C737" i="5"/>
  <c r="B737" i="5"/>
  <c r="C736" i="5"/>
  <c r="B736" i="5"/>
  <c r="C735" i="5"/>
  <c r="B735" i="5"/>
  <c r="C734" i="5"/>
  <c r="B734" i="5"/>
  <c r="C733" i="5"/>
  <c r="B733" i="5"/>
  <c r="C732" i="5"/>
  <c r="B732" i="5"/>
  <c r="C731" i="5"/>
  <c r="B731" i="5"/>
  <c r="C730" i="5"/>
  <c r="B730" i="5"/>
  <c r="C729" i="5"/>
  <c r="B729" i="5"/>
  <c r="C728" i="5"/>
  <c r="B728" i="5"/>
  <c r="C727" i="5"/>
  <c r="B727" i="5"/>
  <c r="C726" i="5"/>
  <c r="B726" i="5"/>
  <c r="C725" i="5"/>
  <c r="B725" i="5"/>
  <c r="C724" i="5"/>
  <c r="B724" i="5"/>
  <c r="C723" i="5"/>
  <c r="B723" i="5"/>
  <c r="C722" i="5"/>
  <c r="B722" i="5"/>
  <c r="C721" i="5"/>
  <c r="B721" i="5"/>
  <c r="C720" i="5"/>
  <c r="B720" i="5"/>
  <c r="C719" i="5"/>
  <c r="B719" i="5"/>
  <c r="C718" i="5"/>
  <c r="B718" i="5"/>
  <c r="C717" i="5"/>
  <c r="B717" i="5"/>
  <c r="C716" i="5"/>
  <c r="B716" i="5"/>
  <c r="C715" i="5"/>
  <c r="B715" i="5"/>
  <c r="C714" i="5"/>
  <c r="B714" i="5"/>
  <c r="C713" i="5"/>
  <c r="B713" i="5"/>
  <c r="C712" i="5"/>
  <c r="B712" i="5"/>
  <c r="C711" i="5"/>
  <c r="B711" i="5"/>
  <c r="C710" i="5"/>
  <c r="B710" i="5"/>
  <c r="C709" i="5"/>
  <c r="B709" i="5"/>
  <c r="C708" i="5"/>
  <c r="B708" i="5"/>
  <c r="C707" i="5"/>
  <c r="B707" i="5"/>
  <c r="C706" i="5"/>
  <c r="B706" i="5"/>
  <c r="C705" i="5"/>
  <c r="B705" i="5"/>
  <c r="C704" i="5"/>
  <c r="B704" i="5"/>
  <c r="C703" i="5"/>
  <c r="B703" i="5"/>
  <c r="C702" i="5"/>
  <c r="B702" i="5"/>
  <c r="C701" i="5"/>
  <c r="B701" i="5"/>
  <c r="C700" i="5"/>
  <c r="B700" i="5"/>
  <c r="C699" i="5"/>
  <c r="B699" i="5"/>
  <c r="C698" i="5"/>
  <c r="B698" i="5"/>
  <c r="C697" i="5"/>
  <c r="B697" i="5"/>
  <c r="C696" i="5"/>
  <c r="B696" i="5"/>
  <c r="C695" i="5"/>
  <c r="B695" i="5"/>
  <c r="C694" i="5"/>
  <c r="B694" i="5"/>
  <c r="C693" i="5"/>
  <c r="B693" i="5"/>
  <c r="C692" i="5"/>
  <c r="B692" i="5"/>
  <c r="C691" i="5"/>
  <c r="B691" i="5"/>
  <c r="C690" i="5"/>
  <c r="B690" i="5"/>
  <c r="C689" i="5"/>
  <c r="B689" i="5"/>
  <c r="C688" i="5"/>
  <c r="B688" i="5"/>
  <c r="C687" i="5"/>
  <c r="B687" i="5"/>
  <c r="C686" i="5"/>
  <c r="B686" i="5"/>
  <c r="C685" i="5"/>
  <c r="B685" i="5"/>
  <c r="C684" i="5"/>
  <c r="B684" i="5"/>
  <c r="C683" i="5"/>
  <c r="B683" i="5"/>
  <c r="C682" i="5"/>
  <c r="B682" i="5"/>
  <c r="C681" i="5"/>
  <c r="B681" i="5"/>
  <c r="C680" i="5"/>
  <c r="B680" i="5"/>
  <c r="C679" i="5"/>
  <c r="B679" i="5"/>
  <c r="C678" i="5"/>
  <c r="B678" i="5"/>
  <c r="C677" i="5"/>
  <c r="B677" i="5"/>
  <c r="C676" i="5"/>
  <c r="B676" i="5"/>
  <c r="C675" i="5"/>
  <c r="B675" i="5"/>
  <c r="C674" i="5"/>
  <c r="B674" i="5"/>
  <c r="C673" i="5"/>
  <c r="B673" i="5"/>
  <c r="C672" i="5"/>
  <c r="B672" i="5"/>
  <c r="C671" i="5"/>
  <c r="B671" i="5"/>
  <c r="C670" i="5"/>
  <c r="B670" i="5"/>
  <c r="C669" i="5"/>
  <c r="B669" i="5"/>
  <c r="C668" i="5"/>
  <c r="B668" i="5"/>
  <c r="C667" i="5"/>
  <c r="B667" i="5"/>
  <c r="C666" i="5"/>
  <c r="B666" i="5"/>
  <c r="C665" i="5"/>
  <c r="B665" i="5"/>
  <c r="C664" i="5"/>
  <c r="B664" i="5"/>
  <c r="C663" i="5"/>
  <c r="B663" i="5"/>
  <c r="C662" i="5"/>
  <c r="B662" i="5"/>
  <c r="C661" i="5"/>
  <c r="B661" i="5"/>
  <c r="C660" i="5"/>
  <c r="B660" i="5"/>
  <c r="C659" i="5"/>
  <c r="B659" i="5"/>
  <c r="C658" i="5"/>
  <c r="B658" i="5"/>
  <c r="C657" i="5"/>
  <c r="B657" i="5"/>
  <c r="C656" i="5"/>
  <c r="B656" i="5"/>
  <c r="C655" i="5"/>
  <c r="B655" i="5"/>
  <c r="C654" i="5"/>
  <c r="B654" i="5"/>
  <c r="C653" i="5"/>
  <c r="B653" i="5"/>
  <c r="C652" i="5"/>
  <c r="B652" i="5"/>
  <c r="C651" i="5"/>
  <c r="B651" i="5"/>
  <c r="C650" i="5"/>
  <c r="B650" i="5"/>
  <c r="C649" i="5"/>
  <c r="B649" i="5"/>
  <c r="C648" i="5"/>
  <c r="B648" i="5"/>
  <c r="C647" i="5"/>
  <c r="B647" i="5"/>
  <c r="C646" i="5"/>
  <c r="B646" i="5"/>
  <c r="C645" i="5"/>
  <c r="B645" i="5"/>
  <c r="C644" i="5"/>
  <c r="B644" i="5"/>
  <c r="C643" i="5"/>
  <c r="B643" i="5"/>
  <c r="C642" i="5"/>
  <c r="B642" i="5"/>
  <c r="C641" i="5"/>
  <c r="B641" i="5"/>
  <c r="C640" i="5"/>
  <c r="B640" i="5"/>
  <c r="C639" i="5"/>
  <c r="B639" i="5"/>
  <c r="C638" i="5"/>
  <c r="B638" i="5"/>
  <c r="C637" i="5"/>
  <c r="B637" i="5"/>
  <c r="C636" i="5"/>
  <c r="B636" i="5"/>
  <c r="C635" i="5"/>
  <c r="B635" i="5"/>
  <c r="C634" i="5"/>
  <c r="B634" i="5"/>
  <c r="C633" i="5"/>
  <c r="B633" i="5"/>
  <c r="C632" i="5"/>
  <c r="B632" i="5"/>
  <c r="C631" i="5"/>
  <c r="B631" i="5"/>
  <c r="C630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B502" i="5"/>
  <c r="C502" i="5"/>
  <c r="B501" i="5"/>
  <c r="C501" i="5"/>
  <c r="B500" i="5"/>
  <c r="C500" i="5"/>
  <c r="B499" i="5"/>
  <c r="C499" i="5"/>
  <c r="B498" i="5"/>
  <c r="C498" i="5"/>
  <c r="B497" i="5"/>
  <c r="C497" i="5"/>
  <c r="B496" i="5"/>
  <c r="C496" i="5"/>
  <c r="B495" i="5"/>
  <c r="C495" i="5"/>
  <c r="B494" i="5"/>
  <c r="C494" i="5"/>
  <c r="B493" i="5"/>
  <c r="C493" i="5"/>
  <c r="B492" i="5"/>
  <c r="C492" i="5"/>
  <c r="B491" i="5"/>
  <c r="C491" i="5"/>
  <c r="B490" i="5"/>
  <c r="C490" i="5"/>
  <c r="B489" i="5"/>
  <c r="C489" i="5"/>
  <c r="B488" i="5"/>
  <c r="C488" i="5"/>
  <c r="B487" i="5"/>
  <c r="C487" i="5"/>
  <c r="B486" i="5"/>
  <c r="C486" i="5"/>
  <c r="B485" i="5"/>
  <c r="C485" i="5"/>
  <c r="B484" i="5"/>
  <c r="C484" i="5"/>
  <c r="B483" i="5"/>
  <c r="C483" i="5"/>
  <c r="B482" i="5"/>
  <c r="C482" i="5"/>
  <c r="B481" i="5"/>
  <c r="C481" i="5"/>
  <c r="B480" i="5"/>
  <c r="C480" i="5"/>
  <c r="B479" i="5"/>
  <c r="C479" i="5"/>
  <c r="B478" i="5"/>
  <c r="C478" i="5"/>
  <c r="B477" i="5"/>
  <c r="C477" i="5"/>
  <c r="B476" i="5"/>
  <c r="C476" i="5"/>
  <c r="B475" i="5"/>
  <c r="C475" i="5"/>
  <c r="B474" i="5"/>
  <c r="C474" i="5"/>
  <c r="B473" i="5"/>
  <c r="C473" i="5"/>
  <c r="B472" i="5"/>
  <c r="C472" i="5"/>
  <c r="B471" i="5"/>
  <c r="C471" i="5"/>
  <c r="B470" i="5"/>
  <c r="C470" i="5"/>
  <c r="B469" i="5"/>
  <c r="C469" i="5"/>
  <c r="B468" i="5"/>
  <c r="C468" i="5"/>
  <c r="B467" i="5"/>
  <c r="C467" i="5"/>
  <c r="B466" i="5"/>
  <c r="C466" i="5"/>
  <c r="B465" i="5"/>
  <c r="C465" i="5"/>
  <c r="B464" i="5"/>
  <c r="C464" i="5"/>
  <c r="B463" i="5"/>
  <c r="C463" i="5"/>
  <c r="B462" i="5"/>
  <c r="C462" i="5"/>
  <c r="B461" i="5"/>
  <c r="C461" i="5"/>
  <c r="B460" i="5"/>
  <c r="C460" i="5"/>
  <c r="B459" i="5"/>
  <c r="C459" i="5"/>
  <c r="B458" i="5"/>
  <c r="C458" i="5"/>
  <c r="B457" i="5"/>
  <c r="C457" i="5"/>
  <c r="B456" i="5"/>
  <c r="C456" i="5"/>
  <c r="B455" i="5"/>
  <c r="C455" i="5"/>
  <c r="B454" i="5"/>
  <c r="C454" i="5"/>
  <c r="B453" i="5"/>
  <c r="C453" i="5"/>
  <c r="B452" i="5"/>
  <c r="C452" i="5"/>
  <c r="B451" i="5"/>
  <c r="C451" i="5"/>
  <c r="B450" i="5"/>
  <c r="C450" i="5"/>
  <c r="B449" i="5"/>
  <c r="C449" i="5"/>
  <c r="B448" i="5"/>
  <c r="C448" i="5"/>
  <c r="B447" i="5"/>
  <c r="C447" i="5"/>
  <c r="B446" i="5"/>
  <c r="C446" i="5"/>
  <c r="B445" i="5"/>
  <c r="C445" i="5"/>
  <c r="B444" i="5"/>
  <c r="C444" i="5"/>
  <c r="B443" i="5"/>
  <c r="C443" i="5"/>
  <c r="B442" i="5"/>
  <c r="C442" i="5"/>
  <c r="B441" i="5"/>
  <c r="C441" i="5"/>
  <c r="B440" i="5"/>
  <c r="C440" i="5"/>
  <c r="B439" i="5"/>
  <c r="C439" i="5"/>
  <c r="B438" i="5"/>
  <c r="C438" i="5"/>
  <c r="B437" i="5"/>
  <c r="C437" i="5"/>
  <c r="B436" i="5"/>
  <c r="C436" i="5"/>
  <c r="B435" i="5"/>
  <c r="C435" i="5"/>
  <c r="B434" i="5"/>
  <c r="C434" i="5"/>
  <c r="B433" i="5"/>
  <c r="C433" i="5"/>
  <c r="B432" i="5"/>
  <c r="C432" i="5"/>
  <c r="B431" i="5"/>
  <c r="C431" i="5"/>
  <c r="B430" i="5"/>
  <c r="C430" i="5"/>
  <c r="B429" i="5"/>
  <c r="C429" i="5"/>
  <c r="B428" i="5"/>
  <c r="C428" i="5"/>
  <c r="B427" i="5"/>
  <c r="C427" i="5"/>
  <c r="B426" i="5"/>
  <c r="C426" i="5"/>
  <c r="B425" i="5"/>
  <c r="C425" i="5"/>
  <c r="B424" i="5"/>
  <c r="C424" i="5"/>
  <c r="B423" i="5"/>
  <c r="C423" i="5"/>
  <c r="B422" i="5"/>
  <c r="C422" i="5"/>
  <c r="B421" i="5"/>
  <c r="C421" i="5"/>
  <c r="B420" i="5"/>
  <c r="C420" i="5"/>
  <c r="B419" i="5"/>
  <c r="C419" i="5"/>
  <c r="B418" i="5"/>
  <c r="C418" i="5"/>
  <c r="B417" i="5"/>
  <c r="C417" i="5"/>
  <c r="B416" i="5"/>
  <c r="C416" i="5"/>
  <c r="B415" i="5"/>
  <c r="C415" i="5"/>
  <c r="B414" i="5"/>
  <c r="C414" i="5"/>
  <c r="B413" i="5"/>
  <c r="C413" i="5"/>
  <c r="B412" i="5"/>
  <c r="C412" i="5"/>
  <c r="B411" i="5"/>
  <c r="C411" i="5"/>
  <c r="B410" i="5"/>
  <c r="C410" i="5"/>
  <c r="B409" i="5"/>
  <c r="C409" i="5"/>
  <c r="B408" i="5"/>
  <c r="C408" i="5"/>
  <c r="B407" i="5"/>
  <c r="C407" i="5"/>
  <c r="B406" i="5"/>
  <c r="C406" i="5"/>
  <c r="B405" i="5"/>
  <c r="C405" i="5"/>
  <c r="B404" i="5"/>
  <c r="C404" i="5"/>
  <c r="B403" i="5"/>
  <c r="C403" i="5"/>
  <c r="B402" i="5"/>
  <c r="C402" i="5"/>
  <c r="B401" i="5"/>
  <c r="C401" i="5"/>
  <c r="B400" i="5"/>
  <c r="C400" i="5"/>
  <c r="B399" i="5"/>
  <c r="C399" i="5"/>
  <c r="B398" i="5"/>
  <c r="C398" i="5"/>
  <c r="B397" i="5"/>
  <c r="C397" i="5"/>
  <c r="B396" i="5"/>
  <c r="C396" i="5"/>
  <c r="B395" i="5"/>
  <c r="C395" i="5"/>
  <c r="B394" i="5"/>
  <c r="C394" i="5"/>
  <c r="B393" i="5"/>
  <c r="C393" i="5"/>
  <c r="B392" i="5"/>
  <c r="C392" i="5"/>
  <c r="B391" i="5"/>
  <c r="C391" i="5"/>
  <c r="B390" i="5"/>
  <c r="C390" i="5"/>
  <c r="B389" i="5"/>
  <c r="C389" i="5"/>
  <c r="B388" i="5"/>
  <c r="C388" i="5"/>
  <c r="B387" i="5"/>
  <c r="C387" i="5"/>
  <c r="B386" i="5"/>
  <c r="C386" i="5"/>
  <c r="B385" i="5"/>
  <c r="C385" i="5"/>
  <c r="B384" i="5"/>
  <c r="C384" i="5"/>
  <c r="B383" i="5"/>
  <c r="C383" i="5"/>
  <c r="B382" i="5"/>
  <c r="C382" i="5"/>
  <c r="B381" i="5"/>
  <c r="C381" i="5"/>
  <c r="B380" i="5"/>
  <c r="C380" i="5"/>
  <c r="B379" i="5"/>
  <c r="C379" i="5"/>
  <c r="B378" i="5"/>
  <c r="C378" i="5"/>
  <c r="B377" i="5"/>
  <c r="C377" i="5"/>
  <c r="B376" i="5"/>
  <c r="C376" i="5"/>
  <c r="B375" i="5"/>
  <c r="C375" i="5"/>
  <c r="B374" i="5"/>
  <c r="C374" i="5"/>
  <c r="B373" i="5"/>
  <c r="C373" i="5"/>
  <c r="B372" i="5"/>
  <c r="C372" i="5"/>
  <c r="B371" i="5"/>
  <c r="C371" i="5"/>
  <c r="B370" i="5"/>
  <c r="C370" i="5"/>
  <c r="B369" i="5"/>
  <c r="C369" i="5"/>
  <c r="B368" i="5"/>
  <c r="C368" i="5"/>
  <c r="B367" i="5"/>
  <c r="C367" i="5"/>
  <c r="B366" i="5"/>
  <c r="C366" i="5"/>
  <c r="B365" i="5"/>
  <c r="C365" i="5"/>
  <c r="B364" i="5"/>
  <c r="C364" i="5"/>
  <c r="B363" i="5"/>
  <c r="C363" i="5"/>
  <c r="B362" i="5"/>
  <c r="C362" i="5"/>
  <c r="B361" i="5"/>
  <c r="C361" i="5"/>
  <c r="B360" i="5"/>
  <c r="C360" i="5"/>
  <c r="B359" i="5"/>
  <c r="C359" i="5"/>
  <c r="B358" i="5"/>
  <c r="C358" i="5"/>
  <c r="B357" i="5"/>
  <c r="C357" i="5"/>
  <c r="B356" i="5"/>
  <c r="C356" i="5"/>
  <c r="B355" i="5"/>
  <c r="C355" i="5"/>
  <c r="B354" i="5"/>
  <c r="C354" i="5"/>
  <c r="B353" i="5"/>
  <c r="C353" i="5"/>
  <c r="B352" i="5"/>
  <c r="C352" i="5"/>
  <c r="B351" i="5"/>
  <c r="C351" i="5"/>
  <c r="B350" i="5"/>
  <c r="C350" i="5"/>
  <c r="B349" i="5"/>
  <c r="C349" i="5"/>
  <c r="B348" i="5"/>
  <c r="C348" i="5"/>
  <c r="B347" i="5"/>
  <c r="C347" i="5"/>
  <c r="B346" i="5"/>
  <c r="C346" i="5"/>
  <c r="B345" i="5"/>
  <c r="C345" i="5"/>
  <c r="B344" i="5"/>
  <c r="C344" i="5"/>
  <c r="B343" i="5"/>
  <c r="C343" i="5"/>
  <c r="B342" i="5"/>
  <c r="C342" i="5"/>
  <c r="B341" i="5"/>
  <c r="C341" i="5"/>
  <c r="B340" i="5"/>
  <c r="C340" i="5"/>
  <c r="B339" i="5"/>
  <c r="C339" i="5"/>
  <c r="B338" i="5"/>
  <c r="C338" i="5"/>
  <c r="B337" i="5"/>
  <c r="C337" i="5"/>
  <c r="B336" i="5"/>
  <c r="C336" i="5"/>
  <c r="B335" i="5"/>
  <c r="C335" i="5"/>
  <c r="B334" i="5"/>
  <c r="C334" i="5"/>
  <c r="B333" i="5"/>
  <c r="C333" i="5"/>
  <c r="B332" i="5"/>
  <c r="C332" i="5"/>
  <c r="B331" i="5"/>
  <c r="C331" i="5"/>
  <c r="B330" i="5"/>
  <c r="C330" i="5"/>
  <c r="B329" i="5"/>
  <c r="C329" i="5"/>
  <c r="B328" i="5"/>
  <c r="C328" i="5"/>
  <c r="B327" i="5"/>
  <c r="C327" i="5"/>
  <c r="B326" i="5"/>
  <c r="C326" i="5"/>
  <c r="B325" i="5"/>
  <c r="C325" i="5"/>
  <c r="B324" i="5"/>
  <c r="C324" i="5"/>
  <c r="B323" i="5"/>
  <c r="C323" i="5"/>
  <c r="B322" i="5"/>
  <c r="C322" i="5"/>
  <c r="B321" i="5"/>
  <c r="C321" i="5"/>
  <c r="B320" i="5"/>
  <c r="C320" i="5"/>
  <c r="B319" i="5"/>
  <c r="C319" i="5"/>
  <c r="B318" i="5"/>
  <c r="C318" i="5"/>
  <c r="B317" i="5"/>
  <c r="C317" i="5"/>
  <c r="B316" i="5"/>
  <c r="C316" i="5"/>
  <c r="B315" i="5"/>
  <c r="C315" i="5"/>
  <c r="B314" i="5"/>
  <c r="C314" i="5"/>
  <c r="B313" i="5"/>
  <c r="C313" i="5"/>
  <c r="B312" i="5"/>
  <c r="C312" i="5"/>
  <c r="B311" i="5"/>
  <c r="C311" i="5"/>
  <c r="B310" i="5"/>
  <c r="C310" i="5"/>
  <c r="B309" i="5"/>
  <c r="C309" i="5"/>
  <c r="B308" i="5"/>
  <c r="C308" i="5"/>
  <c r="B307" i="5"/>
  <c r="C307" i="5"/>
  <c r="B306" i="5"/>
  <c r="C306" i="5"/>
  <c r="B305" i="5"/>
  <c r="C305" i="5"/>
  <c r="B304" i="5"/>
  <c r="C304" i="5"/>
  <c r="B303" i="5"/>
  <c r="C303" i="5"/>
  <c r="B302" i="5"/>
  <c r="C302" i="5"/>
  <c r="B301" i="5"/>
  <c r="C301" i="5"/>
  <c r="B300" i="5"/>
  <c r="C300" i="5"/>
  <c r="B299" i="5"/>
  <c r="C299" i="5"/>
  <c r="B298" i="5"/>
  <c r="C298" i="5"/>
  <c r="B297" i="5"/>
  <c r="C297" i="5"/>
  <c r="B296" i="5"/>
  <c r="C296" i="5"/>
  <c r="B295" i="5"/>
  <c r="C295" i="5"/>
  <c r="B294" i="5"/>
  <c r="C294" i="5"/>
  <c r="B293" i="5"/>
  <c r="C293" i="5"/>
  <c r="B292" i="5"/>
  <c r="C292" i="5"/>
  <c r="B291" i="5"/>
  <c r="C291" i="5"/>
  <c r="B290" i="5"/>
  <c r="C290" i="5"/>
  <c r="B289" i="5"/>
  <c r="C289" i="5"/>
  <c r="B288" i="5"/>
  <c r="C288" i="5"/>
  <c r="B287" i="5"/>
  <c r="C287" i="5"/>
  <c r="B286" i="5"/>
  <c r="C286" i="5"/>
  <c r="B285" i="5"/>
  <c r="C285" i="5"/>
  <c r="B284" i="5"/>
  <c r="C284" i="5"/>
  <c r="B283" i="5"/>
  <c r="C283" i="5"/>
  <c r="B282" i="5"/>
  <c r="C282" i="5"/>
  <c r="B281" i="5"/>
  <c r="C281" i="5"/>
  <c r="B280" i="5"/>
  <c r="C280" i="5"/>
  <c r="B279" i="5"/>
  <c r="C279" i="5"/>
  <c r="B278" i="5"/>
  <c r="C278" i="5"/>
  <c r="B277" i="5"/>
  <c r="C277" i="5"/>
  <c r="B276" i="5"/>
  <c r="C276" i="5"/>
  <c r="B275" i="5"/>
  <c r="C275" i="5"/>
  <c r="B274" i="5"/>
  <c r="C274" i="5"/>
  <c r="B273" i="5"/>
  <c r="C273" i="5"/>
  <c r="B272" i="5"/>
  <c r="C272" i="5"/>
  <c r="B271" i="5"/>
  <c r="C271" i="5"/>
  <c r="B270" i="5"/>
  <c r="C270" i="5"/>
  <c r="B269" i="5"/>
  <c r="C269" i="5"/>
  <c r="B268" i="5"/>
  <c r="C268" i="5"/>
  <c r="B267" i="5"/>
  <c r="C267" i="5"/>
  <c r="B266" i="5"/>
  <c r="C266" i="5"/>
  <c r="B265" i="5"/>
  <c r="C265" i="5"/>
  <c r="B264" i="5"/>
  <c r="C264" i="5"/>
  <c r="B263" i="5"/>
  <c r="C263" i="5"/>
  <c r="B262" i="5"/>
  <c r="C262" i="5"/>
  <c r="B261" i="5"/>
  <c r="C261" i="5"/>
  <c r="B260" i="5"/>
  <c r="C260" i="5"/>
  <c r="B259" i="5"/>
  <c r="C259" i="5"/>
  <c r="B258" i="5"/>
  <c r="C258" i="5"/>
  <c r="B257" i="5"/>
  <c r="C257" i="5"/>
  <c r="B256" i="5"/>
  <c r="C256" i="5"/>
  <c r="B255" i="5"/>
  <c r="C255" i="5"/>
  <c r="B254" i="5"/>
  <c r="C254" i="5"/>
  <c r="B253" i="5"/>
  <c r="C253" i="5"/>
  <c r="B252" i="5"/>
  <c r="C252" i="5"/>
  <c r="B251" i="5"/>
  <c r="C251" i="5"/>
  <c r="B250" i="5"/>
  <c r="C250" i="5"/>
  <c r="B249" i="5"/>
  <c r="C249" i="5"/>
  <c r="B248" i="5"/>
  <c r="C248" i="5"/>
  <c r="B247" i="5"/>
  <c r="C247" i="5"/>
  <c r="B246" i="5"/>
  <c r="C246" i="5"/>
  <c r="B245" i="5"/>
  <c r="C245" i="5"/>
  <c r="B244" i="5"/>
  <c r="C244" i="5"/>
  <c r="B243" i="5"/>
  <c r="C243" i="5"/>
  <c r="B242" i="5"/>
  <c r="C242" i="5"/>
  <c r="B241" i="5"/>
  <c r="C241" i="5"/>
  <c r="B240" i="5"/>
  <c r="C240" i="5"/>
  <c r="B239" i="5"/>
  <c r="C239" i="5"/>
  <c r="B238" i="5"/>
  <c r="C238" i="5"/>
  <c r="B237" i="5"/>
  <c r="C237" i="5"/>
  <c r="B236" i="5"/>
  <c r="C236" i="5"/>
  <c r="B235" i="5"/>
  <c r="C235" i="5"/>
  <c r="B234" i="5"/>
  <c r="C234" i="5"/>
  <c r="B233" i="5"/>
  <c r="C233" i="5"/>
  <c r="B232" i="5"/>
  <c r="C232" i="5"/>
  <c r="B231" i="5"/>
  <c r="C231" i="5"/>
  <c r="B230" i="5"/>
  <c r="C230" i="5"/>
  <c r="B229" i="5"/>
  <c r="C229" i="5"/>
  <c r="B228" i="5"/>
  <c r="C228" i="5"/>
  <c r="B227" i="5"/>
  <c r="C227" i="5"/>
  <c r="B226" i="5"/>
  <c r="C226" i="5"/>
  <c r="B225" i="5"/>
  <c r="C225" i="5"/>
  <c r="B224" i="5"/>
  <c r="C224" i="5"/>
  <c r="B223" i="5"/>
  <c r="C223" i="5"/>
  <c r="B222" i="5"/>
  <c r="C222" i="5"/>
  <c r="B221" i="5"/>
  <c r="C221" i="5"/>
  <c r="B220" i="5"/>
  <c r="C220" i="5"/>
  <c r="B219" i="5"/>
  <c r="C219" i="5"/>
  <c r="B218" i="5"/>
  <c r="C218" i="5"/>
  <c r="B217" i="5"/>
  <c r="C217" i="5"/>
  <c r="B216" i="5"/>
  <c r="C216" i="5"/>
  <c r="B215" i="5"/>
  <c r="C215" i="5"/>
  <c r="B214" i="5"/>
  <c r="C214" i="5"/>
  <c r="B213" i="5"/>
  <c r="C213" i="5"/>
  <c r="B212" i="5"/>
  <c r="C212" i="5"/>
  <c r="B211" i="5"/>
  <c r="C211" i="5"/>
  <c r="B210" i="5"/>
  <c r="C210" i="5"/>
  <c r="B209" i="5"/>
  <c r="C209" i="5"/>
  <c r="B208" i="5"/>
  <c r="C208" i="5"/>
  <c r="B207" i="5"/>
  <c r="C207" i="5"/>
  <c r="B206" i="5"/>
  <c r="C206" i="5"/>
  <c r="B205" i="5"/>
  <c r="C205" i="5"/>
  <c r="B204" i="5"/>
  <c r="C204" i="5"/>
  <c r="B203" i="5"/>
  <c r="C203" i="5"/>
  <c r="B202" i="5"/>
  <c r="C202" i="5"/>
  <c r="B201" i="5"/>
  <c r="C201" i="5"/>
  <c r="B200" i="5"/>
  <c r="C200" i="5"/>
  <c r="B199" i="5"/>
  <c r="C199" i="5"/>
  <c r="B198" i="5"/>
  <c r="C198" i="5"/>
  <c r="B197" i="5"/>
  <c r="C197" i="5"/>
  <c r="B196" i="5"/>
  <c r="C196" i="5"/>
  <c r="B195" i="5"/>
  <c r="C195" i="5"/>
  <c r="B194" i="5"/>
  <c r="C194" i="5"/>
  <c r="B193" i="5"/>
  <c r="C193" i="5"/>
  <c r="B192" i="5"/>
  <c r="C192" i="5"/>
  <c r="B191" i="5"/>
  <c r="C191" i="5"/>
  <c r="B190" i="5"/>
  <c r="C190" i="5"/>
  <c r="B189" i="5"/>
  <c r="C189" i="5"/>
  <c r="B188" i="5"/>
  <c r="C188" i="5"/>
  <c r="B187" i="5"/>
  <c r="C187" i="5"/>
  <c r="B186" i="5"/>
  <c r="C186" i="5"/>
  <c r="B185" i="5"/>
  <c r="C185" i="5"/>
  <c r="B184" i="5"/>
  <c r="C184" i="5"/>
  <c r="B183" i="5"/>
  <c r="C183" i="5"/>
  <c r="B182" i="5"/>
  <c r="C182" i="5"/>
  <c r="B181" i="5"/>
  <c r="C181" i="5"/>
  <c r="B180" i="5"/>
  <c r="C180" i="5"/>
  <c r="B179" i="5"/>
  <c r="C179" i="5"/>
  <c r="B178" i="5"/>
  <c r="C178" i="5"/>
  <c r="B177" i="5"/>
  <c r="C177" i="5"/>
  <c r="B176" i="5"/>
  <c r="C176" i="5"/>
  <c r="B175" i="5"/>
  <c r="C175" i="5"/>
  <c r="B174" i="5"/>
  <c r="C174" i="5"/>
  <c r="B173" i="5"/>
  <c r="C173" i="5"/>
  <c r="B172" i="5"/>
  <c r="C172" i="5"/>
  <c r="B171" i="5"/>
  <c r="C171" i="5"/>
  <c r="B170" i="5"/>
  <c r="C170" i="5"/>
  <c r="B169" i="5"/>
  <c r="C169" i="5"/>
  <c r="B168" i="5"/>
  <c r="C168" i="5"/>
  <c r="B167" i="5"/>
  <c r="C167" i="5"/>
  <c r="B166" i="5"/>
  <c r="C166" i="5"/>
  <c r="B165" i="5"/>
  <c r="C165" i="5"/>
  <c r="B164" i="5"/>
  <c r="C164" i="5"/>
  <c r="B163" i="5"/>
  <c r="C163" i="5"/>
  <c r="B162" i="5"/>
  <c r="C162" i="5"/>
  <c r="B161" i="5"/>
  <c r="C161" i="5"/>
  <c r="B160" i="5"/>
  <c r="C160" i="5"/>
  <c r="B159" i="5"/>
  <c r="C159" i="5"/>
  <c r="B158" i="5"/>
  <c r="C158" i="5"/>
  <c r="B157" i="5"/>
  <c r="C157" i="5"/>
  <c r="B156" i="5"/>
  <c r="C156" i="5"/>
  <c r="B155" i="5"/>
  <c r="C155" i="5"/>
  <c r="B154" i="5"/>
  <c r="C154" i="5"/>
  <c r="B153" i="5"/>
  <c r="C153" i="5"/>
  <c r="B152" i="5"/>
  <c r="C152" i="5"/>
  <c r="B151" i="5"/>
  <c r="C151" i="5"/>
  <c r="B150" i="5"/>
  <c r="C150" i="5"/>
  <c r="B149" i="5"/>
  <c r="C149" i="5"/>
  <c r="B148" i="5"/>
  <c r="C148" i="5"/>
  <c r="B147" i="5"/>
  <c r="C147" i="5"/>
  <c r="B146" i="5"/>
  <c r="C146" i="5"/>
  <c r="B145" i="5"/>
  <c r="C145" i="5"/>
  <c r="B144" i="5"/>
  <c r="C144" i="5"/>
  <c r="B143" i="5"/>
  <c r="C143" i="5"/>
  <c r="B142" i="5"/>
  <c r="C142" i="5"/>
  <c r="B141" i="5"/>
  <c r="C141" i="5"/>
  <c r="B140" i="5"/>
  <c r="C140" i="5"/>
  <c r="B139" i="5"/>
  <c r="C139" i="5"/>
  <c r="B138" i="5"/>
  <c r="C138" i="5"/>
  <c r="B137" i="5"/>
  <c r="C137" i="5"/>
  <c r="B136" i="5"/>
  <c r="C136" i="5"/>
  <c r="B135" i="5"/>
  <c r="C135" i="5"/>
  <c r="B134" i="5"/>
  <c r="C134" i="5"/>
  <c r="B133" i="5"/>
  <c r="C133" i="5"/>
  <c r="B132" i="5"/>
  <c r="C132" i="5"/>
  <c r="B131" i="5"/>
  <c r="C131" i="5"/>
  <c r="B130" i="5"/>
  <c r="C130" i="5"/>
  <c r="B129" i="5"/>
  <c r="C129" i="5"/>
  <c r="B128" i="5"/>
  <c r="C128" i="5"/>
  <c r="B127" i="5"/>
  <c r="C127" i="5"/>
  <c r="B126" i="5"/>
  <c r="C126" i="5"/>
  <c r="B125" i="5"/>
  <c r="C125" i="5"/>
  <c r="B124" i="5"/>
  <c r="C124" i="5"/>
  <c r="B123" i="5"/>
  <c r="C123" i="5"/>
  <c r="B122" i="5"/>
  <c r="C122" i="5"/>
  <c r="B121" i="5"/>
  <c r="C121" i="5"/>
  <c r="B120" i="5"/>
  <c r="C120" i="5"/>
  <c r="B119" i="5"/>
  <c r="C119" i="5"/>
  <c r="B118" i="5"/>
  <c r="C118" i="5"/>
  <c r="B117" i="5"/>
  <c r="C117" i="5"/>
  <c r="B116" i="5"/>
  <c r="C116" i="5"/>
  <c r="B115" i="5"/>
  <c r="C115" i="5"/>
  <c r="B114" i="5"/>
  <c r="C114" i="5"/>
  <c r="B113" i="5"/>
  <c r="C113" i="5"/>
  <c r="B112" i="5"/>
  <c r="C112" i="5"/>
  <c r="B111" i="5"/>
  <c r="C111" i="5"/>
  <c r="B110" i="5"/>
  <c r="C110" i="5"/>
  <c r="B109" i="5"/>
  <c r="C109" i="5"/>
  <c r="B108" i="5"/>
  <c r="C108" i="5"/>
  <c r="B107" i="5"/>
  <c r="C107" i="5"/>
  <c r="B106" i="5"/>
  <c r="C106" i="5"/>
  <c r="B105" i="5"/>
  <c r="C105" i="5"/>
  <c r="B104" i="5"/>
  <c r="C104" i="5"/>
  <c r="B103" i="5"/>
  <c r="C103" i="5"/>
  <c r="B102" i="5"/>
  <c r="C102" i="5"/>
  <c r="B101" i="5"/>
  <c r="C101" i="5"/>
  <c r="B100" i="5"/>
  <c r="C100" i="5"/>
  <c r="B99" i="5"/>
  <c r="C99" i="5"/>
  <c r="B98" i="5"/>
  <c r="C98" i="5"/>
  <c r="B97" i="5"/>
  <c r="C97" i="5"/>
  <c r="B96" i="5"/>
  <c r="C96" i="5"/>
  <c r="B95" i="5"/>
  <c r="C95" i="5"/>
  <c r="B94" i="5"/>
  <c r="C94" i="5"/>
  <c r="B93" i="5"/>
  <c r="C93" i="5"/>
  <c r="B92" i="5"/>
  <c r="C92" i="5"/>
  <c r="B91" i="5"/>
  <c r="C91" i="5"/>
  <c r="B90" i="5"/>
  <c r="C90" i="5"/>
  <c r="B89" i="5"/>
  <c r="C89" i="5"/>
  <c r="B88" i="5"/>
  <c r="C88" i="5"/>
  <c r="B87" i="5"/>
  <c r="C87" i="5"/>
  <c r="B86" i="5"/>
  <c r="C86" i="5"/>
  <c r="B85" i="5"/>
  <c r="C85" i="5"/>
  <c r="B84" i="5"/>
  <c r="C84" i="5"/>
  <c r="B83" i="5"/>
  <c r="C83" i="5"/>
  <c r="B82" i="5"/>
  <c r="C82" i="5"/>
  <c r="B81" i="5"/>
  <c r="C81" i="5"/>
  <c r="B80" i="5"/>
  <c r="C80" i="5"/>
  <c r="B79" i="5"/>
  <c r="C79" i="5"/>
  <c r="B78" i="5"/>
  <c r="C78" i="5"/>
  <c r="B77" i="5"/>
  <c r="C77" i="5"/>
  <c r="B76" i="5"/>
  <c r="C76" i="5"/>
  <c r="B75" i="5"/>
  <c r="C75" i="5"/>
  <c r="B74" i="5"/>
  <c r="C74" i="5"/>
  <c r="B73" i="5"/>
  <c r="C73" i="5"/>
  <c r="B72" i="5"/>
  <c r="C72" i="5"/>
  <c r="B71" i="5"/>
  <c r="C71" i="5"/>
  <c r="B70" i="5"/>
  <c r="C70" i="5"/>
  <c r="B69" i="5"/>
  <c r="C69" i="5"/>
  <c r="B68" i="5"/>
  <c r="C68" i="5"/>
  <c r="B67" i="5"/>
  <c r="C67" i="5"/>
  <c r="B66" i="5"/>
  <c r="C66" i="5"/>
  <c r="B65" i="5"/>
  <c r="C65" i="5"/>
  <c r="B64" i="5"/>
  <c r="C64" i="5"/>
  <c r="B63" i="5"/>
  <c r="C63" i="5"/>
  <c r="B62" i="5"/>
  <c r="C62" i="5"/>
  <c r="B61" i="5"/>
  <c r="C61" i="5"/>
  <c r="B60" i="5"/>
  <c r="C60" i="5"/>
  <c r="B59" i="5"/>
  <c r="C59" i="5"/>
  <c r="B58" i="5"/>
  <c r="C58" i="5"/>
  <c r="B57" i="5"/>
  <c r="C57" i="5"/>
  <c r="B56" i="5"/>
  <c r="C56" i="5"/>
  <c r="B55" i="5"/>
  <c r="C55" i="5"/>
  <c r="B54" i="5"/>
  <c r="C54" i="5"/>
  <c r="B53" i="5"/>
  <c r="C53" i="5"/>
  <c r="B52" i="5"/>
  <c r="C52" i="5"/>
  <c r="B51" i="5"/>
  <c r="C51" i="5"/>
  <c r="B50" i="5"/>
  <c r="C50" i="5"/>
  <c r="B49" i="5"/>
  <c r="C49" i="5"/>
  <c r="B48" i="5"/>
  <c r="C48" i="5"/>
  <c r="B47" i="5"/>
  <c r="C47" i="5"/>
  <c r="B46" i="5"/>
  <c r="C46" i="5"/>
  <c r="B45" i="5"/>
  <c r="C45" i="5"/>
  <c r="B44" i="5"/>
  <c r="C44" i="5"/>
  <c r="B43" i="5"/>
  <c r="C43" i="5"/>
  <c r="B42" i="5"/>
  <c r="C42" i="5"/>
  <c r="B41" i="5"/>
  <c r="C41" i="5"/>
  <c r="B40" i="5"/>
  <c r="C40" i="5"/>
  <c r="B39" i="5"/>
  <c r="C39" i="5"/>
  <c r="B38" i="5"/>
  <c r="C38" i="5"/>
  <c r="B37" i="5"/>
  <c r="C37" i="5"/>
  <c r="B36" i="5"/>
  <c r="C36" i="5"/>
  <c r="B35" i="5"/>
  <c r="C35" i="5"/>
  <c r="B34" i="5"/>
  <c r="C34" i="5"/>
  <c r="B33" i="5"/>
  <c r="C33" i="5"/>
  <c r="B32" i="5"/>
  <c r="C32" i="5"/>
  <c r="B31" i="5"/>
  <c r="C31" i="5"/>
  <c r="B30" i="5"/>
  <c r="C30" i="5"/>
  <c r="B29" i="5"/>
  <c r="C29" i="5"/>
  <c r="B28" i="5"/>
  <c r="C28" i="5"/>
  <c r="B27" i="5"/>
  <c r="C27" i="5"/>
  <c r="B26" i="5"/>
  <c r="C26" i="5"/>
  <c r="B25" i="5"/>
  <c r="C25" i="5"/>
  <c r="B24" i="5"/>
  <c r="C24" i="5"/>
  <c r="B23" i="5"/>
  <c r="C23" i="5"/>
  <c r="B22" i="5"/>
  <c r="C22" i="5"/>
  <c r="B21" i="5"/>
  <c r="C21" i="5"/>
  <c r="B20" i="5"/>
  <c r="C20" i="5"/>
  <c r="B19" i="5"/>
  <c r="C19" i="5"/>
  <c r="B18" i="5"/>
  <c r="C18" i="5"/>
  <c r="B17" i="5"/>
  <c r="C17" i="5"/>
  <c r="B16" i="5"/>
  <c r="C16" i="5"/>
  <c r="B15" i="5"/>
  <c r="C15" i="5"/>
  <c r="B14" i="5"/>
  <c r="C14" i="5"/>
  <c r="B13" i="5"/>
  <c r="C13" i="5"/>
  <c r="B12" i="5"/>
  <c r="C12" i="5"/>
  <c r="B11" i="5"/>
  <c r="C11" i="5"/>
  <c r="B10" i="5"/>
  <c r="C10" i="5"/>
  <c r="B9" i="5"/>
  <c r="C9" i="5"/>
  <c r="B8" i="5"/>
  <c r="C8" i="5"/>
  <c r="B7" i="5"/>
  <c r="C7" i="5"/>
  <c r="B6" i="5"/>
  <c r="C6" i="5"/>
  <c r="B5" i="5"/>
  <c r="C5" i="5"/>
  <c r="B4" i="5"/>
  <c r="C4" i="5"/>
  <c r="B3" i="5"/>
  <c r="C3" i="5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P501" i="3"/>
  <c r="O501" i="3"/>
  <c r="Q501" i="3"/>
  <c r="N501" i="3"/>
  <c r="M501" i="3"/>
  <c r="L501" i="3"/>
  <c r="K501" i="3"/>
  <c r="J501" i="3"/>
  <c r="H501" i="3"/>
  <c r="P500" i="3"/>
  <c r="O500" i="3"/>
  <c r="Q500" i="3"/>
  <c r="N500" i="3"/>
  <c r="M500" i="3"/>
  <c r="L500" i="3"/>
  <c r="K500" i="3"/>
  <c r="J500" i="3"/>
  <c r="H500" i="3"/>
  <c r="P499" i="3"/>
  <c r="O499" i="3"/>
  <c r="Q499" i="3"/>
  <c r="N499" i="3"/>
  <c r="M499" i="3"/>
  <c r="L499" i="3"/>
  <c r="K499" i="3"/>
  <c r="J499" i="3"/>
  <c r="H499" i="3"/>
  <c r="P498" i="3"/>
  <c r="O498" i="3"/>
  <c r="Q498" i="3"/>
  <c r="N498" i="3"/>
  <c r="M498" i="3"/>
  <c r="L498" i="3"/>
  <c r="K498" i="3"/>
  <c r="J498" i="3"/>
  <c r="H498" i="3"/>
  <c r="P497" i="3"/>
  <c r="O497" i="3"/>
  <c r="Q497" i="3"/>
  <c r="N497" i="3"/>
  <c r="M497" i="3"/>
  <c r="L497" i="3"/>
  <c r="K497" i="3"/>
  <c r="J497" i="3"/>
  <c r="H497" i="3"/>
  <c r="P496" i="3"/>
  <c r="O496" i="3"/>
  <c r="Q496" i="3"/>
  <c r="N496" i="3"/>
  <c r="M496" i="3"/>
  <c r="L496" i="3"/>
  <c r="K496" i="3"/>
  <c r="J496" i="3"/>
  <c r="H496" i="3"/>
  <c r="P495" i="3"/>
  <c r="O495" i="3"/>
  <c r="Q495" i="3"/>
  <c r="N495" i="3"/>
  <c r="M495" i="3"/>
  <c r="L495" i="3"/>
  <c r="K495" i="3"/>
  <c r="J495" i="3"/>
  <c r="H495" i="3"/>
  <c r="P494" i="3"/>
  <c r="O494" i="3"/>
  <c r="Q494" i="3"/>
  <c r="N494" i="3"/>
  <c r="M494" i="3"/>
  <c r="L494" i="3"/>
  <c r="K494" i="3"/>
  <c r="J494" i="3"/>
  <c r="H494" i="3"/>
  <c r="P493" i="3"/>
  <c r="O493" i="3"/>
  <c r="Q493" i="3"/>
  <c r="N493" i="3"/>
  <c r="M493" i="3"/>
  <c r="L493" i="3"/>
  <c r="K493" i="3"/>
  <c r="J493" i="3"/>
  <c r="H493" i="3"/>
  <c r="P492" i="3"/>
  <c r="O492" i="3"/>
  <c r="Q492" i="3"/>
  <c r="N492" i="3"/>
  <c r="M492" i="3"/>
  <c r="L492" i="3"/>
  <c r="K492" i="3"/>
  <c r="J492" i="3"/>
  <c r="H492" i="3"/>
  <c r="P491" i="3"/>
  <c r="O491" i="3"/>
  <c r="Q491" i="3"/>
  <c r="N491" i="3"/>
  <c r="M491" i="3"/>
  <c r="L491" i="3"/>
  <c r="K491" i="3"/>
  <c r="J491" i="3"/>
  <c r="H491" i="3"/>
  <c r="P490" i="3"/>
  <c r="O490" i="3"/>
  <c r="Q490" i="3"/>
  <c r="N490" i="3"/>
  <c r="M490" i="3"/>
  <c r="L490" i="3"/>
  <c r="K490" i="3"/>
  <c r="J490" i="3"/>
  <c r="H490" i="3"/>
  <c r="P489" i="3"/>
  <c r="O489" i="3"/>
  <c r="Q489" i="3"/>
  <c r="N489" i="3"/>
  <c r="M489" i="3"/>
  <c r="L489" i="3"/>
  <c r="K489" i="3"/>
  <c r="J489" i="3"/>
  <c r="H489" i="3"/>
  <c r="P488" i="3"/>
  <c r="O488" i="3"/>
  <c r="Q488" i="3"/>
  <c r="N488" i="3"/>
  <c r="M488" i="3"/>
  <c r="L488" i="3"/>
  <c r="K488" i="3"/>
  <c r="J488" i="3"/>
  <c r="H488" i="3"/>
  <c r="P487" i="3"/>
  <c r="O487" i="3"/>
  <c r="Q487" i="3"/>
  <c r="N487" i="3"/>
  <c r="M487" i="3"/>
  <c r="L487" i="3"/>
  <c r="K487" i="3"/>
  <c r="J487" i="3"/>
  <c r="H487" i="3"/>
  <c r="P486" i="3"/>
  <c r="O486" i="3"/>
  <c r="Q486" i="3"/>
  <c r="N486" i="3"/>
  <c r="M486" i="3"/>
  <c r="L486" i="3"/>
  <c r="K486" i="3"/>
  <c r="J486" i="3"/>
  <c r="H486" i="3"/>
  <c r="P485" i="3"/>
  <c r="O485" i="3"/>
  <c r="Q485" i="3"/>
  <c r="N485" i="3"/>
  <c r="M485" i="3"/>
  <c r="L485" i="3"/>
  <c r="K485" i="3"/>
  <c r="J485" i="3"/>
  <c r="H485" i="3"/>
  <c r="P484" i="3"/>
  <c r="O484" i="3"/>
  <c r="Q484" i="3"/>
  <c r="N484" i="3"/>
  <c r="M484" i="3"/>
  <c r="L484" i="3"/>
  <c r="K484" i="3"/>
  <c r="J484" i="3"/>
  <c r="H484" i="3"/>
  <c r="P483" i="3"/>
  <c r="O483" i="3"/>
  <c r="Q483" i="3"/>
  <c r="N483" i="3"/>
  <c r="M483" i="3"/>
  <c r="L483" i="3"/>
  <c r="K483" i="3"/>
  <c r="J483" i="3"/>
  <c r="H483" i="3"/>
  <c r="P482" i="3"/>
  <c r="O482" i="3"/>
  <c r="Q482" i="3"/>
  <c r="N482" i="3"/>
  <c r="M482" i="3"/>
  <c r="L482" i="3"/>
  <c r="K482" i="3"/>
  <c r="J482" i="3"/>
  <c r="H482" i="3"/>
  <c r="P481" i="3"/>
  <c r="O481" i="3"/>
  <c r="Q481" i="3"/>
  <c r="N481" i="3"/>
  <c r="M481" i="3"/>
  <c r="L481" i="3"/>
  <c r="K481" i="3"/>
  <c r="J481" i="3"/>
  <c r="H481" i="3"/>
  <c r="P480" i="3"/>
  <c r="O480" i="3"/>
  <c r="Q480" i="3"/>
  <c r="N480" i="3"/>
  <c r="M480" i="3"/>
  <c r="L480" i="3"/>
  <c r="K480" i="3"/>
  <c r="J480" i="3"/>
  <c r="H480" i="3"/>
  <c r="P479" i="3"/>
  <c r="O479" i="3"/>
  <c r="Q479" i="3"/>
  <c r="N479" i="3"/>
  <c r="M479" i="3"/>
  <c r="L479" i="3"/>
  <c r="K479" i="3"/>
  <c r="J479" i="3"/>
  <c r="H479" i="3"/>
  <c r="P478" i="3"/>
  <c r="O478" i="3"/>
  <c r="Q478" i="3"/>
  <c r="N478" i="3"/>
  <c r="M478" i="3"/>
  <c r="L478" i="3"/>
  <c r="K478" i="3"/>
  <c r="J478" i="3"/>
  <c r="H478" i="3"/>
  <c r="P477" i="3"/>
  <c r="O477" i="3"/>
  <c r="Q477" i="3"/>
  <c r="N477" i="3"/>
  <c r="M477" i="3"/>
  <c r="L477" i="3"/>
  <c r="K477" i="3"/>
  <c r="J477" i="3"/>
  <c r="H477" i="3"/>
  <c r="P476" i="3"/>
  <c r="O476" i="3"/>
  <c r="Q476" i="3"/>
  <c r="N476" i="3"/>
  <c r="M476" i="3"/>
  <c r="L476" i="3"/>
  <c r="K476" i="3"/>
  <c r="J476" i="3"/>
  <c r="H476" i="3"/>
  <c r="P475" i="3"/>
  <c r="O475" i="3"/>
  <c r="Q475" i="3"/>
  <c r="N475" i="3"/>
  <c r="M475" i="3"/>
  <c r="L475" i="3"/>
  <c r="K475" i="3"/>
  <c r="J475" i="3"/>
  <c r="H475" i="3"/>
  <c r="P474" i="3"/>
  <c r="O474" i="3"/>
  <c r="Q474" i="3"/>
  <c r="N474" i="3"/>
  <c r="M474" i="3"/>
  <c r="L474" i="3"/>
  <c r="K474" i="3"/>
  <c r="J474" i="3"/>
  <c r="H474" i="3"/>
  <c r="P473" i="3"/>
  <c r="O473" i="3"/>
  <c r="Q473" i="3"/>
  <c r="N473" i="3"/>
  <c r="M473" i="3"/>
  <c r="L473" i="3"/>
  <c r="K473" i="3"/>
  <c r="J473" i="3"/>
  <c r="H473" i="3"/>
  <c r="P472" i="3"/>
  <c r="O472" i="3"/>
  <c r="Q472" i="3"/>
  <c r="N472" i="3"/>
  <c r="M472" i="3"/>
  <c r="L472" i="3"/>
  <c r="K472" i="3"/>
  <c r="J472" i="3"/>
  <c r="H472" i="3"/>
  <c r="P471" i="3"/>
  <c r="O471" i="3"/>
  <c r="Q471" i="3"/>
  <c r="N471" i="3"/>
  <c r="M471" i="3"/>
  <c r="L471" i="3"/>
  <c r="K471" i="3"/>
  <c r="J471" i="3"/>
  <c r="H471" i="3"/>
  <c r="P470" i="3"/>
  <c r="O470" i="3"/>
  <c r="Q470" i="3"/>
  <c r="N470" i="3"/>
  <c r="M470" i="3"/>
  <c r="L470" i="3"/>
  <c r="K470" i="3"/>
  <c r="J470" i="3"/>
  <c r="H470" i="3"/>
  <c r="P469" i="3"/>
  <c r="O469" i="3"/>
  <c r="Q469" i="3"/>
  <c r="N469" i="3"/>
  <c r="M469" i="3"/>
  <c r="L469" i="3"/>
  <c r="K469" i="3"/>
  <c r="J469" i="3"/>
  <c r="H469" i="3"/>
  <c r="P468" i="3"/>
  <c r="O468" i="3"/>
  <c r="Q468" i="3"/>
  <c r="N468" i="3"/>
  <c r="M468" i="3"/>
  <c r="L468" i="3"/>
  <c r="K468" i="3"/>
  <c r="J468" i="3"/>
  <c r="H468" i="3"/>
  <c r="P467" i="3"/>
  <c r="O467" i="3"/>
  <c r="Q467" i="3"/>
  <c r="N467" i="3"/>
  <c r="M467" i="3"/>
  <c r="L467" i="3"/>
  <c r="K467" i="3"/>
  <c r="J467" i="3"/>
  <c r="H467" i="3"/>
  <c r="P466" i="3"/>
  <c r="O466" i="3"/>
  <c r="Q466" i="3"/>
  <c r="N466" i="3"/>
  <c r="M466" i="3"/>
  <c r="L466" i="3"/>
  <c r="K466" i="3"/>
  <c r="J466" i="3"/>
  <c r="H466" i="3"/>
  <c r="P465" i="3"/>
  <c r="O465" i="3"/>
  <c r="Q465" i="3"/>
  <c r="N465" i="3"/>
  <c r="M465" i="3"/>
  <c r="L465" i="3"/>
  <c r="K465" i="3"/>
  <c r="J465" i="3"/>
  <c r="H465" i="3"/>
  <c r="P464" i="3"/>
  <c r="O464" i="3"/>
  <c r="Q464" i="3"/>
  <c r="N464" i="3"/>
  <c r="M464" i="3"/>
  <c r="L464" i="3"/>
  <c r="K464" i="3"/>
  <c r="J464" i="3"/>
  <c r="H464" i="3"/>
  <c r="P463" i="3"/>
  <c r="O463" i="3"/>
  <c r="Q463" i="3"/>
  <c r="N463" i="3"/>
  <c r="M463" i="3"/>
  <c r="L463" i="3"/>
  <c r="K463" i="3"/>
  <c r="J463" i="3"/>
  <c r="H463" i="3"/>
  <c r="P462" i="3"/>
  <c r="O462" i="3"/>
  <c r="Q462" i="3"/>
  <c r="N462" i="3"/>
  <c r="M462" i="3"/>
  <c r="L462" i="3"/>
  <c r="K462" i="3"/>
  <c r="J462" i="3"/>
  <c r="H462" i="3"/>
  <c r="P461" i="3"/>
  <c r="O461" i="3"/>
  <c r="Q461" i="3"/>
  <c r="N461" i="3"/>
  <c r="M461" i="3"/>
  <c r="L461" i="3"/>
  <c r="K461" i="3"/>
  <c r="J461" i="3"/>
  <c r="H461" i="3"/>
  <c r="P460" i="3"/>
  <c r="O460" i="3"/>
  <c r="Q460" i="3"/>
  <c r="N460" i="3"/>
  <c r="M460" i="3"/>
  <c r="L460" i="3"/>
  <c r="K460" i="3"/>
  <c r="J460" i="3"/>
  <c r="H460" i="3"/>
  <c r="P459" i="3"/>
  <c r="O459" i="3"/>
  <c r="Q459" i="3"/>
  <c r="N459" i="3"/>
  <c r="M459" i="3"/>
  <c r="L459" i="3"/>
  <c r="K459" i="3"/>
  <c r="J459" i="3"/>
  <c r="H459" i="3"/>
  <c r="P458" i="3"/>
  <c r="O458" i="3"/>
  <c r="Q458" i="3"/>
  <c r="N458" i="3"/>
  <c r="M458" i="3"/>
  <c r="L458" i="3"/>
  <c r="K458" i="3"/>
  <c r="J458" i="3"/>
  <c r="H458" i="3"/>
  <c r="P457" i="3"/>
  <c r="O457" i="3"/>
  <c r="Q457" i="3"/>
  <c r="N457" i="3"/>
  <c r="M457" i="3"/>
  <c r="L457" i="3"/>
  <c r="K457" i="3"/>
  <c r="J457" i="3"/>
  <c r="H457" i="3"/>
  <c r="P456" i="3"/>
  <c r="O456" i="3"/>
  <c r="Q456" i="3"/>
  <c r="N456" i="3"/>
  <c r="M456" i="3"/>
  <c r="L456" i="3"/>
  <c r="K456" i="3"/>
  <c r="J456" i="3"/>
  <c r="H456" i="3"/>
  <c r="P455" i="3"/>
  <c r="O455" i="3"/>
  <c r="Q455" i="3"/>
  <c r="N455" i="3"/>
  <c r="M455" i="3"/>
  <c r="L455" i="3"/>
  <c r="K455" i="3"/>
  <c r="J455" i="3"/>
  <c r="H455" i="3"/>
  <c r="P454" i="3"/>
  <c r="O454" i="3"/>
  <c r="Q454" i="3"/>
  <c r="N454" i="3"/>
  <c r="M454" i="3"/>
  <c r="L454" i="3"/>
  <c r="K454" i="3"/>
  <c r="J454" i="3"/>
  <c r="H454" i="3"/>
  <c r="P453" i="3"/>
  <c r="O453" i="3"/>
  <c r="Q453" i="3"/>
  <c r="N453" i="3"/>
  <c r="M453" i="3"/>
  <c r="L453" i="3"/>
  <c r="K453" i="3"/>
  <c r="J453" i="3"/>
  <c r="H453" i="3"/>
  <c r="P452" i="3"/>
  <c r="O452" i="3"/>
  <c r="Q452" i="3"/>
  <c r="N452" i="3"/>
  <c r="M452" i="3"/>
  <c r="L452" i="3"/>
  <c r="K452" i="3"/>
  <c r="J452" i="3"/>
  <c r="H452" i="3"/>
  <c r="P451" i="3"/>
  <c r="O451" i="3"/>
  <c r="Q451" i="3"/>
  <c r="N451" i="3"/>
  <c r="M451" i="3"/>
  <c r="L451" i="3"/>
  <c r="K451" i="3"/>
  <c r="J451" i="3"/>
  <c r="H451" i="3"/>
  <c r="P450" i="3"/>
  <c r="O450" i="3"/>
  <c r="Q450" i="3"/>
  <c r="N450" i="3"/>
  <c r="M450" i="3"/>
  <c r="L450" i="3"/>
  <c r="K450" i="3"/>
  <c r="J450" i="3"/>
  <c r="H450" i="3"/>
  <c r="P449" i="3"/>
  <c r="O449" i="3"/>
  <c r="Q449" i="3"/>
  <c r="N449" i="3"/>
  <c r="M449" i="3"/>
  <c r="L449" i="3"/>
  <c r="K449" i="3"/>
  <c r="J449" i="3"/>
  <c r="H449" i="3"/>
  <c r="P448" i="3"/>
  <c r="O448" i="3"/>
  <c r="Q448" i="3"/>
  <c r="N448" i="3"/>
  <c r="M448" i="3"/>
  <c r="L448" i="3"/>
  <c r="K448" i="3"/>
  <c r="J448" i="3"/>
  <c r="H448" i="3"/>
  <c r="P447" i="3"/>
  <c r="O447" i="3"/>
  <c r="Q447" i="3"/>
  <c r="N447" i="3"/>
  <c r="M447" i="3"/>
  <c r="L447" i="3"/>
  <c r="K447" i="3"/>
  <c r="J447" i="3"/>
  <c r="H447" i="3"/>
  <c r="P446" i="3"/>
  <c r="O446" i="3"/>
  <c r="Q446" i="3"/>
  <c r="N446" i="3"/>
  <c r="M446" i="3"/>
  <c r="L446" i="3"/>
  <c r="K446" i="3"/>
  <c r="J446" i="3"/>
  <c r="H446" i="3"/>
  <c r="P445" i="3"/>
  <c r="O445" i="3"/>
  <c r="Q445" i="3"/>
  <c r="N445" i="3"/>
  <c r="M445" i="3"/>
  <c r="L445" i="3"/>
  <c r="K445" i="3"/>
  <c r="J445" i="3"/>
  <c r="H445" i="3"/>
  <c r="P444" i="3"/>
  <c r="O444" i="3"/>
  <c r="Q444" i="3"/>
  <c r="N444" i="3"/>
  <c r="M444" i="3"/>
  <c r="L444" i="3"/>
  <c r="K444" i="3"/>
  <c r="J444" i="3"/>
  <c r="H444" i="3"/>
  <c r="P443" i="3"/>
  <c r="O443" i="3"/>
  <c r="Q443" i="3"/>
  <c r="N443" i="3"/>
  <c r="M443" i="3"/>
  <c r="L443" i="3"/>
  <c r="K443" i="3"/>
  <c r="J443" i="3"/>
  <c r="H443" i="3"/>
  <c r="P442" i="3"/>
  <c r="O442" i="3"/>
  <c r="Q442" i="3"/>
  <c r="N442" i="3"/>
  <c r="M442" i="3"/>
  <c r="L442" i="3"/>
  <c r="K442" i="3"/>
  <c r="J442" i="3"/>
  <c r="H442" i="3"/>
  <c r="P441" i="3"/>
  <c r="O441" i="3"/>
  <c r="Q441" i="3"/>
  <c r="N441" i="3"/>
  <c r="M441" i="3"/>
  <c r="L441" i="3"/>
  <c r="K441" i="3"/>
  <c r="J441" i="3"/>
  <c r="H441" i="3"/>
  <c r="P440" i="3"/>
  <c r="O440" i="3"/>
  <c r="Q440" i="3"/>
  <c r="N440" i="3"/>
  <c r="M440" i="3"/>
  <c r="L440" i="3"/>
  <c r="K440" i="3"/>
  <c r="J440" i="3"/>
  <c r="H440" i="3"/>
  <c r="P439" i="3"/>
  <c r="O439" i="3"/>
  <c r="Q439" i="3"/>
  <c r="N439" i="3"/>
  <c r="M439" i="3"/>
  <c r="L439" i="3"/>
  <c r="K439" i="3"/>
  <c r="J439" i="3"/>
  <c r="H439" i="3"/>
  <c r="P438" i="3"/>
  <c r="O438" i="3"/>
  <c r="Q438" i="3"/>
  <c r="N438" i="3"/>
  <c r="M438" i="3"/>
  <c r="L438" i="3"/>
  <c r="K438" i="3"/>
  <c r="J438" i="3"/>
  <c r="H438" i="3"/>
  <c r="P437" i="3"/>
  <c r="O437" i="3"/>
  <c r="Q437" i="3"/>
  <c r="N437" i="3"/>
  <c r="M437" i="3"/>
  <c r="L437" i="3"/>
  <c r="K437" i="3"/>
  <c r="J437" i="3"/>
  <c r="H437" i="3"/>
  <c r="P436" i="3"/>
  <c r="O436" i="3"/>
  <c r="Q436" i="3"/>
  <c r="N436" i="3"/>
  <c r="M436" i="3"/>
  <c r="L436" i="3"/>
  <c r="K436" i="3"/>
  <c r="J436" i="3"/>
  <c r="H436" i="3"/>
  <c r="P435" i="3"/>
  <c r="O435" i="3"/>
  <c r="Q435" i="3"/>
  <c r="N435" i="3"/>
  <c r="M435" i="3"/>
  <c r="L435" i="3"/>
  <c r="K435" i="3"/>
  <c r="J435" i="3"/>
  <c r="H435" i="3"/>
  <c r="P434" i="3"/>
  <c r="O434" i="3"/>
  <c r="Q434" i="3"/>
  <c r="N434" i="3"/>
  <c r="M434" i="3"/>
  <c r="L434" i="3"/>
  <c r="K434" i="3"/>
  <c r="J434" i="3"/>
  <c r="H434" i="3"/>
  <c r="P433" i="3"/>
  <c r="O433" i="3"/>
  <c r="Q433" i="3"/>
  <c r="N433" i="3"/>
  <c r="M433" i="3"/>
  <c r="L433" i="3"/>
  <c r="K433" i="3"/>
  <c r="J433" i="3"/>
  <c r="H433" i="3"/>
  <c r="P432" i="3"/>
  <c r="O432" i="3"/>
  <c r="Q432" i="3"/>
  <c r="N432" i="3"/>
  <c r="M432" i="3"/>
  <c r="L432" i="3"/>
  <c r="K432" i="3"/>
  <c r="J432" i="3"/>
  <c r="H432" i="3"/>
  <c r="P431" i="3"/>
  <c r="O431" i="3"/>
  <c r="Q431" i="3"/>
  <c r="N431" i="3"/>
  <c r="M431" i="3"/>
  <c r="L431" i="3"/>
  <c r="K431" i="3"/>
  <c r="J431" i="3"/>
  <c r="H431" i="3"/>
  <c r="P430" i="3"/>
  <c r="O430" i="3"/>
  <c r="Q430" i="3"/>
  <c r="N430" i="3"/>
  <c r="M430" i="3"/>
  <c r="L430" i="3"/>
  <c r="K430" i="3"/>
  <c r="J430" i="3"/>
  <c r="H430" i="3"/>
  <c r="P429" i="3"/>
  <c r="O429" i="3"/>
  <c r="Q429" i="3"/>
  <c r="N429" i="3"/>
  <c r="M429" i="3"/>
  <c r="L429" i="3"/>
  <c r="K429" i="3"/>
  <c r="J429" i="3"/>
  <c r="H429" i="3"/>
  <c r="P428" i="3"/>
  <c r="O428" i="3"/>
  <c r="Q428" i="3"/>
  <c r="N428" i="3"/>
  <c r="M428" i="3"/>
  <c r="L428" i="3"/>
  <c r="K428" i="3"/>
  <c r="J428" i="3"/>
  <c r="H428" i="3"/>
  <c r="P427" i="3"/>
  <c r="O427" i="3"/>
  <c r="Q427" i="3"/>
  <c r="N427" i="3"/>
  <c r="M427" i="3"/>
  <c r="L427" i="3"/>
  <c r="K427" i="3"/>
  <c r="J427" i="3"/>
  <c r="H427" i="3"/>
  <c r="P426" i="3"/>
  <c r="O426" i="3"/>
  <c r="Q426" i="3"/>
  <c r="N426" i="3"/>
  <c r="M426" i="3"/>
  <c r="L426" i="3"/>
  <c r="K426" i="3"/>
  <c r="J426" i="3"/>
  <c r="H426" i="3"/>
  <c r="P425" i="3"/>
  <c r="O425" i="3"/>
  <c r="Q425" i="3"/>
  <c r="N425" i="3"/>
  <c r="M425" i="3"/>
  <c r="L425" i="3"/>
  <c r="K425" i="3"/>
  <c r="J425" i="3"/>
  <c r="H425" i="3"/>
  <c r="P424" i="3"/>
  <c r="O424" i="3"/>
  <c r="Q424" i="3"/>
  <c r="N424" i="3"/>
  <c r="M424" i="3"/>
  <c r="L424" i="3"/>
  <c r="K424" i="3"/>
  <c r="J424" i="3"/>
  <c r="H424" i="3"/>
  <c r="P423" i="3"/>
  <c r="O423" i="3"/>
  <c r="Q423" i="3"/>
  <c r="N423" i="3"/>
  <c r="M423" i="3"/>
  <c r="L423" i="3"/>
  <c r="K423" i="3"/>
  <c r="J423" i="3"/>
  <c r="H423" i="3"/>
  <c r="P422" i="3"/>
  <c r="O422" i="3"/>
  <c r="Q422" i="3"/>
  <c r="N422" i="3"/>
  <c r="M422" i="3"/>
  <c r="L422" i="3"/>
  <c r="K422" i="3"/>
  <c r="J422" i="3"/>
  <c r="H422" i="3"/>
  <c r="P421" i="3"/>
  <c r="O421" i="3"/>
  <c r="Q421" i="3"/>
  <c r="N421" i="3"/>
  <c r="M421" i="3"/>
  <c r="L421" i="3"/>
  <c r="K421" i="3"/>
  <c r="J421" i="3"/>
  <c r="H421" i="3"/>
  <c r="P420" i="3"/>
  <c r="O420" i="3"/>
  <c r="Q420" i="3"/>
  <c r="N420" i="3"/>
  <c r="M420" i="3"/>
  <c r="L420" i="3"/>
  <c r="K420" i="3"/>
  <c r="J420" i="3"/>
  <c r="H420" i="3"/>
  <c r="P419" i="3"/>
  <c r="O419" i="3"/>
  <c r="Q419" i="3"/>
  <c r="N419" i="3"/>
  <c r="M419" i="3"/>
  <c r="L419" i="3"/>
  <c r="K419" i="3"/>
  <c r="J419" i="3"/>
  <c r="H419" i="3"/>
  <c r="P418" i="3"/>
  <c r="O418" i="3"/>
  <c r="Q418" i="3"/>
  <c r="N418" i="3"/>
  <c r="M418" i="3"/>
  <c r="L418" i="3"/>
  <c r="K418" i="3"/>
  <c r="J418" i="3"/>
  <c r="H418" i="3"/>
  <c r="P417" i="3"/>
  <c r="O417" i="3"/>
  <c r="Q417" i="3"/>
  <c r="N417" i="3"/>
  <c r="M417" i="3"/>
  <c r="L417" i="3"/>
  <c r="K417" i="3"/>
  <c r="J417" i="3"/>
  <c r="H417" i="3"/>
  <c r="P416" i="3"/>
  <c r="O416" i="3"/>
  <c r="Q416" i="3"/>
  <c r="N416" i="3"/>
  <c r="M416" i="3"/>
  <c r="L416" i="3"/>
  <c r="K416" i="3"/>
  <c r="J416" i="3"/>
  <c r="H416" i="3"/>
  <c r="P415" i="3"/>
  <c r="O415" i="3"/>
  <c r="Q415" i="3"/>
  <c r="N415" i="3"/>
  <c r="M415" i="3"/>
  <c r="L415" i="3"/>
  <c r="K415" i="3"/>
  <c r="J415" i="3"/>
  <c r="H415" i="3"/>
  <c r="P414" i="3"/>
  <c r="O414" i="3"/>
  <c r="Q414" i="3"/>
  <c r="N414" i="3"/>
  <c r="M414" i="3"/>
  <c r="L414" i="3"/>
  <c r="K414" i="3"/>
  <c r="J414" i="3"/>
  <c r="H414" i="3"/>
  <c r="P413" i="3"/>
  <c r="O413" i="3"/>
  <c r="Q413" i="3"/>
  <c r="N413" i="3"/>
  <c r="M413" i="3"/>
  <c r="L413" i="3"/>
  <c r="K413" i="3"/>
  <c r="J413" i="3"/>
  <c r="H413" i="3"/>
  <c r="P412" i="3"/>
  <c r="O412" i="3"/>
  <c r="Q412" i="3"/>
  <c r="N412" i="3"/>
  <c r="M412" i="3"/>
  <c r="L412" i="3"/>
  <c r="K412" i="3"/>
  <c r="J412" i="3"/>
  <c r="H412" i="3"/>
  <c r="P411" i="3"/>
  <c r="O411" i="3"/>
  <c r="Q411" i="3"/>
  <c r="N411" i="3"/>
  <c r="M411" i="3"/>
  <c r="L411" i="3"/>
  <c r="K411" i="3"/>
  <c r="J411" i="3"/>
  <c r="H411" i="3"/>
  <c r="P410" i="3"/>
  <c r="O410" i="3"/>
  <c r="Q410" i="3"/>
  <c r="N410" i="3"/>
  <c r="M410" i="3"/>
  <c r="L410" i="3"/>
  <c r="K410" i="3"/>
  <c r="J410" i="3"/>
  <c r="H410" i="3"/>
  <c r="P409" i="3"/>
  <c r="O409" i="3"/>
  <c r="Q409" i="3"/>
  <c r="N409" i="3"/>
  <c r="M409" i="3"/>
  <c r="L409" i="3"/>
  <c r="K409" i="3"/>
  <c r="J409" i="3"/>
  <c r="H409" i="3"/>
  <c r="P408" i="3"/>
  <c r="O408" i="3"/>
  <c r="Q408" i="3"/>
  <c r="N408" i="3"/>
  <c r="M408" i="3"/>
  <c r="L408" i="3"/>
  <c r="K408" i="3"/>
  <c r="J408" i="3"/>
  <c r="H408" i="3"/>
  <c r="P407" i="3"/>
  <c r="O407" i="3"/>
  <c r="Q407" i="3"/>
  <c r="N407" i="3"/>
  <c r="M407" i="3"/>
  <c r="L407" i="3"/>
  <c r="K407" i="3"/>
  <c r="J407" i="3"/>
  <c r="H407" i="3"/>
  <c r="P406" i="3"/>
  <c r="O406" i="3"/>
  <c r="Q406" i="3"/>
  <c r="N406" i="3"/>
  <c r="M406" i="3"/>
  <c r="L406" i="3"/>
  <c r="K406" i="3"/>
  <c r="J406" i="3"/>
  <c r="H406" i="3"/>
  <c r="P405" i="3"/>
  <c r="O405" i="3"/>
  <c r="Q405" i="3"/>
  <c r="N405" i="3"/>
  <c r="M405" i="3"/>
  <c r="L405" i="3"/>
  <c r="K405" i="3"/>
  <c r="J405" i="3"/>
  <c r="H405" i="3"/>
  <c r="P404" i="3"/>
  <c r="O404" i="3"/>
  <c r="Q404" i="3"/>
  <c r="N404" i="3"/>
  <c r="M404" i="3"/>
  <c r="L404" i="3"/>
  <c r="K404" i="3"/>
  <c r="J404" i="3"/>
  <c r="H404" i="3"/>
  <c r="P403" i="3"/>
  <c r="O403" i="3"/>
  <c r="Q403" i="3"/>
  <c r="N403" i="3"/>
  <c r="M403" i="3"/>
  <c r="L403" i="3"/>
  <c r="K403" i="3"/>
  <c r="J403" i="3"/>
  <c r="H403" i="3"/>
  <c r="P402" i="3"/>
  <c r="O402" i="3"/>
  <c r="Q402" i="3"/>
  <c r="N402" i="3"/>
  <c r="M402" i="3"/>
  <c r="L402" i="3"/>
  <c r="K402" i="3"/>
  <c r="J402" i="3"/>
  <c r="H402" i="3"/>
  <c r="P401" i="3"/>
  <c r="O401" i="3"/>
  <c r="Q401" i="3"/>
  <c r="N401" i="3"/>
  <c r="M401" i="3"/>
  <c r="L401" i="3"/>
  <c r="K401" i="3"/>
  <c r="J401" i="3"/>
  <c r="H401" i="3"/>
  <c r="P400" i="3"/>
  <c r="O400" i="3"/>
  <c r="Q400" i="3"/>
  <c r="N400" i="3"/>
  <c r="M400" i="3"/>
  <c r="L400" i="3"/>
  <c r="K400" i="3"/>
  <c r="J400" i="3"/>
  <c r="H400" i="3"/>
  <c r="P399" i="3"/>
  <c r="O399" i="3"/>
  <c r="Q399" i="3"/>
  <c r="N399" i="3"/>
  <c r="M399" i="3"/>
  <c r="L399" i="3"/>
  <c r="K399" i="3"/>
  <c r="J399" i="3"/>
  <c r="H399" i="3"/>
  <c r="P398" i="3"/>
  <c r="O398" i="3"/>
  <c r="Q398" i="3"/>
  <c r="N398" i="3"/>
  <c r="M398" i="3"/>
  <c r="L398" i="3"/>
  <c r="K398" i="3"/>
  <c r="J398" i="3"/>
  <c r="H398" i="3"/>
  <c r="P397" i="3"/>
  <c r="O397" i="3"/>
  <c r="Q397" i="3"/>
  <c r="N397" i="3"/>
  <c r="M397" i="3"/>
  <c r="L397" i="3"/>
  <c r="K397" i="3"/>
  <c r="J397" i="3"/>
  <c r="H397" i="3"/>
  <c r="P396" i="3"/>
  <c r="O396" i="3"/>
  <c r="Q396" i="3"/>
  <c r="N396" i="3"/>
  <c r="M396" i="3"/>
  <c r="L396" i="3"/>
  <c r="K396" i="3"/>
  <c r="J396" i="3"/>
  <c r="H396" i="3"/>
  <c r="P395" i="3"/>
  <c r="O395" i="3"/>
  <c r="Q395" i="3"/>
  <c r="N395" i="3"/>
  <c r="M395" i="3"/>
  <c r="L395" i="3"/>
  <c r="K395" i="3"/>
  <c r="J395" i="3"/>
  <c r="H395" i="3"/>
  <c r="P394" i="3"/>
  <c r="O394" i="3"/>
  <c r="Q394" i="3"/>
  <c r="N394" i="3"/>
  <c r="M394" i="3"/>
  <c r="L394" i="3"/>
  <c r="K394" i="3"/>
  <c r="J394" i="3"/>
  <c r="H394" i="3"/>
  <c r="P393" i="3"/>
  <c r="O393" i="3"/>
  <c r="Q393" i="3"/>
  <c r="N393" i="3"/>
  <c r="M393" i="3"/>
  <c r="L393" i="3"/>
  <c r="K393" i="3"/>
  <c r="J393" i="3"/>
  <c r="H393" i="3"/>
  <c r="P392" i="3"/>
  <c r="O392" i="3"/>
  <c r="Q392" i="3"/>
  <c r="N392" i="3"/>
  <c r="M392" i="3"/>
  <c r="L392" i="3"/>
  <c r="K392" i="3"/>
  <c r="J392" i="3"/>
  <c r="H392" i="3"/>
  <c r="P391" i="3"/>
  <c r="O391" i="3"/>
  <c r="Q391" i="3"/>
  <c r="N391" i="3"/>
  <c r="M391" i="3"/>
  <c r="L391" i="3"/>
  <c r="K391" i="3"/>
  <c r="J391" i="3"/>
  <c r="H391" i="3"/>
  <c r="P390" i="3"/>
  <c r="O390" i="3"/>
  <c r="Q390" i="3"/>
  <c r="N390" i="3"/>
  <c r="M390" i="3"/>
  <c r="L390" i="3"/>
  <c r="K390" i="3"/>
  <c r="J390" i="3"/>
  <c r="H390" i="3"/>
  <c r="P389" i="3"/>
  <c r="O389" i="3"/>
  <c r="Q389" i="3"/>
  <c r="N389" i="3"/>
  <c r="M389" i="3"/>
  <c r="L389" i="3"/>
  <c r="K389" i="3"/>
  <c r="J389" i="3"/>
  <c r="H389" i="3"/>
  <c r="P388" i="3"/>
  <c r="O388" i="3"/>
  <c r="Q388" i="3"/>
  <c r="N388" i="3"/>
  <c r="M388" i="3"/>
  <c r="L388" i="3"/>
  <c r="K388" i="3"/>
  <c r="J388" i="3"/>
  <c r="H388" i="3"/>
  <c r="P387" i="3"/>
  <c r="O387" i="3"/>
  <c r="Q387" i="3"/>
  <c r="N387" i="3"/>
  <c r="M387" i="3"/>
  <c r="L387" i="3"/>
  <c r="K387" i="3"/>
  <c r="J387" i="3"/>
  <c r="H387" i="3"/>
  <c r="P386" i="3"/>
  <c r="O386" i="3"/>
  <c r="Q386" i="3"/>
  <c r="N386" i="3"/>
  <c r="M386" i="3"/>
  <c r="L386" i="3"/>
  <c r="K386" i="3"/>
  <c r="J386" i="3"/>
  <c r="H386" i="3"/>
  <c r="P385" i="3"/>
  <c r="O385" i="3"/>
  <c r="Q385" i="3"/>
  <c r="N385" i="3"/>
  <c r="M385" i="3"/>
  <c r="L385" i="3"/>
  <c r="K385" i="3"/>
  <c r="J385" i="3"/>
  <c r="H385" i="3"/>
  <c r="P384" i="3"/>
  <c r="O384" i="3"/>
  <c r="Q384" i="3"/>
  <c r="N384" i="3"/>
  <c r="M384" i="3"/>
  <c r="L384" i="3"/>
  <c r="K384" i="3"/>
  <c r="J384" i="3"/>
  <c r="H384" i="3"/>
  <c r="P383" i="3"/>
  <c r="O383" i="3"/>
  <c r="Q383" i="3"/>
  <c r="N383" i="3"/>
  <c r="M383" i="3"/>
  <c r="L383" i="3"/>
  <c r="K383" i="3"/>
  <c r="J383" i="3"/>
  <c r="H383" i="3"/>
  <c r="P382" i="3"/>
  <c r="O382" i="3"/>
  <c r="Q382" i="3"/>
  <c r="N382" i="3"/>
  <c r="M382" i="3"/>
  <c r="L382" i="3"/>
  <c r="K382" i="3"/>
  <c r="J382" i="3"/>
  <c r="H382" i="3"/>
  <c r="P381" i="3"/>
  <c r="O381" i="3"/>
  <c r="Q381" i="3"/>
  <c r="N381" i="3"/>
  <c r="M381" i="3"/>
  <c r="L381" i="3"/>
  <c r="K381" i="3"/>
  <c r="J381" i="3"/>
  <c r="H381" i="3"/>
  <c r="P380" i="3"/>
  <c r="O380" i="3"/>
  <c r="Q380" i="3"/>
  <c r="N380" i="3"/>
  <c r="M380" i="3"/>
  <c r="L380" i="3"/>
  <c r="K380" i="3"/>
  <c r="J380" i="3"/>
  <c r="H380" i="3"/>
  <c r="P379" i="3"/>
  <c r="O379" i="3"/>
  <c r="Q379" i="3"/>
  <c r="N379" i="3"/>
  <c r="M379" i="3"/>
  <c r="L379" i="3"/>
  <c r="K379" i="3"/>
  <c r="J379" i="3"/>
  <c r="H379" i="3"/>
  <c r="P378" i="3"/>
  <c r="O378" i="3"/>
  <c r="Q378" i="3"/>
  <c r="N378" i="3"/>
  <c r="M378" i="3"/>
  <c r="L378" i="3"/>
  <c r="K378" i="3"/>
  <c r="J378" i="3"/>
  <c r="H378" i="3"/>
  <c r="P377" i="3"/>
  <c r="O377" i="3"/>
  <c r="Q377" i="3"/>
  <c r="N377" i="3"/>
  <c r="M377" i="3"/>
  <c r="L377" i="3"/>
  <c r="K377" i="3"/>
  <c r="J377" i="3"/>
  <c r="H377" i="3"/>
  <c r="P376" i="3"/>
  <c r="O376" i="3"/>
  <c r="Q376" i="3"/>
  <c r="N376" i="3"/>
  <c r="M376" i="3"/>
  <c r="L376" i="3"/>
  <c r="K376" i="3"/>
  <c r="J376" i="3"/>
  <c r="H376" i="3"/>
  <c r="P375" i="3"/>
  <c r="O375" i="3"/>
  <c r="Q375" i="3"/>
  <c r="N375" i="3"/>
  <c r="M375" i="3"/>
  <c r="L375" i="3"/>
  <c r="K375" i="3"/>
  <c r="J375" i="3"/>
  <c r="H375" i="3"/>
  <c r="P374" i="3"/>
  <c r="O374" i="3"/>
  <c r="Q374" i="3"/>
  <c r="N374" i="3"/>
  <c r="M374" i="3"/>
  <c r="L374" i="3"/>
  <c r="K374" i="3"/>
  <c r="J374" i="3"/>
  <c r="H374" i="3"/>
  <c r="P373" i="3"/>
  <c r="O373" i="3"/>
  <c r="Q373" i="3"/>
  <c r="N373" i="3"/>
  <c r="M373" i="3"/>
  <c r="L373" i="3"/>
  <c r="K373" i="3"/>
  <c r="J373" i="3"/>
  <c r="H373" i="3"/>
  <c r="P372" i="3"/>
  <c r="O372" i="3"/>
  <c r="Q372" i="3"/>
  <c r="N372" i="3"/>
  <c r="M372" i="3"/>
  <c r="L372" i="3"/>
  <c r="K372" i="3"/>
  <c r="J372" i="3"/>
  <c r="H372" i="3"/>
  <c r="P371" i="3"/>
  <c r="O371" i="3"/>
  <c r="Q371" i="3"/>
  <c r="N371" i="3"/>
  <c r="M371" i="3"/>
  <c r="L371" i="3"/>
  <c r="K371" i="3"/>
  <c r="J371" i="3"/>
  <c r="H371" i="3"/>
  <c r="P370" i="3"/>
  <c r="O370" i="3"/>
  <c r="Q370" i="3"/>
  <c r="N370" i="3"/>
  <c r="M370" i="3"/>
  <c r="L370" i="3"/>
  <c r="K370" i="3"/>
  <c r="J370" i="3"/>
  <c r="H370" i="3"/>
  <c r="P369" i="3"/>
  <c r="O369" i="3"/>
  <c r="Q369" i="3"/>
  <c r="N369" i="3"/>
  <c r="M369" i="3"/>
  <c r="L369" i="3"/>
  <c r="K369" i="3"/>
  <c r="J369" i="3"/>
  <c r="H369" i="3"/>
  <c r="P368" i="3"/>
  <c r="O368" i="3"/>
  <c r="Q368" i="3"/>
  <c r="N368" i="3"/>
  <c r="M368" i="3"/>
  <c r="L368" i="3"/>
  <c r="K368" i="3"/>
  <c r="J368" i="3"/>
  <c r="H368" i="3"/>
  <c r="P367" i="3"/>
  <c r="O367" i="3"/>
  <c r="Q367" i="3"/>
  <c r="N367" i="3"/>
  <c r="M367" i="3"/>
  <c r="L367" i="3"/>
  <c r="K367" i="3"/>
  <c r="J367" i="3"/>
  <c r="H367" i="3"/>
  <c r="P366" i="3"/>
  <c r="O366" i="3"/>
  <c r="Q366" i="3"/>
  <c r="N366" i="3"/>
  <c r="M366" i="3"/>
  <c r="L366" i="3"/>
  <c r="K366" i="3"/>
  <c r="J366" i="3"/>
  <c r="H366" i="3"/>
  <c r="P365" i="3"/>
  <c r="O365" i="3"/>
  <c r="Q365" i="3"/>
  <c r="N365" i="3"/>
  <c r="M365" i="3"/>
  <c r="L365" i="3"/>
  <c r="K365" i="3"/>
  <c r="J365" i="3"/>
  <c r="H365" i="3"/>
  <c r="P364" i="3"/>
  <c r="O364" i="3"/>
  <c r="Q364" i="3"/>
  <c r="N364" i="3"/>
  <c r="M364" i="3"/>
  <c r="L364" i="3"/>
  <c r="K364" i="3"/>
  <c r="J364" i="3"/>
  <c r="H364" i="3"/>
  <c r="P363" i="3"/>
  <c r="O363" i="3"/>
  <c r="Q363" i="3"/>
  <c r="N363" i="3"/>
  <c r="M363" i="3"/>
  <c r="L363" i="3"/>
  <c r="K363" i="3"/>
  <c r="J363" i="3"/>
  <c r="H363" i="3"/>
  <c r="P362" i="3"/>
  <c r="O362" i="3"/>
  <c r="Q362" i="3"/>
  <c r="N362" i="3"/>
  <c r="M362" i="3"/>
  <c r="L362" i="3"/>
  <c r="K362" i="3"/>
  <c r="J362" i="3"/>
  <c r="H362" i="3"/>
  <c r="P361" i="3"/>
  <c r="O361" i="3"/>
  <c r="Q361" i="3"/>
  <c r="N361" i="3"/>
  <c r="M361" i="3"/>
  <c r="L361" i="3"/>
  <c r="K361" i="3"/>
  <c r="J361" i="3"/>
  <c r="H361" i="3"/>
  <c r="P360" i="3"/>
  <c r="O360" i="3"/>
  <c r="Q360" i="3"/>
  <c r="N360" i="3"/>
  <c r="M360" i="3"/>
  <c r="L360" i="3"/>
  <c r="K360" i="3"/>
  <c r="J360" i="3"/>
  <c r="H360" i="3"/>
  <c r="P359" i="3"/>
  <c r="O359" i="3"/>
  <c r="Q359" i="3"/>
  <c r="N359" i="3"/>
  <c r="M359" i="3"/>
  <c r="L359" i="3"/>
  <c r="K359" i="3"/>
  <c r="J359" i="3"/>
  <c r="H359" i="3"/>
  <c r="P358" i="3"/>
  <c r="O358" i="3"/>
  <c r="Q358" i="3"/>
  <c r="N358" i="3"/>
  <c r="M358" i="3"/>
  <c r="L358" i="3"/>
  <c r="K358" i="3"/>
  <c r="J358" i="3"/>
  <c r="H358" i="3"/>
  <c r="P357" i="3"/>
  <c r="O357" i="3"/>
  <c r="Q357" i="3"/>
  <c r="N357" i="3"/>
  <c r="M357" i="3"/>
  <c r="L357" i="3"/>
  <c r="K357" i="3"/>
  <c r="J357" i="3"/>
  <c r="H357" i="3"/>
  <c r="P356" i="3"/>
  <c r="O356" i="3"/>
  <c r="Q356" i="3"/>
  <c r="N356" i="3"/>
  <c r="M356" i="3"/>
  <c r="L356" i="3"/>
  <c r="K356" i="3"/>
  <c r="J356" i="3"/>
  <c r="H356" i="3"/>
  <c r="P355" i="3"/>
  <c r="O355" i="3"/>
  <c r="Q355" i="3"/>
  <c r="N355" i="3"/>
  <c r="M355" i="3"/>
  <c r="L355" i="3"/>
  <c r="K355" i="3"/>
  <c r="J355" i="3"/>
  <c r="H355" i="3"/>
  <c r="P354" i="3"/>
  <c r="O354" i="3"/>
  <c r="Q354" i="3"/>
  <c r="N354" i="3"/>
  <c r="M354" i="3"/>
  <c r="L354" i="3"/>
  <c r="K354" i="3"/>
  <c r="J354" i="3"/>
  <c r="H354" i="3"/>
  <c r="P353" i="3"/>
  <c r="O353" i="3"/>
  <c r="Q353" i="3"/>
  <c r="N353" i="3"/>
  <c r="M353" i="3"/>
  <c r="L353" i="3"/>
  <c r="K353" i="3"/>
  <c r="J353" i="3"/>
  <c r="H353" i="3"/>
  <c r="P352" i="3"/>
  <c r="O352" i="3"/>
  <c r="Q352" i="3"/>
  <c r="N352" i="3"/>
  <c r="M352" i="3"/>
  <c r="L352" i="3"/>
  <c r="K352" i="3"/>
  <c r="J352" i="3"/>
  <c r="H352" i="3"/>
  <c r="P351" i="3"/>
  <c r="O351" i="3"/>
  <c r="Q351" i="3"/>
  <c r="N351" i="3"/>
  <c r="M351" i="3"/>
  <c r="L351" i="3"/>
  <c r="K351" i="3"/>
  <c r="J351" i="3"/>
  <c r="H351" i="3"/>
  <c r="P350" i="3"/>
  <c r="O350" i="3"/>
  <c r="Q350" i="3"/>
  <c r="N350" i="3"/>
  <c r="M350" i="3"/>
  <c r="L350" i="3"/>
  <c r="K350" i="3"/>
  <c r="J350" i="3"/>
  <c r="H350" i="3"/>
  <c r="P349" i="3"/>
  <c r="O349" i="3"/>
  <c r="Q349" i="3"/>
  <c r="N349" i="3"/>
  <c r="M349" i="3"/>
  <c r="L349" i="3"/>
  <c r="K349" i="3"/>
  <c r="J349" i="3"/>
  <c r="H349" i="3"/>
  <c r="P348" i="3"/>
  <c r="O348" i="3"/>
  <c r="Q348" i="3"/>
  <c r="N348" i="3"/>
  <c r="M348" i="3"/>
  <c r="L348" i="3"/>
  <c r="K348" i="3"/>
  <c r="J348" i="3"/>
  <c r="H348" i="3"/>
  <c r="P347" i="3"/>
  <c r="O347" i="3"/>
  <c r="Q347" i="3"/>
  <c r="N347" i="3"/>
  <c r="M347" i="3"/>
  <c r="L347" i="3"/>
  <c r="K347" i="3"/>
  <c r="J347" i="3"/>
  <c r="H347" i="3"/>
  <c r="P346" i="3"/>
  <c r="O346" i="3"/>
  <c r="Q346" i="3"/>
  <c r="N346" i="3"/>
  <c r="M346" i="3"/>
  <c r="L346" i="3"/>
  <c r="K346" i="3"/>
  <c r="J346" i="3"/>
  <c r="H346" i="3"/>
  <c r="P345" i="3"/>
  <c r="O345" i="3"/>
  <c r="Q345" i="3"/>
  <c r="N345" i="3"/>
  <c r="M345" i="3"/>
  <c r="L345" i="3"/>
  <c r="K345" i="3"/>
  <c r="J345" i="3"/>
  <c r="H345" i="3"/>
  <c r="P344" i="3"/>
  <c r="O344" i="3"/>
  <c r="Q344" i="3"/>
  <c r="N344" i="3"/>
  <c r="M344" i="3"/>
  <c r="L344" i="3"/>
  <c r="K344" i="3"/>
  <c r="J344" i="3"/>
  <c r="H344" i="3"/>
  <c r="P343" i="3"/>
  <c r="O343" i="3"/>
  <c r="Q343" i="3"/>
  <c r="N343" i="3"/>
  <c r="M343" i="3"/>
  <c r="L343" i="3"/>
  <c r="K343" i="3"/>
  <c r="J343" i="3"/>
  <c r="H343" i="3"/>
  <c r="P342" i="3"/>
  <c r="O342" i="3"/>
  <c r="Q342" i="3"/>
  <c r="N342" i="3"/>
  <c r="M342" i="3"/>
  <c r="L342" i="3"/>
  <c r="K342" i="3"/>
  <c r="J342" i="3"/>
  <c r="H342" i="3"/>
  <c r="P341" i="3"/>
  <c r="O341" i="3"/>
  <c r="Q341" i="3"/>
  <c r="N341" i="3"/>
  <c r="M341" i="3"/>
  <c r="L341" i="3"/>
  <c r="K341" i="3"/>
  <c r="J341" i="3"/>
  <c r="H341" i="3"/>
  <c r="P340" i="3"/>
  <c r="O340" i="3"/>
  <c r="Q340" i="3"/>
  <c r="N340" i="3"/>
  <c r="M340" i="3"/>
  <c r="L340" i="3"/>
  <c r="K340" i="3"/>
  <c r="J340" i="3"/>
  <c r="H340" i="3"/>
  <c r="P339" i="3"/>
  <c r="O339" i="3"/>
  <c r="Q339" i="3"/>
  <c r="N339" i="3"/>
  <c r="M339" i="3"/>
  <c r="L339" i="3"/>
  <c r="K339" i="3"/>
  <c r="J339" i="3"/>
  <c r="H339" i="3"/>
  <c r="P338" i="3"/>
  <c r="O338" i="3"/>
  <c r="Q338" i="3"/>
  <c r="N338" i="3"/>
  <c r="M338" i="3"/>
  <c r="L338" i="3"/>
  <c r="K338" i="3"/>
  <c r="J338" i="3"/>
  <c r="H338" i="3"/>
  <c r="P337" i="3"/>
  <c r="O337" i="3"/>
  <c r="Q337" i="3"/>
  <c r="N337" i="3"/>
  <c r="M337" i="3"/>
  <c r="L337" i="3"/>
  <c r="K337" i="3"/>
  <c r="J337" i="3"/>
  <c r="H337" i="3"/>
  <c r="P336" i="3"/>
  <c r="O336" i="3"/>
  <c r="Q336" i="3"/>
  <c r="N336" i="3"/>
  <c r="M336" i="3"/>
  <c r="L336" i="3"/>
  <c r="K336" i="3"/>
  <c r="J336" i="3"/>
  <c r="H336" i="3"/>
  <c r="P335" i="3"/>
  <c r="O335" i="3"/>
  <c r="Q335" i="3"/>
  <c r="N335" i="3"/>
  <c r="M335" i="3"/>
  <c r="L335" i="3"/>
  <c r="K335" i="3"/>
  <c r="J335" i="3"/>
  <c r="H335" i="3"/>
  <c r="P334" i="3"/>
  <c r="O334" i="3"/>
  <c r="Q334" i="3"/>
  <c r="N334" i="3"/>
  <c r="M334" i="3"/>
  <c r="L334" i="3"/>
  <c r="K334" i="3"/>
  <c r="J334" i="3"/>
  <c r="H334" i="3"/>
  <c r="P333" i="3"/>
  <c r="O333" i="3"/>
  <c r="Q333" i="3"/>
  <c r="N333" i="3"/>
  <c r="M333" i="3"/>
  <c r="L333" i="3"/>
  <c r="K333" i="3"/>
  <c r="J333" i="3"/>
  <c r="H333" i="3"/>
  <c r="P332" i="3"/>
  <c r="O332" i="3"/>
  <c r="Q332" i="3"/>
  <c r="N332" i="3"/>
  <c r="M332" i="3"/>
  <c r="L332" i="3"/>
  <c r="K332" i="3"/>
  <c r="J332" i="3"/>
  <c r="H332" i="3"/>
  <c r="P331" i="3"/>
  <c r="O331" i="3"/>
  <c r="Q331" i="3"/>
  <c r="N331" i="3"/>
  <c r="M331" i="3"/>
  <c r="L331" i="3"/>
  <c r="K331" i="3"/>
  <c r="J331" i="3"/>
  <c r="H331" i="3"/>
  <c r="P330" i="3"/>
  <c r="O330" i="3"/>
  <c r="Q330" i="3"/>
  <c r="N330" i="3"/>
  <c r="M330" i="3"/>
  <c r="L330" i="3"/>
  <c r="K330" i="3"/>
  <c r="J330" i="3"/>
  <c r="H330" i="3"/>
  <c r="P329" i="3"/>
  <c r="O329" i="3"/>
  <c r="Q329" i="3"/>
  <c r="N329" i="3"/>
  <c r="M329" i="3"/>
  <c r="L329" i="3"/>
  <c r="K329" i="3"/>
  <c r="J329" i="3"/>
  <c r="H329" i="3"/>
  <c r="P328" i="3"/>
  <c r="O328" i="3"/>
  <c r="Q328" i="3"/>
  <c r="N328" i="3"/>
  <c r="M328" i="3"/>
  <c r="L328" i="3"/>
  <c r="K328" i="3"/>
  <c r="J328" i="3"/>
  <c r="H328" i="3"/>
  <c r="P327" i="3"/>
  <c r="O327" i="3"/>
  <c r="Q327" i="3"/>
  <c r="N327" i="3"/>
  <c r="M327" i="3"/>
  <c r="L327" i="3"/>
  <c r="K327" i="3"/>
  <c r="J327" i="3"/>
  <c r="H327" i="3"/>
  <c r="P326" i="3"/>
  <c r="O326" i="3"/>
  <c r="Q326" i="3"/>
  <c r="N326" i="3"/>
  <c r="M326" i="3"/>
  <c r="L326" i="3"/>
  <c r="K326" i="3"/>
  <c r="J326" i="3"/>
  <c r="H326" i="3"/>
  <c r="P325" i="3"/>
  <c r="O325" i="3"/>
  <c r="Q325" i="3"/>
  <c r="N325" i="3"/>
  <c r="M325" i="3"/>
  <c r="L325" i="3"/>
  <c r="K325" i="3"/>
  <c r="J325" i="3"/>
  <c r="H325" i="3"/>
  <c r="P324" i="3"/>
  <c r="O324" i="3"/>
  <c r="Q324" i="3"/>
  <c r="N324" i="3"/>
  <c r="M324" i="3"/>
  <c r="L324" i="3"/>
  <c r="K324" i="3"/>
  <c r="J324" i="3"/>
  <c r="H324" i="3"/>
  <c r="P323" i="3"/>
  <c r="O323" i="3"/>
  <c r="Q323" i="3"/>
  <c r="N323" i="3"/>
  <c r="M323" i="3"/>
  <c r="L323" i="3"/>
  <c r="K323" i="3"/>
  <c r="J323" i="3"/>
  <c r="H323" i="3"/>
  <c r="P322" i="3"/>
  <c r="O322" i="3"/>
  <c r="Q322" i="3"/>
  <c r="N322" i="3"/>
  <c r="M322" i="3"/>
  <c r="L322" i="3"/>
  <c r="K322" i="3"/>
  <c r="J322" i="3"/>
  <c r="H322" i="3"/>
  <c r="P321" i="3"/>
  <c r="O321" i="3"/>
  <c r="Q321" i="3"/>
  <c r="N321" i="3"/>
  <c r="M321" i="3"/>
  <c r="L321" i="3"/>
  <c r="K321" i="3"/>
  <c r="J321" i="3"/>
  <c r="H321" i="3"/>
  <c r="P320" i="3"/>
  <c r="O320" i="3"/>
  <c r="Q320" i="3"/>
  <c r="N320" i="3"/>
  <c r="M320" i="3"/>
  <c r="L320" i="3"/>
  <c r="K320" i="3"/>
  <c r="J320" i="3"/>
  <c r="H320" i="3"/>
  <c r="P319" i="3"/>
  <c r="O319" i="3"/>
  <c r="Q319" i="3"/>
  <c r="N319" i="3"/>
  <c r="M319" i="3"/>
  <c r="L319" i="3"/>
  <c r="K319" i="3"/>
  <c r="J319" i="3"/>
  <c r="H319" i="3"/>
  <c r="P318" i="3"/>
  <c r="O318" i="3"/>
  <c r="Q318" i="3"/>
  <c r="N318" i="3"/>
  <c r="M318" i="3"/>
  <c r="L318" i="3"/>
  <c r="K318" i="3"/>
  <c r="J318" i="3"/>
  <c r="H318" i="3"/>
  <c r="P317" i="3"/>
  <c r="O317" i="3"/>
  <c r="Q317" i="3"/>
  <c r="N317" i="3"/>
  <c r="M317" i="3"/>
  <c r="L317" i="3"/>
  <c r="K317" i="3"/>
  <c r="J317" i="3"/>
  <c r="H317" i="3"/>
  <c r="P316" i="3"/>
  <c r="O316" i="3"/>
  <c r="Q316" i="3"/>
  <c r="N316" i="3"/>
  <c r="M316" i="3"/>
  <c r="L316" i="3"/>
  <c r="K316" i="3"/>
  <c r="J316" i="3"/>
  <c r="H316" i="3"/>
  <c r="P315" i="3"/>
  <c r="O315" i="3"/>
  <c r="Q315" i="3"/>
  <c r="N315" i="3"/>
  <c r="M315" i="3"/>
  <c r="L315" i="3"/>
  <c r="K315" i="3"/>
  <c r="J315" i="3"/>
  <c r="H315" i="3"/>
  <c r="P314" i="3"/>
  <c r="O314" i="3"/>
  <c r="Q314" i="3"/>
  <c r="N314" i="3"/>
  <c r="M314" i="3"/>
  <c r="L314" i="3"/>
  <c r="K314" i="3"/>
  <c r="J314" i="3"/>
  <c r="H314" i="3"/>
  <c r="P313" i="3"/>
  <c r="O313" i="3"/>
  <c r="Q313" i="3"/>
  <c r="N313" i="3"/>
  <c r="M313" i="3"/>
  <c r="L313" i="3"/>
  <c r="K313" i="3"/>
  <c r="J313" i="3"/>
  <c r="H313" i="3"/>
  <c r="P312" i="3"/>
  <c r="O312" i="3"/>
  <c r="Q312" i="3"/>
  <c r="N312" i="3"/>
  <c r="M312" i="3"/>
  <c r="L312" i="3"/>
  <c r="K312" i="3"/>
  <c r="J312" i="3"/>
  <c r="H312" i="3"/>
  <c r="P311" i="3"/>
  <c r="O311" i="3"/>
  <c r="Q311" i="3"/>
  <c r="N311" i="3"/>
  <c r="M311" i="3"/>
  <c r="L311" i="3"/>
  <c r="K311" i="3"/>
  <c r="J311" i="3"/>
  <c r="H311" i="3"/>
  <c r="P310" i="3"/>
  <c r="O310" i="3"/>
  <c r="Q310" i="3"/>
  <c r="N310" i="3"/>
  <c r="M310" i="3"/>
  <c r="L310" i="3"/>
  <c r="K310" i="3"/>
  <c r="J310" i="3"/>
  <c r="H310" i="3"/>
  <c r="P309" i="3"/>
  <c r="O309" i="3"/>
  <c r="Q309" i="3"/>
  <c r="N309" i="3"/>
  <c r="M309" i="3"/>
  <c r="L309" i="3"/>
  <c r="K309" i="3"/>
  <c r="J309" i="3"/>
  <c r="H309" i="3"/>
  <c r="P308" i="3"/>
  <c r="O308" i="3"/>
  <c r="Q308" i="3"/>
  <c r="N308" i="3"/>
  <c r="M308" i="3"/>
  <c r="L308" i="3"/>
  <c r="K308" i="3"/>
  <c r="J308" i="3"/>
  <c r="H308" i="3"/>
  <c r="P307" i="3"/>
  <c r="O307" i="3"/>
  <c r="Q307" i="3"/>
  <c r="N307" i="3"/>
  <c r="M307" i="3"/>
  <c r="L307" i="3"/>
  <c r="K307" i="3"/>
  <c r="J307" i="3"/>
  <c r="H307" i="3"/>
  <c r="P306" i="3"/>
  <c r="O306" i="3"/>
  <c r="Q306" i="3"/>
  <c r="N306" i="3"/>
  <c r="M306" i="3"/>
  <c r="L306" i="3"/>
  <c r="K306" i="3"/>
  <c r="J306" i="3"/>
  <c r="H306" i="3"/>
  <c r="P305" i="3"/>
  <c r="O305" i="3"/>
  <c r="Q305" i="3"/>
  <c r="N305" i="3"/>
  <c r="M305" i="3"/>
  <c r="L305" i="3"/>
  <c r="K305" i="3"/>
  <c r="J305" i="3"/>
  <c r="H305" i="3"/>
  <c r="P304" i="3"/>
  <c r="O304" i="3"/>
  <c r="Q304" i="3"/>
  <c r="N304" i="3"/>
  <c r="M304" i="3"/>
  <c r="L304" i="3"/>
  <c r="K304" i="3"/>
  <c r="J304" i="3"/>
  <c r="H304" i="3"/>
  <c r="P303" i="3"/>
  <c r="O303" i="3"/>
  <c r="Q303" i="3"/>
  <c r="N303" i="3"/>
  <c r="M303" i="3"/>
  <c r="L303" i="3"/>
  <c r="K303" i="3"/>
  <c r="J303" i="3"/>
  <c r="H303" i="3"/>
  <c r="P302" i="3"/>
  <c r="O302" i="3"/>
  <c r="Q302" i="3"/>
  <c r="N302" i="3"/>
  <c r="M302" i="3"/>
  <c r="L302" i="3"/>
  <c r="K302" i="3"/>
  <c r="J302" i="3"/>
  <c r="H302" i="3"/>
  <c r="P301" i="3"/>
  <c r="O301" i="3"/>
  <c r="Q301" i="3"/>
  <c r="N301" i="3"/>
  <c r="M301" i="3"/>
  <c r="L301" i="3"/>
  <c r="K301" i="3"/>
  <c r="J301" i="3"/>
  <c r="H301" i="3"/>
  <c r="P300" i="3"/>
  <c r="O300" i="3"/>
  <c r="Q300" i="3"/>
  <c r="N300" i="3"/>
  <c r="M300" i="3"/>
  <c r="L300" i="3"/>
  <c r="K300" i="3"/>
  <c r="J300" i="3"/>
  <c r="H300" i="3"/>
  <c r="P299" i="3"/>
  <c r="O299" i="3"/>
  <c r="Q299" i="3"/>
  <c r="N299" i="3"/>
  <c r="M299" i="3"/>
  <c r="L299" i="3"/>
  <c r="K299" i="3"/>
  <c r="J299" i="3"/>
  <c r="H299" i="3"/>
  <c r="P298" i="3"/>
  <c r="O298" i="3"/>
  <c r="Q298" i="3"/>
  <c r="N298" i="3"/>
  <c r="M298" i="3"/>
  <c r="L298" i="3"/>
  <c r="K298" i="3"/>
  <c r="J298" i="3"/>
  <c r="H298" i="3"/>
  <c r="P297" i="3"/>
  <c r="O297" i="3"/>
  <c r="Q297" i="3"/>
  <c r="N297" i="3"/>
  <c r="M297" i="3"/>
  <c r="L297" i="3"/>
  <c r="K297" i="3"/>
  <c r="J297" i="3"/>
  <c r="H297" i="3"/>
  <c r="P296" i="3"/>
  <c r="O296" i="3"/>
  <c r="Q296" i="3"/>
  <c r="N296" i="3"/>
  <c r="M296" i="3"/>
  <c r="L296" i="3"/>
  <c r="K296" i="3"/>
  <c r="J296" i="3"/>
  <c r="H296" i="3"/>
  <c r="P295" i="3"/>
  <c r="O295" i="3"/>
  <c r="Q295" i="3"/>
  <c r="N295" i="3"/>
  <c r="M295" i="3"/>
  <c r="L295" i="3"/>
  <c r="K295" i="3"/>
  <c r="J295" i="3"/>
  <c r="H295" i="3"/>
  <c r="P294" i="3"/>
  <c r="O294" i="3"/>
  <c r="Q294" i="3"/>
  <c r="N294" i="3"/>
  <c r="M294" i="3"/>
  <c r="L294" i="3"/>
  <c r="K294" i="3"/>
  <c r="J294" i="3"/>
  <c r="H294" i="3"/>
  <c r="P293" i="3"/>
  <c r="O293" i="3"/>
  <c r="Q293" i="3"/>
  <c r="N293" i="3"/>
  <c r="M293" i="3"/>
  <c r="L293" i="3"/>
  <c r="K293" i="3"/>
  <c r="J293" i="3"/>
  <c r="H293" i="3"/>
  <c r="P292" i="3"/>
  <c r="O292" i="3"/>
  <c r="Q292" i="3"/>
  <c r="N292" i="3"/>
  <c r="M292" i="3"/>
  <c r="L292" i="3"/>
  <c r="K292" i="3"/>
  <c r="J292" i="3"/>
  <c r="H292" i="3"/>
  <c r="P291" i="3"/>
  <c r="O291" i="3"/>
  <c r="Q291" i="3"/>
  <c r="N291" i="3"/>
  <c r="M291" i="3"/>
  <c r="L291" i="3"/>
  <c r="K291" i="3"/>
  <c r="J291" i="3"/>
  <c r="H291" i="3"/>
  <c r="P290" i="3"/>
  <c r="O290" i="3"/>
  <c r="Q290" i="3"/>
  <c r="N290" i="3"/>
  <c r="M290" i="3"/>
  <c r="L290" i="3"/>
  <c r="K290" i="3"/>
  <c r="J290" i="3"/>
  <c r="H290" i="3"/>
  <c r="P289" i="3"/>
  <c r="O289" i="3"/>
  <c r="Q289" i="3"/>
  <c r="N289" i="3"/>
  <c r="M289" i="3"/>
  <c r="L289" i="3"/>
  <c r="K289" i="3"/>
  <c r="J289" i="3"/>
  <c r="H289" i="3"/>
  <c r="P288" i="3"/>
  <c r="O288" i="3"/>
  <c r="Q288" i="3"/>
  <c r="N288" i="3"/>
  <c r="M288" i="3"/>
  <c r="L288" i="3"/>
  <c r="K288" i="3"/>
  <c r="J288" i="3"/>
  <c r="H288" i="3"/>
  <c r="P287" i="3"/>
  <c r="O287" i="3"/>
  <c r="Q287" i="3"/>
  <c r="N287" i="3"/>
  <c r="M287" i="3"/>
  <c r="L287" i="3"/>
  <c r="K287" i="3"/>
  <c r="J287" i="3"/>
  <c r="H287" i="3"/>
  <c r="P286" i="3"/>
  <c r="O286" i="3"/>
  <c r="Q286" i="3"/>
  <c r="N286" i="3"/>
  <c r="M286" i="3"/>
  <c r="L286" i="3"/>
  <c r="K286" i="3"/>
  <c r="J286" i="3"/>
  <c r="H286" i="3"/>
  <c r="P285" i="3"/>
  <c r="O285" i="3"/>
  <c r="Q285" i="3"/>
  <c r="N285" i="3"/>
  <c r="M285" i="3"/>
  <c r="L285" i="3"/>
  <c r="K285" i="3"/>
  <c r="J285" i="3"/>
  <c r="H285" i="3"/>
  <c r="P284" i="3"/>
  <c r="O284" i="3"/>
  <c r="Q284" i="3"/>
  <c r="N284" i="3"/>
  <c r="M284" i="3"/>
  <c r="L284" i="3"/>
  <c r="K284" i="3"/>
  <c r="J284" i="3"/>
  <c r="H284" i="3"/>
  <c r="P283" i="3"/>
  <c r="O283" i="3"/>
  <c r="Q283" i="3"/>
  <c r="N283" i="3"/>
  <c r="M283" i="3"/>
  <c r="L283" i="3"/>
  <c r="K283" i="3"/>
  <c r="J283" i="3"/>
  <c r="H283" i="3"/>
  <c r="P282" i="3"/>
  <c r="O282" i="3"/>
  <c r="Q282" i="3"/>
  <c r="N282" i="3"/>
  <c r="M282" i="3"/>
  <c r="L282" i="3"/>
  <c r="K282" i="3"/>
  <c r="J282" i="3"/>
  <c r="H282" i="3"/>
  <c r="P281" i="3"/>
  <c r="O281" i="3"/>
  <c r="Q281" i="3"/>
  <c r="N281" i="3"/>
  <c r="M281" i="3"/>
  <c r="L281" i="3"/>
  <c r="K281" i="3"/>
  <c r="J281" i="3"/>
  <c r="H281" i="3"/>
  <c r="P280" i="3"/>
  <c r="O280" i="3"/>
  <c r="Q280" i="3"/>
  <c r="N280" i="3"/>
  <c r="M280" i="3"/>
  <c r="L280" i="3"/>
  <c r="K280" i="3"/>
  <c r="J280" i="3"/>
  <c r="H280" i="3"/>
  <c r="P279" i="3"/>
  <c r="O279" i="3"/>
  <c r="Q279" i="3"/>
  <c r="N279" i="3"/>
  <c r="M279" i="3"/>
  <c r="L279" i="3"/>
  <c r="K279" i="3"/>
  <c r="J279" i="3"/>
  <c r="H279" i="3"/>
  <c r="P278" i="3"/>
  <c r="O278" i="3"/>
  <c r="Q278" i="3"/>
  <c r="N278" i="3"/>
  <c r="M278" i="3"/>
  <c r="L278" i="3"/>
  <c r="K278" i="3"/>
  <c r="J278" i="3"/>
  <c r="H278" i="3"/>
  <c r="P277" i="3"/>
  <c r="O277" i="3"/>
  <c r="Q277" i="3"/>
  <c r="N277" i="3"/>
  <c r="M277" i="3"/>
  <c r="L277" i="3"/>
  <c r="K277" i="3"/>
  <c r="J277" i="3"/>
  <c r="H277" i="3"/>
  <c r="P276" i="3"/>
  <c r="O276" i="3"/>
  <c r="Q276" i="3"/>
  <c r="N276" i="3"/>
  <c r="M276" i="3"/>
  <c r="L276" i="3"/>
  <c r="K276" i="3"/>
  <c r="J276" i="3"/>
  <c r="H276" i="3"/>
  <c r="P275" i="3"/>
  <c r="O275" i="3"/>
  <c r="Q275" i="3"/>
  <c r="N275" i="3"/>
  <c r="M275" i="3"/>
  <c r="L275" i="3"/>
  <c r="K275" i="3"/>
  <c r="J275" i="3"/>
  <c r="H275" i="3"/>
  <c r="P274" i="3"/>
  <c r="O274" i="3"/>
  <c r="Q274" i="3"/>
  <c r="N274" i="3"/>
  <c r="M274" i="3"/>
  <c r="L274" i="3"/>
  <c r="K274" i="3"/>
  <c r="J274" i="3"/>
  <c r="H274" i="3"/>
  <c r="P273" i="3"/>
  <c r="O273" i="3"/>
  <c r="Q273" i="3"/>
  <c r="N273" i="3"/>
  <c r="M273" i="3"/>
  <c r="L273" i="3"/>
  <c r="K273" i="3"/>
  <c r="J273" i="3"/>
  <c r="H273" i="3"/>
  <c r="P272" i="3"/>
  <c r="O272" i="3"/>
  <c r="Q272" i="3"/>
  <c r="N272" i="3"/>
  <c r="M272" i="3"/>
  <c r="L272" i="3"/>
  <c r="K272" i="3"/>
  <c r="J272" i="3"/>
  <c r="H272" i="3"/>
  <c r="P271" i="3"/>
  <c r="O271" i="3"/>
  <c r="Q271" i="3"/>
  <c r="N271" i="3"/>
  <c r="M271" i="3"/>
  <c r="L271" i="3"/>
  <c r="K271" i="3"/>
  <c r="J271" i="3"/>
  <c r="H271" i="3"/>
  <c r="P270" i="3"/>
  <c r="O270" i="3"/>
  <c r="Q270" i="3"/>
  <c r="N270" i="3"/>
  <c r="M270" i="3"/>
  <c r="L270" i="3"/>
  <c r="K270" i="3"/>
  <c r="J270" i="3"/>
  <c r="H270" i="3"/>
  <c r="P269" i="3"/>
  <c r="O269" i="3"/>
  <c r="Q269" i="3"/>
  <c r="N269" i="3"/>
  <c r="M269" i="3"/>
  <c r="L269" i="3"/>
  <c r="K269" i="3"/>
  <c r="J269" i="3"/>
  <c r="H269" i="3"/>
  <c r="P268" i="3"/>
  <c r="O268" i="3"/>
  <c r="Q268" i="3"/>
  <c r="N268" i="3"/>
  <c r="M268" i="3"/>
  <c r="L268" i="3"/>
  <c r="K268" i="3"/>
  <c r="J268" i="3"/>
  <c r="H268" i="3"/>
  <c r="P267" i="3"/>
  <c r="O267" i="3"/>
  <c r="Q267" i="3"/>
  <c r="N267" i="3"/>
  <c r="M267" i="3"/>
  <c r="L267" i="3"/>
  <c r="K267" i="3"/>
  <c r="J267" i="3"/>
  <c r="H267" i="3"/>
  <c r="P266" i="3"/>
  <c r="O266" i="3"/>
  <c r="Q266" i="3"/>
  <c r="N266" i="3"/>
  <c r="M266" i="3"/>
  <c r="L266" i="3"/>
  <c r="K266" i="3"/>
  <c r="J266" i="3"/>
  <c r="H266" i="3"/>
  <c r="P265" i="3"/>
  <c r="O265" i="3"/>
  <c r="Q265" i="3"/>
  <c r="N265" i="3"/>
  <c r="M265" i="3"/>
  <c r="L265" i="3"/>
  <c r="K265" i="3"/>
  <c r="J265" i="3"/>
  <c r="H265" i="3"/>
  <c r="P264" i="3"/>
  <c r="O264" i="3"/>
  <c r="Q264" i="3"/>
  <c r="N264" i="3"/>
  <c r="M264" i="3"/>
  <c r="L264" i="3"/>
  <c r="K264" i="3"/>
  <c r="J264" i="3"/>
  <c r="H264" i="3"/>
  <c r="P263" i="3"/>
  <c r="O263" i="3"/>
  <c r="Q263" i="3"/>
  <c r="N263" i="3"/>
  <c r="M263" i="3"/>
  <c r="L263" i="3"/>
  <c r="K263" i="3"/>
  <c r="J263" i="3"/>
  <c r="H263" i="3"/>
  <c r="P262" i="3"/>
  <c r="O262" i="3"/>
  <c r="Q262" i="3"/>
  <c r="N262" i="3"/>
  <c r="M262" i="3"/>
  <c r="L262" i="3"/>
  <c r="K262" i="3"/>
  <c r="J262" i="3"/>
  <c r="H262" i="3"/>
  <c r="P261" i="3"/>
  <c r="O261" i="3"/>
  <c r="Q261" i="3"/>
  <c r="N261" i="3"/>
  <c r="M261" i="3"/>
  <c r="L261" i="3"/>
  <c r="K261" i="3"/>
  <c r="J261" i="3"/>
  <c r="H261" i="3"/>
  <c r="P260" i="3"/>
  <c r="O260" i="3"/>
  <c r="Q260" i="3"/>
  <c r="N260" i="3"/>
  <c r="M260" i="3"/>
  <c r="L260" i="3"/>
  <c r="K260" i="3"/>
  <c r="J260" i="3"/>
  <c r="H260" i="3"/>
  <c r="P259" i="3"/>
  <c r="O259" i="3"/>
  <c r="Q259" i="3"/>
  <c r="N259" i="3"/>
  <c r="M259" i="3"/>
  <c r="L259" i="3"/>
  <c r="K259" i="3"/>
  <c r="J259" i="3"/>
  <c r="H259" i="3"/>
  <c r="P258" i="3"/>
  <c r="O258" i="3"/>
  <c r="Q258" i="3"/>
  <c r="N258" i="3"/>
  <c r="M258" i="3"/>
  <c r="L258" i="3"/>
  <c r="K258" i="3"/>
  <c r="J258" i="3"/>
  <c r="H258" i="3"/>
  <c r="P257" i="3"/>
  <c r="O257" i="3"/>
  <c r="Q257" i="3"/>
  <c r="N257" i="3"/>
  <c r="M257" i="3"/>
  <c r="L257" i="3"/>
  <c r="K257" i="3"/>
  <c r="J257" i="3"/>
  <c r="H257" i="3"/>
  <c r="P256" i="3"/>
  <c r="O256" i="3"/>
  <c r="Q256" i="3"/>
  <c r="N256" i="3"/>
  <c r="M256" i="3"/>
  <c r="L256" i="3"/>
  <c r="K256" i="3"/>
  <c r="J256" i="3"/>
  <c r="H256" i="3"/>
  <c r="P255" i="3"/>
  <c r="O255" i="3"/>
  <c r="Q255" i="3"/>
  <c r="N255" i="3"/>
  <c r="M255" i="3"/>
  <c r="L255" i="3"/>
  <c r="K255" i="3"/>
  <c r="J255" i="3"/>
  <c r="H255" i="3"/>
  <c r="P254" i="3"/>
  <c r="O254" i="3"/>
  <c r="Q254" i="3"/>
  <c r="N254" i="3"/>
  <c r="M254" i="3"/>
  <c r="L254" i="3"/>
  <c r="K254" i="3"/>
  <c r="J254" i="3"/>
  <c r="H254" i="3"/>
  <c r="P253" i="3"/>
  <c r="O253" i="3"/>
  <c r="Q253" i="3"/>
  <c r="N253" i="3"/>
  <c r="M253" i="3"/>
  <c r="L253" i="3"/>
  <c r="K253" i="3"/>
  <c r="J253" i="3"/>
  <c r="H253" i="3"/>
  <c r="P252" i="3"/>
  <c r="O252" i="3"/>
  <c r="Q252" i="3"/>
  <c r="N252" i="3"/>
  <c r="M252" i="3"/>
  <c r="L252" i="3"/>
  <c r="K252" i="3"/>
  <c r="J252" i="3"/>
  <c r="H252" i="3"/>
  <c r="P251" i="3"/>
  <c r="O251" i="3"/>
  <c r="Q251" i="3"/>
  <c r="N251" i="3"/>
  <c r="M251" i="3"/>
  <c r="L251" i="3"/>
  <c r="K251" i="3"/>
  <c r="J251" i="3"/>
  <c r="H251" i="3"/>
  <c r="P250" i="3"/>
  <c r="O250" i="3"/>
  <c r="Q250" i="3"/>
  <c r="N250" i="3"/>
  <c r="M250" i="3"/>
  <c r="L250" i="3"/>
  <c r="K250" i="3"/>
  <c r="J250" i="3"/>
  <c r="H250" i="3"/>
  <c r="P249" i="3"/>
  <c r="O249" i="3"/>
  <c r="Q249" i="3"/>
  <c r="N249" i="3"/>
  <c r="M249" i="3"/>
  <c r="L249" i="3"/>
  <c r="K249" i="3"/>
  <c r="J249" i="3"/>
  <c r="H249" i="3"/>
  <c r="P248" i="3"/>
  <c r="O248" i="3"/>
  <c r="Q248" i="3"/>
  <c r="N248" i="3"/>
  <c r="M248" i="3"/>
  <c r="L248" i="3"/>
  <c r="K248" i="3"/>
  <c r="J248" i="3"/>
  <c r="H248" i="3"/>
  <c r="P247" i="3"/>
  <c r="O247" i="3"/>
  <c r="Q247" i="3"/>
  <c r="N247" i="3"/>
  <c r="M247" i="3"/>
  <c r="L247" i="3"/>
  <c r="K247" i="3"/>
  <c r="J247" i="3"/>
  <c r="H247" i="3"/>
  <c r="P246" i="3"/>
  <c r="O246" i="3"/>
  <c r="Q246" i="3"/>
  <c r="N246" i="3"/>
  <c r="M246" i="3"/>
  <c r="L246" i="3"/>
  <c r="K246" i="3"/>
  <c r="J246" i="3"/>
  <c r="H246" i="3"/>
  <c r="P245" i="3"/>
  <c r="O245" i="3"/>
  <c r="Q245" i="3"/>
  <c r="N245" i="3"/>
  <c r="M245" i="3"/>
  <c r="L245" i="3"/>
  <c r="K245" i="3"/>
  <c r="J245" i="3"/>
  <c r="H245" i="3"/>
  <c r="P244" i="3"/>
  <c r="O244" i="3"/>
  <c r="Q244" i="3"/>
  <c r="N244" i="3"/>
  <c r="M244" i="3"/>
  <c r="L244" i="3"/>
  <c r="K244" i="3"/>
  <c r="J244" i="3"/>
  <c r="H244" i="3"/>
  <c r="P243" i="3"/>
  <c r="O243" i="3"/>
  <c r="Q243" i="3"/>
  <c r="N243" i="3"/>
  <c r="M243" i="3"/>
  <c r="L243" i="3"/>
  <c r="K243" i="3"/>
  <c r="J243" i="3"/>
  <c r="H243" i="3"/>
  <c r="P242" i="3"/>
  <c r="O242" i="3"/>
  <c r="Q242" i="3"/>
  <c r="N242" i="3"/>
  <c r="M242" i="3"/>
  <c r="L242" i="3"/>
  <c r="K242" i="3"/>
  <c r="J242" i="3"/>
  <c r="H242" i="3"/>
  <c r="P241" i="3"/>
  <c r="O241" i="3"/>
  <c r="Q241" i="3"/>
  <c r="N241" i="3"/>
  <c r="M241" i="3"/>
  <c r="L241" i="3"/>
  <c r="K241" i="3"/>
  <c r="J241" i="3"/>
  <c r="H241" i="3"/>
  <c r="P240" i="3"/>
  <c r="O240" i="3"/>
  <c r="Q240" i="3"/>
  <c r="N240" i="3"/>
  <c r="M240" i="3"/>
  <c r="L240" i="3"/>
  <c r="K240" i="3"/>
  <c r="J240" i="3"/>
  <c r="H240" i="3"/>
  <c r="P239" i="3"/>
  <c r="O239" i="3"/>
  <c r="Q239" i="3"/>
  <c r="N239" i="3"/>
  <c r="M239" i="3"/>
  <c r="L239" i="3"/>
  <c r="K239" i="3"/>
  <c r="J239" i="3"/>
  <c r="H239" i="3"/>
  <c r="P238" i="3"/>
  <c r="O238" i="3"/>
  <c r="Q238" i="3"/>
  <c r="N238" i="3"/>
  <c r="M238" i="3"/>
  <c r="L238" i="3"/>
  <c r="K238" i="3"/>
  <c r="J238" i="3"/>
  <c r="H238" i="3"/>
  <c r="P237" i="3"/>
  <c r="O237" i="3"/>
  <c r="Q237" i="3"/>
  <c r="N237" i="3"/>
  <c r="M237" i="3"/>
  <c r="L237" i="3"/>
  <c r="K237" i="3"/>
  <c r="J237" i="3"/>
  <c r="H237" i="3"/>
  <c r="P236" i="3"/>
  <c r="O236" i="3"/>
  <c r="Q236" i="3"/>
  <c r="N236" i="3"/>
  <c r="M236" i="3"/>
  <c r="L236" i="3"/>
  <c r="K236" i="3"/>
  <c r="J236" i="3"/>
  <c r="H236" i="3"/>
  <c r="P235" i="3"/>
  <c r="O235" i="3"/>
  <c r="Q235" i="3"/>
  <c r="N235" i="3"/>
  <c r="M235" i="3"/>
  <c r="L235" i="3"/>
  <c r="K235" i="3"/>
  <c r="J235" i="3"/>
  <c r="H235" i="3"/>
  <c r="P234" i="3"/>
  <c r="O234" i="3"/>
  <c r="Q234" i="3"/>
  <c r="N234" i="3"/>
  <c r="M234" i="3"/>
  <c r="L234" i="3"/>
  <c r="K234" i="3"/>
  <c r="J234" i="3"/>
  <c r="H234" i="3"/>
  <c r="P233" i="3"/>
  <c r="O233" i="3"/>
  <c r="Q233" i="3"/>
  <c r="N233" i="3"/>
  <c r="M233" i="3"/>
  <c r="L233" i="3"/>
  <c r="K233" i="3"/>
  <c r="J233" i="3"/>
  <c r="H233" i="3"/>
  <c r="P232" i="3"/>
  <c r="O232" i="3"/>
  <c r="Q232" i="3"/>
  <c r="N232" i="3"/>
  <c r="M232" i="3"/>
  <c r="L232" i="3"/>
  <c r="K232" i="3"/>
  <c r="J232" i="3"/>
  <c r="H232" i="3"/>
  <c r="P231" i="3"/>
  <c r="O231" i="3"/>
  <c r="Q231" i="3"/>
  <c r="N231" i="3"/>
  <c r="M231" i="3"/>
  <c r="L231" i="3"/>
  <c r="K231" i="3"/>
  <c r="J231" i="3"/>
  <c r="H231" i="3"/>
  <c r="P230" i="3"/>
  <c r="O230" i="3"/>
  <c r="Q230" i="3"/>
  <c r="N230" i="3"/>
  <c r="M230" i="3"/>
  <c r="L230" i="3"/>
  <c r="K230" i="3"/>
  <c r="J230" i="3"/>
  <c r="H230" i="3"/>
  <c r="P229" i="3"/>
  <c r="O229" i="3"/>
  <c r="Q229" i="3"/>
  <c r="N229" i="3"/>
  <c r="M229" i="3"/>
  <c r="L229" i="3"/>
  <c r="K229" i="3"/>
  <c r="J229" i="3"/>
  <c r="H229" i="3"/>
  <c r="P228" i="3"/>
  <c r="O228" i="3"/>
  <c r="Q228" i="3"/>
  <c r="N228" i="3"/>
  <c r="M228" i="3"/>
  <c r="L228" i="3"/>
  <c r="K228" i="3"/>
  <c r="J228" i="3"/>
  <c r="H228" i="3"/>
  <c r="P227" i="3"/>
  <c r="O227" i="3"/>
  <c r="Q227" i="3"/>
  <c r="N227" i="3"/>
  <c r="M227" i="3"/>
  <c r="L227" i="3"/>
  <c r="K227" i="3"/>
  <c r="J227" i="3"/>
  <c r="H227" i="3"/>
  <c r="P226" i="3"/>
  <c r="O226" i="3"/>
  <c r="Q226" i="3"/>
  <c r="N226" i="3"/>
  <c r="M226" i="3"/>
  <c r="L226" i="3"/>
  <c r="K226" i="3"/>
  <c r="J226" i="3"/>
  <c r="H226" i="3"/>
  <c r="P225" i="3"/>
  <c r="O225" i="3"/>
  <c r="Q225" i="3"/>
  <c r="N225" i="3"/>
  <c r="M225" i="3"/>
  <c r="L225" i="3"/>
  <c r="K225" i="3"/>
  <c r="J225" i="3"/>
  <c r="H225" i="3"/>
  <c r="P224" i="3"/>
  <c r="O224" i="3"/>
  <c r="Q224" i="3"/>
  <c r="N224" i="3"/>
  <c r="M224" i="3"/>
  <c r="L224" i="3"/>
  <c r="K224" i="3"/>
  <c r="J224" i="3"/>
  <c r="H224" i="3"/>
  <c r="P223" i="3"/>
  <c r="O223" i="3"/>
  <c r="Q223" i="3"/>
  <c r="N223" i="3"/>
  <c r="M223" i="3"/>
  <c r="L223" i="3"/>
  <c r="K223" i="3"/>
  <c r="J223" i="3"/>
  <c r="H223" i="3"/>
  <c r="P222" i="3"/>
  <c r="O222" i="3"/>
  <c r="Q222" i="3"/>
  <c r="N222" i="3"/>
  <c r="M222" i="3"/>
  <c r="L222" i="3"/>
  <c r="K222" i="3"/>
  <c r="J222" i="3"/>
  <c r="H222" i="3"/>
  <c r="P221" i="3"/>
  <c r="O221" i="3"/>
  <c r="Q221" i="3"/>
  <c r="N221" i="3"/>
  <c r="M221" i="3"/>
  <c r="L221" i="3"/>
  <c r="K221" i="3"/>
  <c r="J221" i="3"/>
  <c r="H221" i="3"/>
  <c r="P220" i="3"/>
  <c r="O220" i="3"/>
  <c r="Q220" i="3"/>
  <c r="N220" i="3"/>
  <c r="M220" i="3"/>
  <c r="L220" i="3"/>
  <c r="K220" i="3"/>
  <c r="J220" i="3"/>
  <c r="H220" i="3"/>
  <c r="P219" i="3"/>
  <c r="O219" i="3"/>
  <c r="Q219" i="3"/>
  <c r="N219" i="3"/>
  <c r="M219" i="3"/>
  <c r="L219" i="3"/>
  <c r="K219" i="3"/>
  <c r="J219" i="3"/>
  <c r="H219" i="3"/>
  <c r="P218" i="3"/>
  <c r="O218" i="3"/>
  <c r="Q218" i="3"/>
  <c r="N218" i="3"/>
  <c r="M218" i="3"/>
  <c r="L218" i="3"/>
  <c r="K218" i="3"/>
  <c r="J218" i="3"/>
  <c r="H218" i="3"/>
  <c r="P217" i="3"/>
  <c r="O217" i="3"/>
  <c r="Q217" i="3"/>
  <c r="N217" i="3"/>
  <c r="M217" i="3"/>
  <c r="L217" i="3"/>
  <c r="K217" i="3"/>
  <c r="J217" i="3"/>
  <c r="H217" i="3"/>
  <c r="P216" i="3"/>
  <c r="O216" i="3"/>
  <c r="Q216" i="3"/>
  <c r="N216" i="3"/>
  <c r="M216" i="3"/>
  <c r="L216" i="3"/>
  <c r="K216" i="3"/>
  <c r="J216" i="3"/>
  <c r="H216" i="3"/>
  <c r="P215" i="3"/>
  <c r="O215" i="3"/>
  <c r="Q215" i="3"/>
  <c r="N215" i="3"/>
  <c r="M215" i="3"/>
  <c r="L215" i="3"/>
  <c r="K215" i="3"/>
  <c r="J215" i="3"/>
  <c r="H215" i="3"/>
  <c r="P214" i="3"/>
  <c r="O214" i="3"/>
  <c r="Q214" i="3"/>
  <c r="N214" i="3"/>
  <c r="M214" i="3"/>
  <c r="L214" i="3"/>
  <c r="K214" i="3"/>
  <c r="J214" i="3"/>
  <c r="H214" i="3"/>
  <c r="P213" i="3"/>
  <c r="O213" i="3"/>
  <c r="Q213" i="3"/>
  <c r="N213" i="3"/>
  <c r="M213" i="3"/>
  <c r="L213" i="3"/>
  <c r="K213" i="3"/>
  <c r="J213" i="3"/>
  <c r="H213" i="3"/>
  <c r="P212" i="3"/>
  <c r="O212" i="3"/>
  <c r="Q212" i="3"/>
  <c r="N212" i="3"/>
  <c r="M212" i="3"/>
  <c r="L212" i="3"/>
  <c r="K212" i="3"/>
  <c r="J212" i="3"/>
  <c r="H212" i="3"/>
  <c r="P211" i="3"/>
  <c r="O211" i="3"/>
  <c r="Q211" i="3"/>
  <c r="N211" i="3"/>
  <c r="M211" i="3"/>
  <c r="L211" i="3"/>
  <c r="K211" i="3"/>
  <c r="J211" i="3"/>
  <c r="H211" i="3"/>
  <c r="P210" i="3"/>
  <c r="O210" i="3"/>
  <c r="Q210" i="3"/>
  <c r="N210" i="3"/>
  <c r="M210" i="3"/>
  <c r="L210" i="3"/>
  <c r="K210" i="3"/>
  <c r="J210" i="3"/>
  <c r="H210" i="3"/>
  <c r="P209" i="3"/>
  <c r="O209" i="3"/>
  <c r="Q209" i="3"/>
  <c r="N209" i="3"/>
  <c r="M209" i="3"/>
  <c r="L209" i="3"/>
  <c r="K209" i="3"/>
  <c r="J209" i="3"/>
  <c r="H209" i="3"/>
  <c r="P208" i="3"/>
  <c r="O208" i="3"/>
  <c r="Q208" i="3"/>
  <c r="N208" i="3"/>
  <c r="M208" i="3"/>
  <c r="L208" i="3"/>
  <c r="K208" i="3"/>
  <c r="J208" i="3"/>
  <c r="H208" i="3"/>
  <c r="P207" i="3"/>
  <c r="O207" i="3"/>
  <c r="Q207" i="3"/>
  <c r="N207" i="3"/>
  <c r="M207" i="3"/>
  <c r="L207" i="3"/>
  <c r="K207" i="3"/>
  <c r="J207" i="3"/>
  <c r="H207" i="3"/>
  <c r="P206" i="3"/>
  <c r="O206" i="3"/>
  <c r="Q206" i="3"/>
  <c r="N206" i="3"/>
  <c r="M206" i="3"/>
  <c r="L206" i="3"/>
  <c r="K206" i="3"/>
  <c r="J206" i="3"/>
  <c r="H206" i="3"/>
  <c r="P205" i="3"/>
  <c r="O205" i="3"/>
  <c r="Q205" i="3"/>
  <c r="N205" i="3"/>
  <c r="M205" i="3"/>
  <c r="L205" i="3"/>
  <c r="K205" i="3"/>
  <c r="J205" i="3"/>
  <c r="H205" i="3"/>
  <c r="P204" i="3"/>
  <c r="O204" i="3"/>
  <c r="Q204" i="3"/>
  <c r="N204" i="3"/>
  <c r="M204" i="3"/>
  <c r="L204" i="3"/>
  <c r="K204" i="3"/>
  <c r="J204" i="3"/>
  <c r="H204" i="3"/>
  <c r="P203" i="3"/>
  <c r="O203" i="3"/>
  <c r="Q203" i="3"/>
  <c r="N203" i="3"/>
  <c r="M203" i="3"/>
  <c r="L203" i="3"/>
  <c r="K203" i="3"/>
  <c r="J203" i="3"/>
  <c r="H203" i="3"/>
  <c r="P202" i="3"/>
  <c r="O202" i="3"/>
  <c r="Q202" i="3"/>
  <c r="N202" i="3"/>
  <c r="M202" i="3"/>
  <c r="L202" i="3"/>
  <c r="K202" i="3"/>
  <c r="J202" i="3"/>
  <c r="H202" i="3"/>
  <c r="P201" i="3"/>
  <c r="O201" i="3"/>
  <c r="Q201" i="3"/>
  <c r="N201" i="3"/>
  <c r="M201" i="3"/>
  <c r="L201" i="3"/>
  <c r="K201" i="3"/>
  <c r="J201" i="3"/>
  <c r="H201" i="3"/>
  <c r="P200" i="3"/>
  <c r="O200" i="3"/>
  <c r="Q200" i="3"/>
  <c r="N200" i="3"/>
  <c r="M200" i="3"/>
  <c r="L200" i="3"/>
  <c r="K200" i="3"/>
  <c r="J200" i="3"/>
  <c r="H200" i="3"/>
  <c r="P199" i="3"/>
  <c r="O199" i="3"/>
  <c r="Q199" i="3"/>
  <c r="N199" i="3"/>
  <c r="M199" i="3"/>
  <c r="L199" i="3"/>
  <c r="K199" i="3"/>
  <c r="J199" i="3"/>
  <c r="H199" i="3"/>
  <c r="P198" i="3"/>
  <c r="O198" i="3"/>
  <c r="Q198" i="3"/>
  <c r="N198" i="3"/>
  <c r="M198" i="3"/>
  <c r="L198" i="3"/>
  <c r="K198" i="3"/>
  <c r="J198" i="3"/>
  <c r="H198" i="3"/>
  <c r="P197" i="3"/>
  <c r="O197" i="3"/>
  <c r="Q197" i="3"/>
  <c r="N197" i="3"/>
  <c r="M197" i="3"/>
  <c r="L197" i="3"/>
  <c r="K197" i="3"/>
  <c r="J197" i="3"/>
  <c r="H197" i="3"/>
  <c r="P196" i="3"/>
  <c r="O196" i="3"/>
  <c r="Q196" i="3"/>
  <c r="N196" i="3"/>
  <c r="M196" i="3"/>
  <c r="L196" i="3"/>
  <c r="K196" i="3"/>
  <c r="J196" i="3"/>
  <c r="H196" i="3"/>
  <c r="P195" i="3"/>
  <c r="O195" i="3"/>
  <c r="Q195" i="3"/>
  <c r="N195" i="3"/>
  <c r="M195" i="3"/>
  <c r="L195" i="3"/>
  <c r="K195" i="3"/>
  <c r="J195" i="3"/>
  <c r="H195" i="3"/>
  <c r="P194" i="3"/>
  <c r="O194" i="3"/>
  <c r="Q194" i="3"/>
  <c r="N194" i="3"/>
  <c r="M194" i="3"/>
  <c r="L194" i="3"/>
  <c r="K194" i="3"/>
  <c r="J194" i="3"/>
  <c r="H194" i="3"/>
  <c r="P193" i="3"/>
  <c r="O193" i="3"/>
  <c r="Q193" i="3"/>
  <c r="N193" i="3"/>
  <c r="M193" i="3"/>
  <c r="L193" i="3"/>
  <c r="K193" i="3"/>
  <c r="J193" i="3"/>
  <c r="H193" i="3"/>
  <c r="P192" i="3"/>
  <c r="O192" i="3"/>
  <c r="Q192" i="3"/>
  <c r="N192" i="3"/>
  <c r="M192" i="3"/>
  <c r="L192" i="3"/>
  <c r="K192" i="3"/>
  <c r="J192" i="3"/>
  <c r="H192" i="3"/>
  <c r="P191" i="3"/>
  <c r="O191" i="3"/>
  <c r="Q191" i="3"/>
  <c r="N191" i="3"/>
  <c r="M191" i="3"/>
  <c r="L191" i="3"/>
  <c r="K191" i="3"/>
  <c r="J191" i="3"/>
  <c r="H191" i="3"/>
  <c r="P190" i="3"/>
  <c r="O190" i="3"/>
  <c r="Q190" i="3"/>
  <c r="N190" i="3"/>
  <c r="M190" i="3"/>
  <c r="L190" i="3"/>
  <c r="K190" i="3"/>
  <c r="J190" i="3"/>
  <c r="H190" i="3"/>
  <c r="P189" i="3"/>
  <c r="O189" i="3"/>
  <c r="Q189" i="3"/>
  <c r="N189" i="3"/>
  <c r="M189" i="3"/>
  <c r="L189" i="3"/>
  <c r="K189" i="3"/>
  <c r="J189" i="3"/>
  <c r="H189" i="3"/>
  <c r="P188" i="3"/>
  <c r="O188" i="3"/>
  <c r="Q188" i="3"/>
  <c r="N188" i="3"/>
  <c r="M188" i="3"/>
  <c r="L188" i="3"/>
  <c r="K188" i="3"/>
  <c r="J188" i="3"/>
  <c r="H188" i="3"/>
  <c r="P187" i="3"/>
  <c r="O187" i="3"/>
  <c r="Q187" i="3"/>
  <c r="N187" i="3"/>
  <c r="M187" i="3"/>
  <c r="L187" i="3"/>
  <c r="K187" i="3"/>
  <c r="J187" i="3"/>
  <c r="H187" i="3"/>
  <c r="P186" i="3"/>
  <c r="O186" i="3"/>
  <c r="Q186" i="3"/>
  <c r="N186" i="3"/>
  <c r="M186" i="3"/>
  <c r="L186" i="3"/>
  <c r="K186" i="3"/>
  <c r="J186" i="3"/>
  <c r="H186" i="3"/>
  <c r="P185" i="3"/>
  <c r="O185" i="3"/>
  <c r="Q185" i="3"/>
  <c r="N185" i="3"/>
  <c r="M185" i="3"/>
  <c r="L185" i="3"/>
  <c r="K185" i="3"/>
  <c r="J185" i="3"/>
  <c r="H185" i="3"/>
  <c r="P184" i="3"/>
  <c r="O184" i="3"/>
  <c r="Q184" i="3"/>
  <c r="N184" i="3"/>
  <c r="M184" i="3"/>
  <c r="L184" i="3"/>
  <c r="K184" i="3"/>
  <c r="J184" i="3"/>
  <c r="H184" i="3"/>
  <c r="P183" i="3"/>
  <c r="O183" i="3"/>
  <c r="Q183" i="3"/>
  <c r="N183" i="3"/>
  <c r="M183" i="3"/>
  <c r="L183" i="3"/>
  <c r="K183" i="3"/>
  <c r="J183" i="3"/>
  <c r="H183" i="3"/>
  <c r="P182" i="3"/>
  <c r="O182" i="3"/>
  <c r="Q182" i="3"/>
  <c r="N182" i="3"/>
  <c r="M182" i="3"/>
  <c r="L182" i="3"/>
  <c r="K182" i="3"/>
  <c r="J182" i="3"/>
  <c r="H182" i="3"/>
  <c r="P181" i="3"/>
  <c r="O181" i="3"/>
  <c r="Q181" i="3"/>
  <c r="N181" i="3"/>
  <c r="M181" i="3"/>
  <c r="L181" i="3"/>
  <c r="K181" i="3"/>
  <c r="J181" i="3"/>
  <c r="H181" i="3"/>
  <c r="P180" i="3"/>
  <c r="O180" i="3"/>
  <c r="Q180" i="3"/>
  <c r="N180" i="3"/>
  <c r="M180" i="3"/>
  <c r="L180" i="3"/>
  <c r="K180" i="3"/>
  <c r="J180" i="3"/>
  <c r="H180" i="3"/>
  <c r="P179" i="3"/>
  <c r="O179" i="3"/>
  <c r="Q179" i="3"/>
  <c r="N179" i="3"/>
  <c r="M179" i="3"/>
  <c r="L179" i="3"/>
  <c r="K179" i="3"/>
  <c r="J179" i="3"/>
  <c r="H179" i="3"/>
  <c r="P178" i="3"/>
  <c r="O178" i="3"/>
  <c r="Q178" i="3"/>
  <c r="N178" i="3"/>
  <c r="M178" i="3"/>
  <c r="L178" i="3"/>
  <c r="K178" i="3"/>
  <c r="J178" i="3"/>
  <c r="H178" i="3"/>
  <c r="P177" i="3"/>
  <c r="O177" i="3"/>
  <c r="Q177" i="3"/>
  <c r="N177" i="3"/>
  <c r="M177" i="3"/>
  <c r="L177" i="3"/>
  <c r="K177" i="3"/>
  <c r="J177" i="3"/>
  <c r="H177" i="3"/>
  <c r="P176" i="3"/>
  <c r="O176" i="3"/>
  <c r="Q176" i="3"/>
  <c r="N176" i="3"/>
  <c r="M176" i="3"/>
  <c r="L176" i="3"/>
  <c r="K176" i="3"/>
  <c r="J176" i="3"/>
  <c r="H176" i="3"/>
  <c r="P175" i="3"/>
  <c r="O175" i="3"/>
  <c r="Q175" i="3"/>
  <c r="N175" i="3"/>
  <c r="M175" i="3"/>
  <c r="L175" i="3"/>
  <c r="K175" i="3"/>
  <c r="J175" i="3"/>
  <c r="H175" i="3"/>
  <c r="P174" i="3"/>
  <c r="O174" i="3"/>
  <c r="Q174" i="3"/>
  <c r="N174" i="3"/>
  <c r="M174" i="3"/>
  <c r="L174" i="3"/>
  <c r="K174" i="3"/>
  <c r="J174" i="3"/>
  <c r="H174" i="3"/>
  <c r="P173" i="3"/>
  <c r="O173" i="3"/>
  <c r="Q173" i="3"/>
  <c r="N173" i="3"/>
  <c r="M173" i="3"/>
  <c r="L173" i="3"/>
  <c r="K173" i="3"/>
  <c r="J173" i="3"/>
  <c r="H173" i="3"/>
  <c r="P172" i="3"/>
  <c r="O172" i="3"/>
  <c r="Q172" i="3"/>
  <c r="N172" i="3"/>
  <c r="M172" i="3"/>
  <c r="L172" i="3"/>
  <c r="K172" i="3"/>
  <c r="J172" i="3"/>
  <c r="H172" i="3"/>
  <c r="P171" i="3"/>
  <c r="O171" i="3"/>
  <c r="Q171" i="3"/>
  <c r="N171" i="3"/>
  <c r="M171" i="3"/>
  <c r="L171" i="3"/>
  <c r="K171" i="3"/>
  <c r="J171" i="3"/>
  <c r="H171" i="3"/>
  <c r="P170" i="3"/>
  <c r="O170" i="3"/>
  <c r="Q170" i="3"/>
  <c r="N170" i="3"/>
  <c r="M170" i="3"/>
  <c r="L170" i="3"/>
  <c r="K170" i="3"/>
  <c r="J170" i="3"/>
  <c r="H170" i="3"/>
  <c r="P169" i="3"/>
  <c r="O169" i="3"/>
  <c r="Q169" i="3"/>
  <c r="N169" i="3"/>
  <c r="M169" i="3"/>
  <c r="L169" i="3"/>
  <c r="K169" i="3"/>
  <c r="J169" i="3"/>
  <c r="H169" i="3"/>
  <c r="P168" i="3"/>
  <c r="O168" i="3"/>
  <c r="Q168" i="3"/>
  <c r="N168" i="3"/>
  <c r="M168" i="3"/>
  <c r="L168" i="3"/>
  <c r="K168" i="3"/>
  <c r="J168" i="3"/>
  <c r="H168" i="3"/>
  <c r="P167" i="3"/>
  <c r="O167" i="3"/>
  <c r="Q167" i="3"/>
  <c r="N167" i="3"/>
  <c r="M167" i="3"/>
  <c r="L167" i="3"/>
  <c r="K167" i="3"/>
  <c r="J167" i="3"/>
  <c r="H167" i="3"/>
  <c r="P166" i="3"/>
  <c r="O166" i="3"/>
  <c r="Q166" i="3"/>
  <c r="N166" i="3"/>
  <c r="M166" i="3"/>
  <c r="L166" i="3"/>
  <c r="K166" i="3"/>
  <c r="J166" i="3"/>
  <c r="H166" i="3"/>
  <c r="P165" i="3"/>
  <c r="O165" i="3"/>
  <c r="Q165" i="3"/>
  <c r="N165" i="3"/>
  <c r="M165" i="3"/>
  <c r="L165" i="3"/>
  <c r="K165" i="3"/>
  <c r="J165" i="3"/>
  <c r="H165" i="3"/>
  <c r="P164" i="3"/>
  <c r="O164" i="3"/>
  <c r="Q164" i="3"/>
  <c r="N164" i="3"/>
  <c r="M164" i="3"/>
  <c r="L164" i="3"/>
  <c r="K164" i="3"/>
  <c r="J164" i="3"/>
  <c r="H164" i="3"/>
  <c r="P163" i="3"/>
  <c r="O163" i="3"/>
  <c r="Q163" i="3"/>
  <c r="N163" i="3"/>
  <c r="M163" i="3"/>
  <c r="L163" i="3"/>
  <c r="K163" i="3"/>
  <c r="J163" i="3"/>
  <c r="H163" i="3"/>
  <c r="P162" i="3"/>
  <c r="O162" i="3"/>
  <c r="Q162" i="3"/>
  <c r="N162" i="3"/>
  <c r="M162" i="3"/>
  <c r="L162" i="3"/>
  <c r="K162" i="3"/>
  <c r="J162" i="3"/>
  <c r="H162" i="3"/>
  <c r="P161" i="3"/>
  <c r="O161" i="3"/>
  <c r="Q161" i="3"/>
  <c r="N161" i="3"/>
  <c r="M161" i="3"/>
  <c r="L161" i="3"/>
  <c r="K161" i="3"/>
  <c r="J161" i="3"/>
  <c r="H161" i="3"/>
  <c r="P160" i="3"/>
  <c r="O160" i="3"/>
  <c r="Q160" i="3"/>
  <c r="N160" i="3"/>
  <c r="M160" i="3"/>
  <c r="L160" i="3"/>
  <c r="K160" i="3"/>
  <c r="J160" i="3"/>
  <c r="H160" i="3"/>
  <c r="P159" i="3"/>
  <c r="O159" i="3"/>
  <c r="Q159" i="3"/>
  <c r="N159" i="3"/>
  <c r="M159" i="3"/>
  <c r="L159" i="3"/>
  <c r="K159" i="3"/>
  <c r="J159" i="3"/>
  <c r="H159" i="3"/>
  <c r="P158" i="3"/>
  <c r="O158" i="3"/>
  <c r="Q158" i="3"/>
  <c r="N158" i="3"/>
  <c r="M158" i="3"/>
  <c r="L158" i="3"/>
  <c r="K158" i="3"/>
  <c r="J158" i="3"/>
  <c r="H158" i="3"/>
  <c r="P157" i="3"/>
  <c r="O157" i="3"/>
  <c r="Q157" i="3"/>
  <c r="N157" i="3"/>
  <c r="M157" i="3"/>
  <c r="L157" i="3"/>
  <c r="K157" i="3"/>
  <c r="J157" i="3"/>
  <c r="H157" i="3"/>
  <c r="P156" i="3"/>
  <c r="O156" i="3"/>
  <c r="Q156" i="3"/>
  <c r="N156" i="3"/>
  <c r="M156" i="3"/>
  <c r="L156" i="3"/>
  <c r="K156" i="3"/>
  <c r="J156" i="3"/>
  <c r="H156" i="3"/>
  <c r="P155" i="3"/>
  <c r="O155" i="3"/>
  <c r="Q155" i="3"/>
  <c r="N155" i="3"/>
  <c r="M155" i="3"/>
  <c r="L155" i="3"/>
  <c r="K155" i="3"/>
  <c r="J155" i="3"/>
  <c r="H155" i="3"/>
  <c r="P154" i="3"/>
  <c r="O154" i="3"/>
  <c r="Q154" i="3"/>
  <c r="N154" i="3"/>
  <c r="M154" i="3"/>
  <c r="L154" i="3"/>
  <c r="K154" i="3"/>
  <c r="J154" i="3"/>
  <c r="H154" i="3"/>
  <c r="P153" i="3"/>
  <c r="O153" i="3"/>
  <c r="Q153" i="3"/>
  <c r="N153" i="3"/>
  <c r="M153" i="3"/>
  <c r="L153" i="3"/>
  <c r="K153" i="3"/>
  <c r="J153" i="3"/>
  <c r="H153" i="3"/>
  <c r="P152" i="3"/>
  <c r="O152" i="3"/>
  <c r="Q152" i="3"/>
  <c r="N152" i="3"/>
  <c r="M152" i="3"/>
  <c r="L152" i="3"/>
  <c r="K152" i="3"/>
  <c r="J152" i="3"/>
  <c r="H152" i="3"/>
  <c r="P151" i="3"/>
  <c r="O151" i="3"/>
  <c r="Q151" i="3"/>
  <c r="N151" i="3"/>
  <c r="M151" i="3"/>
  <c r="L151" i="3"/>
  <c r="K151" i="3"/>
  <c r="J151" i="3"/>
  <c r="H151" i="3"/>
  <c r="P150" i="3"/>
  <c r="O150" i="3"/>
  <c r="Q150" i="3"/>
  <c r="N150" i="3"/>
  <c r="M150" i="3"/>
  <c r="L150" i="3"/>
  <c r="K150" i="3"/>
  <c r="J150" i="3"/>
  <c r="H150" i="3"/>
  <c r="P149" i="3"/>
  <c r="O149" i="3"/>
  <c r="Q149" i="3"/>
  <c r="N149" i="3"/>
  <c r="M149" i="3"/>
  <c r="L149" i="3"/>
  <c r="K149" i="3"/>
  <c r="J149" i="3"/>
  <c r="H149" i="3"/>
  <c r="P148" i="3"/>
  <c r="O148" i="3"/>
  <c r="Q148" i="3"/>
  <c r="N148" i="3"/>
  <c r="M148" i="3"/>
  <c r="L148" i="3"/>
  <c r="K148" i="3"/>
  <c r="J148" i="3"/>
  <c r="H148" i="3"/>
  <c r="P147" i="3"/>
  <c r="O147" i="3"/>
  <c r="Q147" i="3"/>
  <c r="N147" i="3"/>
  <c r="M147" i="3"/>
  <c r="L147" i="3"/>
  <c r="K147" i="3"/>
  <c r="J147" i="3"/>
  <c r="H147" i="3"/>
  <c r="P146" i="3"/>
  <c r="O146" i="3"/>
  <c r="Q146" i="3"/>
  <c r="N146" i="3"/>
  <c r="M146" i="3"/>
  <c r="L146" i="3"/>
  <c r="K146" i="3"/>
  <c r="J146" i="3"/>
  <c r="H146" i="3"/>
  <c r="P145" i="3"/>
  <c r="O145" i="3"/>
  <c r="Q145" i="3"/>
  <c r="N145" i="3"/>
  <c r="M145" i="3"/>
  <c r="L145" i="3"/>
  <c r="K145" i="3"/>
  <c r="J145" i="3"/>
  <c r="H145" i="3"/>
  <c r="P144" i="3"/>
  <c r="O144" i="3"/>
  <c r="Q144" i="3"/>
  <c r="N144" i="3"/>
  <c r="M144" i="3"/>
  <c r="L144" i="3"/>
  <c r="K144" i="3"/>
  <c r="J144" i="3"/>
  <c r="H144" i="3"/>
  <c r="P143" i="3"/>
  <c r="O143" i="3"/>
  <c r="Q143" i="3"/>
  <c r="N143" i="3"/>
  <c r="M143" i="3"/>
  <c r="L143" i="3"/>
  <c r="K143" i="3"/>
  <c r="J143" i="3"/>
  <c r="H143" i="3"/>
  <c r="P142" i="3"/>
  <c r="O142" i="3"/>
  <c r="Q142" i="3"/>
  <c r="N142" i="3"/>
  <c r="M142" i="3"/>
  <c r="L142" i="3"/>
  <c r="K142" i="3"/>
  <c r="J142" i="3"/>
  <c r="H142" i="3"/>
  <c r="P141" i="3"/>
  <c r="O141" i="3"/>
  <c r="Q141" i="3"/>
  <c r="N141" i="3"/>
  <c r="M141" i="3"/>
  <c r="L141" i="3"/>
  <c r="K141" i="3"/>
  <c r="J141" i="3"/>
  <c r="H141" i="3"/>
  <c r="P140" i="3"/>
  <c r="O140" i="3"/>
  <c r="Q140" i="3"/>
  <c r="N140" i="3"/>
  <c r="M140" i="3"/>
  <c r="L140" i="3"/>
  <c r="K140" i="3"/>
  <c r="J140" i="3"/>
  <c r="H140" i="3"/>
  <c r="P139" i="3"/>
  <c r="O139" i="3"/>
  <c r="Q139" i="3"/>
  <c r="N139" i="3"/>
  <c r="M139" i="3"/>
  <c r="L139" i="3"/>
  <c r="K139" i="3"/>
  <c r="J139" i="3"/>
  <c r="H139" i="3"/>
  <c r="P138" i="3"/>
  <c r="O138" i="3"/>
  <c r="Q138" i="3"/>
  <c r="N138" i="3"/>
  <c r="M138" i="3"/>
  <c r="L138" i="3"/>
  <c r="K138" i="3"/>
  <c r="J138" i="3"/>
  <c r="H138" i="3"/>
  <c r="P137" i="3"/>
  <c r="O137" i="3"/>
  <c r="Q137" i="3"/>
  <c r="N137" i="3"/>
  <c r="M137" i="3"/>
  <c r="L137" i="3"/>
  <c r="K137" i="3"/>
  <c r="J137" i="3"/>
  <c r="H137" i="3"/>
  <c r="P136" i="3"/>
  <c r="O136" i="3"/>
  <c r="Q136" i="3"/>
  <c r="N136" i="3"/>
  <c r="M136" i="3"/>
  <c r="L136" i="3"/>
  <c r="K136" i="3"/>
  <c r="J136" i="3"/>
  <c r="H136" i="3"/>
  <c r="P135" i="3"/>
  <c r="O135" i="3"/>
  <c r="Q135" i="3"/>
  <c r="N135" i="3"/>
  <c r="M135" i="3"/>
  <c r="L135" i="3"/>
  <c r="K135" i="3"/>
  <c r="J135" i="3"/>
  <c r="H135" i="3"/>
  <c r="P134" i="3"/>
  <c r="O134" i="3"/>
  <c r="Q134" i="3"/>
  <c r="N134" i="3"/>
  <c r="M134" i="3"/>
  <c r="L134" i="3"/>
  <c r="K134" i="3"/>
  <c r="J134" i="3"/>
  <c r="H134" i="3"/>
  <c r="P133" i="3"/>
  <c r="O133" i="3"/>
  <c r="Q133" i="3"/>
  <c r="N133" i="3"/>
  <c r="M133" i="3"/>
  <c r="L133" i="3"/>
  <c r="K133" i="3"/>
  <c r="J133" i="3"/>
  <c r="H133" i="3"/>
  <c r="P132" i="3"/>
  <c r="O132" i="3"/>
  <c r="Q132" i="3"/>
  <c r="N132" i="3"/>
  <c r="M132" i="3"/>
  <c r="L132" i="3"/>
  <c r="K132" i="3"/>
  <c r="J132" i="3"/>
  <c r="H132" i="3"/>
  <c r="P131" i="3"/>
  <c r="O131" i="3"/>
  <c r="Q131" i="3"/>
  <c r="N131" i="3"/>
  <c r="M131" i="3"/>
  <c r="L131" i="3"/>
  <c r="K131" i="3"/>
  <c r="J131" i="3"/>
  <c r="H131" i="3"/>
  <c r="P130" i="3"/>
  <c r="O130" i="3"/>
  <c r="Q130" i="3"/>
  <c r="N130" i="3"/>
  <c r="M130" i="3"/>
  <c r="L130" i="3"/>
  <c r="K130" i="3"/>
  <c r="J130" i="3"/>
  <c r="H130" i="3"/>
  <c r="P129" i="3"/>
  <c r="O129" i="3"/>
  <c r="Q129" i="3"/>
  <c r="N129" i="3"/>
  <c r="M129" i="3"/>
  <c r="L129" i="3"/>
  <c r="K129" i="3"/>
  <c r="J129" i="3"/>
  <c r="H129" i="3"/>
  <c r="P128" i="3"/>
  <c r="O128" i="3"/>
  <c r="Q128" i="3"/>
  <c r="N128" i="3"/>
  <c r="M128" i="3"/>
  <c r="L128" i="3"/>
  <c r="K128" i="3"/>
  <c r="J128" i="3"/>
  <c r="H128" i="3"/>
  <c r="P127" i="3"/>
  <c r="O127" i="3"/>
  <c r="Q127" i="3"/>
  <c r="N127" i="3"/>
  <c r="M127" i="3"/>
  <c r="L127" i="3"/>
  <c r="K127" i="3"/>
  <c r="J127" i="3"/>
  <c r="H127" i="3"/>
  <c r="P126" i="3"/>
  <c r="O126" i="3"/>
  <c r="Q126" i="3"/>
  <c r="N126" i="3"/>
  <c r="M126" i="3"/>
  <c r="L126" i="3"/>
  <c r="K126" i="3"/>
  <c r="J126" i="3"/>
  <c r="H126" i="3"/>
  <c r="P125" i="3"/>
  <c r="O125" i="3"/>
  <c r="Q125" i="3"/>
  <c r="N125" i="3"/>
  <c r="M125" i="3"/>
  <c r="L125" i="3"/>
  <c r="K125" i="3"/>
  <c r="J125" i="3"/>
  <c r="H125" i="3"/>
  <c r="P124" i="3"/>
  <c r="O124" i="3"/>
  <c r="Q124" i="3"/>
  <c r="N124" i="3"/>
  <c r="M124" i="3"/>
  <c r="L124" i="3"/>
  <c r="K124" i="3"/>
  <c r="J124" i="3"/>
  <c r="H124" i="3"/>
  <c r="P123" i="3"/>
  <c r="O123" i="3"/>
  <c r="Q123" i="3"/>
  <c r="N123" i="3"/>
  <c r="M123" i="3"/>
  <c r="L123" i="3"/>
  <c r="K123" i="3"/>
  <c r="J123" i="3"/>
  <c r="H123" i="3"/>
  <c r="P122" i="3"/>
  <c r="O122" i="3"/>
  <c r="Q122" i="3"/>
  <c r="N122" i="3"/>
  <c r="M122" i="3"/>
  <c r="L122" i="3"/>
  <c r="K122" i="3"/>
  <c r="J122" i="3"/>
  <c r="H122" i="3"/>
  <c r="P121" i="3"/>
  <c r="O121" i="3"/>
  <c r="Q121" i="3"/>
  <c r="N121" i="3"/>
  <c r="M121" i="3"/>
  <c r="L121" i="3"/>
  <c r="K121" i="3"/>
  <c r="J121" i="3"/>
  <c r="H121" i="3"/>
  <c r="P120" i="3"/>
  <c r="O120" i="3"/>
  <c r="Q120" i="3"/>
  <c r="N120" i="3"/>
  <c r="M120" i="3"/>
  <c r="L120" i="3"/>
  <c r="K120" i="3"/>
  <c r="J120" i="3"/>
  <c r="H120" i="3"/>
  <c r="P119" i="3"/>
  <c r="O119" i="3"/>
  <c r="Q119" i="3"/>
  <c r="N119" i="3"/>
  <c r="M119" i="3"/>
  <c r="L119" i="3"/>
  <c r="K119" i="3"/>
  <c r="J119" i="3"/>
  <c r="H119" i="3"/>
  <c r="P118" i="3"/>
  <c r="O118" i="3"/>
  <c r="Q118" i="3"/>
  <c r="N118" i="3"/>
  <c r="M118" i="3"/>
  <c r="L118" i="3"/>
  <c r="K118" i="3"/>
  <c r="J118" i="3"/>
  <c r="H118" i="3"/>
  <c r="P117" i="3"/>
  <c r="O117" i="3"/>
  <c r="Q117" i="3"/>
  <c r="N117" i="3"/>
  <c r="M117" i="3"/>
  <c r="L117" i="3"/>
  <c r="K117" i="3"/>
  <c r="J117" i="3"/>
  <c r="H117" i="3"/>
  <c r="P116" i="3"/>
  <c r="O116" i="3"/>
  <c r="Q116" i="3"/>
  <c r="N116" i="3"/>
  <c r="M116" i="3"/>
  <c r="L116" i="3"/>
  <c r="K116" i="3"/>
  <c r="J116" i="3"/>
  <c r="H116" i="3"/>
  <c r="P115" i="3"/>
  <c r="O115" i="3"/>
  <c r="Q115" i="3"/>
  <c r="N115" i="3"/>
  <c r="M115" i="3"/>
  <c r="L115" i="3"/>
  <c r="K115" i="3"/>
  <c r="J115" i="3"/>
  <c r="H115" i="3"/>
  <c r="P114" i="3"/>
  <c r="O114" i="3"/>
  <c r="Q114" i="3"/>
  <c r="N114" i="3"/>
  <c r="M114" i="3"/>
  <c r="L114" i="3"/>
  <c r="K114" i="3"/>
  <c r="J114" i="3"/>
  <c r="H114" i="3"/>
  <c r="P113" i="3"/>
  <c r="O113" i="3"/>
  <c r="Q113" i="3"/>
  <c r="N113" i="3"/>
  <c r="M113" i="3"/>
  <c r="L113" i="3"/>
  <c r="K113" i="3"/>
  <c r="J113" i="3"/>
  <c r="H113" i="3"/>
  <c r="P112" i="3"/>
  <c r="O112" i="3"/>
  <c r="Q112" i="3"/>
  <c r="N112" i="3"/>
  <c r="M112" i="3"/>
  <c r="L112" i="3"/>
  <c r="K112" i="3"/>
  <c r="J112" i="3"/>
  <c r="H112" i="3"/>
  <c r="P111" i="3"/>
  <c r="O111" i="3"/>
  <c r="Q111" i="3"/>
  <c r="N111" i="3"/>
  <c r="M111" i="3"/>
  <c r="L111" i="3"/>
  <c r="K111" i="3"/>
  <c r="J111" i="3"/>
  <c r="H111" i="3"/>
  <c r="P110" i="3"/>
  <c r="O110" i="3"/>
  <c r="Q110" i="3"/>
  <c r="N110" i="3"/>
  <c r="M110" i="3"/>
  <c r="L110" i="3"/>
  <c r="K110" i="3"/>
  <c r="J110" i="3"/>
  <c r="H110" i="3"/>
  <c r="P109" i="3"/>
  <c r="O109" i="3"/>
  <c r="Q109" i="3"/>
  <c r="N109" i="3"/>
  <c r="M109" i="3"/>
  <c r="L109" i="3"/>
  <c r="K109" i="3"/>
  <c r="J109" i="3"/>
  <c r="H109" i="3"/>
  <c r="P108" i="3"/>
  <c r="O108" i="3"/>
  <c r="Q108" i="3"/>
  <c r="N108" i="3"/>
  <c r="M108" i="3"/>
  <c r="L108" i="3"/>
  <c r="K108" i="3"/>
  <c r="J108" i="3"/>
  <c r="H108" i="3"/>
  <c r="P107" i="3"/>
  <c r="O107" i="3"/>
  <c r="Q107" i="3"/>
  <c r="N107" i="3"/>
  <c r="M107" i="3"/>
  <c r="L107" i="3"/>
  <c r="K107" i="3"/>
  <c r="J107" i="3"/>
  <c r="H107" i="3"/>
  <c r="P106" i="3"/>
  <c r="O106" i="3"/>
  <c r="Q106" i="3"/>
  <c r="N106" i="3"/>
  <c r="M106" i="3"/>
  <c r="L106" i="3"/>
  <c r="K106" i="3"/>
  <c r="J106" i="3"/>
  <c r="H106" i="3"/>
  <c r="P105" i="3"/>
  <c r="O105" i="3"/>
  <c r="Q105" i="3"/>
  <c r="N105" i="3"/>
  <c r="M105" i="3"/>
  <c r="L105" i="3"/>
  <c r="K105" i="3"/>
  <c r="J105" i="3"/>
  <c r="H105" i="3"/>
  <c r="P104" i="3"/>
  <c r="O104" i="3"/>
  <c r="Q104" i="3"/>
  <c r="N104" i="3"/>
  <c r="M104" i="3"/>
  <c r="L104" i="3"/>
  <c r="K104" i="3"/>
  <c r="J104" i="3"/>
  <c r="H104" i="3"/>
  <c r="P103" i="3"/>
  <c r="O103" i="3"/>
  <c r="Q103" i="3"/>
  <c r="N103" i="3"/>
  <c r="M103" i="3"/>
  <c r="L103" i="3"/>
  <c r="K103" i="3"/>
  <c r="J103" i="3"/>
  <c r="H103" i="3"/>
  <c r="P102" i="3"/>
  <c r="O102" i="3"/>
  <c r="Q102" i="3"/>
  <c r="N102" i="3"/>
  <c r="M102" i="3"/>
  <c r="L102" i="3"/>
  <c r="K102" i="3"/>
  <c r="J102" i="3"/>
  <c r="H102" i="3"/>
  <c r="P101" i="3"/>
  <c r="O101" i="3"/>
  <c r="Q101" i="3"/>
  <c r="N101" i="3"/>
  <c r="M101" i="3"/>
  <c r="L101" i="3"/>
  <c r="K101" i="3"/>
  <c r="J101" i="3"/>
  <c r="H101" i="3"/>
  <c r="P100" i="3"/>
  <c r="O100" i="3"/>
  <c r="Q100" i="3"/>
  <c r="N100" i="3"/>
  <c r="M100" i="3"/>
  <c r="L100" i="3"/>
  <c r="K100" i="3"/>
  <c r="J100" i="3"/>
  <c r="H100" i="3"/>
  <c r="P99" i="3"/>
  <c r="O99" i="3"/>
  <c r="Q99" i="3"/>
  <c r="N99" i="3"/>
  <c r="M99" i="3"/>
  <c r="L99" i="3"/>
  <c r="K99" i="3"/>
  <c r="J99" i="3"/>
  <c r="H99" i="3"/>
  <c r="P98" i="3"/>
  <c r="O98" i="3"/>
  <c r="Q98" i="3"/>
  <c r="N98" i="3"/>
  <c r="M98" i="3"/>
  <c r="L98" i="3"/>
  <c r="K98" i="3"/>
  <c r="J98" i="3"/>
  <c r="H98" i="3"/>
  <c r="P97" i="3"/>
  <c r="O97" i="3"/>
  <c r="Q97" i="3"/>
  <c r="N97" i="3"/>
  <c r="M97" i="3"/>
  <c r="L97" i="3"/>
  <c r="K97" i="3"/>
  <c r="J97" i="3"/>
  <c r="H97" i="3"/>
  <c r="P96" i="3"/>
  <c r="O96" i="3"/>
  <c r="Q96" i="3"/>
  <c r="N96" i="3"/>
  <c r="M96" i="3"/>
  <c r="L96" i="3"/>
  <c r="K96" i="3"/>
  <c r="J96" i="3"/>
  <c r="H96" i="3"/>
  <c r="P95" i="3"/>
  <c r="O95" i="3"/>
  <c r="Q95" i="3"/>
  <c r="N95" i="3"/>
  <c r="M95" i="3"/>
  <c r="L95" i="3"/>
  <c r="K95" i="3"/>
  <c r="J95" i="3"/>
  <c r="H95" i="3"/>
  <c r="P94" i="3"/>
  <c r="O94" i="3"/>
  <c r="Q94" i="3"/>
  <c r="N94" i="3"/>
  <c r="M94" i="3"/>
  <c r="L94" i="3"/>
  <c r="K94" i="3"/>
  <c r="J94" i="3"/>
  <c r="H94" i="3"/>
  <c r="P93" i="3"/>
  <c r="O93" i="3"/>
  <c r="Q93" i="3"/>
  <c r="N93" i="3"/>
  <c r="M93" i="3"/>
  <c r="L93" i="3"/>
  <c r="K93" i="3"/>
  <c r="J93" i="3"/>
  <c r="H93" i="3"/>
  <c r="P92" i="3"/>
  <c r="O92" i="3"/>
  <c r="Q92" i="3"/>
  <c r="N92" i="3"/>
  <c r="M92" i="3"/>
  <c r="L92" i="3"/>
  <c r="K92" i="3"/>
  <c r="J92" i="3"/>
  <c r="H92" i="3"/>
  <c r="P91" i="3"/>
  <c r="O91" i="3"/>
  <c r="Q91" i="3"/>
  <c r="N91" i="3"/>
  <c r="M91" i="3"/>
  <c r="L91" i="3"/>
  <c r="K91" i="3"/>
  <c r="J91" i="3"/>
  <c r="H91" i="3"/>
  <c r="P90" i="3"/>
  <c r="O90" i="3"/>
  <c r="Q90" i="3"/>
  <c r="N90" i="3"/>
  <c r="M90" i="3"/>
  <c r="L90" i="3"/>
  <c r="K90" i="3"/>
  <c r="J90" i="3"/>
  <c r="H90" i="3"/>
  <c r="P89" i="3"/>
  <c r="O89" i="3"/>
  <c r="Q89" i="3"/>
  <c r="N89" i="3"/>
  <c r="M89" i="3"/>
  <c r="L89" i="3"/>
  <c r="K89" i="3"/>
  <c r="J89" i="3"/>
  <c r="H89" i="3"/>
  <c r="P88" i="3"/>
  <c r="O88" i="3"/>
  <c r="Q88" i="3"/>
  <c r="N88" i="3"/>
  <c r="M88" i="3"/>
  <c r="L88" i="3"/>
  <c r="K88" i="3"/>
  <c r="J88" i="3"/>
  <c r="H88" i="3"/>
  <c r="P87" i="3"/>
  <c r="O87" i="3"/>
  <c r="Q87" i="3"/>
  <c r="N87" i="3"/>
  <c r="M87" i="3"/>
  <c r="L87" i="3"/>
  <c r="K87" i="3"/>
  <c r="J87" i="3"/>
  <c r="H87" i="3"/>
  <c r="P86" i="3"/>
  <c r="O86" i="3"/>
  <c r="Q86" i="3"/>
  <c r="N86" i="3"/>
  <c r="M86" i="3"/>
  <c r="L86" i="3"/>
  <c r="K86" i="3"/>
  <c r="J86" i="3"/>
  <c r="H86" i="3"/>
  <c r="P85" i="3"/>
  <c r="O85" i="3"/>
  <c r="Q85" i="3"/>
  <c r="N85" i="3"/>
  <c r="M85" i="3"/>
  <c r="L85" i="3"/>
  <c r="K85" i="3"/>
  <c r="J85" i="3"/>
  <c r="H85" i="3"/>
  <c r="P84" i="3"/>
  <c r="O84" i="3"/>
  <c r="Q84" i="3"/>
  <c r="N84" i="3"/>
  <c r="M84" i="3"/>
  <c r="L84" i="3"/>
  <c r="K84" i="3"/>
  <c r="J84" i="3"/>
  <c r="H84" i="3"/>
  <c r="P83" i="3"/>
  <c r="O83" i="3"/>
  <c r="Q83" i="3"/>
  <c r="N83" i="3"/>
  <c r="M83" i="3"/>
  <c r="L83" i="3"/>
  <c r="K83" i="3"/>
  <c r="J83" i="3"/>
  <c r="H83" i="3"/>
  <c r="P82" i="3"/>
  <c r="O82" i="3"/>
  <c r="Q82" i="3"/>
  <c r="N82" i="3"/>
  <c r="M82" i="3"/>
  <c r="L82" i="3"/>
  <c r="K82" i="3"/>
  <c r="J82" i="3"/>
  <c r="H82" i="3"/>
  <c r="P81" i="3"/>
  <c r="O81" i="3"/>
  <c r="Q81" i="3"/>
  <c r="N81" i="3"/>
  <c r="M81" i="3"/>
  <c r="L81" i="3"/>
  <c r="K81" i="3"/>
  <c r="J81" i="3"/>
  <c r="H81" i="3"/>
  <c r="P80" i="3"/>
  <c r="O80" i="3"/>
  <c r="Q80" i="3"/>
  <c r="N80" i="3"/>
  <c r="M80" i="3"/>
  <c r="L80" i="3"/>
  <c r="K80" i="3"/>
  <c r="J80" i="3"/>
  <c r="H80" i="3"/>
  <c r="P79" i="3"/>
  <c r="O79" i="3"/>
  <c r="Q79" i="3"/>
  <c r="N79" i="3"/>
  <c r="M79" i="3"/>
  <c r="L79" i="3"/>
  <c r="K79" i="3"/>
  <c r="J79" i="3"/>
  <c r="H79" i="3"/>
  <c r="P78" i="3"/>
  <c r="O78" i="3"/>
  <c r="Q78" i="3"/>
  <c r="N78" i="3"/>
  <c r="M78" i="3"/>
  <c r="L78" i="3"/>
  <c r="K78" i="3"/>
  <c r="J78" i="3"/>
  <c r="H78" i="3"/>
  <c r="P77" i="3"/>
  <c r="O77" i="3"/>
  <c r="Q77" i="3"/>
  <c r="N77" i="3"/>
  <c r="M77" i="3"/>
  <c r="L77" i="3"/>
  <c r="K77" i="3"/>
  <c r="J77" i="3"/>
  <c r="H77" i="3"/>
  <c r="P76" i="3"/>
  <c r="O76" i="3"/>
  <c r="Q76" i="3"/>
  <c r="N76" i="3"/>
  <c r="M76" i="3"/>
  <c r="L76" i="3"/>
  <c r="K76" i="3"/>
  <c r="J76" i="3"/>
  <c r="H76" i="3"/>
  <c r="P75" i="3"/>
  <c r="O75" i="3"/>
  <c r="Q75" i="3"/>
  <c r="N75" i="3"/>
  <c r="M75" i="3"/>
  <c r="L75" i="3"/>
  <c r="K75" i="3"/>
  <c r="J75" i="3"/>
  <c r="H75" i="3"/>
  <c r="P74" i="3"/>
  <c r="O74" i="3"/>
  <c r="Q74" i="3"/>
  <c r="N74" i="3"/>
  <c r="M74" i="3"/>
  <c r="L74" i="3"/>
  <c r="K74" i="3"/>
  <c r="J74" i="3"/>
  <c r="H74" i="3"/>
  <c r="P73" i="3"/>
  <c r="O73" i="3"/>
  <c r="Q73" i="3"/>
  <c r="N73" i="3"/>
  <c r="M73" i="3"/>
  <c r="L73" i="3"/>
  <c r="K73" i="3"/>
  <c r="J73" i="3"/>
  <c r="H73" i="3"/>
  <c r="P72" i="3"/>
  <c r="O72" i="3"/>
  <c r="Q72" i="3"/>
  <c r="N72" i="3"/>
  <c r="M72" i="3"/>
  <c r="L72" i="3"/>
  <c r="K72" i="3"/>
  <c r="J72" i="3"/>
  <c r="H72" i="3"/>
  <c r="P71" i="3"/>
  <c r="O71" i="3"/>
  <c r="Q71" i="3"/>
  <c r="N71" i="3"/>
  <c r="M71" i="3"/>
  <c r="L71" i="3"/>
  <c r="K71" i="3"/>
  <c r="J71" i="3"/>
  <c r="H71" i="3"/>
  <c r="P70" i="3"/>
  <c r="O70" i="3"/>
  <c r="Q70" i="3"/>
  <c r="N70" i="3"/>
  <c r="M70" i="3"/>
  <c r="L70" i="3"/>
  <c r="K70" i="3"/>
  <c r="J70" i="3"/>
  <c r="H70" i="3"/>
  <c r="P69" i="3"/>
  <c r="O69" i="3"/>
  <c r="Q69" i="3"/>
  <c r="N69" i="3"/>
  <c r="M69" i="3"/>
  <c r="L69" i="3"/>
  <c r="K69" i="3"/>
  <c r="J69" i="3"/>
  <c r="H69" i="3"/>
  <c r="P68" i="3"/>
  <c r="O68" i="3"/>
  <c r="Q68" i="3"/>
  <c r="N68" i="3"/>
  <c r="M68" i="3"/>
  <c r="L68" i="3"/>
  <c r="K68" i="3"/>
  <c r="J68" i="3"/>
  <c r="H68" i="3"/>
  <c r="P67" i="3"/>
  <c r="O67" i="3"/>
  <c r="Q67" i="3"/>
  <c r="N67" i="3"/>
  <c r="M67" i="3"/>
  <c r="L67" i="3"/>
  <c r="K67" i="3"/>
  <c r="J67" i="3"/>
  <c r="H67" i="3"/>
  <c r="P66" i="3"/>
  <c r="O66" i="3"/>
  <c r="Q66" i="3"/>
  <c r="N66" i="3"/>
  <c r="M66" i="3"/>
  <c r="L66" i="3"/>
  <c r="K66" i="3"/>
  <c r="J66" i="3"/>
  <c r="H66" i="3"/>
  <c r="P65" i="3"/>
  <c r="O65" i="3"/>
  <c r="Q65" i="3"/>
  <c r="N65" i="3"/>
  <c r="M65" i="3"/>
  <c r="L65" i="3"/>
  <c r="K65" i="3"/>
  <c r="J65" i="3"/>
  <c r="H65" i="3"/>
  <c r="P64" i="3"/>
  <c r="O64" i="3"/>
  <c r="Q64" i="3"/>
  <c r="N64" i="3"/>
  <c r="M64" i="3"/>
  <c r="L64" i="3"/>
  <c r="K64" i="3"/>
  <c r="J64" i="3"/>
  <c r="H64" i="3"/>
  <c r="P63" i="3"/>
  <c r="O63" i="3"/>
  <c r="Q63" i="3"/>
  <c r="N63" i="3"/>
  <c r="M63" i="3"/>
  <c r="L63" i="3"/>
  <c r="K63" i="3"/>
  <c r="J63" i="3"/>
  <c r="H63" i="3"/>
  <c r="P62" i="3"/>
  <c r="O62" i="3"/>
  <c r="Q62" i="3"/>
  <c r="N62" i="3"/>
  <c r="M62" i="3"/>
  <c r="L62" i="3"/>
  <c r="K62" i="3"/>
  <c r="J62" i="3"/>
  <c r="H62" i="3"/>
  <c r="P61" i="3"/>
  <c r="O61" i="3"/>
  <c r="Q61" i="3"/>
  <c r="N61" i="3"/>
  <c r="M61" i="3"/>
  <c r="L61" i="3"/>
  <c r="K61" i="3"/>
  <c r="J61" i="3"/>
  <c r="H61" i="3"/>
  <c r="P60" i="3"/>
  <c r="O60" i="3"/>
  <c r="Q60" i="3"/>
  <c r="N60" i="3"/>
  <c r="M60" i="3"/>
  <c r="L60" i="3"/>
  <c r="K60" i="3"/>
  <c r="J60" i="3"/>
  <c r="H60" i="3"/>
  <c r="P59" i="3"/>
  <c r="O59" i="3"/>
  <c r="Q59" i="3"/>
  <c r="N59" i="3"/>
  <c r="M59" i="3"/>
  <c r="L59" i="3"/>
  <c r="K59" i="3"/>
  <c r="J59" i="3"/>
  <c r="H59" i="3"/>
  <c r="P58" i="3"/>
  <c r="O58" i="3"/>
  <c r="Q58" i="3"/>
  <c r="N58" i="3"/>
  <c r="M58" i="3"/>
  <c r="L58" i="3"/>
  <c r="K58" i="3"/>
  <c r="J58" i="3"/>
  <c r="H58" i="3"/>
  <c r="P57" i="3"/>
  <c r="O57" i="3"/>
  <c r="Q57" i="3"/>
  <c r="N57" i="3"/>
  <c r="M57" i="3"/>
  <c r="L57" i="3"/>
  <c r="K57" i="3"/>
  <c r="J57" i="3"/>
  <c r="H57" i="3"/>
  <c r="P56" i="3"/>
  <c r="O56" i="3"/>
  <c r="Q56" i="3"/>
  <c r="N56" i="3"/>
  <c r="M56" i="3"/>
  <c r="L56" i="3"/>
  <c r="K56" i="3"/>
  <c r="J56" i="3"/>
  <c r="H56" i="3"/>
  <c r="P55" i="3"/>
  <c r="O55" i="3"/>
  <c r="Q55" i="3"/>
  <c r="N55" i="3"/>
  <c r="M55" i="3"/>
  <c r="L55" i="3"/>
  <c r="K55" i="3"/>
  <c r="J55" i="3"/>
  <c r="H55" i="3"/>
  <c r="P54" i="3"/>
  <c r="O54" i="3"/>
  <c r="Q54" i="3"/>
  <c r="N54" i="3"/>
  <c r="M54" i="3"/>
  <c r="L54" i="3"/>
  <c r="K54" i="3"/>
  <c r="J54" i="3"/>
  <c r="H54" i="3"/>
  <c r="P53" i="3"/>
  <c r="O53" i="3"/>
  <c r="Q53" i="3"/>
  <c r="N53" i="3"/>
  <c r="M53" i="3"/>
  <c r="L53" i="3"/>
  <c r="K53" i="3"/>
  <c r="J53" i="3"/>
  <c r="H53" i="3"/>
  <c r="P52" i="3"/>
  <c r="O52" i="3"/>
  <c r="Q52" i="3"/>
  <c r="N52" i="3"/>
  <c r="M52" i="3"/>
  <c r="L52" i="3"/>
  <c r="K52" i="3"/>
  <c r="J52" i="3"/>
  <c r="H52" i="3"/>
  <c r="P51" i="3"/>
  <c r="O51" i="3"/>
  <c r="Q51" i="3"/>
  <c r="N51" i="3"/>
  <c r="M51" i="3"/>
  <c r="L51" i="3"/>
  <c r="K51" i="3"/>
  <c r="J51" i="3"/>
  <c r="H51" i="3"/>
  <c r="P50" i="3"/>
  <c r="O50" i="3"/>
  <c r="Q50" i="3"/>
  <c r="N50" i="3"/>
  <c r="M50" i="3"/>
  <c r="L50" i="3"/>
  <c r="K50" i="3"/>
  <c r="J50" i="3"/>
  <c r="H50" i="3"/>
  <c r="P49" i="3"/>
  <c r="O49" i="3"/>
  <c r="Q49" i="3"/>
  <c r="N49" i="3"/>
  <c r="M49" i="3"/>
  <c r="L49" i="3"/>
  <c r="K49" i="3"/>
  <c r="J49" i="3"/>
  <c r="H49" i="3"/>
  <c r="P48" i="3"/>
  <c r="O48" i="3"/>
  <c r="Q48" i="3"/>
  <c r="N48" i="3"/>
  <c r="M48" i="3"/>
  <c r="L48" i="3"/>
  <c r="K48" i="3"/>
  <c r="J48" i="3"/>
  <c r="H48" i="3"/>
  <c r="P47" i="3"/>
  <c r="O47" i="3"/>
  <c r="Q47" i="3"/>
  <c r="N47" i="3"/>
  <c r="M47" i="3"/>
  <c r="L47" i="3"/>
  <c r="K47" i="3"/>
  <c r="J47" i="3"/>
  <c r="H47" i="3"/>
  <c r="P46" i="3"/>
  <c r="O46" i="3"/>
  <c r="Q46" i="3"/>
  <c r="N46" i="3"/>
  <c r="M46" i="3"/>
  <c r="L46" i="3"/>
  <c r="K46" i="3"/>
  <c r="J46" i="3"/>
  <c r="H46" i="3"/>
  <c r="P45" i="3"/>
  <c r="O45" i="3"/>
  <c r="Q45" i="3"/>
  <c r="N45" i="3"/>
  <c r="M45" i="3"/>
  <c r="L45" i="3"/>
  <c r="K45" i="3"/>
  <c r="J45" i="3"/>
  <c r="H45" i="3"/>
  <c r="P44" i="3"/>
  <c r="O44" i="3"/>
  <c r="Q44" i="3"/>
  <c r="N44" i="3"/>
  <c r="M44" i="3"/>
  <c r="L44" i="3"/>
  <c r="K44" i="3"/>
  <c r="J44" i="3"/>
  <c r="H44" i="3"/>
  <c r="P43" i="3"/>
  <c r="O43" i="3"/>
  <c r="Q43" i="3"/>
  <c r="N43" i="3"/>
  <c r="M43" i="3"/>
  <c r="L43" i="3"/>
  <c r="K43" i="3"/>
  <c r="J43" i="3"/>
  <c r="H43" i="3"/>
  <c r="P42" i="3"/>
  <c r="O42" i="3"/>
  <c r="Q42" i="3"/>
  <c r="N42" i="3"/>
  <c r="M42" i="3"/>
  <c r="L42" i="3"/>
  <c r="K42" i="3"/>
  <c r="J42" i="3"/>
  <c r="H42" i="3"/>
  <c r="P41" i="3"/>
  <c r="O41" i="3"/>
  <c r="Q41" i="3"/>
  <c r="N41" i="3"/>
  <c r="M41" i="3"/>
  <c r="L41" i="3"/>
  <c r="K41" i="3"/>
  <c r="J41" i="3"/>
  <c r="H41" i="3"/>
  <c r="P40" i="3"/>
  <c r="O40" i="3"/>
  <c r="Q40" i="3"/>
  <c r="N40" i="3"/>
  <c r="M40" i="3"/>
  <c r="L40" i="3"/>
  <c r="K40" i="3"/>
  <c r="J40" i="3"/>
  <c r="H40" i="3"/>
  <c r="P39" i="3"/>
  <c r="O39" i="3"/>
  <c r="Q39" i="3"/>
  <c r="N39" i="3"/>
  <c r="M39" i="3"/>
  <c r="L39" i="3"/>
  <c r="K39" i="3"/>
  <c r="J39" i="3"/>
  <c r="H39" i="3"/>
  <c r="P38" i="3"/>
  <c r="O38" i="3"/>
  <c r="Q38" i="3"/>
  <c r="N38" i="3"/>
  <c r="M38" i="3"/>
  <c r="L38" i="3"/>
  <c r="K38" i="3"/>
  <c r="J38" i="3"/>
  <c r="H38" i="3"/>
  <c r="P37" i="3"/>
  <c r="O37" i="3"/>
  <c r="Q37" i="3"/>
  <c r="N37" i="3"/>
  <c r="M37" i="3"/>
  <c r="L37" i="3"/>
  <c r="K37" i="3"/>
  <c r="J37" i="3"/>
  <c r="H37" i="3"/>
  <c r="P36" i="3"/>
  <c r="O36" i="3"/>
  <c r="Q36" i="3"/>
  <c r="N36" i="3"/>
  <c r="M36" i="3"/>
  <c r="L36" i="3"/>
  <c r="K36" i="3"/>
  <c r="J36" i="3"/>
  <c r="H36" i="3"/>
  <c r="P35" i="3"/>
  <c r="O35" i="3"/>
  <c r="Q35" i="3"/>
  <c r="N35" i="3"/>
  <c r="M35" i="3"/>
  <c r="L35" i="3"/>
  <c r="K35" i="3"/>
  <c r="J35" i="3"/>
  <c r="H35" i="3"/>
  <c r="P34" i="3"/>
  <c r="O34" i="3"/>
  <c r="Q34" i="3"/>
  <c r="N34" i="3"/>
  <c r="M34" i="3"/>
  <c r="L34" i="3"/>
  <c r="K34" i="3"/>
  <c r="J34" i="3"/>
  <c r="H34" i="3"/>
  <c r="P33" i="3"/>
  <c r="O33" i="3"/>
  <c r="Q33" i="3"/>
  <c r="N33" i="3"/>
  <c r="M33" i="3"/>
  <c r="L33" i="3"/>
  <c r="K33" i="3"/>
  <c r="J33" i="3"/>
  <c r="H33" i="3"/>
  <c r="P32" i="3"/>
  <c r="O32" i="3"/>
  <c r="Q32" i="3"/>
  <c r="N32" i="3"/>
  <c r="M32" i="3"/>
  <c r="L32" i="3"/>
  <c r="K32" i="3"/>
  <c r="J32" i="3"/>
  <c r="H32" i="3"/>
  <c r="P31" i="3"/>
  <c r="O31" i="3"/>
  <c r="Q31" i="3"/>
  <c r="N31" i="3"/>
  <c r="M31" i="3"/>
  <c r="L31" i="3"/>
  <c r="K31" i="3"/>
  <c r="J31" i="3"/>
  <c r="H31" i="3"/>
  <c r="P30" i="3"/>
  <c r="O30" i="3"/>
  <c r="Q30" i="3"/>
  <c r="N30" i="3"/>
  <c r="M30" i="3"/>
  <c r="L30" i="3"/>
  <c r="K30" i="3"/>
  <c r="J30" i="3"/>
  <c r="H30" i="3"/>
  <c r="P29" i="3"/>
  <c r="O29" i="3"/>
  <c r="Q29" i="3"/>
  <c r="N29" i="3"/>
  <c r="M29" i="3"/>
  <c r="L29" i="3"/>
  <c r="K29" i="3"/>
  <c r="J29" i="3"/>
  <c r="H29" i="3"/>
  <c r="P28" i="3"/>
  <c r="O28" i="3"/>
  <c r="Q28" i="3"/>
  <c r="N28" i="3"/>
  <c r="M28" i="3"/>
  <c r="L28" i="3"/>
  <c r="K28" i="3"/>
  <c r="J28" i="3"/>
  <c r="H28" i="3"/>
  <c r="P27" i="3"/>
  <c r="O27" i="3"/>
  <c r="Q27" i="3"/>
  <c r="N27" i="3"/>
  <c r="M27" i="3"/>
  <c r="L27" i="3"/>
  <c r="K27" i="3"/>
  <c r="J27" i="3"/>
  <c r="H27" i="3"/>
  <c r="P26" i="3"/>
  <c r="O26" i="3"/>
  <c r="Q26" i="3"/>
  <c r="N26" i="3"/>
  <c r="M26" i="3"/>
  <c r="L26" i="3"/>
  <c r="K26" i="3"/>
  <c r="J26" i="3"/>
  <c r="H26" i="3"/>
  <c r="P25" i="3"/>
  <c r="O25" i="3"/>
  <c r="Q25" i="3"/>
  <c r="N25" i="3"/>
  <c r="M25" i="3"/>
  <c r="L25" i="3"/>
  <c r="K25" i="3"/>
  <c r="J25" i="3"/>
  <c r="H25" i="3"/>
  <c r="P24" i="3"/>
  <c r="O24" i="3"/>
  <c r="Q24" i="3"/>
  <c r="N24" i="3"/>
  <c r="M24" i="3"/>
  <c r="L24" i="3"/>
  <c r="K24" i="3"/>
  <c r="J24" i="3"/>
  <c r="H24" i="3"/>
  <c r="P23" i="3"/>
  <c r="O23" i="3"/>
  <c r="Q23" i="3"/>
  <c r="N23" i="3"/>
  <c r="M23" i="3"/>
  <c r="L23" i="3"/>
  <c r="K23" i="3"/>
  <c r="J23" i="3"/>
  <c r="H23" i="3"/>
  <c r="P22" i="3"/>
  <c r="O22" i="3"/>
  <c r="Q22" i="3"/>
  <c r="N22" i="3"/>
  <c r="M22" i="3"/>
  <c r="L22" i="3"/>
  <c r="K22" i="3"/>
  <c r="J22" i="3"/>
  <c r="H22" i="3"/>
  <c r="P21" i="3"/>
  <c r="O21" i="3"/>
  <c r="Q21" i="3"/>
  <c r="N21" i="3"/>
  <c r="M21" i="3"/>
  <c r="L21" i="3"/>
  <c r="K21" i="3"/>
  <c r="J21" i="3"/>
  <c r="H21" i="3"/>
  <c r="P20" i="3"/>
  <c r="O20" i="3"/>
  <c r="Q20" i="3"/>
  <c r="N20" i="3"/>
  <c r="M20" i="3"/>
  <c r="L20" i="3"/>
  <c r="K20" i="3"/>
  <c r="J20" i="3"/>
  <c r="H20" i="3"/>
  <c r="P19" i="3"/>
  <c r="O19" i="3"/>
  <c r="Q19" i="3"/>
  <c r="N19" i="3"/>
  <c r="M19" i="3"/>
  <c r="L19" i="3"/>
  <c r="K19" i="3"/>
  <c r="J19" i="3"/>
  <c r="H19" i="3"/>
  <c r="P18" i="3"/>
  <c r="O18" i="3"/>
  <c r="Q18" i="3"/>
  <c r="N18" i="3"/>
  <c r="M18" i="3"/>
  <c r="L18" i="3"/>
  <c r="K18" i="3"/>
  <c r="J18" i="3"/>
  <c r="H18" i="3"/>
  <c r="P17" i="3"/>
  <c r="O17" i="3"/>
  <c r="Q17" i="3"/>
  <c r="N17" i="3"/>
  <c r="M17" i="3"/>
  <c r="L17" i="3"/>
  <c r="K17" i="3"/>
  <c r="J17" i="3"/>
  <c r="H17" i="3"/>
  <c r="P16" i="3"/>
  <c r="O16" i="3"/>
  <c r="Q16" i="3"/>
  <c r="N16" i="3"/>
  <c r="M16" i="3"/>
  <c r="L16" i="3"/>
  <c r="K16" i="3"/>
  <c r="J16" i="3"/>
  <c r="H16" i="3"/>
  <c r="P15" i="3"/>
  <c r="O15" i="3"/>
  <c r="Q15" i="3"/>
  <c r="N15" i="3"/>
  <c r="M15" i="3"/>
  <c r="L15" i="3"/>
  <c r="K15" i="3"/>
  <c r="J15" i="3"/>
  <c r="H15" i="3"/>
  <c r="P14" i="3"/>
  <c r="O14" i="3"/>
  <c r="Q14" i="3"/>
  <c r="N14" i="3"/>
  <c r="M14" i="3"/>
  <c r="L14" i="3"/>
  <c r="K14" i="3"/>
  <c r="J14" i="3"/>
  <c r="H14" i="3"/>
  <c r="P13" i="3"/>
  <c r="O13" i="3"/>
  <c r="Q13" i="3"/>
  <c r="N13" i="3"/>
  <c r="M13" i="3"/>
  <c r="L13" i="3"/>
  <c r="K13" i="3"/>
  <c r="J13" i="3"/>
  <c r="H13" i="3"/>
  <c r="P12" i="3"/>
  <c r="O12" i="3"/>
  <c r="Q12" i="3"/>
  <c r="N12" i="3"/>
  <c r="M12" i="3"/>
  <c r="L12" i="3"/>
  <c r="K12" i="3"/>
  <c r="J12" i="3"/>
  <c r="H12" i="3"/>
  <c r="P11" i="3"/>
  <c r="O11" i="3"/>
  <c r="Q11" i="3"/>
  <c r="N11" i="3"/>
  <c r="M11" i="3"/>
  <c r="L11" i="3"/>
  <c r="K11" i="3"/>
  <c r="J11" i="3"/>
  <c r="H11" i="3"/>
  <c r="P10" i="3"/>
  <c r="O10" i="3"/>
  <c r="Q10" i="3"/>
  <c r="N10" i="3"/>
  <c r="M10" i="3"/>
  <c r="L10" i="3"/>
  <c r="K10" i="3"/>
  <c r="J10" i="3"/>
  <c r="H10" i="3"/>
  <c r="P9" i="3"/>
  <c r="O9" i="3"/>
  <c r="Q9" i="3"/>
  <c r="N9" i="3"/>
  <c r="M9" i="3"/>
  <c r="L9" i="3"/>
  <c r="K9" i="3"/>
  <c r="J9" i="3"/>
  <c r="H9" i="3"/>
  <c r="P8" i="3"/>
  <c r="O8" i="3"/>
  <c r="Q8" i="3"/>
  <c r="N8" i="3"/>
  <c r="M8" i="3"/>
  <c r="L8" i="3"/>
  <c r="K8" i="3"/>
  <c r="J8" i="3"/>
  <c r="H8" i="3"/>
  <c r="P7" i="3"/>
  <c r="O7" i="3"/>
  <c r="Q7" i="3"/>
  <c r="N7" i="3"/>
  <c r="M7" i="3"/>
  <c r="L7" i="3"/>
  <c r="K7" i="3"/>
  <c r="J7" i="3"/>
  <c r="H7" i="3"/>
  <c r="P6" i="3"/>
  <c r="O6" i="3"/>
  <c r="Q6" i="3"/>
  <c r="N6" i="3"/>
  <c r="M6" i="3"/>
  <c r="L6" i="3"/>
  <c r="K6" i="3"/>
  <c r="J6" i="3"/>
  <c r="H6" i="3"/>
  <c r="P5" i="3"/>
  <c r="O5" i="3"/>
  <c r="Q5" i="3"/>
  <c r="N5" i="3"/>
  <c r="M5" i="3"/>
  <c r="L5" i="3"/>
  <c r="K5" i="3"/>
  <c r="J5" i="3"/>
  <c r="H5" i="3"/>
  <c r="P4" i="3"/>
  <c r="O4" i="3"/>
  <c r="Q4" i="3"/>
  <c r="N4" i="3"/>
  <c r="M4" i="3"/>
  <c r="L4" i="3"/>
  <c r="K4" i="3"/>
  <c r="J4" i="3"/>
  <c r="H4" i="3"/>
  <c r="P3" i="3"/>
  <c r="O3" i="3"/>
  <c r="Q3" i="3"/>
  <c r="N3" i="3"/>
  <c r="M3" i="3"/>
  <c r="L3" i="3"/>
  <c r="K3" i="3"/>
  <c r="J3" i="3"/>
  <c r="H3" i="3"/>
  <c r="P2" i="3"/>
  <c r="O2" i="3"/>
  <c r="Q2" i="3"/>
  <c r="N2" i="3"/>
  <c r="M2" i="3"/>
  <c r="L2" i="3"/>
  <c r="K2" i="3"/>
  <c r="J2" i="3"/>
  <c r="H2" i="3"/>
  <c r="Z3000" i="2"/>
  <c r="Y3000" i="2"/>
  <c r="X3000" i="2"/>
  <c r="W3000" i="2"/>
  <c r="Z2999" i="2"/>
  <c r="Y2999" i="2"/>
  <c r="X2999" i="2"/>
  <c r="W2999" i="2"/>
  <c r="Z2998" i="2"/>
  <c r="Y2998" i="2"/>
  <c r="X2998" i="2"/>
  <c r="W2998" i="2"/>
  <c r="Z2997" i="2"/>
  <c r="Y2997" i="2"/>
  <c r="X2997" i="2"/>
  <c r="W2997" i="2"/>
  <c r="Z2996" i="2"/>
  <c r="Y2996" i="2"/>
  <c r="X2996" i="2"/>
  <c r="W2996" i="2"/>
  <c r="Z2995" i="2"/>
  <c r="Y2995" i="2"/>
  <c r="X2995" i="2"/>
  <c r="W2995" i="2"/>
  <c r="Z2994" i="2"/>
  <c r="Y2994" i="2"/>
  <c r="X2994" i="2"/>
  <c r="W2994" i="2"/>
  <c r="Z2993" i="2"/>
  <c r="Y2993" i="2"/>
  <c r="X2993" i="2"/>
  <c r="W2993" i="2"/>
  <c r="Z2992" i="2"/>
  <c r="Y2992" i="2"/>
  <c r="X2992" i="2"/>
  <c r="W2992" i="2"/>
  <c r="Z2991" i="2"/>
  <c r="Y2991" i="2"/>
  <c r="X2991" i="2"/>
  <c r="W2991" i="2"/>
  <c r="Z2990" i="2"/>
  <c r="Y2990" i="2"/>
  <c r="X2990" i="2"/>
  <c r="W2990" i="2"/>
  <c r="Z2989" i="2"/>
  <c r="Y2989" i="2"/>
  <c r="X2989" i="2"/>
  <c r="W2989" i="2"/>
  <c r="Z2988" i="2"/>
  <c r="Y2988" i="2"/>
  <c r="X2988" i="2"/>
  <c r="W2988" i="2"/>
  <c r="Z2987" i="2"/>
  <c r="Y2987" i="2"/>
  <c r="X2987" i="2"/>
  <c r="W2987" i="2"/>
  <c r="Z2986" i="2"/>
  <c r="Y2986" i="2"/>
  <c r="X2986" i="2"/>
  <c r="W2986" i="2"/>
  <c r="Z2985" i="2"/>
  <c r="Y2985" i="2"/>
  <c r="X2985" i="2"/>
  <c r="W2985" i="2"/>
  <c r="Z2984" i="2"/>
  <c r="Y2984" i="2"/>
  <c r="X2984" i="2"/>
  <c r="W2984" i="2"/>
  <c r="Z2983" i="2"/>
  <c r="Y2983" i="2"/>
  <c r="X2983" i="2"/>
  <c r="W2983" i="2"/>
  <c r="Z2982" i="2"/>
  <c r="Y2982" i="2"/>
  <c r="X2982" i="2"/>
  <c r="W2982" i="2"/>
  <c r="Z2981" i="2"/>
  <c r="Y2981" i="2"/>
  <c r="X2981" i="2"/>
  <c r="W2981" i="2"/>
  <c r="Z2980" i="2"/>
  <c r="Y2980" i="2"/>
  <c r="X2980" i="2"/>
  <c r="W2980" i="2"/>
  <c r="Z2979" i="2"/>
  <c r="Y2979" i="2"/>
  <c r="X2979" i="2"/>
  <c r="W2979" i="2"/>
  <c r="Z2978" i="2"/>
  <c r="Y2978" i="2"/>
  <c r="X2978" i="2"/>
  <c r="W2978" i="2"/>
  <c r="Z2977" i="2"/>
  <c r="Y2977" i="2"/>
  <c r="X2977" i="2"/>
  <c r="W2977" i="2"/>
  <c r="Z2976" i="2"/>
  <c r="Y2976" i="2"/>
  <c r="X2976" i="2"/>
  <c r="W2976" i="2"/>
  <c r="Z2975" i="2"/>
  <c r="Y2975" i="2"/>
  <c r="X2975" i="2"/>
  <c r="W2975" i="2"/>
  <c r="Z2974" i="2"/>
  <c r="Y2974" i="2"/>
  <c r="X2974" i="2"/>
  <c r="W2974" i="2"/>
  <c r="Z2973" i="2"/>
  <c r="Y2973" i="2"/>
  <c r="X2973" i="2"/>
  <c r="W2973" i="2"/>
  <c r="Z2972" i="2"/>
  <c r="Y2972" i="2"/>
  <c r="X2972" i="2"/>
  <c r="W2972" i="2"/>
  <c r="Z2971" i="2"/>
  <c r="Y2971" i="2"/>
  <c r="X2971" i="2"/>
  <c r="W2971" i="2"/>
  <c r="Z2970" i="2"/>
  <c r="Y2970" i="2"/>
  <c r="X2970" i="2"/>
  <c r="W2970" i="2"/>
  <c r="Z2969" i="2"/>
  <c r="Y2969" i="2"/>
  <c r="X2969" i="2"/>
  <c r="W2969" i="2"/>
  <c r="Z2968" i="2"/>
  <c r="Y2968" i="2"/>
  <c r="X2968" i="2"/>
  <c r="W2968" i="2"/>
  <c r="Z2967" i="2"/>
  <c r="Y2967" i="2"/>
  <c r="X2967" i="2"/>
  <c r="W2967" i="2"/>
  <c r="Z2966" i="2"/>
  <c r="Y2966" i="2"/>
  <c r="X2966" i="2"/>
  <c r="W2966" i="2"/>
  <c r="Z2965" i="2"/>
  <c r="Y2965" i="2"/>
  <c r="X2965" i="2"/>
  <c r="W2965" i="2"/>
  <c r="Z2964" i="2"/>
  <c r="Y2964" i="2"/>
  <c r="X2964" i="2"/>
  <c r="W2964" i="2"/>
  <c r="Z2963" i="2"/>
  <c r="Y2963" i="2"/>
  <c r="X2963" i="2"/>
  <c r="W2963" i="2"/>
  <c r="Z2962" i="2"/>
  <c r="Y2962" i="2"/>
  <c r="X2962" i="2"/>
  <c r="W2962" i="2"/>
  <c r="Z2961" i="2"/>
  <c r="Y2961" i="2"/>
  <c r="X2961" i="2"/>
  <c r="W2961" i="2"/>
  <c r="Z2960" i="2"/>
  <c r="Y2960" i="2"/>
  <c r="X2960" i="2"/>
  <c r="W2960" i="2"/>
  <c r="Z2959" i="2"/>
  <c r="Y2959" i="2"/>
  <c r="X2959" i="2"/>
  <c r="W2959" i="2"/>
  <c r="Z2958" i="2"/>
  <c r="Y2958" i="2"/>
  <c r="X2958" i="2"/>
  <c r="W2958" i="2"/>
  <c r="Z2957" i="2"/>
  <c r="Y2957" i="2"/>
  <c r="X2957" i="2"/>
  <c r="W2957" i="2"/>
  <c r="Z2956" i="2"/>
  <c r="Y2956" i="2"/>
  <c r="X2956" i="2"/>
  <c r="W2956" i="2"/>
  <c r="Z2955" i="2"/>
  <c r="Y2955" i="2"/>
  <c r="X2955" i="2"/>
  <c r="W2955" i="2"/>
  <c r="Z2954" i="2"/>
  <c r="Y2954" i="2"/>
  <c r="X2954" i="2"/>
  <c r="W2954" i="2"/>
  <c r="Z2953" i="2"/>
  <c r="Y2953" i="2"/>
  <c r="X2953" i="2"/>
  <c r="W2953" i="2"/>
  <c r="Z2952" i="2"/>
  <c r="Y2952" i="2"/>
  <c r="X2952" i="2"/>
  <c r="W2952" i="2"/>
  <c r="Z2951" i="2"/>
  <c r="Y2951" i="2"/>
  <c r="X2951" i="2"/>
  <c r="W2951" i="2"/>
  <c r="Z2950" i="2"/>
  <c r="Y2950" i="2"/>
  <c r="X2950" i="2"/>
  <c r="W2950" i="2"/>
  <c r="Z2949" i="2"/>
  <c r="Y2949" i="2"/>
  <c r="X2949" i="2"/>
  <c r="W2949" i="2"/>
  <c r="Z2948" i="2"/>
  <c r="Y2948" i="2"/>
  <c r="X2948" i="2"/>
  <c r="W2948" i="2"/>
  <c r="Z2947" i="2"/>
  <c r="Y2947" i="2"/>
  <c r="X2947" i="2"/>
  <c r="W2947" i="2"/>
  <c r="Z2946" i="2"/>
  <c r="Y2946" i="2"/>
  <c r="X2946" i="2"/>
  <c r="W2946" i="2"/>
  <c r="Z2945" i="2"/>
  <c r="Y2945" i="2"/>
  <c r="X2945" i="2"/>
  <c r="W2945" i="2"/>
  <c r="Z2944" i="2"/>
  <c r="Y2944" i="2"/>
  <c r="X2944" i="2"/>
  <c r="W2944" i="2"/>
  <c r="Z2943" i="2"/>
  <c r="Y2943" i="2"/>
  <c r="X2943" i="2"/>
  <c r="W2943" i="2"/>
  <c r="Z2942" i="2"/>
  <c r="Y2942" i="2"/>
  <c r="X2942" i="2"/>
  <c r="W2942" i="2"/>
  <c r="Z2941" i="2"/>
  <c r="Y2941" i="2"/>
  <c r="X2941" i="2"/>
  <c r="W2941" i="2"/>
  <c r="Z2940" i="2"/>
  <c r="Y2940" i="2"/>
  <c r="X2940" i="2"/>
  <c r="W2940" i="2"/>
  <c r="Z2939" i="2"/>
  <c r="Y2939" i="2"/>
  <c r="X2939" i="2"/>
  <c r="W2939" i="2"/>
  <c r="Z2938" i="2"/>
  <c r="Y2938" i="2"/>
  <c r="X2938" i="2"/>
  <c r="W2938" i="2"/>
  <c r="Z2937" i="2"/>
  <c r="Y2937" i="2"/>
  <c r="X2937" i="2"/>
  <c r="W2937" i="2"/>
  <c r="Z2936" i="2"/>
  <c r="Y2936" i="2"/>
  <c r="X2936" i="2"/>
  <c r="W2936" i="2"/>
  <c r="Z2935" i="2"/>
  <c r="Y2935" i="2"/>
  <c r="X2935" i="2"/>
  <c r="W2935" i="2"/>
  <c r="Z2934" i="2"/>
  <c r="Y2934" i="2"/>
  <c r="X2934" i="2"/>
  <c r="W2934" i="2"/>
  <c r="Z2933" i="2"/>
  <c r="Y2933" i="2"/>
  <c r="X2933" i="2"/>
  <c r="W2933" i="2"/>
  <c r="Z2932" i="2"/>
  <c r="Y2932" i="2"/>
  <c r="X2932" i="2"/>
  <c r="W2932" i="2"/>
  <c r="Z2931" i="2"/>
  <c r="Y2931" i="2"/>
  <c r="X2931" i="2"/>
  <c r="W2931" i="2"/>
  <c r="Z2930" i="2"/>
  <c r="Y2930" i="2"/>
  <c r="X2930" i="2"/>
  <c r="W2930" i="2"/>
  <c r="Z2929" i="2"/>
  <c r="Y2929" i="2"/>
  <c r="X2929" i="2"/>
  <c r="W2929" i="2"/>
  <c r="Z2928" i="2"/>
  <c r="Y2928" i="2"/>
  <c r="X2928" i="2"/>
  <c r="W2928" i="2"/>
  <c r="Z2927" i="2"/>
  <c r="Y2927" i="2"/>
  <c r="X2927" i="2"/>
  <c r="W2927" i="2"/>
  <c r="Z2926" i="2"/>
  <c r="Y2926" i="2"/>
  <c r="X2926" i="2"/>
  <c r="W2926" i="2"/>
  <c r="Z2925" i="2"/>
  <c r="Y2925" i="2"/>
  <c r="X2925" i="2"/>
  <c r="W2925" i="2"/>
  <c r="Z2924" i="2"/>
  <c r="Y2924" i="2"/>
  <c r="X2924" i="2"/>
  <c r="W2924" i="2"/>
  <c r="Z2923" i="2"/>
  <c r="Y2923" i="2"/>
  <c r="X2923" i="2"/>
  <c r="W2923" i="2"/>
  <c r="Z2922" i="2"/>
  <c r="Y2922" i="2"/>
  <c r="X2922" i="2"/>
  <c r="W2922" i="2"/>
  <c r="Z2921" i="2"/>
  <c r="Y2921" i="2"/>
  <c r="X2921" i="2"/>
  <c r="W2921" i="2"/>
  <c r="Z2920" i="2"/>
  <c r="Y2920" i="2"/>
  <c r="X2920" i="2"/>
  <c r="W2920" i="2"/>
  <c r="Z2919" i="2"/>
  <c r="Y2919" i="2"/>
  <c r="X2919" i="2"/>
  <c r="W2919" i="2"/>
  <c r="Z2918" i="2"/>
  <c r="Y2918" i="2"/>
  <c r="X2918" i="2"/>
  <c r="W2918" i="2"/>
  <c r="Z2917" i="2"/>
  <c r="Y2917" i="2"/>
  <c r="X2917" i="2"/>
  <c r="W2917" i="2"/>
  <c r="Z2916" i="2"/>
  <c r="Y2916" i="2"/>
  <c r="X2916" i="2"/>
  <c r="W2916" i="2"/>
  <c r="Z2915" i="2"/>
  <c r="Y2915" i="2"/>
  <c r="X2915" i="2"/>
  <c r="W2915" i="2"/>
  <c r="Z2914" i="2"/>
  <c r="Y2914" i="2"/>
  <c r="X2914" i="2"/>
  <c r="W2914" i="2"/>
  <c r="Z2913" i="2"/>
  <c r="Y2913" i="2"/>
  <c r="X2913" i="2"/>
  <c r="W2913" i="2"/>
  <c r="Z2912" i="2"/>
  <c r="Y2912" i="2"/>
  <c r="X2912" i="2"/>
  <c r="W2912" i="2"/>
  <c r="Z2911" i="2"/>
  <c r="Y2911" i="2"/>
  <c r="X2911" i="2"/>
  <c r="W2911" i="2"/>
  <c r="Z2910" i="2"/>
  <c r="Y2910" i="2"/>
  <c r="X2910" i="2"/>
  <c r="W2910" i="2"/>
  <c r="Z2909" i="2"/>
  <c r="Y2909" i="2"/>
  <c r="X2909" i="2"/>
  <c r="W2909" i="2"/>
  <c r="Z2908" i="2"/>
  <c r="Y2908" i="2"/>
  <c r="X2908" i="2"/>
  <c r="W2908" i="2"/>
  <c r="Z2907" i="2"/>
  <c r="Y2907" i="2"/>
  <c r="X2907" i="2"/>
  <c r="W2907" i="2"/>
  <c r="Z2906" i="2"/>
  <c r="Y2906" i="2"/>
  <c r="X2906" i="2"/>
  <c r="W2906" i="2"/>
  <c r="Z2905" i="2"/>
  <c r="Y2905" i="2"/>
  <c r="X2905" i="2"/>
  <c r="W2905" i="2"/>
  <c r="Z2904" i="2"/>
  <c r="Y2904" i="2"/>
  <c r="X2904" i="2"/>
  <c r="W2904" i="2"/>
  <c r="Z2903" i="2"/>
  <c r="Y2903" i="2"/>
  <c r="X2903" i="2"/>
  <c r="W2903" i="2"/>
  <c r="Z2902" i="2"/>
  <c r="Y2902" i="2"/>
  <c r="X2902" i="2"/>
  <c r="W2902" i="2"/>
  <c r="Z2901" i="2"/>
  <c r="Y2901" i="2"/>
  <c r="X2901" i="2"/>
  <c r="W2901" i="2"/>
  <c r="Z2900" i="2"/>
  <c r="Y2900" i="2"/>
  <c r="X2900" i="2"/>
  <c r="W2900" i="2"/>
  <c r="Z2899" i="2"/>
  <c r="Y2899" i="2"/>
  <c r="X2899" i="2"/>
  <c r="W2899" i="2"/>
  <c r="Z2898" i="2"/>
  <c r="Y2898" i="2"/>
  <c r="X2898" i="2"/>
  <c r="W2898" i="2"/>
  <c r="Z2897" i="2"/>
  <c r="Y2897" i="2"/>
  <c r="X2897" i="2"/>
  <c r="W2897" i="2"/>
  <c r="Z2896" i="2"/>
  <c r="Y2896" i="2"/>
  <c r="X2896" i="2"/>
  <c r="W2896" i="2"/>
  <c r="Z2895" i="2"/>
  <c r="Y2895" i="2"/>
  <c r="X2895" i="2"/>
  <c r="W2895" i="2"/>
  <c r="Z2894" i="2"/>
  <c r="Y2894" i="2"/>
  <c r="X2894" i="2"/>
  <c r="W2894" i="2"/>
  <c r="Z2893" i="2"/>
  <c r="Y2893" i="2"/>
  <c r="X2893" i="2"/>
  <c r="W2893" i="2"/>
  <c r="Z2892" i="2"/>
  <c r="Y2892" i="2"/>
  <c r="X2892" i="2"/>
  <c r="W2892" i="2"/>
  <c r="Z2891" i="2"/>
  <c r="Y2891" i="2"/>
  <c r="X2891" i="2"/>
  <c r="W2891" i="2"/>
  <c r="Z2890" i="2"/>
  <c r="Y2890" i="2"/>
  <c r="X2890" i="2"/>
  <c r="W2890" i="2"/>
  <c r="Z2889" i="2"/>
  <c r="Y2889" i="2"/>
  <c r="X2889" i="2"/>
  <c r="W2889" i="2"/>
  <c r="Z2888" i="2"/>
  <c r="Y2888" i="2"/>
  <c r="X2888" i="2"/>
  <c r="W2888" i="2"/>
  <c r="Z2887" i="2"/>
  <c r="Y2887" i="2"/>
  <c r="X2887" i="2"/>
  <c r="W2887" i="2"/>
  <c r="Z2886" i="2"/>
  <c r="Y2886" i="2"/>
  <c r="X2886" i="2"/>
  <c r="W2886" i="2"/>
  <c r="Z2885" i="2"/>
  <c r="Y2885" i="2"/>
  <c r="X2885" i="2"/>
  <c r="W2885" i="2"/>
  <c r="Z2884" i="2"/>
  <c r="Y2884" i="2"/>
  <c r="X2884" i="2"/>
  <c r="W2884" i="2"/>
  <c r="Z2883" i="2"/>
  <c r="Y2883" i="2"/>
  <c r="X2883" i="2"/>
  <c r="W2883" i="2"/>
  <c r="Z2882" i="2"/>
  <c r="Y2882" i="2"/>
  <c r="X2882" i="2"/>
  <c r="W2882" i="2"/>
  <c r="Z2881" i="2"/>
  <c r="Y2881" i="2"/>
  <c r="X2881" i="2"/>
  <c r="W2881" i="2"/>
  <c r="Z2880" i="2"/>
  <c r="Y2880" i="2"/>
  <c r="X2880" i="2"/>
  <c r="W2880" i="2"/>
  <c r="Z2879" i="2"/>
  <c r="Y2879" i="2"/>
  <c r="X2879" i="2"/>
  <c r="W2879" i="2"/>
  <c r="Z2878" i="2"/>
  <c r="Y2878" i="2"/>
  <c r="X2878" i="2"/>
  <c r="W2878" i="2"/>
  <c r="Z2877" i="2"/>
  <c r="Y2877" i="2"/>
  <c r="X2877" i="2"/>
  <c r="W2877" i="2"/>
  <c r="Z2876" i="2"/>
  <c r="Y2876" i="2"/>
  <c r="X2876" i="2"/>
  <c r="W2876" i="2"/>
  <c r="Z2875" i="2"/>
  <c r="Y2875" i="2"/>
  <c r="X2875" i="2"/>
  <c r="W2875" i="2"/>
  <c r="Z2874" i="2"/>
  <c r="Y2874" i="2"/>
  <c r="X2874" i="2"/>
  <c r="W2874" i="2"/>
  <c r="Z2873" i="2"/>
  <c r="Y2873" i="2"/>
  <c r="X2873" i="2"/>
  <c r="W2873" i="2"/>
  <c r="Z2872" i="2"/>
  <c r="Y2872" i="2"/>
  <c r="X2872" i="2"/>
  <c r="W2872" i="2"/>
  <c r="Z2871" i="2"/>
  <c r="Y2871" i="2"/>
  <c r="X2871" i="2"/>
  <c r="W2871" i="2"/>
  <c r="Z2870" i="2"/>
  <c r="Y2870" i="2"/>
  <c r="X2870" i="2"/>
  <c r="W2870" i="2"/>
  <c r="Z2869" i="2"/>
  <c r="Y2869" i="2"/>
  <c r="X2869" i="2"/>
  <c r="W2869" i="2"/>
  <c r="Z2868" i="2"/>
  <c r="Y2868" i="2"/>
  <c r="X2868" i="2"/>
  <c r="W2868" i="2"/>
  <c r="Z2867" i="2"/>
  <c r="Y2867" i="2"/>
  <c r="X2867" i="2"/>
  <c r="W2867" i="2"/>
  <c r="Z2866" i="2"/>
  <c r="Y2866" i="2"/>
  <c r="X2866" i="2"/>
  <c r="W2866" i="2"/>
  <c r="Z2865" i="2"/>
  <c r="Y2865" i="2"/>
  <c r="X2865" i="2"/>
  <c r="W2865" i="2"/>
  <c r="Z2864" i="2"/>
  <c r="Y2864" i="2"/>
  <c r="X2864" i="2"/>
  <c r="W2864" i="2"/>
  <c r="Z2863" i="2"/>
  <c r="Y2863" i="2"/>
  <c r="X2863" i="2"/>
  <c r="W2863" i="2"/>
  <c r="Z2862" i="2"/>
  <c r="Y2862" i="2"/>
  <c r="X2862" i="2"/>
  <c r="W2862" i="2"/>
  <c r="Z2861" i="2"/>
  <c r="Y2861" i="2"/>
  <c r="X2861" i="2"/>
  <c r="W2861" i="2"/>
  <c r="Z2860" i="2"/>
  <c r="Y2860" i="2"/>
  <c r="X2860" i="2"/>
  <c r="W2860" i="2"/>
  <c r="Z2859" i="2"/>
  <c r="Y2859" i="2"/>
  <c r="X2859" i="2"/>
  <c r="W2859" i="2"/>
  <c r="Z2858" i="2"/>
  <c r="Y2858" i="2"/>
  <c r="X2858" i="2"/>
  <c r="W2858" i="2"/>
  <c r="Z2857" i="2"/>
  <c r="Y2857" i="2"/>
  <c r="X2857" i="2"/>
  <c r="W2857" i="2"/>
  <c r="Z2856" i="2"/>
  <c r="Y2856" i="2"/>
  <c r="X2856" i="2"/>
  <c r="W2856" i="2"/>
  <c r="Z2855" i="2"/>
  <c r="Y2855" i="2"/>
  <c r="X2855" i="2"/>
  <c r="W2855" i="2"/>
  <c r="Z2854" i="2"/>
  <c r="Y2854" i="2"/>
  <c r="X2854" i="2"/>
  <c r="W2854" i="2"/>
  <c r="Z2853" i="2"/>
  <c r="Y2853" i="2"/>
  <c r="X2853" i="2"/>
  <c r="W2853" i="2"/>
  <c r="Z2852" i="2"/>
  <c r="Y2852" i="2"/>
  <c r="X2852" i="2"/>
  <c r="W2852" i="2"/>
  <c r="Z2851" i="2"/>
  <c r="Y2851" i="2"/>
  <c r="X2851" i="2"/>
  <c r="W2851" i="2"/>
  <c r="Z2850" i="2"/>
  <c r="Y2850" i="2"/>
  <c r="X2850" i="2"/>
  <c r="W2850" i="2"/>
  <c r="Z2849" i="2"/>
  <c r="Y2849" i="2"/>
  <c r="X2849" i="2"/>
  <c r="W2849" i="2"/>
  <c r="Z2848" i="2"/>
  <c r="Y2848" i="2"/>
  <c r="X2848" i="2"/>
  <c r="W2848" i="2"/>
  <c r="Z2847" i="2"/>
  <c r="Y2847" i="2"/>
  <c r="X2847" i="2"/>
  <c r="W2847" i="2"/>
  <c r="Z2846" i="2"/>
  <c r="Y2846" i="2"/>
  <c r="X2846" i="2"/>
  <c r="W2846" i="2"/>
  <c r="Z2845" i="2"/>
  <c r="Y2845" i="2"/>
  <c r="X2845" i="2"/>
  <c r="W2845" i="2"/>
  <c r="Z2844" i="2"/>
  <c r="Y2844" i="2"/>
  <c r="X2844" i="2"/>
  <c r="W2844" i="2"/>
  <c r="Z2843" i="2"/>
  <c r="Y2843" i="2"/>
  <c r="X2843" i="2"/>
  <c r="W2843" i="2"/>
  <c r="Z2842" i="2"/>
  <c r="Y2842" i="2"/>
  <c r="X2842" i="2"/>
  <c r="W2842" i="2"/>
  <c r="Z2841" i="2"/>
  <c r="Y2841" i="2"/>
  <c r="X2841" i="2"/>
  <c r="W2841" i="2"/>
  <c r="Z2840" i="2"/>
  <c r="Y2840" i="2"/>
  <c r="X2840" i="2"/>
  <c r="W2840" i="2"/>
  <c r="Z2839" i="2"/>
  <c r="Y2839" i="2"/>
  <c r="X2839" i="2"/>
  <c r="W2839" i="2"/>
  <c r="Z2838" i="2"/>
  <c r="Y2838" i="2"/>
  <c r="X2838" i="2"/>
  <c r="W2838" i="2"/>
  <c r="Z2837" i="2"/>
  <c r="Y2837" i="2"/>
  <c r="X2837" i="2"/>
  <c r="W2837" i="2"/>
  <c r="Z2836" i="2"/>
  <c r="Y2836" i="2"/>
  <c r="X2836" i="2"/>
  <c r="W2836" i="2"/>
  <c r="Z2835" i="2"/>
  <c r="Y2835" i="2"/>
  <c r="X2835" i="2"/>
  <c r="W2835" i="2"/>
  <c r="Z2834" i="2"/>
  <c r="Y2834" i="2"/>
  <c r="X2834" i="2"/>
  <c r="W2834" i="2"/>
  <c r="Z2833" i="2"/>
  <c r="Y2833" i="2"/>
  <c r="X2833" i="2"/>
  <c r="W2833" i="2"/>
  <c r="Z2832" i="2"/>
  <c r="Y2832" i="2"/>
  <c r="X2832" i="2"/>
  <c r="W2832" i="2"/>
  <c r="Z2831" i="2"/>
  <c r="Y2831" i="2"/>
  <c r="X2831" i="2"/>
  <c r="W2831" i="2"/>
  <c r="Z2830" i="2"/>
  <c r="Y2830" i="2"/>
  <c r="X2830" i="2"/>
  <c r="W2830" i="2"/>
  <c r="Z2829" i="2"/>
  <c r="Y2829" i="2"/>
  <c r="X2829" i="2"/>
  <c r="W2829" i="2"/>
  <c r="Z2828" i="2"/>
  <c r="Y2828" i="2"/>
  <c r="X2828" i="2"/>
  <c r="W2828" i="2"/>
  <c r="Z2827" i="2"/>
  <c r="Y2827" i="2"/>
  <c r="X2827" i="2"/>
  <c r="W2827" i="2"/>
  <c r="Z2826" i="2"/>
  <c r="Y2826" i="2"/>
  <c r="X2826" i="2"/>
  <c r="W2826" i="2"/>
  <c r="Z2825" i="2"/>
  <c r="Y2825" i="2"/>
  <c r="X2825" i="2"/>
  <c r="W2825" i="2"/>
  <c r="Z2824" i="2"/>
  <c r="Y2824" i="2"/>
  <c r="X2824" i="2"/>
  <c r="W2824" i="2"/>
  <c r="Z2823" i="2"/>
  <c r="Y2823" i="2"/>
  <c r="X2823" i="2"/>
  <c r="W2823" i="2"/>
  <c r="Z2822" i="2"/>
  <c r="Y2822" i="2"/>
  <c r="X2822" i="2"/>
  <c r="W2822" i="2"/>
  <c r="Z2821" i="2"/>
  <c r="Y2821" i="2"/>
  <c r="X2821" i="2"/>
  <c r="W2821" i="2"/>
  <c r="Z2820" i="2"/>
  <c r="Y2820" i="2"/>
  <c r="X2820" i="2"/>
  <c r="W2820" i="2"/>
  <c r="Z2819" i="2"/>
  <c r="Y2819" i="2"/>
  <c r="X2819" i="2"/>
  <c r="W2819" i="2"/>
  <c r="Z2818" i="2"/>
  <c r="Y2818" i="2"/>
  <c r="X2818" i="2"/>
  <c r="W2818" i="2"/>
  <c r="Z2817" i="2"/>
  <c r="Y2817" i="2"/>
  <c r="X2817" i="2"/>
  <c r="W2817" i="2"/>
  <c r="Z2816" i="2"/>
  <c r="Y2816" i="2"/>
  <c r="X2816" i="2"/>
  <c r="W2816" i="2"/>
  <c r="Z2815" i="2"/>
  <c r="Y2815" i="2"/>
  <c r="X2815" i="2"/>
  <c r="W2815" i="2"/>
  <c r="Z2814" i="2"/>
  <c r="Y2814" i="2"/>
  <c r="X2814" i="2"/>
  <c r="W2814" i="2"/>
  <c r="Z2813" i="2"/>
  <c r="Y2813" i="2"/>
  <c r="X2813" i="2"/>
  <c r="W2813" i="2"/>
  <c r="Z2812" i="2"/>
  <c r="Y2812" i="2"/>
  <c r="X2812" i="2"/>
  <c r="W2812" i="2"/>
  <c r="Z2811" i="2"/>
  <c r="Y2811" i="2"/>
  <c r="X2811" i="2"/>
  <c r="W2811" i="2"/>
  <c r="Z2810" i="2"/>
  <c r="Y2810" i="2"/>
  <c r="X2810" i="2"/>
  <c r="W2810" i="2"/>
  <c r="Z2809" i="2"/>
  <c r="Y2809" i="2"/>
  <c r="X2809" i="2"/>
  <c r="W2809" i="2"/>
  <c r="Z2808" i="2"/>
  <c r="Y2808" i="2"/>
  <c r="X2808" i="2"/>
  <c r="W2808" i="2"/>
  <c r="Z2807" i="2"/>
  <c r="Y2807" i="2"/>
  <c r="X2807" i="2"/>
  <c r="W2807" i="2"/>
  <c r="Z2806" i="2"/>
  <c r="Y2806" i="2"/>
  <c r="X2806" i="2"/>
  <c r="W2806" i="2"/>
  <c r="Z2805" i="2"/>
  <c r="Y2805" i="2"/>
  <c r="X2805" i="2"/>
  <c r="W2805" i="2"/>
  <c r="Z2804" i="2"/>
  <c r="Y2804" i="2"/>
  <c r="X2804" i="2"/>
  <c r="W2804" i="2"/>
  <c r="Z2803" i="2"/>
  <c r="Y2803" i="2"/>
  <c r="X2803" i="2"/>
  <c r="W2803" i="2"/>
  <c r="Z2802" i="2"/>
  <c r="Y2802" i="2"/>
  <c r="X2802" i="2"/>
  <c r="W2802" i="2"/>
  <c r="Z2801" i="2"/>
  <c r="Y2801" i="2"/>
  <c r="X2801" i="2"/>
  <c r="W2801" i="2"/>
  <c r="Z2800" i="2"/>
  <c r="Y2800" i="2"/>
  <c r="X2800" i="2"/>
  <c r="W2800" i="2"/>
  <c r="Z2799" i="2"/>
  <c r="Y2799" i="2"/>
  <c r="X2799" i="2"/>
  <c r="W2799" i="2"/>
  <c r="Z2798" i="2"/>
  <c r="Y2798" i="2"/>
  <c r="X2798" i="2"/>
  <c r="W2798" i="2"/>
  <c r="Z2797" i="2"/>
  <c r="Y2797" i="2"/>
  <c r="X2797" i="2"/>
  <c r="W2797" i="2"/>
  <c r="Z2796" i="2"/>
  <c r="Y2796" i="2"/>
  <c r="X2796" i="2"/>
  <c r="W2796" i="2"/>
  <c r="Z2795" i="2"/>
  <c r="Y2795" i="2"/>
  <c r="X2795" i="2"/>
  <c r="W2795" i="2"/>
  <c r="Z2794" i="2"/>
  <c r="Y2794" i="2"/>
  <c r="X2794" i="2"/>
  <c r="W2794" i="2"/>
  <c r="Z2793" i="2"/>
  <c r="Y2793" i="2"/>
  <c r="X2793" i="2"/>
  <c r="W2793" i="2"/>
  <c r="Z2792" i="2"/>
  <c r="Y2792" i="2"/>
  <c r="X2792" i="2"/>
  <c r="W2792" i="2"/>
  <c r="Z2791" i="2"/>
  <c r="Y2791" i="2"/>
  <c r="X2791" i="2"/>
  <c r="W2791" i="2"/>
  <c r="Z2790" i="2"/>
  <c r="Y2790" i="2"/>
  <c r="X2790" i="2"/>
  <c r="W2790" i="2"/>
  <c r="Z2789" i="2"/>
  <c r="Y2789" i="2"/>
  <c r="X2789" i="2"/>
  <c r="W2789" i="2"/>
  <c r="Z2788" i="2"/>
  <c r="Y2788" i="2"/>
  <c r="X2788" i="2"/>
  <c r="W2788" i="2"/>
  <c r="Z2787" i="2"/>
  <c r="Y2787" i="2"/>
  <c r="X2787" i="2"/>
  <c r="W2787" i="2"/>
  <c r="Z2786" i="2"/>
  <c r="Y2786" i="2"/>
  <c r="X2786" i="2"/>
  <c r="W2786" i="2"/>
  <c r="Z2785" i="2"/>
  <c r="Y2785" i="2"/>
  <c r="X2785" i="2"/>
  <c r="W2785" i="2"/>
  <c r="Z2784" i="2"/>
  <c r="Y2784" i="2"/>
  <c r="X2784" i="2"/>
  <c r="W2784" i="2"/>
  <c r="Z2783" i="2"/>
  <c r="Y2783" i="2"/>
  <c r="X2783" i="2"/>
  <c r="W2783" i="2"/>
  <c r="Z2782" i="2"/>
  <c r="Y2782" i="2"/>
  <c r="X2782" i="2"/>
  <c r="W2782" i="2"/>
  <c r="Z2781" i="2"/>
  <c r="Y2781" i="2"/>
  <c r="X2781" i="2"/>
  <c r="W2781" i="2"/>
  <c r="Z2780" i="2"/>
  <c r="Y2780" i="2"/>
  <c r="X2780" i="2"/>
  <c r="W2780" i="2"/>
  <c r="Z2779" i="2"/>
  <c r="Y2779" i="2"/>
  <c r="X2779" i="2"/>
  <c r="W2779" i="2"/>
  <c r="Z2778" i="2"/>
  <c r="Y2778" i="2"/>
  <c r="X2778" i="2"/>
  <c r="W2778" i="2"/>
  <c r="Z2777" i="2"/>
  <c r="Y2777" i="2"/>
  <c r="X2777" i="2"/>
  <c r="W2777" i="2"/>
  <c r="Z2776" i="2"/>
  <c r="Y2776" i="2"/>
  <c r="X2776" i="2"/>
  <c r="W2776" i="2"/>
  <c r="Z2775" i="2"/>
  <c r="Y2775" i="2"/>
  <c r="X2775" i="2"/>
  <c r="W2775" i="2"/>
  <c r="Z2774" i="2"/>
  <c r="Y2774" i="2"/>
  <c r="X2774" i="2"/>
  <c r="W2774" i="2"/>
  <c r="Z2773" i="2"/>
  <c r="Y2773" i="2"/>
  <c r="X2773" i="2"/>
  <c r="W2773" i="2"/>
  <c r="Z2772" i="2"/>
  <c r="Y2772" i="2"/>
  <c r="X2772" i="2"/>
  <c r="W2772" i="2"/>
  <c r="Z2771" i="2"/>
  <c r="Y2771" i="2"/>
  <c r="X2771" i="2"/>
  <c r="W2771" i="2"/>
  <c r="Z2770" i="2"/>
  <c r="Y2770" i="2"/>
  <c r="X2770" i="2"/>
  <c r="W2770" i="2"/>
  <c r="Z2769" i="2"/>
  <c r="Y2769" i="2"/>
  <c r="X2769" i="2"/>
  <c r="W2769" i="2"/>
  <c r="Z2768" i="2"/>
  <c r="Y2768" i="2"/>
  <c r="X2768" i="2"/>
  <c r="W2768" i="2"/>
  <c r="Z2767" i="2"/>
  <c r="Y2767" i="2"/>
  <c r="X2767" i="2"/>
  <c r="W2767" i="2"/>
  <c r="Z2766" i="2"/>
  <c r="Y2766" i="2"/>
  <c r="X2766" i="2"/>
  <c r="W2766" i="2"/>
  <c r="Z2765" i="2"/>
  <c r="Y2765" i="2"/>
  <c r="X2765" i="2"/>
  <c r="W2765" i="2"/>
  <c r="Z2764" i="2"/>
  <c r="Y2764" i="2"/>
  <c r="X2764" i="2"/>
  <c r="W2764" i="2"/>
  <c r="Z2763" i="2"/>
  <c r="Y2763" i="2"/>
  <c r="X2763" i="2"/>
  <c r="W2763" i="2"/>
  <c r="Z2762" i="2"/>
  <c r="Y2762" i="2"/>
  <c r="X2762" i="2"/>
  <c r="W2762" i="2"/>
  <c r="Z2761" i="2"/>
  <c r="Y2761" i="2"/>
  <c r="X2761" i="2"/>
  <c r="W2761" i="2"/>
  <c r="Z2760" i="2"/>
  <c r="Y2760" i="2"/>
  <c r="X2760" i="2"/>
  <c r="W2760" i="2"/>
  <c r="Z2759" i="2"/>
  <c r="Y2759" i="2"/>
  <c r="X2759" i="2"/>
  <c r="W2759" i="2"/>
  <c r="Z2758" i="2"/>
  <c r="Y2758" i="2"/>
  <c r="X2758" i="2"/>
  <c r="W2758" i="2"/>
  <c r="Z2757" i="2"/>
  <c r="Y2757" i="2"/>
  <c r="X2757" i="2"/>
  <c r="W2757" i="2"/>
  <c r="Z2756" i="2"/>
  <c r="Y2756" i="2"/>
  <c r="X2756" i="2"/>
  <c r="W2756" i="2"/>
  <c r="Z2755" i="2"/>
  <c r="Y2755" i="2"/>
  <c r="X2755" i="2"/>
  <c r="W2755" i="2"/>
  <c r="Z2754" i="2"/>
  <c r="Y2754" i="2"/>
  <c r="X2754" i="2"/>
  <c r="W2754" i="2"/>
  <c r="Z2753" i="2"/>
  <c r="Y2753" i="2"/>
  <c r="X2753" i="2"/>
  <c r="W2753" i="2"/>
  <c r="Z2752" i="2"/>
  <c r="Y2752" i="2"/>
  <c r="X2752" i="2"/>
  <c r="W2752" i="2"/>
  <c r="Z2751" i="2"/>
  <c r="Y2751" i="2"/>
  <c r="X2751" i="2"/>
  <c r="W2751" i="2"/>
  <c r="Z2750" i="2"/>
  <c r="Y2750" i="2"/>
  <c r="X2750" i="2"/>
  <c r="W2750" i="2"/>
  <c r="Z2749" i="2"/>
  <c r="Y2749" i="2"/>
  <c r="X2749" i="2"/>
  <c r="W2749" i="2"/>
  <c r="Z2748" i="2"/>
  <c r="Y2748" i="2"/>
  <c r="X2748" i="2"/>
  <c r="W2748" i="2"/>
  <c r="Z2747" i="2"/>
  <c r="Y2747" i="2"/>
  <c r="X2747" i="2"/>
  <c r="W2747" i="2"/>
  <c r="Z2746" i="2"/>
  <c r="Y2746" i="2"/>
  <c r="X2746" i="2"/>
  <c r="W2746" i="2"/>
  <c r="Z2745" i="2"/>
  <c r="Y2745" i="2"/>
  <c r="X2745" i="2"/>
  <c r="W2745" i="2"/>
  <c r="Z2744" i="2"/>
  <c r="Y2744" i="2"/>
  <c r="X2744" i="2"/>
  <c r="W2744" i="2"/>
  <c r="Z2743" i="2"/>
  <c r="Y2743" i="2"/>
  <c r="X2743" i="2"/>
  <c r="W2743" i="2"/>
  <c r="Z2742" i="2"/>
  <c r="Y2742" i="2"/>
  <c r="X2742" i="2"/>
  <c r="W2742" i="2"/>
  <c r="Z2741" i="2"/>
  <c r="Y2741" i="2"/>
  <c r="X2741" i="2"/>
  <c r="W2741" i="2"/>
  <c r="Z2740" i="2"/>
  <c r="Y2740" i="2"/>
  <c r="X2740" i="2"/>
  <c r="W2740" i="2"/>
  <c r="Z2739" i="2"/>
  <c r="Y2739" i="2"/>
  <c r="X2739" i="2"/>
  <c r="W2739" i="2"/>
  <c r="Z2738" i="2"/>
  <c r="Y2738" i="2"/>
  <c r="X2738" i="2"/>
  <c r="W2738" i="2"/>
  <c r="Z2737" i="2"/>
  <c r="Y2737" i="2"/>
  <c r="X2737" i="2"/>
  <c r="W2737" i="2"/>
  <c r="Z2736" i="2"/>
  <c r="Y2736" i="2"/>
  <c r="X2736" i="2"/>
  <c r="W2736" i="2"/>
  <c r="Z2735" i="2"/>
  <c r="Y2735" i="2"/>
  <c r="X2735" i="2"/>
  <c r="W2735" i="2"/>
  <c r="Z2734" i="2"/>
  <c r="Y2734" i="2"/>
  <c r="X2734" i="2"/>
  <c r="W2734" i="2"/>
  <c r="Z2733" i="2"/>
  <c r="Y2733" i="2"/>
  <c r="X2733" i="2"/>
  <c r="W2733" i="2"/>
  <c r="Z2732" i="2"/>
  <c r="Y2732" i="2"/>
  <c r="X2732" i="2"/>
  <c r="W2732" i="2"/>
  <c r="Z2731" i="2"/>
  <c r="Y2731" i="2"/>
  <c r="X2731" i="2"/>
  <c r="W2731" i="2"/>
  <c r="Z2730" i="2"/>
  <c r="Y2730" i="2"/>
  <c r="X2730" i="2"/>
  <c r="W2730" i="2"/>
  <c r="Z2729" i="2"/>
  <c r="Y2729" i="2"/>
  <c r="X2729" i="2"/>
  <c r="W2729" i="2"/>
  <c r="Z2728" i="2"/>
  <c r="Y2728" i="2"/>
  <c r="X2728" i="2"/>
  <c r="W2728" i="2"/>
  <c r="Z2727" i="2"/>
  <c r="Y2727" i="2"/>
  <c r="X2727" i="2"/>
  <c r="W2727" i="2"/>
  <c r="Z2726" i="2"/>
  <c r="Y2726" i="2"/>
  <c r="X2726" i="2"/>
  <c r="W2726" i="2"/>
  <c r="Z2725" i="2"/>
  <c r="Y2725" i="2"/>
  <c r="X2725" i="2"/>
  <c r="W2725" i="2"/>
  <c r="Z2724" i="2"/>
  <c r="Y2724" i="2"/>
  <c r="X2724" i="2"/>
  <c r="W2724" i="2"/>
  <c r="Z2723" i="2"/>
  <c r="Y2723" i="2"/>
  <c r="X2723" i="2"/>
  <c r="W2723" i="2"/>
  <c r="Z2722" i="2"/>
  <c r="Y2722" i="2"/>
  <c r="X2722" i="2"/>
  <c r="W2722" i="2"/>
  <c r="Z2721" i="2"/>
  <c r="Y2721" i="2"/>
  <c r="X2721" i="2"/>
  <c r="W2721" i="2"/>
  <c r="Z2720" i="2"/>
  <c r="Y2720" i="2"/>
  <c r="X2720" i="2"/>
  <c r="W2720" i="2"/>
  <c r="Z2719" i="2"/>
  <c r="Y2719" i="2"/>
  <c r="X2719" i="2"/>
  <c r="W2719" i="2"/>
  <c r="Z2718" i="2"/>
  <c r="Y2718" i="2"/>
  <c r="X2718" i="2"/>
  <c r="W2718" i="2"/>
  <c r="Z2717" i="2"/>
  <c r="Y2717" i="2"/>
  <c r="X2717" i="2"/>
  <c r="W2717" i="2"/>
  <c r="Z2716" i="2"/>
  <c r="Y2716" i="2"/>
  <c r="X2716" i="2"/>
  <c r="W2716" i="2"/>
  <c r="Z2715" i="2"/>
  <c r="Y2715" i="2"/>
  <c r="X2715" i="2"/>
  <c r="W2715" i="2"/>
  <c r="Z2714" i="2"/>
  <c r="Y2714" i="2"/>
  <c r="X2714" i="2"/>
  <c r="W2714" i="2"/>
  <c r="Z2713" i="2"/>
  <c r="Y2713" i="2"/>
  <c r="X2713" i="2"/>
  <c r="W2713" i="2"/>
  <c r="Z2712" i="2"/>
  <c r="Y2712" i="2"/>
  <c r="X2712" i="2"/>
  <c r="W2712" i="2"/>
  <c r="Z2711" i="2"/>
  <c r="Y2711" i="2"/>
  <c r="X2711" i="2"/>
  <c r="W2711" i="2"/>
  <c r="Z2710" i="2"/>
  <c r="Y2710" i="2"/>
  <c r="X2710" i="2"/>
  <c r="W2710" i="2"/>
  <c r="Z2709" i="2"/>
  <c r="Y2709" i="2"/>
  <c r="X2709" i="2"/>
  <c r="W2709" i="2"/>
  <c r="Z2708" i="2"/>
  <c r="Y2708" i="2"/>
  <c r="X2708" i="2"/>
  <c r="W2708" i="2"/>
  <c r="Z2707" i="2"/>
  <c r="Y2707" i="2"/>
  <c r="X2707" i="2"/>
  <c r="W2707" i="2"/>
  <c r="Z2706" i="2"/>
  <c r="Y2706" i="2"/>
  <c r="X2706" i="2"/>
  <c r="W2706" i="2"/>
  <c r="Z2705" i="2"/>
  <c r="Y2705" i="2"/>
  <c r="X2705" i="2"/>
  <c r="W2705" i="2"/>
  <c r="Z2704" i="2"/>
  <c r="Y2704" i="2"/>
  <c r="X2704" i="2"/>
  <c r="W2704" i="2"/>
  <c r="Z2703" i="2"/>
  <c r="Y2703" i="2"/>
  <c r="X2703" i="2"/>
  <c r="W2703" i="2"/>
  <c r="Z2702" i="2"/>
  <c r="Y2702" i="2"/>
  <c r="X2702" i="2"/>
  <c r="W2702" i="2"/>
  <c r="Z2701" i="2"/>
  <c r="Y2701" i="2"/>
  <c r="X2701" i="2"/>
  <c r="W2701" i="2"/>
  <c r="Z2700" i="2"/>
  <c r="Y2700" i="2"/>
  <c r="X2700" i="2"/>
  <c r="W2700" i="2"/>
  <c r="Z2699" i="2"/>
  <c r="Y2699" i="2"/>
  <c r="X2699" i="2"/>
  <c r="W2699" i="2"/>
  <c r="Z2698" i="2"/>
  <c r="Y2698" i="2"/>
  <c r="X2698" i="2"/>
  <c r="W2698" i="2"/>
  <c r="Z2697" i="2"/>
  <c r="Y2697" i="2"/>
  <c r="X2697" i="2"/>
  <c r="W2697" i="2"/>
  <c r="Z2696" i="2"/>
  <c r="Y2696" i="2"/>
  <c r="X2696" i="2"/>
  <c r="W2696" i="2"/>
  <c r="Z2695" i="2"/>
  <c r="Y2695" i="2"/>
  <c r="X2695" i="2"/>
  <c r="W2695" i="2"/>
  <c r="Z2694" i="2"/>
  <c r="Y2694" i="2"/>
  <c r="X2694" i="2"/>
  <c r="W2694" i="2"/>
  <c r="Z2693" i="2"/>
  <c r="Y2693" i="2"/>
  <c r="X2693" i="2"/>
  <c r="W2693" i="2"/>
  <c r="Z2692" i="2"/>
  <c r="Y2692" i="2"/>
  <c r="X2692" i="2"/>
  <c r="W2692" i="2"/>
  <c r="Z2691" i="2"/>
  <c r="Y2691" i="2"/>
  <c r="X2691" i="2"/>
  <c r="W2691" i="2"/>
  <c r="Z2690" i="2"/>
  <c r="Y2690" i="2"/>
  <c r="X2690" i="2"/>
  <c r="W2690" i="2"/>
  <c r="Z2689" i="2"/>
  <c r="Y2689" i="2"/>
  <c r="X2689" i="2"/>
  <c r="W2689" i="2"/>
  <c r="Z2688" i="2"/>
  <c r="Y2688" i="2"/>
  <c r="X2688" i="2"/>
  <c r="W2688" i="2"/>
  <c r="Z2687" i="2"/>
  <c r="Y2687" i="2"/>
  <c r="X2687" i="2"/>
  <c r="W2687" i="2"/>
  <c r="Z2686" i="2"/>
  <c r="Y2686" i="2"/>
  <c r="X2686" i="2"/>
  <c r="W2686" i="2"/>
  <c r="Z2685" i="2"/>
  <c r="Y2685" i="2"/>
  <c r="X2685" i="2"/>
  <c r="W2685" i="2"/>
  <c r="Z2684" i="2"/>
  <c r="Y2684" i="2"/>
  <c r="X2684" i="2"/>
  <c r="W2684" i="2"/>
  <c r="Z2683" i="2"/>
  <c r="Y2683" i="2"/>
  <c r="X2683" i="2"/>
  <c r="W2683" i="2"/>
  <c r="Z2682" i="2"/>
  <c r="Y2682" i="2"/>
  <c r="X2682" i="2"/>
  <c r="W2682" i="2"/>
  <c r="Z2681" i="2"/>
  <c r="Y2681" i="2"/>
  <c r="X2681" i="2"/>
  <c r="W2681" i="2"/>
  <c r="Z2680" i="2"/>
  <c r="Y2680" i="2"/>
  <c r="X2680" i="2"/>
  <c r="W2680" i="2"/>
  <c r="Z2679" i="2"/>
  <c r="Y2679" i="2"/>
  <c r="X2679" i="2"/>
  <c r="W2679" i="2"/>
  <c r="Z2678" i="2"/>
  <c r="Y2678" i="2"/>
  <c r="X2678" i="2"/>
  <c r="W2678" i="2"/>
  <c r="Z2677" i="2"/>
  <c r="Y2677" i="2"/>
  <c r="X2677" i="2"/>
  <c r="W2677" i="2"/>
  <c r="Z2676" i="2"/>
  <c r="Y2676" i="2"/>
  <c r="X2676" i="2"/>
  <c r="W2676" i="2"/>
  <c r="Z2675" i="2"/>
  <c r="Y2675" i="2"/>
  <c r="X2675" i="2"/>
  <c r="W2675" i="2"/>
  <c r="Z2674" i="2"/>
  <c r="Y2674" i="2"/>
  <c r="X2674" i="2"/>
  <c r="W2674" i="2"/>
  <c r="Z2673" i="2"/>
  <c r="Y2673" i="2"/>
  <c r="X2673" i="2"/>
  <c r="W2673" i="2"/>
  <c r="Z2672" i="2"/>
  <c r="Y2672" i="2"/>
  <c r="X2672" i="2"/>
  <c r="W2672" i="2"/>
  <c r="Z2671" i="2"/>
  <c r="Y2671" i="2"/>
  <c r="X2671" i="2"/>
  <c r="W2671" i="2"/>
  <c r="Z2670" i="2"/>
  <c r="Y2670" i="2"/>
  <c r="X2670" i="2"/>
  <c r="W2670" i="2"/>
  <c r="Z2669" i="2"/>
  <c r="Y2669" i="2"/>
  <c r="X2669" i="2"/>
  <c r="W2669" i="2"/>
  <c r="Z2668" i="2"/>
  <c r="Y2668" i="2"/>
  <c r="X2668" i="2"/>
  <c r="W2668" i="2"/>
  <c r="Z2667" i="2"/>
  <c r="Y2667" i="2"/>
  <c r="X2667" i="2"/>
  <c r="W2667" i="2"/>
  <c r="Z2666" i="2"/>
  <c r="Y2666" i="2"/>
  <c r="X2666" i="2"/>
  <c r="W2666" i="2"/>
  <c r="Z2665" i="2"/>
  <c r="Y2665" i="2"/>
  <c r="X2665" i="2"/>
  <c r="W2665" i="2"/>
  <c r="Z2664" i="2"/>
  <c r="Y2664" i="2"/>
  <c r="X2664" i="2"/>
  <c r="W2664" i="2"/>
  <c r="Z2663" i="2"/>
  <c r="Y2663" i="2"/>
  <c r="X2663" i="2"/>
  <c r="W2663" i="2"/>
  <c r="Z2662" i="2"/>
  <c r="Y2662" i="2"/>
  <c r="X2662" i="2"/>
  <c r="W2662" i="2"/>
  <c r="Z2661" i="2"/>
  <c r="Y2661" i="2"/>
  <c r="X2661" i="2"/>
  <c r="W2661" i="2"/>
  <c r="Z2660" i="2"/>
  <c r="Y2660" i="2"/>
  <c r="X2660" i="2"/>
  <c r="W2660" i="2"/>
  <c r="Z2659" i="2"/>
  <c r="Y2659" i="2"/>
  <c r="X2659" i="2"/>
  <c r="W2659" i="2"/>
  <c r="Z2658" i="2"/>
  <c r="Y2658" i="2"/>
  <c r="X2658" i="2"/>
  <c r="W2658" i="2"/>
  <c r="Z2657" i="2"/>
  <c r="Y2657" i="2"/>
  <c r="X2657" i="2"/>
  <c r="W2657" i="2"/>
  <c r="Z2656" i="2"/>
  <c r="Y2656" i="2"/>
  <c r="X2656" i="2"/>
  <c r="W2656" i="2"/>
  <c r="Z2655" i="2"/>
  <c r="Y2655" i="2"/>
  <c r="X2655" i="2"/>
  <c r="W2655" i="2"/>
  <c r="Z2654" i="2"/>
  <c r="Y2654" i="2"/>
  <c r="X2654" i="2"/>
  <c r="W2654" i="2"/>
  <c r="Z2653" i="2"/>
  <c r="Y2653" i="2"/>
  <c r="X2653" i="2"/>
  <c r="W2653" i="2"/>
  <c r="Z2652" i="2"/>
  <c r="Y2652" i="2"/>
  <c r="X2652" i="2"/>
  <c r="W2652" i="2"/>
  <c r="Z2651" i="2"/>
  <c r="Y2651" i="2"/>
  <c r="X2651" i="2"/>
  <c r="W2651" i="2"/>
  <c r="Z2650" i="2"/>
  <c r="Y2650" i="2"/>
  <c r="X2650" i="2"/>
  <c r="W2650" i="2"/>
  <c r="Z2649" i="2"/>
  <c r="Y2649" i="2"/>
  <c r="X2649" i="2"/>
  <c r="W2649" i="2"/>
  <c r="Z2648" i="2"/>
  <c r="Y2648" i="2"/>
  <c r="X2648" i="2"/>
  <c r="W2648" i="2"/>
  <c r="Z2647" i="2"/>
  <c r="Y2647" i="2"/>
  <c r="X2647" i="2"/>
  <c r="W2647" i="2"/>
  <c r="Z2646" i="2"/>
  <c r="Y2646" i="2"/>
  <c r="X2646" i="2"/>
  <c r="W2646" i="2"/>
  <c r="Z2645" i="2"/>
  <c r="Y2645" i="2"/>
  <c r="X2645" i="2"/>
  <c r="W2645" i="2"/>
  <c r="Z2644" i="2"/>
  <c r="Y2644" i="2"/>
  <c r="X2644" i="2"/>
  <c r="W2644" i="2"/>
  <c r="Z2643" i="2"/>
  <c r="Y2643" i="2"/>
  <c r="X2643" i="2"/>
  <c r="W2643" i="2"/>
  <c r="Z2642" i="2"/>
  <c r="Y2642" i="2"/>
  <c r="X2642" i="2"/>
  <c r="W2642" i="2"/>
  <c r="Z2641" i="2"/>
  <c r="Y2641" i="2"/>
  <c r="X2641" i="2"/>
  <c r="W2641" i="2"/>
  <c r="Z2640" i="2"/>
  <c r="Y2640" i="2"/>
  <c r="X2640" i="2"/>
  <c r="W2640" i="2"/>
  <c r="Z2639" i="2"/>
  <c r="Y2639" i="2"/>
  <c r="X2639" i="2"/>
  <c r="W2639" i="2"/>
  <c r="Z2638" i="2"/>
  <c r="Y2638" i="2"/>
  <c r="X2638" i="2"/>
  <c r="W2638" i="2"/>
  <c r="Z2637" i="2"/>
  <c r="Y2637" i="2"/>
  <c r="X2637" i="2"/>
  <c r="W2637" i="2"/>
  <c r="Z2636" i="2"/>
  <c r="Y2636" i="2"/>
  <c r="X2636" i="2"/>
  <c r="W2636" i="2"/>
  <c r="Z2635" i="2"/>
  <c r="Y2635" i="2"/>
  <c r="X2635" i="2"/>
  <c r="W2635" i="2"/>
  <c r="Z2634" i="2"/>
  <c r="Y2634" i="2"/>
  <c r="X2634" i="2"/>
  <c r="W2634" i="2"/>
  <c r="Z2633" i="2"/>
  <c r="Y2633" i="2"/>
  <c r="X2633" i="2"/>
  <c r="W2633" i="2"/>
  <c r="Z2632" i="2"/>
  <c r="Y2632" i="2"/>
  <c r="X2632" i="2"/>
  <c r="W2632" i="2"/>
  <c r="Z2631" i="2"/>
  <c r="Y2631" i="2"/>
  <c r="X2631" i="2"/>
  <c r="W2631" i="2"/>
  <c r="Z2630" i="2"/>
  <c r="Y2630" i="2"/>
  <c r="X2630" i="2"/>
  <c r="W2630" i="2"/>
  <c r="Z2629" i="2"/>
  <c r="Y2629" i="2"/>
  <c r="X2629" i="2"/>
  <c r="W2629" i="2"/>
  <c r="Z2628" i="2"/>
  <c r="Y2628" i="2"/>
  <c r="X2628" i="2"/>
  <c r="W2628" i="2"/>
  <c r="Z2627" i="2"/>
  <c r="Y2627" i="2"/>
  <c r="X2627" i="2"/>
  <c r="W2627" i="2"/>
  <c r="Z2626" i="2"/>
  <c r="Y2626" i="2"/>
  <c r="X2626" i="2"/>
  <c r="W2626" i="2"/>
  <c r="Z2625" i="2"/>
  <c r="Y2625" i="2"/>
  <c r="X2625" i="2"/>
  <c r="W2625" i="2"/>
  <c r="Z2624" i="2"/>
  <c r="Y2624" i="2"/>
  <c r="X2624" i="2"/>
  <c r="W2624" i="2"/>
  <c r="Z2623" i="2"/>
  <c r="Y2623" i="2"/>
  <c r="X2623" i="2"/>
  <c r="W2623" i="2"/>
  <c r="Z2622" i="2"/>
  <c r="Y2622" i="2"/>
  <c r="X2622" i="2"/>
  <c r="W2622" i="2"/>
  <c r="Z2621" i="2"/>
  <c r="Y2621" i="2"/>
  <c r="X2621" i="2"/>
  <c r="W2621" i="2"/>
  <c r="Z2620" i="2"/>
  <c r="Y2620" i="2"/>
  <c r="X2620" i="2"/>
  <c r="W2620" i="2"/>
  <c r="Z2619" i="2"/>
  <c r="Y2619" i="2"/>
  <c r="X2619" i="2"/>
  <c r="W2619" i="2"/>
  <c r="Z2618" i="2"/>
  <c r="Y2618" i="2"/>
  <c r="X2618" i="2"/>
  <c r="W2618" i="2"/>
  <c r="Z2617" i="2"/>
  <c r="Y2617" i="2"/>
  <c r="X2617" i="2"/>
  <c r="W2617" i="2"/>
  <c r="Z2616" i="2"/>
  <c r="Y2616" i="2"/>
  <c r="X2616" i="2"/>
  <c r="W2616" i="2"/>
  <c r="Z2615" i="2"/>
  <c r="Y2615" i="2"/>
  <c r="X2615" i="2"/>
  <c r="W2615" i="2"/>
  <c r="Z2614" i="2"/>
  <c r="Y2614" i="2"/>
  <c r="X2614" i="2"/>
  <c r="W2614" i="2"/>
  <c r="Z2613" i="2"/>
  <c r="Y2613" i="2"/>
  <c r="X2613" i="2"/>
  <c r="W2613" i="2"/>
  <c r="Z2612" i="2"/>
  <c r="Y2612" i="2"/>
  <c r="X2612" i="2"/>
  <c r="W2612" i="2"/>
  <c r="Z2611" i="2"/>
  <c r="Y2611" i="2"/>
  <c r="X2611" i="2"/>
  <c r="W2611" i="2"/>
  <c r="Z2610" i="2"/>
  <c r="Y2610" i="2"/>
  <c r="X2610" i="2"/>
  <c r="W2610" i="2"/>
  <c r="Z2609" i="2"/>
  <c r="Y2609" i="2"/>
  <c r="X2609" i="2"/>
  <c r="W2609" i="2"/>
  <c r="Z2608" i="2"/>
  <c r="Y2608" i="2"/>
  <c r="X2608" i="2"/>
  <c r="W2608" i="2"/>
  <c r="Z2607" i="2"/>
  <c r="Y2607" i="2"/>
  <c r="X2607" i="2"/>
  <c r="W2607" i="2"/>
  <c r="Z2606" i="2"/>
  <c r="Y2606" i="2"/>
  <c r="X2606" i="2"/>
  <c r="W2606" i="2"/>
  <c r="Z2605" i="2"/>
  <c r="Y2605" i="2"/>
  <c r="X2605" i="2"/>
  <c r="W2605" i="2"/>
  <c r="Z2604" i="2"/>
  <c r="Y2604" i="2"/>
  <c r="X2604" i="2"/>
  <c r="W2604" i="2"/>
  <c r="Z2603" i="2"/>
  <c r="Y2603" i="2"/>
  <c r="X2603" i="2"/>
  <c r="W2603" i="2"/>
  <c r="Z2602" i="2"/>
  <c r="Y2602" i="2"/>
  <c r="X2602" i="2"/>
  <c r="W2602" i="2"/>
  <c r="Z2601" i="2"/>
  <c r="Y2601" i="2"/>
  <c r="X2601" i="2"/>
  <c r="W2601" i="2"/>
  <c r="Z2600" i="2"/>
  <c r="Y2600" i="2"/>
  <c r="X2600" i="2"/>
  <c r="W2600" i="2"/>
  <c r="Z2599" i="2"/>
  <c r="Y2599" i="2"/>
  <c r="X2599" i="2"/>
  <c r="W2599" i="2"/>
  <c r="Z2598" i="2"/>
  <c r="Y2598" i="2"/>
  <c r="X2598" i="2"/>
  <c r="W2598" i="2"/>
  <c r="Z2597" i="2"/>
  <c r="Y2597" i="2"/>
  <c r="X2597" i="2"/>
  <c r="W2597" i="2"/>
  <c r="Z2596" i="2"/>
  <c r="Y2596" i="2"/>
  <c r="X2596" i="2"/>
  <c r="W2596" i="2"/>
  <c r="Z2595" i="2"/>
  <c r="Y2595" i="2"/>
  <c r="X2595" i="2"/>
  <c r="W2595" i="2"/>
  <c r="Z2594" i="2"/>
  <c r="Y2594" i="2"/>
  <c r="X2594" i="2"/>
  <c r="W2594" i="2"/>
  <c r="Z2593" i="2"/>
  <c r="Y2593" i="2"/>
  <c r="X2593" i="2"/>
  <c r="W2593" i="2"/>
  <c r="Z2592" i="2"/>
  <c r="Y2592" i="2"/>
  <c r="X2592" i="2"/>
  <c r="W2592" i="2"/>
  <c r="Z2591" i="2"/>
  <c r="Y2591" i="2"/>
  <c r="X2591" i="2"/>
  <c r="W2591" i="2"/>
  <c r="Z2590" i="2"/>
  <c r="Y2590" i="2"/>
  <c r="X2590" i="2"/>
  <c r="W2590" i="2"/>
  <c r="Z2589" i="2"/>
  <c r="Y2589" i="2"/>
  <c r="X2589" i="2"/>
  <c r="W2589" i="2"/>
  <c r="Z2588" i="2"/>
  <c r="Y2588" i="2"/>
  <c r="X2588" i="2"/>
  <c r="W2588" i="2"/>
  <c r="Z2587" i="2"/>
  <c r="Y2587" i="2"/>
  <c r="X2587" i="2"/>
  <c r="W2587" i="2"/>
  <c r="Z2586" i="2"/>
  <c r="Y2586" i="2"/>
  <c r="X2586" i="2"/>
  <c r="W2586" i="2"/>
  <c r="Z2585" i="2"/>
  <c r="Y2585" i="2"/>
  <c r="X2585" i="2"/>
  <c r="W2585" i="2"/>
  <c r="Z2584" i="2"/>
  <c r="Y2584" i="2"/>
  <c r="X2584" i="2"/>
  <c r="W2584" i="2"/>
  <c r="Z2583" i="2"/>
  <c r="Y2583" i="2"/>
  <c r="X2583" i="2"/>
  <c r="W2583" i="2"/>
  <c r="Z2582" i="2"/>
  <c r="Y2582" i="2"/>
  <c r="X2582" i="2"/>
  <c r="W2582" i="2"/>
  <c r="Z2581" i="2"/>
  <c r="Y2581" i="2"/>
  <c r="X2581" i="2"/>
  <c r="W2581" i="2"/>
  <c r="Z2580" i="2"/>
  <c r="Y2580" i="2"/>
  <c r="X2580" i="2"/>
  <c r="W2580" i="2"/>
  <c r="Z2579" i="2"/>
  <c r="Y2579" i="2"/>
  <c r="X2579" i="2"/>
  <c r="W2579" i="2"/>
  <c r="Z2578" i="2"/>
  <c r="Y2578" i="2"/>
  <c r="X2578" i="2"/>
  <c r="W2578" i="2"/>
  <c r="Z2577" i="2"/>
  <c r="Y2577" i="2"/>
  <c r="X2577" i="2"/>
  <c r="W2577" i="2"/>
  <c r="Z2576" i="2"/>
  <c r="Y2576" i="2"/>
  <c r="X2576" i="2"/>
  <c r="W2576" i="2"/>
  <c r="Z2575" i="2"/>
  <c r="Y2575" i="2"/>
  <c r="X2575" i="2"/>
  <c r="W2575" i="2"/>
  <c r="Z2574" i="2"/>
  <c r="Y2574" i="2"/>
  <c r="X2574" i="2"/>
  <c r="W2574" i="2"/>
  <c r="Z2573" i="2"/>
  <c r="Y2573" i="2"/>
  <c r="X2573" i="2"/>
  <c r="W2573" i="2"/>
  <c r="Z2572" i="2"/>
  <c r="Y2572" i="2"/>
  <c r="X2572" i="2"/>
  <c r="W2572" i="2"/>
  <c r="Z2571" i="2"/>
  <c r="Y2571" i="2"/>
  <c r="X2571" i="2"/>
  <c r="W2571" i="2"/>
  <c r="Z2570" i="2"/>
  <c r="Y2570" i="2"/>
  <c r="X2570" i="2"/>
  <c r="W2570" i="2"/>
  <c r="Z2569" i="2"/>
  <c r="Y2569" i="2"/>
  <c r="X2569" i="2"/>
  <c r="W2569" i="2"/>
  <c r="Z2568" i="2"/>
  <c r="Y2568" i="2"/>
  <c r="X2568" i="2"/>
  <c r="W2568" i="2"/>
  <c r="Z2567" i="2"/>
  <c r="Y2567" i="2"/>
  <c r="X2567" i="2"/>
  <c r="W2567" i="2"/>
  <c r="Z2566" i="2"/>
  <c r="Y2566" i="2"/>
  <c r="X2566" i="2"/>
  <c r="W2566" i="2"/>
  <c r="Z2565" i="2"/>
  <c r="Y2565" i="2"/>
  <c r="X2565" i="2"/>
  <c r="W2565" i="2"/>
  <c r="Z2564" i="2"/>
  <c r="Y2564" i="2"/>
  <c r="X2564" i="2"/>
  <c r="W2564" i="2"/>
  <c r="Z2563" i="2"/>
  <c r="Y2563" i="2"/>
  <c r="X2563" i="2"/>
  <c r="W2563" i="2"/>
  <c r="Z2562" i="2"/>
  <c r="Y2562" i="2"/>
  <c r="X2562" i="2"/>
  <c r="W2562" i="2"/>
  <c r="Z2561" i="2"/>
  <c r="Y2561" i="2"/>
  <c r="X2561" i="2"/>
  <c r="W2561" i="2"/>
  <c r="Z2560" i="2"/>
  <c r="Y2560" i="2"/>
  <c r="X2560" i="2"/>
  <c r="W2560" i="2"/>
  <c r="Z2559" i="2"/>
  <c r="Y2559" i="2"/>
  <c r="X2559" i="2"/>
  <c r="W2559" i="2"/>
  <c r="Z2558" i="2"/>
  <c r="Y2558" i="2"/>
  <c r="X2558" i="2"/>
  <c r="W2558" i="2"/>
  <c r="Z2557" i="2"/>
  <c r="Y2557" i="2"/>
  <c r="X2557" i="2"/>
  <c r="W2557" i="2"/>
  <c r="Z2556" i="2"/>
  <c r="Y2556" i="2"/>
  <c r="X2556" i="2"/>
  <c r="W2556" i="2"/>
  <c r="Z2555" i="2"/>
  <c r="Y2555" i="2"/>
  <c r="X2555" i="2"/>
  <c r="W2555" i="2"/>
  <c r="Z2554" i="2"/>
  <c r="Y2554" i="2"/>
  <c r="X2554" i="2"/>
  <c r="W2554" i="2"/>
  <c r="Z2553" i="2"/>
  <c r="Y2553" i="2"/>
  <c r="X2553" i="2"/>
  <c r="W2553" i="2"/>
  <c r="Z2552" i="2"/>
  <c r="Y2552" i="2"/>
  <c r="X2552" i="2"/>
  <c r="W2552" i="2"/>
  <c r="Z2551" i="2"/>
  <c r="Y2551" i="2"/>
  <c r="X2551" i="2"/>
  <c r="W2551" i="2"/>
  <c r="Z2550" i="2"/>
  <c r="Y2550" i="2"/>
  <c r="X2550" i="2"/>
  <c r="W2550" i="2"/>
  <c r="Z2549" i="2"/>
  <c r="Y2549" i="2"/>
  <c r="X2549" i="2"/>
  <c r="W2549" i="2"/>
  <c r="Z2548" i="2"/>
  <c r="Y2548" i="2"/>
  <c r="X2548" i="2"/>
  <c r="W2548" i="2"/>
  <c r="Z2547" i="2"/>
  <c r="Y2547" i="2"/>
  <c r="X2547" i="2"/>
  <c r="W2547" i="2"/>
  <c r="Z2546" i="2"/>
  <c r="Y2546" i="2"/>
  <c r="X2546" i="2"/>
  <c r="W2546" i="2"/>
  <c r="Z2545" i="2"/>
  <c r="Y2545" i="2"/>
  <c r="X2545" i="2"/>
  <c r="W2545" i="2"/>
  <c r="Z2544" i="2"/>
  <c r="Y2544" i="2"/>
  <c r="X2544" i="2"/>
  <c r="W2544" i="2"/>
  <c r="Z2543" i="2"/>
  <c r="Y2543" i="2"/>
  <c r="X2543" i="2"/>
  <c r="W2543" i="2"/>
  <c r="Z2542" i="2"/>
  <c r="Y2542" i="2"/>
  <c r="X2542" i="2"/>
  <c r="W2542" i="2"/>
  <c r="Z2541" i="2"/>
  <c r="Y2541" i="2"/>
  <c r="X2541" i="2"/>
  <c r="W2541" i="2"/>
  <c r="Z2540" i="2"/>
  <c r="Y2540" i="2"/>
  <c r="X2540" i="2"/>
  <c r="W2540" i="2"/>
  <c r="Z2539" i="2"/>
  <c r="Y2539" i="2"/>
  <c r="X2539" i="2"/>
  <c r="W2539" i="2"/>
  <c r="Z2538" i="2"/>
  <c r="Y2538" i="2"/>
  <c r="X2538" i="2"/>
  <c r="W2538" i="2"/>
  <c r="Z2537" i="2"/>
  <c r="Y2537" i="2"/>
  <c r="X2537" i="2"/>
  <c r="W2537" i="2"/>
  <c r="Z2536" i="2"/>
  <c r="Y2536" i="2"/>
  <c r="X2536" i="2"/>
  <c r="W2536" i="2"/>
  <c r="Z2535" i="2"/>
  <c r="Y2535" i="2"/>
  <c r="X2535" i="2"/>
  <c r="W2535" i="2"/>
  <c r="Z2534" i="2"/>
  <c r="Y2534" i="2"/>
  <c r="X2534" i="2"/>
  <c r="W2534" i="2"/>
  <c r="Z2533" i="2"/>
  <c r="Y2533" i="2"/>
  <c r="X2533" i="2"/>
  <c r="W2533" i="2"/>
  <c r="Z2532" i="2"/>
  <c r="Y2532" i="2"/>
  <c r="X2532" i="2"/>
  <c r="W2532" i="2"/>
  <c r="Z2531" i="2"/>
  <c r="Y2531" i="2"/>
  <c r="X2531" i="2"/>
  <c r="W2531" i="2"/>
  <c r="Z2530" i="2"/>
  <c r="Y2530" i="2"/>
  <c r="X2530" i="2"/>
  <c r="W2530" i="2"/>
  <c r="Z2529" i="2"/>
  <c r="Y2529" i="2"/>
  <c r="X2529" i="2"/>
  <c r="W2529" i="2"/>
  <c r="Z2528" i="2"/>
  <c r="Y2528" i="2"/>
  <c r="X2528" i="2"/>
  <c r="W2528" i="2"/>
  <c r="Z2527" i="2"/>
  <c r="Y2527" i="2"/>
  <c r="X2527" i="2"/>
  <c r="W2527" i="2"/>
  <c r="Z2526" i="2"/>
  <c r="Y2526" i="2"/>
  <c r="X2526" i="2"/>
  <c r="W2526" i="2"/>
  <c r="Z2525" i="2"/>
  <c r="Y2525" i="2"/>
  <c r="X2525" i="2"/>
  <c r="W2525" i="2"/>
  <c r="Z2524" i="2"/>
  <c r="Y2524" i="2"/>
  <c r="X2524" i="2"/>
  <c r="W2524" i="2"/>
  <c r="Z2523" i="2"/>
  <c r="Y2523" i="2"/>
  <c r="X2523" i="2"/>
  <c r="W2523" i="2"/>
  <c r="Z2522" i="2"/>
  <c r="Y2522" i="2"/>
  <c r="X2522" i="2"/>
  <c r="W2522" i="2"/>
  <c r="Z2521" i="2"/>
  <c r="Y2521" i="2"/>
  <c r="X2521" i="2"/>
  <c r="W2521" i="2"/>
  <c r="Z2520" i="2"/>
  <c r="Y2520" i="2"/>
  <c r="X2520" i="2"/>
  <c r="W2520" i="2"/>
  <c r="Z2519" i="2"/>
  <c r="Y2519" i="2"/>
  <c r="X2519" i="2"/>
  <c r="W2519" i="2"/>
  <c r="Z2518" i="2"/>
  <c r="Y2518" i="2"/>
  <c r="X2518" i="2"/>
  <c r="W2518" i="2"/>
  <c r="Z2517" i="2"/>
  <c r="Y2517" i="2"/>
  <c r="X2517" i="2"/>
  <c r="W2517" i="2"/>
  <c r="Z2516" i="2"/>
  <c r="Y2516" i="2"/>
  <c r="X2516" i="2"/>
  <c r="W2516" i="2"/>
  <c r="Z2515" i="2"/>
  <c r="Y2515" i="2"/>
  <c r="X2515" i="2"/>
  <c r="W2515" i="2"/>
  <c r="Z2514" i="2"/>
  <c r="Y2514" i="2"/>
  <c r="X2514" i="2"/>
  <c r="W2514" i="2"/>
  <c r="Z2513" i="2"/>
  <c r="Y2513" i="2"/>
  <c r="X2513" i="2"/>
  <c r="W2513" i="2"/>
  <c r="Z2512" i="2"/>
  <c r="Y2512" i="2"/>
  <c r="X2512" i="2"/>
  <c r="W2512" i="2"/>
  <c r="Z2511" i="2"/>
  <c r="Y2511" i="2"/>
  <c r="X2511" i="2"/>
  <c r="W2511" i="2"/>
  <c r="Z2510" i="2"/>
  <c r="Y2510" i="2"/>
  <c r="X2510" i="2"/>
  <c r="W2510" i="2"/>
  <c r="Z2509" i="2"/>
  <c r="Y2509" i="2"/>
  <c r="X2509" i="2"/>
  <c r="W2509" i="2"/>
  <c r="Z2508" i="2"/>
  <c r="Y2508" i="2"/>
  <c r="X2508" i="2"/>
  <c r="W2508" i="2"/>
  <c r="Z2507" i="2"/>
  <c r="Y2507" i="2"/>
  <c r="X2507" i="2"/>
  <c r="W2507" i="2"/>
  <c r="Z2506" i="2"/>
  <c r="Y2506" i="2"/>
  <c r="X2506" i="2"/>
  <c r="W2506" i="2"/>
  <c r="Z2505" i="2"/>
  <c r="Y2505" i="2"/>
  <c r="X2505" i="2"/>
  <c r="W2505" i="2"/>
  <c r="Z2504" i="2"/>
  <c r="Y2504" i="2"/>
  <c r="X2504" i="2"/>
  <c r="W2504" i="2"/>
  <c r="Z2503" i="2"/>
  <c r="Y2503" i="2"/>
  <c r="X2503" i="2"/>
  <c r="W2503" i="2"/>
  <c r="Z2502" i="2"/>
  <c r="Y2502" i="2"/>
  <c r="X2502" i="2"/>
  <c r="W2502" i="2"/>
  <c r="Z2501" i="2"/>
  <c r="Y2501" i="2"/>
  <c r="X2501" i="2"/>
  <c r="W2501" i="2"/>
  <c r="Z2500" i="2"/>
  <c r="Y2500" i="2"/>
  <c r="X2500" i="2"/>
  <c r="W2500" i="2"/>
  <c r="Z2499" i="2"/>
  <c r="Y2499" i="2"/>
  <c r="X2499" i="2"/>
  <c r="W2499" i="2"/>
  <c r="Z2498" i="2"/>
  <c r="Y2498" i="2"/>
  <c r="X2498" i="2"/>
  <c r="W2498" i="2"/>
  <c r="Z2497" i="2"/>
  <c r="Y2497" i="2"/>
  <c r="X2497" i="2"/>
  <c r="W2497" i="2"/>
  <c r="Z2496" i="2"/>
  <c r="Y2496" i="2"/>
  <c r="X2496" i="2"/>
  <c r="W2496" i="2"/>
  <c r="Z2495" i="2"/>
  <c r="Y2495" i="2"/>
  <c r="X2495" i="2"/>
  <c r="W2495" i="2"/>
  <c r="Z2494" i="2"/>
  <c r="Y2494" i="2"/>
  <c r="X2494" i="2"/>
  <c r="W2494" i="2"/>
  <c r="Z2493" i="2"/>
  <c r="Y2493" i="2"/>
  <c r="X2493" i="2"/>
  <c r="W2493" i="2"/>
  <c r="Z2492" i="2"/>
  <c r="Y2492" i="2"/>
  <c r="X2492" i="2"/>
  <c r="W2492" i="2"/>
  <c r="Z2491" i="2"/>
  <c r="Y2491" i="2"/>
  <c r="X2491" i="2"/>
  <c r="W2491" i="2"/>
  <c r="Z2490" i="2"/>
  <c r="Y2490" i="2"/>
  <c r="X2490" i="2"/>
  <c r="W2490" i="2"/>
  <c r="Z2489" i="2"/>
  <c r="Y2489" i="2"/>
  <c r="X2489" i="2"/>
  <c r="W2489" i="2"/>
  <c r="Z2488" i="2"/>
  <c r="Y2488" i="2"/>
  <c r="X2488" i="2"/>
  <c r="W2488" i="2"/>
  <c r="Z2487" i="2"/>
  <c r="Y2487" i="2"/>
  <c r="X2487" i="2"/>
  <c r="W2487" i="2"/>
  <c r="Z2486" i="2"/>
  <c r="Y2486" i="2"/>
  <c r="X2486" i="2"/>
  <c r="W2486" i="2"/>
  <c r="Z2485" i="2"/>
  <c r="Y2485" i="2"/>
  <c r="X2485" i="2"/>
  <c r="W2485" i="2"/>
  <c r="Z2484" i="2"/>
  <c r="Y2484" i="2"/>
  <c r="X2484" i="2"/>
  <c r="W2484" i="2"/>
  <c r="Z2483" i="2"/>
  <c r="Y2483" i="2"/>
  <c r="X2483" i="2"/>
  <c r="W2483" i="2"/>
  <c r="Z2482" i="2"/>
  <c r="Y2482" i="2"/>
  <c r="X2482" i="2"/>
  <c r="W2482" i="2"/>
  <c r="Z2481" i="2"/>
  <c r="Y2481" i="2"/>
  <c r="X2481" i="2"/>
  <c r="W2481" i="2"/>
  <c r="Z2480" i="2"/>
  <c r="Y2480" i="2"/>
  <c r="X2480" i="2"/>
  <c r="W2480" i="2"/>
  <c r="Z2479" i="2"/>
  <c r="Y2479" i="2"/>
  <c r="X2479" i="2"/>
  <c r="W2479" i="2"/>
  <c r="Z2478" i="2"/>
  <c r="Y2478" i="2"/>
  <c r="X2478" i="2"/>
  <c r="W2478" i="2"/>
  <c r="Z2477" i="2"/>
  <c r="Y2477" i="2"/>
  <c r="X2477" i="2"/>
  <c r="W2477" i="2"/>
  <c r="Z2476" i="2"/>
  <c r="Y2476" i="2"/>
  <c r="X2476" i="2"/>
  <c r="W2476" i="2"/>
  <c r="Z2475" i="2"/>
  <c r="Y2475" i="2"/>
  <c r="X2475" i="2"/>
  <c r="W2475" i="2"/>
  <c r="Z2474" i="2"/>
  <c r="Y2474" i="2"/>
  <c r="X2474" i="2"/>
  <c r="W2474" i="2"/>
  <c r="Z2473" i="2"/>
  <c r="Y2473" i="2"/>
  <c r="X2473" i="2"/>
  <c r="W2473" i="2"/>
  <c r="Z2472" i="2"/>
  <c r="Y2472" i="2"/>
  <c r="X2472" i="2"/>
  <c r="W2472" i="2"/>
  <c r="Z2471" i="2"/>
  <c r="Y2471" i="2"/>
  <c r="X2471" i="2"/>
  <c r="W2471" i="2"/>
  <c r="Z2470" i="2"/>
  <c r="Y2470" i="2"/>
  <c r="X2470" i="2"/>
  <c r="W2470" i="2"/>
  <c r="Z2469" i="2"/>
  <c r="Y2469" i="2"/>
  <c r="X2469" i="2"/>
  <c r="W2469" i="2"/>
  <c r="Z2468" i="2"/>
  <c r="Y2468" i="2"/>
  <c r="X2468" i="2"/>
  <c r="W2468" i="2"/>
  <c r="Z2467" i="2"/>
  <c r="Y2467" i="2"/>
  <c r="X2467" i="2"/>
  <c r="W2467" i="2"/>
  <c r="Z2466" i="2"/>
  <c r="Y2466" i="2"/>
  <c r="X2466" i="2"/>
  <c r="W2466" i="2"/>
  <c r="Z2465" i="2"/>
  <c r="Y2465" i="2"/>
  <c r="X2465" i="2"/>
  <c r="W2465" i="2"/>
  <c r="Z2464" i="2"/>
  <c r="Y2464" i="2"/>
  <c r="X2464" i="2"/>
  <c r="W2464" i="2"/>
  <c r="Z2463" i="2"/>
  <c r="Y2463" i="2"/>
  <c r="X2463" i="2"/>
  <c r="W2463" i="2"/>
  <c r="Z2462" i="2"/>
  <c r="Y2462" i="2"/>
  <c r="X2462" i="2"/>
  <c r="W2462" i="2"/>
  <c r="Z2461" i="2"/>
  <c r="Y2461" i="2"/>
  <c r="X2461" i="2"/>
  <c r="W2461" i="2"/>
  <c r="Z2460" i="2"/>
  <c r="Y2460" i="2"/>
  <c r="X2460" i="2"/>
  <c r="W2460" i="2"/>
  <c r="Z2459" i="2"/>
  <c r="Y2459" i="2"/>
  <c r="X2459" i="2"/>
  <c r="W2459" i="2"/>
  <c r="Z2458" i="2"/>
  <c r="Y2458" i="2"/>
  <c r="X2458" i="2"/>
  <c r="W2458" i="2"/>
  <c r="Z2457" i="2"/>
  <c r="Y2457" i="2"/>
  <c r="X2457" i="2"/>
  <c r="W2457" i="2"/>
  <c r="Z2456" i="2"/>
  <c r="Y2456" i="2"/>
  <c r="X2456" i="2"/>
  <c r="W2456" i="2"/>
  <c r="Z2455" i="2"/>
  <c r="Y2455" i="2"/>
  <c r="X2455" i="2"/>
  <c r="W2455" i="2"/>
  <c r="Z2454" i="2"/>
  <c r="Y2454" i="2"/>
  <c r="X2454" i="2"/>
  <c r="W2454" i="2"/>
  <c r="Z2453" i="2"/>
  <c r="Y2453" i="2"/>
  <c r="X2453" i="2"/>
  <c r="W2453" i="2"/>
  <c r="Z2452" i="2"/>
  <c r="Y2452" i="2"/>
  <c r="X2452" i="2"/>
  <c r="W2452" i="2"/>
  <c r="Z2451" i="2"/>
  <c r="Y2451" i="2"/>
  <c r="X2451" i="2"/>
  <c r="W2451" i="2"/>
  <c r="Z2450" i="2"/>
  <c r="Y2450" i="2"/>
  <c r="X2450" i="2"/>
  <c r="W2450" i="2"/>
  <c r="Z2449" i="2"/>
  <c r="Y2449" i="2"/>
  <c r="X2449" i="2"/>
  <c r="W2449" i="2"/>
  <c r="Z2448" i="2"/>
  <c r="Y2448" i="2"/>
  <c r="X2448" i="2"/>
  <c r="W2448" i="2"/>
  <c r="Z2447" i="2"/>
  <c r="Y2447" i="2"/>
  <c r="X2447" i="2"/>
  <c r="W2447" i="2"/>
  <c r="Z2446" i="2"/>
  <c r="Y2446" i="2"/>
  <c r="X2446" i="2"/>
  <c r="W2446" i="2"/>
  <c r="Z2445" i="2"/>
  <c r="Y2445" i="2"/>
  <c r="X2445" i="2"/>
  <c r="W2445" i="2"/>
  <c r="Z2444" i="2"/>
  <c r="Y2444" i="2"/>
  <c r="X2444" i="2"/>
  <c r="W2444" i="2"/>
  <c r="Z2443" i="2"/>
  <c r="Y2443" i="2"/>
  <c r="X2443" i="2"/>
  <c r="W2443" i="2"/>
  <c r="Z2442" i="2"/>
  <c r="Y2442" i="2"/>
  <c r="X2442" i="2"/>
  <c r="W2442" i="2"/>
  <c r="Z2441" i="2"/>
  <c r="Y2441" i="2"/>
  <c r="X2441" i="2"/>
  <c r="W2441" i="2"/>
  <c r="Z2440" i="2"/>
  <c r="Y2440" i="2"/>
  <c r="X2440" i="2"/>
  <c r="W2440" i="2"/>
  <c r="Z2439" i="2"/>
  <c r="Y2439" i="2"/>
  <c r="X2439" i="2"/>
  <c r="W2439" i="2"/>
  <c r="Z2438" i="2"/>
  <c r="Y2438" i="2"/>
  <c r="X2438" i="2"/>
  <c r="W2438" i="2"/>
  <c r="Z2437" i="2"/>
  <c r="Y2437" i="2"/>
  <c r="X2437" i="2"/>
  <c r="W2437" i="2"/>
  <c r="Z2436" i="2"/>
  <c r="Y2436" i="2"/>
  <c r="X2436" i="2"/>
  <c r="W2436" i="2"/>
  <c r="Z2435" i="2"/>
  <c r="Y2435" i="2"/>
  <c r="X2435" i="2"/>
  <c r="W2435" i="2"/>
  <c r="Z2434" i="2"/>
  <c r="Y2434" i="2"/>
  <c r="X2434" i="2"/>
  <c r="W2434" i="2"/>
  <c r="Z2433" i="2"/>
  <c r="Y2433" i="2"/>
  <c r="X2433" i="2"/>
  <c r="W2433" i="2"/>
  <c r="Z2432" i="2"/>
  <c r="Y2432" i="2"/>
  <c r="X2432" i="2"/>
  <c r="W2432" i="2"/>
  <c r="Z2431" i="2"/>
  <c r="Y2431" i="2"/>
  <c r="X2431" i="2"/>
  <c r="W2431" i="2"/>
  <c r="Z2430" i="2"/>
  <c r="Y2430" i="2"/>
  <c r="X2430" i="2"/>
  <c r="W2430" i="2"/>
  <c r="Z2429" i="2"/>
  <c r="Y2429" i="2"/>
  <c r="X2429" i="2"/>
  <c r="W2429" i="2"/>
  <c r="Z2428" i="2"/>
  <c r="Y2428" i="2"/>
  <c r="X2428" i="2"/>
  <c r="W2428" i="2"/>
  <c r="Z2427" i="2"/>
  <c r="Y2427" i="2"/>
  <c r="X2427" i="2"/>
  <c r="W2427" i="2"/>
  <c r="Z2426" i="2"/>
  <c r="Y2426" i="2"/>
  <c r="X2426" i="2"/>
  <c r="W2426" i="2"/>
  <c r="Z2425" i="2"/>
  <c r="Y2425" i="2"/>
  <c r="X2425" i="2"/>
  <c r="W2425" i="2"/>
  <c r="Z2424" i="2"/>
  <c r="Y2424" i="2"/>
  <c r="X2424" i="2"/>
  <c r="W2424" i="2"/>
  <c r="Z2423" i="2"/>
  <c r="Y2423" i="2"/>
  <c r="X2423" i="2"/>
  <c r="W2423" i="2"/>
  <c r="Z2422" i="2"/>
  <c r="Y2422" i="2"/>
  <c r="X2422" i="2"/>
  <c r="W2422" i="2"/>
  <c r="Z2421" i="2"/>
  <c r="Y2421" i="2"/>
  <c r="X2421" i="2"/>
  <c r="W2421" i="2"/>
  <c r="Z2420" i="2"/>
  <c r="Y2420" i="2"/>
  <c r="X2420" i="2"/>
  <c r="W2420" i="2"/>
  <c r="Z2419" i="2"/>
  <c r="Y2419" i="2"/>
  <c r="X2419" i="2"/>
  <c r="W2419" i="2"/>
  <c r="Z2418" i="2"/>
  <c r="Y2418" i="2"/>
  <c r="X2418" i="2"/>
  <c r="W2418" i="2"/>
  <c r="Z2417" i="2"/>
  <c r="Y2417" i="2"/>
  <c r="X2417" i="2"/>
  <c r="W2417" i="2"/>
  <c r="Z2416" i="2"/>
  <c r="Y2416" i="2"/>
  <c r="X2416" i="2"/>
  <c r="W2416" i="2"/>
  <c r="Z2415" i="2"/>
  <c r="Y2415" i="2"/>
  <c r="X2415" i="2"/>
  <c r="W2415" i="2"/>
  <c r="Z2414" i="2"/>
  <c r="Y2414" i="2"/>
  <c r="X2414" i="2"/>
  <c r="W2414" i="2"/>
  <c r="Z2413" i="2"/>
  <c r="Y2413" i="2"/>
  <c r="X2413" i="2"/>
  <c r="W2413" i="2"/>
  <c r="Z2412" i="2"/>
  <c r="Y2412" i="2"/>
  <c r="X2412" i="2"/>
  <c r="W2412" i="2"/>
  <c r="Z2411" i="2"/>
  <c r="Y2411" i="2"/>
  <c r="X2411" i="2"/>
  <c r="W2411" i="2"/>
  <c r="Z2410" i="2"/>
  <c r="Y2410" i="2"/>
  <c r="X2410" i="2"/>
  <c r="W2410" i="2"/>
  <c r="Z2409" i="2"/>
  <c r="Y2409" i="2"/>
  <c r="X2409" i="2"/>
  <c r="W2409" i="2"/>
  <c r="Z2408" i="2"/>
  <c r="Y2408" i="2"/>
  <c r="X2408" i="2"/>
  <c r="W2408" i="2"/>
  <c r="Z2407" i="2"/>
  <c r="Y2407" i="2"/>
  <c r="X2407" i="2"/>
  <c r="W2407" i="2"/>
  <c r="Z2406" i="2"/>
  <c r="Y2406" i="2"/>
  <c r="X2406" i="2"/>
  <c r="W2406" i="2"/>
  <c r="Z2405" i="2"/>
  <c r="Y2405" i="2"/>
  <c r="X2405" i="2"/>
  <c r="W2405" i="2"/>
  <c r="Z2404" i="2"/>
  <c r="Y2404" i="2"/>
  <c r="X2404" i="2"/>
  <c r="W2404" i="2"/>
  <c r="Z2403" i="2"/>
  <c r="Y2403" i="2"/>
  <c r="X2403" i="2"/>
  <c r="W2403" i="2"/>
  <c r="Z2402" i="2"/>
  <c r="Y2402" i="2"/>
  <c r="X2402" i="2"/>
  <c r="W2402" i="2"/>
  <c r="Z2401" i="2"/>
  <c r="Y2401" i="2"/>
  <c r="X2401" i="2"/>
  <c r="W2401" i="2"/>
  <c r="Z2400" i="2"/>
  <c r="Y2400" i="2"/>
  <c r="X2400" i="2"/>
  <c r="W2400" i="2"/>
  <c r="Z2399" i="2"/>
  <c r="Y2399" i="2"/>
  <c r="X2399" i="2"/>
  <c r="W2399" i="2"/>
  <c r="Z2398" i="2"/>
  <c r="Y2398" i="2"/>
  <c r="X2398" i="2"/>
  <c r="W2398" i="2"/>
  <c r="Z2397" i="2"/>
  <c r="Y2397" i="2"/>
  <c r="X2397" i="2"/>
  <c r="W2397" i="2"/>
  <c r="Z2396" i="2"/>
  <c r="Y2396" i="2"/>
  <c r="X2396" i="2"/>
  <c r="W2396" i="2"/>
  <c r="Z2395" i="2"/>
  <c r="Y2395" i="2"/>
  <c r="X2395" i="2"/>
  <c r="W2395" i="2"/>
  <c r="Z2394" i="2"/>
  <c r="Y2394" i="2"/>
  <c r="X2394" i="2"/>
  <c r="W2394" i="2"/>
  <c r="Z2393" i="2"/>
  <c r="Y2393" i="2"/>
  <c r="X2393" i="2"/>
  <c r="W2393" i="2"/>
  <c r="Z2392" i="2"/>
  <c r="Y2392" i="2"/>
  <c r="X2392" i="2"/>
  <c r="W2392" i="2"/>
  <c r="Z2391" i="2"/>
  <c r="Y2391" i="2"/>
  <c r="X2391" i="2"/>
  <c r="W2391" i="2"/>
  <c r="Z2390" i="2"/>
  <c r="Y2390" i="2"/>
  <c r="X2390" i="2"/>
  <c r="W2390" i="2"/>
  <c r="Z2389" i="2"/>
  <c r="Y2389" i="2"/>
  <c r="X2389" i="2"/>
  <c r="W2389" i="2"/>
  <c r="Z2388" i="2"/>
  <c r="Y2388" i="2"/>
  <c r="X2388" i="2"/>
  <c r="W2388" i="2"/>
  <c r="Z2387" i="2"/>
  <c r="Y2387" i="2"/>
  <c r="X2387" i="2"/>
  <c r="W2387" i="2"/>
  <c r="Z2386" i="2"/>
  <c r="Y2386" i="2"/>
  <c r="X2386" i="2"/>
  <c r="W2386" i="2"/>
  <c r="Z2385" i="2"/>
  <c r="Y2385" i="2"/>
  <c r="X2385" i="2"/>
  <c r="W2385" i="2"/>
  <c r="Z2384" i="2"/>
  <c r="Y2384" i="2"/>
  <c r="X2384" i="2"/>
  <c r="W2384" i="2"/>
  <c r="Z2383" i="2"/>
  <c r="Y2383" i="2"/>
  <c r="X2383" i="2"/>
  <c r="W2383" i="2"/>
  <c r="Z2382" i="2"/>
  <c r="Y2382" i="2"/>
  <c r="X2382" i="2"/>
  <c r="W2382" i="2"/>
  <c r="Z2381" i="2"/>
  <c r="Y2381" i="2"/>
  <c r="X2381" i="2"/>
  <c r="W2381" i="2"/>
  <c r="Z2380" i="2"/>
  <c r="Y2380" i="2"/>
  <c r="X2380" i="2"/>
  <c r="W2380" i="2"/>
  <c r="Z2379" i="2"/>
  <c r="Y2379" i="2"/>
  <c r="X2379" i="2"/>
  <c r="W2379" i="2"/>
  <c r="Z2378" i="2"/>
  <c r="Y2378" i="2"/>
  <c r="X2378" i="2"/>
  <c r="W2378" i="2"/>
  <c r="Z2377" i="2"/>
  <c r="Y2377" i="2"/>
  <c r="X2377" i="2"/>
  <c r="W2377" i="2"/>
  <c r="Z2376" i="2"/>
  <c r="Y2376" i="2"/>
  <c r="X2376" i="2"/>
  <c r="W2376" i="2"/>
  <c r="Z2375" i="2"/>
  <c r="Y2375" i="2"/>
  <c r="X2375" i="2"/>
  <c r="W2375" i="2"/>
  <c r="Z2374" i="2"/>
  <c r="Y2374" i="2"/>
  <c r="X2374" i="2"/>
  <c r="W2374" i="2"/>
  <c r="Z2373" i="2"/>
  <c r="Y2373" i="2"/>
  <c r="X2373" i="2"/>
  <c r="W2373" i="2"/>
  <c r="Z2372" i="2"/>
  <c r="Y2372" i="2"/>
  <c r="X2372" i="2"/>
  <c r="W2372" i="2"/>
  <c r="Z2371" i="2"/>
  <c r="Y2371" i="2"/>
  <c r="X2371" i="2"/>
  <c r="W2371" i="2"/>
  <c r="Z2370" i="2"/>
  <c r="Y2370" i="2"/>
  <c r="X2370" i="2"/>
  <c r="W2370" i="2"/>
  <c r="Z2369" i="2"/>
  <c r="Y2369" i="2"/>
  <c r="X2369" i="2"/>
  <c r="W2369" i="2"/>
  <c r="Z2368" i="2"/>
  <c r="Y2368" i="2"/>
  <c r="X2368" i="2"/>
  <c r="W2368" i="2"/>
  <c r="Z2367" i="2"/>
  <c r="Y2367" i="2"/>
  <c r="X2367" i="2"/>
  <c r="W2367" i="2"/>
  <c r="Z2366" i="2"/>
  <c r="Y2366" i="2"/>
  <c r="X2366" i="2"/>
  <c r="W2366" i="2"/>
  <c r="Z2365" i="2"/>
  <c r="Y2365" i="2"/>
  <c r="X2365" i="2"/>
  <c r="W2365" i="2"/>
  <c r="Z2364" i="2"/>
  <c r="Y2364" i="2"/>
  <c r="X2364" i="2"/>
  <c r="W2364" i="2"/>
  <c r="Z2363" i="2"/>
  <c r="Y2363" i="2"/>
  <c r="X2363" i="2"/>
  <c r="W2363" i="2"/>
  <c r="Z2362" i="2"/>
  <c r="Y2362" i="2"/>
  <c r="X2362" i="2"/>
  <c r="W2362" i="2"/>
  <c r="Z2361" i="2"/>
  <c r="Y2361" i="2"/>
  <c r="X2361" i="2"/>
  <c r="W2361" i="2"/>
  <c r="Z2360" i="2"/>
  <c r="Y2360" i="2"/>
  <c r="X2360" i="2"/>
  <c r="W2360" i="2"/>
  <c r="Z2359" i="2"/>
  <c r="Y2359" i="2"/>
  <c r="X2359" i="2"/>
  <c r="W2359" i="2"/>
  <c r="Z2358" i="2"/>
  <c r="Y2358" i="2"/>
  <c r="X2358" i="2"/>
  <c r="W2358" i="2"/>
  <c r="Z2357" i="2"/>
  <c r="Y2357" i="2"/>
  <c r="X2357" i="2"/>
  <c r="W2357" i="2"/>
  <c r="Z2356" i="2"/>
  <c r="Y2356" i="2"/>
  <c r="X2356" i="2"/>
  <c r="W2356" i="2"/>
  <c r="Z2355" i="2"/>
  <c r="Y2355" i="2"/>
  <c r="X2355" i="2"/>
  <c r="W2355" i="2"/>
  <c r="Z2354" i="2"/>
  <c r="Y2354" i="2"/>
  <c r="X2354" i="2"/>
  <c r="W2354" i="2"/>
  <c r="Z2353" i="2"/>
  <c r="Y2353" i="2"/>
  <c r="X2353" i="2"/>
  <c r="W2353" i="2"/>
  <c r="Z2352" i="2"/>
  <c r="Y2352" i="2"/>
  <c r="X2352" i="2"/>
  <c r="W2352" i="2"/>
  <c r="Z2351" i="2"/>
  <c r="Y2351" i="2"/>
  <c r="X2351" i="2"/>
  <c r="W2351" i="2"/>
  <c r="Z2350" i="2"/>
  <c r="Y2350" i="2"/>
  <c r="X2350" i="2"/>
  <c r="W2350" i="2"/>
  <c r="Z2349" i="2"/>
  <c r="Y2349" i="2"/>
  <c r="X2349" i="2"/>
  <c r="W2349" i="2"/>
  <c r="Z2348" i="2"/>
  <c r="Y2348" i="2"/>
  <c r="X2348" i="2"/>
  <c r="W2348" i="2"/>
  <c r="Z2347" i="2"/>
  <c r="Y2347" i="2"/>
  <c r="X2347" i="2"/>
  <c r="W2347" i="2"/>
  <c r="Z2346" i="2"/>
  <c r="Y2346" i="2"/>
  <c r="X2346" i="2"/>
  <c r="W2346" i="2"/>
  <c r="Z2345" i="2"/>
  <c r="Y2345" i="2"/>
  <c r="X2345" i="2"/>
  <c r="W2345" i="2"/>
  <c r="Z2344" i="2"/>
  <c r="Y2344" i="2"/>
  <c r="X2344" i="2"/>
  <c r="W2344" i="2"/>
  <c r="Z2343" i="2"/>
  <c r="Y2343" i="2"/>
  <c r="X2343" i="2"/>
  <c r="W2343" i="2"/>
  <c r="Z2342" i="2"/>
  <c r="Y2342" i="2"/>
  <c r="X2342" i="2"/>
  <c r="W2342" i="2"/>
  <c r="Z2341" i="2"/>
  <c r="Y2341" i="2"/>
  <c r="X2341" i="2"/>
  <c r="W2341" i="2"/>
  <c r="Z2340" i="2"/>
  <c r="Y2340" i="2"/>
  <c r="X2340" i="2"/>
  <c r="W2340" i="2"/>
  <c r="Z2339" i="2"/>
  <c r="Y2339" i="2"/>
  <c r="X2339" i="2"/>
  <c r="W2339" i="2"/>
  <c r="Z2338" i="2"/>
  <c r="Y2338" i="2"/>
  <c r="X2338" i="2"/>
  <c r="W2338" i="2"/>
  <c r="Z2337" i="2"/>
  <c r="Y2337" i="2"/>
  <c r="X2337" i="2"/>
  <c r="W2337" i="2"/>
  <c r="Z2336" i="2"/>
  <c r="Y2336" i="2"/>
  <c r="X2336" i="2"/>
  <c r="W2336" i="2"/>
  <c r="Z2335" i="2"/>
  <c r="Y2335" i="2"/>
  <c r="X2335" i="2"/>
  <c r="W2335" i="2"/>
  <c r="Z2334" i="2"/>
  <c r="Y2334" i="2"/>
  <c r="X2334" i="2"/>
  <c r="W2334" i="2"/>
  <c r="Z2333" i="2"/>
  <c r="Y2333" i="2"/>
  <c r="X2333" i="2"/>
  <c r="W2333" i="2"/>
  <c r="Z2332" i="2"/>
  <c r="Y2332" i="2"/>
  <c r="X2332" i="2"/>
  <c r="W2332" i="2"/>
  <c r="Z2331" i="2"/>
  <c r="Y2331" i="2"/>
  <c r="X2331" i="2"/>
  <c r="W2331" i="2"/>
  <c r="Z2330" i="2"/>
  <c r="Y2330" i="2"/>
  <c r="X2330" i="2"/>
  <c r="W2330" i="2"/>
  <c r="Z2329" i="2"/>
  <c r="Y2329" i="2"/>
  <c r="X2329" i="2"/>
  <c r="W2329" i="2"/>
  <c r="Z2328" i="2"/>
  <c r="Y2328" i="2"/>
  <c r="X2328" i="2"/>
  <c r="W2328" i="2"/>
  <c r="Z2327" i="2"/>
  <c r="Y2327" i="2"/>
  <c r="X2327" i="2"/>
  <c r="W2327" i="2"/>
  <c r="Z2326" i="2"/>
  <c r="Y2326" i="2"/>
  <c r="X2326" i="2"/>
  <c r="W2326" i="2"/>
  <c r="Z2325" i="2"/>
  <c r="Y2325" i="2"/>
  <c r="X2325" i="2"/>
  <c r="W2325" i="2"/>
  <c r="Z2324" i="2"/>
  <c r="Y2324" i="2"/>
  <c r="X2324" i="2"/>
  <c r="W2324" i="2"/>
  <c r="Z2323" i="2"/>
  <c r="Y2323" i="2"/>
  <c r="X2323" i="2"/>
  <c r="W2323" i="2"/>
  <c r="Z2322" i="2"/>
  <c r="Y2322" i="2"/>
  <c r="X2322" i="2"/>
  <c r="W2322" i="2"/>
  <c r="Z2321" i="2"/>
  <c r="Y2321" i="2"/>
  <c r="X2321" i="2"/>
  <c r="W2321" i="2"/>
  <c r="Z2320" i="2"/>
  <c r="Y2320" i="2"/>
  <c r="X2320" i="2"/>
  <c r="W2320" i="2"/>
  <c r="Z2319" i="2"/>
  <c r="Y2319" i="2"/>
  <c r="X2319" i="2"/>
  <c r="W2319" i="2"/>
  <c r="Z2318" i="2"/>
  <c r="Y2318" i="2"/>
  <c r="X2318" i="2"/>
  <c r="W2318" i="2"/>
  <c r="Z2317" i="2"/>
  <c r="Y2317" i="2"/>
  <c r="X2317" i="2"/>
  <c r="W2317" i="2"/>
  <c r="Z2316" i="2"/>
  <c r="Y2316" i="2"/>
  <c r="X2316" i="2"/>
  <c r="W2316" i="2"/>
  <c r="Z2315" i="2"/>
  <c r="Y2315" i="2"/>
  <c r="X2315" i="2"/>
  <c r="W2315" i="2"/>
  <c r="Z2314" i="2"/>
  <c r="Y2314" i="2"/>
  <c r="X2314" i="2"/>
  <c r="W2314" i="2"/>
  <c r="Z2313" i="2"/>
  <c r="Y2313" i="2"/>
  <c r="X2313" i="2"/>
  <c r="W2313" i="2"/>
  <c r="Z2312" i="2"/>
  <c r="Y2312" i="2"/>
  <c r="X2312" i="2"/>
  <c r="W2312" i="2"/>
  <c r="Z2311" i="2"/>
  <c r="Y2311" i="2"/>
  <c r="X2311" i="2"/>
  <c r="W2311" i="2"/>
  <c r="Z2310" i="2"/>
  <c r="Y2310" i="2"/>
  <c r="X2310" i="2"/>
  <c r="W2310" i="2"/>
  <c r="Z2309" i="2"/>
  <c r="Y2309" i="2"/>
  <c r="X2309" i="2"/>
  <c r="W2309" i="2"/>
  <c r="Z2308" i="2"/>
  <c r="Y2308" i="2"/>
  <c r="X2308" i="2"/>
  <c r="W2308" i="2"/>
  <c r="Z2307" i="2"/>
  <c r="Y2307" i="2"/>
  <c r="X2307" i="2"/>
  <c r="W2307" i="2"/>
  <c r="Z2306" i="2"/>
  <c r="Y2306" i="2"/>
  <c r="X2306" i="2"/>
  <c r="W2306" i="2"/>
  <c r="Z2305" i="2"/>
  <c r="Y2305" i="2"/>
  <c r="X2305" i="2"/>
  <c r="W2305" i="2"/>
  <c r="Z2304" i="2"/>
  <c r="Y2304" i="2"/>
  <c r="X2304" i="2"/>
  <c r="W2304" i="2"/>
  <c r="Z2303" i="2"/>
  <c r="Y2303" i="2"/>
  <c r="X2303" i="2"/>
  <c r="W2303" i="2"/>
  <c r="Z2302" i="2"/>
  <c r="Y2302" i="2"/>
  <c r="X2302" i="2"/>
  <c r="W2302" i="2"/>
  <c r="Z2301" i="2"/>
  <c r="Y2301" i="2"/>
  <c r="X2301" i="2"/>
  <c r="W2301" i="2"/>
  <c r="Z2300" i="2"/>
  <c r="Y2300" i="2"/>
  <c r="X2300" i="2"/>
  <c r="W2300" i="2"/>
  <c r="Z2299" i="2"/>
  <c r="Y2299" i="2"/>
  <c r="X2299" i="2"/>
  <c r="W2299" i="2"/>
  <c r="Z2298" i="2"/>
  <c r="Y2298" i="2"/>
  <c r="X2298" i="2"/>
  <c r="W2298" i="2"/>
  <c r="Z2297" i="2"/>
  <c r="Y2297" i="2"/>
  <c r="X2297" i="2"/>
  <c r="W2297" i="2"/>
  <c r="Z2296" i="2"/>
  <c r="Y2296" i="2"/>
  <c r="X2296" i="2"/>
  <c r="W2296" i="2"/>
  <c r="Z2295" i="2"/>
  <c r="Y2295" i="2"/>
  <c r="X2295" i="2"/>
  <c r="W2295" i="2"/>
  <c r="Z2294" i="2"/>
  <c r="Y2294" i="2"/>
  <c r="X2294" i="2"/>
  <c r="W2294" i="2"/>
  <c r="Z2293" i="2"/>
  <c r="Y2293" i="2"/>
  <c r="X2293" i="2"/>
  <c r="W2293" i="2"/>
  <c r="Z2292" i="2"/>
  <c r="Y2292" i="2"/>
  <c r="X2292" i="2"/>
  <c r="W2292" i="2"/>
  <c r="Z2291" i="2"/>
  <c r="Y2291" i="2"/>
  <c r="X2291" i="2"/>
  <c r="W2291" i="2"/>
  <c r="Z2290" i="2"/>
  <c r="Y2290" i="2"/>
  <c r="X2290" i="2"/>
  <c r="W2290" i="2"/>
  <c r="Z2289" i="2"/>
  <c r="Y2289" i="2"/>
  <c r="X2289" i="2"/>
  <c r="W2289" i="2"/>
  <c r="Z2288" i="2"/>
  <c r="Y2288" i="2"/>
  <c r="X2288" i="2"/>
  <c r="W2288" i="2"/>
  <c r="Z2287" i="2"/>
  <c r="Y2287" i="2"/>
  <c r="X2287" i="2"/>
  <c r="W2287" i="2"/>
  <c r="Z2286" i="2"/>
  <c r="Y2286" i="2"/>
  <c r="X2286" i="2"/>
  <c r="W2286" i="2"/>
  <c r="Z2285" i="2"/>
  <c r="Y2285" i="2"/>
  <c r="X2285" i="2"/>
  <c r="W2285" i="2"/>
  <c r="Z2284" i="2"/>
  <c r="Y2284" i="2"/>
  <c r="X2284" i="2"/>
  <c r="W2284" i="2"/>
  <c r="Z2283" i="2"/>
  <c r="Y2283" i="2"/>
  <c r="X2283" i="2"/>
  <c r="W2283" i="2"/>
  <c r="Z2282" i="2"/>
  <c r="Y2282" i="2"/>
  <c r="X2282" i="2"/>
  <c r="W2282" i="2"/>
  <c r="Z2281" i="2"/>
  <c r="Y2281" i="2"/>
  <c r="X2281" i="2"/>
  <c r="W2281" i="2"/>
  <c r="Z2280" i="2"/>
  <c r="Y2280" i="2"/>
  <c r="X2280" i="2"/>
  <c r="W2280" i="2"/>
  <c r="Z2279" i="2"/>
  <c r="Y2279" i="2"/>
  <c r="X2279" i="2"/>
  <c r="W2279" i="2"/>
  <c r="Z2278" i="2"/>
  <c r="Y2278" i="2"/>
  <c r="X2278" i="2"/>
  <c r="W2278" i="2"/>
  <c r="Z2277" i="2"/>
  <c r="Y2277" i="2"/>
  <c r="X2277" i="2"/>
  <c r="W2277" i="2"/>
  <c r="Z2276" i="2"/>
  <c r="Y2276" i="2"/>
  <c r="X2276" i="2"/>
  <c r="W2276" i="2"/>
  <c r="Z2275" i="2"/>
  <c r="Y2275" i="2"/>
  <c r="X2275" i="2"/>
  <c r="W2275" i="2"/>
  <c r="Z2274" i="2"/>
  <c r="Y2274" i="2"/>
  <c r="X2274" i="2"/>
  <c r="W2274" i="2"/>
  <c r="Z2273" i="2"/>
  <c r="Y2273" i="2"/>
  <c r="X2273" i="2"/>
  <c r="W2273" i="2"/>
  <c r="Z2272" i="2"/>
  <c r="Y2272" i="2"/>
  <c r="X2272" i="2"/>
  <c r="W2272" i="2"/>
  <c r="Z2271" i="2"/>
  <c r="Y2271" i="2"/>
  <c r="X2271" i="2"/>
  <c r="W2271" i="2"/>
  <c r="Z2270" i="2"/>
  <c r="Y2270" i="2"/>
  <c r="X2270" i="2"/>
  <c r="W2270" i="2"/>
  <c r="Z2269" i="2"/>
  <c r="Y2269" i="2"/>
  <c r="X2269" i="2"/>
  <c r="W2269" i="2"/>
  <c r="Z2268" i="2"/>
  <c r="Y2268" i="2"/>
  <c r="X2268" i="2"/>
  <c r="W2268" i="2"/>
  <c r="Z2267" i="2"/>
  <c r="Y2267" i="2"/>
  <c r="X2267" i="2"/>
  <c r="W2267" i="2"/>
  <c r="Z2266" i="2"/>
  <c r="Y2266" i="2"/>
  <c r="X2266" i="2"/>
  <c r="W2266" i="2"/>
  <c r="Z2265" i="2"/>
  <c r="Y2265" i="2"/>
  <c r="X2265" i="2"/>
  <c r="W2265" i="2"/>
  <c r="Z2264" i="2"/>
  <c r="Y2264" i="2"/>
  <c r="X2264" i="2"/>
  <c r="W2264" i="2"/>
  <c r="Z2263" i="2"/>
  <c r="Y2263" i="2"/>
  <c r="X2263" i="2"/>
  <c r="W2263" i="2"/>
  <c r="Z2262" i="2"/>
  <c r="Y2262" i="2"/>
  <c r="X2262" i="2"/>
  <c r="W2262" i="2"/>
  <c r="Z2261" i="2"/>
  <c r="Y2261" i="2"/>
  <c r="X2261" i="2"/>
  <c r="W2261" i="2"/>
  <c r="Z2260" i="2"/>
  <c r="Y2260" i="2"/>
  <c r="X2260" i="2"/>
  <c r="W2260" i="2"/>
  <c r="Z2259" i="2"/>
  <c r="Y2259" i="2"/>
  <c r="X2259" i="2"/>
  <c r="W2259" i="2"/>
  <c r="Z2258" i="2"/>
  <c r="Y2258" i="2"/>
  <c r="X2258" i="2"/>
  <c r="W2258" i="2"/>
  <c r="Z2257" i="2"/>
  <c r="Y2257" i="2"/>
  <c r="X2257" i="2"/>
  <c r="W2257" i="2"/>
  <c r="Z2256" i="2"/>
  <c r="Y2256" i="2"/>
  <c r="X2256" i="2"/>
  <c r="W2256" i="2"/>
  <c r="Z2255" i="2"/>
  <c r="Y2255" i="2"/>
  <c r="X2255" i="2"/>
  <c r="W2255" i="2"/>
  <c r="Z2254" i="2"/>
  <c r="Y2254" i="2"/>
  <c r="X2254" i="2"/>
  <c r="W2254" i="2"/>
  <c r="Z2253" i="2"/>
  <c r="Y2253" i="2"/>
  <c r="X2253" i="2"/>
  <c r="W2253" i="2"/>
  <c r="Z2252" i="2"/>
  <c r="Y2252" i="2"/>
  <c r="X2252" i="2"/>
  <c r="W2252" i="2"/>
  <c r="Z2251" i="2"/>
  <c r="Y2251" i="2"/>
  <c r="X2251" i="2"/>
  <c r="W2251" i="2"/>
  <c r="Z2250" i="2"/>
  <c r="Y2250" i="2"/>
  <c r="X2250" i="2"/>
  <c r="W2250" i="2"/>
  <c r="Z2249" i="2"/>
  <c r="Y2249" i="2"/>
  <c r="X2249" i="2"/>
  <c r="W2249" i="2"/>
  <c r="Z2248" i="2"/>
  <c r="Y2248" i="2"/>
  <c r="X2248" i="2"/>
  <c r="W2248" i="2"/>
  <c r="Z2247" i="2"/>
  <c r="Y2247" i="2"/>
  <c r="X2247" i="2"/>
  <c r="W2247" i="2"/>
  <c r="Z2246" i="2"/>
  <c r="Y2246" i="2"/>
  <c r="X2246" i="2"/>
  <c r="W2246" i="2"/>
  <c r="Z2245" i="2"/>
  <c r="Y2245" i="2"/>
  <c r="X2245" i="2"/>
  <c r="W2245" i="2"/>
  <c r="Z2244" i="2"/>
  <c r="Y2244" i="2"/>
  <c r="X2244" i="2"/>
  <c r="W2244" i="2"/>
  <c r="Z2243" i="2"/>
  <c r="Y2243" i="2"/>
  <c r="X2243" i="2"/>
  <c r="W2243" i="2"/>
  <c r="Z2242" i="2"/>
  <c r="Y2242" i="2"/>
  <c r="X2242" i="2"/>
  <c r="W2242" i="2"/>
  <c r="Z2241" i="2"/>
  <c r="Y2241" i="2"/>
  <c r="X2241" i="2"/>
  <c r="W2241" i="2"/>
  <c r="Z2240" i="2"/>
  <c r="Y2240" i="2"/>
  <c r="X2240" i="2"/>
  <c r="W2240" i="2"/>
  <c r="Z2239" i="2"/>
  <c r="Y2239" i="2"/>
  <c r="X2239" i="2"/>
  <c r="W2239" i="2"/>
  <c r="Z2238" i="2"/>
  <c r="Y2238" i="2"/>
  <c r="X2238" i="2"/>
  <c r="W2238" i="2"/>
  <c r="Z2237" i="2"/>
  <c r="Y2237" i="2"/>
  <c r="X2237" i="2"/>
  <c r="W2237" i="2"/>
  <c r="Z2236" i="2"/>
  <c r="Y2236" i="2"/>
  <c r="X2236" i="2"/>
  <c r="W2236" i="2"/>
  <c r="Z2235" i="2"/>
  <c r="Y2235" i="2"/>
  <c r="X2235" i="2"/>
  <c r="W2235" i="2"/>
  <c r="Z2234" i="2"/>
  <c r="Y2234" i="2"/>
  <c r="X2234" i="2"/>
  <c r="W2234" i="2"/>
  <c r="Z2233" i="2"/>
  <c r="Y2233" i="2"/>
  <c r="X2233" i="2"/>
  <c r="W2233" i="2"/>
  <c r="Z2232" i="2"/>
  <c r="Y2232" i="2"/>
  <c r="X2232" i="2"/>
  <c r="W2232" i="2"/>
  <c r="Z2231" i="2"/>
  <c r="Y2231" i="2"/>
  <c r="X2231" i="2"/>
  <c r="W2231" i="2"/>
  <c r="Z2230" i="2"/>
  <c r="Y2230" i="2"/>
  <c r="X2230" i="2"/>
  <c r="W2230" i="2"/>
  <c r="Z2229" i="2"/>
  <c r="Y2229" i="2"/>
  <c r="X2229" i="2"/>
  <c r="W2229" i="2"/>
  <c r="Z2228" i="2"/>
  <c r="Y2228" i="2"/>
  <c r="X2228" i="2"/>
  <c r="W2228" i="2"/>
  <c r="Z2227" i="2"/>
  <c r="Y2227" i="2"/>
  <c r="X2227" i="2"/>
  <c r="W2227" i="2"/>
  <c r="Z2226" i="2"/>
  <c r="Y2226" i="2"/>
  <c r="X2226" i="2"/>
  <c r="W2226" i="2"/>
  <c r="Z2225" i="2"/>
  <c r="Y2225" i="2"/>
  <c r="X2225" i="2"/>
  <c r="W2225" i="2"/>
  <c r="Z2224" i="2"/>
  <c r="Y2224" i="2"/>
  <c r="X2224" i="2"/>
  <c r="W2224" i="2"/>
  <c r="Z2223" i="2"/>
  <c r="Y2223" i="2"/>
  <c r="X2223" i="2"/>
  <c r="W2223" i="2"/>
  <c r="Z2222" i="2"/>
  <c r="Y2222" i="2"/>
  <c r="X2222" i="2"/>
  <c r="W2222" i="2"/>
  <c r="Z2221" i="2"/>
  <c r="Y2221" i="2"/>
  <c r="X2221" i="2"/>
  <c r="W2221" i="2"/>
  <c r="Z2220" i="2"/>
  <c r="Y2220" i="2"/>
  <c r="X2220" i="2"/>
  <c r="W2220" i="2"/>
  <c r="Z2219" i="2"/>
  <c r="Y2219" i="2"/>
  <c r="X2219" i="2"/>
  <c r="W2219" i="2"/>
  <c r="Z2218" i="2"/>
  <c r="Y2218" i="2"/>
  <c r="X2218" i="2"/>
  <c r="W2218" i="2"/>
  <c r="Z2217" i="2"/>
  <c r="Y2217" i="2"/>
  <c r="X2217" i="2"/>
  <c r="W2217" i="2"/>
  <c r="Z2216" i="2"/>
  <c r="Y2216" i="2"/>
  <c r="X2216" i="2"/>
  <c r="W2216" i="2"/>
  <c r="Z2215" i="2"/>
  <c r="Y2215" i="2"/>
  <c r="X2215" i="2"/>
  <c r="W2215" i="2"/>
  <c r="Z2214" i="2"/>
  <c r="Y2214" i="2"/>
  <c r="X2214" i="2"/>
  <c r="W2214" i="2"/>
  <c r="Z2213" i="2"/>
  <c r="Y2213" i="2"/>
  <c r="X2213" i="2"/>
  <c r="W2213" i="2"/>
  <c r="Z2212" i="2"/>
  <c r="Y2212" i="2"/>
  <c r="X2212" i="2"/>
  <c r="W2212" i="2"/>
  <c r="Z2211" i="2"/>
  <c r="Y2211" i="2"/>
  <c r="X2211" i="2"/>
  <c r="W2211" i="2"/>
  <c r="Z2210" i="2"/>
  <c r="Y2210" i="2"/>
  <c r="X2210" i="2"/>
  <c r="W2210" i="2"/>
  <c r="Z2209" i="2"/>
  <c r="Y2209" i="2"/>
  <c r="X2209" i="2"/>
  <c r="W2209" i="2"/>
  <c r="Z2208" i="2"/>
  <c r="Y2208" i="2"/>
  <c r="X2208" i="2"/>
  <c r="W2208" i="2"/>
  <c r="Z2207" i="2"/>
  <c r="Y2207" i="2"/>
  <c r="X2207" i="2"/>
  <c r="W2207" i="2"/>
  <c r="Z2206" i="2"/>
  <c r="Y2206" i="2"/>
  <c r="X2206" i="2"/>
  <c r="W2206" i="2"/>
  <c r="Z2205" i="2"/>
  <c r="Y2205" i="2"/>
  <c r="X2205" i="2"/>
  <c r="W2205" i="2"/>
  <c r="Z2204" i="2"/>
  <c r="Y2204" i="2"/>
  <c r="X2204" i="2"/>
  <c r="W2204" i="2"/>
  <c r="Z2203" i="2"/>
  <c r="Y2203" i="2"/>
  <c r="X2203" i="2"/>
  <c r="W2203" i="2"/>
  <c r="Z2202" i="2"/>
  <c r="Y2202" i="2"/>
  <c r="X2202" i="2"/>
  <c r="W2202" i="2"/>
  <c r="Z2201" i="2"/>
  <c r="Y2201" i="2"/>
  <c r="X2201" i="2"/>
  <c r="W2201" i="2"/>
  <c r="Z2200" i="2"/>
  <c r="Y2200" i="2"/>
  <c r="X2200" i="2"/>
  <c r="W2200" i="2"/>
  <c r="Z2199" i="2"/>
  <c r="Y2199" i="2"/>
  <c r="X2199" i="2"/>
  <c r="W2199" i="2"/>
  <c r="Z2198" i="2"/>
  <c r="Y2198" i="2"/>
  <c r="X2198" i="2"/>
  <c r="W2198" i="2"/>
  <c r="Z2197" i="2"/>
  <c r="Y2197" i="2"/>
  <c r="X2197" i="2"/>
  <c r="W2197" i="2"/>
  <c r="Z2196" i="2"/>
  <c r="Y2196" i="2"/>
  <c r="X2196" i="2"/>
  <c r="W2196" i="2"/>
  <c r="Z2195" i="2"/>
  <c r="Y2195" i="2"/>
  <c r="X2195" i="2"/>
  <c r="W2195" i="2"/>
  <c r="Z2194" i="2"/>
  <c r="Y2194" i="2"/>
  <c r="X2194" i="2"/>
  <c r="W2194" i="2"/>
  <c r="Z2193" i="2"/>
  <c r="Y2193" i="2"/>
  <c r="X2193" i="2"/>
  <c r="W2193" i="2"/>
  <c r="Z2192" i="2"/>
  <c r="Y2192" i="2"/>
  <c r="X2192" i="2"/>
  <c r="W2192" i="2"/>
  <c r="Z2191" i="2"/>
  <c r="Y2191" i="2"/>
  <c r="X2191" i="2"/>
  <c r="W2191" i="2"/>
  <c r="Z2190" i="2"/>
  <c r="Y2190" i="2"/>
  <c r="X2190" i="2"/>
  <c r="W2190" i="2"/>
  <c r="Z2189" i="2"/>
  <c r="Y2189" i="2"/>
  <c r="X2189" i="2"/>
  <c r="W2189" i="2"/>
  <c r="Z2188" i="2"/>
  <c r="Y2188" i="2"/>
  <c r="X2188" i="2"/>
  <c r="W2188" i="2"/>
  <c r="Z2187" i="2"/>
  <c r="Y2187" i="2"/>
  <c r="X2187" i="2"/>
  <c r="W2187" i="2"/>
  <c r="Z2186" i="2"/>
  <c r="Y2186" i="2"/>
  <c r="X2186" i="2"/>
  <c r="W2186" i="2"/>
  <c r="Z2185" i="2"/>
  <c r="Y2185" i="2"/>
  <c r="X2185" i="2"/>
  <c r="W2185" i="2"/>
  <c r="Z2184" i="2"/>
  <c r="Y2184" i="2"/>
  <c r="X2184" i="2"/>
  <c r="W2184" i="2"/>
  <c r="Z2183" i="2"/>
  <c r="Y2183" i="2"/>
  <c r="X2183" i="2"/>
  <c r="W2183" i="2"/>
  <c r="Z2182" i="2"/>
  <c r="Y2182" i="2"/>
  <c r="X2182" i="2"/>
  <c r="W2182" i="2"/>
  <c r="Z2181" i="2"/>
  <c r="Y2181" i="2"/>
  <c r="X2181" i="2"/>
  <c r="W2181" i="2"/>
  <c r="Z2180" i="2"/>
  <c r="Y2180" i="2"/>
  <c r="X2180" i="2"/>
  <c r="W2180" i="2"/>
  <c r="Z2179" i="2"/>
  <c r="Y2179" i="2"/>
  <c r="X2179" i="2"/>
  <c r="W2179" i="2"/>
  <c r="Z2178" i="2"/>
  <c r="Y2178" i="2"/>
  <c r="X2178" i="2"/>
  <c r="W2178" i="2"/>
  <c r="Z2177" i="2"/>
  <c r="Y2177" i="2"/>
  <c r="X2177" i="2"/>
  <c r="W2177" i="2"/>
  <c r="Z2176" i="2"/>
  <c r="Y2176" i="2"/>
  <c r="X2176" i="2"/>
  <c r="W2176" i="2"/>
  <c r="Z2175" i="2"/>
  <c r="Y2175" i="2"/>
  <c r="X2175" i="2"/>
  <c r="W2175" i="2"/>
  <c r="Z2174" i="2"/>
  <c r="Y2174" i="2"/>
  <c r="X2174" i="2"/>
  <c r="W2174" i="2"/>
  <c r="Z2173" i="2"/>
  <c r="Y2173" i="2"/>
  <c r="X2173" i="2"/>
  <c r="W2173" i="2"/>
  <c r="Z2172" i="2"/>
  <c r="Y2172" i="2"/>
  <c r="X2172" i="2"/>
  <c r="W2172" i="2"/>
  <c r="Z2171" i="2"/>
  <c r="Y2171" i="2"/>
  <c r="X2171" i="2"/>
  <c r="W2171" i="2"/>
  <c r="Z2170" i="2"/>
  <c r="Y2170" i="2"/>
  <c r="X2170" i="2"/>
  <c r="W2170" i="2"/>
  <c r="Z2169" i="2"/>
  <c r="Y2169" i="2"/>
  <c r="X2169" i="2"/>
  <c r="W2169" i="2"/>
  <c r="Z2168" i="2"/>
  <c r="Y2168" i="2"/>
  <c r="X2168" i="2"/>
  <c r="W2168" i="2"/>
  <c r="Z2167" i="2"/>
  <c r="Y2167" i="2"/>
  <c r="X2167" i="2"/>
  <c r="W2167" i="2"/>
  <c r="Z2166" i="2"/>
  <c r="Y2166" i="2"/>
  <c r="X2166" i="2"/>
  <c r="W2166" i="2"/>
  <c r="Z2165" i="2"/>
  <c r="Y2165" i="2"/>
  <c r="X2165" i="2"/>
  <c r="W2165" i="2"/>
  <c r="Z2164" i="2"/>
  <c r="Y2164" i="2"/>
  <c r="X2164" i="2"/>
  <c r="W2164" i="2"/>
  <c r="Z2163" i="2"/>
  <c r="Y2163" i="2"/>
  <c r="X2163" i="2"/>
  <c r="W2163" i="2"/>
  <c r="Z2162" i="2"/>
  <c r="Y2162" i="2"/>
  <c r="X2162" i="2"/>
  <c r="W2162" i="2"/>
  <c r="Z2161" i="2"/>
  <c r="Y2161" i="2"/>
  <c r="X2161" i="2"/>
  <c r="W2161" i="2"/>
  <c r="Z2160" i="2"/>
  <c r="Y2160" i="2"/>
  <c r="X2160" i="2"/>
  <c r="W2160" i="2"/>
  <c r="Z2159" i="2"/>
  <c r="Y2159" i="2"/>
  <c r="X2159" i="2"/>
  <c r="W2159" i="2"/>
  <c r="Z2158" i="2"/>
  <c r="Y2158" i="2"/>
  <c r="X2158" i="2"/>
  <c r="W2158" i="2"/>
  <c r="Z2157" i="2"/>
  <c r="Y2157" i="2"/>
  <c r="X2157" i="2"/>
  <c r="W2157" i="2"/>
  <c r="Z2156" i="2"/>
  <c r="Y2156" i="2"/>
  <c r="X2156" i="2"/>
  <c r="W2156" i="2"/>
  <c r="Z2155" i="2"/>
  <c r="Y2155" i="2"/>
  <c r="X2155" i="2"/>
  <c r="W2155" i="2"/>
  <c r="Z2154" i="2"/>
  <c r="Y2154" i="2"/>
  <c r="X2154" i="2"/>
  <c r="W2154" i="2"/>
  <c r="Z2153" i="2"/>
  <c r="Y2153" i="2"/>
  <c r="X2153" i="2"/>
  <c r="W2153" i="2"/>
  <c r="Z2152" i="2"/>
  <c r="Y2152" i="2"/>
  <c r="X2152" i="2"/>
  <c r="W2152" i="2"/>
  <c r="Z2151" i="2"/>
  <c r="Y2151" i="2"/>
  <c r="X2151" i="2"/>
  <c r="W2151" i="2"/>
  <c r="Z2150" i="2"/>
  <c r="Y2150" i="2"/>
  <c r="X2150" i="2"/>
  <c r="W2150" i="2"/>
  <c r="Z2149" i="2"/>
  <c r="Y2149" i="2"/>
  <c r="X2149" i="2"/>
  <c r="W2149" i="2"/>
  <c r="Z2148" i="2"/>
  <c r="Y2148" i="2"/>
  <c r="X2148" i="2"/>
  <c r="W2148" i="2"/>
  <c r="Z2147" i="2"/>
  <c r="Y2147" i="2"/>
  <c r="X2147" i="2"/>
  <c r="W2147" i="2"/>
  <c r="Z2146" i="2"/>
  <c r="Y2146" i="2"/>
  <c r="X2146" i="2"/>
  <c r="W2146" i="2"/>
  <c r="Z2145" i="2"/>
  <c r="Y2145" i="2"/>
  <c r="X2145" i="2"/>
  <c r="W2145" i="2"/>
  <c r="Z2144" i="2"/>
  <c r="Y2144" i="2"/>
  <c r="X2144" i="2"/>
  <c r="W2144" i="2"/>
  <c r="Z2143" i="2"/>
  <c r="Y2143" i="2"/>
  <c r="X2143" i="2"/>
  <c r="W2143" i="2"/>
  <c r="Z2142" i="2"/>
  <c r="Y2142" i="2"/>
  <c r="X2142" i="2"/>
  <c r="W2142" i="2"/>
  <c r="Z2141" i="2"/>
  <c r="Y2141" i="2"/>
  <c r="X2141" i="2"/>
  <c r="W2141" i="2"/>
  <c r="Z2140" i="2"/>
  <c r="Y2140" i="2"/>
  <c r="X2140" i="2"/>
  <c r="W2140" i="2"/>
  <c r="Z2139" i="2"/>
  <c r="Y2139" i="2"/>
  <c r="X2139" i="2"/>
  <c r="W2139" i="2"/>
  <c r="Z2138" i="2"/>
  <c r="Y2138" i="2"/>
  <c r="X2138" i="2"/>
  <c r="W2138" i="2"/>
  <c r="Z2137" i="2"/>
  <c r="Y2137" i="2"/>
  <c r="X2137" i="2"/>
  <c r="W2137" i="2"/>
  <c r="Z2136" i="2"/>
  <c r="Y2136" i="2"/>
  <c r="X2136" i="2"/>
  <c r="W2136" i="2"/>
  <c r="Z2135" i="2"/>
  <c r="Y2135" i="2"/>
  <c r="X2135" i="2"/>
  <c r="W2135" i="2"/>
  <c r="Z2134" i="2"/>
  <c r="Y2134" i="2"/>
  <c r="X2134" i="2"/>
  <c r="W2134" i="2"/>
  <c r="Z2133" i="2"/>
  <c r="Y2133" i="2"/>
  <c r="X2133" i="2"/>
  <c r="W2133" i="2"/>
  <c r="Z2132" i="2"/>
  <c r="Y2132" i="2"/>
  <c r="X2132" i="2"/>
  <c r="W2132" i="2"/>
  <c r="Z2131" i="2"/>
  <c r="Y2131" i="2"/>
  <c r="X2131" i="2"/>
  <c r="W2131" i="2"/>
  <c r="Z2130" i="2"/>
  <c r="Y2130" i="2"/>
  <c r="X2130" i="2"/>
  <c r="W2130" i="2"/>
  <c r="Z2129" i="2"/>
  <c r="Y2129" i="2"/>
  <c r="X2129" i="2"/>
  <c r="W2129" i="2"/>
  <c r="Z2128" i="2"/>
  <c r="Y2128" i="2"/>
  <c r="X2128" i="2"/>
  <c r="W2128" i="2"/>
  <c r="Z2127" i="2"/>
  <c r="Y2127" i="2"/>
  <c r="X2127" i="2"/>
  <c r="W2127" i="2"/>
  <c r="Z2126" i="2"/>
  <c r="Y2126" i="2"/>
  <c r="X2126" i="2"/>
  <c r="W2126" i="2"/>
  <c r="Z2125" i="2"/>
  <c r="Y2125" i="2"/>
  <c r="X2125" i="2"/>
  <c r="W2125" i="2"/>
  <c r="Z2124" i="2"/>
  <c r="Y2124" i="2"/>
  <c r="X2124" i="2"/>
  <c r="W2124" i="2"/>
  <c r="Z2123" i="2"/>
  <c r="Y2123" i="2"/>
  <c r="X2123" i="2"/>
  <c r="W2123" i="2"/>
  <c r="Z2122" i="2"/>
  <c r="Y2122" i="2"/>
  <c r="X2122" i="2"/>
  <c r="W2122" i="2"/>
  <c r="Z2121" i="2"/>
  <c r="Y2121" i="2"/>
  <c r="X2121" i="2"/>
  <c r="W2121" i="2"/>
  <c r="Z2120" i="2"/>
  <c r="Y2120" i="2"/>
  <c r="X2120" i="2"/>
  <c r="W2120" i="2"/>
  <c r="Z2119" i="2"/>
  <c r="Y2119" i="2"/>
  <c r="X2119" i="2"/>
  <c r="W2119" i="2"/>
  <c r="Z2118" i="2"/>
  <c r="Y2118" i="2"/>
  <c r="X2118" i="2"/>
  <c r="W2118" i="2"/>
  <c r="Z2117" i="2"/>
  <c r="Y2117" i="2"/>
  <c r="X2117" i="2"/>
  <c r="W2117" i="2"/>
  <c r="Z2116" i="2"/>
  <c r="Y2116" i="2"/>
  <c r="X2116" i="2"/>
  <c r="W2116" i="2"/>
  <c r="Z2115" i="2"/>
  <c r="Y2115" i="2"/>
  <c r="X2115" i="2"/>
  <c r="W2115" i="2"/>
  <c r="Z2114" i="2"/>
  <c r="Y2114" i="2"/>
  <c r="X2114" i="2"/>
  <c r="W2114" i="2"/>
  <c r="Z2113" i="2"/>
  <c r="Y2113" i="2"/>
  <c r="X2113" i="2"/>
  <c r="W2113" i="2"/>
  <c r="Z2112" i="2"/>
  <c r="Y2112" i="2"/>
  <c r="X2112" i="2"/>
  <c r="W2112" i="2"/>
  <c r="Z2111" i="2"/>
  <c r="Y2111" i="2"/>
  <c r="X2111" i="2"/>
  <c r="W2111" i="2"/>
  <c r="Z2110" i="2"/>
  <c r="Y2110" i="2"/>
  <c r="X2110" i="2"/>
  <c r="W2110" i="2"/>
  <c r="Z2109" i="2"/>
  <c r="Y2109" i="2"/>
  <c r="X2109" i="2"/>
  <c r="W2109" i="2"/>
  <c r="Z2108" i="2"/>
  <c r="Y2108" i="2"/>
  <c r="X2108" i="2"/>
  <c r="W2108" i="2"/>
  <c r="Z2107" i="2"/>
  <c r="Y2107" i="2"/>
  <c r="X2107" i="2"/>
  <c r="W2107" i="2"/>
  <c r="Z2106" i="2"/>
  <c r="Y2106" i="2"/>
  <c r="X2106" i="2"/>
  <c r="W2106" i="2"/>
  <c r="Z2105" i="2"/>
  <c r="Y2105" i="2"/>
  <c r="X2105" i="2"/>
  <c r="W2105" i="2"/>
  <c r="Z2104" i="2"/>
  <c r="Y2104" i="2"/>
  <c r="X2104" i="2"/>
  <c r="W2104" i="2"/>
  <c r="Z2103" i="2"/>
  <c r="Y2103" i="2"/>
  <c r="X2103" i="2"/>
  <c r="W2103" i="2"/>
  <c r="Z2102" i="2"/>
  <c r="Y2102" i="2"/>
  <c r="X2102" i="2"/>
  <c r="W2102" i="2"/>
  <c r="Z2101" i="2"/>
  <c r="Y2101" i="2"/>
  <c r="X2101" i="2"/>
  <c r="W2101" i="2"/>
  <c r="Z2100" i="2"/>
  <c r="Y2100" i="2"/>
  <c r="X2100" i="2"/>
  <c r="W2100" i="2"/>
  <c r="Z2099" i="2"/>
  <c r="Y2099" i="2"/>
  <c r="X2099" i="2"/>
  <c r="W2099" i="2"/>
  <c r="Z2098" i="2"/>
  <c r="Y2098" i="2"/>
  <c r="X2098" i="2"/>
  <c r="W2098" i="2"/>
  <c r="Z2097" i="2"/>
  <c r="Y2097" i="2"/>
  <c r="X2097" i="2"/>
  <c r="W2097" i="2"/>
  <c r="Z2096" i="2"/>
  <c r="Y2096" i="2"/>
  <c r="X2096" i="2"/>
  <c r="W2096" i="2"/>
  <c r="Z2095" i="2"/>
  <c r="Y2095" i="2"/>
  <c r="X2095" i="2"/>
  <c r="W2095" i="2"/>
  <c r="Z2094" i="2"/>
  <c r="Y2094" i="2"/>
  <c r="X2094" i="2"/>
  <c r="W2094" i="2"/>
  <c r="Z2093" i="2"/>
  <c r="Y2093" i="2"/>
  <c r="X2093" i="2"/>
  <c r="W2093" i="2"/>
  <c r="Z2092" i="2"/>
  <c r="Y2092" i="2"/>
  <c r="X2092" i="2"/>
  <c r="W2092" i="2"/>
  <c r="Z2091" i="2"/>
  <c r="Y2091" i="2"/>
  <c r="X2091" i="2"/>
  <c r="W2091" i="2"/>
  <c r="Z2090" i="2"/>
  <c r="Y2090" i="2"/>
  <c r="X2090" i="2"/>
  <c r="W2090" i="2"/>
  <c r="Z2089" i="2"/>
  <c r="Y2089" i="2"/>
  <c r="X2089" i="2"/>
  <c r="W2089" i="2"/>
  <c r="Z2088" i="2"/>
  <c r="Y2088" i="2"/>
  <c r="X2088" i="2"/>
  <c r="W2088" i="2"/>
  <c r="Z2087" i="2"/>
  <c r="Y2087" i="2"/>
  <c r="X2087" i="2"/>
  <c r="W2087" i="2"/>
  <c r="Z2086" i="2"/>
  <c r="Y2086" i="2"/>
  <c r="X2086" i="2"/>
  <c r="W2086" i="2"/>
  <c r="Z2085" i="2"/>
  <c r="Y2085" i="2"/>
  <c r="X2085" i="2"/>
  <c r="W2085" i="2"/>
  <c r="Z2084" i="2"/>
  <c r="Y2084" i="2"/>
  <c r="X2084" i="2"/>
  <c r="W2084" i="2"/>
  <c r="Z2083" i="2"/>
  <c r="Y2083" i="2"/>
  <c r="X2083" i="2"/>
  <c r="W2083" i="2"/>
  <c r="Z2082" i="2"/>
  <c r="Y2082" i="2"/>
  <c r="X2082" i="2"/>
  <c r="W2082" i="2"/>
  <c r="Z2081" i="2"/>
  <c r="Y2081" i="2"/>
  <c r="X2081" i="2"/>
  <c r="W2081" i="2"/>
  <c r="Z2080" i="2"/>
  <c r="Y2080" i="2"/>
  <c r="X2080" i="2"/>
  <c r="W2080" i="2"/>
  <c r="Z2079" i="2"/>
  <c r="Y2079" i="2"/>
  <c r="X2079" i="2"/>
  <c r="W2079" i="2"/>
  <c r="Z2078" i="2"/>
  <c r="Y2078" i="2"/>
  <c r="X2078" i="2"/>
  <c r="W2078" i="2"/>
  <c r="Z2077" i="2"/>
  <c r="Y2077" i="2"/>
  <c r="X2077" i="2"/>
  <c r="W2077" i="2"/>
  <c r="Z2076" i="2"/>
  <c r="Y2076" i="2"/>
  <c r="X2076" i="2"/>
  <c r="W2076" i="2"/>
  <c r="Z2075" i="2"/>
  <c r="Y2075" i="2"/>
  <c r="X2075" i="2"/>
  <c r="W2075" i="2"/>
  <c r="Z2074" i="2"/>
  <c r="Y2074" i="2"/>
  <c r="X2074" i="2"/>
  <c r="W2074" i="2"/>
  <c r="Z2073" i="2"/>
  <c r="Y2073" i="2"/>
  <c r="X2073" i="2"/>
  <c r="W2073" i="2"/>
  <c r="Z2072" i="2"/>
  <c r="Y2072" i="2"/>
  <c r="X2072" i="2"/>
  <c r="W2072" i="2"/>
  <c r="Z2071" i="2"/>
  <c r="Y2071" i="2"/>
  <c r="X2071" i="2"/>
  <c r="W2071" i="2"/>
  <c r="Z2070" i="2"/>
  <c r="Y2070" i="2"/>
  <c r="X2070" i="2"/>
  <c r="W2070" i="2"/>
  <c r="Z2069" i="2"/>
  <c r="Y2069" i="2"/>
  <c r="X2069" i="2"/>
  <c r="W2069" i="2"/>
  <c r="Z2068" i="2"/>
  <c r="Y2068" i="2"/>
  <c r="X2068" i="2"/>
  <c r="W2068" i="2"/>
  <c r="Z2067" i="2"/>
  <c r="Y2067" i="2"/>
  <c r="X2067" i="2"/>
  <c r="W2067" i="2"/>
  <c r="Z2066" i="2"/>
  <c r="Y2066" i="2"/>
  <c r="X2066" i="2"/>
  <c r="W2066" i="2"/>
  <c r="Z2065" i="2"/>
  <c r="Y2065" i="2"/>
  <c r="X2065" i="2"/>
  <c r="W2065" i="2"/>
  <c r="Z2064" i="2"/>
  <c r="Y2064" i="2"/>
  <c r="X2064" i="2"/>
  <c r="W2064" i="2"/>
  <c r="Z2063" i="2"/>
  <c r="Y2063" i="2"/>
  <c r="X2063" i="2"/>
  <c r="W2063" i="2"/>
  <c r="Z2062" i="2"/>
  <c r="Y2062" i="2"/>
  <c r="X2062" i="2"/>
  <c r="W2062" i="2"/>
  <c r="Z2061" i="2"/>
  <c r="Y2061" i="2"/>
  <c r="X2061" i="2"/>
  <c r="W2061" i="2"/>
  <c r="Z2060" i="2"/>
  <c r="Y2060" i="2"/>
  <c r="X2060" i="2"/>
  <c r="W2060" i="2"/>
  <c r="Z2059" i="2"/>
  <c r="Y2059" i="2"/>
  <c r="X2059" i="2"/>
  <c r="W2059" i="2"/>
  <c r="Z2058" i="2"/>
  <c r="Y2058" i="2"/>
  <c r="X2058" i="2"/>
  <c r="W2058" i="2"/>
  <c r="Z2057" i="2"/>
  <c r="Y2057" i="2"/>
  <c r="X2057" i="2"/>
  <c r="W2057" i="2"/>
  <c r="Z2056" i="2"/>
  <c r="Y2056" i="2"/>
  <c r="X2056" i="2"/>
  <c r="W2056" i="2"/>
  <c r="Z2055" i="2"/>
  <c r="Y2055" i="2"/>
  <c r="X2055" i="2"/>
  <c r="W2055" i="2"/>
  <c r="Z2054" i="2"/>
  <c r="Y2054" i="2"/>
  <c r="X2054" i="2"/>
  <c r="W2054" i="2"/>
  <c r="Z2053" i="2"/>
  <c r="Y2053" i="2"/>
  <c r="X2053" i="2"/>
  <c r="W2053" i="2"/>
  <c r="Z2052" i="2"/>
  <c r="Y2052" i="2"/>
  <c r="X2052" i="2"/>
  <c r="W2052" i="2"/>
  <c r="Z2051" i="2"/>
  <c r="Y2051" i="2"/>
  <c r="X2051" i="2"/>
  <c r="W2051" i="2"/>
  <c r="Z2050" i="2"/>
  <c r="Y2050" i="2"/>
  <c r="X2050" i="2"/>
  <c r="W2050" i="2"/>
  <c r="Z2049" i="2"/>
  <c r="Y2049" i="2"/>
  <c r="X2049" i="2"/>
  <c r="W2049" i="2"/>
  <c r="Z2048" i="2"/>
  <c r="Y2048" i="2"/>
  <c r="X2048" i="2"/>
  <c r="W2048" i="2"/>
  <c r="Z2047" i="2"/>
  <c r="Y2047" i="2"/>
  <c r="X2047" i="2"/>
  <c r="W2047" i="2"/>
  <c r="Z2046" i="2"/>
  <c r="Y2046" i="2"/>
  <c r="X2046" i="2"/>
  <c r="W2046" i="2"/>
  <c r="Z2045" i="2"/>
  <c r="Y2045" i="2"/>
  <c r="X2045" i="2"/>
  <c r="W2045" i="2"/>
  <c r="Z2044" i="2"/>
  <c r="Y2044" i="2"/>
  <c r="X2044" i="2"/>
  <c r="W2044" i="2"/>
  <c r="Z2043" i="2"/>
  <c r="Y2043" i="2"/>
  <c r="X2043" i="2"/>
  <c r="W2043" i="2"/>
  <c r="Z2042" i="2"/>
  <c r="Y2042" i="2"/>
  <c r="X2042" i="2"/>
  <c r="W2042" i="2"/>
  <c r="Z2041" i="2"/>
  <c r="Y2041" i="2"/>
  <c r="X2041" i="2"/>
  <c r="W2041" i="2"/>
  <c r="Z2040" i="2"/>
  <c r="Y2040" i="2"/>
  <c r="X2040" i="2"/>
  <c r="W2040" i="2"/>
  <c r="Z2039" i="2"/>
  <c r="Y2039" i="2"/>
  <c r="X2039" i="2"/>
  <c r="W2039" i="2"/>
  <c r="Z2038" i="2"/>
  <c r="Y2038" i="2"/>
  <c r="X2038" i="2"/>
  <c r="W2038" i="2"/>
  <c r="Z2037" i="2"/>
  <c r="Y2037" i="2"/>
  <c r="X2037" i="2"/>
  <c r="W2037" i="2"/>
  <c r="Z2036" i="2"/>
  <c r="Y2036" i="2"/>
  <c r="X2036" i="2"/>
  <c r="W2036" i="2"/>
  <c r="Z2035" i="2"/>
  <c r="Y2035" i="2"/>
  <c r="X2035" i="2"/>
  <c r="W2035" i="2"/>
  <c r="Z2034" i="2"/>
  <c r="Y2034" i="2"/>
  <c r="X2034" i="2"/>
  <c r="W2034" i="2"/>
  <c r="Z2033" i="2"/>
  <c r="Y2033" i="2"/>
  <c r="X2033" i="2"/>
  <c r="W2033" i="2"/>
  <c r="Z2032" i="2"/>
  <c r="Y2032" i="2"/>
  <c r="X2032" i="2"/>
  <c r="W2032" i="2"/>
  <c r="Z2031" i="2"/>
  <c r="Y2031" i="2"/>
  <c r="X2031" i="2"/>
  <c r="W2031" i="2"/>
  <c r="Z2030" i="2"/>
  <c r="Y2030" i="2"/>
  <c r="X2030" i="2"/>
  <c r="W2030" i="2"/>
  <c r="Z2029" i="2"/>
  <c r="Y2029" i="2"/>
  <c r="X2029" i="2"/>
  <c r="W2029" i="2"/>
  <c r="Z2028" i="2"/>
  <c r="Y2028" i="2"/>
  <c r="X2028" i="2"/>
  <c r="W2028" i="2"/>
  <c r="Z2027" i="2"/>
  <c r="Y2027" i="2"/>
  <c r="X2027" i="2"/>
  <c r="W2027" i="2"/>
  <c r="Z2026" i="2"/>
  <c r="Y2026" i="2"/>
  <c r="X2026" i="2"/>
  <c r="W2026" i="2"/>
  <c r="Z2025" i="2"/>
  <c r="Y2025" i="2"/>
  <c r="X2025" i="2"/>
  <c r="W2025" i="2"/>
  <c r="Z2024" i="2"/>
  <c r="Y2024" i="2"/>
  <c r="X2024" i="2"/>
  <c r="W2024" i="2"/>
  <c r="Z2023" i="2"/>
  <c r="Y2023" i="2"/>
  <c r="X2023" i="2"/>
  <c r="W2023" i="2"/>
  <c r="Z2022" i="2"/>
  <c r="Y2022" i="2"/>
  <c r="X2022" i="2"/>
  <c r="W2022" i="2"/>
  <c r="Z2021" i="2"/>
  <c r="Y2021" i="2"/>
  <c r="X2021" i="2"/>
  <c r="W2021" i="2"/>
  <c r="Z2020" i="2"/>
  <c r="Y2020" i="2"/>
  <c r="X2020" i="2"/>
  <c r="W2020" i="2"/>
  <c r="Z2019" i="2"/>
  <c r="Y2019" i="2"/>
  <c r="X2019" i="2"/>
  <c r="W2019" i="2"/>
  <c r="Z2018" i="2"/>
  <c r="Y2018" i="2"/>
  <c r="X2018" i="2"/>
  <c r="W2018" i="2"/>
  <c r="Z2017" i="2"/>
  <c r="Y2017" i="2"/>
  <c r="X2017" i="2"/>
  <c r="W2017" i="2"/>
  <c r="Z2016" i="2"/>
  <c r="Y2016" i="2"/>
  <c r="X2016" i="2"/>
  <c r="W2016" i="2"/>
  <c r="Z2015" i="2"/>
  <c r="Y2015" i="2"/>
  <c r="X2015" i="2"/>
  <c r="W2015" i="2"/>
  <c r="Z2014" i="2"/>
  <c r="Y2014" i="2"/>
  <c r="X2014" i="2"/>
  <c r="W2014" i="2"/>
  <c r="Z2013" i="2"/>
  <c r="Y2013" i="2"/>
  <c r="X2013" i="2"/>
  <c r="W2013" i="2"/>
  <c r="Z2012" i="2"/>
  <c r="Y2012" i="2"/>
  <c r="X2012" i="2"/>
  <c r="W2012" i="2"/>
  <c r="Z2011" i="2"/>
  <c r="Y2011" i="2"/>
  <c r="X2011" i="2"/>
  <c r="W2011" i="2"/>
  <c r="Z2010" i="2"/>
  <c r="Y2010" i="2"/>
  <c r="X2010" i="2"/>
  <c r="W2010" i="2"/>
  <c r="Z2009" i="2"/>
  <c r="Y2009" i="2"/>
  <c r="X2009" i="2"/>
  <c r="W2009" i="2"/>
  <c r="Z2008" i="2"/>
  <c r="Y2008" i="2"/>
  <c r="X2008" i="2"/>
  <c r="W2008" i="2"/>
  <c r="Z2007" i="2"/>
  <c r="Y2007" i="2"/>
  <c r="X2007" i="2"/>
  <c r="W2007" i="2"/>
  <c r="Z2006" i="2"/>
  <c r="Y2006" i="2"/>
  <c r="X2006" i="2"/>
  <c r="W2006" i="2"/>
  <c r="Z2005" i="2"/>
  <c r="Y2005" i="2"/>
  <c r="X2005" i="2"/>
  <c r="W2005" i="2"/>
  <c r="Z2004" i="2"/>
  <c r="Y2004" i="2"/>
  <c r="X2004" i="2"/>
  <c r="W2004" i="2"/>
  <c r="Z2003" i="2"/>
  <c r="Y2003" i="2"/>
  <c r="X2003" i="2"/>
  <c r="W2003" i="2"/>
  <c r="Z2002" i="2"/>
  <c r="Y2002" i="2"/>
  <c r="X2002" i="2"/>
  <c r="W2002" i="2"/>
  <c r="O2002" i="2"/>
  <c r="N2002" i="2"/>
  <c r="M2002" i="2"/>
  <c r="H2002" i="2"/>
  <c r="D2002" i="2"/>
  <c r="Z2001" i="2"/>
  <c r="Y2001" i="2"/>
  <c r="X2001" i="2"/>
  <c r="W2001" i="2"/>
  <c r="H2001" i="2"/>
  <c r="Z2000" i="2"/>
  <c r="Y2000" i="2"/>
  <c r="X2000" i="2"/>
  <c r="W2000" i="2"/>
  <c r="H2000" i="2"/>
  <c r="Z1999" i="2"/>
  <c r="Y1999" i="2"/>
  <c r="X1999" i="2"/>
  <c r="W1999" i="2"/>
  <c r="H1999" i="2"/>
  <c r="Z1998" i="2"/>
  <c r="Y1998" i="2"/>
  <c r="X1998" i="2"/>
  <c r="W1998" i="2"/>
  <c r="H1998" i="2"/>
  <c r="Z1997" i="2"/>
  <c r="Y1997" i="2"/>
  <c r="X1997" i="2"/>
  <c r="W1997" i="2"/>
  <c r="H1997" i="2"/>
  <c r="Z1996" i="2"/>
  <c r="Y1996" i="2"/>
  <c r="X1996" i="2"/>
  <c r="W1996" i="2"/>
  <c r="H1996" i="2"/>
  <c r="Z1995" i="2"/>
  <c r="Y1995" i="2"/>
  <c r="X1995" i="2"/>
  <c r="W1995" i="2"/>
  <c r="H1995" i="2"/>
  <c r="Z1994" i="2"/>
  <c r="Y1994" i="2"/>
  <c r="X1994" i="2"/>
  <c r="W1994" i="2"/>
  <c r="H1994" i="2"/>
  <c r="Z1993" i="2"/>
  <c r="Y1993" i="2"/>
  <c r="X1993" i="2"/>
  <c r="W1993" i="2"/>
  <c r="H1993" i="2"/>
  <c r="Z1992" i="2"/>
  <c r="Y1992" i="2"/>
  <c r="X1992" i="2"/>
  <c r="W1992" i="2"/>
  <c r="H1992" i="2"/>
  <c r="Z1991" i="2"/>
  <c r="Y1991" i="2"/>
  <c r="X1991" i="2"/>
  <c r="W1991" i="2"/>
  <c r="H1991" i="2"/>
  <c r="Z1990" i="2"/>
  <c r="Y1990" i="2"/>
  <c r="X1990" i="2"/>
  <c r="W1990" i="2"/>
  <c r="H1990" i="2"/>
  <c r="Z1989" i="2"/>
  <c r="Y1989" i="2"/>
  <c r="X1989" i="2"/>
  <c r="W1989" i="2"/>
  <c r="H1989" i="2"/>
  <c r="Z1988" i="2"/>
  <c r="Y1988" i="2"/>
  <c r="X1988" i="2"/>
  <c r="W1988" i="2"/>
  <c r="H1988" i="2"/>
  <c r="Z1987" i="2"/>
  <c r="Y1987" i="2"/>
  <c r="X1987" i="2"/>
  <c r="W1987" i="2"/>
  <c r="H1987" i="2"/>
  <c r="Z1986" i="2"/>
  <c r="Y1986" i="2"/>
  <c r="X1986" i="2"/>
  <c r="W1986" i="2"/>
  <c r="H1986" i="2"/>
  <c r="Z1985" i="2"/>
  <c r="Y1985" i="2"/>
  <c r="X1985" i="2"/>
  <c r="W1985" i="2"/>
  <c r="H1985" i="2"/>
  <c r="Z1984" i="2"/>
  <c r="Y1984" i="2"/>
  <c r="X1984" i="2"/>
  <c r="W1984" i="2"/>
  <c r="H1984" i="2"/>
  <c r="Z1983" i="2"/>
  <c r="Y1983" i="2"/>
  <c r="X1983" i="2"/>
  <c r="W1983" i="2"/>
  <c r="H1983" i="2"/>
  <c r="Z1982" i="2"/>
  <c r="Y1982" i="2"/>
  <c r="X1982" i="2"/>
  <c r="W1982" i="2"/>
  <c r="H1982" i="2"/>
  <c r="Z1981" i="2"/>
  <c r="Y1981" i="2"/>
  <c r="X1981" i="2"/>
  <c r="W1981" i="2"/>
  <c r="H1981" i="2"/>
  <c r="Z1980" i="2"/>
  <c r="Y1980" i="2"/>
  <c r="X1980" i="2"/>
  <c r="W1980" i="2"/>
  <c r="H1980" i="2"/>
  <c r="Z1979" i="2"/>
  <c r="Y1979" i="2"/>
  <c r="X1979" i="2"/>
  <c r="W1979" i="2"/>
  <c r="H1979" i="2"/>
  <c r="Z1978" i="2"/>
  <c r="Y1978" i="2"/>
  <c r="X1978" i="2"/>
  <c r="W1978" i="2"/>
  <c r="H1978" i="2"/>
  <c r="Z1977" i="2"/>
  <c r="Y1977" i="2"/>
  <c r="X1977" i="2"/>
  <c r="W1977" i="2"/>
  <c r="H1977" i="2"/>
  <c r="Z1976" i="2"/>
  <c r="Y1976" i="2"/>
  <c r="X1976" i="2"/>
  <c r="W1976" i="2"/>
  <c r="H1976" i="2"/>
  <c r="Z1975" i="2"/>
  <c r="Y1975" i="2"/>
  <c r="X1975" i="2"/>
  <c r="W1975" i="2"/>
  <c r="H1975" i="2"/>
  <c r="Z1974" i="2"/>
  <c r="Y1974" i="2"/>
  <c r="X1974" i="2"/>
  <c r="W1974" i="2"/>
  <c r="H1974" i="2"/>
  <c r="Z1973" i="2"/>
  <c r="Y1973" i="2"/>
  <c r="X1973" i="2"/>
  <c r="W1973" i="2"/>
  <c r="H1973" i="2"/>
  <c r="Z1972" i="2"/>
  <c r="Y1972" i="2"/>
  <c r="X1972" i="2"/>
  <c r="W1972" i="2"/>
  <c r="H1972" i="2"/>
  <c r="Z1971" i="2"/>
  <c r="Y1971" i="2"/>
  <c r="X1971" i="2"/>
  <c r="W1971" i="2"/>
  <c r="H1971" i="2"/>
  <c r="Z1970" i="2"/>
  <c r="Y1970" i="2"/>
  <c r="X1970" i="2"/>
  <c r="W1970" i="2"/>
  <c r="H1970" i="2"/>
  <c r="Z1969" i="2"/>
  <c r="Y1969" i="2"/>
  <c r="X1969" i="2"/>
  <c r="W1969" i="2"/>
  <c r="H1969" i="2"/>
  <c r="Z1968" i="2"/>
  <c r="Y1968" i="2"/>
  <c r="X1968" i="2"/>
  <c r="W1968" i="2"/>
  <c r="H1968" i="2"/>
  <c r="Z1967" i="2"/>
  <c r="Y1967" i="2"/>
  <c r="X1967" i="2"/>
  <c r="W1967" i="2"/>
  <c r="H1967" i="2"/>
  <c r="Z1966" i="2"/>
  <c r="Y1966" i="2"/>
  <c r="X1966" i="2"/>
  <c r="W1966" i="2"/>
  <c r="H1966" i="2"/>
  <c r="Z1965" i="2"/>
  <c r="Y1965" i="2"/>
  <c r="X1965" i="2"/>
  <c r="W1965" i="2"/>
  <c r="H1965" i="2"/>
  <c r="Z1964" i="2"/>
  <c r="Y1964" i="2"/>
  <c r="X1964" i="2"/>
  <c r="W1964" i="2"/>
  <c r="H1964" i="2"/>
  <c r="Z1963" i="2"/>
  <c r="Y1963" i="2"/>
  <c r="X1963" i="2"/>
  <c r="W1963" i="2"/>
  <c r="H1963" i="2"/>
  <c r="Z1962" i="2"/>
  <c r="Y1962" i="2"/>
  <c r="X1962" i="2"/>
  <c r="W1962" i="2"/>
  <c r="H1962" i="2"/>
  <c r="Z1961" i="2"/>
  <c r="Y1961" i="2"/>
  <c r="X1961" i="2"/>
  <c r="W1961" i="2"/>
  <c r="H1961" i="2"/>
  <c r="Z1960" i="2"/>
  <c r="Y1960" i="2"/>
  <c r="X1960" i="2"/>
  <c r="W1960" i="2"/>
  <c r="H1960" i="2"/>
  <c r="Z1959" i="2"/>
  <c r="Y1959" i="2"/>
  <c r="X1959" i="2"/>
  <c r="W1959" i="2"/>
  <c r="H1959" i="2"/>
  <c r="Z1958" i="2"/>
  <c r="Y1958" i="2"/>
  <c r="X1958" i="2"/>
  <c r="W1958" i="2"/>
  <c r="H1958" i="2"/>
  <c r="Z1957" i="2"/>
  <c r="Y1957" i="2"/>
  <c r="X1957" i="2"/>
  <c r="W1957" i="2"/>
  <c r="H1957" i="2"/>
  <c r="Z1956" i="2"/>
  <c r="Y1956" i="2"/>
  <c r="X1956" i="2"/>
  <c r="W1956" i="2"/>
  <c r="H1956" i="2"/>
  <c r="Z1955" i="2"/>
  <c r="Y1955" i="2"/>
  <c r="X1955" i="2"/>
  <c r="W1955" i="2"/>
  <c r="H1955" i="2"/>
  <c r="Z1954" i="2"/>
  <c r="Y1954" i="2"/>
  <c r="X1954" i="2"/>
  <c r="W1954" i="2"/>
  <c r="H1954" i="2"/>
  <c r="Z1953" i="2"/>
  <c r="Y1953" i="2"/>
  <c r="X1953" i="2"/>
  <c r="W1953" i="2"/>
  <c r="H1953" i="2"/>
  <c r="Z1952" i="2"/>
  <c r="Y1952" i="2"/>
  <c r="X1952" i="2"/>
  <c r="W1952" i="2"/>
  <c r="H1952" i="2"/>
  <c r="Z1951" i="2"/>
  <c r="Y1951" i="2"/>
  <c r="X1951" i="2"/>
  <c r="W1951" i="2"/>
  <c r="H1951" i="2"/>
  <c r="Z1950" i="2"/>
  <c r="Y1950" i="2"/>
  <c r="X1950" i="2"/>
  <c r="W1950" i="2"/>
  <c r="H1950" i="2"/>
  <c r="Z1949" i="2"/>
  <c r="Y1949" i="2"/>
  <c r="X1949" i="2"/>
  <c r="W1949" i="2"/>
  <c r="H1949" i="2"/>
  <c r="Z1948" i="2"/>
  <c r="Y1948" i="2"/>
  <c r="X1948" i="2"/>
  <c r="W1948" i="2"/>
  <c r="H1948" i="2"/>
  <c r="Z1947" i="2"/>
  <c r="Y1947" i="2"/>
  <c r="X1947" i="2"/>
  <c r="W1947" i="2"/>
  <c r="H1947" i="2"/>
  <c r="Z1946" i="2"/>
  <c r="Y1946" i="2"/>
  <c r="X1946" i="2"/>
  <c r="W1946" i="2"/>
  <c r="H1946" i="2"/>
  <c r="Z1945" i="2"/>
  <c r="Y1945" i="2"/>
  <c r="X1945" i="2"/>
  <c r="W1945" i="2"/>
  <c r="H1945" i="2"/>
  <c r="Z1944" i="2"/>
  <c r="Y1944" i="2"/>
  <c r="X1944" i="2"/>
  <c r="W1944" i="2"/>
  <c r="H1944" i="2"/>
  <c r="Z1943" i="2"/>
  <c r="Y1943" i="2"/>
  <c r="X1943" i="2"/>
  <c r="W1943" i="2"/>
  <c r="H1943" i="2"/>
  <c r="Z1942" i="2"/>
  <c r="Y1942" i="2"/>
  <c r="X1942" i="2"/>
  <c r="W1942" i="2"/>
  <c r="H1942" i="2"/>
  <c r="Z1941" i="2"/>
  <c r="Y1941" i="2"/>
  <c r="X1941" i="2"/>
  <c r="W1941" i="2"/>
  <c r="H1941" i="2"/>
  <c r="Z1940" i="2"/>
  <c r="Y1940" i="2"/>
  <c r="X1940" i="2"/>
  <c r="W1940" i="2"/>
  <c r="H1940" i="2"/>
  <c r="Z1939" i="2"/>
  <c r="Y1939" i="2"/>
  <c r="X1939" i="2"/>
  <c r="W1939" i="2"/>
  <c r="H1939" i="2"/>
  <c r="Z1938" i="2"/>
  <c r="Y1938" i="2"/>
  <c r="X1938" i="2"/>
  <c r="W1938" i="2"/>
  <c r="H1938" i="2"/>
  <c r="Z1937" i="2"/>
  <c r="Y1937" i="2"/>
  <c r="X1937" i="2"/>
  <c r="W1937" i="2"/>
  <c r="H1937" i="2"/>
  <c r="Z1936" i="2"/>
  <c r="Y1936" i="2"/>
  <c r="X1936" i="2"/>
  <c r="W1936" i="2"/>
  <c r="H1936" i="2"/>
  <c r="Z1935" i="2"/>
  <c r="Y1935" i="2"/>
  <c r="X1935" i="2"/>
  <c r="W1935" i="2"/>
  <c r="H1935" i="2"/>
  <c r="Z1934" i="2"/>
  <c r="Y1934" i="2"/>
  <c r="X1934" i="2"/>
  <c r="W1934" i="2"/>
  <c r="H1934" i="2"/>
  <c r="Z1933" i="2"/>
  <c r="Y1933" i="2"/>
  <c r="X1933" i="2"/>
  <c r="W1933" i="2"/>
  <c r="H1933" i="2"/>
  <c r="Z1932" i="2"/>
  <c r="Y1932" i="2"/>
  <c r="X1932" i="2"/>
  <c r="W1932" i="2"/>
  <c r="H1932" i="2"/>
  <c r="Z1931" i="2"/>
  <c r="Y1931" i="2"/>
  <c r="X1931" i="2"/>
  <c r="W1931" i="2"/>
  <c r="H1931" i="2"/>
  <c r="Z1930" i="2"/>
  <c r="Y1930" i="2"/>
  <c r="X1930" i="2"/>
  <c r="W1930" i="2"/>
  <c r="H1930" i="2"/>
  <c r="Z1929" i="2"/>
  <c r="Y1929" i="2"/>
  <c r="X1929" i="2"/>
  <c r="W1929" i="2"/>
  <c r="H1929" i="2"/>
  <c r="Z1928" i="2"/>
  <c r="Y1928" i="2"/>
  <c r="X1928" i="2"/>
  <c r="W1928" i="2"/>
  <c r="H1928" i="2"/>
  <c r="Z1927" i="2"/>
  <c r="Y1927" i="2"/>
  <c r="X1927" i="2"/>
  <c r="W1927" i="2"/>
  <c r="H1927" i="2"/>
  <c r="Z1926" i="2"/>
  <c r="Y1926" i="2"/>
  <c r="X1926" i="2"/>
  <c r="W1926" i="2"/>
  <c r="H1926" i="2"/>
  <c r="Z1925" i="2"/>
  <c r="Y1925" i="2"/>
  <c r="X1925" i="2"/>
  <c r="W1925" i="2"/>
  <c r="H1925" i="2"/>
  <c r="Z1924" i="2"/>
  <c r="Y1924" i="2"/>
  <c r="X1924" i="2"/>
  <c r="W1924" i="2"/>
  <c r="H1924" i="2"/>
  <c r="Z1923" i="2"/>
  <c r="Y1923" i="2"/>
  <c r="X1923" i="2"/>
  <c r="W1923" i="2"/>
  <c r="H1923" i="2"/>
  <c r="Z1922" i="2"/>
  <c r="Y1922" i="2"/>
  <c r="X1922" i="2"/>
  <c r="W1922" i="2"/>
  <c r="H1922" i="2"/>
  <c r="Z1921" i="2"/>
  <c r="Y1921" i="2"/>
  <c r="X1921" i="2"/>
  <c r="W1921" i="2"/>
  <c r="H1921" i="2"/>
  <c r="Z1920" i="2"/>
  <c r="Y1920" i="2"/>
  <c r="X1920" i="2"/>
  <c r="W1920" i="2"/>
  <c r="H1920" i="2"/>
  <c r="Z1919" i="2"/>
  <c r="Y1919" i="2"/>
  <c r="X1919" i="2"/>
  <c r="W1919" i="2"/>
  <c r="H1919" i="2"/>
  <c r="Z1918" i="2"/>
  <c r="Y1918" i="2"/>
  <c r="X1918" i="2"/>
  <c r="W1918" i="2"/>
  <c r="H1918" i="2"/>
  <c r="Z1917" i="2"/>
  <c r="Y1917" i="2"/>
  <c r="X1917" i="2"/>
  <c r="W1917" i="2"/>
  <c r="H1917" i="2"/>
  <c r="Z1916" i="2"/>
  <c r="Y1916" i="2"/>
  <c r="X1916" i="2"/>
  <c r="W1916" i="2"/>
  <c r="H1916" i="2"/>
  <c r="Z1915" i="2"/>
  <c r="Y1915" i="2"/>
  <c r="X1915" i="2"/>
  <c r="W1915" i="2"/>
  <c r="H1915" i="2"/>
  <c r="Z1914" i="2"/>
  <c r="Y1914" i="2"/>
  <c r="X1914" i="2"/>
  <c r="W1914" i="2"/>
  <c r="H1914" i="2"/>
  <c r="Z1913" i="2"/>
  <c r="Y1913" i="2"/>
  <c r="X1913" i="2"/>
  <c r="W1913" i="2"/>
  <c r="H1913" i="2"/>
  <c r="Z1912" i="2"/>
  <c r="Y1912" i="2"/>
  <c r="X1912" i="2"/>
  <c r="W1912" i="2"/>
  <c r="H1912" i="2"/>
  <c r="Z1911" i="2"/>
  <c r="Y1911" i="2"/>
  <c r="X1911" i="2"/>
  <c r="W1911" i="2"/>
  <c r="H1911" i="2"/>
  <c r="Z1910" i="2"/>
  <c r="Y1910" i="2"/>
  <c r="X1910" i="2"/>
  <c r="W1910" i="2"/>
  <c r="H1910" i="2"/>
  <c r="Z1909" i="2"/>
  <c r="Y1909" i="2"/>
  <c r="X1909" i="2"/>
  <c r="W1909" i="2"/>
  <c r="H1909" i="2"/>
  <c r="Z1908" i="2"/>
  <c r="Y1908" i="2"/>
  <c r="X1908" i="2"/>
  <c r="W1908" i="2"/>
  <c r="H1908" i="2"/>
  <c r="Z1907" i="2"/>
  <c r="Y1907" i="2"/>
  <c r="X1907" i="2"/>
  <c r="W1907" i="2"/>
  <c r="H1907" i="2"/>
  <c r="Z1906" i="2"/>
  <c r="Y1906" i="2"/>
  <c r="X1906" i="2"/>
  <c r="W1906" i="2"/>
  <c r="H1906" i="2"/>
  <c r="Z1905" i="2"/>
  <c r="Y1905" i="2"/>
  <c r="X1905" i="2"/>
  <c r="W1905" i="2"/>
  <c r="H1905" i="2"/>
  <c r="Z1904" i="2"/>
  <c r="Y1904" i="2"/>
  <c r="X1904" i="2"/>
  <c r="W1904" i="2"/>
  <c r="H1904" i="2"/>
  <c r="Z1903" i="2"/>
  <c r="Y1903" i="2"/>
  <c r="X1903" i="2"/>
  <c r="W1903" i="2"/>
  <c r="H1903" i="2"/>
  <c r="Z1902" i="2"/>
  <c r="Y1902" i="2"/>
  <c r="X1902" i="2"/>
  <c r="W1902" i="2"/>
  <c r="H1902" i="2"/>
  <c r="Z1901" i="2"/>
  <c r="Y1901" i="2"/>
  <c r="X1901" i="2"/>
  <c r="W1901" i="2"/>
  <c r="H1901" i="2"/>
  <c r="Z1900" i="2"/>
  <c r="Y1900" i="2"/>
  <c r="X1900" i="2"/>
  <c r="W1900" i="2"/>
  <c r="H1900" i="2"/>
  <c r="Z1899" i="2"/>
  <c r="Y1899" i="2"/>
  <c r="X1899" i="2"/>
  <c r="W1899" i="2"/>
  <c r="H1899" i="2"/>
  <c r="Z1898" i="2"/>
  <c r="Y1898" i="2"/>
  <c r="X1898" i="2"/>
  <c r="W1898" i="2"/>
  <c r="H1898" i="2"/>
  <c r="Z1897" i="2"/>
  <c r="Y1897" i="2"/>
  <c r="X1897" i="2"/>
  <c r="W1897" i="2"/>
  <c r="H1897" i="2"/>
  <c r="Z1896" i="2"/>
  <c r="Y1896" i="2"/>
  <c r="X1896" i="2"/>
  <c r="W1896" i="2"/>
  <c r="H1896" i="2"/>
  <c r="Z1895" i="2"/>
  <c r="Y1895" i="2"/>
  <c r="X1895" i="2"/>
  <c r="W1895" i="2"/>
  <c r="H1895" i="2"/>
  <c r="Z1894" i="2"/>
  <c r="Y1894" i="2"/>
  <c r="X1894" i="2"/>
  <c r="W1894" i="2"/>
  <c r="H1894" i="2"/>
  <c r="Z1893" i="2"/>
  <c r="Y1893" i="2"/>
  <c r="X1893" i="2"/>
  <c r="W1893" i="2"/>
  <c r="H1893" i="2"/>
  <c r="Z1892" i="2"/>
  <c r="Y1892" i="2"/>
  <c r="X1892" i="2"/>
  <c r="W1892" i="2"/>
  <c r="H1892" i="2"/>
  <c r="Z1891" i="2"/>
  <c r="Y1891" i="2"/>
  <c r="X1891" i="2"/>
  <c r="W1891" i="2"/>
  <c r="H1891" i="2"/>
  <c r="Z1890" i="2"/>
  <c r="Y1890" i="2"/>
  <c r="X1890" i="2"/>
  <c r="W1890" i="2"/>
  <c r="H1890" i="2"/>
  <c r="Z1889" i="2"/>
  <c r="Y1889" i="2"/>
  <c r="X1889" i="2"/>
  <c r="W1889" i="2"/>
  <c r="H1889" i="2"/>
  <c r="Z1888" i="2"/>
  <c r="Y1888" i="2"/>
  <c r="X1888" i="2"/>
  <c r="W1888" i="2"/>
  <c r="H1888" i="2"/>
  <c r="Z1887" i="2"/>
  <c r="Y1887" i="2"/>
  <c r="X1887" i="2"/>
  <c r="W1887" i="2"/>
  <c r="H1887" i="2"/>
  <c r="Z1886" i="2"/>
  <c r="Y1886" i="2"/>
  <c r="X1886" i="2"/>
  <c r="W1886" i="2"/>
  <c r="H1886" i="2"/>
  <c r="Z1885" i="2"/>
  <c r="Y1885" i="2"/>
  <c r="X1885" i="2"/>
  <c r="W1885" i="2"/>
  <c r="H1885" i="2"/>
  <c r="Z1884" i="2"/>
  <c r="Y1884" i="2"/>
  <c r="X1884" i="2"/>
  <c r="W1884" i="2"/>
  <c r="H1884" i="2"/>
  <c r="Z1883" i="2"/>
  <c r="Y1883" i="2"/>
  <c r="X1883" i="2"/>
  <c r="W1883" i="2"/>
  <c r="H1883" i="2"/>
  <c r="Z1882" i="2"/>
  <c r="Y1882" i="2"/>
  <c r="X1882" i="2"/>
  <c r="W1882" i="2"/>
  <c r="H1882" i="2"/>
  <c r="Z1881" i="2"/>
  <c r="Y1881" i="2"/>
  <c r="X1881" i="2"/>
  <c r="W1881" i="2"/>
  <c r="H1881" i="2"/>
  <c r="Z1880" i="2"/>
  <c r="Y1880" i="2"/>
  <c r="X1880" i="2"/>
  <c r="W1880" i="2"/>
  <c r="H1880" i="2"/>
  <c r="Z1879" i="2"/>
  <c r="Y1879" i="2"/>
  <c r="X1879" i="2"/>
  <c r="W1879" i="2"/>
  <c r="H1879" i="2"/>
  <c r="Z1878" i="2"/>
  <c r="Y1878" i="2"/>
  <c r="X1878" i="2"/>
  <c r="W1878" i="2"/>
  <c r="H1878" i="2"/>
  <c r="Z1877" i="2"/>
  <c r="Y1877" i="2"/>
  <c r="X1877" i="2"/>
  <c r="W1877" i="2"/>
  <c r="H1877" i="2"/>
  <c r="Z1876" i="2"/>
  <c r="Y1876" i="2"/>
  <c r="X1876" i="2"/>
  <c r="W1876" i="2"/>
  <c r="H1876" i="2"/>
  <c r="Z1875" i="2"/>
  <c r="Y1875" i="2"/>
  <c r="X1875" i="2"/>
  <c r="W1875" i="2"/>
  <c r="H1875" i="2"/>
  <c r="Z1874" i="2"/>
  <c r="Y1874" i="2"/>
  <c r="X1874" i="2"/>
  <c r="W1874" i="2"/>
  <c r="H1874" i="2"/>
  <c r="Z1873" i="2"/>
  <c r="Y1873" i="2"/>
  <c r="X1873" i="2"/>
  <c r="W1873" i="2"/>
  <c r="H1873" i="2"/>
  <c r="Z1872" i="2"/>
  <c r="Y1872" i="2"/>
  <c r="X1872" i="2"/>
  <c r="W1872" i="2"/>
  <c r="H1872" i="2"/>
  <c r="Z1871" i="2"/>
  <c r="Y1871" i="2"/>
  <c r="X1871" i="2"/>
  <c r="W1871" i="2"/>
  <c r="H1871" i="2"/>
  <c r="Z1870" i="2"/>
  <c r="Y1870" i="2"/>
  <c r="X1870" i="2"/>
  <c r="W1870" i="2"/>
  <c r="H1870" i="2"/>
  <c r="Z1869" i="2"/>
  <c r="Y1869" i="2"/>
  <c r="X1869" i="2"/>
  <c r="W1869" i="2"/>
  <c r="H1869" i="2"/>
  <c r="Z1868" i="2"/>
  <c r="Y1868" i="2"/>
  <c r="X1868" i="2"/>
  <c r="W1868" i="2"/>
  <c r="H1868" i="2"/>
  <c r="Z1867" i="2"/>
  <c r="Y1867" i="2"/>
  <c r="X1867" i="2"/>
  <c r="W1867" i="2"/>
  <c r="H1867" i="2"/>
  <c r="Z1866" i="2"/>
  <c r="Y1866" i="2"/>
  <c r="X1866" i="2"/>
  <c r="W1866" i="2"/>
  <c r="H1866" i="2"/>
  <c r="Z1865" i="2"/>
  <c r="Y1865" i="2"/>
  <c r="X1865" i="2"/>
  <c r="W1865" i="2"/>
  <c r="H1865" i="2"/>
  <c r="Z1864" i="2"/>
  <c r="Y1864" i="2"/>
  <c r="X1864" i="2"/>
  <c r="W1864" i="2"/>
  <c r="H1864" i="2"/>
  <c r="Z1863" i="2"/>
  <c r="Y1863" i="2"/>
  <c r="X1863" i="2"/>
  <c r="W1863" i="2"/>
  <c r="H1863" i="2"/>
  <c r="Z1862" i="2"/>
  <c r="Y1862" i="2"/>
  <c r="X1862" i="2"/>
  <c r="W1862" i="2"/>
  <c r="H1862" i="2"/>
  <c r="Z1861" i="2"/>
  <c r="Y1861" i="2"/>
  <c r="X1861" i="2"/>
  <c r="W1861" i="2"/>
  <c r="H1861" i="2"/>
  <c r="Z1860" i="2"/>
  <c r="Y1860" i="2"/>
  <c r="X1860" i="2"/>
  <c r="W1860" i="2"/>
  <c r="H1860" i="2"/>
  <c r="Z1859" i="2"/>
  <c r="Y1859" i="2"/>
  <c r="X1859" i="2"/>
  <c r="W1859" i="2"/>
  <c r="H1859" i="2"/>
  <c r="Z1858" i="2"/>
  <c r="Y1858" i="2"/>
  <c r="X1858" i="2"/>
  <c r="W1858" i="2"/>
  <c r="H1858" i="2"/>
  <c r="Z1857" i="2"/>
  <c r="Y1857" i="2"/>
  <c r="X1857" i="2"/>
  <c r="W1857" i="2"/>
  <c r="H1857" i="2"/>
  <c r="Z1856" i="2"/>
  <c r="Y1856" i="2"/>
  <c r="X1856" i="2"/>
  <c r="W1856" i="2"/>
  <c r="H1856" i="2"/>
  <c r="Z1855" i="2"/>
  <c r="Y1855" i="2"/>
  <c r="X1855" i="2"/>
  <c r="W1855" i="2"/>
  <c r="H1855" i="2"/>
  <c r="Z1854" i="2"/>
  <c r="Y1854" i="2"/>
  <c r="X1854" i="2"/>
  <c r="W1854" i="2"/>
  <c r="H1854" i="2"/>
  <c r="Z1853" i="2"/>
  <c r="Y1853" i="2"/>
  <c r="X1853" i="2"/>
  <c r="W1853" i="2"/>
  <c r="H1853" i="2"/>
  <c r="Z1852" i="2"/>
  <c r="Y1852" i="2"/>
  <c r="X1852" i="2"/>
  <c r="W1852" i="2"/>
  <c r="H1852" i="2"/>
  <c r="Z1851" i="2"/>
  <c r="Y1851" i="2"/>
  <c r="X1851" i="2"/>
  <c r="W1851" i="2"/>
  <c r="H1851" i="2"/>
  <c r="Z1850" i="2"/>
  <c r="Y1850" i="2"/>
  <c r="X1850" i="2"/>
  <c r="W1850" i="2"/>
  <c r="H1850" i="2"/>
  <c r="Z1849" i="2"/>
  <c r="Y1849" i="2"/>
  <c r="X1849" i="2"/>
  <c r="W1849" i="2"/>
  <c r="H1849" i="2"/>
  <c r="Z1848" i="2"/>
  <c r="Y1848" i="2"/>
  <c r="X1848" i="2"/>
  <c r="W1848" i="2"/>
  <c r="H1848" i="2"/>
  <c r="Z1847" i="2"/>
  <c r="Y1847" i="2"/>
  <c r="X1847" i="2"/>
  <c r="W1847" i="2"/>
  <c r="H1847" i="2"/>
  <c r="Z1846" i="2"/>
  <c r="Y1846" i="2"/>
  <c r="X1846" i="2"/>
  <c r="W1846" i="2"/>
  <c r="H1846" i="2"/>
  <c r="Z1845" i="2"/>
  <c r="Y1845" i="2"/>
  <c r="X1845" i="2"/>
  <c r="W1845" i="2"/>
  <c r="H1845" i="2"/>
  <c r="Z1844" i="2"/>
  <c r="Y1844" i="2"/>
  <c r="X1844" i="2"/>
  <c r="W1844" i="2"/>
  <c r="H1844" i="2"/>
  <c r="Z1843" i="2"/>
  <c r="Y1843" i="2"/>
  <c r="X1843" i="2"/>
  <c r="W1843" i="2"/>
  <c r="H1843" i="2"/>
  <c r="Z1842" i="2"/>
  <c r="Y1842" i="2"/>
  <c r="X1842" i="2"/>
  <c r="W1842" i="2"/>
  <c r="H1842" i="2"/>
  <c r="Z1841" i="2"/>
  <c r="Y1841" i="2"/>
  <c r="X1841" i="2"/>
  <c r="W1841" i="2"/>
  <c r="H1841" i="2"/>
  <c r="Z1840" i="2"/>
  <c r="Y1840" i="2"/>
  <c r="X1840" i="2"/>
  <c r="W1840" i="2"/>
  <c r="H1840" i="2"/>
  <c r="Z1839" i="2"/>
  <c r="Y1839" i="2"/>
  <c r="X1839" i="2"/>
  <c r="W1839" i="2"/>
  <c r="H1839" i="2"/>
  <c r="Z1838" i="2"/>
  <c r="Y1838" i="2"/>
  <c r="X1838" i="2"/>
  <c r="W1838" i="2"/>
  <c r="H1838" i="2"/>
  <c r="Z1837" i="2"/>
  <c r="Y1837" i="2"/>
  <c r="X1837" i="2"/>
  <c r="W1837" i="2"/>
  <c r="H1837" i="2"/>
  <c r="Z1836" i="2"/>
  <c r="Y1836" i="2"/>
  <c r="X1836" i="2"/>
  <c r="W1836" i="2"/>
  <c r="H1836" i="2"/>
  <c r="Z1835" i="2"/>
  <c r="Y1835" i="2"/>
  <c r="X1835" i="2"/>
  <c r="W1835" i="2"/>
  <c r="H1835" i="2"/>
  <c r="Z1834" i="2"/>
  <c r="Y1834" i="2"/>
  <c r="X1834" i="2"/>
  <c r="W1834" i="2"/>
  <c r="H1834" i="2"/>
  <c r="Z1833" i="2"/>
  <c r="Y1833" i="2"/>
  <c r="X1833" i="2"/>
  <c r="W1833" i="2"/>
  <c r="H1833" i="2"/>
  <c r="Z1832" i="2"/>
  <c r="Y1832" i="2"/>
  <c r="X1832" i="2"/>
  <c r="W1832" i="2"/>
  <c r="H1832" i="2"/>
  <c r="Z1831" i="2"/>
  <c r="Y1831" i="2"/>
  <c r="X1831" i="2"/>
  <c r="W1831" i="2"/>
  <c r="H1831" i="2"/>
  <c r="Z1830" i="2"/>
  <c r="Y1830" i="2"/>
  <c r="X1830" i="2"/>
  <c r="W1830" i="2"/>
  <c r="H1830" i="2"/>
  <c r="Z1829" i="2"/>
  <c r="Y1829" i="2"/>
  <c r="X1829" i="2"/>
  <c r="W1829" i="2"/>
  <c r="H1829" i="2"/>
  <c r="Z1828" i="2"/>
  <c r="Y1828" i="2"/>
  <c r="X1828" i="2"/>
  <c r="W1828" i="2"/>
  <c r="H1828" i="2"/>
  <c r="Z1827" i="2"/>
  <c r="Y1827" i="2"/>
  <c r="X1827" i="2"/>
  <c r="W1827" i="2"/>
  <c r="H1827" i="2"/>
  <c r="Z1826" i="2"/>
  <c r="Y1826" i="2"/>
  <c r="X1826" i="2"/>
  <c r="W1826" i="2"/>
  <c r="H1826" i="2"/>
  <c r="Z1825" i="2"/>
  <c r="Y1825" i="2"/>
  <c r="X1825" i="2"/>
  <c r="W1825" i="2"/>
  <c r="H1825" i="2"/>
  <c r="Z1824" i="2"/>
  <c r="Y1824" i="2"/>
  <c r="X1824" i="2"/>
  <c r="W1824" i="2"/>
  <c r="H1824" i="2"/>
  <c r="Z1823" i="2"/>
  <c r="Y1823" i="2"/>
  <c r="X1823" i="2"/>
  <c r="W1823" i="2"/>
  <c r="H1823" i="2"/>
  <c r="Z1822" i="2"/>
  <c r="Y1822" i="2"/>
  <c r="X1822" i="2"/>
  <c r="W1822" i="2"/>
  <c r="H1822" i="2"/>
  <c r="Z1821" i="2"/>
  <c r="Y1821" i="2"/>
  <c r="X1821" i="2"/>
  <c r="W1821" i="2"/>
  <c r="H1821" i="2"/>
  <c r="Z1820" i="2"/>
  <c r="Y1820" i="2"/>
  <c r="X1820" i="2"/>
  <c r="W1820" i="2"/>
  <c r="H1820" i="2"/>
  <c r="Z1819" i="2"/>
  <c r="Y1819" i="2"/>
  <c r="X1819" i="2"/>
  <c r="W1819" i="2"/>
  <c r="H1819" i="2"/>
  <c r="Z1818" i="2"/>
  <c r="Y1818" i="2"/>
  <c r="X1818" i="2"/>
  <c r="W1818" i="2"/>
  <c r="H1818" i="2"/>
  <c r="Z1817" i="2"/>
  <c r="Y1817" i="2"/>
  <c r="X1817" i="2"/>
  <c r="W1817" i="2"/>
  <c r="H1817" i="2"/>
  <c r="Z1816" i="2"/>
  <c r="Y1816" i="2"/>
  <c r="X1816" i="2"/>
  <c r="W1816" i="2"/>
  <c r="H1816" i="2"/>
  <c r="Z1815" i="2"/>
  <c r="Y1815" i="2"/>
  <c r="X1815" i="2"/>
  <c r="W1815" i="2"/>
  <c r="H1815" i="2"/>
  <c r="Z1814" i="2"/>
  <c r="Y1814" i="2"/>
  <c r="X1814" i="2"/>
  <c r="W1814" i="2"/>
  <c r="H1814" i="2"/>
  <c r="Z1813" i="2"/>
  <c r="Y1813" i="2"/>
  <c r="X1813" i="2"/>
  <c r="W1813" i="2"/>
  <c r="H1813" i="2"/>
  <c r="Z1812" i="2"/>
  <c r="Y1812" i="2"/>
  <c r="X1812" i="2"/>
  <c r="W1812" i="2"/>
  <c r="H1812" i="2"/>
  <c r="Z1811" i="2"/>
  <c r="Y1811" i="2"/>
  <c r="X1811" i="2"/>
  <c r="W1811" i="2"/>
  <c r="H1811" i="2"/>
  <c r="Z1810" i="2"/>
  <c r="Y1810" i="2"/>
  <c r="X1810" i="2"/>
  <c r="W1810" i="2"/>
  <c r="H1810" i="2"/>
  <c r="Z1809" i="2"/>
  <c r="Y1809" i="2"/>
  <c r="X1809" i="2"/>
  <c r="W1809" i="2"/>
  <c r="H1809" i="2"/>
  <c r="Z1808" i="2"/>
  <c r="Y1808" i="2"/>
  <c r="X1808" i="2"/>
  <c r="W1808" i="2"/>
  <c r="H1808" i="2"/>
  <c r="Z1807" i="2"/>
  <c r="Y1807" i="2"/>
  <c r="X1807" i="2"/>
  <c r="W1807" i="2"/>
  <c r="H1807" i="2"/>
  <c r="Z1806" i="2"/>
  <c r="Y1806" i="2"/>
  <c r="X1806" i="2"/>
  <c r="W1806" i="2"/>
  <c r="H1806" i="2"/>
  <c r="Z1805" i="2"/>
  <c r="Y1805" i="2"/>
  <c r="X1805" i="2"/>
  <c r="W1805" i="2"/>
  <c r="H1805" i="2"/>
  <c r="Z1804" i="2"/>
  <c r="Y1804" i="2"/>
  <c r="X1804" i="2"/>
  <c r="W1804" i="2"/>
  <c r="H1804" i="2"/>
  <c r="Z1803" i="2"/>
  <c r="Y1803" i="2"/>
  <c r="X1803" i="2"/>
  <c r="W1803" i="2"/>
  <c r="H1803" i="2"/>
  <c r="Z1802" i="2"/>
  <c r="Y1802" i="2"/>
  <c r="X1802" i="2"/>
  <c r="W1802" i="2"/>
  <c r="H1802" i="2"/>
  <c r="Z1801" i="2"/>
  <c r="Y1801" i="2"/>
  <c r="X1801" i="2"/>
  <c r="W1801" i="2"/>
  <c r="H1801" i="2"/>
  <c r="Z1800" i="2"/>
  <c r="Y1800" i="2"/>
  <c r="X1800" i="2"/>
  <c r="W1800" i="2"/>
  <c r="H1800" i="2"/>
  <c r="Z1799" i="2"/>
  <c r="Y1799" i="2"/>
  <c r="X1799" i="2"/>
  <c r="W1799" i="2"/>
  <c r="H1799" i="2"/>
  <c r="Z1798" i="2"/>
  <c r="Y1798" i="2"/>
  <c r="X1798" i="2"/>
  <c r="W1798" i="2"/>
  <c r="H1798" i="2"/>
  <c r="Z1797" i="2"/>
  <c r="Y1797" i="2"/>
  <c r="X1797" i="2"/>
  <c r="W1797" i="2"/>
  <c r="H1797" i="2"/>
  <c r="Z1796" i="2"/>
  <c r="Y1796" i="2"/>
  <c r="X1796" i="2"/>
  <c r="W1796" i="2"/>
  <c r="H1796" i="2"/>
  <c r="Z1795" i="2"/>
  <c r="Y1795" i="2"/>
  <c r="X1795" i="2"/>
  <c r="W1795" i="2"/>
  <c r="H1795" i="2"/>
  <c r="Z1794" i="2"/>
  <c r="Y1794" i="2"/>
  <c r="X1794" i="2"/>
  <c r="W1794" i="2"/>
  <c r="H1794" i="2"/>
  <c r="Z1793" i="2"/>
  <c r="Y1793" i="2"/>
  <c r="X1793" i="2"/>
  <c r="W1793" i="2"/>
  <c r="H1793" i="2"/>
  <c r="Z1792" i="2"/>
  <c r="Y1792" i="2"/>
  <c r="X1792" i="2"/>
  <c r="W1792" i="2"/>
  <c r="H1792" i="2"/>
  <c r="Z1791" i="2"/>
  <c r="Y1791" i="2"/>
  <c r="X1791" i="2"/>
  <c r="W1791" i="2"/>
  <c r="H1791" i="2"/>
  <c r="Z1790" i="2"/>
  <c r="Y1790" i="2"/>
  <c r="X1790" i="2"/>
  <c r="W1790" i="2"/>
  <c r="H1790" i="2"/>
  <c r="Z1789" i="2"/>
  <c r="Y1789" i="2"/>
  <c r="X1789" i="2"/>
  <c r="W1789" i="2"/>
  <c r="H1789" i="2"/>
  <c r="Z1788" i="2"/>
  <c r="Y1788" i="2"/>
  <c r="X1788" i="2"/>
  <c r="W1788" i="2"/>
  <c r="H1788" i="2"/>
  <c r="Z1787" i="2"/>
  <c r="Y1787" i="2"/>
  <c r="X1787" i="2"/>
  <c r="W1787" i="2"/>
  <c r="H1787" i="2"/>
  <c r="Z1786" i="2"/>
  <c r="Y1786" i="2"/>
  <c r="X1786" i="2"/>
  <c r="W1786" i="2"/>
  <c r="H1786" i="2"/>
  <c r="Z1785" i="2"/>
  <c r="Y1785" i="2"/>
  <c r="X1785" i="2"/>
  <c r="W1785" i="2"/>
  <c r="H1785" i="2"/>
  <c r="Z1784" i="2"/>
  <c r="Y1784" i="2"/>
  <c r="X1784" i="2"/>
  <c r="W1784" i="2"/>
  <c r="H1784" i="2"/>
  <c r="Z1783" i="2"/>
  <c r="Y1783" i="2"/>
  <c r="X1783" i="2"/>
  <c r="W1783" i="2"/>
  <c r="H1783" i="2"/>
  <c r="Z1782" i="2"/>
  <c r="Y1782" i="2"/>
  <c r="X1782" i="2"/>
  <c r="W1782" i="2"/>
  <c r="H1782" i="2"/>
  <c r="Z1781" i="2"/>
  <c r="Y1781" i="2"/>
  <c r="X1781" i="2"/>
  <c r="W1781" i="2"/>
  <c r="H1781" i="2"/>
  <c r="Z1780" i="2"/>
  <c r="Y1780" i="2"/>
  <c r="X1780" i="2"/>
  <c r="W1780" i="2"/>
  <c r="H1780" i="2"/>
  <c r="Z1779" i="2"/>
  <c r="Y1779" i="2"/>
  <c r="X1779" i="2"/>
  <c r="W1779" i="2"/>
  <c r="H1779" i="2"/>
  <c r="Z1778" i="2"/>
  <c r="Y1778" i="2"/>
  <c r="X1778" i="2"/>
  <c r="W1778" i="2"/>
  <c r="H1778" i="2"/>
  <c r="Z1777" i="2"/>
  <c r="Y1777" i="2"/>
  <c r="X1777" i="2"/>
  <c r="W1777" i="2"/>
  <c r="H1777" i="2"/>
  <c r="Z1776" i="2"/>
  <c r="Y1776" i="2"/>
  <c r="X1776" i="2"/>
  <c r="W1776" i="2"/>
  <c r="H1776" i="2"/>
  <c r="Z1775" i="2"/>
  <c r="Y1775" i="2"/>
  <c r="X1775" i="2"/>
  <c r="W1775" i="2"/>
  <c r="H1775" i="2"/>
  <c r="Z1774" i="2"/>
  <c r="Y1774" i="2"/>
  <c r="X1774" i="2"/>
  <c r="W1774" i="2"/>
  <c r="H1774" i="2"/>
  <c r="Z1773" i="2"/>
  <c r="Y1773" i="2"/>
  <c r="X1773" i="2"/>
  <c r="W1773" i="2"/>
  <c r="H1773" i="2"/>
  <c r="Z1772" i="2"/>
  <c r="Y1772" i="2"/>
  <c r="X1772" i="2"/>
  <c r="W1772" i="2"/>
  <c r="H1772" i="2"/>
  <c r="Z1771" i="2"/>
  <c r="Y1771" i="2"/>
  <c r="X1771" i="2"/>
  <c r="W1771" i="2"/>
  <c r="H1771" i="2"/>
  <c r="Z1770" i="2"/>
  <c r="Y1770" i="2"/>
  <c r="X1770" i="2"/>
  <c r="W1770" i="2"/>
  <c r="H1770" i="2"/>
  <c r="Z1769" i="2"/>
  <c r="Y1769" i="2"/>
  <c r="X1769" i="2"/>
  <c r="W1769" i="2"/>
  <c r="H1769" i="2"/>
  <c r="Z1768" i="2"/>
  <c r="Y1768" i="2"/>
  <c r="X1768" i="2"/>
  <c r="W1768" i="2"/>
  <c r="H1768" i="2"/>
  <c r="Z1767" i="2"/>
  <c r="Y1767" i="2"/>
  <c r="X1767" i="2"/>
  <c r="W1767" i="2"/>
  <c r="H1767" i="2"/>
  <c r="Z1766" i="2"/>
  <c r="Y1766" i="2"/>
  <c r="X1766" i="2"/>
  <c r="W1766" i="2"/>
  <c r="H1766" i="2"/>
  <c r="Z1765" i="2"/>
  <c r="Y1765" i="2"/>
  <c r="X1765" i="2"/>
  <c r="W1765" i="2"/>
  <c r="H1765" i="2"/>
  <c r="Z1764" i="2"/>
  <c r="Y1764" i="2"/>
  <c r="X1764" i="2"/>
  <c r="W1764" i="2"/>
  <c r="H1764" i="2"/>
  <c r="Z1763" i="2"/>
  <c r="Y1763" i="2"/>
  <c r="X1763" i="2"/>
  <c r="W1763" i="2"/>
  <c r="H1763" i="2"/>
  <c r="Z1762" i="2"/>
  <c r="Y1762" i="2"/>
  <c r="X1762" i="2"/>
  <c r="W1762" i="2"/>
  <c r="H1762" i="2"/>
  <c r="Z1761" i="2"/>
  <c r="Y1761" i="2"/>
  <c r="X1761" i="2"/>
  <c r="W1761" i="2"/>
  <c r="H1761" i="2"/>
  <c r="Z1760" i="2"/>
  <c r="Y1760" i="2"/>
  <c r="X1760" i="2"/>
  <c r="W1760" i="2"/>
  <c r="H1760" i="2"/>
  <c r="Z1759" i="2"/>
  <c r="Y1759" i="2"/>
  <c r="X1759" i="2"/>
  <c r="W1759" i="2"/>
  <c r="H1759" i="2"/>
  <c r="Z1758" i="2"/>
  <c r="Y1758" i="2"/>
  <c r="X1758" i="2"/>
  <c r="W1758" i="2"/>
  <c r="H1758" i="2"/>
  <c r="Z1757" i="2"/>
  <c r="Y1757" i="2"/>
  <c r="X1757" i="2"/>
  <c r="W1757" i="2"/>
  <c r="H1757" i="2"/>
  <c r="Z1756" i="2"/>
  <c r="Y1756" i="2"/>
  <c r="X1756" i="2"/>
  <c r="W1756" i="2"/>
  <c r="H1756" i="2"/>
  <c r="Z1755" i="2"/>
  <c r="Y1755" i="2"/>
  <c r="X1755" i="2"/>
  <c r="W1755" i="2"/>
  <c r="H1755" i="2"/>
  <c r="Z1754" i="2"/>
  <c r="Y1754" i="2"/>
  <c r="X1754" i="2"/>
  <c r="W1754" i="2"/>
  <c r="H1754" i="2"/>
  <c r="Z1753" i="2"/>
  <c r="Y1753" i="2"/>
  <c r="X1753" i="2"/>
  <c r="W1753" i="2"/>
  <c r="H1753" i="2"/>
  <c r="Z1752" i="2"/>
  <c r="Y1752" i="2"/>
  <c r="X1752" i="2"/>
  <c r="W1752" i="2"/>
  <c r="H1752" i="2"/>
  <c r="Z1751" i="2"/>
  <c r="Y1751" i="2"/>
  <c r="X1751" i="2"/>
  <c r="W1751" i="2"/>
  <c r="H1751" i="2"/>
  <c r="Z1750" i="2"/>
  <c r="Y1750" i="2"/>
  <c r="X1750" i="2"/>
  <c r="W1750" i="2"/>
  <c r="H1750" i="2"/>
  <c r="Z1749" i="2"/>
  <c r="Y1749" i="2"/>
  <c r="X1749" i="2"/>
  <c r="W1749" i="2"/>
  <c r="H1749" i="2"/>
  <c r="Z1748" i="2"/>
  <c r="Y1748" i="2"/>
  <c r="X1748" i="2"/>
  <c r="W1748" i="2"/>
  <c r="H1748" i="2"/>
  <c r="Z1747" i="2"/>
  <c r="Y1747" i="2"/>
  <c r="X1747" i="2"/>
  <c r="W1747" i="2"/>
  <c r="H1747" i="2"/>
  <c r="Z1746" i="2"/>
  <c r="Y1746" i="2"/>
  <c r="X1746" i="2"/>
  <c r="W1746" i="2"/>
  <c r="H1746" i="2"/>
  <c r="Z1745" i="2"/>
  <c r="Y1745" i="2"/>
  <c r="X1745" i="2"/>
  <c r="W1745" i="2"/>
  <c r="H1745" i="2"/>
  <c r="Z1744" i="2"/>
  <c r="Y1744" i="2"/>
  <c r="X1744" i="2"/>
  <c r="W1744" i="2"/>
  <c r="H1744" i="2"/>
  <c r="Z1743" i="2"/>
  <c r="Y1743" i="2"/>
  <c r="X1743" i="2"/>
  <c r="W1743" i="2"/>
  <c r="H1743" i="2"/>
  <c r="Z1742" i="2"/>
  <c r="Y1742" i="2"/>
  <c r="X1742" i="2"/>
  <c r="W1742" i="2"/>
  <c r="H1742" i="2"/>
  <c r="Z1741" i="2"/>
  <c r="Y1741" i="2"/>
  <c r="X1741" i="2"/>
  <c r="W1741" i="2"/>
  <c r="H1741" i="2"/>
  <c r="Z1740" i="2"/>
  <c r="Y1740" i="2"/>
  <c r="X1740" i="2"/>
  <c r="W1740" i="2"/>
  <c r="H1740" i="2"/>
  <c r="Z1739" i="2"/>
  <c r="Y1739" i="2"/>
  <c r="X1739" i="2"/>
  <c r="W1739" i="2"/>
  <c r="H1739" i="2"/>
  <c r="Z1738" i="2"/>
  <c r="Y1738" i="2"/>
  <c r="X1738" i="2"/>
  <c r="W1738" i="2"/>
  <c r="H1738" i="2"/>
  <c r="Z1737" i="2"/>
  <c r="Y1737" i="2"/>
  <c r="X1737" i="2"/>
  <c r="W1737" i="2"/>
  <c r="H1737" i="2"/>
  <c r="Z1736" i="2"/>
  <c r="Y1736" i="2"/>
  <c r="X1736" i="2"/>
  <c r="W1736" i="2"/>
  <c r="H1736" i="2"/>
  <c r="Z1735" i="2"/>
  <c r="Y1735" i="2"/>
  <c r="X1735" i="2"/>
  <c r="W1735" i="2"/>
  <c r="H1735" i="2"/>
  <c r="Z1734" i="2"/>
  <c r="Y1734" i="2"/>
  <c r="X1734" i="2"/>
  <c r="W1734" i="2"/>
  <c r="H1734" i="2"/>
  <c r="Z1733" i="2"/>
  <c r="Y1733" i="2"/>
  <c r="X1733" i="2"/>
  <c r="W1733" i="2"/>
  <c r="H1733" i="2"/>
  <c r="Z1732" i="2"/>
  <c r="Y1732" i="2"/>
  <c r="X1732" i="2"/>
  <c r="W1732" i="2"/>
  <c r="H1732" i="2"/>
  <c r="Z1731" i="2"/>
  <c r="Y1731" i="2"/>
  <c r="X1731" i="2"/>
  <c r="W1731" i="2"/>
  <c r="H1731" i="2"/>
  <c r="Z1730" i="2"/>
  <c r="Y1730" i="2"/>
  <c r="X1730" i="2"/>
  <c r="W1730" i="2"/>
  <c r="H1730" i="2"/>
  <c r="Z1729" i="2"/>
  <c r="Y1729" i="2"/>
  <c r="X1729" i="2"/>
  <c r="W1729" i="2"/>
  <c r="H1729" i="2"/>
  <c r="Z1728" i="2"/>
  <c r="Y1728" i="2"/>
  <c r="X1728" i="2"/>
  <c r="W1728" i="2"/>
  <c r="H1728" i="2"/>
  <c r="Z1727" i="2"/>
  <c r="Y1727" i="2"/>
  <c r="X1727" i="2"/>
  <c r="W1727" i="2"/>
  <c r="H1727" i="2"/>
  <c r="Z1726" i="2"/>
  <c r="Y1726" i="2"/>
  <c r="X1726" i="2"/>
  <c r="W1726" i="2"/>
  <c r="H1726" i="2"/>
  <c r="Z1725" i="2"/>
  <c r="Y1725" i="2"/>
  <c r="X1725" i="2"/>
  <c r="W1725" i="2"/>
  <c r="H1725" i="2"/>
  <c r="Z1724" i="2"/>
  <c r="Y1724" i="2"/>
  <c r="X1724" i="2"/>
  <c r="W1724" i="2"/>
  <c r="H1724" i="2"/>
  <c r="Z1723" i="2"/>
  <c r="Y1723" i="2"/>
  <c r="X1723" i="2"/>
  <c r="W1723" i="2"/>
  <c r="H1723" i="2"/>
  <c r="Z1722" i="2"/>
  <c r="Y1722" i="2"/>
  <c r="X1722" i="2"/>
  <c r="W1722" i="2"/>
  <c r="H1722" i="2"/>
  <c r="Z1721" i="2"/>
  <c r="Y1721" i="2"/>
  <c r="X1721" i="2"/>
  <c r="W1721" i="2"/>
  <c r="H1721" i="2"/>
  <c r="Z1720" i="2"/>
  <c r="Y1720" i="2"/>
  <c r="X1720" i="2"/>
  <c r="W1720" i="2"/>
  <c r="H1720" i="2"/>
  <c r="Z1719" i="2"/>
  <c r="Y1719" i="2"/>
  <c r="X1719" i="2"/>
  <c r="W1719" i="2"/>
  <c r="H1719" i="2"/>
  <c r="Z1718" i="2"/>
  <c r="Y1718" i="2"/>
  <c r="X1718" i="2"/>
  <c r="W1718" i="2"/>
  <c r="H1718" i="2"/>
  <c r="Z1717" i="2"/>
  <c r="Y1717" i="2"/>
  <c r="X1717" i="2"/>
  <c r="W1717" i="2"/>
  <c r="H1717" i="2"/>
  <c r="Z1716" i="2"/>
  <c r="Y1716" i="2"/>
  <c r="X1716" i="2"/>
  <c r="W1716" i="2"/>
  <c r="H1716" i="2"/>
  <c r="Z1715" i="2"/>
  <c r="Y1715" i="2"/>
  <c r="X1715" i="2"/>
  <c r="W1715" i="2"/>
  <c r="H1715" i="2"/>
  <c r="Z1714" i="2"/>
  <c r="Y1714" i="2"/>
  <c r="X1714" i="2"/>
  <c r="W1714" i="2"/>
  <c r="H1714" i="2"/>
  <c r="Z1713" i="2"/>
  <c r="Y1713" i="2"/>
  <c r="X1713" i="2"/>
  <c r="W1713" i="2"/>
  <c r="H1713" i="2"/>
  <c r="Z1712" i="2"/>
  <c r="Y1712" i="2"/>
  <c r="X1712" i="2"/>
  <c r="W1712" i="2"/>
  <c r="H1712" i="2"/>
  <c r="Z1711" i="2"/>
  <c r="Y1711" i="2"/>
  <c r="X1711" i="2"/>
  <c r="W1711" i="2"/>
  <c r="H1711" i="2"/>
  <c r="Z1710" i="2"/>
  <c r="Y1710" i="2"/>
  <c r="X1710" i="2"/>
  <c r="W1710" i="2"/>
  <c r="H1710" i="2"/>
  <c r="Z1709" i="2"/>
  <c r="Y1709" i="2"/>
  <c r="X1709" i="2"/>
  <c r="W1709" i="2"/>
  <c r="H1709" i="2"/>
  <c r="Z1708" i="2"/>
  <c r="Y1708" i="2"/>
  <c r="X1708" i="2"/>
  <c r="W1708" i="2"/>
  <c r="H1708" i="2"/>
  <c r="Z1707" i="2"/>
  <c r="Y1707" i="2"/>
  <c r="X1707" i="2"/>
  <c r="W1707" i="2"/>
  <c r="H1707" i="2"/>
  <c r="Z1706" i="2"/>
  <c r="Y1706" i="2"/>
  <c r="X1706" i="2"/>
  <c r="W1706" i="2"/>
  <c r="H1706" i="2"/>
  <c r="Z1705" i="2"/>
  <c r="Y1705" i="2"/>
  <c r="X1705" i="2"/>
  <c r="W1705" i="2"/>
  <c r="H1705" i="2"/>
  <c r="Z1704" i="2"/>
  <c r="Y1704" i="2"/>
  <c r="X1704" i="2"/>
  <c r="W1704" i="2"/>
  <c r="H1704" i="2"/>
  <c r="Z1703" i="2"/>
  <c r="Y1703" i="2"/>
  <c r="X1703" i="2"/>
  <c r="W1703" i="2"/>
  <c r="H1703" i="2"/>
  <c r="Z1702" i="2"/>
  <c r="Y1702" i="2"/>
  <c r="X1702" i="2"/>
  <c r="W1702" i="2"/>
  <c r="H1702" i="2"/>
  <c r="Z1701" i="2"/>
  <c r="Y1701" i="2"/>
  <c r="X1701" i="2"/>
  <c r="W1701" i="2"/>
  <c r="H1701" i="2"/>
  <c r="Z1700" i="2"/>
  <c r="Y1700" i="2"/>
  <c r="X1700" i="2"/>
  <c r="W1700" i="2"/>
  <c r="H1700" i="2"/>
  <c r="Z1699" i="2"/>
  <c r="Y1699" i="2"/>
  <c r="X1699" i="2"/>
  <c r="W1699" i="2"/>
  <c r="H1699" i="2"/>
  <c r="Z1698" i="2"/>
  <c r="Y1698" i="2"/>
  <c r="X1698" i="2"/>
  <c r="W1698" i="2"/>
  <c r="H1698" i="2"/>
  <c r="Z1697" i="2"/>
  <c r="Y1697" i="2"/>
  <c r="X1697" i="2"/>
  <c r="W1697" i="2"/>
  <c r="H1697" i="2"/>
  <c r="Z1696" i="2"/>
  <c r="Y1696" i="2"/>
  <c r="X1696" i="2"/>
  <c r="W1696" i="2"/>
  <c r="H1696" i="2"/>
  <c r="Z1695" i="2"/>
  <c r="Y1695" i="2"/>
  <c r="X1695" i="2"/>
  <c r="W1695" i="2"/>
  <c r="H1695" i="2"/>
  <c r="Z1694" i="2"/>
  <c r="Y1694" i="2"/>
  <c r="X1694" i="2"/>
  <c r="W1694" i="2"/>
  <c r="H1694" i="2"/>
  <c r="Z1693" i="2"/>
  <c r="Y1693" i="2"/>
  <c r="X1693" i="2"/>
  <c r="W1693" i="2"/>
  <c r="H1693" i="2"/>
  <c r="Z1692" i="2"/>
  <c r="Y1692" i="2"/>
  <c r="X1692" i="2"/>
  <c r="W1692" i="2"/>
  <c r="H1692" i="2"/>
  <c r="Z1691" i="2"/>
  <c r="Y1691" i="2"/>
  <c r="X1691" i="2"/>
  <c r="W1691" i="2"/>
  <c r="H1691" i="2"/>
  <c r="Z1690" i="2"/>
  <c r="Y1690" i="2"/>
  <c r="X1690" i="2"/>
  <c r="W1690" i="2"/>
  <c r="H1690" i="2"/>
  <c r="Z1689" i="2"/>
  <c r="Y1689" i="2"/>
  <c r="X1689" i="2"/>
  <c r="W1689" i="2"/>
  <c r="H1689" i="2"/>
  <c r="Z1688" i="2"/>
  <c r="Y1688" i="2"/>
  <c r="X1688" i="2"/>
  <c r="W1688" i="2"/>
  <c r="H1688" i="2"/>
  <c r="Z1687" i="2"/>
  <c r="Y1687" i="2"/>
  <c r="X1687" i="2"/>
  <c r="W1687" i="2"/>
  <c r="H1687" i="2"/>
  <c r="Z1686" i="2"/>
  <c r="Y1686" i="2"/>
  <c r="X1686" i="2"/>
  <c r="W1686" i="2"/>
  <c r="H1686" i="2"/>
  <c r="Z1685" i="2"/>
  <c r="Y1685" i="2"/>
  <c r="X1685" i="2"/>
  <c r="W1685" i="2"/>
  <c r="H1685" i="2"/>
  <c r="Z1684" i="2"/>
  <c r="Y1684" i="2"/>
  <c r="X1684" i="2"/>
  <c r="W1684" i="2"/>
  <c r="H1684" i="2"/>
  <c r="Z1683" i="2"/>
  <c r="Y1683" i="2"/>
  <c r="X1683" i="2"/>
  <c r="W1683" i="2"/>
  <c r="H1683" i="2"/>
  <c r="Z1682" i="2"/>
  <c r="Y1682" i="2"/>
  <c r="X1682" i="2"/>
  <c r="W1682" i="2"/>
  <c r="H1682" i="2"/>
  <c r="Z1681" i="2"/>
  <c r="Y1681" i="2"/>
  <c r="X1681" i="2"/>
  <c r="W1681" i="2"/>
  <c r="H1681" i="2"/>
  <c r="Z1680" i="2"/>
  <c r="Y1680" i="2"/>
  <c r="X1680" i="2"/>
  <c r="W1680" i="2"/>
  <c r="H1680" i="2"/>
  <c r="Z1679" i="2"/>
  <c r="Y1679" i="2"/>
  <c r="X1679" i="2"/>
  <c r="W1679" i="2"/>
  <c r="H1679" i="2"/>
  <c r="Z1678" i="2"/>
  <c r="Y1678" i="2"/>
  <c r="X1678" i="2"/>
  <c r="W1678" i="2"/>
  <c r="H1678" i="2"/>
  <c r="Z1677" i="2"/>
  <c r="Y1677" i="2"/>
  <c r="X1677" i="2"/>
  <c r="W1677" i="2"/>
  <c r="H1677" i="2"/>
  <c r="Z1676" i="2"/>
  <c r="Y1676" i="2"/>
  <c r="X1676" i="2"/>
  <c r="W1676" i="2"/>
  <c r="H1676" i="2"/>
  <c r="Z1675" i="2"/>
  <c r="Y1675" i="2"/>
  <c r="X1675" i="2"/>
  <c r="W1675" i="2"/>
  <c r="H1675" i="2"/>
  <c r="Z1674" i="2"/>
  <c r="Y1674" i="2"/>
  <c r="X1674" i="2"/>
  <c r="W1674" i="2"/>
  <c r="H1674" i="2"/>
  <c r="Z1673" i="2"/>
  <c r="Y1673" i="2"/>
  <c r="X1673" i="2"/>
  <c r="W1673" i="2"/>
  <c r="H1673" i="2"/>
  <c r="Z1672" i="2"/>
  <c r="Y1672" i="2"/>
  <c r="X1672" i="2"/>
  <c r="W1672" i="2"/>
  <c r="H1672" i="2"/>
  <c r="Z1671" i="2"/>
  <c r="Y1671" i="2"/>
  <c r="X1671" i="2"/>
  <c r="W1671" i="2"/>
  <c r="H1671" i="2"/>
  <c r="Z1670" i="2"/>
  <c r="Y1670" i="2"/>
  <c r="X1670" i="2"/>
  <c r="W1670" i="2"/>
  <c r="H1670" i="2"/>
  <c r="Z1669" i="2"/>
  <c r="Y1669" i="2"/>
  <c r="X1669" i="2"/>
  <c r="W1669" i="2"/>
  <c r="H1669" i="2"/>
  <c r="Z1668" i="2"/>
  <c r="Y1668" i="2"/>
  <c r="X1668" i="2"/>
  <c r="W1668" i="2"/>
  <c r="H1668" i="2"/>
  <c r="Z1667" i="2"/>
  <c r="Y1667" i="2"/>
  <c r="X1667" i="2"/>
  <c r="W1667" i="2"/>
  <c r="H1667" i="2"/>
  <c r="Z1666" i="2"/>
  <c r="Y1666" i="2"/>
  <c r="X1666" i="2"/>
  <c r="W1666" i="2"/>
  <c r="H1666" i="2"/>
  <c r="Z1665" i="2"/>
  <c r="Y1665" i="2"/>
  <c r="X1665" i="2"/>
  <c r="W1665" i="2"/>
  <c r="H1665" i="2"/>
  <c r="Z1664" i="2"/>
  <c r="Y1664" i="2"/>
  <c r="X1664" i="2"/>
  <c r="W1664" i="2"/>
  <c r="H1664" i="2"/>
  <c r="Z1663" i="2"/>
  <c r="Y1663" i="2"/>
  <c r="X1663" i="2"/>
  <c r="W1663" i="2"/>
  <c r="H1663" i="2"/>
  <c r="Z1662" i="2"/>
  <c r="Y1662" i="2"/>
  <c r="X1662" i="2"/>
  <c r="W1662" i="2"/>
  <c r="H1662" i="2"/>
  <c r="Z1661" i="2"/>
  <c r="Y1661" i="2"/>
  <c r="X1661" i="2"/>
  <c r="W1661" i="2"/>
  <c r="H1661" i="2"/>
  <c r="Z1660" i="2"/>
  <c r="Y1660" i="2"/>
  <c r="X1660" i="2"/>
  <c r="W1660" i="2"/>
  <c r="H1660" i="2"/>
  <c r="Z1659" i="2"/>
  <c r="Y1659" i="2"/>
  <c r="X1659" i="2"/>
  <c r="W1659" i="2"/>
  <c r="H1659" i="2"/>
  <c r="Z1658" i="2"/>
  <c r="Y1658" i="2"/>
  <c r="X1658" i="2"/>
  <c r="W1658" i="2"/>
  <c r="H1658" i="2"/>
  <c r="Z1657" i="2"/>
  <c r="Y1657" i="2"/>
  <c r="X1657" i="2"/>
  <c r="W1657" i="2"/>
  <c r="H1657" i="2"/>
  <c r="Z1656" i="2"/>
  <c r="Y1656" i="2"/>
  <c r="X1656" i="2"/>
  <c r="W1656" i="2"/>
  <c r="H1656" i="2"/>
  <c r="Z1655" i="2"/>
  <c r="Y1655" i="2"/>
  <c r="X1655" i="2"/>
  <c r="W1655" i="2"/>
  <c r="H1655" i="2"/>
  <c r="Z1654" i="2"/>
  <c r="Y1654" i="2"/>
  <c r="X1654" i="2"/>
  <c r="W1654" i="2"/>
  <c r="H1654" i="2"/>
  <c r="Z1653" i="2"/>
  <c r="Y1653" i="2"/>
  <c r="X1653" i="2"/>
  <c r="W1653" i="2"/>
  <c r="H1653" i="2"/>
  <c r="Z1652" i="2"/>
  <c r="Y1652" i="2"/>
  <c r="X1652" i="2"/>
  <c r="W1652" i="2"/>
  <c r="H1652" i="2"/>
  <c r="Z1651" i="2"/>
  <c r="Y1651" i="2"/>
  <c r="X1651" i="2"/>
  <c r="W1651" i="2"/>
  <c r="H1651" i="2"/>
  <c r="Z1650" i="2"/>
  <c r="Y1650" i="2"/>
  <c r="X1650" i="2"/>
  <c r="W1650" i="2"/>
  <c r="H1650" i="2"/>
  <c r="Z1649" i="2"/>
  <c r="Y1649" i="2"/>
  <c r="X1649" i="2"/>
  <c r="W1649" i="2"/>
  <c r="H1649" i="2"/>
  <c r="Z1648" i="2"/>
  <c r="Y1648" i="2"/>
  <c r="X1648" i="2"/>
  <c r="W1648" i="2"/>
  <c r="H1648" i="2"/>
  <c r="Z1647" i="2"/>
  <c r="Y1647" i="2"/>
  <c r="X1647" i="2"/>
  <c r="W1647" i="2"/>
  <c r="H1647" i="2"/>
  <c r="Z1646" i="2"/>
  <c r="Y1646" i="2"/>
  <c r="X1646" i="2"/>
  <c r="W1646" i="2"/>
  <c r="H1646" i="2"/>
  <c r="Z1645" i="2"/>
  <c r="Y1645" i="2"/>
  <c r="X1645" i="2"/>
  <c r="W1645" i="2"/>
  <c r="H1645" i="2"/>
  <c r="Z1644" i="2"/>
  <c r="Y1644" i="2"/>
  <c r="X1644" i="2"/>
  <c r="W1644" i="2"/>
  <c r="H1644" i="2"/>
  <c r="Z1643" i="2"/>
  <c r="Y1643" i="2"/>
  <c r="X1643" i="2"/>
  <c r="W1643" i="2"/>
  <c r="H1643" i="2"/>
  <c r="Z1642" i="2"/>
  <c r="Y1642" i="2"/>
  <c r="X1642" i="2"/>
  <c r="W1642" i="2"/>
  <c r="H1642" i="2"/>
  <c r="Z1641" i="2"/>
  <c r="Y1641" i="2"/>
  <c r="X1641" i="2"/>
  <c r="W1641" i="2"/>
  <c r="H1641" i="2"/>
  <c r="Z1640" i="2"/>
  <c r="Y1640" i="2"/>
  <c r="X1640" i="2"/>
  <c r="W1640" i="2"/>
  <c r="H1640" i="2"/>
  <c r="Z1639" i="2"/>
  <c r="Y1639" i="2"/>
  <c r="X1639" i="2"/>
  <c r="W1639" i="2"/>
  <c r="H1639" i="2"/>
  <c r="Z1638" i="2"/>
  <c r="Y1638" i="2"/>
  <c r="X1638" i="2"/>
  <c r="W1638" i="2"/>
  <c r="H1638" i="2"/>
  <c r="Z1637" i="2"/>
  <c r="Y1637" i="2"/>
  <c r="X1637" i="2"/>
  <c r="W1637" i="2"/>
  <c r="H1637" i="2"/>
  <c r="Z1636" i="2"/>
  <c r="Y1636" i="2"/>
  <c r="X1636" i="2"/>
  <c r="W1636" i="2"/>
  <c r="H1636" i="2"/>
  <c r="Z1635" i="2"/>
  <c r="Y1635" i="2"/>
  <c r="X1635" i="2"/>
  <c r="W1635" i="2"/>
  <c r="H1635" i="2"/>
  <c r="Z1634" i="2"/>
  <c r="Y1634" i="2"/>
  <c r="X1634" i="2"/>
  <c r="W1634" i="2"/>
  <c r="H1634" i="2"/>
  <c r="Z1633" i="2"/>
  <c r="Y1633" i="2"/>
  <c r="X1633" i="2"/>
  <c r="W1633" i="2"/>
  <c r="H1633" i="2"/>
  <c r="Z1632" i="2"/>
  <c r="Y1632" i="2"/>
  <c r="X1632" i="2"/>
  <c r="W1632" i="2"/>
  <c r="H1632" i="2"/>
  <c r="Z1631" i="2"/>
  <c r="Y1631" i="2"/>
  <c r="X1631" i="2"/>
  <c r="W1631" i="2"/>
  <c r="H1631" i="2"/>
  <c r="Z1630" i="2"/>
  <c r="Y1630" i="2"/>
  <c r="X1630" i="2"/>
  <c r="W1630" i="2"/>
  <c r="H1630" i="2"/>
  <c r="Z1629" i="2"/>
  <c r="Y1629" i="2"/>
  <c r="X1629" i="2"/>
  <c r="W1629" i="2"/>
  <c r="H1629" i="2"/>
  <c r="Z1628" i="2"/>
  <c r="Y1628" i="2"/>
  <c r="X1628" i="2"/>
  <c r="W1628" i="2"/>
  <c r="H1628" i="2"/>
  <c r="Z1627" i="2"/>
  <c r="Y1627" i="2"/>
  <c r="X1627" i="2"/>
  <c r="W1627" i="2"/>
  <c r="H1627" i="2"/>
  <c r="Z1626" i="2"/>
  <c r="Y1626" i="2"/>
  <c r="X1626" i="2"/>
  <c r="W1626" i="2"/>
  <c r="H1626" i="2"/>
  <c r="Z1625" i="2"/>
  <c r="Y1625" i="2"/>
  <c r="X1625" i="2"/>
  <c r="W1625" i="2"/>
  <c r="H1625" i="2"/>
  <c r="Z1624" i="2"/>
  <c r="Y1624" i="2"/>
  <c r="X1624" i="2"/>
  <c r="W1624" i="2"/>
  <c r="H1624" i="2"/>
  <c r="Z1623" i="2"/>
  <c r="Y1623" i="2"/>
  <c r="X1623" i="2"/>
  <c r="W1623" i="2"/>
  <c r="H1623" i="2"/>
  <c r="Z1622" i="2"/>
  <c r="Y1622" i="2"/>
  <c r="X1622" i="2"/>
  <c r="W1622" i="2"/>
  <c r="H1622" i="2"/>
  <c r="Z1621" i="2"/>
  <c r="Y1621" i="2"/>
  <c r="X1621" i="2"/>
  <c r="W1621" i="2"/>
  <c r="H1621" i="2"/>
  <c r="Z1620" i="2"/>
  <c r="Y1620" i="2"/>
  <c r="X1620" i="2"/>
  <c r="W1620" i="2"/>
  <c r="H1620" i="2"/>
  <c r="Z1619" i="2"/>
  <c r="Y1619" i="2"/>
  <c r="X1619" i="2"/>
  <c r="W1619" i="2"/>
  <c r="H1619" i="2"/>
  <c r="Z1618" i="2"/>
  <c r="Y1618" i="2"/>
  <c r="X1618" i="2"/>
  <c r="W1618" i="2"/>
  <c r="H1618" i="2"/>
  <c r="Z1617" i="2"/>
  <c r="Y1617" i="2"/>
  <c r="X1617" i="2"/>
  <c r="W1617" i="2"/>
  <c r="H1617" i="2"/>
  <c r="Z1616" i="2"/>
  <c r="Y1616" i="2"/>
  <c r="X1616" i="2"/>
  <c r="W1616" i="2"/>
  <c r="H1616" i="2"/>
  <c r="Z1615" i="2"/>
  <c r="Y1615" i="2"/>
  <c r="X1615" i="2"/>
  <c r="W1615" i="2"/>
  <c r="H1615" i="2"/>
  <c r="Z1614" i="2"/>
  <c r="Y1614" i="2"/>
  <c r="X1614" i="2"/>
  <c r="W1614" i="2"/>
  <c r="H1614" i="2"/>
  <c r="Z1613" i="2"/>
  <c r="Y1613" i="2"/>
  <c r="X1613" i="2"/>
  <c r="W1613" i="2"/>
  <c r="H1613" i="2"/>
  <c r="Z1612" i="2"/>
  <c r="Y1612" i="2"/>
  <c r="X1612" i="2"/>
  <c r="W1612" i="2"/>
  <c r="H1612" i="2"/>
  <c r="Z1611" i="2"/>
  <c r="Y1611" i="2"/>
  <c r="X1611" i="2"/>
  <c r="W1611" i="2"/>
  <c r="H1611" i="2"/>
  <c r="Z1610" i="2"/>
  <c r="Y1610" i="2"/>
  <c r="X1610" i="2"/>
  <c r="W1610" i="2"/>
  <c r="H1610" i="2"/>
  <c r="Z1609" i="2"/>
  <c r="Y1609" i="2"/>
  <c r="X1609" i="2"/>
  <c r="W1609" i="2"/>
  <c r="H1609" i="2"/>
  <c r="Z1608" i="2"/>
  <c r="Y1608" i="2"/>
  <c r="X1608" i="2"/>
  <c r="W1608" i="2"/>
  <c r="H1608" i="2"/>
  <c r="Z1607" i="2"/>
  <c r="Y1607" i="2"/>
  <c r="X1607" i="2"/>
  <c r="W1607" i="2"/>
  <c r="H1607" i="2"/>
  <c r="Z1606" i="2"/>
  <c r="Y1606" i="2"/>
  <c r="X1606" i="2"/>
  <c r="W1606" i="2"/>
  <c r="H1606" i="2"/>
  <c r="Z1605" i="2"/>
  <c r="Y1605" i="2"/>
  <c r="X1605" i="2"/>
  <c r="W1605" i="2"/>
  <c r="H1605" i="2"/>
  <c r="Z1604" i="2"/>
  <c r="Y1604" i="2"/>
  <c r="X1604" i="2"/>
  <c r="W1604" i="2"/>
  <c r="H1604" i="2"/>
  <c r="Z1603" i="2"/>
  <c r="Y1603" i="2"/>
  <c r="X1603" i="2"/>
  <c r="W1603" i="2"/>
  <c r="H1603" i="2"/>
  <c r="Z1602" i="2"/>
  <c r="Y1602" i="2"/>
  <c r="X1602" i="2"/>
  <c r="W1602" i="2"/>
  <c r="H1602" i="2"/>
  <c r="Z1601" i="2"/>
  <c r="Y1601" i="2"/>
  <c r="X1601" i="2"/>
  <c r="W1601" i="2"/>
  <c r="H1601" i="2"/>
  <c r="Z1600" i="2"/>
  <c r="Y1600" i="2"/>
  <c r="X1600" i="2"/>
  <c r="W1600" i="2"/>
  <c r="H1600" i="2"/>
  <c r="Z1599" i="2"/>
  <c r="Y1599" i="2"/>
  <c r="X1599" i="2"/>
  <c r="W1599" i="2"/>
  <c r="H1599" i="2"/>
  <c r="Z1598" i="2"/>
  <c r="Y1598" i="2"/>
  <c r="X1598" i="2"/>
  <c r="W1598" i="2"/>
  <c r="H1598" i="2"/>
  <c r="Z1597" i="2"/>
  <c r="Y1597" i="2"/>
  <c r="X1597" i="2"/>
  <c r="W1597" i="2"/>
  <c r="H1597" i="2"/>
  <c r="Z1596" i="2"/>
  <c r="Y1596" i="2"/>
  <c r="X1596" i="2"/>
  <c r="W1596" i="2"/>
  <c r="H1596" i="2"/>
  <c r="Z1595" i="2"/>
  <c r="Y1595" i="2"/>
  <c r="X1595" i="2"/>
  <c r="W1595" i="2"/>
  <c r="H1595" i="2"/>
  <c r="Z1594" i="2"/>
  <c r="Y1594" i="2"/>
  <c r="X1594" i="2"/>
  <c r="W1594" i="2"/>
  <c r="H1594" i="2"/>
  <c r="Z1593" i="2"/>
  <c r="Y1593" i="2"/>
  <c r="X1593" i="2"/>
  <c r="W1593" i="2"/>
  <c r="H1593" i="2"/>
  <c r="Z1592" i="2"/>
  <c r="Y1592" i="2"/>
  <c r="X1592" i="2"/>
  <c r="W1592" i="2"/>
  <c r="H1592" i="2"/>
  <c r="Z1591" i="2"/>
  <c r="Y1591" i="2"/>
  <c r="X1591" i="2"/>
  <c r="W1591" i="2"/>
  <c r="H1591" i="2"/>
  <c r="Z1590" i="2"/>
  <c r="Y1590" i="2"/>
  <c r="X1590" i="2"/>
  <c r="W1590" i="2"/>
  <c r="H1590" i="2"/>
  <c r="Z1589" i="2"/>
  <c r="Y1589" i="2"/>
  <c r="X1589" i="2"/>
  <c r="W1589" i="2"/>
  <c r="H1589" i="2"/>
  <c r="Z1588" i="2"/>
  <c r="Y1588" i="2"/>
  <c r="X1588" i="2"/>
  <c r="W1588" i="2"/>
  <c r="H1588" i="2"/>
  <c r="Z1587" i="2"/>
  <c r="Y1587" i="2"/>
  <c r="X1587" i="2"/>
  <c r="W1587" i="2"/>
  <c r="H1587" i="2"/>
  <c r="Z1586" i="2"/>
  <c r="Y1586" i="2"/>
  <c r="X1586" i="2"/>
  <c r="W1586" i="2"/>
  <c r="H1586" i="2"/>
  <c r="Z1585" i="2"/>
  <c r="Y1585" i="2"/>
  <c r="X1585" i="2"/>
  <c r="W1585" i="2"/>
  <c r="H1585" i="2"/>
  <c r="Z1584" i="2"/>
  <c r="Y1584" i="2"/>
  <c r="X1584" i="2"/>
  <c r="W1584" i="2"/>
  <c r="H1584" i="2"/>
  <c r="Z1583" i="2"/>
  <c r="Y1583" i="2"/>
  <c r="X1583" i="2"/>
  <c r="W1583" i="2"/>
  <c r="H1583" i="2"/>
  <c r="Z1582" i="2"/>
  <c r="Y1582" i="2"/>
  <c r="X1582" i="2"/>
  <c r="W1582" i="2"/>
  <c r="H1582" i="2"/>
  <c r="Z1581" i="2"/>
  <c r="Y1581" i="2"/>
  <c r="X1581" i="2"/>
  <c r="W1581" i="2"/>
  <c r="H1581" i="2"/>
  <c r="Z1580" i="2"/>
  <c r="Y1580" i="2"/>
  <c r="X1580" i="2"/>
  <c r="W1580" i="2"/>
  <c r="H1580" i="2"/>
  <c r="Z1579" i="2"/>
  <c r="Y1579" i="2"/>
  <c r="X1579" i="2"/>
  <c r="W1579" i="2"/>
  <c r="H1579" i="2"/>
  <c r="Z1578" i="2"/>
  <c r="Y1578" i="2"/>
  <c r="X1578" i="2"/>
  <c r="W1578" i="2"/>
  <c r="H1578" i="2"/>
  <c r="Z1577" i="2"/>
  <c r="Y1577" i="2"/>
  <c r="X1577" i="2"/>
  <c r="W1577" i="2"/>
  <c r="H1577" i="2"/>
  <c r="Z1576" i="2"/>
  <c r="Y1576" i="2"/>
  <c r="X1576" i="2"/>
  <c r="W1576" i="2"/>
  <c r="H1576" i="2"/>
  <c r="Z1575" i="2"/>
  <c r="Y1575" i="2"/>
  <c r="X1575" i="2"/>
  <c r="W1575" i="2"/>
  <c r="H1575" i="2"/>
  <c r="Z1574" i="2"/>
  <c r="Y1574" i="2"/>
  <c r="X1574" i="2"/>
  <c r="W1574" i="2"/>
  <c r="H1574" i="2"/>
  <c r="Z1573" i="2"/>
  <c r="Y1573" i="2"/>
  <c r="X1573" i="2"/>
  <c r="W1573" i="2"/>
  <c r="H1573" i="2"/>
  <c r="Z1572" i="2"/>
  <c r="Y1572" i="2"/>
  <c r="X1572" i="2"/>
  <c r="W1572" i="2"/>
  <c r="H1572" i="2"/>
  <c r="Z1571" i="2"/>
  <c r="Y1571" i="2"/>
  <c r="X1571" i="2"/>
  <c r="W1571" i="2"/>
  <c r="H1571" i="2"/>
  <c r="Z1570" i="2"/>
  <c r="Y1570" i="2"/>
  <c r="X1570" i="2"/>
  <c r="W1570" i="2"/>
  <c r="H1570" i="2"/>
  <c r="Z1569" i="2"/>
  <c r="Y1569" i="2"/>
  <c r="X1569" i="2"/>
  <c r="W1569" i="2"/>
  <c r="H1569" i="2"/>
  <c r="Z1568" i="2"/>
  <c r="Y1568" i="2"/>
  <c r="X1568" i="2"/>
  <c r="W1568" i="2"/>
  <c r="H1568" i="2"/>
  <c r="Z1567" i="2"/>
  <c r="Y1567" i="2"/>
  <c r="X1567" i="2"/>
  <c r="W1567" i="2"/>
  <c r="H1567" i="2"/>
  <c r="Z1566" i="2"/>
  <c r="Y1566" i="2"/>
  <c r="X1566" i="2"/>
  <c r="W1566" i="2"/>
  <c r="H1566" i="2"/>
  <c r="Z1565" i="2"/>
  <c r="Y1565" i="2"/>
  <c r="X1565" i="2"/>
  <c r="W1565" i="2"/>
  <c r="H1565" i="2"/>
  <c r="Z1564" i="2"/>
  <c r="Y1564" i="2"/>
  <c r="X1564" i="2"/>
  <c r="W1564" i="2"/>
  <c r="H1564" i="2"/>
  <c r="Z1563" i="2"/>
  <c r="Y1563" i="2"/>
  <c r="X1563" i="2"/>
  <c r="W1563" i="2"/>
  <c r="H1563" i="2"/>
  <c r="Z1562" i="2"/>
  <c r="Y1562" i="2"/>
  <c r="X1562" i="2"/>
  <c r="W1562" i="2"/>
  <c r="H1562" i="2"/>
  <c r="Z1561" i="2"/>
  <c r="Y1561" i="2"/>
  <c r="X1561" i="2"/>
  <c r="W1561" i="2"/>
  <c r="H1561" i="2"/>
  <c r="Z1560" i="2"/>
  <c r="Y1560" i="2"/>
  <c r="X1560" i="2"/>
  <c r="W1560" i="2"/>
  <c r="H1560" i="2"/>
  <c r="Z1559" i="2"/>
  <c r="Y1559" i="2"/>
  <c r="X1559" i="2"/>
  <c r="W1559" i="2"/>
  <c r="H1559" i="2"/>
  <c r="Z1558" i="2"/>
  <c r="Y1558" i="2"/>
  <c r="X1558" i="2"/>
  <c r="W1558" i="2"/>
  <c r="H1558" i="2"/>
  <c r="Z1557" i="2"/>
  <c r="Y1557" i="2"/>
  <c r="X1557" i="2"/>
  <c r="W1557" i="2"/>
  <c r="H1557" i="2"/>
  <c r="Z1556" i="2"/>
  <c r="Y1556" i="2"/>
  <c r="X1556" i="2"/>
  <c r="W1556" i="2"/>
  <c r="H1556" i="2"/>
  <c r="Z1555" i="2"/>
  <c r="Y1555" i="2"/>
  <c r="X1555" i="2"/>
  <c r="W1555" i="2"/>
  <c r="H1555" i="2"/>
  <c r="Z1554" i="2"/>
  <c r="Y1554" i="2"/>
  <c r="X1554" i="2"/>
  <c r="W1554" i="2"/>
  <c r="H1554" i="2"/>
  <c r="Z1553" i="2"/>
  <c r="Y1553" i="2"/>
  <c r="X1553" i="2"/>
  <c r="W1553" i="2"/>
  <c r="H1553" i="2"/>
  <c r="Z1552" i="2"/>
  <c r="Y1552" i="2"/>
  <c r="X1552" i="2"/>
  <c r="W1552" i="2"/>
  <c r="H1552" i="2"/>
  <c r="Z1551" i="2"/>
  <c r="Y1551" i="2"/>
  <c r="X1551" i="2"/>
  <c r="W1551" i="2"/>
  <c r="H1551" i="2"/>
  <c r="Z1550" i="2"/>
  <c r="Y1550" i="2"/>
  <c r="X1550" i="2"/>
  <c r="W1550" i="2"/>
  <c r="H1550" i="2"/>
  <c r="Z1549" i="2"/>
  <c r="Y1549" i="2"/>
  <c r="X1549" i="2"/>
  <c r="W1549" i="2"/>
  <c r="H1549" i="2"/>
  <c r="Z1548" i="2"/>
  <c r="Y1548" i="2"/>
  <c r="X1548" i="2"/>
  <c r="W1548" i="2"/>
  <c r="H1548" i="2"/>
  <c r="Z1547" i="2"/>
  <c r="Y1547" i="2"/>
  <c r="X1547" i="2"/>
  <c r="W1547" i="2"/>
  <c r="H1547" i="2"/>
  <c r="Z1546" i="2"/>
  <c r="Y1546" i="2"/>
  <c r="X1546" i="2"/>
  <c r="W1546" i="2"/>
  <c r="H1546" i="2"/>
  <c r="Z1545" i="2"/>
  <c r="Y1545" i="2"/>
  <c r="X1545" i="2"/>
  <c r="W1545" i="2"/>
  <c r="H1545" i="2"/>
  <c r="Z1544" i="2"/>
  <c r="Y1544" i="2"/>
  <c r="X1544" i="2"/>
  <c r="W1544" i="2"/>
  <c r="H1544" i="2"/>
  <c r="Z1543" i="2"/>
  <c r="Y1543" i="2"/>
  <c r="X1543" i="2"/>
  <c r="W1543" i="2"/>
  <c r="H1543" i="2"/>
  <c r="Z1542" i="2"/>
  <c r="Y1542" i="2"/>
  <c r="X1542" i="2"/>
  <c r="W1542" i="2"/>
  <c r="H1542" i="2"/>
  <c r="Z1541" i="2"/>
  <c r="Y1541" i="2"/>
  <c r="X1541" i="2"/>
  <c r="W1541" i="2"/>
  <c r="H1541" i="2"/>
  <c r="Z1540" i="2"/>
  <c r="Y1540" i="2"/>
  <c r="X1540" i="2"/>
  <c r="W1540" i="2"/>
  <c r="H1540" i="2"/>
  <c r="Z1539" i="2"/>
  <c r="Y1539" i="2"/>
  <c r="X1539" i="2"/>
  <c r="W1539" i="2"/>
  <c r="H1539" i="2"/>
  <c r="Z1538" i="2"/>
  <c r="Y1538" i="2"/>
  <c r="X1538" i="2"/>
  <c r="W1538" i="2"/>
  <c r="H1538" i="2"/>
  <c r="Z1537" i="2"/>
  <c r="Y1537" i="2"/>
  <c r="X1537" i="2"/>
  <c r="W1537" i="2"/>
  <c r="H1537" i="2"/>
  <c r="Z1536" i="2"/>
  <c r="Y1536" i="2"/>
  <c r="X1536" i="2"/>
  <c r="W1536" i="2"/>
  <c r="H1536" i="2"/>
  <c r="Z1535" i="2"/>
  <c r="Y1535" i="2"/>
  <c r="X1535" i="2"/>
  <c r="W1535" i="2"/>
  <c r="H1535" i="2"/>
  <c r="Z1534" i="2"/>
  <c r="Y1534" i="2"/>
  <c r="X1534" i="2"/>
  <c r="W1534" i="2"/>
  <c r="H1534" i="2"/>
  <c r="Z1533" i="2"/>
  <c r="Y1533" i="2"/>
  <c r="X1533" i="2"/>
  <c r="W1533" i="2"/>
  <c r="H1533" i="2"/>
  <c r="Z1532" i="2"/>
  <c r="Y1532" i="2"/>
  <c r="X1532" i="2"/>
  <c r="W1532" i="2"/>
  <c r="H1532" i="2"/>
  <c r="Z1531" i="2"/>
  <c r="Y1531" i="2"/>
  <c r="X1531" i="2"/>
  <c r="W1531" i="2"/>
  <c r="H1531" i="2"/>
  <c r="Z1530" i="2"/>
  <c r="Y1530" i="2"/>
  <c r="X1530" i="2"/>
  <c r="W1530" i="2"/>
  <c r="H1530" i="2"/>
  <c r="Z1529" i="2"/>
  <c r="Y1529" i="2"/>
  <c r="X1529" i="2"/>
  <c r="W1529" i="2"/>
  <c r="H1529" i="2"/>
  <c r="Z1528" i="2"/>
  <c r="Y1528" i="2"/>
  <c r="X1528" i="2"/>
  <c r="W1528" i="2"/>
  <c r="H1528" i="2"/>
  <c r="Z1527" i="2"/>
  <c r="Y1527" i="2"/>
  <c r="X1527" i="2"/>
  <c r="W1527" i="2"/>
  <c r="H1527" i="2"/>
  <c r="Z1526" i="2"/>
  <c r="Y1526" i="2"/>
  <c r="X1526" i="2"/>
  <c r="W1526" i="2"/>
  <c r="H1526" i="2"/>
  <c r="Z1525" i="2"/>
  <c r="Y1525" i="2"/>
  <c r="X1525" i="2"/>
  <c r="W1525" i="2"/>
  <c r="H1525" i="2"/>
  <c r="Z1524" i="2"/>
  <c r="Y1524" i="2"/>
  <c r="X1524" i="2"/>
  <c r="W1524" i="2"/>
  <c r="H1524" i="2"/>
  <c r="Z1523" i="2"/>
  <c r="Y1523" i="2"/>
  <c r="X1523" i="2"/>
  <c r="W1523" i="2"/>
  <c r="H1523" i="2"/>
  <c r="Z1522" i="2"/>
  <c r="Y1522" i="2"/>
  <c r="X1522" i="2"/>
  <c r="W1522" i="2"/>
  <c r="H1522" i="2"/>
  <c r="Z1521" i="2"/>
  <c r="Y1521" i="2"/>
  <c r="X1521" i="2"/>
  <c r="W1521" i="2"/>
  <c r="H1521" i="2"/>
  <c r="Z1520" i="2"/>
  <c r="Y1520" i="2"/>
  <c r="X1520" i="2"/>
  <c r="W1520" i="2"/>
  <c r="H1520" i="2"/>
  <c r="Z1519" i="2"/>
  <c r="Y1519" i="2"/>
  <c r="X1519" i="2"/>
  <c r="W1519" i="2"/>
  <c r="H1519" i="2"/>
  <c r="Z1518" i="2"/>
  <c r="Y1518" i="2"/>
  <c r="X1518" i="2"/>
  <c r="W1518" i="2"/>
  <c r="H1518" i="2"/>
  <c r="Z1517" i="2"/>
  <c r="Y1517" i="2"/>
  <c r="X1517" i="2"/>
  <c r="W1517" i="2"/>
  <c r="H1517" i="2"/>
  <c r="Z1516" i="2"/>
  <c r="Y1516" i="2"/>
  <c r="X1516" i="2"/>
  <c r="W1516" i="2"/>
  <c r="H1516" i="2"/>
  <c r="Z1515" i="2"/>
  <c r="Y1515" i="2"/>
  <c r="X1515" i="2"/>
  <c r="W1515" i="2"/>
  <c r="H1515" i="2"/>
  <c r="Z1514" i="2"/>
  <c r="Y1514" i="2"/>
  <c r="X1514" i="2"/>
  <c r="W1514" i="2"/>
  <c r="H1514" i="2"/>
  <c r="Z1513" i="2"/>
  <c r="Y1513" i="2"/>
  <c r="X1513" i="2"/>
  <c r="W1513" i="2"/>
  <c r="H1513" i="2"/>
  <c r="Z1512" i="2"/>
  <c r="Y1512" i="2"/>
  <c r="X1512" i="2"/>
  <c r="W1512" i="2"/>
  <c r="H1512" i="2"/>
  <c r="Z1511" i="2"/>
  <c r="Y1511" i="2"/>
  <c r="X1511" i="2"/>
  <c r="W1511" i="2"/>
  <c r="H1511" i="2"/>
  <c r="Z1510" i="2"/>
  <c r="Y1510" i="2"/>
  <c r="X1510" i="2"/>
  <c r="W1510" i="2"/>
  <c r="H1510" i="2"/>
  <c r="Z1509" i="2"/>
  <c r="Y1509" i="2"/>
  <c r="X1509" i="2"/>
  <c r="W1509" i="2"/>
  <c r="H1509" i="2"/>
  <c r="Z1508" i="2"/>
  <c r="Y1508" i="2"/>
  <c r="X1508" i="2"/>
  <c r="W1508" i="2"/>
  <c r="H1508" i="2"/>
  <c r="Z1507" i="2"/>
  <c r="Y1507" i="2"/>
  <c r="X1507" i="2"/>
  <c r="W1507" i="2"/>
  <c r="H1507" i="2"/>
  <c r="Z1506" i="2"/>
  <c r="Y1506" i="2"/>
  <c r="X1506" i="2"/>
  <c r="W1506" i="2"/>
  <c r="H1506" i="2"/>
  <c r="Z1505" i="2"/>
  <c r="Y1505" i="2"/>
  <c r="X1505" i="2"/>
  <c r="W1505" i="2"/>
  <c r="H1505" i="2"/>
  <c r="Z1504" i="2"/>
  <c r="Y1504" i="2"/>
  <c r="X1504" i="2"/>
  <c r="W1504" i="2"/>
  <c r="H1504" i="2"/>
  <c r="Z1503" i="2"/>
  <c r="Y1503" i="2"/>
  <c r="X1503" i="2"/>
  <c r="W1503" i="2"/>
  <c r="H1503" i="2"/>
  <c r="Z1502" i="2"/>
  <c r="Y1502" i="2"/>
  <c r="X1502" i="2"/>
  <c r="W1502" i="2"/>
  <c r="H1502" i="2"/>
  <c r="Z1501" i="2"/>
  <c r="Y1501" i="2"/>
  <c r="X1501" i="2"/>
  <c r="W1501" i="2"/>
  <c r="H1501" i="2"/>
  <c r="Z1500" i="2"/>
  <c r="Y1500" i="2"/>
  <c r="X1500" i="2"/>
  <c r="W1500" i="2"/>
  <c r="H1500" i="2"/>
  <c r="Z1499" i="2"/>
  <c r="Y1499" i="2"/>
  <c r="X1499" i="2"/>
  <c r="W1499" i="2"/>
  <c r="H1499" i="2"/>
  <c r="Z1498" i="2"/>
  <c r="Y1498" i="2"/>
  <c r="X1498" i="2"/>
  <c r="W1498" i="2"/>
  <c r="H1498" i="2"/>
  <c r="Z1497" i="2"/>
  <c r="Y1497" i="2"/>
  <c r="X1497" i="2"/>
  <c r="W1497" i="2"/>
  <c r="H1497" i="2"/>
  <c r="Z1496" i="2"/>
  <c r="Y1496" i="2"/>
  <c r="X1496" i="2"/>
  <c r="W1496" i="2"/>
  <c r="H1496" i="2"/>
  <c r="Z1495" i="2"/>
  <c r="Y1495" i="2"/>
  <c r="X1495" i="2"/>
  <c r="W1495" i="2"/>
  <c r="H1495" i="2"/>
  <c r="Z1494" i="2"/>
  <c r="Y1494" i="2"/>
  <c r="X1494" i="2"/>
  <c r="W1494" i="2"/>
  <c r="H1494" i="2"/>
  <c r="Z1493" i="2"/>
  <c r="Y1493" i="2"/>
  <c r="X1493" i="2"/>
  <c r="W1493" i="2"/>
  <c r="H1493" i="2"/>
  <c r="Z1492" i="2"/>
  <c r="Y1492" i="2"/>
  <c r="X1492" i="2"/>
  <c r="W1492" i="2"/>
  <c r="H1492" i="2"/>
  <c r="Z1491" i="2"/>
  <c r="Y1491" i="2"/>
  <c r="X1491" i="2"/>
  <c r="W1491" i="2"/>
  <c r="H1491" i="2"/>
  <c r="Z1490" i="2"/>
  <c r="Y1490" i="2"/>
  <c r="X1490" i="2"/>
  <c r="W1490" i="2"/>
  <c r="H1490" i="2"/>
  <c r="Z1489" i="2"/>
  <c r="Y1489" i="2"/>
  <c r="X1489" i="2"/>
  <c r="W1489" i="2"/>
  <c r="H1489" i="2"/>
  <c r="Z1488" i="2"/>
  <c r="Y1488" i="2"/>
  <c r="X1488" i="2"/>
  <c r="W1488" i="2"/>
  <c r="H1488" i="2"/>
  <c r="Z1487" i="2"/>
  <c r="Y1487" i="2"/>
  <c r="X1487" i="2"/>
  <c r="W1487" i="2"/>
  <c r="H1487" i="2"/>
  <c r="Z1486" i="2"/>
  <c r="Y1486" i="2"/>
  <c r="X1486" i="2"/>
  <c r="W1486" i="2"/>
  <c r="H1486" i="2"/>
  <c r="Z1485" i="2"/>
  <c r="Y1485" i="2"/>
  <c r="X1485" i="2"/>
  <c r="W1485" i="2"/>
  <c r="H1485" i="2"/>
  <c r="Z1484" i="2"/>
  <c r="Y1484" i="2"/>
  <c r="X1484" i="2"/>
  <c r="W1484" i="2"/>
  <c r="H1484" i="2"/>
  <c r="Z1483" i="2"/>
  <c r="Y1483" i="2"/>
  <c r="X1483" i="2"/>
  <c r="W1483" i="2"/>
  <c r="H1483" i="2"/>
  <c r="Z1482" i="2"/>
  <c r="Y1482" i="2"/>
  <c r="X1482" i="2"/>
  <c r="W1482" i="2"/>
  <c r="H1482" i="2"/>
  <c r="Z1481" i="2"/>
  <c r="Y1481" i="2"/>
  <c r="X1481" i="2"/>
  <c r="W1481" i="2"/>
  <c r="H1481" i="2"/>
  <c r="Z1480" i="2"/>
  <c r="Y1480" i="2"/>
  <c r="X1480" i="2"/>
  <c r="W1480" i="2"/>
  <c r="H1480" i="2"/>
  <c r="Z1479" i="2"/>
  <c r="Y1479" i="2"/>
  <c r="X1479" i="2"/>
  <c r="W1479" i="2"/>
  <c r="H1479" i="2"/>
  <c r="Z1478" i="2"/>
  <c r="Y1478" i="2"/>
  <c r="X1478" i="2"/>
  <c r="W1478" i="2"/>
  <c r="H1478" i="2"/>
  <c r="Z1477" i="2"/>
  <c r="Y1477" i="2"/>
  <c r="X1477" i="2"/>
  <c r="W1477" i="2"/>
  <c r="H1477" i="2"/>
  <c r="Z1476" i="2"/>
  <c r="Y1476" i="2"/>
  <c r="X1476" i="2"/>
  <c r="W1476" i="2"/>
  <c r="H1476" i="2"/>
  <c r="Z1475" i="2"/>
  <c r="Y1475" i="2"/>
  <c r="X1475" i="2"/>
  <c r="W1475" i="2"/>
  <c r="H1475" i="2"/>
  <c r="Z1474" i="2"/>
  <c r="Y1474" i="2"/>
  <c r="X1474" i="2"/>
  <c r="W1474" i="2"/>
  <c r="H1474" i="2"/>
  <c r="Z1473" i="2"/>
  <c r="Y1473" i="2"/>
  <c r="X1473" i="2"/>
  <c r="W1473" i="2"/>
  <c r="H1473" i="2"/>
  <c r="Z1472" i="2"/>
  <c r="Y1472" i="2"/>
  <c r="X1472" i="2"/>
  <c r="W1472" i="2"/>
  <c r="H1472" i="2"/>
  <c r="Z1471" i="2"/>
  <c r="Y1471" i="2"/>
  <c r="X1471" i="2"/>
  <c r="W1471" i="2"/>
  <c r="H1471" i="2"/>
  <c r="Z1470" i="2"/>
  <c r="Y1470" i="2"/>
  <c r="X1470" i="2"/>
  <c r="W1470" i="2"/>
  <c r="H1470" i="2"/>
  <c r="Z1469" i="2"/>
  <c r="Y1469" i="2"/>
  <c r="X1469" i="2"/>
  <c r="W1469" i="2"/>
  <c r="H1469" i="2"/>
  <c r="Z1468" i="2"/>
  <c r="Y1468" i="2"/>
  <c r="X1468" i="2"/>
  <c r="W1468" i="2"/>
  <c r="H1468" i="2"/>
  <c r="Z1467" i="2"/>
  <c r="Y1467" i="2"/>
  <c r="X1467" i="2"/>
  <c r="W1467" i="2"/>
  <c r="H1467" i="2"/>
  <c r="Z1466" i="2"/>
  <c r="Y1466" i="2"/>
  <c r="X1466" i="2"/>
  <c r="W1466" i="2"/>
  <c r="H1466" i="2"/>
  <c r="Z1465" i="2"/>
  <c r="Y1465" i="2"/>
  <c r="X1465" i="2"/>
  <c r="W1465" i="2"/>
  <c r="H1465" i="2"/>
  <c r="Z1464" i="2"/>
  <c r="Y1464" i="2"/>
  <c r="X1464" i="2"/>
  <c r="W1464" i="2"/>
  <c r="H1464" i="2"/>
  <c r="Z1463" i="2"/>
  <c r="Y1463" i="2"/>
  <c r="X1463" i="2"/>
  <c r="W1463" i="2"/>
  <c r="H1463" i="2"/>
  <c r="Z1462" i="2"/>
  <c r="Y1462" i="2"/>
  <c r="X1462" i="2"/>
  <c r="W1462" i="2"/>
  <c r="H1462" i="2"/>
  <c r="Z1461" i="2"/>
  <c r="Y1461" i="2"/>
  <c r="X1461" i="2"/>
  <c r="W1461" i="2"/>
  <c r="H1461" i="2"/>
  <c r="Z1460" i="2"/>
  <c r="Y1460" i="2"/>
  <c r="X1460" i="2"/>
  <c r="W1460" i="2"/>
  <c r="H1460" i="2"/>
  <c r="Z1459" i="2"/>
  <c r="Y1459" i="2"/>
  <c r="X1459" i="2"/>
  <c r="W1459" i="2"/>
  <c r="H1459" i="2"/>
  <c r="Z1458" i="2"/>
  <c r="Y1458" i="2"/>
  <c r="X1458" i="2"/>
  <c r="W1458" i="2"/>
  <c r="H1458" i="2"/>
  <c r="Z1457" i="2"/>
  <c r="Y1457" i="2"/>
  <c r="X1457" i="2"/>
  <c r="W1457" i="2"/>
  <c r="H1457" i="2"/>
  <c r="Z1456" i="2"/>
  <c r="Y1456" i="2"/>
  <c r="X1456" i="2"/>
  <c r="W1456" i="2"/>
  <c r="H1456" i="2"/>
  <c r="Z1455" i="2"/>
  <c r="Y1455" i="2"/>
  <c r="X1455" i="2"/>
  <c r="W1455" i="2"/>
  <c r="H1455" i="2"/>
  <c r="Z1454" i="2"/>
  <c r="Y1454" i="2"/>
  <c r="X1454" i="2"/>
  <c r="W1454" i="2"/>
  <c r="H1454" i="2"/>
  <c r="Z1453" i="2"/>
  <c r="Y1453" i="2"/>
  <c r="X1453" i="2"/>
  <c r="W1453" i="2"/>
  <c r="H1453" i="2"/>
  <c r="Z1452" i="2"/>
  <c r="Y1452" i="2"/>
  <c r="X1452" i="2"/>
  <c r="W1452" i="2"/>
  <c r="H1452" i="2"/>
  <c r="Z1451" i="2"/>
  <c r="Y1451" i="2"/>
  <c r="X1451" i="2"/>
  <c r="W1451" i="2"/>
  <c r="H1451" i="2"/>
  <c r="Z1450" i="2"/>
  <c r="Y1450" i="2"/>
  <c r="X1450" i="2"/>
  <c r="W1450" i="2"/>
  <c r="H1450" i="2"/>
  <c r="Z1449" i="2"/>
  <c r="Y1449" i="2"/>
  <c r="X1449" i="2"/>
  <c r="W1449" i="2"/>
  <c r="H1449" i="2"/>
  <c r="Z1448" i="2"/>
  <c r="Y1448" i="2"/>
  <c r="X1448" i="2"/>
  <c r="W1448" i="2"/>
  <c r="H1448" i="2"/>
  <c r="Z1447" i="2"/>
  <c r="Y1447" i="2"/>
  <c r="X1447" i="2"/>
  <c r="W1447" i="2"/>
  <c r="H1447" i="2"/>
  <c r="Z1446" i="2"/>
  <c r="Y1446" i="2"/>
  <c r="X1446" i="2"/>
  <c r="W1446" i="2"/>
  <c r="H1446" i="2"/>
  <c r="Z1445" i="2"/>
  <c r="Y1445" i="2"/>
  <c r="X1445" i="2"/>
  <c r="W1445" i="2"/>
  <c r="H1445" i="2"/>
  <c r="Z1444" i="2"/>
  <c r="Y1444" i="2"/>
  <c r="X1444" i="2"/>
  <c r="W1444" i="2"/>
  <c r="H1444" i="2"/>
  <c r="Z1443" i="2"/>
  <c r="Y1443" i="2"/>
  <c r="X1443" i="2"/>
  <c r="W1443" i="2"/>
  <c r="H1443" i="2"/>
  <c r="Z1442" i="2"/>
  <c r="Y1442" i="2"/>
  <c r="X1442" i="2"/>
  <c r="W1442" i="2"/>
  <c r="H1442" i="2"/>
  <c r="Z1441" i="2"/>
  <c r="Y1441" i="2"/>
  <c r="X1441" i="2"/>
  <c r="W1441" i="2"/>
  <c r="H1441" i="2"/>
  <c r="Z1440" i="2"/>
  <c r="Y1440" i="2"/>
  <c r="X1440" i="2"/>
  <c r="W1440" i="2"/>
  <c r="H1440" i="2"/>
  <c r="Z1439" i="2"/>
  <c r="Y1439" i="2"/>
  <c r="X1439" i="2"/>
  <c r="W1439" i="2"/>
  <c r="H1439" i="2"/>
  <c r="Z1438" i="2"/>
  <c r="Y1438" i="2"/>
  <c r="X1438" i="2"/>
  <c r="W1438" i="2"/>
  <c r="H1438" i="2"/>
  <c r="Z1437" i="2"/>
  <c r="Y1437" i="2"/>
  <c r="X1437" i="2"/>
  <c r="W1437" i="2"/>
  <c r="H1437" i="2"/>
  <c r="Z1436" i="2"/>
  <c r="Y1436" i="2"/>
  <c r="X1436" i="2"/>
  <c r="W1436" i="2"/>
  <c r="H1436" i="2"/>
  <c r="Z1435" i="2"/>
  <c r="Y1435" i="2"/>
  <c r="X1435" i="2"/>
  <c r="W1435" i="2"/>
  <c r="H1435" i="2"/>
  <c r="Z1434" i="2"/>
  <c r="Y1434" i="2"/>
  <c r="X1434" i="2"/>
  <c r="W1434" i="2"/>
  <c r="H1434" i="2"/>
  <c r="Z1433" i="2"/>
  <c r="Y1433" i="2"/>
  <c r="X1433" i="2"/>
  <c r="W1433" i="2"/>
  <c r="H1433" i="2"/>
  <c r="Z1432" i="2"/>
  <c r="Y1432" i="2"/>
  <c r="X1432" i="2"/>
  <c r="W1432" i="2"/>
  <c r="H1432" i="2"/>
  <c r="Z1431" i="2"/>
  <c r="Y1431" i="2"/>
  <c r="X1431" i="2"/>
  <c r="W1431" i="2"/>
  <c r="H1431" i="2"/>
  <c r="Z1430" i="2"/>
  <c r="Y1430" i="2"/>
  <c r="X1430" i="2"/>
  <c r="W1430" i="2"/>
  <c r="H1430" i="2"/>
  <c r="Z1429" i="2"/>
  <c r="Y1429" i="2"/>
  <c r="X1429" i="2"/>
  <c r="W1429" i="2"/>
  <c r="H1429" i="2"/>
  <c r="Z1428" i="2"/>
  <c r="Y1428" i="2"/>
  <c r="X1428" i="2"/>
  <c r="W1428" i="2"/>
  <c r="H1428" i="2"/>
  <c r="Z1427" i="2"/>
  <c r="Y1427" i="2"/>
  <c r="X1427" i="2"/>
  <c r="W1427" i="2"/>
  <c r="H1427" i="2"/>
  <c r="Z1426" i="2"/>
  <c r="Y1426" i="2"/>
  <c r="X1426" i="2"/>
  <c r="W1426" i="2"/>
  <c r="H1426" i="2"/>
  <c r="Z1425" i="2"/>
  <c r="Y1425" i="2"/>
  <c r="X1425" i="2"/>
  <c r="W1425" i="2"/>
  <c r="H1425" i="2"/>
  <c r="Z1424" i="2"/>
  <c r="Y1424" i="2"/>
  <c r="X1424" i="2"/>
  <c r="W1424" i="2"/>
  <c r="H1424" i="2"/>
  <c r="Z1423" i="2"/>
  <c r="Y1423" i="2"/>
  <c r="X1423" i="2"/>
  <c r="W1423" i="2"/>
  <c r="H1423" i="2"/>
  <c r="Z1422" i="2"/>
  <c r="Y1422" i="2"/>
  <c r="X1422" i="2"/>
  <c r="W1422" i="2"/>
  <c r="H1422" i="2"/>
  <c r="Z1421" i="2"/>
  <c r="Y1421" i="2"/>
  <c r="X1421" i="2"/>
  <c r="W1421" i="2"/>
  <c r="H1421" i="2"/>
  <c r="Z1420" i="2"/>
  <c r="Y1420" i="2"/>
  <c r="X1420" i="2"/>
  <c r="W1420" i="2"/>
  <c r="H1420" i="2"/>
  <c r="Z1419" i="2"/>
  <c r="Y1419" i="2"/>
  <c r="X1419" i="2"/>
  <c r="W1419" i="2"/>
  <c r="H1419" i="2"/>
  <c r="Z1418" i="2"/>
  <c r="Y1418" i="2"/>
  <c r="X1418" i="2"/>
  <c r="W1418" i="2"/>
  <c r="H1418" i="2"/>
  <c r="Z1417" i="2"/>
  <c r="Y1417" i="2"/>
  <c r="X1417" i="2"/>
  <c r="W1417" i="2"/>
  <c r="H1417" i="2"/>
  <c r="Z1416" i="2"/>
  <c r="Y1416" i="2"/>
  <c r="X1416" i="2"/>
  <c r="W1416" i="2"/>
  <c r="H1416" i="2"/>
  <c r="Z1415" i="2"/>
  <c r="Y1415" i="2"/>
  <c r="X1415" i="2"/>
  <c r="W1415" i="2"/>
  <c r="H1415" i="2"/>
  <c r="Z1414" i="2"/>
  <c r="Y1414" i="2"/>
  <c r="X1414" i="2"/>
  <c r="W1414" i="2"/>
  <c r="H1414" i="2"/>
  <c r="Z1413" i="2"/>
  <c r="Y1413" i="2"/>
  <c r="X1413" i="2"/>
  <c r="W1413" i="2"/>
  <c r="H1413" i="2"/>
  <c r="Z1412" i="2"/>
  <c r="Y1412" i="2"/>
  <c r="X1412" i="2"/>
  <c r="W1412" i="2"/>
  <c r="H1412" i="2"/>
  <c r="Z1411" i="2"/>
  <c r="Y1411" i="2"/>
  <c r="X1411" i="2"/>
  <c r="W1411" i="2"/>
  <c r="H1411" i="2"/>
  <c r="Z1410" i="2"/>
  <c r="Y1410" i="2"/>
  <c r="X1410" i="2"/>
  <c r="W1410" i="2"/>
  <c r="H1410" i="2"/>
  <c r="Z1409" i="2"/>
  <c r="Y1409" i="2"/>
  <c r="X1409" i="2"/>
  <c r="W1409" i="2"/>
  <c r="H1409" i="2"/>
  <c r="Z1408" i="2"/>
  <c r="Y1408" i="2"/>
  <c r="X1408" i="2"/>
  <c r="W1408" i="2"/>
  <c r="H1408" i="2"/>
  <c r="Z1407" i="2"/>
  <c r="Y1407" i="2"/>
  <c r="X1407" i="2"/>
  <c r="W1407" i="2"/>
  <c r="H1407" i="2"/>
  <c r="Z1406" i="2"/>
  <c r="Y1406" i="2"/>
  <c r="X1406" i="2"/>
  <c r="W1406" i="2"/>
  <c r="H1406" i="2"/>
  <c r="Z1405" i="2"/>
  <c r="Y1405" i="2"/>
  <c r="X1405" i="2"/>
  <c r="W1405" i="2"/>
  <c r="H1405" i="2"/>
  <c r="Z1404" i="2"/>
  <c r="Y1404" i="2"/>
  <c r="X1404" i="2"/>
  <c r="W1404" i="2"/>
  <c r="H1404" i="2"/>
  <c r="Z1403" i="2"/>
  <c r="Y1403" i="2"/>
  <c r="X1403" i="2"/>
  <c r="W1403" i="2"/>
  <c r="H1403" i="2"/>
  <c r="Z1402" i="2"/>
  <c r="Y1402" i="2"/>
  <c r="X1402" i="2"/>
  <c r="W1402" i="2"/>
  <c r="H1402" i="2"/>
  <c r="Z1401" i="2"/>
  <c r="Y1401" i="2"/>
  <c r="X1401" i="2"/>
  <c r="W1401" i="2"/>
  <c r="H1401" i="2"/>
  <c r="Z1400" i="2"/>
  <c r="Y1400" i="2"/>
  <c r="X1400" i="2"/>
  <c r="W1400" i="2"/>
  <c r="H1400" i="2"/>
  <c r="Z1399" i="2"/>
  <c r="Y1399" i="2"/>
  <c r="X1399" i="2"/>
  <c r="W1399" i="2"/>
  <c r="H1399" i="2"/>
  <c r="Z1398" i="2"/>
  <c r="Y1398" i="2"/>
  <c r="X1398" i="2"/>
  <c r="W1398" i="2"/>
  <c r="H1398" i="2"/>
  <c r="Z1397" i="2"/>
  <c r="Y1397" i="2"/>
  <c r="X1397" i="2"/>
  <c r="W1397" i="2"/>
  <c r="H1397" i="2"/>
  <c r="Z1396" i="2"/>
  <c r="Y1396" i="2"/>
  <c r="X1396" i="2"/>
  <c r="W1396" i="2"/>
  <c r="H1396" i="2"/>
  <c r="Z1395" i="2"/>
  <c r="Y1395" i="2"/>
  <c r="X1395" i="2"/>
  <c r="W1395" i="2"/>
  <c r="H1395" i="2"/>
  <c r="Z1394" i="2"/>
  <c r="Y1394" i="2"/>
  <c r="X1394" i="2"/>
  <c r="W1394" i="2"/>
  <c r="H1394" i="2"/>
  <c r="Z1393" i="2"/>
  <c r="Y1393" i="2"/>
  <c r="X1393" i="2"/>
  <c r="W1393" i="2"/>
  <c r="H1393" i="2"/>
  <c r="Z1392" i="2"/>
  <c r="Y1392" i="2"/>
  <c r="X1392" i="2"/>
  <c r="W1392" i="2"/>
  <c r="H1392" i="2"/>
  <c r="Z1391" i="2"/>
  <c r="Y1391" i="2"/>
  <c r="X1391" i="2"/>
  <c r="W1391" i="2"/>
  <c r="H1391" i="2"/>
  <c r="Z1390" i="2"/>
  <c r="Y1390" i="2"/>
  <c r="X1390" i="2"/>
  <c r="W1390" i="2"/>
  <c r="H1390" i="2"/>
  <c r="Z1389" i="2"/>
  <c r="Y1389" i="2"/>
  <c r="X1389" i="2"/>
  <c r="W1389" i="2"/>
  <c r="H1389" i="2"/>
  <c r="Z1388" i="2"/>
  <c r="Y1388" i="2"/>
  <c r="X1388" i="2"/>
  <c r="W1388" i="2"/>
  <c r="H1388" i="2"/>
  <c r="Z1387" i="2"/>
  <c r="Y1387" i="2"/>
  <c r="X1387" i="2"/>
  <c r="W1387" i="2"/>
  <c r="H1387" i="2"/>
  <c r="Z1386" i="2"/>
  <c r="Y1386" i="2"/>
  <c r="X1386" i="2"/>
  <c r="W1386" i="2"/>
  <c r="H1386" i="2"/>
  <c r="Z1385" i="2"/>
  <c r="Y1385" i="2"/>
  <c r="X1385" i="2"/>
  <c r="W1385" i="2"/>
  <c r="H1385" i="2"/>
  <c r="Z1384" i="2"/>
  <c r="Y1384" i="2"/>
  <c r="X1384" i="2"/>
  <c r="W1384" i="2"/>
  <c r="H1384" i="2"/>
  <c r="Z1383" i="2"/>
  <c r="Y1383" i="2"/>
  <c r="X1383" i="2"/>
  <c r="W1383" i="2"/>
  <c r="H1383" i="2"/>
  <c r="Z1382" i="2"/>
  <c r="Y1382" i="2"/>
  <c r="X1382" i="2"/>
  <c r="W1382" i="2"/>
  <c r="H1382" i="2"/>
  <c r="Z1381" i="2"/>
  <c r="Y1381" i="2"/>
  <c r="X1381" i="2"/>
  <c r="W1381" i="2"/>
  <c r="H1381" i="2"/>
  <c r="Z1380" i="2"/>
  <c r="Y1380" i="2"/>
  <c r="X1380" i="2"/>
  <c r="W1380" i="2"/>
  <c r="H1380" i="2"/>
  <c r="Z1379" i="2"/>
  <c r="Y1379" i="2"/>
  <c r="X1379" i="2"/>
  <c r="W1379" i="2"/>
  <c r="H1379" i="2"/>
  <c r="Z1378" i="2"/>
  <c r="Y1378" i="2"/>
  <c r="X1378" i="2"/>
  <c r="W1378" i="2"/>
  <c r="H1378" i="2"/>
  <c r="Z1377" i="2"/>
  <c r="Y1377" i="2"/>
  <c r="X1377" i="2"/>
  <c r="W1377" i="2"/>
  <c r="H1377" i="2"/>
  <c r="Z1376" i="2"/>
  <c r="Y1376" i="2"/>
  <c r="X1376" i="2"/>
  <c r="W1376" i="2"/>
  <c r="H1376" i="2"/>
  <c r="Z1375" i="2"/>
  <c r="Y1375" i="2"/>
  <c r="X1375" i="2"/>
  <c r="W1375" i="2"/>
  <c r="H1375" i="2"/>
  <c r="Z1374" i="2"/>
  <c r="Y1374" i="2"/>
  <c r="X1374" i="2"/>
  <c r="W1374" i="2"/>
  <c r="H1374" i="2"/>
  <c r="Z1373" i="2"/>
  <c r="Y1373" i="2"/>
  <c r="X1373" i="2"/>
  <c r="W1373" i="2"/>
  <c r="H1373" i="2"/>
  <c r="Z1372" i="2"/>
  <c r="Y1372" i="2"/>
  <c r="X1372" i="2"/>
  <c r="W1372" i="2"/>
  <c r="H1372" i="2"/>
  <c r="Z1371" i="2"/>
  <c r="Y1371" i="2"/>
  <c r="X1371" i="2"/>
  <c r="W1371" i="2"/>
  <c r="H1371" i="2"/>
  <c r="Z1370" i="2"/>
  <c r="Y1370" i="2"/>
  <c r="X1370" i="2"/>
  <c r="W1370" i="2"/>
  <c r="H1370" i="2"/>
  <c r="Z1369" i="2"/>
  <c r="Y1369" i="2"/>
  <c r="X1369" i="2"/>
  <c r="W1369" i="2"/>
  <c r="H1369" i="2"/>
  <c r="Z1368" i="2"/>
  <c r="Y1368" i="2"/>
  <c r="X1368" i="2"/>
  <c r="W1368" i="2"/>
  <c r="H1368" i="2"/>
  <c r="Z1367" i="2"/>
  <c r="Y1367" i="2"/>
  <c r="X1367" i="2"/>
  <c r="W1367" i="2"/>
  <c r="H1367" i="2"/>
  <c r="Z1366" i="2"/>
  <c r="Y1366" i="2"/>
  <c r="X1366" i="2"/>
  <c r="W1366" i="2"/>
  <c r="H1366" i="2"/>
  <c r="Z1365" i="2"/>
  <c r="Y1365" i="2"/>
  <c r="X1365" i="2"/>
  <c r="W1365" i="2"/>
  <c r="H1365" i="2"/>
  <c r="Z1364" i="2"/>
  <c r="Y1364" i="2"/>
  <c r="X1364" i="2"/>
  <c r="W1364" i="2"/>
  <c r="H1364" i="2"/>
  <c r="Z1363" i="2"/>
  <c r="Y1363" i="2"/>
  <c r="X1363" i="2"/>
  <c r="W1363" i="2"/>
  <c r="H1363" i="2"/>
  <c r="Z1362" i="2"/>
  <c r="Y1362" i="2"/>
  <c r="X1362" i="2"/>
  <c r="W1362" i="2"/>
  <c r="H1362" i="2"/>
  <c r="Z1361" i="2"/>
  <c r="Y1361" i="2"/>
  <c r="X1361" i="2"/>
  <c r="W1361" i="2"/>
  <c r="H1361" i="2"/>
  <c r="Z1360" i="2"/>
  <c r="Y1360" i="2"/>
  <c r="X1360" i="2"/>
  <c r="W1360" i="2"/>
  <c r="H1360" i="2"/>
  <c r="Z1359" i="2"/>
  <c r="Y1359" i="2"/>
  <c r="X1359" i="2"/>
  <c r="W1359" i="2"/>
  <c r="H1359" i="2"/>
  <c r="Z1358" i="2"/>
  <c r="Y1358" i="2"/>
  <c r="X1358" i="2"/>
  <c r="W1358" i="2"/>
  <c r="H1358" i="2"/>
  <c r="Z1357" i="2"/>
  <c r="Y1357" i="2"/>
  <c r="X1357" i="2"/>
  <c r="W1357" i="2"/>
  <c r="H1357" i="2"/>
  <c r="Z1356" i="2"/>
  <c r="Y1356" i="2"/>
  <c r="X1356" i="2"/>
  <c r="W1356" i="2"/>
  <c r="H1356" i="2"/>
  <c r="Z1355" i="2"/>
  <c r="Y1355" i="2"/>
  <c r="X1355" i="2"/>
  <c r="W1355" i="2"/>
  <c r="H1355" i="2"/>
  <c r="Z1354" i="2"/>
  <c r="Y1354" i="2"/>
  <c r="X1354" i="2"/>
  <c r="W1354" i="2"/>
  <c r="H1354" i="2"/>
  <c r="Z1353" i="2"/>
  <c r="Y1353" i="2"/>
  <c r="X1353" i="2"/>
  <c r="W1353" i="2"/>
  <c r="H1353" i="2"/>
  <c r="Z1352" i="2"/>
  <c r="Y1352" i="2"/>
  <c r="X1352" i="2"/>
  <c r="W1352" i="2"/>
  <c r="H1352" i="2"/>
  <c r="Z1351" i="2"/>
  <c r="Y1351" i="2"/>
  <c r="X1351" i="2"/>
  <c r="W1351" i="2"/>
  <c r="H1351" i="2"/>
  <c r="Z1350" i="2"/>
  <c r="Y1350" i="2"/>
  <c r="X1350" i="2"/>
  <c r="W1350" i="2"/>
  <c r="H1350" i="2"/>
  <c r="Z1349" i="2"/>
  <c r="Y1349" i="2"/>
  <c r="X1349" i="2"/>
  <c r="W1349" i="2"/>
  <c r="H1349" i="2"/>
  <c r="Z1348" i="2"/>
  <c r="Y1348" i="2"/>
  <c r="X1348" i="2"/>
  <c r="W1348" i="2"/>
  <c r="H1348" i="2"/>
  <c r="Z1347" i="2"/>
  <c r="Y1347" i="2"/>
  <c r="X1347" i="2"/>
  <c r="W1347" i="2"/>
  <c r="H1347" i="2"/>
  <c r="Z1346" i="2"/>
  <c r="Y1346" i="2"/>
  <c r="X1346" i="2"/>
  <c r="W1346" i="2"/>
  <c r="H1346" i="2"/>
  <c r="Z1345" i="2"/>
  <c r="Y1345" i="2"/>
  <c r="X1345" i="2"/>
  <c r="W1345" i="2"/>
  <c r="H1345" i="2"/>
  <c r="Z1344" i="2"/>
  <c r="Y1344" i="2"/>
  <c r="X1344" i="2"/>
  <c r="W1344" i="2"/>
  <c r="H1344" i="2"/>
  <c r="Z1343" i="2"/>
  <c r="Y1343" i="2"/>
  <c r="X1343" i="2"/>
  <c r="W1343" i="2"/>
  <c r="H1343" i="2"/>
  <c r="Z1342" i="2"/>
  <c r="Y1342" i="2"/>
  <c r="X1342" i="2"/>
  <c r="W1342" i="2"/>
  <c r="H1342" i="2"/>
  <c r="Z1341" i="2"/>
  <c r="Y1341" i="2"/>
  <c r="X1341" i="2"/>
  <c r="W1341" i="2"/>
  <c r="H1341" i="2"/>
  <c r="Z1340" i="2"/>
  <c r="Y1340" i="2"/>
  <c r="X1340" i="2"/>
  <c r="W1340" i="2"/>
  <c r="H1340" i="2"/>
  <c r="Z1339" i="2"/>
  <c r="Y1339" i="2"/>
  <c r="X1339" i="2"/>
  <c r="W1339" i="2"/>
  <c r="H1339" i="2"/>
  <c r="Z1338" i="2"/>
  <c r="Y1338" i="2"/>
  <c r="X1338" i="2"/>
  <c r="W1338" i="2"/>
  <c r="H1338" i="2"/>
  <c r="Z1337" i="2"/>
  <c r="Y1337" i="2"/>
  <c r="X1337" i="2"/>
  <c r="W1337" i="2"/>
  <c r="H1337" i="2"/>
  <c r="Z1336" i="2"/>
  <c r="Y1336" i="2"/>
  <c r="X1336" i="2"/>
  <c r="W1336" i="2"/>
  <c r="H1336" i="2"/>
  <c r="Z1335" i="2"/>
  <c r="Y1335" i="2"/>
  <c r="X1335" i="2"/>
  <c r="W1335" i="2"/>
  <c r="H1335" i="2"/>
  <c r="Z1334" i="2"/>
  <c r="Y1334" i="2"/>
  <c r="X1334" i="2"/>
  <c r="W1334" i="2"/>
  <c r="H1334" i="2"/>
  <c r="Z1333" i="2"/>
  <c r="Y1333" i="2"/>
  <c r="X1333" i="2"/>
  <c r="W1333" i="2"/>
  <c r="H1333" i="2"/>
  <c r="Z1332" i="2"/>
  <c r="Y1332" i="2"/>
  <c r="X1332" i="2"/>
  <c r="W1332" i="2"/>
  <c r="H1332" i="2"/>
  <c r="Z1331" i="2"/>
  <c r="Y1331" i="2"/>
  <c r="X1331" i="2"/>
  <c r="W1331" i="2"/>
  <c r="H1331" i="2"/>
  <c r="Z1330" i="2"/>
  <c r="Y1330" i="2"/>
  <c r="X1330" i="2"/>
  <c r="W1330" i="2"/>
  <c r="H1330" i="2"/>
  <c r="Z1329" i="2"/>
  <c r="Y1329" i="2"/>
  <c r="X1329" i="2"/>
  <c r="W1329" i="2"/>
  <c r="H1329" i="2"/>
  <c r="Z1328" i="2"/>
  <c r="Y1328" i="2"/>
  <c r="X1328" i="2"/>
  <c r="W1328" i="2"/>
  <c r="H1328" i="2"/>
  <c r="Z1327" i="2"/>
  <c r="Y1327" i="2"/>
  <c r="X1327" i="2"/>
  <c r="W1327" i="2"/>
  <c r="H1327" i="2"/>
  <c r="Z1326" i="2"/>
  <c r="Y1326" i="2"/>
  <c r="X1326" i="2"/>
  <c r="W1326" i="2"/>
  <c r="H1326" i="2"/>
  <c r="Z1325" i="2"/>
  <c r="Y1325" i="2"/>
  <c r="X1325" i="2"/>
  <c r="W1325" i="2"/>
  <c r="H1325" i="2"/>
  <c r="Z1324" i="2"/>
  <c r="Y1324" i="2"/>
  <c r="X1324" i="2"/>
  <c r="W1324" i="2"/>
  <c r="H1324" i="2"/>
  <c r="Z1323" i="2"/>
  <c r="Y1323" i="2"/>
  <c r="X1323" i="2"/>
  <c r="W1323" i="2"/>
  <c r="H1323" i="2"/>
  <c r="Z1322" i="2"/>
  <c r="Y1322" i="2"/>
  <c r="X1322" i="2"/>
  <c r="W1322" i="2"/>
  <c r="H1322" i="2"/>
  <c r="Z1321" i="2"/>
  <c r="Y1321" i="2"/>
  <c r="X1321" i="2"/>
  <c r="W1321" i="2"/>
  <c r="H1321" i="2"/>
  <c r="Z1320" i="2"/>
  <c r="Y1320" i="2"/>
  <c r="X1320" i="2"/>
  <c r="W1320" i="2"/>
  <c r="H1320" i="2"/>
  <c r="Z1319" i="2"/>
  <c r="Y1319" i="2"/>
  <c r="X1319" i="2"/>
  <c r="W1319" i="2"/>
  <c r="H1319" i="2"/>
  <c r="Z1318" i="2"/>
  <c r="Y1318" i="2"/>
  <c r="X1318" i="2"/>
  <c r="W1318" i="2"/>
  <c r="H1318" i="2"/>
  <c r="Z1317" i="2"/>
  <c r="Y1317" i="2"/>
  <c r="X1317" i="2"/>
  <c r="W1317" i="2"/>
  <c r="H1317" i="2"/>
  <c r="Z1316" i="2"/>
  <c r="Y1316" i="2"/>
  <c r="X1316" i="2"/>
  <c r="W1316" i="2"/>
  <c r="H1316" i="2"/>
  <c r="Z1315" i="2"/>
  <c r="Y1315" i="2"/>
  <c r="X1315" i="2"/>
  <c r="W1315" i="2"/>
  <c r="H1315" i="2"/>
  <c r="Z1314" i="2"/>
  <c r="Y1314" i="2"/>
  <c r="X1314" i="2"/>
  <c r="W1314" i="2"/>
  <c r="H1314" i="2"/>
  <c r="Z1313" i="2"/>
  <c r="Y1313" i="2"/>
  <c r="X1313" i="2"/>
  <c r="W1313" i="2"/>
  <c r="H1313" i="2"/>
  <c r="Z1312" i="2"/>
  <c r="Y1312" i="2"/>
  <c r="X1312" i="2"/>
  <c r="W1312" i="2"/>
  <c r="H1312" i="2"/>
  <c r="Z1311" i="2"/>
  <c r="Y1311" i="2"/>
  <c r="X1311" i="2"/>
  <c r="W1311" i="2"/>
  <c r="H1311" i="2"/>
  <c r="Z1310" i="2"/>
  <c r="Y1310" i="2"/>
  <c r="X1310" i="2"/>
  <c r="W1310" i="2"/>
  <c r="H1310" i="2"/>
  <c r="Z1309" i="2"/>
  <c r="Y1309" i="2"/>
  <c r="X1309" i="2"/>
  <c r="W1309" i="2"/>
  <c r="H1309" i="2"/>
  <c r="Z1308" i="2"/>
  <c r="Y1308" i="2"/>
  <c r="X1308" i="2"/>
  <c r="W1308" i="2"/>
  <c r="H1308" i="2"/>
  <c r="Z1307" i="2"/>
  <c r="Y1307" i="2"/>
  <c r="X1307" i="2"/>
  <c r="W1307" i="2"/>
  <c r="H1307" i="2"/>
  <c r="Z1306" i="2"/>
  <c r="Y1306" i="2"/>
  <c r="X1306" i="2"/>
  <c r="W1306" i="2"/>
  <c r="H1306" i="2"/>
  <c r="Z1305" i="2"/>
  <c r="Y1305" i="2"/>
  <c r="X1305" i="2"/>
  <c r="W1305" i="2"/>
  <c r="H1305" i="2"/>
  <c r="Z1304" i="2"/>
  <c r="Y1304" i="2"/>
  <c r="X1304" i="2"/>
  <c r="W1304" i="2"/>
  <c r="H1304" i="2"/>
  <c r="Z1303" i="2"/>
  <c r="Y1303" i="2"/>
  <c r="X1303" i="2"/>
  <c r="W1303" i="2"/>
  <c r="H1303" i="2"/>
  <c r="Z1302" i="2"/>
  <c r="Y1302" i="2"/>
  <c r="X1302" i="2"/>
  <c r="W1302" i="2"/>
  <c r="H1302" i="2"/>
  <c r="Z1301" i="2"/>
  <c r="Y1301" i="2"/>
  <c r="X1301" i="2"/>
  <c r="W1301" i="2"/>
  <c r="H1301" i="2"/>
  <c r="Z1300" i="2"/>
  <c r="Y1300" i="2"/>
  <c r="X1300" i="2"/>
  <c r="W1300" i="2"/>
  <c r="H1300" i="2"/>
  <c r="Z1299" i="2"/>
  <c r="Y1299" i="2"/>
  <c r="X1299" i="2"/>
  <c r="W1299" i="2"/>
  <c r="H1299" i="2"/>
  <c r="Z1298" i="2"/>
  <c r="Y1298" i="2"/>
  <c r="X1298" i="2"/>
  <c r="W1298" i="2"/>
  <c r="H1298" i="2"/>
  <c r="Z1297" i="2"/>
  <c r="Y1297" i="2"/>
  <c r="X1297" i="2"/>
  <c r="W1297" i="2"/>
  <c r="H1297" i="2"/>
  <c r="Z1296" i="2"/>
  <c r="Y1296" i="2"/>
  <c r="X1296" i="2"/>
  <c r="W1296" i="2"/>
  <c r="H1296" i="2"/>
  <c r="Z1295" i="2"/>
  <c r="Y1295" i="2"/>
  <c r="X1295" i="2"/>
  <c r="W1295" i="2"/>
  <c r="H1295" i="2"/>
  <c r="Z1294" i="2"/>
  <c r="Y1294" i="2"/>
  <c r="X1294" i="2"/>
  <c r="W1294" i="2"/>
  <c r="H1294" i="2"/>
  <c r="Z1293" i="2"/>
  <c r="Y1293" i="2"/>
  <c r="X1293" i="2"/>
  <c r="W1293" i="2"/>
  <c r="H1293" i="2"/>
  <c r="Z1292" i="2"/>
  <c r="Y1292" i="2"/>
  <c r="X1292" i="2"/>
  <c r="W1292" i="2"/>
  <c r="H1292" i="2"/>
  <c r="Z1291" i="2"/>
  <c r="Y1291" i="2"/>
  <c r="X1291" i="2"/>
  <c r="W1291" i="2"/>
  <c r="H1291" i="2"/>
  <c r="Z1290" i="2"/>
  <c r="Y1290" i="2"/>
  <c r="X1290" i="2"/>
  <c r="W1290" i="2"/>
  <c r="H1290" i="2"/>
  <c r="Z1289" i="2"/>
  <c r="Y1289" i="2"/>
  <c r="X1289" i="2"/>
  <c r="W1289" i="2"/>
  <c r="H1289" i="2"/>
  <c r="Z1288" i="2"/>
  <c r="Y1288" i="2"/>
  <c r="X1288" i="2"/>
  <c r="W1288" i="2"/>
  <c r="H1288" i="2"/>
  <c r="Z1287" i="2"/>
  <c r="Y1287" i="2"/>
  <c r="X1287" i="2"/>
  <c r="W1287" i="2"/>
  <c r="H1287" i="2"/>
  <c r="Z1286" i="2"/>
  <c r="Y1286" i="2"/>
  <c r="X1286" i="2"/>
  <c r="W1286" i="2"/>
  <c r="H1286" i="2"/>
  <c r="Z1285" i="2"/>
  <c r="Y1285" i="2"/>
  <c r="X1285" i="2"/>
  <c r="W1285" i="2"/>
  <c r="H1285" i="2"/>
  <c r="Z1284" i="2"/>
  <c r="Y1284" i="2"/>
  <c r="X1284" i="2"/>
  <c r="W1284" i="2"/>
  <c r="H1284" i="2"/>
  <c r="Z1283" i="2"/>
  <c r="Y1283" i="2"/>
  <c r="X1283" i="2"/>
  <c r="W1283" i="2"/>
  <c r="H1283" i="2"/>
  <c r="Z1282" i="2"/>
  <c r="Y1282" i="2"/>
  <c r="X1282" i="2"/>
  <c r="W1282" i="2"/>
  <c r="H1282" i="2"/>
  <c r="Z1281" i="2"/>
  <c r="Y1281" i="2"/>
  <c r="X1281" i="2"/>
  <c r="W1281" i="2"/>
  <c r="H1281" i="2"/>
  <c r="Z1280" i="2"/>
  <c r="Y1280" i="2"/>
  <c r="X1280" i="2"/>
  <c r="W1280" i="2"/>
  <c r="H1280" i="2"/>
  <c r="Z1279" i="2"/>
  <c r="Y1279" i="2"/>
  <c r="X1279" i="2"/>
  <c r="W1279" i="2"/>
  <c r="H1279" i="2"/>
  <c r="Z1278" i="2"/>
  <c r="Y1278" i="2"/>
  <c r="X1278" i="2"/>
  <c r="W1278" i="2"/>
  <c r="H1278" i="2"/>
  <c r="Z1277" i="2"/>
  <c r="Y1277" i="2"/>
  <c r="X1277" i="2"/>
  <c r="W1277" i="2"/>
  <c r="H1277" i="2"/>
  <c r="Z1276" i="2"/>
  <c r="Y1276" i="2"/>
  <c r="X1276" i="2"/>
  <c r="W1276" i="2"/>
  <c r="H1276" i="2"/>
  <c r="Z1275" i="2"/>
  <c r="Y1275" i="2"/>
  <c r="X1275" i="2"/>
  <c r="W1275" i="2"/>
  <c r="H1275" i="2"/>
  <c r="Z1274" i="2"/>
  <c r="Y1274" i="2"/>
  <c r="X1274" i="2"/>
  <c r="W1274" i="2"/>
  <c r="H1274" i="2"/>
  <c r="Z1273" i="2"/>
  <c r="Y1273" i="2"/>
  <c r="X1273" i="2"/>
  <c r="W1273" i="2"/>
  <c r="H1273" i="2"/>
  <c r="Z1272" i="2"/>
  <c r="Y1272" i="2"/>
  <c r="X1272" i="2"/>
  <c r="W1272" i="2"/>
  <c r="H1272" i="2"/>
  <c r="Z1271" i="2"/>
  <c r="Y1271" i="2"/>
  <c r="X1271" i="2"/>
  <c r="W1271" i="2"/>
  <c r="H1271" i="2"/>
  <c r="Z1270" i="2"/>
  <c r="Y1270" i="2"/>
  <c r="X1270" i="2"/>
  <c r="W1270" i="2"/>
  <c r="H1270" i="2"/>
  <c r="Z1269" i="2"/>
  <c r="Y1269" i="2"/>
  <c r="X1269" i="2"/>
  <c r="W1269" i="2"/>
  <c r="H1269" i="2"/>
  <c r="Z1268" i="2"/>
  <c r="Y1268" i="2"/>
  <c r="X1268" i="2"/>
  <c r="W1268" i="2"/>
  <c r="H1268" i="2"/>
  <c r="Z1267" i="2"/>
  <c r="Y1267" i="2"/>
  <c r="X1267" i="2"/>
  <c r="W1267" i="2"/>
  <c r="H1267" i="2"/>
  <c r="Z1266" i="2"/>
  <c r="Y1266" i="2"/>
  <c r="X1266" i="2"/>
  <c r="W1266" i="2"/>
  <c r="H1266" i="2"/>
  <c r="Z1265" i="2"/>
  <c r="Y1265" i="2"/>
  <c r="X1265" i="2"/>
  <c r="W1265" i="2"/>
  <c r="H1265" i="2"/>
  <c r="Z1264" i="2"/>
  <c r="Y1264" i="2"/>
  <c r="X1264" i="2"/>
  <c r="W1264" i="2"/>
  <c r="H1264" i="2"/>
  <c r="Z1263" i="2"/>
  <c r="Y1263" i="2"/>
  <c r="X1263" i="2"/>
  <c r="W1263" i="2"/>
  <c r="H1263" i="2"/>
  <c r="Z1262" i="2"/>
  <c r="Y1262" i="2"/>
  <c r="X1262" i="2"/>
  <c r="W1262" i="2"/>
  <c r="H1262" i="2"/>
  <c r="Z1261" i="2"/>
  <c r="Y1261" i="2"/>
  <c r="X1261" i="2"/>
  <c r="W1261" i="2"/>
  <c r="H1261" i="2"/>
  <c r="Z1260" i="2"/>
  <c r="Y1260" i="2"/>
  <c r="X1260" i="2"/>
  <c r="W1260" i="2"/>
  <c r="H1260" i="2"/>
  <c r="Z1259" i="2"/>
  <c r="Y1259" i="2"/>
  <c r="X1259" i="2"/>
  <c r="W1259" i="2"/>
  <c r="H1259" i="2"/>
  <c r="Z1258" i="2"/>
  <c r="Y1258" i="2"/>
  <c r="X1258" i="2"/>
  <c r="W1258" i="2"/>
  <c r="H1258" i="2"/>
  <c r="Z1257" i="2"/>
  <c r="Y1257" i="2"/>
  <c r="X1257" i="2"/>
  <c r="W1257" i="2"/>
  <c r="H1257" i="2"/>
  <c r="Z1256" i="2"/>
  <c r="Y1256" i="2"/>
  <c r="X1256" i="2"/>
  <c r="W1256" i="2"/>
  <c r="H1256" i="2"/>
  <c r="Z1255" i="2"/>
  <c r="Y1255" i="2"/>
  <c r="X1255" i="2"/>
  <c r="W1255" i="2"/>
  <c r="H1255" i="2"/>
  <c r="Z1254" i="2"/>
  <c r="Y1254" i="2"/>
  <c r="X1254" i="2"/>
  <c r="W1254" i="2"/>
  <c r="H1254" i="2"/>
  <c r="Z1253" i="2"/>
  <c r="Y1253" i="2"/>
  <c r="X1253" i="2"/>
  <c r="W1253" i="2"/>
  <c r="H1253" i="2"/>
  <c r="Z1252" i="2"/>
  <c r="Y1252" i="2"/>
  <c r="X1252" i="2"/>
  <c r="W1252" i="2"/>
  <c r="H1252" i="2"/>
  <c r="Z1251" i="2"/>
  <c r="Y1251" i="2"/>
  <c r="X1251" i="2"/>
  <c r="W1251" i="2"/>
  <c r="H1251" i="2"/>
  <c r="Z1250" i="2"/>
  <c r="Y1250" i="2"/>
  <c r="X1250" i="2"/>
  <c r="W1250" i="2"/>
  <c r="H1250" i="2"/>
  <c r="Z1249" i="2"/>
  <c r="Y1249" i="2"/>
  <c r="X1249" i="2"/>
  <c r="W1249" i="2"/>
  <c r="H1249" i="2"/>
  <c r="Z1248" i="2"/>
  <c r="Y1248" i="2"/>
  <c r="X1248" i="2"/>
  <c r="W1248" i="2"/>
  <c r="H1248" i="2"/>
  <c r="Z1247" i="2"/>
  <c r="Y1247" i="2"/>
  <c r="X1247" i="2"/>
  <c r="W1247" i="2"/>
  <c r="H1247" i="2"/>
  <c r="Z1246" i="2"/>
  <c r="Y1246" i="2"/>
  <c r="X1246" i="2"/>
  <c r="W1246" i="2"/>
  <c r="H1246" i="2"/>
  <c r="Z1245" i="2"/>
  <c r="Y1245" i="2"/>
  <c r="X1245" i="2"/>
  <c r="W1245" i="2"/>
  <c r="H1245" i="2"/>
  <c r="Z1244" i="2"/>
  <c r="Y1244" i="2"/>
  <c r="X1244" i="2"/>
  <c r="W1244" i="2"/>
  <c r="H1244" i="2"/>
  <c r="Z1243" i="2"/>
  <c r="Y1243" i="2"/>
  <c r="X1243" i="2"/>
  <c r="W1243" i="2"/>
  <c r="H1243" i="2"/>
  <c r="Z1242" i="2"/>
  <c r="Y1242" i="2"/>
  <c r="X1242" i="2"/>
  <c r="W1242" i="2"/>
  <c r="H1242" i="2"/>
  <c r="Z1241" i="2"/>
  <c r="Y1241" i="2"/>
  <c r="X1241" i="2"/>
  <c r="W1241" i="2"/>
  <c r="H1241" i="2"/>
  <c r="Z1240" i="2"/>
  <c r="Y1240" i="2"/>
  <c r="X1240" i="2"/>
  <c r="W1240" i="2"/>
  <c r="H1240" i="2"/>
  <c r="Z1239" i="2"/>
  <c r="Y1239" i="2"/>
  <c r="X1239" i="2"/>
  <c r="W1239" i="2"/>
  <c r="H1239" i="2"/>
  <c r="Z1238" i="2"/>
  <c r="Y1238" i="2"/>
  <c r="X1238" i="2"/>
  <c r="W1238" i="2"/>
  <c r="H1238" i="2"/>
  <c r="Z1237" i="2"/>
  <c r="Y1237" i="2"/>
  <c r="X1237" i="2"/>
  <c r="W1237" i="2"/>
  <c r="H1237" i="2"/>
  <c r="Z1236" i="2"/>
  <c r="Y1236" i="2"/>
  <c r="X1236" i="2"/>
  <c r="W1236" i="2"/>
  <c r="H1236" i="2"/>
  <c r="Z1235" i="2"/>
  <c r="Y1235" i="2"/>
  <c r="X1235" i="2"/>
  <c r="W1235" i="2"/>
  <c r="H1235" i="2"/>
  <c r="Z1234" i="2"/>
  <c r="Y1234" i="2"/>
  <c r="X1234" i="2"/>
  <c r="W1234" i="2"/>
  <c r="H1234" i="2"/>
  <c r="Z1233" i="2"/>
  <c r="Y1233" i="2"/>
  <c r="X1233" i="2"/>
  <c r="W1233" i="2"/>
  <c r="H1233" i="2"/>
  <c r="Z1232" i="2"/>
  <c r="Y1232" i="2"/>
  <c r="X1232" i="2"/>
  <c r="W1232" i="2"/>
  <c r="H1232" i="2"/>
  <c r="Z1231" i="2"/>
  <c r="Y1231" i="2"/>
  <c r="X1231" i="2"/>
  <c r="W1231" i="2"/>
  <c r="H1231" i="2"/>
  <c r="Z1230" i="2"/>
  <c r="Y1230" i="2"/>
  <c r="X1230" i="2"/>
  <c r="W1230" i="2"/>
  <c r="H1230" i="2"/>
  <c r="Z1229" i="2"/>
  <c r="Y1229" i="2"/>
  <c r="X1229" i="2"/>
  <c r="W1229" i="2"/>
  <c r="H1229" i="2"/>
  <c r="Z1228" i="2"/>
  <c r="Y1228" i="2"/>
  <c r="X1228" i="2"/>
  <c r="W1228" i="2"/>
  <c r="H1228" i="2"/>
  <c r="Z1227" i="2"/>
  <c r="Y1227" i="2"/>
  <c r="X1227" i="2"/>
  <c r="W1227" i="2"/>
  <c r="H1227" i="2"/>
  <c r="Z1226" i="2"/>
  <c r="Y1226" i="2"/>
  <c r="X1226" i="2"/>
  <c r="W1226" i="2"/>
  <c r="H1226" i="2"/>
  <c r="Z1225" i="2"/>
  <c r="Y1225" i="2"/>
  <c r="X1225" i="2"/>
  <c r="W1225" i="2"/>
  <c r="H1225" i="2"/>
  <c r="Z1224" i="2"/>
  <c r="Y1224" i="2"/>
  <c r="X1224" i="2"/>
  <c r="W1224" i="2"/>
  <c r="H1224" i="2"/>
  <c r="Z1223" i="2"/>
  <c r="Y1223" i="2"/>
  <c r="X1223" i="2"/>
  <c r="W1223" i="2"/>
  <c r="H1223" i="2"/>
  <c r="Z1222" i="2"/>
  <c r="Y1222" i="2"/>
  <c r="X1222" i="2"/>
  <c r="W1222" i="2"/>
  <c r="H1222" i="2"/>
  <c r="Z1221" i="2"/>
  <c r="Y1221" i="2"/>
  <c r="X1221" i="2"/>
  <c r="W1221" i="2"/>
  <c r="H1221" i="2"/>
  <c r="Z1220" i="2"/>
  <c r="Y1220" i="2"/>
  <c r="X1220" i="2"/>
  <c r="W1220" i="2"/>
  <c r="H1220" i="2"/>
  <c r="Z1219" i="2"/>
  <c r="Y1219" i="2"/>
  <c r="X1219" i="2"/>
  <c r="W1219" i="2"/>
  <c r="H1219" i="2"/>
  <c r="Z1218" i="2"/>
  <c r="Y1218" i="2"/>
  <c r="X1218" i="2"/>
  <c r="W1218" i="2"/>
  <c r="H1218" i="2"/>
  <c r="Z1217" i="2"/>
  <c r="Y1217" i="2"/>
  <c r="X1217" i="2"/>
  <c r="W1217" i="2"/>
  <c r="H1217" i="2"/>
  <c r="Z1216" i="2"/>
  <c r="Y1216" i="2"/>
  <c r="X1216" i="2"/>
  <c r="W1216" i="2"/>
  <c r="H1216" i="2"/>
  <c r="Z1215" i="2"/>
  <c r="Y1215" i="2"/>
  <c r="X1215" i="2"/>
  <c r="W1215" i="2"/>
  <c r="H1215" i="2"/>
  <c r="Z1214" i="2"/>
  <c r="Y1214" i="2"/>
  <c r="X1214" i="2"/>
  <c r="W1214" i="2"/>
  <c r="H1214" i="2"/>
  <c r="Z1213" i="2"/>
  <c r="Y1213" i="2"/>
  <c r="X1213" i="2"/>
  <c r="W1213" i="2"/>
  <c r="H1213" i="2"/>
  <c r="Z1212" i="2"/>
  <c r="Y1212" i="2"/>
  <c r="X1212" i="2"/>
  <c r="W1212" i="2"/>
  <c r="H1212" i="2"/>
  <c r="Z1211" i="2"/>
  <c r="Y1211" i="2"/>
  <c r="X1211" i="2"/>
  <c r="W1211" i="2"/>
  <c r="H1211" i="2"/>
  <c r="Z1210" i="2"/>
  <c r="Y1210" i="2"/>
  <c r="X1210" i="2"/>
  <c r="W1210" i="2"/>
  <c r="H1210" i="2"/>
  <c r="Z1209" i="2"/>
  <c r="Y1209" i="2"/>
  <c r="X1209" i="2"/>
  <c r="W1209" i="2"/>
  <c r="H1209" i="2"/>
  <c r="Z1208" i="2"/>
  <c r="Y1208" i="2"/>
  <c r="X1208" i="2"/>
  <c r="W1208" i="2"/>
  <c r="H1208" i="2"/>
  <c r="Z1207" i="2"/>
  <c r="Y1207" i="2"/>
  <c r="X1207" i="2"/>
  <c r="W1207" i="2"/>
  <c r="H1207" i="2"/>
  <c r="Z1206" i="2"/>
  <c r="Y1206" i="2"/>
  <c r="X1206" i="2"/>
  <c r="W1206" i="2"/>
  <c r="H1206" i="2"/>
  <c r="Z1205" i="2"/>
  <c r="Y1205" i="2"/>
  <c r="X1205" i="2"/>
  <c r="W1205" i="2"/>
  <c r="H1205" i="2"/>
  <c r="Z1204" i="2"/>
  <c r="Y1204" i="2"/>
  <c r="X1204" i="2"/>
  <c r="W1204" i="2"/>
  <c r="H1204" i="2"/>
  <c r="Z1203" i="2"/>
  <c r="Y1203" i="2"/>
  <c r="X1203" i="2"/>
  <c r="W1203" i="2"/>
  <c r="H1203" i="2"/>
  <c r="Z1202" i="2"/>
  <c r="Y1202" i="2"/>
  <c r="X1202" i="2"/>
  <c r="W1202" i="2"/>
  <c r="H1202" i="2"/>
  <c r="Z1201" i="2"/>
  <c r="Y1201" i="2"/>
  <c r="X1201" i="2"/>
  <c r="W1201" i="2"/>
  <c r="H1201" i="2"/>
  <c r="Z1200" i="2"/>
  <c r="Y1200" i="2"/>
  <c r="X1200" i="2"/>
  <c r="W1200" i="2"/>
  <c r="H1200" i="2"/>
  <c r="Z1199" i="2"/>
  <c r="Y1199" i="2"/>
  <c r="X1199" i="2"/>
  <c r="W1199" i="2"/>
  <c r="H1199" i="2"/>
  <c r="Z1198" i="2"/>
  <c r="Y1198" i="2"/>
  <c r="X1198" i="2"/>
  <c r="W1198" i="2"/>
  <c r="H1198" i="2"/>
  <c r="Z1197" i="2"/>
  <c r="Y1197" i="2"/>
  <c r="X1197" i="2"/>
  <c r="W1197" i="2"/>
  <c r="H1197" i="2"/>
  <c r="Z1196" i="2"/>
  <c r="Y1196" i="2"/>
  <c r="X1196" i="2"/>
  <c r="W1196" i="2"/>
  <c r="H1196" i="2"/>
  <c r="Z1195" i="2"/>
  <c r="Y1195" i="2"/>
  <c r="X1195" i="2"/>
  <c r="W1195" i="2"/>
  <c r="H1195" i="2"/>
  <c r="Z1194" i="2"/>
  <c r="Y1194" i="2"/>
  <c r="X1194" i="2"/>
  <c r="W1194" i="2"/>
  <c r="H1194" i="2"/>
  <c r="Z1193" i="2"/>
  <c r="Y1193" i="2"/>
  <c r="X1193" i="2"/>
  <c r="W1193" i="2"/>
  <c r="H1193" i="2"/>
  <c r="Z1192" i="2"/>
  <c r="Y1192" i="2"/>
  <c r="X1192" i="2"/>
  <c r="W1192" i="2"/>
  <c r="H1192" i="2"/>
  <c r="Z1191" i="2"/>
  <c r="Y1191" i="2"/>
  <c r="X1191" i="2"/>
  <c r="W1191" i="2"/>
  <c r="H1191" i="2"/>
  <c r="Z1190" i="2"/>
  <c r="Y1190" i="2"/>
  <c r="X1190" i="2"/>
  <c r="W1190" i="2"/>
  <c r="H1190" i="2"/>
  <c r="Z1189" i="2"/>
  <c r="Y1189" i="2"/>
  <c r="X1189" i="2"/>
  <c r="W1189" i="2"/>
  <c r="H1189" i="2"/>
  <c r="Z1188" i="2"/>
  <c r="Y1188" i="2"/>
  <c r="X1188" i="2"/>
  <c r="W1188" i="2"/>
  <c r="H1188" i="2"/>
  <c r="Z1187" i="2"/>
  <c r="Y1187" i="2"/>
  <c r="X1187" i="2"/>
  <c r="W1187" i="2"/>
  <c r="H1187" i="2"/>
  <c r="Z1186" i="2"/>
  <c r="Y1186" i="2"/>
  <c r="X1186" i="2"/>
  <c r="W1186" i="2"/>
  <c r="H1186" i="2"/>
  <c r="Z1185" i="2"/>
  <c r="Y1185" i="2"/>
  <c r="X1185" i="2"/>
  <c r="W1185" i="2"/>
  <c r="H1185" i="2"/>
  <c r="Z1184" i="2"/>
  <c r="Y1184" i="2"/>
  <c r="X1184" i="2"/>
  <c r="W1184" i="2"/>
  <c r="H1184" i="2"/>
  <c r="Z1183" i="2"/>
  <c r="Y1183" i="2"/>
  <c r="X1183" i="2"/>
  <c r="W1183" i="2"/>
  <c r="H1183" i="2"/>
  <c r="Z1182" i="2"/>
  <c r="Y1182" i="2"/>
  <c r="X1182" i="2"/>
  <c r="W1182" i="2"/>
  <c r="H1182" i="2"/>
  <c r="Z1181" i="2"/>
  <c r="Y1181" i="2"/>
  <c r="X1181" i="2"/>
  <c r="W1181" i="2"/>
  <c r="H1181" i="2"/>
  <c r="Z1180" i="2"/>
  <c r="Y1180" i="2"/>
  <c r="X1180" i="2"/>
  <c r="W1180" i="2"/>
  <c r="H1180" i="2"/>
  <c r="Z1179" i="2"/>
  <c r="Y1179" i="2"/>
  <c r="X1179" i="2"/>
  <c r="W1179" i="2"/>
  <c r="H1179" i="2"/>
  <c r="Z1178" i="2"/>
  <c r="Y1178" i="2"/>
  <c r="X1178" i="2"/>
  <c r="W1178" i="2"/>
  <c r="H1178" i="2"/>
  <c r="Z1177" i="2"/>
  <c r="Y1177" i="2"/>
  <c r="X1177" i="2"/>
  <c r="W1177" i="2"/>
  <c r="H1177" i="2"/>
  <c r="Z1176" i="2"/>
  <c r="Y1176" i="2"/>
  <c r="X1176" i="2"/>
  <c r="W1176" i="2"/>
  <c r="H1176" i="2"/>
  <c r="Z1175" i="2"/>
  <c r="Y1175" i="2"/>
  <c r="X1175" i="2"/>
  <c r="W1175" i="2"/>
  <c r="H1175" i="2"/>
  <c r="Z1174" i="2"/>
  <c r="Y1174" i="2"/>
  <c r="X1174" i="2"/>
  <c r="W1174" i="2"/>
  <c r="H1174" i="2"/>
  <c r="Z1173" i="2"/>
  <c r="Y1173" i="2"/>
  <c r="X1173" i="2"/>
  <c r="W1173" i="2"/>
  <c r="H1173" i="2"/>
  <c r="Z1172" i="2"/>
  <c r="Y1172" i="2"/>
  <c r="X1172" i="2"/>
  <c r="W1172" i="2"/>
  <c r="H1172" i="2"/>
  <c r="Z1171" i="2"/>
  <c r="Y1171" i="2"/>
  <c r="X1171" i="2"/>
  <c r="W1171" i="2"/>
  <c r="H1171" i="2"/>
  <c r="Z1170" i="2"/>
  <c r="Y1170" i="2"/>
  <c r="X1170" i="2"/>
  <c r="W1170" i="2"/>
  <c r="H1170" i="2"/>
  <c r="Z1169" i="2"/>
  <c r="Y1169" i="2"/>
  <c r="X1169" i="2"/>
  <c r="W1169" i="2"/>
  <c r="H1169" i="2"/>
  <c r="Z1168" i="2"/>
  <c r="Y1168" i="2"/>
  <c r="X1168" i="2"/>
  <c r="W1168" i="2"/>
  <c r="H1168" i="2"/>
  <c r="Z1167" i="2"/>
  <c r="Y1167" i="2"/>
  <c r="X1167" i="2"/>
  <c r="W1167" i="2"/>
  <c r="H1167" i="2"/>
  <c r="Z1166" i="2"/>
  <c r="Y1166" i="2"/>
  <c r="X1166" i="2"/>
  <c r="W1166" i="2"/>
  <c r="H1166" i="2"/>
  <c r="Z1165" i="2"/>
  <c r="Y1165" i="2"/>
  <c r="X1165" i="2"/>
  <c r="W1165" i="2"/>
  <c r="H1165" i="2"/>
  <c r="Z1164" i="2"/>
  <c r="Y1164" i="2"/>
  <c r="X1164" i="2"/>
  <c r="W1164" i="2"/>
  <c r="H1164" i="2"/>
  <c r="Z1163" i="2"/>
  <c r="Y1163" i="2"/>
  <c r="X1163" i="2"/>
  <c r="W1163" i="2"/>
  <c r="H1163" i="2"/>
  <c r="Z1162" i="2"/>
  <c r="Y1162" i="2"/>
  <c r="X1162" i="2"/>
  <c r="W1162" i="2"/>
  <c r="H1162" i="2"/>
  <c r="Z1161" i="2"/>
  <c r="Y1161" i="2"/>
  <c r="X1161" i="2"/>
  <c r="W1161" i="2"/>
  <c r="H1161" i="2"/>
  <c r="Z1160" i="2"/>
  <c r="Y1160" i="2"/>
  <c r="X1160" i="2"/>
  <c r="W1160" i="2"/>
  <c r="H1160" i="2"/>
  <c r="Z1159" i="2"/>
  <c r="Y1159" i="2"/>
  <c r="X1159" i="2"/>
  <c r="W1159" i="2"/>
  <c r="H1159" i="2"/>
  <c r="Z1158" i="2"/>
  <c r="Y1158" i="2"/>
  <c r="X1158" i="2"/>
  <c r="W1158" i="2"/>
  <c r="H1158" i="2"/>
  <c r="Z1157" i="2"/>
  <c r="Y1157" i="2"/>
  <c r="X1157" i="2"/>
  <c r="W1157" i="2"/>
  <c r="H1157" i="2"/>
  <c r="Z1156" i="2"/>
  <c r="Y1156" i="2"/>
  <c r="X1156" i="2"/>
  <c r="W1156" i="2"/>
  <c r="H1156" i="2"/>
  <c r="Z1155" i="2"/>
  <c r="Y1155" i="2"/>
  <c r="X1155" i="2"/>
  <c r="W1155" i="2"/>
  <c r="H1155" i="2"/>
  <c r="Z1154" i="2"/>
  <c r="Y1154" i="2"/>
  <c r="X1154" i="2"/>
  <c r="W1154" i="2"/>
  <c r="H1154" i="2"/>
  <c r="Z1153" i="2"/>
  <c r="Y1153" i="2"/>
  <c r="X1153" i="2"/>
  <c r="W1153" i="2"/>
  <c r="H1153" i="2"/>
  <c r="Z1152" i="2"/>
  <c r="Y1152" i="2"/>
  <c r="X1152" i="2"/>
  <c r="W1152" i="2"/>
  <c r="H1152" i="2"/>
  <c r="Z1151" i="2"/>
  <c r="Y1151" i="2"/>
  <c r="X1151" i="2"/>
  <c r="W1151" i="2"/>
  <c r="H1151" i="2"/>
  <c r="Z1150" i="2"/>
  <c r="Y1150" i="2"/>
  <c r="X1150" i="2"/>
  <c r="W1150" i="2"/>
  <c r="H1150" i="2"/>
  <c r="Z1149" i="2"/>
  <c r="Y1149" i="2"/>
  <c r="X1149" i="2"/>
  <c r="W1149" i="2"/>
  <c r="H1149" i="2"/>
  <c r="Z1148" i="2"/>
  <c r="Y1148" i="2"/>
  <c r="X1148" i="2"/>
  <c r="W1148" i="2"/>
  <c r="H1148" i="2"/>
  <c r="Z1147" i="2"/>
  <c r="Y1147" i="2"/>
  <c r="X1147" i="2"/>
  <c r="W1147" i="2"/>
  <c r="H1147" i="2"/>
  <c r="Z1146" i="2"/>
  <c r="Y1146" i="2"/>
  <c r="X1146" i="2"/>
  <c r="W1146" i="2"/>
  <c r="H1146" i="2"/>
  <c r="Z1145" i="2"/>
  <c r="Y1145" i="2"/>
  <c r="X1145" i="2"/>
  <c r="W1145" i="2"/>
  <c r="H1145" i="2"/>
  <c r="Z1144" i="2"/>
  <c r="Y1144" i="2"/>
  <c r="X1144" i="2"/>
  <c r="W1144" i="2"/>
  <c r="H1144" i="2"/>
  <c r="Z1143" i="2"/>
  <c r="Y1143" i="2"/>
  <c r="X1143" i="2"/>
  <c r="W1143" i="2"/>
  <c r="H1143" i="2"/>
  <c r="Z1142" i="2"/>
  <c r="Y1142" i="2"/>
  <c r="X1142" i="2"/>
  <c r="W1142" i="2"/>
  <c r="H1142" i="2"/>
  <c r="Z1141" i="2"/>
  <c r="Y1141" i="2"/>
  <c r="X1141" i="2"/>
  <c r="W1141" i="2"/>
  <c r="H1141" i="2"/>
  <c r="Z1140" i="2"/>
  <c r="Y1140" i="2"/>
  <c r="X1140" i="2"/>
  <c r="W1140" i="2"/>
  <c r="H1140" i="2"/>
  <c r="Z1139" i="2"/>
  <c r="Y1139" i="2"/>
  <c r="X1139" i="2"/>
  <c r="W1139" i="2"/>
  <c r="H1139" i="2"/>
  <c r="Z1138" i="2"/>
  <c r="Y1138" i="2"/>
  <c r="X1138" i="2"/>
  <c r="W1138" i="2"/>
  <c r="H1138" i="2"/>
  <c r="Z1137" i="2"/>
  <c r="Y1137" i="2"/>
  <c r="X1137" i="2"/>
  <c r="W1137" i="2"/>
  <c r="H1137" i="2"/>
  <c r="Z1136" i="2"/>
  <c r="Y1136" i="2"/>
  <c r="X1136" i="2"/>
  <c r="W1136" i="2"/>
  <c r="H1136" i="2"/>
  <c r="Z1135" i="2"/>
  <c r="Y1135" i="2"/>
  <c r="X1135" i="2"/>
  <c r="W1135" i="2"/>
  <c r="H1135" i="2"/>
  <c r="Z1134" i="2"/>
  <c r="Y1134" i="2"/>
  <c r="X1134" i="2"/>
  <c r="W1134" i="2"/>
  <c r="H1134" i="2"/>
  <c r="Z1133" i="2"/>
  <c r="Y1133" i="2"/>
  <c r="X1133" i="2"/>
  <c r="W1133" i="2"/>
  <c r="H1133" i="2"/>
  <c r="Z1132" i="2"/>
  <c r="Y1132" i="2"/>
  <c r="X1132" i="2"/>
  <c r="W1132" i="2"/>
  <c r="H1132" i="2"/>
  <c r="Z1131" i="2"/>
  <c r="Y1131" i="2"/>
  <c r="X1131" i="2"/>
  <c r="W1131" i="2"/>
  <c r="H1131" i="2"/>
  <c r="Z1130" i="2"/>
  <c r="Y1130" i="2"/>
  <c r="X1130" i="2"/>
  <c r="W1130" i="2"/>
  <c r="H1130" i="2"/>
  <c r="Z1129" i="2"/>
  <c r="Y1129" i="2"/>
  <c r="X1129" i="2"/>
  <c r="W1129" i="2"/>
  <c r="H1129" i="2"/>
  <c r="Z1128" i="2"/>
  <c r="Y1128" i="2"/>
  <c r="X1128" i="2"/>
  <c r="W1128" i="2"/>
  <c r="H1128" i="2"/>
  <c r="Z1127" i="2"/>
  <c r="Y1127" i="2"/>
  <c r="X1127" i="2"/>
  <c r="W1127" i="2"/>
  <c r="H1127" i="2"/>
  <c r="Z1126" i="2"/>
  <c r="Y1126" i="2"/>
  <c r="X1126" i="2"/>
  <c r="W1126" i="2"/>
  <c r="H1126" i="2"/>
  <c r="Z1125" i="2"/>
  <c r="Y1125" i="2"/>
  <c r="X1125" i="2"/>
  <c r="W1125" i="2"/>
  <c r="H1125" i="2"/>
  <c r="Z1124" i="2"/>
  <c r="Y1124" i="2"/>
  <c r="X1124" i="2"/>
  <c r="W1124" i="2"/>
  <c r="H1124" i="2"/>
  <c r="Z1123" i="2"/>
  <c r="Y1123" i="2"/>
  <c r="X1123" i="2"/>
  <c r="W1123" i="2"/>
  <c r="H1123" i="2"/>
  <c r="Z1122" i="2"/>
  <c r="Y1122" i="2"/>
  <c r="X1122" i="2"/>
  <c r="W1122" i="2"/>
  <c r="H1122" i="2"/>
  <c r="Z1121" i="2"/>
  <c r="Y1121" i="2"/>
  <c r="X1121" i="2"/>
  <c r="W1121" i="2"/>
  <c r="H1121" i="2"/>
  <c r="Z1120" i="2"/>
  <c r="Y1120" i="2"/>
  <c r="X1120" i="2"/>
  <c r="W1120" i="2"/>
  <c r="H1120" i="2"/>
  <c r="Z1119" i="2"/>
  <c r="Y1119" i="2"/>
  <c r="X1119" i="2"/>
  <c r="W1119" i="2"/>
  <c r="H1119" i="2"/>
  <c r="Z1118" i="2"/>
  <c r="Y1118" i="2"/>
  <c r="X1118" i="2"/>
  <c r="W1118" i="2"/>
  <c r="H1118" i="2"/>
  <c r="Z1117" i="2"/>
  <c r="Y1117" i="2"/>
  <c r="X1117" i="2"/>
  <c r="W1117" i="2"/>
  <c r="H1117" i="2"/>
  <c r="Z1116" i="2"/>
  <c r="Y1116" i="2"/>
  <c r="X1116" i="2"/>
  <c r="W1116" i="2"/>
  <c r="H1116" i="2"/>
  <c r="Z1115" i="2"/>
  <c r="Y1115" i="2"/>
  <c r="X1115" i="2"/>
  <c r="W1115" i="2"/>
  <c r="H1115" i="2"/>
  <c r="Z1114" i="2"/>
  <c r="Y1114" i="2"/>
  <c r="X1114" i="2"/>
  <c r="W1114" i="2"/>
  <c r="H1114" i="2"/>
  <c r="Z1113" i="2"/>
  <c r="Y1113" i="2"/>
  <c r="X1113" i="2"/>
  <c r="W1113" i="2"/>
  <c r="H1113" i="2"/>
  <c r="Z1112" i="2"/>
  <c r="Y1112" i="2"/>
  <c r="X1112" i="2"/>
  <c r="W1112" i="2"/>
  <c r="H1112" i="2"/>
  <c r="Z1111" i="2"/>
  <c r="Y1111" i="2"/>
  <c r="X1111" i="2"/>
  <c r="W1111" i="2"/>
  <c r="H1111" i="2"/>
  <c r="Z1110" i="2"/>
  <c r="Y1110" i="2"/>
  <c r="X1110" i="2"/>
  <c r="W1110" i="2"/>
  <c r="H1110" i="2"/>
  <c r="Z1109" i="2"/>
  <c r="Y1109" i="2"/>
  <c r="X1109" i="2"/>
  <c r="W1109" i="2"/>
  <c r="H1109" i="2"/>
  <c r="Z1108" i="2"/>
  <c r="Y1108" i="2"/>
  <c r="X1108" i="2"/>
  <c r="W1108" i="2"/>
  <c r="H1108" i="2"/>
  <c r="Z1107" i="2"/>
  <c r="Y1107" i="2"/>
  <c r="X1107" i="2"/>
  <c r="W1107" i="2"/>
  <c r="H1107" i="2"/>
  <c r="Z1106" i="2"/>
  <c r="Y1106" i="2"/>
  <c r="X1106" i="2"/>
  <c r="W1106" i="2"/>
  <c r="H1106" i="2"/>
  <c r="Z1105" i="2"/>
  <c r="Y1105" i="2"/>
  <c r="X1105" i="2"/>
  <c r="W1105" i="2"/>
  <c r="H1105" i="2"/>
  <c r="Z1104" i="2"/>
  <c r="Y1104" i="2"/>
  <c r="X1104" i="2"/>
  <c r="W1104" i="2"/>
  <c r="H1104" i="2"/>
  <c r="Z1103" i="2"/>
  <c r="Y1103" i="2"/>
  <c r="X1103" i="2"/>
  <c r="W1103" i="2"/>
  <c r="H1103" i="2"/>
  <c r="Z1102" i="2"/>
  <c r="Y1102" i="2"/>
  <c r="X1102" i="2"/>
  <c r="W1102" i="2"/>
  <c r="H1102" i="2"/>
  <c r="Z1101" i="2"/>
  <c r="Y1101" i="2"/>
  <c r="X1101" i="2"/>
  <c r="W1101" i="2"/>
  <c r="H1101" i="2"/>
  <c r="Z1100" i="2"/>
  <c r="Y1100" i="2"/>
  <c r="X1100" i="2"/>
  <c r="W1100" i="2"/>
  <c r="H1100" i="2"/>
  <c r="Z1099" i="2"/>
  <c r="Y1099" i="2"/>
  <c r="X1099" i="2"/>
  <c r="W1099" i="2"/>
  <c r="H1099" i="2"/>
  <c r="Z1098" i="2"/>
  <c r="Y1098" i="2"/>
  <c r="X1098" i="2"/>
  <c r="W1098" i="2"/>
  <c r="H1098" i="2"/>
  <c r="Z1097" i="2"/>
  <c r="Y1097" i="2"/>
  <c r="X1097" i="2"/>
  <c r="W1097" i="2"/>
  <c r="H1097" i="2"/>
  <c r="Z1096" i="2"/>
  <c r="Y1096" i="2"/>
  <c r="X1096" i="2"/>
  <c r="W1096" i="2"/>
  <c r="H1096" i="2"/>
  <c r="Z1095" i="2"/>
  <c r="Y1095" i="2"/>
  <c r="X1095" i="2"/>
  <c r="W1095" i="2"/>
  <c r="H1095" i="2"/>
  <c r="Z1094" i="2"/>
  <c r="Y1094" i="2"/>
  <c r="X1094" i="2"/>
  <c r="W1094" i="2"/>
  <c r="H1094" i="2"/>
  <c r="Z1093" i="2"/>
  <c r="Y1093" i="2"/>
  <c r="X1093" i="2"/>
  <c r="W1093" i="2"/>
  <c r="H1093" i="2"/>
  <c r="Z1092" i="2"/>
  <c r="Y1092" i="2"/>
  <c r="X1092" i="2"/>
  <c r="W1092" i="2"/>
  <c r="H1092" i="2"/>
  <c r="Z1091" i="2"/>
  <c r="Y1091" i="2"/>
  <c r="X1091" i="2"/>
  <c r="W1091" i="2"/>
  <c r="H1091" i="2"/>
  <c r="Z1090" i="2"/>
  <c r="Y1090" i="2"/>
  <c r="X1090" i="2"/>
  <c r="W1090" i="2"/>
  <c r="H1090" i="2"/>
  <c r="Z1089" i="2"/>
  <c r="Y1089" i="2"/>
  <c r="X1089" i="2"/>
  <c r="W1089" i="2"/>
  <c r="H1089" i="2"/>
  <c r="Z1088" i="2"/>
  <c r="Y1088" i="2"/>
  <c r="X1088" i="2"/>
  <c r="W1088" i="2"/>
  <c r="H1088" i="2"/>
  <c r="Z1087" i="2"/>
  <c r="Y1087" i="2"/>
  <c r="X1087" i="2"/>
  <c r="W1087" i="2"/>
  <c r="H1087" i="2"/>
  <c r="Z1086" i="2"/>
  <c r="Y1086" i="2"/>
  <c r="X1086" i="2"/>
  <c r="W1086" i="2"/>
  <c r="H1086" i="2"/>
  <c r="Z1085" i="2"/>
  <c r="Y1085" i="2"/>
  <c r="X1085" i="2"/>
  <c r="W1085" i="2"/>
  <c r="H1085" i="2"/>
  <c r="Z1084" i="2"/>
  <c r="Y1084" i="2"/>
  <c r="X1084" i="2"/>
  <c r="W1084" i="2"/>
  <c r="H1084" i="2"/>
  <c r="Z1083" i="2"/>
  <c r="Y1083" i="2"/>
  <c r="X1083" i="2"/>
  <c r="W1083" i="2"/>
  <c r="H1083" i="2"/>
  <c r="Z1082" i="2"/>
  <c r="Y1082" i="2"/>
  <c r="X1082" i="2"/>
  <c r="W1082" i="2"/>
  <c r="H1082" i="2"/>
  <c r="Z1081" i="2"/>
  <c r="Y1081" i="2"/>
  <c r="X1081" i="2"/>
  <c r="W1081" i="2"/>
  <c r="H1081" i="2"/>
  <c r="Z1080" i="2"/>
  <c r="Y1080" i="2"/>
  <c r="X1080" i="2"/>
  <c r="W1080" i="2"/>
  <c r="H1080" i="2"/>
  <c r="Z1079" i="2"/>
  <c r="Y1079" i="2"/>
  <c r="X1079" i="2"/>
  <c r="W1079" i="2"/>
  <c r="H1079" i="2"/>
  <c r="Z1078" i="2"/>
  <c r="Y1078" i="2"/>
  <c r="X1078" i="2"/>
  <c r="W1078" i="2"/>
  <c r="H1078" i="2"/>
  <c r="Z1077" i="2"/>
  <c r="Y1077" i="2"/>
  <c r="X1077" i="2"/>
  <c r="W1077" i="2"/>
  <c r="H1077" i="2"/>
  <c r="Z1076" i="2"/>
  <c r="Y1076" i="2"/>
  <c r="X1076" i="2"/>
  <c r="W1076" i="2"/>
  <c r="H1076" i="2"/>
  <c r="Z1075" i="2"/>
  <c r="Y1075" i="2"/>
  <c r="X1075" i="2"/>
  <c r="W1075" i="2"/>
  <c r="H1075" i="2"/>
  <c r="Z1074" i="2"/>
  <c r="Y1074" i="2"/>
  <c r="X1074" i="2"/>
  <c r="W1074" i="2"/>
  <c r="H1074" i="2"/>
  <c r="Z1073" i="2"/>
  <c r="Y1073" i="2"/>
  <c r="X1073" i="2"/>
  <c r="W1073" i="2"/>
  <c r="H1073" i="2"/>
  <c r="Z1072" i="2"/>
  <c r="Y1072" i="2"/>
  <c r="X1072" i="2"/>
  <c r="W1072" i="2"/>
  <c r="H1072" i="2"/>
  <c r="Z1071" i="2"/>
  <c r="Y1071" i="2"/>
  <c r="X1071" i="2"/>
  <c r="W1071" i="2"/>
  <c r="H1071" i="2"/>
  <c r="Z1070" i="2"/>
  <c r="Y1070" i="2"/>
  <c r="X1070" i="2"/>
  <c r="W1070" i="2"/>
  <c r="H1070" i="2"/>
  <c r="Z1069" i="2"/>
  <c r="Y1069" i="2"/>
  <c r="X1069" i="2"/>
  <c r="W1069" i="2"/>
  <c r="H1069" i="2"/>
  <c r="Z1068" i="2"/>
  <c r="Y1068" i="2"/>
  <c r="X1068" i="2"/>
  <c r="W1068" i="2"/>
  <c r="H1068" i="2"/>
  <c r="Z1067" i="2"/>
  <c r="Y1067" i="2"/>
  <c r="X1067" i="2"/>
  <c r="W1067" i="2"/>
  <c r="H1067" i="2"/>
  <c r="Z1066" i="2"/>
  <c r="Y1066" i="2"/>
  <c r="X1066" i="2"/>
  <c r="W1066" i="2"/>
  <c r="H1066" i="2"/>
  <c r="Z1065" i="2"/>
  <c r="Y1065" i="2"/>
  <c r="X1065" i="2"/>
  <c r="W1065" i="2"/>
  <c r="H1065" i="2"/>
  <c r="Z1064" i="2"/>
  <c r="Y1064" i="2"/>
  <c r="X1064" i="2"/>
  <c r="W1064" i="2"/>
  <c r="H1064" i="2"/>
  <c r="Z1063" i="2"/>
  <c r="Y1063" i="2"/>
  <c r="X1063" i="2"/>
  <c r="W1063" i="2"/>
  <c r="H1063" i="2"/>
  <c r="Z1062" i="2"/>
  <c r="Y1062" i="2"/>
  <c r="X1062" i="2"/>
  <c r="W1062" i="2"/>
  <c r="H1062" i="2"/>
  <c r="Z1061" i="2"/>
  <c r="Y1061" i="2"/>
  <c r="X1061" i="2"/>
  <c r="W1061" i="2"/>
  <c r="H1061" i="2"/>
  <c r="Z1060" i="2"/>
  <c r="Y1060" i="2"/>
  <c r="X1060" i="2"/>
  <c r="W1060" i="2"/>
  <c r="H1060" i="2"/>
  <c r="Z1059" i="2"/>
  <c r="Y1059" i="2"/>
  <c r="X1059" i="2"/>
  <c r="W1059" i="2"/>
  <c r="H1059" i="2"/>
  <c r="Z1058" i="2"/>
  <c r="Y1058" i="2"/>
  <c r="X1058" i="2"/>
  <c r="W1058" i="2"/>
  <c r="H1058" i="2"/>
  <c r="Z1057" i="2"/>
  <c r="Y1057" i="2"/>
  <c r="X1057" i="2"/>
  <c r="W1057" i="2"/>
  <c r="H1057" i="2"/>
  <c r="Z1056" i="2"/>
  <c r="Y1056" i="2"/>
  <c r="X1056" i="2"/>
  <c r="W1056" i="2"/>
  <c r="H1056" i="2"/>
  <c r="Z1055" i="2"/>
  <c r="Y1055" i="2"/>
  <c r="X1055" i="2"/>
  <c r="W1055" i="2"/>
  <c r="H1055" i="2"/>
  <c r="Z1054" i="2"/>
  <c r="Y1054" i="2"/>
  <c r="X1054" i="2"/>
  <c r="W1054" i="2"/>
  <c r="H1054" i="2"/>
  <c r="Z1053" i="2"/>
  <c r="Y1053" i="2"/>
  <c r="X1053" i="2"/>
  <c r="W1053" i="2"/>
  <c r="H1053" i="2"/>
  <c r="Z1052" i="2"/>
  <c r="Y1052" i="2"/>
  <c r="X1052" i="2"/>
  <c r="W1052" i="2"/>
  <c r="H1052" i="2"/>
  <c r="Z1051" i="2"/>
  <c r="Y1051" i="2"/>
  <c r="X1051" i="2"/>
  <c r="W1051" i="2"/>
  <c r="H1051" i="2"/>
  <c r="Z1050" i="2"/>
  <c r="Y1050" i="2"/>
  <c r="X1050" i="2"/>
  <c r="W1050" i="2"/>
  <c r="H1050" i="2"/>
  <c r="Z1049" i="2"/>
  <c r="Y1049" i="2"/>
  <c r="X1049" i="2"/>
  <c r="W1049" i="2"/>
  <c r="H1049" i="2"/>
  <c r="Z1048" i="2"/>
  <c r="Y1048" i="2"/>
  <c r="X1048" i="2"/>
  <c r="W1048" i="2"/>
  <c r="H1048" i="2"/>
  <c r="Z1047" i="2"/>
  <c r="Y1047" i="2"/>
  <c r="X1047" i="2"/>
  <c r="W1047" i="2"/>
  <c r="H1047" i="2"/>
  <c r="Z1046" i="2"/>
  <c r="Y1046" i="2"/>
  <c r="X1046" i="2"/>
  <c r="W1046" i="2"/>
  <c r="H1046" i="2"/>
  <c r="Z1045" i="2"/>
  <c r="Y1045" i="2"/>
  <c r="X1045" i="2"/>
  <c r="W1045" i="2"/>
  <c r="H1045" i="2"/>
  <c r="Z1044" i="2"/>
  <c r="Y1044" i="2"/>
  <c r="X1044" i="2"/>
  <c r="W1044" i="2"/>
  <c r="H1044" i="2"/>
  <c r="Z1043" i="2"/>
  <c r="Y1043" i="2"/>
  <c r="X1043" i="2"/>
  <c r="W1043" i="2"/>
  <c r="H1043" i="2"/>
  <c r="Z1042" i="2"/>
  <c r="Y1042" i="2"/>
  <c r="X1042" i="2"/>
  <c r="W1042" i="2"/>
  <c r="H1042" i="2"/>
  <c r="Z1041" i="2"/>
  <c r="Y1041" i="2"/>
  <c r="X1041" i="2"/>
  <c r="W1041" i="2"/>
  <c r="H1041" i="2"/>
  <c r="Z1040" i="2"/>
  <c r="Y1040" i="2"/>
  <c r="X1040" i="2"/>
  <c r="W1040" i="2"/>
  <c r="H1040" i="2"/>
  <c r="Z1039" i="2"/>
  <c r="Y1039" i="2"/>
  <c r="X1039" i="2"/>
  <c r="W1039" i="2"/>
  <c r="H1039" i="2"/>
  <c r="Z1038" i="2"/>
  <c r="Y1038" i="2"/>
  <c r="X1038" i="2"/>
  <c r="W1038" i="2"/>
  <c r="H1038" i="2"/>
  <c r="Z1037" i="2"/>
  <c r="Y1037" i="2"/>
  <c r="X1037" i="2"/>
  <c r="W1037" i="2"/>
  <c r="H1037" i="2"/>
  <c r="Z1036" i="2"/>
  <c r="Y1036" i="2"/>
  <c r="X1036" i="2"/>
  <c r="W1036" i="2"/>
  <c r="H1036" i="2"/>
  <c r="Z1035" i="2"/>
  <c r="Y1035" i="2"/>
  <c r="X1035" i="2"/>
  <c r="W1035" i="2"/>
  <c r="H1035" i="2"/>
  <c r="Z1034" i="2"/>
  <c r="Y1034" i="2"/>
  <c r="X1034" i="2"/>
  <c r="W1034" i="2"/>
  <c r="H1034" i="2"/>
  <c r="Z1033" i="2"/>
  <c r="Y1033" i="2"/>
  <c r="X1033" i="2"/>
  <c r="W1033" i="2"/>
  <c r="H1033" i="2"/>
  <c r="Z1032" i="2"/>
  <c r="Y1032" i="2"/>
  <c r="X1032" i="2"/>
  <c r="W1032" i="2"/>
  <c r="H1032" i="2"/>
  <c r="Z1031" i="2"/>
  <c r="Y1031" i="2"/>
  <c r="X1031" i="2"/>
  <c r="W1031" i="2"/>
  <c r="H1031" i="2"/>
  <c r="Z1030" i="2"/>
  <c r="Y1030" i="2"/>
  <c r="X1030" i="2"/>
  <c r="W1030" i="2"/>
  <c r="H1030" i="2"/>
  <c r="Z1029" i="2"/>
  <c r="Y1029" i="2"/>
  <c r="X1029" i="2"/>
  <c r="W1029" i="2"/>
  <c r="H1029" i="2"/>
  <c r="Z1028" i="2"/>
  <c r="Y1028" i="2"/>
  <c r="X1028" i="2"/>
  <c r="W1028" i="2"/>
  <c r="H1028" i="2"/>
  <c r="Z1027" i="2"/>
  <c r="Y1027" i="2"/>
  <c r="X1027" i="2"/>
  <c r="W1027" i="2"/>
  <c r="H1027" i="2"/>
  <c r="Z1026" i="2"/>
  <c r="Y1026" i="2"/>
  <c r="X1026" i="2"/>
  <c r="W1026" i="2"/>
  <c r="H1026" i="2"/>
  <c r="Z1025" i="2"/>
  <c r="Y1025" i="2"/>
  <c r="X1025" i="2"/>
  <c r="W1025" i="2"/>
  <c r="H1025" i="2"/>
  <c r="Z1024" i="2"/>
  <c r="Y1024" i="2"/>
  <c r="X1024" i="2"/>
  <c r="W1024" i="2"/>
  <c r="H1024" i="2"/>
  <c r="Z1023" i="2"/>
  <c r="Y1023" i="2"/>
  <c r="X1023" i="2"/>
  <c r="W1023" i="2"/>
  <c r="H1023" i="2"/>
  <c r="Z1022" i="2"/>
  <c r="Y1022" i="2"/>
  <c r="X1022" i="2"/>
  <c r="W1022" i="2"/>
  <c r="H1022" i="2"/>
  <c r="Z1021" i="2"/>
  <c r="Y1021" i="2"/>
  <c r="X1021" i="2"/>
  <c r="W1021" i="2"/>
  <c r="H1021" i="2"/>
  <c r="Z1020" i="2"/>
  <c r="Y1020" i="2"/>
  <c r="X1020" i="2"/>
  <c r="W1020" i="2"/>
  <c r="H1020" i="2"/>
  <c r="Z1019" i="2"/>
  <c r="Y1019" i="2"/>
  <c r="X1019" i="2"/>
  <c r="W1019" i="2"/>
  <c r="H1019" i="2"/>
  <c r="Z1018" i="2"/>
  <c r="Y1018" i="2"/>
  <c r="X1018" i="2"/>
  <c r="W1018" i="2"/>
  <c r="H1018" i="2"/>
  <c r="Z1017" i="2"/>
  <c r="Y1017" i="2"/>
  <c r="X1017" i="2"/>
  <c r="W1017" i="2"/>
  <c r="H1017" i="2"/>
  <c r="Z1016" i="2"/>
  <c r="Y1016" i="2"/>
  <c r="X1016" i="2"/>
  <c r="W1016" i="2"/>
  <c r="H1016" i="2"/>
  <c r="Z1015" i="2"/>
  <c r="Y1015" i="2"/>
  <c r="X1015" i="2"/>
  <c r="W1015" i="2"/>
  <c r="H1015" i="2"/>
  <c r="Z1014" i="2"/>
  <c r="Y1014" i="2"/>
  <c r="X1014" i="2"/>
  <c r="W1014" i="2"/>
  <c r="H1014" i="2"/>
  <c r="Z1013" i="2"/>
  <c r="Y1013" i="2"/>
  <c r="X1013" i="2"/>
  <c r="W1013" i="2"/>
  <c r="H1013" i="2"/>
  <c r="Z1012" i="2"/>
  <c r="Y1012" i="2"/>
  <c r="X1012" i="2"/>
  <c r="W1012" i="2"/>
  <c r="H1012" i="2"/>
  <c r="Z1011" i="2"/>
  <c r="Y1011" i="2"/>
  <c r="X1011" i="2"/>
  <c r="W1011" i="2"/>
  <c r="H1011" i="2"/>
  <c r="Z1010" i="2"/>
  <c r="Y1010" i="2"/>
  <c r="X1010" i="2"/>
  <c r="W1010" i="2"/>
  <c r="H1010" i="2"/>
  <c r="Z1009" i="2"/>
  <c r="Y1009" i="2"/>
  <c r="X1009" i="2"/>
  <c r="W1009" i="2"/>
  <c r="H1009" i="2"/>
  <c r="Z1008" i="2"/>
  <c r="Y1008" i="2"/>
  <c r="X1008" i="2"/>
  <c r="W1008" i="2"/>
  <c r="H1008" i="2"/>
  <c r="Z1007" i="2"/>
  <c r="Y1007" i="2"/>
  <c r="X1007" i="2"/>
  <c r="W1007" i="2"/>
  <c r="H1007" i="2"/>
  <c r="Z1006" i="2"/>
  <c r="Y1006" i="2"/>
  <c r="X1006" i="2"/>
  <c r="W1006" i="2"/>
  <c r="H1006" i="2"/>
  <c r="Z1005" i="2"/>
  <c r="Y1005" i="2"/>
  <c r="X1005" i="2"/>
  <c r="W1005" i="2"/>
  <c r="H1005" i="2"/>
  <c r="Z1004" i="2"/>
  <c r="Y1004" i="2"/>
  <c r="X1004" i="2"/>
  <c r="W1004" i="2"/>
  <c r="H1004" i="2"/>
  <c r="Z1003" i="2"/>
  <c r="Y1003" i="2"/>
  <c r="X1003" i="2"/>
  <c r="W1003" i="2"/>
  <c r="H1003" i="2"/>
  <c r="Z1002" i="2"/>
  <c r="Y1002" i="2"/>
  <c r="X1002" i="2"/>
  <c r="W1002" i="2"/>
  <c r="H1002" i="2"/>
  <c r="Z1001" i="2"/>
  <c r="Y1001" i="2"/>
  <c r="X1001" i="2"/>
  <c r="W1001" i="2"/>
  <c r="H1001" i="2"/>
  <c r="Z1000" i="2"/>
  <c r="Y1000" i="2"/>
  <c r="X1000" i="2"/>
  <c r="W1000" i="2"/>
  <c r="H1000" i="2"/>
  <c r="Z999" i="2"/>
  <c r="Y999" i="2"/>
  <c r="X999" i="2"/>
  <c r="W999" i="2"/>
  <c r="H999" i="2"/>
  <c r="Z998" i="2"/>
  <c r="Y998" i="2"/>
  <c r="X998" i="2"/>
  <c r="W998" i="2"/>
  <c r="H998" i="2"/>
  <c r="Z997" i="2"/>
  <c r="Y997" i="2"/>
  <c r="X997" i="2"/>
  <c r="W997" i="2"/>
  <c r="H997" i="2"/>
  <c r="Z996" i="2"/>
  <c r="Y996" i="2"/>
  <c r="X996" i="2"/>
  <c r="W996" i="2"/>
  <c r="H996" i="2"/>
  <c r="Z995" i="2"/>
  <c r="Y995" i="2"/>
  <c r="X995" i="2"/>
  <c r="W995" i="2"/>
  <c r="H995" i="2"/>
  <c r="Z994" i="2"/>
  <c r="Y994" i="2"/>
  <c r="X994" i="2"/>
  <c r="W994" i="2"/>
  <c r="H994" i="2"/>
  <c r="Z993" i="2"/>
  <c r="Y993" i="2"/>
  <c r="X993" i="2"/>
  <c r="W993" i="2"/>
  <c r="H993" i="2"/>
  <c r="Z992" i="2"/>
  <c r="Y992" i="2"/>
  <c r="X992" i="2"/>
  <c r="W992" i="2"/>
  <c r="H992" i="2"/>
  <c r="Z991" i="2"/>
  <c r="Y991" i="2"/>
  <c r="X991" i="2"/>
  <c r="W991" i="2"/>
  <c r="H991" i="2"/>
  <c r="Z990" i="2"/>
  <c r="Y990" i="2"/>
  <c r="X990" i="2"/>
  <c r="W990" i="2"/>
  <c r="H990" i="2"/>
  <c r="Z989" i="2"/>
  <c r="Y989" i="2"/>
  <c r="X989" i="2"/>
  <c r="W989" i="2"/>
  <c r="H989" i="2"/>
  <c r="Z988" i="2"/>
  <c r="Y988" i="2"/>
  <c r="X988" i="2"/>
  <c r="W988" i="2"/>
  <c r="H988" i="2"/>
  <c r="Z987" i="2"/>
  <c r="Y987" i="2"/>
  <c r="X987" i="2"/>
  <c r="W987" i="2"/>
  <c r="H987" i="2"/>
  <c r="Z986" i="2"/>
  <c r="Y986" i="2"/>
  <c r="X986" i="2"/>
  <c r="W986" i="2"/>
  <c r="H986" i="2"/>
  <c r="Z985" i="2"/>
  <c r="Y985" i="2"/>
  <c r="X985" i="2"/>
  <c r="W985" i="2"/>
  <c r="H985" i="2"/>
  <c r="Z984" i="2"/>
  <c r="Y984" i="2"/>
  <c r="X984" i="2"/>
  <c r="W984" i="2"/>
  <c r="H984" i="2"/>
  <c r="Z983" i="2"/>
  <c r="Y983" i="2"/>
  <c r="X983" i="2"/>
  <c r="W983" i="2"/>
  <c r="H983" i="2"/>
  <c r="Z982" i="2"/>
  <c r="Y982" i="2"/>
  <c r="X982" i="2"/>
  <c r="W982" i="2"/>
  <c r="H982" i="2"/>
  <c r="Z981" i="2"/>
  <c r="Y981" i="2"/>
  <c r="X981" i="2"/>
  <c r="W981" i="2"/>
  <c r="H981" i="2"/>
  <c r="Z980" i="2"/>
  <c r="Y980" i="2"/>
  <c r="X980" i="2"/>
  <c r="W980" i="2"/>
  <c r="H980" i="2"/>
  <c r="Z979" i="2"/>
  <c r="Y979" i="2"/>
  <c r="X979" i="2"/>
  <c r="W979" i="2"/>
  <c r="H979" i="2"/>
  <c r="Z978" i="2"/>
  <c r="Y978" i="2"/>
  <c r="X978" i="2"/>
  <c r="W978" i="2"/>
  <c r="H978" i="2"/>
  <c r="Z977" i="2"/>
  <c r="Y977" i="2"/>
  <c r="X977" i="2"/>
  <c r="W977" i="2"/>
  <c r="H977" i="2"/>
  <c r="Z976" i="2"/>
  <c r="Y976" i="2"/>
  <c r="X976" i="2"/>
  <c r="W976" i="2"/>
  <c r="H976" i="2"/>
  <c r="Z975" i="2"/>
  <c r="Y975" i="2"/>
  <c r="X975" i="2"/>
  <c r="W975" i="2"/>
  <c r="H975" i="2"/>
  <c r="Z974" i="2"/>
  <c r="Y974" i="2"/>
  <c r="X974" i="2"/>
  <c r="W974" i="2"/>
  <c r="H974" i="2"/>
  <c r="Z973" i="2"/>
  <c r="Y973" i="2"/>
  <c r="X973" i="2"/>
  <c r="W973" i="2"/>
  <c r="H973" i="2"/>
  <c r="Z972" i="2"/>
  <c r="Y972" i="2"/>
  <c r="X972" i="2"/>
  <c r="W972" i="2"/>
  <c r="H972" i="2"/>
  <c r="Z971" i="2"/>
  <c r="Y971" i="2"/>
  <c r="X971" i="2"/>
  <c r="W971" i="2"/>
  <c r="H971" i="2"/>
  <c r="Z970" i="2"/>
  <c r="Y970" i="2"/>
  <c r="X970" i="2"/>
  <c r="W970" i="2"/>
  <c r="H970" i="2"/>
  <c r="Z969" i="2"/>
  <c r="Y969" i="2"/>
  <c r="X969" i="2"/>
  <c r="W969" i="2"/>
  <c r="H969" i="2"/>
  <c r="Z968" i="2"/>
  <c r="Y968" i="2"/>
  <c r="X968" i="2"/>
  <c r="W968" i="2"/>
  <c r="H968" i="2"/>
  <c r="Z967" i="2"/>
  <c r="Y967" i="2"/>
  <c r="X967" i="2"/>
  <c r="W967" i="2"/>
  <c r="H967" i="2"/>
  <c r="Z966" i="2"/>
  <c r="Y966" i="2"/>
  <c r="X966" i="2"/>
  <c r="W966" i="2"/>
  <c r="H966" i="2"/>
  <c r="Z965" i="2"/>
  <c r="Y965" i="2"/>
  <c r="X965" i="2"/>
  <c r="W965" i="2"/>
  <c r="H965" i="2"/>
  <c r="Z964" i="2"/>
  <c r="Y964" i="2"/>
  <c r="X964" i="2"/>
  <c r="W964" i="2"/>
  <c r="H964" i="2"/>
  <c r="Z963" i="2"/>
  <c r="Y963" i="2"/>
  <c r="X963" i="2"/>
  <c r="W963" i="2"/>
  <c r="H963" i="2"/>
  <c r="Z962" i="2"/>
  <c r="Y962" i="2"/>
  <c r="X962" i="2"/>
  <c r="W962" i="2"/>
  <c r="H962" i="2"/>
  <c r="Z961" i="2"/>
  <c r="Y961" i="2"/>
  <c r="X961" i="2"/>
  <c r="W961" i="2"/>
  <c r="H961" i="2"/>
  <c r="Z960" i="2"/>
  <c r="Y960" i="2"/>
  <c r="X960" i="2"/>
  <c r="W960" i="2"/>
  <c r="H960" i="2"/>
  <c r="Z959" i="2"/>
  <c r="Y959" i="2"/>
  <c r="X959" i="2"/>
  <c r="W959" i="2"/>
  <c r="H959" i="2"/>
  <c r="Z958" i="2"/>
  <c r="Y958" i="2"/>
  <c r="X958" i="2"/>
  <c r="W958" i="2"/>
  <c r="H958" i="2"/>
  <c r="Z957" i="2"/>
  <c r="Y957" i="2"/>
  <c r="X957" i="2"/>
  <c r="W957" i="2"/>
  <c r="H957" i="2"/>
  <c r="Z956" i="2"/>
  <c r="Y956" i="2"/>
  <c r="X956" i="2"/>
  <c r="W956" i="2"/>
  <c r="H956" i="2"/>
  <c r="Z955" i="2"/>
  <c r="Y955" i="2"/>
  <c r="X955" i="2"/>
  <c r="W955" i="2"/>
  <c r="H955" i="2"/>
  <c r="Z954" i="2"/>
  <c r="Y954" i="2"/>
  <c r="X954" i="2"/>
  <c r="W954" i="2"/>
  <c r="H954" i="2"/>
  <c r="Z953" i="2"/>
  <c r="Y953" i="2"/>
  <c r="X953" i="2"/>
  <c r="W953" i="2"/>
  <c r="H953" i="2"/>
  <c r="Z952" i="2"/>
  <c r="Y952" i="2"/>
  <c r="X952" i="2"/>
  <c r="W952" i="2"/>
  <c r="H952" i="2"/>
  <c r="Z951" i="2"/>
  <c r="Y951" i="2"/>
  <c r="X951" i="2"/>
  <c r="W951" i="2"/>
  <c r="H951" i="2"/>
  <c r="Z950" i="2"/>
  <c r="Y950" i="2"/>
  <c r="X950" i="2"/>
  <c r="W950" i="2"/>
  <c r="H950" i="2"/>
  <c r="Z949" i="2"/>
  <c r="Y949" i="2"/>
  <c r="X949" i="2"/>
  <c r="W949" i="2"/>
  <c r="H949" i="2"/>
  <c r="Z948" i="2"/>
  <c r="Y948" i="2"/>
  <c r="X948" i="2"/>
  <c r="W948" i="2"/>
  <c r="H948" i="2"/>
  <c r="Z947" i="2"/>
  <c r="Y947" i="2"/>
  <c r="X947" i="2"/>
  <c r="W947" i="2"/>
  <c r="H947" i="2"/>
  <c r="Z946" i="2"/>
  <c r="Y946" i="2"/>
  <c r="X946" i="2"/>
  <c r="W946" i="2"/>
  <c r="H946" i="2"/>
  <c r="Z945" i="2"/>
  <c r="Y945" i="2"/>
  <c r="X945" i="2"/>
  <c r="W945" i="2"/>
  <c r="H945" i="2"/>
  <c r="Z944" i="2"/>
  <c r="Y944" i="2"/>
  <c r="X944" i="2"/>
  <c r="W944" i="2"/>
  <c r="H944" i="2"/>
  <c r="Z943" i="2"/>
  <c r="Y943" i="2"/>
  <c r="X943" i="2"/>
  <c r="W943" i="2"/>
  <c r="H943" i="2"/>
  <c r="Z942" i="2"/>
  <c r="Y942" i="2"/>
  <c r="X942" i="2"/>
  <c r="W942" i="2"/>
  <c r="H942" i="2"/>
  <c r="Z941" i="2"/>
  <c r="Y941" i="2"/>
  <c r="X941" i="2"/>
  <c r="W941" i="2"/>
  <c r="H941" i="2"/>
  <c r="Z940" i="2"/>
  <c r="Y940" i="2"/>
  <c r="X940" i="2"/>
  <c r="W940" i="2"/>
  <c r="H940" i="2"/>
  <c r="Z939" i="2"/>
  <c r="Y939" i="2"/>
  <c r="X939" i="2"/>
  <c r="W939" i="2"/>
  <c r="H939" i="2"/>
  <c r="Z938" i="2"/>
  <c r="Y938" i="2"/>
  <c r="X938" i="2"/>
  <c r="W938" i="2"/>
  <c r="H938" i="2"/>
  <c r="Z937" i="2"/>
  <c r="Y937" i="2"/>
  <c r="X937" i="2"/>
  <c r="W937" i="2"/>
  <c r="H937" i="2"/>
  <c r="Z936" i="2"/>
  <c r="Y936" i="2"/>
  <c r="X936" i="2"/>
  <c r="W936" i="2"/>
  <c r="H936" i="2"/>
  <c r="Z935" i="2"/>
  <c r="Y935" i="2"/>
  <c r="X935" i="2"/>
  <c r="W935" i="2"/>
  <c r="H935" i="2"/>
  <c r="Z934" i="2"/>
  <c r="Y934" i="2"/>
  <c r="X934" i="2"/>
  <c r="W934" i="2"/>
  <c r="H934" i="2"/>
  <c r="Z933" i="2"/>
  <c r="Y933" i="2"/>
  <c r="X933" i="2"/>
  <c r="W933" i="2"/>
  <c r="H933" i="2"/>
  <c r="Z932" i="2"/>
  <c r="Y932" i="2"/>
  <c r="X932" i="2"/>
  <c r="W932" i="2"/>
  <c r="H932" i="2"/>
  <c r="Z931" i="2"/>
  <c r="Y931" i="2"/>
  <c r="X931" i="2"/>
  <c r="W931" i="2"/>
  <c r="H931" i="2"/>
  <c r="Z930" i="2"/>
  <c r="Y930" i="2"/>
  <c r="X930" i="2"/>
  <c r="W930" i="2"/>
  <c r="H930" i="2"/>
  <c r="Z929" i="2"/>
  <c r="Y929" i="2"/>
  <c r="X929" i="2"/>
  <c r="W929" i="2"/>
  <c r="H929" i="2"/>
  <c r="Z928" i="2"/>
  <c r="Y928" i="2"/>
  <c r="X928" i="2"/>
  <c r="W928" i="2"/>
  <c r="H928" i="2"/>
  <c r="Z927" i="2"/>
  <c r="Y927" i="2"/>
  <c r="X927" i="2"/>
  <c r="W927" i="2"/>
  <c r="H927" i="2"/>
  <c r="Z926" i="2"/>
  <c r="Y926" i="2"/>
  <c r="X926" i="2"/>
  <c r="W926" i="2"/>
  <c r="H926" i="2"/>
  <c r="Z925" i="2"/>
  <c r="Y925" i="2"/>
  <c r="X925" i="2"/>
  <c r="W925" i="2"/>
  <c r="H925" i="2"/>
  <c r="Z924" i="2"/>
  <c r="Y924" i="2"/>
  <c r="X924" i="2"/>
  <c r="W924" i="2"/>
  <c r="H924" i="2"/>
  <c r="Z923" i="2"/>
  <c r="Y923" i="2"/>
  <c r="X923" i="2"/>
  <c r="W923" i="2"/>
  <c r="H923" i="2"/>
  <c r="Z922" i="2"/>
  <c r="Y922" i="2"/>
  <c r="X922" i="2"/>
  <c r="W922" i="2"/>
  <c r="H922" i="2"/>
  <c r="Z921" i="2"/>
  <c r="Y921" i="2"/>
  <c r="X921" i="2"/>
  <c r="W921" i="2"/>
  <c r="H921" i="2"/>
  <c r="Z920" i="2"/>
  <c r="Y920" i="2"/>
  <c r="X920" i="2"/>
  <c r="W920" i="2"/>
  <c r="H920" i="2"/>
  <c r="Z919" i="2"/>
  <c r="Y919" i="2"/>
  <c r="X919" i="2"/>
  <c r="W919" i="2"/>
  <c r="H919" i="2"/>
  <c r="Z918" i="2"/>
  <c r="Y918" i="2"/>
  <c r="X918" i="2"/>
  <c r="W918" i="2"/>
  <c r="H918" i="2"/>
  <c r="Z917" i="2"/>
  <c r="Y917" i="2"/>
  <c r="X917" i="2"/>
  <c r="W917" i="2"/>
  <c r="H917" i="2"/>
  <c r="Z916" i="2"/>
  <c r="Y916" i="2"/>
  <c r="X916" i="2"/>
  <c r="W916" i="2"/>
  <c r="H916" i="2"/>
  <c r="Z915" i="2"/>
  <c r="Y915" i="2"/>
  <c r="X915" i="2"/>
  <c r="W915" i="2"/>
  <c r="H915" i="2"/>
  <c r="Z914" i="2"/>
  <c r="Y914" i="2"/>
  <c r="X914" i="2"/>
  <c r="W914" i="2"/>
  <c r="H914" i="2"/>
  <c r="Z913" i="2"/>
  <c r="Y913" i="2"/>
  <c r="X913" i="2"/>
  <c r="W913" i="2"/>
  <c r="H913" i="2"/>
  <c r="Z912" i="2"/>
  <c r="Y912" i="2"/>
  <c r="X912" i="2"/>
  <c r="W912" i="2"/>
  <c r="H912" i="2"/>
  <c r="Z911" i="2"/>
  <c r="Y911" i="2"/>
  <c r="X911" i="2"/>
  <c r="W911" i="2"/>
  <c r="H911" i="2"/>
  <c r="Z910" i="2"/>
  <c r="Y910" i="2"/>
  <c r="X910" i="2"/>
  <c r="W910" i="2"/>
  <c r="H910" i="2"/>
  <c r="Z909" i="2"/>
  <c r="Y909" i="2"/>
  <c r="X909" i="2"/>
  <c r="W909" i="2"/>
  <c r="H909" i="2"/>
  <c r="Z908" i="2"/>
  <c r="Y908" i="2"/>
  <c r="X908" i="2"/>
  <c r="W908" i="2"/>
  <c r="H908" i="2"/>
  <c r="Z907" i="2"/>
  <c r="Y907" i="2"/>
  <c r="X907" i="2"/>
  <c r="W907" i="2"/>
  <c r="H907" i="2"/>
  <c r="Z906" i="2"/>
  <c r="Y906" i="2"/>
  <c r="X906" i="2"/>
  <c r="W906" i="2"/>
  <c r="H906" i="2"/>
  <c r="Z905" i="2"/>
  <c r="Y905" i="2"/>
  <c r="X905" i="2"/>
  <c r="W905" i="2"/>
  <c r="H905" i="2"/>
  <c r="Z904" i="2"/>
  <c r="Y904" i="2"/>
  <c r="X904" i="2"/>
  <c r="W904" i="2"/>
  <c r="H904" i="2"/>
  <c r="Z903" i="2"/>
  <c r="Y903" i="2"/>
  <c r="X903" i="2"/>
  <c r="W903" i="2"/>
  <c r="H903" i="2"/>
  <c r="Z902" i="2"/>
  <c r="Y902" i="2"/>
  <c r="X902" i="2"/>
  <c r="W902" i="2"/>
  <c r="H902" i="2"/>
  <c r="Z901" i="2"/>
  <c r="Y901" i="2"/>
  <c r="X901" i="2"/>
  <c r="W901" i="2"/>
  <c r="H901" i="2"/>
  <c r="Z900" i="2"/>
  <c r="Y900" i="2"/>
  <c r="X900" i="2"/>
  <c r="W900" i="2"/>
  <c r="H900" i="2"/>
  <c r="Z899" i="2"/>
  <c r="Y899" i="2"/>
  <c r="X899" i="2"/>
  <c r="W899" i="2"/>
  <c r="H899" i="2"/>
  <c r="Z898" i="2"/>
  <c r="Y898" i="2"/>
  <c r="X898" i="2"/>
  <c r="W898" i="2"/>
  <c r="H898" i="2"/>
  <c r="Z897" i="2"/>
  <c r="Y897" i="2"/>
  <c r="X897" i="2"/>
  <c r="W897" i="2"/>
  <c r="H897" i="2"/>
  <c r="Z896" i="2"/>
  <c r="Y896" i="2"/>
  <c r="X896" i="2"/>
  <c r="W896" i="2"/>
  <c r="H896" i="2"/>
  <c r="Z895" i="2"/>
  <c r="Y895" i="2"/>
  <c r="X895" i="2"/>
  <c r="W895" i="2"/>
  <c r="H895" i="2"/>
  <c r="Z894" i="2"/>
  <c r="Y894" i="2"/>
  <c r="X894" i="2"/>
  <c r="W894" i="2"/>
  <c r="H894" i="2"/>
  <c r="Z893" i="2"/>
  <c r="Y893" i="2"/>
  <c r="X893" i="2"/>
  <c r="W893" i="2"/>
  <c r="H893" i="2"/>
  <c r="Z892" i="2"/>
  <c r="Y892" i="2"/>
  <c r="X892" i="2"/>
  <c r="W892" i="2"/>
  <c r="H892" i="2"/>
  <c r="Z891" i="2"/>
  <c r="Y891" i="2"/>
  <c r="X891" i="2"/>
  <c r="W891" i="2"/>
  <c r="H891" i="2"/>
  <c r="Z890" i="2"/>
  <c r="Y890" i="2"/>
  <c r="X890" i="2"/>
  <c r="W890" i="2"/>
  <c r="H890" i="2"/>
  <c r="Z889" i="2"/>
  <c r="Y889" i="2"/>
  <c r="X889" i="2"/>
  <c r="W889" i="2"/>
  <c r="H889" i="2"/>
  <c r="Z888" i="2"/>
  <c r="Y888" i="2"/>
  <c r="X888" i="2"/>
  <c r="W888" i="2"/>
  <c r="H888" i="2"/>
  <c r="Z887" i="2"/>
  <c r="Y887" i="2"/>
  <c r="X887" i="2"/>
  <c r="W887" i="2"/>
  <c r="H887" i="2"/>
  <c r="Z886" i="2"/>
  <c r="Y886" i="2"/>
  <c r="X886" i="2"/>
  <c r="W886" i="2"/>
  <c r="H886" i="2"/>
  <c r="Z885" i="2"/>
  <c r="Y885" i="2"/>
  <c r="X885" i="2"/>
  <c r="W885" i="2"/>
  <c r="H885" i="2"/>
  <c r="Z884" i="2"/>
  <c r="Y884" i="2"/>
  <c r="X884" i="2"/>
  <c r="W884" i="2"/>
  <c r="H884" i="2"/>
  <c r="Z883" i="2"/>
  <c r="Y883" i="2"/>
  <c r="X883" i="2"/>
  <c r="W883" i="2"/>
  <c r="H883" i="2"/>
  <c r="Z882" i="2"/>
  <c r="Y882" i="2"/>
  <c r="X882" i="2"/>
  <c r="W882" i="2"/>
  <c r="H882" i="2"/>
  <c r="Z881" i="2"/>
  <c r="Y881" i="2"/>
  <c r="X881" i="2"/>
  <c r="W881" i="2"/>
  <c r="H881" i="2"/>
  <c r="Z880" i="2"/>
  <c r="Y880" i="2"/>
  <c r="X880" i="2"/>
  <c r="W880" i="2"/>
  <c r="H880" i="2"/>
  <c r="Z879" i="2"/>
  <c r="Y879" i="2"/>
  <c r="X879" i="2"/>
  <c r="W879" i="2"/>
  <c r="H879" i="2"/>
  <c r="Z878" i="2"/>
  <c r="Y878" i="2"/>
  <c r="X878" i="2"/>
  <c r="W878" i="2"/>
  <c r="H878" i="2"/>
  <c r="Z877" i="2"/>
  <c r="Y877" i="2"/>
  <c r="X877" i="2"/>
  <c r="W877" i="2"/>
  <c r="H877" i="2"/>
  <c r="Z876" i="2"/>
  <c r="Y876" i="2"/>
  <c r="X876" i="2"/>
  <c r="W876" i="2"/>
  <c r="H876" i="2"/>
  <c r="Z875" i="2"/>
  <c r="Y875" i="2"/>
  <c r="X875" i="2"/>
  <c r="W875" i="2"/>
  <c r="H875" i="2"/>
  <c r="Z874" i="2"/>
  <c r="Y874" i="2"/>
  <c r="X874" i="2"/>
  <c r="W874" i="2"/>
  <c r="H874" i="2"/>
  <c r="Z873" i="2"/>
  <c r="Y873" i="2"/>
  <c r="X873" i="2"/>
  <c r="W873" i="2"/>
  <c r="H873" i="2"/>
  <c r="Z872" i="2"/>
  <c r="Y872" i="2"/>
  <c r="X872" i="2"/>
  <c r="W872" i="2"/>
  <c r="H872" i="2"/>
  <c r="Z871" i="2"/>
  <c r="Y871" i="2"/>
  <c r="X871" i="2"/>
  <c r="W871" i="2"/>
  <c r="H871" i="2"/>
  <c r="Z870" i="2"/>
  <c r="Y870" i="2"/>
  <c r="X870" i="2"/>
  <c r="W870" i="2"/>
  <c r="H870" i="2"/>
  <c r="Z869" i="2"/>
  <c r="Y869" i="2"/>
  <c r="X869" i="2"/>
  <c r="W869" i="2"/>
  <c r="H869" i="2"/>
  <c r="Z868" i="2"/>
  <c r="Y868" i="2"/>
  <c r="X868" i="2"/>
  <c r="W868" i="2"/>
  <c r="H868" i="2"/>
  <c r="Z867" i="2"/>
  <c r="Y867" i="2"/>
  <c r="X867" i="2"/>
  <c r="W867" i="2"/>
  <c r="H867" i="2"/>
  <c r="Z866" i="2"/>
  <c r="Y866" i="2"/>
  <c r="X866" i="2"/>
  <c r="W866" i="2"/>
  <c r="H866" i="2"/>
  <c r="Z865" i="2"/>
  <c r="Y865" i="2"/>
  <c r="X865" i="2"/>
  <c r="W865" i="2"/>
  <c r="H865" i="2"/>
  <c r="Z864" i="2"/>
  <c r="Y864" i="2"/>
  <c r="X864" i="2"/>
  <c r="W864" i="2"/>
  <c r="H864" i="2"/>
  <c r="Z863" i="2"/>
  <c r="Y863" i="2"/>
  <c r="X863" i="2"/>
  <c r="W863" i="2"/>
  <c r="H863" i="2"/>
  <c r="Z862" i="2"/>
  <c r="Y862" i="2"/>
  <c r="X862" i="2"/>
  <c r="W862" i="2"/>
  <c r="H862" i="2"/>
  <c r="Z861" i="2"/>
  <c r="Y861" i="2"/>
  <c r="X861" i="2"/>
  <c r="W861" i="2"/>
  <c r="H861" i="2"/>
  <c r="Z860" i="2"/>
  <c r="Y860" i="2"/>
  <c r="X860" i="2"/>
  <c r="W860" i="2"/>
  <c r="H860" i="2"/>
  <c r="Z859" i="2"/>
  <c r="Y859" i="2"/>
  <c r="X859" i="2"/>
  <c r="W859" i="2"/>
  <c r="H859" i="2"/>
  <c r="Z858" i="2"/>
  <c r="Y858" i="2"/>
  <c r="X858" i="2"/>
  <c r="W858" i="2"/>
  <c r="H858" i="2"/>
  <c r="Z857" i="2"/>
  <c r="Y857" i="2"/>
  <c r="X857" i="2"/>
  <c r="W857" i="2"/>
  <c r="H857" i="2"/>
  <c r="Z856" i="2"/>
  <c r="Y856" i="2"/>
  <c r="X856" i="2"/>
  <c r="W856" i="2"/>
  <c r="H856" i="2"/>
  <c r="Z855" i="2"/>
  <c r="Y855" i="2"/>
  <c r="X855" i="2"/>
  <c r="W855" i="2"/>
  <c r="H855" i="2"/>
  <c r="Z854" i="2"/>
  <c r="Y854" i="2"/>
  <c r="X854" i="2"/>
  <c r="W854" i="2"/>
  <c r="H854" i="2"/>
  <c r="Z853" i="2"/>
  <c r="Y853" i="2"/>
  <c r="X853" i="2"/>
  <c r="W853" i="2"/>
  <c r="H853" i="2"/>
  <c r="Z852" i="2"/>
  <c r="Y852" i="2"/>
  <c r="X852" i="2"/>
  <c r="W852" i="2"/>
  <c r="H852" i="2"/>
  <c r="Z851" i="2"/>
  <c r="Y851" i="2"/>
  <c r="X851" i="2"/>
  <c r="W851" i="2"/>
  <c r="H851" i="2"/>
  <c r="Z850" i="2"/>
  <c r="Y850" i="2"/>
  <c r="X850" i="2"/>
  <c r="W850" i="2"/>
  <c r="H850" i="2"/>
  <c r="Z849" i="2"/>
  <c r="Y849" i="2"/>
  <c r="X849" i="2"/>
  <c r="W849" i="2"/>
  <c r="H849" i="2"/>
  <c r="Z848" i="2"/>
  <c r="Y848" i="2"/>
  <c r="X848" i="2"/>
  <c r="W848" i="2"/>
  <c r="H848" i="2"/>
  <c r="Z847" i="2"/>
  <c r="Y847" i="2"/>
  <c r="X847" i="2"/>
  <c r="W847" i="2"/>
  <c r="H847" i="2"/>
  <c r="Z846" i="2"/>
  <c r="Y846" i="2"/>
  <c r="X846" i="2"/>
  <c r="W846" i="2"/>
  <c r="H846" i="2"/>
  <c r="Z845" i="2"/>
  <c r="Y845" i="2"/>
  <c r="X845" i="2"/>
  <c r="W845" i="2"/>
  <c r="H845" i="2"/>
  <c r="Z844" i="2"/>
  <c r="Y844" i="2"/>
  <c r="X844" i="2"/>
  <c r="W844" i="2"/>
  <c r="H844" i="2"/>
  <c r="Z843" i="2"/>
  <c r="Y843" i="2"/>
  <c r="X843" i="2"/>
  <c r="W843" i="2"/>
  <c r="H843" i="2"/>
  <c r="Z842" i="2"/>
  <c r="Y842" i="2"/>
  <c r="X842" i="2"/>
  <c r="W842" i="2"/>
  <c r="H842" i="2"/>
  <c r="Z841" i="2"/>
  <c r="Y841" i="2"/>
  <c r="X841" i="2"/>
  <c r="W841" i="2"/>
  <c r="H841" i="2"/>
  <c r="Z840" i="2"/>
  <c r="Y840" i="2"/>
  <c r="X840" i="2"/>
  <c r="W840" i="2"/>
  <c r="H840" i="2"/>
  <c r="Z839" i="2"/>
  <c r="Y839" i="2"/>
  <c r="X839" i="2"/>
  <c r="W839" i="2"/>
  <c r="H839" i="2"/>
  <c r="Z838" i="2"/>
  <c r="Y838" i="2"/>
  <c r="X838" i="2"/>
  <c r="W838" i="2"/>
  <c r="H838" i="2"/>
  <c r="Z837" i="2"/>
  <c r="Y837" i="2"/>
  <c r="X837" i="2"/>
  <c r="W837" i="2"/>
  <c r="H837" i="2"/>
  <c r="Z836" i="2"/>
  <c r="Y836" i="2"/>
  <c r="X836" i="2"/>
  <c r="W836" i="2"/>
  <c r="H836" i="2"/>
  <c r="Z835" i="2"/>
  <c r="Y835" i="2"/>
  <c r="X835" i="2"/>
  <c r="W835" i="2"/>
  <c r="H835" i="2"/>
  <c r="Z834" i="2"/>
  <c r="Y834" i="2"/>
  <c r="X834" i="2"/>
  <c r="W834" i="2"/>
  <c r="H834" i="2"/>
  <c r="Z833" i="2"/>
  <c r="Y833" i="2"/>
  <c r="X833" i="2"/>
  <c r="W833" i="2"/>
  <c r="H833" i="2"/>
  <c r="Z832" i="2"/>
  <c r="Y832" i="2"/>
  <c r="X832" i="2"/>
  <c r="W832" i="2"/>
  <c r="H832" i="2"/>
  <c r="Z831" i="2"/>
  <c r="Y831" i="2"/>
  <c r="X831" i="2"/>
  <c r="W831" i="2"/>
  <c r="H831" i="2"/>
  <c r="Z830" i="2"/>
  <c r="Y830" i="2"/>
  <c r="X830" i="2"/>
  <c r="W830" i="2"/>
  <c r="H830" i="2"/>
  <c r="Z829" i="2"/>
  <c r="Y829" i="2"/>
  <c r="X829" i="2"/>
  <c r="W829" i="2"/>
  <c r="H829" i="2"/>
  <c r="Z828" i="2"/>
  <c r="Y828" i="2"/>
  <c r="X828" i="2"/>
  <c r="W828" i="2"/>
  <c r="H828" i="2"/>
  <c r="Z827" i="2"/>
  <c r="Y827" i="2"/>
  <c r="X827" i="2"/>
  <c r="W827" i="2"/>
  <c r="H827" i="2"/>
  <c r="Z826" i="2"/>
  <c r="Y826" i="2"/>
  <c r="X826" i="2"/>
  <c r="W826" i="2"/>
  <c r="H826" i="2"/>
  <c r="Z825" i="2"/>
  <c r="Y825" i="2"/>
  <c r="X825" i="2"/>
  <c r="W825" i="2"/>
  <c r="H825" i="2"/>
  <c r="Z824" i="2"/>
  <c r="Y824" i="2"/>
  <c r="X824" i="2"/>
  <c r="W824" i="2"/>
  <c r="H824" i="2"/>
  <c r="Z823" i="2"/>
  <c r="Y823" i="2"/>
  <c r="X823" i="2"/>
  <c r="W823" i="2"/>
  <c r="H823" i="2"/>
  <c r="Z822" i="2"/>
  <c r="Y822" i="2"/>
  <c r="X822" i="2"/>
  <c r="W822" i="2"/>
  <c r="H822" i="2"/>
  <c r="Z821" i="2"/>
  <c r="Y821" i="2"/>
  <c r="X821" i="2"/>
  <c r="W821" i="2"/>
  <c r="H821" i="2"/>
  <c r="Z820" i="2"/>
  <c r="Y820" i="2"/>
  <c r="X820" i="2"/>
  <c r="W820" i="2"/>
  <c r="H820" i="2"/>
  <c r="Z819" i="2"/>
  <c r="Y819" i="2"/>
  <c r="X819" i="2"/>
  <c r="W819" i="2"/>
  <c r="H819" i="2"/>
  <c r="Z818" i="2"/>
  <c r="Y818" i="2"/>
  <c r="X818" i="2"/>
  <c r="W818" i="2"/>
  <c r="H818" i="2"/>
  <c r="Z817" i="2"/>
  <c r="Y817" i="2"/>
  <c r="X817" i="2"/>
  <c r="W817" i="2"/>
  <c r="H817" i="2"/>
  <c r="Z816" i="2"/>
  <c r="Y816" i="2"/>
  <c r="X816" i="2"/>
  <c r="W816" i="2"/>
  <c r="H816" i="2"/>
  <c r="Z815" i="2"/>
  <c r="Y815" i="2"/>
  <c r="X815" i="2"/>
  <c r="W815" i="2"/>
  <c r="H815" i="2"/>
  <c r="Z814" i="2"/>
  <c r="Y814" i="2"/>
  <c r="X814" i="2"/>
  <c r="W814" i="2"/>
  <c r="H814" i="2"/>
  <c r="Z813" i="2"/>
  <c r="Y813" i="2"/>
  <c r="X813" i="2"/>
  <c r="W813" i="2"/>
  <c r="H813" i="2"/>
  <c r="Z812" i="2"/>
  <c r="Y812" i="2"/>
  <c r="X812" i="2"/>
  <c r="W812" i="2"/>
  <c r="H812" i="2"/>
  <c r="Z811" i="2"/>
  <c r="Y811" i="2"/>
  <c r="X811" i="2"/>
  <c r="W811" i="2"/>
  <c r="H811" i="2"/>
  <c r="Z810" i="2"/>
  <c r="Y810" i="2"/>
  <c r="X810" i="2"/>
  <c r="W810" i="2"/>
  <c r="H810" i="2"/>
  <c r="Z809" i="2"/>
  <c r="Y809" i="2"/>
  <c r="X809" i="2"/>
  <c r="W809" i="2"/>
  <c r="H809" i="2"/>
  <c r="Z808" i="2"/>
  <c r="Y808" i="2"/>
  <c r="X808" i="2"/>
  <c r="W808" i="2"/>
  <c r="H808" i="2"/>
  <c r="Z807" i="2"/>
  <c r="Y807" i="2"/>
  <c r="X807" i="2"/>
  <c r="W807" i="2"/>
  <c r="H807" i="2"/>
  <c r="Z806" i="2"/>
  <c r="Y806" i="2"/>
  <c r="X806" i="2"/>
  <c r="W806" i="2"/>
  <c r="H806" i="2"/>
  <c r="Z805" i="2"/>
  <c r="Y805" i="2"/>
  <c r="X805" i="2"/>
  <c r="W805" i="2"/>
  <c r="H805" i="2"/>
  <c r="Z804" i="2"/>
  <c r="Y804" i="2"/>
  <c r="X804" i="2"/>
  <c r="W804" i="2"/>
  <c r="H804" i="2"/>
  <c r="Z803" i="2"/>
  <c r="Y803" i="2"/>
  <c r="X803" i="2"/>
  <c r="W803" i="2"/>
  <c r="H803" i="2"/>
  <c r="Z802" i="2"/>
  <c r="Y802" i="2"/>
  <c r="X802" i="2"/>
  <c r="W802" i="2"/>
  <c r="H802" i="2"/>
  <c r="Z801" i="2"/>
  <c r="Y801" i="2"/>
  <c r="X801" i="2"/>
  <c r="W801" i="2"/>
  <c r="H801" i="2"/>
  <c r="Z800" i="2"/>
  <c r="Y800" i="2"/>
  <c r="X800" i="2"/>
  <c r="W800" i="2"/>
  <c r="H800" i="2"/>
  <c r="Z799" i="2"/>
  <c r="Y799" i="2"/>
  <c r="X799" i="2"/>
  <c r="W799" i="2"/>
  <c r="H799" i="2"/>
  <c r="Z798" i="2"/>
  <c r="Y798" i="2"/>
  <c r="X798" i="2"/>
  <c r="W798" i="2"/>
  <c r="H798" i="2"/>
  <c r="Z797" i="2"/>
  <c r="Y797" i="2"/>
  <c r="X797" i="2"/>
  <c r="W797" i="2"/>
  <c r="H797" i="2"/>
  <c r="Z796" i="2"/>
  <c r="Y796" i="2"/>
  <c r="X796" i="2"/>
  <c r="W796" i="2"/>
  <c r="H796" i="2"/>
  <c r="Z795" i="2"/>
  <c r="Y795" i="2"/>
  <c r="X795" i="2"/>
  <c r="W795" i="2"/>
  <c r="H795" i="2"/>
  <c r="Z794" i="2"/>
  <c r="Y794" i="2"/>
  <c r="X794" i="2"/>
  <c r="W794" i="2"/>
  <c r="H794" i="2"/>
  <c r="Z793" i="2"/>
  <c r="Y793" i="2"/>
  <c r="X793" i="2"/>
  <c r="W793" i="2"/>
  <c r="H793" i="2"/>
  <c r="Z792" i="2"/>
  <c r="Y792" i="2"/>
  <c r="X792" i="2"/>
  <c r="W792" i="2"/>
  <c r="H792" i="2"/>
  <c r="Z791" i="2"/>
  <c r="Y791" i="2"/>
  <c r="X791" i="2"/>
  <c r="W791" i="2"/>
  <c r="H791" i="2"/>
  <c r="Z790" i="2"/>
  <c r="Y790" i="2"/>
  <c r="X790" i="2"/>
  <c r="W790" i="2"/>
  <c r="H790" i="2"/>
  <c r="Z789" i="2"/>
  <c r="Y789" i="2"/>
  <c r="X789" i="2"/>
  <c r="W789" i="2"/>
  <c r="H789" i="2"/>
  <c r="Z788" i="2"/>
  <c r="Y788" i="2"/>
  <c r="X788" i="2"/>
  <c r="W788" i="2"/>
  <c r="H788" i="2"/>
  <c r="Z787" i="2"/>
  <c r="Y787" i="2"/>
  <c r="X787" i="2"/>
  <c r="W787" i="2"/>
  <c r="H787" i="2"/>
  <c r="Z786" i="2"/>
  <c r="Y786" i="2"/>
  <c r="X786" i="2"/>
  <c r="W786" i="2"/>
  <c r="H786" i="2"/>
  <c r="Z785" i="2"/>
  <c r="Y785" i="2"/>
  <c r="X785" i="2"/>
  <c r="W785" i="2"/>
  <c r="H785" i="2"/>
  <c r="Z784" i="2"/>
  <c r="Y784" i="2"/>
  <c r="X784" i="2"/>
  <c r="W784" i="2"/>
  <c r="H784" i="2"/>
  <c r="Z783" i="2"/>
  <c r="Y783" i="2"/>
  <c r="X783" i="2"/>
  <c r="W783" i="2"/>
  <c r="H783" i="2"/>
  <c r="Z782" i="2"/>
  <c r="Y782" i="2"/>
  <c r="X782" i="2"/>
  <c r="W782" i="2"/>
  <c r="H782" i="2"/>
  <c r="Z781" i="2"/>
  <c r="Y781" i="2"/>
  <c r="X781" i="2"/>
  <c r="W781" i="2"/>
  <c r="H781" i="2"/>
  <c r="Z780" i="2"/>
  <c r="Y780" i="2"/>
  <c r="X780" i="2"/>
  <c r="W780" i="2"/>
  <c r="H780" i="2"/>
  <c r="Z779" i="2"/>
  <c r="Y779" i="2"/>
  <c r="X779" i="2"/>
  <c r="W779" i="2"/>
  <c r="H779" i="2"/>
  <c r="Z778" i="2"/>
  <c r="Y778" i="2"/>
  <c r="X778" i="2"/>
  <c r="W778" i="2"/>
  <c r="H778" i="2"/>
  <c r="Z777" i="2"/>
  <c r="Y777" i="2"/>
  <c r="X777" i="2"/>
  <c r="W777" i="2"/>
  <c r="H777" i="2"/>
  <c r="Z776" i="2"/>
  <c r="Y776" i="2"/>
  <c r="X776" i="2"/>
  <c r="W776" i="2"/>
  <c r="H776" i="2"/>
  <c r="Z775" i="2"/>
  <c r="Y775" i="2"/>
  <c r="X775" i="2"/>
  <c r="W775" i="2"/>
  <c r="H775" i="2"/>
  <c r="Z774" i="2"/>
  <c r="Y774" i="2"/>
  <c r="X774" i="2"/>
  <c r="W774" i="2"/>
  <c r="H774" i="2"/>
  <c r="Z773" i="2"/>
  <c r="Y773" i="2"/>
  <c r="X773" i="2"/>
  <c r="W773" i="2"/>
  <c r="H773" i="2"/>
  <c r="Z772" i="2"/>
  <c r="Y772" i="2"/>
  <c r="X772" i="2"/>
  <c r="W772" i="2"/>
  <c r="H772" i="2"/>
  <c r="Z771" i="2"/>
  <c r="Y771" i="2"/>
  <c r="X771" i="2"/>
  <c r="W771" i="2"/>
  <c r="H771" i="2"/>
  <c r="Z770" i="2"/>
  <c r="Y770" i="2"/>
  <c r="X770" i="2"/>
  <c r="W770" i="2"/>
  <c r="H770" i="2"/>
  <c r="Z769" i="2"/>
  <c r="Y769" i="2"/>
  <c r="X769" i="2"/>
  <c r="W769" i="2"/>
  <c r="H769" i="2"/>
  <c r="Z768" i="2"/>
  <c r="Y768" i="2"/>
  <c r="X768" i="2"/>
  <c r="W768" i="2"/>
  <c r="H768" i="2"/>
  <c r="Z767" i="2"/>
  <c r="Y767" i="2"/>
  <c r="X767" i="2"/>
  <c r="W767" i="2"/>
  <c r="H767" i="2"/>
  <c r="Z766" i="2"/>
  <c r="Y766" i="2"/>
  <c r="X766" i="2"/>
  <c r="W766" i="2"/>
  <c r="H766" i="2"/>
  <c r="Z765" i="2"/>
  <c r="Y765" i="2"/>
  <c r="X765" i="2"/>
  <c r="W765" i="2"/>
  <c r="H765" i="2"/>
  <c r="Z764" i="2"/>
  <c r="Y764" i="2"/>
  <c r="X764" i="2"/>
  <c r="W764" i="2"/>
  <c r="H764" i="2"/>
  <c r="Z763" i="2"/>
  <c r="Y763" i="2"/>
  <c r="X763" i="2"/>
  <c r="W763" i="2"/>
  <c r="H763" i="2"/>
  <c r="Z762" i="2"/>
  <c r="Y762" i="2"/>
  <c r="X762" i="2"/>
  <c r="W762" i="2"/>
  <c r="H762" i="2"/>
  <c r="Z761" i="2"/>
  <c r="Y761" i="2"/>
  <c r="X761" i="2"/>
  <c r="W761" i="2"/>
  <c r="H761" i="2"/>
  <c r="Z760" i="2"/>
  <c r="Y760" i="2"/>
  <c r="X760" i="2"/>
  <c r="W760" i="2"/>
  <c r="H760" i="2"/>
  <c r="Z759" i="2"/>
  <c r="Y759" i="2"/>
  <c r="X759" i="2"/>
  <c r="W759" i="2"/>
  <c r="H759" i="2"/>
  <c r="Z758" i="2"/>
  <c r="Y758" i="2"/>
  <c r="X758" i="2"/>
  <c r="W758" i="2"/>
  <c r="H758" i="2"/>
  <c r="Z757" i="2"/>
  <c r="Y757" i="2"/>
  <c r="X757" i="2"/>
  <c r="W757" i="2"/>
  <c r="H757" i="2"/>
  <c r="Z756" i="2"/>
  <c r="Y756" i="2"/>
  <c r="X756" i="2"/>
  <c r="W756" i="2"/>
  <c r="H756" i="2"/>
  <c r="Z755" i="2"/>
  <c r="Y755" i="2"/>
  <c r="X755" i="2"/>
  <c r="W755" i="2"/>
  <c r="H755" i="2"/>
  <c r="Z754" i="2"/>
  <c r="Y754" i="2"/>
  <c r="X754" i="2"/>
  <c r="W754" i="2"/>
  <c r="H754" i="2"/>
  <c r="Z753" i="2"/>
  <c r="Y753" i="2"/>
  <c r="X753" i="2"/>
  <c r="W753" i="2"/>
  <c r="H753" i="2"/>
  <c r="Z752" i="2"/>
  <c r="Y752" i="2"/>
  <c r="X752" i="2"/>
  <c r="W752" i="2"/>
  <c r="H752" i="2"/>
  <c r="Z751" i="2"/>
  <c r="Y751" i="2"/>
  <c r="X751" i="2"/>
  <c r="W751" i="2"/>
  <c r="H751" i="2"/>
  <c r="Z750" i="2"/>
  <c r="Y750" i="2"/>
  <c r="X750" i="2"/>
  <c r="W750" i="2"/>
  <c r="H750" i="2"/>
  <c r="Z749" i="2"/>
  <c r="Y749" i="2"/>
  <c r="X749" i="2"/>
  <c r="W749" i="2"/>
  <c r="H749" i="2"/>
  <c r="Z748" i="2"/>
  <c r="Y748" i="2"/>
  <c r="X748" i="2"/>
  <c r="W748" i="2"/>
  <c r="H748" i="2"/>
  <c r="Z747" i="2"/>
  <c r="Y747" i="2"/>
  <c r="X747" i="2"/>
  <c r="W747" i="2"/>
  <c r="H747" i="2"/>
  <c r="Z746" i="2"/>
  <c r="Y746" i="2"/>
  <c r="X746" i="2"/>
  <c r="W746" i="2"/>
  <c r="H746" i="2"/>
  <c r="Z745" i="2"/>
  <c r="Y745" i="2"/>
  <c r="X745" i="2"/>
  <c r="W745" i="2"/>
  <c r="H745" i="2"/>
  <c r="Z744" i="2"/>
  <c r="Y744" i="2"/>
  <c r="X744" i="2"/>
  <c r="W744" i="2"/>
  <c r="H744" i="2"/>
  <c r="Z743" i="2"/>
  <c r="Y743" i="2"/>
  <c r="X743" i="2"/>
  <c r="W743" i="2"/>
  <c r="H743" i="2"/>
  <c r="Z742" i="2"/>
  <c r="Y742" i="2"/>
  <c r="X742" i="2"/>
  <c r="W742" i="2"/>
  <c r="H742" i="2"/>
  <c r="Z741" i="2"/>
  <c r="Y741" i="2"/>
  <c r="X741" i="2"/>
  <c r="W741" i="2"/>
  <c r="H741" i="2"/>
  <c r="Z740" i="2"/>
  <c r="Y740" i="2"/>
  <c r="X740" i="2"/>
  <c r="W740" i="2"/>
  <c r="H740" i="2"/>
  <c r="Z739" i="2"/>
  <c r="Y739" i="2"/>
  <c r="X739" i="2"/>
  <c r="W739" i="2"/>
  <c r="H739" i="2"/>
  <c r="Z738" i="2"/>
  <c r="Y738" i="2"/>
  <c r="X738" i="2"/>
  <c r="W738" i="2"/>
  <c r="H738" i="2"/>
  <c r="Z737" i="2"/>
  <c r="Y737" i="2"/>
  <c r="X737" i="2"/>
  <c r="W737" i="2"/>
  <c r="H737" i="2"/>
  <c r="Z736" i="2"/>
  <c r="Y736" i="2"/>
  <c r="X736" i="2"/>
  <c r="W736" i="2"/>
  <c r="H736" i="2"/>
  <c r="Z735" i="2"/>
  <c r="Y735" i="2"/>
  <c r="X735" i="2"/>
  <c r="W735" i="2"/>
  <c r="H735" i="2"/>
  <c r="Z734" i="2"/>
  <c r="Y734" i="2"/>
  <c r="X734" i="2"/>
  <c r="W734" i="2"/>
  <c r="H734" i="2"/>
  <c r="Z733" i="2"/>
  <c r="Y733" i="2"/>
  <c r="X733" i="2"/>
  <c r="W733" i="2"/>
  <c r="H733" i="2"/>
  <c r="Z732" i="2"/>
  <c r="Y732" i="2"/>
  <c r="X732" i="2"/>
  <c r="W732" i="2"/>
  <c r="H732" i="2"/>
  <c r="Z731" i="2"/>
  <c r="Y731" i="2"/>
  <c r="X731" i="2"/>
  <c r="W731" i="2"/>
  <c r="H731" i="2"/>
  <c r="Z730" i="2"/>
  <c r="Y730" i="2"/>
  <c r="X730" i="2"/>
  <c r="W730" i="2"/>
  <c r="H730" i="2"/>
  <c r="Z729" i="2"/>
  <c r="Y729" i="2"/>
  <c r="X729" i="2"/>
  <c r="W729" i="2"/>
  <c r="H729" i="2"/>
  <c r="Z728" i="2"/>
  <c r="Y728" i="2"/>
  <c r="X728" i="2"/>
  <c r="W728" i="2"/>
  <c r="H728" i="2"/>
  <c r="Z727" i="2"/>
  <c r="Y727" i="2"/>
  <c r="X727" i="2"/>
  <c r="W727" i="2"/>
  <c r="H727" i="2"/>
  <c r="Z726" i="2"/>
  <c r="Y726" i="2"/>
  <c r="X726" i="2"/>
  <c r="W726" i="2"/>
  <c r="H726" i="2"/>
  <c r="Z725" i="2"/>
  <c r="Y725" i="2"/>
  <c r="X725" i="2"/>
  <c r="W725" i="2"/>
  <c r="H725" i="2"/>
  <c r="Z724" i="2"/>
  <c r="Y724" i="2"/>
  <c r="X724" i="2"/>
  <c r="W724" i="2"/>
  <c r="H724" i="2"/>
  <c r="Z723" i="2"/>
  <c r="Y723" i="2"/>
  <c r="X723" i="2"/>
  <c r="W723" i="2"/>
  <c r="H723" i="2"/>
  <c r="Z722" i="2"/>
  <c r="Y722" i="2"/>
  <c r="X722" i="2"/>
  <c r="W722" i="2"/>
  <c r="H722" i="2"/>
  <c r="Z721" i="2"/>
  <c r="Y721" i="2"/>
  <c r="X721" i="2"/>
  <c r="W721" i="2"/>
  <c r="H721" i="2"/>
  <c r="Z720" i="2"/>
  <c r="Y720" i="2"/>
  <c r="X720" i="2"/>
  <c r="W720" i="2"/>
  <c r="H720" i="2"/>
  <c r="Z719" i="2"/>
  <c r="Y719" i="2"/>
  <c r="X719" i="2"/>
  <c r="W719" i="2"/>
  <c r="H719" i="2"/>
  <c r="Z718" i="2"/>
  <c r="Y718" i="2"/>
  <c r="X718" i="2"/>
  <c r="W718" i="2"/>
  <c r="H718" i="2"/>
  <c r="Z717" i="2"/>
  <c r="Y717" i="2"/>
  <c r="X717" i="2"/>
  <c r="W717" i="2"/>
  <c r="H717" i="2"/>
  <c r="Z716" i="2"/>
  <c r="Y716" i="2"/>
  <c r="X716" i="2"/>
  <c r="W716" i="2"/>
  <c r="H716" i="2"/>
  <c r="Z715" i="2"/>
  <c r="Y715" i="2"/>
  <c r="X715" i="2"/>
  <c r="W715" i="2"/>
  <c r="H715" i="2"/>
  <c r="Z714" i="2"/>
  <c r="Y714" i="2"/>
  <c r="X714" i="2"/>
  <c r="W714" i="2"/>
  <c r="H714" i="2"/>
  <c r="Z713" i="2"/>
  <c r="Y713" i="2"/>
  <c r="X713" i="2"/>
  <c r="W713" i="2"/>
  <c r="H713" i="2"/>
  <c r="Z712" i="2"/>
  <c r="Y712" i="2"/>
  <c r="X712" i="2"/>
  <c r="W712" i="2"/>
  <c r="H712" i="2"/>
  <c r="Z711" i="2"/>
  <c r="Y711" i="2"/>
  <c r="X711" i="2"/>
  <c r="W711" i="2"/>
  <c r="H711" i="2"/>
  <c r="Z710" i="2"/>
  <c r="Y710" i="2"/>
  <c r="X710" i="2"/>
  <c r="W710" i="2"/>
  <c r="H710" i="2"/>
  <c r="Z709" i="2"/>
  <c r="Y709" i="2"/>
  <c r="X709" i="2"/>
  <c r="W709" i="2"/>
  <c r="H709" i="2"/>
  <c r="Z708" i="2"/>
  <c r="Y708" i="2"/>
  <c r="X708" i="2"/>
  <c r="W708" i="2"/>
  <c r="H708" i="2"/>
  <c r="Z707" i="2"/>
  <c r="Y707" i="2"/>
  <c r="X707" i="2"/>
  <c r="W707" i="2"/>
  <c r="H707" i="2"/>
  <c r="Z706" i="2"/>
  <c r="Y706" i="2"/>
  <c r="X706" i="2"/>
  <c r="W706" i="2"/>
  <c r="H706" i="2"/>
  <c r="Z705" i="2"/>
  <c r="Y705" i="2"/>
  <c r="X705" i="2"/>
  <c r="W705" i="2"/>
  <c r="H705" i="2"/>
  <c r="Z704" i="2"/>
  <c r="Y704" i="2"/>
  <c r="X704" i="2"/>
  <c r="W704" i="2"/>
  <c r="H704" i="2"/>
  <c r="Z703" i="2"/>
  <c r="Y703" i="2"/>
  <c r="X703" i="2"/>
  <c r="W703" i="2"/>
  <c r="H703" i="2"/>
  <c r="Z702" i="2"/>
  <c r="Y702" i="2"/>
  <c r="X702" i="2"/>
  <c r="W702" i="2"/>
  <c r="H702" i="2"/>
  <c r="Z701" i="2"/>
  <c r="Y701" i="2"/>
  <c r="X701" i="2"/>
  <c r="W701" i="2"/>
  <c r="H701" i="2"/>
  <c r="Z700" i="2"/>
  <c r="Y700" i="2"/>
  <c r="X700" i="2"/>
  <c r="W700" i="2"/>
  <c r="H700" i="2"/>
  <c r="Z699" i="2"/>
  <c r="Y699" i="2"/>
  <c r="X699" i="2"/>
  <c r="W699" i="2"/>
  <c r="H699" i="2"/>
  <c r="Z698" i="2"/>
  <c r="Y698" i="2"/>
  <c r="X698" i="2"/>
  <c r="W698" i="2"/>
  <c r="H698" i="2"/>
  <c r="Z697" i="2"/>
  <c r="Y697" i="2"/>
  <c r="X697" i="2"/>
  <c r="W697" i="2"/>
  <c r="H697" i="2"/>
  <c r="Z696" i="2"/>
  <c r="Y696" i="2"/>
  <c r="X696" i="2"/>
  <c r="W696" i="2"/>
  <c r="H696" i="2"/>
  <c r="Z695" i="2"/>
  <c r="Y695" i="2"/>
  <c r="X695" i="2"/>
  <c r="W695" i="2"/>
  <c r="H695" i="2"/>
  <c r="Z694" i="2"/>
  <c r="Y694" i="2"/>
  <c r="X694" i="2"/>
  <c r="W694" i="2"/>
  <c r="H694" i="2"/>
  <c r="Z693" i="2"/>
  <c r="Y693" i="2"/>
  <c r="X693" i="2"/>
  <c r="W693" i="2"/>
  <c r="H693" i="2"/>
  <c r="Z692" i="2"/>
  <c r="Y692" i="2"/>
  <c r="X692" i="2"/>
  <c r="W692" i="2"/>
  <c r="H692" i="2"/>
  <c r="Z691" i="2"/>
  <c r="Y691" i="2"/>
  <c r="X691" i="2"/>
  <c r="W691" i="2"/>
  <c r="H691" i="2"/>
  <c r="Z690" i="2"/>
  <c r="Y690" i="2"/>
  <c r="X690" i="2"/>
  <c r="W690" i="2"/>
  <c r="H690" i="2"/>
  <c r="Z689" i="2"/>
  <c r="Y689" i="2"/>
  <c r="X689" i="2"/>
  <c r="W689" i="2"/>
  <c r="H689" i="2"/>
  <c r="Z688" i="2"/>
  <c r="Y688" i="2"/>
  <c r="X688" i="2"/>
  <c r="W688" i="2"/>
  <c r="H688" i="2"/>
  <c r="Z687" i="2"/>
  <c r="Y687" i="2"/>
  <c r="X687" i="2"/>
  <c r="W687" i="2"/>
  <c r="H687" i="2"/>
  <c r="Z686" i="2"/>
  <c r="Y686" i="2"/>
  <c r="X686" i="2"/>
  <c r="W686" i="2"/>
  <c r="H686" i="2"/>
  <c r="Z685" i="2"/>
  <c r="Y685" i="2"/>
  <c r="X685" i="2"/>
  <c r="W685" i="2"/>
  <c r="H685" i="2"/>
  <c r="Z684" i="2"/>
  <c r="Y684" i="2"/>
  <c r="X684" i="2"/>
  <c r="W684" i="2"/>
  <c r="H684" i="2"/>
  <c r="Z683" i="2"/>
  <c r="Y683" i="2"/>
  <c r="X683" i="2"/>
  <c r="W683" i="2"/>
  <c r="H683" i="2"/>
  <c r="Z682" i="2"/>
  <c r="Y682" i="2"/>
  <c r="X682" i="2"/>
  <c r="W682" i="2"/>
  <c r="H682" i="2"/>
  <c r="Z681" i="2"/>
  <c r="Y681" i="2"/>
  <c r="X681" i="2"/>
  <c r="W681" i="2"/>
  <c r="H681" i="2"/>
  <c r="Z680" i="2"/>
  <c r="Y680" i="2"/>
  <c r="X680" i="2"/>
  <c r="W680" i="2"/>
  <c r="H680" i="2"/>
  <c r="Z679" i="2"/>
  <c r="Y679" i="2"/>
  <c r="X679" i="2"/>
  <c r="W679" i="2"/>
  <c r="H679" i="2"/>
  <c r="Z678" i="2"/>
  <c r="Y678" i="2"/>
  <c r="X678" i="2"/>
  <c r="W678" i="2"/>
  <c r="H678" i="2"/>
  <c r="Z677" i="2"/>
  <c r="Y677" i="2"/>
  <c r="X677" i="2"/>
  <c r="W677" i="2"/>
  <c r="H677" i="2"/>
  <c r="Z676" i="2"/>
  <c r="Y676" i="2"/>
  <c r="X676" i="2"/>
  <c r="W676" i="2"/>
  <c r="H676" i="2"/>
  <c r="Z675" i="2"/>
  <c r="Y675" i="2"/>
  <c r="X675" i="2"/>
  <c r="W675" i="2"/>
  <c r="H675" i="2"/>
  <c r="Z674" i="2"/>
  <c r="Y674" i="2"/>
  <c r="X674" i="2"/>
  <c r="W674" i="2"/>
  <c r="H674" i="2"/>
  <c r="Z673" i="2"/>
  <c r="Y673" i="2"/>
  <c r="X673" i="2"/>
  <c r="W673" i="2"/>
  <c r="H673" i="2"/>
  <c r="Z672" i="2"/>
  <c r="Y672" i="2"/>
  <c r="X672" i="2"/>
  <c r="W672" i="2"/>
  <c r="H672" i="2"/>
  <c r="Z671" i="2"/>
  <c r="Y671" i="2"/>
  <c r="X671" i="2"/>
  <c r="W671" i="2"/>
  <c r="H671" i="2"/>
  <c r="Z670" i="2"/>
  <c r="Y670" i="2"/>
  <c r="X670" i="2"/>
  <c r="W670" i="2"/>
  <c r="H670" i="2"/>
  <c r="Z669" i="2"/>
  <c r="Y669" i="2"/>
  <c r="X669" i="2"/>
  <c r="W669" i="2"/>
  <c r="H669" i="2"/>
  <c r="Z668" i="2"/>
  <c r="Y668" i="2"/>
  <c r="X668" i="2"/>
  <c r="W668" i="2"/>
  <c r="H668" i="2"/>
  <c r="Z667" i="2"/>
  <c r="Y667" i="2"/>
  <c r="X667" i="2"/>
  <c r="W667" i="2"/>
  <c r="H667" i="2"/>
  <c r="Z666" i="2"/>
  <c r="Y666" i="2"/>
  <c r="X666" i="2"/>
  <c r="W666" i="2"/>
  <c r="H666" i="2"/>
  <c r="Z665" i="2"/>
  <c r="Y665" i="2"/>
  <c r="X665" i="2"/>
  <c r="W665" i="2"/>
  <c r="H665" i="2"/>
  <c r="Z664" i="2"/>
  <c r="Y664" i="2"/>
  <c r="X664" i="2"/>
  <c r="W664" i="2"/>
  <c r="H664" i="2"/>
  <c r="Z663" i="2"/>
  <c r="Y663" i="2"/>
  <c r="X663" i="2"/>
  <c r="W663" i="2"/>
  <c r="H663" i="2"/>
  <c r="Z662" i="2"/>
  <c r="Y662" i="2"/>
  <c r="X662" i="2"/>
  <c r="W662" i="2"/>
  <c r="H662" i="2"/>
  <c r="Z661" i="2"/>
  <c r="Y661" i="2"/>
  <c r="X661" i="2"/>
  <c r="W661" i="2"/>
  <c r="H661" i="2"/>
  <c r="Z660" i="2"/>
  <c r="Y660" i="2"/>
  <c r="X660" i="2"/>
  <c r="W660" i="2"/>
  <c r="H660" i="2"/>
  <c r="Z659" i="2"/>
  <c r="Y659" i="2"/>
  <c r="X659" i="2"/>
  <c r="W659" i="2"/>
  <c r="H659" i="2"/>
  <c r="Z658" i="2"/>
  <c r="Y658" i="2"/>
  <c r="X658" i="2"/>
  <c r="W658" i="2"/>
  <c r="H658" i="2"/>
  <c r="Z657" i="2"/>
  <c r="Y657" i="2"/>
  <c r="X657" i="2"/>
  <c r="W657" i="2"/>
  <c r="H657" i="2"/>
  <c r="Z656" i="2"/>
  <c r="Y656" i="2"/>
  <c r="X656" i="2"/>
  <c r="W656" i="2"/>
  <c r="H656" i="2"/>
  <c r="Z655" i="2"/>
  <c r="Y655" i="2"/>
  <c r="X655" i="2"/>
  <c r="W655" i="2"/>
  <c r="H655" i="2"/>
  <c r="Z654" i="2"/>
  <c r="Y654" i="2"/>
  <c r="X654" i="2"/>
  <c r="W654" i="2"/>
  <c r="H654" i="2"/>
  <c r="Z653" i="2"/>
  <c r="Y653" i="2"/>
  <c r="X653" i="2"/>
  <c r="W653" i="2"/>
  <c r="H653" i="2"/>
  <c r="Z652" i="2"/>
  <c r="Y652" i="2"/>
  <c r="X652" i="2"/>
  <c r="W652" i="2"/>
  <c r="H652" i="2"/>
  <c r="Z651" i="2"/>
  <c r="Y651" i="2"/>
  <c r="X651" i="2"/>
  <c r="W651" i="2"/>
  <c r="H651" i="2"/>
  <c r="Z650" i="2"/>
  <c r="Y650" i="2"/>
  <c r="X650" i="2"/>
  <c r="W650" i="2"/>
  <c r="H650" i="2"/>
  <c r="Z649" i="2"/>
  <c r="Y649" i="2"/>
  <c r="X649" i="2"/>
  <c r="W649" i="2"/>
  <c r="H649" i="2"/>
  <c r="Z648" i="2"/>
  <c r="Y648" i="2"/>
  <c r="X648" i="2"/>
  <c r="W648" i="2"/>
  <c r="H648" i="2"/>
  <c r="Z647" i="2"/>
  <c r="Y647" i="2"/>
  <c r="X647" i="2"/>
  <c r="W647" i="2"/>
  <c r="H647" i="2"/>
  <c r="Z646" i="2"/>
  <c r="Y646" i="2"/>
  <c r="X646" i="2"/>
  <c r="W646" i="2"/>
  <c r="H646" i="2"/>
  <c r="Z645" i="2"/>
  <c r="Y645" i="2"/>
  <c r="X645" i="2"/>
  <c r="W645" i="2"/>
  <c r="H645" i="2"/>
  <c r="Z644" i="2"/>
  <c r="Y644" i="2"/>
  <c r="X644" i="2"/>
  <c r="W644" i="2"/>
  <c r="H644" i="2"/>
  <c r="Z643" i="2"/>
  <c r="Y643" i="2"/>
  <c r="X643" i="2"/>
  <c r="W643" i="2"/>
  <c r="H643" i="2"/>
  <c r="Z642" i="2"/>
  <c r="Y642" i="2"/>
  <c r="X642" i="2"/>
  <c r="W642" i="2"/>
  <c r="H642" i="2"/>
  <c r="Z641" i="2"/>
  <c r="Y641" i="2"/>
  <c r="X641" i="2"/>
  <c r="W641" i="2"/>
  <c r="H641" i="2"/>
  <c r="Z640" i="2"/>
  <c r="Y640" i="2"/>
  <c r="X640" i="2"/>
  <c r="W640" i="2"/>
  <c r="H640" i="2"/>
  <c r="Z639" i="2"/>
  <c r="Y639" i="2"/>
  <c r="X639" i="2"/>
  <c r="W639" i="2"/>
  <c r="H639" i="2"/>
  <c r="Z638" i="2"/>
  <c r="Y638" i="2"/>
  <c r="X638" i="2"/>
  <c r="W638" i="2"/>
  <c r="H638" i="2"/>
  <c r="Z637" i="2"/>
  <c r="Y637" i="2"/>
  <c r="X637" i="2"/>
  <c r="W637" i="2"/>
  <c r="H637" i="2"/>
  <c r="Z636" i="2"/>
  <c r="Y636" i="2"/>
  <c r="X636" i="2"/>
  <c r="W636" i="2"/>
  <c r="H636" i="2"/>
  <c r="Z635" i="2"/>
  <c r="Y635" i="2"/>
  <c r="X635" i="2"/>
  <c r="W635" i="2"/>
  <c r="H635" i="2"/>
  <c r="Z634" i="2"/>
  <c r="Y634" i="2"/>
  <c r="X634" i="2"/>
  <c r="W634" i="2"/>
  <c r="H634" i="2"/>
  <c r="Z633" i="2"/>
  <c r="Y633" i="2"/>
  <c r="X633" i="2"/>
  <c r="W633" i="2"/>
  <c r="H633" i="2"/>
  <c r="Z632" i="2"/>
  <c r="Y632" i="2"/>
  <c r="X632" i="2"/>
  <c r="W632" i="2"/>
  <c r="H632" i="2"/>
  <c r="Z631" i="2"/>
  <c r="Y631" i="2"/>
  <c r="X631" i="2"/>
  <c r="W631" i="2"/>
  <c r="H631" i="2"/>
  <c r="Z630" i="2"/>
  <c r="Y630" i="2"/>
  <c r="X630" i="2"/>
  <c r="W630" i="2"/>
  <c r="H630" i="2"/>
  <c r="Z629" i="2"/>
  <c r="Y629" i="2"/>
  <c r="X629" i="2"/>
  <c r="W629" i="2"/>
  <c r="H629" i="2"/>
  <c r="Z628" i="2"/>
  <c r="Y628" i="2"/>
  <c r="X628" i="2"/>
  <c r="W628" i="2"/>
  <c r="H628" i="2"/>
  <c r="Z627" i="2"/>
  <c r="Y627" i="2"/>
  <c r="X627" i="2"/>
  <c r="W627" i="2"/>
  <c r="H627" i="2"/>
  <c r="Z626" i="2"/>
  <c r="Y626" i="2"/>
  <c r="X626" i="2"/>
  <c r="W626" i="2"/>
  <c r="H626" i="2"/>
  <c r="Z625" i="2"/>
  <c r="Y625" i="2"/>
  <c r="X625" i="2"/>
  <c r="W625" i="2"/>
  <c r="H625" i="2"/>
  <c r="Z624" i="2"/>
  <c r="Y624" i="2"/>
  <c r="X624" i="2"/>
  <c r="W624" i="2"/>
  <c r="H624" i="2"/>
  <c r="Z623" i="2"/>
  <c r="Y623" i="2"/>
  <c r="X623" i="2"/>
  <c r="W623" i="2"/>
  <c r="H623" i="2"/>
  <c r="Z622" i="2"/>
  <c r="Y622" i="2"/>
  <c r="X622" i="2"/>
  <c r="W622" i="2"/>
  <c r="H622" i="2"/>
  <c r="Z621" i="2"/>
  <c r="Y621" i="2"/>
  <c r="X621" i="2"/>
  <c r="W621" i="2"/>
  <c r="H621" i="2"/>
  <c r="Z620" i="2"/>
  <c r="Y620" i="2"/>
  <c r="X620" i="2"/>
  <c r="W620" i="2"/>
  <c r="H620" i="2"/>
  <c r="Z619" i="2"/>
  <c r="Y619" i="2"/>
  <c r="X619" i="2"/>
  <c r="W619" i="2"/>
  <c r="H619" i="2"/>
  <c r="Z618" i="2"/>
  <c r="Y618" i="2"/>
  <c r="X618" i="2"/>
  <c r="W618" i="2"/>
  <c r="H618" i="2"/>
  <c r="Z617" i="2"/>
  <c r="Y617" i="2"/>
  <c r="X617" i="2"/>
  <c r="W617" i="2"/>
  <c r="H617" i="2"/>
  <c r="Z616" i="2"/>
  <c r="Y616" i="2"/>
  <c r="X616" i="2"/>
  <c r="W616" i="2"/>
  <c r="H616" i="2"/>
  <c r="Z615" i="2"/>
  <c r="Y615" i="2"/>
  <c r="X615" i="2"/>
  <c r="W615" i="2"/>
  <c r="H615" i="2"/>
  <c r="Z614" i="2"/>
  <c r="Y614" i="2"/>
  <c r="X614" i="2"/>
  <c r="W614" i="2"/>
  <c r="H614" i="2"/>
  <c r="Z613" i="2"/>
  <c r="Y613" i="2"/>
  <c r="X613" i="2"/>
  <c r="W613" i="2"/>
  <c r="H613" i="2"/>
  <c r="Z612" i="2"/>
  <c r="Y612" i="2"/>
  <c r="X612" i="2"/>
  <c r="W612" i="2"/>
  <c r="H612" i="2"/>
  <c r="Z611" i="2"/>
  <c r="Y611" i="2"/>
  <c r="X611" i="2"/>
  <c r="W611" i="2"/>
  <c r="H611" i="2"/>
  <c r="Z610" i="2"/>
  <c r="Y610" i="2"/>
  <c r="X610" i="2"/>
  <c r="W610" i="2"/>
  <c r="H610" i="2"/>
  <c r="Z609" i="2"/>
  <c r="Y609" i="2"/>
  <c r="X609" i="2"/>
  <c r="W609" i="2"/>
  <c r="H609" i="2"/>
  <c r="Z608" i="2"/>
  <c r="Y608" i="2"/>
  <c r="X608" i="2"/>
  <c r="W608" i="2"/>
  <c r="H608" i="2"/>
  <c r="Z607" i="2"/>
  <c r="Y607" i="2"/>
  <c r="X607" i="2"/>
  <c r="W607" i="2"/>
  <c r="H607" i="2"/>
  <c r="Z606" i="2"/>
  <c r="Y606" i="2"/>
  <c r="X606" i="2"/>
  <c r="W606" i="2"/>
  <c r="H606" i="2"/>
  <c r="Z605" i="2"/>
  <c r="Y605" i="2"/>
  <c r="X605" i="2"/>
  <c r="W605" i="2"/>
  <c r="H605" i="2"/>
  <c r="Z604" i="2"/>
  <c r="Y604" i="2"/>
  <c r="X604" i="2"/>
  <c r="W604" i="2"/>
  <c r="H604" i="2"/>
  <c r="Z603" i="2"/>
  <c r="Y603" i="2"/>
  <c r="X603" i="2"/>
  <c r="W603" i="2"/>
  <c r="H603" i="2"/>
  <c r="Z602" i="2"/>
  <c r="Y602" i="2"/>
  <c r="X602" i="2"/>
  <c r="W602" i="2"/>
  <c r="H602" i="2"/>
  <c r="Z601" i="2"/>
  <c r="Y601" i="2"/>
  <c r="X601" i="2"/>
  <c r="W601" i="2"/>
  <c r="H601" i="2"/>
  <c r="Z600" i="2"/>
  <c r="Y600" i="2"/>
  <c r="X600" i="2"/>
  <c r="W600" i="2"/>
  <c r="H600" i="2"/>
  <c r="Z599" i="2"/>
  <c r="Y599" i="2"/>
  <c r="X599" i="2"/>
  <c r="W599" i="2"/>
  <c r="H599" i="2"/>
  <c r="Z598" i="2"/>
  <c r="Y598" i="2"/>
  <c r="X598" i="2"/>
  <c r="W598" i="2"/>
  <c r="H598" i="2"/>
  <c r="Z597" i="2"/>
  <c r="Y597" i="2"/>
  <c r="X597" i="2"/>
  <c r="W597" i="2"/>
  <c r="H597" i="2"/>
  <c r="Z596" i="2"/>
  <c r="Y596" i="2"/>
  <c r="X596" i="2"/>
  <c r="W596" i="2"/>
  <c r="H596" i="2"/>
  <c r="Z595" i="2"/>
  <c r="Y595" i="2"/>
  <c r="X595" i="2"/>
  <c r="W595" i="2"/>
  <c r="H595" i="2"/>
  <c r="Z594" i="2"/>
  <c r="Y594" i="2"/>
  <c r="X594" i="2"/>
  <c r="W594" i="2"/>
  <c r="H594" i="2"/>
  <c r="Z593" i="2"/>
  <c r="Y593" i="2"/>
  <c r="X593" i="2"/>
  <c r="W593" i="2"/>
  <c r="H593" i="2"/>
  <c r="Z592" i="2"/>
  <c r="Y592" i="2"/>
  <c r="X592" i="2"/>
  <c r="W592" i="2"/>
  <c r="H592" i="2"/>
  <c r="Z591" i="2"/>
  <c r="Y591" i="2"/>
  <c r="X591" i="2"/>
  <c r="W591" i="2"/>
  <c r="H591" i="2"/>
  <c r="Z590" i="2"/>
  <c r="Y590" i="2"/>
  <c r="X590" i="2"/>
  <c r="W590" i="2"/>
  <c r="H590" i="2"/>
  <c r="Z589" i="2"/>
  <c r="Y589" i="2"/>
  <c r="X589" i="2"/>
  <c r="W589" i="2"/>
  <c r="H589" i="2"/>
  <c r="Z588" i="2"/>
  <c r="Y588" i="2"/>
  <c r="X588" i="2"/>
  <c r="W588" i="2"/>
  <c r="H588" i="2"/>
  <c r="Z587" i="2"/>
  <c r="Y587" i="2"/>
  <c r="X587" i="2"/>
  <c r="W587" i="2"/>
  <c r="H587" i="2"/>
  <c r="Z586" i="2"/>
  <c r="Y586" i="2"/>
  <c r="X586" i="2"/>
  <c r="W586" i="2"/>
  <c r="H586" i="2"/>
  <c r="Z585" i="2"/>
  <c r="Y585" i="2"/>
  <c r="X585" i="2"/>
  <c r="W585" i="2"/>
  <c r="H585" i="2"/>
  <c r="Z584" i="2"/>
  <c r="Y584" i="2"/>
  <c r="X584" i="2"/>
  <c r="W584" i="2"/>
  <c r="H584" i="2"/>
  <c r="Z583" i="2"/>
  <c r="Y583" i="2"/>
  <c r="X583" i="2"/>
  <c r="W583" i="2"/>
  <c r="H583" i="2"/>
  <c r="Z582" i="2"/>
  <c r="Y582" i="2"/>
  <c r="X582" i="2"/>
  <c r="W582" i="2"/>
  <c r="H582" i="2"/>
  <c r="Z581" i="2"/>
  <c r="Y581" i="2"/>
  <c r="X581" i="2"/>
  <c r="W581" i="2"/>
  <c r="H581" i="2"/>
  <c r="Z580" i="2"/>
  <c r="Y580" i="2"/>
  <c r="X580" i="2"/>
  <c r="W580" i="2"/>
  <c r="H580" i="2"/>
  <c r="Z579" i="2"/>
  <c r="Y579" i="2"/>
  <c r="X579" i="2"/>
  <c r="W579" i="2"/>
  <c r="H579" i="2"/>
  <c r="Z578" i="2"/>
  <c r="Y578" i="2"/>
  <c r="X578" i="2"/>
  <c r="W578" i="2"/>
  <c r="H578" i="2"/>
  <c r="Z577" i="2"/>
  <c r="Y577" i="2"/>
  <c r="X577" i="2"/>
  <c r="W577" i="2"/>
  <c r="H577" i="2"/>
  <c r="Z576" i="2"/>
  <c r="Y576" i="2"/>
  <c r="X576" i="2"/>
  <c r="W576" i="2"/>
  <c r="H576" i="2"/>
  <c r="Z575" i="2"/>
  <c r="Y575" i="2"/>
  <c r="X575" i="2"/>
  <c r="W575" i="2"/>
  <c r="H575" i="2"/>
  <c r="Z574" i="2"/>
  <c r="Y574" i="2"/>
  <c r="X574" i="2"/>
  <c r="W574" i="2"/>
  <c r="H574" i="2"/>
  <c r="Z573" i="2"/>
  <c r="Y573" i="2"/>
  <c r="X573" i="2"/>
  <c r="W573" i="2"/>
  <c r="H573" i="2"/>
  <c r="Z572" i="2"/>
  <c r="Y572" i="2"/>
  <c r="X572" i="2"/>
  <c r="W572" i="2"/>
  <c r="H572" i="2"/>
  <c r="Z571" i="2"/>
  <c r="Y571" i="2"/>
  <c r="X571" i="2"/>
  <c r="W571" i="2"/>
  <c r="H571" i="2"/>
  <c r="Z570" i="2"/>
  <c r="Y570" i="2"/>
  <c r="X570" i="2"/>
  <c r="W570" i="2"/>
  <c r="H570" i="2"/>
  <c r="Z569" i="2"/>
  <c r="Y569" i="2"/>
  <c r="X569" i="2"/>
  <c r="W569" i="2"/>
  <c r="H569" i="2"/>
  <c r="Z568" i="2"/>
  <c r="Y568" i="2"/>
  <c r="X568" i="2"/>
  <c r="W568" i="2"/>
  <c r="H568" i="2"/>
  <c r="Z567" i="2"/>
  <c r="Y567" i="2"/>
  <c r="X567" i="2"/>
  <c r="W567" i="2"/>
  <c r="H567" i="2"/>
  <c r="Z566" i="2"/>
  <c r="Y566" i="2"/>
  <c r="X566" i="2"/>
  <c r="W566" i="2"/>
  <c r="H566" i="2"/>
  <c r="Z565" i="2"/>
  <c r="Y565" i="2"/>
  <c r="X565" i="2"/>
  <c r="W565" i="2"/>
  <c r="H565" i="2"/>
  <c r="Z564" i="2"/>
  <c r="Y564" i="2"/>
  <c r="X564" i="2"/>
  <c r="W564" i="2"/>
  <c r="H564" i="2"/>
  <c r="Z563" i="2"/>
  <c r="Y563" i="2"/>
  <c r="X563" i="2"/>
  <c r="W563" i="2"/>
  <c r="H563" i="2"/>
  <c r="Z562" i="2"/>
  <c r="Y562" i="2"/>
  <c r="X562" i="2"/>
  <c r="W562" i="2"/>
  <c r="H562" i="2"/>
  <c r="Z561" i="2"/>
  <c r="Y561" i="2"/>
  <c r="X561" i="2"/>
  <c r="W561" i="2"/>
  <c r="H561" i="2"/>
  <c r="Z560" i="2"/>
  <c r="Y560" i="2"/>
  <c r="X560" i="2"/>
  <c r="W560" i="2"/>
  <c r="H560" i="2"/>
  <c r="Z559" i="2"/>
  <c r="Y559" i="2"/>
  <c r="X559" i="2"/>
  <c r="W559" i="2"/>
  <c r="H559" i="2"/>
  <c r="Z558" i="2"/>
  <c r="Y558" i="2"/>
  <c r="X558" i="2"/>
  <c r="W558" i="2"/>
  <c r="H558" i="2"/>
  <c r="Z557" i="2"/>
  <c r="Y557" i="2"/>
  <c r="X557" i="2"/>
  <c r="W557" i="2"/>
  <c r="H557" i="2"/>
  <c r="Z556" i="2"/>
  <c r="Y556" i="2"/>
  <c r="X556" i="2"/>
  <c r="W556" i="2"/>
  <c r="H556" i="2"/>
  <c r="Z555" i="2"/>
  <c r="Y555" i="2"/>
  <c r="X555" i="2"/>
  <c r="W555" i="2"/>
  <c r="H555" i="2"/>
  <c r="Z554" i="2"/>
  <c r="Y554" i="2"/>
  <c r="X554" i="2"/>
  <c r="W554" i="2"/>
  <c r="H554" i="2"/>
  <c r="Z553" i="2"/>
  <c r="Y553" i="2"/>
  <c r="X553" i="2"/>
  <c r="W553" i="2"/>
  <c r="H553" i="2"/>
  <c r="Z552" i="2"/>
  <c r="Y552" i="2"/>
  <c r="X552" i="2"/>
  <c r="W552" i="2"/>
  <c r="H552" i="2"/>
  <c r="Z551" i="2"/>
  <c r="Y551" i="2"/>
  <c r="X551" i="2"/>
  <c r="W551" i="2"/>
  <c r="H551" i="2"/>
  <c r="Z550" i="2"/>
  <c r="Y550" i="2"/>
  <c r="X550" i="2"/>
  <c r="W550" i="2"/>
  <c r="H550" i="2"/>
  <c r="Z549" i="2"/>
  <c r="Y549" i="2"/>
  <c r="X549" i="2"/>
  <c r="W549" i="2"/>
  <c r="H549" i="2"/>
  <c r="Z548" i="2"/>
  <c r="Y548" i="2"/>
  <c r="X548" i="2"/>
  <c r="W548" i="2"/>
  <c r="H548" i="2"/>
  <c r="Z547" i="2"/>
  <c r="Y547" i="2"/>
  <c r="X547" i="2"/>
  <c r="W547" i="2"/>
  <c r="H547" i="2"/>
  <c r="Z546" i="2"/>
  <c r="Y546" i="2"/>
  <c r="X546" i="2"/>
  <c r="W546" i="2"/>
  <c r="H546" i="2"/>
  <c r="Z545" i="2"/>
  <c r="Y545" i="2"/>
  <c r="X545" i="2"/>
  <c r="W545" i="2"/>
  <c r="H545" i="2"/>
  <c r="Z544" i="2"/>
  <c r="Y544" i="2"/>
  <c r="X544" i="2"/>
  <c r="W544" i="2"/>
  <c r="H544" i="2"/>
  <c r="Z543" i="2"/>
  <c r="Y543" i="2"/>
  <c r="X543" i="2"/>
  <c r="W543" i="2"/>
  <c r="H543" i="2"/>
  <c r="Z542" i="2"/>
  <c r="Y542" i="2"/>
  <c r="X542" i="2"/>
  <c r="W542" i="2"/>
  <c r="H542" i="2"/>
  <c r="Z541" i="2"/>
  <c r="Y541" i="2"/>
  <c r="X541" i="2"/>
  <c r="W541" i="2"/>
  <c r="H541" i="2"/>
  <c r="Z540" i="2"/>
  <c r="Y540" i="2"/>
  <c r="X540" i="2"/>
  <c r="W540" i="2"/>
  <c r="H540" i="2"/>
  <c r="Z539" i="2"/>
  <c r="Y539" i="2"/>
  <c r="X539" i="2"/>
  <c r="W539" i="2"/>
  <c r="H539" i="2"/>
  <c r="Z538" i="2"/>
  <c r="Y538" i="2"/>
  <c r="X538" i="2"/>
  <c r="W538" i="2"/>
  <c r="H538" i="2"/>
  <c r="Z537" i="2"/>
  <c r="Y537" i="2"/>
  <c r="X537" i="2"/>
  <c r="W537" i="2"/>
  <c r="H537" i="2"/>
  <c r="Z536" i="2"/>
  <c r="Y536" i="2"/>
  <c r="X536" i="2"/>
  <c r="W536" i="2"/>
  <c r="H536" i="2"/>
  <c r="Z535" i="2"/>
  <c r="Y535" i="2"/>
  <c r="X535" i="2"/>
  <c r="W535" i="2"/>
  <c r="H535" i="2"/>
  <c r="Z534" i="2"/>
  <c r="Y534" i="2"/>
  <c r="X534" i="2"/>
  <c r="W534" i="2"/>
  <c r="H534" i="2"/>
  <c r="Z533" i="2"/>
  <c r="Y533" i="2"/>
  <c r="X533" i="2"/>
  <c r="W533" i="2"/>
  <c r="H533" i="2"/>
  <c r="Z532" i="2"/>
  <c r="Y532" i="2"/>
  <c r="X532" i="2"/>
  <c r="W532" i="2"/>
  <c r="H532" i="2"/>
  <c r="Z531" i="2"/>
  <c r="Y531" i="2"/>
  <c r="X531" i="2"/>
  <c r="W531" i="2"/>
  <c r="H531" i="2"/>
  <c r="Z530" i="2"/>
  <c r="Y530" i="2"/>
  <c r="X530" i="2"/>
  <c r="W530" i="2"/>
  <c r="H530" i="2"/>
  <c r="Z529" i="2"/>
  <c r="Y529" i="2"/>
  <c r="X529" i="2"/>
  <c r="W529" i="2"/>
  <c r="H529" i="2"/>
  <c r="Z528" i="2"/>
  <c r="Y528" i="2"/>
  <c r="X528" i="2"/>
  <c r="W528" i="2"/>
  <c r="H528" i="2"/>
  <c r="Z527" i="2"/>
  <c r="Y527" i="2"/>
  <c r="X527" i="2"/>
  <c r="W527" i="2"/>
  <c r="H527" i="2"/>
  <c r="Z526" i="2"/>
  <c r="Y526" i="2"/>
  <c r="X526" i="2"/>
  <c r="W526" i="2"/>
  <c r="H526" i="2"/>
  <c r="Z525" i="2"/>
  <c r="Y525" i="2"/>
  <c r="X525" i="2"/>
  <c r="W525" i="2"/>
  <c r="H525" i="2"/>
  <c r="Z524" i="2"/>
  <c r="Y524" i="2"/>
  <c r="X524" i="2"/>
  <c r="W524" i="2"/>
  <c r="H524" i="2"/>
  <c r="Z523" i="2"/>
  <c r="Y523" i="2"/>
  <c r="X523" i="2"/>
  <c r="W523" i="2"/>
  <c r="H523" i="2"/>
  <c r="Z522" i="2"/>
  <c r="Y522" i="2"/>
  <c r="X522" i="2"/>
  <c r="W522" i="2"/>
  <c r="H522" i="2"/>
  <c r="Z521" i="2"/>
  <c r="Y521" i="2"/>
  <c r="X521" i="2"/>
  <c r="W521" i="2"/>
  <c r="H521" i="2"/>
  <c r="Z520" i="2"/>
  <c r="Y520" i="2"/>
  <c r="X520" i="2"/>
  <c r="W520" i="2"/>
  <c r="H520" i="2"/>
  <c r="Z519" i="2"/>
  <c r="Y519" i="2"/>
  <c r="X519" i="2"/>
  <c r="W519" i="2"/>
  <c r="H519" i="2"/>
  <c r="Z518" i="2"/>
  <c r="Y518" i="2"/>
  <c r="X518" i="2"/>
  <c r="W518" i="2"/>
  <c r="H518" i="2"/>
  <c r="Z517" i="2"/>
  <c r="Y517" i="2"/>
  <c r="X517" i="2"/>
  <c r="W517" i="2"/>
  <c r="H517" i="2"/>
  <c r="Z516" i="2"/>
  <c r="Y516" i="2"/>
  <c r="X516" i="2"/>
  <c r="W516" i="2"/>
  <c r="H516" i="2"/>
  <c r="Z515" i="2"/>
  <c r="Y515" i="2"/>
  <c r="X515" i="2"/>
  <c r="W515" i="2"/>
  <c r="H515" i="2"/>
  <c r="Z514" i="2"/>
  <c r="Y514" i="2"/>
  <c r="X514" i="2"/>
  <c r="W514" i="2"/>
  <c r="H514" i="2"/>
  <c r="Z513" i="2"/>
  <c r="Y513" i="2"/>
  <c r="X513" i="2"/>
  <c r="W513" i="2"/>
  <c r="H513" i="2"/>
  <c r="Z512" i="2"/>
  <c r="Y512" i="2"/>
  <c r="X512" i="2"/>
  <c r="W512" i="2"/>
  <c r="H512" i="2"/>
  <c r="Z511" i="2"/>
  <c r="Y511" i="2"/>
  <c r="X511" i="2"/>
  <c r="W511" i="2"/>
  <c r="H511" i="2"/>
  <c r="Z510" i="2"/>
  <c r="Y510" i="2"/>
  <c r="X510" i="2"/>
  <c r="W510" i="2"/>
  <c r="H510" i="2"/>
  <c r="Z509" i="2"/>
  <c r="Y509" i="2"/>
  <c r="X509" i="2"/>
  <c r="W509" i="2"/>
  <c r="H509" i="2"/>
  <c r="Z508" i="2"/>
  <c r="Y508" i="2"/>
  <c r="X508" i="2"/>
  <c r="W508" i="2"/>
  <c r="H508" i="2"/>
  <c r="Z507" i="2"/>
  <c r="Y507" i="2"/>
  <c r="X507" i="2"/>
  <c r="W507" i="2"/>
  <c r="H507" i="2"/>
  <c r="Z506" i="2"/>
  <c r="Y506" i="2"/>
  <c r="X506" i="2"/>
  <c r="W506" i="2"/>
  <c r="H506" i="2"/>
  <c r="Z505" i="2"/>
  <c r="Y505" i="2"/>
  <c r="X505" i="2"/>
  <c r="W505" i="2"/>
  <c r="H505" i="2"/>
  <c r="Z504" i="2"/>
  <c r="Y504" i="2"/>
  <c r="X504" i="2"/>
  <c r="W504" i="2"/>
  <c r="H504" i="2"/>
  <c r="Z503" i="2"/>
  <c r="Y503" i="2"/>
  <c r="X503" i="2"/>
  <c r="W503" i="2"/>
  <c r="H503" i="2"/>
  <c r="Z502" i="2"/>
  <c r="Y502" i="2"/>
  <c r="X502" i="2"/>
  <c r="W502" i="2"/>
  <c r="H502" i="2"/>
  <c r="Z501" i="2"/>
  <c r="Y501" i="2"/>
  <c r="X501" i="2"/>
  <c r="W501" i="2"/>
  <c r="H501" i="2"/>
  <c r="Z500" i="2"/>
  <c r="Y500" i="2"/>
  <c r="X500" i="2"/>
  <c r="W500" i="2"/>
  <c r="O500" i="2"/>
  <c r="N500" i="2"/>
  <c r="M500" i="2"/>
  <c r="H500" i="2"/>
  <c r="D500" i="2"/>
  <c r="Z499" i="2"/>
  <c r="Y499" i="2"/>
  <c r="X499" i="2"/>
  <c r="W499" i="2"/>
  <c r="O499" i="2"/>
  <c r="N499" i="2"/>
  <c r="M499" i="2"/>
  <c r="H499" i="2"/>
  <c r="D499" i="2"/>
  <c r="Z498" i="2"/>
  <c r="Y498" i="2"/>
  <c r="X498" i="2"/>
  <c r="W498" i="2"/>
  <c r="O498" i="2"/>
  <c r="N498" i="2"/>
  <c r="M498" i="2"/>
  <c r="H498" i="2"/>
  <c r="D498" i="2"/>
  <c r="Z497" i="2"/>
  <c r="Y497" i="2"/>
  <c r="X497" i="2"/>
  <c r="W497" i="2"/>
  <c r="O497" i="2"/>
  <c r="N497" i="2"/>
  <c r="M497" i="2"/>
  <c r="H497" i="2"/>
  <c r="D497" i="2"/>
  <c r="Z496" i="2"/>
  <c r="Y496" i="2"/>
  <c r="X496" i="2"/>
  <c r="W496" i="2"/>
  <c r="O496" i="2"/>
  <c r="N496" i="2"/>
  <c r="M496" i="2"/>
  <c r="H496" i="2"/>
  <c r="D496" i="2"/>
  <c r="Z495" i="2"/>
  <c r="Y495" i="2"/>
  <c r="X495" i="2"/>
  <c r="W495" i="2"/>
  <c r="O495" i="2"/>
  <c r="N495" i="2"/>
  <c r="M495" i="2"/>
  <c r="H495" i="2"/>
  <c r="D495" i="2"/>
  <c r="Z494" i="2"/>
  <c r="Y494" i="2"/>
  <c r="X494" i="2"/>
  <c r="W494" i="2"/>
  <c r="O494" i="2"/>
  <c r="N494" i="2"/>
  <c r="M494" i="2"/>
  <c r="H494" i="2"/>
  <c r="D494" i="2"/>
  <c r="Z493" i="2"/>
  <c r="Y493" i="2"/>
  <c r="X493" i="2"/>
  <c r="W493" i="2"/>
  <c r="O493" i="2"/>
  <c r="N493" i="2"/>
  <c r="M493" i="2"/>
  <c r="H493" i="2"/>
  <c r="D493" i="2"/>
  <c r="Z492" i="2"/>
  <c r="Y492" i="2"/>
  <c r="X492" i="2"/>
  <c r="W492" i="2"/>
  <c r="O492" i="2"/>
  <c r="N492" i="2"/>
  <c r="M492" i="2"/>
  <c r="H492" i="2"/>
  <c r="D492" i="2"/>
  <c r="Z491" i="2"/>
  <c r="Y491" i="2"/>
  <c r="X491" i="2"/>
  <c r="W491" i="2"/>
  <c r="O491" i="2"/>
  <c r="N491" i="2"/>
  <c r="M491" i="2"/>
  <c r="H491" i="2"/>
  <c r="D491" i="2"/>
  <c r="Z490" i="2"/>
  <c r="Y490" i="2"/>
  <c r="X490" i="2"/>
  <c r="W490" i="2"/>
  <c r="O490" i="2"/>
  <c r="N490" i="2"/>
  <c r="M490" i="2"/>
  <c r="H490" i="2"/>
  <c r="D490" i="2"/>
  <c r="Z489" i="2"/>
  <c r="Y489" i="2"/>
  <c r="X489" i="2"/>
  <c r="W489" i="2"/>
  <c r="O489" i="2"/>
  <c r="N489" i="2"/>
  <c r="M489" i="2"/>
  <c r="H489" i="2"/>
  <c r="D489" i="2"/>
  <c r="Z488" i="2"/>
  <c r="Y488" i="2"/>
  <c r="X488" i="2"/>
  <c r="W488" i="2"/>
  <c r="O488" i="2"/>
  <c r="N488" i="2"/>
  <c r="M488" i="2"/>
  <c r="H488" i="2"/>
  <c r="D488" i="2"/>
  <c r="Z487" i="2"/>
  <c r="Y487" i="2"/>
  <c r="X487" i="2"/>
  <c r="W487" i="2"/>
  <c r="O487" i="2"/>
  <c r="N487" i="2"/>
  <c r="M487" i="2"/>
  <c r="H487" i="2"/>
  <c r="D487" i="2"/>
  <c r="Z486" i="2"/>
  <c r="Y486" i="2"/>
  <c r="X486" i="2"/>
  <c r="W486" i="2"/>
  <c r="O486" i="2"/>
  <c r="N486" i="2"/>
  <c r="M486" i="2"/>
  <c r="H486" i="2"/>
  <c r="D486" i="2"/>
  <c r="Z485" i="2"/>
  <c r="Y485" i="2"/>
  <c r="X485" i="2"/>
  <c r="W485" i="2"/>
  <c r="O485" i="2"/>
  <c r="N485" i="2"/>
  <c r="M485" i="2"/>
  <c r="H485" i="2"/>
  <c r="D485" i="2"/>
  <c r="Z484" i="2"/>
  <c r="Y484" i="2"/>
  <c r="X484" i="2"/>
  <c r="W484" i="2"/>
  <c r="O484" i="2"/>
  <c r="N484" i="2"/>
  <c r="M484" i="2"/>
  <c r="H484" i="2"/>
  <c r="D484" i="2"/>
  <c r="Z483" i="2"/>
  <c r="Y483" i="2"/>
  <c r="X483" i="2"/>
  <c r="W483" i="2"/>
  <c r="O483" i="2"/>
  <c r="N483" i="2"/>
  <c r="M483" i="2"/>
  <c r="H483" i="2"/>
  <c r="D483" i="2"/>
  <c r="Z482" i="2"/>
  <c r="Y482" i="2"/>
  <c r="X482" i="2"/>
  <c r="W482" i="2"/>
  <c r="O482" i="2"/>
  <c r="N482" i="2"/>
  <c r="M482" i="2"/>
  <c r="H482" i="2"/>
  <c r="D482" i="2"/>
  <c r="Z481" i="2"/>
  <c r="Y481" i="2"/>
  <c r="X481" i="2"/>
  <c r="W481" i="2"/>
  <c r="O481" i="2"/>
  <c r="N481" i="2"/>
  <c r="M481" i="2"/>
  <c r="H481" i="2"/>
  <c r="D481" i="2"/>
  <c r="Z480" i="2"/>
  <c r="Y480" i="2"/>
  <c r="X480" i="2"/>
  <c r="W480" i="2"/>
  <c r="O480" i="2"/>
  <c r="N480" i="2"/>
  <c r="M480" i="2"/>
  <c r="H480" i="2"/>
  <c r="D480" i="2"/>
  <c r="Z479" i="2"/>
  <c r="Y479" i="2"/>
  <c r="X479" i="2"/>
  <c r="W479" i="2"/>
  <c r="O479" i="2"/>
  <c r="N479" i="2"/>
  <c r="M479" i="2"/>
  <c r="H479" i="2"/>
  <c r="D479" i="2"/>
  <c r="Z478" i="2"/>
  <c r="Y478" i="2"/>
  <c r="X478" i="2"/>
  <c r="W478" i="2"/>
  <c r="O478" i="2"/>
  <c r="N478" i="2"/>
  <c r="M478" i="2"/>
  <c r="H478" i="2"/>
  <c r="D478" i="2"/>
  <c r="Z477" i="2"/>
  <c r="Y477" i="2"/>
  <c r="X477" i="2"/>
  <c r="W477" i="2"/>
  <c r="O477" i="2"/>
  <c r="N477" i="2"/>
  <c r="M477" i="2"/>
  <c r="H477" i="2"/>
  <c r="D477" i="2"/>
  <c r="Z476" i="2"/>
  <c r="Y476" i="2"/>
  <c r="X476" i="2"/>
  <c r="W476" i="2"/>
  <c r="O476" i="2"/>
  <c r="N476" i="2"/>
  <c r="M476" i="2"/>
  <c r="H476" i="2"/>
  <c r="D476" i="2"/>
  <c r="Z475" i="2"/>
  <c r="Y475" i="2"/>
  <c r="X475" i="2"/>
  <c r="W475" i="2"/>
  <c r="O475" i="2"/>
  <c r="N475" i="2"/>
  <c r="M475" i="2"/>
  <c r="H475" i="2"/>
  <c r="D475" i="2"/>
  <c r="Z474" i="2"/>
  <c r="Y474" i="2"/>
  <c r="X474" i="2"/>
  <c r="W474" i="2"/>
  <c r="O474" i="2"/>
  <c r="N474" i="2"/>
  <c r="M474" i="2"/>
  <c r="H474" i="2"/>
  <c r="D474" i="2"/>
  <c r="Z473" i="2"/>
  <c r="Y473" i="2"/>
  <c r="X473" i="2"/>
  <c r="W473" i="2"/>
  <c r="O473" i="2"/>
  <c r="N473" i="2"/>
  <c r="M473" i="2"/>
  <c r="H473" i="2"/>
  <c r="D473" i="2"/>
  <c r="Z472" i="2"/>
  <c r="Y472" i="2"/>
  <c r="X472" i="2"/>
  <c r="W472" i="2"/>
  <c r="O472" i="2"/>
  <c r="N472" i="2"/>
  <c r="M472" i="2"/>
  <c r="H472" i="2"/>
  <c r="D472" i="2"/>
  <c r="Z471" i="2"/>
  <c r="Y471" i="2"/>
  <c r="X471" i="2"/>
  <c r="W471" i="2"/>
  <c r="O471" i="2"/>
  <c r="N471" i="2"/>
  <c r="M471" i="2"/>
  <c r="H471" i="2"/>
  <c r="D471" i="2"/>
  <c r="Z470" i="2"/>
  <c r="Y470" i="2"/>
  <c r="X470" i="2"/>
  <c r="W470" i="2"/>
  <c r="O470" i="2"/>
  <c r="N470" i="2"/>
  <c r="M470" i="2"/>
  <c r="H470" i="2"/>
  <c r="D470" i="2"/>
  <c r="Z469" i="2"/>
  <c r="Y469" i="2"/>
  <c r="X469" i="2"/>
  <c r="W469" i="2"/>
  <c r="O469" i="2"/>
  <c r="N469" i="2"/>
  <c r="M469" i="2"/>
  <c r="H469" i="2"/>
  <c r="D469" i="2"/>
  <c r="Z468" i="2"/>
  <c r="Y468" i="2"/>
  <c r="X468" i="2"/>
  <c r="W468" i="2"/>
  <c r="O468" i="2"/>
  <c r="N468" i="2"/>
  <c r="M468" i="2"/>
  <c r="H468" i="2"/>
  <c r="D468" i="2"/>
  <c r="Z467" i="2"/>
  <c r="Y467" i="2"/>
  <c r="X467" i="2"/>
  <c r="W467" i="2"/>
  <c r="O467" i="2"/>
  <c r="N467" i="2"/>
  <c r="M467" i="2"/>
  <c r="H467" i="2"/>
  <c r="D467" i="2"/>
  <c r="Z466" i="2"/>
  <c r="Y466" i="2"/>
  <c r="X466" i="2"/>
  <c r="W466" i="2"/>
  <c r="O466" i="2"/>
  <c r="N466" i="2"/>
  <c r="M466" i="2"/>
  <c r="H466" i="2"/>
  <c r="D466" i="2"/>
  <c r="Z465" i="2"/>
  <c r="Y465" i="2"/>
  <c r="X465" i="2"/>
  <c r="W465" i="2"/>
  <c r="O465" i="2"/>
  <c r="N465" i="2"/>
  <c r="M465" i="2"/>
  <c r="H465" i="2"/>
  <c r="D465" i="2"/>
  <c r="Z464" i="2"/>
  <c r="Y464" i="2"/>
  <c r="X464" i="2"/>
  <c r="W464" i="2"/>
  <c r="O464" i="2"/>
  <c r="N464" i="2"/>
  <c r="M464" i="2"/>
  <c r="H464" i="2"/>
  <c r="D464" i="2"/>
  <c r="Z463" i="2"/>
  <c r="Y463" i="2"/>
  <c r="X463" i="2"/>
  <c r="W463" i="2"/>
  <c r="O463" i="2"/>
  <c r="N463" i="2"/>
  <c r="M463" i="2"/>
  <c r="H463" i="2"/>
  <c r="D463" i="2"/>
  <c r="Z462" i="2"/>
  <c r="Y462" i="2"/>
  <c r="X462" i="2"/>
  <c r="W462" i="2"/>
  <c r="O462" i="2"/>
  <c r="N462" i="2"/>
  <c r="M462" i="2"/>
  <c r="H462" i="2"/>
  <c r="D462" i="2"/>
  <c r="Z461" i="2"/>
  <c r="Y461" i="2"/>
  <c r="X461" i="2"/>
  <c r="W461" i="2"/>
  <c r="O461" i="2"/>
  <c r="N461" i="2"/>
  <c r="M461" i="2"/>
  <c r="H461" i="2"/>
  <c r="D461" i="2"/>
  <c r="Z460" i="2"/>
  <c r="Y460" i="2"/>
  <c r="X460" i="2"/>
  <c r="W460" i="2"/>
  <c r="O460" i="2"/>
  <c r="N460" i="2"/>
  <c r="M460" i="2"/>
  <c r="H460" i="2"/>
  <c r="D460" i="2"/>
  <c r="Z459" i="2"/>
  <c r="Y459" i="2"/>
  <c r="X459" i="2"/>
  <c r="W459" i="2"/>
  <c r="O459" i="2"/>
  <c r="N459" i="2"/>
  <c r="M459" i="2"/>
  <c r="H459" i="2"/>
  <c r="D459" i="2"/>
  <c r="Z458" i="2"/>
  <c r="Y458" i="2"/>
  <c r="X458" i="2"/>
  <c r="W458" i="2"/>
  <c r="O458" i="2"/>
  <c r="N458" i="2"/>
  <c r="M458" i="2"/>
  <c r="H458" i="2"/>
  <c r="D458" i="2"/>
  <c r="Z457" i="2"/>
  <c r="Y457" i="2"/>
  <c r="X457" i="2"/>
  <c r="W457" i="2"/>
  <c r="O457" i="2"/>
  <c r="N457" i="2"/>
  <c r="M457" i="2"/>
  <c r="H457" i="2"/>
  <c r="D457" i="2"/>
  <c r="Z456" i="2"/>
  <c r="Y456" i="2"/>
  <c r="X456" i="2"/>
  <c r="W456" i="2"/>
  <c r="O456" i="2"/>
  <c r="N456" i="2"/>
  <c r="M456" i="2"/>
  <c r="H456" i="2"/>
  <c r="D456" i="2"/>
  <c r="Z455" i="2"/>
  <c r="Y455" i="2"/>
  <c r="X455" i="2"/>
  <c r="W455" i="2"/>
  <c r="O455" i="2"/>
  <c r="N455" i="2"/>
  <c r="M455" i="2"/>
  <c r="H455" i="2"/>
  <c r="D455" i="2"/>
  <c r="Z454" i="2"/>
  <c r="Y454" i="2"/>
  <c r="X454" i="2"/>
  <c r="W454" i="2"/>
  <c r="O454" i="2"/>
  <c r="N454" i="2"/>
  <c r="M454" i="2"/>
  <c r="H454" i="2"/>
  <c r="D454" i="2"/>
  <c r="Z453" i="2"/>
  <c r="Y453" i="2"/>
  <c r="X453" i="2"/>
  <c r="W453" i="2"/>
  <c r="O453" i="2"/>
  <c r="N453" i="2"/>
  <c r="M453" i="2"/>
  <c r="H453" i="2"/>
  <c r="D453" i="2"/>
  <c r="Z452" i="2"/>
  <c r="Y452" i="2"/>
  <c r="X452" i="2"/>
  <c r="W452" i="2"/>
  <c r="O452" i="2"/>
  <c r="N452" i="2"/>
  <c r="M452" i="2"/>
  <c r="H452" i="2"/>
  <c r="D452" i="2"/>
  <c r="Z451" i="2"/>
  <c r="Y451" i="2"/>
  <c r="X451" i="2"/>
  <c r="W451" i="2"/>
  <c r="O451" i="2"/>
  <c r="N451" i="2"/>
  <c r="M451" i="2"/>
  <c r="H451" i="2"/>
  <c r="D451" i="2"/>
  <c r="Z450" i="2"/>
  <c r="Y450" i="2"/>
  <c r="X450" i="2"/>
  <c r="W450" i="2"/>
  <c r="O450" i="2"/>
  <c r="N450" i="2"/>
  <c r="M450" i="2"/>
  <c r="H450" i="2"/>
  <c r="D450" i="2"/>
  <c r="Z449" i="2"/>
  <c r="Y449" i="2"/>
  <c r="X449" i="2"/>
  <c r="W449" i="2"/>
  <c r="O449" i="2"/>
  <c r="N449" i="2"/>
  <c r="M449" i="2"/>
  <c r="H449" i="2"/>
  <c r="D449" i="2"/>
  <c r="Z448" i="2"/>
  <c r="Y448" i="2"/>
  <c r="X448" i="2"/>
  <c r="W448" i="2"/>
  <c r="O448" i="2"/>
  <c r="N448" i="2"/>
  <c r="M448" i="2"/>
  <c r="H448" i="2"/>
  <c r="D448" i="2"/>
  <c r="Z447" i="2"/>
  <c r="Y447" i="2"/>
  <c r="X447" i="2"/>
  <c r="W447" i="2"/>
  <c r="O447" i="2"/>
  <c r="N447" i="2"/>
  <c r="M447" i="2"/>
  <c r="H447" i="2"/>
  <c r="D447" i="2"/>
  <c r="Z446" i="2"/>
  <c r="Y446" i="2"/>
  <c r="X446" i="2"/>
  <c r="W446" i="2"/>
  <c r="O446" i="2"/>
  <c r="N446" i="2"/>
  <c r="M446" i="2"/>
  <c r="H446" i="2"/>
  <c r="D446" i="2"/>
  <c r="Z445" i="2"/>
  <c r="Y445" i="2"/>
  <c r="X445" i="2"/>
  <c r="W445" i="2"/>
  <c r="O445" i="2"/>
  <c r="N445" i="2"/>
  <c r="M445" i="2"/>
  <c r="H445" i="2"/>
  <c r="D445" i="2"/>
  <c r="Z444" i="2"/>
  <c r="Y444" i="2"/>
  <c r="X444" i="2"/>
  <c r="W444" i="2"/>
  <c r="O444" i="2"/>
  <c r="N444" i="2"/>
  <c r="M444" i="2"/>
  <c r="H444" i="2"/>
  <c r="D444" i="2"/>
  <c r="Z443" i="2"/>
  <c r="Y443" i="2"/>
  <c r="X443" i="2"/>
  <c r="W443" i="2"/>
  <c r="O443" i="2"/>
  <c r="N443" i="2"/>
  <c r="M443" i="2"/>
  <c r="H443" i="2"/>
  <c r="D443" i="2"/>
  <c r="Z442" i="2"/>
  <c r="Y442" i="2"/>
  <c r="X442" i="2"/>
  <c r="W442" i="2"/>
  <c r="O442" i="2"/>
  <c r="N442" i="2"/>
  <c r="M442" i="2"/>
  <c r="H442" i="2"/>
  <c r="D442" i="2"/>
  <c r="Z441" i="2"/>
  <c r="Y441" i="2"/>
  <c r="X441" i="2"/>
  <c r="W441" i="2"/>
  <c r="O441" i="2"/>
  <c r="N441" i="2"/>
  <c r="M441" i="2"/>
  <c r="H441" i="2"/>
  <c r="D441" i="2"/>
  <c r="Z440" i="2"/>
  <c r="Y440" i="2"/>
  <c r="X440" i="2"/>
  <c r="W440" i="2"/>
  <c r="O440" i="2"/>
  <c r="N440" i="2"/>
  <c r="M440" i="2"/>
  <c r="H440" i="2"/>
  <c r="D440" i="2"/>
  <c r="Z439" i="2"/>
  <c r="Y439" i="2"/>
  <c r="X439" i="2"/>
  <c r="W439" i="2"/>
  <c r="O439" i="2"/>
  <c r="N439" i="2"/>
  <c r="M439" i="2"/>
  <c r="H439" i="2"/>
  <c r="D439" i="2"/>
  <c r="Z438" i="2"/>
  <c r="Y438" i="2"/>
  <c r="X438" i="2"/>
  <c r="W438" i="2"/>
  <c r="O438" i="2"/>
  <c r="N438" i="2"/>
  <c r="M438" i="2"/>
  <c r="H438" i="2"/>
  <c r="D438" i="2"/>
  <c r="Z437" i="2"/>
  <c r="Y437" i="2"/>
  <c r="X437" i="2"/>
  <c r="W437" i="2"/>
  <c r="O437" i="2"/>
  <c r="N437" i="2"/>
  <c r="M437" i="2"/>
  <c r="H437" i="2"/>
  <c r="D437" i="2"/>
  <c r="Z436" i="2"/>
  <c r="Y436" i="2"/>
  <c r="X436" i="2"/>
  <c r="W436" i="2"/>
  <c r="O436" i="2"/>
  <c r="N436" i="2"/>
  <c r="M436" i="2"/>
  <c r="H436" i="2"/>
  <c r="D436" i="2"/>
  <c r="Z435" i="2"/>
  <c r="Y435" i="2"/>
  <c r="X435" i="2"/>
  <c r="W435" i="2"/>
  <c r="O435" i="2"/>
  <c r="N435" i="2"/>
  <c r="M435" i="2"/>
  <c r="H435" i="2"/>
  <c r="D435" i="2"/>
  <c r="Z434" i="2"/>
  <c r="Y434" i="2"/>
  <c r="X434" i="2"/>
  <c r="W434" i="2"/>
  <c r="O434" i="2"/>
  <c r="N434" i="2"/>
  <c r="M434" i="2"/>
  <c r="H434" i="2"/>
  <c r="D434" i="2"/>
  <c r="Z433" i="2"/>
  <c r="Y433" i="2"/>
  <c r="X433" i="2"/>
  <c r="W433" i="2"/>
  <c r="O433" i="2"/>
  <c r="N433" i="2"/>
  <c r="M433" i="2"/>
  <c r="H433" i="2"/>
  <c r="D433" i="2"/>
  <c r="Z432" i="2"/>
  <c r="Y432" i="2"/>
  <c r="X432" i="2"/>
  <c r="W432" i="2"/>
  <c r="O432" i="2"/>
  <c r="N432" i="2"/>
  <c r="M432" i="2"/>
  <c r="H432" i="2"/>
  <c r="D432" i="2"/>
  <c r="Z431" i="2"/>
  <c r="Y431" i="2"/>
  <c r="X431" i="2"/>
  <c r="W431" i="2"/>
  <c r="O431" i="2"/>
  <c r="N431" i="2"/>
  <c r="M431" i="2"/>
  <c r="H431" i="2"/>
  <c r="D431" i="2"/>
  <c r="Z430" i="2"/>
  <c r="Y430" i="2"/>
  <c r="X430" i="2"/>
  <c r="W430" i="2"/>
  <c r="O430" i="2"/>
  <c r="N430" i="2"/>
  <c r="M430" i="2"/>
  <c r="H430" i="2"/>
  <c r="D430" i="2"/>
  <c r="Z429" i="2"/>
  <c r="Y429" i="2"/>
  <c r="X429" i="2"/>
  <c r="W429" i="2"/>
  <c r="O429" i="2"/>
  <c r="N429" i="2"/>
  <c r="M429" i="2"/>
  <c r="H429" i="2"/>
  <c r="D429" i="2"/>
  <c r="Z428" i="2"/>
  <c r="Y428" i="2"/>
  <c r="X428" i="2"/>
  <c r="W428" i="2"/>
  <c r="O428" i="2"/>
  <c r="N428" i="2"/>
  <c r="M428" i="2"/>
  <c r="H428" i="2"/>
  <c r="D428" i="2"/>
  <c r="Z427" i="2"/>
  <c r="Y427" i="2"/>
  <c r="X427" i="2"/>
  <c r="W427" i="2"/>
  <c r="O427" i="2"/>
  <c r="N427" i="2"/>
  <c r="M427" i="2"/>
  <c r="H427" i="2"/>
  <c r="D427" i="2"/>
  <c r="Z426" i="2"/>
  <c r="Y426" i="2"/>
  <c r="X426" i="2"/>
  <c r="W426" i="2"/>
  <c r="O426" i="2"/>
  <c r="N426" i="2"/>
  <c r="M426" i="2"/>
  <c r="H426" i="2"/>
  <c r="D426" i="2"/>
  <c r="Z425" i="2"/>
  <c r="Y425" i="2"/>
  <c r="X425" i="2"/>
  <c r="W425" i="2"/>
  <c r="O425" i="2"/>
  <c r="N425" i="2"/>
  <c r="M425" i="2"/>
  <c r="H425" i="2"/>
  <c r="D425" i="2"/>
  <c r="Z424" i="2"/>
  <c r="Y424" i="2"/>
  <c r="X424" i="2"/>
  <c r="W424" i="2"/>
  <c r="O424" i="2"/>
  <c r="N424" i="2"/>
  <c r="M424" i="2"/>
  <c r="H424" i="2"/>
  <c r="D424" i="2"/>
  <c r="Z423" i="2"/>
  <c r="Y423" i="2"/>
  <c r="X423" i="2"/>
  <c r="W423" i="2"/>
  <c r="O423" i="2"/>
  <c r="N423" i="2"/>
  <c r="M423" i="2"/>
  <c r="H423" i="2"/>
  <c r="D423" i="2"/>
  <c r="Z422" i="2"/>
  <c r="Y422" i="2"/>
  <c r="X422" i="2"/>
  <c r="W422" i="2"/>
  <c r="O422" i="2"/>
  <c r="N422" i="2"/>
  <c r="M422" i="2"/>
  <c r="H422" i="2"/>
  <c r="D422" i="2"/>
  <c r="Z421" i="2"/>
  <c r="Y421" i="2"/>
  <c r="X421" i="2"/>
  <c r="W421" i="2"/>
  <c r="O421" i="2"/>
  <c r="N421" i="2"/>
  <c r="M421" i="2"/>
  <c r="H421" i="2"/>
  <c r="D421" i="2"/>
  <c r="Z420" i="2"/>
  <c r="Y420" i="2"/>
  <c r="X420" i="2"/>
  <c r="W420" i="2"/>
  <c r="O420" i="2"/>
  <c r="N420" i="2"/>
  <c r="M420" i="2"/>
  <c r="H420" i="2"/>
  <c r="D420" i="2"/>
  <c r="Z419" i="2"/>
  <c r="Y419" i="2"/>
  <c r="X419" i="2"/>
  <c r="W419" i="2"/>
  <c r="O419" i="2"/>
  <c r="N419" i="2"/>
  <c r="M419" i="2"/>
  <c r="H419" i="2"/>
  <c r="D419" i="2"/>
  <c r="Z418" i="2"/>
  <c r="Y418" i="2"/>
  <c r="X418" i="2"/>
  <c r="W418" i="2"/>
  <c r="O418" i="2"/>
  <c r="N418" i="2"/>
  <c r="M418" i="2"/>
  <c r="H418" i="2"/>
  <c r="D418" i="2"/>
  <c r="Z417" i="2"/>
  <c r="Y417" i="2"/>
  <c r="X417" i="2"/>
  <c r="W417" i="2"/>
  <c r="O417" i="2"/>
  <c r="N417" i="2"/>
  <c r="M417" i="2"/>
  <c r="H417" i="2"/>
  <c r="D417" i="2"/>
  <c r="Z416" i="2"/>
  <c r="Y416" i="2"/>
  <c r="X416" i="2"/>
  <c r="W416" i="2"/>
  <c r="O416" i="2"/>
  <c r="N416" i="2"/>
  <c r="M416" i="2"/>
  <c r="H416" i="2"/>
  <c r="D416" i="2"/>
  <c r="Z415" i="2"/>
  <c r="Y415" i="2"/>
  <c r="X415" i="2"/>
  <c r="W415" i="2"/>
  <c r="O415" i="2"/>
  <c r="N415" i="2"/>
  <c r="M415" i="2"/>
  <c r="H415" i="2"/>
  <c r="D415" i="2"/>
  <c r="Z414" i="2"/>
  <c r="Y414" i="2"/>
  <c r="X414" i="2"/>
  <c r="W414" i="2"/>
  <c r="O414" i="2"/>
  <c r="N414" i="2"/>
  <c r="M414" i="2"/>
  <c r="H414" i="2"/>
  <c r="D414" i="2"/>
  <c r="Z413" i="2"/>
  <c r="Y413" i="2"/>
  <c r="X413" i="2"/>
  <c r="W413" i="2"/>
  <c r="O413" i="2"/>
  <c r="N413" i="2"/>
  <c r="M413" i="2"/>
  <c r="H413" i="2"/>
  <c r="D413" i="2"/>
  <c r="Z412" i="2"/>
  <c r="Y412" i="2"/>
  <c r="X412" i="2"/>
  <c r="W412" i="2"/>
  <c r="O412" i="2"/>
  <c r="N412" i="2"/>
  <c r="M412" i="2"/>
  <c r="H412" i="2"/>
  <c r="D412" i="2"/>
  <c r="Z411" i="2"/>
  <c r="Y411" i="2"/>
  <c r="X411" i="2"/>
  <c r="W411" i="2"/>
  <c r="O411" i="2"/>
  <c r="N411" i="2"/>
  <c r="M411" i="2"/>
  <c r="H411" i="2"/>
  <c r="D411" i="2"/>
  <c r="Z410" i="2"/>
  <c r="Y410" i="2"/>
  <c r="X410" i="2"/>
  <c r="W410" i="2"/>
  <c r="O410" i="2"/>
  <c r="N410" i="2"/>
  <c r="M410" i="2"/>
  <c r="H410" i="2"/>
  <c r="D410" i="2"/>
  <c r="Z409" i="2"/>
  <c r="Y409" i="2"/>
  <c r="X409" i="2"/>
  <c r="W409" i="2"/>
  <c r="O409" i="2"/>
  <c r="N409" i="2"/>
  <c r="M409" i="2"/>
  <c r="H409" i="2"/>
  <c r="D409" i="2"/>
  <c r="Z408" i="2"/>
  <c r="Y408" i="2"/>
  <c r="X408" i="2"/>
  <c r="W408" i="2"/>
  <c r="O408" i="2"/>
  <c r="N408" i="2"/>
  <c r="M408" i="2"/>
  <c r="H408" i="2"/>
  <c r="D408" i="2"/>
  <c r="Z407" i="2"/>
  <c r="Y407" i="2"/>
  <c r="X407" i="2"/>
  <c r="W407" i="2"/>
  <c r="O407" i="2"/>
  <c r="N407" i="2"/>
  <c r="M407" i="2"/>
  <c r="H407" i="2"/>
  <c r="D407" i="2"/>
  <c r="Z406" i="2"/>
  <c r="Y406" i="2"/>
  <c r="X406" i="2"/>
  <c r="W406" i="2"/>
  <c r="O406" i="2"/>
  <c r="N406" i="2"/>
  <c r="M406" i="2"/>
  <c r="H406" i="2"/>
  <c r="D406" i="2"/>
  <c r="Z405" i="2"/>
  <c r="Y405" i="2"/>
  <c r="X405" i="2"/>
  <c r="W405" i="2"/>
  <c r="O405" i="2"/>
  <c r="N405" i="2"/>
  <c r="M405" i="2"/>
  <c r="H405" i="2"/>
  <c r="D405" i="2"/>
  <c r="Z404" i="2"/>
  <c r="Y404" i="2"/>
  <c r="X404" i="2"/>
  <c r="W404" i="2"/>
  <c r="O404" i="2"/>
  <c r="N404" i="2"/>
  <c r="M404" i="2"/>
  <c r="H404" i="2"/>
  <c r="D404" i="2"/>
  <c r="Z403" i="2"/>
  <c r="Y403" i="2"/>
  <c r="X403" i="2"/>
  <c r="W403" i="2"/>
  <c r="O403" i="2"/>
  <c r="N403" i="2"/>
  <c r="M403" i="2"/>
  <c r="H403" i="2"/>
  <c r="D403" i="2"/>
  <c r="Z402" i="2"/>
  <c r="Y402" i="2"/>
  <c r="X402" i="2"/>
  <c r="W402" i="2"/>
  <c r="O402" i="2"/>
  <c r="N402" i="2"/>
  <c r="M402" i="2"/>
  <c r="H402" i="2"/>
  <c r="D402" i="2"/>
  <c r="Z401" i="2"/>
  <c r="Y401" i="2"/>
  <c r="X401" i="2"/>
  <c r="W401" i="2"/>
  <c r="O401" i="2"/>
  <c r="N401" i="2"/>
  <c r="M401" i="2"/>
  <c r="H401" i="2"/>
  <c r="D401" i="2"/>
  <c r="Z400" i="2"/>
  <c r="Y400" i="2"/>
  <c r="X400" i="2"/>
  <c r="W400" i="2"/>
  <c r="O400" i="2"/>
  <c r="N400" i="2"/>
  <c r="M400" i="2"/>
  <c r="H400" i="2"/>
  <c r="D400" i="2"/>
  <c r="Z399" i="2"/>
  <c r="Y399" i="2"/>
  <c r="X399" i="2"/>
  <c r="W399" i="2"/>
  <c r="O399" i="2"/>
  <c r="N399" i="2"/>
  <c r="M399" i="2"/>
  <c r="H399" i="2"/>
  <c r="D399" i="2"/>
  <c r="Z398" i="2"/>
  <c r="Y398" i="2"/>
  <c r="X398" i="2"/>
  <c r="W398" i="2"/>
  <c r="O398" i="2"/>
  <c r="N398" i="2"/>
  <c r="M398" i="2"/>
  <c r="H398" i="2"/>
  <c r="D398" i="2"/>
  <c r="Z397" i="2"/>
  <c r="Y397" i="2"/>
  <c r="X397" i="2"/>
  <c r="W397" i="2"/>
  <c r="O397" i="2"/>
  <c r="N397" i="2"/>
  <c r="M397" i="2"/>
  <c r="H397" i="2"/>
  <c r="D397" i="2"/>
  <c r="Z396" i="2"/>
  <c r="Y396" i="2"/>
  <c r="X396" i="2"/>
  <c r="W396" i="2"/>
  <c r="O396" i="2"/>
  <c r="N396" i="2"/>
  <c r="M396" i="2"/>
  <c r="H396" i="2"/>
  <c r="D396" i="2"/>
  <c r="Z395" i="2"/>
  <c r="Y395" i="2"/>
  <c r="X395" i="2"/>
  <c r="W395" i="2"/>
  <c r="O395" i="2"/>
  <c r="N395" i="2"/>
  <c r="M395" i="2"/>
  <c r="H395" i="2"/>
  <c r="D395" i="2"/>
  <c r="Z394" i="2"/>
  <c r="Y394" i="2"/>
  <c r="X394" i="2"/>
  <c r="W394" i="2"/>
  <c r="O394" i="2"/>
  <c r="N394" i="2"/>
  <c r="M394" i="2"/>
  <c r="H394" i="2"/>
  <c r="D394" i="2"/>
  <c r="Z393" i="2"/>
  <c r="Y393" i="2"/>
  <c r="X393" i="2"/>
  <c r="W393" i="2"/>
  <c r="O393" i="2"/>
  <c r="N393" i="2"/>
  <c r="M393" i="2"/>
  <c r="H393" i="2"/>
  <c r="D393" i="2"/>
  <c r="Z392" i="2"/>
  <c r="Y392" i="2"/>
  <c r="X392" i="2"/>
  <c r="W392" i="2"/>
  <c r="O392" i="2"/>
  <c r="N392" i="2"/>
  <c r="M392" i="2"/>
  <c r="H392" i="2"/>
  <c r="D392" i="2"/>
  <c r="Z391" i="2"/>
  <c r="Y391" i="2"/>
  <c r="X391" i="2"/>
  <c r="W391" i="2"/>
  <c r="O391" i="2"/>
  <c r="N391" i="2"/>
  <c r="M391" i="2"/>
  <c r="H391" i="2"/>
  <c r="D391" i="2"/>
  <c r="Z390" i="2"/>
  <c r="Y390" i="2"/>
  <c r="X390" i="2"/>
  <c r="W390" i="2"/>
  <c r="O390" i="2"/>
  <c r="N390" i="2"/>
  <c r="M390" i="2"/>
  <c r="H390" i="2"/>
  <c r="D390" i="2"/>
  <c r="Z389" i="2"/>
  <c r="Y389" i="2"/>
  <c r="X389" i="2"/>
  <c r="W389" i="2"/>
  <c r="O389" i="2"/>
  <c r="N389" i="2"/>
  <c r="M389" i="2"/>
  <c r="H389" i="2"/>
  <c r="D389" i="2"/>
  <c r="Z388" i="2"/>
  <c r="Y388" i="2"/>
  <c r="X388" i="2"/>
  <c r="W388" i="2"/>
  <c r="O388" i="2"/>
  <c r="N388" i="2"/>
  <c r="M388" i="2"/>
  <c r="H388" i="2"/>
  <c r="D388" i="2"/>
  <c r="Z387" i="2"/>
  <c r="Y387" i="2"/>
  <c r="X387" i="2"/>
  <c r="W387" i="2"/>
  <c r="O387" i="2"/>
  <c r="N387" i="2"/>
  <c r="M387" i="2"/>
  <c r="H387" i="2"/>
  <c r="D387" i="2"/>
  <c r="Z386" i="2"/>
  <c r="Y386" i="2"/>
  <c r="X386" i="2"/>
  <c r="W386" i="2"/>
  <c r="O386" i="2"/>
  <c r="N386" i="2"/>
  <c r="M386" i="2"/>
  <c r="H386" i="2"/>
  <c r="D386" i="2"/>
  <c r="Z385" i="2"/>
  <c r="Y385" i="2"/>
  <c r="X385" i="2"/>
  <c r="W385" i="2"/>
  <c r="O385" i="2"/>
  <c r="N385" i="2"/>
  <c r="M385" i="2"/>
  <c r="H385" i="2"/>
  <c r="D385" i="2"/>
  <c r="Z384" i="2"/>
  <c r="Y384" i="2"/>
  <c r="X384" i="2"/>
  <c r="W384" i="2"/>
  <c r="O384" i="2"/>
  <c r="N384" i="2"/>
  <c r="M384" i="2"/>
  <c r="H384" i="2"/>
  <c r="D384" i="2"/>
  <c r="Z383" i="2"/>
  <c r="Y383" i="2"/>
  <c r="X383" i="2"/>
  <c r="W383" i="2"/>
  <c r="O383" i="2"/>
  <c r="N383" i="2"/>
  <c r="M383" i="2"/>
  <c r="H383" i="2"/>
  <c r="D383" i="2"/>
  <c r="Z382" i="2"/>
  <c r="Y382" i="2"/>
  <c r="X382" i="2"/>
  <c r="W382" i="2"/>
  <c r="O382" i="2"/>
  <c r="N382" i="2"/>
  <c r="M382" i="2"/>
  <c r="H382" i="2"/>
  <c r="D382" i="2"/>
  <c r="Z381" i="2"/>
  <c r="Y381" i="2"/>
  <c r="X381" i="2"/>
  <c r="W381" i="2"/>
  <c r="O381" i="2"/>
  <c r="N381" i="2"/>
  <c r="M381" i="2"/>
  <c r="H381" i="2"/>
  <c r="D381" i="2"/>
  <c r="Z380" i="2"/>
  <c r="Y380" i="2"/>
  <c r="X380" i="2"/>
  <c r="W380" i="2"/>
  <c r="O380" i="2"/>
  <c r="N380" i="2"/>
  <c r="M380" i="2"/>
  <c r="H380" i="2"/>
  <c r="D380" i="2"/>
  <c r="Z379" i="2"/>
  <c r="Y379" i="2"/>
  <c r="X379" i="2"/>
  <c r="W379" i="2"/>
  <c r="O379" i="2"/>
  <c r="N379" i="2"/>
  <c r="M379" i="2"/>
  <c r="H379" i="2"/>
  <c r="D379" i="2"/>
  <c r="Z378" i="2"/>
  <c r="Y378" i="2"/>
  <c r="X378" i="2"/>
  <c r="W378" i="2"/>
  <c r="O378" i="2"/>
  <c r="N378" i="2"/>
  <c r="M378" i="2"/>
  <c r="H378" i="2"/>
  <c r="D378" i="2"/>
  <c r="Z377" i="2"/>
  <c r="Y377" i="2"/>
  <c r="X377" i="2"/>
  <c r="W377" i="2"/>
  <c r="O377" i="2"/>
  <c r="N377" i="2"/>
  <c r="M377" i="2"/>
  <c r="H377" i="2"/>
  <c r="D377" i="2"/>
  <c r="Z376" i="2"/>
  <c r="Y376" i="2"/>
  <c r="X376" i="2"/>
  <c r="W376" i="2"/>
  <c r="O376" i="2"/>
  <c r="N376" i="2"/>
  <c r="M376" i="2"/>
  <c r="H376" i="2"/>
  <c r="D376" i="2"/>
  <c r="Z375" i="2"/>
  <c r="Y375" i="2"/>
  <c r="X375" i="2"/>
  <c r="W375" i="2"/>
  <c r="O375" i="2"/>
  <c r="N375" i="2"/>
  <c r="M375" i="2"/>
  <c r="H375" i="2"/>
  <c r="D375" i="2"/>
  <c r="Z374" i="2"/>
  <c r="Y374" i="2"/>
  <c r="X374" i="2"/>
  <c r="W374" i="2"/>
  <c r="O374" i="2"/>
  <c r="N374" i="2"/>
  <c r="M374" i="2"/>
  <c r="H374" i="2"/>
  <c r="D374" i="2"/>
  <c r="Z373" i="2"/>
  <c r="Y373" i="2"/>
  <c r="X373" i="2"/>
  <c r="W373" i="2"/>
  <c r="O373" i="2"/>
  <c r="N373" i="2"/>
  <c r="M373" i="2"/>
  <c r="H373" i="2"/>
  <c r="D373" i="2"/>
  <c r="Z372" i="2"/>
  <c r="Y372" i="2"/>
  <c r="X372" i="2"/>
  <c r="W372" i="2"/>
  <c r="O372" i="2"/>
  <c r="N372" i="2"/>
  <c r="M372" i="2"/>
  <c r="H372" i="2"/>
  <c r="D372" i="2"/>
  <c r="Z371" i="2"/>
  <c r="Y371" i="2"/>
  <c r="X371" i="2"/>
  <c r="W371" i="2"/>
  <c r="O371" i="2"/>
  <c r="N371" i="2"/>
  <c r="M371" i="2"/>
  <c r="H371" i="2"/>
  <c r="D371" i="2"/>
  <c r="Z370" i="2"/>
  <c r="Y370" i="2"/>
  <c r="X370" i="2"/>
  <c r="W370" i="2"/>
  <c r="O370" i="2"/>
  <c r="N370" i="2"/>
  <c r="M370" i="2"/>
  <c r="H370" i="2"/>
  <c r="D370" i="2"/>
  <c r="Z369" i="2"/>
  <c r="Y369" i="2"/>
  <c r="X369" i="2"/>
  <c r="W369" i="2"/>
  <c r="O369" i="2"/>
  <c r="N369" i="2"/>
  <c r="M369" i="2"/>
  <c r="H369" i="2"/>
  <c r="D369" i="2"/>
  <c r="Z368" i="2"/>
  <c r="Y368" i="2"/>
  <c r="X368" i="2"/>
  <c r="W368" i="2"/>
  <c r="O368" i="2"/>
  <c r="N368" i="2"/>
  <c r="M368" i="2"/>
  <c r="H368" i="2"/>
  <c r="D368" i="2"/>
  <c r="Z367" i="2"/>
  <c r="Y367" i="2"/>
  <c r="X367" i="2"/>
  <c r="W367" i="2"/>
  <c r="O367" i="2"/>
  <c r="N367" i="2"/>
  <c r="M367" i="2"/>
  <c r="H367" i="2"/>
  <c r="D367" i="2"/>
  <c r="Z366" i="2"/>
  <c r="Y366" i="2"/>
  <c r="X366" i="2"/>
  <c r="W366" i="2"/>
  <c r="O366" i="2"/>
  <c r="N366" i="2"/>
  <c r="M366" i="2"/>
  <c r="H366" i="2"/>
  <c r="D366" i="2"/>
  <c r="Z365" i="2"/>
  <c r="Y365" i="2"/>
  <c r="X365" i="2"/>
  <c r="W365" i="2"/>
  <c r="O365" i="2"/>
  <c r="N365" i="2"/>
  <c r="M365" i="2"/>
  <c r="H365" i="2"/>
  <c r="D365" i="2"/>
  <c r="Z364" i="2"/>
  <c r="Y364" i="2"/>
  <c r="X364" i="2"/>
  <c r="W364" i="2"/>
  <c r="O364" i="2"/>
  <c r="N364" i="2"/>
  <c r="M364" i="2"/>
  <c r="H364" i="2"/>
  <c r="D364" i="2"/>
  <c r="Z363" i="2"/>
  <c r="Y363" i="2"/>
  <c r="X363" i="2"/>
  <c r="W363" i="2"/>
  <c r="O363" i="2"/>
  <c r="N363" i="2"/>
  <c r="M363" i="2"/>
  <c r="H363" i="2"/>
  <c r="D363" i="2"/>
  <c r="Z362" i="2"/>
  <c r="Y362" i="2"/>
  <c r="X362" i="2"/>
  <c r="W362" i="2"/>
  <c r="O362" i="2"/>
  <c r="N362" i="2"/>
  <c r="M362" i="2"/>
  <c r="H362" i="2"/>
  <c r="D362" i="2"/>
  <c r="Z361" i="2"/>
  <c r="Y361" i="2"/>
  <c r="X361" i="2"/>
  <c r="W361" i="2"/>
  <c r="O361" i="2"/>
  <c r="N361" i="2"/>
  <c r="M361" i="2"/>
  <c r="H361" i="2"/>
  <c r="D361" i="2"/>
  <c r="Z360" i="2"/>
  <c r="Y360" i="2"/>
  <c r="X360" i="2"/>
  <c r="W360" i="2"/>
  <c r="O360" i="2"/>
  <c r="N360" i="2"/>
  <c r="M360" i="2"/>
  <c r="H360" i="2"/>
  <c r="D360" i="2"/>
  <c r="Z359" i="2"/>
  <c r="Y359" i="2"/>
  <c r="X359" i="2"/>
  <c r="W359" i="2"/>
  <c r="O359" i="2"/>
  <c r="N359" i="2"/>
  <c r="M359" i="2"/>
  <c r="H359" i="2"/>
  <c r="D359" i="2"/>
  <c r="Z358" i="2"/>
  <c r="Y358" i="2"/>
  <c r="X358" i="2"/>
  <c r="W358" i="2"/>
  <c r="O358" i="2"/>
  <c r="N358" i="2"/>
  <c r="M358" i="2"/>
  <c r="H358" i="2"/>
  <c r="D358" i="2"/>
  <c r="Z357" i="2"/>
  <c r="Y357" i="2"/>
  <c r="X357" i="2"/>
  <c r="W357" i="2"/>
  <c r="O357" i="2"/>
  <c r="N357" i="2"/>
  <c r="M357" i="2"/>
  <c r="H357" i="2"/>
  <c r="D357" i="2"/>
  <c r="Z356" i="2"/>
  <c r="Y356" i="2"/>
  <c r="X356" i="2"/>
  <c r="W356" i="2"/>
  <c r="O356" i="2"/>
  <c r="N356" i="2"/>
  <c r="M356" i="2"/>
  <c r="H356" i="2"/>
  <c r="D356" i="2"/>
  <c r="Z355" i="2"/>
  <c r="Y355" i="2"/>
  <c r="X355" i="2"/>
  <c r="W355" i="2"/>
  <c r="O355" i="2"/>
  <c r="N355" i="2"/>
  <c r="M355" i="2"/>
  <c r="H355" i="2"/>
  <c r="D355" i="2"/>
  <c r="Z354" i="2"/>
  <c r="Y354" i="2"/>
  <c r="X354" i="2"/>
  <c r="W354" i="2"/>
  <c r="O354" i="2"/>
  <c r="N354" i="2"/>
  <c r="M354" i="2"/>
  <c r="H354" i="2"/>
  <c r="D354" i="2"/>
  <c r="Z353" i="2"/>
  <c r="Y353" i="2"/>
  <c r="X353" i="2"/>
  <c r="W353" i="2"/>
  <c r="O353" i="2"/>
  <c r="N353" i="2"/>
  <c r="M353" i="2"/>
  <c r="H353" i="2"/>
  <c r="D353" i="2"/>
  <c r="Z352" i="2"/>
  <c r="Y352" i="2"/>
  <c r="X352" i="2"/>
  <c r="W352" i="2"/>
  <c r="O352" i="2"/>
  <c r="N352" i="2"/>
  <c r="M352" i="2"/>
  <c r="H352" i="2"/>
  <c r="D352" i="2"/>
  <c r="Z351" i="2"/>
  <c r="Y351" i="2"/>
  <c r="X351" i="2"/>
  <c r="W351" i="2"/>
  <c r="O351" i="2"/>
  <c r="N351" i="2"/>
  <c r="M351" i="2"/>
  <c r="H351" i="2"/>
  <c r="D351" i="2"/>
  <c r="Z350" i="2"/>
  <c r="Y350" i="2"/>
  <c r="X350" i="2"/>
  <c r="W350" i="2"/>
  <c r="O350" i="2"/>
  <c r="N350" i="2"/>
  <c r="M350" i="2"/>
  <c r="H350" i="2"/>
  <c r="D350" i="2"/>
  <c r="Z349" i="2"/>
  <c r="Y349" i="2"/>
  <c r="X349" i="2"/>
  <c r="W349" i="2"/>
  <c r="O349" i="2"/>
  <c r="N349" i="2"/>
  <c r="M349" i="2"/>
  <c r="H349" i="2"/>
  <c r="D349" i="2"/>
  <c r="Z348" i="2"/>
  <c r="Y348" i="2"/>
  <c r="X348" i="2"/>
  <c r="W348" i="2"/>
  <c r="O348" i="2"/>
  <c r="N348" i="2"/>
  <c r="M348" i="2"/>
  <c r="H348" i="2"/>
  <c r="D348" i="2"/>
  <c r="Z347" i="2"/>
  <c r="Y347" i="2"/>
  <c r="X347" i="2"/>
  <c r="W347" i="2"/>
  <c r="O347" i="2"/>
  <c r="N347" i="2"/>
  <c r="M347" i="2"/>
  <c r="H347" i="2"/>
  <c r="D347" i="2"/>
  <c r="Z346" i="2"/>
  <c r="Y346" i="2"/>
  <c r="X346" i="2"/>
  <c r="W346" i="2"/>
  <c r="O346" i="2"/>
  <c r="N346" i="2"/>
  <c r="M346" i="2"/>
  <c r="H346" i="2"/>
  <c r="D346" i="2"/>
  <c r="Z345" i="2"/>
  <c r="Y345" i="2"/>
  <c r="X345" i="2"/>
  <c r="W345" i="2"/>
  <c r="O345" i="2"/>
  <c r="N345" i="2"/>
  <c r="M345" i="2"/>
  <c r="H345" i="2"/>
  <c r="D345" i="2"/>
  <c r="Z344" i="2"/>
  <c r="Y344" i="2"/>
  <c r="X344" i="2"/>
  <c r="W344" i="2"/>
  <c r="O344" i="2"/>
  <c r="N344" i="2"/>
  <c r="M344" i="2"/>
  <c r="H344" i="2"/>
  <c r="D344" i="2"/>
  <c r="Z343" i="2"/>
  <c r="Y343" i="2"/>
  <c r="X343" i="2"/>
  <c r="W343" i="2"/>
  <c r="O343" i="2"/>
  <c r="N343" i="2"/>
  <c r="M343" i="2"/>
  <c r="H343" i="2"/>
  <c r="D343" i="2"/>
  <c r="Z342" i="2"/>
  <c r="Y342" i="2"/>
  <c r="X342" i="2"/>
  <c r="W342" i="2"/>
  <c r="O342" i="2"/>
  <c r="N342" i="2"/>
  <c r="M342" i="2"/>
  <c r="H342" i="2"/>
  <c r="D342" i="2"/>
  <c r="Z341" i="2"/>
  <c r="Y341" i="2"/>
  <c r="X341" i="2"/>
  <c r="W341" i="2"/>
  <c r="O341" i="2"/>
  <c r="N341" i="2"/>
  <c r="M341" i="2"/>
  <c r="H341" i="2"/>
  <c r="D341" i="2"/>
  <c r="Z340" i="2"/>
  <c r="Y340" i="2"/>
  <c r="X340" i="2"/>
  <c r="W340" i="2"/>
  <c r="O340" i="2"/>
  <c r="N340" i="2"/>
  <c r="M340" i="2"/>
  <c r="H340" i="2"/>
  <c r="D340" i="2"/>
  <c r="Z339" i="2"/>
  <c r="Y339" i="2"/>
  <c r="X339" i="2"/>
  <c r="W339" i="2"/>
  <c r="O339" i="2"/>
  <c r="N339" i="2"/>
  <c r="M339" i="2"/>
  <c r="H339" i="2"/>
  <c r="D339" i="2"/>
  <c r="Z338" i="2"/>
  <c r="Y338" i="2"/>
  <c r="X338" i="2"/>
  <c r="W338" i="2"/>
  <c r="O338" i="2"/>
  <c r="N338" i="2"/>
  <c r="M338" i="2"/>
  <c r="H338" i="2"/>
  <c r="D338" i="2"/>
  <c r="Z337" i="2"/>
  <c r="Y337" i="2"/>
  <c r="X337" i="2"/>
  <c r="W337" i="2"/>
  <c r="O337" i="2"/>
  <c r="N337" i="2"/>
  <c r="M337" i="2"/>
  <c r="H337" i="2"/>
  <c r="D337" i="2"/>
  <c r="Z336" i="2"/>
  <c r="Y336" i="2"/>
  <c r="X336" i="2"/>
  <c r="W336" i="2"/>
  <c r="O336" i="2"/>
  <c r="N336" i="2"/>
  <c r="M336" i="2"/>
  <c r="H336" i="2"/>
  <c r="D336" i="2"/>
  <c r="Z335" i="2"/>
  <c r="Y335" i="2"/>
  <c r="X335" i="2"/>
  <c r="W335" i="2"/>
  <c r="O335" i="2"/>
  <c r="N335" i="2"/>
  <c r="M335" i="2"/>
  <c r="H335" i="2"/>
  <c r="D335" i="2"/>
  <c r="Z334" i="2"/>
  <c r="Y334" i="2"/>
  <c r="X334" i="2"/>
  <c r="W334" i="2"/>
  <c r="O334" i="2"/>
  <c r="N334" i="2"/>
  <c r="M334" i="2"/>
  <c r="H334" i="2"/>
  <c r="D334" i="2"/>
  <c r="Z333" i="2"/>
  <c r="Y333" i="2"/>
  <c r="X333" i="2"/>
  <c r="W333" i="2"/>
  <c r="O333" i="2"/>
  <c r="N333" i="2"/>
  <c r="M333" i="2"/>
  <c r="H333" i="2"/>
  <c r="D333" i="2"/>
  <c r="Z332" i="2"/>
  <c r="Y332" i="2"/>
  <c r="X332" i="2"/>
  <c r="W332" i="2"/>
  <c r="O332" i="2"/>
  <c r="N332" i="2"/>
  <c r="M332" i="2"/>
  <c r="H332" i="2"/>
  <c r="D332" i="2"/>
  <c r="Z331" i="2"/>
  <c r="Y331" i="2"/>
  <c r="X331" i="2"/>
  <c r="W331" i="2"/>
  <c r="O331" i="2"/>
  <c r="N331" i="2"/>
  <c r="M331" i="2"/>
  <c r="H331" i="2"/>
  <c r="D331" i="2"/>
  <c r="Z330" i="2"/>
  <c r="Y330" i="2"/>
  <c r="X330" i="2"/>
  <c r="W330" i="2"/>
  <c r="O330" i="2"/>
  <c r="N330" i="2"/>
  <c r="M330" i="2"/>
  <c r="H330" i="2"/>
  <c r="D330" i="2"/>
  <c r="Z329" i="2"/>
  <c r="Y329" i="2"/>
  <c r="X329" i="2"/>
  <c r="W329" i="2"/>
  <c r="O329" i="2"/>
  <c r="N329" i="2"/>
  <c r="M329" i="2"/>
  <c r="H329" i="2"/>
  <c r="D329" i="2"/>
  <c r="Z328" i="2"/>
  <c r="Y328" i="2"/>
  <c r="X328" i="2"/>
  <c r="W328" i="2"/>
  <c r="O328" i="2"/>
  <c r="N328" i="2"/>
  <c r="M328" i="2"/>
  <c r="H328" i="2"/>
  <c r="D328" i="2"/>
  <c r="Z327" i="2"/>
  <c r="Y327" i="2"/>
  <c r="X327" i="2"/>
  <c r="W327" i="2"/>
  <c r="O327" i="2"/>
  <c r="N327" i="2"/>
  <c r="M327" i="2"/>
  <c r="H327" i="2"/>
  <c r="D327" i="2"/>
  <c r="Z326" i="2"/>
  <c r="Y326" i="2"/>
  <c r="X326" i="2"/>
  <c r="W326" i="2"/>
  <c r="O326" i="2"/>
  <c r="N326" i="2"/>
  <c r="M326" i="2"/>
  <c r="H326" i="2"/>
  <c r="D326" i="2"/>
  <c r="Z325" i="2"/>
  <c r="Y325" i="2"/>
  <c r="X325" i="2"/>
  <c r="W325" i="2"/>
  <c r="O325" i="2"/>
  <c r="N325" i="2"/>
  <c r="M325" i="2"/>
  <c r="H325" i="2"/>
  <c r="D325" i="2"/>
  <c r="Z324" i="2"/>
  <c r="Y324" i="2"/>
  <c r="X324" i="2"/>
  <c r="W324" i="2"/>
  <c r="O324" i="2"/>
  <c r="N324" i="2"/>
  <c r="M324" i="2"/>
  <c r="H324" i="2"/>
  <c r="D324" i="2"/>
  <c r="Z323" i="2"/>
  <c r="Y323" i="2"/>
  <c r="X323" i="2"/>
  <c r="W323" i="2"/>
  <c r="O323" i="2"/>
  <c r="N323" i="2"/>
  <c r="M323" i="2"/>
  <c r="H323" i="2"/>
  <c r="D323" i="2"/>
  <c r="Z322" i="2"/>
  <c r="Y322" i="2"/>
  <c r="X322" i="2"/>
  <c r="W322" i="2"/>
  <c r="O322" i="2"/>
  <c r="N322" i="2"/>
  <c r="M322" i="2"/>
  <c r="H322" i="2"/>
  <c r="D322" i="2"/>
  <c r="Z321" i="2"/>
  <c r="Y321" i="2"/>
  <c r="X321" i="2"/>
  <c r="W321" i="2"/>
  <c r="O321" i="2"/>
  <c r="N321" i="2"/>
  <c r="M321" i="2"/>
  <c r="H321" i="2"/>
  <c r="D321" i="2"/>
  <c r="Z320" i="2"/>
  <c r="Y320" i="2"/>
  <c r="X320" i="2"/>
  <c r="W320" i="2"/>
  <c r="O320" i="2"/>
  <c r="N320" i="2"/>
  <c r="M320" i="2"/>
  <c r="H320" i="2"/>
  <c r="D320" i="2"/>
  <c r="Z319" i="2"/>
  <c r="Y319" i="2"/>
  <c r="X319" i="2"/>
  <c r="W319" i="2"/>
  <c r="O319" i="2"/>
  <c r="N319" i="2"/>
  <c r="M319" i="2"/>
  <c r="H319" i="2"/>
  <c r="D319" i="2"/>
  <c r="Z318" i="2"/>
  <c r="Y318" i="2"/>
  <c r="X318" i="2"/>
  <c r="W318" i="2"/>
  <c r="O318" i="2"/>
  <c r="N318" i="2"/>
  <c r="M318" i="2"/>
  <c r="H318" i="2"/>
  <c r="D318" i="2"/>
  <c r="Z317" i="2"/>
  <c r="Y317" i="2"/>
  <c r="X317" i="2"/>
  <c r="W317" i="2"/>
  <c r="O317" i="2"/>
  <c r="N317" i="2"/>
  <c r="M317" i="2"/>
  <c r="H317" i="2"/>
  <c r="D317" i="2"/>
  <c r="Z316" i="2"/>
  <c r="Y316" i="2"/>
  <c r="X316" i="2"/>
  <c r="W316" i="2"/>
  <c r="O316" i="2"/>
  <c r="N316" i="2"/>
  <c r="M316" i="2"/>
  <c r="H316" i="2"/>
  <c r="D316" i="2"/>
  <c r="Z315" i="2"/>
  <c r="Y315" i="2"/>
  <c r="X315" i="2"/>
  <c r="W315" i="2"/>
  <c r="O315" i="2"/>
  <c r="N315" i="2"/>
  <c r="M315" i="2"/>
  <c r="H315" i="2"/>
  <c r="D315" i="2"/>
  <c r="Z314" i="2"/>
  <c r="Y314" i="2"/>
  <c r="X314" i="2"/>
  <c r="W314" i="2"/>
  <c r="O314" i="2"/>
  <c r="N314" i="2"/>
  <c r="M314" i="2"/>
  <c r="H314" i="2"/>
  <c r="D314" i="2"/>
  <c r="Z313" i="2"/>
  <c r="Y313" i="2"/>
  <c r="X313" i="2"/>
  <c r="W313" i="2"/>
  <c r="O313" i="2"/>
  <c r="N313" i="2"/>
  <c r="M313" i="2"/>
  <c r="H313" i="2"/>
  <c r="D313" i="2"/>
  <c r="Z312" i="2"/>
  <c r="Y312" i="2"/>
  <c r="X312" i="2"/>
  <c r="W312" i="2"/>
  <c r="O312" i="2"/>
  <c r="N312" i="2"/>
  <c r="M312" i="2"/>
  <c r="H312" i="2"/>
  <c r="D312" i="2"/>
  <c r="Z311" i="2"/>
  <c r="Y311" i="2"/>
  <c r="X311" i="2"/>
  <c r="W311" i="2"/>
  <c r="O311" i="2"/>
  <c r="N311" i="2"/>
  <c r="M311" i="2"/>
  <c r="H311" i="2"/>
  <c r="D311" i="2"/>
  <c r="Z310" i="2"/>
  <c r="Y310" i="2"/>
  <c r="X310" i="2"/>
  <c r="W310" i="2"/>
  <c r="O310" i="2"/>
  <c r="N310" i="2"/>
  <c r="M310" i="2"/>
  <c r="H310" i="2"/>
  <c r="D310" i="2"/>
  <c r="Z309" i="2"/>
  <c r="Y309" i="2"/>
  <c r="X309" i="2"/>
  <c r="W309" i="2"/>
  <c r="O309" i="2"/>
  <c r="N309" i="2"/>
  <c r="M309" i="2"/>
  <c r="H309" i="2"/>
  <c r="D309" i="2"/>
  <c r="Z308" i="2"/>
  <c r="Y308" i="2"/>
  <c r="X308" i="2"/>
  <c r="W308" i="2"/>
  <c r="O308" i="2"/>
  <c r="N308" i="2"/>
  <c r="M308" i="2"/>
  <c r="H308" i="2"/>
  <c r="D308" i="2"/>
  <c r="Z307" i="2"/>
  <c r="Y307" i="2"/>
  <c r="X307" i="2"/>
  <c r="W307" i="2"/>
  <c r="O307" i="2"/>
  <c r="N307" i="2"/>
  <c r="M307" i="2"/>
  <c r="H307" i="2"/>
  <c r="D307" i="2"/>
  <c r="Z306" i="2"/>
  <c r="Y306" i="2"/>
  <c r="X306" i="2"/>
  <c r="W306" i="2"/>
  <c r="O306" i="2"/>
  <c r="N306" i="2"/>
  <c r="M306" i="2"/>
  <c r="H306" i="2"/>
  <c r="D306" i="2"/>
  <c r="Z305" i="2"/>
  <c r="Y305" i="2"/>
  <c r="X305" i="2"/>
  <c r="W305" i="2"/>
  <c r="O305" i="2"/>
  <c r="N305" i="2"/>
  <c r="M305" i="2"/>
  <c r="H305" i="2"/>
  <c r="D305" i="2"/>
  <c r="Z304" i="2"/>
  <c r="Y304" i="2"/>
  <c r="X304" i="2"/>
  <c r="W304" i="2"/>
  <c r="O304" i="2"/>
  <c r="N304" i="2"/>
  <c r="M304" i="2"/>
  <c r="H304" i="2"/>
  <c r="D304" i="2"/>
  <c r="Z303" i="2"/>
  <c r="Y303" i="2"/>
  <c r="X303" i="2"/>
  <c r="W303" i="2"/>
  <c r="O303" i="2"/>
  <c r="N303" i="2"/>
  <c r="M303" i="2"/>
  <c r="H303" i="2"/>
  <c r="D303" i="2"/>
  <c r="Z302" i="2"/>
  <c r="Y302" i="2"/>
  <c r="X302" i="2"/>
  <c r="W302" i="2"/>
  <c r="O302" i="2"/>
  <c r="N302" i="2"/>
  <c r="M302" i="2"/>
  <c r="H302" i="2"/>
  <c r="D302" i="2"/>
  <c r="Z301" i="2"/>
  <c r="Y301" i="2"/>
  <c r="X301" i="2"/>
  <c r="W301" i="2"/>
  <c r="O301" i="2"/>
  <c r="N301" i="2"/>
  <c r="M301" i="2"/>
  <c r="H301" i="2"/>
  <c r="D301" i="2"/>
  <c r="Z300" i="2"/>
  <c r="Y300" i="2"/>
  <c r="X300" i="2"/>
  <c r="W300" i="2"/>
  <c r="O300" i="2"/>
  <c r="N300" i="2"/>
  <c r="M300" i="2"/>
  <c r="H300" i="2"/>
  <c r="D300" i="2"/>
  <c r="Z299" i="2"/>
  <c r="Y299" i="2"/>
  <c r="X299" i="2"/>
  <c r="W299" i="2"/>
  <c r="O299" i="2"/>
  <c r="N299" i="2"/>
  <c r="M299" i="2"/>
  <c r="H299" i="2"/>
  <c r="D299" i="2"/>
  <c r="Z298" i="2"/>
  <c r="Y298" i="2"/>
  <c r="X298" i="2"/>
  <c r="W298" i="2"/>
  <c r="O298" i="2"/>
  <c r="N298" i="2"/>
  <c r="M298" i="2"/>
  <c r="H298" i="2"/>
  <c r="D298" i="2"/>
  <c r="Z297" i="2"/>
  <c r="Y297" i="2"/>
  <c r="X297" i="2"/>
  <c r="W297" i="2"/>
  <c r="O297" i="2"/>
  <c r="N297" i="2"/>
  <c r="M297" i="2"/>
  <c r="H297" i="2"/>
  <c r="D297" i="2"/>
  <c r="Z296" i="2"/>
  <c r="Y296" i="2"/>
  <c r="X296" i="2"/>
  <c r="W296" i="2"/>
  <c r="O296" i="2"/>
  <c r="N296" i="2"/>
  <c r="M296" i="2"/>
  <c r="H296" i="2"/>
  <c r="D296" i="2"/>
  <c r="Z295" i="2"/>
  <c r="Y295" i="2"/>
  <c r="X295" i="2"/>
  <c r="W295" i="2"/>
  <c r="O295" i="2"/>
  <c r="N295" i="2"/>
  <c r="M295" i="2"/>
  <c r="H295" i="2"/>
  <c r="D295" i="2"/>
  <c r="Z294" i="2"/>
  <c r="Y294" i="2"/>
  <c r="X294" i="2"/>
  <c r="W294" i="2"/>
  <c r="O294" i="2"/>
  <c r="N294" i="2"/>
  <c r="M294" i="2"/>
  <c r="H294" i="2"/>
  <c r="D294" i="2"/>
  <c r="Z293" i="2"/>
  <c r="Y293" i="2"/>
  <c r="X293" i="2"/>
  <c r="W293" i="2"/>
  <c r="O293" i="2"/>
  <c r="N293" i="2"/>
  <c r="M293" i="2"/>
  <c r="H293" i="2"/>
  <c r="D293" i="2"/>
  <c r="Z292" i="2"/>
  <c r="Y292" i="2"/>
  <c r="X292" i="2"/>
  <c r="W292" i="2"/>
  <c r="O292" i="2"/>
  <c r="N292" i="2"/>
  <c r="M292" i="2"/>
  <c r="H292" i="2"/>
  <c r="D292" i="2"/>
  <c r="Z291" i="2"/>
  <c r="Y291" i="2"/>
  <c r="X291" i="2"/>
  <c r="W291" i="2"/>
  <c r="O291" i="2"/>
  <c r="N291" i="2"/>
  <c r="M291" i="2"/>
  <c r="H291" i="2"/>
  <c r="D291" i="2"/>
  <c r="Z290" i="2"/>
  <c r="Y290" i="2"/>
  <c r="X290" i="2"/>
  <c r="W290" i="2"/>
  <c r="O290" i="2"/>
  <c r="N290" i="2"/>
  <c r="M290" i="2"/>
  <c r="H290" i="2"/>
  <c r="D290" i="2"/>
  <c r="Z289" i="2"/>
  <c r="Y289" i="2"/>
  <c r="X289" i="2"/>
  <c r="W289" i="2"/>
  <c r="O289" i="2"/>
  <c r="N289" i="2"/>
  <c r="M289" i="2"/>
  <c r="H289" i="2"/>
  <c r="D289" i="2"/>
  <c r="Z288" i="2"/>
  <c r="Y288" i="2"/>
  <c r="X288" i="2"/>
  <c r="W288" i="2"/>
  <c r="O288" i="2"/>
  <c r="N288" i="2"/>
  <c r="M288" i="2"/>
  <c r="H288" i="2"/>
  <c r="D288" i="2"/>
  <c r="Z287" i="2"/>
  <c r="Y287" i="2"/>
  <c r="X287" i="2"/>
  <c r="W287" i="2"/>
  <c r="O287" i="2"/>
  <c r="N287" i="2"/>
  <c r="M287" i="2"/>
  <c r="H287" i="2"/>
  <c r="D287" i="2"/>
  <c r="Z286" i="2"/>
  <c r="Y286" i="2"/>
  <c r="X286" i="2"/>
  <c r="W286" i="2"/>
  <c r="O286" i="2"/>
  <c r="N286" i="2"/>
  <c r="M286" i="2"/>
  <c r="H286" i="2"/>
  <c r="D286" i="2"/>
  <c r="Z285" i="2"/>
  <c r="Y285" i="2"/>
  <c r="X285" i="2"/>
  <c r="W285" i="2"/>
  <c r="O285" i="2"/>
  <c r="N285" i="2"/>
  <c r="M285" i="2"/>
  <c r="H285" i="2"/>
  <c r="D285" i="2"/>
  <c r="Z284" i="2"/>
  <c r="Y284" i="2"/>
  <c r="X284" i="2"/>
  <c r="W284" i="2"/>
  <c r="O284" i="2"/>
  <c r="N284" i="2"/>
  <c r="M284" i="2"/>
  <c r="H284" i="2"/>
  <c r="D284" i="2"/>
  <c r="Z283" i="2"/>
  <c r="Y283" i="2"/>
  <c r="X283" i="2"/>
  <c r="W283" i="2"/>
  <c r="O283" i="2"/>
  <c r="N283" i="2"/>
  <c r="M283" i="2"/>
  <c r="H283" i="2"/>
  <c r="D283" i="2"/>
  <c r="Z282" i="2"/>
  <c r="Y282" i="2"/>
  <c r="X282" i="2"/>
  <c r="W282" i="2"/>
  <c r="O282" i="2"/>
  <c r="N282" i="2"/>
  <c r="M282" i="2"/>
  <c r="H282" i="2"/>
  <c r="D282" i="2"/>
  <c r="Z281" i="2"/>
  <c r="Y281" i="2"/>
  <c r="X281" i="2"/>
  <c r="W281" i="2"/>
  <c r="O281" i="2"/>
  <c r="N281" i="2"/>
  <c r="M281" i="2"/>
  <c r="H281" i="2"/>
  <c r="D281" i="2"/>
  <c r="Z280" i="2"/>
  <c r="Y280" i="2"/>
  <c r="X280" i="2"/>
  <c r="W280" i="2"/>
  <c r="O280" i="2"/>
  <c r="N280" i="2"/>
  <c r="M280" i="2"/>
  <c r="H280" i="2"/>
  <c r="D280" i="2"/>
  <c r="Z279" i="2"/>
  <c r="Y279" i="2"/>
  <c r="X279" i="2"/>
  <c r="W279" i="2"/>
  <c r="O279" i="2"/>
  <c r="N279" i="2"/>
  <c r="M279" i="2"/>
  <c r="H279" i="2"/>
  <c r="D279" i="2"/>
  <c r="Z278" i="2"/>
  <c r="Y278" i="2"/>
  <c r="X278" i="2"/>
  <c r="W278" i="2"/>
  <c r="O278" i="2"/>
  <c r="N278" i="2"/>
  <c r="M278" i="2"/>
  <c r="H278" i="2"/>
  <c r="D278" i="2"/>
  <c r="Z277" i="2"/>
  <c r="Y277" i="2"/>
  <c r="X277" i="2"/>
  <c r="W277" i="2"/>
  <c r="O277" i="2"/>
  <c r="N277" i="2"/>
  <c r="M277" i="2"/>
  <c r="H277" i="2"/>
  <c r="D277" i="2"/>
  <c r="Z276" i="2"/>
  <c r="Y276" i="2"/>
  <c r="X276" i="2"/>
  <c r="W276" i="2"/>
  <c r="O276" i="2"/>
  <c r="N276" i="2"/>
  <c r="M276" i="2"/>
  <c r="H276" i="2"/>
  <c r="D276" i="2"/>
  <c r="Z275" i="2"/>
  <c r="Y275" i="2"/>
  <c r="X275" i="2"/>
  <c r="W275" i="2"/>
  <c r="O275" i="2"/>
  <c r="N275" i="2"/>
  <c r="M275" i="2"/>
  <c r="H275" i="2"/>
  <c r="D275" i="2"/>
  <c r="Z274" i="2"/>
  <c r="Y274" i="2"/>
  <c r="X274" i="2"/>
  <c r="W274" i="2"/>
  <c r="O274" i="2"/>
  <c r="N274" i="2"/>
  <c r="M274" i="2"/>
  <c r="H274" i="2"/>
  <c r="D274" i="2"/>
  <c r="Z273" i="2"/>
  <c r="Y273" i="2"/>
  <c r="X273" i="2"/>
  <c r="W273" i="2"/>
  <c r="O273" i="2"/>
  <c r="N273" i="2"/>
  <c r="M273" i="2"/>
  <c r="H273" i="2"/>
  <c r="D273" i="2"/>
  <c r="Z272" i="2"/>
  <c r="Y272" i="2"/>
  <c r="X272" i="2"/>
  <c r="W272" i="2"/>
  <c r="O272" i="2"/>
  <c r="N272" i="2"/>
  <c r="M272" i="2"/>
  <c r="H272" i="2"/>
  <c r="D272" i="2"/>
  <c r="Z271" i="2"/>
  <c r="Y271" i="2"/>
  <c r="X271" i="2"/>
  <c r="W271" i="2"/>
  <c r="O271" i="2"/>
  <c r="N271" i="2"/>
  <c r="M271" i="2"/>
  <c r="H271" i="2"/>
  <c r="D271" i="2"/>
  <c r="Z270" i="2"/>
  <c r="Y270" i="2"/>
  <c r="X270" i="2"/>
  <c r="W270" i="2"/>
  <c r="O270" i="2"/>
  <c r="N270" i="2"/>
  <c r="M270" i="2"/>
  <c r="H270" i="2"/>
  <c r="D270" i="2"/>
  <c r="Z269" i="2"/>
  <c r="Y269" i="2"/>
  <c r="X269" i="2"/>
  <c r="W269" i="2"/>
  <c r="O269" i="2"/>
  <c r="N269" i="2"/>
  <c r="M269" i="2"/>
  <c r="H269" i="2"/>
  <c r="D269" i="2"/>
  <c r="Z268" i="2"/>
  <c r="Y268" i="2"/>
  <c r="X268" i="2"/>
  <c r="W268" i="2"/>
  <c r="O268" i="2"/>
  <c r="N268" i="2"/>
  <c r="M268" i="2"/>
  <c r="H268" i="2"/>
  <c r="D268" i="2"/>
  <c r="Z267" i="2"/>
  <c r="Y267" i="2"/>
  <c r="X267" i="2"/>
  <c r="W267" i="2"/>
  <c r="O267" i="2"/>
  <c r="N267" i="2"/>
  <c r="M267" i="2"/>
  <c r="H267" i="2"/>
  <c r="D267" i="2"/>
  <c r="Z266" i="2"/>
  <c r="Y266" i="2"/>
  <c r="X266" i="2"/>
  <c r="W266" i="2"/>
  <c r="O266" i="2"/>
  <c r="N266" i="2"/>
  <c r="M266" i="2"/>
  <c r="H266" i="2"/>
  <c r="D266" i="2"/>
  <c r="Z265" i="2"/>
  <c r="Y265" i="2"/>
  <c r="X265" i="2"/>
  <c r="W265" i="2"/>
  <c r="O265" i="2"/>
  <c r="N265" i="2"/>
  <c r="M265" i="2"/>
  <c r="H265" i="2"/>
  <c r="D265" i="2"/>
  <c r="Z264" i="2"/>
  <c r="Y264" i="2"/>
  <c r="X264" i="2"/>
  <c r="W264" i="2"/>
  <c r="O264" i="2"/>
  <c r="N264" i="2"/>
  <c r="M264" i="2"/>
  <c r="H264" i="2"/>
  <c r="D264" i="2"/>
  <c r="Z263" i="2"/>
  <c r="Y263" i="2"/>
  <c r="X263" i="2"/>
  <c r="W263" i="2"/>
  <c r="O263" i="2"/>
  <c r="N263" i="2"/>
  <c r="M263" i="2"/>
  <c r="H263" i="2"/>
  <c r="D263" i="2"/>
  <c r="Z262" i="2"/>
  <c r="Y262" i="2"/>
  <c r="X262" i="2"/>
  <c r="W262" i="2"/>
  <c r="O262" i="2"/>
  <c r="N262" i="2"/>
  <c r="M262" i="2"/>
  <c r="H262" i="2"/>
  <c r="D262" i="2"/>
  <c r="Z261" i="2"/>
  <c r="Y261" i="2"/>
  <c r="X261" i="2"/>
  <c r="W261" i="2"/>
  <c r="O261" i="2"/>
  <c r="N261" i="2"/>
  <c r="M261" i="2"/>
  <c r="H261" i="2"/>
  <c r="D261" i="2"/>
  <c r="Z260" i="2"/>
  <c r="Y260" i="2"/>
  <c r="X260" i="2"/>
  <c r="W260" i="2"/>
  <c r="O260" i="2"/>
  <c r="N260" i="2"/>
  <c r="M260" i="2"/>
  <c r="H260" i="2"/>
  <c r="D260" i="2"/>
  <c r="Z259" i="2"/>
  <c r="Y259" i="2"/>
  <c r="X259" i="2"/>
  <c r="W259" i="2"/>
  <c r="O259" i="2"/>
  <c r="N259" i="2"/>
  <c r="M259" i="2"/>
  <c r="H259" i="2"/>
  <c r="D259" i="2"/>
  <c r="Z258" i="2"/>
  <c r="Y258" i="2"/>
  <c r="X258" i="2"/>
  <c r="W258" i="2"/>
  <c r="O258" i="2"/>
  <c r="N258" i="2"/>
  <c r="M258" i="2"/>
  <c r="H258" i="2"/>
  <c r="D258" i="2"/>
  <c r="Z257" i="2"/>
  <c r="Y257" i="2"/>
  <c r="X257" i="2"/>
  <c r="W257" i="2"/>
  <c r="O257" i="2"/>
  <c r="N257" i="2"/>
  <c r="M257" i="2"/>
  <c r="H257" i="2"/>
  <c r="D257" i="2"/>
  <c r="Z256" i="2"/>
  <c r="Y256" i="2"/>
  <c r="X256" i="2"/>
  <c r="W256" i="2"/>
  <c r="O256" i="2"/>
  <c r="N256" i="2"/>
  <c r="M256" i="2"/>
  <c r="H256" i="2"/>
  <c r="D256" i="2"/>
  <c r="Z255" i="2"/>
  <c r="Y255" i="2"/>
  <c r="X255" i="2"/>
  <c r="W255" i="2"/>
  <c r="O255" i="2"/>
  <c r="N255" i="2"/>
  <c r="M255" i="2"/>
  <c r="H255" i="2"/>
  <c r="D255" i="2"/>
  <c r="Z254" i="2"/>
  <c r="Y254" i="2"/>
  <c r="X254" i="2"/>
  <c r="W254" i="2"/>
  <c r="O254" i="2"/>
  <c r="N254" i="2"/>
  <c r="M254" i="2"/>
  <c r="H254" i="2"/>
  <c r="D254" i="2"/>
  <c r="Z253" i="2"/>
  <c r="Y253" i="2"/>
  <c r="X253" i="2"/>
  <c r="W253" i="2"/>
  <c r="O253" i="2"/>
  <c r="N253" i="2"/>
  <c r="M253" i="2"/>
  <c r="H253" i="2"/>
  <c r="D253" i="2"/>
  <c r="Z252" i="2"/>
  <c r="Y252" i="2"/>
  <c r="X252" i="2"/>
  <c r="W252" i="2"/>
  <c r="O252" i="2"/>
  <c r="N252" i="2"/>
  <c r="M252" i="2"/>
  <c r="H252" i="2"/>
  <c r="D252" i="2"/>
  <c r="Z251" i="2"/>
  <c r="Y251" i="2"/>
  <c r="X251" i="2"/>
  <c r="W251" i="2"/>
  <c r="O251" i="2"/>
  <c r="N251" i="2"/>
  <c r="M251" i="2"/>
  <c r="H251" i="2"/>
  <c r="D251" i="2"/>
  <c r="Z250" i="2"/>
  <c r="Y250" i="2"/>
  <c r="X250" i="2"/>
  <c r="W250" i="2"/>
  <c r="O250" i="2"/>
  <c r="N250" i="2"/>
  <c r="M250" i="2"/>
  <c r="H250" i="2"/>
  <c r="D250" i="2"/>
  <c r="Z249" i="2"/>
  <c r="Y249" i="2"/>
  <c r="X249" i="2"/>
  <c r="W249" i="2"/>
  <c r="O249" i="2"/>
  <c r="N249" i="2"/>
  <c r="M249" i="2"/>
  <c r="H249" i="2"/>
  <c r="D249" i="2"/>
  <c r="Z248" i="2"/>
  <c r="Y248" i="2"/>
  <c r="X248" i="2"/>
  <c r="W248" i="2"/>
  <c r="O248" i="2"/>
  <c r="N248" i="2"/>
  <c r="M248" i="2"/>
  <c r="H248" i="2"/>
  <c r="D248" i="2"/>
  <c r="Z247" i="2"/>
  <c r="Y247" i="2"/>
  <c r="X247" i="2"/>
  <c r="W247" i="2"/>
  <c r="O247" i="2"/>
  <c r="N247" i="2"/>
  <c r="M247" i="2"/>
  <c r="H247" i="2"/>
  <c r="D247" i="2"/>
  <c r="Z246" i="2"/>
  <c r="Y246" i="2"/>
  <c r="X246" i="2"/>
  <c r="W246" i="2"/>
  <c r="O246" i="2"/>
  <c r="N246" i="2"/>
  <c r="M246" i="2"/>
  <c r="H246" i="2"/>
  <c r="D246" i="2"/>
  <c r="Z245" i="2"/>
  <c r="Y245" i="2"/>
  <c r="X245" i="2"/>
  <c r="W245" i="2"/>
  <c r="O245" i="2"/>
  <c r="N245" i="2"/>
  <c r="M245" i="2"/>
  <c r="H245" i="2"/>
  <c r="D245" i="2"/>
  <c r="Z244" i="2"/>
  <c r="Y244" i="2"/>
  <c r="X244" i="2"/>
  <c r="W244" i="2"/>
  <c r="O244" i="2"/>
  <c r="N244" i="2"/>
  <c r="M244" i="2"/>
  <c r="H244" i="2"/>
  <c r="D244" i="2"/>
  <c r="Z243" i="2"/>
  <c r="Y243" i="2"/>
  <c r="X243" i="2"/>
  <c r="W243" i="2"/>
  <c r="O243" i="2"/>
  <c r="N243" i="2"/>
  <c r="M243" i="2"/>
  <c r="H243" i="2"/>
  <c r="D243" i="2"/>
  <c r="Z242" i="2"/>
  <c r="Y242" i="2"/>
  <c r="X242" i="2"/>
  <c r="W242" i="2"/>
  <c r="O242" i="2"/>
  <c r="N242" i="2"/>
  <c r="M242" i="2"/>
  <c r="H242" i="2"/>
  <c r="D242" i="2"/>
  <c r="Z241" i="2"/>
  <c r="Y241" i="2"/>
  <c r="X241" i="2"/>
  <c r="W241" i="2"/>
  <c r="O241" i="2"/>
  <c r="N241" i="2"/>
  <c r="M241" i="2"/>
  <c r="H241" i="2"/>
  <c r="D241" i="2"/>
  <c r="Z240" i="2"/>
  <c r="Y240" i="2"/>
  <c r="X240" i="2"/>
  <c r="W240" i="2"/>
  <c r="O240" i="2"/>
  <c r="N240" i="2"/>
  <c r="M240" i="2"/>
  <c r="H240" i="2"/>
  <c r="D240" i="2"/>
  <c r="Z239" i="2"/>
  <c r="Y239" i="2"/>
  <c r="X239" i="2"/>
  <c r="W239" i="2"/>
  <c r="O239" i="2"/>
  <c r="N239" i="2"/>
  <c r="M239" i="2"/>
  <c r="H239" i="2"/>
  <c r="D239" i="2"/>
  <c r="Z238" i="2"/>
  <c r="Y238" i="2"/>
  <c r="X238" i="2"/>
  <c r="W238" i="2"/>
  <c r="O238" i="2"/>
  <c r="N238" i="2"/>
  <c r="M238" i="2"/>
  <c r="H238" i="2"/>
  <c r="D238" i="2"/>
  <c r="Z237" i="2"/>
  <c r="Y237" i="2"/>
  <c r="X237" i="2"/>
  <c r="W237" i="2"/>
  <c r="O237" i="2"/>
  <c r="N237" i="2"/>
  <c r="M237" i="2"/>
  <c r="H237" i="2"/>
  <c r="D237" i="2"/>
  <c r="Z236" i="2"/>
  <c r="Y236" i="2"/>
  <c r="X236" i="2"/>
  <c r="W236" i="2"/>
  <c r="O236" i="2"/>
  <c r="N236" i="2"/>
  <c r="M236" i="2"/>
  <c r="H236" i="2"/>
  <c r="D236" i="2"/>
  <c r="Z235" i="2"/>
  <c r="Y235" i="2"/>
  <c r="X235" i="2"/>
  <c r="W235" i="2"/>
  <c r="O235" i="2"/>
  <c r="N235" i="2"/>
  <c r="M235" i="2"/>
  <c r="H235" i="2"/>
  <c r="D235" i="2"/>
  <c r="Z234" i="2"/>
  <c r="Y234" i="2"/>
  <c r="X234" i="2"/>
  <c r="W234" i="2"/>
  <c r="O234" i="2"/>
  <c r="N234" i="2"/>
  <c r="M234" i="2"/>
  <c r="H234" i="2"/>
  <c r="D234" i="2"/>
  <c r="Z233" i="2"/>
  <c r="Y233" i="2"/>
  <c r="X233" i="2"/>
  <c r="W233" i="2"/>
  <c r="O233" i="2"/>
  <c r="N233" i="2"/>
  <c r="M233" i="2"/>
  <c r="H233" i="2"/>
  <c r="D233" i="2"/>
  <c r="Z232" i="2"/>
  <c r="Y232" i="2"/>
  <c r="X232" i="2"/>
  <c r="W232" i="2"/>
  <c r="O232" i="2"/>
  <c r="N232" i="2"/>
  <c r="M232" i="2"/>
  <c r="H232" i="2"/>
  <c r="D232" i="2"/>
  <c r="Z231" i="2"/>
  <c r="Y231" i="2"/>
  <c r="X231" i="2"/>
  <c r="W231" i="2"/>
  <c r="O231" i="2"/>
  <c r="N231" i="2"/>
  <c r="M231" i="2"/>
  <c r="H231" i="2"/>
  <c r="D231" i="2"/>
  <c r="Z230" i="2"/>
  <c r="Y230" i="2"/>
  <c r="X230" i="2"/>
  <c r="W230" i="2"/>
  <c r="O230" i="2"/>
  <c r="N230" i="2"/>
  <c r="M230" i="2"/>
  <c r="H230" i="2"/>
  <c r="D230" i="2"/>
  <c r="Z229" i="2"/>
  <c r="Y229" i="2"/>
  <c r="X229" i="2"/>
  <c r="W229" i="2"/>
  <c r="O229" i="2"/>
  <c r="N229" i="2"/>
  <c r="M229" i="2"/>
  <c r="H229" i="2"/>
  <c r="D229" i="2"/>
  <c r="Z228" i="2"/>
  <c r="Y228" i="2"/>
  <c r="X228" i="2"/>
  <c r="W228" i="2"/>
  <c r="O228" i="2"/>
  <c r="N228" i="2"/>
  <c r="M228" i="2"/>
  <c r="H228" i="2"/>
  <c r="D228" i="2"/>
  <c r="Z227" i="2"/>
  <c r="Y227" i="2"/>
  <c r="X227" i="2"/>
  <c r="W227" i="2"/>
  <c r="O227" i="2"/>
  <c r="N227" i="2"/>
  <c r="M227" i="2"/>
  <c r="H227" i="2"/>
  <c r="D227" i="2"/>
  <c r="Z226" i="2"/>
  <c r="Y226" i="2"/>
  <c r="X226" i="2"/>
  <c r="W226" i="2"/>
  <c r="O226" i="2"/>
  <c r="N226" i="2"/>
  <c r="M226" i="2"/>
  <c r="H226" i="2"/>
  <c r="D226" i="2"/>
  <c r="Z225" i="2"/>
  <c r="Y225" i="2"/>
  <c r="X225" i="2"/>
  <c r="W225" i="2"/>
  <c r="O225" i="2"/>
  <c r="N225" i="2"/>
  <c r="M225" i="2"/>
  <c r="H225" i="2"/>
  <c r="D225" i="2"/>
  <c r="Z224" i="2"/>
  <c r="Y224" i="2"/>
  <c r="X224" i="2"/>
  <c r="W224" i="2"/>
  <c r="O224" i="2"/>
  <c r="N224" i="2"/>
  <c r="M224" i="2"/>
  <c r="H224" i="2"/>
  <c r="D224" i="2"/>
  <c r="Z223" i="2"/>
  <c r="Y223" i="2"/>
  <c r="X223" i="2"/>
  <c r="W223" i="2"/>
  <c r="O223" i="2"/>
  <c r="N223" i="2"/>
  <c r="M223" i="2"/>
  <c r="H223" i="2"/>
  <c r="D223" i="2"/>
  <c r="Z222" i="2"/>
  <c r="Y222" i="2"/>
  <c r="X222" i="2"/>
  <c r="W222" i="2"/>
  <c r="O222" i="2"/>
  <c r="N222" i="2"/>
  <c r="M222" i="2"/>
  <c r="H222" i="2"/>
  <c r="D222" i="2"/>
  <c r="Z221" i="2"/>
  <c r="Y221" i="2"/>
  <c r="X221" i="2"/>
  <c r="W221" i="2"/>
  <c r="O221" i="2"/>
  <c r="N221" i="2"/>
  <c r="M221" i="2"/>
  <c r="H221" i="2"/>
  <c r="D221" i="2"/>
  <c r="Z220" i="2"/>
  <c r="Y220" i="2"/>
  <c r="X220" i="2"/>
  <c r="W220" i="2"/>
  <c r="O220" i="2"/>
  <c r="N220" i="2"/>
  <c r="M220" i="2"/>
  <c r="H220" i="2"/>
  <c r="D220" i="2"/>
  <c r="Z219" i="2"/>
  <c r="Y219" i="2"/>
  <c r="X219" i="2"/>
  <c r="W219" i="2"/>
  <c r="O219" i="2"/>
  <c r="N219" i="2"/>
  <c r="M219" i="2"/>
  <c r="H219" i="2"/>
  <c r="D219" i="2"/>
  <c r="Z218" i="2"/>
  <c r="Y218" i="2"/>
  <c r="X218" i="2"/>
  <c r="W218" i="2"/>
  <c r="O218" i="2"/>
  <c r="N218" i="2"/>
  <c r="M218" i="2"/>
  <c r="H218" i="2"/>
  <c r="D218" i="2"/>
  <c r="Z217" i="2"/>
  <c r="Y217" i="2"/>
  <c r="X217" i="2"/>
  <c r="W217" i="2"/>
  <c r="O217" i="2"/>
  <c r="N217" i="2"/>
  <c r="M217" i="2"/>
  <c r="H217" i="2"/>
  <c r="D217" i="2"/>
  <c r="Z216" i="2"/>
  <c r="Y216" i="2"/>
  <c r="X216" i="2"/>
  <c r="W216" i="2"/>
  <c r="O216" i="2"/>
  <c r="N216" i="2"/>
  <c r="M216" i="2"/>
  <c r="H216" i="2"/>
  <c r="D216" i="2"/>
  <c r="Z215" i="2"/>
  <c r="Y215" i="2"/>
  <c r="X215" i="2"/>
  <c r="W215" i="2"/>
  <c r="O215" i="2"/>
  <c r="N215" i="2"/>
  <c r="M215" i="2"/>
  <c r="H215" i="2"/>
  <c r="D215" i="2"/>
  <c r="Z214" i="2"/>
  <c r="Y214" i="2"/>
  <c r="X214" i="2"/>
  <c r="W214" i="2"/>
  <c r="O214" i="2"/>
  <c r="N214" i="2"/>
  <c r="M214" i="2"/>
  <c r="H214" i="2"/>
  <c r="D214" i="2"/>
  <c r="Z213" i="2"/>
  <c r="Y213" i="2"/>
  <c r="X213" i="2"/>
  <c r="W213" i="2"/>
  <c r="O213" i="2"/>
  <c r="N213" i="2"/>
  <c r="M213" i="2"/>
  <c r="H213" i="2"/>
  <c r="D213" i="2"/>
  <c r="Z212" i="2"/>
  <c r="Y212" i="2"/>
  <c r="X212" i="2"/>
  <c r="W212" i="2"/>
  <c r="O212" i="2"/>
  <c r="N212" i="2"/>
  <c r="M212" i="2"/>
  <c r="H212" i="2"/>
  <c r="D212" i="2"/>
  <c r="Z211" i="2"/>
  <c r="Y211" i="2"/>
  <c r="X211" i="2"/>
  <c r="W211" i="2"/>
  <c r="O211" i="2"/>
  <c r="N211" i="2"/>
  <c r="M211" i="2"/>
  <c r="H211" i="2"/>
  <c r="D211" i="2"/>
  <c r="Z210" i="2"/>
  <c r="Y210" i="2"/>
  <c r="X210" i="2"/>
  <c r="W210" i="2"/>
  <c r="O210" i="2"/>
  <c r="N210" i="2"/>
  <c r="M210" i="2"/>
  <c r="H210" i="2"/>
  <c r="D210" i="2"/>
  <c r="Z209" i="2"/>
  <c r="Y209" i="2"/>
  <c r="X209" i="2"/>
  <c r="W209" i="2"/>
  <c r="O209" i="2"/>
  <c r="N209" i="2"/>
  <c r="M209" i="2"/>
  <c r="H209" i="2"/>
  <c r="D209" i="2"/>
  <c r="Z208" i="2"/>
  <c r="Y208" i="2"/>
  <c r="X208" i="2"/>
  <c r="W208" i="2"/>
  <c r="O208" i="2"/>
  <c r="N208" i="2"/>
  <c r="M208" i="2"/>
  <c r="H208" i="2"/>
  <c r="D208" i="2"/>
  <c r="Z207" i="2"/>
  <c r="Y207" i="2"/>
  <c r="X207" i="2"/>
  <c r="W207" i="2"/>
  <c r="O207" i="2"/>
  <c r="N207" i="2"/>
  <c r="M207" i="2"/>
  <c r="H207" i="2"/>
  <c r="D207" i="2"/>
  <c r="Z206" i="2"/>
  <c r="Y206" i="2"/>
  <c r="X206" i="2"/>
  <c r="W206" i="2"/>
  <c r="O206" i="2"/>
  <c r="N206" i="2"/>
  <c r="M206" i="2"/>
  <c r="H206" i="2"/>
  <c r="D206" i="2"/>
  <c r="Z205" i="2"/>
  <c r="Y205" i="2"/>
  <c r="X205" i="2"/>
  <c r="W205" i="2"/>
  <c r="O205" i="2"/>
  <c r="N205" i="2"/>
  <c r="M205" i="2"/>
  <c r="H205" i="2"/>
  <c r="D205" i="2"/>
  <c r="Z204" i="2"/>
  <c r="Y204" i="2"/>
  <c r="X204" i="2"/>
  <c r="W204" i="2"/>
  <c r="O204" i="2"/>
  <c r="N204" i="2"/>
  <c r="M204" i="2"/>
  <c r="H204" i="2"/>
  <c r="D204" i="2"/>
  <c r="Z203" i="2"/>
  <c r="Y203" i="2"/>
  <c r="X203" i="2"/>
  <c r="W203" i="2"/>
  <c r="O203" i="2"/>
  <c r="N203" i="2"/>
  <c r="M203" i="2"/>
  <c r="H203" i="2"/>
  <c r="D203" i="2"/>
  <c r="Z202" i="2"/>
  <c r="Y202" i="2"/>
  <c r="X202" i="2"/>
  <c r="W202" i="2"/>
  <c r="O202" i="2"/>
  <c r="N202" i="2"/>
  <c r="M202" i="2"/>
  <c r="H202" i="2"/>
  <c r="D202" i="2"/>
  <c r="Z201" i="2"/>
  <c r="Y201" i="2"/>
  <c r="X201" i="2"/>
  <c r="W201" i="2"/>
  <c r="O201" i="2"/>
  <c r="N201" i="2"/>
  <c r="M201" i="2"/>
  <c r="H201" i="2"/>
  <c r="D201" i="2"/>
  <c r="Z200" i="2"/>
  <c r="Y200" i="2"/>
  <c r="X200" i="2"/>
  <c r="W200" i="2"/>
  <c r="O200" i="2"/>
  <c r="N200" i="2"/>
  <c r="M200" i="2"/>
  <c r="H200" i="2"/>
  <c r="D200" i="2"/>
  <c r="Z199" i="2"/>
  <c r="Y199" i="2"/>
  <c r="X199" i="2"/>
  <c r="W199" i="2"/>
  <c r="O199" i="2"/>
  <c r="N199" i="2"/>
  <c r="M199" i="2"/>
  <c r="H199" i="2"/>
  <c r="D199" i="2"/>
  <c r="Z198" i="2"/>
  <c r="Y198" i="2"/>
  <c r="X198" i="2"/>
  <c r="W198" i="2"/>
  <c r="O198" i="2"/>
  <c r="N198" i="2"/>
  <c r="M198" i="2"/>
  <c r="H198" i="2"/>
  <c r="D198" i="2"/>
  <c r="Z197" i="2"/>
  <c r="Y197" i="2"/>
  <c r="X197" i="2"/>
  <c r="W197" i="2"/>
  <c r="O197" i="2"/>
  <c r="N197" i="2"/>
  <c r="M197" i="2"/>
  <c r="H197" i="2"/>
  <c r="D197" i="2"/>
  <c r="Z196" i="2"/>
  <c r="Y196" i="2"/>
  <c r="X196" i="2"/>
  <c r="W196" i="2"/>
  <c r="O196" i="2"/>
  <c r="N196" i="2"/>
  <c r="M196" i="2"/>
  <c r="H196" i="2"/>
  <c r="D196" i="2"/>
  <c r="Z195" i="2"/>
  <c r="Y195" i="2"/>
  <c r="X195" i="2"/>
  <c r="W195" i="2"/>
  <c r="O195" i="2"/>
  <c r="N195" i="2"/>
  <c r="M195" i="2"/>
  <c r="H195" i="2"/>
  <c r="D195" i="2"/>
  <c r="Z194" i="2"/>
  <c r="Y194" i="2"/>
  <c r="X194" i="2"/>
  <c r="W194" i="2"/>
  <c r="O194" i="2"/>
  <c r="N194" i="2"/>
  <c r="M194" i="2"/>
  <c r="H194" i="2"/>
  <c r="D194" i="2"/>
  <c r="Z193" i="2"/>
  <c r="Y193" i="2"/>
  <c r="X193" i="2"/>
  <c r="W193" i="2"/>
  <c r="O193" i="2"/>
  <c r="N193" i="2"/>
  <c r="M193" i="2"/>
  <c r="H193" i="2"/>
  <c r="D193" i="2"/>
  <c r="Z192" i="2"/>
  <c r="Y192" i="2"/>
  <c r="X192" i="2"/>
  <c r="W192" i="2"/>
  <c r="O192" i="2"/>
  <c r="N192" i="2"/>
  <c r="M192" i="2"/>
  <c r="H192" i="2"/>
  <c r="D192" i="2"/>
  <c r="Z191" i="2"/>
  <c r="Y191" i="2"/>
  <c r="X191" i="2"/>
  <c r="W191" i="2"/>
  <c r="O191" i="2"/>
  <c r="N191" i="2"/>
  <c r="M191" i="2"/>
  <c r="H191" i="2"/>
  <c r="D191" i="2"/>
  <c r="Z190" i="2"/>
  <c r="Y190" i="2"/>
  <c r="X190" i="2"/>
  <c r="W190" i="2"/>
  <c r="O190" i="2"/>
  <c r="N190" i="2"/>
  <c r="M190" i="2"/>
  <c r="H190" i="2"/>
  <c r="D190" i="2"/>
  <c r="Z189" i="2"/>
  <c r="Y189" i="2"/>
  <c r="X189" i="2"/>
  <c r="W189" i="2"/>
  <c r="O189" i="2"/>
  <c r="N189" i="2"/>
  <c r="M189" i="2"/>
  <c r="H189" i="2"/>
  <c r="D189" i="2"/>
  <c r="Z188" i="2"/>
  <c r="Y188" i="2"/>
  <c r="X188" i="2"/>
  <c r="W188" i="2"/>
  <c r="O188" i="2"/>
  <c r="N188" i="2"/>
  <c r="M188" i="2"/>
  <c r="H188" i="2"/>
  <c r="D188" i="2"/>
  <c r="Z187" i="2"/>
  <c r="Y187" i="2"/>
  <c r="X187" i="2"/>
  <c r="W187" i="2"/>
  <c r="O187" i="2"/>
  <c r="N187" i="2"/>
  <c r="M187" i="2"/>
  <c r="H187" i="2"/>
  <c r="D187" i="2"/>
  <c r="Z186" i="2"/>
  <c r="Y186" i="2"/>
  <c r="X186" i="2"/>
  <c r="W186" i="2"/>
  <c r="O186" i="2"/>
  <c r="N186" i="2"/>
  <c r="M186" i="2"/>
  <c r="H186" i="2"/>
  <c r="D186" i="2"/>
  <c r="Z185" i="2"/>
  <c r="Y185" i="2"/>
  <c r="X185" i="2"/>
  <c r="W185" i="2"/>
  <c r="O185" i="2"/>
  <c r="N185" i="2"/>
  <c r="M185" i="2"/>
  <c r="H185" i="2"/>
  <c r="D185" i="2"/>
  <c r="Z184" i="2"/>
  <c r="Y184" i="2"/>
  <c r="X184" i="2"/>
  <c r="W184" i="2"/>
  <c r="O184" i="2"/>
  <c r="N184" i="2"/>
  <c r="M184" i="2"/>
  <c r="H184" i="2"/>
  <c r="D184" i="2"/>
  <c r="Z183" i="2"/>
  <c r="Y183" i="2"/>
  <c r="X183" i="2"/>
  <c r="W183" i="2"/>
  <c r="O183" i="2"/>
  <c r="N183" i="2"/>
  <c r="M183" i="2"/>
  <c r="H183" i="2"/>
  <c r="D183" i="2"/>
  <c r="Z182" i="2"/>
  <c r="Y182" i="2"/>
  <c r="X182" i="2"/>
  <c r="W182" i="2"/>
  <c r="O182" i="2"/>
  <c r="N182" i="2"/>
  <c r="M182" i="2"/>
  <c r="H182" i="2"/>
  <c r="D182" i="2"/>
  <c r="Z181" i="2"/>
  <c r="Y181" i="2"/>
  <c r="X181" i="2"/>
  <c r="W181" i="2"/>
  <c r="O181" i="2"/>
  <c r="N181" i="2"/>
  <c r="M181" i="2"/>
  <c r="H181" i="2"/>
  <c r="D181" i="2"/>
  <c r="Z180" i="2"/>
  <c r="Y180" i="2"/>
  <c r="X180" i="2"/>
  <c r="W180" i="2"/>
  <c r="O180" i="2"/>
  <c r="N180" i="2"/>
  <c r="M180" i="2"/>
  <c r="H180" i="2"/>
  <c r="D180" i="2"/>
  <c r="Z179" i="2"/>
  <c r="Y179" i="2"/>
  <c r="X179" i="2"/>
  <c r="W179" i="2"/>
  <c r="O179" i="2"/>
  <c r="N179" i="2"/>
  <c r="M179" i="2"/>
  <c r="H179" i="2"/>
  <c r="D179" i="2"/>
  <c r="Z178" i="2"/>
  <c r="Y178" i="2"/>
  <c r="X178" i="2"/>
  <c r="W178" i="2"/>
  <c r="O178" i="2"/>
  <c r="N178" i="2"/>
  <c r="M178" i="2"/>
  <c r="H178" i="2"/>
  <c r="D178" i="2"/>
  <c r="Z177" i="2"/>
  <c r="Y177" i="2"/>
  <c r="X177" i="2"/>
  <c r="W177" i="2"/>
  <c r="O177" i="2"/>
  <c r="N177" i="2"/>
  <c r="M177" i="2"/>
  <c r="H177" i="2"/>
  <c r="D177" i="2"/>
  <c r="Z176" i="2"/>
  <c r="Y176" i="2"/>
  <c r="X176" i="2"/>
  <c r="W176" i="2"/>
  <c r="O176" i="2"/>
  <c r="N176" i="2"/>
  <c r="M176" i="2"/>
  <c r="H176" i="2"/>
  <c r="D176" i="2"/>
  <c r="Z175" i="2"/>
  <c r="Y175" i="2"/>
  <c r="X175" i="2"/>
  <c r="W175" i="2"/>
  <c r="O175" i="2"/>
  <c r="N175" i="2"/>
  <c r="M175" i="2"/>
  <c r="H175" i="2"/>
  <c r="D175" i="2"/>
  <c r="Z174" i="2"/>
  <c r="Y174" i="2"/>
  <c r="X174" i="2"/>
  <c r="W174" i="2"/>
  <c r="O174" i="2"/>
  <c r="N174" i="2"/>
  <c r="M174" i="2"/>
  <c r="H174" i="2"/>
  <c r="D174" i="2"/>
  <c r="Z173" i="2"/>
  <c r="Y173" i="2"/>
  <c r="X173" i="2"/>
  <c r="W173" i="2"/>
  <c r="O173" i="2"/>
  <c r="N173" i="2"/>
  <c r="M173" i="2"/>
  <c r="H173" i="2"/>
  <c r="D173" i="2"/>
  <c r="Z172" i="2"/>
  <c r="Y172" i="2"/>
  <c r="X172" i="2"/>
  <c r="W172" i="2"/>
  <c r="O172" i="2"/>
  <c r="N172" i="2"/>
  <c r="M172" i="2"/>
  <c r="H172" i="2"/>
  <c r="D172" i="2"/>
  <c r="Z171" i="2"/>
  <c r="Y171" i="2"/>
  <c r="X171" i="2"/>
  <c r="W171" i="2"/>
  <c r="O171" i="2"/>
  <c r="N171" i="2"/>
  <c r="M171" i="2"/>
  <c r="H171" i="2"/>
  <c r="D171" i="2"/>
  <c r="Z170" i="2"/>
  <c r="Y170" i="2"/>
  <c r="X170" i="2"/>
  <c r="W170" i="2"/>
  <c r="O170" i="2"/>
  <c r="N170" i="2"/>
  <c r="M170" i="2"/>
  <c r="H170" i="2"/>
  <c r="D170" i="2"/>
  <c r="Z169" i="2"/>
  <c r="Y169" i="2"/>
  <c r="X169" i="2"/>
  <c r="W169" i="2"/>
  <c r="O169" i="2"/>
  <c r="N169" i="2"/>
  <c r="M169" i="2"/>
  <c r="H169" i="2"/>
  <c r="D169" i="2"/>
  <c r="Z168" i="2"/>
  <c r="Y168" i="2"/>
  <c r="X168" i="2"/>
  <c r="W168" i="2"/>
  <c r="O168" i="2"/>
  <c r="N168" i="2"/>
  <c r="M168" i="2"/>
  <c r="H168" i="2"/>
  <c r="D168" i="2"/>
  <c r="Z167" i="2"/>
  <c r="Y167" i="2"/>
  <c r="X167" i="2"/>
  <c r="W167" i="2"/>
  <c r="O167" i="2"/>
  <c r="N167" i="2"/>
  <c r="M167" i="2"/>
  <c r="H167" i="2"/>
  <c r="D167" i="2"/>
  <c r="Z166" i="2"/>
  <c r="Y166" i="2"/>
  <c r="X166" i="2"/>
  <c r="W166" i="2"/>
  <c r="O166" i="2"/>
  <c r="N166" i="2"/>
  <c r="M166" i="2"/>
  <c r="H166" i="2"/>
  <c r="D166" i="2"/>
  <c r="Z165" i="2"/>
  <c r="Y165" i="2"/>
  <c r="X165" i="2"/>
  <c r="W165" i="2"/>
  <c r="O165" i="2"/>
  <c r="N165" i="2"/>
  <c r="M165" i="2"/>
  <c r="H165" i="2"/>
  <c r="D165" i="2"/>
  <c r="Z164" i="2"/>
  <c r="Y164" i="2"/>
  <c r="X164" i="2"/>
  <c r="W164" i="2"/>
  <c r="O164" i="2"/>
  <c r="N164" i="2"/>
  <c r="M164" i="2"/>
  <c r="H164" i="2"/>
  <c r="D164" i="2"/>
  <c r="Z163" i="2"/>
  <c r="Y163" i="2"/>
  <c r="X163" i="2"/>
  <c r="W163" i="2"/>
  <c r="O163" i="2"/>
  <c r="N163" i="2"/>
  <c r="M163" i="2"/>
  <c r="H163" i="2"/>
  <c r="D163" i="2"/>
  <c r="Z162" i="2"/>
  <c r="Y162" i="2"/>
  <c r="X162" i="2"/>
  <c r="W162" i="2"/>
  <c r="O162" i="2"/>
  <c r="N162" i="2"/>
  <c r="M162" i="2"/>
  <c r="H162" i="2"/>
  <c r="D162" i="2"/>
  <c r="Z161" i="2"/>
  <c r="Y161" i="2"/>
  <c r="X161" i="2"/>
  <c r="W161" i="2"/>
  <c r="O161" i="2"/>
  <c r="N161" i="2"/>
  <c r="M161" i="2"/>
  <c r="H161" i="2"/>
  <c r="D161" i="2"/>
  <c r="Z160" i="2"/>
  <c r="Y160" i="2"/>
  <c r="X160" i="2"/>
  <c r="W160" i="2"/>
  <c r="O160" i="2"/>
  <c r="N160" i="2"/>
  <c r="M160" i="2"/>
  <c r="H160" i="2"/>
  <c r="D160" i="2"/>
  <c r="Z159" i="2"/>
  <c r="Y159" i="2"/>
  <c r="X159" i="2"/>
  <c r="W159" i="2"/>
  <c r="O159" i="2"/>
  <c r="N159" i="2"/>
  <c r="M159" i="2"/>
  <c r="H159" i="2"/>
  <c r="D159" i="2"/>
  <c r="Z158" i="2"/>
  <c r="Y158" i="2"/>
  <c r="X158" i="2"/>
  <c r="W158" i="2"/>
  <c r="O158" i="2"/>
  <c r="N158" i="2"/>
  <c r="M158" i="2"/>
  <c r="H158" i="2"/>
  <c r="D158" i="2"/>
  <c r="Z157" i="2"/>
  <c r="Y157" i="2"/>
  <c r="X157" i="2"/>
  <c r="W157" i="2"/>
  <c r="O157" i="2"/>
  <c r="N157" i="2"/>
  <c r="M157" i="2"/>
  <c r="H157" i="2"/>
  <c r="D157" i="2"/>
  <c r="Z156" i="2"/>
  <c r="Y156" i="2"/>
  <c r="X156" i="2"/>
  <c r="W156" i="2"/>
  <c r="O156" i="2"/>
  <c r="N156" i="2"/>
  <c r="M156" i="2"/>
  <c r="H156" i="2"/>
  <c r="D156" i="2"/>
  <c r="Z155" i="2"/>
  <c r="Y155" i="2"/>
  <c r="X155" i="2"/>
  <c r="W155" i="2"/>
  <c r="O155" i="2"/>
  <c r="N155" i="2"/>
  <c r="M155" i="2"/>
  <c r="H155" i="2"/>
  <c r="D155" i="2"/>
  <c r="Z154" i="2"/>
  <c r="Y154" i="2"/>
  <c r="X154" i="2"/>
  <c r="W154" i="2"/>
  <c r="O154" i="2"/>
  <c r="N154" i="2"/>
  <c r="M154" i="2"/>
  <c r="H154" i="2"/>
  <c r="D154" i="2"/>
  <c r="Z153" i="2"/>
  <c r="Y153" i="2"/>
  <c r="X153" i="2"/>
  <c r="W153" i="2"/>
  <c r="O153" i="2"/>
  <c r="N153" i="2"/>
  <c r="M153" i="2"/>
  <c r="H153" i="2"/>
  <c r="D153" i="2"/>
  <c r="Z152" i="2"/>
  <c r="Y152" i="2"/>
  <c r="X152" i="2"/>
  <c r="W152" i="2"/>
  <c r="O152" i="2"/>
  <c r="N152" i="2"/>
  <c r="M152" i="2"/>
  <c r="H152" i="2"/>
  <c r="D152" i="2"/>
  <c r="Z151" i="2"/>
  <c r="Y151" i="2"/>
  <c r="X151" i="2"/>
  <c r="W151" i="2"/>
  <c r="O151" i="2"/>
  <c r="N151" i="2"/>
  <c r="M151" i="2"/>
  <c r="H151" i="2"/>
  <c r="D151" i="2"/>
  <c r="Z150" i="2"/>
  <c r="Y150" i="2"/>
  <c r="X150" i="2"/>
  <c r="W150" i="2"/>
  <c r="O150" i="2"/>
  <c r="N150" i="2"/>
  <c r="M150" i="2"/>
  <c r="H150" i="2"/>
  <c r="D150" i="2"/>
  <c r="Z149" i="2"/>
  <c r="Y149" i="2"/>
  <c r="X149" i="2"/>
  <c r="W149" i="2"/>
  <c r="O149" i="2"/>
  <c r="N149" i="2"/>
  <c r="M149" i="2"/>
  <c r="H149" i="2"/>
  <c r="D149" i="2"/>
  <c r="Z148" i="2"/>
  <c r="Y148" i="2"/>
  <c r="X148" i="2"/>
  <c r="W148" i="2"/>
  <c r="O148" i="2"/>
  <c r="N148" i="2"/>
  <c r="M148" i="2"/>
  <c r="H148" i="2"/>
  <c r="D148" i="2"/>
  <c r="Z147" i="2"/>
  <c r="Y147" i="2"/>
  <c r="X147" i="2"/>
  <c r="W147" i="2"/>
  <c r="O147" i="2"/>
  <c r="N147" i="2"/>
  <c r="M147" i="2"/>
  <c r="H147" i="2"/>
  <c r="D147" i="2"/>
  <c r="Z146" i="2"/>
  <c r="Y146" i="2"/>
  <c r="X146" i="2"/>
  <c r="W146" i="2"/>
  <c r="O146" i="2"/>
  <c r="N146" i="2"/>
  <c r="M146" i="2"/>
  <c r="H146" i="2"/>
  <c r="D146" i="2"/>
  <c r="Z145" i="2"/>
  <c r="Y145" i="2"/>
  <c r="X145" i="2"/>
  <c r="W145" i="2"/>
  <c r="O145" i="2"/>
  <c r="N145" i="2"/>
  <c r="M145" i="2"/>
  <c r="H145" i="2"/>
  <c r="D145" i="2"/>
  <c r="Z144" i="2"/>
  <c r="Y144" i="2"/>
  <c r="X144" i="2"/>
  <c r="W144" i="2"/>
  <c r="O144" i="2"/>
  <c r="N144" i="2"/>
  <c r="M144" i="2"/>
  <c r="H144" i="2"/>
  <c r="D144" i="2"/>
  <c r="Z143" i="2"/>
  <c r="Y143" i="2"/>
  <c r="X143" i="2"/>
  <c r="W143" i="2"/>
  <c r="O143" i="2"/>
  <c r="N143" i="2"/>
  <c r="M143" i="2"/>
  <c r="H143" i="2"/>
  <c r="D143" i="2"/>
  <c r="Z142" i="2"/>
  <c r="Y142" i="2"/>
  <c r="X142" i="2"/>
  <c r="W142" i="2"/>
  <c r="O142" i="2"/>
  <c r="N142" i="2"/>
  <c r="M142" i="2"/>
  <c r="H142" i="2"/>
  <c r="D142" i="2"/>
  <c r="Z141" i="2"/>
  <c r="Y141" i="2"/>
  <c r="X141" i="2"/>
  <c r="W141" i="2"/>
  <c r="O141" i="2"/>
  <c r="N141" i="2"/>
  <c r="M141" i="2"/>
  <c r="H141" i="2"/>
  <c r="D141" i="2"/>
  <c r="Z140" i="2"/>
  <c r="Y140" i="2"/>
  <c r="X140" i="2"/>
  <c r="W140" i="2"/>
  <c r="O140" i="2"/>
  <c r="N140" i="2"/>
  <c r="M140" i="2"/>
  <c r="H140" i="2"/>
  <c r="D140" i="2"/>
  <c r="Z139" i="2"/>
  <c r="Y139" i="2"/>
  <c r="X139" i="2"/>
  <c r="W139" i="2"/>
  <c r="O139" i="2"/>
  <c r="N139" i="2"/>
  <c r="M139" i="2"/>
  <c r="H139" i="2"/>
  <c r="D139" i="2"/>
  <c r="Z138" i="2"/>
  <c r="Y138" i="2"/>
  <c r="X138" i="2"/>
  <c r="W138" i="2"/>
  <c r="O138" i="2"/>
  <c r="N138" i="2"/>
  <c r="M138" i="2"/>
  <c r="H138" i="2"/>
  <c r="D138" i="2"/>
  <c r="Z137" i="2"/>
  <c r="Y137" i="2"/>
  <c r="X137" i="2"/>
  <c r="W137" i="2"/>
  <c r="O137" i="2"/>
  <c r="N137" i="2"/>
  <c r="M137" i="2"/>
  <c r="H137" i="2"/>
  <c r="D137" i="2"/>
  <c r="Z136" i="2"/>
  <c r="Y136" i="2"/>
  <c r="X136" i="2"/>
  <c r="W136" i="2"/>
  <c r="O136" i="2"/>
  <c r="N136" i="2"/>
  <c r="M136" i="2"/>
  <c r="H136" i="2"/>
  <c r="D136" i="2"/>
  <c r="Z135" i="2"/>
  <c r="Y135" i="2"/>
  <c r="X135" i="2"/>
  <c r="W135" i="2"/>
  <c r="O135" i="2"/>
  <c r="N135" i="2"/>
  <c r="M135" i="2"/>
  <c r="H135" i="2"/>
  <c r="D135" i="2"/>
  <c r="Z134" i="2"/>
  <c r="Y134" i="2"/>
  <c r="X134" i="2"/>
  <c r="W134" i="2"/>
  <c r="O134" i="2"/>
  <c r="N134" i="2"/>
  <c r="M134" i="2"/>
  <c r="H134" i="2"/>
  <c r="D134" i="2"/>
  <c r="Z133" i="2"/>
  <c r="Y133" i="2"/>
  <c r="X133" i="2"/>
  <c r="W133" i="2"/>
  <c r="O133" i="2"/>
  <c r="N133" i="2"/>
  <c r="M133" i="2"/>
  <c r="H133" i="2"/>
  <c r="D133" i="2"/>
  <c r="Z132" i="2"/>
  <c r="Y132" i="2"/>
  <c r="X132" i="2"/>
  <c r="W132" i="2"/>
  <c r="O132" i="2"/>
  <c r="N132" i="2"/>
  <c r="M132" i="2"/>
  <c r="H132" i="2"/>
  <c r="D132" i="2"/>
  <c r="Z131" i="2"/>
  <c r="Y131" i="2"/>
  <c r="X131" i="2"/>
  <c r="W131" i="2"/>
  <c r="O131" i="2"/>
  <c r="N131" i="2"/>
  <c r="M131" i="2"/>
  <c r="H131" i="2"/>
  <c r="D131" i="2"/>
  <c r="Z130" i="2"/>
  <c r="Y130" i="2"/>
  <c r="X130" i="2"/>
  <c r="W130" i="2"/>
  <c r="O130" i="2"/>
  <c r="N130" i="2"/>
  <c r="M130" i="2"/>
  <c r="H130" i="2"/>
  <c r="D130" i="2"/>
  <c r="Z129" i="2"/>
  <c r="Y129" i="2"/>
  <c r="X129" i="2"/>
  <c r="W129" i="2"/>
  <c r="O129" i="2"/>
  <c r="N129" i="2"/>
  <c r="M129" i="2"/>
  <c r="H129" i="2"/>
  <c r="D129" i="2"/>
  <c r="Z128" i="2"/>
  <c r="Y128" i="2"/>
  <c r="X128" i="2"/>
  <c r="W128" i="2"/>
  <c r="O128" i="2"/>
  <c r="N128" i="2"/>
  <c r="M128" i="2"/>
  <c r="H128" i="2"/>
  <c r="D128" i="2"/>
  <c r="Z127" i="2"/>
  <c r="Y127" i="2"/>
  <c r="X127" i="2"/>
  <c r="W127" i="2"/>
  <c r="O127" i="2"/>
  <c r="N127" i="2"/>
  <c r="M127" i="2"/>
  <c r="H127" i="2"/>
  <c r="D127" i="2"/>
  <c r="Z126" i="2"/>
  <c r="Y126" i="2"/>
  <c r="X126" i="2"/>
  <c r="W126" i="2"/>
  <c r="O126" i="2"/>
  <c r="N126" i="2"/>
  <c r="M126" i="2"/>
  <c r="H126" i="2"/>
  <c r="D126" i="2"/>
  <c r="Z125" i="2"/>
  <c r="Y125" i="2"/>
  <c r="X125" i="2"/>
  <c r="W125" i="2"/>
  <c r="O125" i="2"/>
  <c r="N125" i="2"/>
  <c r="M125" i="2"/>
  <c r="H125" i="2"/>
  <c r="D125" i="2"/>
  <c r="Z124" i="2"/>
  <c r="Y124" i="2"/>
  <c r="X124" i="2"/>
  <c r="W124" i="2"/>
  <c r="O124" i="2"/>
  <c r="N124" i="2"/>
  <c r="M124" i="2"/>
  <c r="H124" i="2"/>
  <c r="D124" i="2"/>
  <c r="Z123" i="2"/>
  <c r="Y123" i="2"/>
  <c r="X123" i="2"/>
  <c r="W123" i="2"/>
  <c r="O123" i="2"/>
  <c r="N123" i="2"/>
  <c r="M123" i="2"/>
  <c r="H123" i="2"/>
  <c r="D123" i="2"/>
  <c r="Z122" i="2"/>
  <c r="Y122" i="2"/>
  <c r="X122" i="2"/>
  <c r="W122" i="2"/>
  <c r="O122" i="2"/>
  <c r="N122" i="2"/>
  <c r="M122" i="2"/>
  <c r="H122" i="2"/>
  <c r="D122" i="2"/>
  <c r="Z121" i="2"/>
  <c r="Y121" i="2"/>
  <c r="X121" i="2"/>
  <c r="W121" i="2"/>
  <c r="O121" i="2"/>
  <c r="N121" i="2"/>
  <c r="M121" i="2"/>
  <c r="H121" i="2"/>
  <c r="D121" i="2"/>
  <c r="Z120" i="2"/>
  <c r="Y120" i="2"/>
  <c r="X120" i="2"/>
  <c r="W120" i="2"/>
  <c r="O120" i="2"/>
  <c r="N120" i="2"/>
  <c r="M120" i="2"/>
  <c r="H120" i="2"/>
  <c r="D120" i="2"/>
  <c r="Z119" i="2"/>
  <c r="Y119" i="2"/>
  <c r="X119" i="2"/>
  <c r="W119" i="2"/>
  <c r="O119" i="2"/>
  <c r="N119" i="2"/>
  <c r="M119" i="2"/>
  <c r="H119" i="2"/>
  <c r="D119" i="2"/>
  <c r="Z118" i="2"/>
  <c r="Y118" i="2"/>
  <c r="X118" i="2"/>
  <c r="W118" i="2"/>
  <c r="O118" i="2"/>
  <c r="N118" i="2"/>
  <c r="M118" i="2"/>
  <c r="H118" i="2"/>
  <c r="D118" i="2"/>
  <c r="Z117" i="2"/>
  <c r="Y117" i="2"/>
  <c r="X117" i="2"/>
  <c r="W117" i="2"/>
  <c r="O117" i="2"/>
  <c r="N117" i="2"/>
  <c r="M117" i="2"/>
  <c r="H117" i="2"/>
  <c r="D117" i="2"/>
  <c r="Z116" i="2"/>
  <c r="Y116" i="2"/>
  <c r="X116" i="2"/>
  <c r="W116" i="2"/>
  <c r="O116" i="2"/>
  <c r="N116" i="2"/>
  <c r="M116" i="2"/>
  <c r="H116" i="2"/>
  <c r="D116" i="2"/>
  <c r="Z115" i="2"/>
  <c r="Y115" i="2"/>
  <c r="X115" i="2"/>
  <c r="W115" i="2"/>
  <c r="O115" i="2"/>
  <c r="N115" i="2"/>
  <c r="M115" i="2"/>
  <c r="H115" i="2"/>
  <c r="D115" i="2"/>
  <c r="Z114" i="2"/>
  <c r="Y114" i="2"/>
  <c r="X114" i="2"/>
  <c r="W114" i="2"/>
  <c r="O114" i="2"/>
  <c r="N114" i="2"/>
  <c r="M114" i="2"/>
  <c r="H114" i="2"/>
  <c r="D114" i="2"/>
  <c r="Z113" i="2"/>
  <c r="Y113" i="2"/>
  <c r="X113" i="2"/>
  <c r="W113" i="2"/>
  <c r="O113" i="2"/>
  <c r="N113" i="2"/>
  <c r="M113" i="2"/>
  <c r="H113" i="2"/>
  <c r="D113" i="2"/>
  <c r="Z112" i="2"/>
  <c r="Y112" i="2"/>
  <c r="X112" i="2"/>
  <c r="W112" i="2"/>
  <c r="O112" i="2"/>
  <c r="N112" i="2"/>
  <c r="M112" i="2"/>
  <c r="H112" i="2"/>
  <c r="D112" i="2"/>
  <c r="Z111" i="2"/>
  <c r="Y111" i="2"/>
  <c r="X111" i="2"/>
  <c r="W111" i="2"/>
  <c r="O111" i="2"/>
  <c r="N111" i="2"/>
  <c r="M111" i="2"/>
  <c r="H111" i="2"/>
  <c r="D111" i="2"/>
  <c r="Z110" i="2"/>
  <c r="Y110" i="2"/>
  <c r="X110" i="2"/>
  <c r="W110" i="2"/>
  <c r="O110" i="2"/>
  <c r="N110" i="2"/>
  <c r="M110" i="2"/>
  <c r="H110" i="2"/>
  <c r="D110" i="2"/>
  <c r="Z109" i="2"/>
  <c r="Y109" i="2"/>
  <c r="X109" i="2"/>
  <c r="W109" i="2"/>
  <c r="O109" i="2"/>
  <c r="N109" i="2"/>
  <c r="M109" i="2"/>
  <c r="H109" i="2"/>
  <c r="D109" i="2"/>
  <c r="Z108" i="2"/>
  <c r="Y108" i="2"/>
  <c r="X108" i="2"/>
  <c r="W108" i="2"/>
  <c r="O108" i="2"/>
  <c r="N108" i="2"/>
  <c r="M108" i="2"/>
  <c r="H108" i="2"/>
  <c r="D108" i="2"/>
  <c r="Z107" i="2"/>
  <c r="Y107" i="2"/>
  <c r="X107" i="2"/>
  <c r="W107" i="2"/>
  <c r="O107" i="2"/>
  <c r="N107" i="2"/>
  <c r="M107" i="2"/>
  <c r="H107" i="2"/>
  <c r="D107" i="2"/>
  <c r="Z106" i="2"/>
  <c r="Y106" i="2"/>
  <c r="X106" i="2"/>
  <c r="W106" i="2"/>
  <c r="O106" i="2"/>
  <c r="N106" i="2"/>
  <c r="M106" i="2"/>
  <c r="H106" i="2"/>
  <c r="D106" i="2"/>
  <c r="Z105" i="2"/>
  <c r="Y105" i="2"/>
  <c r="X105" i="2"/>
  <c r="W105" i="2"/>
  <c r="O105" i="2"/>
  <c r="N105" i="2"/>
  <c r="M105" i="2"/>
  <c r="H105" i="2"/>
  <c r="D105" i="2"/>
  <c r="Z104" i="2"/>
  <c r="Y104" i="2"/>
  <c r="X104" i="2"/>
  <c r="W104" i="2"/>
  <c r="O104" i="2"/>
  <c r="N104" i="2"/>
  <c r="M104" i="2"/>
  <c r="H104" i="2"/>
  <c r="D104" i="2"/>
  <c r="Z103" i="2"/>
  <c r="Y103" i="2"/>
  <c r="X103" i="2"/>
  <c r="W103" i="2"/>
  <c r="O103" i="2"/>
  <c r="N103" i="2"/>
  <c r="M103" i="2"/>
  <c r="H103" i="2"/>
  <c r="D103" i="2"/>
  <c r="Z102" i="2"/>
  <c r="Y102" i="2"/>
  <c r="X102" i="2"/>
  <c r="W102" i="2"/>
  <c r="O102" i="2"/>
  <c r="N102" i="2"/>
  <c r="M102" i="2"/>
  <c r="H102" i="2"/>
  <c r="D102" i="2"/>
  <c r="Z101" i="2"/>
  <c r="Y101" i="2"/>
  <c r="X101" i="2"/>
  <c r="W101" i="2"/>
  <c r="O101" i="2"/>
  <c r="N101" i="2"/>
  <c r="M101" i="2"/>
  <c r="H101" i="2"/>
  <c r="D101" i="2"/>
  <c r="Z100" i="2"/>
  <c r="Y100" i="2"/>
  <c r="X100" i="2"/>
  <c r="W100" i="2"/>
  <c r="O100" i="2"/>
  <c r="N100" i="2"/>
  <c r="M100" i="2"/>
  <c r="H100" i="2"/>
  <c r="D100" i="2"/>
  <c r="Z99" i="2"/>
  <c r="Y99" i="2"/>
  <c r="X99" i="2"/>
  <c r="W99" i="2"/>
  <c r="O99" i="2"/>
  <c r="N99" i="2"/>
  <c r="M99" i="2"/>
  <c r="H99" i="2"/>
  <c r="D99" i="2"/>
  <c r="Z98" i="2"/>
  <c r="Y98" i="2"/>
  <c r="X98" i="2"/>
  <c r="W98" i="2"/>
  <c r="O98" i="2"/>
  <c r="N98" i="2"/>
  <c r="M98" i="2"/>
  <c r="H98" i="2"/>
  <c r="D98" i="2"/>
  <c r="Z97" i="2"/>
  <c r="Y97" i="2"/>
  <c r="X97" i="2"/>
  <c r="W97" i="2"/>
  <c r="O97" i="2"/>
  <c r="N97" i="2"/>
  <c r="M97" i="2"/>
  <c r="H97" i="2"/>
  <c r="D97" i="2"/>
  <c r="Z96" i="2"/>
  <c r="Y96" i="2"/>
  <c r="X96" i="2"/>
  <c r="W96" i="2"/>
  <c r="O96" i="2"/>
  <c r="N96" i="2"/>
  <c r="M96" i="2"/>
  <c r="H96" i="2"/>
  <c r="D96" i="2"/>
  <c r="Z95" i="2"/>
  <c r="Y95" i="2"/>
  <c r="X95" i="2"/>
  <c r="W95" i="2"/>
  <c r="O95" i="2"/>
  <c r="N95" i="2"/>
  <c r="M95" i="2"/>
  <c r="H95" i="2"/>
  <c r="D95" i="2"/>
  <c r="Z94" i="2"/>
  <c r="Y94" i="2"/>
  <c r="X94" i="2"/>
  <c r="W94" i="2"/>
  <c r="O94" i="2"/>
  <c r="N94" i="2"/>
  <c r="M94" i="2"/>
  <c r="H94" i="2"/>
  <c r="D94" i="2"/>
  <c r="Z93" i="2"/>
  <c r="Y93" i="2"/>
  <c r="X93" i="2"/>
  <c r="W93" i="2"/>
  <c r="O93" i="2"/>
  <c r="N93" i="2"/>
  <c r="M93" i="2"/>
  <c r="H93" i="2"/>
  <c r="D93" i="2"/>
  <c r="Z92" i="2"/>
  <c r="Y92" i="2"/>
  <c r="X92" i="2"/>
  <c r="W92" i="2"/>
  <c r="O92" i="2"/>
  <c r="N92" i="2"/>
  <c r="M92" i="2"/>
  <c r="H92" i="2"/>
  <c r="D92" i="2"/>
  <c r="Z91" i="2"/>
  <c r="Y91" i="2"/>
  <c r="X91" i="2"/>
  <c r="W91" i="2"/>
  <c r="O91" i="2"/>
  <c r="N91" i="2"/>
  <c r="M91" i="2"/>
  <c r="H91" i="2"/>
  <c r="D91" i="2"/>
  <c r="Z90" i="2"/>
  <c r="Y90" i="2"/>
  <c r="X90" i="2"/>
  <c r="W90" i="2"/>
  <c r="O90" i="2"/>
  <c r="N90" i="2"/>
  <c r="M90" i="2"/>
  <c r="H90" i="2"/>
  <c r="D90" i="2"/>
  <c r="Z89" i="2"/>
  <c r="Y89" i="2"/>
  <c r="X89" i="2"/>
  <c r="W89" i="2"/>
  <c r="O89" i="2"/>
  <c r="N89" i="2"/>
  <c r="M89" i="2"/>
  <c r="H89" i="2"/>
  <c r="D89" i="2"/>
  <c r="Z88" i="2"/>
  <c r="Y88" i="2"/>
  <c r="X88" i="2"/>
  <c r="W88" i="2"/>
  <c r="O88" i="2"/>
  <c r="N88" i="2"/>
  <c r="M88" i="2"/>
  <c r="H88" i="2"/>
  <c r="D88" i="2"/>
  <c r="Z87" i="2"/>
  <c r="Y87" i="2"/>
  <c r="X87" i="2"/>
  <c r="W87" i="2"/>
  <c r="O87" i="2"/>
  <c r="N87" i="2"/>
  <c r="M87" i="2"/>
  <c r="H87" i="2"/>
  <c r="D87" i="2"/>
  <c r="Z86" i="2"/>
  <c r="Y86" i="2"/>
  <c r="X86" i="2"/>
  <c r="W86" i="2"/>
  <c r="O86" i="2"/>
  <c r="N86" i="2"/>
  <c r="M86" i="2"/>
  <c r="H86" i="2"/>
  <c r="D86" i="2"/>
  <c r="Z85" i="2"/>
  <c r="Y85" i="2"/>
  <c r="X85" i="2"/>
  <c r="W85" i="2"/>
  <c r="O85" i="2"/>
  <c r="N85" i="2"/>
  <c r="M85" i="2"/>
  <c r="H85" i="2"/>
  <c r="D85" i="2"/>
  <c r="Z84" i="2"/>
  <c r="Y84" i="2"/>
  <c r="X84" i="2"/>
  <c r="W84" i="2"/>
  <c r="O84" i="2"/>
  <c r="N84" i="2"/>
  <c r="M84" i="2"/>
  <c r="H84" i="2"/>
  <c r="D84" i="2"/>
  <c r="Z83" i="2"/>
  <c r="Y83" i="2"/>
  <c r="X83" i="2"/>
  <c r="W83" i="2"/>
  <c r="O83" i="2"/>
  <c r="N83" i="2"/>
  <c r="M83" i="2"/>
  <c r="H83" i="2"/>
  <c r="D83" i="2"/>
  <c r="Z82" i="2"/>
  <c r="Y82" i="2"/>
  <c r="X82" i="2"/>
  <c r="W82" i="2"/>
  <c r="O82" i="2"/>
  <c r="N82" i="2"/>
  <c r="M82" i="2"/>
  <c r="H82" i="2"/>
  <c r="D82" i="2"/>
  <c r="Z81" i="2"/>
  <c r="Y81" i="2"/>
  <c r="X81" i="2"/>
  <c r="W81" i="2"/>
  <c r="O81" i="2"/>
  <c r="N81" i="2"/>
  <c r="M81" i="2"/>
  <c r="H81" i="2"/>
  <c r="D81" i="2"/>
  <c r="Z80" i="2"/>
  <c r="Y80" i="2"/>
  <c r="X80" i="2"/>
  <c r="W80" i="2"/>
  <c r="O80" i="2"/>
  <c r="N80" i="2"/>
  <c r="M80" i="2"/>
  <c r="H80" i="2"/>
  <c r="D80" i="2"/>
  <c r="Z79" i="2"/>
  <c r="Y79" i="2"/>
  <c r="X79" i="2"/>
  <c r="W79" i="2"/>
  <c r="O79" i="2"/>
  <c r="N79" i="2"/>
  <c r="M79" i="2"/>
  <c r="H79" i="2"/>
  <c r="D79" i="2"/>
  <c r="Z78" i="2"/>
  <c r="Y78" i="2"/>
  <c r="X78" i="2"/>
  <c r="W78" i="2"/>
  <c r="O78" i="2"/>
  <c r="N78" i="2"/>
  <c r="M78" i="2"/>
  <c r="H78" i="2"/>
  <c r="D78" i="2"/>
  <c r="Z77" i="2"/>
  <c r="Y77" i="2"/>
  <c r="X77" i="2"/>
  <c r="W77" i="2"/>
  <c r="O77" i="2"/>
  <c r="N77" i="2"/>
  <c r="M77" i="2"/>
  <c r="H77" i="2"/>
  <c r="D77" i="2"/>
  <c r="Z76" i="2"/>
  <c r="Y76" i="2"/>
  <c r="X76" i="2"/>
  <c r="W76" i="2"/>
  <c r="O76" i="2"/>
  <c r="N76" i="2"/>
  <c r="M76" i="2"/>
  <c r="H76" i="2"/>
  <c r="D76" i="2"/>
  <c r="Z75" i="2"/>
  <c r="Y75" i="2"/>
  <c r="X75" i="2"/>
  <c r="W75" i="2"/>
  <c r="O75" i="2"/>
  <c r="N75" i="2"/>
  <c r="M75" i="2"/>
  <c r="H75" i="2"/>
  <c r="D75" i="2"/>
  <c r="Z74" i="2"/>
  <c r="Y74" i="2"/>
  <c r="X74" i="2"/>
  <c r="W74" i="2"/>
  <c r="O74" i="2"/>
  <c r="N74" i="2"/>
  <c r="M74" i="2"/>
  <c r="H74" i="2"/>
  <c r="D74" i="2"/>
  <c r="Z73" i="2"/>
  <c r="Y73" i="2"/>
  <c r="X73" i="2"/>
  <c r="W73" i="2"/>
  <c r="O73" i="2"/>
  <c r="N73" i="2"/>
  <c r="M73" i="2"/>
  <c r="H73" i="2"/>
  <c r="D73" i="2"/>
  <c r="Z72" i="2"/>
  <c r="Y72" i="2"/>
  <c r="X72" i="2"/>
  <c r="W72" i="2"/>
  <c r="O72" i="2"/>
  <c r="N72" i="2"/>
  <c r="M72" i="2"/>
  <c r="H72" i="2"/>
  <c r="D72" i="2"/>
  <c r="Z71" i="2"/>
  <c r="Y71" i="2"/>
  <c r="X71" i="2"/>
  <c r="W71" i="2"/>
  <c r="O71" i="2"/>
  <c r="N71" i="2"/>
  <c r="M71" i="2"/>
  <c r="H71" i="2"/>
  <c r="D71" i="2"/>
  <c r="Z70" i="2"/>
  <c r="Y70" i="2"/>
  <c r="X70" i="2"/>
  <c r="W70" i="2"/>
  <c r="O70" i="2"/>
  <c r="N70" i="2"/>
  <c r="M70" i="2"/>
  <c r="H70" i="2"/>
  <c r="D70" i="2"/>
  <c r="Z69" i="2"/>
  <c r="Y69" i="2"/>
  <c r="X69" i="2"/>
  <c r="W69" i="2"/>
  <c r="O69" i="2"/>
  <c r="N69" i="2"/>
  <c r="M69" i="2"/>
  <c r="H69" i="2"/>
  <c r="D69" i="2"/>
  <c r="Z68" i="2"/>
  <c r="Y68" i="2"/>
  <c r="X68" i="2"/>
  <c r="W68" i="2"/>
  <c r="O68" i="2"/>
  <c r="N68" i="2"/>
  <c r="M68" i="2"/>
  <c r="H68" i="2"/>
  <c r="D68" i="2"/>
  <c r="Z67" i="2"/>
  <c r="Y67" i="2"/>
  <c r="X67" i="2"/>
  <c r="W67" i="2"/>
  <c r="O67" i="2"/>
  <c r="N67" i="2"/>
  <c r="M67" i="2"/>
  <c r="H67" i="2"/>
  <c r="D67" i="2"/>
  <c r="Z66" i="2"/>
  <c r="Y66" i="2"/>
  <c r="X66" i="2"/>
  <c r="W66" i="2"/>
  <c r="O66" i="2"/>
  <c r="N66" i="2"/>
  <c r="M66" i="2"/>
  <c r="H66" i="2"/>
  <c r="D66" i="2"/>
  <c r="Z65" i="2"/>
  <c r="Y65" i="2"/>
  <c r="X65" i="2"/>
  <c r="W65" i="2"/>
  <c r="O65" i="2"/>
  <c r="N65" i="2"/>
  <c r="M65" i="2"/>
  <c r="H65" i="2"/>
  <c r="D65" i="2"/>
  <c r="Z64" i="2"/>
  <c r="Y64" i="2"/>
  <c r="X64" i="2"/>
  <c r="W64" i="2"/>
  <c r="O64" i="2"/>
  <c r="N64" i="2"/>
  <c r="M64" i="2"/>
  <c r="H64" i="2"/>
  <c r="D64" i="2"/>
  <c r="Z63" i="2"/>
  <c r="Y63" i="2"/>
  <c r="X63" i="2"/>
  <c r="W63" i="2"/>
  <c r="O63" i="2"/>
  <c r="N63" i="2"/>
  <c r="M63" i="2"/>
  <c r="H63" i="2"/>
  <c r="D63" i="2"/>
  <c r="Z62" i="2"/>
  <c r="Y62" i="2"/>
  <c r="X62" i="2"/>
  <c r="W62" i="2"/>
  <c r="O62" i="2"/>
  <c r="N62" i="2"/>
  <c r="M62" i="2"/>
  <c r="H62" i="2"/>
  <c r="D62" i="2"/>
  <c r="Z61" i="2"/>
  <c r="Y61" i="2"/>
  <c r="X61" i="2"/>
  <c r="W61" i="2"/>
  <c r="O61" i="2"/>
  <c r="N61" i="2"/>
  <c r="M61" i="2"/>
  <c r="H61" i="2"/>
  <c r="D61" i="2"/>
  <c r="Z60" i="2"/>
  <c r="Y60" i="2"/>
  <c r="X60" i="2"/>
  <c r="W60" i="2"/>
  <c r="O60" i="2"/>
  <c r="N60" i="2"/>
  <c r="M60" i="2"/>
  <c r="H60" i="2"/>
  <c r="D60" i="2"/>
  <c r="Z59" i="2"/>
  <c r="Y59" i="2"/>
  <c r="X59" i="2"/>
  <c r="W59" i="2"/>
  <c r="O59" i="2"/>
  <c r="N59" i="2"/>
  <c r="M59" i="2"/>
  <c r="H59" i="2"/>
  <c r="D59" i="2"/>
  <c r="Z58" i="2"/>
  <c r="Y58" i="2"/>
  <c r="X58" i="2"/>
  <c r="W58" i="2"/>
  <c r="O58" i="2"/>
  <c r="N58" i="2"/>
  <c r="M58" i="2"/>
  <c r="H58" i="2"/>
  <c r="D58" i="2"/>
  <c r="Z57" i="2"/>
  <c r="Y57" i="2"/>
  <c r="X57" i="2"/>
  <c r="W57" i="2"/>
  <c r="O57" i="2"/>
  <c r="N57" i="2"/>
  <c r="M57" i="2"/>
  <c r="H57" i="2"/>
  <c r="D57" i="2"/>
  <c r="Z56" i="2"/>
  <c r="Y56" i="2"/>
  <c r="X56" i="2"/>
  <c r="W56" i="2"/>
  <c r="O56" i="2"/>
  <c r="N56" i="2"/>
  <c r="M56" i="2"/>
  <c r="H56" i="2"/>
  <c r="D56" i="2"/>
  <c r="Z55" i="2"/>
  <c r="Y55" i="2"/>
  <c r="X55" i="2"/>
  <c r="W55" i="2"/>
  <c r="O55" i="2"/>
  <c r="N55" i="2"/>
  <c r="M55" i="2"/>
  <c r="H55" i="2"/>
  <c r="D55" i="2"/>
  <c r="Z54" i="2"/>
  <c r="Y54" i="2"/>
  <c r="X54" i="2"/>
  <c r="W54" i="2"/>
  <c r="O54" i="2"/>
  <c r="N54" i="2"/>
  <c r="M54" i="2"/>
  <c r="H54" i="2"/>
  <c r="D54" i="2"/>
  <c r="Z53" i="2"/>
  <c r="Y53" i="2"/>
  <c r="X53" i="2"/>
  <c r="W53" i="2"/>
  <c r="O53" i="2"/>
  <c r="N53" i="2"/>
  <c r="M53" i="2"/>
  <c r="H53" i="2"/>
  <c r="D53" i="2"/>
  <c r="Z52" i="2"/>
  <c r="Y52" i="2"/>
  <c r="X52" i="2"/>
  <c r="W52" i="2"/>
  <c r="O52" i="2"/>
  <c r="N52" i="2"/>
  <c r="M52" i="2"/>
  <c r="H52" i="2"/>
  <c r="D52" i="2"/>
  <c r="Z51" i="2"/>
  <c r="Y51" i="2"/>
  <c r="X51" i="2"/>
  <c r="W51" i="2"/>
  <c r="O51" i="2"/>
  <c r="N51" i="2"/>
  <c r="M51" i="2"/>
  <c r="H51" i="2"/>
  <c r="D51" i="2"/>
  <c r="Z50" i="2"/>
  <c r="Y50" i="2"/>
  <c r="X50" i="2"/>
  <c r="W50" i="2"/>
  <c r="O50" i="2"/>
  <c r="N50" i="2"/>
  <c r="M50" i="2"/>
  <c r="H50" i="2"/>
  <c r="D50" i="2"/>
  <c r="Z49" i="2"/>
  <c r="Y49" i="2"/>
  <c r="X49" i="2"/>
  <c r="W49" i="2"/>
  <c r="O49" i="2"/>
  <c r="N49" i="2"/>
  <c r="M49" i="2"/>
  <c r="H49" i="2"/>
  <c r="D49" i="2"/>
  <c r="Z48" i="2"/>
  <c r="Y48" i="2"/>
  <c r="X48" i="2"/>
  <c r="W48" i="2"/>
  <c r="O48" i="2"/>
  <c r="N48" i="2"/>
  <c r="M48" i="2"/>
  <c r="H48" i="2"/>
  <c r="D48" i="2"/>
  <c r="Z47" i="2"/>
  <c r="Y47" i="2"/>
  <c r="X47" i="2"/>
  <c r="W47" i="2"/>
  <c r="O47" i="2"/>
  <c r="N47" i="2"/>
  <c r="M47" i="2"/>
  <c r="H47" i="2"/>
  <c r="D47" i="2"/>
  <c r="Z46" i="2"/>
  <c r="Y46" i="2"/>
  <c r="X46" i="2"/>
  <c r="W46" i="2"/>
  <c r="O46" i="2"/>
  <c r="N46" i="2"/>
  <c r="M46" i="2"/>
  <c r="H46" i="2"/>
  <c r="D46" i="2"/>
  <c r="Z45" i="2"/>
  <c r="Y45" i="2"/>
  <c r="X45" i="2"/>
  <c r="W45" i="2"/>
  <c r="O45" i="2"/>
  <c r="N45" i="2"/>
  <c r="M45" i="2"/>
  <c r="H45" i="2"/>
  <c r="D45" i="2"/>
  <c r="Z44" i="2"/>
  <c r="Y44" i="2"/>
  <c r="X44" i="2"/>
  <c r="W44" i="2"/>
  <c r="O44" i="2"/>
  <c r="N44" i="2"/>
  <c r="M44" i="2"/>
  <c r="H44" i="2"/>
  <c r="D44" i="2"/>
  <c r="Z43" i="2"/>
  <c r="Y43" i="2"/>
  <c r="X43" i="2"/>
  <c r="W43" i="2"/>
  <c r="O43" i="2"/>
  <c r="N43" i="2"/>
  <c r="M43" i="2"/>
  <c r="H43" i="2"/>
  <c r="D43" i="2"/>
  <c r="Z42" i="2"/>
  <c r="Y42" i="2"/>
  <c r="X42" i="2"/>
  <c r="W42" i="2"/>
  <c r="O42" i="2"/>
  <c r="N42" i="2"/>
  <c r="M42" i="2"/>
  <c r="H42" i="2"/>
  <c r="D42" i="2"/>
  <c r="Z41" i="2"/>
  <c r="Y41" i="2"/>
  <c r="X41" i="2"/>
  <c r="W41" i="2"/>
  <c r="O41" i="2"/>
  <c r="N41" i="2"/>
  <c r="M41" i="2"/>
  <c r="H41" i="2"/>
  <c r="D41" i="2"/>
  <c r="Z40" i="2"/>
  <c r="Y40" i="2"/>
  <c r="X40" i="2"/>
  <c r="W40" i="2"/>
  <c r="O40" i="2"/>
  <c r="N40" i="2"/>
  <c r="M40" i="2"/>
  <c r="H40" i="2"/>
  <c r="D40" i="2"/>
  <c r="Z39" i="2"/>
  <c r="Y39" i="2"/>
  <c r="X39" i="2"/>
  <c r="W39" i="2"/>
  <c r="O39" i="2"/>
  <c r="N39" i="2"/>
  <c r="M39" i="2"/>
  <c r="H39" i="2"/>
  <c r="D39" i="2"/>
  <c r="Z38" i="2"/>
  <c r="Y38" i="2"/>
  <c r="X38" i="2"/>
  <c r="W38" i="2"/>
  <c r="O38" i="2"/>
  <c r="N38" i="2"/>
  <c r="M38" i="2"/>
  <c r="H38" i="2"/>
  <c r="D38" i="2"/>
  <c r="Z37" i="2"/>
  <c r="Y37" i="2"/>
  <c r="X37" i="2"/>
  <c r="W37" i="2"/>
  <c r="O37" i="2"/>
  <c r="N37" i="2"/>
  <c r="M37" i="2"/>
  <c r="H37" i="2"/>
  <c r="D37" i="2"/>
  <c r="Z36" i="2"/>
  <c r="Y36" i="2"/>
  <c r="X36" i="2"/>
  <c r="W36" i="2"/>
  <c r="O36" i="2"/>
  <c r="N36" i="2"/>
  <c r="M36" i="2"/>
  <c r="H36" i="2"/>
  <c r="D36" i="2"/>
  <c r="Z35" i="2"/>
  <c r="Y35" i="2"/>
  <c r="X35" i="2"/>
  <c r="W35" i="2"/>
  <c r="O35" i="2"/>
  <c r="N35" i="2"/>
  <c r="M35" i="2"/>
  <c r="H35" i="2"/>
  <c r="D35" i="2"/>
  <c r="Z34" i="2"/>
  <c r="Y34" i="2"/>
  <c r="X34" i="2"/>
  <c r="W34" i="2"/>
  <c r="O34" i="2"/>
  <c r="N34" i="2"/>
  <c r="M34" i="2"/>
  <c r="H34" i="2"/>
  <c r="D34" i="2"/>
  <c r="Z33" i="2"/>
  <c r="Y33" i="2"/>
  <c r="X33" i="2"/>
  <c r="W33" i="2"/>
  <c r="O33" i="2"/>
  <c r="N33" i="2"/>
  <c r="M33" i="2"/>
  <c r="H33" i="2"/>
  <c r="D33" i="2"/>
  <c r="Z32" i="2"/>
  <c r="Y32" i="2"/>
  <c r="X32" i="2"/>
  <c r="W32" i="2"/>
  <c r="O32" i="2"/>
  <c r="N32" i="2"/>
  <c r="M32" i="2"/>
  <c r="H32" i="2"/>
  <c r="D32" i="2"/>
  <c r="Z31" i="2"/>
  <c r="Y31" i="2"/>
  <c r="X31" i="2"/>
  <c r="W31" i="2"/>
  <c r="O31" i="2"/>
  <c r="N31" i="2"/>
  <c r="M31" i="2"/>
  <c r="H31" i="2"/>
  <c r="D31" i="2"/>
  <c r="Z30" i="2"/>
  <c r="Y30" i="2"/>
  <c r="X30" i="2"/>
  <c r="W30" i="2"/>
  <c r="O30" i="2"/>
  <c r="N30" i="2"/>
  <c r="M30" i="2"/>
  <c r="H30" i="2"/>
  <c r="D30" i="2"/>
  <c r="Z29" i="2"/>
  <c r="Y29" i="2"/>
  <c r="X29" i="2"/>
  <c r="W29" i="2"/>
  <c r="O29" i="2"/>
  <c r="N29" i="2"/>
  <c r="M29" i="2"/>
  <c r="H29" i="2"/>
  <c r="D29" i="2"/>
  <c r="Z28" i="2"/>
  <c r="Y28" i="2"/>
  <c r="X28" i="2"/>
  <c r="W28" i="2"/>
  <c r="O28" i="2"/>
  <c r="N28" i="2"/>
  <c r="M28" i="2"/>
  <c r="H28" i="2"/>
  <c r="D28" i="2"/>
  <c r="Z27" i="2"/>
  <c r="Y27" i="2"/>
  <c r="X27" i="2"/>
  <c r="W27" i="2"/>
  <c r="O27" i="2"/>
  <c r="N27" i="2"/>
  <c r="M27" i="2"/>
  <c r="H27" i="2"/>
  <c r="D27" i="2"/>
  <c r="Z26" i="2"/>
  <c r="Y26" i="2"/>
  <c r="X26" i="2"/>
  <c r="W26" i="2"/>
  <c r="O26" i="2"/>
  <c r="N26" i="2"/>
  <c r="M26" i="2"/>
  <c r="H26" i="2"/>
  <c r="D26" i="2"/>
  <c r="Z25" i="2"/>
  <c r="Y25" i="2"/>
  <c r="X25" i="2"/>
  <c r="W25" i="2"/>
  <c r="O25" i="2"/>
  <c r="N25" i="2"/>
  <c r="M25" i="2"/>
  <c r="H25" i="2"/>
  <c r="D25" i="2"/>
  <c r="Z24" i="2"/>
  <c r="Y24" i="2"/>
  <c r="X24" i="2"/>
  <c r="W24" i="2"/>
  <c r="O24" i="2"/>
  <c r="N24" i="2"/>
  <c r="M24" i="2"/>
  <c r="H24" i="2"/>
  <c r="D24" i="2"/>
  <c r="Z23" i="2"/>
  <c r="Y23" i="2"/>
  <c r="X23" i="2"/>
  <c r="W23" i="2"/>
  <c r="O23" i="2"/>
  <c r="N23" i="2"/>
  <c r="M23" i="2"/>
  <c r="H23" i="2"/>
  <c r="D23" i="2"/>
  <c r="Z22" i="2"/>
  <c r="Y22" i="2"/>
  <c r="X22" i="2"/>
  <c r="W22" i="2"/>
  <c r="O22" i="2"/>
  <c r="N22" i="2"/>
  <c r="M22" i="2"/>
  <c r="H22" i="2"/>
  <c r="D22" i="2"/>
  <c r="Z21" i="2"/>
  <c r="Y21" i="2"/>
  <c r="X21" i="2"/>
  <c r="W21" i="2"/>
  <c r="O21" i="2"/>
  <c r="N21" i="2"/>
  <c r="M21" i="2"/>
  <c r="H21" i="2"/>
  <c r="D21" i="2"/>
  <c r="Z20" i="2"/>
  <c r="Y20" i="2"/>
  <c r="X20" i="2"/>
  <c r="W20" i="2"/>
  <c r="O20" i="2"/>
  <c r="N20" i="2"/>
  <c r="M20" i="2"/>
  <c r="H20" i="2"/>
  <c r="D20" i="2"/>
  <c r="Z19" i="2"/>
  <c r="Y19" i="2"/>
  <c r="X19" i="2"/>
  <c r="W19" i="2"/>
  <c r="O19" i="2"/>
  <c r="N19" i="2"/>
  <c r="M19" i="2"/>
  <c r="H19" i="2"/>
  <c r="D19" i="2"/>
  <c r="Z18" i="2"/>
  <c r="Y18" i="2"/>
  <c r="X18" i="2"/>
  <c r="W18" i="2"/>
  <c r="O18" i="2"/>
  <c r="N18" i="2"/>
  <c r="M18" i="2"/>
  <c r="H18" i="2"/>
  <c r="D18" i="2"/>
  <c r="Z17" i="2"/>
  <c r="Y17" i="2"/>
  <c r="X17" i="2"/>
  <c r="W17" i="2"/>
  <c r="O17" i="2"/>
  <c r="N17" i="2"/>
  <c r="M17" i="2"/>
  <c r="H17" i="2"/>
  <c r="D17" i="2"/>
  <c r="Z16" i="2"/>
  <c r="Y16" i="2"/>
  <c r="X16" i="2"/>
  <c r="W16" i="2"/>
  <c r="O16" i="2"/>
  <c r="N16" i="2"/>
  <c r="M16" i="2"/>
  <c r="H16" i="2"/>
  <c r="D16" i="2"/>
  <c r="Z15" i="2"/>
  <c r="Y15" i="2"/>
  <c r="X15" i="2"/>
  <c r="W15" i="2"/>
  <c r="O15" i="2"/>
  <c r="N15" i="2"/>
  <c r="M15" i="2"/>
  <c r="H15" i="2"/>
  <c r="D15" i="2"/>
  <c r="Z14" i="2"/>
  <c r="Y14" i="2"/>
  <c r="X14" i="2"/>
  <c r="W14" i="2"/>
  <c r="O14" i="2"/>
  <c r="N14" i="2"/>
  <c r="M14" i="2"/>
  <c r="H14" i="2"/>
  <c r="D14" i="2"/>
  <c r="Z13" i="2"/>
  <c r="Y13" i="2"/>
  <c r="X13" i="2"/>
  <c r="W13" i="2"/>
  <c r="O13" i="2"/>
  <c r="N13" i="2"/>
  <c r="M13" i="2"/>
  <c r="H13" i="2"/>
  <c r="D13" i="2"/>
  <c r="Z12" i="2"/>
  <c r="Y12" i="2"/>
  <c r="X12" i="2"/>
  <c r="W12" i="2"/>
  <c r="O12" i="2"/>
  <c r="N12" i="2"/>
  <c r="M12" i="2"/>
  <c r="H12" i="2"/>
  <c r="D12" i="2"/>
  <c r="Z11" i="2"/>
  <c r="Y11" i="2"/>
  <c r="X11" i="2"/>
  <c r="W11" i="2"/>
  <c r="O11" i="2"/>
  <c r="N11" i="2"/>
  <c r="M11" i="2"/>
  <c r="H11" i="2"/>
  <c r="D11" i="2"/>
  <c r="Z10" i="2"/>
  <c r="Y10" i="2"/>
  <c r="X10" i="2"/>
  <c r="W10" i="2"/>
  <c r="O10" i="2"/>
  <c r="N10" i="2"/>
  <c r="M10" i="2"/>
  <c r="H10" i="2"/>
  <c r="D10" i="2"/>
  <c r="Z9" i="2"/>
  <c r="Y9" i="2"/>
  <c r="X9" i="2"/>
  <c r="W9" i="2"/>
  <c r="O9" i="2"/>
  <c r="N9" i="2"/>
  <c r="M9" i="2"/>
  <c r="H9" i="2"/>
  <c r="D9" i="2"/>
  <c r="Z8" i="2"/>
  <c r="Y8" i="2"/>
  <c r="X8" i="2"/>
  <c r="W8" i="2"/>
  <c r="O8" i="2"/>
  <c r="N8" i="2"/>
  <c r="M8" i="2"/>
  <c r="H8" i="2"/>
  <c r="D8" i="2"/>
  <c r="Z7" i="2"/>
  <c r="Y7" i="2"/>
  <c r="X7" i="2"/>
  <c r="W7" i="2"/>
  <c r="O7" i="2"/>
  <c r="N7" i="2"/>
  <c r="M7" i="2"/>
  <c r="H7" i="2"/>
  <c r="D7" i="2"/>
  <c r="Z6" i="2"/>
  <c r="Y6" i="2"/>
  <c r="X6" i="2"/>
  <c r="W6" i="2"/>
  <c r="O6" i="2"/>
  <c r="N6" i="2"/>
  <c r="M6" i="2"/>
  <c r="H6" i="2"/>
  <c r="D6" i="2"/>
  <c r="Z5" i="2"/>
  <c r="Y5" i="2"/>
  <c r="X5" i="2"/>
  <c r="W5" i="2"/>
  <c r="O5" i="2"/>
  <c r="N5" i="2"/>
  <c r="M5" i="2"/>
  <c r="H5" i="2"/>
  <c r="Z4" i="2"/>
  <c r="Y4" i="2"/>
  <c r="X4" i="2"/>
  <c r="W4" i="2"/>
  <c r="O4" i="2"/>
  <c r="N4" i="2"/>
  <c r="M4" i="2"/>
  <c r="H4" i="2"/>
  <c r="D4" i="2"/>
  <c r="Z3" i="2"/>
  <c r="Y3" i="2"/>
  <c r="X3" i="2"/>
  <c r="W3" i="2"/>
  <c r="O3" i="2"/>
  <c r="N3" i="2"/>
  <c r="M3" i="2"/>
  <c r="H3" i="2"/>
  <c r="D3" i="2"/>
  <c r="Z2" i="2"/>
  <c r="Y2" i="2"/>
  <c r="X2" i="2"/>
  <c r="W2" i="2"/>
  <c r="O2" i="2"/>
  <c r="N2" i="2"/>
  <c r="M2" i="2"/>
  <c r="H2" i="2"/>
  <c r="D2" i="2"/>
  <c r="B4" i="7"/>
  <c r="B15" i="6"/>
  <c r="B14" i="6"/>
  <c r="B3" i="7"/>
  <c r="B13" i="6"/>
  <c r="B2" i="7"/>
  <c r="B12" i="6"/>
  <c r="B11" i="6"/>
  <c r="B10" i="6"/>
  <c r="B9" i="6"/>
  <c r="B8" i="6"/>
  <c r="B7" i="6"/>
  <c r="D15" i="13"/>
  <c r="S13" i="12"/>
  <c r="N2" i="12"/>
  <c r="X2" i="11"/>
  <c r="BM2" i="10"/>
  <c r="N3" i="12"/>
  <c r="X3" i="11"/>
  <c r="BM3" i="10"/>
  <c r="O3" i="12"/>
  <c r="N4" i="12"/>
  <c r="X4" i="11"/>
  <c r="BM4" i="10"/>
  <c r="O4" i="12"/>
  <c r="N5" i="12"/>
  <c r="X5" i="11"/>
  <c r="BM5" i="10"/>
  <c r="O5" i="12"/>
  <c r="N6" i="12"/>
  <c r="X6" i="11"/>
  <c r="BM6" i="10"/>
  <c r="O6" i="12"/>
  <c r="N7" i="12"/>
  <c r="X7" i="11"/>
  <c r="BM7" i="10"/>
  <c r="O7" i="12"/>
  <c r="N8" i="12"/>
  <c r="X8" i="11"/>
  <c r="BM8" i="10"/>
  <c r="O8" i="12"/>
  <c r="N9" i="12"/>
  <c r="X9" i="11"/>
  <c r="BM9" i="10"/>
  <c r="O9" i="12"/>
  <c r="N10" i="12"/>
  <c r="X10" i="11"/>
  <c r="BM10" i="10"/>
  <c r="O10" i="12"/>
  <c r="N11" i="12"/>
  <c r="X11" i="11"/>
  <c r="BM11" i="10"/>
  <c r="O11" i="12"/>
  <c r="N12" i="12"/>
  <c r="X12" i="11"/>
  <c r="BM12" i="10"/>
  <c r="O12" i="12"/>
  <c r="N13" i="12"/>
  <c r="X13" i="11"/>
  <c r="BM13" i="10"/>
  <c r="O13" i="12"/>
  <c r="N14" i="12"/>
  <c r="X14" i="11"/>
  <c r="BM14" i="10"/>
  <c r="O14" i="12"/>
  <c r="N15" i="12"/>
  <c r="X15" i="11"/>
  <c r="BM15" i="10"/>
  <c r="O15" i="12"/>
  <c r="N16" i="12"/>
  <c r="X16" i="11"/>
  <c r="BM16" i="10"/>
  <c r="O16" i="12"/>
  <c r="N17" i="12"/>
  <c r="X17" i="11"/>
  <c r="BM17" i="10"/>
  <c r="O17" i="12"/>
  <c r="N18" i="12"/>
  <c r="X18" i="11"/>
  <c r="BM18" i="10"/>
  <c r="O18" i="12"/>
  <c r="N19" i="12"/>
  <c r="X19" i="11"/>
  <c r="BM19" i="10"/>
  <c r="O19" i="12"/>
  <c r="N20" i="12"/>
  <c r="X20" i="11"/>
  <c r="BM20" i="10"/>
  <c r="O20" i="12"/>
  <c r="N21" i="12"/>
  <c r="X21" i="11"/>
  <c r="BM21" i="10"/>
  <c r="O21" i="12"/>
  <c r="N22" i="12"/>
  <c r="X22" i="11"/>
  <c r="BM22" i="10"/>
  <c r="O22" i="12"/>
  <c r="N23" i="12"/>
  <c r="X23" i="11"/>
  <c r="BM23" i="10"/>
  <c r="O23" i="12"/>
  <c r="N24" i="12"/>
  <c r="X24" i="11"/>
  <c r="BM24" i="10"/>
  <c r="O24" i="12"/>
  <c r="N25" i="12"/>
  <c r="X25" i="11"/>
  <c r="BM25" i="10"/>
  <c r="O25" i="12"/>
  <c r="N26" i="12"/>
  <c r="X26" i="11"/>
  <c r="BM26" i="10"/>
  <c r="O26" i="12"/>
  <c r="N27" i="12"/>
  <c r="X27" i="11"/>
  <c r="BM27" i="10"/>
  <c r="O27" i="12"/>
  <c r="N28" i="12"/>
  <c r="X28" i="11"/>
  <c r="BM28" i="10"/>
  <c r="O28" i="12"/>
  <c r="N29" i="12"/>
  <c r="X29" i="11"/>
  <c r="BM29" i="10"/>
  <c r="O29" i="12"/>
  <c r="N30" i="12"/>
  <c r="X30" i="11"/>
  <c r="BM30" i="10"/>
  <c r="O30" i="12"/>
  <c r="N31" i="12"/>
  <c r="X31" i="11"/>
  <c r="BM31" i="10"/>
  <c r="O31" i="12"/>
  <c r="N32" i="12"/>
  <c r="X32" i="11"/>
  <c r="BM32" i="10"/>
  <c r="O32" i="12"/>
  <c r="N33" i="12"/>
  <c r="X33" i="11"/>
  <c r="BM33" i="10"/>
  <c r="O33" i="12"/>
  <c r="N34" i="12"/>
  <c r="X34" i="11"/>
  <c r="BM34" i="10"/>
  <c r="O34" i="12"/>
  <c r="N35" i="12"/>
  <c r="X35" i="11"/>
  <c r="BM35" i="10"/>
  <c r="O35" i="12"/>
  <c r="N36" i="12"/>
  <c r="X36" i="11"/>
  <c r="BM36" i="10"/>
  <c r="O36" i="12"/>
  <c r="N37" i="12"/>
  <c r="X37" i="11"/>
  <c r="BM37" i="10"/>
  <c r="O37" i="12"/>
  <c r="N38" i="12"/>
  <c r="X38" i="11"/>
  <c r="BM38" i="10"/>
  <c r="O38" i="12"/>
  <c r="N39" i="12"/>
  <c r="X39" i="11"/>
  <c r="BM39" i="10"/>
  <c r="O39" i="12"/>
  <c r="N40" i="12"/>
  <c r="X40" i="11"/>
  <c r="BM40" i="10"/>
  <c r="O40" i="12"/>
  <c r="N41" i="12"/>
  <c r="X41" i="11"/>
  <c r="BM41" i="10"/>
  <c r="O41" i="12"/>
  <c r="N42" i="12"/>
  <c r="X42" i="11"/>
  <c r="BM42" i="10"/>
  <c r="O42" i="12"/>
  <c r="N43" i="12"/>
  <c r="X43" i="11"/>
  <c r="BM43" i="10"/>
  <c r="O43" i="12"/>
  <c r="N44" i="12"/>
  <c r="X44" i="11"/>
  <c r="BM44" i="10"/>
  <c r="O44" i="12"/>
  <c r="N45" i="12"/>
  <c r="X45" i="11"/>
  <c r="BM45" i="10"/>
  <c r="O45" i="12"/>
  <c r="N46" i="12"/>
  <c r="X46" i="11"/>
  <c r="N47" i="12"/>
  <c r="X47" i="11"/>
  <c r="BM47" i="10"/>
  <c r="O47" i="12"/>
  <c r="N48" i="12"/>
  <c r="X48" i="11"/>
  <c r="BM48" i="10"/>
  <c r="O48" i="12"/>
  <c r="N49" i="12"/>
  <c r="X49" i="11"/>
  <c r="BM49" i="10"/>
  <c r="O49" i="12"/>
  <c r="N50" i="12"/>
  <c r="X50" i="11"/>
  <c r="N51" i="12"/>
  <c r="X51" i="11"/>
  <c r="N52" i="12"/>
  <c r="X52" i="11"/>
  <c r="N53" i="12"/>
  <c r="X53" i="11"/>
  <c r="N54" i="12"/>
  <c r="X54" i="11"/>
  <c r="N55" i="12"/>
  <c r="X55" i="11"/>
  <c r="N56" i="12"/>
  <c r="X56" i="11"/>
  <c r="N57" i="12"/>
  <c r="X57" i="11"/>
  <c r="N58" i="12"/>
  <c r="X58" i="11"/>
  <c r="N59" i="12"/>
  <c r="X59" i="11"/>
  <c r="N60" i="12"/>
  <c r="X60" i="11"/>
  <c r="N61" i="12"/>
  <c r="X61" i="11"/>
  <c r="N62" i="12"/>
  <c r="X62" i="11"/>
  <c r="N63" i="12"/>
  <c r="X63" i="11"/>
  <c r="N64" i="12"/>
  <c r="X64" i="11"/>
  <c r="N65" i="12"/>
  <c r="X65" i="11"/>
  <c r="N66" i="12"/>
  <c r="X66" i="11"/>
  <c r="N67" i="12"/>
  <c r="X67" i="11"/>
  <c r="N68" i="12"/>
  <c r="X68" i="11"/>
  <c r="N69" i="12"/>
  <c r="X69" i="11"/>
  <c r="N70" i="12"/>
  <c r="X70" i="11"/>
  <c r="N71" i="12"/>
  <c r="X71" i="11"/>
  <c r="N72" i="12"/>
  <c r="X72" i="11"/>
  <c r="N73" i="12"/>
  <c r="X73" i="11"/>
  <c r="N74" i="12"/>
  <c r="X74" i="11"/>
  <c r="N75" i="12"/>
  <c r="X75" i="11"/>
  <c r="N76" i="12"/>
  <c r="X76" i="11"/>
  <c r="N77" i="12"/>
  <c r="X77" i="11"/>
  <c r="N78" i="12"/>
  <c r="X78" i="11"/>
  <c r="N79" i="12"/>
  <c r="X79" i="11"/>
  <c r="N80" i="12"/>
  <c r="X80" i="11"/>
  <c r="N81" i="12"/>
  <c r="X81" i="11"/>
  <c r="N82" i="12"/>
  <c r="X82" i="11"/>
  <c r="N83" i="12"/>
  <c r="X83" i="11"/>
  <c r="N84" i="12"/>
  <c r="X84" i="11"/>
  <c r="N85" i="12"/>
  <c r="X85" i="11"/>
  <c r="N86" i="12"/>
  <c r="X86" i="11"/>
  <c r="N87" i="12"/>
  <c r="X87" i="11"/>
  <c r="N88" i="12"/>
  <c r="X88" i="11"/>
  <c r="N89" i="12"/>
  <c r="X89" i="11"/>
  <c r="N90" i="12"/>
  <c r="X90" i="11"/>
  <c r="N91" i="12"/>
  <c r="X91" i="11"/>
  <c r="N92" i="12"/>
  <c r="X92" i="11"/>
  <c r="N143" i="12"/>
  <c r="X143" i="11"/>
  <c r="N144" i="12"/>
  <c r="X144" i="11"/>
  <c r="N145" i="12"/>
  <c r="X145" i="11"/>
  <c r="N146" i="12"/>
  <c r="X146" i="11"/>
  <c r="N147" i="12"/>
  <c r="X147" i="11"/>
  <c r="N148" i="12"/>
  <c r="X148" i="11"/>
  <c r="N149" i="12"/>
  <c r="X149" i="11"/>
  <c r="N150" i="12"/>
  <c r="X150" i="11"/>
  <c r="N151" i="12"/>
  <c r="X151" i="11"/>
  <c r="N152" i="12"/>
  <c r="X152" i="11"/>
  <c r="N153" i="12"/>
  <c r="X153" i="11"/>
  <c r="N154" i="12"/>
  <c r="X154" i="11"/>
  <c r="N155" i="12"/>
  <c r="X155" i="11"/>
  <c r="N156" i="12"/>
  <c r="X156" i="11"/>
  <c r="N157" i="12"/>
  <c r="X157" i="11"/>
  <c r="N158" i="12"/>
  <c r="X158" i="11"/>
  <c r="N159" i="12"/>
  <c r="X159" i="11"/>
  <c r="N160" i="12"/>
  <c r="X160" i="11"/>
  <c r="N161" i="12"/>
  <c r="X161" i="11"/>
  <c r="N162" i="12"/>
  <c r="X162" i="11"/>
  <c r="N163" i="12"/>
  <c r="X163" i="11"/>
  <c r="N164" i="12"/>
  <c r="X164" i="11"/>
  <c r="N165" i="12"/>
  <c r="X165" i="11"/>
  <c r="N166" i="12"/>
  <c r="X166" i="11"/>
  <c r="N167" i="12"/>
  <c r="X167" i="11"/>
  <c r="N168" i="12"/>
  <c r="X168" i="11"/>
  <c r="N169" i="12"/>
  <c r="X169" i="11"/>
  <c r="N170" i="12"/>
  <c r="X170" i="11"/>
  <c r="N171" i="12"/>
  <c r="X171" i="11"/>
  <c r="N172" i="12"/>
  <c r="X172" i="11"/>
  <c r="N173" i="12"/>
  <c r="X173" i="11"/>
  <c r="N174" i="12"/>
  <c r="X174" i="11"/>
  <c r="N175" i="12"/>
  <c r="X175" i="11"/>
  <c r="N176" i="12"/>
  <c r="X176" i="11"/>
  <c r="N177" i="12"/>
  <c r="X177" i="11"/>
  <c r="N178" i="12"/>
  <c r="X178" i="11"/>
  <c r="N179" i="12"/>
  <c r="X179" i="11"/>
  <c r="N180" i="12"/>
  <c r="X180" i="11"/>
  <c r="N181" i="12"/>
  <c r="X181" i="11"/>
  <c r="N182" i="12"/>
  <c r="X182" i="11"/>
  <c r="N183" i="12"/>
  <c r="X183" i="11"/>
  <c r="N184" i="12"/>
  <c r="X184" i="11"/>
  <c r="N185" i="12"/>
  <c r="X185" i="11"/>
  <c r="N186" i="12"/>
  <c r="X186" i="11"/>
  <c r="N187" i="12"/>
  <c r="X187" i="11"/>
  <c r="N188" i="12"/>
  <c r="X188" i="11"/>
  <c r="N189" i="12"/>
  <c r="X189" i="11"/>
  <c r="N190" i="12"/>
  <c r="X190" i="11"/>
  <c r="N191" i="12"/>
  <c r="X191" i="11"/>
  <c r="N192" i="12"/>
  <c r="X192" i="11"/>
  <c r="N193" i="12"/>
  <c r="X193" i="11"/>
  <c r="N194" i="12"/>
  <c r="X194" i="11"/>
  <c r="N195" i="12"/>
  <c r="X195" i="11"/>
  <c r="N196" i="12"/>
  <c r="X196" i="11"/>
  <c r="N197" i="12"/>
  <c r="X197" i="11"/>
  <c r="N198" i="12"/>
  <c r="X198" i="11"/>
  <c r="N199" i="12"/>
  <c r="X199" i="11"/>
  <c r="N200" i="12"/>
  <c r="X200" i="11"/>
  <c r="N201" i="12"/>
  <c r="X201" i="11"/>
  <c r="N202" i="12"/>
  <c r="X202" i="11"/>
  <c r="N203" i="12"/>
  <c r="X203" i="11"/>
  <c r="N204" i="12"/>
  <c r="X204" i="11"/>
  <c r="N205" i="12"/>
  <c r="X205" i="11"/>
  <c r="N206" i="12"/>
  <c r="X206" i="11"/>
  <c r="N207" i="12"/>
  <c r="X207" i="11"/>
  <c r="N208" i="12"/>
  <c r="X208" i="11"/>
  <c r="N209" i="12"/>
  <c r="X209" i="11"/>
  <c r="N210" i="12"/>
  <c r="X210" i="11"/>
  <c r="N211" i="12"/>
  <c r="X211" i="11"/>
  <c r="N212" i="12"/>
  <c r="X212" i="11"/>
  <c r="N213" i="12"/>
  <c r="X213" i="11"/>
  <c r="N214" i="12"/>
  <c r="X214" i="11"/>
  <c r="N215" i="12"/>
  <c r="X215" i="11"/>
  <c r="N216" i="12"/>
  <c r="X216" i="11"/>
  <c r="N217" i="12"/>
  <c r="X217" i="11"/>
  <c r="N218" i="12"/>
  <c r="X218" i="11"/>
  <c r="N219" i="12"/>
  <c r="X219" i="11"/>
  <c r="N220" i="12"/>
  <c r="X220" i="11"/>
  <c r="N221" i="12"/>
  <c r="X221" i="11"/>
  <c r="N222" i="12"/>
  <c r="X222" i="11"/>
  <c r="N223" i="12"/>
  <c r="X223" i="11"/>
  <c r="N224" i="12"/>
  <c r="X224" i="11"/>
  <c r="N225" i="12"/>
  <c r="X225" i="11"/>
  <c r="N226" i="12"/>
  <c r="X226" i="11"/>
  <c r="N227" i="12"/>
  <c r="X227" i="11"/>
  <c r="N228" i="12"/>
  <c r="X228" i="11"/>
  <c r="N229" i="12"/>
  <c r="X229" i="11"/>
  <c r="N230" i="12"/>
  <c r="X230" i="11"/>
  <c r="N231" i="12"/>
  <c r="X231" i="11"/>
  <c r="N232" i="12"/>
  <c r="X232" i="11"/>
  <c r="N233" i="12"/>
  <c r="X233" i="11"/>
  <c r="N234" i="12"/>
  <c r="X234" i="11"/>
  <c r="N235" i="12"/>
  <c r="X235" i="11"/>
  <c r="N236" i="12"/>
  <c r="X236" i="11"/>
  <c r="N237" i="12"/>
  <c r="X237" i="11"/>
  <c r="N238" i="12"/>
  <c r="X238" i="11"/>
  <c r="N239" i="12"/>
  <c r="X239" i="11"/>
  <c r="N240" i="12"/>
  <c r="X240" i="11"/>
  <c r="N241" i="12"/>
  <c r="X241" i="11"/>
  <c r="N242" i="12"/>
  <c r="X242" i="11"/>
  <c r="N243" i="12"/>
  <c r="X243" i="11"/>
  <c r="N244" i="12"/>
  <c r="X244" i="11"/>
  <c r="N245" i="12"/>
  <c r="X245" i="11"/>
  <c r="N246" i="12"/>
  <c r="X246" i="11"/>
  <c r="N247" i="12"/>
  <c r="X247" i="11"/>
  <c r="N248" i="12"/>
  <c r="X248" i="11"/>
  <c r="N249" i="12"/>
  <c r="X249" i="11"/>
  <c r="N250" i="12"/>
  <c r="X250" i="11"/>
  <c r="N251" i="12"/>
  <c r="X251" i="11"/>
  <c r="N252" i="12"/>
  <c r="X252" i="11"/>
  <c r="N253" i="12"/>
  <c r="X253" i="11"/>
  <c r="N254" i="12"/>
  <c r="X254" i="11"/>
  <c r="N255" i="12"/>
  <c r="X255" i="11"/>
  <c r="N256" i="12"/>
  <c r="X256" i="11"/>
  <c r="N257" i="12"/>
  <c r="X257" i="11"/>
  <c r="N258" i="12"/>
  <c r="X258" i="11"/>
  <c r="N259" i="12"/>
  <c r="X259" i="11"/>
  <c r="N260" i="12"/>
  <c r="X260" i="11"/>
  <c r="N261" i="12"/>
  <c r="X261" i="11"/>
  <c r="N262" i="12"/>
  <c r="X262" i="11"/>
  <c r="N263" i="12"/>
  <c r="X263" i="11"/>
  <c r="N264" i="12"/>
  <c r="X264" i="11"/>
  <c r="N265" i="12"/>
  <c r="X265" i="11"/>
  <c r="N266" i="12"/>
  <c r="X266" i="11"/>
  <c r="N267" i="12"/>
  <c r="X267" i="11"/>
  <c r="N268" i="12"/>
  <c r="X268" i="11"/>
  <c r="N269" i="12"/>
  <c r="X269" i="11"/>
  <c r="N270" i="12"/>
  <c r="X270" i="11"/>
  <c r="N271" i="12"/>
  <c r="X271" i="11"/>
  <c r="N272" i="12"/>
  <c r="X272" i="11"/>
  <c r="N273" i="12"/>
  <c r="X273" i="11"/>
  <c r="N274" i="12"/>
  <c r="X274" i="11"/>
  <c r="N275" i="12"/>
  <c r="X275" i="11"/>
  <c r="N276" i="12"/>
  <c r="X276" i="11"/>
  <c r="N277" i="12"/>
  <c r="X277" i="11"/>
  <c r="N278" i="12"/>
  <c r="X278" i="11"/>
  <c r="N279" i="12"/>
  <c r="X279" i="11"/>
  <c r="N280" i="12"/>
  <c r="X280" i="11"/>
  <c r="N281" i="12"/>
  <c r="X281" i="11"/>
  <c r="N282" i="12"/>
  <c r="X282" i="11"/>
  <c r="N283" i="12"/>
  <c r="X283" i="11"/>
  <c r="N284" i="12"/>
  <c r="X284" i="11"/>
  <c r="N285" i="12"/>
  <c r="X285" i="11"/>
  <c r="N286" i="12"/>
  <c r="X286" i="11"/>
  <c r="N287" i="12"/>
  <c r="X287" i="11"/>
  <c r="N288" i="12"/>
  <c r="X288" i="11"/>
  <c r="N289" i="12"/>
  <c r="X289" i="11"/>
  <c r="N290" i="12"/>
  <c r="X290" i="11"/>
  <c r="N291" i="12"/>
  <c r="X291" i="11"/>
  <c r="N292" i="12"/>
  <c r="X292" i="11"/>
  <c r="N293" i="12"/>
  <c r="X293" i="11"/>
  <c r="N294" i="12"/>
  <c r="X294" i="11"/>
  <c r="N295" i="12"/>
  <c r="X295" i="11"/>
  <c r="N296" i="12"/>
  <c r="X296" i="11"/>
  <c r="N297" i="12"/>
  <c r="X297" i="11"/>
  <c r="N298" i="12"/>
  <c r="X298" i="11"/>
  <c r="N299" i="12"/>
  <c r="X299" i="11"/>
  <c r="N300" i="12"/>
  <c r="X300" i="11"/>
  <c r="N301" i="12"/>
  <c r="X301" i="11"/>
  <c r="N302" i="12"/>
  <c r="X302" i="11"/>
  <c r="N303" i="12"/>
  <c r="X303" i="11"/>
  <c r="N304" i="12"/>
  <c r="X304" i="11"/>
  <c r="N305" i="12"/>
  <c r="X305" i="11"/>
  <c r="N306" i="12"/>
  <c r="X306" i="11"/>
  <c r="N307" i="12"/>
  <c r="X307" i="11"/>
  <c r="N308" i="12"/>
  <c r="X308" i="11"/>
  <c r="N309" i="12"/>
  <c r="X309" i="11"/>
  <c r="N310" i="12"/>
  <c r="X310" i="11"/>
  <c r="N311" i="12"/>
  <c r="X311" i="11"/>
  <c r="N312" i="12"/>
  <c r="X312" i="11"/>
  <c r="N313" i="12"/>
  <c r="X313" i="11"/>
  <c r="N314" i="12"/>
  <c r="X314" i="11"/>
  <c r="N315" i="12"/>
  <c r="X315" i="11"/>
  <c r="N316" i="12"/>
  <c r="X316" i="11"/>
  <c r="N317" i="12"/>
  <c r="X317" i="11"/>
  <c r="N318" i="12"/>
  <c r="X318" i="11"/>
  <c r="N319" i="12"/>
  <c r="X319" i="11"/>
  <c r="N320" i="12"/>
  <c r="X320" i="11"/>
  <c r="N321" i="12"/>
  <c r="X321" i="11"/>
  <c r="N322" i="12"/>
  <c r="X322" i="11"/>
  <c r="N323" i="12"/>
  <c r="X323" i="11"/>
  <c r="N324" i="12"/>
  <c r="X324" i="11"/>
  <c r="N325" i="12"/>
  <c r="X325" i="11"/>
  <c r="N326" i="12"/>
  <c r="X326" i="11"/>
  <c r="N327" i="12"/>
  <c r="X327" i="11"/>
  <c r="N328" i="12"/>
  <c r="X328" i="11"/>
  <c r="N329" i="12"/>
  <c r="X329" i="11"/>
  <c r="N330" i="12"/>
  <c r="X330" i="11"/>
  <c r="N331" i="12"/>
  <c r="X331" i="11"/>
  <c r="N332" i="12"/>
  <c r="X332" i="11"/>
  <c r="N333" i="12"/>
  <c r="X333" i="11"/>
  <c r="N334" i="12"/>
  <c r="X334" i="11"/>
  <c r="N335" i="12"/>
  <c r="X335" i="11"/>
  <c r="N336" i="12"/>
  <c r="X336" i="11"/>
  <c r="N337" i="12"/>
  <c r="X337" i="11"/>
  <c r="N338" i="12"/>
  <c r="X338" i="11"/>
  <c r="N339" i="12"/>
  <c r="X339" i="11"/>
  <c r="N340" i="12"/>
  <c r="X340" i="11"/>
  <c r="N341" i="12"/>
  <c r="X341" i="11"/>
  <c r="N342" i="12"/>
  <c r="X342" i="11"/>
  <c r="N343" i="12"/>
  <c r="X343" i="11"/>
  <c r="N344" i="12"/>
  <c r="X344" i="11"/>
  <c r="N345" i="12"/>
  <c r="X345" i="11"/>
  <c r="N346" i="12"/>
  <c r="X346" i="11"/>
  <c r="N347" i="12"/>
  <c r="X347" i="11"/>
  <c r="N348" i="12"/>
  <c r="X348" i="11"/>
  <c r="N349" i="12"/>
  <c r="X349" i="11"/>
  <c r="N350" i="12"/>
  <c r="X350" i="11"/>
  <c r="N351" i="12"/>
  <c r="X351" i="11"/>
  <c r="N352" i="12"/>
  <c r="X352" i="11"/>
  <c r="N353" i="12"/>
  <c r="X353" i="11"/>
  <c r="N354" i="12"/>
  <c r="X354" i="11"/>
  <c r="N355" i="12"/>
  <c r="X355" i="11"/>
  <c r="N356" i="12"/>
  <c r="X356" i="11"/>
  <c r="N357" i="12"/>
  <c r="X357" i="11"/>
  <c r="N358" i="12"/>
  <c r="X358" i="11"/>
  <c r="N359" i="12"/>
  <c r="X359" i="11"/>
  <c r="N360" i="12"/>
  <c r="X360" i="11"/>
  <c r="N361" i="12"/>
  <c r="X361" i="11"/>
  <c r="N362" i="12"/>
  <c r="X362" i="11"/>
  <c r="N363" i="12"/>
  <c r="X363" i="11"/>
  <c r="N364" i="12"/>
  <c r="X364" i="11"/>
  <c r="N365" i="12"/>
  <c r="X365" i="11"/>
  <c r="N366" i="12"/>
  <c r="X366" i="11"/>
  <c r="N367" i="12"/>
  <c r="X367" i="11"/>
  <c r="N368" i="12"/>
  <c r="X368" i="11"/>
  <c r="N369" i="12"/>
  <c r="X369" i="11"/>
  <c r="N370" i="12"/>
  <c r="X370" i="11"/>
  <c r="N371" i="12"/>
  <c r="X371" i="11"/>
  <c r="N372" i="12"/>
  <c r="X372" i="11"/>
  <c r="N373" i="12"/>
  <c r="X373" i="11"/>
  <c r="N374" i="12"/>
  <c r="X374" i="11"/>
  <c r="N375" i="12"/>
  <c r="X375" i="11"/>
  <c r="N376" i="12"/>
  <c r="X376" i="11"/>
  <c r="N377" i="12"/>
  <c r="X377" i="11"/>
  <c r="N378" i="12"/>
  <c r="X378" i="11"/>
  <c r="N379" i="12"/>
  <c r="X379" i="11"/>
  <c r="N380" i="12"/>
  <c r="X380" i="11"/>
  <c r="N381" i="12"/>
  <c r="X381" i="11"/>
  <c r="N382" i="12"/>
  <c r="X382" i="11"/>
  <c r="N383" i="12"/>
  <c r="X383" i="11"/>
  <c r="N384" i="12"/>
  <c r="X384" i="11"/>
  <c r="N385" i="12"/>
  <c r="X385" i="11"/>
  <c r="N386" i="12"/>
  <c r="X386" i="11"/>
  <c r="N387" i="12"/>
  <c r="X387" i="11"/>
  <c r="N388" i="12"/>
  <c r="X388" i="11"/>
  <c r="N389" i="12"/>
  <c r="X389" i="11"/>
  <c r="N390" i="12"/>
  <c r="X390" i="11"/>
  <c r="N391" i="12"/>
  <c r="X391" i="11"/>
  <c r="N392" i="12"/>
  <c r="X392" i="11"/>
  <c r="N393" i="12"/>
  <c r="X393" i="11"/>
  <c r="N394" i="12"/>
  <c r="X394" i="11"/>
  <c r="N395" i="12"/>
  <c r="X395" i="11"/>
  <c r="N396" i="12"/>
  <c r="X396" i="11"/>
  <c r="N397" i="12"/>
  <c r="X397" i="11"/>
  <c r="N398" i="12"/>
  <c r="X398" i="11"/>
  <c r="N399" i="12"/>
  <c r="X399" i="11"/>
  <c r="N400" i="12"/>
  <c r="X400" i="11"/>
  <c r="N401" i="12"/>
  <c r="X401" i="11"/>
  <c r="N402" i="12"/>
  <c r="X402" i="11"/>
  <c r="N403" i="12"/>
  <c r="X403" i="11"/>
  <c r="N404" i="12"/>
  <c r="X404" i="11"/>
  <c r="N405" i="12"/>
  <c r="X405" i="11"/>
  <c r="N406" i="12"/>
  <c r="X406" i="11"/>
  <c r="N407" i="12"/>
  <c r="X407" i="11"/>
  <c r="N408" i="12"/>
  <c r="X408" i="11"/>
  <c r="N409" i="12"/>
  <c r="X409" i="11"/>
  <c r="N410" i="12"/>
  <c r="X410" i="11"/>
  <c r="N411" i="12"/>
  <c r="X411" i="11"/>
  <c r="N412" i="12"/>
  <c r="X412" i="11"/>
  <c r="N413" i="12"/>
  <c r="X413" i="11"/>
  <c r="N414" i="12"/>
  <c r="X414" i="11"/>
  <c r="N415" i="12"/>
  <c r="X415" i="11"/>
  <c r="N416" i="12"/>
  <c r="X416" i="11"/>
  <c r="N417" i="12"/>
  <c r="X417" i="11"/>
  <c r="N418" i="12"/>
  <c r="X418" i="11"/>
  <c r="N419" i="12"/>
  <c r="X419" i="11"/>
  <c r="N420" i="12"/>
  <c r="X420" i="11"/>
  <c r="N421" i="12"/>
  <c r="X421" i="11"/>
  <c r="N422" i="12"/>
  <c r="X422" i="11"/>
  <c r="N423" i="12"/>
  <c r="X423" i="11"/>
  <c r="N424" i="12"/>
  <c r="X424" i="11"/>
  <c r="N425" i="12"/>
  <c r="X425" i="11"/>
  <c r="N426" i="12"/>
  <c r="X426" i="11"/>
  <c r="N427" i="12"/>
  <c r="X427" i="11"/>
  <c r="N428" i="12"/>
  <c r="X428" i="11"/>
  <c r="N429" i="12"/>
  <c r="X429" i="11"/>
  <c r="N430" i="12"/>
  <c r="X430" i="11"/>
  <c r="N431" i="12"/>
  <c r="X431" i="11"/>
  <c r="N432" i="12"/>
  <c r="X432" i="11"/>
  <c r="N433" i="12"/>
  <c r="X433" i="11"/>
  <c r="N434" i="12"/>
  <c r="X434" i="11"/>
  <c r="N435" i="12"/>
  <c r="X435" i="11"/>
  <c r="N436" i="12"/>
  <c r="X436" i="11"/>
  <c r="N437" i="12"/>
  <c r="X437" i="11"/>
  <c r="N438" i="12"/>
  <c r="X438" i="11"/>
  <c r="N439" i="12"/>
  <c r="X439" i="11"/>
  <c r="N440" i="12"/>
  <c r="X440" i="11"/>
  <c r="N441" i="12"/>
  <c r="X441" i="11"/>
  <c r="N442" i="12"/>
  <c r="X442" i="11"/>
  <c r="N443" i="12"/>
  <c r="X443" i="11"/>
  <c r="N444" i="12"/>
  <c r="X444" i="11"/>
  <c r="N445" i="12"/>
  <c r="X445" i="11"/>
  <c r="N446" i="12"/>
  <c r="X446" i="11"/>
  <c r="N447" i="12"/>
  <c r="X447" i="11"/>
  <c r="N448" i="12"/>
  <c r="X448" i="11"/>
  <c r="N449" i="12"/>
  <c r="X449" i="11"/>
  <c r="N450" i="12"/>
  <c r="X450" i="11"/>
  <c r="N451" i="12"/>
  <c r="X451" i="11"/>
  <c r="N452" i="12"/>
  <c r="X452" i="11"/>
  <c r="N453" i="12"/>
  <c r="X453" i="11"/>
  <c r="N454" i="12"/>
  <c r="X454" i="11"/>
  <c r="N455" i="12"/>
  <c r="X455" i="11"/>
  <c r="N456" i="12"/>
  <c r="X456" i="11"/>
  <c r="N457" i="12"/>
  <c r="X457" i="11"/>
  <c r="N458" i="12"/>
  <c r="X458" i="11"/>
  <c r="N459" i="12"/>
  <c r="X459" i="11"/>
  <c r="N460" i="12"/>
  <c r="X460" i="11"/>
  <c r="N461" i="12"/>
  <c r="X461" i="11"/>
  <c r="N462" i="12"/>
  <c r="X462" i="11"/>
  <c r="N463" i="12"/>
  <c r="X463" i="11"/>
  <c r="N464" i="12"/>
  <c r="X464" i="11"/>
  <c r="N465" i="12"/>
  <c r="X465" i="11"/>
  <c r="N466" i="12"/>
  <c r="X466" i="11"/>
  <c r="N467" i="12"/>
  <c r="X467" i="11"/>
  <c r="N468" i="12"/>
  <c r="X468" i="11"/>
  <c r="N469" i="12"/>
  <c r="X469" i="11"/>
  <c r="N470" i="12"/>
  <c r="X470" i="11"/>
  <c r="N471" i="12"/>
  <c r="X471" i="11"/>
  <c r="N472" i="12"/>
  <c r="X472" i="11"/>
  <c r="N473" i="12"/>
  <c r="X473" i="11"/>
  <c r="N474" i="12"/>
  <c r="X474" i="11"/>
  <c r="N475" i="12"/>
  <c r="X475" i="11"/>
  <c r="N476" i="12"/>
  <c r="X476" i="11"/>
  <c r="N477" i="12"/>
  <c r="X477" i="11"/>
  <c r="N478" i="12"/>
  <c r="X478" i="11"/>
  <c r="N479" i="12"/>
  <c r="X479" i="11"/>
  <c r="N480" i="12"/>
  <c r="X480" i="11"/>
  <c r="N481" i="12"/>
  <c r="X481" i="11"/>
  <c r="N482" i="12"/>
  <c r="X482" i="11"/>
  <c r="N483" i="12"/>
  <c r="X483" i="11"/>
  <c r="N484" i="12"/>
  <c r="X484" i="11"/>
  <c r="N485" i="12"/>
  <c r="X485" i="11"/>
  <c r="N486" i="12"/>
  <c r="X486" i="11"/>
  <c r="N487" i="12"/>
  <c r="X487" i="11"/>
  <c r="N488" i="12"/>
  <c r="X488" i="11"/>
  <c r="N489" i="12"/>
  <c r="X489" i="11"/>
  <c r="N490" i="12"/>
  <c r="X490" i="11"/>
  <c r="N491" i="12"/>
  <c r="X491" i="11"/>
  <c r="N492" i="12"/>
  <c r="X492" i="11"/>
  <c r="N493" i="12"/>
  <c r="X493" i="11"/>
  <c r="N494" i="12"/>
  <c r="X494" i="11"/>
  <c r="N495" i="12"/>
  <c r="X495" i="11"/>
  <c r="N496" i="12"/>
  <c r="X496" i="11"/>
  <c r="N497" i="12"/>
  <c r="X497" i="11"/>
  <c r="N498" i="12"/>
  <c r="X498" i="11"/>
  <c r="N499" i="12"/>
  <c r="X499" i="11"/>
  <c r="N500" i="12"/>
  <c r="X500" i="11"/>
  <c r="N501" i="12"/>
  <c r="X501" i="11"/>
  <c r="N502" i="12"/>
  <c r="X502" i="11"/>
  <c r="N503" i="12"/>
  <c r="X503" i="11"/>
  <c r="S2" i="12"/>
  <c r="S3" i="12"/>
  <c r="T3" i="12"/>
  <c r="S4" i="12"/>
  <c r="T4" i="12"/>
  <c r="S5" i="12"/>
  <c r="T5" i="12"/>
  <c r="S6" i="12"/>
  <c r="T6" i="12"/>
  <c r="S7" i="12"/>
  <c r="T7" i="12"/>
  <c r="S8" i="12"/>
  <c r="T8" i="12"/>
  <c r="S9" i="12"/>
  <c r="T9" i="12"/>
  <c r="S10" i="12"/>
  <c r="T10" i="12"/>
  <c r="S11" i="12"/>
  <c r="T11" i="12"/>
  <c r="S12" i="12"/>
  <c r="T12" i="12"/>
  <c r="T13" i="12"/>
  <c r="S14" i="12"/>
  <c r="T14" i="12"/>
  <c r="S15" i="12"/>
  <c r="T15" i="12"/>
  <c r="S16" i="12"/>
  <c r="T16" i="12"/>
  <c r="S17" i="12"/>
  <c r="T17" i="12"/>
  <c r="S18" i="12"/>
  <c r="T18" i="12"/>
  <c r="S19" i="12"/>
  <c r="T19" i="12"/>
  <c r="S20" i="12"/>
  <c r="T20" i="12"/>
  <c r="S21" i="12"/>
  <c r="T21" i="12"/>
  <c r="S22" i="12"/>
  <c r="T22" i="12"/>
  <c r="S23" i="12"/>
  <c r="T23" i="12"/>
  <c r="S24" i="12"/>
  <c r="T24" i="12"/>
  <c r="S25" i="12"/>
  <c r="T25" i="12"/>
  <c r="S26" i="12"/>
  <c r="T26" i="12"/>
  <c r="S27" i="12"/>
  <c r="T27" i="12"/>
  <c r="S28" i="12"/>
  <c r="T28" i="12"/>
  <c r="S29" i="12"/>
  <c r="T29" i="12"/>
  <c r="S30" i="12"/>
  <c r="T30" i="12"/>
  <c r="S31" i="12"/>
  <c r="T31" i="12"/>
  <c r="S32" i="12"/>
  <c r="T32" i="12"/>
  <c r="S33" i="12"/>
  <c r="T33" i="12"/>
  <c r="S34" i="12"/>
  <c r="T34" i="12"/>
  <c r="S35" i="12"/>
  <c r="T35" i="12"/>
  <c r="S36" i="12"/>
  <c r="T36" i="12"/>
  <c r="S37" i="12"/>
  <c r="T37" i="12"/>
  <c r="S38" i="12"/>
  <c r="T38" i="12"/>
  <c r="S39" i="12"/>
  <c r="T39" i="12"/>
  <c r="S40" i="12"/>
  <c r="T40" i="12"/>
  <c r="S41" i="12"/>
  <c r="T41" i="12"/>
  <c r="S42" i="12"/>
  <c r="T42" i="12"/>
  <c r="S43" i="12"/>
  <c r="T43" i="12"/>
  <c r="S44" i="12"/>
  <c r="T44" i="12"/>
  <c r="S45" i="12"/>
  <c r="T45" i="12"/>
  <c r="S46" i="12"/>
  <c r="T46" i="12"/>
  <c r="S47" i="12"/>
  <c r="T47" i="12"/>
  <c r="S48" i="12"/>
  <c r="T48" i="12"/>
  <c r="S49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Q93" i="12"/>
  <c r="T93" i="12"/>
  <c r="Q94" i="12"/>
  <c r="T94" i="12"/>
  <c r="Q95" i="12"/>
  <c r="T95" i="12"/>
  <c r="Q96" i="12"/>
  <c r="T96" i="12"/>
  <c r="Q97" i="12"/>
  <c r="T97" i="12"/>
  <c r="Q98" i="12"/>
  <c r="T98" i="12"/>
  <c r="Q114" i="12"/>
  <c r="S114" i="12"/>
  <c r="Q115" i="12"/>
  <c r="S115" i="12"/>
  <c r="Q116" i="12"/>
  <c r="S116" i="12"/>
  <c r="Q117" i="12"/>
  <c r="S117" i="12"/>
  <c r="Q118" i="12"/>
  <c r="S118" i="12"/>
  <c r="Q119" i="12"/>
  <c r="S119" i="12"/>
  <c r="Q120" i="12"/>
  <c r="S120" i="12"/>
  <c r="Q121" i="12"/>
  <c r="S121" i="12"/>
  <c r="Q122" i="12"/>
  <c r="S122" i="12"/>
  <c r="Q123" i="12"/>
  <c r="S123" i="12"/>
  <c r="Q124" i="12"/>
  <c r="S124" i="12"/>
  <c r="Q125" i="12"/>
  <c r="S125" i="12"/>
  <c r="Q126" i="12"/>
  <c r="S126" i="12"/>
  <c r="Q127" i="12"/>
  <c r="S127" i="12"/>
  <c r="Q128" i="12"/>
  <c r="S128" i="12"/>
  <c r="Q129" i="12"/>
  <c r="S129" i="12"/>
  <c r="Q130" i="12"/>
  <c r="S130" i="12"/>
  <c r="Q131" i="12"/>
  <c r="S131" i="12"/>
  <c r="Q132" i="12"/>
  <c r="S132" i="12"/>
  <c r="Q133" i="12"/>
  <c r="S133" i="12"/>
  <c r="Q134" i="12"/>
  <c r="S134" i="12"/>
  <c r="Q135" i="12"/>
  <c r="S135" i="12"/>
  <c r="Q136" i="12"/>
  <c r="S136" i="12"/>
  <c r="Q137" i="12"/>
  <c r="S137" i="12"/>
  <c r="Q138" i="12"/>
  <c r="S138" i="12"/>
  <c r="Q139" i="12"/>
  <c r="S139" i="12"/>
  <c r="Q140" i="12"/>
  <c r="S140" i="12"/>
  <c r="Q141" i="12"/>
  <c r="S141" i="12"/>
  <c r="Q142" i="12"/>
  <c r="S142" i="12"/>
  <c r="S143" i="12"/>
  <c r="T143" i="12"/>
  <c r="S144" i="12"/>
  <c r="T144" i="12"/>
  <c r="S145" i="12"/>
  <c r="T145" i="12"/>
  <c r="S146" i="12"/>
  <c r="T146" i="12"/>
  <c r="S147" i="12"/>
  <c r="T147" i="12"/>
  <c r="S148" i="12"/>
  <c r="T148" i="12"/>
  <c r="S149" i="12"/>
  <c r="T149" i="12"/>
  <c r="S150" i="12"/>
  <c r="T150" i="12"/>
  <c r="S151" i="12"/>
  <c r="T151" i="12"/>
  <c r="S152" i="12"/>
  <c r="T152" i="12"/>
  <c r="S153" i="12"/>
  <c r="T153" i="12"/>
  <c r="S154" i="12"/>
  <c r="T154" i="12"/>
  <c r="S155" i="12"/>
  <c r="T155" i="12"/>
  <c r="S156" i="12"/>
  <c r="T156" i="12"/>
  <c r="S157" i="12"/>
  <c r="T157" i="12"/>
  <c r="S158" i="12"/>
  <c r="T158" i="12"/>
  <c r="S159" i="12"/>
  <c r="T159" i="12"/>
  <c r="S160" i="12"/>
  <c r="T160" i="12"/>
  <c r="S161" i="12"/>
  <c r="T161" i="12"/>
  <c r="S162" i="12"/>
  <c r="T162" i="12"/>
  <c r="S163" i="12"/>
  <c r="T163" i="12"/>
  <c r="S164" i="12"/>
  <c r="T164" i="12"/>
  <c r="S165" i="12"/>
  <c r="T165" i="12"/>
  <c r="S166" i="12"/>
  <c r="T166" i="12"/>
  <c r="S167" i="12"/>
  <c r="T167" i="12"/>
  <c r="S168" i="12"/>
  <c r="T168" i="12"/>
  <c r="S169" i="12"/>
  <c r="T169" i="12"/>
  <c r="S170" i="12"/>
  <c r="T170" i="12"/>
  <c r="S171" i="12"/>
  <c r="T171" i="12"/>
  <c r="S172" i="12"/>
  <c r="T172" i="12"/>
  <c r="S173" i="12"/>
  <c r="T173" i="12"/>
  <c r="S174" i="12"/>
  <c r="T174" i="12"/>
  <c r="S175" i="12"/>
  <c r="T175" i="12"/>
  <c r="S176" i="12"/>
  <c r="T176" i="12"/>
  <c r="S177" i="12"/>
  <c r="T177" i="12"/>
  <c r="S178" i="12"/>
  <c r="T178" i="12"/>
  <c r="S179" i="12"/>
  <c r="T179" i="12"/>
  <c r="S180" i="12"/>
  <c r="T180" i="12"/>
  <c r="S181" i="12"/>
  <c r="T181" i="12"/>
  <c r="S182" i="12"/>
  <c r="T182" i="12"/>
  <c r="S183" i="12"/>
  <c r="T183" i="12"/>
  <c r="S184" i="12"/>
  <c r="T184" i="12"/>
  <c r="S185" i="12"/>
  <c r="T185" i="12"/>
  <c r="S186" i="12"/>
  <c r="T186" i="12"/>
  <c r="S187" i="12"/>
  <c r="T187" i="12"/>
  <c r="S188" i="12"/>
  <c r="T188" i="12"/>
  <c r="S189" i="12"/>
  <c r="T189" i="12"/>
  <c r="S190" i="12"/>
  <c r="T190" i="12"/>
  <c r="S191" i="12"/>
  <c r="T191" i="12"/>
  <c r="S192" i="12"/>
  <c r="T192" i="12"/>
  <c r="S193" i="12"/>
  <c r="T193" i="12"/>
  <c r="S194" i="12"/>
  <c r="T194" i="12"/>
  <c r="S195" i="12"/>
  <c r="T195" i="12"/>
  <c r="S196" i="12"/>
  <c r="T196" i="12"/>
  <c r="S197" i="12"/>
  <c r="T197" i="12"/>
  <c r="S198" i="12"/>
  <c r="T198" i="12"/>
  <c r="S199" i="12"/>
  <c r="T199" i="12"/>
  <c r="S200" i="12"/>
  <c r="T200" i="12"/>
  <c r="S201" i="12"/>
  <c r="T201" i="12"/>
  <c r="S202" i="12"/>
  <c r="T202" i="12"/>
  <c r="S203" i="12"/>
  <c r="T203" i="12"/>
  <c r="S204" i="12"/>
  <c r="T204" i="12"/>
  <c r="S205" i="12"/>
  <c r="T205" i="12"/>
  <c r="S206" i="12"/>
  <c r="T206" i="12"/>
  <c r="S207" i="12"/>
  <c r="T207" i="12"/>
  <c r="S208" i="12"/>
  <c r="T208" i="12"/>
  <c r="S209" i="12"/>
  <c r="T209" i="12"/>
  <c r="S210" i="12"/>
  <c r="T210" i="12"/>
  <c r="S211" i="12"/>
  <c r="T211" i="12"/>
  <c r="S212" i="12"/>
  <c r="T212" i="12"/>
  <c r="S213" i="12"/>
  <c r="T213" i="12"/>
  <c r="S214" i="12"/>
  <c r="T214" i="12"/>
  <c r="S215" i="12"/>
  <c r="T215" i="12"/>
  <c r="S216" i="12"/>
  <c r="T216" i="12"/>
  <c r="S217" i="12"/>
  <c r="T217" i="12"/>
  <c r="S218" i="12"/>
  <c r="T218" i="12"/>
  <c r="S219" i="12"/>
  <c r="T219" i="12"/>
  <c r="S220" i="12"/>
  <c r="T220" i="12"/>
  <c r="S221" i="12"/>
  <c r="T221" i="12"/>
  <c r="S222" i="12"/>
  <c r="T222" i="12"/>
  <c r="S223" i="12"/>
  <c r="T223" i="12"/>
  <c r="S224" i="12"/>
  <c r="T224" i="12"/>
  <c r="S225" i="12"/>
  <c r="T225" i="12"/>
  <c r="S226" i="12"/>
  <c r="T226" i="12"/>
  <c r="S227" i="12"/>
  <c r="T227" i="12"/>
  <c r="S228" i="12"/>
  <c r="T228" i="12"/>
  <c r="S229" i="12"/>
  <c r="T229" i="12"/>
  <c r="S230" i="12"/>
  <c r="T230" i="12"/>
  <c r="S231" i="12"/>
  <c r="T231" i="12"/>
  <c r="S232" i="12"/>
  <c r="T232" i="12"/>
  <c r="S233" i="12"/>
  <c r="T233" i="12"/>
  <c r="S234" i="12"/>
  <c r="T234" i="12"/>
  <c r="S235" i="12"/>
  <c r="T235" i="12"/>
  <c r="S236" i="12"/>
  <c r="T236" i="12"/>
  <c r="S237" i="12"/>
  <c r="T237" i="12"/>
  <c r="S238" i="12"/>
  <c r="T238" i="12"/>
  <c r="S239" i="12"/>
  <c r="T239" i="12"/>
  <c r="S240" i="12"/>
  <c r="T240" i="12"/>
  <c r="S241" i="12"/>
  <c r="T241" i="12"/>
  <c r="S242" i="12"/>
  <c r="T242" i="12"/>
  <c r="S243" i="12"/>
  <c r="T243" i="12"/>
  <c r="S244" i="12"/>
  <c r="T244" i="12"/>
  <c r="S245" i="12"/>
  <c r="T245" i="12"/>
  <c r="S246" i="12"/>
  <c r="T246" i="12"/>
  <c r="S247" i="12"/>
  <c r="T247" i="12"/>
  <c r="S248" i="12"/>
  <c r="T248" i="12"/>
  <c r="S249" i="12"/>
  <c r="T249" i="12"/>
  <c r="S250" i="12"/>
  <c r="T250" i="12"/>
  <c r="S251" i="12"/>
  <c r="T251" i="12"/>
  <c r="S252" i="12"/>
  <c r="T252" i="12"/>
  <c r="S253" i="12"/>
  <c r="T253" i="12"/>
  <c r="S254" i="12"/>
  <c r="T254" i="12"/>
  <c r="S255" i="12"/>
  <c r="T255" i="12"/>
  <c r="S256" i="12"/>
  <c r="T256" i="12"/>
  <c r="S257" i="12"/>
  <c r="T257" i="12"/>
  <c r="S258" i="12"/>
  <c r="T258" i="12"/>
  <c r="S259" i="12"/>
  <c r="T259" i="12"/>
  <c r="S260" i="12"/>
  <c r="T260" i="12"/>
  <c r="S261" i="12"/>
  <c r="T261" i="12"/>
  <c r="S262" i="12"/>
  <c r="T262" i="12"/>
  <c r="S263" i="12"/>
  <c r="T263" i="12"/>
  <c r="S264" i="12"/>
  <c r="T264" i="12"/>
  <c r="S265" i="12"/>
  <c r="T265" i="12"/>
  <c r="S266" i="12"/>
  <c r="T266" i="12"/>
  <c r="S267" i="12"/>
  <c r="T267" i="12"/>
  <c r="S268" i="12"/>
  <c r="T268" i="12"/>
  <c r="S269" i="12"/>
  <c r="T269" i="12"/>
  <c r="S270" i="12"/>
  <c r="T270" i="12"/>
  <c r="S271" i="12"/>
  <c r="T271" i="12"/>
  <c r="S272" i="12"/>
  <c r="T272" i="12"/>
  <c r="S273" i="12"/>
  <c r="T273" i="12"/>
  <c r="S274" i="12"/>
  <c r="T274" i="12"/>
  <c r="S275" i="12"/>
  <c r="T275" i="12"/>
  <c r="S276" i="12"/>
  <c r="T276" i="12"/>
  <c r="S277" i="12"/>
  <c r="T277" i="12"/>
  <c r="S278" i="12"/>
  <c r="T278" i="12"/>
  <c r="S279" i="12"/>
  <c r="T279" i="12"/>
  <c r="S280" i="12"/>
  <c r="T280" i="12"/>
  <c r="S281" i="12"/>
  <c r="T281" i="12"/>
  <c r="S282" i="12"/>
  <c r="T282" i="12"/>
  <c r="S283" i="12"/>
  <c r="T283" i="12"/>
  <c r="S284" i="12"/>
  <c r="T284" i="12"/>
  <c r="S285" i="12"/>
  <c r="T285" i="12"/>
  <c r="S286" i="12"/>
  <c r="T286" i="12"/>
  <c r="S287" i="12"/>
  <c r="T287" i="12"/>
  <c r="S288" i="12"/>
  <c r="T288" i="12"/>
  <c r="S289" i="12"/>
  <c r="T289" i="12"/>
  <c r="S290" i="12"/>
  <c r="T290" i="12"/>
  <c r="S291" i="12"/>
  <c r="T291" i="12"/>
  <c r="S292" i="12"/>
  <c r="T292" i="12"/>
  <c r="S293" i="12"/>
  <c r="T293" i="12"/>
  <c r="S294" i="12"/>
  <c r="T294" i="12"/>
  <c r="S295" i="12"/>
  <c r="T295" i="12"/>
  <c r="S296" i="12"/>
  <c r="T296" i="12"/>
  <c r="S297" i="12"/>
  <c r="T297" i="12"/>
  <c r="S298" i="12"/>
  <c r="T298" i="12"/>
  <c r="S299" i="12"/>
  <c r="T299" i="12"/>
  <c r="S300" i="12"/>
  <c r="T300" i="12"/>
  <c r="S301" i="12"/>
  <c r="T301" i="12"/>
  <c r="S302" i="12"/>
  <c r="T302" i="12"/>
  <c r="S303" i="12"/>
  <c r="T303" i="12"/>
  <c r="S304" i="12"/>
  <c r="T304" i="12"/>
  <c r="S305" i="12"/>
  <c r="T305" i="12"/>
  <c r="S306" i="12"/>
  <c r="T306" i="12"/>
  <c r="S307" i="12"/>
  <c r="T307" i="12"/>
  <c r="S308" i="12"/>
  <c r="T308" i="12"/>
  <c r="S309" i="12"/>
  <c r="T309" i="12"/>
  <c r="S310" i="12"/>
  <c r="T310" i="12"/>
  <c r="S311" i="12"/>
  <c r="T311" i="12"/>
  <c r="S312" i="12"/>
  <c r="T312" i="12"/>
  <c r="S313" i="12"/>
  <c r="T313" i="12"/>
  <c r="S314" i="12"/>
  <c r="T314" i="12"/>
  <c r="S315" i="12"/>
  <c r="T315" i="12"/>
  <c r="S316" i="12"/>
  <c r="T316" i="12"/>
  <c r="S317" i="12"/>
  <c r="T317" i="12"/>
  <c r="S318" i="12"/>
  <c r="T318" i="12"/>
  <c r="S319" i="12"/>
  <c r="T319" i="12"/>
  <c r="S320" i="12"/>
  <c r="T320" i="12"/>
  <c r="S321" i="12"/>
  <c r="T321" i="12"/>
  <c r="S322" i="12"/>
  <c r="T322" i="12"/>
  <c r="S323" i="12"/>
  <c r="T323" i="12"/>
  <c r="S324" i="12"/>
  <c r="T324" i="12"/>
  <c r="S325" i="12"/>
  <c r="T325" i="12"/>
  <c r="S326" i="12"/>
  <c r="T326" i="12"/>
  <c r="S327" i="12"/>
  <c r="T327" i="12"/>
  <c r="S328" i="12"/>
  <c r="T328" i="12"/>
  <c r="S329" i="12"/>
  <c r="T329" i="12"/>
  <c r="S330" i="12"/>
  <c r="T330" i="12"/>
  <c r="S331" i="12"/>
  <c r="T331" i="12"/>
  <c r="S332" i="12"/>
  <c r="T332" i="12"/>
  <c r="S333" i="12"/>
  <c r="T333" i="12"/>
  <c r="S334" i="12"/>
  <c r="T334" i="12"/>
  <c r="S335" i="12"/>
  <c r="T335" i="12"/>
  <c r="S336" i="12"/>
  <c r="T336" i="12"/>
  <c r="S337" i="12"/>
  <c r="T337" i="12"/>
  <c r="S338" i="12"/>
  <c r="T338" i="12"/>
  <c r="S339" i="12"/>
  <c r="T339" i="12"/>
  <c r="S340" i="12"/>
  <c r="T340" i="12"/>
  <c r="S341" i="12"/>
  <c r="T341" i="12"/>
  <c r="S342" i="12"/>
  <c r="T342" i="12"/>
  <c r="S343" i="12"/>
  <c r="T343" i="12"/>
  <c r="S344" i="12"/>
  <c r="T344" i="12"/>
  <c r="S345" i="12"/>
  <c r="T345" i="12"/>
  <c r="S346" i="12"/>
  <c r="T346" i="12"/>
  <c r="S347" i="12"/>
  <c r="T347" i="12"/>
  <c r="S348" i="12"/>
  <c r="T348" i="12"/>
  <c r="S349" i="12"/>
  <c r="T349" i="12"/>
  <c r="S350" i="12"/>
  <c r="T350" i="12"/>
  <c r="S351" i="12"/>
  <c r="T351" i="12"/>
  <c r="S352" i="12"/>
  <c r="T352" i="12"/>
  <c r="S353" i="12"/>
  <c r="T353" i="12"/>
  <c r="S354" i="12"/>
  <c r="T354" i="12"/>
  <c r="S355" i="12"/>
  <c r="T355" i="12"/>
  <c r="S356" i="12"/>
  <c r="T356" i="12"/>
  <c r="S357" i="12"/>
  <c r="T357" i="12"/>
  <c r="S358" i="12"/>
  <c r="T358" i="12"/>
  <c r="S359" i="12"/>
  <c r="T359" i="12"/>
  <c r="S360" i="12"/>
  <c r="T360" i="12"/>
  <c r="S361" i="12"/>
  <c r="T361" i="12"/>
  <c r="S362" i="12"/>
  <c r="T362" i="12"/>
  <c r="S363" i="12"/>
  <c r="T363" i="12"/>
  <c r="S364" i="12"/>
  <c r="T364" i="12"/>
  <c r="S365" i="12"/>
  <c r="T365" i="12"/>
  <c r="S366" i="12"/>
  <c r="T366" i="12"/>
  <c r="S367" i="12"/>
  <c r="T367" i="12"/>
  <c r="S368" i="12"/>
  <c r="T368" i="12"/>
  <c r="S369" i="12"/>
  <c r="T369" i="12"/>
  <c r="S370" i="12"/>
  <c r="T370" i="12"/>
  <c r="S371" i="12"/>
  <c r="T371" i="12"/>
  <c r="S372" i="12"/>
  <c r="T372" i="12"/>
  <c r="S373" i="12"/>
  <c r="T373" i="12"/>
  <c r="S374" i="12"/>
  <c r="T374" i="12"/>
  <c r="S375" i="12"/>
  <c r="T375" i="12"/>
  <c r="S376" i="12"/>
  <c r="T376" i="12"/>
  <c r="S377" i="12"/>
  <c r="T377" i="12"/>
  <c r="S378" i="12"/>
  <c r="T378" i="12"/>
  <c r="S379" i="12"/>
  <c r="T379" i="12"/>
  <c r="S380" i="12"/>
  <c r="T380" i="12"/>
  <c r="S381" i="12"/>
  <c r="T381" i="12"/>
  <c r="S382" i="12"/>
  <c r="T382" i="12"/>
  <c r="S383" i="12"/>
  <c r="T383" i="12"/>
  <c r="S384" i="12"/>
  <c r="T384" i="12"/>
  <c r="S385" i="12"/>
  <c r="T385" i="12"/>
  <c r="S386" i="12"/>
  <c r="T386" i="12"/>
  <c r="S387" i="12"/>
  <c r="T387" i="12"/>
  <c r="S388" i="12"/>
  <c r="T388" i="12"/>
  <c r="S389" i="12"/>
  <c r="T389" i="12"/>
  <c r="S390" i="12"/>
  <c r="T390" i="12"/>
  <c r="S391" i="12"/>
  <c r="T391" i="12"/>
  <c r="S392" i="12"/>
  <c r="T392" i="12"/>
  <c r="S393" i="12"/>
  <c r="T393" i="12"/>
  <c r="S394" i="12"/>
  <c r="T394" i="12"/>
  <c r="S395" i="12"/>
  <c r="T395" i="12"/>
  <c r="S396" i="12"/>
  <c r="T396" i="12"/>
  <c r="S397" i="12"/>
  <c r="T397" i="12"/>
  <c r="S398" i="12"/>
  <c r="T398" i="12"/>
  <c r="S399" i="12"/>
  <c r="T399" i="12"/>
  <c r="S400" i="12"/>
  <c r="T400" i="12"/>
  <c r="S401" i="12"/>
  <c r="T401" i="12"/>
  <c r="S402" i="12"/>
  <c r="T402" i="12"/>
  <c r="S403" i="12"/>
  <c r="T403" i="12"/>
  <c r="S404" i="12"/>
  <c r="T404" i="12"/>
  <c r="S405" i="12"/>
  <c r="T405" i="12"/>
  <c r="S406" i="12"/>
  <c r="T406" i="12"/>
  <c r="S407" i="12"/>
  <c r="T407" i="12"/>
  <c r="S408" i="12"/>
  <c r="T408" i="12"/>
  <c r="S409" i="12"/>
  <c r="T409" i="12"/>
  <c r="S410" i="12"/>
  <c r="T410" i="12"/>
  <c r="S411" i="12"/>
  <c r="T411" i="12"/>
  <c r="S412" i="12"/>
  <c r="T412" i="12"/>
  <c r="S413" i="12"/>
  <c r="T413" i="12"/>
  <c r="S414" i="12"/>
  <c r="T414" i="12"/>
  <c r="S415" i="12"/>
  <c r="T415" i="12"/>
  <c r="S416" i="12"/>
  <c r="T416" i="12"/>
  <c r="S417" i="12"/>
  <c r="T417" i="12"/>
  <c r="S418" i="12"/>
  <c r="T418" i="12"/>
  <c r="S419" i="12"/>
  <c r="T419" i="12"/>
  <c r="S420" i="12"/>
  <c r="T420" i="12"/>
  <c r="S421" i="12"/>
  <c r="T421" i="12"/>
  <c r="S422" i="12"/>
  <c r="T422" i="12"/>
  <c r="S423" i="12"/>
  <c r="T423" i="12"/>
  <c r="S424" i="12"/>
  <c r="T424" i="12"/>
  <c r="S425" i="12"/>
  <c r="T425" i="12"/>
  <c r="S426" i="12"/>
  <c r="T426" i="12"/>
  <c r="S427" i="12"/>
  <c r="T427" i="12"/>
  <c r="S428" i="12"/>
  <c r="T428" i="12"/>
  <c r="S429" i="12"/>
  <c r="T429" i="12"/>
  <c r="S430" i="12"/>
  <c r="T430" i="12"/>
  <c r="S431" i="12"/>
  <c r="T431" i="12"/>
  <c r="S432" i="12"/>
  <c r="T432" i="12"/>
  <c r="S433" i="12"/>
  <c r="T433" i="12"/>
  <c r="S434" i="12"/>
  <c r="T434" i="12"/>
  <c r="S435" i="12"/>
  <c r="T435" i="12"/>
  <c r="S436" i="12"/>
  <c r="T436" i="12"/>
  <c r="S437" i="12"/>
  <c r="T437" i="12"/>
  <c r="S438" i="12"/>
  <c r="T438" i="12"/>
  <c r="S439" i="12"/>
  <c r="T439" i="12"/>
  <c r="S440" i="12"/>
  <c r="T440" i="12"/>
  <c r="S441" i="12"/>
  <c r="T441" i="12"/>
  <c r="S442" i="12"/>
  <c r="T442" i="12"/>
  <c r="S443" i="12"/>
  <c r="T443" i="12"/>
  <c r="S444" i="12"/>
  <c r="T444" i="12"/>
  <c r="S445" i="12"/>
  <c r="T445" i="12"/>
  <c r="S446" i="12"/>
  <c r="T446" i="12"/>
  <c r="S447" i="12"/>
  <c r="T447" i="12"/>
  <c r="S448" i="12"/>
  <c r="T448" i="12"/>
  <c r="S449" i="12"/>
  <c r="T449" i="12"/>
  <c r="S450" i="12"/>
  <c r="T450" i="12"/>
  <c r="S451" i="12"/>
  <c r="T451" i="12"/>
  <c r="S452" i="12"/>
  <c r="T452" i="12"/>
  <c r="S453" i="12"/>
  <c r="T453" i="12"/>
  <c r="S454" i="12"/>
  <c r="T454" i="12"/>
  <c r="S455" i="12"/>
  <c r="T455" i="12"/>
  <c r="S456" i="12"/>
  <c r="T456" i="12"/>
  <c r="S457" i="12"/>
  <c r="T457" i="12"/>
  <c r="S458" i="12"/>
  <c r="T458" i="12"/>
  <c r="S459" i="12"/>
  <c r="T459" i="12"/>
  <c r="S460" i="12"/>
  <c r="T460" i="12"/>
  <c r="S461" i="12"/>
  <c r="T461" i="12"/>
  <c r="S462" i="12"/>
  <c r="T462" i="12"/>
  <c r="S463" i="12"/>
  <c r="T463" i="12"/>
  <c r="S464" i="12"/>
  <c r="T464" i="12"/>
  <c r="S465" i="12"/>
  <c r="T465" i="12"/>
  <c r="S466" i="12"/>
  <c r="T466" i="12"/>
  <c r="S467" i="12"/>
  <c r="T467" i="12"/>
  <c r="S468" i="12"/>
  <c r="T468" i="12"/>
  <c r="S469" i="12"/>
  <c r="T469" i="12"/>
  <c r="S470" i="12"/>
  <c r="T470" i="12"/>
  <c r="S471" i="12"/>
  <c r="T471" i="12"/>
  <c r="S472" i="12"/>
  <c r="T472" i="12"/>
  <c r="S473" i="12"/>
  <c r="T473" i="12"/>
  <c r="S474" i="12"/>
  <c r="T474" i="12"/>
  <c r="S475" i="12"/>
  <c r="T475" i="12"/>
  <c r="S476" i="12"/>
  <c r="T476" i="12"/>
  <c r="S477" i="12"/>
  <c r="T477" i="12"/>
  <c r="S478" i="12"/>
  <c r="T478" i="12"/>
  <c r="S479" i="12"/>
  <c r="T479" i="12"/>
  <c r="S480" i="12"/>
  <c r="T480" i="12"/>
  <c r="S481" i="12"/>
  <c r="T481" i="12"/>
  <c r="S482" i="12"/>
  <c r="T482" i="12"/>
  <c r="S483" i="12"/>
  <c r="T483" i="12"/>
  <c r="S484" i="12"/>
  <c r="T484" i="12"/>
  <c r="S485" i="12"/>
  <c r="T485" i="12"/>
  <c r="S486" i="12"/>
  <c r="T486" i="12"/>
  <c r="S487" i="12"/>
  <c r="T487" i="12"/>
  <c r="S488" i="12"/>
  <c r="T488" i="12"/>
  <c r="S489" i="12"/>
  <c r="T489" i="12"/>
  <c r="S490" i="12"/>
  <c r="T490" i="12"/>
  <c r="S491" i="12"/>
  <c r="T491" i="12"/>
  <c r="S492" i="12"/>
  <c r="T492" i="12"/>
  <c r="S493" i="12"/>
  <c r="T493" i="12"/>
  <c r="S494" i="12"/>
  <c r="T494" i="12"/>
  <c r="S495" i="12"/>
  <c r="T495" i="12"/>
  <c r="S496" i="12"/>
  <c r="T496" i="12"/>
  <c r="S497" i="12"/>
  <c r="T497" i="12"/>
  <c r="S498" i="12"/>
  <c r="T498" i="12"/>
  <c r="S499" i="12"/>
  <c r="T499" i="12"/>
  <c r="S500" i="12"/>
  <c r="T500" i="12"/>
  <c r="S501" i="12"/>
  <c r="T501" i="12"/>
  <c r="S502" i="12"/>
  <c r="T502" i="12"/>
  <c r="S503" i="12"/>
  <c r="T503" i="12"/>
  <c r="Q111" i="12"/>
  <c r="T111" i="12"/>
  <c r="Q112" i="12"/>
  <c r="T112" i="12"/>
  <c r="Q113" i="12"/>
  <c r="T113" i="12"/>
  <c r="Q99" i="12"/>
  <c r="T99" i="12"/>
  <c r="Q100" i="12"/>
  <c r="T100" i="12"/>
  <c r="Q101" i="12"/>
  <c r="T101" i="12"/>
  <c r="Q102" i="12"/>
  <c r="T102" i="12"/>
  <c r="Q103" i="12"/>
  <c r="T103" i="12"/>
  <c r="Q104" i="12"/>
  <c r="T104" i="12"/>
  <c r="Q105" i="12"/>
  <c r="T105" i="12"/>
  <c r="Q106" i="12"/>
  <c r="T106" i="12"/>
  <c r="Q107" i="12"/>
  <c r="T107" i="12"/>
  <c r="Q108" i="12"/>
  <c r="T108" i="12"/>
  <c r="Q110" i="12"/>
  <c r="T110" i="12"/>
  <c r="Q109" i="12"/>
  <c r="T109" i="12"/>
  <c r="N93" i="12"/>
  <c r="X93" i="11"/>
  <c r="O93" i="12"/>
  <c r="N94" i="12"/>
  <c r="X94" i="11"/>
  <c r="N95" i="12"/>
  <c r="X95" i="11"/>
  <c r="N96" i="12"/>
  <c r="X96" i="11"/>
  <c r="N97" i="12"/>
  <c r="X97" i="11"/>
  <c r="N98" i="12"/>
  <c r="X98" i="11"/>
  <c r="N99" i="12"/>
  <c r="X99" i="11"/>
  <c r="N100" i="12"/>
  <c r="X100" i="11"/>
  <c r="N101" i="12"/>
  <c r="X101" i="11"/>
  <c r="N102" i="12"/>
  <c r="X102" i="11"/>
  <c r="N103" i="12"/>
  <c r="X103" i="11"/>
  <c r="N104" i="12"/>
  <c r="X104" i="11"/>
  <c r="N105" i="12"/>
  <c r="X105" i="11"/>
  <c r="N106" i="12"/>
  <c r="X106" i="11"/>
  <c r="N107" i="12"/>
  <c r="X107" i="11"/>
  <c r="N108" i="12"/>
  <c r="X108" i="11"/>
  <c r="N109" i="12"/>
  <c r="X109" i="11"/>
  <c r="N110" i="12"/>
  <c r="X110" i="11"/>
  <c r="N111" i="12"/>
  <c r="X111" i="11"/>
  <c r="N112" i="12"/>
  <c r="X112" i="11"/>
  <c r="N113" i="12"/>
  <c r="X113" i="11"/>
  <c r="N114" i="12"/>
  <c r="X114" i="11"/>
  <c r="N115" i="12"/>
  <c r="X115" i="11"/>
  <c r="N116" i="12"/>
  <c r="X116" i="11"/>
  <c r="N117" i="12"/>
  <c r="X117" i="11"/>
  <c r="N118" i="12"/>
  <c r="X118" i="11"/>
  <c r="N119" i="12"/>
  <c r="X119" i="11"/>
  <c r="N120" i="12"/>
  <c r="X120" i="11"/>
  <c r="N121" i="12"/>
  <c r="X121" i="11"/>
  <c r="N122" i="12"/>
  <c r="X122" i="11"/>
  <c r="N123" i="12"/>
  <c r="X123" i="11"/>
  <c r="N124" i="12"/>
  <c r="X124" i="11"/>
  <c r="N125" i="12"/>
  <c r="X125" i="11"/>
  <c r="N126" i="12"/>
  <c r="X126" i="11"/>
  <c r="N127" i="12"/>
  <c r="X127" i="11"/>
  <c r="N128" i="12"/>
  <c r="X128" i="11"/>
  <c r="N129" i="12"/>
  <c r="X129" i="11"/>
  <c r="N130" i="12"/>
  <c r="X130" i="11"/>
  <c r="N131" i="12"/>
  <c r="X131" i="11"/>
  <c r="N132" i="12"/>
  <c r="X132" i="11"/>
  <c r="N133" i="12"/>
  <c r="X133" i="11"/>
  <c r="N134" i="12"/>
  <c r="X134" i="11"/>
  <c r="N135" i="12"/>
  <c r="X135" i="11"/>
  <c r="N136" i="12"/>
  <c r="X136" i="11"/>
  <c r="N137" i="12"/>
  <c r="X137" i="11"/>
  <c r="N138" i="12"/>
  <c r="X138" i="11"/>
  <c r="N139" i="12"/>
  <c r="X139" i="11"/>
  <c r="N140" i="12"/>
  <c r="X140" i="11"/>
  <c r="N141" i="12"/>
  <c r="X141" i="11"/>
  <c r="N142" i="12"/>
  <c r="X142" i="11"/>
  <c r="O2" i="12"/>
  <c r="T2" i="12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B21" i="20" l="1"/>
  <c r="B19" i="20" a="1"/>
  <c r="B19" i="20" s="1"/>
  <c r="B20" i="20" a="1"/>
  <c r="B20" i="20" s="1"/>
</calcChain>
</file>

<file path=xl/sharedStrings.xml><?xml version="1.0" encoding="utf-8"?>
<sst xmlns="http://schemas.openxmlformats.org/spreadsheetml/2006/main" count="9297" uniqueCount="2354">
  <si>
    <t>README - Warehouse Ledger + Configuration + Deployment Tracker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</si>
  <si>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</si>
  <si>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</si>
  <si>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</si>
  <si>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</si>
  <si>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</si>
  <si>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</si>
  <si>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</si>
  <si>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</si>
  <si>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</si>
  <si>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</si>
  <si>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</si>
  <si>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</si>
  <si>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</si>
  <si>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</si>
  <si>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</si>
  <si>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</si>
  <si>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</si>
  <si>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</si>
  <si>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</si>
  <si>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</si>
  <si>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</si>
  <si>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</si>
  <si>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</si>
  <si>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</si>
  <si>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</si>
  <si>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</si>
  <si>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12 - Device_Configuration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</si>
  <si>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</si>
  <si>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</si>
  <si>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</si>
  <si>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</si>
  <si>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</si>
  <si>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</si>
  <si>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</si>
  <si>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</si>
  <si>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</si>
  <si>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</si>
  <si>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</si>
  <si>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</si>
  <si>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</si>
  <si>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</si>
  <si>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</si>
  <si>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</si>
  <si>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</si>
  <si>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</si>
  <si>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</si>
  <si>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</si>
  <si>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</si>
  <si>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</si>
  <si>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</si>
  <si>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</si>
  <si>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</si>
  <si>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</si>
  <si>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</si>
  <si>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</si>
  <si>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</si>
  <si>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</si>
  <si>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</si>
  <si>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</si>
  <si>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</si>
  <si>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</si>
  <si>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</si>
  <si>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PalletID</t>
  </si>
  <si>
    <t>PalletCallSign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</si>
  <si>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</si>
  <si>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</si>
  <si>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</si>
  <si>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</si>
  <si>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</si>
  <si>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</si>
  <si>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</si>
  <si>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Notes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</si>
  <si>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</si>
  <si>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</si>
  <si>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</si>
  <si>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</si>
  <si>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</si>
  <si>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</si>
  <si>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</si>
  <si>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</si>
  <si>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</si>
  <si>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</si>
  <si>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</si>
  <si>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</si>
  <si>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</si>
  <si>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</si>
  <si>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</si>
  <si>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</si>
  <si>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</si>
  <si>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</si>
  <si>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</si>
  <si>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</si>
  <si>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</si>
  <si>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</si>
  <si>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</si>
  <si>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</si>
  <si>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</si>
  <si>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</si>
  <si>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</si>
  <si>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</si>
  <si>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</si>
  <si>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</si>
  <si>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</si>
  <si>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</si>
  <si>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</si>
  <si>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</si>
  <si>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</si>
  <si>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</si>
  <si>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</si>
  <si>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</si>
  <si>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</si>
  <si>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</si>
  <si>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</si>
  <si>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</si>
  <si>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</si>
  <si>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</si>
  <si>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</si>
  <si>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</si>
  <si>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</si>
  <si>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</si>
  <si>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</si>
  <si>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</si>
  <si>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</si>
  <si>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</si>
  <si>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</si>
  <si>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</si>
  <si>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</si>
  <si>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</si>
  <si>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</si>
  <si>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</si>
  <si>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</si>
  <si>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</si>
  <si>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</si>
  <si>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</si>
  <si>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</si>
  <si>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</si>
  <si>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</si>
  <si>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</si>
  <si>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</si>
  <si>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</si>
  <si>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</si>
  <si>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</si>
  <si>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</si>
  <si>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</si>
  <si>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</si>
  <si>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</si>
  <si>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</si>
  <si>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</si>
  <si>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</si>
  <si>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</si>
  <si>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</si>
  <si>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</si>
  <si>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</si>
  <si>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</si>
  <si>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</si>
  <si>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</si>
  <si>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</si>
  <si>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</si>
  <si>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</si>
  <si>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</si>
  <si>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</si>
  <si>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</si>
  <si>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</si>
  <si>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</si>
  <si>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</si>
  <si>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</si>
  <si>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</si>
  <si>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</si>
  <si>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</si>
  <si>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</si>
  <si>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</si>
  <si>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</si>
  <si>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</si>
  <si>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</si>
  <si>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</si>
  <si>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</si>
  <si>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</si>
  <si>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</si>
  <si>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</si>
  <si>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</si>
  <si>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</si>
  <si>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</si>
  <si>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</si>
  <si>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</si>
  <si>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</si>
  <si>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</si>
  <si>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</si>
  <si>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</si>
  <si>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</si>
  <si>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</si>
  <si>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</si>
  <si>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</si>
  <si>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</si>
  <si>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</si>
  <si>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</si>
  <si>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</si>
  <si>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</si>
  <si>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</si>
  <si>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</si>
  <si>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</si>
  <si>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</si>
  <si>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</si>
  <si>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</si>
  <si>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</si>
  <si>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</si>
  <si>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</si>
  <si>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</si>
  <si>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</si>
  <si>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</si>
  <si>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</si>
  <si>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</si>
  <si>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</si>
  <si>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</si>
  <si>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</si>
  <si>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</si>
  <si>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</si>
  <si>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</si>
  <si>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</si>
  <si>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</si>
  <si>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</si>
  <si>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</si>
  <si>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</si>
  <si>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</si>
  <si>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</si>
  <si>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</si>
  <si>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</si>
  <si>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</si>
  <si>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</si>
  <si>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</si>
  <si>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</si>
  <si>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</si>
  <si>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</si>
  <si>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</si>
  <si>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</si>
  <si>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</si>
  <si>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</si>
  <si>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</si>
  <si>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</si>
  <si>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</si>
  <si>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</si>
  <si>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</si>
  <si>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</si>
  <si>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</si>
  <si>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</si>
  <si>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</si>
  <si>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</si>
  <si>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</si>
  <si>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</si>
  <si>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</si>
  <si>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</si>
  <si>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</si>
  <si>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</si>
  <si>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</si>
  <si>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</si>
  <si>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</si>
  <si>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</si>
  <si>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</si>
  <si>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</si>
  <si>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</si>
  <si>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</si>
  <si>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</si>
  <si>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</si>
  <si>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</si>
  <si>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</si>
  <si>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</si>
  <si>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</si>
  <si>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</si>
  <si>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</si>
  <si>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</si>
  <si>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</si>
  <si>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</si>
  <si>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</si>
  <si>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</si>
  <si>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</si>
  <si>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</si>
  <si>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</si>
  <si>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</si>
  <si>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</si>
  <si>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</si>
  <si>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</si>
  <si>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</si>
  <si>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</si>
  <si>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</si>
  <si>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</si>
  <si>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</si>
  <si>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</si>
  <si>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</si>
  <si>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</si>
  <si>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</si>
  <si>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</si>
  <si>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</si>
  <si>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</si>
  <si>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</si>
  <si>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</si>
  <si>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</si>
  <si>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</si>
  <si>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</si>
  <si>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</si>
  <si>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</si>
  <si>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</si>
  <si>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</si>
  <si>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</si>
  <si>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</si>
  <si>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</si>
  <si>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</si>
  <si>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</si>
  <si>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</si>
  <si>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</si>
  <si>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</si>
  <si>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</si>
  <si>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</si>
  <si>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</si>
  <si>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</si>
  <si>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</si>
  <si>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</si>
  <si>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</si>
  <si>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</si>
  <si>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</si>
  <si>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</si>
  <si>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</si>
  <si>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</si>
  <si>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</si>
  <si>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</si>
  <si>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</si>
  <si>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</si>
  <si>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</si>
  <si>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</si>
  <si>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</si>
  <si>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</si>
  <si>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</si>
  <si>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</si>
  <si>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</si>
  <si>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</si>
  <si>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</si>
  <si>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</si>
  <si>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</si>
  <si>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</si>
  <si>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</si>
  <si>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</si>
  <si>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</si>
  <si>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</si>
  <si>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</si>
  <si>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</si>
  <si>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</si>
  <si>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</si>
  <si>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</si>
  <si>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</si>
  <si>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</si>
  <si>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</si>
  <si>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</si>
  <si>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</si>
  <si>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</si>
  <si>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</si>
  <si>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</si>
  <si>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</si>
  <si>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</si>
  <si>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</si>
  <si>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</si>
  <si>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</si>
  <si>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</si>
  <si>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</si>
  <si>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</si>
  <si>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</si>
  <si>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</si>
  <si>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</si>
  <si>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</si>
  <si>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</si>
  <si>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</si>
  <si>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</si>
  <si>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</si>
  <si>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</si>
  <si>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</si>
  <si>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</si>
  <si>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</si>
  <si>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</si>
  <si>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</si>
  <si>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</si>
  <si>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</si>
  <si>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</si>
  <si>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</si>
  <si>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</si>
  <si>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</si>
  <si>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</si>
  <si>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</si>
  <si>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</si>
  <si>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</si>
  <si>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</si>
  <si>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</si>
  <si>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</si>
  <si>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</si>
  <si>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</si>
  <si>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</si>
  <si>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</si>
  <si>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</si>
  <si>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</si>
  <si>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</si>
  <si>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</si>
  <si>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</si>
  <si>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</si>
  <si>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</si>
  <si>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</si>
  <si>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</si>
  <si>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</si>
  <si>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</si>
  <si>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</si>
  <si>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</si>
  <si>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</si>
  <si>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</si>
  <si>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</si>
  <si>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</si>
  <si>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</si>
  <si>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</si>
  <si>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</si>
  <si>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</si>
  <si>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</si>
  <si>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</si>
  <si>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</si>
  <si>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</si>
  <si>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</si>
  <si>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</si>
  <si>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</si>
  <si>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</si>
  <si>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</si>
  <si>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</si>
  <si>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</si>
  <si>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</si>
  <si>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</si>
  <si>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</si>
  <si>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</si>
  <si>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</si>
  <si>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</si>
  <si>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</si>
  <si>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</si>
  <si>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</si>
  <si>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</si>
  <si>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</si>
  <si>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</si>
  <si>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</si>
  <si>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</si>
  <si>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</si>
  <si>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</si>
  <si>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</si>
  <si>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</si>
  <si>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</si>
  <si>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</si>
  <si>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</si>
  <si>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</si>
  <si>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</si>
  <si>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</si>
  <si>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</si>
  <si>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</si>
  <si>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</si>
  <si>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</si>
  <si>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</si>
  <si>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</si>
  <si>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</si>
  <si>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</si>
  <si>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</si>
  <si>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</si>
  <si>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</si>
  <si>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</si>
  <si>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</si>
  <si>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</si>
  <si>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</si>
  <si>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</si>
  <si>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</si>
  <si>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</si>
  <si>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</si>
  <si>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</si>
  <si>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</si>
  <si>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</si>
  <si>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</si>
  <si>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</si>
  <si>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</si>
  <si>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</si>
  <si>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</si>
  <si>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</si>
  <si>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</si>
  <si>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</si>
  <si>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</si>
  <si>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</si>
  <si>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</si>
  <si>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</si>
  <si>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</si>
  <si>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</si>
  <si>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</si>
  <si>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</si>
  <si>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</si>
  <si>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</si>
  <si>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</si>
  <si>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</si>
  <si>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</si>
  <si>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</si>
  <si>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</si>
  <si>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</si>
  <si>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</si>
  <si>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</si>
  <si>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</si>
  <si>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</si>
  <si>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</si>
  <si>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</si>
  <si>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</si>
  <si>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</si>
  <si>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</si>
  <si>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</si>
  <si>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</si>
  <si>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</si>
  <si>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</si>
  <si>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</si>
  <si>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</si>
  <si>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</si>
  <si>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</si>
  <si>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</si>
  <si>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</si>
  <si>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</si>
  <si>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</si>
  <si>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</si>
  <si>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</si>
  <si>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</si>
  <si>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</si>
  <si>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</si>
  <si>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</si>
  <si>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</si>
  <si>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</si>
  <si>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</si>
  <si>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</si>
  <si>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</si>
  <si>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</si>
  <si>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</si>
  <si>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</si>
  <si>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</si>
  <si>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</si>
  <si>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</si>
  <si>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</si>
  <si>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</si>
  <si>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</si>
  <si>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</si>
  <si>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</si>
  <si>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</si>
  <si>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</si>
  <si>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</si>
  <si>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</si>
  <si>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</si>
  <si>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</si>
  <si>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</si>
  <si>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</si>
  <si>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</si>
  <si>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</si>
  <si>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</si>
  <si>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</si>
  <si>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</si>
  <si>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</si>
  <si>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</si>
  <si>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</si>
  <si>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</si>
  <si>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</si>
  <si>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</si>
  <si>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</si>
  <si>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</si>
  <si>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</si>
  <si>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</si>
  <si>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</si>
  <si>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</si>
  <si>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</si>
  <si>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</si>
  <si>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</si>
  <si>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</si>
  <si>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</si>
  <si>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</si>
  <si>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</si>
  <si>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</si>
  <si>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</si>
  <si>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</si>
  <si>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</si>
  <si>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</si>
  <si>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</si>
  <si>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</si>
  <si>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</si>
  <si>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</si>
  <si>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</si>
  <si>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</si>
  <si>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</si>
  <si>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</si>
  <si>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</si>
  <si>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</si>
  <si>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</si>
  <si>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</si>
  <si>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</si>
  <si>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</si>
  <si>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</si>
  <si>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</si>
  <si>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</si>
  <si>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</si>
  <si>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</si>
  <si>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</si>
  <si>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</si>
  <si>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</si>
  <si>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</si>
  <si>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</si>
  <si>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</si>
  <si>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</si>
  <si>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</si>
  <si>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</si>
  <si>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</si>
  <si>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</si>
  <si>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</si>
  <si>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</si>
  <si>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</si>
  <si>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</si>
  <si>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</si>
  <si>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</si>
  <si>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</si>
  <si>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</si>
  <si>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</si>
  <si>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</si>
  <si>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</si>
  <si>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</si>
  <si>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</si>
  <si>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</si>
  <si>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</si>
  <si>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</si>
  <si>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</si>
  <si>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</si>
  <si>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</si>
  <si>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</si>
  <si>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</si>
  <si>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</si>
  <si>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</si>
  <si>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</si>
  <si>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</si>
  <si>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</si>
  <si>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</si>
  <si>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</si>
  <si>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</si>
  <si>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</si>
  <si>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</si>
  <si>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</si>
  <si>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</si>
  <si>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</si>
  <si>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</si>
  <si>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</si>
  <si>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</si>
  <si>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</si>
  <si>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</si>
  <si>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</si>
  <si>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</si>
  <si>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</si>
  <si>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</si>
  <si>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</si>
  <si>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</si>
  <si>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</si>
  <si>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</si>
  <si>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</si>
  <si>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</si>
  <si>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</si>
  <si>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</si>
  <si>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</si>
  <si>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</si>
  <si>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</si>
  <si>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</si>
  <si>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</si>
  <si>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</si>
  <si>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</si>
  <si>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</si>
  <si>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</si>
  <si>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</si>
  <si>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</si>
  <si>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</si>
  <si>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</si>
  <si>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</si>
  <si>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</si>
  <si>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</si>
  <si>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</si>
  <si>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</si>
  <si>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</si>
  <si>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</si>
  <si>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</si>
  <si>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</si>
  <si>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</si>
  <si>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</si>
  <si>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</si>
  <si>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</si>
  <si>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</si>
  <si>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</si>
  <si>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</si>
  <si>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</si>
  <si>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</si>
  <si>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</si>
  <si>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</si>
  <si>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</si>
  <si>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</si>
  <si>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</si>
  <si>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</si>
  <si>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</si>
  <si>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</si>
  <si>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</si>
  <si>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</si>
  <si>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</si>
  <si>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</si>
  <si>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</si>
  <si>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</si>
  <si>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</si>
  <si>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</si>
  <si>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</si>
  <si>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</si>
  <si>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</si>
  <si>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</si>
  <si>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</si>
  <si>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</si>
  <si>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</si>
  <si>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</si>
  <si>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</si>
  <si>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</si>
  <si>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</si>
  <si>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</si>
  <si>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</si>
  <si>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</si>
  <si>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</si>
  <si>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</si>
  <si>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</si>
  <si>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</si>
  <si>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</si>
  <si>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</si>
  <si>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</si>
  <si>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</si>
  <si>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</si>
  <si>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</si>
  <si>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</si>
  <si>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</si>
  <si>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</si>
  <si>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</si>
  <si>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</si>
  <si>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</si>
  <si>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</si>
  <si>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</si>
  <si>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</si>
  <si>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</si>
  <si>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</si>
  <si>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</si>
  <si>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</si>
  <si>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</si>
  <si>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</si>
  <si>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</si>
  <si>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</si>
  <si>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</si>
  <si>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</si>
  <si>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</si>
  <si>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</si>
  <si>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</si>
  <si>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</si>
  <si>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</si>
  <si>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</si>
  <si>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</si>
  <si>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</si>
  <si>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</si>
  <si>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</si>
  <si>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</si>
  <si>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</si>
  <si>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</si>
  <si>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</si>
  <si>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</si>
  <si>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</si>
  <si>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</si>
  <si>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</si>
  <si>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</si>
  <si>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</si>
  <si>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</si>
  <si>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</si>
  <si>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</si>
  <si>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</si>
  <si>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</si>
  <si>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</si>
  <si>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</si>
  <si>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</si>
  <si>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</si>
  <si>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</si>
  <si>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</si>
  <si>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</si>
  <si>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</si>
  <si>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</si>
  <si>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</si>
  <si>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</si>
  <si>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</si>
  <si>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</si>
  <si>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</si>
  <si>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</si>
  <si>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</si>
  <si>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</si>
  <si>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</si>
  <si>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</si>
  <si>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</si>
  <si>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</si>
  <si>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</si>
  <si>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</si>
  <si>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</si>
  <si>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</si>
  <si>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</si>
  <si>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</si>
  <si>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</si>
  <si>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</si>
  <si>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</si>
  <si>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</si>
  <si>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</si>
  <si>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</si>
  <si>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</si>
  <si>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</si>
  <si>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</si>
  <si>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</si>
  <si>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</si>
  <si>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</si>
  <si>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</si>
  <si>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</si>
  <si>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</si>
  <si>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</si>
  <si>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</si>
  <si>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</si>
  <si>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</si>
  <si>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</si>
  <si>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</si>
  <si>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</si>
  <si>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</si>
  <si>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</si>
  <si>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</si>
  <si>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</si>
  <si>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</si>
  <si>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</si>
  <si>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</si>
  <si>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</si>
  <si>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</si>
  <si>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</si>
  <si>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</si>
  <si>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</si>
  <si>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</si>
  <si>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</si>
  <si>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</si>
  <si>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</si>
  <si>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</si>
  <si>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</si>
  <si>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</si>
  <si>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</si>
  <si>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</si>
  <si>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</si>
  <si>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</si>
  <si>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</si>
  <si>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</si>
  <si>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</si>
  <si>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</si>
  <si>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</si>
  <si>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</si>
  <si>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</si>
  <si>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</si>
  <si>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</si>
  <si>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</si>
  <si>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</si>
  <si>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</si>
  <si>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</si>
  <si>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</si>
  <si>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</si>
  <si>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</si>
  <si>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</si>
  <si>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</si>
  <si>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</si>
  <si>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</si>
  <si>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</si>
  <si>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</si>
  <si>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</si>
  <si>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</si>
  <si>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</si>
  <si>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</si>
  <si>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</si>
  <si>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</si>
  <si>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</si>
  <si>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</si>
  <si>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</si>
  <si>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</si>
  <si>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</si>
  <si>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</si>
  <si>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</si>
  <si>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</si>
  <si>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</si>
  <si>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</si>
  <si>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</si>
  <si>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</si>
  <si>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</si>
  <si>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</si>
  <si>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</si>
  <si>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</si>
  <si>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</si>
  <si>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</si>
  <si>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</si>
  <si>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</si>
  <si>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</si>
  <si>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</si>
  <si>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</si>
  <si>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</si>
  <si>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</si>
  <si>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</si>
  <si>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</si>
  <si>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</si>
  <si>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</si>
  <si>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</si>
  <si>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</si>
  <si>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</si>
  <si>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</si>
  <si>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</si>
  <si>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</si>
  <si>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</si>
  <si>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</si>
  <si>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</si>
  <si>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</si>
  <si>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</si>
  <si>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</si>
  <si>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</si>
  <si>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</si>
  <si>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</si>
  <si>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</si>
  <si>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</si>
  <si>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</si>
  <si>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</si>
  <si>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</si>
  <si>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</si>
  <si>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</si>
  <si>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</si>
  <si>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</si>
  <si>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</si>
  <si>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</si>
  <si>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</si>
  <si>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</si>
  <si>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</si>
  <si>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</si>
  <si>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</si>
  <si>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</si>
  <si>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</si>
  <si>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</si>
  <si>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</si>
  <si>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</si>
  <si>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</si>
  <si>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</si>
  <si>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</si>
  <si>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</si>
  <si>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Qty</t>
  </si>
  <si>
    <t>ByWho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</si>
  <si>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</si>
  <si>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</si>
  <si>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</si>
  <si>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</si>
  <si>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</si>
  <si>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</si>
  <si>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</si>
  <si>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</si>
  <si>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</si>
  <si>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</si>
  <si>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</si>
  <si>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</si>
  <si>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</si>
  <si>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</si>
  <si>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</si>
  <si>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</si>
  <si>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</si>
  <si>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</si>
  <si>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</si>
  <si>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</si>
  <si>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</si>
  <si>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</si>
  <si>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</si>
  <si>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</si>
  <si>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</si>
  <si>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</si>
  <si>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</si>
  <si>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</si>
  <si>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</si>
  <si>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</si>
  <si>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</si>
  <si>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</si>
  <si>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</si>
  <si>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</si>
  <si>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</si>
  <si>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</si>
  <si>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</si>
  <si>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</si>
  <si>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</si>
  <si>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</si>
  <si>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</si>
  <si>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</si>
  <si>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</si>
  <si>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</si>
  <si>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</si>
  <si>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</si>
  <si>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</si>
  <si>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</si>
  <si>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</si>
  <si>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</si>
  <si>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</si>
  <si>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</si>
  <si>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</si>
  <si>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</si>
  <si>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</si>
  <si>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</si>
  <si>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</si>
  <si>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</si>
  <si>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</si>
  <si>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</si>
  <si>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</si>
  <si>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</si>
  <si>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</si>
  <si>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</si>
  <si>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</si>
  <si>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</si>
  <si>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</si>
  <si>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</si>
  <si>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</si>
  <si>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</si>
  <si>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</si>
  <si>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</si>
  <si>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</si>
  <si>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</si>
  <si>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</si>
  <si>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</si>
  <si>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</si>
  <si>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</si>
  <si>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</si>
  <si>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</si>
  <si>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</si>
  <si>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</si>
  <si>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</si>
  <si>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</si>
  <si>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</si>
  <si>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</si>
  <si>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</si>
  <si>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</si>
  <si>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</si>
  <si>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</si>
  <si>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</si>
  <si>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</si>
  <si>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</si>
  <si>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</si>
  <si>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</si>
  <si>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</si>
  <si>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</si>
  <si>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</si>
  <si>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</si>
  <si>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</si>
  <si>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</si>
  <si>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</si>
  <si>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</si>
  <si>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</si>
  <si>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</si>
  <si>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</si>
  <si>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</si>
  <si>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</si>
  <si>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</si>
  <si>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</si>
  <si>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</si>
  <si>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</si>
  <si>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</si>
  <si>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</si>
  <si>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</si>
  <si>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</si>
  <si>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</si>
  <si>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</si>
  <si>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</si>
  <si>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</si>
  <si>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</si>
  <si>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</si>
  <si>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</si>
  <si>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</si>
  <si>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</si>
  <si>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</si>
  <si>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</si>
  <si>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</si>
  <si>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</si>
  <si>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</si>
  <si>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</si>
  <si>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</si>
  <si>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</si>
  <si>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</si>
  <si>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</si>
  <si>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</si>
  <si>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</si>
  <si>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</si>
  <si>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</si>
  <si>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</si>
  <si>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</si>
  <si>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</si>
  <si>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</si>
  <si>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</si>
  <si>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</si>
  <si>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</si>
  <si>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</si>
  <si>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</si>
  <si>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</si>
  <si>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</si>
  <si>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</si>
  <si>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</si>
  <si>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</si>
  <si>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</si>
  <si>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</si>
  <si>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</si>
  <si>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</si>
  <si>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</si>
  <si>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</si>
  <si>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</si>
  <si>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</si>
  <si>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</si>
  <si>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</si>
  <si>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</si>
  <si>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</si>
  <si>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</si>
  <si>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</si>
  <si>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</si>
  <si>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</si>
  <si>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</si>
  <si>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</si>
  <si>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</si>
  <si>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</si>
  <si>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</si>
  <si>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</si>
  <si>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</si>
  <si>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</si>
  <si>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</si>
  <si>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</si>
  <si>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</si>
  <si>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</si>
  <si>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</si>
  <si>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</si>
  <si>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</si>
  <si>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</si>
  <si>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</si>
  <si>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</si>
  <si>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</si>
  <si>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</si>
  <si>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</si>
  <si>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</si>
  <si>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</si>
  <si>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</si>
  <si>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</si>
  <si>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</si>
  <si>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</si>
  <si>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</si>
  <si>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</si>
  <si>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</si>
  <si>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</si>
  <si>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</si>
  <si>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</si>
  <si>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</si>
  <si>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</si>
  <si>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</si>
  <si>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</si>
  <si>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</si>
  <si>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</si>
  <si>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</si>
  <si>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</si>
  <si>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</si>
  <si>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</si>
  <si>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</si>
  <si>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</si>
  <si>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</si>
  <si>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</si>
  <si>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</si>
  <si>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</si>
  <si>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</si>
  <si>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</si>
  <si>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</si>
  <si>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</si>
  <si>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</si>
  <si>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</si>
  <si>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</si>
  <si>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</si>
  <si>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</si>
  <si>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</si>
  <si>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</si>
  <si>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</si>
  <si>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</si>
  <si>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</si>
  <si>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</si>
  <si>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</si>
  <si>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</si>
  <si>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</si>
  <si>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</si>
  <si>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</si>
  <si>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</si>
  <si>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</si>
  <si>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</si>
  <si>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</si>
  <si>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</si>
  <si>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</si>
  <si>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</si>
  <si>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</si>
  <si>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</si>
  <si>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</si>
  <si>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</si>
  <si>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</si>
  <si>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</si>
  <si>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</si>
  <si>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</si>
  <si>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</si>
  <si>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</si>
  <si>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</si>
  <si>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</si>
  <si>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</si>
  <si>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</si>
  <si>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</si>
  <si>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</si>
  <si>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</si>
  <si>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</si>
  <si>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</si>
  <si>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</si>
  <si>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</si>
  <si>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</si>
  <si>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</si>
  <si>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</si>
  <si>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</si>
  <si>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</si>
  <si>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</si>
  <si>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</si>
  <si>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</si>
  <si>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</si>
  <si>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</si>
  <si>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</si>
  <si>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</si>
  <si>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</si>
  <si>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</si>
  <si>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</si>
  <si>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</si>
  <si>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</si>
  <si>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</si>
  <si>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</si>
  <si>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</si>
  <si>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</si>
  <si>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</si>
  <si>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</si>
  <si>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</si>
  <si>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</si>
  <si>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</si>
  <si>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</si>
  <si>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</si>
  <si>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Device Type</t>
  </si>
  <si>
    <t>Deployed</t>
  </si>
  <si>
    <t>Installed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</si>
  <si>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</si>
  <si>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</si>
  <si>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</si>
  <si>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</si>
  <si>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</si>
  <si>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</si>
  <si>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</si>
  <si>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</si>
  <si>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</si>
  <si>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</si>
  <si>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</si>
  <si>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</si>
  <si>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</si>
  <si>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</si>
  <si>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Cybernet Hostname</t>
  </si>
  <si>
    <t>Neuron Hostname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</si>
  <si>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</si>
  <si>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</si>
  <si>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</si>
  <si>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</si>
  <si>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</si>
  <si>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</si>
  <si>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</si>
  <si>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</si>
  <si>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</si>
  <si>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</si>
  <si>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</si>
  <si>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</si>
  <si>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</si>
  <si>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</si>
  <si>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</si>
  <si>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</si>
  <si>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</si>
  <si>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</si>
  <si>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</si>
  <si>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</si>
  <si>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</si>
  <si>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</si>
  <si>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</si>
  <si>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</si>
  <si>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</si>
  <si>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</si>
  <si>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</si>
  <si>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</si>
  <si>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</si>
  <si>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</si>
  <si>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</si>
  <si>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</si>
  <si>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</si>
  <si>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</si>
  <si>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</si>
  <si>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</si>
  <si>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</si>
  <si>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</si>
  <si>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</si>
  <si>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</si>
  <si>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Software List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</si>
  <si>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</si>
  <si>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</si>
  <si>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</si>
  <si>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</si>
  <si>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</si>
  <si>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</si>
  <si>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</si>
  <si>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</si>
  <si>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</si>
  <si>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</si>
  <si>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</si>
  <si>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</si>
  <si>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</si>
  <si>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</si>
  <si>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</si>
  <si>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</si>
  <si>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</si>
  <si>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</si>
  <si>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</si>
  <si>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</si>
  <si>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</si>
  <si>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</si>
  <si>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</si>
  <si>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</si>
  <si>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</si>
  <si>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</si>
  <si>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</si>
  <si>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</si>
  <si>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</si>
  <si>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</si>
  <si>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</si>
  <si>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</si>
  <si>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</si>
  <si>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</si>
  <si>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</si>
  <si>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</si>
  <si>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</si>
  <si>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</si>
  <si>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</si>
  <si>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</si>
  <si>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</si>
  <si>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</si>
  <si>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</si>
  <si>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</si>
  <si>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</si>
  <si>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</si>
  <si>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</si>
  <si>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</si>
  <si>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</si>
  <si>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</si>
  <si>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</si>
  <si>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</si>
  <si>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</si>
  <si>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</si>
  <si>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</si>
  <si>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</si>
  <si>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</si>
  <si>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</si>
  <si>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</si>
  <si>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</si>
  <si>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</si>
  <si>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</si>
  <si>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</si>
  <si>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</si>
  <si>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</si>
  <si>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</si>
  <si>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</si>
  <si>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</si>
  <si>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</si>
  <si>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</si>
  <si>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</si>
  <si>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</si>
  <si>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</si>
  <si>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</si>
  <si>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</si>
  <si>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</si>
  <si>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</si>
  <si>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</si>
  <si>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</si>
  <si>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</si>
  <si>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</si>
  <si>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</si>
  <si>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</si>
  <si>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</si>
  <si>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</si>
  <si>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</si>
  <si>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</si>
  <si>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</si>
  <si>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</si>
  <si>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</si>
  <si>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</si>
  <si>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</si>
  <si>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</si>
  <si>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</si>
  <si>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</si>
  <si>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</si>
  <si>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</si>
  <si>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</si>
  <si>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</si>
  <si>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</si>
  <si>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</si>
  <si>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</si>
  <si>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</si>
  <si>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</si>
  <si>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</si>
  <si>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</si>
  <si>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</si>
  <si>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</si>
  <si>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</si>
  <si>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</si>
  <si>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</si>
  <si>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</si>
  <si>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</si>
  <si>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</si>
  <si>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</si>
  <si>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</si>
  <si>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</si>
  <si>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</si>
  <si>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</si>
  <si>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</si>
  <si>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</si>
  <si>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</si>
  <si>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</si>
  <si>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</si>
  <si>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</si>
  <si>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</si>
  <si>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</si>
  <si>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</si>
  <si>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</si>
  <si>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</si>
  <si>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</si>
  <si>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</si>
  <si>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</si>
  <si>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</si>
  <si>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</si>
  <si>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</si>
  <si>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</si>
  <si>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</si>
  <si>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</si>
  <si>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</si>
  <si>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</si>
  <si>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</si>
  <si>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</si>
  <si>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</si>
  <si>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</si>
  <si>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</si>
  <si>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</si>
  <si>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</si>
  <si>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</si>
  <si>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</si>
  <si>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</si>
  <si>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</si>
  <si>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</si>
  <si>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</si>
  <si>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</si>
  <si>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</si>
  <si>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</si>
  <si>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</si>
  <si>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</si>
  <si>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</si>
  <si>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</si>
  <si>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</si>
  <si>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</si>
  <si>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</si>
  <si>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</si>
  <si>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</si>
  <si>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</si>
  <si>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</si>
  <si>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</si>
  <si>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</si>
  <si>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</si>
  <si>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</si>
  <si>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</si>
  <si>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</si>
  <si>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</si>
  <si>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</si>
  <si>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</si>
  <si>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</si>
  <si>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</si>
  <si>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</si>
  <si>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</si>
  <si>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</si>
  <si>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</si>
  <si>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</si>
  <si>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</si>
  <si>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</si>
  <si>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</si>
  <si>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</si>
  <si>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</si>
  <si>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</si>
  <si>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</si>
  <si>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</si>
  <si>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</si>
  <si>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</si>
  <si>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</si>
  <si>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</si>
  <si>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</si>
  <si>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</si>
  <si>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</si>
  <si>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</si>
  <si>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</si>
  <si>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</si>
  <si>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</si>
  <si>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</si>
  <si>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</si>
  <si>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</si>
  <si>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</si>
  <si>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</si>
  <si>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</si>
  <si>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</si>
  <si>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</si>
  <si>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</si>
  <si>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</si>
  <si>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</si>
  <si>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</si>
  <si>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</si>
  <si>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</si>
  <si>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</si>
  <si>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</si>
  <si>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</si>
  <si>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</si>
  <si>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</si>
  <si>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</si>
  <si>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</si>
  <si>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</si>
  <si>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</si>
  <si>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</si>
  <si>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</si>
  <si>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</si>
  <si>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</si>
  <si>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</si>
  <si>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</si>
  <si>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</si>
  <si>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</si>
  <si>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</si>
  <si>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</si>
  <si>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</si>
  <si>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</si>
  <si>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</si>
  <si>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</si>
  <si>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</si>
  <si>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</si>
  <si>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</si>
  <si>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</si>
  <si>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</si>
  <si>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</si>
  <si>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</si>
  <si>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</si>
  <si>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</si>
  <si>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</si>
  <si>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</si>
  <si>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</si>
  <si>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</si>
  <si>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</si>
  <si>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</si>
  <si>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</si>
  <si>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</si>
  <si>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</si>
  <si>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</si>
  <si>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</si>
  <si>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</si>
  <si>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</si>
  <si>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</si>
  <si>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</si>
  <si>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</si>
  <si>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</si>
  <si>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</si>
  <si>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</si>
  <si>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</si>
  <si>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</si>
  <si>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</si>
  <si>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</si>
  <si>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</si>
  <si>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</si>
  <si>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</si>
  <si>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</si>
  <si>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</si>
  <si>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</si>
  <si>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</si>
  <si>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</si>
  <si>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</si>
  <si>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</si>
  <si>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</si>
  <si>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</si>
  <si>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</si>
  <si>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</si>
  <si>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</si>
  <si>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</si>
  <si>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</si>
  <si>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</si>
  <si>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</si>
  <si>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</si>
  <si>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</si>
  <si>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</si>
  <si>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</si>
  <si>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</si>
  <si>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</si>
  <si>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</si>
  <si>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</si>
  <si>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</si>
  <si>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</si>
  <si>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</si>
  <si>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</si>
  <si>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</si>
  <si>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</si>
  <si>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</si>
  <si>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</si>
  <si>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</si>
  <si>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</si>
  <si>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</si>
  <si>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</si>
  <si>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</si>
  <si>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</si>
  <si>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</si>
  <si>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</si>
  <si>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</si>
  <si>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</si>
  <si>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</si>
  <si>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</si>
  <si>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</si>
  <si>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</si>
  <si>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</si>
  <si>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</si>
  <si>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</si>
  <si>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</si>
  <si>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</si>
  <si>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</si>
  <si>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</si>
  <si>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</si>
  <si>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</si>
  <si>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</si>
  <si>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</si>
  <si>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</si>
  <si>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</si>
  <si>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</si>
  <si>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</si>
  <si>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</si>
  <si>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</si>
  <si>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</si>
  <si>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</si>
  <si>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</si>
  <si>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</si>
  <si>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</si>
  <si>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</si>
  <si>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</si>
  <si>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</si>
  <si>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</si>
  <si>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</si>
  <si>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</si>
  <si>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</si>
  <si>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</si>
  <si>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</si>
  <si>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</si>
  <si>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</si>
  <si>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</si>
  <si>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</si>
  <si>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</si>
  <si>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</si>
  <si>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</si>
  <si>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</si>
  <si>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</si>
  <si>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</si>
  <si>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</si>
  <si>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</si>
  <si>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</si>
  <si>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</si>
  <si>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</si>
  <si>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</si>
  <si>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</si>
  <si>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</si>
  <si>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</si>
  <si>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</si>
  <si>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</si>
  <si>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</si>
  <si>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</si>
  <si>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</si>
  <si>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</si>
  <si>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</si>
  <si>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</si>
  <si>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</si>
  <si>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</si>
  <si>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</si>
  <si>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</si>
  <si>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</si>
  <si>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</si>
  <si>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</si>
  <si>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</si>
  <si>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</si>
  <si>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</si>
  <si>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</si>
  <si>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</si>
  <si>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</si>
  <si>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</si>
  <si>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</si>
  <si>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</si>
  <si>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</si>
  <si>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</si>
  <si>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</si>
  <si>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</si>
  <si>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</si>
  <si>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</si>
  <si>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</si>
  <si>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</si>
  <si>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</si>
  <si>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</si>
  <si>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</si>
  <si>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</si>
  <si>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</si>
  <si>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</si>
  <si>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</si>
  <si>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</si>
  <si>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</si>
  <si>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</si>
  <si>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</si>
  <si>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</si>
  <si>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</si>
  <si>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</si>
  <si>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</si>
  <si>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</si>
  <si>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</si>
  <si>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</si>
  <si>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</si>
  <si>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</si>
  <si>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</si>
  <si>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</si>
  <si>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</si>
  <si>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</si>
  <si>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</si>
  <si>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</si>
  <si>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</si>
  <si>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</si>
  <si>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</si>
  <si>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</si>
  <si>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</si>
  <si>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</si>
  <si>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</si>
  <si>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</si>
  <si>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</si>
  <si>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</si>
  <si>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</si>
  <si>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</si>
  <si>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</si>
  <si>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</si>
  <si>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</si>
  <si>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</si>
  <si>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</si>
  <si>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</si>
  <si>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</si>
  <si>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</si>
  <si>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</si>
  <si>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</si>
  <si>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</si>
  <si>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</si>
  <si>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</si>
  <si>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</si>
  <si>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</si>
  <si>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</si>
  <si>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</si>
  <si>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</si>
  <si>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</si>
  <si>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</si>
  <si>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</si>
  <si>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</si>
  <si>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</si>
  <si>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</si>
  <si>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</si>
  <si>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</si>
  <si>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</si>
  <si>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</si>
  <si>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</si>
  <si>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</si>
  <si>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</si>
  <si>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</si>
  <si>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</si>
  <si>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</si>
  <si>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</si>
  <si>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</si>
  <si>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</si>
  <si>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</si>
  <si>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</si>
  <si>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</si>
  <si>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</si>
  <si>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</si>
  <si>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</si>
  <si>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</si>
  <si>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</si>
  <si>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</si>
  <si>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</si>
  <si>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</si>
  <si>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</si>
  <si>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</si>
  <si>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</si>
  <si>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</si>
  <si>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</si>
  <si>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</si>
  <si>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</si>
  <si>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</si>
  <si>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</si>
  <si>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</si>
  <si>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</si>
  <si>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</si>
  <si>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</si>
  <si>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</si>
  <si>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</si>
  <si>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</si>
  <si>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</si>
  <si>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</si>
  <si>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</si>
  <si>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</si>
  <si>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</si>
  <si>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</si>
  <si>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</si>
  <si>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</si>
  <si>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</si>
  <si>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</si>
  <si>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</si>
  <si>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</si>
  <si>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</si>
  <si>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</si>
  <si>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</si>
  <si>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</si>
  <si>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</si>
  <si>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</si>
  <si>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</si>
  <si>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</si>
  <si>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</si>
  <si>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</si>
  <si>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</si>
  <si>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</si>
  <si>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</si>
  <si>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</si>
  <si>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</si>
  <si>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</si>
  <si>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</si>
  <si>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</si>
  <si>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</si>
  <si>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</si>
  <si>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</si>
  <si>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</si>
  <si>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</si>
  <si>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</si>
  <si>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</si>
  <si>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</si>
  <si>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</si>
  <si>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</si>
  <si>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</si>
  <si>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</si>
  <si>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</si>
  <si>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</si>
  <si>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</si>
  <si>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</si>
  <si>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</si>
  <si>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</si>
  <si>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</si>
  <si>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</si>
  <si>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</si>
  <si>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</si>
  <si>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</si>
  <si>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</si>
  <si>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</si>
  <si>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</si>
  <si>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</si>
  <si>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</si>
  <si>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</si>
  <si>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</si>
  <si>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</si>
  <si>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</si>
  <si>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</si>
  <si>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</si>
  <si>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</si>
  <si>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</si>
  <si>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</si>
  <si>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</si>
  <si>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</si>
  <si>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</si>
  <si>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</si>
  <si>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</si>
  <si>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</si>
  <si>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</si>
  <si>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</si>
  <si>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</si>
  <si>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</si>
  <si>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</si>
  <si>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</si>
  <si>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</si>
  <si>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</si>
  <si>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</si>
  <si>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</si>
  <si>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</si>
  <si>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</si>
  <si>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</si>
  <si>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</si>
  <si>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</si>
  <si>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</si>
  <si>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</si>
  <si>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</si>
  <si>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</si>
  <si>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</si>
  <si>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</si>
  <si>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</si>
  <si>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</si>
  <si>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</si>
  <si>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</si>
  <si>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</si>
  <si>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</si>
  <si>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</si>
  <si>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</si>
  <si>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</si>
  <si>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</si>
  <si>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</si>
  <si>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</si>
  <si>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</si>
  <si>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</si>
  <si>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</si>
  <si>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</si>
  <si>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</si>
  <si>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</si>
  <si>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</si>
  <si>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</si>
  <si>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</si>
  <si>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</si>
  <si>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</si>
  <si>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</si>
  <si>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</si>
  <si>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</si>
  <si>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</si>
  <si>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</si>
  <si>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</si>
  <si>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</si>
  <si>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</si>
  <si>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</si>
  <si>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</si>
  <si>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</si>
  <si>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</si>
  <si>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</si>
  <si>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</si>
  <si>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</si>
  <si>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</si>
  <si>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</si>
  <si>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</si>
  <si>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</si>
  <si>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</si>
  <si>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</si>
  <si>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</si>
  <si>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</si>
  <si>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</si>
  <si>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</si>
  <si>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</si>
  <si>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</si>
  <si>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</si>
  <si>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</si>
  <si>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</si>
  <si>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</si>
  <si>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</si>
  <si>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</si>
  <si>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</si>
  <si>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</si>
  <si>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</si>
  <si>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</si>
  <si>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</si>
  <si>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</si>
  <si>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</si>
  <si>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</si>
  <si>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</si>
  <si>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</si>
  <si>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</si>
  <si>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</si>
  <si>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</si>
  <si>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</si>
  <si>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</si>
  <si>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</si>
  <si>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</si>
  <si>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</si>
  <si>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</si>
  <si>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</si>
  <si>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</si>
  <si>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</si>
  <si>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</si>
  <si>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</si>
  <si>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</si>
  <si>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</si>
  <si>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</si>
  <si>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</si>
  <si>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</si>
  <si>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</si>
  <si>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</si>
  <si>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</si>
  <si>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</si>
  <si>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</si>
  <si>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</si>
  <si>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</si>
  <si>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</si>
  <si>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</si>
  <si>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</si>
  <si>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</si>
  <si>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</si>
  <si>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</si>
  <si>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</si>
  <si>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</si>
  <si>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</si>
  <si>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</si>
  <si>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</si>
  <si>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</si>
  <si>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</si>
  <si>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</si>
  <si>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</si>
  <si>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</si>
  <si>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</si>
  <si>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</si>
  <si>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</si>
  <si>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</si>
  <si>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</si>
  <si>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</si>
  <si>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</si>
  <si>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</si>
  <si>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</si>
  <si>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</si>
  <si>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</si>
  <si>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</si>
  <si>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</si>
  <si>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</si>
  <si>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</si>
  <si>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</si>
  <si>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</si>
  <si>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</si>
  <si>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</si>
  <si>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</si>
  <si>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</si>
  <si>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</si>
  <si>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</si>
  <si>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</si>
  <si>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</si>
  <si>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</si>
  <si>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</si>
  <si>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</si>
  <si>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</si>
  <si>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</si>
  <si>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</si>
  <si>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</si>
  <si>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</si>
  <si>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</si>
  <si>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</si>
  <si>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</si>
  <si>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</si>
  <si>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/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</si>
  <si>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</si>
  <si>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</si>
  <si>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</si>
  <si>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</si>
  <si>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</si>
  <si>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</si>
  <si>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</si>
  <si>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</si>
  <si>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</si>
  <si>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</si>
  <si>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</si>
  <si>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</si>
  <si>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</si>
  <si>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</si>
  <si>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</si>
  <si>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</si>
  <si>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</si>
  <si>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</si>
  <si>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</si>
  <si>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</si>
  <si>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</si>
  <si>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</si>
  <si>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</si>
  <si>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</si>
  <si>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</si>
  <si>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</si>
  <si>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</si>
  <si>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</si>
  <si>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</si>
  <si>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</si>
  <si>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</si>
  <si>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</si>
  <si>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</si>
  <si>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Pull By (Delivery Day)</t>
  </si>
  <si>
    <t>Pull Owner (Chris or Dylan)</t>
  </si>
  <si>
    <t>Staging</t>
  </si>
  <si>
    <t>Pull Status</t>
  </si>
  <si>
    <t>LIJ CFAM</t>
  </si>
  <si>
    <t>WLS450OPR001+</t>
  </si>
  <si>
    <t>REQ1310102</t>
  </si>
  <si>
    <t>Chris</t>
  </si>
  <si>
    <t>TBD</t>
  </si>
  <si>
    <t>Inactive</t>
  </si>
  <si>
    <t>LIJ CCMC</t>
  </si>
  <si>
    <t>WNH269OPR013+</t>
  </si>
  <si>
    <t>REQ1303256</t>
  </si>
  <si>
    <t>Financial Conference Room</t>
  </si>
  <si>
    <t>Complete</t>
  </si>
  <si>
    <t>LIJ Proc</t>
  </si>
  <si>
    <t>WNH270OPR403-412, 457-459</t>
  </si>
  <si>
    <t>REQ1303274</t>
  </si>
  <si>
    <t>Room 153</t>
  </si>
  <si>
    <t>Triage</t>
  </si>
  <si>
    <t>LIJ OR</t>
  </si>
  <si>
    <t>WNH270OPR413-430,432-451</t>
  </si>
  <si>
    <t>LIJ Annex</t>
  </si>
  <si>
    <t>WNH270OPR452-454</t>
  </si>
  <si>
    <t>REQ1303274 / REQ1316802</t>
  </si>
  <si>
    <t>LIJ Zucker</t>
  </si>
  <si>
    <t>WNH265OPRXXX+</t>
  </si>
  <si>
    <t>LIJ Perfusion</t>
  </si>
  <si>
    <t>455, 456, 460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</si>
  <si>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</si>
  <si>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</si>
  <si>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</si>
  <si>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</si>
  <si>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</si>
  <si>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</si>
  <si>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</si>
  <si>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</si>
  <si>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</t>
  </si>
  <si>
    <t>Tim's Request for the LIJ Area:
Number of Anesthesia Workstations per Site
(Removing completed sites over time)</t>
  </si>
  <si>
    <t>Sum the next pull according to Tim's request</t>
  </si>
  <si>
    <t>LIJ Related</t>
  </si>
  <si>
    <t xml:space="preserve">   CCMC</t>
  </si>
  <si>
    <t>CCMC Complete</t>
  </si>
  <si>
    <t xml:space="preserve">   LIJ OR </t>
  </si>
  <si>
    <t xml:space="preserve">   LIJ Procedural Areas -</t>
  </si>
  <si>
    <t xml:space="preserve">   CFAM (8)and ZHH (3)</t>
  </si>
  <si>
    <t>MRI</t>
  </si>
  <si>
    <t xml:space="preserve">   LIJ Perfusion</t>
  </si>
  <si>
    <t>Total Needed to Pull (LIJ ORs Included)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</si>
  <si>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</si>
  <si>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</si>
  <si>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</si>
  <si>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</si>
  <si>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</si>
  <si>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</si>
  <si>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</si>
  <si>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</si>
  <si>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</si>
  <si>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</si>
  <si>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</si>
  <si>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</si>
  <si>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</si>
  <si>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</si>
  <si>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</si>
  <si>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</si>
  <si>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</si>
  <si>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</si>
  <si>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</si>
  <si>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</si>
  <si>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</si>
  <si>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</si>
  <si>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</si>
  <si>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</si>
  <si>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</si>
  <si>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</si>
  <si>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</si>
  <si>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</si>
  <si>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</si>
  <si>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</si>
  <si>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</si>
  <si>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</si>
  <si>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</si>
  <si>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</si>
  <si>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</si>
  <si>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</si>
  <si>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Date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</si>
  <si>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</si>
  <si>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</si>
  <si>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</si>
  <si>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</si>
  <si>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</si>
  <si>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</si>
  <si>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</si>
  <si>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</si>
  <si>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</si>
  <si>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</si>
  <si>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</si>
  <si>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</si>
  <si>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</si>
  <si>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</si>
  <si>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</si>
  <si>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</si>
  <si>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</si>
  <si>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</si>
  <si>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</si>
  <si>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</si>
  <si>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</si>
  <si>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</si>
  <si>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</si>
  <si>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</si>
  <si>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</si>
  <si>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</si>
  <si>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</si>
  <si>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</si>
  <si>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</si>
  <si>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</si>
  <si>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</si>
  <si>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</si>
  <si>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</si>
  <si>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</si>
  <si>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</si>
  <si>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</si>
  <si>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</si>
  <si>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</si>
  <si>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</si>
  <si>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</si>
  <si>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</si>
  <si>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</si>
  <si>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</si>
  <si>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</si>
  <si>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</si>
  <si>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</si>
  <si>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</si>
  <si>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</si>
  <si>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</si>
  <si>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</si>
  <si>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</si>
  <si>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</si>
  <si>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</si>
  <si>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</si>
  <si>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</si>
  <si>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</si>
  <si>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</si>
  <si>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</si>
  <si>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</si>
  <si>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</si>
  <si>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</si>
  <si>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</si>
  <si>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</si>
  <si>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</si>
  <si>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</si>
  <si>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</si>
  <si>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</si>
  <si>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</si>
  <si>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</si>
  <si>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</si>
  <si>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</si>
  <si>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</si>
  <si>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</si>
  <si>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</si>
  <si>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</si>
  <si>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</si>
  <si>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</si>
  <si>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</si>
  <si>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</si>
  <si>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</si>
  <si>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</si>
  <si>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</si>
  <si>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</si>
  <si>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</si>
  <si>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Formula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</si>
  <si>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</si>
  <si>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</si>
  <si>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</si>
  <si>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</si>
  <si>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</si>
  <si>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</si>
  <si>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</si>
  <si>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</si>
  <si>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</si>
  <si>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</si>
  <si>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</si>
  <si>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</si>
  <si>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</si>
  <si>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</si>
  <si>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</si>
  <si>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</si>
  <si>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</si>
  <si>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</si>
  <si>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</si>
  <si>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</si>
  <si>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</si>
  <si>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</si>
  <si>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</si>
  <si>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</si>
  <si>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</si>
  <si>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</si>
  <si>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</si>
  <si>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</si>
  <si>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</si>
  <si>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</si>
  <si>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</si>
  <si>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</si>
  <si>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</si>
  <si>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</si>
  <si>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</si>
  <si>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</si>
  <si>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</si>
  <si>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</si>
  <si>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</si>
  <si>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</si>
  <si>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</si>
  <si>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</si>
  <si>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</si>
  <si>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</si>
  <si>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</si>
  <si>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</si>
  <si>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</si>
  <si>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</si>
  <si>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</si>
  <si>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</si>
  <si>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</si>
  <si>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</si>
  <si>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</si>
  <si>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</si>
  <si>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</si>
  <si>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</si>
  <si>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</si>
  <si>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</si>
  <si>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</si>
  <si>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</si>
  <si>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</si>
  <si>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</si>
  <si>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</si>
  <si>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</si>
  <si>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</si>
  <si>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</si>
  <si>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</si>
  <si>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</si>
  <si>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</si>
  <si>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</si>
  <si>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</si>
  <si>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</si>
  <si>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</si>
  <si>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</si>
  <si>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</si>
  <si>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</si>
  <si>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Deployment:</t>
  </si>
  <si>
    <t>LIJ OR 2/21</t>
  </si>
  <si>
    <t>LIJ Other, Annex 2/28</t>
  </si>
  <si>
    <t>CFAM 3/7</t>
  </si>
  <si>
    <t>Zucker 3/7</t>
  </si>
  <si>
    <t>LIJ Perfusion ??</t>
  </si>
  <si>
    <t>NSUH Schwartz 3/14</t>
  </si>
  <si>
    <t>NSUH Legacy OR 3/21</t>
  </si>
  <si>
    <t>NSUH PSP OR 3/22</t>
  </si>
  <si>
    <t>NSUH NSCU 3/28</t>
  </si>
  <si>
    <t>NSUH Other 4/4</t>
  </si>
  <si>
    <t>NSUH Perfusion ?</t>
  </si>
  <si>
    <t>Column13</t>
  </si>
  <si>
    <t>Column14</t>
  </si>
  <si>
    <t>Part Desc</t>
  </si>
  <si>
    <t>Workstations:</t>
  </si>
  <si>
    <t>TOTAL:</t>
  </si>
  <si>
    <t>Part No ↓</t>
  </si>
  <si>
    <t xml:space="preserve">WS-0008-02 </t>
  </si>
  <si>
    <t xml:space="preserve">VHM-25 Variable Height Arm with 7" Extension (VESA 75/100mm) </t>
  </si>
  <si>
    <t xml:space="preserve">WS-0008-07 </t>
  </si>
  <si>
    <t xml:space="preserve">VHM-25 Variable Height Arm with Folding Keyboard Function </t>
  </si>
  <si>
    <t xml:space="preserve">WM-0023-56B </t>
  </si>
  <si>
    <t xml:space="preserve">20.8" Ergo Keyboard Tray w/ Wrist Rest &amp; Slide-Out Mouse Trays </t>
  </si>
  <si>
    <t xml:space="preserve">WM-0024-03C </t>
  </si>
  <si>
    <t xml:space="preserve">Flush Channel Power Supply Mount with Velcro Straps </t>
  </si>
  <si>
    <t xml:space="preserve">DR-0015-79 </t>
  </si>
  <si>
    <t xml:space="preserve">11.5" Channel for Drager Apollo/Primus Accessory Track </t>
  </si>
  <si>
    <t>Mouse</t>
  </si>
  <si>
    <t>Badge Scanner</t>
  </si>
  <si>
    <t>Ethernet</t>
  </si>
  <si>
    <t>Breakaways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</si>
</sst>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2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rgb="FF000000"/>
      <name val="Calibri"/>
      <scheme val="minor"/>
    </font>
    <font>
      <sz val="12"/>
      <color theme="1"/>
      <name val="Aptos Narrow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77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4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66" fontId="0" fillId="0" borderId="0" xfId="0" applyNumberFormat="1"/>
    <xf numFmtId="14" fontId="0" fillId="0" borderId="0" xfId="0" applyNumberFormat="1"/>
    <xf numFmtId="166" fontId="11" fillId="0" borderId="0" xfId="0" applyNumberFormat="1" applyFon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5" fillId="0" borderId="0" xfId="0" applyFont="1" applyAlignment="1">
      <alignment vertical="top" wrapText="1"/>
    </xf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20" fillId="0" borderId="0" xfId="0" applyFont="1"/>
    <xf numFmtId="0" fontId="0" fillId="13" borderId="0" xfId="0" applyFill="1"/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3" fillId="14" borderId="11" xfId="0" applyFont="1" applyFill="1" applyBorder="1" applyAlignment="1">
      <alignment vertical="center" wrapText="1"/>
    </xf>
    <xf numFmtId="0" fontId="23" fillId="14" borderId="11" xfId="0" applyFont="1" applyFill="1" applyBorder="1" applyAlignment="1">
      <alignment horizontal="left" vertical="top" wrapText="1"/>
    </xf>
    <xf numFmtId="0" fontId="23" fillId="14" borderId="12" xfId="0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0" xfId="0" applyNumberFormat="1"/>
    <xf numFmtId="49" fontId="0" fillId="10" borderId="1" xfId="0" applyNumberFormat="1" applyFill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colors>
    <mruColors>
      <color rgb="FFF2F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Neuron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A5E-AC7D-733E487D3FC6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9-4A5E-AC7D-733E487D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Power Cable</c:v>
                </c:pt>
                <c:pt idx="1">
                  <c:v>Battery</c:v>
                </c:pt>
                <c:pt idx="2">
                  <c:v>Firmware Download</c:v>
                </c:pt>
                <c:pt idx="3">
                  <c:v>Firmware Install</c:v>
                </c:pt>
                <c:pt idx="4">
                  <c:v>Device ID</c:v>
                </c:pt>
                <c:pt idx="5">
                  <c:v>Epic Beans Relay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141</c:v>
                </c:pt>
                <c:pt idx="1">
                  <c:v>145</c:v>
                </c:pt>
                <c:pt idx="2">
                  <c:v>124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1A5-A604-834D1C90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  <a:ext uri="{147F2762-F138-4A5C-976F-8EAC2B608ADB}">
              <a16:predDERef xmlns:a16="http://schemas.microsoft.com/office/drawing/2014/main" pre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ybernet Deployments" id="{836C4316-558A-41E3-9D51-CD43B955737E}">
    <nsvFilter filterId="{00000000-0009-0000-0100-000002000000}" ref="A1:CC532" tableId="2"/>
  </namedSheetView>
  <namedSheetView name="Cybernets for Akbar" id="{17D8A000-A731-4372-817E-286DAE7066BF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H200" totalsRowShown="0" headerRowDxfId="57">
  <autoFilter ref="A1:H200" xr:uid="{00000000-0009-0000-0100-000001000000}"/>
  <tableColumns count="8">
    <tableColumn id="1" xr3:uid="{00000000-0010-0000-0000-000001000000}" name="Line Item ID"/>
    <tableColumn id="2" xr3:uid="{00000000-0010-0000-0000-000002000000}" name="Item Type"/>
    <tableColumn id="3" xr3:uid="{00000000-0010-0000-0000-000003000000}" name="Item Name"/>
    <tableColumn id="4" xr3:uid="{00000000-0010-0000-0000-000004000000}" name="Count" dataDxfId="56"/>
    <tableColumn id="6" xr3:uid="{00000000-0010-0000-0000-000006000000}" name="Site Locations" dataDxfId="55"/>
    <tableColumn id="8" xr3:uid="{00000000-0010-0000-0000-000008000000}" name="Area" dataDxfId="54"/>
    <tableColumn id="5" xr3:uid="{00000000-0010-0000-0000-000005000000}" name="Subarea" dataDxfId="53"/>
    <tableColumn id="7" xr3:uid="{00000000-0010-0000-0000-000007000000}" name="Not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viceConfig" displayName="tblDeviceConfig" ref="A1:CC532">
  <autoFilter ref="A1:CC532" xr:uid="{00000000-0009-0000-0100-000002000000}"/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 dataDxfId="23"/>
    <tableColumn id="65" xr3:uid="{812267BB-A7AB-40FE-B62B-147AA09254FD}" name="Spare" dataDxfId="22"/>
    <tableColumn id="66" xr3:uid="{65EFAC28-0400-4860-A268-27333A172767}" name="DesignationChanged" dataDxfId="21">
      <calculatedColumnFormula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calculatedColumnFormula>
    </tableColumn>
    <tableColumn id="67" xr3:uid="{21557AC9-B507-4C4D-BA47-3C9660288D9E}" name="DupDeployed" dataDxfId="20">
      <calculatedColumnFormula>IF($B2&lt;&gt;"Yes","",IF($A2="Neuron",IF(OR(AND($S2&lt;&gt;"",LOWER(TRIM($S2))&lt;&gt;"n/a",COUNTIFS($B$2:$B$532,"Yes",$A$2:$A$532,"Neuron",$S$2:$S$532,$S2)&gt;1),AND($T2&lt;&gt;"",LOWER(TRIM($T2))&lt;&gt;"n/a",COUNTIFS($B$2:$B$532,"Yes",$A$2:$A$532,"Neuron",$T$2:$T$532,$T2)&gt;1),AND($W2&lt;&gt;"",LOWER(TRIM($W2))&lt;&gt;"n/a",COUNTIFS($B$2:$B$532,"Yes",$A$2:$A$532,"Neuron",$W$2:$W$532,$W2)&gt;1)),"Yes","No"),IF($A2="Cybernet",IF(OR(AND($Y2&lt;&gt;"",LOWER(TRIM($Y2))&lt;&gt;"n/a",COUNTIFS($B$2:$B$532,"Yes",$A$2:$A$532,"Cybernet",$Y$2:$Y$532,$Y2)&gt;1),AND($Z2&lt;&gt;"",LOWER(TRIM($Z2))&lt;&gt;"n/a",COUNTIFS($B$2:$B$532,"Yes",$A$2:$A$532,"Cybernet",$Z$2:$Z$532,$Z2)&gt;1)),"Yes","No"),IF(AND($AL2&lt;&gt;"",LOWER(TRIM($AL2))&lt;&gt;"n/a"),IF(COUNTIFS($B$2:$B$532,"Yes",$A$2:$A$532,$A2,$AL$2:$AL$532,$AL2)&gt;1,"Yes","No"),"No"))))</calculatedColumnFormula>
    </tableColumn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19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 dataDxfId="18"/>
    <tableColumn id="47" xr3:uid="{00000000-0010-0000-0100-00002F000000}" name="Medical Peripheral 2" dataDxfId="17"/>
    <tableColumn id="48" xr3:uid="{00000000-0010-0000-0100-000030000000}" name="Medical Peripheral 3" dataDxfId="16"/>
    <tableColumn id="49" xr3:uid="{00000000-0010-0000-0100-000031000000}" name="Medical Peripheral 4" dataDxfId="15"/>
    <tableColumn id="50" xr3:uid="{00000000-0010-0000-0100-000032000000}" name="Medical Peripheral 5" dataDxfId="14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>
      <calculatedColumnFormula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calculatedColumnFormula>
    </tableColumn>
    <tableColumn id="17" xr3:uid="{00000000-0010-0000-0100-000011000000}" name="Readiness (Auto)">
      <calculatedColumnFormula>IF($T2="","",IF($BL2="","Yes","Blocked"))</calculatedColumnFormula>
    </tableColumn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figSnapshot" displayName="tblConfigSnapshot" ref="A1:T503">
  <autoFilter ref="A1:T503" xr:uid="{00000000-0009-0000-0100-000003000000}"/>
  <tableColumns count="20">
    <tableColumn id="1" xr3:uid="{00000000-0010-0000-0200-000001000000}" name="Install Building"/>
    <tableColumn id="2" xr3:uid="{00000000-0010-0000-0200-000002000000}" name="Neuron ID"/>
    <tableColumn id="3" xr3:uid="{00000000-0010-0000-0200-000003000000}" name="Neuron MAC"/>
    <tableColumn id="4" xr3:uid="{00000000-0010-0000-0200-000004000000}" name="Medical Device Model"/>
    <tableColumn id="5" xr3:uid="{00000000-0010-0000-0200-000005000000}" name="PI_Config_Shared"/>
    <tableColumn id="6" xr3:uid="{00000000-0010-0000-0200-000006000000}" name="PI_Config_Autologon"/>
    <tableColumn id="7" xr3:uid="{00000000-0010-0000-0200-000007000000}" name="PI_Imprivata"/>
    <tableColumn id="8" xr3:uid="{00000000-0010-0000-0200-000008000000}" name="Credential Type (Client)"/>
    <tableColumn id="9" xr3:uid="{00000000-0010-0000-0200-000009000000}" name="Software List (Operational)"/>
    <tableColumn id="10" xr3:uid="{00000000-0010-0000-0200-00000A000000}" name="Software Source"/>
    <tableColumn id="11" xr3:uid="{00000000-0010-0000-0200-00000B000000}" name="Software Installed"/>
    <tableColumn id="12" xr3:uid="{00000000-0010-0000-0200-00000C000000}" name="PI_Validated_By"/>
    <tableColumn id="13" xr3:uid="{00000000-0010-0000-0200-00000D000000}" name="PI_Validated_Date"/>
    <tableColumn id="14" xr3:uid="{00000000-0010-0000-0200-00000E000000}" name="Blocker Reason"/>
    <tableColumn id="15" xr3:uid="{00000000-0010-0000-0200-00000F000000}" name="Readiness (Auto)"/>
    <tableColumn id="16" xr3:uid="{00000000-0010-0000-0200-000010000000}" name="Ready for Deployment"/>
    <tableColumn id="17" xr3:uid="{00000000-0010-0000-0200-000011000000}" name="Flag - Critical Missing"/>
    <tableColumn id="18" xr3:uid="{00000000-0010-0000-0200-000012000000}" name="Flag - Software"/>
    <tableColumn id="19" xr3:uid="{00000000-0010-0000-0200-000013000000}" name="Flag - Autologon"/>
    <tableColumn id="20" xr3:uid="{00000000-0010-0000-02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tepTime" displayName="tblStepTime" ref="A1:K500">
  <autoFilter ref="A1:K500" xr:uid="{00000000-0009-0000-0100-000005000000}"/>
  <tableColumns count="11">
    <tableColumn id="1" xr3:uid="{00000000-0010-0000-0400-000001000000}" name="Date"/>
    <tableColumn id="2" xr3:uid="{00000000-0010-0000-0400-000002000000}" name="Phase"/>
    <tableColumn id="3" xr3:uid="{00000000-0010-0000-0400-000003000000}" name="Step"/>
    <tableColumn id="4" xr3:uid="{00000000-0010-0000-0400-000004000000}" name="Device Type"/>
    <tableColumn id="5" xr3:uid="{00000000-0010-0000-0400-000005000000}" name="Batch Size"/>
    <tableColumn id="6" xr3:uid="{00000000-0010-0000-0400-000006000000}" name="Planned Minutes"/>
    <tableColumn id="7" xr3:uid="{00000000-0010-0000-0400-000007000000}" name="Actual Minutes"/>
    <tableColumn id="8" xr3:uid="{00000000-0010-0000-0400-000008000000}" name="Site"/>
    <tableColumn id="9" xr3:uid="{00000000-0010-0000-0400-000009000000}" name="Wave/PO"/>
    <tableColumn id="10" xr3:uid="{00000000-0010-0000-0400-00000A000000}" name="Tech"/>
    <tableColumn id="11" xr3:uid="{00000000-0010-0000-04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hecklist" displayName="tblChecklist" ref="A3:G19">
  <autoFilter ref="A3:G19" xr:uid="{00000000-0009-0000-0100-000006000000}"/>
  <tableColumns count="7">
    <tableColumn id="1" xr3:uid="{00000000-0010-0000-0500-000001000000}" name="Phase"/>
    <tableColumn id="2" xr3:uid="{00000000-0010-0000-0500-000002000000}" name="Checklist Item"/>
    <tableColumn id="3" xr3:uid="{00000000-0010-0000-0500-000003000000}" name="Applies To"/>
    <tableColumn id="4" xr3:uid="{00000000-0010-0000-0500-000004000000}" name="Status"/>
    <tableColumn id="5" xr3:uid="{00000000-0010-0000-0500-000005000000}" name="Validated By"/>
    <tableColumn id="6" xr3:uid="{00000000-0010-0000-0500-000006000000}" name="Validated Date"/>
    <tableColumn id="7" xr3:uid="{00000000-0010-0000-05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adiness" displayName="tblReadiness" ref="A3:H20">
  <autoFilter ref="A3:H20" xr:uid="{00000000-0009-0000-0100-000007000000}"/>
  <tableColumns count="8">
    <tableColumn id="1" xr3:uid="{00000000-0010-0000-0600-000001000000}" name="Site"/>
    <tableColumn id="2" xr3:uid="{00000000-0010-0000-0600-000002000000}" name="Access/BADGE"/>
    <tableColumn id="3" xr3:uid="{00000000-0010-0000-0600-000003000000}" name="Staging Area"/>
    <tableColumn id="4" xr3:uid="{00000000-0010-0000-0600-000004000000}" name="2 Network Ports Active"/>
    <tableColumn id="5" xr3:uid="{00000000-0010-0000-0600-000005000000}" name="2 Power Outlets"/>
    <tableColumn id="6" xr3:uid="{00000000-0010-0000-0600-000006000000}" name="Biomed Scheduled"/>
    <tableColumn id="7" xr3:uid="{00000000-0010-0000-0600-000007000000}" name="Anesthesia Tech Scheduled"/>
    <tableColumn id="8" xr3:uid="{00000000-0010-0000-06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ormulaLib" displayName="tblFormulaLib" ref="A3:E66">
  <autoFilter ref="A3:E66" xr:uid="{00000000-0009-0000-0100-000008000000}"/>
  <tableColumns count="5">
    <tableColumn id="1" xr3:uid="{00000000-0010-0000-0700-000001000000}" name="Formula"/>
    <tableColumn id="2" xr3:uid="{00000000-0010-0000-0700-000002000000}" name="Example Locations"/>
    <tableColumn id="3" xr3:uid="{00000000-0010-0000-0700-000003000000}" name="Purpose (fill in)"/>
    <tableColumn id="4" xr3:uid="{00000000-0010-0000-0700-000004000000}" name="Where to Use (fill in)"/>
    <tableColumn id="5" xr3:uid="{00000000-0010-0000-0700-000005000000}" name="Notes / Dependenci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3A9CFD-E24A-4FF5-A31F-296E38410349}" name="Table4" displayName="Table4" ref="A1:O15" totalsRowShown="0">
  <autoFilter ref="A1:O15" xr:uid="{3E3A9CFD-E24A-4FF5-A31F-296E38410349}"/>
  <tableColumns count="15">
    <tableColumn id="1" xr3:uid="{A163EE0F-CE93-4B57-991A-1775C2D2D427}" name="Deployment:"/>
    <tableColumn id="2" xr3:uid="{7FFCCDB4-D50C-4AB3-BF72-08D89002DCC8}" name="LIJ OR 2/21"/>
    <tableColumn id="3" xr3:uid="{FAD2071E-8148-498A-8905-C2DCE5AFA156}" name="LIJ Other, Annex 2/28"/>
    <tableColumn id="4" xr3:uid="{95938643-57FB-403F-9155-E21C68BDB1AB}" name="CFAM 3/7"/>
    <tableColumn id="5" xr3:uid="{B4741496-E83C-4E46-980C-E1983F9FF1A4}" name="Zucker 3/7"/>
    <tableColumn id="6" xr3:uid="{79A0AFB9-9C88-4BC6-B093-AFFE37E42FDA}" name="LIJ Perfusion ??"/>
    <tableColumn id="7" xr3:uid="{EECB1984-39EC-44FD-AEEC-D872E1C21634}" name="NSUH Schwartz 3/14"/>
    <tableColumn id="8" xr3:uid="{EAB8FB81-B4C1-4379-B11D-E61725F97522}" name="NSUH Legacy OR 3/21"/>
    <tableColumn id="9" xr3:uid="{01E88F16-DDFA-42EE-8BD0-E74E42B0B855}" name="NSUH PSP OR 3/22"/>
    <tableColumn id="10" xr3:uid="{03B89915-B9A2-4E05-B462-F6F780C2833A}" name="NSUH NSCU 3/28"/>
    <tableColumn id="11" xr3:uid="{B2260377-54D4-4192-AA3D-266F4B7F2F6B}" name="NSUH Other 4/4"/>
    <tableColumn id="12" xr3:uid="{3444B4D3-D3AF-49D0-9857-05BC1EB32BC9}" name="NSUH Perfusion ?"/>
    <tableColumn id="13" xr3:uid="{7D7EAD7E-0476-4207-A780-0AAC9FEDCF99}" name="Column13" dataDxfId="0"/>
    <tableColumn id="14" xr3:uid="{3728C1CE-A6D7-4904-B9DC-8E24ABF873DB}" name="Column14">
      <calculatedColumnFormula>(SUM(B2:L2))</calculatedColumnFormula>
    </tableColumn>
    <tableColumn id="15" xr3:uid="{5AE9D89F-D159-4F6A-9B29-60D7BE39FC21}" name="Part Desc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99" t="s">
        <v>0</v>
      </c>
      <c r="B1" s="102"/>
      <c r="C1" s="102"/>
      <c r="D1" s="102"/>
    </row>
    <row r="2" spans="1:4" ht="15" customHeight="1">
      <c r="A2" s="100" t="s">
        <v>1</v>
      </c>
      <c r="B2" s="102"/>
      <c r="C2" s="102"/>
      <c r="D2" s="102"/>
    </row>
    <row r="3" spans="1:4" ht="15" customHeight="1">
      <c r="A3" s="66"/>
      <c r="B3" s="66"/>
      <c r="C3" s="66"/>
      <c r="D3" s="66"/>
    </row>
    <row r="4" spans="1:4" ht="15.75" customHeight="1">
      <c r="A4" s="67" t="s">
        <v>2</v>
      </c>
      <c r="B4" s="67" t="s">
        <v>3</v>
      </c>
      <c r="C4" s="67" t="s">
        <v>4</v>
      </c>
      <c r="D4" s="67" t="s">
        <v>5</v>
      </c>
    </row>
    <row r="5" spans="1:4" ht="15" customHeight="1">
      <c r="A5" s="68" t="s">
        <v>6</v>
      </c>
      <c r="B5" s="68" t="s">
        <v>7</v>
      </c>
      <c r="C5" s="68" t="s">
        <v>8</v>
      </c>
      <c r="D5" s="68" t="s">
        <v>9</v>
      </c>
    </row>
    <row r="6" spans="1:4" ht="15" customHeight="1">
      <c r="A6" s="68" t="s">
        <v>10</v>
      </c>
      <c r="B6" s="68" t="s">
        <v>11</v>
      </c>
      <c r="C6" s="68" t="s">
        <v>12</v>
      </c>
      <c r="D6" s="68" t="s">
        <v>13</v>
      </c>
    </row>
    <row r="7" spans="1:4" ht="15" customHeight="1">
      <c r="A7" s="68" t="s">
        <v>14</v>
      </c>
      <c r="B7" s="68" t="s">
        <v>15</v>
      </c>
      <c r="C7" s="68" t="s">
        <v>16</v>
      </c>
      <c r="D7" s="68" t="s">
        <v>17</v>
      </c>
    </row>
    <row r="8" spans="1:4" ht="15" customHeight="1">
      <c r="A8" s="68" t="s">
        <v>18</v>
      </c>
      <c r="B8" s="68" t="s">
        <v>19</v>
      </c>
      <c r="C8" s="68" t="s">
        <v>20</v>
      </c>
      <c r="D8" s="68" t="s">
        <v>21</v>
      </c>
    </row>
    <row r="9" spans="1:4" ht="15" customHeight="1">
      <c r="A9" s="68" t="s">
        <v>22</v>
      </c>
      <c r="B9" s="68" t="s">
        <v>23</v>
      </c>
      <c r="C9" s="68" t="s">
        <v>24</v>
      </c>
      <c r="D9" s="68" t="s">
        <v>25</v>
      </c>
    </row>
    <row r="10" spans="1:4" ht="15" customHeight="1">
      <c r="A10" s="68" t="s">
        <v>26</v>
      </c>
      <c r="B10" s="68" t="s">
        <v>27</v>
      </c>
      <c r="C10" s="68" t="s">
        <v>28</v>
      </c>
      <c r="D10" s="68" t="s">
        <v>29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98" t="s">
        <v>30</v>
      </c>
      <c r="B13" s="102"/>
      <c r="C13" s="102"/>
      <c r="D13" s="102"/>
    </row>
    <row r="14" spans="1:4" ht="15" customHeight="1">
      <c r="A14" s="66" t="s">
        <v>31</v>
      </c>
      <c r="B14" s="97" t="s">
        <v>32</v>
      </c>
      <c r="C14" s="102"/>
      <c r="D14" s="102"/>
    </row>
    <row r="15" spans="1:4" ht="15" customHeight="1">
      <c r="A15" s="66" t="s">
        <v>33</v>
      </c>
      <c r="B15" s="97" t="s">
        <v>34</v>
      </c>
      <c r="C15" s="102"/>
      <c r="D15" s="102"/>
    </row>
    <row r="16" spans="1:4" ht="15" customHeight="1">
      <c r="A16" s="66" t="s">
        <v>35</v>
      </c>
      <c r="B16" s="97" t="s">
        <v>36</v>
      </c>
      <c r="C16" s="102"/>
      <c r="D16" s="102"/>
    </row>
    <row r="17" spans="1:4" ht="15" customHeight="1">
      <c r="A17" s="66" t="s">
        <v>37</v>
      </c>
      <c r="B17" s="97" t="s">
        <v>38</v>
      </c>
      <c r="C17" s="102"/>
      <c r="D17" s="102"/>
    </row>
    <row r="18" spans="1:4" ht="15" customHeight="1">
      <c r="A18" s="66" t="s">
        <v>39</v>
      </c>
      <c r="B18" s="97" t="s">
        <v>40</v>
      </c>
      <c r="C18" s="102"/>
      <c r="D18" s="102"/>
    </row>
    <row r="19" spans="1:4">
      <c r="A19" s="66"/>
      <c r="B19" s="66"/>
      <c r="C19" s="66"/>
      <c r="D19" s="66"/>
    </row>
    <row r="20" spans="1:4" ht="15.75" customHeight="1">
      <c r="A20" s="98" t="s">
        <v>41</v>
      </c>
      <c r="B20" s="102"/>
      <c r="C20" s="102"/>
      <c r="D20" s="102"/>
    </row>
    <row r="21" spans="1:4" ht="15" customHeight="1">
      <c r="A21" s="97" t="s">
        <v>42</v>
      </c>
      <c r="B21" s="102"/>
      <c r="C21" s="102"/>
      <c r="D21" s="102"/>
    </row>
    <row r="22" spans="1:4" ht="15" customHeight="1">
      <c r="A22" s="97" t="s">
        <v>43</v>
      </c>
      <c r="B22" s="102"/>
      <c r="C22" s="102"/>
      <c r="D22" s="102"/>
    </row>
    <row r="23" spans="1:4" ht="15" customHeight="1">
      <c r="A23" s="97" t="s">
        <v>44</v>
      </c>
      <c r="B23" s="102"/>
      <c r="C23" s="102"/>
      <c r="D23" s="102"/>
    </row>
    <row r="24" spans="1:4" ht="15" customHeight="1">
      <c r="A24" s="97" t="s">
        <v>45</v>
      </c>
      <c r="B24" s="102"/>
      <c r="C24" s="102"/>
      <c r="D24" s="102"/>
    </row>
    <row r="25" spans="1:4" ht="15" customHeight="1">
      <c r="A25" s="97" t="s">
        <v>46</v>
      </c>
      <c r="B25" s="102"/>
      <c r="C25" s="102"/>
      <c r="D25" s="102"/>
    </row>
    <row r="26" spans="1:4" ht="41.25">
      <c r="A26" s="66" t="s">
        <v>47</v>
      </c>
      <c r="B26" s="66"/>
      <c r="C26" s="66"/>
      <c r="D26" s="66"/>
    </row>
    <row r="27" spans="1:4" ht="15.75" customHeight="1">
      <c r="A27" s="98" t="s">
        <v>48</v>
      </c>
      <c r="B27" s="102"/>
      <c r="C27" s="102"/>
      <c r="D27" s="102"/>
    </row>
    <row r="28" spans="1:4" ht="15" customHeight="1">
      <c r="A28" s="97"/>
      <c r="B28" s="102"/>
      <c r="C28" s="102"/>
      <c r="D28" s="102"/>
    </row>
    <row r="29" spans="1:4" ht="15" customHeight="1">
      <c r="A29" s="97" t="s">
        <v>49</v>
      </c>
      <c r="B29" s="102"/>
      <c r="C29" s="102"/>
      <c r="D29" s="102"/>
    </row>
    <row r="30" spans="1:4" ht="15" customHeight="1">
      <c r="A30" s="97" t="s">
        <v>50</v>
      </c>
      <c r="B30" s="102"/>
      <c r="C30" s="102"/>
      <c r="D30" s="102"/>
    </row>
    <row r="31" spans="1:4" ht="15" customHeight="1">
      <c r="A31" s="97" t="s">
        <v>51</v>
      </c>
      <c r="B31" s="102"/>
      <c r="C31" s="102"/>
      <c r="D31" s="102"/>
    </row>
    <row r="32" spans="1:4" ht="94.5">
      <c r="A32" s="66" t="s">
        <v>52</v>
      </c>
      <c r="B32" s="66"/>
      <c r="C32" s="66"/>
      <c r="D32" s="66"/>
    </row>
    <row r="33" spans="1:4" ht="94.5">
      <c r="A33" s="66" t="s">
        <v>53</v>
      </c>
      <c r="B33" s="66"/>
      <c r="C33" s="66"/>
      <c r="D33" s="66"/>
    </row>
    <row r="34" spans="1:4" ht="68.25">
      <c r="A34" s="66" t="s">
        <v>54</v>
      </c>
      <c r="B34" s="66"/>
      <c r="C34" s="66"/>
      <c r="D34" s="66"/>
    </row>
    <row r="35" spans="1:4" ht="68.25">
      <c r="A35" s="66" t="s">
        <v>55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>
      <c r="A37" s="66" t="s">
        <v>56</v>
      </c>
      <c r="B37" s="66"/>
      <c r="C37" s="66"/>
      <c r="D37" s="66"/>
    </row>
    <row r="38" spans="1:4" ht="54.75">
      <c r="A38" s="66" t="s">
        <v>57</v>
      </c>
      <c r="B38" s="66"/>
      <c r="C38" s="66"/>
      <c r="D38" s="66"/>
    </row>
    <row r="39" spans="1:4" ht="54.75">
      <c r="A39" s="66" t="s">
        <v>58</v>
      </c>
      <c r="B39" s="66"/>
      <c r="C39" s="66"/>
      <c r="D39" s="66"/>
    </row>
    <row r="40" spans="1:4" ht="68.25">
      <c r="A40" s="66" t="s">
        <v>59</v>
      </c>
      <c r="B40" s="66"/>
      <c r="C40" s="66"/>
      <c r="D40" s="66"/>
    </row>
    <row r="41" spans="1:4" ht="68.25">
      <c r="A41" s="66" t="s">
        <v>60</v>
      </c>
      <c r="B41" s="66"/>
      <c r="C41" s="66"/>
      <c r="D41" s="66"/>
    </row>
    <row r="42" spans="1:4" ht="54.75">
      <c r="A42" s="66" t="s">
        <v>61</v>
      </c>
      <c r="B42" s="66"/>
      <c r="C42" s="66"/>
      <c r="D42" s="66"/>
    </row>
    <row r="43" spans="1:4" ht="54.75">
      <c r="A43" s="66" t="s">
        <v>62</v>
      </c>
      <c r="B43" s="66"/>
      <c r="C43" s="66"/>
      <c r="D43" s="66"/>
    </row>
    <row r="44" spans="1:4">
      <c r="A44" s="66"/>
      <c r="B44" s="66"/>
      <c r="C44" s="66"/>
      <c r="D44" s="66"/>
    </row>
    <row r="45" spans="1:4">
      <c r="A45" s="66"/>
      <c r="B45" s="66"/>
      <c r="C45" s="66"/>
      <c r="D45" s="66"/>
    </row>
    <row r="46" spans="1:4">
      <c r="A46" s="66"/>
      <c r="B46" s="66"/>
      <c r="C46" s="66"/>
      <c r="D46" s="66"/>
    </row>
    <row r="47" spans="1:4">
      <c r="A47" s="66"/>
      <c r="B47" s="66"/>
      <c r="C47" s="66"/>
      <c r="D47" s="66"/>
    </row>
    <row r="48" spans="1:4">
      <c r="A48" s="66"/>
      <c r="B48" s="66"/>
      <c r="C48" s="66"/>
      <c r="D48" s="66"/>
    </row>
    <row r="49" spans="1:4">
      <c r="A49" s="66"/>
      <c r="B49" s="66"/>
      <c r="C49" s="66"/>
      <c r="D49" s="66"/>
    </row>
    <row r="50" spans="1:4">
      <c r="A50" s="66"/>
      <c r="B50" s="66"/>
      <c r="C50" s="66"/>
      <c r="D50" s="66"/>
    </row>
    <row r="51" spans="1:4">
      <c r="A51" s="66"/>
      <c r="B51" s="66"/>
      <c r="C51" s="66"/>
      <c r="D51" s="66"/>
    </row>
    <row r="52" spans="1:4">
      <c r="A52" s="66"/>
      <c r="B52" s="66"/>
      <c r="C52" s="66"/>
      <c r="D52" s="66"/>
    </row>
    <row r="53" spans="1:4">
      <c r="A53" s="66"/>
      <c r="B53" s="66"/>
      <c r="C53" s="66"/>
      <c r="D53" s="66"/>
    </row>
    <row r="54" spans="1:4">
      <c r="A54" s="66"/>
      <c r="B54" s="66"/>
      <c r="C54" s="66"/>
      <c r="D54" s="66"/>
    </row>
    <row r="55" spans="1:4">
      <c r="A55" s="66"/>
      <c r="B55" s="66"/>
      <c r="C55" s="66"/>
      <c r="D55" s="66"/>
    </row>
    <row r="56" spans="1:4">
      <c r="A56" s="66"/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Z3000"/>
  <sheetViews>
    <sheetView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4" t="s">
        <v>63</v>
      </c>
      <c r="B1" s="54" t="s">
        <v>64</v>
      </c>
      <c r="C1" s="54" t="s">
        <v>65</v>
      </c>
      <c r="D1" s="54" t="s">
        <v>66</v>
      </c>
      <c r="E1" s="54" t="s">
        <v>67</v>
      </c>
      <c r="F1" s="54" t="s">
        <v>68</v>
      </c>
      <c r="G1" s="54" t="s">
        <v>69</v>
      </c>
      <c r="H1" s="54" t="s">
        <v>70</v>
      </c>
      <c r="I1" s="54" t="s">
        <v>71</v>
      </c>
      <c r="J1" s="54" t="s">
        <v>72</v>
      </c>
      <c r="K1" s="54" t="s">
        <v>73</v>
      </c>
      <c r="L1" s="54" t="s">
        <v>74</v>
      </c>
      <c r="M1" s="54" t="s">
        <v>75</v>
      </c>
      <c r="N1" s="54" t="s">
        <v>76</v>
      </c>
      <c r="O1" s="54" t="s">
        <v>77</v>
      </c>
      <c r="P1" s="54" t="s">
        <v>78</v>
      </c>
      <c r="Q1" s="54" t="s">
        <v>79</v>
      </c>
      <c r="R1" s="54" t="s">
        <v>80</v>
      </c>
      <c r="S1" s="54" t="s">
        <v>81</v>
      </c>
      <c r="T1" s="54" t="s">
        <v>82</v>
      </c>
      <c r="U1" s="54" t="s">
        <v>83</v>
      </c>
      <c r="V1" s="54" t="s">
        <v>84</v>
      </c>
      <c r="W1" s="54" t="s">
        <v>85</v>
      </c>
      <c r="X1" s="54" t="s">
        <v>86</v>
      </c>
      <c r="Y1" s="54" t="s">
        <v>87</v>
      </c>
      <c r="Z1" s="54" t="s">
        <v>88</v>
      </c>
    </row>
    <row r="2" spans="1:26" ht="45.75" customHeight="1">
      <c r="A2" s="4" t="s">
        <v>89</v>
      </c>
      <c r="B2" s="35" t="s">
        <v>90</v>
      </c>
      <c r="C2" t="s">
        <v>91</v>
      </c>
      <c r="D2" t="str">
        <f>IF($C2="","",IFERROR(LOOKUP(2,1/('03_Warehouse_Movements'!$C$2:$C$500=$A2),'03_Warehouse_Movements'!$E$2:$E$500),$C2))</f>
        <v>CHRIS_OVERFLOW_A_ZONE3</v>
      </c>
      <c r="E2" t="s">
        <v>92</v>
      </c>
      <c r="F2" t="s">
        <v>93</v>
      </c>
      <c r="G2" s="36">
        <v>7</v>
      </c>
      <c r="H2" s="3" t="str">
        <f t="shared" ref="H2:H65" si="0">IF(AND($F2="TEMP",$G2&gt;0,$M2&lt;&gt;""),$M2+$G2,"")</f>
        <v/>
      </c>
      <c r="I2" s="3" t="s">
        <v>94</v>
      </c>
      <c r="J2" s="4" t="s">
        <v>95</v>
      </c>
      <c r="K2" s="3">
        <v>46053</v>
      </c>
      <c r="L2" s="4" t="s">
        <v>96</v>
      </c>
      <c r="M2" s="3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PAL-0000001</v>
      </c>
      <c r="P2" s="38">
        <v>46284</v>
      </c>
      <c r="Q2" s="39">
        <v>144180</v>
      </c>
      <c r="R2" s="40"/>
      <c r="V2" t="s">
        <v>97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>
      <c r="A3" s="4" t="s">
        <v>98</v>
      </c>
      <c r="B3" s="35"/>
      <c r="C3" t="s">
        <v>99</v>
      </c>
      <c r="D3" t="str">
        <f>IF($C3="","",IFERROR(LOOKUP(2,1/('03_Warehouse_Movements'!$C$2:$C$500=$A3),'03_Warehouse_Movements'!$E$2:$E$500),$C3))</f>
        <v>WH-STAGE-IN</v>
      </c>
      <c r="E3" t="s">
        <v>100</v>
      </c>
      <c r="F3" t="s">
        <v>101</v>
      </c>
      <c r="G3" s="36"/>
      <c r="H3" s="3" t="str">
        <f t="shared" si="0"/>
        <v/>
      </c>
      <c r="I3" s="3" t="s">
        <v>102</v>
      </c>
      <c r="J3" s="4" t="s">
        <v>103</v>
      </c>
      <c r="K3" s="3">
        <v>46052</v>
      </c>
      <c r="L3" s="4" t="s">
        <v>104</v>
      </c>
      <c r="M3" s="3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PAL-0000002</v>
      </c>
      <c r="Q3" s="41"/>
      <c r="R3" s="40"/>
      <c r="V3" t="s">
        <v>105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106</v>
      </c>
      <c r="B4" s="4" t="s">
        <v>107</v>
      </c>
      <c r="C4" t="s">
        <v>108</v>
      </c>
      <c r="D4" t="str">
        <f>IF($C4="","",IFERROR(LOOKUP(2,1/('03_Warehouse_Movements'!$C$2:$C$500=$A4),'03_Warehouse_Movements'!$E$2:$E$500),$C4))</f>
        <v>CHRIS_OVERFLOW_A_ZONE1</v>
      </c>
      <c r="E4" t="s">
        <v>92</v>
      </c>
      <c r="F4" t="s">
        <v>109</v>
      </c>
      <c r="G4" s="36"/>
      <c r="H4" s="3" t="str">
        <f t="shared" si="0"/>
        <v/>
      </c>
      <c r="I4" s="3" t="s">
        <v>110</v>
      </c>
      <c r="J4" s="4" t="s">
        <v>111</v>
      </c>
      <c r="K4" s="3">
        <v>46046</v>
      </c>
      <c r="L4" s="4" t="s">
        <v>96</v>
      </c>
      <c r="M4" s="3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42" t="str">
        <f t="shared" si="1"/>
        <v>PAL-0000003</v>
      </c>
      <c r="Q4" s="41"/>
      <c r="R4" s="40"/>
      <c r="U4" s="39">
        <v>46046</v>
      </c>
      <c r="V4" t="s">
        <v>112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>
      <c r="A5" s="4" t="s">
        <v>113</v>
      </c>
      <c r="B5" s="4" t="s">
        <v>114</v>
      </c>
      <c r="C5" t="s">
        <v>114</v>
      </c>
      <c r="D5" t="str">
        <f>IF($C5="","",IFERROR(LOOKUP(2,1/('03_Warehouse_Movements'!$C$2:$C$500=$A5),'03_Warehouse_Movements'!$E$2:$E$500),$C5))</f>
        <v>WH-Z1-AisleO-Bay10-Level1</v>
      </c>
      <c r="E5" t="s">
        <v>92</v>
      </c>
      <c r="F5" t="s">
        <v>101</v>
      </c>
      <c r="G5" s="36"/>
      <c r="H5" s="3" t="str">
        <f t="shared" si="0"/>
        <v/>
      </c>
      <c r="I5" s="3" t="s">
        <v>115</v>
      </c>
      <c r="J5" s="4" t="s">
        <v>103</v>
      </c>
      <c r="K5" s="3">
        <v>46051</v>
      </c>
      <c r="L5" s="4" t="s">
        <v>116</v>
      </c>
      <c r="M5" s="3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42" t="str">
        <f t="shared" si="1"/>
        <v>PAL-0000004</v>
      </c>
      <c r="Q5" s="41"/>
      <c r="R5" s="40"/>
      <c r="U5" s="39">
        <v>46051</v>
      </c>
      <c r="V5" t="s">
        <v>117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118</v>
      </c>
      <c r="B6" s="4" t="s">
        <v>119</v>
      </c>
      <c r="C6" t="s">
        <v>120</v>
      </c>
      <c r="D6" t="str">
        <f>IF($C6="","",IFERROR(LOOKUP(2,1/('03_Warehouse_Movements'!$C$2:$C$500=$A6),'03_Warehouse_Movements'!$E$2:$E$500),$C6))</f>
        <v>WH-ZR-AisleM-Bay1-Level3</v>
      </c>
      <c r="E6" t="s">
        <v>92</v>
      </c>
      <c r="F6" t="s">
        <v>101</v>
      </c>
      <c r="G6" s="36"/>
      <c r="H6" s="3" t="str">
        <f t="shared" si="0"/>
        <v/>
      </c>
      <c r="I6" s="3" t="s">
        <v>121</v>
      </c>
      <c r="J6" s="4" t="s">
        <v>122</v>
      </c>
      <c r="K6" s="3">
        <v>46059</v>
      </c>
      <c r="L6" s="4" t="s">
        <v>123</v>
      </c>
      <c r="M6" s="3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PAL-0000005</v>
      </c>
      <c r="Q6" s="41"/>
      <c r="R6" s="40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124</v>
      </c>
      <c r="B7" s="4"/>
      <c r="C7" t="s">
        <v>125</v>
      </c>
      <c r="D7" t="str">
        <f>IF($C7="","",IFERROR(LOOKUP(2,1/('03_Warehouse_Movements'!$C$2:$C$500=$A7),'03_Warehouse_Movements'!$E$2:$E$500),$C7))</f>
        <v>WH-Z1-NOOverflow</v>
      </c>
      <c r="E7" t="s">
        <v>100</v>
      </c>
      <c r="F7" t="s">
        <v>101</v>
      </c>
      <c r="G7" s="36"/>
      <c r="H7" s="3" t="str">
        <f t="shared" si="0"/>
        <v/>
      </c>
      <c r="I7" s="4" t="s">
        <v>126</v>
      </c>
      <c r="K7" s="3">
        <v>46052</v>
      </c>
      <c r="L7" s="4" t="s">
        <v>116</v>
      </c>
      <c r="M7" s="3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PAL-0000006</v>
      </c>
      <c r="Q7" s="41"/>
      <c r="R7" s="40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>
      <c r="A8" s="4" t="s">
        <v>127</v>
      </c>
      <c r="B8" s="4"/>
      <c r="C8" t="s">
        <v>128</v>
      </c>
      <c r="D8" t="str">
        <f>IF($C8="","",IFERROR(LOOKUP(2,1/('03_Warehouse_Movements'!$C$2:$C$500=$A8),'03_Warehouse_Movements'!$E$2:$E$500),$C8))</f>
        <v>WH-Z1-AisleO-Bay7-Level1</v>
      </c>
      <c r="E8" t="s">
        <v>100</v>
      </c>
      <c r="F8" t="s">
        <v>129</v>
      </c>
      <c r="G8" s="36">
        <v>14</v>
      </c>
      <c r="H8" s="3" t="str">
        <f t="shared" si="0"/>
        <v/>
      </c>
      <c r="I8" s="3" t="s">
        <v>115</v>
      </c>
      <c r="J8" s="4" t="s">
        <v>103</v>
      </c>
      <c r="K8" s="3">
        <v>46052</v>
      </c>
      <c r="L8" s="4" t="s">
        <v>116</v>
      </c>
      <c r="M8" s="3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PAL-0000007</v>
      </c>
      <c r="Q8" s="41"/>
      <c r="R8" s="40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>
      <c r="A9" s="4" t="s">
        <v>130</v>
      </c>
      <c r="B9" s="4" t="s">
        <v>131</v>
      </c>
      <c r="C9" t="s">
        <v>132</v>
      </c>
      <c r="D9" t="str">
        <f>IF($C9="","",IFERROR(LOOKUP(2,1/('03_Warehouse_Movements'!$C$2:$C$500=$A9),'03_Warehouse_Movements'!$E$2:$E$500),$C9))</f>
        <v>WH-Z1-AisleA-Bay1-Level5</v>
      </c>
      <c r="E9" t="s">
        <v>92</v>
      </c>
      <c r="F9" t="s">
        <v>101</v>
      </c>
      <c r="G9" s="36"/>
      <c r="H9" s="3" t="str">
        <f t="shared" si="0"/>
        <v/>
      </c>
      <c r="I9" s="3" t="s">
        <v>133</v>
      </c>
      <c r="J9" s="4" t="s">
        <v>103</v>
      </c>
      <c r="K9" s="3">
        <v>46052</v>
      </c>
      <c r="L9" s="4" t="s">
        <v>104</v>
      </c>
      <c r="M9" s="3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PAL-0000008</v>
      </c>
      <c r="Q9" s="41"/>
      <c r="R9" s="40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>
      <c r="A10" s="4" t="s">
        <v>134</v>
      </c>
      <c r="B10" s="4"/>
      <c r="C10" t="s">
        <v>135</v>
      </c>
      <c r="D10" t="str">
        <f>IF($C10="","",IFERROR(LOOKUP(2,1/('03_Warehouse_Movements'!$C$2:$C$500=$A10),'03_Warehouse_Movements'!$E$2:$E$500),$C10))</f>
        <v>WH-Z1-AisleA-Bay1-Level6</v>
      </c>
      <c r="E10" t="s">
        <v>92</v>
      </c>
      <c r="F10" t="s">
        <v>101</v>
      </c>
      <c r="G10" s="36"/>
      <c r="H10" s="3" t="str">
        <f t="shared" si="0"/>
        <v/>
      </c>
      <c r="I10" s="3" t="s">
        <v>136</v>
      </c>
      <c r="J10" s="4" t="s">
        <v>103</v>
      </c>
      <c r="K10" s="3">
        <v>46052</v>
      </c>
      <c r="L10" s="4" t="s">
        <v>104</v>
      </c>
      <c r="M10" s="3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PAL-0000009</v>
      </c>
      <c r="Q10" s="41"/>
      <c r="R10" s="40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>
      <c r="A11" s="4" t="s">
        <v>137</v>
      </c>
      <c r="B11" s="4"/>
      <c r="C11" t="s">
        <v>138</v>
      </c>
      <c r="D11" t="str">
        <f>IF($C11="","",IFERROR(LOOKUP(2,1/('03_Warehouse_Movements'!$C$2:$C$500=$A11),'03_Warehouse_Movements'!$E$2:$E$500),$C11))</f>
        <v>WH-Z1-AisleA-Bay1-Level7</v>
      </c>
      <c r="E11" t="s">
        <v>92</v>
      </c>
      <c r="F11" t="s">
        <v>101</v>
      </c>
      <c r="G11" s="36"/>
      <c r="H11" s="3" t="str">
        <f t="shared" si="0"/>
        <v/>
      </c>
      <c r="I11" s="3" t="s">
        <v>139</v>
      </c>
      <c r="J11" s="4" t="s">
        <v>103</v>
      </c>
      <c r="K11" s="3">
        <v>46052</v>
      </c>
      <c r="L11" s="4" t="s">
        <v>104</v>
      </c>
      <c r="M11" s="3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PAL-0000010</v>
      </c>
      <c r="Q11" s="41" t="s">
        <v>140</v>
      </c>
      <c r="R11" s="40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>
      <c r="A12" s="4" t="s">
        <v>141</v>
      </c>
      <c r="B12" s="4"/>
      <c r="C12" t="s">
        <v>142</v>
      </c>
      <c r="D12" t="str">
        <f>IF($C12="","",IFERROR(LOOKUP(2,1/('03_Warehouse_Movements'!$C$2:$C$500=$A12),'03_Warehouse_Movements'!$E$2:$E$500),$C12))</f>
        <v>WH-Z1-AisleA-Bay1-Level8</v>
      </c>
      <c r="E12" t="s">
        <v>92</v>
      </c>
      <c r="F12" t="s">
        <v>101</v>
      </c>
      <c r="G12" s="36"/>
      <c r="H12" s="3" t="str">
        <f t="shared" si="0"/>
        <v/>
      </c>
      <c r="I12" s="3" t="s">
        <v>143</v>
      </c>
      <c r="J12" s="4" t="s">
        <v>103</v>
      </c>
      <c r="K12" s="3">
        <v>46052</v>
      </c>
      <c r="L12" s="4" t="s">
        <v>104</v>
      </c>
      <c r="M12" s="3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PAL-0000011</v>
      </c>
      <c r="Q12" s="41"/>
      <c r="R12" s="40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>
      <c r="A13" s="4" t="s">
        <v>144</v>
      </c>
      <c r="B13" s="4"/>
      <c r="C13" t="s">
        <v>145</v>
      </c>
      <c r="D13" t="str">
        <f>IF($C13="","",IFERROR(LOOKUP(2,1/('03_Warehouse_Movements'!$C$2:$C$500=$A13),'03_Warehouse_Movements'!$E$2:$E$500),$C13))</f>
        <v>WH-Z1-AisleA-Bay1-Level9</v>
      </c>
      <c r="E13" t="s">
        <v>92</v>
      </c>
      <c r="F13" t="s">
        <v>101</v>
      </c>
      <c r="G13" s="36"/>
      <c r="H13" s="3" t="str">
        <f t="shared" si="0"/>
        <v/>
      </c>
      <c r="I13" s="3" t="s">
        <v>102</v>
      </c>
      <c r="J13" s="4" t="s">
        <v>103</v>
      </c>
      <c r="K13" s="3">
        <v>46052</v>
      </c>
      <c r="L13" s="4" t="s">
        <v>104</v>
      </c>
      <c r="M13" s="3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PAL-0000012</v>
      </c>
      <c r="Q13" s="41"/>
      <c r="R13" s="40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>
      <c r="A14" s="4" t="s">
        <v>146</v>
      </c>
      <c r="B14" s="4"/>
      <c r="C14" t="s">
        <v>147</v>
      </c>
      <c r="D14" t="str">
        <f>IF($C14="","",IFERROR(LOOKUP(2,1/('03_Warehouse_Movements'!$C$2:$C$500=$A14),'03_Warehouse_Movements'!$E$2:$E$500),$C14))</f>
        <v>WH-Z1-AisleA-Bay1-Level10</v>
      </c>
      <c r="E14" t="s">
        <v>92</v>
      </c>
      <c r="F14" t="s">
        <v>129</v>
      </c>
      <c r="G14" s="36">
        <v>14</v>
      </c>
      <c r="H14" s="3" t="str">
        <f t="shared" si="0"/>
        <v/>
      </c>
      <c r="I14" s="3" t="s">
        <v>148</v>
      </c>
      <c r="J14" s="4" t="s">
        <v>103</v>
      </c>
      <c r="K14" s="3">
        <v>46052</v>
      </c>
      <c r="L14" s="4" t="s">
        <v>104</v>
      </c>
      <c r="M14" s="3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PAL-0000013</v>
      </c>
      <c r="Q14" s="41"/>
      <c r="R14" s="40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>
      <c r="A15" s="4" t="s">
        <v>149</v>
      </c>
      <c r="B15" s="4"/>
      <c r="C15" t="s">
        <v>150</v>
      </c>
      <c r="D15" t="str">
        <f>IF($C15="","",IFERROR(LOOKUP(2,1/('03_Warehouse_Movements'!$C$2:$C$500=$A15),'03_Warehouse_Movements'!$E$2:$E$500),$C15))</f>
        <v>WH-Z1-AisleA-Bay1-Level11</v>
      </c>
      <c r="E15" t="s">
        <v>92</v>
      </c>
      <c r="F15" t="s">
        <v>101</v>
      </c>
      <c r="G15" s="36"/>
      <c r="H15" s="3" t="str">
        <f t="shared" si="0"/>
        <v/>
      </c>
      <c r="I15" s="3" t="s">
        <v>151</v>
      </c>
      <c r="J15" s="4" t="s">
        <v>103</v>
      </c>
      <c r="K15" s="3">
        <v>46052</v>
      </c>
      <c r="L15" s="4" t="s">
        <v>104</v>
      </c>
      <c r="M15" s="3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PAL-0000014</v>
      </c>
      <c r="Q15" s="41"/>
      <c r="R15" s="40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>
      <c r="A16" s="4" t="s">
        <v>152</v>
      </c>
      <c r="B16" s="4" t="s">
        <v>153</v>
      </c>
      <c r="C16" t="s">
        <v>154</v>
      </c>
      <c r="D16" t="str">
        <f>IF($C16="","",IFERROR(LOOKUP(2,1/('03_Warehouse_Movements'!$C$2:$C$500=$A16),'03_Warehouse_Movements'!$E$2:$E$500),$C16))</f>
        <v>WH-Z1-AisleA-Bay1-Level12</v>
      </c>
      <c r="E16" t="s">
        <v>92</v>
      </c>
      <c r="F16" t="s">
        <v>101</v>
      </c>
      <c r="G16" s="36"/>
      <c r="H16" s="3" t="str">
        <f t="shared" si="0"/>
        <v/>
      </c>
      <c r="I16" s="3" t="s">
        <v>155</v>
      </c>
      <c r="J16" s="4" t="s">
        <v>103</v>
      </c>
      <c r="K16" s="3">
        <v>46052</v>
      </c>
      <c r="L16" s="4" t="s">
        <v>104</v>
      </c>
      <c r="M16" s="3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PAL-0000015</v>
      </c>
      <c r="Q16" s="41"/>
      <c r="R16" s="40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>
      <c r="A17" s="4" t="s">
        <v>156</v>
      </c>
      <c r="B17" s="4"/>
      <c r="C17" t="s">
        <v>157</v>
      </c>
      <c r="D17" t="str">
        <f>IF($C17="","",IFERROR(LOOKUP(2,1/('03_Warehouse_Movements'!$C$2:$C$500=$A17),'03_Warehouse_Movements'!$E$2:$E$500),$C17))</f>
        <v>WH-Z1-AisleA-Bay1-Level13</v>
      </c>
      <c r="E17" t="s">
        <v>92</v>
      </c>
      <c r="F17" t="s">
        <v>101</v>
      </c>
      <c r="G17" s="36"/>
      <c r="H17" s="3" t="str">
        <f t="shared" si="0"/>
        <v/>
      </c>
      <c r="I17" s="3" t="s">
        <v>158</v>
      </c>
      <c r="J17" s="4" t="s">
        <v>103</v>
      </c>
      <c r="K17" s="3">
        <v>46052</v>
      </c>
      <c r="L17" s="4" t="s">
        <v>104</v>
      </c>
      <c r="M17" s="3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PAL-0000016</v>
      </c>
      <c r="Q17" s="41"/>
      <c r="R17" s="40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>
      <c r="A18" s="4" t="s">
        <v>159</v>
      </c>
      <c r="B18" s="4"/>
      <c r="C18" t="s">
        <v>160</v>
      </c>
      <c r="D18" t="str">
        <f>IF($C18="","",IFERROR(LOOKUP(2,1/('03_Warehouse_Movements'!$C$2:$C$500=$A18),'03_Warehouse_Movements'!$E$2:$E$500),$C18))</f>
        <v>WH-Z1-AisleA-Bay1-Level14</v>
      </c>
      <c r="E18" t="s">
        <v>92</v>
      </c>
      <c r="F18" t="s">
        <v>101</v>
      </c>
      <c r="G18" s="36"/>
      <c r="H18" s="3" t="str">
        <f t="shared" si="0"/>
        <v/>
      </c>
      <c r="I18" s="3" t="s">
        <v>161</v>
      </c>
      <c r="J18" s="4" t="s">
        <v>103</v>
      </c>
      <c r="K18" s="3">
        <v>46052</v>
      </c>
      <c r="L18" s="4" t="s">
        <v>104</v>
      </c>
      <c r="M18" s="3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PAL-0000017</v>
      </c>
      <c r="Q18" s="41"/>
      <c r="R18" s="40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>
      <c r="A19" s="4" t="s">
        <v>162</v>
      </c>
      <c r="B19" s="4"/>
      <c r="C19" t="s">
        <v>163</v>
      </c>
      <c r="D19" t="str">
        <f>IF($C19="","",IFERROR(LOOKUP(2,1/('03_Warehouse_Movements'!$C$2:$C$500=$A19),'03_Warehouse_Movements'!$E$2:$E$500),$C19))</f>
        <v>WH-Z1-AisleA-Bay1-Level15</v>
      </c>
      <c r="E19" t="s">
        <v>92</v>
      </c>
      <c r="F19" t="s">
        <v>101</v>
      </c>
      <c r="G19" s="36"/>
      <c r="H19" s="3" t="str">
        <f t="shared" si="0"/>
        <v/>
      </c>
      <c r="I19" s="3" t="s">
        <v>133</v>
      </c>
      <c r="J19" s="4" t="s">
        <v>103</v>
      </c>
      <c r="K19" s="3">
        <v>46052</v>
      </c>
      <c r="L19" s="4" t="s">
        <v>104</v>
      </c>
      <c r="M19" s="3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PAL-0000018</v>
      </c>
      <c r="Q19" s="41"/>
      <c r="R19" s="40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>
      <c r="A20" s="4" t="s">
        <v>164</v>
      </c>
      <c r="B20" s="4"/>
      <c r="C20" t="s">
        <v>165</v>
      </c>
      <c r="D20" t="str">
        <f>IF($C20="","",IFERROR(LOOKUP(2,1/('03_Warehouse_Movements'!$C$2:$C$500=$A20),'03_Warehouse_Movements'!$E$2:$E$500),$C20))</f>
        <v>WH-Z1-AisleA-Bay1-Level16</v>
      </c>
      <c r="E20" t="s">
        <v>92</v>
      </c>
      <c r="F20" t="s">
        <v>129</v>
      </c>
      <c r="G20" s="36">
        <v>14</v>
      </c>
      <c r="H20" s="3" t="str">
        <f t="shared" si="0"/>
        <v/>
      </c>
      <c r="I20" s="3" t="s">
        <v>136</v>
      </c>
      <c r="J20" s="4" t="s">
        <v>103</v>
      </c>
      <c r="K20" s="3">
        <v>46052</v>
      </c>
      <c r="L20" s="4" t="s">
        <v>104</v>
      </c>
      <c r="M20" s="3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PAL-0000019</v>
      </c>
      <c r="Q20" s="41"/>
      <c r="R20" s="40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>
      <c r="A21" s="4" t="s">
        <v>166</v>
      </c>
      <c r="B21" s="4"/>
      <c r="C21" t="s">
        <v>167</v>
      </c>
      <c r="D21" t="str">
        <f>IF($C21="","",IFERROR(LOOKUP(2,1/('03_Warehouse_Movements'!$C$2:$C$500=$A21),'03_Warehouse_Movements'!$E$2:$E$500),$C21))</f>
        <v>WH-Z1-AisleA-Bay1-Level17</v>
      </c>
      <c r="E21" t="s">
        <v>92</v>
      </c>
      <c r="F21" t="s">
        <v>101</v>
      </c>
      <c r="G21" s="36"/>
      <c r="H21" s="3" t="str">
        <f t="shared" si="0"/>
        <v/>
      </c>
      <c r="I21" s="3" t="s">
        <v>139</v>
      </c>
      <c r="J21" s="4" t="s">
        <v>103</v>
      </c>
      <c r="K21" s="3">
        <v>46052</v>
      </c>
      <c r="L21" s="4" t="s">
        <v>104</v>
      </c>
      <c r="M21" s="3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PAL-0000020</v>
      </c>
      <c r="Q21" s="41"/>
      <c r="R21" s="40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>
      <c r="A22" s="4" t="s">
        <v>168</v>
      </c>
      <c r="B22" s="4"/>
      <c r="C22" t="s">
        <v>169</v>
      </c>
      <c r="D22" t="str">
        <f>IF($C22="","",IFERROR(LOOKUP(2,1/('03_Warehouse_Movements'!$C$2:$C$500=$A22),'03_Warehouse_Movements'!$E$2:$E$500),$C22))</f>
        <v>WH-Z1-AisleA-Bay1-Level18</v>
      </c>
      <c r="E22" t="s">
        <v>92</v>
      </c>
      <c r="F22" t="s">
        <v>101</v>
      </c>
      <c r="G22" s="36"/>
      <c r="H22" s="3" t="str">
        <f t="shared" si="0"/>
        <v/>
      </c>
      <c r="I22" s="3" t="s">
        <v>143</v>
      </c>
      <c r="J22" s="4" t="s">
        <v>103</v>
      </c>
      <c r="K22" s="3">
        <v>46052</v>
      </c>
      <c r="L22" s="4" t="s">
        <v>104</v>
      </c>
      <c r="M22" s="3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PAL-0000021</v>
      </c>
      <c r="Q22" s="41"/>
      <c r="R22" s="40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>
      <c r="A23" s="4" t="s">
        <v>170</v>
      </c>
      <c r="B23" s="4" t="s">
        <v>171</v>
      </c>
      <c r="C23" t="s">
        <v>172</v>
      </c>
      <c r="D23" t="str">
        <f>IF($C23="","",IFERROR(LOOKUP(2,1/('03_Warehouse_Movements'!$C$2:$C$500=$A23),'03_Warehouse_Movements'!$E$2:$E$500),$C23))</f>
        <v>WH-Z1-AisleA-Bay1-Level19</v>
      </c>
      <c r="E23" t="s">
        <v>92</v>
      </c>
      <c r="F23" t="s">
        <v>101</v>
      </c>
      <c r="G23" s="36"/>
      <c r="H23" s="3" t="str">
        <f t="shared" si="0"/>
        <v/>
      </c>
      <c r="I23" s="3" t="s">
        <v>102</v>
      </c>
      <c r="J23" s="4" t="s">
        <v>103</v>
      </c>
      <c r="K23" s="3">
        <v>46052</v>
      </c>
      <c r="L23" s="4" t="s">
        <v>104</v>
      </c>
      <c r="M23" s="3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PAL-0000022</v>
      </c>
      <c r="Q23" s="41"/>
      <c r="R23" s="40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>
      <c r="A24" s="4" t="s">
        <v>173</v>
      </c>
      <c r="B24" s="4"/>
      <c r="C24" t="s">
        <v>174</v>
      </c>
      <c r="D24" t="str">
        <f>IF($C24="","",IFERROR(LOOKUP(2,1/('03_Warehouse_Movements'!$C$2:$C$500=$A24),'03_Warehouse_Movements'!$E$2:$E$500),$C24))</f>
        <v>WH-Z1-AisleA-Bay1-Level20</v>
      </c>
      <c r="E24" t="s">
        <v>92</v>
      </c>
      <c r="F24" t="s">
        <v>101</v>
      </c>
      <c r="G24" s="36"/>
      <c r="H24" s="3" t="str">
        <f t="shared" si="0"/>
        <v/>
      </c>
      <c r="I24" s="3" t="s">
        <v>148</v>
      </c>
      <c r="J24" s="4" t="s">
        <v>103</v>
      </c>
      <c r="K24" s="3">
        <v>46052</v>
      </c>
      <c r="L24" s="4" t="s">
        <v>104</v>
      </c>
      <c r="M24" s="3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PAL-0000023</v>
      </c>
      <c r="Q24" s="41"/>
      <c r="R24" s="40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>
      <c r="A25" s="4" t="s">
        <v>175</v>
      </c>
      <c r="B25" s="4"/>
      <c r="C25" t="s">
        <v>176</v>
      </c>
      <c r="D25" t="str">
        <f>IF($C25="","",IFERROR(LOOKUP(2,1/('03_Warehouse_Movements'!$C$2:$C$500=$A25),'03_Warehouse_Movements'!$E$2:$E$500),$C25))</f>
        <v>WH-Z1-AisleB-Bay1-Level1</v>
      </c>
      <c r="E25" t="s">
        <v>92</v>
      </c>
      <c r="F25" t="s">
        <v>101</v>
      </c>
      <c r="G25" s="36"/>
      <c r="H25" s="3" t="str">
        <f t="shared" si="0"/>
        <v/>
      </c>
      <c r="I25" s="3" t="s">
        <v>151</v>
      </c>
      <c r="J25" s="4" t="s">
        <v>103</v>
      </c>
      <c r="K25" s="3">
        <v>46052</v>
      </c>
      <c r="L25" s="4" t="s">
        <v>104</v>
      </c>
      <c r="M25" s="3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PAL-0000024</v>
      </c>
      <c r="Q25" s="41"/>
      <c r="R25" s="40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>
      <c r="A26" s="4" t="s">
        <v>177</v>
      </c>
      <c r="B26" s="4"/>
      <c r="C26" t="s">
        <v>178</v>
      </c>
      <c r="D26" t="str">
        <f>IF($C26="","",IFERROR(LOOKUP(2,1/('03_Warehouse_Movements'!$C$2:$C$500=$A26),'03_Warehouse_Movements'!$E$2:$E$500),$C26))</f>
        <v>WH-Z1-AisleB-Bay1-Level2</v>
      </c>
      <c r="E26" t="s">
        <v>92</v>
      </c>
      <c r="F26" t="s">
        <v>129</v>
      </c>
      <c r="G26" s="36">
        <v>14</v>
      </c>
      <c r="H26" s="3" t="str">
        <f t="shared" si="0"/>
        <v/>
      </c>
      <c r="I26" s="3" t="s">
        <v>155</v>
      </c>
      <c r="J26" s="4" t="s">
        <v>103</v>
      </c>
      <c r="K26" s="3">
        <v>46052</v>
      </c>
      <c r="L26" s="4" t="s">
        <v>104</v>
      </c>
      <c r="M26" s="3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PAL-0000025</v>
      </c>
      <c r="Q26" s="41"/>
      <c r="R26" s="40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>
      <c r="A27" s="4" t="s">
        <v>179</v>
      </c>
      <c r="B27" s="4"/>
      <c r="C27" t="s">
        <v>180</v>
      </c>
      <c r="D27" t="str">
        <f>IF($C27="","",IFERROR(LOOKUP(2,1/('03_Warehouse_Movements'!$C$2:$C$500=$A27),'03_Warehouse_Movements'!$E$2:$E$500),$C27))</f>
        <v>WH-Z1-AisleB-Bay1-Level3</v>
      </c>
      <c r="E27" t="s">
        <v>92</v>
      </c>
      <c r="F27" t="s">
        <v>101</v>
      </c>
      <c r="G27" s="36"/>
      <c r="H27" s="3" t="str">
        <f t="shared" si="0"/>
        <v/>
      </c>
      <c r="I27" s="3" t="s">
        <v>158</v>
      </c>
      <c r="J27" s="4" t="s">
        <v>103</v>
      </c>
      <c r="K27" s="3">
        <v>46052</v>
      </c>
      <c r="L27" s="4" t="s">
        <v>104</v>
      </c>
      <c r="M27" s="3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PAL-0000026</v>
      </c>
      <c r="Q27" s="41"/>
      <c r="R27" s="40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>
      <c r="A28" s="4" t="s">
        <v>181</v>
      </c>
      <c r="B28" s="4"/>
      <c r="C28" t="s">
        <v>182</v>
      </c>
      <c r="D28" t="str">
        <f>IF($C28="","",IFERROR(LOOKUP(2,1/('03_Warehouse_Movements'!$C$2:$C$500=$A28),'03_Warehouse_Movements'!$E$2:$E$500),$C28))</f>
        <v>WH-Z1-AisleB-Bay1-Level4</v>
      </c>
      <c r="E28" t="s">
        <v>92</v>
      </c>
      <c r="F28" t="s">
        <v>101</v>
      </c>
      <c r="G28" s="36"/>
      <c r="H28" s="3" t="str">
        <f t="shared" si="0"/>
        <v/>
      </c>
      <c r="I28" s="3" t="s">
        <v>161</v>
      </c>
      <c r="J28" s="4" t="s">
        <v>103</v>
      </c>
      <c r="K28" s="3">
        <v>46052</v>
      </c>
      <c r="L28" s="4" t="s">
        <v>104</v>
      </c>
      <c r="M28" s="3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PAL-0000027</v>
      </c>
      <c r="Q28" s="41"/>
      <c r="R28" s="40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>
      <c r="A29" s="4" t="s">
        <v>183</v>
      </c>
      <c r="B29" s="4"/>
      <c r="C29" t="s">
        <v>184</v>
      </c>
      <c r="D29" t="str">
        <f>IF($C29="","",IFERROR(LOOKUP(2,1/('03_Warehouse_Movements'!$C$2:$C$500=$A29),'03_Warehouse_Movements'!$E$2:$E$500),$C29))</f>
        <v>WH-Z1-AisleB-Bay1-Level5</v>
      </c>
      <c r="E29" t="s">
        <v>92</v>
      </c>
      <c r="F29" t="s">
        <v>101</v>
      </c>
      <c r="G29" s="36"/>
      <c r="H29" s="3" t="str">
        <f t="shared" si="0"/>
        <v/>
      </c>
      <c r="I29" s="3" t="s">
        <v>133</v>
      </c>
      <c r="J29" s="4" t="s">
        <v>103</v>
      </c>
      <c r="K29" s="3">
        <v>46052</v>
      </c>
      <c r="L29" s="4" t="s">
        <v>104</v>
      </c>
      <c r="M29" s="3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PAL-0000028</v>
      </c>
      <c r="Q29" s="41"/>
      <c r="R29" s="40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>
      <c r="A30" s="4" t="s">
        <v>185</v>
      </c>
      <c r="B30" s="4" t="s">
        <v>186</v>
      </c>
      <c r="C30" t="s">
        <v>187</v>
      </c>
      <c r="D30" t="str">
        <f>IF($C30="","",IFERROR(LOOKUP(2,1/('03_Warehouse_Movements'!$C$2:$C$500=$A30),'03_Warehouse_Movements'!$E$2:$E$500),$C30))</f>
        <v>WH-Z1-AisleB-Bay1-Level6</v>
      </c>
      <c r="E30" t="s">
        <v>92</v>
      </c>
      <c r="F30" t="s">
        <v>101</v>
      </c>
      <c r="G30" s="36"/>
      <c r="H30" s="3" t="str">
        <f t="shared" si="0"/>
        <v/>
      </c>
      <c r="I30" s="3" t="s">
        <v>136</v>
      </c>
      <c r="J30" s="4" t="s">
        <v>103</v>
      </c>
      <c r="K30" s="3">
        <v>46052</v>
      </c>
      <c r="L30" s="4" t="s">
        <v>104</v>
      </c>
      <c r="M30" s="3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PAL-0000029</v>
      </c>
      <c r="Q30" s="41"/>
      <c r="R30" s="40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>
      <c r="A31" s="4" t="s">
        <v>188</v>
      </c>
      <c r="B31" s="4"/>
      <c r="C31" t="s">
        <v>189</v>
      </c>
      <c r="D31" t="str">
        <f>IF($C31="","",IFERROR(LOOKUP(2,1/('03_Warehouse_Movements'!$C$2:$C$500=$A31),'03_Warehouse_Movements'!$E$2:$E$500),$C31))</f>
        <v>WH-Z1-AisleB-Bay1-Level7</v>
      </c>
      <c r="E31" t="s">
        <v>92</v>
      </c>
      <c r="F31" t="s">
        <v>101</v>
      </c>
      <c r="G31" s="36"/>
      <c r="H31" s="3" t="str">
        <f t="shared" si="0"/>
        <v/>
      </c>
      <c r="I31" s="3" t="s">
        <v>139</v>
      </c>
      <c r="J31" s="4" t="s">
        <v>103</v>
      </c>
      <c r="K31" s="3">
        <v>46052</v>
      </c>
      <c r="L31" s="4" t="s">
        <v>104</v>
      </c>
      <c r="M31" s="3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PAL-0000030</v>
      </c>
      <c r="Q31" s="41"/>
      <c r="R31" s="40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>
      <c r="A32" s="4" t="s">
        <v>190</v>
      </c>
      <c r="B32" s="4"/>
      <c r="C32" t="s">
        <v>191</v>
      </c>
      <c r="D32" t="str">
        <f>IF($C32="","",IFERROR(LOOKUP(2,1/('03_Warehouse_Movements'!$C$2:$C$500=$A32),'03_Warehouse_Movements'!$E$2:$E$500),$C32))</f>
        <v>WH-Z1-AisleB-Bay1-Level8</v>
      </c>
      <c r="E32" t="s">
        <v>92</v>
      </c>
      <c r="F32" t="s">
        <v>129</v>
      </c>
      <c r="G32" s="36">
        <v>14</v>
      </c>
      <c r="H32" s="3" t="str">
        <f t="shared" si="0"/>
        <v/>
      </c>
      <c r="I32" s="3" t="s">
        <v>143</v>
      </c>
      <c r="J32" s="4" t="s">
        <v>103</v>
      </c>
      <c r="K32" s="3">
        <v>46052</v>
      </c>
      <c r="L32" s="4" t="s">
        <v>104</v>
      </c>
      <c r="M32" s="3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PAL-0000031</v>
      </c>
      <c r="Q32" s="41"/>
      <c r="R32" s="40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>
      <c r="A33" s="4" t="s">
        <v>192</v>
      </c>
      <c r="B33" s="4"/>
      <c r="C33" t="s">
        <v>193</v>
      </c>
      <c r="D33" t="str">
        <f>IF($C33="","",IFERROR(LOOKUP(2,1/('03_Warehouse_Movements'!$C$2:$C$500=$A33),'03_Warehouse_Movements'!$E$2:$E$500),$C33))</f>
        <v>WH-Z1-AisleB-Bay1-Level9</v>
      </c>
      <c r="E33" t="s">
        <v>92</v>
      </c>
      <c r="F33" t="s">
        <v>101</v>
      </c>
      <c r="G33" s="36"/>
      <c r="H33" s="3" t="str">
        <f t="shared" si="0"/>
        <v/>
      </c>
      <c r="I33" s="3" t="s">
        <v>102</v>
      </c>
      <c r="J33" s="4" t="s">
        <v>103</v>
      </c>
      <c r="K33" s="3">
        <v>46052</v>
      </c>
      <c r="L33" s="4" t="s">
        <v>104</v>
      </c>
      <c r="M33" s="3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PAL-0000032</v>
      </c>
      <c r="Q33" s="41"/>
      <c r="R33" s="40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>
      <c r="A34" s="4" t="s">
        <v>194</v>
      </c>
      <c r="B34" s="4"/>
      <c r="C34" t="s">
        <v>195</v>
      </c>
      <c r="D34" t="str">
        <f>IF($C34="","",IFERROR(LOOKUP(2,1/('03_Warehouse_Movements'!$C$2:$C$500=$A34),'03_Warehouse_Movements'!$E$2:$E$500),$C34))</f>
        <v>WH-Z1-AisleB-Bay1-Level10</v>
      </c>
      <c r="E34" t="s">
        <v>92</v>
      </c>
      <c r="F34" t="s">
        <v>101</v>
      </c>
      <c r="G34" s="36"/>
      <c r="H34" s="3" t="str">
        <f t="shared" si="0"/>
        <v/>
      </c>
      <c r="I34" s="3" t="s">
        <v>148</v>
      </c>
      <c r="J34" s="4" t="s">
        <v>103</v>
      </c>
      <c r="K34" s="3">
        <v>46052</v>
      </c>
      <c r="L34" s="4" t="s">
        <v>104</v>
      </c>
      <c r="M34" s="3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PAL-0000033</v>
      </c>
      <c r="Q34" s="41"/>
      <c r="R34" s="40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>
      <c r="A35" s="4" t="s">
        <v>196</v>
      </c>
      <c r="B35" s="4"/>
      <c r="C35" t="s">
        <v>197</v>
      </c>
      <c r="D35" t="str">
        <f>IF($C35="","",IFERROR(LOOKUP(2,1/('03_Warehouse_Movements'!$C$2:$C$500=$A35),'03_Warehouse_Movements'!$E$2:$E$500),$C35))</f>
        <v>WH-Z1-AisleB-Bay1-Level11</v>
      </c>
      <c r="E35" t="s">
        <v>92</v>
      </c>
      <c r="F35" t="s">
        <v>101</v>
      </c>
      <c r="G35" s="36"/>
      <c r="H35" s="3" t="str">
        <f t="shared" si="0"/>
        <v/>
      </c>
      <c r="I35" s="3" t="s">
        <v>151</v>
      </c>
      <c r="J35" s="4" t="s">
        <v>103</v>
      </c>
      <c r="K35" s="3">
        <v>46052</v>
      </c>
      <c r="L35" s="4" t="s">
        <v>104</v>
      </c>
      <c r="M35" s="3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PAL-0000034</v>
      </c>
      <c r="Q35" s="41"/>
      <c r="R35" s="40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>
      <c r="A36" s="4" t="s">
        <v>198</v>
      </c>
      <c r="B36" s="4"/>
      <c r="C36" t="s">
        <v>199</v>
      </c>
      <c r="D36" t="str">
        <f>IF($C36="","",IFERROR(LOOKUP(2,1/('03_Warehouse_Movements'!$C$2:$C$500=$A36),'03_Warehouse_Movements'!$E$2:$E$500),$C36))</f>
        <v>WH-Z1-AisleB-Bay1-Level12</v>
      </c>
      <c r="E36" t="s">
        <v>92</v>
      </c>
      <c r="F36" t="s">
        <v>101</v>
      </c>
      <c r="G36" s="36"/>
      <c r="H36" s="3" t="str">
        <f t="shared" si="0"/>
        <v/>
      </c>
      <c r="I36" s="3" t="s">
        <v>155</v>
      </c>
      <c r="J36" s="4" t="s">
        <v>103</v>
      </c>
      <c r="K36" s="3">
        <v>46052</v>
      </c>
      <c r="L36" s="4" t="s">
        <v>104</v>
      </c>
      <c r="M36" s="3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PAL-0000035</v>
      </c>
      <c r="Q36" s="41"/>
      <c r="R36" s="40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>
      <c r="A37" s="4" t="s">
        <v>200</v>
      </c>
      <c r="B37" s="4" t="s">
        <v>201</v>
      </c>
      <c r="C37" t="s">
        <v>202</v>
      </c>
      <c r="D37" t="str">
        <f>IF($C37="","",IFERROR(LOOKUP(2,1/('03_Warehouse_Movements'!$C$2:$C$500=$A37),'03_Warehouse_Movements'!$E$2:$E$500),$C37))</f>
        <v>WH-Z1-AisleB-Bay1-Level13</v>
      </c>
      <c r="E37" t="s">
        <v>92</v>
      </c>
      <c r="F37" t="s">
        <v>101</v>
      </c>
      <c r="G37" s="36"/>
      <c r="H37" s="3" t="str">
        <f t="shared" si="0"/>
        <v/>
      </c>
      <c r="I37" s="3" t="s">
        <v>158</v>
      </c>
      <c r="J37" s="4" t="s">
        <v>103</v>
      </c>
      <c r="K37" s="3">
        <v>46052</v>
      </c>
      <c r="L37" s="4" t="s">
        <v>104</v>
      </c>
      <c r="M37" s="3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PAL-0000036</v>
      </c>
      <c r="Q37" s="41"/>
      <c r="R37" s="40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>
      <c r="A38" s="4" t="s">
        <v>203</v>
      </c>
      <c r="B38" s="4"/>
      <c r="C38" t="s">
        <v>204</v>
      </c>
      <c r="D38" t="str">
        <f>IF($C38="","",IFERROR(LOOKUP(2,1/('03_Warehouse_Movements'!$C$2:$C$500=$A38),'03_Warehouse_Movements'!$E$2:$E$500),$C38))</f>
        <v>WH-Z1-AisleB-Bay1-Level14</v>
      </c>
      <c r="E38" t="s">
        <v>92</v>
      </c>
      <c r="F38" t="s">
        <v>129</v>
      </c>
      <c r="G38" s="36">
        <v>14</v>
      </c>
      <c r="H38" s="3" t="str">
        <f t="shared" si="0"/>
        <v/>
      </c>
      <c r="I38" s="3" t="s">
        <v>161</v>
      </c>
      <c r="J38" s="4" t="s">
        <v>103</v>
      </c>
      <c r="K38" s="3">
        <v>46052</v>
      </c>
      <c r="L38" s="4" t="s">
        <v>104</v>
      </c>
      <c r="M38" s="3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PAL-0000037</v>
      </c>
      <c r="Q38" s="41"/>
      <c r="R38" s="40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>
      <c r="A39" s="4" t="s">
        <v>205</v>
      </c>
      <c r="B39" s="4"/>
      <c r="C39" t="s">
        <v>206</v>
      </c>
      <c r="D39" t="str">
        <f>IF($C39="","",IFERROR(LOOKUP(2,1/('03_Warehouse_Movements'!$C$2:$C$500=$A39),'03_Warehouse_Movements'!$E$2:$E$500),$C39))</f>
        <v>WH-Z1-AisleB-Bay1-Level15</v>
      </c>
      <c r="E39" t="s">
        <v>92</v>
      </c>
      <c r="F39" t="s">
        <v>101</v>
      </c>
      <c r="G39" s="36"/>
      <c r="H39" s="3" t="str">
        <f t="shared" si="0"/>
        <v/>
      </c>
      <c r="I39" s="3" t="s">
        <v>133</v>
      </c>
      <c r="J39" s="4" t="s">
        <v>103</v>
      </c>
      <c r="K39" s="3">
        <v>46052</v>
      </c>
      <c r="L39" s="4" t="s">
        <v>104</v>
      </c>
      <c r="M39" s="3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PAL-0000038</v>
      </c>
      <c r="Q39" s="41"/>
      <c r="R39" s="40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>
      <c r="A40" s="4" t="s">
        <v>207</v>
      </c>
      <c r="B40" s="4"/>
      <c r="C40" t="s">
        <v>208</v>
      </c>
      <c r="D40" t="str">
        <f>IF($C40="","",IFERROR(LOOKUP(2,1/('03_Warehouse_Movements'!$C$2:$C$500=$A40),'03_Warehouse_Movements'!$E$2:$E$500),$C40))</f>
        <v>WH-Z1-AisleB-Bay1-Level16</v>
      </c>
      <c r="E40" t="s">
        <v>92</v>
      </c>
      <c r="F40" t="s">
        <v>101</v>
      </c>
      <c r="G40" s="36"/>
      <c r="H40" s="3" t="str">
        <f t="shared" si="0"/>
        <v/>
      </c>
      <c r="I40" s="3" t="s">
        <v>136</v>
      </c>
      <c r="J40" s="4" t="s">
        <v>103</v>
      </c>
      <c r="K40" s="3">
        <v>46052</v>
      </c>
      <c r="L40" s="4" t="s">
        <v>104</v>
      </c>
      <c r="M40" s="3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PAL-0000039</v>
      </c>
      <c r="Q40" s="41"/>
      <c r="R40" s="40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>
      <c r="A41" s="4" t="s">
        <v>209</v>
      </c>
      <c r="B41" s="4"/>
      <c r="C41" t="s">
        <v>210</v>
      </c>
      <c r="D41" t="str">
        <f>IF($C41="","",IFERROR(LOOKUP(2,1/('03_Warehouse_Movements'!$C$2:$C$500=$A41),'03_Warehouse_Movements'!$E$2:$E$500),$C41))</f>
        <v>WH-Z1-AisleB-Bay1-Level17</v>
      </c>
      <c r="E41" t="s">
        <v>92</v>
      </c>
      <c r="F41" t="s">
        <v>101</v>
      </c>
      <c r="G41" s="36"/>
      <c r="H41" s="3" t="str">
        <f t="shared" si="0"/>
        <v/>
      </c>
      <c r="I41" s="3" t="s">
        <v>139</v>
      </c>
      <c r="J41" s="4" t="s">
        <v>103</v>
      </c>
      <c r="K41" s="3">
        <v>46052</v>
      </c>
      <c r="L41" s="4" t="s">
        <v>104</v>
      </c>
      <c r="M41" s="3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PAL-0000040</v>
      </c>
      <c r="Q41" s="41"/>
      <c r="R41" s="40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>
      <c r="A42" s="4" t="s">
        <v>211</v>
      </c>
      <c r="B42" s="4"/>
      <c r="C42" t="s">
        <v>212</v>
      </c>
      <c r="D42" t="str">
        <f>IF($C42="","",IFERROR(LOOKUP(2,1/('03_Warehouse_Movements'!$C$2:$C$500=$A42),'03_Warehouse_Movements'!$E$2:$E$500),$C42))</f>
        <v>WH-Z1-AisleB-Bay1-Level18</v>
      </c>
      <c r="E42" t="s">
        <v>92</v>
      </c>
      <c r="F42" t="s">
        <v>101</v>
      </c>
      <c r="G42" s="36"/>
      <c r="H42" s="3" t="str">
        <f t="shared" si="0"/>
        <v/>
      </c>
      <c r="I42" s="3" t="s">
        <v>143</v>
      </c>
      <c r="J42" s="4" t="s">
        <v>103</v>
      </c>
      <c r="K42" s="3">
        <v>46052</v>
      </c>
      <c r="L42" s="4" t="s">
        <v>104</v>
      </c>
      <c r="M42" s="3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PAL-0000041</v>
      </c>
      <c r="Q42" s="41"/>
      <c r="R42" s="40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>
      <c r="A43" s="4" t="s">
        <v>213</v>
      </c>
      <c r="B43" s="4"/>
      <c r="C43" t="s">
        <v>214</v>
      </c>
      <c r="D43" t="str">
        <f>IF($C43="","",IFERROR(LOOKUP(2,1/('03_Warehouse_Movements'!$C$2:$C$500=$A43),'03_Warehouse_Movements'!$E$2:$E$500),$C43))</f>
        <v>WH-Z1-AisleB-Bay1-Level19</v>
      </c>
      <c r="E43" t="s">
        <v>92</v>
      </c>
      <c r="F43" t="s">
        <v>101</v>
      </c>
      <c r="G43" s="36"/>
      <c r="H43" s="3" t="str">
        <f t="shared" si="0"/>
        <v/>
      </c>
      <c r="I43" s="3" t="s">
        <v>102</v>
      </c>
      <c r="J43" s="4" t="s">
        <v>103</v>
      </c>
      <c r="K43" s="3">
        <v>46052</v>
      </c>
      <c r="L43" s="4" t="s">
        <v>104</v>
      </c>
      <c r="M43" s="3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PAL-0000042</v>
      </c>
      <c r="Q43" s="41"/>
      <c r="R43" s="40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>
      <c r="A44" s="4" t="s">
        <v>215</v>
      </c>
      <c r="B44" s="4" t="s">
        <v>216</v>
      </c>
      <c r="C44" t="s">
        <v>217</v>
      </c>
      <c r="D44" t="str">
        <f>IF($C44="","",IFERROR(LOOKUP(2,1/('03_Warehouse_Movements'!$C$2:$C$500=$A44),'03_Warehouse_Movements'!$E$2:$E$500),$C44))</f>
        <v>WH-Z1-AisleB-Bay1-Level20</v>
      </c>
      <c r="E44" t="s">
        <v>92</v>
      </c>
      <c r="F44" t="s">
        <v>129</v>
      </c>
      <c r="G44" s="36">
        <v>14</v>
      </c>
      <c r="H44" s="3" t="str">
        <f t="shared" si="0"/>
        <v/>
      </c>
      <c r="I44" s="3" t="s">
        <v>148</v>
      </c>
      <c r="J44" s="4" t="s">
        <v>103</v>
      </c>
      <c r="K44" s="3">
        <v>46052</v>
      </c>
      <c r="L44" s="4" t="s">
        <v>104</v>
      </c>
      <c r="M44" s="3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PAL-0000043</v>
      </c>
      <c r="Q44" s="41"/>
      <c r="R44" s="40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>
      <c r="A45" s="4" t="s">
        <v>218</v>
      </c>
      <c r="B45" s="4"/>
      <c r="C45" t="s">
        <v>219</v>
      </c>
      <c r="D45" t="str">
        <f>IF($C45="","",IFERROR(LOOKUP(2,1/('03_Warehouse_Movements'!$C$2:$C$500=$A45),'03_Warehouse_Movements'!$E$2:$E$500),$C45))</f>
        <v>WH-Z1-AisleC-Bay1-Level1</v>
      </c>
      <c r="E45" t="s">
        <v>92</v>
      </c>
      <c r="F45" t="s">
        <v>101</v>
      </c>
      <c r="G45" s="36"/>
      <c r="H45" s="3" t="str">
        <f t="shared" si="0"/>
        <v/>
      </c>
      <c r="I45" s="3" t="s">
        <v>151</v>
      </c>
      <c r="J45" s="4" t="s">
        <v>103</v>
      </c>
      <c r="K45" s="3">
        <v>46052</v>
      </c>
      <c r="L45" s="4" t="s">
        <v>104</v>
      </c>
      <c r="M45" s="3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PAL-0000044</v>
      </c>
      <c r="Q45" s="41"/>
      <c r="R45" s="40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>
      <c r="A46" s="4" t="s">
        <v>220</v>
      </c>
      <c r="B46" s="4"/>
      <c r="C46" t="s">
        <v>221</v>
      </c>
      <c r="D46" t="str">
        <f>IF($C46="","",IFERROR(LOOKUP(2,1/('03_Warehouse_Movements'!$C$2:$C$500=$A46),'03_Warehouse_Movements'!$E$2:$E$500),$C46))</f>
        <v>WH-Z1-AisleC-Bay1-Level2</v>
      </c>
      <c r="E46" t="s">
        <v>92</v>
      </c>
      <c r="F46" t="s">
        <v>101</v>
      </c>
      <c r="G46" s="36"/>
      <c r="H46" s="3" t="str">
        <f t="shared" si="0"/>
        <v/>
      </c>
      <c r="I46" s="3" t="s">
        <v>155</v>
      </c>
      <c r="J46" s="4" t="s">
        <v>103</v>
      </c>
      <c r="K46" s="3">
        <v>46052</v>
      </c>
      <c r="L46" s="4" t="s">
        <v>104</v>
      </c>
      <c r="M46" s="3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PAL-0000045</v>
      </c>
      <c r="Q46" s="41"/>
      <c r="R46" s="40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>
      <c r="A47" s="4" t="s">
        <v>222</v>
      </c>
      <c r="B47" s="4"/>
      <c r="C47" t="s">
        <v>223</v>
      </c>
      <c r="D47" t="str">
        <f>IF($C47="","",IFERROR(LOOKUP(2,1/('03_Warehouse_Movements'!$C$2:$C$500=$A47),'03_Warehouse_Movements'!$E$2:$E$500),$C47))</f>
        <v>WH-Z1-AisleC-Bay1-Level3</v>
      </c>
      <c r="E47" t="s">
        <v>92</v>
      </c>
      <c r="F47" t="s">
        <v>101</v>
      </c>
      <c r="G47" s="36"/>
      <c r="H47" s="3" t="str">
        <f t="shared" si="0"/>
        <v/>
      </c>
      <c r="I47" s="3" t="s">
        <v>158</v>
      </c>
      <c r="J47" s="4" t="s">
        <v>103</v>
      </c>
      <c r="K47" s="3">
        <v>46052</v>
      </c>
      <c r="L47" s="4" t="s">
        <v>104</v>
      </c>
      <c r="M47" s="3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PAL-0000046</v>
      </c>
      <c r="Q47" s="41"/>
      <c r="R47" s="40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>
      <c r="A48" s="4" t="s">
        <v>224</v>
      </c>
      <c r="B48" s="4"/>
      <c r="C48" t="s">
        <v>225</v>
      </c>
      <c r="D48" t="str">
        <f>IF($C48="","",IFERROR(LOOKUP(2,1/('03_Warehouse_Movements'!$C$2:$C$500=$A48),'03_Warehouse_Movements'!$E$2:$E$500),$C48))</f>
        <v>WH-Z1-AisleC-Bay1-Level4</v>
      </c>
      <c r="E48" t="s">
        <v>92</v>
      </c>
      <c r="F48" t="s">
        <v>101</v>
      </c>
      <c r="G48" s="36"/>
      <c r="H48" s="3" t="str">
        <f t="shared" si="0"/>
        <v/>
      </c>
      <c r="I48" s="3" t="s">
        <v>161</v>
      </c>
      <c r="J48" s="4" t="s">
        <v>103</v>
      </c>
      <c r="K48" s="3">
        <v>46052</v>
      </c>
      <c r="L48" s="4" t="s">
        <v>104</v>
      </c>
      <c r="M48" s="3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PAL-0000047</v>
      </c>
      <c r="Q48" s="41"/>
      <c r="R48" s="40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>
      <c r="A49" s="4" t="s">
        <v>226</v>
      </c>
      <c r="B49" s="4"/>
      <c r="C49" t="s">
        <v>227</v>
      </c>
      <c r="D49" t="str">
        <f>IF($C49="","",IFERROR(LOOKUP(2,1/('03_Warehouse_Movements'!$C$2:$C$500=$A49),'03_Warehouse_Movements'!$E$2:$E$500),$C49))</f>
        <v>WH-Z1-AisleC-Bay1-Level5</v>
      </c>
      <c r="E49" t="s">
        <v>92</v>
      </c>
      <c r="F49" t="s">
        <v>101</v>
      </c>
      <c r="G49" s="36"/>
      <c r="H49" s="3" t="str">
        <f t="shared" si="0"/>
        <v/>
      </c>
      <c r="I49" s="3" t="s">
        <v>133</v>
      </c>
      <c r="J49" s="4" t="s">
        <v>103</v>
      </c>
      <c r="K49" s="3">
        <v>46052</v>
      </c>
      <c r="L49" s="4" t="s">
        <v>104</v>
      </c>
      <c r="M49" s="3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PAL-0000048</v>
      </c>
      <c r="Q49" s="41"/>
      <c r="R49" s="40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>
      <c r="A50" s="4" t="s">
        <v>228</v>
      </c>
      <c r="B50" s="4"/>
      <c r="C50" t="s">
        <v>229</v>
      </c>
      <c r="D50" t="str">
        <f>IF($C50="","",IFERROR(LOOKUP(2,1/('03_Warehouse_Movements'!$C$2:$C$500=$A50),'03_Warehouse_Movements'!$E$2:$E$500),$C50))</f>
        <v>WH-Z1-AisleC-Bay1-Level6</v>
      </c>
      <c r="E50" t="s">
        <v>92</v>
      </c>
      <c r="F50" t="s">
        <v>129</v>
      </c>
      <c r="G50" s="36">
        <v>14</v>
      </c>
      <c r="H50" s="3" t="str">
        <f t="shared" si="0"/>
        <v/>
      </c>
      <c r="I50" s="3" t="s">
        <v>136</v>
      </c>
      <c r="J50" s="4" t="s">
        <v>103</v>
      </c>
      <c r="K50" s="3">
        <v>46052</v>
      </c>
      <c r="L50" s="4" t="s">
        <v>104</v>
      </c>
      <c r="M50" s="3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PAL-0000049</v>
      </c>
      <c r="Q50" s="41"/>
      <c r="R50" s="40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>
      <c r="A51" s="4" t="s">
        <v>230</v>
      </c>
      <c r="B51" s="4" t="s">
        <v>231</v>
      </c>
      <c r="C51" t="s">
        <v>232</v>
      </c>
      <c r="D51" t="str">
        <f>IF($C51="","",IFERROR(LOOKUP(2,1/('03_Warehouse_Movements'!$C$2:$C$500=$A51),'03_Warehouse_Movements'!$E$2:$E$500),$C51))</f>
        <v>WH-Z1-AisleC-Bay1-Level7</v>
      </c>
      <c r="E51" t="s">
        <v>233</v>
      </c>
      <c r="F51" t="s">
        <v>101</v>
      </c>
      <c r="G51" s="36"/>
      <c r="H51" s="3" t="str">
        <f t="shared" si="0"/>
        <v/>
      </c>
      <c r="I51" s="3" t="s">
        <v>139</v>
      </c>
      <c r="J51" s="4" t="s">
        <v>103</v>
      </c>
      <c r="K51" s="3">
        <v>46052</v>
      </c>
      <c r="L51" s="4" t="s">
        <v>104</v>
      </c>
      <c r="M51" s="3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PAL-0000050</v>
      </c>
      <c r="Q51" s="41"/>
      <c r="R51" s="40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>
      <c r="A52" s="4" t="s">
        <v>234</v>
      </c>
      <c r="B52" s="4"/>
      <c r="C52" t="s">
        <v>235</v>
      </c>
      <c r="D52" t="str">
        <f>IF($C52="","",IFERROR(LOOKUP(2,1/('03_Warehouse_Movements'!$C$2:$C$500=$A52),'03_Warehouse_Movements'!$E$2:$E$500),$C52))</f>
        <v>WH-Z1-AisleC-Bay1-Level8</v>
      </c>
      <c r="E52" t="s">
        <v>233</v>
      </c>
      <c r="F52" t="s">
        <v>101</v>
      </c>
      <c r="G52" s="36"/>
      <c r="H52" s="3" t="str">
        <f t="shared" si="0"/>
        <v/>
      </c>
      <c r="I52" s="3" t="s">
        <v>143</v>
      </c>
      <c r="J52" s="4" t="s">
        <v>103</v>
      </c>
      <c r="K52" s="3">
        <v>46052</v>
      </c>
      <c r="L52" s="4" t="s">
        <v>104</v>
      </c>
      <c r="M52" s="3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PAL-0000051</v>
      </c>
      <c r="Q52" s="41"/>
      <c r="R52" s="40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>
      <c r="A53" s="4" t="s">
        <v>236</v>
      </c>
      <c r="B53" s="4"/>
      <c r="C53" t="s">
        <v>237</v>
      </c>
      <c r="D53" t="str">
        <f>IF($C53="","",IFERROR(LOOKUP(2,1/('03_Warehouse_Movements'!$C$2:$C$500=$A53),'03_Warehouse_Movements'!$E$2:$E$500),$C53))</f>
        <v>WH-Z1-AisleC-Bay1-Level9</v>
      </c>
      <c r="E53" t="s">
        <v>92</v>
      </c>
      <c r="F53" t="s">
        <v>101</v>
      </c>
      <c r="G53" s="36"/>
      <c r="H53" s="3" t="str">
        <f t="shared" si="0"/>
        <v/>
      </c>
      <c r="I53" s="3" t="s">
        <v>102</v>
      </c>
      <c r="J53" s="4" t="s">
        <v>103</v>
      </c>
      <c r="K53" s="3">
        <v>46052</v>
      </c>
      <c r="L53" s="4" t="s">
        <v>104</v>
      </c>
      <c r="M53" s="3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PAL-0000052</v>
      </c>
      <c r="Q53" s="41"/>
      <c r="R53" s="40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>
      <c r="A54" s="4" t="s">
        <v>238</v>
      </c>
      <c r="B54" s="4"/>
      <c r="C54" t="s">
        <v>239</v>
      </c>
      <c r="D54" t="str">
        <f>IF($C54="","",IFERROR(LOOKUP(2,1/('03_Warehouse_Movements'!$C$2:$C$500=$A54),'03_Warehouse_Movements'!$E$2:$E$500),$C54))</f>
        <v>WH-Z1-AisleC-Bay1-Level10</v>
      </c>
      <c r="E54" t="s">
        <v>92</v>
      </c>
      <c r="F54" t="s">
        <v>101</v>
      </c>
      <c r="G54" s="36"/>
      <c r="H54" s="3" t="str">
        <f t="shared" si="0"/>
        <v/>
      </c>
      <c r="I54" s="3" t="s">
        <v>148</v>
      </c>
      <c r="J54" s="4" t="s">
        <v>103</v>
      </c>
      <c r="K54" s="3">
        <v>46052</v>
      </c>
      <c r="L54" s="4" t="s">
        <v>104</v>
      </c>
      <c r="M54" s="3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PAL-0000053</v>
      </c>
      <c r="Q54" s="41"/>
      <c r="R54" s="40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>
      <c r="A55" s="4" t="s">
        <v>240</v>
      </c>
      <c r="B55" s="4"/>
      <c r="C55" t="s">
        <v>241</v>
      </c>
      <c r="D55" t="str">
        <f>IF($C55="","",IFERROR(LOOKUP(2,1/('03_Warehouse_Movements'!$C$2:$C$500=$A55),'03_Warehouse_Movements'!$E$2:$E$500),$C55))</f>
        <v>WH-Z1-AisleC-Bay1-Level11</v>
      </c>
      <c r="E55" t="s">
        <v>92</v>
      </c>
      <c r="F55" t="s">
        <v>101</v>
      </c>
      <c r="G55" s="36"/>
      <c r="H55" s="3" t="str">
        <f t="shared" si="0"/>
        <v/>
      </c>
      <c r="I55" s="3" t="s">
        <v>151</v>
      </c>
      <c r="J55" s="4" t="s">
        <v>103</v>
      </c>
      <c r="K55" s="3">
        <v>46052</v>
      </c>
      <c r="L55" s="4" t="s">
        <v>104</v>
      </c>
      <c r="M55" s="3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PAL-0000054</v>
      </c>
      <c r="Q55" s="41"/>
      <c r="R55" s="40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>
      <c r="A56" s="4" t="s">
        <v>242</v>
      </c>
      <c r="B56" s="4"/>
      <c r="C56" t="s">
        <v>243</v>
      </c>
      <c r="D56" t="str">
        <f>IF($C56="","",IFERROR(LOOKUP(2,1/('03_Warehouse_Movements'!$C$2:$C$500=$A56),'03_Warehouse_Movements'!$E$2:$E$500),$C56))</f>
        <v>WH-Z1-AisleC-Bay1-Level12</v>
      </c>
      <c r="E56" t="s">
        <v>92</v>
      </c>
      <c r="F56" t="s">
        <v>129</v>
      </c>
      <c r="G56" s="36">
        <v>14</v>
      </c>
      <c r="H56" s="3" t="str">
        <f t="shared" si="0"/>
        <v/>
      </c>
      <c r="I56" s="3" t="s">
        <v>155</v>
      </c>
      <c r="J56" s="4" t="s">
        <v>103</v>
      </c>
      <c r="K56" s="3">
        <v>46052</v>
      </c>
      <c r="L56" s="4" t="s">
        <v>104</v>
      </c>
      <c r="M56" s="3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PAL-0000055</v>
      </c>
      <c r="Q56" s="41"/>
      <c r="R56" s="40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>
      <c r="A57" s="4" t="s">
        <v>244</v>
      </c>
      <c r="B57" s="4"/>
      <c r="C57" t="s">
        <v>245</v>
      </c>
      <c r="D57" t="str">
        <f>IF($C57="","",IFERROR(LOOKUP(2,1/('03_Warehouse_Movements'!$C$2:$C$500=$A57),'03_Warehouse_Movements'!$E$2:$E$500),$C57))</f>
        <v>WH-Z1-AisleC-Bay1-Level13</v>
      </c>
      <c r="E57" t="s">
        <v>92</v>
      </c>
      <c r="F57" t="s">
        <v>101</v>
      </c>
      <c r="G57" s="36"/>
      <c r="H57" s="3" t="str">
        <f t="shared" si="0"/>
        <v/>
      </c>
      <c r="I57" s="3" t="s">
        <v>158</v>
      </c>
      <c r="J57" s="4" t="s">
        <v>103</v>
      </c>
      <c r="K57" s="3">
        <v>46052</v>
      </c>
      <c r="L57" s="4" t="s">
        <v>104</v>
      </c>
      <c r="M57" s="3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PAL-0000056</v>
      </c>
      <c r="Q57" s="41"/>
      <c r="R57" s="40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>
      <c r="A58" s="4" t="s">
        <v>246</v>
      </c>
      <c r="B58" s="4" t="s">
        <v>247</v>
      </c>
      <c r="C58" t="s">
        <v>248</v>
      </c>
      <c r="D58" t="str">
        <f>IF($C58="","",IFERROR(LOOKUP(2,1/('03_Warehouse_Movements'!$C$2:$C$500=$A58),'03_Warehouse_Movements'!$E$2:$E$500),$C58))</f>
        <v>WH-Z1-AisleC-Bay1-Level14</v>
      </c>
      <c r="E58" t="s">
        <v>92</v>
      </c>
      <c r="F58" t="s">
        <v>101</v>
      </c>
      <c r="G58" s="36"/>
      <c r="H58" s="3" t="str">
        <f t="shared" si="0"/>
        <v/>
      </c>
      <c r="I58" s="3" t="s">
        <v>161</v>
      </c>
      <c r="J58" s="4" t="s">
        <v>103</v>
      </c>
      <c r="K58" s="3">
        <v>46052</v>
      </c>
      <c r="L58" s="4" t="s">
        <v>104</v>
      </c>
      <c r="M58" s="3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PAL-0000057</v>
      </c>
      <c r="Q58" s="41"/>
      <c r="R58" s="40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>
      <c r="A59" s="4" t="s">
        <v>249</v>
      </c>
      <c r="B59" s="4"/>
      <c r="C59" t="s">
        <v>250</v>
      </c>
      <c r="D59" t="str">
        <f>IF($C59="","",IFERROR(LOOKUP(2,1/('03_Warehouse_Movements'!$C$2:$C$500=$A59),'03_Warehouse_Movements'!$E$2:$E$500),$C59))</f>
        <v>WH-Z1-AisleC-Bay1-Level15</v>
      </c>
      <c r="E59" t="s">
        <v>92</v>
      </c>
      <c r="F59" t="s">
        <v>101</v>
      </c>
      <c r="G59" s="36"/>
      <c r="H59" s="3" t="str">
        <f t="shared" si="0"/>
        <v/>
      </c>
      <c r="I59" s="3" t="s">
        <v>133</v>
      </c>
      <c r="J59" s="4" t="s">
        <v>103</v>
      </c>
      <c r="K59" s="3">
        <v>46052</v>
      </c>
      <c r="L59" s="4" t="s">
        <v>104</v>
      </c>
      <c r="M59" s="3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PAL-0000058</v>
      </c>
      <c r="Q59" s="41"/>
      <c r="R59" s="40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>
      <c r="A60" s="4" t="s">
        <v>251</v>
      </c>
      <c r="B60" s="4"/>
      <c r="C60" t="s">
        <v>252</v>
      </c>
      <c r="D60" t="str">
        <f>IF($C60="","",IFERROR(LOOKUP(2,1/('03_Warehouse_Movements'!$C$2:$C$500=$A60),'03_Warehouse_Movements'!$E$2:$E$500),$C60))</f>
        <v>WH-Z1-AisleC-Bay1-Level16</v>
      </c>
      <c r="E60" t="s">
        <v>92</v>
      </c>
      <c r="F60" t="s">
        <v>101</v>
      </c>
      <c r="G60" s="36"/>
      <c r="H60" s="3" t="str">
        <f t="shared" si="0"/>
        <v/>
      </c>
      <c r="I60" s="3" t="s">
        <v>136</v>
      </c>
      <c r="J60" s="4" t="s">
        <v>103</v>
      </c>
      <c r="K60" s="3">
        <v>46052</v>
      </c>
      <c r="L60" s="4" t="s">
        <v>104</v>
      </c>
      <c r="M60" s="3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PAL-0000059</v>
      </c>
      <c r="Q60" s="41"/>
      <c r="R60" s="40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>
      <c r="A61" s="4" t="s">
        <v>253</v>
      </c>
      <c r="B61" s="4"/>
      <c r="C61" t="s">
        <v>254</v>
      </c>
      <c r="D61" t="str">
        <f>IF($C61="","",IFERROR(LOOKUP(2,1/('03_Warehouse_Movements'!$C$2:$C$500=$A61),'03_Warehouse_Movements'!$E$2:$E$500),$C61))</f>
        <v>WH-Z1-AisleC-Bay1-Level17</v>
      </c>
      <c r="E61" t="s">
        <v>92</v>
      </c>
      <c r="F61" t="s">
        <v>101</v>
      </c>
      <c r="G61" s="36"/>
      <c r="H61" s="3" t="str">
        <f t="shared" si="0"/>
        <v/>
      </c>
      <c r="I61" s="3" t="s">
        <v>139</v>
      </c>
      <c r="J61" s="4" t="s">
        <v>103</v>
      </c>
      <c r="K61" s="3">
        <v>46052</v>
      </c>
      <c r="L61" s="4" t="s">
        <v>104</v>
      </c>
      <c r="M61" s="3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PAL-0000060</v>
      </c>
      <c r="Q61" s="41"/>
      <c r="R61" s="40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>
      <c r="A62" s="4" t="s">
        <v>255</v>
      </c>
      <c r="B62" s="4"/>
      <c r="D62" t="str">
        <f>IF($C62="","",IFERROR(LOOKUP(2,1/('03_Warehouse_Movements'!$C$2:$C$500=$A62),'03_Warehouse_Movements'!$E$2:$E$500),$C62))</f>
        <v/>
      </c>
      <c r="E62" t="s">
        <v>92</v>
      </c>
      <c r="G62" s="36"/>
      <c r="H62" s="3" t="str">
        <f t="shared" si="0"/>
        <v/>
      </c>
      <c r="I62" s="3"/>
      <c r="J62" s="4"/>
      <c r="K62" s="3"/>
      <c r="L62" s="4"/>
      <c r="M62" s="3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PAL-0000061</v>
      </c>
      <c r="Q62" s="41"/>
      <c r="R62" s="40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>
      <c r="A63" s="4" t="s">
        <v>256</v>
      </c>
      <c r="B63" s="4"/>
      <c r="D63" t="str">
        <f>IF($C63="","",IFERROR(LOOKUP(2,1/('03_Warehouse_Movements'!$C$2:$C$500=$A63),'03_Warehouse_Movements'!$E$2:$E$500),$C63))</f>
        <v/>
      </c>
      <c r="E63" t="s">
        <v>92</v>
      </c>
      <c r="G63" s="36"/>
      <c r="H63" s="3" t="str">
        <f t="shared" si="0"/>
        <v/>
      </c>
      <c r="I63" s="3"/>
      <c r="J63" s="4"/>
      <c r="K63" s="3"/>
      <c r="L63" s="4"/>
      <c r="M63" s="3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PAL-0000062</v>
      </c>
      <c r="Q63" s="41"/>
      <c r="R63" s="40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>
      <c r="A64" s="4" t="s">
        <v>257</v>
      </c>
      <c r="B64" s="4"/>
      <c r="D64" t="str">
        <f>IF($C64="","",IFERROR(LOOKUP(2,1/('03_Warehouse_Movements'!$C$2:$C$500=$A64),'03_Warehouse_Movements'!$E$2:$E$500),$C64))</f>
        <v/>
      </c>
      <c r="E64" t="s">
        <v>92</v>
      </c>
      <c r="G64" s="36"/>
      <c r="H64" s="3" t="str">
        <f t="shared" si="0"/>
        <v/>
      </c>
      <c r="I64" s="3"/>
      <c r="J64" s="4"/>
      <c r="K64" s="3"/>
      <c r="L64" s="4"/>
      <c r="M64" s="3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PAL-0000063</v>
      </c>
      <c r="Q64" s="41"/>
      <c r="R64" s="40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>
      <c r="A65" s="4" t="s">
        <v>258</v>
      </c>
      <c r="B65" s="4"/>
      <c r="D65" t="str">
        <f>IF($C65="","",IFERROR(LOOKUP(2,1/('03_Warehouse_Movements'!$C$2:$C$500=$A65),'03_Warehouse_Movements'!$E$2:$E$500),$C65))</f>
        <v/>
      </c>
      <c r="E65" t="s">
        <v>92</v>
      </c>
      <c r="G65" s="36"/>
      <c r="H65" s="3" t="str">
        <f t="shared" si="0"/>
        <v/>
      </c>
      <c r="I65" s="3"/>
      <c r="J65" s="4"/>
      <c r="K65" s="3"/>
      <c r="L65" s="4"/>
      <c r="M65" s="3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PAL-0000064</v>
      </c>
      <c r="Q65" s="41"/>
      <c r="R65" s="40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>
      <c r="A66" s="4" t="s">
        <v>259</v>
      </c>
      <c r="B66" s="4"/>
      <c r="D66" t="str">
        <f>IF($C66="","",IFERROR(LOOKUP(2,1/('03_Warehouse_Movements'!$C$2:$C$500=$A66),'03_Warehouse_Movements'!$E$2:$E$500),$C66))</f>
        <v/>
      </c>
      <c r="E66" t="s">
        <v>92</v>
      </c>
      <c r="G66" s="36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3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PAL-0000065</v>
      </c>
      <c r="Q66" s="41"/>
      <c r="R66" s="40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>
      <c r="A67" s="4" t="s">
        <v>260</v>
      </c>
      <c r="B67" s="4"/>
      <c r="D67" t="str">
        <f>IF($C67="","",IFERROR(LOOKUP(2,1/('03_Warehouse_Movements'!$C$2:$C$500=$A67),'03_Warehouse_Movements'!$E$2:$E$500),$C67))</f>
        <v/>
      </c>
      <c r="E67" t="s">
        <v>92</v>
      </c>
      <c r="G67" s="36"/>
      <c r="H67" s="3" t="str">
        <f t="shared" si="2"/>
        <v/>
      </c>
      <c r="I67" s="3"/>
      <c r="J67" s="4"/>
      <c r="K67" s="3"/>
      <c r="L67" s="4"/>
      <c r="M67" s="3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PAL-0000066</v>
      </c>
      <c r="Q67" s="41"/>
      <c r="R67" s="40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>
      <c r="A68" s="4" t="s">
        <v>261</v>
      </c>
      <c r="B68" s="4"/>
      <c r="D68" t="str">
        <f>IF($C68="","",IFERROR(LOOKUP(2,1/('03_Warehouse_Movements'!$C$2:$C$500=$A68),'03_Warehouse_Movements'!$E$2:$E$500),$C68))</f>
        <v/>
      </c>
      <c r="E68" t="s">
        <v>92</v>
      </c>
      <c r="G68" s="36"/>
      <c r="H68" s="3" t="str">
        <f t="shared" si="2"/>
        <v/>
      </c>
      <c r="I68" s="3"/>
      <c r="J68" s="4"/>
      <c r="K68" s="3"/>
      <c r="L68" s="4"/>
      <c r="M68" s="3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PAL-0000067</v>
      </c>
      <c r="Q68" s="41"/>
      <c r="R68" s="40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>
      <c r="A69" s="4" t="s">
        <v>262</v>
      </c>
      <c r="B69" s="4"/>
      <c r="D69" t="str">
        <f>IF($C69="","",IFERROR(LOOKUP(2,1/('03_Warehouse_Movements'!$C$2:$C$500=$A69),'03_Warehouse_Movements'!$E$2:$E$500),$C69))</f>
        <v/>
      </c>
      <c r="E69" t="s">
        <v>92</v>
      </c>
      <c r="G69" s="36"/>
      <c r="H69" s="3" t="str">
        <f t="shared" si="2"/>
        <v/>
      </c>
      <c r="I69" s="3"/>
      <c r="J69" s="4"/>
      <c r="K69" s="3"/>
      <c r="L69" s="4"/>
      <c r="M69" s="3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PAL-0000068</v>
      </c>
      <c r="Q69" s="41"/>
      <c r="R69" s="40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>
      <c r="A70" s="4" t="s">
        <v>263</v>
      </c>
      <c r="B70" s="4"/>
      <c r="D70" t="str">
        <f>IF($C70="","",IFERROR(LOOKUP(2,1/('03_Warehouse_Movements'!$C$2:$C$500=$A70),'03_Warehouse_Movements'!$E$2:$E$500),$C70))</f>
        <v/>
      </c>
      <c r="E70" t="s">
        <v>92</v>
      </c>
      <c r="G70" s="36"/>
      <c r="H70" s="3" t="str">
        <f t="shared" si="2"/>
        <v/>
      </c>
      <c r="I70" s="3"/>
      <c r="J70" s="4"/>
      <c r="K70" s="3"/>
      <c r="L70" s="4"/>
      <c r="M70" s="3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PAL-0000069</v>
      </c>
      <c r="Q70" s="41"/>
      <c r="R70" s="40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>
      <c r="A71" s="4" t="s">
        <v>264</v>
      </c>
      <c r="B71" s="4"/>
      <c r="D71" t="str">
        <f>IF($C71="","",IFERROR(LOOKUP(2,1/('03_Warehouse_Movements'!$C$2:$C$500=$A71),'03_Warehouse_Movements'!$E$2:$E$500),$C71))</f>
        <v/>
      </c>
      <c r="E71" t="s">
        <v>92</v>
      </c>
      <c r="G71" s="36"/>
      <c r="H71" s="3" t="str">
        <f t="shared" si="2"/>
        <v/>
      </c>
      <c r="I71" s="3"/>
      <c r="J71" s="4"/>
      <c r="K71" s="3"/>
      <c r="L71" s="4"/>
      <c r="M71" s="3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PAL-0000070</v>
      </c>
      <c r="Q71" s="41"/>
      <c r="R71" s="40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>
      <c r="A72" s="4" t="s">
        <v>265</v>
      </c>
      <c r="B72" s="4"/>
      <c r="D72" t="str">
        <f>IF($C72="","",IFERROR(LOOKUP(2,1/('03_Warehouse_Movements'!$C$2:$C$500=$A72),'03_Warehouse_Movements'!$E$2:$E$500),$C72))</f>
        <v/>
      </c>
      <c r="E72" t="s">
        <v>92</v>
      </c>
      <c r="G72" s="36"/>
      <c r="H72" s="3" t="str">
        <f t="shared" si="2"/>
        <v/>
      </c>
      <c r="I72" s="3"/>
      <c r="J72" s="4"/>
      <c r="K72" s="3"/>
      <c r="L72" s="4"/>
      <c r="M72" s="3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PAL-0000071</v>
      </c>
      <c r="Q72" s="41"/>
      <c r="R72" s="40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>
      <c r="A73" s="4" t="s">
        <v>266</v>
      </c>
      <c r="B73" s="4"/>
      <c r="D73" t="str">
        <f>IF($C73="","",IFERROR(LOOKUP(2,1/('03_Warehouse_Movements'!$C$2:$C$500=$A73),'03_Warehouse_Movements'!$E$2:$E$500),$C73))</f>
        <v/>
      </c>
      <c r="E73" t="s">
        <v>92</v>
      </c>
      <c r="G73" s="36"/>
      <c r="H73" s="3" t="str">
        <f t="shared" si="2"/>
        <v/>
      </c>
      <c r="I73" s="3"/>
      <c r="J73" s="4"/>
      <c r="K73" s="3"/>
      <c r="L73" s="4"/>
      <c r="M73" s="3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PAL-0000072</v>
      </c>
      <c r="Q73" s="41"/>
      <c r="R73" s="40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>
      <c r="A74" s="4" t="s">
        <v>267</v>
      </c>
      <c r="B74" s="4"/>
      <c r="D74" t="str">
        <f>IF($C74="","",IFERROR(LOOKUP(2,1/('03_Warehouse_Movements'!$C$2:$C$500=$A74),'03_Warehouse_Movements'!$E$2:$E$500),$C74))</f>
        <v/>
      </c>
      <c r="E74" t="s">
        <v>92</v>
      </c>
      <c r="G74" s="36"/>
      <c r="H74" s="3" t="str">
        <f t="shared" si="2"/>
        <v/>
      </c>
      <c r="I74" s="3"/>
      <c r="J74" s="4"/>
      <c r="K74" s="3"/>
      <c r="L74" s="4"/>
      <c r="M74" s="3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PAL-0000073</v>
      </c>
      <c r="Q74" s="41"/>
      <c r="R74" s="40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>
      <c r="A75" s="4" t="s">
        <v>268</v>
      </c>
      <c r="B75" s="4"/>
      <c r="D75" t="str">
        <f>IF($C75="","",IFERROR(LOOKUP(2,1/('03_Warehouse_Movements'!$C$2:$C$500=$A75),'03_Warehouse_Movements'!$E$2:$E$500),$C75))</f>
        <v/>
      </c>
      <c r="E75" t="s">
        <v>92</v>
      </c>
      <c r="G75" s="36"/>
      <c r="H75" s="3" t="str">
        <f t="shared" si="2"/>
        <v/>
      </c>
      <c r="I75" s="3"/>
      <c r="J75" s="4"/>
      <c r="K75" s="3"/>
      <c r="L75" s="4"/>
      <c r="M75" s="3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PAL-0000074</v>
      </c>
      <c r="Q75" s="41"/>
      <c r="R75" s="40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>
      <c r="A76" s="4" t="s">
        <v>269</v>
      </c>
      <c r="B76" s="4"/>
      <c r="D76" t="str">
        <f>IF($C76="","",IFERROR(LOOKUP(2,1/('03_Warehouse_Movements'!$C$2:$C$500=$A76),'03_Warehouse_Movements'!$E$2:$E$500),$C76))</f>
        <v/>
      </c>
      <c r="E76" t="s">
        <v>92</v>
      </c>
      <c r="G76" s="36"/>
      <c r="H76" s="3" t="str">
        <f t="shared" si="2"/>
        <v/>
      </c>
      <c r="I76" s="3"/>
      <c r="J76" s="4"/>
      <c r="K76" s="3"/>
      <c r="L76" s="4"/>
      <c r="M76" s="3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PAL-0000075</v>
      </c>
      <c r="Q76" s="41"/>
      <c r="R76" s="40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>
      <c r="A77" s="4" t="s">
        <v>270</v>
      </c>
      <c r="B77" s="4"/>
      <c r="D77" t="str">
        <f>IF($C77="","",IFERROR(LOOKUP(2,1/('03_Warehouse_Movements'!$C$2:$C$500=$A77),'03_Warehouse_Movements'!$E$2:$E$500),$C77))</f>
        <v/>
      </c>
      <c r="E77" t="s">
        <v>92</v>
      </c>
      <c r="G77" s="36"/>
      <c r="H77" s="3" t="str">
        <f t="shared" si="2"/>
        <v/>
      </c>
      <c r="I77" s="3"/>
      <c r="J77" s="4"/>
      <c r="K77" s="3"/>
      <c r="L77" s="4"/>
      <c r="M77" s="3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PAL-0000076</v>
      </c>
      <c r="Q77" s="41"/>
      <c r="R77" s="40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>
      <c r="A78" s="4" t="s">
        <v>271</v>
      </c>
      <c r="B78" s="4"/>
      <c r="D78" t="str">
        <f>IF($C78="","",IFERROR(LOOKUP(2,1/('03_Warehouse_Movements'!$C$2:$C$500=$A78),'03_Warehouse_Movements'!$E$2:$E$500),$C78))</f>
        <v/>
      </c>
      <c r="E78" t="s">
        <v>92</v>
      </c>
      <c r="G78" s="36"/>
      <c r="H78" s="3" t="str">
        <f t="shared" si="2"/>
        <v/>
      </c>
      <c r="I78" s="3"/>
      <c r="J78" s="4"/>
      <c r="K78" s="3"/>
      <c r="L78" s="4"/>
      <c r="M78" s="3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PAL-0000077</v>
      </c>
      <c r="Q78" s="41"/>
      <c r="R78" s="40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>
      <c r="A79" s="4" t="s">
        <v>272</v>
      </c>
      <c r="B79" s="4"/>
      <c r="D79" t="str">
        <f>IF($C79="","",IFERROR(LOOKUP(2,1/('03_Warehouse_Movements'!$C$2:$C$500=$A79),'03_Warehouse_Movements'!$E$2:$E$500),$C79))</f>
        <v/>
      </c>
      <c r="E79" t="s">
        <v>92</v>
      </c>
      <c r="G79" s="36"/>
      <c r="H79" s="3" t="str">
        <f t="shared" si="2"/>
        <v/>
      </c>
      <c r="I79" s="3"/>
      <c r="J79" s="4"/>
      <c r="K79" s="3"/>
      <c r="L79" s="4"/>
      <c r="M79" s="3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PAL-0000078</v>
      </c>
      <c r="Q79" s="41"/>
      <c r="R79" s="40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>
      <c r="A80" s="4" t="s">
        <v>273</v>
      </c>
      <c r="B80" s="4"/>
      <c r="D80" t="str">
        <f>IF($C80="","",IFERROR(LOOKUP(2,1/('03_Warehouse_Movements'!$C$2:$C$500=$A80),'03_Warehouse_Movements'!$E$2:$E$500),$C80))</f>
        <v/>
      </c>
      <c r="E80" t="s">
        <v>92</v>
      </c>
      <c r="G80" s="36"/>
      <c r="H80" s="3" t="str">
        <f t="shared" si="2"/>
        <v/>
      </c>
      <c r="I80" s="3"/>
      <c r="J80" s="4"/>
      <c r="K80" s="3"/>
      <c r="L80" s="4"/>
      <c r="M80" s="3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PAL-0000079</v>
      </c>
      <c r="Q80" s="41"/>
      <c r="R80" s="40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>
      <c r="A81" s="4" t="s">
        <v>274</v>
      </c>
      <c r="B81" s="4"/>
      <c r="D81" t="str">
        <f>IF($C81="","",IFERROR(LOOKUP(2,1/('03_Warehouse_Movements'!$C$2:$C$500=$A81),'03_Warehouse_Movements'!$E$2:$E$500),$C81))</f>
        <v/>
      </c>
      <c r="E81" t="s">
        <v>92</v>
      </c>
      <c r="G81" s="36"/>
      <c r="H81" s="3" t="str">
        <f t="shared" si="2"/>
        <v/>
      </c>
      <c r="I81" s="3"/>
      <c r="J81" s="4"/>
      <c r="K81" s="3"/>
      <c r="L81" s="4"/>
      <c r="M81" s="3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PAL-0000080</v>
      </c>
      <c r="Q81" s="41"/>
      <c r="R81" s="40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>
      <c r="A82" s="4" t="s">
        <v>275</v>
      </c>
      <c r="B82" s="4"/>
      <c r="D82" t="str">
        <f>IF($C82="","",IFERROR(LOOKUP(2,1/('03_Warehouse_Movements'!$C$2:$C$500=$A82),'03_Warehouse_Movements'!$E$2:$E$500),$C82))</f>
        <v/>
      </c>
      <c r="E82" t="s">
        <v>92</v>
      </c>
      <c r="G82" s="36"/>
      <c r="H82" s="3" t="str">
        <f t="shared" si="2"/>
        <v/>
      </c>
      <c r="I82" s="3"/>
      <c r="J82" s="4"/>
      <c r="K82" s="3"/>
      <c r="L82" s="4"/>
      <c r="M82" s="3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PAL-0000081</v>
      </c>
      <c r="Q82" s="41"/>
      <c r="R82" s="40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>
      <c r="A83" s="4" t="s">
        <v>276</v>
      </c>
      <c r="B83" s="4"/>
      <c r="D83" t="str">
        <f>IF($C83="","",IFERROR(LOOKUP(2,1/('03_Warehouse_Movements'!$C$2:$C$500=$A83),'03_Warehouse_Movements'!$E$2:$E$500),$C83))</f>
        <v/>
      </c>
      <c r="E83" t="s">
        <v>92</v>
      </c>
      <c r="G83" s="36"/>
      <c r="H83" s="3" t="str">
        <f t="shared" si="2"/>
        <v/>
      </c>
      <c r="I83" s="3"/>
      <c r="J83" s="4"/>
      <c r="K83" s="3"/>
      <c r="L83" s="4"/>
      <c r="M83" s="3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PAL-0000082</v>
      </c>
      <c r="Q83" s="41"/>
      <c r="R83" s="40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>
      <c r="A84" s="4" t="s">
        <v>277</v>
      </c>
      <c r="B84" s="4"/>
      <c r="D84" t="str">
        <f>IF($C84="","",IFERROR(LOOKUP(2,1/('03_Warehouse_Movements'!$C$2:$C$500=$A84),'03_Warehouse_Movements'!$E$2:$E$500),$C84))</f>
        <v/>
      </c>
      <c r="E84" t="s">
        <v>92</v>
      </c>
      <c r="G84" s="36"/>
      <c r="H84" s="3" t="str">
        <f t="shared" si="2"/>
        <v/>
      </c>
      <c r="I84" s="3"/>
      <c r="J84" s="4"/>
      <c r="K84" s="3"/>
      <c r="L84" s="4"/>
      <c r="M84" s="3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PAL-0000083</v>
      </c>
      <c r="Q84" s="41"/>
      <c r="R84" s="40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>
      <c r="A85" s="4" t="s">
        <v>278</v>
      </c>
      <c r="B85" s="4"/>
      <c r="D85" t="str">
        <f>IF($C85="","",IFERROR(LOOKUP(2,1/('03_Warehouse_Movements'!$C$2:$C$500=$A85),'03_Warehouse_Movements'!$E$2:$E$500),$C85))</f>
        <v/>
      </c>
      <c r="E85" t="s">
        <v>92</v>
      </c>
      <c r="G85" s="36"/>
      <c r="H85" s="3" t="str">
        <f t="shared" si="2"/>
        <v/>
      </c>
      <c r="I85" s="3"/>
      <c r="J85" s="4"/>
      <c r="K85" s="3"/>
      <c r="L85" s="4"/>
      <c r="M85" s="3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PAL-0000084</v>
      </c>
      <c r="Q85" s="41"/>
      <c r="R85" s="40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>
      <c r="A86" s="4" t="s">
        <v>279</v>
      </c>
      <c r="B86" s="4"/>
      <c r="D86" t="str">
        <f>IF($C86="","",IFERROR(LOOKUP(2,1/('03_Warehouse_Movements'!$C$2:$C$500=$A86),'03_Warehouse_Movements'!$E$2:$E$500),$C86))</f>
        <v/>
      </c>
      <c r="E86" t="s">
        <v>92</v>
      </c>
      <c r="G86" s="36"/>
      <c r="H86" s="3" t="str">
        <f t="shared" si="2"/>
        <v/>
      </c>
      <c r="I86" s="3"/>
      <c r="J86" s="4"/>
      <c r="K86" s="3"/>
      <c r="L86" s="4"/>
      <c r="M86" s="3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PAL-0000085</v>
      </c>
      <c r="Q86" s="41"/>
      <c r="R86" s="40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>
      <c r="A87" s="4" t="s">
        <v>280</v>
      </c>
      <c r="B87" s="4"/>
      <c r="D87" t="str">
        <f>IF($C87="","",IFERROR(LOOKUP(2,1/('03_Warehouse_Movements'!$C$2:$C$500=$A87),'03_Warehouse_Movements'!$E$2:$E$500),$C87))</f>
        <v/>
      </c>
      <c r="E87" t="s">
        <v>92</v>
      </c>
      <c r="G87" s="36"/>
      <c r="H87" s="3" t="str">
        <f t="shared" si="2"/>
        <v/>
      </c>
      <c r="I87" s="3"/>
      <c r="J87" s="4"/>
      <c r="K87" s="3"/>
      <c r="L87" s="4"/>
      <c r="M87" s="3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PAL-0000086</v>
      </c>
      <c r="Q87" s="41"/>
      <c r="R87" s="40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>
      <c r="A88" s="4" t="s">
        <v>281</v>
      </c>
      <c r="B88" s="4"/>
      <c r="D88" t="str">
        <f>IF($C88="","",IFERROR(LOOKUP(2,1/('03_Warehouse_Movements'!$C$2:$C$500=$A88),'03_Warehouse_Movements'!$E$2:$E$500),$C88))</f>
        <v/>
      </c>
      <c r="E88" t="s">
        <v>92</v>
      </c>
      <c r="G88" s="36"/>
      <c r="H88" s="3" t="str">
        <f t="shared" si="2"/>
        <v/>
      </c>
      <c r="I88" s="3"/>
      <c r="J88" s="4"/>
      <c r="K88" s="3"/>
      <c r="L88" s="4"/>
      <c r="M88" s="3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PAL-0000087</v>
      </c>
      <c r="Q88" s="41"/>
      <c r="R88" s="40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>
      <c r="A89" s="4" t="s">
        <v>282</v>
      </c>
      <c r="B89" s="4"/>
      <c r="D89" t="str">
        <f>IF($C89="","",IFERROR(LOOKUP(2,1/('03_Warehouse_Movements'!$C$2:$C$500=$A89),'03_Warehouse_Movements'!$E$2:$E$500),$C89))</f>
        <v/>
      </c>
      <c r="E89" t="s">
        <v>92</v>
      </c>
      <c r="G89" s="36"/>
      <c r="H89" s="3" t="str">
        <f t="shared" si="2"/>
        <v/>
      </c>
      <c r="I89" s="3"/>
      <c r="J89" s="4"/>
      <c r="K89" s="3"/>
      <c r="L89" s="4"/>
      <c r="M89" s="3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PAL-0000088</v>
      </c>
      <c r="Q89" s="41"/>
      <c r="R89" s="40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>
      <c r="A90" s="4" t="s">
        <v>283</v>
      </c>
      <c r="B90" s="4"/>
      <c r="D90" t="str">
        <f>IF($C90="","",IFERROR(LOOKUP(2,1/('03_Warehouse_Movements'!$C$2:$C$500=$A90),'03_Warehouse_Movements'!$E$2:$E$500),$C90))</f>
        <v/>
      </c>
      <c r="E90" t="s">
        <v>92</v>
      </c>
      <c r="G90" s="36"/>
      <c r="H90" s="3" t="str">
        <f t="shared" si="2"/>
        <v/>
      </c>
      <c r="I90" s="3"/>
      <c r="J90" s="4"/>
      <c r="K90" s="3"/>
      <c r="L90" s="4"/>
      <c r="M90" s="3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PAL-0000089</v>
      </c>
      <c r="Q90" s="41"/>
      <c r="R90" s="40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>
      <c r="A91" s="4" t="s">
        <v>284</v>
      </c>
      <c r="B91" s="4"/>
      <c r="D91" t="str">
        <f>IF($C91="","",IFERROR(LOOKUP(2,1/('03_Warehouse_Movements'!$C$2:$C$500=$A91),'03_Warehouse_Movements'!$E$2:$E$500),$C91))</f>
        <v/>
      </c>
      <c r="E91" t="s">
        <v>92</v>
      </c>
      <c r="G91" s="36"/>
      <c r="H91" s="3" t="str">
        <f t="shared" si="2"/>
        <v/>
      </c>
      <c r="I91" s="3"/>
      <c r="J91" s="4"/>
      <c r="K91" s="3"/>
      <c r="L91" s="4"/>
      <c r="M91" s="3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PAL-0000090</v>
      </c>
      <c r="Q91" s="41"/>
      <c r="R91" s="40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>
      <c r="A92" s="4" t="s">
        <v>285</v>
      </c>
      <c r="B92" s="4"/>
      <c r="D92" t="str">
        <f>IF($C92="","",IFERROR(LOOKUP(2,1/('03_Warehouse_Movements'!$C$2:$C$500=$A92),'03_Warehouse_Movements'!$E$2:$E$500),$C92))</f>
        <v/>
      </c>
      <c r="E92" t="s">
        <v>92</v>
      </c>
      <c r="G92" s="36"/>
      <c r="H92" s="3" t="str">
        <f t="shared" si="2"/>
        <v/>
      </c>
      <c r="I92" s="3"/>
      <c r="J92" s="4"/>
      <c r="K92" s="3"/>
      <c r="L92" s="4"/>
      <c r="M92" s="3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PAL-0000091</v>
      </c>
      <c r="Q92" s="41"/>
      <c r="R92" s="40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>
      <c r="A93" s="4" t="s">
        <v>286</v>
      </c>
      <c r="B93" s="4"/>
      <c r="D93" t="str">
        <f>IF($C93="","",IFERROR(LOOKUP(2,1/('03_Warehouse_Movements'!$C$2:$C$500=$A93),'03_Warehouse_Movements'!$E$2:$E$500),$C93))</f>
        <v/>
      </c>
      <c r="E93" t="s">
        <v>92</v>
      </c>
      <c r="G93" s="36"/>
      <c r="H93" s="3" t="str">
        <f t="shared" si="2"/>
        <v/>
      </c>
      <c r="I93" s="3"/>
      <c r="J93" s="4"/>
      <c r="K93" s="3"/>
      <c r="L93" s="4"/>
      <c r="M93" s="3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PAL-0000092</v>
      </c>
      <c r="Q93" s="41"/>
      <c r="R93" s="40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>
      <c r="A94" s="4" t="s">
        <v>287</v>
      </c>
      <c r="B94" s="4"/>
      <c r="D94" t="str">
        <f>IF($C94="","",IFERROR(LOOKUP(2,1/('03_Warehouse_Movements'!$C$2:$C$500=$A94),'03_Warehouse_Movements'!$E$2:$E$500),$C94))</f>
        <v/>
      </c>
      <c r="E94" t="s">
        <v>92</v>
      </c>
      <c r="G94" s="36"/>
      <c r="H94" s="3" t="str">
        <f t="shared" si="2"/>
        <v/>
      </c>
      <c r="I94" s="3"/>
      <c r="J94" s="4"/>
      <c r="K94" s="3"/>
      <c r="L94" s="4"/>
      <c r="M94" s="3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PAL-0000093</v>
      </c>
      <c r="Q94" s="41"/>
      <c r="R94" s="40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>
      <c r="A95" s="4" t="s">
        <v>288</v>
      </c>
      <c r="B95" s="4"/>
      <c r="D95" t="str">
        <f>IF($C95="","",IFERROR(LOOKUP(2,1/('03_Warehouse_Movements'!$C$2:$C$500=$A95),'03_Warehouse_Movements'!$E$2:$E$500),$C95))</f>
        <v/>
      </c>
      <c r="E95" t="s">
        <v>92</v>
      </c>
      <c r="G95" s="36"/>
      <c r="H95" s="3" t="str">
        <f t="shared" si="2"/>
        <v/>
      </c>
      <c r="I95" s="3"/>
      <c r="J95" s="4"/>
      <c r="K95" s="3"/>
      <c r="L95" s="4"/>
      <c r="M95" s="3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PAL-0000094</v>
      </c>
      <c r="Q95" s="41"/>
      <c r="R95" s="40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>
      <c r="A96" s="4" t="s">
        <v>289</v>
      </c>
      <c r="B96" s="4"/>
      <c r="D96" t="str">
        <f>IF($C96="","",IFERROR(LOOKUP(2,1/('03_Warehouse_Movements'!$C$2:$C$500=$A96),'03_Warehouse_Movements'!$E$2:$E$500),$C96))</f>
        <v/>
      </c>
      <c r="E96" t="s">
        <v>92</v>
      </c>
      <c r="G96" s="36"/>
      <c r="H96" s="3" t="str">
        <f t="shared" si="2"/>
        <v/>
      </c>
      <c r="I96" s="3"/>
      <c r="J96" s="4"/>
      <c r="K96" s="3"/>
      <c r="L96" s="4"/>
      <c r="M96" s="3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PAL-0000095</v>
      </c>
      <c r="Q96" s="41"/>
      <c r="R96" s="40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>
      <c r="A97" s="4" t="s">
        <v>290</v>
      </c>
      <c r="B97" s="4"/>
      <c r="D97" t="str">
        <f>IF($C97="","",IFERROR(LOOKUP(2,1/('03_Warehouse_Movements'!$C$2:$C$500=$A97),'03_Warehouse_Movements'!$E$2:$E$500),$C97))</f>
        <v/>
      </c>
      <c r="E97" t="s">
        <v>92</v>
      </c>
      <c r="G97" s="36"/>
      <c r="H97" s="3" t="str">
        <f t="shared" si="2"/>
        <v/>
      </c>
      <c r="I97" s="3"/>
      <c r="J97" s="4"/>
      <c r="K97" s="3"/>
      <c r="L97" s="4"/>
      <c r="M97" s="3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PAL-0000096</v>
      </c>
      <c r="Q97" s="41"/>
      <c r="R97" s="40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>
      <c r="A98" s="4" t="s">
        <v>291</v>
      </c>
      <c r="B98" s="4"/>
      <c r="D98" t="str">
        <f>IF($C98="","",IFERROR(LOOKUP(2,1/('03_Warehouse_Movements'!$C$2:$C$500=$A98),'03_Warehouse_Movements'!$E$2:$E$500),$C98))</f>
        <v/>
      </c>
      <c r="E98" t="s">
        <v>92</v>
      </c>
      <c r="G98" s="36"/>
      <c r="H98" s="3" t="str">
        <f t="shared" si="2"/>
        <v/>
      </c>
      <c r="I98" s="3"/>
      <c r="J98" s="4"/>
      <c r="K98" s="3"/>
      <c r="L98" s="4"/>
      <c r="M98" s="3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PAL-0000097</v>
      </c>
      <c r="Q98" s="41"/>
      <c r="R98" s="40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>
      <c r="A99" s="4" t="s">
        <v>292</v>
      </c>
      <c r="B99" s="4"/>
      <c r="D99" t="str">
        <f>IF($C99="","",IFERROR(LOOKUP(2,1/('03_Warehouse_Movements'!$C$2:$C$500=$A99),'03_Warehouse_Movements'!$E$2:$E$500),$C99))</f>
        <v/>
      </c>
      <c r="E99" t="s">
        <v>92</v>
      </c>
      <c r="G99" s="36"/>
      <c r="H99" s="3" t="str">
        <f t="shared" si="2"/>
        <v/>
      </c>
      <c r="I99" s="3"/>
      <c r="J99" s="4"/>
      <c r="K99" s="3"/>
      <c r="L99" s="4"/>
      <c r="M99" s="3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PAL-0000098</v>
      </c>
      <c r="Q99" s="41"/>
      <c r="R99" s="40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>
      <c r="A100" s="4" t="s">
        <v>293</v>
      </c>
      <c r="B100" s="4"/>
      <c r="D100" t="str">
        <f>IF($C100="","",IFERROR(LOOKUP(2,1/('03_Warehouse_Movements'!$C$2:$C$500=$A100),'03_Warehouse_Movements'!$E$2:$E$500),$C100))</f>
        <v/>
      </c>
      <c r="E100" t="s">
        <v>92</v>
      </c>
      <c r="G100" s="36"/>
      <c r="H100" s="3" t="str">
        <f t="shared" si="2"/>
        <v/>
      </c>
      <c r="I100" s="3"/>
      <c r="J100" s="4"/>
      <c r="K100" s="3"/>
      <c r="L100" s="4"/>
      <c r="M100" s="3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PAL-0000099</v>
      </c>
      <c r="Q100" s="41"/>
      <c r="R100" s="40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>
      <c r="A101" s="4" t="s">
        <v>294</v>
      </c>
      <c r="B101" s="4"/>
      <c r="D101" t="str">
        <f>IF($C101="","",IFERROR(LOOKUP(2,1/('03_Warehouse_Movements'!$C$2:$C$500=$A101),'03_Warehouse_Movements'!$E$2:$E$500),$C101))</f>
        <v/>
      </c>
      <c r="E101" t="s">
        <v>92</v>
      </c>
      <c r="G101" s="36"/>
      <c r="H101" s="3" t="str">
        <f t="shared" si="2"/>
        <v/>
      </c>
      <c r="I101" s="3"/>
      <c r="J101" s="4"/>
      <c r="K101" s="3"/>
      <c r="L101" s="4"/>
      <c r="M101" s="3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PAL-0000100</v>
      </c>
      <c r="Q101" s="41"/>
      <c r="R101" s="40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>
      <c r="A102" s="4" t="s">
        <v>295</v>
      </c>
      <c r="B102" s="4"/>
      <c r="D102" t="str">
        <f>IF($C102="","",IFERROR(LOOKUP(2,1/('03_Warehouse_Movements'!$C$2:$C$500=$A102),'03_Warehouse_Movements'!$E$2:$E$500),$C102))</f>
        <v/>
      </c>
      <c r="E102" t="s">
        <v>92</v>
      </c>
      <c r="G102" s="36"/>
      <c r="H102" s="3" t="str">
        <f t="shared" si="2"/>
        <v/>
      </c>
      <c r="I102" s="3"/>
      <c r="J102" s="4"/>
      <c r="K102" s="3"/>
      <c r="L102" s="4"/>
      <c r="M102" s="3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PAL-0000101</v>
      </c>
      <c r="Q102" s="41"/>
      <c r="R102" s="40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>
      <c r="A103" s="4" t="s">
        <v>296</v>
      </c>
      <c r="B103" s="4"/>
      <c r="D103" t="str">
        <f>IF($C103="","",IFERROR(LOOKUP(2,1/('03_Warehouse_Movements'!$C$2:$C$500=$A103),'03_Warehouse_Movements'!$E$2:$E$500),$C103))</f>
        <v/>
      </c>
      <c r="E103" t="s">
        <v>92</v>
      </c>
      <c r="G103" s="36"/>
      <c r="H103" s="3" t="str">
        <f t="shared" si="2"/>
        <v/>
      </c>
      <c r="I103" s="3"/>
      <c r="J103" s="4"/>
      <c r="K103" s="3"/>
      <c r="L103" s="4"/>
      <c r="M103" s="3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PAL-0000102</v>
      </c>
      <c r="Q103" s="41"/>
      <c r="R103" s="40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>
      <c r="A104" s="4" t="s">
        <v>297</v>
      </c>
      <c r="B104" s="4"/>
      <c r="D104" t="str">
        <f>IF($C104="","",IFERROR(LOOKUP(2,1/('03_Warehouse_Movements'!$C$2:$C$500=$A104),'03_Warehouse_Movements'!$E$2:$E$500),$C104))</f>
        <v/>
      </c>
      <c r="E104" t="s">
        <v>92</v>
      </c>
      <c r="G104" s="36"/>
      <c r="H104" s="3" t="str">
        <f t="shared" si="2"/>
        <v/>
      </c>
      <c r="I104" s="3"/>
      <c r="J104" s="4"/>
      <c r="K104" s="3"/>
      <c r="L104" s="4"/>
      <c r="M104" s="3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PAL-0000103</v>
      </c>
      <c r="Q104" s="41"/>
      <c r="R104" s="40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>
      <c r="A105" s="4" t="s">
        <v>298</v>
      </c>
      <c r="B105" s="4"/>
      <c r="D105" t="str">
        <f>IF($C105="","",IFERROR(LOOKUP(2,1/('03_Warehouse_Movements'!$C$2:$C$500=$A105),'03_Warehouse_Movements'!$E$2:$E$500),$C105))</f>
        <v/>
      </c>
      <c r="E105" t="s">
        <v>92</v>
      </c>
      <c r="G105" s="36"/>
      <c r="H105" s="3" t="str">
        <f t="shared" si="2"/>
        <v/>
      </c>
      <c r="I105" s="3"/>
      <c r="J105" s="4"/>
      <c r="K105" s="3"/>
      <c r="L105" s="4"/>
      <c r="M105" s="3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PAL-0000104</v>
      </c>
      <c r="Q105" s="41"/>
      <c r="R105" s="40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>
      <c r="A106" s="4" t="s">
        <v>299</v>
      </c>
      <c r="B106" s="4"/>
      <c r="D106" t="str">
        <f>IF($C106="","",IFERROR(LOOKUP(2,1/('03_Warehouse_Movements'!$C$2:$C$500=$A106),'03_Warehouse_Movements'!$E$2:$E$500),$C106))</f>
        <v/>
      </c>
      <c r="E106" t="s">
        <v>92</v>
      </c>
      <c r="G106" s="36"/>
      <c r="H106" s="3" t="str">
        <f t="shared" si="2"/>
        <v/>
      </c>
      <c r="I106" s="3"/>
      <c r="J106" s="4"/>
      <c r="K106" s="3"/>
      <c r="L106" s="4"/>
      <c r="M106" s="3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PAL-0000105</v>
      </c>
      <c r="Q106" s="41"/>
      <c r="R106" s="40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>
      <c r="A107" s="4" t="s">
        <v>300</v>
      </c>
      <c r="B107" s="4"/>
      <c r="D107" t="str">
        <f>IF($C107="","",IFERROR(LOOKUP(2,1/('03_Warehouse_Movements'!$C$2:$C$500=$A107),'03_Warehouse_Movements'!$E$2:$E$500),$C107))</f>
        <v/>
      </c>
      <c r="E107" t="s">
        <v>92</v>
      </c>
      <c r="G107" s="36"/>
      <c r="H107" s="3" t="str">
        <f t="shared" si="2"/>
        <v/>
      </c>
      <c r="I107" s="3"/>
      <c r="J107" s="4"/>
      <c r="K107" s="3"/>
      <c r="L107" s="4"/>
      <c r="M107" s="3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PAL-0000106</v>
      </c>
      <c r="Q107" s="41"/>
      <c r="R107" s="40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>
      <c r="A108" s="4" t="s">
        <v>301</v>
      </c>
      <c r="B108" s="4"/>
      <c r="D108" t="str">
        <f>IF($C108="","",IFERROR(LOOKUP(2,1/('03_Warehouse_Movements'!$C$2:$C$500=$A108),'03_Warehouse_Movements'!$E$2:$E$500),$C108))</f>
        <v/>
      </c>
      <c r="E108" t="s">
        <v>92</v>
      </c>
      <c r="G108" s="36"/>
      <c r="H108" s="3" t="str">
        <f t="shared" si="2"/>
        <v/>
      </c>
      <c r="I108" s="3"/>
      <c r="J108" s="4"/>
      <c r="K108" s="3"/>
      <c r="L108" s="4"/>
      <c r="M108" s="3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PAL-0000107</v>
      </c>
      <c r="Q108" s="41"/>
      <c r="R108" s="40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>
      <c r="A109" s="4" t="s">
        <v>302</v>
      </c>
      <c r="B109" s="4"/>
      <c r="D109" t="str">
        <f>IF($C109="","",IFERROR(LOOKUP(2,1/('03_Warehouse_Movements'!$C$2:$C$500=$A109),'03_Warehouse_Movements'!$E$2:$E$500),$C109))</f>
        <v/>
      </c>
      <c r="E109" t="s">
        <v>92</v>
      </c>
      <c r="G109" s="36"/>
      <c r="H109" s="3" t="str">
        <f t="shared" si="2"/>
        <v/>
      </c>
      <c r="I109" s="3"/>
      <c r="J109" s="4"/>
      <c r="K109" s="3"/>
      <c r="L109" s="4"/>
      <c r="M109" s="3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PAL-0000108</v>
      </c>
      <c r="Q109" s="41"/>
      <c r="R109" s="40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>
      <c r="A110" s="4" t="s">
        <v>303</v>
      </c>
      <c r="B110" s="4"/>
      <c r="D110" t="str">
        <f>IF($C110="","",IFERROR(LOOKUP(2,1/('03_Warehouse_Movements'!$C$2:$C$500=$A110),'03_Warehouse_Movements'!$E$2:$E$500),$C110))</f>
        <v/>
      </c>
      <c r="E110" t="s">
        <v>92</v>
      </c>
      <c r="G110" s="36"/>
      <c r="H110" s="3" t="str">
        <f t="shared" si="2"/>
        <v/>
      </c>
      <c r="I110" s="3"/>
      <c r="J110" s="4"/>
      <c r="K110" s="3"/>
      <c r="L110" s="4"/>
      <c r="M110" s="3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PAL-0000109</v>
      </c>
      <c r="Q110" s="41"/>
      <c r="R110" s="40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>
      <c r="A111" s="4" t="s">
        <v>304</v>
      </c>
      <c r="B111" s="4"/>
      <c r="D111" t="str">
        <f>IF($C111="","",IFERROR(LOOKUP(2,1/('03_Warehouse_Movements'!$C$2:$C$500=$A111),'03_Warehouse_Movements'!$E$2:$E$500),$C111))</f>
        <v/>
      </c>
      <c r="E111" t="s">
        <v>92</v>
      </c>
      <c r="G111" s="36"/>
      <c r="H111" s="3" t="str">
        <f t="shared" si="2"/>
        <v/>
      </c>
      <c r="I111" s="3"/>
      <c r="J111" s="4"/>
      <c r="K111" s="3"/>
      <c r="L111" s="4"/>
      <c r="M111" s="3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PAL-0000110</v>
      </c>
      <c r="Q111" s="41"/>
      <c r="R111" s="40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>
      <c r="A112" s="4" t="s">
        <v>305</v>
      </c>
      <c r="B112" s="4"/>
      <c r="D112" t="str">
        <f>IF($C112="","",IFERROR(LOOKUP(2,1/('03_Warehouse_Movements'!$C$2:$C$500=$A112),'03_Warehouse_Movements'!$E$2:$E$500),$C112))</f>
        <v/>
      </c>
      <c r="E112" t="s">
        <v>92</v>
      </c>
      <c r="G112" s="36"/>
      <c r="H112" s="3" t="str">
        <f t="shared" si="2"/>
        <v/>
      </c>
      <c r="I112" s="3"/>
      <c r="J112" s="4"/>
      <c r="K112" s="3"/>
      <c r="L112" s="4"/>
      <c r="M112" s="3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PAL-0000111</v>
      </c>
      <c r="Q112" s="41"/>
      <c r="R112" s="40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>
      <c r="A113" s="4" t="s">
        <v>306</v>
      </c>
      <c r="B113" s="4"/>
      <c r="D113" t="str">
        <f>IF($C113="","",IFERROR(LOOKUP(2,1/('03_Warehouse_Movements'!$C$2:$C$500=$A113),'03_Warehouse_Movements'!$E$2:$E$500),$C113))</f>
        <v/>
      </c>
      <c r="E113" t="s">
        <v>92</v>
      </c>
      <c r="G113" s="36"/>
      <c r="H113" s="3" t="str">
        <f t="shared" si="2"/>
        <v/>
      </c>
      <c r="I113" s="3"/>
      <c r="J113" s="4"/>
      <c r="K113" s="3"/>
      <c r="L113" s="4"/>
      <c r="M113" s="3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PAL-0000112</v>
      </c>
      <c r="Q113" s="41"/>
      <c r="R113" s="40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>
      <c r="A114" s="4" t="s">
        <v>307</v>
      </c>
      <c r="B114" s="4"/>
      <c r="D114" t="str">
        <f>IF($C114="","",IFERROR(LOOKUP(2,1/('03_Warehouse_Movements'!$C$2:$C$500=$A114),'03_Warehouse_Movements'!$E$2:$E$500),$C114))</f>
        <v/>
      </c>
      <c r="E114" t="s">
        <v>92</v>
      </c>
      <c r="G114" s="36"/>
      <c r="H114" s="3" t="str">
        <f t="shared" si="2"/>
        <v/>
      </c>
      <c r="I114" s="3"/>
      <c r="J114" s="4"/>
      <c r="K114" s="3"/>
      <c r="L114" s="4"/>
      <c r="M114" s="3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PAL-0000113</v>
      </c>
      <c r="Q114" s="41"/>
      <c r="R114" s="40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>
      <c r="A115" s="4" t="s">
        <v>308</v>
      </c>
      <c r="B115" s="4"/>
      <c r="D115" t="str">
        <f>IF($C115="","",IFERROR(LOOKUP(2,1/('03_Warehouse_Movements'!$C$2:$C$500=$A115),'03_Warehouse_Movements'!$E$2:$E$500),$C115))</f>
        <v/>
      </c>
      <c r="E115" t="s">
        <v>92</v>
      </c>
      <c r="G115" s="36"/>
      <c r="H115" s="3" t="str">
        <f t="shared" si="2"/>
        <v/>
      </c>
      <c r="I115" s="3"/>
      <c r="J115" s="4"/>
      <c r="K115" s="3"/>
      <c r="L115" s="4"/>
      <c r="M115" s="3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PAL-0000114</v>
      </c>
      <c r="Q115" s="41"/>
      <c r="R115" s="40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>
      <c r="A116" s="4" t="s">
        <v>309</v>
      </c>
      <c r="B116" s="4"/>
      <c r="D116" t="str">
        <f>IF($C116="","",IFERROR(LOOKUP(2,1/('03_Warehouse_Movements'!$C$2:$C$500=$A116),'03_Warehouse_Movements'!$E$2:$E$500),$C116))</f>
        <v/>
      </c>
      <c r="E116" t="s">
        <v>92</v>
      </c>
      <c r="G116" s="36"/>
      <c r="H116" s="3" t="str">
        <f t="shared" si="2"/>
        <v/>
      </c>
      <c r="I116" s="3"/>
      <c r="J116" s="4"/>
      <c r="K116" s="3"/>
      <c r="L116" s="4"/>
      <c r="M116" s="3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PAL-0000115</v>
      </c>
      <c r="Q116" s="41"/>
      <c r="R116" s="40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>
      <c r="A117" s="4" t="s">
        <v>310</v>
      </c>
      <c r="B117" s="4"/>
      <c r="D117" t="str">
        <f>IF($C117="","",IFERROR(LOOKUP(2,1/('03_Warehouse_Movements'!$C$2:$C$500=$A117),'03_Warehouse_Movements'!$E$2:$E$500),$C117))</f>
        <v/>
      </c>
      <c r="E117" t="s">
        <v>92</v>
      </c>
      <c r="G117" s="36"/>
      <c r="H117" s="3" t="str">
        <f t="shared" si="2"/>
        <v/>
      </c>
      <c r="I117" s="3"/>
      <c r="J117" s="4"/>
      <c r="K117" s="3"/>
      <c r="L117" s="4"/>
      <c r="M117" s="3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PAL-0000116</v>
      </c>
      <c r="Q117" s="41"/>
      <c r="R117" s="40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>
      <c r="A118" s="4" t="s">
        <v>311</v>
      </c>
      <c r="B118" s="4"/>
      <c r="D118" t="str">
        <f>IF($C118="","",IFERROR(LOOKUP(2,1/('03_Warehouse_Movements'!$C$2:$C$500=$A118),'03_Warehouse_Movements'!$E$2:$E$500),$C118))</f>
        <v/>
      </c>
      <c r="E118" t="s">
        <v>92</v>
      </c>
      <c r="G118" s="36"/>
      <c r="H118" s="3" t="str">
        <f t="shared" si="2"/>
        <v/>
      </c>
      <c r="I118" s="3"/>
      <c r="J118" s="4"/>
      <c r="K118" s="3"/>
      <c r="L118" s="4"/>
      <c r="M118" s="3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PAL-0000117</v>
      </c>
      <c r="Q118" s="41"/>
      <c r="R118" s="40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>
      <c r="A119" s="4" t="s">
        <v>312</v>
      </c>
      <c r="B119" s="4"/>
      <c r="D119" t="str">
        <f>IF($C119="","",IFERROR(LOOKUP(2,1/('03_Warehouse_Movements'!$C$2:$C$500=$A119),'03_Warehouse_Movements'!$E$2:$E$500),$C119))</f>
        <v/>
      </c>
      <c r="E119" t="s">
        <v>92</v>
      </c>
      <c r="G119" s="36"/>
      <c r="H119" s="3" t="str">
        <f t="shared" si="2"/>
        <v/>
      </c>
      <c r="I119" s="3"/>
      <c r="J119" s="4"/>
      <c r="K119" s="3"/>
      <c r="L119" s="4"/>
      <c r="M119" s="3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PAL-0000118</v>
      </c>
      <c r="Q119" s="41"/>
      <c r="R119" s="40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>
      <c r="A120" s="4" t="s">
        <v>313</v>
      </c>
      <c r="B120" s="4"/>
      <c r="D120" t="str">
        <f>IF($C120="","",IFERROR(LOOKUP(2,1/('03_Warehouse_Movements'!$C$2:$C$500=$A120),'03_Warehouse_Movements'!$E$2:$E$500),$C120))</f>
        <v/>
      </c>
      <c r="E120" t="s">
        <v>92</v>
      </c>
      <c r="G120" s="36"/>
      <c r="H120" s="3" t="str">
        <f t="shared" si="2"/>
        <v/>
      </c>
      <c r="I120" s="3"/>
      <c r="J120" s="4"/>
      <c r="K120" s="3"/>
      <c r="L120" s="4"/>
      <c r="M120" s="3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PAL-0000119</v>
      </c>
      <c r="Q120" s="41"/>
      <c r="R120" s="40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>
      <c r="A121" s="4" t="s">
        <v>314</v>
      </c>
      <c r="B121" s="4"/>
      <c r="D121" t="str">
        <f>IF($C121="","",IFERROR(LOOKUP(2,1/('03_Warehouse_Movements'!$C$2:$C$500=$A121),'03_Warehouse_Movements'!$E$2:$E$500),$C121))</f>
        <v/>
      </c>
      <c r="E121" t="s">
        <v>92</v>
      </c>
      <c r="G121" s="36"/>
      <c r="H121" s="3" t="str">
        <f t="shared" si="2"/>
        <v/>
      </c>
      <c r="I121" s="3"/>
      <c r="J121" s="4"/>
      <c r="K121" s="3"/>
      <c r="L121" s="4"/>
      <c r="M121" s="3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PAL-0000120</v>
      </c>
      <c r="Q121" s="41"/>
      <c r="R121" s="40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>
      <c r="A122" s="4" t="s">
        <v>315</v>
      </c>
      <c r="B122" s="4"/>
      <c r="D122" t="str">
        <f>IF($C122="","",IFERROR(LOOKUP(2,1/('03_Warehouse_Movements'!$C$2:$C$500=$A122),'03_Warehouse_Movements'!$E$2:$E$500),$C122))</f>
        <v/>
      </c>
      <c r="E122" t="s">
        <v>92</v>
      </c>
      <c r="G122" s="36"/>
      <c r="H122" s="3" t="str">
        <f t="shared" si="2"/>
        <v/>
      </c>
      <c r="I122" s="3"/>
      <c r="J122" s="4"/>
      <c r="K122" s="3"/>
      <c r="L122" s="4"/>
      <c r="M122" s="3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PAL-0000121</v>
      </c>
      <c r="Q122" s="41"/>
      <c r="R122" s="40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>
      <c r="A123" s="4" t="s">
        <v>316</v>
      </c>
      <c r="B123" s="4"/>
      <c r="D123" t="str">
        <f>IF($C123="","",IFERROR(LOOKUP(2,1/('03_Warehouse_Movements'!$C$2:$C$500=$A123),'03_Warehouse_Movements'!$E$2:$E$500),$C123))</f>
        <v/>
      </c>
      <c r="E123" t="s">
        <v>92</v>
      </c>
      <c r="G123" s="36"/>
      <c r="H123" s="3" t="str">
        <f t="shared" si="2"/>
        <v/>
      </c>
      <c r="I123" s="3"/>
      <c r="J123" s="4"/>
      <c r="K123" s="3"/>
      <c r="L123" s="4"/>
      <c r="M123" s="3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PAL-0000122</v>
      </c>
      <c r="Q123" s="41"/>
      <c r="R123" s="40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>
      <c r="A124" s="4" t="s">
        <v>317</v>
      </c>
      <c r="B124" s="4"/>
      <c r="D124" t="str">
        <f>IF($C124="","",IFERROR(LOOKUP(2,1/('03_Warehouse_Movements'!$C$2:$C$500=$A124),'03_Warehouse_Movements'!$E$2:$E$500),$C124))</f>
        <v/>
      </c>
      <c r="E124" t="s">
        <v>92</v>
      </c>
      <c r="G124" s="36"/>
      <c r="H124" s="3" t="str">
        <f t="shared" si="2"/>
        <v/>
      </c>
      <c r="I124" s="3"/>
      <c r="J124" s="4"/>
      <c r="K124" s="3"/>
      <c r="L124" s="4"/>
      <c r="M124" s="3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PAL-0000123</v>
      </c>
      <c r="Q124" s="41"/>
      <c r="R124" s="40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>
      <c r="A125" s="4" t="s">
        <v>318</v>
      </c>
      <c r="B125" s="4"/>
      <c r="D125" t="str">
        <f>IF($C125="","",IFERROR(LOOKUP(2,1/('03_Warehouse_Movements'!$C$2:$C$500=$A125),'03_Warehouse_Movements'!$E$2:$E$500),$C125))</f>
        <v/>
      </c>
      <c r="E125" t="s">
        <v>92</v>
      </c>
      <c r="G125" s="36"/>
      <c r="H125" s="3" t="str">
        <f t="shared" si="2"/>
        <v/>
      </c>
      <c r="I125" s="3"/>
      <c r="J125" s="4"/>
      <c r="K125" s="3"/>
      <c r="L125" s="4"/>
      <c r="M125" s="3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PAL-0000124</v>
      </c>
      <c r="Q125" s="41"/>
      <c r="R125" s="40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>
      <c r="A126" s="4" t="s">
        <v>319</v>
      </c>
      <c r="B126" s="4"/>
      <c r="D126" t="str">
        <f>IF($C126="","",IFERROR(LOOKUP(2,1/('03_Warehouse_Movements'!$C$2:$C$500=$A126),'03_Warehouse_Movements'!$E$2:$E$500),$C126))</f>
        <v/>
      </c>
      <c r="E126" t="s">
        <v>92</v>
      </c>
      <c r="G126" s="36"/>
      <c r="H126" s="3" t="str">
        <f t="shared" si="2"/>
        <v/>
      </c>
      <c r="I126" s="3"/>
      <c r="J126" s="4"/>
      <c r="K126" s="3"/>
      <c r="L126" s="4"/>
      <c r="M126" s="3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PAL-0000125</v>
      </c>
      <c r="Q126" s="41"/>
      <c r="R126" s="40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>
      <c r="A127" s="4" t="s">
        <v>320</v>
      </c>
      <c r="B127" s="4"/>
      <c r="D127" t="str">
        <f>IF($C127="","",IFERROR(LOOKUP(2,1/('03_Warehouse_Movements'!$C$2:$C$500=$A127),'03_Warehouse_Movements'!$E$2:$E$500),$C127))</f>
        <v/>
      </c>
      <c r="E127" t="s">
        <v>92</v>
      </c>
      <c r="G127" s="36"/>
      <c r="H127" s="3" t="str">
        <f t="shared" si="2"/>
        <v/>
      </c>
      <c r="I127" s="3"/>
      <c r="J127" s="4"/>
      <c r="K127" s="3"/>
      <c r="L127" s="4"/>
      <c r="M127" s="3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PAL-0000126</v>
      </c>
      <c r="Q127" s="41"/>
      <c r="R127" s="40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>
      <c r="A128" s="4" t="s">
        <v>321</v>
      </c>
      <c r="B128" s="4"/>
      <c r="D128" t="str">
        <f>IF($C128="","",IFERROR(LOOKUP(2,1/('03_Warehouse_Movements'!$C$2:$C$500=$A128),'03_Warehouse_Movements'!$E$2:$E$500),$C128))</f>
        <v/>
      </c>
      <c r="E128" t="s">
        <v>92</v>
      </c>
      <c r="G128" s="36"/>
      <c r="H128" s="3" t="str">
        <f t="shared" si="2"/>
        <v/>
      </c>
      <c r="I128" s="3"/>
      <c r="J128" s="4"/>
      <c r="K128" s="3"/>
      <c r="L128" s="4"/>
      <c r="M128" s="3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PAL-0000127</v>
      </c>
      <c r="Q128" s="41"/>
      <c r="R128" s="40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>
      <c r="A129" s="4" t="s">
        <v>322</v>
      </c>
      <c r="B129" s="4"/>
      <c r="D129" t="str">
        <f>IF($C129="","",IFERROR(LOOKUP(2,1/('03_Warehouse_Movements'!$C$2:$C$500=$A129),'03_Warehouse_Movements'!$E$2:$E$500),$C129))</f>
        <v/>
      </c>
      <c r="E129" t="s">
        <v>92</v>
      </c>
      <c r="G129" s="36"/>
      <c r="H129" s="3" t="str">
        <f t="shared" si="2"/>
        <v/>
      </c>
      <c r="I129" s="3"/>
      <c r="J129" s="4"/>
      <c r="K129" s="3"/>
      <c r="L129" s="4"/>
      <c r="M129" s="3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PAL-0000128</v>
      </c>
      <c r="Q129" s="41"/>
      <c r="R129" s="40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>
      <c r="A130" s="4" t="s">
        <v>323</v>
      </c>
      <c r="B130" s="4"/>
      <c r="D130" t="str">
        <f>IF($C130="","",IFERROR(LOOKUP(2,1/('03_Warehouse_Movements'!$C$2:$C$500=$A130),'03_Warehouse_Movements'!$E$2:$E$500),$C130))</f>
        <v/>
      </c>
      <c r="E130" t="s">
        <v>92</v>
      </c>
      <c r="G130" s="36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3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PAL-0000129</v>
      </c>
      <c r="Q130" s="41"/>
      <c r="R130" s="40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>
      <c r="A131" s="4" t="s">
        <v>324</v>
      </c>
      <c r="B131" s="4"/>
      <c r="D131" t="str">
        <f>IF($C131="","",IFERROR(LOOKUP(2,1/('03_Warehouse_Movements'!$C$2:$C$500=$A131),'03_Warehouse_Movements'!$E$2:$E$500),$C131))</f>
        <v/>
      </c>
      <c r="E131" t="s">
        <v>92</v>
      </c>
      <c r="G131" s="36"/>
      <c r="H131" s="3" t="str">
        <f t="shared" si="4"/>
        <v/>
      </c>
      <c r="I131" s="3"/>
      <c r="J131" s="4"/>
      <c r="K131" s="3"/>
      <c r="L131" s="4"/>
      <c r="M131" s="3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PAL-0000130</v>
      </c>
      <c r="Q131" s="41"/>
      <c r="R131" s="40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>
      <c r="A132" s="4" t="s">
        <v>325</v>
      </c>
      <c r="B132" s="4"/>
      <c r="D132" t="str">
        <f>IF($C132="","",IFERROR(LOOKUP(2,1/('03_Warehouse_Movements'!$C$2:$C$500=$A132),'03_Warehouse_Movements'!$E$2:$E$500),$C132))</f>
        <v/>
      </c>
      <c r="E132" t="s">
        <v>92</v>
      </c>
      <c r="G132" s="36"/>
      <c r="H132" s="3" t="str">
        <f t="shared" si="4"/>
        <v/>
      </c>
      <c r="I132" s="3"/>
      <c r="J132" s="4"/>
      <c r="K132" s="3"/>
      <c r="L132" s="4"/>
      <c r="M132" s="3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PAL-0000131</v>
      </c>
      <c r="Q132" s="41"/>
      <c r="R132" s="40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>
      <c r="A133" s="4" t="s">
        <v>326</v>
      </c>
      <c r="B133" s="4"/>
      <c r="D133" t="str">
        <f>IF($C133="","",IFERROR(LOOKUP(2,1/('03_Warehouse_Movements'!$C$2:$C$500=$A133),'03_Warehouse_Movements'!$E$2:$E$500),$C133))</f>
        <v/>
      </c>
      <c r="E133" t="s">
        <v>92</v>
      </c>
      <c r="G133" s="36"/>
      <c r="H133" s="3" t="str">
        <f t="shared" si="4"/>
        <v/>
      </c>
      <c r="I133" s="3"/>
      <c r="J133" s="4"/>
      <c r="K133" s="3"/>
      <c r="L133" s="4"/>
      <c r="M133" s="3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PAL-0000132</v>
      </c>
      <c r="Q133" s="41"/>
      <c r="R133" s="40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>
      <c r="A134" s="4" t="s">
        <v>327</v>
      </c>
      <c r="B134" s="4"/>
      <c r="D134" t="str">
        <f>IF($C134="","",IFERROR(LOOKUP(2,1/('03_Warehouse_Movements'!$C$2:$C$500=$A134),'03_Warehouse_Movements'!$E$2:$E$500),$C134))</f>
        <v/>
      </c>
      <c r="E134" t="s">
        <v>92</v>
      </c>
      <c r="G134" s="36"/>
      <c r="H134" s="3" t="str">
        <f t="shared" si="4"/>
        <v/>
      </c>
      <c r="I134" s="3"/>
      <c r="J134" s="4"/>
      <c r="K134" s="3"/>
      <c r="L134" s="4"/>
      <c r="M134" s="3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PAL-0000133</v>
      </c>
      <c r="Q134" s="41"/>
      <c r="R134" s="40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>
      <c r="A135" s="4" t="s">
        <v>328</v>
      </c>
      <c r="B135" s="4"/>
      <c r="D135" t="str">
        <f>IF($C135="","",IFERROR(LOOKUP(2,1/('03_Warehouse_Movements'!$C$2:$C$500=$A135),'03_Warehouse_Movements'!$E$2:$E$500),$C135))</f>
        <v/>
      </c>
      <c r="E135" t="s">
        <v>92</v>
      </c>
      <c r="G135" s="36"/>
      <c r="H135" s="3" t="str">
        <f t="shared" si="4"/>
        <v/>
      </c>
      <c r="I135" s="3"/>
      <c r="J135" s="4"/>
      <c r="K135" s="3"/>
      <c r="L135" s="4"/>
      <c r="M135" s="3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PAL-0000134</v>
      </c>
      <c r="Q135" s="41"/>
      <c r="R135" s="40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>
      <c r="A136" s="4" t="s">
        <v>329</v>
      </c>
      <c r="B136" s="4"/>
      <c r="D136" t="str">
        <f>IF($C136="","",IFERROR(LOOKUP(2,1/('03_Warehouse_Movements'!$C$2:$C$500=$A136),'03_Warehouse_Movements'!$E$2:$E$500),$C136))</f>
        <v/>
      </c>
      <c r="E136" t="s">
        <v>92</v>
      </c>
      <c r="G136" s="36"/>
      <c r="H136" s="3" t="str">
        <f t="shared" si="4"/>
        <v/>
      </c>
      <c r="I136" s="3"/>
      <c r="J136" s="4"/>
      <c r="K136" s="3"/>
      <c r="L136" s="4"/>
      <c r="M136" s="3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PAL-0000135</v>
      </c>
      <c r="Q136" s="41"/>
      <c r="R136" s="40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>
      <c r="A137" s="4" t="s">
        <v>330</v>
      </c>
      <c r="B137" s="4"/>
      <c r="D137" t="str">
        <f>IF($C137="","",IFERROR(LOOKUP(2,1/('03_Warehouse_Movements'!$C$2:$C$500=$A137),'03_Warehouse_Movements'!$E$2:$E$500),$C137))</f>
        <v/>
      </c>
      <c r="E137" t="s">
        <v>92</v>
      </c>
      <c r="G137" s="36"/>
      <c r="H137" s="3" t="str">
        <f t="shared" si="4"/>
        <v/>
      </c>
      <c r="I137" s="3"/>
      <c r="J137" s="4"/>
      <c r="K137" s="3"/>
      <c r="L137" s="4"/>
      <c r="M137" s="3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PAL-0000136</v>
      </c>
      <c r="Q137" s="41"/>
      <c r="R137" s="40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>
      <c r="A138" s="4" t="s">
        <v>331</v>
      </c>
      <c r="B138" s="4"/>
      <c r="D138" t="str">
        <f>IF($C138="","",IFERROR(LOOKUP(2,1/('03_Warehouse_Movements'!$C$2:$C$500=$A138),'03_Warehouse_Movements'!$E$2:$E$500),$C138))</f>
        <v/>
      </c>
      <c r="E138" t="s">
        <v>92</v>
      </c>
      <c r="G138" s="36"/>
      <c r="H138" s="3" t="str">
        <f t="shared" si="4"/>
        <v/>
      </c>
      <c r="I138" s="3"/>
      <c r="J138" s="4"/>
      <c r="K138" s="3"/>
      <c r="L138" s="4"/>
      <c r="M138" s="3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PAL-0000137</v>
      </c>
      <c r="Q138" s="41"/>
      <c r="R138" s="40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>
      <c r="A139" s="4" t="s">
        <v>332</v>
      </c>
      <c r="B139" s="4"/>
      <c r="D139" t="str">
        <f>IF($C139="","",IFERROR(LOOKUP(2,1/('03_Warehouse_Movements'!$C$2:$C$500=$A139),'03_Warehouse_Movements'!$E$2:$E$500),$C139))</f>
        <v/>
      </c>
      <c r="E139" t="s">
        <v>92</v>
      </c>
      <c r="G139" s="36"/>
      <c r="H139" s="3" t="str">
        <f t="shared" si="4"/>
        <v/>
      </c>
      <c r="I139" s="3"/>
      <c r="J139" s="4"/>
      <c r="K139" s="3"/>
      <c r="L139" s="4"/>
      <c r="M139" s="3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PAL-0000138</v>
      </c>
      <c r="Q139" s="41"/>
      <c r="R139" s="40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>
      <c r="A140" s="4" t="s">
        <v>333</v>
      </c>
      <c r="B140" s="4"/>
      <c r="D140" t="str">
        <f>IF($C140="","",IFERROR(LOOKUP(2,1/('03_Warehouse_Movements'!$C$2:$C$500=$A140),'03_Warehouse_Movements'!$E$2:$E$500),$C140))</f>
        <v/>
      </c>
      <c r="E140" t="s">
        <v>92</v>
      </c>
      <c r="G140" s="36"/>
      <c r="H140" s="3" t="str">
        <f t="shared" si="4"/>
        <v/>
      </c>
      <c r="I140" s="3"/>
      <c r="J140" s="4"/>
      <c r="K140" s="3"/>
      <c r="L140" s="4"/>
      <c r="M140" s="3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PAL-0000139</v>
      </c>
      <c r="Q140" s="41"/>
      <c r="R140" s="40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>
      <c r="A141" s="4" t="s">
        <v>334</v>
      </c>
      <c r="B141" s="4"/>
      <c r="D141" t="str">
        <f>IF($C141="","",IFERROR(LOOKUP(2,1/('03_Warehouse_Movements'!$C$2:$C$500=$A141),'03_Warehouse_Movements'!$E$2:$E$500),$C141))</f>
        <v/>
      </c>
      <c r="E141" t="s">
        <v>92</v>
      </c>
      <c r="G141" s="36"/>
      <c r="H141" s="3" t="str">
        <f t="shared" si="4"/>
        <v/>
      </c>
      <c r="I141" s="3"/>
      <c r="J141" s="4"/>
      <c r="K141" s="3"/>
      <c r="L141" s="4"/>
      <c r="M141" s="3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PAL-0000140</v>
      </c>
      <c r="Q141" s="41"/>
      <c r="R141" s="40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>
      <c r="A142" s="4" t="s">
        <v>335</v>
      </c>
      <c r="B142" s="4"/>
      <c r="D142" t="str">
        <f>IF($C142="","",IFERROR(LOOKUP(2,1/('03_Warehouse_Movements'!$C$2:$C$500=$A142),'03_Warehouse_Movements'!$E$2:$E$500),$C142))</f>
        <v/>
      </c>
      <c r="E142" t="s">
        <v>92</v>
      </c>
      <c r="G142" s="36"/>
      <c r="H142" s="3" t="str">
        <f t="shared" si="4"/>
        <v/>
      </c>
      <c r="I142" s="3"/>
      <c r="J142" s="4"/>
      <c r="K142" s="3"/>
      <c r="L142" s="4"/>
      <c r="M142" s="3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PAL-0000141</v>
      </c>
      <c r="Q142" s="41"/>
      <c r="R142" s="40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>
      <c r="A143" s="4" t="s">
        <v>336</v>
      </c>
      <c r="B143" s="4"/>
      <c r="D143" t="str">
        <f>IF($C143="","",IFERROR(LOOKUP(2,1/('03_Warehouse_Movements'!$C$2:$C$500=$A143),'03_Warehouse_Movements'!$E$2:$E$500),$C143))</f>
        <v/>
      </c>
      <c r="E143" t="s">
        <v>92</v>
      </c>
      <c r="G143" s="36"/>
      <c r="H143" s="3" t="str">
        <f t="shared" si="4"/>
        <v/>
      </c>
      <c r="I143" s="3"/>
      <c r="J143" s="4"/>
      <c r="K143" s="3"/>
      <c r="L143" s="4"/>
      <c r="M143" s="3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PAL-0000142</v>
      </c>
      <c r="Q143" s="41"/>
      <c r="R143" s="40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>
      <c r="A144" s="4" t="s">
        <v>337</v>
      </c>
      <c r="B144" s="4"/>
      <c r="D144" t="str">
        <f>IF($C144="","",IFERROR(LOOKUP(2,1/('03_Warehouse_Movements'!$C$2:$C$500=$A144),'03_Warehouse_Movements'!$E$2:$E$500),$C144))</f>
        <v/>
      </c>
      <c r="E144" t="s">
        <v>92</v>
      </c>
      <c r="G144" s="36"/>
      <c r="H144" s="3" t="str">
        <f t="shared" si="4"/>
        <v/>
      </c>
      <c r="I144" s="3"/>
      <c r="J144" s="4"/>
      <c r="K144" s="3"/>
      <c r="L144" s="4"/>
      <c r="M144" s="3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PAL-0000143</v>
      </c>
      <c r="Q144" s="41"/>
      <c r="R144" s="40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>
      <c r="A145" s="4" t="s">
        <v>338</v>
      </c>
      <c r="B145" s="4"/>
      <c r="D145" t="str">
        <f>IF($C145="","",IFERROR(LOOKUP(2,1/('03_Warehouse_Movements'!$C$2:$C$500=$A145),'03_Warehouse_Movements'!$E$2:$E$500),$C145))</f>
        <v/>
      </c>
      <c r="E145" t="s">
        <v>92</v>
      </c>
      <c r="G145" s="36"/>
      <c r="H145" s="3" t="str">
        <f t="shared" si="4"/>
        <v/>
      </c>
      <c r="I145" s="3"/>
      <c r="J145" s="4"/>
      <c r="K145" s="3"/>
      <c r="L145" s="4"/>
      <c r="M145" s="3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PAL-0000144</v>
      </c>
      <c r="Q145" s="41"/>
      <c r="R145" s="40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>
      <c r="A146" s="4" t="s">
        <v>339</v>
      </c>
      <c r="B146" s="4"/>
      <c r="D146" t="str">
        <f>IF($C146="","",IFERROR(LOOKUP(2,1/('03_Warehouse_Movements'!$C$2:$C$500=$A146),'03_Warehouse_Movements'!$E$2:$E$500),$C146))</f>
        <v/>
      </c>
      <c r="E146" t="s">
        <v>92</v>
      </c>
      <c r="G146" s="36"/>
      <c r="H146" s="3" t="str">
        <f t="shared" si="4"/>
        <v/>
      </c>
      <c r="I146" s="3"/>
      <c r="J146" s="4"/>
      <c r="K146" s="3"/>
      <c r="L146" s="4"/>
      <c r="M146" s="3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PAL-0000145</v>
      </c>
      <c r="Q146" s="41"/>
      <c r="R146" s="40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>
      <c r="A147" s="4" t="s">
        <v>340</v>
      </c>
      <c r="B147" s="4"/>
      <c r="D147" t="str">
        <f>IF($C147="","",IFERROR(LOOKUP(2,1/('03_Warehouse_Movements'!$C$2:$C$500=$A147),'03_Warehouse_Movements'!$E$2:$E$500),$C147))</f>
        <v/>
      </c>
      <c r="E147" t="s">
        <v>92</v>
      </c>
      <c r="G147" s="36"/>
      <c r="H147" s="3" t="str">
        <f t="shared" si="4"/>
        <v/>
      </c>
      <c r="I147" s="3"/>
      <c r="J147" s="4"/>
      <c r="K147" s="3"/>
      <c r="L147" s="4"/>
      <c r="M147" s="3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PAL-0000146</v>
      </c>
      <c r="Q147" s="41"/>
      <c r="R147" s="40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>
      <c r="A148" s="4" t="s">
        <v>341</v>
      </c>
      <c r="B148" s="4"/>
      <c r="D148" t="str">
        <f>IF($C148="","",IFERROR(LOOKUP(2,1/('03_Warehouse_Movements'!$C$2:$C$500=$A148),'03_Warehouse_Movements'!$E$2:$E$500),$C148))</f>
        <v/>
      </c>
      <c r="E148" t="s">
        <v>92</v>
      </c>
      <c r="G148" s="36"/>
      <c r="H148" s="3" t="str">
        <f t="shared" si="4"/>
        <v/>
      </c>
      <c r="I148" s="3"/>
      <c r="J148" s="4"/>
      <c r="K148" s="3"/>
      <c r="L148" s="4"/>
      <c r="M148" s="3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PAL-0000147</v>
      </c>
      <c r="Q148" s="41"/>
      <c r="R148" s="40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>
      <c r="A149" s="4" t="s">
        <v>342</v>
      </c>
      <c r="B149" s="4"/>
      <c r="D149" t="str">
        <f>IF($C149="","",IFERROR(LOOKUP(2,1/('03_Warehouse_Movements'!$C$2:$C$500=$A149),'03_Warehouse_Movements'!$E$2:$E$500),$C149))</f>
        <v/>
      </c>
      <c r="E149" t="s">
        <v>92</v>
      </c>
      <c r="G149" s="36"/>
      <c r="H149" s="3" t="str">
        <f t="shared" si="4"/>
        <v/>
      </c>
      <c r="I149" s="3"/>
      <c r="J149" s="4"/>
      <c r="K149" s="3"/>
      <c r="L149" s="4"/>
      <c r="M149" s="3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PAL-0000148</v>
      </c>
      <c r="Q149" s="41"/>
      <c r="R149" s="40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>
      <c r="A150" s="4" t="s">
        <v>343</v>
      </c>
      <c r="B150" s="4"/>
      <c r="D150" t="str">
        <f>IF($C150="","",IFERROR(LOOKUP(2,1/('03_Warehouse_Movements'!$C$2:$C$500=$A150),'03_Warehouse_Movements'!$E$2:$E$500),$C150))</f>
        <v/>
      </c>
      <c r="E150" t="s">
        <v>92</v>
      </c>
      <c r="G150" s="36"/>
      <c r="H150" s="3" t="str">
        <f t="shared" si="4"/>
        <v/>
      </c>
      <c r="I150" s="3"/>
      <c r="J150" s="4"/>
      <c r="K150" s="3"/>
      <c r="L150" s="4"/>
      <c r="M150" s="3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PAL-0000149</v>
      </c>
      <c r="Q150" s="41"/>
      <c r="R150" s="40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>
      <c r="A151" s="4" t="s">
        <v>344</v>
      </c>
      <c r="B151" s="4"/>
      <c r="D151" t="str">
        <f>IF($C151="","",IFERROR(LOOKUP(2,1/('03_Warehouse_Movements'!$C$2:$C$500=$A151),'03_Warehouse_Movements'!$E$2:$E$500),$C151))</f>
        <v/>
      </c>
      <c r="E151" t="s">
        <v>92</v>
      </c>
      <c r="G151" s="36"/>
      <c r="H151" s="3" t="str">
        <f t="shared" si="4"/>
        <v/>
      </c>
      <c r="I151" s="3"/>
      <c r="J151" s="4"/>
      <c r="K151" s="3"/>
      <c r="L151" s="4"/>
      <c r="M151" s="3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PAL-0000150</v>
      </c>
      <c r="Q151" s="41"/>
      <c r="R151" s="40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>
      <c r="A152" s="4" t="s">
        <v>345</v>
      </c>
      <c r="B152" s="4"/>
      <c r="D152" t="str">
        <f>IF($C152="","",IFERROR(LOOKUP(2,1/('03_Warehouse_Movements'!$C$2:$C$500=$A152),'03_Warehouse_Movements'!$E$2:$E$500),$C152))</f>
        <v/>
      </c>
      <c r="E152" t="s">
        <v>92</v>
      </c>
      <c r="G152" s="36"/>
      <c r="H152" s="3" t="str">
        <f t="shared" si="4"/>
        <v/>
      </c>
      <c r="I152" s="3"/>
      <c r="J152" s="4"/>
      <c r="K152" s="3"/>
      <c r="L152" s="4"/>
      <c r="M152" s="3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PAL-0000151</v>
      </c>
      <c r="Q152" s="41"/>
      <c r="R152" s="40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>
      <c r="A153" s="4" t="s">
        <v>346</v>
      </c>
      <c r="B153" s="4"/>
      <c r="D153" t="str">
        <f>IF($C153="","",IFERROR(LOOKUP(2,1/('03_Warehouse_Movements'!$C$2:$C$500=$A153),'03_Warehouse_Movements'!$E$2:$E$500),$C153))</f>
        <v/>
      </c>
      <c r="E153" t="s">
        <v>92</v>
      </c>
      <c r="G153" s="36"/>
      <c r="H153" s="3" t="str">
        <f t="shared" si="4"/>
        <v/>
      </c>
      <c r="I153" s="3"/>
      <c r="J153" s="4"/>
      <c r="K153" s="3"/>
      <c r="L153" s="4"/>
      <c r="M153" s="3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PAL-0000152</v>
      </c>
      <c r="Q153" s="41"/>
      <c r="R153" s="40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>
      <c r="A154" s="4" t="s">
        <v>347</v>
      </c>
      <c r="B154" s="4"/>
      <c r="D154" t="str">
        <f>IF($C154="","",IFERROR(LOOKUP(2,1/('03_Warehouse_Movements'!$C$2:$C$500=$A154),'03_Warehouse_Movements'!$E$2:$E$500),$C154))</f>
        <v/>
      </c>
      <c r="E154" t="s">
        <v>92</v>
      </c>
      <c r="G154" s="36"/>
      <c r="H154" s="3" t="str">
        <f t="shared" si="4"/>
        <v/>
      </c>
      <c r="I154" s="3"/>
      <c r="J154" s="4"/>
      <c r="K154" s="3"/>
      <c r="L154" s="4"/>
      <c r="M154" s="3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PAL-0000153</v>
      </c>
      <c r="Q154" s="41"/>
      <c r="R154" s="40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>
      <c r="A155" s="4" t="s">
        <v>348</v>
      </c>
      <c r="B155" s="4"/>
      <c r="D155" t="str">
        <f>IF($C155="","",IFERROR(LOOKUP(2,1/('03_Warehouse_Movements'!$C$2:$C$500=$A155),'03_Warehouse_Movements'!$E$2:$E$500),$C155))</f>
        <v/>
      </c>
      <c r="E155" t="s">
        <v>92</v>
      </c>
      <c r="G155" s="36"/>
      <c r="H155" s="3" t="str">
        <f t="shared" si="4"/>
        <v/>
      </c>
      <c r="I155" s="3"/>
      <c r="J155" s="4"/>
      <c r="K155" s="3"/>
      <c r="L155" s="4"/>
      <c r="M155" s="3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PAL-0000154</v>
      </c>
      <c r="Q155" s="41"/>
      <c r="R155" s="40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>
      <c r="A156" s="4" t="s">
        <v>349</v>
      </c>
      <c r="B156" s="4"/>
      <c r="D156" t="str">
        <f>IF($C156="","",IFERROR(LOOKUP(2,1/('03_Warehouse_Movements'!$C$2:$C$500=$A156),'03_Warehouse_Movements'!$E$2:$E$500),$C156))</f>
        <v/>
      </c>
      <c r="E156" t="s">
        <v>92</v>
      </c>
      <c r="G156" s="36"/>
      <c r="H156" s="3" t="str">
        <f t="shared" si="4"/>
        <v/>
      </c>
      <c r="I156" s="3"/>
      <c r="J156" s="4"/>
      <c r="K156" s="3"/>
      <c r="L156" s="4"/>
      <c r="M156" s="3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PAL-0000155</v>
      </c>
      <c r="Q156" s="41"/>
      <c r="R156" s="40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>
      <c r="A157" s="4" t="s">
        <v>350</v>
      </c>
      <c r="B157" s="4"/>
      <c r="D157" t="str">
        <f>IF($C157="","",IFERROR(LOOKUP(2,1/('03_Warehouse_Movements'!$C$2:$C$500=$A157),'03_Warehouse_Movements'!$E$2:$E$500),$C157))</f>
        <v/>
      </c>
      <c r="E157" t="s">
        <v>92</v>
      </c>
      <c r="G157" s="36"/>
      <c r="H157" s="3" t="str">
        <f t="shared" si="4"/>
        <v/>
      </c>
      <c r="I157" s="3"/>
      <c r="J157" s="4"/>
      <c r="K157" s="3"/>
      <c r="L157" s="4"/>
      <c r="M157" s="3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PAL-0000156</v>
      </c>
      <c r="Q157" s="41"/>
      <c r="R157" s="40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>
      <c r="A158" s="4" t="s">
        <v>351</v>
      </c>
      <c r="B158" s="4"/>
      <c r="D158" t="str">
        <f>IF($C158="","",IFERROR(LOOKUP(2,1/('03_Warehouse_Movements'!$C$2:$C$500=$A158),'03_Warehouse_Movements'!$E$2:$E$500),$C158))</f>
        <v/>
      </c>
      <c r="E158" t="s">
        <v>92</v>
      </c>
      <c r="G158" s="36"/>
      <c r="H158" s="3" t="str">
        <f t="shared" si="4"/>
        <v/>
      </c>
      <c r="I158" s="3"/>
      <c r="J158" s="4"/>
      <c r="K158" s="3"/>
      <c r="L158" s="4"/>
      <c r="M158" s="3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PAL-0000157</v>
      </c>
      <c r="Q158" s="41"/>
      <c r="R158" s="40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>
      <c r="A159" s="4" t="s">
        <v>352</v>
      </c>
      <c r="B159" s="4"/>
      <c r="D159" t="str">
        <f>IF($C159="","",IFERROR(LOOKUP(2,1/('03_Warehouse_Movements'!$C$2:$C$500=$A159),'03_Warehouse_Movements'!$E$2:$E$500),$C159))</f>
        <v/>
      </c>
      <c r="E159" t="s">
        <v>92</v>
      </c>
      <c r="G159" s="36"/>
      <c r="H159" s="3" t="str">
        <f t="shared" si="4"/>
        <v/>
      </c>
      <c r="I159" s="3"/>
      <c r="J159" s="4"/>
      <c r="K159" s="3"/>
      <c r="L159" s="4"/>
      <c r="M159" s="3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PAL-0000158</v>
      </c>
      <c r="Q159" s="41"/>
      <c r="R159" s="40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>
      <c r="A160" s="4" t="s">
        <v>353</v>
      </c>
      <c r="B160" s="4"/>
      <c r="D160" t="str">
        <f>IF($C160="","",IFERROR(LOOKUP(2,1/('03_Warehouse_Movements'!$C$2:$C$500=$A160),'03_Warehouse_Movements'!$E$2:$E$500),$C160))</f>
        <v/>
      </c>
      <c r="E160" t="s">
        <v>92</v>
      </c>
      <c r="G160" s="36"/>
      <c r="H160" s="3" t="str">
        <f t="shared" si="4"/>
        <v/>
      </c>
      <c r="I160" s="3"/>
      <c r="J160" s="4"/>
      <c r="K160" s="3"/>
      <c r="L160" s="4"/>
      <c r="M160" s="3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PAL-0000159</v>
      </c>
      <c r="Q160" s="41"/>
      <c r="R160" s="40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>
      <c r="A161" s="4" t="s">
        <v>354</v>
      </c>
      <c r="B161" s="4"/>
      <c r="D161" t="str">
        <f>IF($C161="","",IFERROR(LOOKUP(2,1/('03_Warehouse_Movements'!$C$2:$C$500=$A161),'03_Warehouse_Movements'!$E$2:$E$500),$C161))</f>
        <v/>
      </c>
      <c r="E161" t="s">
        <v>92</v>
      </c>
      <c r="G161" s="36"/>
      <c r="H161" s="3" t="str">
        <f t="shared" si="4"/>
        <v/>
      </c>
      <c r="I161" s="3"/>
      <c r="J161" s="4"/>
      <c r="K161" s="3"/>
      <c r="L161" s="4"/>
      <c r="M161" s="3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PAL-0000160</v>
      </c>
      <c r="Q161" s="41"/>
      <c r="R161" s="40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>
      <c r="A162" s="4" t="s">
        <v>355</v>
      </c>
      <c r="B162" s="4"/>
      <c r="D162" t="str">
        <f>IF($C162="","",IFERROR(LOOKUP(2,1/('03_Warehouse_Movements'!$C$2:$C$500=$A162),'03_Warehouse_Movements'!$E$2:$E$500),$C162))</f>
        <v/>
      </c>
      <c r="E162" t="s">
        <v>92</v>
      </c>
      <c r="G162" s="36"/>
      <c r="H162" s="3" t="str">
        <f t="shared" si="4"/>
        <v/>
      </c>
      <c r="I162" s="3"/>
      <c r="J162" s="4"/>
      <c r="K162" s="3"/>
      <c r="L162" s="4"/>
      <c r="M162" s="3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PAL-0000161</v>
      </c>
      <c r="Q162" s="41"/>
      <c r="R162" s="40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>
      <c r="A163" s="4" t="s">
        <v>356</v>
      </c>
      <c r="B163" s="4"/>
      <c r="D163" t="str">
        <f>IF($C163="","",IFERROR(LOOKUP(2,1/('03_Warehouse_Movements'!$C$2:$C$500=$A163),'03_Warehouse_Movements'!$E$2:$E$500),$C163))</f>
        <v/>
      </c>
      <c r="E163" t="s">
        <v>92</v>
      </c>
      <c r="G163" s="36"/>
      <c r="H163" s="3" t="str">
        <f t="shared" si="4"/>
        <v/>
      </c>
      <c r="I163" s="3"/>
      <c r="J163" s="4"/>
      <c r="K163" s="3"/>
      <c r="L163" s="4"/>
      <c r="M163" s="3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PAL-0000162</v>
      </c>
      <c r="Q163" s="41"/>
      <c r="R163" s="40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>
      <c r="A164" s="4" t="s">
        <v>357</v>
      </c>
      <c r="B164" s="4"/>
      <c r="D164" t="str">
        <f>IF($C164="","",IFERROR(LOOKUP(2,1/('03_Warehouse_Movements'!$C$2:$C$500=$A164),'03_Warehouse_Movements'!$E$2:$E$500),$C164))</f>
        <v/>
      </c>
      <c r="E164" t="s">
        <v>92</v>
      </c>
      <c r="G164" s="36"/>
      <c r="H164" s="3" t="str">
        <f t="shared" si="4"/>
        <v/>
      </c>
      <c r="I164" s="3"/>
      <c r="J164" s="4"/>
      <c r="K164" s="3"/>
      <c r="L164" s="4"/>
      <c r="M164" s="3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PAL-0000163</v>
      </c>
      <c r="Q164" s="41"/>
      <c r="R164" s="40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>
      <c r="A165" s="4" t="s">
        <v>358</v>
      </c>
      <c r="B165" s="4"/>
      <c r="D165" t="str">
        <f>IF($C165="","",IFERROR(LOOKUP(2,1/('03_Warehouse_Movements'!$C$2:$C$500=$A165),'03_Warehouse_Movements'!$E$2:$E$500),$C165))</f>
        <v/>
      </c>
      <c r="E165" t="s">
        <v>92</v>
      </c>
      <c r="G165" s="36"/>
      <c r="H165" s="3" t="str">
        <f t="shared" si="4"/>
        <v/>
      </c>
      <c r="I165" s="3"/>
      <c r="J165" s="4"/>
      <c r="K165" s="3"/>
      <c r="L165" s="4"/>
      <c r="M165" s="3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PAL-0000164</v>
      </c>
      <c r="Q165" s="41"/>
      <c r="R165" s="40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>
      <c r="A166" s="4" t="s">
        <v>359</v>
      </c>
      <c r="B166" s="4"/>
      <c r="D166" t="str">
        <f>IF($C166="","",IFERROR(LOOKUP(2,1/('03_Warehouse_Movements'!$C$2:$C$500=$A166),'03_Warehouse_Movements'!$E$2:$E$500),$C166))</f>
        <v/>
      </c>
      <c r="E166" t="s">
        <v>92</v>
      </c>
      <c r="G166" s="36"/>
      <c r="H166" s="3" t="str">
        <f t="shared" si="4"/>
        <v/>
      </c>
      <c r="I166" s="3"/>
      <c r="J166" s="4"/>
      <c r="K166" s="3"/>
      <c r="L166" s="4"/>
      <c r="M166" s="3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PAL-0000165</v>
      </c>
      <c r="Q166" s="41"/>
      <c r="R166" s="40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>
      <c r="A167" s="4" t="s">
        <v>360</v>
      </c>
      <c r="B167" s="4"/>
      <c r="D167" t="str">
        <f>IF($C167="","",IFERROR(LOOKUP(2,1/('03_Warehouse_Movements'!$C$2:$C$500=$A167),'03_Warehouse_Movements'!$E$2:$E$500),$C167))</f>
        <v/>
      </c>
      <c r="E167" t="s">
        <v>92</v>
      </c>
      <c r="G167" s="36"/>
      <c r="H167" s="3" t="str">
        <f t="shared" si="4"/>
        <v/>
      </c>
      <c r="I167" s="3"/>
      <c r="J167" s="4"/>
      <c r="K167" s="3"/>
      <c r="L167" s="4"/>
      <c r="M167" s="3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PAL-0000166</v>
      </c>
      <c r="Q167" s="41"/>
      <c r="R167" s="40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>
      <c r="A168" s="4" t="s">
        <v>361</v>
      </c>
      <c r="B168" s="4"/>
      <c r="D168" t="str">
        <f>IF($C168="","",IFERROR(LOOKUP(2,1/('03_Warehouse_Movements'!$C$2:$C$500=$A168),'03_Warehouse_Movements'!$E$2:$E$500),$C168))</f>
        <v/>
      </c>
      <c r="E168" t="s">
        <v>92</v>
      </c>
      <c r="G168" s="36"/>
      <c r="H168" s="3" t="str">
        <f t="shared" si="4"/>
        <v/>
      </c>
      <c r="I168" s="3"/>
      <c r="J168" s="4"/>
      <c r="K168" s="3"/>
      <c r="L168" s="4"/>
      <c r="M168" s="3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PAL-0000167</v>
      </c>
      <c r="Q168" s="41"/>
      <c r="R168" s="40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>
      <c r="A169" s="4" t="s">
        <v>362</v>
      </c>
      <c r="B169" s="4"/>
      <c r="D169" t="str">
        <f>IF($C169="","",IFERROR(LOOKUP(2,1/('03_Warehouse_Movements'!$C$2:$C$500=$A169),'03_Warehouse_Movements'!$E$2:$E$500),$C169))</f>
        <v/>
      </c>
      <c r="E169" t="s">
        <v>92</v>
      </c>
      <c r="G169" s="36"/>
      <c r="H169" s="3" t="str">
        <f t="shared" si="4"/>
        <v/>
      </c>
      <c r="I169" s="3"/>
      <c r="J169" s="4"/>
      <c r="K169" s="3"/>
      <c r="L169" s="4"/>
      <c r="M169" s="3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PAL-0000168</v>
      </c>
      <c r="Q169" s="41"/>
      <c r="R169" s="40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>
      <c r="A170" s="4" t="s">
        <v>363</v>
      </c>
      <c r="B170" s="4"/>
      <c r="D170" t="str">
        <f>IF($C170="","",IFERROR(LOOKUP(2,1/('03_Warehouse_Movements'!$C$2:$C$500=$A170),'03_Warehouse_Movements'!$E$2:$E$500),$C170))</f>
        <v/>
      </c>
      <c r="E170" t="s">
        <v>92</v>
      </c>
      <c r="G170" s="36"/>
      <c r="H170" s="3" t="str">
        <f t="shared" si="4"/>
        <v/>
      </c>
      <c r="I170" s="3"/>
      <c r="J170" s="4"/>
      <c r="K170" s="3"/>
      <c r="L170" s="4"/>
      <c r="M170" s="3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PAL-0000169</v>
      </c>
      <c r="Q170" s="41"/>
      <c r="R170" s="40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>
      <c r="A171" s="4" t="s">
        <v>364</v>
      </c>
      <c r="B171" s="4"/>
      <c r="D171" t="str">
        <f>IF($C171="","",IFERROR(LOOKUP(2,1/('03_Warehouse_Movements'!$C$2:$C$500=$A171),'03_Warehouse_Movements'!$E$2:$E$500),$C171))</f>
        <v/>
      </c>
      <c r="E171" t="s">
        <v>92</v>
      </c>
      <c r="G171" s="36"/>
      <c r="H171" s="3" t="str">
        <f t="shared" si="4"/>
        <v/>
      </c>
      <c r="I171" s="3"/>
      <c r="J171" s="4"/>
      <c r="K171" s="3"/>
      <c r="L171" s="4"/>
      <c r="M171" s="3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PAL-0000170</v>
      </c>
      <c r="Q171" s="41"/>
      <c r="R171" s="40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>
      <c r="A172" s="4" t="s">
        <v>365</v>
      </c>
      <c r="B172" s="4"/>
      <c r="D172" t="str">
        <f>IF($C172="","",IFERROR(LOOKUP(2,1/('03_Warehouse_Movements'!$C$2:$C$500=$A172),'03_Warehouse_Movements'!$E$2:$E$500),$C172))</f>
        <v/>
      </c>
      <c r="E172" t="s">
        <v>92</v>
      </c>
      <c r="G172" s="36"/>
      <c r="H172" s="3" t="str">
        <f t="shared" si="4"/>
        <v/>
      </c>
      <c r="I172" s="3"/>
      <c r="J172" s="4"/>
      <c r="K172" s="3"/>
      <c r="L172" s="4"/>
      <c r="M172" s="3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PAL-0000171</v>
      </c>
      <c r="Q172" s="41"/>
      <c r="R172" s="40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>
      <c r="A173" s="4" t="s">
        <v>366</v>
      </c>
      <c r="B173" s="4"/>
      <c r="D173" t="str">
        <f>IF($C173="","",IFERROR(LOOKUP(2,1/('03_Warehouse_Movements'!$C$2:$C$500=$A173),'03_Warehouse_Movements'!$E$2:$E$500),$C173))</f>
        <v/>
      </c>
      <c r="E173" t="s">
        <v>92</v>
      </c>
      <c r="G173" s="36"/>
      <c r="H173" s="3" t="str">
        <f t="shared" si="4"/>
        <v/>
      </c>
      <c r="I173" s="3"/>
      <c r="J173" s="4"/>
      <c r="K173" s="3"/>
      <c r="L173" s="4"/>
      <c r="M173" s="3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PAL-0000172</v>
      </c>
      <c r="Q173" s="41"/>
      <c r="R173" s="40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>
      <c r="A174" s="4" t="s">
        <v>367</v>
      </c>
      <c r="B174" s="4"/>
      <c r="D174" t="str">
        <f>IF($C174="","",IFERROR(LOOKUP(2,1/('03_Warehouse_Movements'!$C$2:$C$500=$A174),'03_Warehouse_Movements'!$E$2:$E$500),$C174))</f>
        <v/>
      </c>
      <c r="E174" t="s">
        <v>92</v>
      </c>
      <c r="G174" s="36"/>
      <c r="H174" s="3" t="str">
        <f t="shared" si="4"/>
        <v/>
      </c>
      <c r="I174" s="3"/>
      <c r="J174" s="4"/>
      <c r="K174" s="3"/>
      <c r="L174" s="4"/>
      <c r="M174" s="3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PAL-0000173</v>
      </c>
      <c r="Q174" s="41"/>
      <c r="R174" s="40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>
      <c r="A175" s="4" t="s">
        <v>368</v>
      </c>
      <c r="B175" s="4"/>
      <c r="D175" t="str">
        <f>IF($C175="","",IFERROR(LOOKUP(2,1/('03_Warehouse_Movements'!$C$2:$C$500=$A175),'03_Warehouse_Movements'!$E$2:$E$500),$C175))</f>
        <v/>
      </c>
      <c r="E175" t="s">
        <v>92</v>
      </c>
      <c r="G175" s="36"/>
      <c r="H175" s="3" t="str">
        <f t="shared" si="4"/>
        <v/>
      </c>
      <c r="I175" s="3"/>
      <c r="J175" s="4"/>
      <c r="K175" s="3"/>
      <c r="L175" s="4"/>
      <c r="M175" s="3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PAL-0000174</v>
      </c>
      <c r="Q175" s="41"/>
      <c r="R175" s="40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>
      <c r="A176" s="4" t="s">
        <v>369</v>
      </c>
      <c r="B176" s="4"/>
      <c r="D176" t="str">
        <f>IF($C176="","",IFERROR(LOOKUP(2,1/('03_Warehouse_Movements'!$C$2:$C$500=$A176),'03_Warehouse_Movements'!$E$2:$E$500),$C176))</f>
        <v/>
      </c>
      <c r="E176" t="s">
        <v>92</v>
      </c>
      <c r="G176" s="36"/>
      <c r="H176" s="3" t="str">
        <f t="shared" si="4"/>
        <v/>
      </c>
      <c r="I176" s="3"/>
      <c r="J176" s="4"/>
      <c r="K176" s="3"/>
      <c r="L176" s="4"/>
      <c r="M176" s="3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PAL-0000175</v>
      </c>
      <c r="Q176" s="41"/>
      <c r="R176" s="40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>
      <c r="A177" s="4" t="s">
        <v>370</v>
      </c>
      <c r="B177" s="4"/>
      <c r="D177" t="str">
        <f>IF($C177="","",IFERROR(LOOKUP(2,1/('03_Warehouse_Movements'!$C$2:$C$500=$A177),'03_Warehouse_Movements'!$E$2:$E$500),$C177))</f>
        <v/>
      </c>
      <c r="E177" t="s">
        <v>92</v>
      </c>
      <c r="G177" s="36"/>
      <c r="H177" s="3" t="str">
        <f t="shared" si="4"/>
        <v/>
      </c>
      <c r="I177" s="3"/>
      <c r="J177" s="4"/>
      <c r="K177" s="3"/>
      <c r="L177" s="4"/>
      <c r="M177" s="3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PAL-0000176</v>
      </c>
      <c r="Q177" s="41"/>
      <c r="R177" s="40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>
      <c r="A178" s="4" t="s">
        <v>371</v>
      </c>
      <c r="B178" s="4"/>
      <c r="D178" t="str">
        <f>IF($C178="","",IFERROR(LOOKUP(2,1/('03_Warehouse_Movements'!$C$2:$C$500=$A178),'03_Warehouse_Movements'!$E$2:$E$500),$C178))</f>
        <v/>
      </c>
      <c r="E178" t="s">
        <v>92</v>
      </c>
      <c r="G178" s="36"/>
      <c r="H178" s="3" t="str">
        <f t="shared" si="4"/>
        <v/>
      </c>
      <c r="I178" s="3"/>
      <c r="J178" s="4"/>
      <c r="K178" s="3"/>
      <c r="L178" s="4"/>
      <c r="M178" s="3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PAL-0000177</v>
      </c>
      <c r="Q178" s="41"/>
      <c r="R178" s="40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>
      <c r="A179" s="4" t="s">
        <v>372</v>
      </c>
      <c r="B179" s="4"/>
      <c r="D179" t="str">
        <f>IF($C179="","",IFERROR(LOOKUP(2,1/('03_Warehouse_Movements'!$C$2:$C$500=$A179),'03_Warehouse_Movements'!$E$2:$E$500),$C179))</f>
        <v/>
      </c>
      <c r="E179" t="s">
        <v>92</v>
      </c>
      <c r="G179" s="36"/>
      <c r="H179" s="3" t="str">
        <f t="shared" si="4"/>
        <v/>
      </c>
      <c r="I179" s="3"/>
      <c r="J179" s="4"/>
      <c r="K179" s="3"/>
      <c r="L179" s="4"/>
      <c r="M179" s="3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PAL-0000178</v>
      </c>
      <c r="Q179" s="41"/>
      <c r="R179" s="40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>
      <c r="A180" s="4" t="s">
        <v>373</v>
      </c>
      <c r="B180" s="4"/>
      <c r="D180" t="str">
        <f>IF($C180="","",IFERROR(LOOKUP(2,1/('03_Warehouse_Movements'!$C$2:$C$500=$A180),'03_Warehouse_Movements'!$E$2:$E$500),$C180))</f>
        <v/>
      </c>
      <c r="E180" t="s">
        <v>92</v>
      </c>
      <c r="G180" s="36"/>
      <c r="H180" s="3" t="str">
        <f t="shared" si="4"/>
        <v/>
      </c>
      <c r="I180" s="3"/>
      <c r="J180" s="4"/>
      <c r="K180" s="3"/>
      <c r="L180" s="4"/>
      <c r="M180" s="3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PAL-0000179</v>
      </c>
      <c r="Q180" s="41"/>
      <c r="R180" s="40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>
      <c r="A181" s="4" t="s">
        <v>374</v>
      </c>
      <c r="B181" s="4"/>
      <c r="D181" t="str">
        <f>IF($C181="","",IFERROR(LOOKUP(2,1/('03_Warehouse_Movements'!$C$2:$C$500=$A181),'03_Warehouse_Movements'!$E$2:$E$500),$C181))</f>
        <v/>
      </c>
      <c r="E181" t="s">
        <v>92</v>
      </c>
      <c r="G181" s="36"/>
      <c r="H181" s="3" t="str">
        <f t="shared" si="4"/>
        <v/>
      </c>
      <c r="I181" s="3"/>
      <c r="J181" s="4"/>
      <c r="K181" s="3"/>
      <c r="L181" s="4"/>
      <c r="M181" s="3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PAL-0000180</v>
      </c>
      <c r="Q181" s="41"/>
      <c r="R181" s="40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>
      <c r="A182" s="4" t="s">
        <v>375</v>
      </c>
      <c r="B182" s="4"/>
      <c r="D182" t="str">
        <f>IF($C182="","",IFERROR(LOOKUP(2,1/('03_Warehouse_Movements'!$C$2:$C$500=$A182),'03_Warehouse_Movements'!$E$2:$E$500),$C182))</f>
        <v/>
      </c>
      <c r="E182" t="s">
        <v>92</v>
      </c>
      <c r="G182" s="36"/>
      <c r="H182" s="3" t="str">
        <f t="shared" si="4"/>
        <v/>
      </c>
      <c r="I182" s="3"/>
      <c r="J182" s="4"/>
      <c r="K182" s="3"/>
      <c r="L182" s="4"/>
      <c r="M182" s="3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PAL-0000181</v>
      </c>
      <c r="Q182" s="41"/>
      <c r="R182" s="40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>
      <c r="A183" s="4" t="s">
        <v>376</v>
      </c>
      <c r="B183" s="4"/>
      <c r="D183" t="str">
        <f>IF($C183="","",IFERROR(LOOKUP(2,1/('03_Warehouse_Movements'!$C$2:$C$500=$A183),'03_Warehouse_Movements'!$E$2:$E$500),$C183))</f>
        <v/>
      </c>
      <c r="E183" t="s">
        <v>92</v>
      </c>
      <c r="G183" s="36"/>
      <c r="H183" s="3" t="str">
        <f t="shared" si="4"/>
        <v/>
      </c>
      <c r="I183" s="3"/>
      <c r="J183" s="4"/>
      <c r="K183" s="3"/>
      <c r="L183" s="4"/>
      <c r="M183" s="3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PAL-0000182</v>
      </c>
      <c r="Q183" s="41"/>
      <c r="R183" s="40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>
      <c r="A184" s="4" t="s">
        <v>377</v>
      </c>
      <c r="B184" s="4"/>
      <c r="D184" t="str">
        <f>IF($C184="","",IFERROR(LOOKUP(2,1/('03_Warehouse_Movements'!$C$2:$C$500=$A184),'03_Warehouse_Movements'!$E$2:$E$500),$C184))</f>
        <v/>
      </c>
      <c r="E184" t="s">
        <v>92</v>
      </c>
      <c r="G184" s="36"/>
      <c r="H184" s="3" t="str">
        <f t="shared" si="4"/>
        <v/>
      </c>
      <c r="I184" s="3"/>
      <c r="J184" s="4"/>
      <c r="K184" s="3"/>
      <c r="L184" s="4"/>
      <c r="M184" s="3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PAL-0000183</v>
      </c>
      <c r="Q184" s="41"/>
      <c r="R184" s="40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>
      <c r="A185" s="4" t="s">
        <v>378</v>
      </c>
      <c r="B185" s="4"/>
      <c r="D185" t="str">
        <f>IF($C185="","",IFERROR(LOOKUP(2,1/('03_Warehouse_Movements'!$C$2:$C$500=$A185),'03_Warehouse_Movements'!$E$2:$E$500),$C185))</f>
        <v/>
      </c>
      <c r="E185" t="s">
        <v>92</v>
      </c>
      <c r="G185" s="36"/>
      <c r="H185" s="3" t="str">
        <f t="shared" si="4"/>
        <v/>
      </c>
      <c r="I185" s="3"/>
      <c r="J185" s="4"/>
      <c r="K185" s="3"/>
      <c r="L185" s="4"/>
      <c r="M185" s="3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PAL-0000184</v>
      </c>
      <c r="Q185" s="41"/>
      <c r="R185" s="40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>
      <c r="A186" s="4" t="s">
        <v>379</v>
      </c>
      <c r="B186" s="4"/>
      <c r="D186" t="str">
        <f>IF($C186="","",IFERROR(LOOKUP(2,1/('03_Warehouse_Movements'!$C$2:$C$500=$A186),'03_Warehouse_Movements'!$E$2:$E$500),$C186))</f>
        <v/>
      </c>
      <c r="E186" t="s">
        <v>92</v>
      </c>
      <c r="G186" s="36"/>
      <c r="H186" s="3" t="str">
        <f t="shared" si="4"/>
        <v/>
      </c>
      <c r="I186" s="3"/>
      <c r="J186" s="4"/>
      <c r="K186" s="3"/>
      <c r="L186" s="4"/>
      <c r="M186" s="3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PAL-0000185</v>
      </c>
      <c r="Q186" s="41"/>
      <c r="R186" s="40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>
      <c r="A187" s="4" t="s">
        <v>380</v>
      </c>
      <c r="B187" s="4"/>
      <c r="D187" t="str">
        <f>IF($C187="","",IFERROR(LOOKUP(2,1/('03_Warehouse_Movements'!$C$2:$C$500=$A187),'03_Warehouse_Movements'!$E$2:$E$500),$C187))</f>
        <v/>
      </c>
      <c r="E187" t="s">
        <v>92</v>
      </c>
      <c r="G187" s="36"/>
      <c r="H187" s="3" t="str">
        <f t="shared" si="4"/>
        <v/>
      </c>
      <c r="I187" s="3"/>
      <c r="J187" s="4"/>
      <c r="K187" s="3"/>
      <c r="L187" s="4"/>
      <c r="M187" s="3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PAL-0000186</v>
      </c>
      <c r="Q187" s="41"/>
      <c r="R187" s="40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>
      <c r="A188" s="4" t="s">
        <v>381</v>
      </c>
      <c r="B188" s="4"/>
      <c r="D188" t="str">
        <f>IF($C188="","",IFERROR(LOOKUP(2,1/('03_Warehouse_Movements'!$C$2:$C$500=$A188),'03_Warehouse_Movements'!$E$2:$E$500),$C188))</f>
        <v/>
      </c>
      <c r="E188" t="s">
        <v>92</v>
      </c>
      <c r="G188" s="36"/>
      <c r="H188" s="3" t="str">
        <f t="shared" si="4"/>
        <v/>
      </c>
      <c r="I188" s="3"/>
      <c r="J188" s="4"/>
      <c r="K188" s="3"/>
      <c r="L188" s="4"/>
      <c r="M188" s="3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PAL-0000187</v>
      </c>
      <c r="Q188" s="41"/>
      <c r="R188" s="40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>
      <c r="A189" s="4" t="s">
        <v>382</v>
      </c>
      <c r="B189" s="4"/>
      <c r="D189" t="str">
        <f>IF($C189="","",IFERROR(LOOKUP(2,1/('03_Warehouse_Movements'!$C$2:$C$500=$A189),'03_Warehouse_Movements'!$E$2:$E$500),$C189))</f>
        <v/>
      </c>
      <c r="E189" t="s">
        <v>92</v>
      </c>
      <c r="G189" s="36"/>
      <c r="H189" s="3" t="str">
        <f t="shared" si="4"/>
        <v/>
      </c>
      <c r="I189" s="3"/>
      <c r="J189" s="4"/>
      <c r="K189" s="3"/>
      <c r="L189" s="4"/>
      <c r="M189" s="3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PAL-0000188</v>
      </c>
      <c r="Q189" s="41"/>
      <c r="R189" s="40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>
      <c r="A190" s="4" t="s">
        <v>383</v>
      </c>
      <c r="B190" s="4"/>
      <c r="D190" t="str">
        <f>IF($C190="","",IFERROR(LOOKUP(2,1/('03_Warehouse_Movements'!$C$2:$C$500=$A190),'03_Warehouse_Movements'!$E$2:$E$500),$C190))</f>
        <v/>
      </c>
      <c r="E190" t="s">
        <v>92</v>
      </c>
      <c r="G190" s="36"/>
      <c r="H190" s="3" t="str">
        <f t="shared" si="4"/>
        <v/>
      </c>
      <c r="I190" s="3"/>
      <c r="J190" s="4"/>
      <c r="K190" s="3"/>
      <c r="L190" s="4"/>
      <c r="M190" s="3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PAL-0000189</v>
      </c>
      <c r="Q190" s="41"/>
      <c r="R190" s="40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>
      <c r="A191" s="4" t="s">
        <v>384</v>
      </c>
      <c r="B191" s="4"/>
      <c r="D191" t="str">
        <f>IF($C191="","",IFERROR(LOOKUP(2,1/('03_Warehouse_Movements'!$C$2:$C$500=$A191),'03_Warehouse_Movements'!$E$2:$E$500),$C191))</f>
        <v/>
      </c>
      <c r="E191" t="s">
        <v>92</v>
      </c>
      <c r="G191" s="36"/>
      <c r="H191" s="3" t="str">
        <f t="shared" si="4"/>
        <v/>
      </c>
      <c r="I191" s="3"/>
      <c r="J191" s="4"/>
      <c r="K191" s="3"/>
      <c r="L191" s="4"/>
      <c r="M191" s="3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PAL-0000190</v>
      </c>
      <c r="Q191" s="41"/>
      <c r="R191" s="40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>
      <c r="A192" s="4" t="s">
        <v>385</v>
      </c>
      <c r="B192" s="4"/>
      <c r="D192" t="str">
        <f>IF($C192="","",IFERROR(LOOKUP(2,1/('03_Warehouse_Movements'!$C$2:$C$500=$A192),'03_Warehouse_Movements'!$E$2:$E$500),$C192))</f>
        <v/>
      </c>
      <c r="E192" t="s">
        <v>92</v>
      </c>
      <c r="G192" s="36"/>
      <c r="H192" s="3" t="str">
        <f t="shared" si="4"/>
        <v/>
      </c>
      <c r="I192" s="3"/>
      <c r="J192" s="4"/>
      <c r="K192" s="3"/>
      <c r="L192" s="4"/>
      <c r="M192" s="3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PAL-0000191</v>
      </c>
      <c r="Q192" s="41"/>
      <c r="R192" s="40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>
      <c r="A193" s="4" t="s">
        <v>386</v>
      </c>
      <c r="B193" s="4"/>
      <c r="D193" t="str">
        <f>IF($C193="","",IFERROR(LOOKUP(2,1/('03_Warehouse_Movements'!$C$2:$C$500=$A193),'03_Warehouse_Movements'!$E$2:$E$500),$C193))</f>
        <v/>
      </c>
      <c r="E193" t="s">
        <v>92</v>
      </c>
      <c r="G193" s="36"/>
      <c r="H193" s="3" t="str">
        <f t="shared" si="4"/>
        <v/>
      </c>
      <c r="I193" s="3"/>
      <c r="J193" s="4"/>
      <c r="K193" s="3"/>
      <c r="L193" s="4"/>
      <c r="M193" s="3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PAL-0000192</v>
      </c>
      <c r="Q193" s="41"/>
      <c r="R193" s="40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>
      <c r="A194" s="4" t="s">
        <v>387</v>
      </c>
      <c r="B194" s="4"/>
      <c r="D194" t="str">
        <f>IF($C194="","",IFERROR(LOOKUP(2,1/('03_Warehouse_Movements'!$C$2:$C$500=$A194),'03_Warehouse_Movements'!$E$2:$E$500),$C194))</f>
        <v/>
      </c>
      <c r="E194" t="s">
        <v>92</v>
      </c>
      <c r="G194" s="36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3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PAL-0000193</v>
      </c>
      <c r="Q194" s="41"/>
      <c r="R194" s="40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>
      <c r="A195" s="4" t="s">
        <v>388</v>
      </c>
      <c r="B195" s="4"/>
      <c r="D195" t="str">
        <f>IF($C195="","",IFERROR(LOOKUP(2,1/('03_Warehouse_Movements'!$C$2:$C$500=$A195),'03_Warehouse_Movements'!$E$2:$E$500),$C195))</f>
        <v/>
      </c>
      <c r="E195" t="s">
        <v>92</v>
      </c>
      <c r="G195" s="36"/>
      <c r="H195" s="3" t="str">
        <f t="shared" si="6"/>
        <v/>
      </c>
      <c r="I195" s="3"/>
      <c r="J195" s="4"/>
      <c r="K195" s="3"/>
      <c r="L195" s="4"/>
      <c r="M195" s="3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PAL-0000194</v>
      </c>
      <c r="Q195" s="41"/>
      <c r="R195" s="40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>
      <c r="A196" s="4" t="s">
        <v>389</v>
      </c>
      <c r="B196" s="4"/>
      <c r="D196" t="str">
        <f>IF($C196="","",IFERROR(LOOKUP(2,1/('03_Warehouse_Movements'!$C$2:$C$500=$A196),'03_Warehouse_Movements'!$E$2:$E$500),$C196))</f>
        <v/>
      </c>
      <c r="E196" t="s">
        <v>92</v>
      </c>
      <c r="G196" s="36"/>
      <c r="H196" s="3" t="str">
        <f t="shared" si="6"/>
        <v/>
      </c>
      <c r="I196" s="3"/>
      <c r="J196" s="4"/>
      <c r="K196" s="3"/>
      <c r="L196" s="4"/>
      <c r="M196" s="3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PAL-0000195</v>
      </c>
      <c r="Q196" s="41"/>
      <c r="R196" s="40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>
      <c r="A197" s="4" t="s">
        <v>390</v>
      </c>
      <c r="B197" s="4"/>
      <c r="D197" t="str">
        <f>IF($C197="","",IFERROR(LOOKUP(2,1/('03_Warehouse_Movements'!$C$2:$C$500=$A197),'03_Warehouse_Movements'!$E$2:$E$500),$C197))</f>
        <v/>
      </c>
      <c r="E197" t="s">
        <v>92</v>
      </c>
      <c r="G197" s="36"/>
      <c r="H197" s="3" t="str">
        <f t="shared" si="6"/>
        <v/>
      </c>
      <c r="I197" s="3"/>
      <c r="J197" s="4"/>
      <c r="K197" s="3"/>
      <c r="L197" s="4"/>
      <c r="M197" s="3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PAL-0000196</v>
      </c>
      <c r="Q197" s="41"/>
      <c r="R197" s="40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>
      <c r="A198" s="4" t="s">
        <v>391</v>
      </c>
      <c r="B198" s="4"/>
      <c r="D198" t="str">
        <f>IF($C198="","",IFERROR(LOOKUP(2,1/('03_Warehouse_Movements'!$C$2:$C$500=$A198),'03_Warehouse_Movements'!$E$2:$E$500),$C198))</f>
        <v/>
      </c>
      <c r="E198" t="s">
        <v>92</v>
      </c>
      <c r="G198" s="36"/>
      <c r="H198" s="3" t="str">
        <f t="shared" si="6"/>
        <v/>
      </c>
      <c r="I198" s="3"/>
      <c r="J198" s="4"/>
      <c r="K198" s="3"/>
      <c r="L198" s="4"/>
      <c r="M198" s="3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PAL-0000197</v>
      </c>
      <c r="Q198" s="41"/>
      <c r="R198" s="40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>
      <c r="A199" s="4" t="s">
        <v>392</v>
      </c>
      <c r="B199" s="4"/>
      <c r="D199" t="str">
        <f>IF($C199="","",IFERROR(LOOKUP(2,1/('03_Warehouse_Movements'!$C$2:$C$500=$A199),'03_Warehouse_Movements'!$E$2:$E$500),$C199))</f>
        <v/>
      </c>
      <c r="E199" t="s">
        <v>92</v>
      </c>
      <c r="G199" s="36"/>
      <c r="H199" s="3" t="str">
        <f t="shared" si="6"/>
        <v/>
      </c>
      <c r="I199" s="3"/>
      <c r="J199" s="4"/>
      <c r="K199" s="3"/>
      <c r="L199" s="4"/>
      <c r="M199" s="3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PAL-0000198</v>
      </c>
      <c r="Q199" s="41"/>
      <c r="R199" s="40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393</v>
      </c>
      <c r="B200" s="35"/>
      <c r="D200" t="str">
        <f>IF($C200="","",IFERROR(LOOKUP(2,1/('03_Warehouse_Movements'!$C$2:$C$500=$A200),'03_Warehouse_Movements'!$E$2:$E$500),$C200))</f>
        <v/>
      </c>
      <c r="E200" t="s">
        <v>92</v>
      </c>
      <c r="G200" s="41"/>
      <c r="H200" s="40" t="str">
        <f t="shared" si="6"/>
        <v/>
      </c>
      <c r="I200" s="35"/>
      <c r="J200" s="35"/>
      <c r="K200" s="40"/>
      <c r="M200" s="3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PAL-0000199</v>
      </c>
      <c r="Q200" s="41"/>
      <c r="R200" s="40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394</v>
      </c>
      <c r="B201" s="35"/>
      <c r="D201" t="str">
        <f>IF($C201="","",IFERROR(LOOKUP(2,1/('03_Warehouse_Movements'!$C$2:$C$500=$A201),'03_Warehouse_Movements'!$E$2:$E$500),$C201))</f>
        <v/>
      </c>
      <c r="E201" t="s">
        <v>92</v>
      </c>
      <c r="G201" s="41"/>
      <c r="H201" s="40" t="str">
        <f t="shared" si="6"/>
        <v/>
      </c>
      <c r="I201" s="35"/>
      <c r="J201" s="35"/>
      <c r="K201" s="40"/>
      <c r="M201" s="3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PAL-0000200</v>
      </c>
      <c r="Q201" s="41"/>
      <c r="R201" s="40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395</v>
      </c>
      <c r="B202" s="35"/>
      <c r="D202" t="str">
        <f>IF($C202="","",IFERROR(LOOKUP(2,1/('03_Warehouse_Movements'!$C$2:$C$500=$A202),'03_Warehouse_Movements'!$E$2:$E$500),$C202))</f>
        <v/>
      </c>
      <c r="E202" t="s">
        <v>92</v>
      </c>
      <c r="G202" s="41"/>
      <c r="H202" s="40" t="str">
        <f t="shared" si="6"/>
        <v/>
      </c>
      <c r="I202" s="35"/>
      <c r="J202" s="35"/>
      <c r="K202" s="40"/>
      <c r="M202" s="3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PAL-0000201</v>
      </c>
      <c r="Q202" s="41"/>
      <c r="R202" s="40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396</v>
      </c>
      <c r="B203" s="35"/>
      <c r="D203" t="str">
        <f>IF($C203="","",IFERROR(LOOKUP(2,1/('03_Warehouse_Movements'!$C$2:$C$500=$A203),'03_Warehouse_Movements'!$E$2:$E$500),$C203))</f>
        <v/>
      </c>
      <c r="E203" t="s">
        <v>92</v>
      </c>
      <c r="G203" s="41"/>
      <c r="H203" s="40" t="str">
        <f t="shared" si="6"/>
        <v/>
      </c>
      <c r="I203" s="35"/>
      <c r="J203" s="35"/>
      <c r="K203" s="40"/>
      <c r="M203" s="3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PAL-0000202</v>
      </c>
      <c r="Q203" s="41"/>
      <c r="R203" s="40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397</v>
      </c>
      <c r="B204" s="35"/>
      <c r="D204" t="str">
        <f>IF($C204="","",IFERROR(LOOKUP(2,1/('03_Warehouse_Movements'!$C$2:$C$500=$A204),'03_Warehouse_Movements'!$E$2:$E$500),$C204))</f>
        <v/>
      </c>
      <c r="E204" t="s">
        <v>92</v>
      </c>
      <c r="G204" s="41"/>
      <c r="H204" s="40" t="str">
        <f t="shared" si="6"/>
        <v/>
      </c>
      <c r="I204" s="35"/>
      <c r="J204" s="35"/>
      <c r="K204" s="40"/>
      <c r="M204" s="3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PAL-0000203</v>
      </c>
      <c r="Q204" s="41"/>
      <c r="R204" s="40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398</v>
      </c>
      <c r="B205" s="35"/>
      <c r="D205" t="str">
        <f>IF($C205="","",IFERROR(LOOKUP(2,1/('03_Warehouse_Movements'!$C$2:$C$500=$A205),'03_Warehouse_Movements'!$E$2:$E$500),$C205))</f>
        <v/>
      </c>
      <c r="E205" t="s">
        <v>92</v>
      </c>
      <c r="G205" s="41"/>
      <c r="H205" s="40" t="str">
        <f t="shared" si="6"/>
        <v/>
      </c>
      <c r="I205" s="35"/>
      <c r="J205" s="35"/>
      <c r="K205" s="40"/>
      <c r="M205" s="3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PAL-0000204</v>
      </c>
      <c r="Q205" s="41"/>
      <c r="R205" s="40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399</v>
      </c>
      <c r="B206" s="35"/>
      <c r="D206" t="str">
        <f>IF($C206="","",IFERROR(LOOKUP(2,1/('03_Warehouse_Movements'!$C$2:$C$500=$A206),'03_Warehouse_Movements'!$E$2:$E$500),$C206))</f>
        <v/>
      </c>
      <c r="E206" t="s">
        <v>92</v>
      </c>
      <c r="G206" s="41"/>
      <c r="H206" s="40" t="str">
        <f t="shared" si="6"/>
        <v/>
      </c>
      <c r="I206" s="35"/>
      <c r="J206" s="35"/>
      <c r="K206" s="40"/>
      <c r="M206" s="3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PAL-0000205</v>
      </c>
      <c r="Q206" s="41"/>
      <c r="R206" s="40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400</v>
      </c>
      <c r="B207" s="35"/>
      <c r="D207" t="str">
        <f>IF($C207="","",IFERROR(LOOKUP(2,1/('03_Warehouse_Movements'!$C$2:$C$500=$A207),'03_Warehouse_Movements'!$E$2:$E$500),$C207))</f>
        <v/>
      </c>
      <c r="E207" t="s">
        <v>92</v>
      </c>
      <c r="G207" s="41"/>
      <c r="H207" s="40" t="str">
        <f t="shared" si="6"/>
        <v/>
      </c>
      <c r="I207" s="35"/>
      <c r="J207" s="35"/>
      <c r="K207" s="40"/>
      <c r="M207" s="3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PAL-0000206</v>
      </c>
      <c r="Q207" s="41"/>
      <c r="R207" s="40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401</v>
      </c>
      <c r="B208" s="35"/>
      <c r="D208" t="str">
        <f>IF($C208="","",IFERROR(LOOKUP(2,1/('03_Warehouse_Movements'!$C$2:$C$500=$A208),'03_Warehouse_Movements'!$E$2:$E$500),$C208))</f>
        <v/>
      </c>
      <c r="E208" t="s">
        <v>92</v>
      </c>
      <c r="G208" s="41"/>
      <c r="H208" s="40" t="str">
        <f t="shared" si="6"/>
        <v/>
      </c>
      <c r="I208" s="35"/>
      <c r="J208" s="35"/>
      <c r="K208" s="40"/>
      <c r="M208" s="3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PAL-0000207</v>
      </c>
      <c r="Q208" s="41"/>
      <c r="R208" s="40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402</v>
      </c>
      <c r="B209" s="35"/>
      <c r="D209" t="str">
        <f>IF($C209="","",IFERROR(LOOKUP(2,1/('03_Warehouse_Movements'!$C$2:$C$500=$A209),'03_Warehouse_Movements'!$E$2:$E$500),$C209))</f>
        <v/>
      </c>
      <c r="E209" t="s">
        <v>92</v>
      </c>
      <c r="G209" s="41"/>
      <c r="H209" s="40" t="str">
        <f t="shared" si="6"/>
        <v/>
      </c>
      <c r="I209" s="35"/>
      <c r="J209" s="35"/>
      <c r="K209" s="40"/>
      <c r="M209" s="3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PAL-0000208</v>
      </c>
      <c r="Q209" s="41"/>
      <c r="R209" s="40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403</v>
      </c>
      <c r="B210" s="35"/>
      <c r="D210" t="str">
        <f>IF($C210="","",IFERROR(LOOKUP(2,1/('03_Warehouse_Movements'!$C$2:$C$500=$A210),'03_Warehouse_Movements'!$E$2:$E$500),$C210))</f>
        <v/>
      </c>
      <c r="E210" t="s">
        <v>92</v>
      </c>
      <c r="G210" s="41"/>
      <c r="H210" s="40" t="str">
        <f t="shared" si="6"/>
        <v/>
      </c>
      <c r="I210" s="35"/>
      <c r="J210" s="35"/>
      <c r="K210" s="40"/>
      <c r="M210" s="3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PAL-0000209</v>
      </c>
      <c r="Q210" s="41"/>
      <c r="R210" s="40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404</v>
      </c>
      <c r="B211" s="35"/>
      <c r="D211" t="str">
        <f>IF($C211="","",IFERROR(LOOKUP(2,1/('03_Warehouse_Movements'!$C$2:$C$500=$A211),'03_Warehouse_Movements'!$E$2:$E$500),$C211))</f>
        <v/>
      </c>
      <c r="E211" t="s">
        <v>92</v>
      </c>
      <c r="G211" s="41"/>
      <c r="H211" s="40" t="str">
        <f t="shared" si="6"/>
        <v/>
      </c>
      <c r="I211" s="35"/>
      <c r="J211" s="35"/>
      <c r="K211" s="40"/>
      <c r="M211" s="3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PAL-0000210</v>
      </c>
      <c r="Q211" s="41"/>
      <c r="R211" s="40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405</v>
      </c>
      <c r="B212" s="35"/>
      <c r="D212" t="str">
        <f>IF($C212="","",IFERROR(LOOKUP(2,1/('03_Warehouse_Movements'!$C$2:$C$500=$A212),'03_Warehouse_Movements'!$E$2:$E$500),$C212))</f>
        <v/>
      </c>
      <c r="E212" t="s">
        <v>92</v>
      </c>
      <c r="G212" s="41"/>
      <c r="H212" s="40" t="str">
        <f t="shared" si="6"/>
        <v/>
      </c>
      <c r="I212" s="35"/>
      <c r="J212" s="35"/>
      <c r="K212" s="40"/>
      <c r="M212" s="3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PAL-0000211</v>
      </c>
      <c r="Q212" s="41"/>
      <c r="R212" s="40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406</v>
      </c>
      <c r="B213" s="35"/>
      <c r="D213" t="str">
        <f>IF($C213="","",IFERROR(LOOKUP(2,1/('03_Warehouse_Movements'!$C$2:$C$500=$A213),'03_Warehouse_Movements'!$E$2:$E$500),$C213))</f>
        <v/>
      </c>
      <c r="E213" t="s">
        <v>92</v>
      </c>
      <c r="G213" s="41"/>
      <c r="H213" s="40" t="str">
        <f t="shared" si="6"/>
        <v/>
      </c>
      <c r="I213" s="35"/>
      <c r="J213" s="35"/>
      <c r="K213" s="40"/>
      <c r="M213" s="3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PAL-0000212</v>
      </c>
      <c r="Q213" s="41"/>
      <c r="R213" s="40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407</v>
      </c>
      <c r="B214" s="35"/>
      <c r="D214" t="str">
        <f>IF($C214="","",IFERROR(LOOKUP(2,1/('03_Warehouse_Movements'!$C$2:$C$500=$A214),'03_Warehouse_Movements'!$E$2:$E$500),$C214))</f>
        <v/>
      </c>
      <c r="E214" t="s">
        <v>92</v>
      </c>
      <c r="G214" s="41"/>
      <c r="H214" s="40" t="str">
        <f t="shared" si="6"/>
        <v/>
      </c>
      <c r="I214" s="35"/>
      <c r="J214" s="35"/>
      <c r="K214" s="40"/>
      <c r="M214" s="3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PAL-0000213</v>
      </c>
      <c r="Q214" s="41"/>
      <c r="R214" s="40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408</v>
      </c>
      <c r="B215" s="35"/>
      <c r="D215" t="str">
        <f>IF($C215="","",IFERROR(LOOKUP(2,1/('03_Warehouse_Movements'!$C$2:$C$500=$A215),'03_Warehouse_Movements'!$E$2:$E$500),$C215))</f>
        <v/>
      </c>
      <c r="E215" t="s">
        <v>92</v>
      </c>
      <c r="G215" s="41"/>
      <c r="H215" s="40" t="str">
        <f t="shared" si="6"/>
        <v/>
      </c>
      <c r="I215" s="35"/>
      <c r="J215" s="35"/>
      <c r="K215" s="40"/>
      <c r="M215" s="3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PAL-0000214</v>
      </c>
      <c r="Q215" s="41"/>
      <c r="R215" s="40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409</v>
      </c>
      <c r="B216" s="35"/>
      <c r="D216" t="str">
        <f>IF($C216="","",IFERROR(LOOKUP(2,1/('03_Warehouse_Movements'!$C$2:$C$500=$A216),'03_Warehouse_Movements'!$E$2:$E$500),$C216))</f>
        <v/>
      </c>
      <c r="E216" t="s">
        <v>92</v>
      </c>
      <c r="G216" s="41"/>
      <c r="H216" s="40" t="str">
        <f t="shared" si="6"/>
        <v/>
      </c>
      <c r="I216" s="35"/>
      <c r="J216" s="35"/>
      <c r="K216" s="40"/>
      <c r="M216" s="3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PAL-0000215</v>
      </c>
      <c r="Q216" s="41"/>
      <c r="R216" s="40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410</v>
      </c>
      <c r="B217" s="35"/>
      <c r="D217" t="str">
        <f>IF($C217="","",IFERROR(LOOKUP(2,1/('03_Warehouse_Movements'!$C$2:$C$500=$A217),'03_Warehouse_Movements'!$E$2:$E$500),$C217))</f>
        <v/>
      </c>
      <c r="E217" t="s">
        <v>92</v>
      </c>
      <c r="G217" s="41"/>
      <c r="H217" s="40" t="str">
        <f t="shared" si="6"/>
        <v/>
      </c>
      <c r="I217" s="35"/>
      <c r="J217" s="35"/>
      <c r="K217" s="40"/>
      <c r="M217" s="3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PAL-0000216</v>
      </c>
      <c r="Q217" s="41"/>
      <c r="R217" s="40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411</v>
      </c>
      <c r="B218" s="35"/>
      <c r="D218" t="str">
        <f>IF($C218="","",IFERROR(LOOKUP(2,1/('03_Warehouse_Movements'!$C$2:$C$500=$A218),'03_Warehouse_Movements'!$E$2:$E$500),$C218))</f>
        <v/>
      </c>
      <c r="E218" t="s">
        <v>92</v>
      </c>
      <c r="G218" s="41"/>
      <c r="H218" s="40" t="str">
        <f t="shared" si="6"/>
        <v/>
      </c>
      <c r="I218" s="35"/>
      <c r="J218" s="35"/>
      <c r="K218" s="40"/>
      <c r="M218" s="3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PAL-0000217</v>
      </c>
      <c r="Q218" s="41"/>
      <c r="R218" s="40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412</v>
      </c>
      <c r="B219" s="35"/>
      <c r="D219" t="str">
        <f>IF($C219="","",IFERROR(LOOKUP(2,1/('03_Warehouse_Movements'!$C$2:$C$500=$A219),'03_Warehouse_Movements'!$E$2:$E$500),$C219))</f>
        <v/>
      </c>
      <c r="E219" t="s">
        <v>92</v>
      </c>
      <c r="G219" s="41"/>
      <c r="H219" s="40" t="str">
        <f t="shared" si="6"/>
        <v/>
      </c>
      <c r="I219" s="35"/>
      <c r="J219" s="35"/>
      <c r="K219" s="40"/>
      <c r="M219" s="3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PAL-0000218</v>
      </c>
      <c r="Q219" s="41"/>
      <c r="R219" s="40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413</v>
      </c>
      <c r="B220" s="35"/>
      <c r="D220" t="str">
        <f>IF($C220="","",IFERROR(LOOKUP(2,1/('03_Warehouse_Movements'!$C$2:$C$500=$A220),'03_Warehouse_Movements'!$E$2:$E$500),$C220))</f>
        <v/>
      </c>
      <c r="E220" t="s">
        <v>92</v>
      </c>
      <c r="G220" s="41"/>
      <c r="H220" s="40" t="str">
        <f t="shared" si="6"/>
        <v/>
      </c>
      <c r="I220" s="35"/>
      <c r="J220" s="35"/>
      <c r="K220" s="40"/>
      <c r="M220" s="3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PAL-0000219</v>
      </c>
      <c r="Q220" s="41"/>
      <c r="R220" s="40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414</v>
      </c>
      <c r="B221" s="35"/>
      <c r="D221" t="str">
        <f>IF($C221="","",IFERROR(LOOKUP(2,1/('03_Warehouse_Movements'!$C$2:$C$500=$A221),'03_Warehouse_Movements'!$E$2:$E$500),$C221))</f>
        <v/>
      </c>
      <c r="E221" t="s">
        <v>92</v>
      </c>
      <c r="G221" s="41"/>
      <c r="H221" s="40" t="str">
        <f t="shared" si="6"/>
        <v/>
      </c>
      <c r="I221" s="35"/>
      <c r="J221" s="35"/>
      <c r="K221" s="40"/>
      <c r="M221" s="3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PAL-0000220</v>
      </c>
      <c r="Q221" s="41"/>
      <c r="R221" s="40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415</v>
      </c>
      <c r="B222" s="35"/>
      <c r="D222" t="str">
        <f>IF($C222="","",IFERROR(LOOKUP(2,1/('03_Warehouse_Movements'!$C$2:$C$500=$A222),'03_Warehouse_Movements'!$E$2:$E$500),$C222))</f>
        <v/>
      </c>
      <c r="E222" t="s">
        <v>92</v>
      </c>
      <c r="G222" s="41"/>
      <c r="H222" s="40" t="str">
        <f t="shared" si="6"/>
        <v/>
      </c>
      <c r="I222" s="35"/>
      <c r="J222" s="35"/>
      <c r="K222" s="40"/>
      <c r="M222" s="3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PAL-0000221</v>
      </c>
      <c r="Q222" s="41"/>
      <c r="R222" s="40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416</v>
      </c>
      <c r="B223" s="35"/>
      <c r="D223" t="str">
        <f>IF($C223="","",IFERROR(LOOKUP(2,1/('03_Warehouse_Movements'!$C$2:$C$500=$A223),'03_Warehouse_Movements'!$E$2:$E$500),$C223))</f>
        <v/>
      </c>
      <c r="E223" t="s">
        <v>92</v>
      </c>
      <c r="G223" s="41"/>
      <c r="H223" s="40" t="str">
        <f t="shared" si="6"/>
        <v/>
      </c>
      <c r="I223" s="35"/>
      <c r="J223" s="35"/>
      <c r="K223" s="40"/>
      <c r="M223" s="3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PAL-0000222</v>
      </c>
      <c r="Q223" s="41"/>
      <c r="R223" s="40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417</v>
      </c>
      <c r="B224" s="35"/>
      <c r="D224" t="str">
        <f>IF($C224="","",IFERROR(LOOKUP(2,1/('03_Warehouse_Movements'!$C$2:$C$500=$A224),'03_Warehouse_Movements'!$E$2:$E$500),$C224))</f>
        <v/>
      </c>
      <c r="E224" t="s">
        <v>92</v>
      </c>
      <c r="G224" s="41"/>
      <c r="H224" s="40" t="str">
        <f t="shared" si="6"/>
        <v/>
      </c>
      <c r="I224" s="35"/>
      <c r="J224" s="35"/>
      <c r="K224" s="40"/>
      <c r="M224" s="3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PAL-0000223</v>
      </c>
      <c r="Q224" s="41"/>
      <c r="R224" s="40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418</v>
      </c>
      <c r="B225" s="35"/>
      <c r="D225" t="str">
        <f>IF($C225="","",IFERROR(LOOKUP(2,1/('03_Warehouse_Movements'!$C$2:$C$500=$A225),'03_Warehouse_Movements'!$E$2:$E$500),$C225))</f>
        <v/>
      </c>
      <c r="E225" t="s">
        <v>92</v>
      </c>
      <c r="G225" s="41"/>
      <c r="H225" s="40" t="str">
        <f t="shared" si="6"/>
        <v/>
      </c>
      <c r="I225" s="35"/>
      <c r="J225" s="35"/>
      <c r="K225" s="40"/>
      <c r="M225" s="3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PAL-0000224</v>
      </c>
      <c r="Q225" s="41"/>
      <c r="R225" s="40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419</v>
      </c>
      <c r="B226" s="35"/>
      <c r="D226" t="str">
        <f>IF($C226="","",IFERROR(LOOKUP(2,1/('03_Warehouse_Movements'!$C$2:$C$500=$A226),'03_Warehouse_Movements'!$E$2:$E$500),$C226))</f>
        <v/>
      </c>
      <c r="E226" t="s">
        <v>92</v>
      </c>
      <c r="G226" s="41"/>
      <c r="H226" s="40" t="str">
        <f t="shared" si="6"/>
        <v/>
      </c>
      <c r="I226" s="35"/>
      <c r="J226" s="35"/>
      <c r="K226" s="40"/>
      <c r="M226" s="3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PAL-0000225</v>
      </c>
      <c r="Q226" s="41"/>
      <c r="R226" s="40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420</v>
      </c>
      <c r="B227" s="35"/>
      <c r="D227" t="str">
        <f>IF($C227="","",IFERROR(LOOKUP(2,1/('03_Warehouse_Movements'!$C$2:$C$500=$A227),'03_Warehouse_Movements'!$E$2:$E$500),$C227))</f>
        <v/>
      </c>
      <c r="E227" t="s">
        <v>92</v>
      </c>
      <c r="G227" s="41"/>
      <c r="H227" s="40" t="str">
        <f t="shared" si="6"/>
        <v/>
      </c>
      <c r="I227" s="35"/>
      <c r="J227" s="35"/>
      <c r="K227" s="40"/>
      <c r="M227" s="3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PAL-0000226</v>
      </c>
      <c r="Q227" s="41"/>
      <c r="R227" s="40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421</v>
      </c>
      <c r="B228" s="35"/>
      <c r="D228" t="str">
        <f>IF($C228="","",IFERROR(LOOKUP(2,1/('03_Warehouse_Movements'!$C$2:$C$500=$A228),'03_Warehouse_Movements'!$E$2:$E$500),$C228))</f>
        <v/>
      </c>
      <c r="E228" t="s">
        <v>92</v>
      </c>
      <c r="G228" s="41"/>
      <c r="H228" s="40" t="str">
        <f t="shared" si="6"/>
        <v/>
      </c>
      <c r="I228" s="35"/>
      <c r="J228" s="35"/>
      <c r="K228" s="40"/>
      <c r="M228" s="3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PAL-0000227</v>
      </c>
      <c r="Q228" s="41"/>
      <c r="R228" s="40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422</v>
      </c>
      <c r="B229" s="35"/>
      <c r="D229" t="str">
        <f>IF($C229="","",IFERROR(LOOKUP(2,1/('03_Warehouse_Movements'!$C$2:$C$500=$A229),'03_Warehouse_Movements'!$E$2:$E$500),$C229))</f>
        <v/>
      </c>
      <c r="E229" t="s">
        <v>92</v>
      </c>
      <c r="G229" s="41"/>
      <c r="H229" s="40" t="str">
        <f t="shared" si="6"/>
        <v/>
      </c>
      <c r="I229" s="35"/>
      <c r="J229" s="35"/>
      <c r="K229" s="40"/>
      <c r="M229" s="3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PAL-0000228</v>
      </c>
      <c r="Q229" s="41"/>
      <c r="R229" s="40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423</v>
      </c>
      <c r="B230" s="35"/>
      <c r="D230" t="str">
        <f>IF($C230="","",IFERROR(LOOKUP(2,1/('03_Warehouse_Movements'!$C$2:$C$500=$A230),'03_Warehouse_Movements'!$E$2:$E$500),$C230))</f>
        <v/>
      </c>
      <c r="E230" t="s">
        <v>92</v>
      </c>
      <c r="G230" s="41"/>
      <c r="H230" s="40" t="str">
        <f t="shared" si="6"/>
        <v/>
      </c>
      <c r="I230" s="35"/>
      <c r="J230" s="35"/>
      <c r="K230" s="40"/>
      <c r="M230" s="3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PAL-0000229</v>
      </c>
      <c r="Q230" s="41"/>
      <c r="R230" s="40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424</v>
      </c>
      <c r="B231" s="35"/>
      <c r="D231" t="str">
        <f>IF($C231="","",IFERROR(LOOKUP(2,1/('03_Warehouse_Movements'!$C$2:$C$500=$A231),'03_Warehouse_Movements'!$E$2:$E$500),$C231))</f>
        <v/>
      </c>
      <c r="E231" t="s">
        <v>92</v>
      </c>
      <c r="G231" s="41"/>
      <c r="H231" s="40" t="str">
        <f t="shared" si="6"/>
        <v/>
      </c>
      <c r="I231" s="35"/>
      <c r="J231" s="35"/>
      <c r="K231" s="40"/>
      <c r="M231" s="3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PAL-0000230</v>
      </c>
      <c r="Q231" s="41"/>
      <c r="R231" s="40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425</v>
      </c>
      <c r="B232" s="35"/>
      <c r="D232" t="str">
        <f>IF($C232="","",IFERROR(LOOKUP(2,1/('03_Warehouse_Movements'!$C$2:$C$500=$A232),'03_Warehouse_Movements'!$E$2:$E$500),$C232))</f>
        <v/>
      </c>
      <c r="E232" t="s">
        <v>92</v>
      </c>
      <c r="G232" s="41"/>
      <c r="H232" s="40" t="str">
        <f t="shared" si="6"/>
        <v/>
      </c>
      <c r="I232" s="35"/>
      <c r="J232" s="35"/>
      <c r="K232" s="40"/>
      <c r="M232" s="3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PAL-0000231</v>
      </c>
      <c r="Q232" s="41"/>
      <c r="R232" s="40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426</v>
      </c>
      <c r="B233" s="35"/>
      <c r="D233" t="str">
        <f>IF($C233="","",IFERROR(LOOKUP(2,1/('03_Warehouse_Movements'!$C$2:$C$500=$A233),'03_Warehouse_Movements'!$E$2:$E$500),$C233))</f>
        <v/>
      </c>
      <c r="E233" t="s">
        <v>92</v>
      </c>
      <c r="G233" s="41"/>
      <c r="H233" s="40" t="str">
        <f t="shared" si="6"/>
        <v/>
      </c>
      <c r="I233" s="35"/>
      <c r="J233" s="35"/>
      <c r="K233" s="40"/>
      <c r="M233" s="3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PAL-0000232</v>
      </c>
      <c r="Q233" s="41"/>
      <c r="R233" s="40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427</v>
      </c>
      <c r="B234" s="35"/>
      <c r="D234" t="str">
        <f>IF($C234="","",IFERROR(LOOKUP(2,1/('03_Warehouse_Movements'!$C$2:$C$500=$A234),'03_Warehouse_Movements'!$E$2:$E$500),$C234))</f>
        <v/>
      </c>
      <c r="E234" t="s">
        <v>92</v>
      </c>
      <c r="G234" s="41"/>
      <c r="H234" s="40" t="str">
        <f t="shared" si="6"/>
        <v/>
      </c>
      <c r="I234" s="35"/>
      <c r="J234" s="35"/>
      <c r="K234" s="40"/>
      <c r="M234" s="3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PAL-0000233</v>
      </c>
      <c r="Q234" s="41"/>
      <c r="R234" s="40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428</v>
      </c>
      <c r="B235" s="35"/>
      <c r="D235" t="str">
        <f>IF($C235="","",IFERROR(LOOKUP(2,1/('03_Warehouse_Movements'!$C$2:$C$500=$A235),'03_Warehouse_Movements'!$E$2:$E$500),$C235))</f>
        <v/>
      </c>
      <c r="E235" t="s">
        <v>92</v>
      </c>
      <c r="G235" s="41"/>
      <c r="H235" s="40" t="str">
        <f t="shared" si="6"/>
        <v/>
      </c>
      <c r="I235" s="35"/>
      <c r="J235" s="35"/>
      <c r="K235" s="40"/>
      <c r="M235" s="3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PAL-0000234</v>
      </c>
      <c r="Q235" s="41"/>
      <c r="R235" s="40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429</v>
      </c>
      <c r="B236" s="35"/>
      <c r="D236" t="str">
        <f>IF($C236="","",IFERROR(LOOKUP(2,1/('03_Warehouse_Movements'!$C$2:$C$500=$A236),'03_Warehouse_Movements'!$E$2:$E$500),$C236))</f>
        <v/>
      </c>
      <c r="E236" t="s">
        <v>92</v>
      </c>
      <c r="G236" s="41"/>
      <c r="H236" s="40" t="str">
        <f t="shared" si="6"/>
        <v/>
      </c>
      <c r="I236" s="35"/>
      <c r="J236" s="35"/>
      <c r="K236" s="40"/>
      <c r="M236" s="3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PAL-0000235</v>
      </c>
      <c r="Q236" s="41"/>
      <c r="R236" s="40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430</v>
      </c>
      <c r="B237" s="35"/>
      <c r="D237" t="str">
        <f>IF($C237="","",IFERROR(LOOKUP(2,1/('03_Warehouse_Movements'!$C$2:$C$500=$A237),'03_Warehouse_Movements'!$E$2:$E$500),$C237))</f>
        <v/>
      </c>
      <c r="E237" t="s">
        <v>92</v>
      </c>
      <c r="G237" s="41"/>
      <c r="H237" s="40" t="str">
        <f t="shared" si="6"/>
        <v/>
      </c>
      <c r="I237" s="35"/>
      <c r="J237" s="35"/>
      <c r="K237" s="40"/>
      <c r="M237" s="3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PAL-0000236</v>
      </c>
      <c r="Q237" s="41"/>
      <c r="R237" s="40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431</v>
      </c>
      <c r="B238" s="35"/>
      <c r="D238" t="str">
        <f>IF($C238="","",IFERROR(LOOKUP(2,1/('03_Warehouse_Movements'!$C$2:$C$500=$A238),'03_Warehouse_Movements'!$E$2:$E$500),$C238))</f>
        <v/>
      </c>
      <c r="E238" t="s">
        <v>92</v>
      </c>
      <c r="G238" s="41"/>
      <c r="H238" s="40" t="str">
        <f t="shared" si="6"/>
        <v/>
      </c>
      <c r="I238" s="35"/>
      <c r="J238" s="35"/>
      <c r="K238" s="40"/>
      <c r="M238" s="3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PAL-0000237</v>
      </c>
      <c r="Q238" s="41"/>
      <c r="R238" s="40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432</v>
      </c>
      <c r="B239" s="35"/>
      <c r="D239" t="str">
        <f>IF($C239="","",IFERROR(LOOKUP(2,1/('03_Warehouse_Movements'!$C$2:$C$500=$A239),'03_Warehouse_Movements'!$E$2:$E$500),$C239))</f>
        <v/>
      </c>
      <c r="E239" t="s">
        <v>92</v>
      </c>
      <c r="G239" s="41"/>
      <c r="H239" s="40" t="str">
        <f t="shared" si="6"/>
        <v/>
      </c>
      <c r="I239" s="35"/>
      <c r="J239" s="35"/>
      <c r="K239" s="40"/>
      <c r="M239" s="3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PAL-0000238</v>
      </c>
      <c r="Q239" s="41"/>
      <c r="R239" s="40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433</v>
      </c>
      <c r="B240" s="35"/>
      <c r="D240" t="str">
        <f>IF($C240="","",IFERROR(LOOKUP(2,1/('03_Warehouse_Movements'!$C$2:$C$500=$A240),'03_Warehouse_Movements'!$E$2:$E$500),$C240))</f>
        <v/>
      </c>
      <c r="E240" t="s">
        <v>92</v>
      </c>
      <c r="G240" s="41"/>
      <c r="H240" s="40" t="str">
        <f t="shared" si="6"/>
        <v/>
      </c>
      <c r="I240" s="35"/>
      <c r="J240" s="35"/>
      <c r="K240" s="40"/>
      <c r="M240" s="3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PAL-0000239</v>
      </c>
      <c r="Q240" s="41"/>
      <c r="R240" s="40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434</v>
      </c>
      <c r="B241" s="35"/>
      <c r="D241" t="str">
        <f>IF($C241="","",IFERROR(LOOKUP(2,1/('03_Warehouse_Movements'!$C$2:$C$500=$A241),'03_Warehouse_Movements'!$E$2:$E$500),$C241))</f>
        <v/>
      </c>
      <c r="E241" t="s">
        <v>92</v>
      </c>
      <c r="G241" s="41"/>
      <c r="H241" s="40" t="str">
        <f t="shared" si="6"/>
        <v/>
      </c>
      <c r="I241" s="35"/>
      <c r="J241" s="35"/>
      <c r="K241" s="40"/>
      <c r="M241" s="3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PAL-0000240</v>
      </c>
      <c r="Q241" s="41"/>
      <c r="R241" s="40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435</v>
      </c>
      <c r="B242" s="35"/>
      <c r="D242" t="str">
        <f>IF($C242="","",IFERROR(LOOKUP(2,1/('03_Warehouse_Movements'!$C$2:$C$500=$A242),'03_Warehouse_Movements'!$E$2:$E$500),$C242))</f>
        <v/>
      </c>
      <c r="E242" t="s">
        <v>92</v>
      </c>
      <c r="G242" s="41"/>
      <c r="H242" s="40" t="str">
        <f t="shared" si="6"/>
        <v/>
      </c>
      <c r="I242" s="35"/>
      <c r="J242" s="35"/>
      <c r="K242" s="40"/>
      <c r="M242" s="3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PAL-0000241</v>
      </c>
      <c r="Q242" s="41"/>
      <c r="R242" s="40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436</v>
      </c>
      <c r="B243" s="35"/>
      <c r="D243" t="str">
        <f>IF($C243="","",IFERROR(LOOKUP(2,1/('03_Warehouse_Movements'!$C$2:$C$500=$A243),'03_Warehouse_Movements'!$E$2:$E$500),$C243))</f>
        <v/>
      </c>
      <c r="E243" t="s">
        <v>92</v>
      </c>
      <c r="G243" s="41"/>
      <c r="H243" s="40" t="str">
        <f t="shared" si="6"/>
        <v/>
      </c>
      <c r="I243" s="35"/>
      <c r="J243" s="35"/>
      <c r="K243" s="40"/>
      <c r="M243" s="3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PAL-0000242</v>
      </c>
      <c r="Q243" s="41"/>
      <c r="R243" s="40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437</v>
      </c>
      <c r="B244" s="35"/>
      <c r="D244" t="str">
        <f>IF($C244="","",IFERROR(LOOKUP(2,1/('03_Warehouse_Movements'!$C$2:$C$500=$A244),'03_Warehouse_Movements'!$E$2:$E$500),$C244))</f>
        <v/>
      </c>
      <c r="E244" t="s">
        <v>92</v>
      </c>
      <c r="G244" s="41"/>
      <c r="H244" s="40" t="str">
        <f t="shared" si="6"/>
        <v/>
      </c>
      <c r="I244" s="35"/>
      <c r="J244" s="35"/>
      <c r="K244" s="40"/>
      <c r="M244" s="3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PAL-0000243</v>
      </c>
      <c r="Q244" s="41"/>
      <c r="R244" s="40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438</v>
      </c>
      <c r="B245" s="35"/>
      <c r="D245" t="str">
        <f>IF($C245="","",IFERROR(LOOKUP(2,1/('03_Warehouse_Movements'!$C$2:$C$500=$A245),'03_Warehouse_Movements'!$E$2:$E$500),$C245))</f>
        <v/>
      </c>
      <c r="E245" t="s">
        <v>92</v>
      </c>
      <c r="G245" s="41"/>
      <c r="H245" s="40" t="str">
        <f t="shared" si="6"/>
        <v/>
      </c>
      <c r="I245" s="35"/>
      <c r="J245" s="35"/>
      <c r="K245" s="40"/>
      <c r="M245" s="3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PAL-0000244</v>
      </c>
      <c r="Q245" s="41"/>
      <c r="R245" s="40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439</v>
      </c>
      <c r="B246" s="35"/>
      <c r="D246" t="str">
        <f>IF($C246="","",IFERROR(LOOKUP(2,1/('03_Warehouse_Movements'!$C$2:$C$500=$A246),'03_Warehouse_Movements'!$E$2:$E$500),$C246))</f>
        <v/>
      </c>
      <c r="E246" t="s">
        <v>92</v>
      </c>
      <c r="G246" s="41"/>
      <c r="H246" s="40" t="str">
        <f t="shared" si="6"/>
        <v/>
      </c>
      <c r="I246" s="35"/>
      <c r="J246" s="35"/>
      <c r="K246" s="40"/>
      <c r="M246" s="3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PAL-0000245</v>
      </c>
      <c r="Q246" s="41"/>
      <c r="R246" s="40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440</v>
      </c>
      <c r="B247" s="35"/>
      <c r="D247" t="str">
        <f>IF($C247="","",IFERROR(LOOKUP(2,1/('03_Warehouse_Movements'!$C$2:$C$500=$A247),'03_Warehouse_Movements'!$E$2:$E$500),$C247))</f>
        <v/>
      </c>
      <c r="E247" t="s">
        <v>92</v>
      </c>
      <c r="G247" s="41"/>
      <c r="H247" s="40" t="str">
        <f t="shared" si="6"/>
        <v/>
      </c>
      <c r="I247" s="35"/>
      <c r="J247" s="35"/>
      <c r="K247" s="40"/>
      <c r="M247" s="3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PAL-0000246</v>
      </c>
      <c r="Q247" s="41"/>
      <c r="R247" s="40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441</v>
      </c>
      <c r="B248" s="35"/>
      <c r="D248" t="str">
        <f>IF($C248="","",IFERROR(LOOKUP(2,1/('03_Warehouse_Movements'!$C$2:$C$500=$A248),'03_Warehouse_Movements'!$E$2:$E$500),$C248))</f>
        <v/>
      </c>
      <c r="E248" t="s">
        <v>92</v>
      </c>
      <c r="G248" s="41"/>
      <c r="H248" s="40" t="str">
        <f t="shared" si="6"/>
        <v/>
      </c>
      <c r="I248" s="35"/>
      <c r="J248" s="35"/>
      <c r="K248" s="40"/>
      <c r="M248" s="3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PAL-0000247</v>
      </c>
      <c r="Q248" s="41"/>
      <c r="R248" s="40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442</v>
      </c>
      <c r="B249" s="35"/>
      <c r="D249" t="str">
        <f>IF($C249="","",IFERROR(LOOKUP(2,1/('03_Warehouse_Movements'!$C$2:$C$500=$A249),'03_Warehouse_Movements'!$E$2:$E$500),$C249))</f>
        <v/>
      </c>
      <c r="E249" t="s">
        <v>92</v>
      </c>
      <c r="G249" s="41"/>
      <c r="H249" s="40" t="str">
        <f t="shared" si="6"/>
        <v/>
      </c>
      <c r="I249" s="35"/>
      <c r="J249" s="35"/>
      <c r="K249" s="40"/>
      <c r="M249" s="3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PAL-0000248</v>
      </c>
      <c r="Q249" s="41"/>
      <c r="R249" s="40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443</v>
      </c>
      <c r="B250" s="35"/>
      <c r="D250" t="str">
        <f>IF($C250="","",IFERROR(LOOKUP(2,1/('03_Warehouse_Movements'!$C$2:$C$500=$A250),'03_Warehouse_Movements'!$E$2:$E$500),$C250))</f>
        <v/>
      </c>
      <c r="E250" t="s">
        <v>92</v>
      </c>
      <c r="G250" s="41"/>
      <c r="H250" s="40" t="str">
        <f t="shared" si="6"/>
        <v/>
      </c>
      <c r="I250" s="35"/>
      <c r="J250" s="35"/>
      <c r="K250" s="40"/>
      <c r="M250" s="3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PAL-0000249</v>
      </c>
      <c r="Q250" s="41"/>
      <c r="R250" s="40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444</v>
      </c>
      <c r="B251" s="35"/>
      <c r="D251" t="str">
        <f>IF($C251="","",IFERROR(LOOKUP(2,1/('03_Warehouse_Movements'!$C$2:$C$500=$A251),'03_Warehouse_Movements'!$E$2:$E$500),$C251))</f>
        <v/>
      </c>
      <c r="E251" t="s">
        <v>92</v>
      </c>
      <c r="G251" s="41"/>
      <c r="H251" s="40" t="str">
        <f t="shared" si="6"/>
        <v/>
      </c>
      <c r="I251" s="35"/>
      <c r="J251" s="35"/>
      <c r="K251" s="40"/>
      <c r="M251" s="3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PAL-0000250</v>
      </c>
      <c r="Q251" s="41"/>
      <c r="R251" s="40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445</v>
      </c>
      <c r="B252" s="35"/>
      <c r="D252" t="str">
        <f>IF($C252="","",IFERROR(LOOKUP(2,1/('03_Warehouse_Movements'!$C$2:$C$500=$A252),'03_Warehouse_Movements'!$E$2:$E$500),$C252))</f>
        <v/>
      </c>
      <c r="E252" t="s">
        <v>92</v>
      </c>
      <c r="G252" s="41"/>
      <c r="H252" s="40" t="str">
        <f t="shared" si="6"/>
        <v/>
      </c>
      <c r="I252" s="35"/>
      <c r="J252" s="35"/>
      <c r="K252" s="40"/>
      <c r="M252" s="3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PAL-0000251</v>
      </c>
      <c r="Q252" s="41"/>
      <c r="R252" s="40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446</v>
      </c>
      <c r="B253" s="35"/>
      <c r="D253" t="str">
        <f>IF($C253="","",IFERROR(LOOKUP(2,1/('03_Warehouse_Movements'!$C$2:$C$500=$A253),'03_Warehouse_Movements'!$E$2:$E$500),$C253))</f>
        <v/>
      </c>
      <c r="E253" t="s">
        <v>92</v>
      </c>
      <c r="G253" s="41"/>
      <c r="H253" s="40" t="str">
        <f t="shared" si="6"/>
        <v/>
      </c>
      <c r="I253" s="35"/>
      <c r="J253" s="35"/>
      <c r="K253" s="40"/>
      <c r="M253" s="3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PAL-0000252</v>
      </c>
      <c r="Q253" s="41"/>
      <c r="R253" s="40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447</v>
      </c>
      <c r="B254" s="35"/>
      <c r="D254" t="str">
        <f>IF($C254="","",IFERROR(LOOKUP(2,1/('03_Warehouse_Movements'!$C$2:$C$500=$A254),'03_Warehouse_Movements'!$E$2:$E$500),$C254))</f>
        <v/>
      </c>
      <c r="E254" t="s">
        <v>92</v>
      </c>
      <c r="G254" s="41"/>
      <c r="H254" s="40" t="str">
        <f t="shared" si="6"/>
        <v/>
      </c>
      <c r="I254" s="35"/>
      <c r="J254" s="35"/>
      <c r="K254" s="40"/>
      <c r="M254" s="3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PAL-0000253</v>
      </c>
      <c r="Q254" s="41"/>
      <c r="R254" s="40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448</v>
      </c>
      <c r="B255" s="35"/>
      <c r="D255" t="str">
        <f>IF($C255="","",IFERROR(LOOKUP(2,1/('03_Warehouse_Movements'!$C$2:$C$500=$A255),'03_Warehouse_Movements'!$E$2:$E$500),$C255))</f>
        <v/>
      </c>
      <c r="E255" t="s">
        <v>92</v>
      </c>
      <c r="G255" s="41"/>
      <c r="H255" s="40" t="str">
        <f t="shared" si="6"/>
        <v/>
      </c>
      <c r="I255" s="35"/>
      <c r="J255" s="35"/>
      <c r="K255" s="40"/>
      <c r="M255" s="3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PAL-0000254</v>
      </c>
      <c r="Q255" s="41"/>
      <c r="R255" s="40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449</v>
      </c>
      <c r="B256" s="35"/>
      <c r="D256" t="str">
        <f>IF($C256="","",IFERROR(LOOKUP(2,1/('03_Warehouse_Movements'!$C$2:$C$500=$A256),'03_Warehouse_Movements'!$E$2:$E$500),$C256))</f>
        <v/>
      </c>
      <c r="E256" t="s">
        <v>92</v>
      </c>
      <c r="G256" s="41"/>
      <c r="H256" s="40" t="str">
        <f t="shared" si="6"/>
        <v/>
      </c>
      <c r="I256" s="35"/>
      <c r="J256" s="35"/>
      <c r="K256" s="40"/>
      <c r="M256" s="3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PAL-0000255</v>
      </c>
      <c r="Q256" s="41"/>
      <c r="R256" s="40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450</v>
      </c>
      <c r="B257" s="35"/>
      <c r="D257" t="str">
        <f>IF($C257="","",IFERROR(LOOKUP(2,1/('03_Warehouse_Movements'!$C$2:$C$500=$A257),'03_Warehouse_Movements'!$E$2:$E$500),$C257))</f>
        <v/>
      </c>
      <c r="E257" t="s">
        <v>92</v>
      </c>
      <c r="G257" s="41"/>
      <c r="H257" s="40" t="str">
        <f t="shared" si="6"/>
        <v/>
      </c>
      <c r="I257" s="35"/>
      <c r="J257" s="35"/>
      <c r="K257" s="40"/>
      <c r="M257" s="3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PAL-0000256</v>
      </c>
      <c r="Q257" s="41"/>
      <c r="R257" s="40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451</v>
      </c>
      <c r="B258" s="35"/>
      <c r="D258" t="str">
        <f>IF($C258="","",IFERROR(LOOKUP(2,1/('03_Warehouse_Movements'!$C$2:$C$500=$A258),'03_Warehouse_Movements'!$E$2:$E$500),$C258))</f>
        <v/>
      </c>
      <c r="E258" t="s">
        <v>92</v>
      </c>
      <c r="G258" s="41"/>
      <c r="H258" s="40" t="str">
        <f t="shared" ref="H258:H321" si="8">IF(AND($F258="TEMP",$G258&gt;0,$M258&lt;&gt;""),$M258+$G258,"")</f>
        <v/>
      </c>
      <c r="I258" s="35"/>
      <c r="J258" s="35"/>
      <c r="K258" s="40"/>
      <c r="M258" s="3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PAL-0000257</v>
      </c>
      <c r="Q258" s="41"/>
      <c r="R258" s="40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452</v>
      </c>
      <c r="B259" s="35"/>
      <c r="D259" t="str">
        <f>IF($C259="","",IFERROR(LOOKUP(2,1/('03_Warehouse_Movements'!$C$2:$C$500=$A259),'03_Warehouse_Movements'!$E$2:$E$500),$C259))</f>
        <v/>
      </c>
      <c r="E259" t="s">
        <v>92</v>
      </c>
      <c r="G259" s="41"/>
      <c r="H259" s="40" t="str">
        <f t="shared" si="8"/>
        <v/>
      </c>
      <c r="I259" s="35"/>
      <c r="J259" s="35"/>
      <c r="K259" s="40"/>
      <c r="M259" s="3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PAL-0000258</v>
      </c>
      <c r="Q259" s="41"/>
      <c r="R259" s="40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453</v>
      </c>
      <c r="B260" s="35"/>
      <c r="D260" t="str">
        <f>IF($C260="","",IFERROR(LOOKUP(2,1/('03_Warehouse_Movements'!$C$2:$C$500=$A260),'03_Warehouse_Movements'!$E$2:$E$500),$C260))</f>
        <v/>
      </c>
      <c r="E260" t="s">
        <v>92</v>
      </c>
      <c r="G260" s="41"/>
      <c r="H260" s="40" t="str">
        <f t="shared" si="8"/>
        <v/>
      </c>
      <c r="I260" s="35"/>
      <c r="J260" s="35"/>
      <c r="K260" s="40"/>
      <c r="M260" s="3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PAL-0000259</v>
      </c>
      <c r="Q260" s="41"/>
      <c r="R260" s="40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454</v>
      </c>
      <c r="B261" s="35"/>
      <c r="D261" t="str">
        <f>IF($C261="","",IFERROR(LOOKUP(2,1/('03_Warehouse_Movements'!$C$2:$C$500=$A261),'03_Warehouse_Movements'!$E$2:$E$500),$C261))</f>
        <v/>
      </c>
      <c r="E261" t="s">
        <v>92</v>
      </c>
      <c r="G261" s="41"/>
      <c r="H261" s="40" t="str">
        <f t="shared" si="8"/>
        <v/>
      </c>
      <c r="I261" s="35"/>
      <c r="J261" s="35"/>
      <c r="K261" s="40"/>
      <c r="M261" s="3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PAL-0000260</v>
      </c>
      <c r="Q261" s="41"/>
      <c r="R261" s="40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455</v>
      </c>
      <c r="B262" s="35"/>
      <c r="D262" t="str">
        <f>IF($C262="","",IFERROR(LOOKUP(2,1/('03_Warehouse_Movements'!$C$2:$C$500=$A262),'03_Warehouse_Movements'!$E$2:$E$500),$C262))</f>
        <v/>
      </c>
      <c r="E262" t="s">
        <v>92</v>
      </c>
      <c r="G262" s="41"/>
      <c r="H262" s="40" t="str">
        <f t="shared" si="8"/>
        <v/>
      </c>
      <c r="I262" s="35"/>
      <c r="J262" s="35"/>
      <c r="K262" s="40"/>
      <c r="M262" s="3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PAL-0000261</v>
      </c>
      <c r="Q262" s="41"/>
      <c r="R262" s="40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456</v>
      </c>
      <c r="B263" s="35"/>
      <c r="D263" t="str">
        <f>IF($C263="","",IFERROR(LOOKUP(2,1/('03_Warehouse_Movements'!$C$2:$C$500=$A263),'03_Warehouse_Movements'!$E$2:$E$500),$C263))</f>
        <v/>
      </c>
      <c r="E263" t="s">
        <v>92</v>
      </c>
      <c r="G263" s="41"/>
      <c r="H263" s="40" t="str">
        <f t="shared" si="8"/>
        <v/>
      </c>
      <c r="I263" s="35"/>
      <c r="J263" s="35"/>
      <c r="K263" s="40"/>
      <c r="M263" s="3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PAL-0000262</v>
      </c>
      <c r="Q263" s="41"/>
      <c r="R263" s="40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457</v>
      </c>
      <c r="B264" s="35"/>
      <c r="D264" t="str">
        <f>IF($C264="","",IFERROR(LOOKUP(2,1/('03_Warehouse_Movements'!$C$2:$C$500=$A264),'03_Warehouse_Movements'!$E$2:$E$500),$C264))</f>
        <v/>
      </c>
      <c r="E264" t="s">
        <v>92</v>
      </c>
      <c r="G264" s="41"/>
      <c r="H264" s="40" t="str">
        <f t="shared" si="8"/>
        <v/>
      </c>
      <c r="I264" s="35"/>
      <c r="J264" s="35"/>
      <c r="K264" s="40"/>
      <c r="M264" s="3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PAL-0000263</v>
      </c>
      <c r="Q264" s="41"/>
      <c r="R264" s="40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458</v>
      </c>
      <c r="B265" s="35"/>
      <c r="D265" t="str">
        <f>IF($C265="","",IFERROR(LOOKUP(2,1/('03_Warehouse_Movements'!$C$2:$C$500=$A265),'03_Warehouse_Movements'!$E$2:$E$500),$C265))</f>
        <v/>
      </c>
      <c r="E265" t="s">
        <v>92</v>
      </c>
      <c r="G265" s="41"/>
      <c r="H265" s="40" t="str">
        <f t="shared" si="8"/>
        <v/>
      </c>
      <c r="I265" s="35"/>
      <c r="J265" s="35"/>
      <c r="K265" s="40"/>
      <c r="M265" s="3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PAL-0000264</v>
      </c>
      <c r="Q265" s="41"/>
      <c r="R265" s="40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459</v>
      </c>
      <c r="B266" s="35"/>
      <c r="D266" t="str">
        <f>IF($C266="","",IFERROR(LOOKUP(2,1/('03_Warehouse_Movements'!$C$2:$C$500=$A266),'03_Warehouse_Movements'!$E$2:$E$500),$C266))</f>
        <v/>
      </c>
      <c r="E266" t="s">
        <v>92</v>
      </c>
      <c r="G266" s="41"/>
      <c r="H266" s="40" t="str">
        <f t="shared" si="8"/>
        <v/>
      </c>
      <c r="I266" s="35"/>
      <c r="J266" s="35"/>
      <c r="K266" s="40"/>
      <c r="M266" s="3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PAL-0000265</v>
      </c>
      <c r="Q266" s="41"/>
      <c r="R266" s="40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460</v>
      </c>
      <c r="B267" s="35"/>
      <c r="D267" t="str">
        <f>IF($C267="","",IFERROR(LOOKUP(2,1/('03_Warehouse_Movements'!$C$2:$C$500=$A267),'03_Warehouse_Movements'!$E$2:$E$500),$C267))</f>
        <v/>
      </c>
      <c r="E267" t="s">
        <v>92</v>
      </c>
      <c r="G267" s="41"/>
      <c r="H267" s="40" t="str">
        <f t="shared" si="8"/>
        <v/>
      </c>
      <c r="I267" s="35"/>
      <c r="J267" s="35"/>
      <c r="K267" s="40"/>
      <c r="M267" s="3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PAL-0000266</v>
      </c>
      <c r="Q267" s="41"/>
      <c r="R267" s="40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461</v>
      </c>
      <c r="B268" s="35"/>
      <c r="D268" t="str">
        <f>IF($C268="","",IFERROR(LOOKUP(2,1/('03_Warehouse_Movements'!$C$2:$C$500=$A268),'03_Warehouse_Movements'!$E$2:$E$500),$C268))</f>
        <v/>
      </c>
      <c r="E268" t="s">
        <v>92</v>
      </c>
      <c r="G268" s="41"/>
      <c r="H268" s="40" t="str">
        <f t="shared" si="8"/>
        <v/>
      </c>
      <c r="I268" s="35"/>
      <c r="J268" s="35"/>
      <c r="K268" s="40"/>
      <c r="M268" s="3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PAL-0000267</v>
      </c>
      <c r="Q268" s="41"/>
      <c r="R268" s="40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462</v>
      </c>
      <c r="B269" s="35"/>
      <c r="D269" t="str">
        <f>IF($C269="","",IFERROR(LOOKUP(2,1/('03_Warehouse_Movements'!$C$2:$C$500=$A269),'03_Warehouse_Movements'!$E$2:$E$500),$C269))</f>
        <v/>
      </c>
      <c r="E269" t="s">
        <v>92</v>
      </c>
      <c r="G269" s="41"/>
      <c r="H269" s="40" t="str">
        <f t="shared" si="8"/>
        <v/>
      </c>
      <c r="I269" s="35"/>
      <c r="J269" s="35"/>
      <c r="K269" s="40"/>
      <c r="M269" s="3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PAL-0000268</v>
      </c>
      <c r="Q269" s="41"/>
      <c r="R269" s="40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463</v>
      </c>
      <c r="B270" s="35"/>
      <c r="D270" t="str">
        <f>IF($C270="","",IFERROR(LOOKUP(2,1/('03_Warehouse_Movements'!$C$2:$C$500=$A270),'03_Warehouse_Movements'!$E$2:$E$500),$C270))</f>
        <v/>
      </c>
      <c r="E270" t="s">
        <v>92</v>
      </c>
      <c r="G270" s="41"/>
      <c r="H270" s="40" t="str">
        <f t="shared" si="8"/>
        <v/>
      </c>
      <c r="I270" s="35"/>
      <c r="J270" s="35"/>
      <c r="K270" s="40"/>
      <c r="M270" s="3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PAL-0000269</v>
      </c>
      <c r="Q270" s="41"/>
      <c r="R270" s="40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464</v>
      </c>
      <c r="B271" s="35"/>
      <c r="D271" t="str">
        <f>IF($C271="","",IFERROR(LOOKUP(2,1/('03_Warehouse_Movements'!$C$2:$C$500=$A271),'03_Warehouse_Movements'!$E$2:$E$500),$C271))</f>
        <v/>
      </c>
      <c r="E271" t="s">
        <v>92</v>
      </c>
      <c r="G271" s="41"/>
      <c r="H271" s="40" t="str">
        <f t="shared" si="8"/>
        <v/>
      </c>
      <c r="I271" s="35"/>
      <c r="J271" s="35"/>
      <c r="K271" s="40"/>
      <c r="M271" s="3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PAL-0000270</v>
      </c>
      <c r="Q271" s="41"/>
      <c r="R271" s="40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465</v>
      </c>
      <c r="B272" s="35"/>
      <c r="D272" t="str">
        <f>IF($C272="","",IFERROR(LOOKUP(2,1/('03_Warehouse_Movements'!$C$2:$C$500=$A272),'03_Warehouse_Movements'!$E$2:$E$500),$C272))</f>
        <v/>
      </c>
      <c r="E272" t="s">
        <v>92</v>
      </c>
      <c r="G272" s="41"/>
      <c r="H272" s="40" t="str">
        <f t="shared" si="8"/>
        <v/>
      </c>
      <c r="I272" s="35"/>
      <c r="J272" s="35"/>
      <c r="K272" s="40"/>
      <c r="M272" s="3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PAL-0000271</v>
      </c>
      <c r="Q272" s="41"/>
      <c r="R272" s="40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466</v>
      </c>
      <c r="B273" s="35"/>
      <c r="D273" t="str">
        <f>IF($C273="","",IFERROR(LOOKUP(2,1/('03_Warehouse_Movements'!$C$2:$C$500=$A273),'03_Warehouse_Movements'!$E$2:$E$500),$C273))</f>
        <v/>
      </c>
      <c r="E273" t="s">
        <v>92</v>
      </c>
      <c r="G273" s="41"/>
      <c r="H273" s="40" t="str">
        <f t="shared" si="8"/>
        <v/>
      </c>
      <c r="I273" s="35"/>
      <c r="J273" s="35"/>
      <c r="K273" s="40"/>
      <c r="M273" s="3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PAL-0000272</v>
      </c>
      <c r="Q273" s="41"/>
      <c r="R273" s="40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467</v>
      </c>
      <c r="B274" s="35"/>
      <c r="D274" t="str">
        <f>IF($C274="","",IFERROR(LOOKUP(2,1/('03_Warehouse_Movements'!$C$2:$C$500=$A274),'03_Warehouse_Movements'!$E$2:$E$500),$C274))</f>
        <v/>
      </c>
      <c r="E274" t="s">
        <v>92</v>
      </c>
      <c r="G274" s="41"/>
      <c r="H274" s="40" t="str">
        <f t="shared" si="8"/>
        <v/>
      </c>
      <c r="I274" s="35"/>
      <c r="J274" s="35"/>
      <c r="K274" s="40"/>
      <c r="M274" s="3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PAL-0000273</v>
      </c>
      <c r="Q274" s="41"/>
      <c r="R274" s="40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468</v>
      </c>
      <c r="B275" s="35"/>
      <c r="D275" t="str">
        <f>IF($C275="","",IFERROR(LOOKUP(2,1/('03_Warehouse_Movements'!$C$2:$C$500=$A275),'03_Warehouse_Movements'!$E$2:$E$500),$C275))</f>
        <v/>
      </c>
      <c r="E275" t="s">
        <v>92</v>
      </c>
      <c r="G275" s="41"/>
      <c r="H275" s="40" t="str">
        <f t="shared" si="8"/>
        <v/>
      </c>
      <c r="I275" s="35"/>
      <c r="J275" s="35"/>
      <c r="K275" s="40"/>
      <c r="M275" s="3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PAL-0000274</v>
      </c>
      <c r="Q275" s="41"/>
      <c r="R275" s="40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469</v>
      </c>
      <c r="B276" s="35"/>
      <c r="D276" t="str">
        <f>IF($C276="","",IFERROR(LOOKUP(2,1/('03_Warehouse_Movements'!$C$2:$C$500=$A276),'03_Warehouse_Movements'!$E$2:$E$500),$C276))</f>
        <v/>
      </c>
      <c r="E276" t="s">
        <v>92</v>
      </c>
      <c r="G276" s="41"/>
      <c r="H276" s="40" t="str">
        <f t="shared" si="8"/>
        <v/>
      </c>
      <c r="I276" s="35"/>
      <c r="J276" s="35"/>
      <c r="K276" s="40"/>
      <c r="M276" s="3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PAL-0000275</v>
      </c>
      <c r="Q276" s="41"/>
      <c r="R276" s="40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470</v>
      </c>
      <c r="B277" s="35"/>
      <c r="D277" t="str">
        <f>IF($C277="","",IFERROR(LOOKUP(2,1/('03_Warehouse_Movements'!$C$2:$C$500=$A277),'03_Warehouse_Movements'!$E$2:$E$500),$C277))</f>
        <v/>
      </c>
      <c r="E277" t="s">
        <v>92</v>
      </c>
      <c r="G277" s="41"/>
      <c r="H277" s="40" t="str">
        <f t="shared" si="8"/>
        <v/>
      </c>
      <c r="I277" s="35"/>
      <c r="J277" s="35"/>
      <c r="K277" s="40"/>
      <c r="M277" s="3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PAL-0000276</v>
      </c>
      <c r="Q277" s="41"/>
      <c r="R277" s="40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471</v>
      </c>
      <c r="B278" s="35"/>
      <c r="D278" t="str">
        <f>IF($C278="","",IFERROR(LOOKUP(2,1/('03_Warehouse_Movements'!$C$2:$C$500=$A278),'03_Warehouse_Movements'!$E$2:$E$500),$C278))</f>
        <v/>
      </c>
      <c r="E278" t="s">
        <v>92</v>
      </c>
      <c r="G278" s="41"/>
      <c r="H278" s="40" t="str">
        <f t="shared" si="8"/>
        <v/>
      </c>
      <c r="I278" s="35"/>
      <c r="J278" s="35"/>
      <c r="K278" s="40"/>
      <c r="M278" s="3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PAL-0000277</v>
      </c>
      <c r="Q278" s="41"/>
      <c r="R278" s="40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472</v>
      </c>
      <c r="B279" s="35"/>
      <c r="D279" t="str">
        <f>IF($C279="","",IFERROR(LOOKUP(2,1/('03_Warehouse_Movements'!$C$2:$C$500=$A279),'03_Warehouse_Movements'!$E$2:$E$500),$C279))</f>
        <v/>
      </c>
      <c r="E279" t="s">
        <v>92</v>
      </c>
      <c r="G279" s="41"/>
      <c r="H279" s="40" t="str">
        <f t="shared" si="8"/>
        <v/>
      </c>
      <c r="I279" s="35"/>
      <c r="J279" s="35"/>
      <c r="K279" s="40"/>
      <c r="M279" s="3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PAL-0000278</v>
      </c>
      <c r="Q279" s="41"/>
      <c r="R279" s="40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473</v>
      </c>
      <c r="B280" s="35"/>
      <c r="D280" t="str">
        <f>IF($C280="","",IFERROR(LOOKUP(2,1/('03_Warehouse_Movements'!$C$2:$C$500=$A280),'03_Warehouse_Movements'!$E$2:$E$500),$C280))</f>
        <v/>
      </c>
      <c r="E280" t="s">
        <v>92</v>
      </c>
      <c r="G280" s="41"/>
      <c r="H280" s="40" t="str">
        <f t="shared" si="8"/>
        <v/>
      </c>
      <c r="I280" s="35"/>
      <c r="J280" s="35"/>
      <c r="K280" s="40"/>
      <c r="M280" s="3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PAL-0000279</v>
      </c>
      <c r="Q280" s="41"/>
      <c r="R280" s="40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474</v>
      </c>
      <c r="B281" s="35"/>
      <c r="D281" t="str">
        <f>IF($C281="","",IFERROR(LOOKUP(2,1/('03_Warehouse_Movements'!$C$2:$C$500=$A281),'03_Warehouse_Movements'!$E$2:$E$500),$C281))</f>
        <v/>
      </c>
      <c r="E281" t="s">
        <v>92</v>
      </c>
      <c r="G281" s="41"/>
      <c r="H281" s="40" t="str">
        <f t="shared" si="8"/>
        <v/>
      </c>
      <c r="I281" s="35"/>
      <c r="J281" s="35"/>
      <c r="K281" s="40"/>
      <c r="M281" s="3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PAL-0000280</v>
      </c>
      <c r="Q281" s="41"/>
      <c r="R281" s="40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475</v>
      </c>
      <c r="B282" s="35"/>
      <c r="D282" t="str">
        <f>IF($C282="","",IFERROR(LOOKUP(2,1/('03_Warehouse_Movements'!$C$2:$C$500=$A282),'03_Warehouse_Movements'!$E$2:$E$500),$C282))</f>
        <v/>
      </c>
      <c r="E282" t="s">
        <v>92</v>
      </c>
      <c r="G282" s="41"/>
      <c r="H282" s="40" t="str">
        <f t="shared" si="8"/>
        <v/>
      </c>
      <c r="I282" s="35"/>
      <c r="J282" s="35"/>
      <c r="K282" s="40"/>
      <c r="M282" s="3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PAL-0000281</v>
      </c>
      <c r="Q282" s="41"/>
      <c r="R282" s="40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476</v>
      </c>
      <c r="B283" s="35"/>
      <c r="D283" t="str">
        <f>IF($C283="","",IFERROR(LOOKUP(2,1/('03_Warehouse_Movements'!$C$2:$C$500=$A283),'03_Warehouse_Movements'!$E$2:$E$500),$C283))</f>
        <v/>
      </c>
      <c r="E283" t="s">
        <v>92</v>
      </c>
      <c r="G283" s="41"/>
      <c r="H283" s="40" t="str">
        <f t="shared" si="8"/>
        <v/>
      </c>
      <c r="I283" s="35"/>
      <c r="J283" s="35"/>
      <c r="K283" s="40"/>
      <c r="M283" s="3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PAL-0000282</v>
      </c>
      <c r="Q283" s="41"/>
      <c r="R283" s="40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477</v>
      </c>
      <c r="B284" s="35"/>
      <c r="D284" t="str">
        <f>IF($C284="","",IFERROR(LOOKUP(2,1/('03_Warehouse_Movements'!$C$2:$C$500=$A284),'03_Warehouse_Movements'!$E$2:$E$500),$C284))</f>
        <v/>
      </c>
      <c r="E284" t="s">
        <v>92</v>
      </c>
      <c r="G284" s="41"/>
      <c r="H284" s="40" t="str">
        <f t="shared" si="8"/>
        <v/>
      </c>
      <c r="I284" s="35"/>
      <c r="J284" s="35"/>
      <c r="K284" s="40"/>
      <c r="M284" s="3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PAL-0000283</v>
      </c>
      <c r="Q284" s="41"/>
      <c r="R284" s="40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478</v>
      </c>
      <c r="B285" s="35"/>
      <c r="D285" t="str">
        <f>IF($C285="","",IFERROR(LOOKUP(2,1/('03_Warehouse_Movements'!$C$2:$C$500=$A285),'03_Warehouse_Movements'!$E$2:$E$500),$C285))</f>
        <v/>
      </c>
      <c r="E285" t="s">
        <v>92</v>
      </c>
      <c r="G285" s="41"/>
      <c r="H285" s="40" t="str">
        <f t="shared" si="8"/>
        <v/>
      </c>
      <c r="I285" s="35"/>
      <c r="J285" s="35"/>
      <c r="K285" s="40"/>
      <c r="M285" s="3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PAL-0000284</v>
      </c>
      <c r="Q285" s="41"/>
      <c r="R285" s="40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479</v>
      </c>
      <c r="B286" s="35"/>
      <c r="D286" t="str">
        <f>IF($C286="","",IFERROR(LOOKUP(2,1/('03_Warehouse_Movements'!$C$2:$C$500=$A286),'03_Warehouse_Movements'!$E$2:$E$500),$C286))</f>
        <v/>
      </c>
      <c r="E286" t="s">
        <v>92</v>
      </c>
      <c r="G286" s="41"/>
      <c r="H286" s="40" t="str">
        <f t="shared" si="8"/>
        <v/>
      </c>
      <c r="I286" s="35"/>
      <c r="J286" s="35"/>
      <c r="K286" s="40"/>
      <c r="M286" s="3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PAL-0000285</v>
      </c>
      <c r="Q286" s="41"/>
      <c r="R286" s="40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480</v>
      </c>
      <c r="B287" s="35"/>
      <c r="D287" t="str">
        <f>IF($C287="","",IFERROR(LOOKUP(2,1/('03_Warehouse_Movements'!$C$2:$C$500=$A287),'03_Warehouse_Movements'!$E$2:$E$500),$C287))</f>
        <v/>
      </c>
      <c r="E287" t="s">
        <v>92</v>
      </c>
      <c r="G287" s="41"/>
      <c r="H287" s="40" t="str">
        <f t="shared" si="8"/>
        <v/>
      </c>
      <c r="I287" s="35"/>
      <c r="J287" s="35"/>
      <c r="K287" s="40"/>
      <c r="M287" s="3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PAL-0000286</v>
      </c>
      <c r="Q287" s="41"/>
      <c r="R287" s="40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481</v>
      </c>
      <c r="B288" s="35"/>
      <c r="D288" t="str">
        <f>IF($C288="","",IFERROR(LOOKUP(2,1/('03_Warehouse_Movements'!$C$2:$C$500=$A288),'03_Warehouse_Movements'!$E$2:$E$500),$C288))</f>
        <v/>
      </c>
      <c r="E288" t="s">
        <v>92</v>
      </c>
      <c r="G288" s="41"/>
      <c r="H288" s="40" t="str">
        <f t="shared" si="8"/>
        <v/>
      </c>
      <c r="I288" s="35"/>
      <c r="J288" s="35"/>
      <c r="K288" s="40"/>
      <c r="M288" s="3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PAL-0000287</v>
      </c>
      <c r="Q288" s="41"/>
      <c r="R288" s="40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482</v>
      </c>
      <c r="B289" s="35"/>
      <c r="D289" t="str">
        <f>IF($C289="","",IFERROR(LOOKUP(2,1/('03_Warehouse_Movements'!$C$2:$C$500=$A289),'03_Warehouse_Movements'!$E$2:$E$500),$C289))</f>
        <v/>
      </c>
      <c r="E289" t="s">
        <v>92</v>
      </c>
      <c r="G289" s="41"/>
      <c r="H289" s="40" t="str">
        <f t="shared" si="8"/>
        <v/>
      </c>
      <c r="I289" s="35"/>
      <c r="J289" s="35"/>
      <c r="K289" s="40"/>
      <c r="M289" s="3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PAL-0000288</v>
      </c>
      <c r="Q289" s="41"/>
      <c r="R289" s="40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483</v>
      </c>
      <c r="B290" s="35"/>
      <c r="D290" t="str">
        <f>IF($C290="","",IFERROR(LOOKUP(2,1/('03_Warehouse_Movements'!$C$2:$C$500=$A290),'03_Warehouse_Movements'!$E$2:$E$500),$C290))</f>
        <v/>
      </c>
      <c r="E290" t="s">
        <v>92</v>
      </c>
      <c r="G290" s="41"/>
      <c r="H290" s="40" t="str">
        <f t="shared" si="8"/>
        <v/>
      </c>
      <c r="I290" s="35"/>
      <c r="J290" s="35"/>
      <c r="K290" s="40"/>
      <c r="M290" s="3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PAL-0000289</v>
      </c>
      <c r="Q290" s="41"/>
      <c r="R290" s="40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484</v>
      </c>
      <c r="B291" s="35"/>
      <c r="D291" t="str">
        <f>IF($C291="","",IFERROR(LOOKUP(2,1/('03_Warehouse_Movements'!$C$2:$C$500=$A291),'03_Warehouse_Movements'!$E$2:$E$500),$C291))</f>
        <v/>
      </c>
      <c r="E291" t="s">
        <v>92</v>
      </c>
      <c r="G291" s="41"/>
      <c r="H291" s="40" t="str">
        <f t="shared" si="8"/>
        <v/>
      </c>
      <c r="I291" s="35"/>
      <c r="J291" s="35"/>
      <c r="K291" s="40"/>
      <c r="M291" s="3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PAL-0000290</v>
      </c>
      <c r="Q291" s="41"/>
      <c r="R291" s="40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485</v>
      </c>
      <c r="B292" s="35"/>
      <c r="D292" t="str">
        <f>IF($C292="","",IFERROR(LOOKUP(2,1/('03_Warehouse_Movements'!$C$2:$C$500=$A292),'03_Warehouse_Movements'!$E$2:$E$500),$C292))</f>
        <v/>
      </c>
      <c r="E292" t="s">
        <v>92</v>
      </c>
      <c r="G292" s="41"/>
      <c r="H292" s="40" t="str">
        <f t="shared" si="8"/>
        <v/>
      </c>
      <c r="I292" s="35"/>
      <c r="J292" s="35"/>
      <c r="K292" s="40"/>
      <c r="M292" s="3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PAL-0000291</v>
      </c>
      <c r="Q292" s="41"/>
      <c r="R292" s="40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486</v>
      </c>
      <c r="B293" s="35"/>
      <c r="D293" t="str">
        <f>IF($C293="","",IFERROR(LOOKUP(2,1/('03_Warehouse_Movements'!$C$2:$C$500=$A293),'03_Warehouse_Movements'!$E$2:$E$500),$C293))</f>
        <v/>
      </c>
      <c r="E293" t="s">
        <v>92</v>
      </c>
      <c r="G293" s="41"/>
      <c r="H293" s="40" t="str">
        <f t="shared" si="8"/>
        <v/>
      </c>
      <c r="I293" s="35"/>
      <c r="J293" s="35"/>
      <c r="K293" s="40"/>
      <c r="M293" s="3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PAL-0000292</v>
      </c>
      <c r="Q293" s="41"/>
      <c r="R293" s="40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487</v>
      </c>
      <c r="B294" s="35"/>
      <c r="D294" t="str">
        <f>IF($C294="","",IFERROR(LOOKUP(2,1/('03_Warehouse_Movements'!$C$2:$C$500=$A294),'03_Warehouse_Movements'!$E$2:$E$500),$C294))</f>
        <v/>
      </c>
      <c r="E294" t="s">
        <v>92</v>
      </c>
      <c r="G294" s="41"/>
      <c r="H294" s="40" t="str">
        <f t="shared" si="8"/>
        <v/>
      </c>
      <c r="I294" s="35"/>
      <c r="J294" s="35"/>
      <c r="K294" s="40"/>
      <c r="M294" s="3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PAL-0000293</v>
      </c>
      <c r="Q294" s="41"/>
      <c r="R294" s="40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488</v>
      </c>
      <c r="B295" s="35"/>
      <c r="D295" t="str">
        <f>IF($C295="","",IFERROR(LOOKUP(2,1/('03_Warehouse_Movements'!$C$2:$C$500=$A295),'03_Warehouse_Movements'!$E$2:$E$500),$C295))</f>
        <v/>
      </c>
      <c r="E295" t="s">
        <v>92</v>
      </c>
      <c r="G295" s="41"/>
      <c r="H295" s="40" t="str">
        <f t="shared" si="8"/>
        <v/>
      </c>
      <c r="I295" s="35"/>
      <c r="J295" s="35"/>
      <c r="K295" s="40"/>
      <c r="M295" s="3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PAL-0000294</v>
      </c>
      <c r="Q295" s="41"/>
      <c r="R295" s="40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489</v>
      </c>
      <c r="B296" s="35"/>
      <c r="D296" t="str">
        <f>IF($C296="","",IFERROR(LOOKUP(2,1/('03_Warehouse_Movements'!$C$2:$C$500=$A296),'03_Warehouse_Movements'!$E$2:$E$500),$C296))</f>
        <v/>
      </c>
      <c r="E296" t="s">
        <v>92</v>
      </c>
      <c r="G296" s="41"/>
      <c r="H296" s="40" t="str">
        <f t="shared" si="8"/>
        <v/>
      </c>
      <c r="I296" s="35"/>
      <c r="J296" s="35"/>
      <c r="K296" s="40"/>
      <c r="M296" s="3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PAL-0000295</v>
      </c>
      <c r="Q296" s="41"/>
      <c r="R296" s="40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490</v>
      </c>
      <c r="B297" s="35"/>
      <c r="D297" t="str">
        <f>IF($C297="","",IFERROR(LOOKUP(2,1/('03_Warehouse_Movements'!$C$2:$C$500=$A297),'03_Warehouse_Movements'!$E$2:$E$500),$C297))</f>
        <v/>
      </c>
      <c r="E297" t="s">
        <v>92</v>
      </c>
      <c r="G297" s="41"/>
      <c r="H297" s="40" t="str">
        <f t="shared" si="8"/>
        <v/>
      </c>
      <c r="I297" s="35"/>
      <c r="J297" s="35"/>
      <c r="K297" s="40"/>
      <c r="M297" s="3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PAL-0000296</v>
      </c>
      <c r="Q297" s="41"/>
      <c r="R297" s="40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491</v>
      </c>
      <c r="B298" s="35"/>
      <c r="D298" t="str">
        <f>IF($C298="","",IFERROR(LOOKUP(2,1/('03_Warehouse_Movements'!$C$2:$C$500=$A298),'03_Warehouse_Movements'!$E$2:$E$500),$C298))</f>
        <v/>
      </c>
      <c r="E298" t="s">
        <v>92</v>
      </c>
      <c r="G298" s="41"/>
      <c r="H298" s="40" t="str">
        <f t="shared" si="8"/>
        <v/>
      </c>
      <c r="I298" s="35"/>
      <c r="J298" s="35"/>
      <c r="K298" s="40"/>
      <c r="M298" s="3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PAL-0000297</v>
      </c>
      <c r="Q298" s="41"/>
      <c r="R298" s="40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492</v>
      </c>
      <c r="B299" s="35"/>
      <c r="D299" t="str">
        <f>IF($C299="","",IFERROR(LOOKUP(2,1/('03_Warehouse_Movements'!$C$2:$C$500=$A299),'03_Warehouse_Movements'!$E$2:$E$500),$C299))</f>
        <v/>
      </c>
      <c r="E299" t="s">
        <v>92</v>
      </c>
      <c r="G299" s="41"/>
      <c r="H299" s="40" t="str">
        <f t="shared" si="8"/>
        <v/>
      </c>
      <c r="I299" s="35"/>
      <c r="J299" s="35"/>
      <c r="K299" s="40"/>
      <c r="M299" s="3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PAL-0000298</v>
      </c>
      <c r="Q299" s="41"/>
      <c r="R299" s="40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493</v>
      </c>
      <c r="B300" s="35"/>
      <c r="D300" t="str">
        <f>IF($C300="","",IFERROR(LOOKUP(2,1/('03_Warehouse_Movements'!$C$2:$C$500=$A300),'03_Warehouse_Movements'!$E$2:$E$500),$C300))</f>
        <v/>
      </c>
      <c r="E300" t="s">
        <v>92</v>
      </c>
      <c r="G300" s="41"/>
      <c r="H300" s="40" t="str">
        <f t="shared" si="8"/>
        <v/>
      </c>
      <c r="I300" s="35"/>
      <c r="J300" s="35"/>
      <c r="K300" s="40"/>
      <c r="M300" s="3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PAL-0000299</v>
      </c>
      <c r="Q300" s="41"/>
      <c r="R300" s="40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494</v>
      </c>
      <c r="B301" s="35"/>
      <c r="D301" t="str">
        <f>IF($C301="","",IFERROR(LOOKUP(2,1/('03_Warehouse_Movements'!$C$2:$C$500=$A301),'03_Warehouse_Movements'!$E$2:$E$500),$C301))</f>
        <v/>
      </c>
      <c r="E301" t="s">
        <v>92</v>
      </c>
      <c r="G301" s="41"/>
      <c r="H301" s="40" t="str">
        <f t="shared" si="8"/>
        <v/>
      </c>
      <c r="I301" s="35"/>
      <c r="J301" s="35"/>
      <c r="K301" s="40"/>
      <c r="M301" s="3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PAL-0000300</v>
      </c>
      <c r="Q301" s="41"/>
      <c r="R301" s="40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495</v>
      </c>
      <c r="B302" s="35"/>
      <c r="D302" t="str">
        <f>IF($C302="","",IFERROR(LOOKUP(2,1/('03_Warehouse_Movements'!$C$2:$C$500=$A302),'03_Warehouse_Movements'!$E$2:$E$500),$C302))</f>
        <v/>
      </c>
      <c r="E302" t="s">
        <v>92</v>
      </c>
      <c r="G302" s="41"/>
      <c r="H302" s="40" t="str">
        <f t="shared" si="8"/>
        <v/>
      </c>
      <c r="I302" s="35"/>
      <c r="J302" s="35"/>
      <c r="K302" s="40"/>
      <c r="M302" s="3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PAL-0000301</v>
      </c>
      <c r="Q302" s="41"/>
      <c r="R302" s="40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496</v>
      </c>
      <c r="B303" s="35"/>
      <c r="D303" t="str">
        <f>IF($C303="","",IFERROR(LOOKUP(2,1/('03_Warehouse_Movements'!$C$2:$C$500=$A303),'03_Warehouse_Movements'!$E$2:$E$500),$C303))</f>
        <v/>
      </c>
      <c r="E303" t="s">
        <v>92</v>
      </c>
      <c r="G303" s="41"/>
      <c r="H303" s="40" t="str">
        <f t="shared" si="8"/>
        <v/>
      </c>
      <c r="I303" s="35"/>
      <c r="J303" s="35"/>
      <c r="K303" s="40"/>
      <c r="M303" s="3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PAL-0000302</v>
      </c>
      <c r="Q303" s="41"/>
      <c r="R303" s="40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497</v>
      </c>
      <c r="B304" s="35"/>
      <c r="D304" t="str">
        <f>IF($C304="","",IFERROR(LOOKUP(2,1/('03_Warehouse_Movements'!$C$2:$C$500=$A304),'03_Warehouse_Movements'!$E$2:$E$500),$C304))</f>
        <v/>
      </c>
      <c r="E304" t="s">
        <v>92</v>
      </c>
      <c r="G304" s="41"/>
      <c r="H304" s="40" t="str">
        <f t="shared" si="8"/>
        <v/>
      </c>
      <c r="I304" s="35"/>
      <c r="J304" s="35"/>
      <c r="K304" s="40"/>
      <c r="M304" s="3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PAL-0000303</v>
      </c>
      <c r="Q304" s="41"/>
      <c r="R304" s="40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498</v>
      </c>
      <c r="B305" s="35"/>
      <c r="D305" t="str">
        <f>IF($C305="","",IFERROR(LOOKUP(2,1/('03_Warehouse_Movements'!$C$2:$C$500=$A305),'03_Warehouse_Movements'!$E$2:$E$500),$C305))</f>
        <v/>
      </c>
      <c r="E305" t="s">
        <v>92</v>
      </c>
      <c r="G305" s="41"/>
      <c r="H305" s="40" t="str">
        <f t="shared" si="8"/>
        <v/>
      </c>
      <c r="I305" s="35"/>
      <c r="J305" s="35"/>
      <c r="K305" s="40"/>
      <c r="M305" s="3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PAL-0000304</v>
      </c>
      <c r="Q305" s="41"/>
      <c r="R305" s="40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499</v>
      </c>
      <c r="B306" s="35"/>
      <c r="D306" t="str">
        <f>IF($C306="","",IFERROR(LOOKUP(2,1/('03_Warehouse_Movements'!$C$2:$C$500=$A306),'03_Warehouse_Movements'!$E$2:$E$500),$C306))</f>
        <v/>
      </c>
      <c r="E306" t="s">
        <v>92</v>
      </c>
      <c r="G306" s="41"/>
      <c r="H306" s="40" t="str">
        <f t="shared" si="8"/>
        <v/>
      </c>
      <c r="I306" s="35"/>
      <c r="J306" s="35"/>
      <c r="K306" s="40"/>
      <c r="M306" s="3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PAL-0000305</v>
      </c>
      <c r="Q306" s="41"/>
      <c r="R306" s="40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500</v>
      </c>
      <c r="B307" s="35"/>
      <c r="D307" t="str">
        <f>IF($C307="","",IFERROR(LOOKUP(2,1/('03_Warehouse_Movements'!$C$2:$C$500=$A307),'03_Warehouse_Movements'!$E$2:$E$500),$C307))</f>
        <v/>
      </c>
      <c r="E307" t="s">
        <v>92</v>
      </c>
      <c r="G307" s="41"/>
      <c r="H307" s="40" t="str">
        <f t="shared" si="8"/>
        <v/>
      </c>
      <c r="I307" s="35"/>
      <c r="J307" s="35"/>
      <c r="K307" s="40"/>
      <c r="M307" s="3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PAL-0000306</v>
      </c>
      <c r="Q307" s="41"/>
      <c r="R307" s="40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501</v>
      </c>
      <c r="B308" s="35"/>
      <c r="D308" t="str">
        <f>IF($C308="","",IFERROR(LOOKUP(2,1/('03_Warehouse_Movements'!$C$2:$C$500=$A308),'03_Warehouse_Movements'!$E$2:$E$500),$C308))</f>
        <v/>
      </c>
      <c r="E308" t="s">
        <v>92</v>
      </c>
      <c r="G308" s="41"/>
      <c r="H308" s="40" t="str">
        <f t="shared" si="8"/>
        <v/>
      </c>
      <c r="I308" s="35"/>
      <c r="J308" s="35"/>
      <c r="K308" s="40"/>
      <c r="M308" s="3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PAL-0000307</v>
      </c>
      <c r="Q308" s="41"/>
      <c r="R308" s="40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502</v>
      </c>
      <c r="B309" s="35"/>
      <c r="D309" t="str">
        <f>IF($C309="","",IFERROR(LOOKUP(2,1/('03_Warehouse_Movements'!$C$2:$C$500=$A309),'03_Warehouse_Movements'!$E$2:$E$500),$C309))</f>
        <v/>
      </c>
      <c r="E309" t="s">
        <v>92</v>
      </c>
      <c r="G309" s="41"/>
      <c r="H309" s="40" t="str">
        <f t="shared" si="8"/>
        <v/>
      </c>
      <c r="I309" s="35"/>
      <c r="J309" s="35"/>
      <c r="K309" s="40"/>
      <c r="M309" s="3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PAL-0000308</v>
      </c>
      <c r="Q309" s="41"/>
      <c r="R309" s="40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503</v>
      </c>
      <c r="B310" s="35"/>
      <c r="D310" t="str">
        <f>IF($C310="","",IFERROR(LOOKUP(2,1/('03_Warehouse_Movements'!$C$2:$C$500=$A310),'03_Warehouse_Movements'!$E$2:$E$500),$C310))</f>
        <v/>
      </c>
      <c r="E310" t="s">
        <v>92</v>
      </c>
      <c r="G310" s="41"/>
      <c r="H310" s="40" t="str">
        <f t="shared" si="8"/>
        <v/>
      </c>
      <c r="I310" s="35"/>
      <c r="J310" s="35"/>
      <c r="K310" s="40"/>
      <c r="M310" s="3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PAL-0000309</v>
      </c>
      <c r="Q310" s="41"/>
      <c r="R310" s="40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504</v>
      </c>
      <c r="B311" s="35"/>
      <c r="D311" t="str">
        <f>IF($C311="","",IFERROR(LOOKUP(2,1/('03_Warehouse_Movements'!$C$2:$C$500=$A311),'03_Warehouse_Movements'!$E$2:$E$500),$C311))</f>
        <v/>
      </c>
      <c r="E311" t="s">
        <v>92</v>
      </c>
      <c r="G311" s="41"/>
      <c r="H311" s="40" t="str">
        <f t="shared" si="8"/>
        <v/>
      </c>
      <c r="I311" s="35"/>
      <c r="J311" s="35"/>
      <c r="K311" s="40"/>
      <c r="M311" s="3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PAL-0000310</v>
      </c>
      <c r="Q311" s="41"/>
      <c r="R311" s="40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505</v>
      </c>
      <c r="B312" s="35"/>
      <c r="D312" t="str">
        <f>IF($C312="","",IFERROR(LOOKUP(2,1/('03_Warehouse_Movements'!$C$2:$C$500=$A312),'03_Warehouse_Movements'!$E$2:$E$500),$C312))</f>
        <v/>
      </c>
      <c r="E312" t="s">
        <v>92</v>
      </c>
      <c r="G312" s="41"/>
      <c r="H312" s="40" t="str">
        <f t="shared" si="8"/>
        <v/>
      </c>
      <c r="I312" s="35"/>
      <c r="J312" s="35"/>
      <c r="K312" s="40"/>
      <c r="M312" s="3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PAL-0000311</v>
      </c>
      <c r="Q312" s="41"/>
      <c r="R312" s="40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506</v>
      </c>
      <c r="B313" s="35"/>
      <c r="D313" t="str">
        <f>IF($C313="","",IFERROR(LOOKUP(2,1/('03_Warehouse_Movements'!$C$2:$C$500=$A313),'03_Warehouse_Movements'!$E$2:$E$500),$C313))</f>
        <v/>
      </c>
      <c r="E313" t="s">
        <v>92</v>
      </c>
      <c r="G313" s="41"/>
      <c r="H313" s="40" t="str">
        <f t="shared" si="8"/>
        <v/>
      </c>
      <c r="I313" s="35"/>
      <c r="J313" s="35"/>
      <c r="K313" s="40"/>
      <c r="M313" s="3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PAL-0000312</v>
      </c>
      <c r="Q313" s="41"/>
      <c r="R313" s="40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507</v>
      </c>
      <c r="B314" s="35"/>
      <c r="D314" t="str">
        <f>IF($C314="","",IFERROR(LOOKUP(2,1/('03_Warehouse_Movements'!$C$2:$C$500=$A314),'03_Warehouse_Movements'!$E$2:$E$500),$C314))</f>
        <v/>
      </c>
      <c r="E314" t="s">
        <v>92</v>
      </c>
      <c r="G314" s="41"/>
      <c r="H314" s="40" t="str">
        <f t="shared" si="8"/>
        <v/>
      </c>
      <c r="I314" s="35"/>
      <c r="J314" s="35"/>
      <c r="K314" s="40"/>
      <c r="M314" s="3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PAL-0000313</v>
      </c>
      <c r="Q314" s="41"/>
      <c r="R314" s="40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508</v>
      </c>
      <c r="B315" s="35"/>
      <c r="D315" t="str">
        <f>IF($C315="","",IFERROR(LOOKUP(2,1/('03_Warehouse_Movements'!$C$2:$C$500=$A315),'03_Warehouse_Movements'!$E$2:$E$500),$C315))</f>
        <v/>
      </c>
      <c r="E315" t="s">
        <v>92</v>
      </c>
      <c r="G315" s="41"/>
      <c r="H315" s="40" t="str">
        <f t="shared" si="8"/>
        <v/>
      </c>
      <c r="I315" s="35"/>
      <c r="J315" s="35"/>
      <c r="K315" s="40"/>
      <c r="M315" s="3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PAL-0000314</v>
      </c>
      <c r="Q315" s="41"/>
      <c r="R315" s="40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509</v>
      </c>
      <c r="B316" s="35"/>
      <c r="D316" t="str">
        <f>IF($C316="","",IFERROR(LOOKUP(2,1/('03_Warehouse_Movements'!$C$2:$C$500=$A316),'03_Warehouse_Movements'!$E$2:$E$500),$C316))</f>
        <v/>
      </c>
      <c r="E316" t="s">
        <v>92</v>
      </c>
      <c r="G316" s="41"/>
      <c r="H316" s="40" t="str">
        <f t="shared" si="8"/>
        <v/>
      </c>
      <c r="I316" s="35"/>
      <c r="J316" s="35"/>
      <c r="K316" s="40"/>
      <c r="M316" s="3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PAL-0000315</v>
      </c>
      <c r="Q316" s="41"/>
      <c r="R316" s="40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510</v>
      </c>
      <c r="B317" s="35"/>
      <c r="D317" t="str">
        <f>IF($C317="","",IFERROR(LOOKUP(2,1/('03_Warehouse_Movements'!$C$2:$C$500=$A317),'03_Warehouse_Movements'!$E$2:$E$500),$C317))</f>
        <v/>
      </c>
      <c r="E317" t="s">
        <v>92</v>
      </c>
      <c r="G317" s="41"/>
      <c r="H317" s="40" t="str">
        <f t="shared" si="8"/>
        <v/>
      </c>
      <c r="I317" s="35"/>
      <c r="J317" s="35"/>
      <c r="K317" s="40"/>
      <c r="M317" s="3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PAL-0000316</v>
      </c>
      <c r="Q317" s="41"/>
      <c r="R317" s="40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511</v>
      </c>
      <c r="B318" s="35"/>
      <c r="D318" t="str">
        <f>IF($C318="","",IFERROR(LOOKUP(2,1/('03_Warehouse_Movements'!$C$2:$C$500=$A318),'03_Warehouse_Movements'!$E$2:$E$500),$C318))</f>
        <v/>
      </c>
      <c r="E318" t="s">
        <v>92</v>
      </c>
      <c r="G318" s="41"/>
      <c r="H318" s="40" t="str">
        <f t="shared" si="8"/>
        <v/>
      </c>
      <c r="I318" s="35"/>
      <c r="J318" s="35"/>
      <c r="K318" s="40"/>
      <c r="M318" s="3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PAL-0000317</v>
      </c>
      <c r="Q318" s="41"/>
      <c r="R318" s="40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512</v>
      </c>
      <c r="B319" s="35"/>
      <c r="D319" t="str">
        <f>IF($C319="","",IFERROR(LOOKUP(2,1/('03_Warehouse_Movements'!$C$2:$C$500=$A319),'03_Warehouse_Movements'!$E$2:$E$500),$C319))</f>
        <v/>
      </c>
      <c r="E319" t="s">
        <v>92</v>
      </c>
      <c r="G319" s="41"/>
      <c r="H319" s="40" t="str">
        <f t="shared" si="8"/>
        <v/>
      </c>
      <c r="I319" s="35"/>
      <c r="J319" s="35"/>
      <c r="K319" s="40"/>
      <c r="M319" s="3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PAL-0000318</v>
      </c>
      <c r="Q319" s="41"/>
      <c r="R319" s="40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513</v>
      </c>
      <c r="B320" s="35"/>
      <c r="D320" t="str">
        <f>IF($C320="","",IFERROR(LOOKUP(2,1/('03_Warehouse_Movements'!$C$2:$C$500=$A320),'03_Warehouse_Movements'!$E$2:$E$500),$C320))</f>
        <v/>
      </c>
      <c r="E320" t="s">
        <v>92</v>
      </c>
      <c r="G320" s="41"/>
      <c r="H320" s="40" t="str">
        <f t="shared" si="8"/>
        <v/>
      </c>
      <c r="I320" s="35"/>
      <c r="J320" s="35"/>
      <c r="K320" s="40"/>
      <c r="M320" s="3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PAL-0000319</v>
      </c>
      <c r="Q320" s="41"/>
      <c r="R320" s="40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514</v>
      </c>
      <c r="B321" s="35"/>
      <c r="D321" t="str">
        <f>IF($C321="","",IFERROR(LOOKUP(2,1/('03_Warehouse_Movements'!$C$2:$C$500=$A321),'03_Warehouse_Movements'!$E$2:$E$500),$C321))</f>
        <v/>
      </c>
      <c r="E321" t="s">
        <v>92</v>
      </c>
      <c r="G321" s="41"/>
      <c r="H321" s="40" t="str">
        <f t="shared" si="8"/>
        <v/>
      </c>
      <c r="I321" s="35"/>
      <c r="J321" s="35"/>
      <c r="K321" s="40"/>
      <c r="M321" s="3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PAL-0000320</v>
      </c>
      <c r="Q321" s="41"/>
      <c r="R321" s="40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515</v>
      </c>
      <c r="B322" s="35"/>
      <c r="D322" t="str">
        <f>IF($C322="","",IFERROR(LOOKUP(2,1/('03_Warehouse_Movements'!$C$2:$C$500=$A322),'03_Warehouse_Movements'!$E$2:$E$500),$C322))</f>
        <v/>
      </c>
      <c r="E322" t="s">
        <v>92</v>
      </c>
      <c r="G322" s="41"/>
      <c r="H322" s="40" t="str">
        <f t="shared" ref="H322:H385" si="10">IF(AND($F322="TEMP",$G322&gt;0,$M322&lt;&gt;""),$M322+$G322,"")</f>
        <v/>
      </c>
      <c r="I322" s="35"/>
      <c r="J322" s="35"/>
      <c r="K322" s="40"/>
      <c r="M322" s="3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PAL-0000321</v>
      </c>
      <c r="Q322" s="41"/>
      <c r="R322" s="40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516</v>
      </c>
      <c r="B323" s="35"/>
      <c r="D323" t="str">
        <f>IF($C323="","",IFERROR(LOOKUP(2,1/('03_Warehouse_Movements'!$C$2:$C$500=$A323),'03_Warehouse_Movements'!$E$2:$E$500),$C323))</f>
        <v/>
      </c>
      <c r="E323" t="s">
        <v>92</v>
      </c>
      <c r="G323" s="41"/>
      <c r="H323" s="40" t="str">
        <f t="shared" si="10"/>
        <v/>
      </c>
      <c r="I323" s="35"/>
      <c r="J323" s="35"/>
      <c r="K323" s="40"/>
      <c r="M323" s="3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PAL-0000322</v>
      </c>
      <c r="Q323" s="41"/>
      <c r="R323" s="40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517</v>
      </c>
      <c r="B324" s="35"/>
      <c r="D324" t="str">
        <f>IF($C324="","",IFERROR(LOOKUP(2,1/('03_Warehouse_Movements'!$C$2:$C$500=$A324),'03_Warehouse_Movements'!$E$2:$E$500),$C324))</f>
        <v/>
      </c>
      <c r="E324" t="s">
        <v>92</v>
      </c>
      <c r="G324" s="41"/>
      <c r="H324" s="40" t="str">
        <f t="shared" si="10"/>
        <v/>
      </c>
      <c r="I324" s="35"/>
      <c r="J324" s="35"/>
      <c r="K324" s="40"/>
      <c r="M324" s="3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PAL-0000323</v>
      </c>
      <c r="Q324" s="41"/>
      <c r="R324" s="40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518</v>
      </c>
      <c r="B325" s="35"/>
      <c r="D325" t="str">
        <f>IF($C325="","",IFERROR(LOOKUP(2,1/('03_Warehouse_Movements'!$C$2:$C$500=$A325),'03_Warehouse_Movements'!$E$2:$E$500),$C325))</f>
        <v/>
      </c>
      <c r="E325" t="s">
        <v>92</v>
      </c>
      <c r="G325" s="41"/>
      <c r="H325" s="40" t="str">
        <f t="shared" si="10"/>
        <v/>
      </c>
      <c r="I325" s="35"/>
      <c r="J325" s="35"/>
      <c r="K325" s="40"/>
      <c r="M325" s="3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PAL-0000324</v>
      </c>
      <c r="Q325" s="41"/>
      <c r="R325" s="40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519</v>
      </c>
      <c r="B326" s="35"/>
      <c r="D326" t="str">
        <f>IF($C326="","",IFERROR(LOOKUP(2,1/('03_Warehouse_Movements'!$C$2:$C$500=$A326),'03_Warehouse_Movements'!$E$2:$E$500),$C326))</f>
        <v/>
      </c>
      <c r="E326" t="s">
        <v>92</v>
      </c>
      <c r="G326" s="41"/>
      <c r="H326" s="40" t="str">
        <f t="shared" si="10"/>
        <v/>
      </c>
      <c r="I326" s="35"/>
      <c r="J326" s="35"/>
      <c r="K326" s="40"/>
      <c r="M326" s="3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PAL-0000325</v>
      </c>
      <c r="Q326" s="41"/>
      <c r="R326" s="40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520</v>
      </c>
      <c r="B327" s="35"/>
      <c r="D327" t="str">
        <f>IF($C327="","",IFERROR(LOOKUP(2,1/('03_Warehouse_Movements'!$C$2:$C$500=$A327),'03_Warehouse_Movements'!$E$2:$E$500),$C327))</f>
        <v/>
      </c>
      <c r="E327" t="s">
        <v>92</v>
      </c>
      <c r="G327" s="41"/>
      <c r="H327" s="40" t="str">
        <f t="shared" si="10"/>
        <v/>
      </c>
      <c r="I327" s="35"/>
      <c r="J327" s="35"/>
      <c r="K327" s="40"/>
      <c r="M327" s="3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PAL-0000326</v>
      </c>
      <c r="Q327" s="41"/>
      <c r="R327" s="40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521</v>
      </c>
      <c r="B328" s="35"/>
      <c r="D328" t="str">
        <f>IF($C328="","",IFERROR(LOOKUP(2,1/('03_Warehouse_Movements'!$C$2:$C$500=$A328),'03_Warehouse_Movements'!$E$2:$E$500),$C328))</f>
        <v/>
      </c>
      <c r="E328" t="s">
        <v>92</v>
      </c>
      <c r="G328" s="41"/>
      <c r="H328" s="40" t="str">
        <f t="shared" si="10"/>
        <v/>
      </c>
      <c r="I328" s="35"/>
      <c r="J328" s="35"/>
      <c r="K328" s="40"/>
      <c r="M328" s="3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PAL-0000327</v>
      </c>
      <c r="Q328" s="41"/>
      <c r="R328" s="40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522</v>
      </c>
      <c r="B329" s="35"/>
      <c r="D329" t="str">
        <f>IF($C329="","",IFERROR(LOOKUP(2,1/('03_Warehouse_Movements'!$C$2:$C$500=$A329),'03_Warehouse_Movements'!$E$2:$E$500),$C329))</f>
        <v/>
      </c>
      <c r="E329" t="s">
        <v>92</v>
      </c>
      <c r="G329" s="41"/>
      <c r="H329" s="40" t="str">
        <f t="shared" si="10"/>
        <v/>
      </c>
      <c r="I329" s="35"/>
      <c r="J329" s="35"/>
      <c r="K329" s="40"/>
      <c r="M329" s="3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PAL-0000328</v>
      </c>
      <c r="Q329" s="41"/>
      <c r="R329" s="40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523</v>
      </c>
      <c r="B330" s="35"/>
      <c r="D330" t="str">
        <f>IF($C330="","",IFERROR(LOOKUP(2,1/('03_Warehouse_Movements'!$C$2:$C$500=$A330),'03_Warehouse_Movements'!$E$2:$E$500),$C330))</f>
        <v/>
      </c>
      <c r="E330" t="s">
        <v>92</v>
      </c>
      <c r="G330" s="41"/>
      <c r="H330" s="40" t="str">
        <f t="shared" si="10"/>
        <v/>
      </c>
      <c r="I330" s="35"/>
      <c r="J330" s="35"/>
      <c r="K330" s="40"/>
      <c r="M330" s="3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PAL-0000329</v>
      </c>
      <c r="Q330" s="41"/>
      <c r="R330" s="40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524</v>
      </c>
      <c r="B331" s="35"/>
      <c r="D331" t="str">
        <f>IF($C331="","",IFERROR(LOOKUP(2,1/('03_Warehouse_Movements'!$C$2:$C$500=$A331),'03_Warehouse_Movements'!$E$2:$E$500),$C331))</f>
        <v/>
      </c>
      <c r="E331" t="s">
        <v>92</v>
      </c>
      <c r="G331" s="41"/>
      <c r="H331" s="40" t="str">
        <f t="shared" si="10"/>
        <v/>
      </c>
      <c r="I331" s="35"/>
      <c r="J331" s="35"/>
      <c r="K331" s="40"/>
      <c r="M331" s="3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PAL-0000330</v>
      </c>
      <c r="Q331" s="41"/>
      <c r="R331" s="40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525</v>
      </c>
      <c r="B332" s="35"/>
      <c r="D332" t="str">
        <f>IF($C332="","",IFERROR(LOOKUP(2,1/('03_Warehouse_Movements'!$C$2:$C$500=$A332),'03_Warehouse_Movements'!$E$2:$E$500),$C332))</f>
        <v/>
      </c>
      <c r="E332" t="s">
        <v>92</v>
      </c>
      <c r="G332" s="41"/>
      <c r="H332" s="40" t="str">
        <f t="shared" si="10"/>
        <v/>
      </c>
      <c r="I332" s="35"/>
      <c r="J332" s="35"/>
      <c r="K332" s="40"/>
      <c r="M332" s="3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PAL-0000331</v>
      </c>
      <c r="Q332" s="41"/>
      <c r="R332" s="40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526</v>
      </c>
      <c r="B333" s="35"/>
      <c r="D333" t="str">
        <f>IF($C333="","",IFERROR(LOOKUP(2,1/('03_Warehouse_Movements'!$C$2:$C$500=$A333),'03_Warehouse_Movements'!$E$2:$E$500),$C333))</f>
        <v/>
      </c>
      <c r="E333" t="s">
        <v>92</v>
      </c>
      <c r="G333" s="41"/>
      <c r="H333" s="40" t="str">
        <f t="shared" si="10"/>
        <v/>
      </c>
      <c r="I333" s="35"/>
      <c r="J333" s="35"/>
      <c r="K333" s="40"/>
      <c r="M333" s="3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PAL-0000332</v>
      </c>
      <c r="Q333" s="41"/>
      <c r="R333" s="40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527</v>
      </c>
      <c r="B334" s="35"/>
      <c r="D334" t="str">
        <f>IF($C334="","",IFERROR(LOOKUP(2,1/('03_Warehouse_Movements'!$C$2:$C$500=$A334),'03_Warehouse_Movements'!$E$2:$E$500),$C334))</f>
        <v/>
      </c>
      <c r="E334" t="s">
        <v>92</v>
      </c>
      <c r="G334" s="41"/>
      <c r="H334" s="40" t="str">
        <f t="shared" si="10"/>
        <v/>
      </c>
      <c r="I334" s="35"/>
      <c r="J334" s="35"/>
      <c r="K334" s="40"/>
      <c r="M334" s="3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PAL-0000333</v>
      </c>
      <c r="Q334" s="41"/>
      <c r="R334" s="40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528</v>
      </c>
      <c r="B335" s="35"/>
      <c r="D335" t="str">
        <f>IF($C335="","",IFERROR(LOOKUP(2,1/('03_Warehouse_Movements'!$C$2:$C$500=$A335),'03_Warehouse_Movements'!$E$2:$E$500),$C335))</f>
        <v/>
      </c>
      <c r="E335" t="s">
        <v>92</v>
      </c>
      <c r="G335" s="41"/>
      <c r="H335" s="40" t="str">
        <f t="shared" si="10"/>
        <v/>
      </c>
      <c r="I335" s="35"/>
      <c r="J335" s="35"/>
      <c r="K335" s="40"/>
      <c r="M335" s="3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PAL-0000334</v>
      </c>
      <c r="Q335" s="41"/>
      <c r="R335" s="40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529</v>
      </c>
      <c r="B336" s="35"/>
      <c r="D336" t="str">
        <f>IF($C336="","",IFERROR(LOOKUP(2,1/('03_Warehouse_Movements'!$C$2:$C$500=$A336),'03_Warehouse_Movements'!$E$2:$E$500),$C336))</f>
        <v/>
      </c>
      <c r="E336" t="s">
        <v>92</v>
      </c>
      <c r="G336" s="41"/>
      <c r="H336" s="40" t="str">
        <f t="shared" si="10"/>
        <v/>
      </c>
      <c r="I336" s="35"/>
      <c r="J336" s="35"/>
      <c r="K336" s="40"/>
      <c r="M336" s="3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PAL-0000335</v>
      </c>
      <c r="Q336" s="41"/>
      <c r="R336" s="40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530</v>
      </c>
      <c r="B337" s="35"/>
      <c r="D337" t="str">
        <f>IF($C337="","",IFERROR(LOOKUP(2,1/('03_Warehouse_Movements'!$C$2:$C$500=$A337),'03_Warehouse_Movements'!$E$2:$E$500),$C337))</f>
        <v/>
      </c>
      <c r="E337" t="s">
        <v>92</v>
      </c>
      <c r="G337" s="41"/>
      <c r="H337" s="40" t="str">
        <f t="shared" si="10"/>
        <v/>
      </c>
      <c r="I337" s="35"/>
      <c r="J337" s="35"/>
      <c r="K337" s="40"/>
      <c r="M337" s="3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PAL-0000336</v>
      </c>
      <c r="Q337" s="41"/>
      <c r="R337" s="40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531</v>
      </c>
      <c r="B338" s="35"/>
      <c r="D338" t="str">
        <f>IF($C338="","",IFERROR(LOOKUP(2,1/('03_Warehouse_Movements'!$C$2:$C$500=$A338),'03_Warehouse_Movements'!$E$2:$E$500),$C338))</f>
        <v/>
      </c>
      <c r="E338" t="s">
        <v>92</v>
      </c>
      <c r="G338" s="41"/>
      <c r="H338" s="40" t="str">
        <f t="shared" si="10"/>
        <v/>
      </c>
      <c r="I338" s="35"/>
      <c r="J338" s="35"/>
      <c r="K338" s="40"/>
      <c r="M338" s="3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PAL-0000337</v>
      </c>
      <c r="Q338" s="41"/>
      <c r="R338" s="40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532</v>
      </c>
      <c r="B339" s="35"/>
      <c r="D339" t="str">
        <f>IF($C339="","",IFERROR(LOOKUP(2,1/('03_Warehouse_Movements'!$C$2:$C$500=$A339),'03_Warehouse_Movements'!$E$2:$E$500),$C339))</f>
        <v/>
      </c>
      <c r="E339" t="s">
        <v>92</v>
      </c>
      <c r="G339" s="41"/>
      <c r="H339" s="40" t="str">
        <f t="shared" si="10"/>
        <v/>
      </c>
      <c r="I339" s="35"/>
      <c r="J339" s="35"/>
      <c r="K339" s="40"/>
      <c r="M339" s="3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PAL-0000338</v>
      </c>
      <c r="Q339" s="41"/>
      <c r="R339" s="40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533</v>
      </c>
      <c r="B340" s="35"/>
      <c r="D340" t="str">
        <f>IF($C340="","",IFERROR(LOOKUP(2,1/('03_Warehouse_Movements'!$C$2:$C$500=$A340),'03_Warehouse_Movements'!$E$2:$E$500),$C340))</f>
        <v/>
      </c>
      <c r="E340" t="s">
        <v>92</v>
      </c>
      <c r="G340" s="41"/>
      <c r="H340" s="40" t="str">
        <f t="shared" si="10"/>
        <v/>
      </c>
      <c r="I340" s="35"/>
      <c r="J340" s="35"/>
      <c r="K340" s="40"/>
      <c r="M340" s="3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PAL-0000339</v>
      </c>
      <c r="Q340" s="41"/>
      <c r="R340" s="40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534</v>
      </c>
      <c r="B341" s="35"/>
      <c r="D341" t="str">
        <f>IF($C341="","",IFERROR(LOOKUP(2,1/('03_Warehouse_Movements'!$C$2:$C$500=$A341),'03_Warehouse_Movements'!$E$2:$E$500),$C341))</f>
        <v/>
      </c>
      <c r="E341" t="s">
        <v>92</v>
      </c>
      <c r="G341" s="41"/>
      <c r="H341" s="40" t="str">
        <f t="shared" si="10"/>
        <v/>
      </c>
      <c r="I341" s="35"/>
      <c r="J341" s="35"/>
      <c r="K341" s="40"/>
      <c r="M341" s="3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PAL-0000340</v>
      </c>
      <c r="Q341" s="41"/>
      <c r="R341" s="40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535</v>
      </c>
      <c r="B342" s="35"/>
      <c r="D342" t="str">
        <f>IF($C342="","",IFERROR(LOOKUP(2,1/('03_Warehouse_Movements'!$C$2:$C$500=$A342),'03_Warehouse_Movements'!$E$2:$E$500),$C342))</f>
        <v/>
      </c>
      <c r="E342" t="s">
        <v>92</v>
      </c>
      <c r="G342" s="41"/>
      <c r="H342" s="40" t="str">
        <f t="shared" si="10"/>
        <v/>
      </c>
      <c r="I342" s="35"/>
      <c r="J342" s="35"/>
      <c r="K342" s="40"/>
      <c r="M342" s="3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PAL-0000341</v>
      </c>
      <c r="Q342" s="41"/>
      <c r="R342" s="40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536</v>
      </c>
      <c r="B343" s="35"/>
      <c r="D343" t="str">
        <f>IF($C343="","",IFERROR(LOOKUP(2,1/('03_Warehouse_Movements'!$C$2:$C$500=$A343),'03_Warehouse_Movements'!$E$2:$E$500),$C343))</f>
        <v/>
      </c>
      <c r="E343" t="s">
        <v>92</v>
      </c>
      <c r="G343" s="41"/>
      <c r="H343" s="40" t="str">
        <f t="shared" si="10"/>
        <v/>
      </c>
      <c r="I343" s="35"/>
      <c r="J343" s="35"/>
      <c r="K343" s="40"/>
      <c r="M343" s="3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PAL-0000342</v>
      </c>
      <c r="Q343" s="41"/>
      <c r="R343" s="40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537</v>
      </c>
      <c r="B344" s="35"/>
      <c r="D344" t="str">
        <f>IF($C344="","",IFERROR(LOOKUP(2,1/('03_Warehouse_Movements'!$C$2:$C$500=$A344),'03_Warehouse_Movements'!$E$2:$E$500),$C344))</f>
        <v/>
      </c>
      <c r="E344" t="s">
        <v>92</v>
      </c>
      <c r="G344" s="41"/>
      <c r="H344" s="40" t="str">
        <f t="shared" si="10"/>
        <v/>
      </c>
      <c r="I344" s="35"/>
      <c r="J344" s="35"/>
      <c r="K344" s="40"/>
      <c r="M344" s="3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PAL-0000343</v>
      </c>
      <c r="Q344" s="41"/>
      <c r="R344" s="40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538</v>
      </c>
      <c r="B345" s="35"/>
      <c r="D345" t="str">
        <f>IF($C345="","",IFERROR(LOOKUP(2,1/('03_Warehouse_Movements'!$C$2:$C$500=$A345),'03_Warehouse_Movements'!$E$2:$E$500),$C345))</f>
        <v/>
      </c>
      <c r="E345" t="s">
        <v>92</v>
      </c>
      <c r="G345" s="41"/>
      <c r="H345" s="40" t="str">
        <f t="shared" si="10"/>
        <v/>
      </c>
      <c r="I345" s="35"/>
      <c r="J345" s="35"/>
      <c r="K345" s="40"/>
      <c r="M345" s="3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PAL-0000344</v>
      </c>
      <c r="Q345" s="41"/>
      <c r="R345" s="40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539</v>
      </c>
      <c r="B346" s="35"/>
      <c r="D346" t="str">
        <f>IF($C346="","",IFERROR(LOOKUP(2,1/('03_Warehouse_Movements'!$C$2:$C$500=$A346),'03_Warehouse_Movements'!$E$2:$E$500),$C346))</f>
        <v/>
      </c>
      <c r="E346" t="s">
        <v>92</v>
      </c>
      <c r="G346" s="41"/>
      <c r="H346" s="40" t="str">
        <f t="shared" si="10"/>
        <v/>
      </c>
      <c r="I346" s="35"/>
      <c r="J346" s="35"/>
      <c r="K346" s="40"/>
      <c r="M346" s="3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PAL-0000345</v>
      </c>
      <c r="Q346" s="41"/>
      <c r="R346" s="40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540</v>
      </c>
      <c r="B347" s="35"/>
      <c r="D347" t="str">
        <f>IF($C347="","",IFERROR(LOOKUP(2,1/('03_Warehouse_Movements'!$C$2:$C$500=$A347),'03_Warehouse_Movements'!$E$2:$E$500),$C347))</f>
        <v/>
      </c>
      <c r="E347" t="s">
        <v>92</v>
      </c>
      <c r="G347" s="41"/>
      <c r="H347" s="40" t="str">
        <f t="shared" si="10"/>
        <v/>
      </c>
      <c r="I347" s="35"/>
      <c r="J347" s="35"/>
      <c r="K347" s="40"/>
      <c r="M347" s="3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PAL-0000346</v>
      </c>
      <c r="Q347" s="41"/>
      <c r="R347" s="40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541</v>
      </c>
      <c r="B348" s="35"/>
      <c r="D348" t="str">
        <f>IF($C348="","",IFERROR(LOOKUP(2,1/('03_Warehouse_Movements'!$C$2:$C$500=$A348),'03_Warehouse_Movements'!$E$2:$E$500),$C348))</f>
        <v/>
      </c>
      <c r="E348" t="s">
        <v>92</v>
      </c>
      <c r="G348" s="41"/>
      <c r="H348" s="40" t="str">
        <f t="shared" si="10"/>
        <v/>
      </c>
      <c r="I348" s="35"/>
      <c r="J348" s="35"/>
      <c r="K348" s="40"/>
      <c r="M348" s="3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PAL-0000347</v>
      </c>
      <c r="Q348" s="41"/>
      <c r="R348" s="40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542</v>
      </c>
      <c r="B349" s="35"/>
      <c r="D349" t="str">
        <f>IF($C349="","",IFERROR(LOOKUP(2,1/('03_Warehouse_Movements'!$C$2:$C$500=$A349),'03_Warehouse_Movements'!$E$2:$E$500),$C349))</f>
        <v/>
      </c>
      <c r="E349" t="s">
        <v>92</v>
      </c>
      <c r="G349" s="41"/>
      <c r="H349" s="40" t="str">
        <f t="shared" si="10"/>
        <v/>
      </c>
      <c r="I349" s="35"/>
      <c r="J349" s="35"/>
      <c r="K349" s="40"/>
      <c r="M349" s="3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PAL-0000348</v>
      </c>
      <c r="Q349" s="41"/>
      <c r="R349" s="40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543</v>
      </c>
      <c r="B350" s="35"/>
      <c r="D350" t="str">
        <f>IF($C350="","",IFERROR(LOOKUP(2,1/('03_Warehouse_Movements'!$C$2:$C$500=$A350),'03_Warehouse_Movements'!$E$2:$E$500),$C350))</f>
        <v/>
      </c>
      <c r="E350" t="s">
        <v>92</v>
      </c>
      <c r="G350" s="41"/>
      <c r="H350" s="40" t="str">
        <f t="shared" si="10"/>
        <v/>
      </c>
      <c r="I350" s="35"/>
      <c r="J350" s="35"/>
      <c r="K350" s="40"/>
      <c r="M350" s="3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PAL-0000349</v>
      </c>
      <c r="Q350" s="41"/>
      <c r="R350" s="40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544</v>
      </c>
      <c r="B351" s="35"/>
      <c r="D351" t="str">
        <f>IF($C351="","",IFERROR(LOOKUP(2,1/('03_Warehouse_Movements'!$C$2:$C$500=$A351),'03_Warehouse_Movements'!$E$2:$E$500),$C351))</f>
        <v/>
      </c>
      <c r="E351" t="s">
        <v>92</v>
      </c>
      <c r="G351" s="41"/>
      <c r="H351" s="40" t="str">
        <f t="shared" si="10"/>
        <v/>
      </c>
      <c r="I351" s="35"/>
      <c r="J351" s="35"/>
      <c r="K351" s="40"/>
      <c r="M351" s="3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PAL-0000350</v>
      </c>
      <c r="Q351" s="41"/>
      <c r="R351" s="40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545</v>
      </c>
      <c r="B352" s="35"/>
      <c r="D352" t="str">
        <f>IF($C352="","",IFERROR(LOOKUP(2,1/('03_Warehouse_Movements'!$C$2:$C$500=$A352),'03_Warehouse_Movements'!$E$2:$E$500),$C352))</f>
        <v/>
      </c>
      <c r="E352" t="s">
        <v>92</v>
      </c>
      <c r="G352" s="41"/>
      <c r="H352" s="40" t="str">
        <f t="shared" si="10"/>
        <v/>
      </c>
      <c r="I352" s="35"/>
      <c r="J352" s="35"/>
      <c r="K352" s="40"/>
      <c r="M352" s="3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PAL-0000351</v>
      </c>
      <c r="Q352" s="41"/>
      <c r="R352" s="40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546</v>
      </c>
      <c r="B353" s="35"/>
      <c r="D353" t="str">
        <f>IF($C353="","",IFERROR(LOOKUP(2,1/('03_Warehouse_Movements'!$C$2:$C$500=$A353),'03_Warehouse_Movements'!$E$2:$E$500),$C353))</f>
        <v/>
      </c>
      <c r="E353" t="s">
        <v>92</v>
      </c>
      <c r="G353" s="41"/>
      <c r="H353" s="40" t="str">
        <f t="shared" si="10"/>
        <v/>
      </c>
      <c r="I353" s="35"/>
      <c r="J353" s="35"/>
      <c r="K353" s="40"/>
      <c r="M353" s="3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PAL-0000352</v>
      </c>
      <c r="Q353" s="41"/>
      <c r="R353" s="40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547</v>
      </c>
      <c r="B354" s="35"/>
      <c r="D354" t="str">
        <f>IF($C354="","",IFERROR(LOOKUP(2,1/('03_Warehouse_Movements'!$C$2:$C$500=$A354),'03_Warehouse_Movements'!$E$2:$E$500),$C354))</f>
        <v/>
      </c>
      <c r="E354" t="s">
        <v>92</v>
      </c>
      <c r="G354" s="41"/>
      <c r="H354" s="40" t="str">
        <f t="shared" si="10"/>
        <v/>
      </c>
      <c r="I354" s="35"/>
      <c r="J354" s="35"/>
      <c r="K354" s="40"/>
      <c r="M354" s="3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PAL-0000353</v>
      </c>
      <c r="Q354" s="41"/>
      <c r="R354" s="40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548</v>
      </c>
      <c r="B355" s="35"/>
      <c r="D355" t="str">
        <f>IF($C355="","",IFERROR(LOOKUP(2,1/('03_Warehouse_Movements'!$C$2:$C$500=$A355),'03_Warehouse_Movements'!$E$2:$E$500),$C355))</f>
        <v/>
      </c>
      <c r="E355" t="s">
        <v>92</v>
      </c>
      <c r="G355" s="41"/>
      <c r="H355" s="40" t="str">
        <f t="shared" si="10"/>
        <v/>
      </c>
      <c r="I355" s="35"/>
      <c r="J355" s="35"/>
      <c r="K355" s="40"/>
      <c r="M355" s="3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PAL-0000354</v>
      </c>
      <c r="Q355" s="41"/>
      <c r="R355" s="40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549</v>
      </c>
      <c r="B356" s="35"/>
      <c r="D356" t="str">
        <f>IF($C356="","",IFERROR(LOOKUP(2,1/('03_Warehouse_Movements'!$C$2:$C$500=$A356),'03_Warehouse_Movements'!$E$2:$E$500),$C356))</f>
        <v/>
      </c>
      <c r="E356" t="s">
        <v>92</v>
      </c>
      <c r="G356" s="41"/>
      <c r="H356" s="40" t="str">
        <f t="shared" si="10"/>
        <v/>
      </c>
      <c r="I356" s="35"/>
      <c r="J356" s="35"/>
      <c r="K356" s="40"/>
      <c r="M356" s="3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PAL-0000355</v>
      </c>
      <c r="Q356" s="41"/>
      <c r="R356" s="40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550</v>
      </c>
      <c r="B357" s="35"/>
      <c r="D357" t="str">
        <f>IF($C357="","",IFERROR(LOOKUP(2,1/('03_Warehouse_Movements'!$C$2:$C$500=$A357),'03_Warehouse_Movements'!$E$2:$E$500),$C357))</f>
        <v/>
      </c>
      <c r="E357" t="s">
        <v>92</v>
      </c>
      <c r="G357" s="41"/>
      <c r="H357" s="40" t="str">
        <f t="shared" si="10"/>
        <v/>
      </c>
      <c r="I357" s="35"/>
      <c r="J357" s="35"/>
      <c r="K357" s="40"/>
      <c r="M357" s="3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PAL-0000356</v>
      </c>
      <c r="Q357" s="41"/>
      <c r="R357" s="40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551</v>
      </c>
      <c r="B358" s="35"/>
      <c r="D358" t="str">
        <f>IF($C358="","",IFERROR(LOOKUP(2,1/('03_Warehouse_Movements'!$C$2:$C$500=$A358),'03_Warehouse_Movements'!$E$2:$E$500),$C358))</f>
        <v/>
      </c>
      <c r="E358" t="s">
        <v>92</v>
      </c>
      <c r="G358" s="41"/>
      <c r="H358" s="40" t="str">
        <f t="shared" si="10"/>
        <v/>
      </c>
      <c r="I358" s="35"/>
      <c r="J358" s="35"/>
      <c r="K358" s="40"/>
      <c r="M358" s="3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PAL-0000357</v>
      </c>
      <c r="Q358" s="41"/>
      <c r="R358" s="40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552</v>
      </c>
      <c r="B359" s="35"/>
      <c r="D359" t="str">
        <f>IF($C359="","",IFERROR(LOOKUP(2,1/('03_Warehouse_Movements'!$C$2:$C$500=$A359),'03_Warehouse_Movements'!$E$2:$E$500),$C359))</f>
        <v/>
      </c>
      <c r="E359" t="s">
        <v>92</v>
      </c>
      <c r="G359" s="41"/>
      <c r="H359" s="40" t="str">
        <f t="shared" si="10"/>
        <v/>
      </c>
      <c r="I359" s="35"/>
      <c r="J359" s="35"/>
      <c r="K359" s="40"/>
      <c r="M359" s="3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PAL-0000358</v>
      </c>
      <c r="Q359" s="41"/>
      <c r="R359" s="40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553</v>
      </c>
      <c r="B360" s="35"/>
      <c r="D360" t="str">
        <f>IF($C360="","",IFERROR(LOOKUP(2,1/('03_Warehouse_Movements'!$C$2:$C$500=$A360),'03_Warehouse_Movements'!$E$2:$E$500),$C360))</f>
        <v/>
      </c>
      <c r="E360" t="s">
        <v>92</v>
      </c>
      <c r="G360" s="41"/>
      <c r="H360" s="40" t="str">
        <f t="shared" si="10"/>
        <v/>
      </c>
      <c r="I360" s="35"/>
      <c r="J360" s="35"/>
      <c r="K360" s="40"/>
      <c r="M360" s="3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PAL-0000359</v>
      </c>
      <c r="Q360" s="41"/>
      <c r="R360" s="40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554</v>
      </c>
      <c r="B361" s="35"/>
      <c r="D361" t="str">
        <f>IF($C361="","",IFERROR(LOOKUP(2,1/('03_Warehouse_Movements'!$C$2:$C$500=$A361),'03_Warehouse_Movements'!$E$2:$E$500),$C361))</f>
        <v/>
      </c>
      <c r="E361" t="s">
        <v>92</v>
      </c>
      <c r="G361" s="41"/>
      <c r="H361" s="40" t="str">
        <f t="shared" si="10"/>
        <v/>
      </c>
      <c r="I361" s="35"/>
      <c r="J361" s="35"/>
      <c r="K361" s="40"/>
      <c r="M361" s="3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PAL-0000360</v>
      </c>
      <c r="Q361" s="41"/>
      <c r="R361" s="40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555</v>
      </c>
      <c r="B362" s="35"/>
      <c r="D362" t="str">
        <f>IF($C362="","",IFERROR(LOOKUP(2,1/('03_Warehouse_Movements'!$C$2:$C$500=$A362),'03_Warehouse_Movements'!$E$2:$E$500),$C362))</f>
        <v/>
      </c>
      <c r="E362" t="s">
        <v>92</v>
      </c>
      <c r="G362" s="41"/>
      <c r="H362" s="40" t="str">
        <f t="shared" si="10"/>
        <v/>
      </c>
      <c r="I362" s="35"/>
      <c r="J362" s="35"/>
      <c r="K362" s="40"/>
      <c r="M362" s="3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PAL-0000361</v>
      </c>
      <c r="Q362" s="41"/>
      <c r="R362" s="40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556</v>
      </c>
      <c r="B363" s="35"/>
      <c r="D363" t="str">
        <f>IF($C363="","",IFERROR(LOOKUP(2,1/('03_Warehouse_Movements'!$C$2:$C$500=$A363),'03_Warehouse_Movements'!$E$2:$E$500),$C363))</f>
        <v/>
      </c>
      <c r="E363" t="s">
        <v>92</v>
      </c>
      <c r="G363" s="41"/>
      <c r="H363" s="40" t="str">
        <f t="shared" si="10"/>
        <v/>
      </c>
      <c r="I363" s="35"/>
      <c r="J363" s="35"/>
      <c r="K363" s="40"/>
      <c r="M363" s="3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PAL-0000362</v>
      </c>
      <c r="Q363" s="41"/>
      <c r="R363" s="40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557</v>
      </c>
      <c r="B364" s="35"/>
      <c r="D364" t="str">
        <f>IF($C364="","",IFERROR(LOOKUP(2,1/('03_Warehouse_Movements'!$C$2:$C$500=$A364),'03_Warehouse_Movements'!$E$2:$E$500),$C364))</f>
        <v/>
      </c>
      <c r="E364" t="s">
        <v>92</v>
      </c>
      <c r="G364" s="41"/>
      <c r="H364" s="40" t="str">
        <f t="shared" si="10"/>
        <v/>
      </c>
      <c r="I364" s="35"/>
      <c r="J364" s="35"/>
      <c r="K364" s="40"/>
      <c r="M364" s="3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PAL-0000363</v>
      </c>
      <c r="Q364" s="41"/>
      <c r="R364" s="40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558</v>
      </c>
      <c r="B365" s="35"/>
      <c r="D365" t="str">
        <f>IF($C365="","",IFERROR(LOOKUP(2,1/('03_Warehouse_Movements'!$C$2:$C$500=$A365),'03_Warehouse_Movements'!$E$2:$E$500),$C365))</f>
        <v/>
      </c>
      <c r="E365" t="s">
        <v>92</v>
      </c>
      <c r="G365" s="41"/>
      <c r="H365" s="40" t="str">
        <f t="shared" si="10"/>
        <v/>
      </c>
      <c r="I365" s="35"/>
      <c r="J365" s="35"/>
      <c r="K365" s="40"/>
      <c r="M365" s="3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PAL-0000364</v>
      </c>
      <c r="Q365" s="41"/>
      <c r="R365" s="40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559</v>
      </c>
      <c r="B366" s="35"/>
      <c r="D366" t="str">
        <f>IF($C366="","",IFERROR(LOOKUP(2,1/('03_Warehouse_Movements'!$C$2:$C$500=$A366),'03_Warehouse_Movements'!$E$2:$E$500),$C366))</f>
        <v/>
      </c>
      <c r="E366" t="s">
        <v>92</v>
      </c>
      <c r="G366" s="41"/>
      <c r="H366" s="40" t="str">
        <f t="shared" si="10"/>
        <v/>
      </c>
      <c r="I366" s="35"/>
      <c r="J366" s="35"/>
      <c r="K366" s="40"/>
      <c r="M366" s="3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PAL-0000365</v>
      </c>
      <c r="Q366" s="41"/>
      <c r="R366" s="40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560</v>
      </c>
      <c r="B367" s="35"/>
      <c r="D367" t="str">
        <f>IF($C367="","",IFERROR(LOOKUP(2,1/('03_Warehouse_Movements'!$C$2:$C$500=$A367),'03_Warehouse_Movements'!$E$2:$E$500),$C367))</f>
        <v/>
      </c>
      <c r="E367" t="s">
        <v>92</v>
      </c>
      <c r="G367" s="41"/>
      <c r="H367" s="40" t="str">
        <f t="shared" si="10"/>
        <v/>
      </c>
      <c r="I367" s="35"/>
      <c r="J367" s="35"/>
      <c r="K367" s="40"/>
      <c r="M367" s="3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PAL-0000366</v>
      </c>
      <c r="Q367" s="41"/>
      <c r="R367" s="40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561</v>
      </c>
      <c r="B368" s="35"/>
      <c r="D368" t="str">
        <f>IF($C368="","",IFERROR(LOOKUP(2,1/('03_Warehouse_Movements'!$C$2:$C$500=$A368),'03_Warehouse_Movements'!$E$2:$E$500),$C368))</f>
        <v/>
      </c>
      <c r="E368" t="s">
        <v>92</v>
      </c>
      <c r="G368" s="41"/>
      <c r="H368" s="40" t="str">
        <f t="shared" si="10"/>
        <v/>
      </c>
      <c r="I368" s="35"/>
      <c r="J368" s="35"/>
      <c r="K368" s="40"/>
      <c r="M368" s="3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PAL-0000367</v>
      </c>
      <c r="Q368" s="41"/>
      <c r="R368" s="40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562</v>
      </c>
      <c r="B369" s="35"/>
      <c r="D369" t="str">
        <f>IF($C369="","",IFERROR(LOOKUP(2,1/('03_Warehouse_Movements'!$C$2:$C$500=$A369),'03_Warehouse_Movements'!$E$2:$E$500),$C369))</f>
        <v/>
      </c>
      <c r="E369" t="s">
        <v>92</v>
      </c>
      <c r="G369" s="41"/>
      <c r="H369" s="40" t="str">
        <f t="shared" si="10"/>
        <v/>
      </c>
      <c r="I369" s="35"/>
      <c r="J369" s="35"/>
      <c r="K369" s="40"/>
      <c r="M369" s="3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PAL-0000368</v>
      </c>
      <c r="Q369" s="41"/>
      <c r="R369" s="40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563</v>
      </c>
      <c r="B370" s="35"/>
      <c r="D370" t="str">
        <f>IF($C370="","",IFERROR(LOOKUP(2,1/('03_Warehouse_Movements'!$C$2:$C$500=$A370),'03_Warehouse_Movements'!$E$2:$E$500),$C370))</f>
        <v/>
      </c>
      <c r="E370" t="s">
        <v>92</v>
      </c>
      <c r="G370" s="41"/>
      <c r="H370" s="40" t="str">
        <f t="shared" si="10"/>
        <v/>
      </c>
      <c r="I370" s="35"/>
      <c r="J370" s="35"/>
      <c r="K370" s="40"/>
      <c r="M370" s="3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PAL-0000369</v>
      </c>
      <c r="Q370" s="41"/>
      <c r="R370" s="40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564</v>
      </c>
      <c r="B371" s="35"/>
      <c r="D371" t="str">
        <f>IF($C371="","",IFERROR(LOOKUP(2,1/('03_Warehouse_Movements'!$C$2:$C$500=$A371),'03_Warehouse_Movements'!$E$2:$E$500),$C371))</f>
        <v/>
      </c>
      <c r="E371" t="s">
        <v>92</v>
      </c>
      <c r="G371" s="41"/>
      <c r="H371" s="40" t="str">
        <f t="shared" si="10"/>
        <v/>
      </c>
      <c r="I371" s="35"/>
      <c r="J371" s="35"/>
      <c r="K371" s="40"/>
      <c r="M371" s="3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PAL-0000370</v>
      </c>
      <c r="Q371" s="41"/>
      <c r="R371" s="40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565</v>
      </c>
      <c r="B372" s="35"/>
      <c r="D372" t="str">
        <f>IF($C372="","",IFERROR(LOOKUP(2,1/('03_Warehouse_Movements'!$C$2:$C$500=$A372),'03_Warehouse_Movements'!$E$2:$E$500),$C372))</f>
        <v/>
      </c>
      <c r="E372" t="s">
        <v>92</v>
      </c>
      <c r="G372" s="41"/>
      <c r="H372" s="40" t="str">
        <f t="shared" si="10"/>
        <v/>
      </c>
      <c r="I372" s="35"/>
      <c r="J372" s="35"/>
      <c r="K372" s="40"/>
      <c r="M372" s="3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PAL-0000371</v>
      </c>
      <c r="Q372" s="41"/>
      <c r="R372" s="40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566</v>
      </c>
      <c r="B373" s="35"/>
      <c r="D373" t="str">
        <f>IF($C373="","",IFERROR(LOOKUP(2,1/('03_Warehouse_Movements'!$C$2:$C$500=$A373),'03_Warehouse_Movements'!$E$2:$E$500),$C373))</f>
        <v/>
      </c>
      <c r="E373" t="s">
        <v>92</v>
      </c>
      <c r="G373" s="41"/>
      <c r="H373" s="40" t="str">
        <f t="shared" si="10"/>
        <v/>
      </c>
      <c r="I373" s="35"/>
      <c r="J373" s="35"/>
      <c r="K373" s="40"/>
      <c r="M373" s="3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PAL-0000372</v>
      </c>
      <c r="Q373" s="41"/>
      <c r="R373" s="40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567</v>
      </c>
      <c r="B374" s="35"/>
      <c r="D374" t="str">
        <f>IF($C374="","",IFERROR(LOOKUP(2,1/('03_Warehouse_Movements'!$C$2:$C$500=$A374),'03_Warehouse_Movements'!$E$2:$E$500),$C374))</f>
        <v/>
      </c>
      <c r="E374" t="s">
        <v>92</v>
      </c>
      <c r="G374" s="41"/>
      <c r="H374" s="40" t="str">
        <f t="shared" si="10"/>
        <v/>
      </c>
      <c r="I374" s="35"/>
      <c r="J374" s="35"/>
      <c r="K374" s="40"/>
      <c r="M374" s="3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PAL-0000373</v>
      </c>
      <c r="Q374" s="41"/>
      <c r="R374" s="40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568</v>
      </c>
      <c r="B375" s="35"/>
      <c r="D375" t="str">
        <f>IF($C375="","",IFERROR(LOOKUP(2,1/('03_Warehouse_Movements'!$C$2:$C$500=$A375),'03_Warehouse_Movements'!$E$2:$E$500),$C375))</f>
        <v/>
      </c>
      <c r="E375" t="s">
        <v>92</v>
      </c>
      <c r="G375" s="41"/>
      <c r="H375" s="40" t="str">
        <f t="shared" si="10"/>
        <v/>
      </c>
      <c r="I375" s="35"/>
      <c r="J375" s="35"/>
      <c r="K375" s="40"/>
      <c r="M375" s="3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PAL-0000374</v>
      </c>
      <c r="Q375" s="41"/>
      <c r="R375" s="40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569</v>
      </c>
      <c r="B376" s="35"/>
      <c r="D376" t="str">
        <f>IF($C376="","",IFERROR(LOOKUP(2,1/('03_Warehouse_Movements'!$C$2:$C$500=$A376),'03_Warehouse_Movements'!$E$2:$E$500),$C376))</f>
        <v/>
      </c>
      <c r="E376" t="s">
        <v>92</v>
      </c>
      <c r="G376" s="41"/>
      <c r="H376" s="40" t="str">
        <f t="shared" si="10"/>
        <v/>
      </c>
      <c r="I376" s="35"/>
      <c r="J376" s="35"/>
      <c r="K376" s="40"/>
      <c r="M376" s="3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PAL-0000375</v>
      </c>
      <c r="Q376" s="41"/>
      <c r="R376" s="40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570</v>
      </c>
      <c r="B377" s="35"/>
      <c r="D377" t="str">
        <f>IF($C377="","",IFERROR(LOOKUP(2,1/('03_Warehouse_Movements'!$C$2:$C$500=$A377),'03_Warehouse_Movements'!$E$2:$E$500),$C377))</f>
        <v/>
      </c>
      <c r="E377" t="s">
        <v>92</v>
      </c>
      <c r="G377" s="41"/>
      <c r="H377" s="40" t="str">
        <f t="shared" si="10"/>
        <v/>
      </c>
      <c r="I377" s="35"/>
      <c r="J377" s="35"/>
      <c r="K377" s="40"/>
      <c r="M377" s="3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PAL-0000376</v>
      </c>
      <c r="Q377" s="41"/>
      <c r="R377" s="40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571</v>
      </c>
      <c r="B378" s="35"/>
      <c r="D378" t="str">
        <f>IF($C378="","",IFERROR(LOOKUP(2,1/('03_Warehouse_Movements'!$C$2:$C$500=$A378),'03_Warehouse_Movements'!$E$2:$E$500),$C378))</f>
        <v/>
      </c>
      <c r="E378" t="s">
        <v>92</v>
      </c>
      <c r="G378" s="41"/>
      <c r="H378" s="40" t="str">
        <f t="shared" si="10"/>
        <v/>
      </c>
      <c r="I378" s="35"/>
      <c r="J378" s="35"/>
      <c r="K378" s="40"/>
      <c r="M378" s="3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PAL-0000377</v>
      </c>
      <c r="Q378" s="41"/>
      <c r="R378" s="40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572</v>
      </c>
      <c r="B379" s="35"/>
      <c r="D379" t="str">
        <f>IF($C379="","",IFERROR(LOOKUP(2,1/('03_Warehouse_Movements'!$C$2:$C$500=$A379),'03_Warehouse_Movements'!$E$2:$E$500),$C379))</f>
        <v/>
      </c>
      <c r="E379" t="s">
        <v>92</v>
      </c>
      <c r="G379" s="41"/>
      <c r="H379" s="40" t="str">
        <f t="shared" si="10"/>
        <v/>
      </c>
      <c r="I379" s="35"/>
      <c r="J379" s="35"/>
      <c r="K379" s="40"/>
      <c r="M379" s="3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PAL-0000378</v>
      </c>
      <c r="Q379" s="41"/>
      <c r="R379" s="40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573</v>
      </c>
      <c r="B380" s="35"/>
      <c r="D380" t="str">
        <f>IF($C380="","",IFERROR(LOOKUP(2,1/('03_Warehouse_Movements'!$C$2:$C$500=$A380),'03_Warehouse_Movements'!$E$2:$E$500),$C380))</f>
        <v/>
      </c>
      <c r="E380" t="s">
        <v>92</v>
      </c>
      <c r="G380" s="41"/>
      <c r="H380" s="40" t="str">
        <f t="shared" si="10"/>
        <v/>
      </c>
      <c r="I380" s="35"/>
      <c r="J380" s="35"/>
      <c r="K380" s="40"/>
      <c r="M380" s="3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PAL-0000379</v>
      </c>
      <c r="Q380" s="41"/>
      <c r="R380" s="40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574</v>
      </c>
      <c r="B381" s="35"/>
      <c r="D381" t="str">
        <f>IF($C381="","",IFERROR(LOOKUP(2,1/('03_Warehouse_Movements'!$C$2:$C$500=$A381),'03_Warehouse_Movements'!$E$2:$E$500),$C381))</f>
        <v/>
      </c>
      <c r="E381" t="s">
        <v>92</v>
      </c>
      <c r="G381" s="41"/>
      <c r="H381" s="40" t="str">
        <f t="shared" si="10"/>
        <v/>
      </c>
      <c r="I381" s="35"/>
      <c r="J381" s="35"/>
      <c r="K381" s="40"/>
      <c r="M381" s="3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PAL-0000380</v>
      </c>
      <c r="Q381" s="41"/>
      <c r="R381" s="40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575</v>
      </c>
      <c r="B382" s="35"/>
      <c r="D382" t="str">
        <f>IF($C382="","",IFERROR(LOOKUP(2,1/('03_Warehouse_Movements'!$C$2:$C$500=$A382),'03_Warehouse_Movements'!$E$2:$E$500),$C382))</f>
        <v/>
      </c>
      <c r="E382" t="s">
        <v>92</v>
      </c>
      <c r="G382" s="41"/>
      <c r="H382" s="40" t="str">
        <f t="shared" si="10"/>
        <v/>
      </c>
      <c r="I382" s="35"/>
      <c r="J382" s="35"/>
      <c r="K382" s="40"/>
      <c r="M382" s="3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PAL-0000381</v>
      </c>
      <c r="Q382" s="41"/>
      <c r="R382" s="40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576</v>
      </c>
      <c r="B383" s="35"/>
      <c r="D383" t="str">
        <f>IF($C383="","",IFERROR(LOOKUP(2,1/('03_Warehouse_Movements'!$C$2:$C$500=$A383),'03_Warehouse_Movements'!$E$2:$E$500),$C383))</f>
        <v/>
      </c>
      <c r="E383" t="s">
        <v>92</v>
      </c>
      <c r="G383" s="41"/>
      <c r="H383" s="40" t="str">
        <f t="shared" si="10"/>
        <v/>
      </c>
      <c r="I383" s="35"/>
      <c r="J383" s="35"/>
      <c r="K383" s="40"/>
      <c r="M383" s="3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PAL-0000382</v>
      </c>
      <c r="Q383" s="41"/>
      <c r="R383" s="40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577</v>
      </c>
      <c r="B384" s="35"/>
      <c r="D384" t="str">
        <f>IF($C384="","",IFERROR(LOOKUP(2,1/('03_Warehouse_Movements'!$C$2:$C$500=$A384),'03_Warehouse_Movements'!$E$2:$E$500),$C384))</f>
        <v/>
      </c>
      <c r="E384" t="s">
        <v>92</v>
      </c>
      <c r="G384" s="41"/>
      <c r="H384" s="40" t="str">
        <f t="shared" si="10"/>
        <v/>
      </c>
      <c r="I384" s="35"/>
      <c r="J384" s="35"/>
      <c r="K384" s="40"/>
      <c r="M384" s="3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PAL-0000383</v>
      </c>
      <c r="Q384" s="41"/>
      <c r="R384" s="40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578</v>
      </c>
      <c r="B385" s="35"/>
      <c r="D385" t="str">
        <f>IF($C385="","",IFERROR(LOOKUP(2,1/('03_Warehouse_Movements'!$C$2:$C$500=$A385),'03_Warehouse_Movements'!$E$2:$E$500),$C385))</f>
        <v/>
      </c>
      <c r="E385" t="s">
        <v>92</v>
      </c>
      <c r="G385" s="41"/>
      <c r="H385" s="40" t="str">
        <f t="shared" si="10"/>
        <v/>
      </c>
      <c r="I385" s="35"/>
      <c r="J385" s="35"/>
      <c r="K385" s="40"/>
      <c r="M385" s="3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PAL-0000384</v>
      </c>
      <c r="Q385" s="41"/>
      <c r="R385" s="40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579</v>
      </c>
      <c r="B386" s="35"/>
      <c r="D386" t="str">
        <f>IF($C386="","",IFERROR(LOOKUP(2,1/('03_Warehouse_Movements'!$C$2:$C$500=$A386),'03_Warehouse_Movements'!$E$2:$E$500),$C386))</f>
        <v/>
      </c>
      <c r="E386" t="s">
        <v>92</v>
      </c>
      <c r="G386" s="41"/>
      <c r="H386" s="40" t="str">
        <f t="shared" ref="H386:H449" si="12">IF(AND($F386="TEMP",$G386&gt;0,$M386&lt;&gt;""),$M386+$G386,"")</f>
        <v/>
      </c>
      <c r="I386" s="35"/>
      <c r="J386" s="35"/>
      <c r="K386" s="40"/>
      <c r="M386" s="3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PAL-0000385</v>
      </c>
      <c r="Q386" s="41"/>
      <c r="R386" s="40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580</v>
      </c>
      <c r="B387" s="35"/>
      <c r="D387" t="str">
        <f>IF($C387="","",IFERROR(LOOKUP(2,1/('03_Warehouse_Movements'!$C$2:$C$500=$A387),'03_Warehouse_Movements'!$E$2:$E$500),$C387))</f>
        <v/>
      </c>
      <c r="E387" t="s">
        <v>92</v>
      </c>
      <c r="G387" s="41"/>
      <c r="H387" s="40" t="str">
        <f t="shared" si="12"/>
        <v/>
      </c>
      <c r="I387" s="35"/>
      <c r="J387" s="35"/>
      <c r="K387" s="40"/>
      <c r="M387" s="3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PAL-0000386</v>
      </c>
      <c r="Q387" s="41"/>
      <c r="R387" s="40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581</v>
      </c>
      <c r="B388" s="35"/>
      <c r="D388" t="str">
        <f>IF($C388="","",IFERROR(LOOKUP(2,1/('03_Warehouse_Movements'!$C$2:$C$500=$A388),'03_Warehouse_Movements'!$E$2:$E$500),$C388))</f>
        <v/>
      </c>
      <c r="E388" t="s">
        <v>92</v>
      </c>
      <c r="G388" s="41"/>
      <c r="H388" s="40" t="str">
        <f t="shared" si="12"/>
        <v/>
      </c>
      <c r="I388" s="35"/>
      <c r="J388" s="35"/>
      <c r="K388" s="40"/>
      <c r="M388" s="3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PAL-0000387</v>
      </c>
      <c r="Q388" s="41"/>
      <c r="R388" s="40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582</v>
      </c>
      <c r="B389" s="35"/>
      <c r="D389" t="str">
        <f>IF($C389="","",IFERROR(LOOKUP(2,1/('03_Warehouse_Movements'!$C$2:$C$500=$A389),'03_Warehouse_Movements'!$E$2:$E$500),$C389))</f>
        <v/>
      </c>
      <c r="E389" t="s">
        <v>92</v>
      </c>
      <c r="G389" s="41"/>
      <c r="H389" s="40" t="str">
        <f t="shared" si="12"/>
        <v/>
      </c>
      <c r="I389" s="35"/>
      <c r="J389" s="35"/>
      <c r="K389" s="40"/>
      <c r="M389" s="3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PAL-0000388</v>
      </c>
      <c r="Q389" s="41"/>
      <c r="R389" s="40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583</v>
      </c>
      <c r="B390" s="35"/>
      <c r="D390" t="str">
        <f>IF($C390="","",IFERROR(LOOKUP(2,1/('03_Warehouse_Movements'!$C$2:$C$500=$A390),'03_Warehouse_Movements'!$E$2:$E$500),$C390))</f>
        <v/>
      </c>
      <c r="E390" t="s">
        <v>92</v>
      </c>
      <c r="G390" s="41"/>
      <c r="H390" s="40" t="str">
        <f t="shared" si="12"/>
        <v/>
      </c>
      <c r="I390" s="35"/>
      <c r="J390" s="35"/>
      <c r="K390" s="40"/>
      <c r="M390" s="3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PAL-0000389</v>
      </c>
      <c r="Q390" s="41"/>
      <c r="R390" s="40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584</v>
      </c>
      <c r="B391" s="35"/>
      <c r="D391" t="str">
        <f>IF($C391="","",IFERROR(LOOKUP(2,1/('03_Warehouse_Movements'!$C$2:$C$500=$A391),'03_Warehouse_Movements'!$E$2:$E$500),$C391))</f>
        <v/>
      </c>
      <c r="E391" t="s">
        <v>92</v>
      </c>
      <c r="G391" s="41"/>
      <c r="H391" s="40" t="str">
        <f t="shared" si="12"/>
        <v/>
      </c>
      <c r="I391" s="35"/>
      <c r="J391" s="35"/>
      <c r="K391" s="40"/>
      <c r="M391" s="3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PAL-0000390</v>
      </c>
      <c r="Q391" s="41"/>
      <c r="R391" s="40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585</v>
      </c>
      <c r="B392" s="35"/>
      <c r="D392" t="str">
        <f>IF($C392="","",IFERROR(LOOKUP(2,1/('03_Warehouse_Movements'!$C$2:$C$500=$A392),'03_Warehouse_Movements'!$E$2:$E$500),$C392))</f>
        <v/>
      </c>
      <c r="E392" t="s">
        <v>92</v>
      </c>
      <c r="G392" s="41"/>
      <c r="H392" s="40" t="str">
        <f t="shared" si="12"/>
        <v/>
      </c>
      <c r="I392" s="35"/>
      <c r="J392" s="35"/>
      <c r="K392" s="40"/>
      <c r="M392" s="3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PAL-0000391</v>
      </c>
      <c r="Q392" s="41"/>
      <c r="R392" s="40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586</v>
      </c>
      <c r="B393" s="35"/>
      <c r="D393" t="str">
        <f>IF($C393="","",IFERROR(LOOKUP(2,1/('03_Warehouse_Movements'!$C$2:$C$500=$A393),'03_Warehouse_Movements'!$E$2:$E$500),$C393))</f>
        <v/>
      </c>
      <c r="E393" t="s">
        <v>92</v>
      </c>
      <c r="G393" s="41"/>
      <c r="H393" s="40" t="str">
        <f t="shared" si="12"/>
        <v/>
      </c>
      <c r="I393" s="35"/>
      <c r="J393" s="35"/>
      <c r="K393" s="40"/>
      <c r="M393" s="3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PAL-0000392</v>
      </c>
      <c r="Q393" s="41"/>
      <c r="R393" s="40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587</v>
      </c>
      <c r="B394" s="35"/>
      <c r="D394" t="str">
        <f>IF($C394="","",IFERROR(LOOKUP(2,1/('03_Warehouse_Movements'!$C$2:$C$500=$A394),'03_Warehouse_Movements'!$E$2:$E$500),$C394))</f>
        <v/>
      </c>
      <c r="E394" t="s">
        <v>92</v>
      </c>
      <c r="G394" s="41"/>
      <c r="H394" s="40" t="str">
        <f t="shared" si="12"/>
        <v/>
      </c>
      <c r="I394" s="35"/>
      <c r="J394" s="35"/>
      <c r="K394" s="40"/>
      <c r="M394" s="3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PAL-0000393</v>
      </c>
      <c r="Q394" s="41"/>
      <c r="R394" s="40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588</v>
      </c>
      <c r="B395" s="35"/>
      <c r="D395" t="str">
        <f>IF($C395="","",IFERROR(LOOKUP(2,1/('03_Warehouse_Movements'!$C$2:$C$500=$A395),'03_Warehouse_Movements'!$E$2:$E$500),$C395))</f>
        <v/>
      </c>
      <c r="E395" t="s">
        <v>92</v>
      </c>
      <c r="G395" s="41"/>
      <c r="H395" s="40" t="str">
        <f t="shared" si="12"/>
        <v/>
      </c>
      <c r="I395" s="35"/>
      <c r="J395" s="35"/>
      <c r="K395" s="40"/>
      <c r="M395" s="3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PAL-0000394</v>
      </c>
      <c r="Q395" s="41"/>
      <c r="R395" s="40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589</v>
      </c>
      <c r="B396" s="35"/>
      <c r="D396" t="str">
        <f>IF($C396="","",IFERROR(LOOKUP(2,1/('03_Warehouse_Movements'!$C$2:$C$500=$A396),'03_Warehouse_Movements'!$E$2:$E$500),$C396))</f>
        <v/>
      </c>
      <c r="E396" t="s">
        <v>92</v>
      </c>
      <c r="G396" s="41"/>
      <c r="H396" s="40" t="str">
        <f t="shared" si="12"/>
        <v/>
      </c>
      <c r="I396" s="35"/>
      <c r="J396" s="35"/>
      <c r="K396" s="40"/>
      <c r="M396" s="3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PAL-0000395</v>
      </c>
      <c r="Q396" s="41"/>
      <c r="R396" s="40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590</v>
      </c>
      <c r="B397" s="35"/>
      <c r="D397" t="str">
        <f>IF($C397="","",IFERROR(LOOKUP(2,1/('03_Warehouse_Movements'!$C$2:$C$500=$A397),'03_Warehouse_Movements'!$E$2:$E$500),$C397))</f>
        <v/>
      </c>
      <c r="E397" t="s">
        <v>92</v>
      </c>
      <c r="G397" s="41"/>
      <c r="H397" s="40" t="str">
        <f t="shared" si="12"/>
        <v/>
      </c>
      <c r="I397" s="35"/>
      <c r="J397" s="35"/>
      <c r="K397" s="40"/>
      <c r="M397" s="3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PAL-0000396</v>
      </c>
      <c r="Q397" s="41"/>
      <c r="R397" s="40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591</v>
      </c>
      <c r="B398" s="35"/>
      <c r="D398" t="str">
        <f>IF($C398="","",IFERROR(LOOKUP(2,1/('03_Warehouse_Movements'!$C$2:$C$500=$A398),'03_Warehouse_Movements'!$E$2:$E$500),$C398))</f>
        <v/>
      </c>
      <c r="E398" t="s">
        <v>92</v>
      </c>
      <c r="G398" s="41"/>
      <c r="H398" s="40" t="str">
        <f t="shared" si="12"/>
        <v/>
      </c>
      <c r="I398" s="35"/>
      <c r="J398" s="35"/>
      <c r="K398" s="40"/>
      <c r="M398" s="3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PAL-0000397</v>
      </c>
      <c r="Q398" s="41"/>
      <c r="R398" s="40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592</v>
      </c>
      <c r="B399" s="35"/>
      <c r="D399" t="str">
        <f>IF($C399="","",IFERROR(LOOKUP(2,1/('03_Warehouse_Movements'!$C$2:$C$500=$A399),'03_Warehouse_Movements'!$E$2:$E$500),$C399))</f>
        <v/>
      </c>
      <c r="E399" t="s">
        <v>92</v>
      </c>
      <c r="G399" s="41"/>
      <c r="H399" s="40" t="str">
        <f t="shared" si="12"/>
        <v/>
      </c>
      <c r="I399" s="35"/>
      <c r="J399" s="35"/>
      <c r="K399" s="40"/>
      <c r="M399" s="3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PAL-0000398</v>
      </c>
      <c r="Q399" s="41"/>
      <c r="R399" s="40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593</v>
      </c>
      <c r="B400" s="35"/>
      <c r="D400" t="str">
        <f>IF($C400="","",IFERROR(LOOKUP(2,1/('03_Warehouse_Movements'!$C$2:$C$500=$A400),'03_Warehouse_Movements'!$E$2:$E$500),$C400))</f>
        <v/>
      </c>
      <c r="E400" t="s">
        <v>92</v>
      </c>
      <c r="G400" s="41"/>
      <c r="H400" s="40" t="str">
        <f t="shared" si="12"/>
        <v/>
      </c>
      <c r="I400" s="35"/>
      <c r="J400" s="35"/>
      <c r="K400" s="40"/>
      <c r="M400" s="3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PAL-0000399</v>
      </c>
      <c r="Q400" s="41"/>
      <c r="R400" s="40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594</v>
      </c>
      <c r="B401" s="35"/>
      <c r="D401" t="str">
        <f>IF($C401="","",IFERROR(LOOKUP(2,1/('03_Warehouse_Movements'!$C$2:$C$500=$A401),'03_Warehouse_Movements'!$E$2:$E$500),$C401))</f>
        <v/>
      </c>
      <c r="E401" t="s">
        <v>92</v>
      </c>
      <c r="G401" s="41"/>
      <c r="H401" s="40" t="str">
        <f t="shared" si="12"/>
        <v/>
      </c>
      <c r="I401" s="35"/>
      <c r="J401" s="35"/>
      <c r="K401" s="40"/>
      <c r="M401" s="3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PAL-0000400</v>
      </c>
      <c r="Q401" s="41"/>
      <c r="R401" s="40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595</v>
      </c>
      <c r="B402" s="35"/>
      <c r="D402" t="str">
        <f>IF($C402="","",IFERROR(LOOKUP(2,1/('03_Warehouse_Movements'!$C$2:$C$500=$A402),'03_Warehouse_Movements'!$E$2:$E$500),$C402))</f>
        <v/>
      </c>
      <c r="E402" t="s">
        <v>92</v>
      </c>
      <c r="G402" s="41"/>
      <c r="H402" s="40" t="str">
        <f t="shared" si="12"/>
        <v/>
      </c>
      <c r="I402" s="35"/>
      <c r="J402" s="35"/>
      <c r="K402" s="40"/>
      <c r="M402" s="3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PAL-0000401</v>
      </c>
      <c r="Q402" s="41"/>
      <c r="R402" s="40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596</v>
      </c>
      <c r="B403" s="35"/>
      <c r="D403" t="str">
        <f>IF($C403="","",IFERROR(LOOKUP(2,1/('03_Warehouse_Movements'!$C$2:$C$500=$A403),'03_Warehouse_Movements'!$E$2:$E$500),$C403))</f>
        <v/>
      </c>
      <c r="E403" t="s">
        <v>92</v>
      </c>
      <c r="G403" s="41"/>
      <c r="H403" s="40" t="str">
        <f t="shared" si="12"/>
        <v/>
      </c>
      <c r="I403" s="35"/>
      <c r="J403" s="35"/>
      <c r="K403" s="40"/>
      <c r="M403" s="3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PAL-0000402</v>
      </c>
      <c r="Q403" s="41"/>
      <c r="R403" s="40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597</v>
      </c>
      <c r="B404" s="35"/>
      <c r="D404" t="str">
        <f>IF($C404="","",IFERROR(LOOKUP(2,1/('03_Warehouse_Movements'!$C$2:$C$500=$A404),'03_Warehouse_Movements'!$E$2:$E$500),$C404))</f>
        <v/>
      </c>
      <c r="E404" t="s">
        <v>92</v>
      </c>
      <c r="G404" s="41"/>
      <c r="H404" s="40" t="str">
        <f t="shared" si="12"/>
        <v/>
      </c>
      <c r="I404" s="35"/>
      <c r="J404" s="35"/>
      <c r="K404" s="40"/>
      <c r="M404" s="3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PAL-0000403</v>
      </c>
      <c r="Q404" s="41"/>
      <c r="R404" s="40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598</v>
      </c>
      <c r="B405" s="35"/>
      <c r="D405" t="str">
        <f>IF($C405="","",IFERROR(LOOKUP(2,1/('03_Warehouse_Movements'!$C$2:$C$500=$A405),'03_Warehouse_Movements'!$E$2:$E$500),$C405))</f>
        <v/>
      </c>
      <c r="E405" t="s">
        <v>92</v>
      </c>
      <c r="G405" s="41"/>
      <c r="H405" s="40" t="str">
        <f t="shared" si="12"/>
        <v/>
      </c>
      <c r="I405" s="35"/>
      <c r="J405" s="35"/>
      <c r="K405" s="40"/>
      <c r="M405" s="3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PAL-0000404</v>
      </c>
      <c r="Q405" s="41"/>
      <c r="R405" s="40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599</v>
      </c>
      <c r="B406" s="35"/>
      <c r="D406" t="str">
        <f>IF($C406="","",IFERROR(LOOKUP(2,1/('03_Warehouse_Movements'!$C$2:$C$500=$A406),'03_Warehouse_Movements'!$E$2:$E$500),$C406))</f>
        <v/>
      </c>
      <c r="E406" t="s">
        <v>92</v>
      </c>
      <c r="G406" s="41"/>
      <c r="H406" s="40" t="str">
        <f t="shared" si="12"/>
        <v/>
      </c>
      <c r="I406" s="35"/>
      <c r="J406" s="35"/>
      <c r="K406" s="40"/>
      <c r="M406" s="3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PAL-0000405</v>
      </c>
      <c r="Q406" s="41"/>
      <c r="R406" s="40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600</v>
      </c>
      <c r="B407" s="35"/>
      <c r="D407" t="str">
        <f>IF($C407="","",IFERROR(LOOKUP(2,1/('03_Warehouse_Movements'!$C$2:$C$500=$A407),'03_Warehouse_Movements'!$E$2:$E$500),$C407))</f>
        <v/>
      </c>
      <c r="E407" t="s">
        <v>92</v>
      </c>
      <c r="G407" s="41"/>
      <c r="H407" s="40" t="str">
        <f t="shared" si="12"/>
        <v/>
      </c>
      <c r="I407" s="35"/>
      <c r="J407" s="35"/>
      <c r="K407" s="40"/>
      <c r="M407" s="3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PAL-0000406</v>
      </c>
      <c r="Q407" s="41"/>
      <c r="R407" s="40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601</v>
      </c>
      <c r="B408" s="35"/>
      <c r="D408" t="str">
        <f>IF($C408="","",IFERROR(LOOKUP(2,1/('03_Warehouse_Movements'!$C$2:$C$500=$A408),'03_Warehouse_Movements'!$E$2:$E$500),$C408))</f>
        <v/>
      </c>
      <c r="E408" t="s">
        <v>92</v>
      </c>
      <c r="G408" s="41"/>
      <c r="H408" s="40" t="str">
        <f t="shared" si="12"/>
        <v/>
      </c>
      <c r="I408" s="35"/>
      <c r="J408" s="35"/>
      <c r="K408" s="40"/>
      <c r="M408" s="3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PAL-0000407</v>
      </c>
      <c r="Q408" s="41"/>
      <c r="R408" s="40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602</v>
      </c>
      <c r="B409" s="35"/>
      <c r="D409" t="str">
        <f>IF($C409="","",IFERROR(LOOKUP(2,1/('03_Warehouse_Movements'!$C$2:$C$500=$A409),'03_Warehouse_Movements'!$E$2:$E$500),$C409))</f>
        <v/>
      </c>
      <c r="E409" t="s">
        <v>92</v>
      </c>
      <c r="G409" s="41"/>
      <c r="H409" s="40" t="str">
        <f t="shared" si="12"/>
        <v/>
      </c>
      <c r="I409" s="35"/>
      <c r="J409" s="35"/>
      <c r="K409" s="40"/>
      <c r="M409" s="3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PAL-0000408</v>
      </c>
      <c r="Q409" s="41"/>
      <c r="R409" s="40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603</v>
      </c>
      <c r="B410" s="35"/>
      <c r="D410" t="str">
        <f>IF($C410="","",IFERROR(LOOKUP(2,1/('03_Warehouse_Movements'!$C$2:$C$500=$A410),'03_Warehouse_Movements'!$E$2:$E$500),$C410))</f>
        <v/>
      </c>
      <c r="E410" t="s">
        <v>92</v>
      </c>
      <c r="G410" s="41"/>
      <c r="H410" s="40" t="str">
        <f t="shared" si="12"/>
        <v/>
      </c>
      <c r="I410" s="35"/>
      <c r="J410" s="35"/>
      <c r="K410" s="40"/>
      <c r="M410" s="3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PAL-0000409</v>
      </c>
      <c r="Q410" s="41"/>
      <c r="R410" s="40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604</v>
      </c>
      <c r="B411" s="35"/>
      <c r="D411" t="str">
        <f>IF($C411="","",IFERROR(LOOKUP(2,1/('03_Warehouse_Movements'!$C$2:$C$500=$A411),'03_Warehouse_Movements'!$E$2:$E$500),$C411))</f>
        <v/>
      </c>
      <c r="E411" t="s">
        <v>92</v>
      </c>
      <c r="G411" s="41"/>
      <c r="H411" s="40" t="str">
        <f t="shared" si="12"/>
        <v/>
      </c>
      <c r="I411" s="35"/>
      <c r="J411" s="35"/>
      <c r="K411" s="40"/>
      <c r="M411" s="3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PAL-0000410</v>
      </c>
      <c r="Q411" s="41"/>
      <c r="R411" s="40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605</v>
      </c>
      <c r="B412" s="35"/>
      <c r="D412" t="str">
        <f>IF($C412="","",IFERROR(LOOKUP(2,1/('03_Warehouse_Movements'!$C$2:$C$500=$A412),'03_Warehouse_Movements'!$E$2:$E$500),$C412))</f>
        <v/>
      </c>
      <c r="E412" t="s">
        <v>92</v>
      </c>
      <c r="G412" s="41"/>
      <c r="H412" s="40" t="str">
        <f t="shared" si="12"/>
        <v/>
      </c>
      <c r="I412" s="35"/>
      <c r="J412" s="35"/>
      <c r="K412" s="40"/>
      <c r="M412" s="3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PAL-0000411</v>
      </c>
      <c r="Q412" s="41"/>
      <c r="R412" s="40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606</v>
      </c>
      <c r="B413" s="35"/>
      <c r="D413" t="str">
        <f>IF($C413="","",IFERROR(LOOKUP(2,1/('03_Warehouse_Movements'!$C$2:$C$500=$A413),'03_Warehouse_Movements'!$E$2:$E$500),$C413))</f>
        <v/>
      </c>
      <c r="E413" t="s">
        <v>92</v>
      </c>
      <c r="G413" s="41"/>
      <c r="H413" s="40" t="str">
        <f t="shared" si="12"/>
        <v/>
      </c>
      <c r="I413" s="35"/>
      <c r="J413" s="35"/>
      <c r="K413" s="40"/>
      <c r="M413" s="3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PAL-0000412</v>
      </c>
      <c r="Q413" s="41"/>
      <c r="R413" s="40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607</v>
      </c>
      <c r="B414" s="35"/>
      <c r="D414" t="str">
        <f>IF($C414="","",IFERROR(LOOKUP(2,1/('03_Warehouse_Movements'!$C$2:$C$500=$A414),'03_Warehouse_Movements'!$E$2:$E$500),$C414))</f>
        <v/>
      </c>
      <c r="E414" t="s">
        <v>92</v>
      </c>
      <c r="G414" s="41"/>
      <c r="H414" s="40" t="str">
        <f t="shared" si="12"/>
        <v/>
      </c>
      <c r="I414" s="35"/>
      <c r="J414" s="35"/>
      <c r="K414" s="40"/>
      <c r="M414" s="3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PAL-0000413</v>
      </c>
      <c r="Q414" s="41"/>
      <c r="R414" s="40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608</v>
      </c>
      <c r="B415" s="35"/>
      <c r="D415" t="str">
        <f>IF($C415="","",IFERROR(LOOKUP(2,1/('03_Warehouse_Movements'!$C$2:$C$500=$A415),'03_Warehouse_Movements'!$E$2:$E$500),$C415))</f>
        <v/>
      </c>
      <c r="E415" t="s">
        <v>92</v>
      </c>
      <c r="G415" s="41"/>
      <c r="H415" s="40" t="str">
        <f t="shared" si="12"/>
        <v/>
      </c>
      <c r="I415" s="35"/>
      <c r="J415" s="35"/>
      <c r="K415" s="40"/>
      <c r="M415" s="3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PAL-0000414</v>
      </c>
      <c r="Q415" s="41"/>
      <c r="R415" s="40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609</v>
      </c>
      <c r="B416" s="35"/>
      <c r="D416" t="str">
        <f>IF($C416="","",IFERROR(LOOKUP(2,1/('03_Warehouse_Movements'!$C$2:$C$500=$A416),'03_Warehouse_Movements'!$E$2:$E$500),$C416))</f>
        <v/>
      </c>
      <c r="E416" t="s">
        <v>92</v>
      </c>
      <c r="G416" s="41"/>
      <c r="H416" s="40" t="str">
        <f t="shared" si="12"/>
        <v/>
      </c>
      <c r="I416" s="35"/>
      <c r="J416" s="35"/>
      <c r="K416" s="40"/>
      <c r="M416" s="3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PAL-0000415</v>
      </c>
      <c r="Q416" s="41"/>
      <c r="R416" s="40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610</v>
      </c>
      <c r="B417" s="35"/>
      <c r="D417" t="str">
        <f>IF($C417="","",IFERROR(LOOKUP(2,1/('03_Warehouse_Movements'!$C$2:$C$500=$A417),'03_Warehouse_Movements'!$E$2:$E$500),$C417))</f>
        <v/>
      </c>
      <c r="E417" t="s">
        <v>92</v>
      </c>
      <c r="G417" s="41"/>
      <c r="H417" s="40" t="str">
        <f t="shared" si="12"/>
        <v/>
      </c>
      <c r="I417" s="35"/>
      <c r="J417" s="35"/>
      <c r="K417" s="40"/>
      <c r="M417" s="3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PAL-0000416</v>
      </c>
      <c r="Q417" s="41"/>
      <c r="R417" s="40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611</v>
      </c>
      <c r="B418" s="35"/>
      <c r="D418" t="str">
        <f>IF($C418="","",IFERROR(LOOKUP(2,1/('03_Warehouse_Movements'!$C$2:$C$500=$A418),'03_Warehouse_Movements'!$E$2:$E$500),$C418))</f>
        <v/>
      </c>
      <c r="E418" t="s">
        <v>92</v>
      </c>
      <c r="G418" s="41"/>
      <c r="H418" s="40" t="str">
        <f t="shared" si="12"/>
        <v/>
      </c>
      <c r="I418" s="35"/>
      <c r="J418" s="35"/>
      <c r="K418" s="40"/>
      <c r="M418" s="3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PAL-0000417</v>
      </c>
      <c r="Q418" s="41"/>
      <c r="R418" s="40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612</v>
      </c>
      <c r="B419" s="35"/>
      <c r="D419" t="str">
        <f>IF($C419="","",IFERROR(LOOKUP(2,1/('03_Warehouse_Movements'!$C$2:$C$500=$A419),'03_Warehouse_Movements'!$E$2:$E$500),$C419))</f>
        <v/>
      </c>
      <c r="E419" t="s">
        <v>92</v>
      </c>
      <c r="G419" s="41"/>
      <c r="H419" s="40" t="str">
        <f t="shared" si="12"/>
        <v/>
      </c>
      <c r="I419" s="35"/>
      <c r="J419" s="35"/>
      <c r="K419" s="40"/>
      <c r="M419" s="3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PAL-0000418</v>
      </c>
      <c r="Q419" s="41"/>
      <c r="R419" s="40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613</v>
      </c>
      <c r="B420" s="35"/>
      <c r="D420" t="str">
        <f>IF($C420="","",IFERROR(LOOKUP(2,1/('03_Warehouse_Movements'!$C$2:$C$500=$A420),'03_Warehouse_Movements'!$E$2:$E$500),$C420))</f>
        <v/>
      </c>
      <c r="E420" t="s">
        <v>92</v>
      </c>
      <c r="G420" s="41"/>
      <c r="H420" s="40" t="str">
        <f t="shared" si="12"/>
        <v/>
      </c>
      <c r="I420" s="35"/>
      <c r="J420" s="35"/>
      <c r="K420" s="40"/>
      <c r="M420" s="3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PAL-0000419</v>
      </c>
      <c r="Q420" s="41"/>
      <c r="R420" s="40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614</v>
      </c>
      <c r="B421" s="35"/>
      <c r="D421" t="str">
        <f>IF($C421="","",IFERROR(LOOKUP(2,1/('03_Warehouse_Movements'!$C$2:$C$500=$A421),'03_Warehouse_Movements'!$E$2:$E$500),$C421))</f>
        <v/>
      </c>
      <c r="E421" t="s">
        <v>92</v>
      </c>
      <c r="G421" s="41"/>
      <c r="H421" s="40" t="str">
        <f t="shared" si="12"/>
        <v/>
      </c>
      <c r="I421" s="35"/>
      <c r="J421" s="35"/>
      <c r="K421" s="40"/>
      <c r="M421" s="3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PAL-0000420</v>
      </c>
      <c r="Q421" s="41"/>
      <c r="R421" s="40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615</v>
      </c>
      <c r="B422" s="35"/>
      <c r="D422" t="str">
        <f>IF($C422="","",IFERROR(LOOKUP(2,1/('03_Warehouse_Movements'!$C$2:$C$500=$A422),'03_Warehouse_Movements'!$E$2:$E$500),$C422))</f>
        <v/>
      </c>
      <c r="E422" t="s">
        <v>92</v>
      </c>
      <c r="G422" s="41"/>
      <c r="H422" s="40" t="str">
        <f t="shared" si="12"/>
        <v/>
      </c>
      <c r="I422" s="35"/>
      <c r="J422" s="35"/>
      <c r="K422" s="40"/>
      <c r="M422" s="3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PAL-0000421</v>
      </c>
      <c r="Q422" s="41"/>
      <c r="R422" s="40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616</v>
      </c>
      <c r="B423" s="35"/>
      <c r="D423" t="str">
        <f>IF($C423="","",IFERROR(LOOKUP(2,1/('03_Warehouse_Movements'!$C$2:$C$500=$A423),'03_Warehouse_Movements'!$E$2:$E$500),$C423))</f>
        <v/>
      </c>
      <c r="E423" t="s">
        <v>92</v>
      </c>
      <c r="G423" s="41"/>
      <c r="H423" s="40" t="str">
        <f t="shared" si="12"/>
        <v/>
      </c>
      <c r="I423" s="35"/>
      <c r="J423" s="35"/>
      <c r="K423" s="40"/>
      <c r="M423" s="3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PAL-0000422</v>
      </c>
      <c r="Q423" s="41"/>
      <c r="R423" s="40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617</v>
      </c>
      <c r="B424" s="35"/>
      <c r="D424" t="str">
        <f>IF($C424="","",IFERROR(LOOKUP(2,1/('03_Warehouse_Movements'!$C$2:$C$500=$A424),'03_Warehouse_Movements'!$E$2:$E$500),$C424))</f>
        <v/>
      </c>
      <c r="E424" t="s">
        <v>92</v>
      </c>
      <c r="G424" s="41"/>
      <c r="H424" s="40" t="str">
        <f t="shared" si="12"/>
        <v/>
      </c>
      <c r="I424" s="35"/>
      <c r="J424" s="35"/>
      <c r="K424" s="40"/>
      <c r="M424" s="3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PAL-0000423</v>
      </c>
      <c r="Q424" s="41"/>
      <c r="R424" s="40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618</v>
      </c>
      <c r="B425" s="35"/>
      <c r="D425" t="str">
        <f>IF($C425="","",IFERROR(LOOKUP(2,1/('03_Warehouse_Movements'!$C$2:$C$500=$A425),'03_Warehouse_Movements'!$E$2:$E$500),$C425))</f>
        <v/>
      </c>
      <c r="E425" t="s">
        <v>92</v>
      </c>
      <c r="G425" s="41"/>
      <c r="H425" s="40" t="str">
        <f t="shared" si="12"/>
        <v/>
      </c>
      <c r="I425" s="35"/>
      <c r="J425" s="35"/>
      <c r="K425" s="40"/>
      <c r="M425" s="3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PAL-0000424</v>
      </c>
      <c r="Q425" s="41"/>
      <c r="R425" s="40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619</v>
      </c>
      <c r="B426" s="35"/>
      <c r="D426" t="str">
        <f>IF($C426="","",IFERROR(LOOKUP(2,1/('03_Warehouse_Movements'!$C$2:$C$500=$A426),'03_Warehouse_Movements'!$E$2:$E$500),$C426))</f>
        <v/>
      </c>
      <c r="E426" t="s">
        <v>92</v>
      </c>
      <c r="G426" s="41"/>
      <c r="H426" s="40" t="str">
        <f t="shared" si="12"/>
        <v/>
      </c>
      <c r="I426" s="35"/>
      <c r="J426" s="35"/>
      <c r="K426" s="40"/>
      <c r="M426" s="3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PAL-0000425</v>
      </c>
      <c r="Q426" s="41"/>
      <c r="R426" s="40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620</v>
      </c>
      <c r="B427" s="35"/>
      <c r="D427" t="str">
        <f>IF($C427="","",IFERROR(LOOKUP(2,1/('03_Warehouse_Movements'!$C$2:$C$500=$A427),'03_Warehouse_Movements'!$E$2:$E$500),$C427))</f>
        <v/>
      </c>
      <c r="E427" t="s">
        <v>92</v>
      </c>
      <c r="G427" s="41"/>
      <c r="H427" s="40" t="str">
        <f t="shared" si="12"/>
        <v/>
      </c>
      <c r="I427" s="35"/>
      <c r="J427" s="35"/>
      <c r="K427" s="40"/>
      <c r="M427" s="3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PAL-0000426</v>
      </c>
      <c r="Q427" s="41"/>
      <c r="R427" s="40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621</v>
      </c>
      <c r="B428" s="35"/>
      <c r="D428" t="str">
        <f>IF($C428="","",IFERROR(LOOKUP(2,1/('03_Warehouse_Movements'!$C$2:$C$500=$A428),'03_Warehouse_Movements'!$E$2:$E$500),$C428))</f>
        <v/>
      </c>
      <c r="E428" t="s">
        <v>92</v>
      </c>
      <c r="G428" s="41"/>
      <c r="H428" s="40" t="str">
        <f t="shared" si="12"/>
        <v/>
      </c>
      <c r="I428" s="35"/>
      <c r="J428" s="35"/>
      <c r="K428" s="40"/>
      <c r="M428" s="3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PAL-0000427</v>
      </c>
      <c r="Q428" s="41"/>
      <c r="R428" s="40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622</v>
      </c>
      <c r="B429" s="35"/>
      <c r="D429" t="str">
        <f>IF($C429="","",IFERROR(LOOKUP(2,1/('03_Warehouse_Movements'!$C$2:$C$500=$A429),'03_Warehouse_Movements'!$E$2:$E$500),$C429))</f>
        <v/>
      </c>
      <c r="E429" t="s">
        <v>92</v>
      </c>
      <c r="G429" s="41"/>
      <c r="H429" s="40" t="str">
        <f t="shared" si="12"/>
        <v/>
      </c>
      <c r="I429" s="35"/>
      <c r="J429" s="35"/>
      <c r="K429" s="40"/>
      <c r="M429" s="3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PAL-0000428</v>
      </c>
      <c r="Q429" s="41"/>
      <c r="R429" s="40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623</v>
      </c>
      <c r="B430" s="35"/>
      <c r="D430" t="str">
        <f>IF($C430="","",IFERROR(LOOKUP(2,1/('03_Warehouse_Movements'!$C$2:$C$500=$A430),'03_Warehouse_Movements'!$E$2:$E$500),$C430))</f>
        <v/>
      </c>
      <c r="E430" t="s">
        <v>92</v>
      </c>
      <c r="G430" s="41"/>
      <c r="H430" s="40" t="str">
        <f t="shared" si="12"/>
        <v/>
      </c>
      <c r="I430" s="35"/>
      <c r="J430" s="35"/>
      <c r="K430" s="40"/>
      <c r="M430" s="3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PAL-0000429</v>
      </c>
      <c r="Q430" s="41"/>
      <c r="R430" s="40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624</v>
      </c>
      <c r="B431" s="35"/>
      <c r="D431" t="str">
        <f>IF($C431="","",IFERROR(LOOKUP(2,1/('03_Warehouse_Movements'!$C$2:$C$500=$A431),'03_Warehouse_Movements'!$E$2:$E$500),$C431))</f>
        <v/>
      </c>
      <c r="E431" t="s">
        <v>92</v>
      </c>
      <c r="G431" s="41"/>
      <c r="H431" s="40" t="str">
        <f t="shared" si="12"/>
        <v/>
      </c>
      <c r="I431" s="35"/>
      <c r="J431" s="35"/>
      <c r="K431" s="40"/>
      <c r="M431" s="3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PAL-0000430</v>
      </c>
      <c r="Q431" s="41"/>
      <c r="R431" s="40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625</v>
      </c>
      <c r="B432" s="35"/>
      <c r="D432" t="str">
        <f>IF($C432="","",IFERROR(LOOKUP(2,1/('03_Warehouse_Movements'!$C$2:$C$500=$A432),'03_Warehouse_Movements'!$E$2:$E$500),$C432))</f>
        <v/>
      </c>
      <c r="E432" t="s">
        <v>92</v>
      </c>
      <c r="G432" s="41"/>
      <c r="H432" s="40" t="str">
        <f t="shared" si="12"/>
        <v/>
      </c>
      <c r="I432" s="35"/>
      <c r="J432" s="35"/>
      <c r="K432" s="40"/>
      <c r="M432" s="3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PAL-0000431</v>
      </c>
      <c r="Q432" s="41"/>
      <c r="R432" s="40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626</v>
      </c>
      <c r="B433" s="35"/>
      <c r="D433" t="str">
        <f>IF($C433="","",IFERROR(LOOKUP(2,1/('03_Warehouse_Movements'!$C$2:$C$500=$A433),'03_Warehouse_Movements'!$E$2:$E$500),$C433))</f>
        <v/>
      </c>
      <c r="E433" t="s">
        <v>92</v>
      </c>
      <c r="G433" s="41"/>
      <c r="H433" s="40" t="str">
        <f t="shared" si="12"/>
        <v/>
      </c>
      <c r="I433" s="35"/>
      <c r="J433" s="35"/>
      <c r="K433" s="40"/>
      <c r="M433" s="3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PAL-0000432</v>
      </c>
      <c r="Q433" s="41"/>
      <c r="R433" s="40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627</v>
      </c>
      <c r="B434" s="35"/>
      <c r="D434" t="str">
        <f>IF($C434="","",IFERROR(LOOKUP(2,1/('03_Warehouse_Movements'!$C$2:$C$500=$A434),'03_Warehouse_Movements'!$E$2:$E$500),$C434))</f>
        <v/>
      </c>
      <c r="E434" t="s">
        <v>92</v>
      </c>
      <c r="G434" s="41"/>
      <c r="H434" s="40" t="str">
        <f t="shared" si="12"/>
        <v/>
      </c>
      <c r="I434" s="35"/>
      <c r="J434" s="35"/>
      <c r="K434" s="40"/>
      <c r="M434" s="3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PAL-0000433</v>
      </c>
      <c r="Q434" s="41"/>
      <c r="R434" s="40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628</v>
      </c>
      <c r="B435" s="35"/>
      <c r="D435" t="str">
        <f>IF($C435="","",IFERROR(LOOKUP(2,1/('03_Warehouse_Movements'!$C$2:$C$500=$A435),'03_Warehouse_Movements'!$E$2:$E$500),$C435))</f>
        <v/>
      </c>
      <c r="E435" t="s">
        <v>92</v>
      </c>
      <c r="G435" s="41"/>
      <c r="H435" s="40" t="str">
        <f t="shared" si="12"/>
        <v/>
      </c>
      <c r="I435" s="35"/>
      <c r="J435" s="35"/>
      <c r="K435" s="40"/>
      <c r="M435" s="3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PAL-0000434</v>
      </c>
      <c r="Q435" s="41"/>
      <c r="R435" s="40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629</v>
      </c>
      <c r="B436" s="35"/>
      <c r="D436" t="str">
        <f>IF($C436="","",IFERROR(LOOKUP(2,1/('03_Warehouse_Movements'!$C$2:$C$500=$A436),'03_Warehouse_Movements'!$E$2:$E$500),$C436))</f>
        <v/>
      </c>
      <c r="E436" t="s">
        <v>92</v>
      </c>
      <c r="G436" s="41"/>
      <c r="H436" s="40" t="str">
        <f t="shared" si="12"/>
        <v/>
      </c>
      <c r="I436" s="35"/>
      <c r="J436" s="35"/>
      <c r="K436" s="40"/>
      <c r="M436" s="3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PAL-0000435</v>
      </c>
      <c r="Q436" s="41"/>
      <c r="R436" s="40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630</v>
      </c>
      <c r="B437" s="35"/>
      <c r="D437" t="str">
        <f>IF($C437="","",IFERROR(LOOKUP(2,1/('03_Warehouse_Movements'!$C$2:$C$500=$A437),'03_Warehouse_Movements'!$E$2:$E$500),$C437))</f>
        <v/>
      </c>
      <c r="E437" t="s">
        <v>92</v>
      </c>
      <c r="G437" s="41"/>
      <c r="H437" s="40" t="str">
        <f t="shared" si="12"/>
        <v/>
      </c>
      <c r="I437" s="35"/>
      <c r="J437" s="35"/>
      <c r="K437" s="40"/>
      <c r="M437" s="3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PAL-0000436</v>
      </c>
      <c r="Q437" s="41"/>
      <c r="R437" s="40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631</v>
      </c>
      <c r="B438" s="35"/>
      <c r="D438" t="str">
        <f>IF($C438="","",IFERROR(LOOKUP(2,1/('03_Warehouse_Movements'!$C$2:$C$500=$A438),'03_Warehouse_Movements'!$E$2:$E$500),$C438))</f>
        <v/>
      </c>
      <c r="E438" t="s">
        <v>92</v>
      </c>
      <c r="G438" s="41"/>
      <c r="H438" s="40" t="str">
        <f t="shared" si="12"/>
        <v/>
      </c>
      <c r="I438" s="35"/>
      <c r="J438" s="35"/>
      <c r="K438" s="40"/>
      <c r="M438" s="3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PAL-0000437</v>
      </c>
      <c r="Q438" s="41"/>
      <c r="R438" s="40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632</v>
      </c>
      <c r="B439" s="35"/>
      <c r="D439" t="str">
        <f>IF($C439="","",IFERROR(LOOKUP(2,1/('03_Warehouse_Movements'!$C$2:$C$500=$A439),'03_Warehouse_Movements'!$E$2:$E$500),$C439))</f>
        <v/>
      </c>
      <c r="E439" t="s">
        <v>92</v>
      </c>
      <c r="G439" s="41"/>
      <c r="H439" s="40" t="str">
        <f t="shared" si="12"/>
        <v/>
      </c>
      <c r="I439" s="35"/>
      <c r="J439" s="35"/>
      <c r="K439" s="40"/>
      <c r="M439" s="3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PAL-0000438</v>
      </c>
      <c r="Q439" s="41"/>
      <c r="R439" s="40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633</v>
      </c>
      <c r="B440" s="35"/>
      <c r="D440" t="str">
        <f>IF($C440="","",IFERROR(LOOKUP(2,1/('03_Warehouse_Movements'!$C$2:$C$500=$A440),'03_Warehouse_Movements'!$E$2:$E$500),$C440))</f>
        <v/>
      </c>
      <c r="E440" t="s">
        <v>92</v>
      </c>
      <c r="G440" s="41"/>
      <c r="H440" s="40" t="str">
        <f t="shared" si="12"/>
        <v/>
      </c>
      <c r="I440" s="35"/>
      <c r="J440" s="35"/>
      <c r="K440" s="40"/>
      <c r="M440" s="3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PAL-0000439</v>
      </c>
      <c r="Q440" s="41"/>
      <c r="R440" s="40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634</v>
      </c>
      <c r="B441" s="35"/>
      <c r="D441" t="str">
        <f>IF($C441="","",IFERROR(LOOKUP(2,1/('03_Warehouse_Movements'!$C$2:$C$500=$A441),'03_Warehouse_Movements'!$E$2:$E$500),$C441))</f>
        <v/>
      </c>
      <c r="E441" t="s">
        <v>92</v>
      </c>
      <c r="G441" s="41"/>
      <c r="H441" s="40" t="str">
        <f t="shared" si="12"/>
        <v/>
      </c>
      <c r="I441" s="35"/>
      <c r="J441" s="35"/>
      <c r="K441" s="40"/>
      <c r="M441" s="3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PAL-0000440</v>
      </c>
      <c r="Q441" s="41"/>
      <c r="R441" s="40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635</v>
      </c>
      <c r="B442" s="35"/>
      <c r="D442" t="str">
        <f>IF($C442="","",IFERROR(LOOKUP(2,1/('03_Warehouse_Movements'!$C$2:$C$500=$A442),'03_Warehouse_Movements'!$E$2:$E$500),$C442))</f>
        <v/>
      </c>
      <c r="E442" t="s">
        <v>92</v>
      </c>
      <c r="G442" s="41"/>
      <c r="H442" s="40" t="str">
        <f t="shared" si="12"/>
        <v/>
      </c>
      <c r="I442" s="35"/>
      <c r="J442" s="35"/>
      <c r="K442" s="40"/>
      <c r="M442" s="3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PAL-0000441</v>
      </c>
      <c r="Q442" s="41"/>
      <c r="R442" s="40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636</v>
      </c>
      <c r="B443" s="35"/>
      <c r="D443" t="str">
        <f>IF($C443="","",IFERROR(LOOKUP(2,1/('03_Warehouse_Movements'!$C$2:$C$500=$A443),'03_Warehouse_Movements'!$E$2:$E$500),$C443))</f>
        <v/>
      </c>
      <c r="E443" t="s">
        <v>92</v>
      </c>
      <c r="G443" s="41"/>
      <c r="H443" s="40" t="str">
        <f t="shared" si="12"/>
        <v/>
      </c>
      <c r="I443" s="35"/>
      <c r="J443" s="35"/>
      <c r="K443" s="40"/>
      <c r="M443" s="3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PAL-0000442</v>
      </c>
      <c r="Q443" s="41"/>
      <c r="R443" s="40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637</v>
      </c>
      <c r="B444" s="35"/>
      <c r="D444" t="str">
        <f>IF($C444="","",IFERROR(LOOKUP(2,1/('03_Warehouse_Movements'!$C$2:$C$500=$A444),'03_Warehouse_Movements'!$E$2:$E$500),$C444))</f>
        <v/>
      </c>
      <c r="E444" t="s">
        <v>92</v>
      </c>
      <c r="G444" s="41"/>
      <c r="H444" s="40" t="str">
        <f t="shared" si="12"/>
        <v/>
      </c>
      <c r="I444" s="35"/>
      <c r="J444" s="35"/>
      <c r="K444" s="40"/>
      <c r="M444" s="3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PAL-0000443</v>
      </c>
      <c r="Q444" s="41"/>
      <c r="R444" s="40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638</v>
      </c>
      <c r="B445" s="35"/>
      <c r="D445" t="str">
        <f>IF($C445="","",IFERROR(LOOKUP(2,1/('03_Warehouse_Movements'!$C$2:$C$500=$A445),'03_Warehouse_Movements'!$E$2:$E$500),$C445))</f>
        <v/>
      </c>
      <c r="E445" t="s">
        <v>92</v>
      </c>
      <c r="G445" s="41"/>
      <c r="H445" s="40" t="str">
        <f t="shared" si="12"/>
        <v/>
      </c>
      <c r="I445" s="35"/>
      <c r="J445" s="35"/>
      <c r="K445" s="40"/>
      <c r="M445" s="3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PAL-0000444</v>
      </c>
      <c r="Q445" s="41"/>
      <c r="R445" s="40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639</v>
      </c>
      <c r="B446" s="35"/>
      <c r="D446" t="str">
        <f>IF($C446="","",IFERROR(LOOKUP(2,1/('03_Warehouse_Movements'!$C$2:$C$500=$A446),'03_Warehouse_Movements'!$E$2:$E$500),$C446))</f>
        <v/>
      </c>
      <c r="E446" t="s">
        <v>92</v>
      </c>
      <c r="G446" s="41"/>
      <c r="H446" s="40" t="str">
        <f t="shared" si="12"/>
        <v/>
      </c>
      <c r="I446" s="35"/>
      <c r="J446" s="35"/>
      <c r="K446" s="40"/>
      <c r="M446" s="3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PAL-0000445</v>
      </c>
      <c r="Q446" s="41"/>
      <c r="R446" s="40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640</v>
      </c>
      <c r="B447" s="35"/>
      <c r="D447" t="str">
        <f>IF($C447="","",IFERROR(LOOKUP(2,1/('03_Warehouse_Movements'!$C$2:$C$500=$A447),'03_Warehouse_Movements'!$E$2:$E$500),$C447))</f>
        <v/>
      </c>
      <c r="E447" t="s">
        <v>92</v>
      </c>
      <c r="G447" s="41"/>
      <c r="H447" s="40" t="str">
        <f t="shared" si="12"/>
        <v/>
      </c>
      <c r="I447" s="35"/>
      <c r="J447" s="35"/>
      <c r="K447" s="40"/>
      <c r="M447" s="3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PAL-0000446</v>
      </c>
      <c r="Q447" s="41"/>
      <c r="R447" s="40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641</v>
      </c>
      <c r="B448" s="35"/>
      <c r="D448" t="str">
        <f>IF($C448="","",IFERROR(LOOKUP(2,1/('03_Warehouse_Movements'!$C$2:$C$500=$A448),'03_Warehouse_Movements'!$E$2:$E$500),$C448))</f>
        <v/>
      </c>
      <c r="E448" t="s">
        <v>92</v>
      </c>
      <c r="G448" s="41"/>
      <c r="H448" s="40" t="str">
        <f t="shared" si="12"/>
        <v/>
      </c>
      <c r="I448" s="35"/>
      <c r="J448" s="35"/>
      <c r="K448" s="40"/>
      <c r="M448" s="3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PAL-0000447</v>
      </c>
      <c r="Q448" s="41"/>
      <c r="R448" s="40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642</v>
      </c>
      <c r="B449" s="35"/>
      <c r="D449" t="str">
        <f>IF($C449="","",IFERROR(LOOKUP(2,1/('03_Warehouse_Movements'!$C$2:$C$500=$A449),'03_Warehouse_Movements'!$E$2:$E$500),$C449))</f>
        <v/>
      </c>
      <c r="E449" t="s">
        <v>92</v>
      </c>
      <c r="G449" s="41"/>
      <c r="H449" s="40" t="str">
        <f t="shared" si="12"/>
        <v/>
      </c>
      <c r="I449" s="35"/>
      <c r="J449" s="35"/>
      <c r="K449" s="40"/>
      <c r="M449" s="3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PAL-0000448</v>
      </c>
      <c r="Q449" s="41"/>
      <c r="R449" s="40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643</v>
      </c>
      <c r="B450" s="35"/>
      <c r="D450" t="str">
        <f>IF($C450="","",IFERROR(LOOKUP(2,1/('03_Warehouse_Movements'!$C$2:$C$500=$A450),'03_Warehouse_Movements'!$E$2:$E$500),$C450))</f>
        <v/>
      </c>
      <c r="E450" t="s">
        <v>92</v>
      </c>
      <c r="G450" s="41"/>
      <c r="H450" s="40" t="str">
        <f t="shared" ref="H450:H513" si="14">IF(AND($F450="TEMP",$G450&gt;0,$M450&lt;&gt;""),$M450+$G450,"")</f>
        <v/>
      </c>
      <c r="I450" s="35"/>
      <c r="J450" s="35"/>
      <c r="K450" s="40"/>
      <c r="M450" s="3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PAL-0000449</v>
      </c>
      <c r="Q450" s="41"/>
      <c r="R450" s="40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644</v>
      </c>
      <c r="B451" s="35"/>
      <c r="D451" t="str">
        <f>IF($C451="","",IFERROR(LOOKUP(2,1/('03_Warehouse_Movements'!$C$2:$C$500=$A451),'03_Warehouse_Movements'!$E$2:$E$500),$C451))</f>
        <v/>
      </c>
      <c r="E451" t="s">
        <v>92</v>
      </c>
      <c r="G451" s="41"/>
      <c r="H451" s="40" t="str">
        <f t="shared" si="14"/>
        <v/>
      </c>
      <c r="I451" s="35"/>
      <c r="J451" s="35"/>
      <c r="K451" s="40"/>
      <c r="M451" s="3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PAL-0000450</v>
      </c>
      <c r="Q451" s="41"/>
      <c r="R451" s="40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645</v>
      </c>
      <c r="B452" s="35"/>
      <c r="D452" t="str">
        <f>IF($C452="","",IFERROR(LOOKUP(2,1/('03_Warehouse_Movements'!$C$2:$C$500=$A452),'03_Warehouse_Movements'!$E$2:$E$500),$C452))</f>
        <v/>
      </c>
      <c r="E452" t="s">
        <v>92</v>
      </c>
      <c r="G452" s="41"/>
      <c r="H452" s="40" t="str">
        <f t="shared" si="14"/>
        <v/>
      </c>
      <c r="I452" s="35"/>
      <c r="J452" s="35"/>
      <c r="K452" s="40"/>
      <c r="M452" s="3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PAL-0000451</v>
      </c>
      <c r="Q452" s="41"/>
      <c r="R452" s="40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646</v>
      </c>
      <c r="B453" s="35"/>
      <c r="D453" t="str">
        <f>IF($C453="","",IFERROR(LOOKUP(2,1/('03_Warehouse_Movements'!$C$2:$C$500=$A453),'03_Warehouse_Movements'!$E$2:$E$500),$C453))</f>
        <v/>
      </c>
      <c r="E453" t="s">
        <v>92</v>
      </c>
      <c r="G453" s="41"/>
      <c r="H453" s="40" t="str">
        <f t="shared" si="14"/>
        <v/>
      </c>
      <c r="I453" s="35"/>
      <c r="J453" s="35"/>
      <c r="K453" s="40"/>
      <c r="M453" s="3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PAL-0000452</v>
      </c>
      <c r="Q453" s="41"/>
      <c r="R453" s="40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647</v>
      </c>
      <c r="B454" s="35"/>
      <c r="D454" t="str">
        <f>IF($C454="","",IFERROR(LOOKUP(2,1/('03_Warehouse_Movements'!$C$2:$C$500=$A454),'03_Warehouse_Movements'!$E$2:$E$500),$C454))</f>
        <v/>
      </c>
      <c r="E454" t="s">
        <v>92</v>
      </c>
      <c r="G454" s="41"/>
      <c r="H454" s="40" t="str">
        <f t="shared" si="14"/>
        <v/>
      </c>
      <c r="I454" s="35"/>
      <c r="J454" s="35"/>
      <c r="K454" s="40"/>
      <c r="M454" s="3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PAL-0000453</v>
      </c>
      <c r="Q454" s="41"/>
      <c r="R454" s="40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648</v>
      </c>
      <c r="B455" s="35"/>
      <c r="D455" t="str">
        <f>IF($C455="","",IFERROR(LOOKUP(2,1/('03_Warehouse_Movements'!$C$2:$C$500=$A455),'03_Warehouse_Movements'!$E$2:$E$500),$C455))</f>
        <v/>
      </c>
      <c r="E455" t="s">
        <v>92</v>
      </c>
      <c r="G455" s="41"/>
      <c r="H455" s="40" t="str">
        <f t="shared" si="14"/>
        <v/>
      </c>
      <c r="I455" s="35"/>
      <c r="J455" s="35"/>
      <c r="K455" s="40"/>
      <c r="M455" s="3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PAL-0000454</v>
      </c>
      <c r="Q455" s="41"/>
      <c r="R455" s="40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649</v>
      </c>
      <c r="B456" s="35"/>
      <c r="D456" t="str">
        <f>IF($C456="","",IFERROR(LOOKUP(2,1/('03_Warehouse_Movements'!$C$2:$C$500=$A456),'03_Warehouse_Movements'!$E$2:$E$500),$C456))</f>
        <v/>
      </c>
      <c r="E456" t="s">
        <v>92</v>
      </c>
      <c r="G456" s="41"/>
      <c r="H456" s="40" t="str">
        <f t="shared" si="14"/>
        <v/>
      </c>
      <c r="I456" s="35"/>
      <c r="J456" s="35"/>
      <c r="K456" s="40"/>
      <c r="M456" s="3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PAL-0000455</v>
      </c>
      <c r="Q456" s="41"/>
      <c r="R456" s="40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650</v>
      </c>
      <c r="B457" s="35"/>
      <c r="D457" t="str">
        <f>IF($C457="","",IFERROR(LOOKUP(2,1/('03_Warehouse_Movements'!$C$2:$C$500=$A457),'03_Warehouse_Movements'!$E$2:$E$500),$C457))</f>
        <v/>
      </c>
      <c r="E457" t="s">
        <v>92</v>
      </c>
      <c r="G457" s="41"/>
      <c r="H457" s="40" t="str">
        <f t="shared" si="14"/>
        <v/>
      </c>
      <c r="I457" s="35"/>
      <c r="J457" s="35"/>
      <c r="K457" s="40"/>
      <c r="M457" s="3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PAL-0000456</v>
      </c>
      <c r="Q457" s="41"/>
      <c r="R457" s="40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651</v>
      </c>
      <c r="B458" s="35"/>
      <c r="D458" t="str">
        <f>IF($C458="","",IFERROR(LOOKUP(2,1/('03_Warehouse_Movements'!$C$2:$C$500=$A458),'03_Warehouse_Movements'!$E$2:$E$500),$C458))</f>
        <v/>
      </c>
      <c r="E458" t="s">
        <v>92</v>
      </c>
      <c r="G458" s="41"/>
      <c r="H458" s="40" t="str">
        <f t="shared" si="14"/>
        <v/>
      </c>
      <c r="I458" s="35"/>
      <c r="J458" s="35"/>
      <c r="K458" s="40"/>
      <c r="M458" s="3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PAL-0000457</v>
      </c>
      <c r="Q458" s="41"/>
      <c r="R458" s="40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652</v>
      </c>
      <c r="B459" s="35"/>
      <c r="D459" t="str">
        <f>IF($C459="","",IFERROR(LOOKUP(2,1/('03_Warehouse_Movements'!$C$2:$C$500=$A459),'03_Warehouse_Movements'!$E$2:$E$500),$C459))</f>
        <v/>
      </c>
      <c r="E459" t="s">
        <v>92</v>
      </c>
      <c r="G459" s="41"/>
      <c r="H459" s="40" t="str">
        <f t="shared" si="14"/>
        <v/>
      </c>
      <c r="I459" s="35"/>
      <c r="J459" s="35"/>
      <c r="K459" s="40"/>
      <c r="M459" s="3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PAL-0000458</v>
      </c>
      <c r="Q459" s="41"/>
      <c r="R459" s="40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653</v>
      </c>
      <c r="B460" s="35"/>
      <c r="D460" t="str">
        <f>IF($C460="","",IFERROR(LOOKUP(2,1/('03_Warehouse_Movements'!$C$2:$C$500=$A460),'03_Warehouse_Movements'!$E$2:$E$500),$C460))</f>
        <v/>
      </c>
      <c r="E460" t="s">
        <v>92</v>
      </c>
      <c r="G460" s="41"/>
      <c r="H460" s="40" t="str">
        <f t="shared" si="14"/>
        <v/>
      </c>
      <c r="I460" s="35"/>
      <c r="J460" s="35"/>
      <c r="K460" s="40"/>
      <c r="M460" s="3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PAL-0000459</v>
      </c>
      <c r="Q460" s="41"/>
      <c r="R460" s="40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654</v>
      </c>
      <c r="B461" s="35"/>
      <c r="D461" t="str">
        <f>IF($C461="","",IFERROR(LOOKUP(2,1/('03_Warehouse_Movements'!$C$2:$C$500=$A461),'03_Warehouse_Movements'!$E$2:$E$500),$C461))</f>
        <v/>
      </c>
      <c r="E461" t="s">
        <v>92</v>
      </c>
      <c r="G461" s="41"/>
      <c r="H461" s="40" t="str">
        <f t="shared" si="14"/>
        <v/>
      </c>
      <c r="I461" s="35"/>
      <c r="J461" s="35"/>
      <c r="K461" s="40"/>
      <c r="M461" s="3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PAL-0000460</v>
      </c>
      <c r="Q461" s="41"/>
      <c r="R461" s="40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655</v>
      </c>
      <c r="B462" s="35"/>
      <c r="D462" t="str">
        <f>IF($C462="","",IFERROR(LOOKUP(2,1/('03_Warehouse_Movements'!$C$2:$C$500=$A462),'03_Warehouse_Movements'!$E$2:$E$500),$C462))</f>
        <v/>
      </c>
      <c r="E462" t="s">
        <v>92</v>
      </c>
      <c r="G462" s="41"/>
      <c r="H462" s="40" t="str">
        <f t="shared" si="14"/>
        <v/>
      </c>
      <c r="I462" s="35"/>
      <c r="J462" s="35"/>
      <c r="K462" s="40"/>
      <c r="M462" s="3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PAL-0000461</v>
      </c>
      <c r="Q462" s="41"/>
      <c r="R462" s="40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656</v>
      </c>
      <c r="B463" s="35"/>
      <c r="D463" t="str">
        <f>IF($C463="","",IFERROR(LOOKUP(2,1/('03_Warehouse_Movements'!$C$2:$C$500=$A463),'03_Warehouse_Movements'!$E$2:$E$500),$C463))</f>
        <v/>
      </c>
      <c r="E463" t="s">
        <v>92</v>
      </c>
      <c r="G463" s="41"/>
      <c r="H463" s="40" t="str">
        <f t="shared" si="14"/>
        <v/>
      </c>
      <c r="I463" s="35"/>
      <c r="J463" s="35"/>
      <c r="K463" s="40"/>
      <c r="M463" s="3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PAL-0000462</v>
      </c>
      <c r="Q463" s="41"/>
      <c r="R463" s="40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657</v>
      </c>
      <c r="B464" s="35"/>
      <c r="D464" t="str">
        <f>IF($C464="","",IFERROR(LOOKUP(2,1/('03_Warehouse_Movements'!$C$2:$C$500=$A464),'03_Warehouse_Movements'!$E$2:$E$500),$C464))</f>
        <v/>
      </c>
      <c r="E464" t="s">
        <v>92</v>
      </c>
      <c r="G464" s="41"/>
      <c r="H464" s="40" t="str">
        <f t="shared" si="14"/>
        <v/>
      </c>
      <c r="I464" s="35"/>
      <c r="J464" s="35"/>
      <c r="K464" s="40"/>
      <c r="M464" s="3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PAL-0000463</v>
      </c>
      <c r="Q464" s="41"/>
      <c r="R464" s="40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658</v>
      </c>
      <c r="B465" s="35"/>
      <c r="D465" t="str">
        <f>IF($C465="","",IFERROR(LOOKUP(2,1/('03_Warehouse_Movements'!$C$2:$C$500=$A465),'03_Warehouse_Movements'!$E$2:$E$500),$C465))</f>
        <v/>
      </c>
      <c r="E465" t="s">
        <v>92</v>
      </c>
      <c r="G465" s="41"/>
      <c r="H465" s="40" t="str">
        <f t="shared" si="14"/>
        <v/>
      </c>
      <c r="I465" s="35"/>
      <c r="J465" s="35"/>
      <c r="K465" s="40"/>
      <c r="M465" s="3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PAL-0000464</v>
      </c>
      <c r="Q465" s="41"/>
      <c r="R465" s="40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659</v>
      </c>
      <c r="B466" s="35"/>
      <c r="D466" t="str">
        <f>IF($C466="","",IFERROR(LOOKUP(2,1/('03_Warehouse_Movements'!$C$2:$C$500=$A466),'03_Warehouse_Movements'!$E$2:$E$500),$C466))</f>
        <v/>
      </c>
      <c r="E466" t="s">
        <v>92</v>
      </c>
      <c r="G466" s="41"/>
      <c r="H466" s="40" t="str">
        <f t="shared" si="14"/>
        <v/>
      </c>
      <c r="I466" s="35"/>
      <c r="J466" s="35"/>
      <c r="K466" s="40"/>
      <c r="M466" s="3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PAL-0000465</v>
      </c>
      <c r="Q466" s="41"/>
      <c r="R466" s="40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660</v>
      </c>
      <c r="B467" s="35"/>
      <c r="D467" t="str">
        <f>IF($C467="","",IFERROR(LOOKUP(2,1/('03_Warehouse_Movements'!$C$2:$C$500=$A467),'03_Warehouse_Movements'!$E$2:$E$500),$C467))</f>
        <v/>
      </c>
      <c r="E467" t="s">
        <v>92</v>
      </c>
      <c r="G467" s="41"/>
      <c r="H467" s="40" t="str">
        <f t="shared" si="14"/>
        <v/>
      </c>
      <c r="I467" s="35"/>
      <c r="J467" s="35"/>
      <c r="K467" s="40"/>
      <c r="M467" s="3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PAL-0000466</v>
      </c>
      <c r="Q467" s="41"/>
      <c r="R467" s="40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661</v>
      </c>
      <c r="B468" s="35"/>
      <c r="D468" t="str">
        <f>IF($C468="","",IFERROR(LOOKUP(2,1/('03_Warehouse_Movements'!$C$2:$C$500=$A468),'03_Warehouse_Movements'!$E$2:$E$500),$C468))</f>
        <v/>
      </c>
      <c r="E468" t="s">
        <v>92</v>
      </c>
      <c r="G468" s="41"/>
      <c r="H468" s="40" t="str">
        <f t="shared" si="14"/>
        <v/>
      </c>
      <c r="I468" s="35"/>
      <c r="J468" s="35"/>
      <c r="K468" s="40"/>
      <c r="M468" s="3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PAL-0000467</v>
      </c>
      <c r="Q468" s="41"/>
      <c r="R468" s="40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662</v>
      </c>
      <c r="B469" s="35"/>
      <c r="D469" t="str">
        <f>IF($C469="","",IFERROR(LOOKUP(2,1/('03_Warehouse_Movements'!$C$2:$C$500=$A469),'03_Warehouse_Movements'!$E$2:$E$500),$C469))</f>
        <v/>
      </c>
      <c r="E469" t="s">
        <v>92</v>
      </c>
      <c r="G469" s="41"/>
      <c r="H469" s="40" t="str">
        <f t="shared" si="14"/>
        <v/>
      </c>
      <c r="I469" s="35"/>
      <c r="J469" s="35"/>
      <c r="K469" s="40"/>
      <c r="M469" s="3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PAL-0000468</v>
      </c>
      <c r="Q469" s="41"/>
      <c r="R469" s="40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663</v>
      </c>
      <c r="B470" s="35"/>
      <c r="D470" t="str">
        <f>IF($C470="","",IFERROR(LOOKUP(2,1/('03_Warehouse_Movements'!$C$2:$C$500=$A470),'03_Warehouse_Movements'!$E$2:$E$500),$C470))</f>
        <v/>
      </c>
      <c r="E470" t="s">
        <v>92</v>
      </c>
      <c r="G470" s="41"/>
      <c r="H470" s="40" t="str">
        <f t="shared" si="14"/>
        <v/>
      </c>
      <c r="I470" s="35"/>
      <c r="J470" s="35"/>
      <c r="K470" s="40"/>
      <c r="M470" s="3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PAL-0000469</v>
      </c>
      <c r="Q470" s="41"/>
      <c r="R470" s="40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664</v>
      </c>
      <c r="B471" s="35"/>
      <c r="D471" t="str">
        <f>IF($C471="","",IFERROR(LOOKUP(2,1/('03_Warehouse_Movements'!$C$2:$C$500=$A471),'03_Warehouse_Movements'!$E$2:$E$500),$C471))</f>
        <v/>
      </c>
      <c r="E471" t="s">
        <v>92</v>
      </c>
      <c r="G471" s="41"/>
      <c r="H471" s="40" t="str">
        <f t="shared" si="14"/>
        <v/>
      </c>
      <c r="I471" s="35"/>
      <c r="J471" s="35"/>
      <c r="K471" s="40"/>
      <c r="M471" s="3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PAL-0000470</v>
      </c>
      <c r="Q471" s="41"/>
      <c r="R471" s="40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665</v>
      </c>
      <c r="B472" s="35"/>
      <c r="D472" t="str">
        <f>IF($C472="","",IFERROR(LOOKUP(2,1/('03_Warehouse_Movements'!$C$2:$C$500=$A472),'03_Warehouse_Movements'!$E$2:$E$500),$C472))</f>
        <v/>
      </c>
      <c r="E472" t="s">
        <v>92</v>
      </c>
      <c r="G472" s="41"/>
      <c r="H472" s="40" t="str">
        <f t="shared" si="14"/>
        <v/>
      </c>
      <c r="I472" s="35"/>
      <c r="J472" s="35"/>
      <c r="K472" s="40"/>
      <c r="M472" s="3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PAL-0000471</v>
      </c>
      <c r="Q472" s="41"/>
      <c r="R472" s="40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666</v>
      </c>
      <c r="B473" s="35"/>
      <c r="D473" t="str">
        <f>IF($C473="","",IFERROR(LOOKUP(2,1/('03_Warehouse_Movements'!$C$2:$C$500=$A473),'03_Warehouse_Movements'!$E$2:$E$500),$C473))</f>
        <v/>
      </c>
      <c r="E473" t="s">
        <v>92</v>
      </c>
      <c r="G473" s="41"/>
      <c r="H473" s="40" t="str">
        <f t="shared" si="14"/>
        <v/>
      </c>
      <c r="I473" s="35"/>
      <c r="J473" s="35"/>
      <c r="K473" s="40"/>
      <c r="M473" s="3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PAL-0000472</v>
      </c>
      <c r="Q473" s="41"/>
      <c r="R473" s="40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667</v>
      </c>
      <c r="B474" s="35"/>
      <c r="D474" t="str">
        <f>IF($C474="","",IFERROR(LOOKUP(2,1/('03_Warehouse_Movements'!$C$2:$C$500=$A474),'03_Warehouse_Movements'!$E$2:$E$500),$C474))</f>
        <v/>
      </c>
      <c r="E474" t="s">
        <v>92</v>
      </c>
      <c r="G474" s="41"/>
      <c r="H474" s="40" t="str">
        <f t="shared" si="14"/>
        <v/>
      </c>
      <c r="I474" s="35"/>
      <c r="J474" s="35"/>
      <c r="K474" s="40"/>
      <c r="M474" s="3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PAL-0000473</v>
      </c>
      <c r="Q474" s="41"/>
      <c r="R474" s="40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668</v>
      </c>
      <c r="B475" s="35"/>
      <c r="D475" t="str">
        <f>IF($C475="","",IFERROR(LOOKUP(2,1/('03_Warehouse_Movements'!$C$2:$C$500=$A475),'03_Warehouse_Movements'!$E$2:$E$500),$C475))</f>
        <v/>
      </c>
      <c r="E475" t="s">
        <v>92</v>
      </c>
      <c r="G475" s="41"/>
      <c r="H475" s="40" t="str">
        <f t="shared" si="14"/>
        <v/>
      </c>
      <c r="I475" s="35"/>
      <c r="J475" s="35"/>
      <c r="K475" s="40"/>
      <c r="M475" s="3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PAL-0000474</v>
      </c>
      <c r="Q475" s="41"/>
      <c r="R475" s="40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669</v>
      </c>
      <c r="B476" s="35"/>
      <c r="D476" t="str">
        <f>IF($C476="","",IFERROR(LOOKUP(2,1/('03_Warehouse_Movements'!$C$2:$C$500=$A476),'03_Warehouse_Movements'!$E$2:$E$500),$C476))</f>
        <v/>
      </c>
      <c r="E476" t="s">
        <v>92</v>
      </c>
      <c r="G476" s="41"/>
      <c r="H476" s="40" t="str">
        <f t="shared" si="14"/>
        <v/>
      </c>
      <c r="I476" s="35"/>
      <c r="J476" s="35"/>
      <c r="K476" s="40"/>
      <c r="M476" s="3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PAL-0000475</v>
      </c>
      <c r="Q476" s="41"/>
      <c r="R476" s="40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670</v>
      </c>
      <c r="B477" s="35"/>
      <c r="D477" t="str">
        <f>IF($C477="","",IFERROR(LOOKUP(2,1/('03_Warehouse_Movements'!$C$2:$C$500=$A477),'03_Warehouse_Movements'!$E$2:$E$500),$C477))</f>
        <v/>
      </c>
      <c r="E477" t="s">
        <v>92</v>
      </c>
      <c r="G477" s="41"/>
      <c r="H477" s="40" t="str">
        <f t="shared" si="14"/>
        <v/>
      </c>
      <c r="I477" s="35"/>
      <c r="J477" s="35"/>
      <c r="K477" s="40"/>
      <c r="M477" s="3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PAL-0000476</v>
      </c>
      <c r="Q477" s="41"/>
      <c r="R477" s="40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671</v>
      </c>
      <c r="B478" s="35"/>
      <c r="D478" t="str">
        <f>IF($C478="","",IFERROR(LOOKUP(2,1/('03_Warehouse_Movements'!$C$2:$C$500=$A478),'03_Warehouse_Movements'!$E$2:$E$500),$C478))</f>
        <v/>
      </c>
      <c r="E478" t="s">
        <v>92</v>
      </c>
      <c r="G478" s="41"/>
      <c r="H478" s="40" t="str">
        <f t="shared" si="14"/>
        <v/>
      </c>
      <c r="I478" s="35"/>
      <c r="J478" s="35"/>
      <c r="K478" s="40"/>
      <c r="M478" s="3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PAL-0000477</v>
      </c>
      <c r="Q478" s="41"/>
      <c r="R478" s="40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672</v>
      </c>
      <c r="B479" s="35"/>
      <c r="D479" t="str">
        <f>IF($C479="","",IFERROR(LOOKUP(2,1/('03_Warehouse_Movements'!$C$2:$C$500=$A479),'03_Warehouse_Movements'!$E$2:$E$500),$C479))</f>
        <v/>
      </c>
      <c r="E479" t="s">
        <v>92</v>
      </c>
      <c r="G479" s="41"/>
      <c r="H479" s="40" t="str">
        <f t="shared" si="14"/>
        <v/>
      </c>
      <c r="I479" s="35"/>
      <c r="J479" s="35"/>
      <c r="K479" s="40"/>
      <c r="M479" s="3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PAL-0000478</v>
      </c>
      <c r="Q479" s="41"/>
      <c r="R479" s="40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673</v>
      </c>
      <c r="B480" s="35"/>
      <c r="D480" t="str">
        <f>IF($C480="","",IFERROR(LOOKUP(2,1/('03_Warehouse_Movements'!$C$2:$C$500=$A480),'03_Warehouse_Movements'!$E$2:$E$500),$C480))</f>
        <v/>
      </c>
      <c r="E480" t="s">
        <v>92</v>
      </c>
      <c r="G480" s="41"/>
      <c r="H480" s="40" t="str">
        <f t="shared" si="14"/>
        <v/>
      </c>
      <c r="I480" s="35"/>
      <c r="J480" s="35"/>
      <c r="K480" s="40"/>
      <c r="M480" s="3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PAL-0000479</v>
      </c>
      <c r="Q480" s="41"/>
      <c r="R480" s="40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674</v>
      </c>
      <c r="B481" s="35"/>
      <c r="D481" t="str">
        <f>IF($C481="","",IFERROR(LOOKUP(2,1/('03_Warehouse_Movements'!$C$2:$C$500=$A481),'03_Warehouse_Movements'!$E$2:$E$500),$C481))</f>
        <v/>
      </c>
      <c r="E481" t="s">
        <v>92</v>
      </c>
      <c r="G481" s="41"/>
      <c r="H481" s="40" t="str">
        <f t="shared" si="14"/>
        <v/>
      </c>
      <c r="I481" s="35"/>
      <c r="J481" s="35"/>
      <c r="K481" s="40"/>
      <c r="M481" s="3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PAL-0000480</v>
      </c>
      <c r="Q481" s="41"/>
      <c r="R481" s="40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675</v>
      </c>
      <c r="B482" s="35"/>
      <c r="D482" t="str">
        <f>IF($C482="","",IFERROR(LOOKUP(2,1/('03_Warehouse_Movements'!$C$2:$C$500=$A482),'03_Warehouse_Movements'!$E$2:$E$500),$C482))</f>
        <v/>
      </c>
      <c r="E482" t="s">
        <v>92</v>
      </c>
      <c r="G482" s="41"/>
      <c r="H482" s="40" t="str">
        <f t="shared" si="14"/>
        <v/>
      </c>
      <c r="I482" s="35"/>
      <c r="J482" s="35"/>
      <c r="K482" s="40"/>
      <c r="M482" s="3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PAL-0000481</v>
      </c>
      <c r="Q482" s="41"/>
      <c r="R482" s="40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676</v>
      </c>
      <c r="B483" s="35"/>
      <c r="D483" t="str">
        <f>IF($C483="","",IFERROR(LOOKUP(2,1/('03_Warehouse_Movements'!$C$2:$C$500=$A483),'03_Warehouse_Movements'!$E$2:$E$500),$C483))</f>
        <v/>
      </c>
      <c r="E483" t="s">
        <v>92</v>
      </c>
      <c r="G483" s="41"/>
      <c r="H483" s="40" t="str">
        <f t="shared" si="14"/>
        <v/>
      </c>
      <c r="I483" s="35"/>
      <c r="J483" s="35"/>
      <c r="K483" s="40"/>
      <c r="M483" s="3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PAL-0000482</v>
      </c>
      <c r="Q483" s="41"/>
      <c r="R483" s="40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677</v>
      </c>
      <c r="B484" s="35"/>
      <c r="D484" t="str">
        <f>IF($C484="","",IFERROR(LOOKUP(2,1/('03_Warehouse_Movements'!$C$2:$C$500=$A484),'03_Warehouse_Movements'!$E$2:$E$500),$C484))</f>
        <v/>
      </c>
      <c r="E484" t="s">
        <v>92</v>
      </c>
      <c r="G484" s="41"/>
      <c r="H484" s="40" t="str">
        <f t="shared" si="14"/>
        <v/>
      </c>
      <c r="I484" s="35"/>
      <c r="J484" s="35"/>
      <c r="K484" s="40"/>
      <c r="M484" s="3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PAL-0000483</v>
      </c>
      <c r="Q484" s="41"/>
      <c r="R484" s="40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678</v>
      </c>
      <c r="B485" s="35"/>
      <c r="D485" t="str">
        <f>IF($C485="","",IFERROR(LOOKUP(2,1/('03_Warehouse_Movements'!$C$2:$C$500=$A485),'03_Warehouse_Movements'!$E$2:$E$500),$C485))</f>
        <v/>
      </c>
      <c r="E485" t="s">
        <v>92</v>
      </c>
      <c r="G485" s="41"/>
      <c r="H485" s="40" t="str">
        <f t="shared" si="14"/>
        <v/>
      </c>
      <c r="I485" s="35"/>
      <c r="J485" s="35"/>
      <c r="K485" s="40"/>
      <c r="M485" s="3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PAL-0000484</v>
      </c>
      <c r="Q485" s="41"/>
      <c r="R485" s="40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679</v>
      </c>
      <c r="B486" s="35"/>
      <c r="D486" t="str">
        <f>IF($C486="","",IFERROR(LOOKUP(2,1/('03_Warehouse_Movements'!$C$2:$C$500=$A486),'03_Warehouse_Movements'!$E$2:$E$500),$C486))</f>
        <v/>
      </c>
      <c r="E486" t="s">
        <v>92</v>
      </c>
      <c r="G486" s="41"/>
      <c r="H486" s="40" t="str">
        <f t="shared" si="14"/>
        <v/>
      </c>
      <c r="I486" s="35"/>
      <c r="J486" s="35"/>
      <c r="K486" s="40"/>
      <c r="M486" s="3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PAL-0000485</v>
      </c>
      <c r="Q486" s="41"/>
      <c r="R486" s="40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680</v>
      </c>
      <c r="B487" s="35"/>
      <c r="D487" t="str">
        <f>IF($C487="","",IFERROR(LOOKUP(2,1/('03_Warehouse_Movements'!$C$2:$C$500=$A487),'03_Warehouse_Movements'!$E$2:$E$500),$C487))</f>
        <v/>
      </c>
      <c r="E487" t="s">
        <v>92</v>
      </c>
      <c r="G487" s="41"/>
      <c r="H487" s="40" t="str">
        <f t="shared" si="14"/>
        <v/>
      </c>
      <c r="I487" s="35"/>
      <c r="J487" s="35"/>
      <c r="K487" s="40"/>
      <c r="M487" s="3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PAL-0000486</v>
      </c>
      <c r="Q487" s="41"/>
      <c r="R487" s="40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681</v>
      </c>
      <c r="B488" s="35"/>
      <c r="D488" t="str">
        <f>IF($C488="","",IFERROR(LOOKUP(2,1/('03_Warehouse_Movements'!$C$2:$C$500=$A488),'03_Warehouse_Movements'!$E$2:$E$500),$C488))</f>
        <v/>
      </c>
      <c r="E488" t="s">
        <v>92</v>
      </c>
      <c r="G488" s="41"/>
      <c r="H488" s="40" t="str">
        <f t="shared" si="14"/>
        <v/>
      </c>
      <c r="I488" s="35"/>
      <c r="J488" s="35"/>
      <c r="K488" s="40"/>
      <c r="M488" s="3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PAL-0000487</v>
      </c>
      <c r="Q488" s="41"/>
      <c r="R488" s="40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682</v>
      </c>
      <c r="B489" s="35"/>
      <c r="D489" t="str">
        <f>IF($C489="","",IFERROR(LOOKUP(2,1/('03_Warehouse_Movements'!$C$2:$C$500=$A489),'03_Warehouse_Movements'!$E$2:$E$500),$C489))</f>
        <v/>
      </c>
      <c r="E489" t="s">
        <v>92</v>
      </c>
      <c r="G489" s="41"/>
      <c r="H489" s="40" t="str">
        <f t="shared" si="14"/>
        <v/>
      </c>
      <c r="I489" s="35"/>
      <c r="J489" s="35"/>
      <c r="K489" s="40"/>
      <c r="M489" s="3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PAL-0000488</v>
      </c>
      <c r="Q489" s="41"/>
      <c r="R489" s="40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683</v>
      </c>
      <c r="B490" s="35"/>
      <c r="D490" t="str">
        <f>IF($C490="","",IFERROR(LOOKUP(2,1/('03_Warehouse_Movements'!$C$2:$C$500=$A490),'03_Warehouse_Movements'!$E$2:$E$500),$C490))</f>
        <v/>
      </c>
      <c r="E490" t="s">
        <v>92</v>
      </c>
      <c r="G490" s="41"/>
      <c r="H490" s="40" t="str">
        <f t="shared" si="14"/>
        <v/>
      </c>
      <c r="I490" s="35"/>
      <c r="J490" s="35"/>
      <c r="K490" s="40"/>
      <c r="M490" s="3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PAL-0000489</v>
      </c>
      <c r="Q490" s="41"/>
      <c r="R490" s="40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684</v>
      </c>
      <c r="B491" s="35"/>
      <c r="D491" t="str">
        <f>IF($C491="","",IFERROR(LOOKUP(2,1/('03_Warehouse_Movements'!$C$2:$C$500=$A491),'03_Warehouse_Movements'!$E$2:$E$500),$C491))</f>
        <v/>
      </c>
      <c r="E491" t="s">
        <v>92</v>
      </c>
      <c r="G491" s="41"/>
      <c r="H491" s="40" t="str">
        <f t="shared" si="14"/>
        <v/>
      </c>
      <c r="I491" s="35"/>
      <c r="J491" s="35"/>
      <c r="K491" s="40"/>
      <c r="M491" s="3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PAL-0000490</v>
      </c>
      <c r="Q491" s="41"/>
      <c r="R491" s="40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685</v>
      </c>
      <c r="B492" s="35"/>
      <c r="D492" t="str">
        <f>IF($C492="","",IFERROR(LOOKUP(2,1/('03_Warehouse_Movements'!$C$2:$C$500=$A492),'03_Warehouse_Movements'!$E$2:$E$500),$C492))</f>
        <v/>
      </c>
      <c r="E492" t="s">
        <v>92</v>
      </c>
      <c r="G492" s="41"/>
      <c r="H492" s="40" t="str">
        <f t="shared" si="14"/>
        <v/>
      </c>
      <c r="I492" s="35"/>
      <c r="J492" s="35"/>
      <c r="K492" s="40"/>
      <c r="M492" s="3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PAL-0000491</v>
      </c>
      <c r="Q492" s="41"/>
      <c r="R492" s="40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686</v>
      </c>
      <c r="B493" s="35"/>
      <c r="D493" t="str">
        <f>IF($C493="","",IFERROR(LOOKUP(2,1/('03_Warehouse_Movements'!$C$2:$C$500=$A493),'03_Warehouse_Movements'!$E$2:$E$500),$C493))</f>
        <v/>
      </c>
      <c r="E493" t="s">
        <v>92</v>
      </c>
      <c r="G493" s="41"/>
      <c r="H493" s="40" t="str">
        <f t="shared" si="14"/>
        <v/>
      </c>
      <c r="I493" s="35"/>
      <c r="J493" s="35"/>
      <c r="K493" s="40"/>
      <c r="M493" s="3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PAL-0000492</v>
      </c>
      <c r="Q493" s="41"/>
      <c r="R493" s="40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687</v>
      </c>
      <c r="B494" s="35"/>
      <c r="D494" t="str">
        <f>IF($C494="","",IFERROR(LOOKUP(2,1/('03_Warehouse_Movements'!$C$2:$C$500=$A494),'03_Warehouse_Movements'!$E$2:$E$500),$C494))</f>
        <v/>
      </c>
      <c r="E494" t="s">
        <v>92</v>
      </c>
      <c r="G494" s="41"/>
      <c r="H494" s="40" t="str">
        <f t="shared" si="14"/>
        <v/>
      </c>
      <c r="I494" s="35"/>
      <c r="J494" s="35"/>
      <c r="K494" s="40"/>
      <c r="M494" s="3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PAL-0000493</v>
      </c>
      <c r="Q494" s="41"/>
      <c r="R494" s="40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688</v>
      </c>
      <c r="B495" s="35"/>
      <c r="D495" t="str">
        <f>IF($C495="","",IFERROR(LOOKUP(2,1/('03_Warehouse_Movements'!$C$2:$C$500=$A495),'03_Warehouse_Movements'!$E$2:$E$500),$C495))</f>
        <v/>
      </c>
      <c r="E495" t="s">
        <v>92</v>
      </c>
      <c r="G495" s="41"/>
      <c r="H495" s="40" t="str">
        <f t="shared" si="14"/>
        <v/>
      </c>
      <c r="I495" s="35"/>
      <c r="J495" s="35"/>
      <c r="K495" s="40"/>
      <c r="M495" s="3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PAL-0000494</v>
      </c>
      <c r="Q495" s="41"/>
      <c r="R495" s="40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689</v>
      </c>
      <c r="B496" s="35"/>
      <c r="D496" t="str">
        <f>IF($C496="","",IFERROR(LOOKUP(2,1/('03_Warehouse_Movements'!$C$2:$C$500=$A496),'03_Warehouse_Movements'!$E$2:$E$500),$C496))</f>
        <v/>
      </c>
      <c r="E496" t="s">
        <v>92</v>
      </c>
      <c r="G496" s="41"/>
      <c r="H496" s="40" t="str">
        <f t="shared" si="14"/>
        <v/>
      </c>
      <c r="I496" s="35"/>
      <c r="J496" s="35"/>
      <c r="K496" s="40"/>
      <c r="M496" s="3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PAL-0000495</v>
      </c>
      <c r="Q496" s="41"/>
      <c r="R496" s="40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690</v>
      </c>
      <c r="B497" s="35"/>
      <c r="D497" t="str">
        <f>IF($C497="","",IFERROR(LOOKUP(2,1/('03_Warehouse_Movements'!$C$2:$C$500=$A497),'03_Warehouse_Movements'!$E$2:$E$500),$C497))</f>
        <v/>
      </c>
      <c r="E497" t="s">
        <v>92</v>
      </c>
      <c r="G497" s="41"/>
      <c r="H497" s="40" t="str">
        <f t="shared" si="14"/>
        <v/>
      </c>
      <c r="I497" s="35"/>
      <c r="J497" s="35"/>
      <c r="K497" s="40"/>
      <c r="M497" s="3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PAL-0000496</v>
      </c>
      <c r="Q497" s="41"/>
      <c r="R497" s="40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691</v>
      </c>
      <c r="B498" s="35"/>
      <c r="D498" t="str">
        <f>IF($C498="","",IFERROR(LOOKUP(2,1/('03_Warehouse_Movements'!$C$2:$C$500=$A498),'03_Warehouse_Movements'!$E$2:$E$500),$C498))</f>
        <v/>
      </c>
      <c r="E498" t="s">
        <v>92</v>
      </c>
      <c r="G498" s="41"/>
      <c r="H498" s="40" t="str">
        <f t="shared" si="14"/>
        <v/>
      </c>
      <c r="I498" s="35"/>
      <c r="J498" s="35"/>
      <c r="K498" s="40"/>
      <c r="M498" s="3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PAL-0000497</v>
      </c>
      <c r="Q498" s="41"/>
      <c r="R498" s="40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692</v>
      </c>
      <c r="B499" s="35"/>
      <c r="D499" t="str">
        <f>IF($C499="","",IFERROR(LOOKUP(2,1/('03_Warehouse_Movements'!$C$2:$C$500=$A499),'03_Warehouse_Movements'!$E$2:$E$500),$C499))</f>
        <v/>
      </c>
      <c r="E499" t="s">
        <v>92</v>
      </c>
      <c r="G499" s="41"/>
      <c r="H499" s="40" t="str">
        <f t="shared" si="14"/>
        <v/>
      </c>
      <c r="I499" s="35"/>
      <c r="J499" s="35"/>
      <c r="K499" s="40"/>
      <c r="M499" s="3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PAL-0000498</v>
      </c>
      <c r="Q499" s="41"/>
      <c r="R499" s="40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693</v>
      </c>
      <c r="B500" s="35"/>
      <c r="D500" t="str">
        <f>IF($C500="","",IFERROR(LOOKUP(2,1/('03_Warehouse_Movements'!$C$2:$C$500=$A500),'03_Warehouse_Movements'!$E$2:$E$500),$C500))</f>
        <v/>
      </c>
      <c r="E500" t="s">
        <v>92</v>
      </c>
      <c r="G500" s="41"/>
      <c r="H500" s="40" t="str">
        <f t="shared" si="14"/>
        <v/>
      </c>
      <c r="I500" s="35"/>
      <c r="J500" s="35"/>
      <c r="K500" s="40"/>
      <c r="M500" s="3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PAL-0000499</v>
      </c>
      <c r="Q500" s="41"/>
      <c r="R500" s="40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694</v>
      </c>
      <c r="B501" s="35"/>
      <c r="G501" s="41"/>
      <c r="H501" s="40" t="str">
        <f t="shared" si="14"/>
        <v/>
      </c>
      <c r="I501" s="35"/>
      <c r="J501" s="35"/>
      <c r="K501" s="40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695</v>
      </c>
      <c r="B502" s="35"/>
      <c r="G502" s="41"/>
      <c r="H502" s="40" t="str">
        <f t="shared" si="14"/>
        <v/>
      </c>
      <c r="I502" s="35"/>
      <c r="J502" s="35"/>
      <c r="K502" s="40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5"/>
      <c r="G503" s="41"/>
      <c r="H503" s="40" t="str">
        <f t="shared" si="14"/>
        <v/>
      </c>
      <c r="I503" s="35"/>
      <c r="J503" s="35"/>
      <c r="K503" s="40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5"/>
      <c r="G504" s="41"/>
      <c r="H504" s="40" t="str">
        <f t="shared" si="14"/>
        <v/>
      </c>
      <c r="I504" s="35"/>
      <c r="J504" s="35"/>
      <c r="K504" s="40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5"/>
      <c r="G505" s="41"/>
      <c r="H505" s="40" t="str">
        <f t="shared" si="14"/>
        <v/>
      </c>
      <c r="I505" s="35"/>
      <c r="J505" s="35"/>
      <c r="K505" s="40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5"/>
      <c r="G506" s="41"/>
      <c r="H506" s="40" t="str">
        <f t="shared" si="14"/>
        <v/>
      </c>
      <c r="I506" s="35"/>
      <c r="J506" s="35"/>
      <c r="K506" s="40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5"/>
      <c r="G507" s="41"/>
      <c r="H507" s="40" t="str">
        <f t="shared" si="14"/>
        <v/>
      </c>
      <c r="I507" s="35"/>
      <c r="J507" s="35"/>
      <c r="K507" s="40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5"/>
      <c r="G508" s="41"/>
      <c r="H508" s="40" t="str">
        <f t="shared" si="14"/>
        <v/>
      </c>
      <c r="I508" s="35"/>
      <c r="J508" s="35"/>
      <c r="K508" s="40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5"/>
      <c r="G509" s="41"/>
      <c r="H509" s="40" t="str">
        <f t="shared" si="14"/>
        <v/>
      </c>
      <c r="I509" s="35"/>
      <c r="J509" s="35"/>
      <c r="K509" s="40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5"/>
      <c r="G510" s="41"/>
      <c r="H510" s="40" t="str">
        <f t="shared" si="14"/>
        <v/>
      </c>
      <c r="I510" s="35"/>
      <c r="J510" s="35"/>
      <c r="K510" s="40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5"/>
      <c r="G511" s="41"/>
      <c r="H511" s="40" t="str">
        <f t="shared" si="14"/>
        <v/>
      </c>
      <c r="I511" s="35"/>
      <c r="J511" s="35"/>
      <c r="K511" s="40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5"/>
      <c r="G512" s="41"/>
      <c r="H512" s="40" t="str">
        <f t="shared" si="14"/>
        <v/>
      </c>
      <c r="I512" s="35"/>
      <c r="J512" s="35"/>
      <c r="K512" s="40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5"/>
      <c r="G513" s="41"/>
      <c r="H513" s="40" t="str">
        <f t="shared" si="14"/>
        <v/>
      </c>
      <c r="I513" s="35"/>
      <c r="J513" s="35"/>
      <c r="K513" s="40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5"/>
      <c r="G514" s="41"/>
      <c r="H514" s="40" t="str">
        <f t="shared" ref="H514:H577" si="16">IF(AND($F514="TEMP",$G514&gt;0,$M514&lt;&gt;""),$M514+$G514,"")</f>
        <v/>
      </c>
      <c r="I514" s="35"/>
      <c r="J514" s="35"/>
      <c r="K514" s="40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5"/>
      <c r="G515" s="41"/>
      <c r="H515" s="40" t="str">
        <f t="shared" si="16"/>
        <v/>
      </c>
      <c r="I515" s="35"/>
      <c r="J515" s="35"/>
      <c r="K515" s="40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5"/>
      <c r="G516" s="41"/>
      <c r="H516" s="40" t="str">
        <f t="shared" si="16"/>
        <v/>
      </c>
      <c r="I516" s="35"/>
      <c r="J516" s="35"/>
      <c r="K516" s="40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5"/>
      <c r="G517" s="41"/>
      <c r="H517" s="40" t="str">
        <f t="shared" si="16"/>
        <v/>
      </c>
      <c r="I517" s="35"/>
      <c r="J517" s="35"/>
      <c r="K517" s="40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5"/>
      <c r="G518" s="41"/>
      <c r="H518" s="40" t="str">
        <f t="shared" si="16"/>
        <v/>
      </c>
      <c r="I518" s="35"/>
      <c r="J518" s="35"/>
      <c r="K518" s="40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5"/>
      <c r="G519" s="41"/>
      <c r="H519" s="40" t="str">
        <f t="shared" si="16"/>
        <v/>
      </c>
      <c r="I519" s="35"/>
      <c r="J519" s="35"/>
      <c r="K519" s="40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5"/>
      <c r="G520" s="41"/>
      <c r="H520" s="40" t="str">
        <f t="shared" si="16"/>
        <v/>
      </c>
      <c r="I520" s="35"/>
      <c r="J520" s="35"/>
      <c r="K520" s="40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5"/>
      <c r="G521" s="41"/>
      <c r="H521" s="40" t="str">
        <f t="shared" si="16"/>
        <v/>
      </c>
      <c r="I521" s="35"/>
      <c r="J521" s="35"/>
      <c r="K521" s="40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5"/>
      <c r="G522" s="41"/>
      <c r="H522" s="40" t="str">
        <f t="shared" si="16"/>
        <v/>
      </c>
      <c r="I522" s="35"/>
      <c r="J522" s="35"/>
      <c r="K522" s="40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5"/>
      <c r="G523" s="41"/>
      <c r="H523" s="40" t="str">
        <f t="shared" si="16"/>
        <v/>
      </c>
      <c r="I523" s="35"/>
      <c r="J523" s="35"/>
      <c r="K523" s="40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5"/>
      <c r="G524" s="41"/>
      <c r="H524" s="40" t="str">
        <f t="shared" si="16"/>
        <v/>
      </c>
      <c r="I524" s="35"/>
      <c r="J524" s="35"/>
      <c r="K524" s="40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5"/>
      <c r="G525" s="41"/>
      <c r="H525" s="40" t="str">
        <f t="shared" si="16"/>
        <v/>
      </c>
      <c r="I525" s="35"/>
      <c r="J525" s="35"/>
      <c r="K525" s="40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5"/>
      <c r="G526" s="41"/>
      <c r="H526" s="40" t="str">
        <f t="shared" si="16"/>
        <v/>
      </c>
      <c r="I526" s="35"/>
      <c r="J526" s="35"/>
      <c r="K526" s="40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5"/>
      <c r="G527" s="41"/>
      <c r="H527" s="40" t="str">
        <f t="shared" si="16"/>
        <v/>
      </c>
      <c r="I527" s="35"/>
      <c r="J527" s="35"/>
      <c r="K527" s="40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5"/>
      <c r="G528" s="41"/>
      <c r="H528" s="40" t="str">
        <f t="shared" si="16"/>
        <v/>
      </c>
      <c r="I528" s="35"/>
      <c r="J528" s="35"/>
      <c r="K528" s="40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5"/>
      <c r="G529" s="41"/>
      <c r="H529" s="40" t="str">
        <f t="shared" si="16"/>
        <v/>
      </c>
      <c r="I529" s="35"/>
      <c r="J529" s="35"/>
      <c r="K529" s="40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5"/>
      <c r="G530" s="41"/>
      <c r="H530" s="40" t="str">
        <f t="shared" si="16"/>
        <v/>
      </c>
      <c r="I530" s="35"/>
      <c r="J530" s="35"/>
      <c r="K530" s="40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5"/>
      <c r="G531" s="41"/>
      <c r="H531" s="40" t="str">
        <f t="shared" si="16"/>
        <v/>
      </c>
      <c r="I531" s="35"/>
      <c r="J531" s="35"/>
      <c r="K531" s="40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5"/>
      <c r="G532" s="41"/>
      <c r="H532" s="40" t="str">
        <f t="shared" si="16"/>
        <v/>
      </c>
      <c r="I532" s="35"/>
      <c r="J532" s="35"/>
      <c r="K532" s="40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5"/>
      <c r="G533" s="41"/>
      <c r="H533" s="40" t="str">
        <f t="shared" si="16"/>
        <v/>
      </c>
      <c r="I533" s="35"/>
      <c r="J533" s="35"/>
      <c r="K533" s="40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5"/>
      <c r="G534" s="41"/>
      <c r="H534" s="40" t="str">
        <f t="shared" si="16"/>
        <v/>
      </c>
      <c r="I534" s="35"/>
      <c r="J534" s="35"/>
      <c r="K534" s="40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5"/>
      <c r="G535" s="41"/>
      <c r="H535" s="40" t="str">
        <f t="shared" si="16"/>
        <v/>
      </c>
      <c r="I535" s="35"/>
      <c r="J535" s="35"/>
      <c r="K535" s="40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5"/>
      <c r="G536" s="41"/>
      <c r="H536" s="40" t="str">
        <f t="shared" si="16"/>
        <v/>
      </c>
      <c r="I536" s="35"/>
      <c r="J536" s="35"/>
      <c r="K536" s="40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5"/>
      <c r="G537" s="41"/>
      <c r="H537" s="40" t="str">
        <f t="shared" si="16"/>
        <v/>
      </c>
      <c r="I537" s="35"/>
      <c r="J537" s="35"/>
      <c r="K537" s="40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5"/>
      <c r="G538" s="41"/>
      <c r="H538" s="40" t="str">
        <f t="shared" si="16"/>
        <v/>
      </c>
      <c r="I538" s="35"/>
      <c r="J538" s="35"/>
      <c r="K538" s="40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5"/>
      <c r="G539" s="41"/>
      <c r="H539" s="40" t="str">
        <f t="shared" si="16"/>
        <v/>
      </c>
      <c r="I539" s="35"/>
      <c r="J539" s="35"/>
      <c r="K539" s="40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5"/>
      <c r="G540" s="41"/>
      <c r="H540" s="40" t="str">
        <f t="shared" si="16"/>
        <v/>
      </c>
      <c r="I540" s="35"/>
      <c r="J540" s="35"/>
      <c r="K540" s="40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5"/>
      <c r="G541" s="41"/>
      <c r="H541" s="40" t="str">
        <f t="shared" si="16"/>
        <v/>
      </c>
      <c r="I541" s="35"/>
      <c r="J541" s="35"/>
      <c r="K541" s="40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5"/>
      <c r="G542" s="41"/>
      <c r="H542" s="40" t="str">
        <f t="shared" si="16"/>
        <v/>
      </c>
      <c r="I542" s="35"/>
      <c r="J542" s="35"/>
      <c r="K542" s="40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5"/>
      <c r="G543" s="41"/>
      <c r="H543" s="40" t="str">
        <f t="shared" si="16"/>
        <v/>
      </c>
      <c r="I543" s="35"/>
      <c r="J543" s="35"/>
      <c r="K543" s="40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5"/>
      <c r="G544" s="41"/>
      <c r="H544" s="40" t="str">
        <f t="shared" si="16"/>
        <v/>
      </c>
      <c r="I544" s="35"/>
      <c r="J544" s="35"/>
      <c r="K544" s="40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5"/>
      <c r="G545" s="41"/>
      <c r="H545" s="40" t="str">
        <f t="shared" si="16"/>
        <v/>
      </c>
      <c r="I545" s="35"/>
      <c r="J545" s="35"/>
      <c r="K545" s="40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5"/>
      <c r="G546" s="41"/>
      <c r="H546" s="40" t="str">
        <f t="shared" si="16"/>
        <v/>
      </c>
      <c r="I546" s="35"/>
      <c r="J546" s="35"/>
      <c r="K546" s="40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5"/>
      <c r="G547" s="41"/>
      <c r="H547" s="40" t="str">
        <f t="shared" si="16"/>
        <v/>
      </c>
      <c r="I547" s="35"/>
      <c r="J547" s="35"/>
      <c r="K547" s="40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5"/>
      <c r="G548" s="41"/>
      <c r="H548" s="40" t="str">
        <f t="shared" si="16"/>
        <v/>
      </c>
      <c r="I548" s="35"/>
      <c r="J548" s="35"/>
      <c r="K548" s="40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5"/>
      <c r="G549" s="41"/>
      <c r="H549" s="40" t="str">
        <f t="shared" si="16"/>
        <v/>
      </c>
      <c r="I549" s="35"/>
      <c r="J549" s="35"/>
      <c r="K549" s="40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5"/>
      <c r="G550" s="41"/>
      <c r="H550" s="40" t="str">
        <f t="shared" si="16"/>
        <v/>
      </c>
      <c r="I550" s="35"/>
      <c r="J550" s="35"/>
      <c r="K550" s="40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5"/>
      <c r="G551" s="41"/>
      <c r="H551" s="40" t="str">
        <f t="shared" si="16"/>
        <v/>
      </c>
      <c r="I551" s="35"/>
      <c r="J551" s="35"/>
      <c r="K551" s="40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5"/>
      <c r="G552" s="41"/>
      <c r="H552" s="40" t="str">
        <f t="shared" si="16"/>
        <v/>
      </c>
      <c r="I552" s="35"/>
      <c r="J552" s="35"/>
      <c r="K552" s="40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5"/>
      <c r="G553" s="41"/>
      <c r="H553" s="40" t="str">
        <f t="shared" si="16"/>
        <v/>
      </c>
      <c r="I553" s="35"/>
      <c r="J553" s="35"/>
      <c r="K553" s="40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5"/>
      <c r="G554" s="41"/>
      <c r="H554" s="40" t="str">
        <f t="shared" si="16"/>
        <v/>
      </c>
      <c r="I554" s="35"/>
      <c r="J554" s="35"/>
      <c r="K554" s="40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5"/>
      <c r="G555" s="41"/>
      <c r="H555" s="40" t="str">
        <f t="shared" si="16"/>
        <v/>
      </c>
      <c r="I555" s="35"/>
      <c r="J555" s="35"/>
      <c r="K555" s="40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5"/>
      <c r="G556" s="41"/>
      <c r="H556" s="40" t="str">
        <f t="shared" si="16"/>
        <v/>
      </c>
      <c r="I556" s="35"/>
      <c r="J556" s="35"/>
      <c r="K556" s="40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5"/>
      <c r="G557" s="41"/>
      <c r="H557" s="40" t="str">
        <f t="shared" si="16"/>
        <v/>
      </c>
      <c r="I557" s="35"/>
      <c r="J557" s="35"/>
      <c r="K557" s="40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5"/>
      <c r="G558" s="41"/>
      <c r="H558" s="40" t="str">
        <f t="shared" si="16"/>
        <v/>
      </c>
      <c r="I558" s="35"/>
      <c r="J558" s="35"/>
      <c r="K558" s="40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5"/>
      <c r="G559" s="41"/>
      <c r="H559" s="40" t="str">
        <f t="shared" si="16"/>
        <v/>
      </c>
      <c r="I559" s="35"/>
      <c r="J559" s="35"/>
      <c r="K559" s="40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5"/>
      <c r="G560" s="41"/>
      <c r="H560" s="40" t="str">
        <f t="shared" si="16"/>
        <v/>
      </c>
      <c r="I560" s="35"/>
      <c r="J560" s="35"/>
      <c r="K560" s="40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5"/>
      <c r="G561" s="41"/>
      <c r="H561" s="40" t="str">
        <f t="shared" si="16"/>
        <v/>
      </c>
      <c r="I561" s="35"/>
      <c r="J561" s="35"/>
      <c r="K561" s="40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5"/>
      <c r="G562" s="41"/>
      <c r="H562" s="40" t="str">
        <f t="shared" si="16"/>
        <v/>
      </c>
      <c r="I562" s="35"/>
      <c r="J562" s="35"/>
      <c r="K562" s="40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5"/>
      <c r="G563" s="41"/>
      <c r="H563" s="40" t="str">
        <f t="shared" si="16"/>
        <v/>
      </c>
      <c r="I563" s="35"/>
      <c r="J563" s="35"/>
      <c r="K563" s="40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5"/>
      <c r="G564" s="41"/>
      <c r="H564" s="40" t="str">
        <f t="shared" si="16"/>
        <v/>
      </c>
      <c r="I564" s="35"/>
      <c r="J564" s="35"/>
      <c r="K564" s="40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5"/>
      <c r="G565" s="41"/>
      <c r="H565" s="40" t="str">
        <f t="shared" si="16"/>
        <v/>
      </c>
      <c r="I565" s="35"/>
      <c r="J565" s="35"/>
      <c r="K565" s="40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5"/>
      <c r="G566" s="41"/>
      <c r="H566" s="40" t="str">
        <f t="shared" si="16"/>
        <v/>
      </c>
      <c r="I566" s="35"/>
      <c r="J566" s="35"/>
      <c r="K566" s="40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5"/>
      <c r="G567" s="41"/>
      <c r="H567" s="40" t="str">
        <f t="shared" si="16"/>
        <v/>
      </c>
      <c r="I567" s="35"/>
      <c r="J567" s="35"/>
      <c r="K567" s="40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5"/>
      <c r="G568" s="41"/>
      <c r="H568" s="40" t="str">
        <f t="shared" si="16"/>
        <v/>
      </c>
      <c r="I568" s="35"/>
      <c r="J568" s="35"/>
      <c r="K568" s="40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5"/>
      <c r="G569" s="41"/>
      <c r="H569" s="40" t="str">
        <f t="shared" si="16"/>
        <v/>
      </c>
      <c r="I569" s="35"/>
      <c r="J569" s="35"/>
      <c r="K569" s="40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5"/>
      <c r="G570" s="41"/>
      <c r="H570" s="40" t="str">
        <f t="shared" si="16"/>
        <v/>
      </c>
      <c r="I570" s="35"/>
      <c r="J570" s="35"/>
      <c r="K570" s="40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5"/>
      <c r="G571" s="41"/>
      <c r="H571" s="40" t="str">
        <f t="shared" si="16"/>
        <v/>
      </c>
      <c r="I571" s="35"/>
      <c r="J571" s="35"/>
      <c r="K571" s="40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5"/>
      <c r="G572" s="41"/>
      <c r="H572" s="40" t="str">
        <f t="shared" si="16"/>
        <v/>
      </c>
      <c r="I572" s="35"/>
      <c r="J572" s="35"/>
      <c r="K572" s="40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5"/>
      <c r="G573" s="41"/>
      <c r="H573" s="40" t="str">
        <f t="shared" si="16"/>
        <v/>
      </c>
      <c r="I573" s="35"/>
      <c r="J573" s="35"/>
      <c r="K573" s="40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5"/>
      <c r="G574" s="41"/>
      <c r="H574" s="40" t="str">
        <f t="shared" si="16"/>
        <v/>
      </c>
      <c r="I574" s="35"/>
      <c r="J574" s="35"/>
      <c r="K574" s="40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5"/>
      <c r="G575" s="41"/>
      <c r="H575" s="40" t="str">
        <f t="shared" si="16"/>
        <v/>
      </c>
      <c r="I575" s="35"/>
      <c r="J575" s="35"/>
      <c r="K575" s="40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5"/>
      <c r="G576" s="41"/>
      <c r="H576" s="40" t="str">
        <f t="shared" si="16"/>
        <v/>
      </c>
      <c r="I576" s="35"/>
      <c r="J576" s="35"/>
      <c r="K576" s="40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5"/>
      <c r="G577" s="41"/>
      <c r="H577" s="40" t="str">
        <f t="shared" si="16"/>
        <v/>
      </c>
      <c r="I577" s="35"/>
      <c r="J577" s="35"/>
      <c r="K577" s="40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5"/>
      <c r="G578" s="41"/>
      <c r="H578" s="40" t="str">
        <f t="shared" ref="H578:H641" si="17">IF(AND($F578="TEMP",$G578&gt;0,$M578&lt;&gt;""),$M578+$G578,"")</f>
        <v/>
      </c>
      <c r="I578" s="35"/>
      <c r="J578" s="35"/>
      <c r="K578" s="40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5"/>
      <c r="G579" s="41"/>
      <c r="H579" s="40" t="str">
        <f t="shared" si="17"/>
        <v/>
      </c>
      <c r="I579" s="35"/>
      <c r="J579" s="35"/>
      <c r="K579" s="40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5"/>
      <c r="G580" s="41"/>
      <c r="H580" s="40" t="str">
        <f t="shared" si="17"/>
        <v/>
      </c>
      <c r="I580" s="35"/>
      <c r="J580" s="35"/>
      <c r="K580" s="40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5"/>
      <c r="G581" s="41"/>
      <c r="H581" s="40" t="str">
        <f t="shared" si="17"/>
        <v/>
      </c>
      <c r="I581" s="35"/>
      <c r="J581" s="35"/>
      <c r="K581" s="40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5"/>
      <c r="G582" s="41"/>
      <c r="H582" s="40" t="str">
        <f t="shared" si="17"/>
        <v/>
      </c>
      <c r="I582" s="35"/>
      <c r="J582" s="35"/>
      <c r="K582" s="40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5"/>
      <c r="G583" s="41"/>
      <c r="H583" s="40" t="str">
        <f t="shared" si="17"/>
        <v/>
      </c>
      <c r="I583" s="35"/>
      <c r="J583" s="35"/>
      <c r="K583" s="40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5"/>
      <c r="G584" s="41"/>
      <c r="H584" s="40" t="str">
        <f t="shared" si="17"/>
        <v/>
      </c>
      <c r="I584" s="35"/>
      <c r="J584" s="35"/>
      <c r="K584" s="40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5"/>
      <c r="G585" s="41"/>
      <c r="H585" s="40" t="str">
        <f t="shared" si="17"/>
        <v/>
      </c>
      <c r="I585" s="35"/>
      <c r="J585" s="35"/>
      <c r="K585" s="40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5"/>
      <c r="G586" s="41"/>
      <c r="H586" s="40" t="str">
        <f t="shared" si="17"/>
        <v/>
      </c>
      <c r="I586" s="35"/>
      <c r="J586" s="35"/>
      <c r="K586" s="40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5"/>
      <c r="G587" s="41"/>
      <c r="H587" s="40" t="str">
        <f t="shared" si="17"/>
        <v/>
      </c>
      <c r="I587" s="35"/>
      <c r="J587" s="35"/>
      <c r="K587" s="40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5"/>
      <c r="G588" s="41"/>
      <c r="H588" s="40" t="str">
        <f t="shared" si="17"/>
        <v/>
      </c>
      <c r="I588" s="35"/>
      <c r="J588" s="35"/>
      <c r="K588" s="40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5"/>
      <c r="G589" s="41"/>
      <c r="H589" s="40" t="str">
        <f t="shared" si="17"/>
        <v/>
      </c>
      <c r="I589" s="35"/>
      <c r="J589" s="35"/>
      <c r="K589" s="40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5"/>
      <c r="G590" s="41"/>
      <c r="H590" s="40" t="str">
        <f t="shared" si="17"/>
        <v/>
      </c>
      <c r="I590" s="35"/>
      <c r="J590" s="35"/>
      <c r="K590" s="40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5"/>
      <c r="G591" s="41"/>
      <c r="H591" s="40" t="str">
        <f t="shared" si="17"/>
        <v/>
      </c>
      <c r="I591" s="35"/>
      <c r="J591" s="35"/>
      <c r="K591" s="40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5"/>
      <c r="G592" s="41"/>
      <c r="H592" s="40" t="str">
        <f t="shared" si="17"/>
        <v/>
      </c>
      <c r="I592" s="35"/>
      <c r="J592" s="35"/>
      <c r="K592" s="40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5"/>
      <c r="G593" s="41"/>
      <c r="H593" s="40" t="str">
        <f t="shared" si="17"/>
        <v/>
      </c>
      <c r="I593" s="35"/>
      <c r="J593" s="35"/>
      <c r="K593" s="40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5"/>
      <c r="G594" s="41"/>
      <c r="H594" s="40" t="str">
        <f t="shared" si="17"/>
        <v/>
      </c>
      <c r="I594" s="35"/>
      <c r="J594" s="35"/>
      <c r="K594" s="40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5"/>
      <c r="G595" s="41"/>
      <c r="H595" s="40" t="str">
        <f t="shared" si="17"/>
        <v/>
      </c>
      <c r="I595" s="35"/>
      <c r="J595" s="35"/>
      <c r="K595" s="40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5"/>
      <c r="G596" s="41"/>
      <c r="H596" s="40" t="str">
        <f t="shared" si="17"/>
        <v/>
      </c>
      <c r="I596" s="35"/>
      <c r="J596" s="35"/>
      <c r="K596" s="40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5"/>
      <c r="G597" s="41"/>
      <c r="H597" s="40" t="str">
        <f t="shared" si="17"/>
        <v/>
      </c>
      <c r="I597" s="35"/>
      <c r="J597" s="35"/>
      <c r="K597" s="40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5"/>
      <c r="G598" s="41"/>
      <c r="H598" s="40" t="str">
        <f t="shared" si="17"/>
        <v/>
      </c>
      <c r="I598" s="35"/>
      <c r="J598" s="35"/>
      <c r="K598" s="40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5"/>
      <c r="G599" s="41"/>
      <c r="H599" s="40" t="str">
        <f t="shared" si="17"/>
        <v/>
      </c>
      <c r="I599" s="35"/>
      <c r="J599" s="35"/>
      <c r="K599" s="40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5"/>
      <c r="G600" s="41"/>
      <c r="H600" s="40" t="str">
        <f t="shared" si="17"/>
        <v/>
      </c>
      <c r="I600" s="35"/>
      <c r="J600" s="35"/>
      <c r="K600" s="40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5"/>
      <c r="G601" s="41"/>
      <c r="H601" s="40" t="str">
        <f t="shared" si="17"/>
        <v/>
      </c>
      <c r="I601" s="35"/>
      <c r="J601" s="35"/>
      <c r="K601" s="40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5"/>
      <c r="G602" s="41"/>
      <c r="H602" s="40" t="str">
        <f t="shared" si="17"/>
        <v/>
      </c>
      <c r="I602" s="35"/>
      <c r="J602" s="35"/>
      <c r="K602" s="40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5"/>
      <c r="G603" s="41"/>
      <c r="H603" s="40" t="str">
        <f t="shared" si="17"/>
        <v/>
      </c>
      <c r="I603" s="35"/>
      <c r="J603" s="35"/>
      <c r="K603" s="40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5"/>
      <c r="G604" s="41"/>
      <c r="H604" s="40" t="str">
        <f t="shared" si="17"/>
        <v/>
      </c>
      <c r="I604" s="35"/>
      <c r="J604" s="35"/>
      <c r="K604" s="40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5"/>
      <c r="G605" s="41"/>
      <c r="H605" s="40" t="str">
        <f t="shared" si="17"/>
        <v/>
      </c>
      <c r="I605" s="35"/>
      <c r="J605" s="35"/>
      <c r="K605" s="40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5"/>
      <c r="G606" s="41"/>
      <c r="H606" s="40" t="str">
        <f t="shared" si="17"/>
        <v/>
      </c>
      <c r="I606" s="35"/>
      <c r="J606" s="35"/>
      <c r="K606" s="40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5"/>
      <c r="G607" s="41"/>
      <c r="H607" s="40" t="str">
        <f t="shared" si="17"/>
        <v/>
      </c>
      <c r="I607" s="35"/>
      <c r="J607" s="35"/>
      <c r="K607" s="40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5"/>
      <c r="G608" s="41"/>
      <c r="H608" s="40" t="str">
        <f t="shared" si="17"/>
        <v/>
      </c>
      <c r="I608" s="35"/>
      <c r="J608" s="35"/>
      <c r="K608" s="40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5"/>
      <c r="G609" s="41"/>
      <c r="H609" s="40" t="str">
        <f t="shared" si="17"/>
        <v/>
      </c>
      <c r="I609" s="35"/>
      <c r="J609" s="35"/>
      <c r="K609" s="40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5"/>
      <c r="G610" s="41"/>
      <c r="H610" s="40" t="str">
        <f t="shared" si="17"/>
        <v/>
      </c>
      <c r="I610" s="35"/>
      <c r="J610" s="35"/>
      <c r="K610" s="40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5"/>
      <c r="G611" s="41"/>
      <c r="H611" s="40" t="str">
        <f t="shared" si="17"/>
        <v/>
      </c>
      <c r="I611" s="35"/>
      <c r="J611" s="35"/>
      <c r="K611" s="40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5"/>
      <c r="G612" s="41"/>
      <c r="H612" s="40" t="str">
        <f t="shared" si="17"/>
        <v/>
      </c>
      <c r="I612" s="35"/>
      <c r="J612" s="35"/>
      <c r="K612" s="40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5"/>
      <c r="G613" s="41"/>
      <c r="H613" s="40" t="str">
        <f t="shared" si="17"/>
        <v/>
      </c>
      <c r="I613" s="35"/>
      <c r="J613" s="35"/>
      <c r="K613" s="40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5"/>
      <c r="G614" s="41"/>
      <c r="H614" s="40" t="str">
        <f t="shared" si="17"/>
        <v/>
      </c>
      <c r="I614" s="35"/>
      <c r="J614" s="35"/>
      <c r="K614" s="40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5"/>
      <c r="G615" s="41"/>
      <c r="H615" s="40" t="str">
        <f t="shared" si="17"/>
        <v/>
      </c>
      <c r="I615" s="35"/>
      <c r="J615" s="35"/>
      <c r="K615" s="40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5"/>
      <c r="G616" s="41"/>
      <c r="H616" s="40" t="str">
        <f t="shared" si="17"/>
        <v/>
      </c>
      <c r="I616" s="35"/>
      <c r="J616" s="35"/>
      <c r="K616" s="40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5"/>
      <c r="G617" s="41"/>
      <c r="H617" s="40" t="str">
        <f t="shared" si="17"/>
        <v/>
      </c>
      <c r="I617" s="35"/>
      <c r="J617" s="35"/>
      <c r="K617" s="40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5"/>
      <c r="G618" s="41"/>
      <c r="H618" s="40" t="str">
        <f t="shared" si="17"/>
        <v/>
      </c>
      <c r="I618" s="35"/>
      <c r="J618" s="35"/>
      <c r="K618" s="40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5"/>
      <c r="G619" s="41"/>
      <c r="H619" s="40" t="str">
        <f t="shared" si="17"/>
        <v/>
      </c>
      <c r="I619" s="35"/>
      <c r="J619" s="35"/>
      <c r="K619" s="40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5"/>
      <c r="G620" s="41"/>
      <c r="H620" s="40" t="str">
        <f t="shared" si="17"/>
        <v/>
      </c>
      <c r="I620" s="35"/>
      <c r="J620" s="35"/>
      <c r="K620" s="40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5"/>
      <c r="G621" s="41"/>
      <c r="H621" s="40" t="str">
        <f t="shared" si="17"/>
        <v/>
      </c>
      <c r="I621" s="35"/>
      <c r="J621" s="35"/>
      <c r="K621" s="40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5"/>
      <c r="G622" s="41"/>
      <c r="H622" s="40" t="str">
        <f t="shared" si="17"/>
        <v/>
      </c>
      <c r="I622" s="35"/>
      <c r="J622" s="35"/>
      <c r="K622" s="40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5"/>
      <c r="G623" s="41"/>
      <c r="H623" s="40" t="str">
        <f t="shared" si="17"/>
        <v/>
      </c>
      <c r="I623" s="35"/>
      <c r="J623" s="35"/>
      <c r="K623" s="40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5"/>
      <c r="G624" s="41"/>
      <c r="H624" s="40" t="str">
        <f t="shared" si="17"/>
        <v/>
      </c>
      <c r="I624" s="35"/>
      <c r="J624" s="35"/>
      <c r="K624" s="40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5"/>
      <c r="G625" s="41"/>
      <c r="H625" s="40" t="str">
        <f t="shared" si="17"/>
        <v/>
      </c>
      <c r="I625" s="35"/>
      <c r="J625" s="35"/>
      <c r="K625" s="40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5"/>
      <c r="G626" s="41"/>
      <c r="H626" s="40" t="str">
        <f t="shared" si="17"/>
        <v/>
      </c>
      <c r="I626" s="35"/>
      <c r="J626" s="35"/>
      <c r="K626" s="40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5"/>
      <c r="G627" s="41"/>
      <c r="H627" s="40" t="str">
        <f t="shared" si="17"/>
        <v/>
      </c>
      <c r="I627" s="35"/>
      <c r="J627" s="35"/>
      <c r="K627" s="40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5"/>
      <c r="G628" s="41"/>
      <c r="H628" s="40" t="str">
        <f t="shared" si="17"/>
        <v/>
      </c>
      <c r="I628" s="35"/>
      <c r="J628" s="35"/>
      <c r="K628" s="40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5"/>
      <c r="G629" s="41"/>
      <c r="H629" s="40" t="str">
        <f t="shared" si="17"/>
        <v/>
      </c>
      <c r="I629" s="35"/>
      <c r="J629" s="35"/>
      <c r="K629" s="40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5"/>
      <c r="G630" s="41"/>
      <c r="H630" s="40" t="str">
        <f t="shared" si="17"/>
        <v/>
      </c>
      <c r="I630" s="35"/>
      <c r="J630" s="35"/>
      <c r="K630" s="40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5"/>
      <c r="G631" s="41"/>
      <c r="H631" s="40" t="str">
        <f t="shared" si="17"/>
        <v/>
      </c>
      <c r="I631" s="35"/>
      <c r="J631" s="35"/>
      <c r="K631" s="40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5"/>
      <c r="G632" s="41"/>
      <c r="H632" s="40" t="str">
        <f t="shared" si="17"/>
        <v/>
      </c>
      <c r="I632" s="35"/>
      <c r="J632" s="35"/>
      <c r="K632" s="40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5"/>
      <c r="G633" s="41"/>
      <c r="H633" s="40" t="str">
        <f t="shared" si="17"/>
        <v/>
      </c>
      <c r="I633" s="35"/>
      <c r="J633" s="35"/>
      <c r="K633" s="40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5"/>
      <c r="G634" s="41"/>
      <c r="H634" s="40" t="str">
        <f t="shared" si="17"/>
        <v/>
      </c>
      <c r="I634" s="35"/>
      <c r="J634" s="35"/>
      <c r="K634" s="40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5"/>
      <c r="G635" s="41"/>
      <c r="H635" s="40" t="str">
        <f t="shared" si="17"/>
        <v/>
      </c>
      <c r="I635" s="35"/>
      <c r="J635" s="35"/>
      <c r="K635" s="40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5"/>
      <c r="G636" s="41"/>
      <c r="H636" s="40" t="str">
        <f t="shared" si="17"/>
        <v/>
      </c>
      <c r="I636" s="35"/>
      <c r="J636" s="35"/>
      <c r="K636" s="40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5"/>
      <c r="G637" s="41"/>
      <c r="H637" s="40" t="str">
        <f t="shared" si="17"/>
        <v/>
      </c>
      <c r="I637" s="35"/>
      <c r="J637" s="35"/>
      <c r="K637" s="40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5"/>
      <c r="G638" s="41"/>
      <c r="H638" s="40" t="str">
        <f t="shared" si="17"/>
        <v/>
      </c>
      <c r="I638" s="35"/>
      <c r="J638" s="35"/>
      <c r="K638" s="40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5"/>
      <c r="G639" s="41"/>
      <c r="H639" s="40" t="str">
        <f t="shared" si="17"/>
        <v/>
      </c>
      <c r="I639" s="35"/>
      <c r="J639" s="35"/>
      <c r="K639" s="40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5"/>
      <c r="G640" s="41"/>
      <c r="H640" s="40" t="str">
        <f t="shared" si="17"/>
        <v/>
      </c>
      <c r="I640" s="35"/>
      <c r="J640" s="35"/>
      <c r="K640" s="40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5"/>
      <c r="G641" s="41"/>
      <c r="H641" s="40" t="str">
        <f t="shared" si="17"/>
        <v/>
      </c>
      <c r="I641" s="35"/>
      <c r="J641" s="35"/>
      <c r="K641" s="40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5"/>
      <c r="G642" s="41"/>
      <c r="H642" s="40" t="str">
        <f t="shared" ref="H642:H705" si="18">IF(AND($F642="TEMP",$G642&gt;0,$M642&lt;&gt;""),$M642+$G642,"")</f>
        <v/>
      </c>
      <c r="I642" s="35"/>
      <c r="J642" s="35"/>
      <c r="K642" s="40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5"/>
      <c r="G643" s="41"/>
      <c r="H643" s="40" t="str">
        <f t="shared" si="18"/>
        <v/>
      </c>
      <c r="I643" s="35"/>
      <c r="J643" s="35"/>
      <c r="K643" s="40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5"/>
      <c r="G644" s="41"/>
      <c r="H644" s="40" t="str">
        <f t="shared" si="18"/>
        <v/>
      </c>
      <c r="I644" s="35"/>
      <c r="J644" s="35"/>
      <c r="K644" s="40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5"/>
      <c r="G645" s="41"/>
      <c r="H645" s="40" t="str">
        <f t="shared" si="18"/>
        <v/>
      </c>
      <c r="I645" s="35"/>
      <c r="J645" s="35"/>
      <c r="K645" s="40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5"/>
      <c r="G646" s="41"/>
      <c r="H646" s="40" t="str">
        <f t="shared" si="18"/>
        <v/>
      </c>
      <c r="I646" s="35"/>
      <c r="J646" s="35"/>
      <c r="K646" s="40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5"/>
      <c r="G647" s="41"/>
      <c r="H647" s="40" t="str">
        <f t="shared" si="18"/>
        <v/>
      </c>
      <c r="I647" s="35"/>
      <c r="J647" s="35"/>
      <c r="K647" s="40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5"/>
      <c r="G648" s="41"/>
      <c r="H648" s="40" t="str">
        <f t="shared" si="18"/>
        <v/>
      </c>
      <c r="I648" s="35"/>
      <c r="J648" s="35"/>
      <c r="K648" s="40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5"/>
      <c r="G649" s="41"/>
      <c r="H649" s="40" t="str">
        <f t="shared" si="18"/>
        <v/>
      </c>
      <c r="I649" s="35"/>
      <c r="J649" s="35"/>
      <c r="K649" s="40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5"/>
      <c r="G650" s="41"/>
      <c r="H650" s="40" t="str">
        <f t="shared" si="18"/>
        <v/>
      </c>
      <c r="I650" s="35"/>
      <c r="J650" s="35"/>
      <c r="K650" s="40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5"/>
      <c r="G651" s="41"/>
      <c r="H651" s="40" t="str">
        <f t="shared" si="18"/>
        <v/>
      </c>
      <c r="I651" s="35"/>
      <c r="J651" s="35"/>
      <c r="K651" s="40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5"/>
      <c r="G652" s="41"/>
      <c r="H652" s="40" t="str">
        <f t="shared" si="18"/>
        <v/>
      </c>
      <c r="I652" s="35"/>
      <c r="J652" s="35"/>
      <c r="K652" s="40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5"/>
      <c r="G653" s="41"/>
      <c r="H653" s="40" t="str">
        <f t="shared" si="18"/>
        <v/>
      </c>
      <c r="I653" s="35"/>
      <c r="J653" s="35"/>
      <c r="K653" s="40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5"/>
      <c r="G654" s="41"/>
      <c r="H654" s="40" t="str">
        <f t="shared" si="18"/>
        <v/>
      </c>
      <c r="I654" s="35"/>
      <c r="J654" s="35"/>
      <c r="K654" s="40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5"/>
      <c r="G655" s="41"/>
      <c r="H655" s="40" t="str">
        <f t="shared" si="18"/>
        <v/>
      </c>
      <c r="I655" s="35"/>
      <c r="J655" s="35"/>
      <c r="K655" s="40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5"/>
      <c r="G656" s="41"/>
      <c r="H656" s="40" t="str">
        <f t="shared" si="18"/>
        <v/>
      </c>
      <c r="I656" s="35"/>
      <c r="J656" s="35"/>
      <c r="K656" s="40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5"/>
      <c r="G657" s="41"/>
      <c r="H657" s="40" t="str">
        <f t="shared" si="18"/>
        <v/>
      </c>
      <c r="I657" s="35"/>
      <c r="J657" s="35"/>
      <c r="K657" s="40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5"/>
      <c r="G658" s="41"/>
      <c r="H658" s="40" t="str">
        <f t="shared" si="18"/>
        <v/>
      </c>
      <c r="I658" s="35"/>
      <c r="J658" s="35"/>
      <c r="K658" s="40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5"/>
      <c r="G659" s="41"/>
      <c r="H659" s="40" t="str">
        <f t="shared" si="18"/>
        <v/>
      </c>
      <c r="I659" s="35"/>
      <c r="J659" s="35"/>
      <c r="K659" s="40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5"/>
      <c r="G660" s="41"/>
      <c r="H660" s="40" t="str">
        <f t="shared" si="18"/>
        <v/>
      </c>
      <c r="I660" s="35"/>
      <c r="J660" s="35"/>
      <c r="K660" s="40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5"/>
      <c r="G661" s="41"/>
      <c r="H661" s="40" t="str">
        <f t="shared" si="18"/>
        <v/>
      </c>
      <c r="I661" s="35"/>
      <c r="J661" s="35"/>
      <c r="K661" s="40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5"/>
      <c r="G662" s="41"/>
      <c r="H662" s="40" t="str">
        <f t="shared" si="18"/>
        <v/>
      </c>
      <c r="I662" s="35"/>
      <c r="J662" s="35"/>
      <c r="K662" s="40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5"/>
      <c r="G663" s="41"/>
      <c r="H663" s="40" t="str">
        <f t="shared" si="18"/>
        <v/>
      </c>
      <c r="I663" s="35"/>
      <c r="J663" s="35"/>
      <c r="K663" s="40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5"/>
      <c r="G664" s="41"/>
      <c r="H664" s="40" t="str">
        <f t="shared" si="18"/>
        <v/>
      </c>
      <c r="I664" s="35"/>
      <c r="J664" s="35"/>
      <c r="K664" s="40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5"/>
      <c r="G665" s="41"/>
      <c r="H665" s="40" t="str">
        <f t="shared" si="18"/>
        <v/>
      </c>
      <c r="I665" s="35"/>
      <c r="J665" s="35"/>
      <c r="K665" s="40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5"/>
      <c r="G666" s="41"/>
      <c r="H666" s="40" t="str">
        <f t="shared" si="18"/>
        <v/>
      </c>
      <c r="I666" s="35"/>
      <c r="J666" s="35"/>
      <c r="K666" s="40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5"/>
      <c r="G667" s="41"/>
      <c r="H667" s="40" t="str">
        <f t="shared" si="18"/>
        <v/>
      </c>
      <c r="I667" s="35"/>
      <c r="J667" s="35"/>
      <c r="K667" s="40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5"/>
      <c r="G668" s="41"/>
      <c r="H668" s="40" t="str">
        <f t="shared" si="18"/>
        <v/>
      </c>
      <c r="I668" s="35"/>
      <c r="J668" s="35"/>
      <c r="K668" s="40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5"/>
      <c r="G669" s="41"/>
      <c r="H669" s="40" t="str">
        <f t="shared" si="18"/>
        <v/>
      </c>
      <c r="I669" s="35"/>
      <c r="J669" s="35"/>
      <c r="K669" s="40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5"/>
      <c r="G670" s="41"/>
      <c r="H670" s="40" t="str">
        <f t="shared" si="18"/>
        <v/>
      </c>
      <c r="I670" s="35"/>
      <c r="J670" s="35"/>
      <c r="K670" s="40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5"/>
      <c r="G671" s="41"/>
      <c r="H671" s="40" t="str">
        <f t="shared" si="18"/>
        <v/>
      </c>
      <c r="I671" s="35"/>
      <c r="J671" s="35"/>
      <c r="K671" s="40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5"/>
      <c r="G672" s="41"/>
      <c r="H672" s="40" t="str">
        <f t="shared" si="18"/>
        <v/>
      </c>
      <c r="I672" s="35"/>
      <c r="J672" s="35"/>
      <c r="K672" s="40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5"/>
      <c r="G673" s="41"/>
      <c r="H673" s="40" t="str">
        <f t="shared" si="18"/>
        <v/>
      </c>
      <c r="I673" s="35"/>
      <c r="J673" s="35"/>
      <c r="K673" s="40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5"/>
      <c r="G674" s="41"/>
      <c r="H674" s="40" t="str">
        <f t="shared" si="18"/>
        <v/>
      </c>
      <c r="I674" s="35"/>
      <c r="J674" s="35"/>
      <c r="K674" s="40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5"/>
      <c r="G675" s="41"/>
      <c r="H675" s="40" t="str">
        <f t="shared" si="18"/>
        <v/>
      </c>
      <c r="I675" s="35"/>
      <c r="J675" s="35"/>
      <c r="K675" s="40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5"/>
      <c r="G676" s="41"/>
      <c r="H676" s="40" t="str">
        <f t="shared" si="18"/>
        <v/>
      </c>
      <c r="I676" s="35"/>
      <c r="J676" s="35"/>
      <c r="K676" s="40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5"/>
      <c r="G677" s="41"/>
      <c r="H677" s="40" t="str">
        <f t="shared" si="18"/>
        <v/>
      </c>
      <c r="I677" s="35"/>
      <c r="J677" s="35"/>
      <c r="K677" s="40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5"/>
      <c r="G678" s="41"/>
      <c r="H678" s="40" t="str">
        <f t="shared" si="18"/>
        <v/>
      </c>
      <c r="I678" s="35"/>
      <c r="J678" s="35"/>
      <c r="K678" s="40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5"/>
      <c r="G679" s="41"/>
      <c r="H679" s="40" t="str">
        <f t="shared" si="18"/>
        <v/>
      </c>
      <c r="I679" s="35"/>
      <c r="J679" s="35"/>
      <c r="K679" s="40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5"/>
      <c r="G680" s="41"/>
      <c r="H680" s="40" t="str">
        <f t="shared" si="18"/>
        <v/>
      </c>
      <c r="I680" s="35"/>
      <c r="J680" s="35"/>
      <c r="K680" s="40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5"/>
      <c r="G681" s="41"/>
      <c r="H681" s="40" t="str">
        <f t="shared" si="18"/>
        <v/>
      </c>
      <c r="I681" s="35"/>
      <c r="J681" s="35"/>
      <c r="K681" s="40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5"/>
      <c r="G682" s="41"/>
      <c r="H682" s="40" t="str">
        <f t="shared" si="18"/>
        <v/>
      </c>
      <c r="I682" s="35"/>
      <c r="J682" s="35"/>
      <c r="K682" s="40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5"/>
      <c r="G683" s="41"/>
      <c r="H683" s="40" t="str">
        <f t="shared" si="18"/>
        <v/>
      </c>
      <c r="I683" s="35"/>
      <c r="J683" s="35"/>
      <c r="K683" s="40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5"/>
      <c r="G684" s="41"/>
      <c r="H684" s="40" t="str">
        <f t="shared" si="18"/>
        <v/>
      </c>
      <c r="I684" s="35"/>
      <c r="J684" s="35"/>
      <c r="K684" s="40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5"/>
      <c r="G685" s="41"/>
      <c r="H685" s="40" t="str">
        <f t="shared" si="18"/>
        <v/>
      </c>
      <c r="I685" s="35"/>
      <c r="J685" s="35"/>
      <c r="K685" s="40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5"/>
      <c r="G686" s="41"/>
      <c r="H686" s="40" t="str">
        <f t="shared" si="18"/>
        <v/>
      </c>
      <c r="I686" s="35"/>
      <c r="J686" s="35"/>
      <c r="K686" s="40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5"/>
      <c r="G687" s="41"/>
      <c r="H687" s="40" t="str">
        <f t="shared" si="18"/>
        <v/>
      </c>
      <c r="I687" s="35"/>
      <c r="J687" s="35"/>
      <c r="K687" s="40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5"/>
      <c r="G688" s="41"/>
      <c r="H688" s="40" t="str">
        <f t="shared" si="18"/>
        <v/>
      </c>
      <c r="I688" s="35"/>
      <c r="J688" s="35"/>
      <c r="K688" s="40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5"/>
      <c r="G689" s="41"/>
      <c r="H689" s="40" t="str">
        <f t="shared" si="18"/>
        <v/>
      </c>
      <c r="I689" s="35"/>
      <c r="J689" s="35"/>
      <c r="K689" s="40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5"/>
      <c r="G690" s="41"/>
      <c r="H690" s="40" t="str">
        <f t="shared" si="18"/>
        <v/>
      </c>
      <c r="I690" s="35"/>
      <c r="J690" s="35"/>
      <c r="K690" s="40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5"/>
      <c r="G691" s="41"/>
      <c r="H691" s="40" t="str">
        <f t="shared" si="18"/>
        <v/>
      </c>
      <c r="I691" s="35"/>
      <c r="J691" s="35"/>
      <c r="K691" s="40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5"/>
      <c r="G692" s="41"/>
      <c r="H692" s="40" t="str">
        <f t="shared" si="18"/>
        <v/>
      </c>
      <c r="I692" s="35"/>
      <c r="J692" s="35"/>
      <c r="K692" s="40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5"/>
      <c r="G693" s="41"/>
      <c r="H693" s="40" t="str">
        <f t="shared" si="18"/>
        <v/>
      </c>
      <c r="I693" s="35"/>
      <c r="J693" s="35"/>
      <c r="K693" s="40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5"/>
      <c r="G694" s="41"/>
      <c r="H694" s="40" t="str">
        <f t="shared" si="18"/>
        <v/>
      </c>
      <c r="I694" s="35"/>
      <c r="J694" s="35"/>
      <c r="K694" s="40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5"/>
      <c r="G695" s="41"/>
      <c r="H695" s="40" t="str">
        <f t="shared" si="18"/>
        <v/>
      </c>
      <c r="I695" s="35"/>
      <c r="J695" s="35"/>
      <c r="K695" s="40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5"/>
      <c r="G696" s="41"/>
      <c r="H696" s="40" t="str">
        <f t="shared" si="18"/>
        <v/>
      </c>
      <c r="I696" s="35"/>
      <c r="J696" s="35"/>
      <c r="K696" s="40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5"/>
      <c r="G697" s="41"/>
      <c r="H697" s="40" t="str">
        <f t="shared" si="18"/>
        <v/>
      </c>
      <c r="I697" s="35"/>
      <c r="J697" s="35"/>
      <c r="K697" s="40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5"/>
      <c r="G698" s="41"/>
      <c r="H698" s="40" t="str">
        <f t="shared" si="18"/>
        <v/>
      </c>
      <c r="I698" s="35"/>
      <c r="J698" s="35"/>
      <c r="K698" s="40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5"/>
      <c r="G699" s="41"/>
      <c r="H699" s="40" t="str">
        <f t="shared" si="18"/>
        <v/>
      </c>
      <c r="I699" s="35"/>
      <c r="J699" s="35"/>
      <c r="K699" s="40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5"/>
      <c r="G700" s="41"/>
      <c r="H700" s="40" t="str">
        <f t="shared" si="18"/>
        <v/>
      </c>
      <c r="I700" s="35"/>
      <c r="J700" s="35"/>
      <c r="K700" s="40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5"/>
      <c r="G701" s="41"/>
      <c r="H701" s="40" t="str">
        <f t="shared" si="18"/>
        <v/>
      </c>
      <c r="I701" s="35"/>
      <c r="J701" s="35"/>
      <c r="K701" s="40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5"/>
      <c r="G702" s="41"/>
      <c r="H702" s="40" t="str">
        <f t="shared" si="18"/>
        <v/>
      </c>
      <c r="I702" s="35"/>
      <c r="J702" s="35"/>
      <c r="K702" s="40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5"/>
      <c r="G703" s="41"/>
      <c r="H703" s="40" t="str">
        <f t="shared" si="18"/>
        <v/>
      </c>
      <c r="I703" s="35"/>
      <c r="J703" s="35"/>
      <c r="K703" s="40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5"/>
      <c r="G704" s="41"/>
      <c r="H704" s="40" t="str">
        <f t="shared" si="18"/>
        <v/>
      </c>
      <c r="I704" s="35"/>
      <c r="J704" s="35"/>
      <c r="K704" s="40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5"/>
      <c r="G705" s="41"/>
      <c r="H705" s="40" t="str">
        <f t="shared" si="18"/>
        <v/>
      </c>
      <c r="I705" s="35"/>
      <c r="J705" s="35"/>
      <c r="K705" s="40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5"/>
      <c r="G706" s="41"/>
      <c r="H706" s="40" t="str">
        <f t="shared" ref="H706:H769" si="19">IF(AND($F706="TEMP",$G706&gt;0,$M706&lt;&gt;""),$M706+$G706,"")</f>
        <v/>
      </c>
      <c r="I706" s="35"/>
      <c r="J706" s="35"/>
      <c r="K706" s="40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5"/>
      <c r="G707" s="41"/>
      <c r="H707" s="40" t="str">
        <f t="shared" si="19"/>
        <v/>
      </c>
      <c r="I707" s="35"/>
      <c r="J707" s="35"/>
      <c r="K707" s="40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5"/>
      <c r="G708" s="41"/>
      <c r="H708" s="40" t="str">
        <f t="shared" si="19"/>
        <v/>
      </c>
      <c r="I708" s="35"/>
      <c r="J708" s="35"/>
      <c r="K708" s="40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5"/>
      <c r="G709" s="41"/>
      <c r="H709" s="40" t="str">
        <f t="shared" si="19"/>
        <v/>
      </c>
      <c r="I709" s="35"/>
      <c r="J709" s="35"/>
      <c r="K709" s="40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5"/>
      <c r="G710" s="41"/>
      <c r="H710" s="40" t="str">
        <f t="shared" si="19"/>
        <v/>
      </c>
      <c r="I710" s="35"/>
      <c r="J710" s="35"/>
      <c r="K710" s="40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5"/>
      <c r="G711" s="41"/>
      <c r="H711" s="40" t="str">
        <f t="shared" si="19"/>
        <v/>
      </c>
      <c r="I711" s="35"/>
      <c r="J711" s="35"/>
      <c r="K711" s="40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5"/>
      <c r="G712" s="41"/>
      <c r="H712" s="40" t="str">
        <f t="shared" si="19"/>
        <v/>
      </c>
      <c r="I712" s="35"/>
      <c r="J712" s="35"/>
      <c r="K712" s="40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5"/>
      <c r="G713" s="41"/>
      <c r="H713" s="40" t="str">
        <f t="shared" si="19"/>
        <v/>
      </c>
      <c r="I713" s="35"/>
      <c r="J713" s="35"/>
      <c r="K713" s="40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5"/>
      <c r="G714" s="41"/>
      <c r="H714" s="40" t="str">
        <f t="shared" si="19"/>
        <v/>
      </c>
      <c r="I714" s="35"/>
      <c r="J714" s="35"/>
      <c r="K714" s="40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5"/>
      <c r="G715" s="41"/>
      <c r="H715" s="40" t="str">
        <f t="shared" si="19"/>
        <v/>
      </c>
      <c r="I715" s="35"/>
      <c r="J715" s="35"/>
      <c r="K715" s="40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5"/>
      <c r="G716" s="41"/>
      <c r="H716" s="40" t="str">
        <f t="shared" si="19"/>
        <v/>
      </c>
      <c r="I716" s="35"/>
      <c r="J716" s="35"/>
      <c r="K716" s="40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5"/>
      <c r="G717" s="41"/>
      <c r="H717" s="40" t="str">
        <f t="shared" si="19"/>
        <v/>
      </c>
      <c r="I717" s="35"/>
      <c r="J717" s="35"/>
      <c r="K717" s="40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5"/>
      <c r="G718" s="41"/>
      <c r="H718" s="40" t="str">
        <f t="shared" si="19"/>
        <v/>
      </c>
      <c r="I718" s="35"/>
      <c r="J718" s="35"/>
      <c r="K718" s="40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5"/>
      <c r="G719" s="41"/>
      <c r="H719" s="40" t="str">
        <f t="shared" si="19"/>
        <v/>
      </c>
      <c r="I719" s="35"/>
      <c r="J719" s="35"/>
      <c r="K719" s="40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5"/>
      <c r="G720" s="41"/>
      <c r="H720" s="40" t="str">
        <f t="shared" si="19"/>
        <v/>
      </c>
      <c r="I720" s="35"/>
      <c r="J720" s="35"/>
      <c r="K720" s="40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5"/>
      <c r="G721" s="41"/>
      <c r="H721" s="40" t="str">
        <f t="shared" si="19"/>
        <v/>
      </c>
      <c r="I721" s="35"/>
      <c r="J721" s="35"/>
      <c r="K721" s="40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5"/>
      <c r="G722" s="41"/>
      <c r="H722" s="40" t="str">
        <f t="shared" si="19"/>
        <v/>
      </c>
      <c r="I722" s="35"/>
      <c r="J722" s="35"/>
      <c r="K722" s="40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5"/>
      <c r="G723" s="41"/>
      <c r="H723" s="40" t="str">
        <f t="shared" si="19"/>
        <v/>
      </c>
      <c r="I723" s="35"/>
      <c r="J723" s="35"/>
      <c r="K723" s="40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5"/>
      <c r="G724" s="41"/>
      <c r="H724" s="40" t="str">
        <f t="shared" si="19"/>
        <v/>
      </c>
      <c r="I724" s="35"/>
      <c r="J724" s="35"/>
      <c r="K724" s="40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5"/>
      <c r="G725" s="41"/>
      <c r="H725" s="40" t="str">
        <f t="shared" si="19"/>
        <v/>
      </c>
      <c r="I725" s="35"/>
      <c r="J725" s="35"/>
      <c r="K725" s="40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5"/>
      <c r="G726" s="41"/>
      <c r="H726" s="40" t="str">
        <f t="shared" si="19"/>
        <v/>
      </c>
      <c r="I726" s="35"/>
      <c r="J726" s="35"/>
      <c r="K726" s="40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5"/>
      <c r="G727" s="41"/>
      <c r="H727" s="40" t="str">
        <f t="shared" si="19"/>
        <v/>
      </c>
      <c r="I727" s="35"/>
      <c r="J727" s="35"/>
      <c r="K727" s="40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5"/>
      <c r="G728" s="41"/>
      <c r="H728" s="40" t="str">
        <f t="shared" si="19"/>
        <v/>
      </c>
      <c r="I728" s="35"/>
      <c r="J728" s="35"/>
      <c r="K728" s="40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5"/>
      <c r="G729" s="41"/>
      <c r="H729" s="40" t="str">
        <f t="shared" si="19"/>
        <v/>
      </c>
      <c r="I729" s="35"/>
      <c r="J729" s="35"/>
      <c r="K729" s="40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5"/>
      <c r="G730" s="41"/>
      <c r="H730" s="40" t="str">
        <f t="shared" si="19"/>
        <v/>
      </c>
      <c r="I730" s="35"/>
      <c r="J730" s="35"/>
      <c r="K730" s="40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5"/>
      <c r="G731" s="41"/>
      <c r="H731" s="40" t="str">
        <f t="shared" si="19"/>
        <v/>
      </c>
      <c r="I731" s="35"/>
      <c r="J731" s="35"/>
      <c r="K731" s="40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5"/>
      <c r="G732" s="41"/>
      <c r="H732" s="40" t="str">
        <f t="shared" si="19"/>
        <v/>
      </c>
      <c r="I732" s="35"/>
      <c r="J732" s="35"/>
      <c r="K732" s="40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5"/>
      <c r="G733" s="41"/>
      <c r="H733" s="40" t="str">
        <f t="shared" si="19"/>
        <v/>
      </c>
      <c r="I733" s="35"/>
      <c r="J733" s="35"/>
      <c r="K733" s="40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5"/>
      <c r="G734" s="41"/>
      <c r="H734" s="40" t="str">
        <f t="shared" si="19"/>
        <v/>
      </c>
      <c r="I734" s="35"/>
      <c r="J734" s="35"/>
      <c r="K734" s="40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5"/>
      <c r="G735" s="41"/>
      <c r="H735" s="40" t="str">
        <f t="shared" si="19"/>
        <v/>
      </c>
      <c r="I735" s="35"/>
      <c r="J735" s="35"/>
      <c r="K735" s="40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5"/>
      <c r="G736" s="41"/>
      <c r="H736" s="40" t="str">
        <f t="shared" si="19"/>
        <v/>
      </c>
      <c r="I736" s="35"/>
      <c r="J736" s="35"/>
      <c r="K736" s="40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5"/>
      <c r="G737" s="41"/>
      <c r="H737" s="40" t="str">
        <f t="shared" si="19"/>
        <v/>
      </c>
      <c r="I737" s="35"/>
      <c r="J737" s="35"/>
      <c r="K737" s="40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5"/>
      <c r="G738" s="41"/>
      <c r="H738" s="40" t="str">
        <f t="shared" si="19"/>
        <v/>
      </c>
      <c r="I738" s="35"/>
      <c r="J738" s="35"/>
      <c r="K738" s="40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5"/>
      <c r="G739" s="41"/>
      <c r="H739" s="40" t="str">
        <f t="shared" si="19"/>
        <v/>
      </c>
      <c r="I739" s="35"/>
      <c r="J739" s="35"/>
      <c r="K739" s="40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5"/>
      <c r="G740" s="41"/>
      <c r="H740" s="40" t="str">
        <f t="shared" si="19"/>
        <v/>
      </c>
      <c r="I740" s="35"/>
      <c r="J740" s="35"/>
      <c r="K740" s="40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5"/>
      <c r="G741" s="41"/>
      <c r="H741" s="40" t="str">
        <f t="shared" si="19"/>
        <v/>
      </c>
      <c r="I741" s="35"/>
      <c r="J741" s="35"/>
      <c r="K741" s="40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5"/>
      <c r="G742" s="41"/>
      <c r="H742" s="40" t="str">
        <f t="shared" si="19"/>
        <v/>
      </c>
      <c r="I742" s="35"/>
      <c r="J742" s="35"/>
      <c r="K742" s="40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5"/>
      <c r="G743" s="41"/>
      <c r="H743" s="40" t="str">
        <f t="shared" si="19"/>
        <v/>
      </c>
      <c r="I743" s="35"/>
      <c r="J743" s="35"/>
      <c r="K743" s="40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5"/>
      <c r="G744" s="41"/>
      <c r="H744" s="40" t="str">
        <f t="shared" si="19"/>
        <v/>
      </c>
      <c r="I744" s="35"/>
      <c r="J744" s="35"/>
      <c r="K744" s="40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5"/>
      <c r="G745" s="41"/>
      <c r="H745" s="40" t="str">
        <f t="shared" si="19"/>
        <v/>
      </c>
      <c r="I745" s="35"/>
      <c r="J745" s="35"/>
      <c r="K745" s="40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5"/>
      <c r="G746" s="41"/>
      <c r="H746" s="40" t="str">
        <f t="shared" si="19"/>
        <v/>
      </c>
      <c r="I746" s="35"/>
      <c r="J746" s="35"/>
      <c r="K746" s="40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5"/>
      <c r="G747" s="41"/>
      <c r="H747" s="40" t="str">
        <f t="shared" si="19"/>
        <v/>
      </c>
      <c r="I747" s="35"/>
      <c r="J747" s="35"/>
      <c r="K747" s="40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5"/>
      <c r="G748" s="41"/>
      <c r="H748" s="40" t="str">
        <f t="shared" si="19"/>
        <v/>
      </c>
      <c r="I748" s="35"/>
      <c r="J748" s="35"/>
      <c r="K748" s="40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5"/>
      <c r="G749" s="41"/>
      <c r="H749" s="40" t="str">
        <f t="shared" si="19"/>
        <v/>
      </c>
      <c r="I749" s="35"/>
      <c r="J749" s="35"/>
      <c r="K749" s="40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5"/>
      <c r="G750" s="41"/>
      <c r="H750" s="40" t="str">
        <f t="shared" si="19"/>
        <v/>
      </c>
      <c r="I750" s="35"/>
      <c r="J750" s="35"/>
      <c r="K750" s="40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5"/>
      <c r="G751" s="41"/>
      <c r="H751" s="40" t="str">
        <f t="shared" si="19"/>
        <v/>
      </c>
      <c r="I751" s="35"/>
      <c r="J751" s="35"/>
      <c r="K751" s="40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5"/>
      <c r="G752" s="41"/>
      <c r="H752" s="40" t="str">
        <f t="shared" si="19"/>
        <v/>
      </c>
      <c r="I752" s="35"/>
      <c r="J752" s="35"/>
      <c r="K752" s="40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5"/>
      <c r="G753" s="41"/>
      <c r="H753" s="40" t="str">
        <f t="shared" si="19"/>
        <v/>
      </c>
      <c r="I753" s="35"/>
      <c r="J753" s="35"/>
      <c r="K753" s="40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5"/>
      <c r="G754" s="41"/>
      <c r="H754" s="40" t="str">
        <f t="shared" si="19"/>
        <v/>
      </c>
      <c r="I754" s="35"/>
      <c r="J754" s="35"/>
      <c r="K754" s="40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5"/>
      <c r="G755" s="41"/>
      <c r="H755" s="40" t="str">
        <f t="shared" si="19"/>
        <v/>
      </c>
      <c r="I755" s="35"/>
      <c r="J755" s="35"/>
      <c r="K755" s="40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5"/>
      <c r="G756" s="41"/>
      <c r="H756" s="40" t="str">
        <f t="shared" si="19"/>
        <v/>
      </c>
      <c r="I756" s="35"/>
      <c r="J756" s="35"/>
      <c r="K756" s="40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5"/>
      <c r="G757" s="41"/>
      <c r="H757" s="40" t="str">
        <f t="shared" si="19"/>
        <v/>
      </c>
      <c r="I757" s="35"/>
      <c r="J757" s="35"/>
      <c r="K757" s="40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5"/>
      <c r="G758" s="41"/>
      <c r="H758" s="40" t="str">
        <f t="shared" si="19"/>
        <v/>
      </c>
      <c r="I758" s="35"/>
      <c r="J758" s="35"/>
      <c r="K758" s="40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5"/>
      <c r="G759" s="41"/>
      <c r="H759" s="40" t="str">
        <f t="shared" si="19"/>
        <v/>
      </c>
      <c r="I759" s="35"/>
      <c r="J759" s="35"/>
      <c r="K759" s="40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5"/>
      <c r="G760" s="41"/>
      <c r="H760" s="40" t="str">
        <f t="shared" si="19"/>
        <v/>
      </c>
      <c r="I760" s="35"/>
      <c r="J760" s="35"/>
      <c r="K760" s="40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5"/>
      <c r="G761" s="41"/>
      <c r="H761" s="40" t="str">
        <f t="shared" si="19"/>
        <v/>
      </c>
      <c r="I761" s="35"/>
      <c r="J761" s="35"/>
      <c r="K761" s="40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5"/>
      <c r="G762" s="41"/>
      <c r="H762" s="40" t="str">
        <f t="shared" si="19"/>
        <v/>
      </c>
      <c r="I762" s="35"/>
      <c r="J762" s="35"/>
      <c r="K762" s="40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5"/>
      <c r="G763" s="41"/>
      <c r="H763" s="40" t="str">
        <f t="shared" si="19"/>
        <v/>
      </c>
      <c r="I763" s="35"/>
      <c r="J763" s="35"/>
      <c r="K763" s="40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5"/>
      <c r="G764" s="41"/>
      <c r="H764" s="40" t="str">
        <f t="shared" si="19"/>
        <v/>
      </c>
      <c r="I764" s="35"/>
      <c r="J764" s="35"/>
      <c r="K764" s="40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5"/>
      <c r="G765" s="41"/>
      <c r="H765" s="40" t="str">
        <f t="shared" si="19"/>
        <v/>
      </c>
      <c r="I765" s="35"/>
      <c r="J765" s="35"/>
      <c r="K765" s="40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5"/>
      <c r="G766" s="41"/>
      <c r="H766" s="40" t="str">
        <f t="shared" si="19"/>
        <v/>
      </c>
      <c r="I766" s="35"/>
      <c r="J766" s="35"/>
      <c r="K766" s="40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5"/>
      <c r="G767" s="41"/>
      <c r="H767" s="40" t="str">
        <f t="shared" si="19"/>
        <v/>
      </c>
      <c r="I767" s="35"/>
      <c r="J767" s="35"/>
      <c r="K767" s="40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5"/>
      <c r="G768" s="41"/>
      <c r="H768" s="40" t="str">
        <f t="shared" si="19"/>
        <v/>
      </c>
      <c r="I768" s="35"/>
      <c r="J768" s="35"/>
      <c r="K768" s="40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5"/>
      <c r="G769" s="41"/>
      <c r="H769" s="40" t="str">
        <f t="shared" si="19"/>
        <v/>
      </c>
      <c r="I769" s="35"/>
      <c r="J769" s="35"/>
      <c r="K769" s="40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5"/>
      <c r="G770" s="41"/>
      <c r="H770" s="40" t="str">
        <f t="shared" ref="H770:H833" si="20">IF(AND($F770="TEMP",$G770&gt;0,$M770&lt;&gt;""),$M770+$G770,"")</f>
        <v/>
      </c>
      <c r="I770" s="35"/>
      <c r="J770" s="35"/>
      <c r="K770" s="40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5"/>
      <c r="G771" s="41"/>
      <c r="H771" s="40" t="str">
        <f t="shared" si="20"/>
        <v/>
      </c>
      <c r="I771" s="35"/>
      <c r="J771" s="35"/>
      <c r="K771" s="40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5"/>
      <c r="G772" s="41"/>
      <c r="H772" s="40" t="str">
        <f t="shared" si="20"/>
        <v/>
      </c>
      <c r="I772" s="35"/>
      <c r="J772" s="35"/>
      <c r="K772" s="40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5"/>
      <c r="G773" s="41"/>
      <c r="H773" s="40" t="str">
        <f t="shared" si="20"/>
        <v/>
      </c>
      <c r="I773" s="35"/>
      <c r="J773" s="35"/>
      <c r="K773" s="40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5"/>
      <c r="G774" s="41"/>
      <c r="H774" s="40" t="str">
        <f t="shared" si="20"/>
        <v/>
      </c>
      <c r="I774" s="35"/>
      <c r="J774" s="35"/>
      <c r="K774" s="40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5"/>
      <c r="G775" s="41"/>
      <c r="H775" s="40" t="str">
        <f t="shared" si="20"/>
        <v/>
      </c>
      <c r="I775" s="35"/>
      <c r="J775" s="35"/>
      <c r="K775" s="40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5"/>
      <c r="G776" s="41"/>
      <c r="H776" s="40" t="str">
        <f t="shared" si="20"/>
        <v/>
      </c>
      <c r="I776" s="35"/>
      <c r="J776" s="35"/>
      <c r="K776" s="40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5"/>
      <c r="G777" s="41"/>
      <c r="H777" s="40" t="str">
        <f t="shared" si="20"/>
        <v/>
      </c>
      <c r="I777" s="35"/>
      <c r="J777" s="35"/>
      <c r="K777" s="40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5"/>
      <c r="G778" s="41"/>
      <c r="H778" s="40" t="str">
        <f t="shared" si="20"/>
        <v/>
      </c>
      <c r="I778" s="35"/>
      <c r="J778" s="35"/>
      <c r="K778" s="40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5"/>
      <c r="G779" s="41"/>
      <c r="H779" s="40" t="str">
        <f t="shared" si="20"/>
        <v/>
      </c>
      <c r="I779" s="35"/>
      <c r="J779" s="35"/>
      <c r="K779" s="40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5"/>
      <c r="G780" s="41"/>
      <c r="H780" s="40" t="str">
        <f t="shared" si="20"/>
        <v/>
      </c>
      <c r="I780" s="35"/>
      <c r="J780" s="35"/>
      <c r="K780" s="40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5"/>
      <c r="G781" s="41"/>
      <c r="H781" s="40" t="str">
        <f t="shared" si="20"/>
        <v/>
      </c>
      <c r="I781" s="35"/>
      <c r="J781" s="35"/>
      <c r="K781" s="40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5"/>
      <c r="G782" s="41"/>
      <c r="H782" s="40" t="str">
        <f t="shared" si="20"/>
        <v/>
      </c>
      <c r="I782" s="35"/>
      <c r="J782" s="35"/>
      <c r="K782" s="40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5"/>
      <c r="G783" s="41"/>
      <c r="H783" s="40" t="str">
        <f t="shared" si="20"/>
        <v/>
      </c>
      <c r="I783" s="35"/>
      <c r="J783" s="35"/>
      <c r="K783" s="40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5"/>
      <c r="G784" s="41"/>
      <c r="H784" s="40" t="str">
        <f t="shared" si="20"/>
        <v/>
      </c>
      <c r="I784" s="35"/>
      <c r="J784" s="35"/>
      <c r="K784" s="40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5"/>
      <c r="G785" s="41"/>
      <c r="H785" s="40" t="str">
        <f t="shared" si="20"/>
        <v/>
      </c>
      <c r="I785" s="35"/>
      <c r="J785" s="35"/>
      <c r="K785" s="40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5"/>
      <c r="G786" s="41"/>
      <c r="H786" s="40" t="str">
        <f t="shared" si="20"/>
        <v/>
      </c>
      <c r="I786" s="35"/>
      <c r="J786" s="35"/>
      <c r="K786" s="40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5"/>
      <c r="G787" s="41"/>
      <c r="H787" s="40" t="str">
        <f t="shared" si="20"/>
        <v/>
      </c>
      <c r="I787" s="35"/>
      <c r="J787" s="35"/>
      <c r="K787" s="40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5"/>
      <c r="G788" s="41"/>
      <c r="H788" s="40" t="str">
        <f t="shared" si="20"/>
        <v/>
      </c>
      <c r="I788" s="35"/>
      <c r="J788" s="35"/>
      <c r="K788" s="40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5"/>
      <c r="G789" s="41"/>
      <c r="H789" s="40" t="str">
        <f t="shared" si="20"/>
        <v/>
      </c>
      <c r="I789" s="35"/>
      <c r="J789" s="35"/>
      <c r="K789" s="40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5"/>
      <c r="G790" s="41"/>
      <c r="H790" s="40" t="str">
        <f t="shared" si="20"/>
        <v/>
      </c>
      <c r="I790" s="35"/>
      <c r="J790" s="35"/>
      <c r="K790" s="40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5"/>
      <c r="G791" s="41"/>
      <c r="H791" s="40" t="str">
        <f t="shared" si="20"/>
        <v/>
      </c>
      <c r="I791" s="35"/>
      <c r="J791" s="35"/>
      <c r="K791" s="40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5"/>
      <c r="G792" s="41"/>
      <c r="H792" s="40" t="str">
        <f t="shared" si="20"/>
        <v/>
      </c>
      <c r="I792" s="35"/>
      <c r="J792" s="35"/>
      <c r="K792" s="40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5"/>
      <c r="G793" s="41"/>
      <c r="H793" s="40" t="str">
        <f t="shared" si="20"/>
        <v/>
      </c>
      <c r="I793" s="35"/>
      <c r="J793" s="35"/>
      <c r="K793" s="40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5"/>
      <c r="G794" s="41"/>
      <c r="H794" s="40" t="str">
        <f t="shared" si="20"/>
        <v/>
      </c>
      <c r="I794" s="35"/>
      <c r="J794" s="35"/>
      <c r="K794" s="40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5"/>
      <c r="G795" s="41"/>
      <c r="H795" s="40" t="str">
        <f t="shared" si="20"/>
        <v/>
      </c>
      <c r="I795" s="35"/>
      <c r="J795" s="35"/>
      <c r="K795" s="40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5"/>
      <c r="G796" s="41"/>
      <c r="H796" s="40" t="str">
        <f t="shared" si="20"/>
        <v/>
      </c>
      <c r="I796" s="35"/>
      <c r="J796" s="35"/>
      <c r="K796" s="40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5"/>
      <c r="G797" s="41"/>
      <c r="H797" s="40" t="str">
        <f t="shared" si="20"/>
        <v/>
      </c>
      <c r="I797" s="35"/>
      <c r="J797" s="35"/>
      <c r="K797" s="40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5"/>
      <c r="G798" s="41"/>
      <c r="H798" s="40" t="str">
        <f t="shared" si="20"/>
        <v/>
      </c>
      <c r="I798" s="35"/>
      <c r="J798" s="35"/>
      <c r="K798" s="40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5"/>
      <c r="G799" s="41"/>
      <c r="H799" s="40" t="str">
        <f t="shared" si="20"/>
        <v/>
      </c>
      <c r="I799" s="35"/>
      <c r="J799" s="35"/>
      <c r="K799" s="40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5"/>
      <c r="G800" s="41"/>
      <c r="H800" s="40" t="str">
        <f t="shared" si="20"/>
        <v/>
      </c>
      <c r="I800" s="35"/>
      <c r="J800" s="35"/>
      <c r="K800" s="40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5"/>
      <c r="G801" s="41"/>
      <c r="H801" s="40" t="str">
        <f t="shared" si="20"/>
        <v/>
      </c>
      <c r="I801" s="35"/>
      <c r="J801" s="35"/>
      <c r="K801" s="40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5"/>
      <c r="G802" s="41"/>
      <c r="H802" s="40" t="str">
        <f t="shared" si="20"/>
        <v/>
      </c>
      <c r="I802" s="35"/>
      <c r="J802" s="35"/>
      <c r="K802" s="40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5"/>
      <c r="G803" s="41"/>
      <c r="H803" s="40" t="str">
        <f t="shared" si="20"/>
        <v/>
      </c>
      <c r="I803" s="35"/>
      <c r="J803" s="35"/>
      <c r="K803" s="40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5"/>
      <c r="G804" s="41"/>
      <c r="H804" s="40" t="str">
        <f t="shared" si="20"/>
        <v/>
      </c>
      <c r="I804" s="35"/>
      <c r="J804" s="35"/>
      <c r="K804" s="40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5"/>
      <c r="G805" s="41"/>
      <c r="H805" s="40" t="str">
        <f t="shared" si="20"/>
        <v/>
      </c>
      <c r="I805" s="35"/>
      <c r="J805" s="35"/>
      <c r="K805" s="40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5"/>
      <c r="G806" s="41"/>
      <c r="H806" s="40" t="str">
        <f t="shared" si="20"/>
        <v/>
      </c>
      <c r="I806" s="35"/>
      <c r="J806" s="35"/>
      <c r="K806" s="40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5"/>
      <c r="G807" s="41"/>
      <c r="H807" s="40" t="str">
        <f t="shared" si="20"/>
        <v/>
      </c>
      <c r="I807" s="35"/>
      <c r="J807" s="35"/>
      <c r="K807" s="40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5"/>
      <c r="G808" s="41"/>
      <c r="H808" s="40" t="str">
        <f t="shared" si="20"/>
        <v/>
      </c>
      <c r="I808" s="35"/>
      <c r="J808" s="35"/>
      <c r="K808" s="40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5"/>
      <c r="G809" s="41"/>
      <c r="H809" s="40" t="str">
        <f t="shared" si="20"/>
        <v/>
      </c>
      <c r="I809" s="35"/>
      <c r="J809" s="35"/>
      <c r="K809" s="40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5"/>
      <c r="G810" s="41"/>
      <c r="H810" s="40" t="str">
        <f t="shared" si="20"/>
        <v/>
      </c>
      <c r="I810" s="35"/>
      <c r="J810" s="35"/>
      <c r="K810" s="40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5"/>
      <c r="G811" s="41"/>
      <c r="H811" s="40" t="str">
        <f t="shared" si="20"/>
        <v/>
      </c>
      <c r="I811" s="35"/>
      <c r="J811" s="35"/>
      <c r="K811" s="40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5"/>
      <c r="G812" s="41"/>
      <c r="H812" s="40" t="str">
        <f t="shared" si="20"/>
        <v/>
      </c>
      <c r="I812" s="35"/>
      <c r="J812" s="35"/>
      <c r="K812" s="40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5"/>
      <c r="G813" s="41"/>
      <c r="H813" s="40" t="str">
        <f t="shared" si="20"/>
        <v/>
      </c>
      <c r="I813" s="35"/>
      <c r="J813" s="35"/>
      <c r="K813" s="40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5"/>
      <c r="G814" s="41"/>
      <c r="H814" s="40" t="str">
        <f t="shared" si="20"/>
        <v/>
      </c>
      <c r="I814" s="35"/>
      <c r="J814" s="35"/>
      <c r="K814" s="40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5"/>
      <c r="G815" s="41"/>
      <c r="H815" s="40" t="str">
        <f t="shared" si="20"/>
        <v/>
      </c>
      <c r="I815" s="35"/>
      <c r="J815" s="35"/>
      <c r="K815" s="40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5"/>
      <c r="G816" s="41"/>
      <c r="H816" s="40" t="str">
        <f t="shared" si="20"/>
        <v/>
      </c>
      <c r="I816" s="35"/>
      <c r="J816" s="35"/>
      <c r="K816" s="40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5"/>
      <c r="G817" s="41"/>
      <c r="H817" s="40" t="str">
        <f t="shared" si="20"/>
        <v/>
      </c>
      <c r="I817" s="35"/>
      <c r="J817" s="35"/>
      <c r="K817" s="40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5"/>
      <c r="G818" s="41"/>
      <c r="H818" s="40" t="str">
        <f t="shared" si="20"/>
        <v/>
      </c>
      <c r="I818" s="35"/>
      <c r="J818" s="35"/>
      <c r="K818" s="40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5"/>
      <c r="G819" s="41"/>
      <c r="H819" s="40" t="str">
        <f t="shared" si="20"/>
        <v/>
      </c>
      <c r="I819" s="35"/>
      <c r="J819" s="35"/>
      <c r="K819" s="40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5"/>
      <c r="G820" s="41"/>
      <c r="H820" s="40" t="str">
        <f t="shared" si="20"/>
        <v/>
      </c>
      <c r="I820" s="35"/>
      <c r="J820" s="35"/>
      <c r="K820" s="40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5"/>
      <c r="G821" s="41"/>
      <c r="H821" s="40" t="str">
        <f t="shared" si="20"/>
        <v/>
      </c>
      <c r="I821" s="35"/>
      <c r="J821" s="35"/>
      <c r="K821" s="40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5"/>
      <c r="G822" s="41"/>
      <c r="H822" s="40" t="str">
        <f t="shared" si="20"/>
        <v/>
      </c>
      <c r="I822" s="35"/>
      <c r="J822" s="35"/>
      <c r="K822" s="40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5"/>
      <c r="G823" s="41"/>
      <c r="H823" s="40" t="str">
        <f t="shared" si="20"/>
        <v/>
      </c>
      <c r="I823" s="35"/>
      <c r="J823" s="35"/>
      <c r="K823" s="40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5"/>
      <c r="G824" s="41"/>
      <c r="H824" s="40" t="str">
        <f t="shared" si="20"/>
        <v/>
      </c>
      <c r="I824" s="35"/>
      <c r="J824" s="35"/>
      <c r="K824" s="40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5"/>
      <c r="G825" s="41"/>
      <c r="H825" s="40" t="str">
        <f t="shared" si="20"/>
        <v/>
      </c>
      <c r="I825" s="35"/>
      <c r="J825" s="35"/>
      <c r="K825" s="40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5"/>
      <c r="G826" s="41"/>
      <c r="H826" s="40" t="str">
        <f t="shared" si="20"/>
        <v/>
      </c>
      <c r="I826" s="35"/>
      <c r="J826" s="35"/>
      <c r="K826" s="40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5"/>
      <c r="G827" s="41"/>
      <c r="H827" s="40" t="str">
        <f t="shared" si="20"/>
        <v/>
      </c>
      <c r="I827" s="35"/>
      <c r="J827" s="35"/>
      <c r="K827" s="40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5"/>
      <c r="G828" s="41"/>
      <c r="H828" s="40" t="str">
        <f t="shared" si="20"/>
        <v/>
      </c>
      <c r="I828" s="35"/>
      <c r="J828" s="35"/>
      <c r="K828" s="40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5"/>
      <c r="G829" s="41"/>
      <c r="H829" s="40" t="str">
        <f t="shared" si="20"/>
        <v/>
      </c>
      <c r="I829" s="35"/>
      <c r="J829" s="35"/>
      <c r="K829" s="40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5"/>
      <c r="G830" s="41"/>
      <c r="H830" s="40" t="str">
        <f t="shared" si="20"/>
        <v/>
      </c>
      <c r="I830" s="35"/>
      <c r="J830" s="35"/>
      <c r="K830" s="40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5"/>
      <c r="G831" s="41"/>
      <c r="H831" s="40" t="str">
        <f t="shared" si="20"/>
        <v/>
      </c>
      <c r="I831" s="35"/>
      <c r="J831" s="35"/>
      <c r="K831" s="40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5"/>
      <c r="G832" s="41"/>
      <c r="H832" s="40" t="str">
        <f t="shared" si="20"/>
        <v/>
      </c>
      <c r="I832" s="35"/>
      <c r="J832" s="35"/>
      <c r="K832" s="40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5"/>
      <c r="G833" s="41"/>
      <c r="H833" s="40" t="str">
        <f t="shared" si="20"/>
        <v/>
      </c>
      <c r="I833" s="35"/>
      <c r="J833" s="35"/>
      <c r="K833" s="40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5"/>
      <c r="G834" s="41"/>
      <c r="H834" s="40" t="str">
        <f t="shared" ref="H834:H897" si="21">IF(AND($F834="TEMP",$G834&gt;0,$M834&lt;&gt;""),$M834+$G834,"")</f>
        <v/>
      </c>
      <c r="I834" s="35"/>
      <c r="J834" s="35"/>
      <c r="K834" s="40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5"/>
      <c r="G835" s="41"/>
      <c r="H835" s="40" t="str">
        <f t="shared" si="21"/>
        <v/>
      </c>
      <c r="I835" s="35"/>
      <c r="J835" s="35"/>
      <c r="K835" s="40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5"/>
      <c r="G836" s="41"/>
      <c r="H836" s="40" t="str">
        <f t="shared" si="21"/>
        <v/>
      </c>
      <c r="I836" s="35"/>
      <c r="J836" s="35"/>
      <c r="K836" s="40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5"/>
      <c r="G837" s="41"/>
      <c r="H837" s="40" t="str">
        <f t="shared" si="21"/>
        <v/>
      </c>
      <c r="I837" s="35"/>
      <c r="J837" s="35"/>
      <c r="K837" s="40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5"/>
      <c r="G838" s="41"/>
      <c r="H838" s="40" t="str">
        <f t="shared" si="21"/>
        <v/>
      </c>
      <c r="I838" s="35"/>
      <c r="J838" s="35"/>
      <c r="K838" s="40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5"/>
      <c r="G839" s="41"/>
      <c r="H839" s="40" t="str">
        <f t="shared" si="21"/>
        <v/>
      </c>
      <c r="I839" s="35"/>
      <c r="J839" s="35"/>
      <c r="K839" s="40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5"/>
      <c r="G840" s="41"/>
      <c r="H840" s="40" t="str">
        <f t="shared" si="21"/>
        <v/>
      </c>
      <c r="I840" s="35"/>
      <c r="J840" s="35"/>
      <c r="K840" s="40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5"/>
      <c r="G841" s="41"/>
      <c r="H841" s="40" t="str">
        <f t="shared" si="21"/>
        <v/>
      </c>
      <c r="I841" s="35"/>
      <c r="J841" s="35"/>
      <c r="K841" s="40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5"/>
      <c r="G842" s="41"/>
      <c r="H842" s="40" t="str">
        <f t="shared" si="21"/>
        <v/>
      </c>
      <c r="I842" s="35"/>
      <c r="J842" s="35"/>
      <c r="K842" s="40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5"/>
      <c r="G843" s="41"/>
      <c r="H843" s="40" t="str">
        <f t="shared" si="21"/>
        <v/>
      </c>
      <c r="I843" s="35"/>
      <c r="J843" s="35"/>
      <c r="K843" s="40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5"/>
      <c r="G844" s="41"/>
      <c r="H844" s="40" t="str">
        <f t="shared" si="21"/>
        <v/>
      </c>
      <c r="I844" s="35"/>
      <c r="J844" s="35"/>
      <c r="K844" s="40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5"/>
      <c r="G845" s="41"/>
      <c r="H845" s="40" t="str">
        <f t="shared" si="21"/>
        <v/>
      </c>
      <c r="I845" s="35"/>
      <c r="J845" s="35"/>
      <c r="K845" s="40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5"/>
      <c r="G846" s="41"/>
      <c r="H846" s="40" t="str">
        <f t="shared" si="21"/>
        <v/>
      </c>
      <c r="I846" s="35"/>
      <c r="J846" s="35"/>
      <c r="K846" s="40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5"/>
      <c r="G847" s="41"/>
      <c r="H847" s="40" t="str">
        <f t="shared" si="21"/>
        <v/>
      </c>
      <c r="I847" s="35"/>
      <c r="J847" s="35"/>
      <c r="K847" s="40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5"/>
      <c r="G848" s="41"/>
      <c r="H848" s="40" t="str">
        <f t="shared" si="21"/>
        <v/>
      </c>
      <c r="I848" s="35"/>
      <c r="J848" s="35"/>
      <c r="K848" s="40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5"/>
      <c r="G849" s="41"/>
      <c r="H849" s="40" t="str">
        <f t="shared" si="21"/>
        <v/>
      </c>
      <c r="I849" s="35"/>
      <c r="J849" s="35"/>
      <c r="K849" s="40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5"/>
      <c r="G850" s="41"/>
      <c r="H850" s="40" t="str">
        <f t="shared" si="21"/>
        <v/>
      </c>
      <c r="I850" s="35"/>
      <c r="J850" s="35"/>
      <c r="K850" s="40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5"/>
      <c r="G851" s="41"/>
      <c r="H851" s="40" t="str">
        <f t="shared" si="21"/>
        <v/>
      </c>
      <c r="I851" s="35"/>
      <c r="J851" s="35"/>
      <c r="K851" s="40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5"/>
      <c r="G852" s="41"/>
      <c r="H852" s="40" t="str">
        <f t="shared" si="21"/>
        <v/>
      </c>
      <c r="I852" s="35"/>
      <c r="J852" s="35"/>
      <c r="K852" s="40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5"/>
      <c r="G853" s="41"/>
      <c r="H853" s="40" t="str">
        <f t="shared" si="21"/>
        <v/>
      </c>
      <c r="I853" s="35"/>
      <c r="J853" s="35"/>
      <c r="K853" s="40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5"/>
      <c r="G854" s="41"/>
      <c r="H854" s="40" t="str">
        <f t="shared" si="21"/>
        <v/>
      </c>
      <c r="I854" s="35"/>
      <c r="J854" s="35"/>
      <c r="K854" s="40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5"/>
      <c r="G855" s="41"/>
      <c r="H855" s="40" t="str">
        <f t="shared" si="21"/>
        <v/>
      </c>
      <c r="I855" s="35"/>
      <c r="J855" s="35"/>
      <c r="K855" s="40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5"/>
      <c r="G856" s="41"/>
      <c r="H856" s="40" t="str">
        <f t="shared" si="21"/>
        <v/>
      </c>
      <c r="I856" s="35"/>
      <c r="J856" s="35"/>
      <c r="K856" s="40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5"/>
      <c r="G857" s="41"/>
      <c r="H857" s="40" t="str">
        <f t="shared" si="21"/>
        <v/>
      </c>
      <c r="I857" s="35"/>
      <c r="J857" s="35"/>
      <c r="K857" s="40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5"/>
      <c r="G858" s="41"/>
      <c r="H858" s="40" t="str">
        <f t="shared" si="21"/>
        <v/>
      </c>
      <c r="I858" s="35"/>
      <c r="J858" s="35"/>
      <c r="K858" s="40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5"/>
      <c r="G859" s="41"/>
      <c r="H859" s="40" t="str">
        <f t="shared" si="21"/>
        <v/>
      </c>
      <c r="I859" s="35"/>
      <c r="J859" s="35"/>
      <c r="K859" s="40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5"/>
      <c r="G860" s="41"/>
      <c r="H860" s="40" t="str">
        <f t="shared" si="21"/>
        <v/>
      </c>
      <c r="I860" s="35"/>
      <c r="J860" s="35"/>
      <c r="K860" s="40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5"/>
      <c r="G861" s="41"/>
      <c r="H861" s="40" t="str">
        <f t="shared" si="21"/>
        <v/>
      </c>
      <c r="I861" s="35"/>
      <c r="J861" s="35"/>
      <c r="K861" s="40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5"/>
      <c r="G862" s="41"/>
      <c r="H862" s="40" t="str">
        <f t="shared" si="21"/>
        <v/>
      </c>
      <c r="I862" s="35"/>
      <c r="J862" s="35"/>
      <c r="K862" s="40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5"/>
      <c r="G863" s="41"/>
      <c r="H863" s="40" t="str">
        <f t="shared" si="21"/>
        <v/>
      </c>
      <c r="I863" s="35"/>
      <c r="J863" s="35"/>
      <c r="K863" s="40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5"/>
      <c r="G864" s="41"/>
      <c r="H864" s="40" t="str">
        <f t="shared" si="21"/>
        <v/>
      </c>
      <c r="I864" s="35"/>
      <c r="J864" s="35"/>
      <c r="K864" s="40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5"/>
      <c r="G865" s="41"/>
      <c r="H865" s="40" t="str">
        <f t="shared" si="21"/>
        <v/>
      </c>
      <c r="I865" s="35"/>
      <c r="J865" s="35"/>
      <c r="K865" s="40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5"/>
      <c r="G866" s="41"/>
      <c r="H866" s="40" t="str">
        <f t="shared" si="21"/>
        <v/>
      </c>
      <c r="I866" s="35"/>
      <c r="J866" s="35"/>
      <c r="K866" s="40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5"/>
      <c r="G867" s="41"/>
      <c r="H867" s="40" t="str">
        <f t="shared" si="21"/>
        <v/>
      </c>
      <c r="I867" s="35"/>
      <c r="J867" s="35"/>
      <c r="K867" s="40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5"/>
      <c r="G868" s="41"/>
      <c r="H868" s="40" t="str">
        <f t="shared" si="21"/>
        <v/>
      </c>
      <c r="I868" s="35"/>
      <c r="J868" s="35"/>
      <c r="K868" s="40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5"/>
      <c r="G869" s="41"/>
      <c r="H869" s="40" t="str">
        <f t="shared" si="21"/>
        <v/>
      </c>
      <c r="I869" s="35"/>
      <c r="J869" s="35"/>
      <c r="K869" s="40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5"/>
      <c r="G870" s="41"/>
      <c r="H870" s="40" t="str">
        <f t="shared" si="21"/>
        <v/>
      </c>
      <c r="I870" s="35"/>
      <c r="J870" s="35"/>
      <c r="K870" s="40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5"/>
      <c r="G871" s="41"/>
      <c r="H871" s="40" t="str">
        <f t="shared" si="21"/>
        <v/>
      </c>
      <c r="I871" s="35"/>
      <c r="J871" s="35"/>
      <c r="K871" s="40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5"/>
      <c r="G872" s="41"/>
      <c r="H872" s="40" t="str">
        <f t="shared" si="21"/>
        <v/>
      </c>
      <c r="I872" s="35"/>
      <c r="J872" s="35"/>
      <c r="K872" s="40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5"/>
      <c r="G873" s="41"/>
      <c r="H873" s="40" t="str">
        <f t="shared" si="21"/>
        <v/>
      </c>
      <c r="I873" s="35"/>
      <c r="J873" s="35"/>
      <c r="K873" s="40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5"/>
      <c r="G874" s="41"/>
      <c r="H874" s="40" t="str">
        <f t="shared" si="21"/>
        <v/>
      </c>
      <c r="I874" s="35"/>
      <c r="J874" s="35"/>
      <c r="K874" s="40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5"/>
      <c r="G875" s="41"/>
      <c r="H875" s="40" t="str">
        <f t="shared" si="21"/>
        <v/>
      </c>
      <c r="I875" s="35"/>
      <c r="J875" s="35"/>
      <c r="K875" s="40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5"/>
      <c r="G876" s="41"/>
      <c r="H876" s="40" t="str">
        <f t="shared" si="21"/>
        <v/>
      </c>
      <c r="I876" s="35"/>
      <c r="J876" s="35"/>
      <c r="K876" s="40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5"/>
      <c r="G877" s="41"/>
      <c r="H877" s="40" t="str">
        <f t="shared" si="21"/>
        <v/>
      </c>
      <c r="I877" s="35"/>
      <c r="J877" s="35"/>
      <c r="K877" s="40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5"/>
      <c r="G878" s="41"/>
      <c r="H878" s="40" t="str">
        <f t="shared" si="21"/>
        <v/>
      </c>
      <c r="I878" s="35"/>
      <c r="J878" s="35"/>
      <c r="K878" s="40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5"/>
      <c r="G879" s="41"/>
      <c r="H879" s="40" t="str">
        <f t="shared" si="21"/>
        <v/>
      </c>
      <c r="I879" s="35"/>
      <c r="J879" s="35"/>
      <c r="K879" s="40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5"/>
      <c r="G880" s="41"/>
      <c r="H880" s="40" t="str">
        <f t="shared" si="21"/>
        <v/>
      </c>
      <c r="I880" s="35"/>
      <c r="J880" s="35"/>
      <c r="K880" s="40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5"/>
      <c r="G881" s="41"/>
      <c r="H881" s="40" t="str">
        <f t="shared" si="21"/>
        <v/>
      </c>
      <c r="I881" s="35"/>
      <c r="J881" s="35"/>
      <c r="K881" s="40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5"/>
      <c r="G882" s="41"/>
      <c r="H882" s="40" t="str">
        <f t="shared" si="21"/>
        <v/>
      </c>
      <c r="I882" s="35"/>
      <c r="J882" s="35"/>
      <c r="K882" s="40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5"/>
      <c r="G883" s="41"/>
      <c r="H883" s="40" t="str">
        <f t="shared" si="21"/>
        <v/>
      </c>
      <c r="I883" s="35"/>
      <c r="J883" s="35"/>
      <c r="K883" s="40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5"/>
      <c r="G884" s="41"/>
      <c r="H884" s="40" t="str">
        <f t="shared" si="21"/>
        <v/>
      </c>
      <c r="I884" s="35"/>
      <c r="J884" s="35"/>
      <c r="K884" s="40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5"/>
      <c r="G885" s="41"/>
      <c r="H885" s="40" t="str">
        <f t="shared" si="21"/>
        <v/>
      </c>
      <c r="I885" s="35"/>
      <c r="J885" s="35"/>
      <c r="K885" s="40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5"/>
      <c r="G886" s="41"/>
      <c r="H886" s="40" t="str">
        <f t="shared" si="21"/>
        <v/>
      </c>
      <c r="I886" s="35"/>
      <c r="J886" s="35"/>
      <c r="K886" s="40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5"/>
      <c r="G887" s="41"/>
      <c r="H887" s="40" t="str">
        <f t="shared" si="21"/>
        <v/>
      </c>
      <c r="I887" s="35"/>
      <c r="J887" s="35"/>
      <c r="K887" s="40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5"/>
      <c r="G888" s="41"/>
      <c r="H888" s="40" t="str">
        <f t="shared" si="21"/>
        <v/>
      </c>
      <c r="I888" s="35"/>
      <c r="J888" s="35"/>
      <c r="K888" s="40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5"/>
      <c r="G889" s="41"/>
      <c r="H889" s="40" t="str">
        <f t="shared" si="21"/>
        <v/>
      </c>
      <c r="I889" s="35"/>
      <c r="J889" s="35"/>
      <c r="K889" s="40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5"/>
      <c r="G890" s="41"/>
      <c r="H890" s="40" t="str">
        <f t="shared" si="21"/>
        <v/>
      </c>
      <c r="I890" s="35"/>
      <c r="J890" s="35"/>
      <c r="K890" s="40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5"/>
      <c r="G891" s="41"/>
      <c r="H891" s="40" t="str">
        <f t="shared" si="21"/>
        <v/>
      </c>
      <c r="I891" s="35"/>
      <c r="J891" s="35"/>
      <c r="K891" s="40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5"/>
      <c r="G892" s="41"/>
      <c r="H892" s="40" t="str">
        <f t="shared" si="21"/>
        <v/>
      </c>
      <c r="I892" s="35"/>
      <c r="J892" s="35"/>
      <c r="K892" s="40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5"/>
      <c r="G893" s="41"/>
      <c r="H893" s="40" t="str">
        <f t="shared" si="21"/>
        <v/>
      </c>
      <c r="I893" s="35"/>
      <c r="J893" s="35"/>
      <c r="K893" s="40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5"/>
      <c r="G894" s="41"/>
      <c r="H894" s="40" t="str">
        <f t="shared" si="21"/>
        <v/>
      </c>
      <c r="I894" s="35"/>
      <c r="J894" s="35"/>
      <c r="K894" s="40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5"/>
      <c r="G895" s="41"/>
      <c r="H895" s="40" t="str">
        <f t="shared" si="21"/>
        <v/>
      </c>
      <c r="I895" s="35"/>
      <c r="J895" s="35"/>
      <c r="K895" s="40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5"/>
      <c r="G896" s="41"/>
      <c r="H896" s="40" t="str">
        <f t="shared" si="21"/>
        <v/>
      </c>
      <c r="I896" s="35"/>
      <c r="J896" s="35"/>
      <c r="K896" s="40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5"/>
      <c r="G897" s="41"/>
      <c r="H897" s="40" t="str">
        <f t="shared" si="21"/>
        <v/>
      </c>
      <c r="I897" s="35"/>
      <c r="J897" s="35"/>
      <c r="K897" s="40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5"/>
      <c r="G898" s="41"/>
      <c r="H898" s="40" t="str">
        <f t="shared" ref="H898:H961" si="22">IF(AND($F898="TEMP",$G898&gt;0,$M898&lt;&gt;""),$M898+$G898,"")</f>
        <v/>
      </c>
      <c r="I898" s="35"/>
      <c r="J898" s="35"/>
      <c r="K898" s="40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5"/>
      <c r="G899" s="41"/>
      <c r="H899" s="40" t="str">
        <f t="shared" si="22"/>
        <v/>
      </c>
      <c r="I899" s="35"/>
      <c r="J899" s="35"/>
      <c r="K899" s="40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5"/>
      <c r="G900" s="41"/>
      <c r="H900" s="40" t="str">
        <f t="shared" si="22"/>
        <v/>
      </c>
      <c r="I900" s="35"/>
      <c r="J900" s="35"/>
      <c r="K900" s="40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5"/>
      <c r="G901" s="41"/>
      <c r="H901" s="40" t="str">
        <f t="shared" si="22"/>
        <v/>
      </c>
      <c r="I901" s="35"/>
      <c r="J901" s="35"/>
      <c r="K901" s="40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5"/>
      <c r="G902" s="41"/>
      <c r="H902" s="40" t="str">
        <f t="shared" si="22"/>
        <v/>
      </c>
      <c r="I902" s="35"/>
      <c r="J902" s="35"/>
      <c r="K902" s="40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5"/>
      <c r="G903" s="41"/>
      <c r="H903" s="40" t="str">
        <f t="shared" si="22"/>
        <v/>
      </c>
      <c r="I903" s="35"/>
      <c r="J903" s="35"/>
      <c r="K903" s="40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5"/>
      <c r="G904" s="41"/>
      <c r="H904" s="40" t="str">
        <f t="shared" si="22"/>
        <v/>
      </c>
      <c r="I904" s="35"/>
      <c r="J904" s="35"/>
      <c r="K904" s="40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5"/>
      <c r="G905" s="41"/>
      <c r="H905" s="40" t="str">
        <f t="shared" si="22"/>
        <v/>
      </c>
      <c r="I905" s="35"/>
      <c r="J905" s="35"/>
      <c r="K905" s="40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5"/>
      <c r="G906" s="41"/>
      <c r="H906" s="40" t="str">
        <f t="shared" si="22"/>
        <v/>
      </c>
      <c r="I906" s="35"/>
      <c r="J906" s="35"/>
      <c r="K906" s="40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5"/>
      <c r="G907" s="41"/>
      <c r="H907" s="40" t="str">
        <f t="shared" si="22"/>
        <v/>
      </c>
      <c r="I907" s="35"/>
      <c r="J907" s="35"/>
      <c r="K907" s="40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5"/>
      <c r="G908" s="41"/>
      <c r="H908" s="40" t="str">
        <f t="shared" si="22"/>
        <v/>
      </c>
      <c r="I908" s="35"/>
      <c r="J908" s="35"/>
      <c r="K908" s="40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5"/>
      <c r="G909" s="41"/>
      <c r="H909" s="40" t="str">
        <f t="shared" si="22"/>
        <v/>
      </c>
      <c r="I909" s="35"/>
      <c r="J909" s="35"/>
      <c r="K909" s="40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5"/>
      <c r="G910" s="41"/>
      <c r="H910" s="40" t="str">
        <f t="shared" si="22"/>
        <v/>
      </c>
      <c r="I910" s="35"/>
      <c r="J910" s="35"/>
      <c r="K910" s="40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5"/>
      <c r="G911" s="41"/>
      <c r="H911" s="40" t="str">
        <f t="shared" si="22"/>
        <v/>
      </c>
      <c r="I911" s="35"/>
      <c r="J911" s="35"/>
      <c r="K911" s="40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5"/>
      <c r="G912" s="41"/>
      <c r="H912" s="40" t="str">
        <f t="shared" si="22"/>
        <v/>
      </c>
      <c r="I912" s="35"/>
      <c r="J912" s="35"/>
      <c r="K912" s="40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5"/>
      <c r="G913" s="41"/>
      <c r="H913" s="40" t="str">
        <f t="shared" si="22"/>
        <v/>
      </c>
      <c r="I913" s="35"/>
      <c r="J913" s="35"/>
      <c r="K913" s="40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5"/>
      <c r="G914" s="41"/>
      <c r="H914" s="40" t="str">
        <f t="shared" si="22"/>
        <v/>
      </c>
      <c r="I914" s="35"/>
      <c r="J914" s="35"/>
      <c r="K914" s="40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5"/>
      <c r="G915" s="41"/>
      <c r="H915" s="40" t="str">
        <f t="shared" si="22"/>
        <v/>
      </c>
      <c r="I915" s="35"/>
      <c r="J915" s="35"/>
      <c r="K915" s="40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5"/>
      <c r="G916" s="41"/>
      <c r="H916" s="40" t="str">
        <f t="shared" si="22"/>
        <v/>
      </c>
      <c r="I916" s="35"/>
      <c r="J916" s="35"/>
      <c r="K916" s="40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5"/>
      <c r="G917" s="41"/>
      <c r="H917" s="40" t="str">
        <f t="shared" si="22"/>
        <v/>
      </c>
      <c r="I917" s="35"/>
      <c r="J917" s="35"/>
      <c r="K917" s="40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5"/>
      <c r="G918" s="41"/>
      <c r="H918" s="40" t="str">
        <f t="shared" si="22"/>
        <v/>
      </c>
      <c r="I918" s="35"/>
      <c r="J918" s="35"/>
      <c r="K918" s="40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5"/>
      <c r="G919" s="41"/>
      <c r="H919" s="40" t="str">
        <f t="shared" si="22"/>
        <v/>
      </c>
      <c r="I919" s="35"/>
      <c r="J919" s="35"/>
      <c r="K919" s="40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5"/>
      <c r="G920" s="41"/>
      <c r="H920" s="40" t="str">
        <f t="shared" si="22"/>
        <v/>
      </c>
      <c r="I920" s="35"/>
      <c r="J920" s="35"/>
      <c r="K920" s="40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5"/>
      <c r="G921" s="41"/>
      <c r="H921" s="40" t="str">
        <f t="shared" si="22"/>
        <v/>
      </c>
      <c r="I921" s="35"/>
      <c r="J921" s="35"/>
      <c r="K921" s="40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5"/>
      <c r="G922" s="41"/>
      <c r="H922" s="40" t="str">
        <f t="shared" si="22"/>
        <v/>
      </c>
      <c r="I922" s="35"/>
      <c r="J922" s="35"/>
      <c r="K922" s="40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5"/>
      <c r="G923" s="41"/>
      <c r="H923" s="40" t="str">
        <f t="shared" si="22"/>
        <v/>
      </c>
      <c r="I923" s="35"/>
      <c r="J923" s="35"/>
      <c r="K923" s="40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5"/>
      <c r="G924" s="41"/>
      <c r="H924" s="40" t="str">
        <f t="shared" si="22"/>
        <v/>
      </c>
      <c r="I924" s="35"/>
      <c r="J924" s="35"/>
      <c r="K924" s="40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5"/>
      <c r="G925" s="41"/>
      <c r="H925" s="40" t="str">
        <f t="shared" si="22"/>
        <v/>
      </c>
      <c r="I925" s="35"/>
      <c r="J925" s="35"/>
      <c r="K925" s="40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5"/>
      <c r="G926" s="41"/>
      <c r="H926" s="40" t="str">
        <f t="shared" si="22"/>
        <v/>
      </c>
      <c r="I926" s="35"/>
      <c r="J926" s="35"/>
      <c r="K926" s="40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5"/>
      <c r="G927" s="41"/>
      <c r="H927" s="40" t="str">
        <f t="shared" si="22"/>
        <v/>
      </c>
      <c r="I927" s="35"/>
      <c r="J927" s="35"/>
      <c r="K927" s="40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5"/>
      <c r="G928" s="41"/>
      <c r="H928" s="40" t="str">
        <f t="shared" si="22"/>
        <v/>
      </c>
      <c r="I928" s="35"/>
      <c r="J928" s="35"/>
      <c r="K928" s="40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5"/>
      <c r="G929" s="41"/>
      <c r="H929" s="40" t="str">
        <f t="shared" si="22"/>
        <v/>
      </c>
      <c r="I929" s="35"/>
      <c r="J929" s="35"/>
      <c r="K929" s="40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5"/>
      <c r="G930" s="41"/>
      <c r="H930" s="40" t="str">
        <f t="shared" si="22"/>
        <v/>
      </c>
      <c r="I930" s="35"/>
      <c r="J930" s="35"/>
      <c r="K930" s="40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5"/>
      <c r="G931" s="41"/>
      <c r="H931" s="40" t="str">
        <f t="shared" si="22"/>
        <v/>
      </c>
      <c r="I931" s="35"/>
      <c r="J931" s="35"/>
      <c r="K931" s="40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5"/>
      <c r="G932" s="41"/>
      <c r="H932" s="40" t="str">
        <f t="shared" si="22"/>
        <v/>
      </c>
      <c r="I932" s="35"/>
      <c r="J932" s="35"/>
      <c r="K932" s="40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5"/>
      <c r="G933" s="41"/>
      <c r="H933" s="40" t="str">
        <f t="shared" si="22"/>
        <v/>
      </c>
      <c r="I933" s="35"/>
      <c r="J933" s="35"/>
      <c r="K933" s="40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5"/>
      <c r="G934" s="41"/>
      <c r="H934" s="40" t="str">
        <f t="shared" si="22"/>
        <v/>
      </c>
      <c r="I934" s="35"/>
      <c r="J934" s="35"/>
      <c r="K934" s="40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5"/>
      <c r="G935" s="41"/>
      <c r="H935" s="40" t="str">
        <f t="shared" si="22"/>
        <v/>
      </c>
      <c r="I935" s="35"/>
      <c r="J935" s="35"/>
      <c r="K935" s="40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5"/>
      <c r="G936" s="41"/>
      <c r="H936" s="40" t="str">
        <f t="shared" si="22"/>
        <v/>
      </c>
      <c r="I936" s="35"/>
      <c r="J936" s="35"/>
      <c r="K936" s="40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5"/>
      <c r="G937" s="41"/>
      <c r="H937" s="40" t="str">
        <f t="shared" si="22"/>
        <v/>
      </c>
      <c r="I937" s="35"/>
      <c r="J937" s="35"/>
      <c r="K937" s="40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5"/>
      <c r="G938" s="41"/>
      <c r="H938" s="40" t="str">
        <f t="shared" si="22"/>
        <v/>
      </c>
      <c r="I938" s="35"/>
      <c r="J938" s="35"/>
      <c r="K938" s="40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5"/>
      <c r="G939" s="41"/>
      <c r="H939" s="40" t="str">
        <f t="shared" si="22"/>
        <v/>
      </c>
      <c r="I939" s="35"/>
      <c r="J939" s="35"/>
      <c r="K939" s="40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5"/>
      <c r="G940" s="41"/>
      <c r="H940" s="40" t="str">
        <f t="shared" si="22"/>
        <v/>
      </c>
      <c r="I940" s="35"/>
      <c r="J940" s="35"/>
      <c r="K940" s="40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5"/>
      <c r="G941" s="41"/>
      <c r="H941" s="40" t="str">
        <f t="shared" si="22"/>
        <v/>
      </c>
      <c r="I941" s="35"/>
      <c r="J941" s="35"/>
      <c r="K941" s="40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5"/>
      <c r="G942" s="41"/>
      <c r="H942" s="40" t="str">
        <f t="shared" si="22"/>
        <v/>
      </c>
      <c r="I942" s="35"/>
      <c r="J942" s="35"/>
      <c r="K942" s="40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5"/>
      <c r="G943" s="41"/>
      <c r="H943" s="40" t="str">
        <f t="shared" si="22"/>
        <v/>
      </c>
      <c r="I943" s="35"/>
      <c r="J943" s="35"/>
      <c r="K943" s="40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5"/>
      <c r="G944" s="41"/>
      <c r="H944" s="40" t="str">
        <f t="shared" si="22"/>
        <v/>
      </c>
      <c r="I944" s="35"/>
      <c r="J944" s="35"/>
      <c r="K944" s="40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5"/>
      <c r="G945" s="41"/>
      <c r="H945" s="40" t="str">
        <f t="shared" si="22"/>
        <v/>
      </c>
      <c r="I945" s="35"/>
      <c r="J945" s="35"/>
      <c r="K945" s="40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5"/>
      <c r="G946" s="41"/>
      <c r="H946" s="40" t="str">
        <f t="shared" si="22"/>
        <v/>
      </c>
      <c r="I946" s="35"/>
      <c r="J946" s="35"/>
      <c r="K946" s="40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5"/>
      <c r="G947" s="41"/>
      <c r="H947" s="40" t="str">
        <f t="shared" si="22"/>
        <v/>
      </c>
      <c r="I947" s="35"/>
      <c r="J947" s="35"/>
      <c r="K947" s="40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5"/>
      <c r="G948" s="41"/>
      <c r="H948" s="40" t="str">
        <f t="shared" si="22"/>
        <v/>
      </c>
      <c r="I948" s="35"/>
      <c r="J948" s="35"/>
      <c r="K948" s="40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5"/>
      <c r="G949" s="41"/>
      <c r="H949" s="40" t="str">
        <f t="shared" si="22"/>
        <v/>
      </c>
      <c r="I949" s="35"/>
      <c r="J949" s="35"/>
      <c r="K949" s="40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5"/>
      <c r="G950" s="41"/>
      <c r="H950" s="40" t="str">
        <f t="shared" si="22"/>
        <v/>
      </c>
      <c r="I950" s="35"/>
      <c r="J950" s="35"/>
      <c r="K950" s="40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5"/>
      <c r="G951" s="41"/>
      <c r="H951" s="40" t="str">
        <f t="shared" si="22"/>
        <v/>
      </c>
      <c r="I951" s="35"/>
      <c r="J951" s="35"/>
      <c r="K951" s="40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5"/>
      <c r="G952" s="41"/>
      <c r="H952" s="40" t="str">
        <f t="shared" si="22"/>
        <v/>
      </c>
      <c r="I952" s="35"/>
      <c r="J952" s="35"/>
      <c r="K952" s="40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5"/>
      <c r="G953" s="41"/>
      <c r="H953" s="40" t="str">
        <f t="shared" si="22"/>
        <v/>
      </c>
      <c r="I953" s="35"/>
      <c r="J953" s="35"/>
      <c r="K953" s="40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5"/>
      <c r="G954" s="41"/>
      <c r="H954" s="40" t="str">
        <f t="shared" si="22"/>
        <v/>
      </c>
      <c r="I954" s="35"/>
      <c r="J954" s="35"/>
      <c r="K954" s="40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5"/>
      <c r="G955" s="41"/>
      <c r="H955" s="40" t="str">
        <f t="shared" si="22"/>
        <v/>
      </c>
      <c r="I955" s="35"/>
      <c r="J955" s="35"/>
      <c r="K955" s="40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5"/>
      <c r="G956" s="41"/>
      <c r="H956" s="40" t="str">
        <f t="shared" si="22"/>
        <v/>
      </c>
      <c r="I956" s="35"/>
      <c r="J956" s="35"/>
      <c r="K956" s="40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5"/>
      <c r="G957" s="41"/>
      <c r="H957" s="40" t="str">
        <f t="shared" si="22"/>
        <v/>
      </c>
      <c r="I957" s="35"/>
      <c r="J957" s="35"/>
      <c r="K957" s="40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5"/>
      <c r="G958" s="41"/>
      <c r="H958" s="40" t="str">
        <f t="shared" si="22"/>
        <v/>
      </c>
      <c r="I958" s="35"/>
      <c r="J958" s="35"/>
      <c r="K958" s="40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5"/>
      <c r="G959" s="41"/>
      <c r="H959" s="40" t="str">
        <f t="shared" si="22"/>
        <v/>
      </c>
      <c r="I959" s="35"/>
      <c r="J959" s="35"/>
      <c r="K959" s="40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5"/>
      <c r="G960" s="41"/>
      <c r="H960" s="40" t="str">
        <f t="shared" si="22"/>
        <v/>
      </c>
      <c r="I960" s="35"/>
      <c r="J960" s="35"/>
      <c r="K960" s="40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5"/>
      <c r="G961" s="41"/>
      <c r="H961" s="40" t="str">
        <f t="shared" si="22"/>
        <v/>
      </c>
      <c r="I961" s="35"/>
      <c r="J961" s="35"/>
      <c r="K961" s="40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5"/>
      <c r="G962" s="41"/>
      <c r="H962" s="40" t="str">
        <f t="shared" ref="H962:H1025" si="23">IF(AND($F962="TEMP",$G962&gt;0,$M962&lt;&gt;""),$M962+$G962,"")</f>
        <v/>
      </c>
      <c r="I962" s="35"/>
      <c r="J962" s="35"/>
      <c r="K962" s="40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5"/>
      <c r="G963" s="41"/>
      <c r="H963" s="40" t="str">
        <f t="shared" si="23"/>
        <v/>
      </c>
      <c r="I963" s="35"/>
      <c r="J963" s="35"/>
      <c r="K963" s="40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5"/>
      <c r="G964" s="41"/>
      <c r="H964" s="40" t="str">
        <f t="shared" si="23"/>
        <v/>
      </c>
      <c r="I964" s="35"/>
      <c r="J964" s="35"/>
      <c r="K964" s="40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5"/>
      <c r="G965" s="41"/>
      <c r="H965" s="40" t="str">
        <f t="shared" si="23"/>
        <v/>
      </c>
      <c r="I965" s="35"/>
      <c r="J965" s="35"/>
      <c r="K965" s="40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5"/>
      <c r="G966" s="41"/>
      <c r="H966" s="40" t="str">
        <f t="shared" si="23"/>
        <v/>
      </c>
      <c r="I966" s="35"/>
      <c r="J966" s="35"/>
      <c r="K966" s="40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5"/>
      <c r="G967" s="41"/>
      <c r="H967" s="40" t="str">
        <f t="shared" si="23"/>
        <v/>
      </c>
      <c r="I967" s="35"/>
      <c r="J967" s="35"/>
      <c r="K967" s="40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5"/>
      <c r="G968" s="41"/>
      <c r="H968" s="40" t="str">
        <f t="shared" si="23"/>
        <v/>
      </c>
      <c r="I968" s="35"/>
      <c r="J968" s="35"/>
      <c r="K968" s="40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5"/>
      <c r="G969" s="41"/>
      <c r="H969" s="40" t="str">
        <f t="shared" si="23"/>
        <v/>
      </c>
      <c r="I969" s="35"/>
      <c r="J969" s="35"/>
      <c r="K969" s="40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5"/>
      <c r="G970" s="41"/>
      <c r="H970" s="40" t="str">
        <f t="shared" si="23"/>
        <v/>
      </c>
      <c r="I970" s="35"/>
      <c r="J970" s="35"/>
      <c r="K970" s="40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5"/>
      <c r="G971" s="41"/>
      <c r="H971" s="40" t="str">
        <f t="shared" si="23"/>
        <v/>
      </c>
      <c r="I971" s="35"/>
      <c r="J971" s="35"/>
      <c r="K971" s="40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5"/>
      <c r="G972" s="41"/>
      <c r="H972" s="40" t="str">
        <f t="shared" si="23"/>
        <v/>
      </c>
      <c r="I972" s="35"/>
      <c r="J972" s="35"/>
      <c r="K972" s="40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5"/>
      <c r="G973" s="41"/>
      <c r="H973" s="40" t="str">
        <f t="shared" si="23"/>
        <v/>
      </c>
      <c r="I973" s="35"/>
      <c r="J973" s="35"/>
      <c r="K973" s="40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5"/>
      <c r="G974" s="41"/>
      <c r="H974" s="40" t="str">
        <f t="shared" si="23"/>
        <v/>
      </c>
      <c r="I974" s="35"/>
      <c r="J974" s="35"/>
      <c r="K974" s="40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5"/>
      <c r="G975" s="41"/>
      <c r="H975" s="40" t="str">
        <f t="shared" si="23"/>
        <v/>
      </c>
      <c r="I975" s="35"/>
      <c r="J975" s="35"/>
      <c r="K975" s="40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5"/>
      <c r="G976" s="41"/>
      <c r="H976" s="40" t="str">
        <f t="shared" si="23"/>
        <v/>
      </c>
      <c r="I976" s="35"/>
      <c r="J976" s="35"/>
      <c r="K976" s="40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5"/>
      <c r="G977" s="41"/>
      <c r="H977" s="40" t="str">
        <f t="shared" si="23"/>
        <v/>
      </c>
      <c r="I977" s="35"/>
      <c r="J977" s="35"/>
      <c r="K977" s="40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5"/>
      <c r="G978" s="41"/>
      <c r="H978" s="40" t="str">
        <f t="shared" si="23"/>
        <v/>
      </c>
      <c r="I978" s="35"/>
      <c r="J978" s="35"/>
      <c r="K978" s="40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5"/>
      <c r="G979" s="41"/>
      <c r="H979" s="40" t="str">
        <f t="shared" si="23"/>
        <v/>
      </c>
      <c r="I979" s="35"/>
      <c r="J979" s="35"/>
      <c r="K979" s="40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5"/>
      <c r="G980" s="41"/>
      <c r="H980" s="40" t="str">
        <f t="shared" si="23"/>
        <v/>
      </c>
      <c r="I980" s="35"/>
      <c r="J980" s="35"/>
      <c r="K980" s="40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5"/>
      <c r="G981" s="41"/>
      <c r="H981" s="40" t="str">
        <f t="shared" si="23"/>
        <v/>
      </c>
      <c r="I981" s="35"/>
      <c r="J981" s="35"/>
      <c r="K981" s="40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5"/>
      <c r="G982" s="41"/>
      <c r="H982" s="40" t="str">
        <f t="shared" si="23"/>
        <v/>
      </c>
      <c r="I982" s="35"/>
      <c r="J982" s="35"/>
      <c r="K982" s="40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5"/>
      <c r="G983" s="41"/>
      <c r="H983" s="40" t="str">
        <f t="shared" si="23"/>
        <v/>
      </c>
      <c r="I983" s="35"/>
      <c r="J983" s="35"/>
      <c r="K983" s="40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5"/>
      <c r="G984" s="41"/>
      <c r="H984" s="40" t="str">
        <f t="shared" si="23"/>
        <v/>
      </c>
      <c r="I984" s="35"/>
      <c r="J984" s="35"/>
      <c r="K984" s="40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5"/>
      <c r="G985" s="41"/>
      <c r="H985" s="40" t="str">
        <f t="shared" si="23"/>
        <v/>
      </c>
      <c r="I985" s="35"/>
      <c r="J985" s="35"/>
      <c r="K985" s="40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5"/>
      <c r="G986" s="41"/>
      <c r="H986" s="40" t="str">
        <f t="shared" si="23"/>
        <v/>
      </c>
      <c r="I986" s="35"/>
      <c r="J986" s="35"/>
      <c r="K986" s="40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5"/>
      <c r="G987" s="41"/>
      <c r="H987" s="40" t="str">
        <f t="shared" si="23"/>
        <v/>
      </c>
      <c r="I987" s="35"/>
      <c r="J987" s="35"/>
      <c r="K987" s="40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5"/>
      <c r="G988" s="41"/>
      <c r="H988" s="40" t="str">
        <f t="shared" si="23"/>
        <v/>
      </c>
      <c r="I988" s="35"/>
      <c r="J988" s="35"/>
      <c r="K988" s="40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5"/>
      <c r="G989" s="41"/>
      <c r="H989" s="40" t="str">
        <f t="shared" si="23"/>
        <v/>
      </c>
      <c r="I989" s="35"/>
      <c r="J989" s="35"/>
      <c r="K989" s="40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5"/>
      <c r="G990" s="41"/>
      <c r="H990" s="40" t="str">
        <f t="shared" si="23"/>
        <v/>
      </c>
      <c r="I990" s="35"/>
      <c r="J990" s="35"/>
      <c r="K990" s="40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5"/>
      <c r="G991" s="41"/>
      <c r="H991" s="40" t="str">
        <f t="shared" si="23"/>
        <v/>
      </c>
      <c r="I991" s="35"/>
      <c r="J991" s="35"/>
      <c r="K991" s="40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5"/>
      <c r="G992" s="41"/>
      <c r="H992" s="40" t="str">
        <f t="shared" si="23"/>
        <v/>
      </c>
      <c r="I992" s="35"/>
      <c r="J992" s="35"/>
      <c r="K992" s="40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5"/>
      <c r="G993" s="41"/>
      <c r="H993" s="40" t="str">
        <f t="shared" si="23"/>
        <v/>
      </c>
      <c r="I993" s="35"/>
      <c r="J993" s="35"/>
      <c r="K993" s="40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5"/>
      <c r="G994" s="41"/>
      <c r="H994" s="40" t="str">
        <f t="shared" si="23"/>
        <v/>
      </c>
      <c r="I994" s="35"/>
      <c r="J994" s="35"/>
      <c r="K994" s="40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5"/>
      <c r="G995" s="41"/>
      <c r="H995" s="40" t="str">
        <f t="shared" si="23"/>
        <v/>
      </c>
      <c r="I995" s="35"/>
      <c r="J995" s="35"/>
      <c r="K995" s="40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5"/>
      <c r="G996" s="41"/>
      <c r="H996" s="40" t="str">
        <f t="shared" si="23"/>
        <v/>
      </c>
      <c r="I996" s="35"/>
      <c r="J996" s="35"/>
      <c r="K996" s="40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5"/>
      <c r="G997" s="41"/>
      <c r="H997" s="40" t="str">
        <f t="shared" si="23"/>
        <v/>
      </c>
      <c r="I997" s="35"/>
      <c r="J997" s="35"/>
      <c r="K997" s="40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5"/>
      <c r="G998" s="41"/>
      <c r="H998" s="40" t="str">
        <f t="shared" si="23"/>
        <v/>
      </c>
      <c r="I998" s="35"/>
      <c r="J998" s="35"/>
      <c r="K998" s="40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5"/>
      <c r="G999" s="41"/>
      <c r="H999" s="40" t="str">
        <f t="shared" si="23"/>
        <v/>
      </c>
      <c r="I999" s="35"/>
      <c r="J999" s="35"/>
      <c r="K999" s="40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5"/>
      <c r="G1000" s="41"/>
      <c r="H1000" s="40" t="str">
        <f t="shared" si="23"/>
        <v/>
      </c>
      <c r="I1000" s="35"/>
      <c r="J1000" s="35"/>
      <c r="K1000" s="40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5"/>
      <c r="G1001" s="41"/>
      <c r="H1001" s="40" t="str">
        <f t="shared" si="23"/>
        <v/>
      </c>
      <c r="I1001" s="35"/>
      <c r="J1001" s="35"/>
      <c r="K1001" s="40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5"/>
      <c r="G1002" s="41"/>
      <c r="H1002" s="40" t="str">
        <f t="shared" si="23"/>
        <v/>
      </c>
      <c r="I1002" s="35"/>
      <c r="J1002" s="35"/>
      <c r="K1002" s="40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5"/>
      <c r="G1003" s="41"/>
      <c r="H1003" s="40" t="str">
        <f t="shared" si="23"/>
        <v/>
      </c>
      <c r="I1003" s="35"/>
      <c r="J1003" s="35"/>
      <c r="K1003" s="40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5"/>
      <c r="G1004" s="41"/>
      <c r="H1004" s="40" t="str">
        <f t="shared" si="23"/>
        <v/>
      </c>
      <c r="I1004" s="35"/>
      <c r="J1004" s="35"/>
      <c r="K1004" s="40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5"/>
      <c r="G1005" s="41"/>
      <c r="H1005" s="40" t="str">
        <f t="shared" si="23"/>
        <v/>
      </c>
      <c r="I1005" s="35"/>
      <c r="J1005" s="35"/>
      <c r="K1005" s="40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5"/>
      <c r="G1006" s="41"/>
      <c r="H1006" s="40" t="str">
        <f t="shared" si="23"/>
        <v/>
      </c>
      <c r="I1006" s="35"/>
      <c r="J1006" s="35"/>
      <c r="K1006" s="40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5"/>
      <c r="G1007" s="41"/>
      <c r="H1007" s="40" t="str">
        <f t="shared" si="23"/>
        <v/>
      </c>
      <c r="I1007" s="35"/>
      <c r="J1007" s="35"/>
      <c r="K1007" s="40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5"/>
      <c r="G1008" s="41"/>
      <c r="H1008" s="40" t="str">
        <f t="shared" si="23"/>
        <v/>
      </c>
      <c r="I1008" s="35"/>
      <c r="J1008" s="35"/>
      <c r="K1008" s="40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5"/>
      <c r="G1009" s="41"/>
      <c r="H1009" s="40" t="str">
        <f t="shared" si="23"/>
        <v/>
      </c>
      <c r="I1009" s="35"/>
      <c r="J1009" s="35"/>
      <c r="K1009" s="40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5"/>
      <c r="G1010" s="41"/>
      <c r="H1010" s="40" t="str">
        <f t="shared" si="23"/>
        <v/>
      </c>
      <c r="I1010" s="35"/>
      <c r="J1010" s="35"/>
      <c r="K1010" s="40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5"/>
      <c r="G1011" s="41"/>
      <c r="H1011" s="40" t="str">
        <f t="shared" si="23"/>
        <v/>
      </c>
      <c r="I1011" s="35"/>
      <c r="J1011" s="35"/>
      <c r="K1011" s="40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5"/>
      <c r="G1012" s="41"/>
      <c r="H1012" s="40" t="str">
        <f t="shared" si="23"/>
        <v/>
      </c>
      <c r="I1012" s="35"/>
      <c r="J1012" s="35"/>
      <c r="K1012" s="40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5"/>
      <c r="G1013" s="41"/>
      <c r="H1013" s="40" t="str">
        <f t="shared" si="23"/>
        <v/>
      </c>
      <c r="I1013" s="35"/>
      <c r="J1013" s="35"/>
      <c r="K1013" s="40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5"/>
      <c r="G1014" s="41"/>
      <c r="H1014" s="40" t="str">
        <f t="shared" si="23"/>
        <v/>
      </c>
      <c r="I1014" s="35"/>
      <c r="J1014" s="35"/>
      <c r="K1014" s="40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5"/>
      <c r="G1015" s="41"/>
      <c r="H1015" s="40" t="str">
        <f t="shared" si="23"/>
        <v/>
      </c>
      <c r="I1015" s="35"/>
      <c r="J1015" s="35"/>
      <c r="K1015" s="40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5"/>
      <c r="G1016" s="41"/>
      <c r="H1016" s="40" t="str">
        <f t="shared" si="23"/>
        <v/>
      </c>
      <c r="I1016" s="35"/>
      <c r="J1016" s="35"/>
      <c r="K1016" s="40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5"/>
      <c r="G1017" s="41"/>
      <c r="H1017" s="40" t="str">
        <f t="shared" si="23"/>
        <v/>
      </c>
      <c r="I1017" s="35"/>
      <c r="J1017" s="35"/>
      <c r="K1017" s="40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5"/>
      <c r="G1018" s="41"/>
      <c r="H1018" s="40" t="str">
        <f t="shared" si="23"/>
        <v/>
      </c>
      <c r="I1018" s="35"/>
      <c r="J1018" s="35"/>
      <c r="K1018" s="40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5"/>
      <c r="G1019" s="41"/>
      <c r="H1019" s="40" t="str">
        <f t="shared" si="23"/>
        <v/>
      </c>
      <c r="I1019" s="35"/>
      <c r="J1019" s="35"/>
      <c r="K1019" s="40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5"/>
      <c r="G1020" s="41"/>
      <c r="H1020" s="40" t="str">
        <f t="shared" si="23"/>
        <v/>
      </c>
      <c r="I1020" s="35"/>
      <c r="J1020" s="35"/>
      <c r="K1020" s="40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5"/>
      <c r="G1021" s="41"/>
      <c r="H1021" s="40" t="str">
        <f t="shared" si="23"/>
        <v/>
      </c>
      <c r="I1021" s="35"/>
      <c r="J1021" s="35"/>
      <c r="K1021" s="40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5"/>
      <c r="G1022" s="41"/>
      <c r="H1022" s="40" t="str">
        <f t="shared" si="23"/>
        <v/>
      </c>
      <c r="I1022" s="35"/>
      <c r="J1022" s="35"/>
      <c r="K1022" s="40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5"/>
      <c r="G1023" s="41"/>
      <c r="H1023" s="40" t="str">
        <f t="shared" si="23"/>
        <v/>
      </c>
      <c r="I1023" s="35"/>
      <c r="J1023" s="35"/>
      <c r="K1023" s="40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5"/>
      <c r="G1024" s="41"/>
      <c r="H1024" s="40" t="str">
        <f t="shared" si="23"/>
        <v/>
      </c>
      <c r="I1024" s="35"/>
      <c r="J1024" s="35"/>
      <c r="K1024" s="40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5"/>
      <c r="G1025" s="41"/>
      <c r="H1025" s="40" t="str">
        <f t="shared" si="23"/>
        <v/>
      </c>
      <c r="I1025" s="35"/>
      <c r="J1025" s="35"/>
      <c r="K1025" s="40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5"/>
      <c r="G1026" s="41"/>
      <c r="H1026" s="40" t="str">
        <f t="shared" ref="H1026:H1089" si="24">IF(AND($F1026="TEMP",$G1026&gt;0,$M1026&lt;&gt;""),$M1026+$G1026,"")</f>
        <v/>
      </c>
      <c r="I1026" s="35"/>
      <c r="J1026" s="35"/>
      <c r="K1026" s="40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5"/>
      <c r="G1027" s="41"/>
      <c r="H1027" s="40" t="str">
        <f t="shared" si="24"/>
        <v/>
      </c>
      <c r="I1027" s="35"/>
      <c r="J1027" s="35"/>
      <c r="K1027" s="40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5"/>
      <c r="G1028" s="41"/>
      <c r="H1028" s="40" t="str">
        <f t="shared" si="24"/>
        <v/>
      </c>
      <c r="I1028" s="35"/>
      <c r="J1028" s="35"/>
      <c r="K1028" s="40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5"/>
      <c r="G1029" s="41"/>
      <c r="H1029" s="40" t="str">
        <f t="shared" si="24"/>
        <v/>
      </c>
      <c r="I1029" s="35"/>
      <c r="J1029" s="35"/>
      <c r="K1029" s="40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5"/>
      <c r="G1030" s="41"/>
      <c r="H1030" s="40" t="str">
        <f t="shared" si="24"/>
        <v/>
      </c>
      <c r="I1030" s="35"/>
      <c r="J1030" s="35"/>
      <c r="K1030" s="40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5"/>
      <c r="G1031" s="41"/>
      <c r="H1031" s="40" t="str">
        <f t="shared" si="24"/>
        <v/>
      </c>
      <c r="I1031" s="35"/>
      <c r="J1031" s="35"/>
      <c r="K1031" s="40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5"/>
      <c r="G1032" s="41"/>
      <c r="H1032" s="40" t="str">
        <f t="shared" si="24"/>
        <v/>
      </c>
      <c r="I1032" s="35"/>
      <c r="J1032" s="35"/>
      <c r="K1032" s="40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5"/>
      <c r="G1033" s="41"/>
      <c r="H1033" s="40" t="str">
        <f t="shared" si="24"/>
        <v/>
      </c>
      <c r="I1033" s="35"/>
      <c r="J1033" s="35"/>
      <c r="K1033" s="40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5"/>
      <c r="G1034" s="41"/>
      <c r="H1034" s="40" t="str">
        <f t="shared" si="24"/>
        <v/>
      </c>
      <c r="I1034" s="35"/>
      <c r="J1034" s="35"/>
      <c r="K1034" s="40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5"/>
      <c r="G1035" s="41"/>
      <c r="H1035" s="40" t="str">
        <f t="shared" si="24"/>
        <v/>
      </c>
      <c r="I1035" s="35"/>
      <c r="J1035" s="35"/>
      <c r="K1035" s="40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5"/>
      <c r="G1036" s="41"/>
      <c r="H1036" s="40" t="str">
        <f t="shared" si="24"/>
        <v/>
      </c>
      <c r="I1036" s="35"/>
      <c r="J1036" s="35"/>
      <c r="K1036" s="40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5"/>
      <c r="G1037" s="41"/>
      <c r="H1037" s="40" t="str">
        <f t="shared" si="24"/>
        <v/>
      </c>
      <c r="I1037" s="35"/>
      <c r="J1037" s="35"/>
      <c r="K1037" s="40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5"/>
      <c r="G1038" s="41"/>
      <c r="H1038" s="40" t="str">
        <f t="shared" si="24"/>
        <v/>
      </c>
      <c r="I1038" s="35"/>
      <c r="J1038" s="35"/>
      <c r="K1038" s="40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5"/>
      <c r="G1039" s="41"/>
      <c r="H1039" s="40" t="str">
        <f t="shared" si="24"/>
        <v/>
      </c>
      <c r="I1039" s="35"/>
      <c r="J1039" s="35"/>
      <c r="K1039" s="40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5"/>
      <c r="G1040" s="41"/>
      <c r="H1040" s="40" t="str">
        <f t="shared" si="24"/>
        <v/>
      </c>
      <c r="I1040" s="35"/>
      <c r="J1040" s="35"/>
      <c r="K1040" s="40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5"/>
      <c r="G1041" s="41"/>
      <c r="H1041" s="40" t="str">
        <f t="shared" si="24"/>
        <v/>
      </c>
      <c r="I1041" s="35"/>
      <c r="J1041" s="35"/>
      <c r="K1041" s="40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5"/>
      <c r="G1042" s="41"/>
      <c r="H1042" s="40" t="str">
        <f t="shared" si="24"/>
        <v/>
      </c>
      <c r="I1042" s="35"/>
      <c r="J1042" s="35"/>
      <c r="K1042" s="40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5"/>
      <c r="G1043" s="41"/>
      <c r="H1043" s="40" t="str">
        <f t="shared" si="24"/>
        <v/>
      </c>
      <c r="I1043" s="35"/>
      <c r="J1043" s="35"/>
      <c r="K1043" s="40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5"/>
      <c r="G1044" s="41"/>
      <c r="H1044" s="40" t="str">
        <f t="shared" si="24"/>
        <v/>
      </c>
      <c r="I1044" s="35"/>
      <c r="J1044" s="35"/>
      <c r="K1044" s="40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5"/>
      <c r="G1045" s="41"/>
      <c r="H1045" s="40" t="str">
        <f t="shared" si="24"/>
        <v/>
      </c>
      <c r="I1045" s="35"/>
      <c r="J1045" s="35"/>
      <c r="K1045" s="40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5"/>
      <c r="G1046" s="41"/>
      <c r="H1046" s="40" t="str">
        <f t="shared" si="24"/>
        <v/>
      </c>
      <c r="I1046" s="35"/>
      <c r="J1046" s="35"/>
      <c r="K1046" s="40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5"/>
      <c r="G1047" s="41"/>
      <c r="H1047" s="40" t="str">
        <f t="shared" si="24"/>
        <v/>
      </c>
      <c r="I1047" s="35"/>
      <c r="J1047" s="35"/>
      <c r="K1047" s="40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5"/>
      <c r="G1048" s="41"/>
      <c r="H1048" s="40" t="str">
        <f t="shared" si="24"/>
        <v/>
      </c>
      <c r="I1048" s="35"/>
      <c r="J1048" s="35"/>
      <c r="K1048" s="40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5"/>
      <c r="G1049" s="41"/>
      <c r="H1049" s="40" t="str">
        <f t="shared" si="24"/>
        <v/>
      </c>
      <c r="I1049" s="35"/>
      <c r="J1049" s="35"/>
      <c r="K1049" s="40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5"/>
      <c r="G1050" s="41"/>
      <c r="H1050" s="40" t="str">
        <f t="shared" si="24"/>
        <v/>
      </c>
      <c r="I1050" s="35"/>
      <c r="J1050" s="35"/>
      <c r="K1050" s="40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5"/>
      <c r="G1051" s="41"/>
      <c r="H1051" s="40" t="str">
        <f t="shared" si="24"/>
        <v/>
      </c>
      <c r="I1051" s="35"/>
      <c r="J1051" s="35"/>
      <c r="K1051" s="40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5"/>
      <c r="G1052" s="41"/>
      <c r="H1052" s="40" t="str">
        <f t="shared" si="24"/>
        <v/>
      </c>
      <c r="I1052" s="35"/>
      <c r="J1052" s="35"/>
      <c r="K1052" s="40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5"/>
      <c r="G1053" s="41"/>
      <c r="H1053" s="40" t="str">
        <f t="shared" si="24"/>
        <v/>
      </c>
      <c r="I1053" s="35"/>
      <c r="J1053" s="35"/>
      <c r="K1053" s="40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5"/>
      <c r="G1054" s="41"/>
      <c r="H1054" s="40" t="str">
        <f t="shared" si="24"/>
        <v/>
      </c>
      <c r="I1054" s="35"/>
      <c r="J1054" s="35"/>
      <c r="K1054" s="40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5"/>
      <c r="G1055" s="41"/>
      <c r="H1055" s="40" t="str">
        <f t="shared" si="24"/>
        <v/>
      </c>
      <c r="I1055" s="35"/>
      <c r="J1055" s="35"/>
      <c r="K1055" s="40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5"/>
      <c r="G1056" s="41"/>
      <c r="H1056" s="40" t="str">
        <f t="shared" si="24"/>
        <v/>
      </c>
      <c r="I1056" s="35"/>
      <c r="J1056" s="35"/>
      <c r="K1056" s="40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5"/>
      <c r="G1057" s="41"/>
      <c r="H1057" s="40" t="str">
        <f t="shared" si="24"/>
        <v/>
      </c>
      <c r="I1057" s="35"/>
      <c r="J1057" s="35"/>
      <c r="K1057" s="40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5"/>
      <c r="G1058" s="41"/>
      <c r="H1058" s="40" t="str">
        <f t="shared" si="24"/>
        <v/>
      </c>
      <c r="I1058" s="35"/>
      <c r="J1058" s="35"/>
      <c r="K1058" s="40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5"/>
      <c r="G1059" s="41"/>
      <c r="H1059" s="40" t="str">
        <f t="shared" si="24"/>
        <v/>
      </c>
      <c r="I1059" s="35"/>
      <c r="J1059" s="35"/>
      <c r="K1059" s="40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5"/>
      <c r="G1060" s="41"/>
      <c r="H1060" s="40" t="str">
        <f t="shared" si="24"/>
        <v/>
      </c>
      <c r="I1060" s="35"/>
      <c r="J1060" s="35"/>
      <c r="K1060" s="40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5"/>
      <c r="G1061" s="41"/>
      <c r="H1061" s="40" t="str">
        <f t="shared" si="24"/>
        <v/>
      </c>
      <c r="I1061" s="35"/>
      <c r="J1061" s="35"/>
      <c r="K1061" s="40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5"/>
      <c r="G1062" s="41"/>
      <c r="H1062" s="40" t="str">
        <f t="shared" si="24"/>
        <v/>
      </c>
      <c r="I1062" s="35"/>
      <c r="J1062" s="35"/>
      <c r="K1062" s="40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5"/>
      <c r="G1063" s="41"/>
      <c r="H1063" s="40" t="str">
        <f t="shared" si="24"/>
        <v/>
      </c>
      <c r="I1063" s="35"/>
      <c r="J1063" s="35"/>
      <c r="K1063" s="40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5"/>
      <c r="G1064" s="41"/>
      <c r="H1064" s="40" t="str">
        <f t="shared" si="24"/>
        <v/>
      </c>
      <c r="I1064" s="35"/>
      <c r="J1064" s="35"/>
      <c r="K1064" s="40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5"/>
      <c r="G1065" s="41"/>
      <c r="H1065" s="40" t="str">
        <f t="shared" si="24"/>
        <v/>
      </c>
      <c r="I1065" s="35"/>
      <c r="J1065" s="35"/>
      <c r="K1065" s="40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5"/>
      <c r="G1066" s="41"/>
      <c r="H1066" s="40" t="str">
        <f t="shared" si="24"/>
        <v/>
      </c>
      <c r="I1066" s="35"/>
      <c r="J1066" s="35"/>
      <c r="K1066" s="40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5"/>
      <c r="G1067" s="41"/>
      <c r="H1067" s="40" t="str">
        <f t="shared" si="24"/>
        <v/>
      </c>
      <c r="I1067" s="35"/>
      <c r="J1067" s="35"/>
      <c r="K1067" s="40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5"/>
      <c r="G1068" s="41"/>
      <c r="H1068" s="40" t="str">
        <f t="shared" si="24"/>
        <v/>
      </c>
      <c r="I1068" s="35"/>
      <c r="J1068" s="35"/>
      <c r="K1068" s="40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5"/>
      <c r="G1069" s="41"/>
      <c r="H1069" s="40" t="str">
        <f t="shared" si="24"/>
        <v/>
      </c>
      <c r="I1069" s="35"/>
      <c r="J1069" s="35"/>
      <c r="K1069" s="40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5"/>
      <c r="G1070" s="41"/>
      <c r="H1070" s="40" t="str">
        <f t="shared" si="24"/>
        <v/>
      </c>
      <c r="I1070" s="35"/>
      <c r="J1070" s="35"/>
      <c r="K1070" s="40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5"/>
      <c r="G1071" s="41"/>
      <c r="H1071" s="40" t="str">
        <f t="shared" si="24"/>
        <v/>
      </c>
      <c r="I1071" s="35"/>
      <c r="J1071" s="35"/>
      <c r="K1071" s="40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5"/>
      <c r="G1072" s="41"/>
      <c r="H1072" s="40" t="str">
        <f t="shared" si="24"/>
        <v/>
      </c>
      <c r="I1072" s="35"/>
      <c r="J1072" s="35"/>
      <c r="K1072" s="40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5"/>
      <c r="G1073" s="41"/>
      <c r="H1073" s="40" t="str">
        <f t="shared" si="24"/>
        <v/>
      </c>
      <c r="I1073" s="35"/>
      <c r="J1073" s="35"/>
      <c r="K1073" s="40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5"/>
      <c r="G1074" s="41"/>
      <c r="H1074" s="40" t="str">
        <f t="shared" si="24"/>
        <v/>
      </c>
      <c r="I1074" s="35"/>
      <c r="J1074" s="35"/>
      <c r="K1074" s="40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5"/>
      <c r="G1075" s="41"/>
      <c r="H1075" s="40" t="str">
        <f t="shared" si="24"/>
        <v/>
      </c>
      <c r="I1075" s="35"/>
      <c r="J1075" s="35"/>
      <c r="K1075" s="40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5"/>
      <c r="G1076" s="41"/>
      <c r="H1076" s="40" t="str">
        <f t="shared" si="24"/>
        <v/>
      </c>
      <c r="I1076" s="35"/>
      <c r="J1076" s="35"/>
      <c r="K1076" s="40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5"/>
      <c r="G1077" s="41"/>
      <c r="H1077" s="40" t="str">
        <f t="shared" si="24"/>
        <v/>
      </c>
      <c r="I1077" s="35"/>
      <c r="J1077" s="35"/>
      <c r="K1077" s="40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5"/>
      <c r="G1078" s="41"/>
      <c r="H1078" s="40" t="str">
        <f t="shared" si="24"/>
        <v/>
      </c>
      <c r="I1078" s="35"/>
      <c r="J1078" s="35"/>
      <c r="K1078" s="40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5"/>
      <c r="G1079" s="41"/>
      <c r="H1079" s="40" t="str">
        <f t="shared" si="24"/>
        <v/>
      </c>
      <c r="I1079" s="35"/>
      <c r="J1079" s="35"/>
      <c r="K1079" s="40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5"/>
      <c r="G1080" s="41"/>
      <c r="H1080" s="40" t="str">
        <f t="shared" si="24"/>
        <v/>
      </c>
      <c r="I1080" s="35"/>
      <c r="J1080" s="35"/>
      <c r="K1080" s="40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5"/>
      <c r="G1081" s="41"/>
      <c r="H1081" s="40" t="str">
        <f t="shared" si="24"/>
        <v/>
      </c>
      <c r="I1081" s="35"/>
      <c r="J1081" s="35"/>
      <c r="K1081" s="40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5"/>
      <c r="G1082" s="41"/>
      <c r="H1082" s="40" t="str">
        <f t="shared" si="24"/>
        <v/>
      </c>
      <c r="I1082" s="35"/>
      <c r="J1082" s="35"/>
      <c r="K1082" s="40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5"/>
      <c r="G1083" s="41"/>
      <c r="H1083" s="40" t="str">
        <f t="shared" si="24"/>
        <v/>
      </c>
      <c r="I1083" s="35"/>
      <c r="J1083" s="35"/>
      <c r="K1083" s="40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5"/>
      <c r="G1084" s="41"/>
      <c r="H1084" s="40" t="str">
        <f t="shared" si="24"/>
        <v/>
      </c>
      <c r="I1084" s="35"/>
      <c r="J1084" s="35"/>
      <c r="K1084" s="40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5"/>
      <c r="G1085" s="41"/>
      <c r="H1085" s="40" t="str">
        <f t="shared" si="24"/>
        <v/>
      </c>
      <c r="I1085" s="35"/>
      <c r="J1085" s="35"/>
      <c r="K1085" s="40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5"/>
      <c r="G1086" s="41"/>
      <c r="H1086" s="40" t="str">
        <f t="shared" si="24"/>
        <v/>
      </c>
      <c r="I1086" s="35"/>
      <c r="J1086" s="35"/>
      <c r="K1086" s="40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5"/>
      <c r="G1087" s="41"/>
      <c r="H1087" s="40" t="str">
        <f t="shared" si="24"/>
        <v/>
      </c>
      <c r="I1087" s="35"/>
      <c r="J1087" s="35"/>
      <c r="K1087" s="40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5"/>
      <c r="G1088" s="41"/>
      <c r="H1088" s="40" t="str">
        <f t="shared" si="24"/>
        <v/>
      </c>
      <c r="I1088" s="35"/>
      <c r="J1088" s="35"/>
      <c r="K1088" s="40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5"/>
      <c r="G1089" s="41"/>
      <c r="H1089" s="40" t="str">
        <f t="shared" si="24"/>
        <v/>
      </c>
      <c r="I1089" s="35"/>
      <c r="J1089" s="35"/>
      <c r="K1089" s="40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5"/>
      <c r="G1090" s="41"/>
      <c r="H1090" s="40" t="str">
        <f t="shared" ref="H1090:H1153" si="25">IF(AND($F1090="TEMP",$G1090&gt;0,$M1090&lt;&gt;""),$M1090+$G1090,"")</f>
        <v/>
      </c>
      <c r="I1090" s="35"/>
      <c r="J1090" s="35"/>
      <c r="K1090" s="40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5"/>
      <c r="G1091" s="41"/>
      <c r="H1091" s="40" t="str">
        <f t="shared" si="25"/>
        <v/>
      </c>
      <c r="I1091" s="35"/>
      <c r="J1091" s="35"/>
      <c r="K1091" s="40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5"/>
      <c r="G1092" s="41"/>
      <c r="H1092" s="40" t="str">
        <f t="shared" si="25"/>
        <v/>
      </c>
      <c r="I1092" s="35"/>
      <c r="J1092" s="35"/>
      <c r="K1092" s="40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5"/>
      <c r="G1093" s="41"/>
      <c r="H1093" s="40" t="str">
        <f t="shared" si="25"/>
        <v/>
      </c>
      <c r="I1093" s="35"/>
      <c r="J1093" s="35"/>
      <c r="K1093" s="40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5"/>
      <c r="G1094" s="41"/>
      <c r="H1094" s="40" t="str">
        <f t="shared" si="25"/>
        <v/>
      </c>
      <c r="I1094" s="35"/>
      <c r="J1094" s="35"/>
      <c r="K1094" s="40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5"/>
      <c r="G1095" s="41"/>
      <c r="H1095" s="40" t="str">
        <f t="shared" si="25"/>
        <v/>
      </c>
      <c r="I1095" s="35"/>
      <c r="J1095" s="35"/>
      <c r="K1095" s="40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5"/>
      <c r="G1096" s="41"/>
      <c r="H1096" s="40" t="str">
        <f t="shared" si="25"/>
        <v/>
      </c>
      <c r="I1096" s="35"/>
      <c r="J1096" s="35"/>
      <c r="K1096" s="40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5"/>
      <c r="G1097" s="41"/>
      <c r="H1097" s="40" t="str">
        <f t="shared" si="25"/>
        <v/>
      </c>
      <c r="I1097" s="35"/>
      <c r="J1097" s="35"/>
      <c r="K1097" s="40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5"/>
      <c r="G1098" s="41"/>
      <c r="H1098" s="40" t="str">
        <f t="shared" si="25"/>
        <v/>
      </c>
      <c r="I1098" s="35"/>
      <c r="J1098" s="35"/>
      <c r="K1098" s="40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5"/>
      <c r="G1099" s="41"/>
      <c r="H1099" s="40" t="str">
        <f t="shared" si="25"/>
        <v/>
      </c>
      <c r="I1099" s="35"/>
      <c r="J1099" s="35"/>
      <c r="K1099" s="40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5"/>
      <c r="G1100" s="41"/>
      <c r="H1100" s="40" t="str">
        <f t="shared" si="25"/>
        <v/>
      </c>
      <c r="I1100" s="35"/>
      <c r="J1100" s="35"/>
      <c r="K1100" s="40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5"/>
      <c r="G1101" s="41"/>
      <c r="H1101" s="40" t="str">
        <f t="shared" si="25"/>
        <v/>
      </c>
      <c r="I1101" s="35"/>
      <c r="J1101" s="35"/>
      <c r="K1101" s="40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5"/>
      <c r="G1102" s="41"/>
      <c r="H1102" s="40" t="str">
        <f t="shared" si="25"/>
        <v/>
      </c>
      <c r="I1102" s="35"/>
      <c r="J1102" s="35"/>
      <c r="K1102" s="40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5"/>
      <c r="G1103" s="41"/>
      <c r="H1103" s="40" t="str">
        <f t="shared" si="25"/>
        <v/>
      </c>
      <c r="I1103" s="35"/>
      <c r="J1103" s="35"/>
      <c r="K1103" s="40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5"/>
      <c r="G1104" s="41"/>
      <c r="H1104" s="40" t="str">
        <f t="shared" si="25"/>
        <v/>
      </c>
      <c r="I1104" s="35"/>
      <c r="J1104" s="35"/>
      <c r="K1104" s="40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5"/>
      <c r="G1105" s="41"/>
      <c r="H1105" s="40" t="str">
        <f t="shared" si="25"/>
        <v/>
      </c>
      <c r="I1105" s="35"/>
      <c r="J1105" s="35"/>
      <c r="K1105" s="40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5"/>
      <c r="G1106" s="41"/>
      <c r="H1106" s="40" t="str">
        <f t="shared" si="25"/>
        <v/>
      </c>
      <c r="I1106" s="35"/>
      <c r="J1106" s="35"/>
      <c r="K1106" s="40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5"/>
      <c r="G1107" s="41"/>
      <c r="H1107" s="40" t="str">
        <f t="shared" si="25"/>
        <v/>
      </c>
      <c r="I1107" s="35"/>
      <c r="J1107" s="35"/>
      <c r="K1107" s="40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5"/>
      <c r="G1108" s="41"/>
      <c r="H1108" s="40" t="str">
        <f t="shared" si="25"/>
        <v/>
      </c>
      <c r="I1108" s="35"/>
      <c r="J1108" s="35"/>
      <c r="K1108" s="40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5"/>
      <c r="G1109" s="41"/>
      <c r="H1109" s="40" t="str">
        <f t="shared" si="25"/>
        <v/>
      </c>
      <c r="I1109" s="35"/>
      <c r="J1109" s="35"/>
      <c r="K1109" s="40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5"/>
      <c r="G1110" s="41"/>
      <c r="H1110" s="40" t="str">
        <f t="shared" si="25"/>
        <v/>
      </c>
      <c r="I1110" s="35"/>
      <c r="J1110" s="35"/>
      <c r="K1110" s="40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5"/>
      <c r="G1111" s="41"/>
      <c r="H1111" s="40" t="str">
        <f t="shared" si="25"/>
        <v/>
      </c>
      <c r="I1111" s="35"/>
      <c r="J1111" s="35"/>
      <c r="K1111" s="40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5"/>
      <c r="G1112" s="41"/>
      <c r="H1112" s="40" t="str">
        <f t="shared" si="25"/>
        <v/>
      </c>
      <c r="I1112" s="35"/>
      <c r="J1112" s="35"/>
      <c r="K1112" s="40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5"/>
      <c r="G1113" s="41"/>
      <c r="H1113" s="40" t="str">
        <f t="shared" si="25"/>
        <v/>
      </c>
      <c r="I1113" s="35"/>
      <c r="J1113" s="35"/>
      <c r="K1113" s="40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5"/>
      <c r="G1114" s="41"/>
      <c r="H1114" s="40" t="str">
        <f t="shared" si="25"/>
        <v/>
      </c>
      <c r="I1114" s="35"/>
      <c r="J1114" s="35"/>
      <c r="K1114" s="40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5"/>
      <c r="G1115" s="41"/>
      <c r="H1115" s="40" t="str">
        <f t="shared" si="25"/>
        <v/>
      </c>
      <c r="I1115" s="35"/>
      <c r="J1115" s="35"/>
      <c r="K1115" s="40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5"/>
      <c r="G1116" s="41"/>
      <c r="H1116" s="40" t="str">
        <f t="shared" si="25"/>
        <v/>
      </c>
      <c r="I1116" s="35"/>
      <c r="J1116" s="35"/>
      <c r="K1116" s="40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5"/>
      <c r="G1117" s="41"/>
      <c r="H1117" s="40" t="str">
        <f t="shared" si="25"/>
        <v/>
      </c>
      <c r="I1117" s="35"/>
      <c r="J1117" s="35"/>
      <c r="K1117" s="40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5"/>
      <c r="G1118" s="41"/>
      <c r="H1118" s="40" t="str">
        <f t="shared" si="25"/>
        <v/>
      </c>
      <c r="I1118" s="35"/>
      <c r="J1118" s="35"/>
      <c r="K1118" s="40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5"/>
      <c r="G1119" s="41"/>
      <c r="H1119" s="40" t="str">
        <f t="shared" si="25"/>
        <v/>
      </c>
      <c r="I1119" s="35"/>
      <c r="J1119" s="35"/>
      <c r="K1119" s="40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5"/>
      <c r="G1120" s="41"/>
      <c r="H1120" s="40" t="str">
        <f t="shared" si="25"/>
        <v/>
      </c>
      <c r="I1120" s="35"/>
      <c r="J1120" s="35"/>
      <c r="K1120" s="40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5"/>
      <c r="G1121" s="41"/>
      <c r="H1121" s="40" t="str">
        <f t="shared" si="25"/>
        <v/>
      </c>
      <c r="I1121" s="35"/>
      <c r="J1121" s="35"/>
      <c r="K1121" s="40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5"/>
      <c r="G1122" s="41"/>
      <c r="H1122" s="40" t="str">
        <f t="shared" si="25"/>
        <v/>
      </c>
      <c r="I1122" s="35"/>
      <c r="J1122" s="35"/>
      <c r="K1122" s="40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5"/>
      <c r="G1123" s="41"/>
      <c r="H1123" s="40" t="str">
        <f t="shared" si="25"/>
        <v/>
      </c>
      <c r="I1123" s="35"/>
      <c r="J1123" s="35"/>
      <c r="K1123" s="40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5"/>
      <c r="G1124" s="41"/>
      <c r="H1124" s="40" t="str">
        <f t="shared" si="25"/>
        <v/>
      </c>
      <c r="I1124" s="35"/>
      <c r="J1124" s="35"/>
      <c r="K1124" s="40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5"/>
      <c r="G1125" s="41"/>
      <c r="H1125" s="40" t="str">
        <f t="shared" si="25"/>
        <v/>
      </c>
      <c r="I1125" s="35"/>
      <c r="J1125" s="35"/>
      <c r="K1125" s="40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5"/>
      <c r="G1126" s="41"/>
      <c r="H1126" s="40" t="str">
        <f t="shared" si="25"/>
        <v/>
      </c>
      <c r="I1126" s="35"/>
      <c r="J1126" s="35"/>
      <c r="K1126" s="40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5"/>
      <c r="G1127" s="41"/>
      <c r="H1127" s="40" t="str">
        <f t="shared" si="25"/>
        <v/>
      </c>
      <c r="I1127" s="35"/>
      <c r="J1127" s="35"/>
      <c r="K1127" s="40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5"/>
      <c r="G1128" s="41"/>
      <c r="H1128" s="40" t="str">
        <f t="shared" si="25"/>
        <v/>
      </c>
      <c r="I1128" s="35"/>
      <c r="J1128" s="35"/>
      <c r="K1128" s="40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5"/>
      <c r="G1129" s="41"/>
      <c r="H1129" s="40" t="str">
        <f t="shared" si="25"/>
        <v/>
      </c>
      <c r="I1129" s="35"/>
      <c r="J1129" s="35"/>
      <c r="K1129" s="40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5"/>
      <c r="G1130" s="41"/>
      <c r="H1130" s="40" t="str">
        <f t="shared" si="25"/>
        <v/>
      </c>
      <c r="I1130" s="35"/>
      <c r="J1130" s="35"/>
      <c r="K1130" s="40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5"/>
      <c r="G1131" s="41"/>
      <c r="H1131" s="40" t="str">
        <f t="shared" si="25"/>
        <v/>
      </c>
      <c r="I1131" s="35"/>
      <c r="J1131" s="35"/>
      <c r="K1131" s="40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5"/>
      <c r="G1132" s="41"/>
      <c r="H1132" s="40" t="str">
        <f t="shared" si="25"/>
        <v/>
      </c>
      <c r="I1132" s="35"/>
      <c r="J1132" s="35"/>
      <c r="K1132" s="40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5"/>
      <c r="G1133" s="41"/>
      <c r="H1133" s="40" t="str">
        <f t="shared" si="25"/>
        <v/>
      </c>
      <c r="I1133" s="35"/>
      <c r="J1133" s="35"/>
      <c r="K1133" s="40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5"/>
      <c r="G1134" s="41"/>
      <c r="H1134" s="40" t="str">
        <f t="shared" si="25"/>
        <v/>
      </c>
      <c r="I1134" s="35"/>
      <c r="J1134" s="35"/>
      <c r="K1134" s="40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5"/>
      <c r="G1135" s="41"/>
      <c r="H1135" s="40" t="str">
        <f t="shared" si="25"/>
        <v/>
      </c>
      <c r="I1135" s="35"/>
      <c r="J1135" s="35"/>
      <c r="K1135" s="40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5"/>
      <c r="G1136" s="41"/>
      <c r="H1136" s="40" t="str">
        <f t="shared" si="25"/>
        <v/>
      </c>
      <c r="I1136" s="35"/>
      <c r="J1136" s="35"/>
      <c r="K1136" s="40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5"/>
      <c r="G1137" s="41"/>
      <c r="H1137" s="40" t="str">
        <f t="shared" si="25"/>
        <v/>
      </c>
      <c r="I1137" s="35"/>
      <c r="J1137" s="35"/>
      <c r="K1137" s="40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5"/>
      <c r="G1138" s="41"/>
      <c r="H1138" s="40" t="str">
        <f t="shared" si="25"/>
        <v/>
      </c>
      <c r="I1138" s="35"/>
      <c r="J1138" s="35"/>
      <c r="K1138" s="40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5"/>
      <c r="G1139" s="41"/>
      <c r="H1139" s="40" t="str">
        <f t="shared" si="25"/>
        <v/>
      </c>
      <c r="I1139" s="35"/>
      <c r="J1139" s="35"/>
      <c r="K1139" s="40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5"/>
      <c r="G1140" s="41"/>
      <c r="H1140" s="40" t="str">
        <f t="shared" si="25"/>
        <v/>
      </c>
      <c r="I1140" s="35"/>
      <c r="J1140" s="35"/>
      <c r="K1140" s="40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5"/>
      <c r="G1141" s="41"/>
      <c r="H1141" s="40" t="str">
        <f t="shared" si="25"/>
        <v/>
      </c>
      <c r="I1141" s="35"/>
      <c r="J1141" s="35"/>
      <c r="K1141" s="40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5"/>
      <c r="G1142" s="41"/>
      <c r="H1142" s="40" t="str">
        <f t="shared" si="25"/>
        <v/>
      </c>
      <c r="I1142" s="35"/>
      <c r="J1142" s="35"/>
      <c r="K1142" s="40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5"/>
      <c r="G1143" s="41"/>
      <c r="H1143" s="40" t="str">
        <f t="shared" si="25"/>
        <v/>
      </c>
      <c r="I1143" s="35"/>
      <c r="J1143" s="35"/>
      <c r="K1143" s="40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5"/>
      <c r="G1144" s="41"/>
      <c r="H1144" s="40" t="str">
        <f t="shared" si="25"/>
        <v/>
      </c>
      <c r="I1144" s="35"/>
      <c r="J1144" s="35"/>
      <c r="K1144" s="40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5"/>
      <c r="G1145" s="41"/>
      <c r="H1145" s="40" t="str">
        <f t="shared" si="25"/>
        <v/>
      </c>
      <c r="I1145" s="35"/>
      <c r="J1145" s="35"/>
      <c r="K1145" s="40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5"/>
      <c r="G1146" s="41"/>
      <c r="H1146" s="40" t="str">
        <f t="shared" si="25"/>
        <v/>
      </c>
      <c r="I1146" s="35"/>
      <c r="J1146" s="35"/>
      <c r="K1146" s="40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5"/>
      <c r="G1147" s="41"/>
      <c r="H1147" s="40" t="str">
        <f t="shared" si="25"/>
        <v/>
      </c>
      <c r="I1147" s="35"/>
      <c r="J1147" s="35"/>
      <c r="K1147" s="40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5"/>
      <c r="G1148" s="41"/>
      <c r="H1148" s="40" t="str">
        <f t="shared" si="25"/>
        <v/>
      </c>
      <c r="I1148" s="35"/>
      <c r="J1148" s="35"/>
      <c r="K1148" s="40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5"/>
      <c r="G1149" s="41"/>
      <c r="H1149" s="40" t="str">
        <f t="shared" si="25"/>
        <v/>
      </c>
      <c r="I1149" s="35"/>
      <c r="J1149" s="35"/>
      <c r="K1149" s="40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5"/>
      <c r="G1150" s="41"/>
      <c r="H1150" s="40" t="str">
        <f t="shared" si="25"/>
        <v/>
      </c>
      <c r="I1150" s="35"/>
      <c r="J1150" s="35"/>
      <c r="K1150" s="40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5"/>
      <c r="G1151" s="41"/>
      <c r="H1151" s="40" t="str">
        <f t="shared" si="25"/>
        <v/>
      </c>
      <c r="I1151" s="35"/>
      <c r="J1151" s="35"/>
      <c r="K1151" s="40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5"/>
      <c r="G1152" s="41"/>
      <c r="H1152" s="40" t="str">
        <f t="shared" si="25"/>
        <v/>
      </c>
      <c r="I1152" s="35"/>
      <c r="J1152" s="35"/>
      <c r="K1152" s="40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5"/>
      <c r="G1153" s="41"/>
      <c r="H1153" s="40" t="str">
        <f t="shared" si="25"/>
        <v/>
      </c>
      <c r="I1153" s="35"/>
      <c r="J1153" s="35"/>
      <c r="K1153" s="40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5"/>
      <c r="G1154" s="41"/>
      <c r="H1154" s="40" t="str">
        <f t="shared" ref="H1154:H1217" si="26">IF(AND($F1154="TEMP",$G1154&gt;0,$M1154&lt;&gt;""),$M1154+$G1154,"")</f>
        <v/>
      </c>
      <c r="I1154" s="35"/>
      <c r="J1154" s="35"/>
      <c r="K1154" s="40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5"/>
      <c r="G1155" s="41"/>
      <c r="H1155" s="40" t="str">
        <f t="shared" si="26"/>
        <v/>
      </c>
      <c r="I1155" s="35"/>
      <c r="J1155" s="35"/>
      <c r="K1155" s="40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5"/>
      <c r="G1156" s="41"/>
      <c r="H1156" s="40" t="str">
        <f t="shared" si="26"/>
        <v/>
      </c>
      <c r="I1156" s="35"/>
      <c r="J1156" s="35"/>
      <c r="K1156" s="40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5"/>
      <c r="G1157" s="41"/>
      <c r="H1157" s="40" t="str">
        <f t="shared" si="26"/>
        <v/>
      </c>
      <c r="I1157" s="35"/>
      <c r="J1157" s="35"/>
      <c r="K1157" s="40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5"/>
      <c r="G1158" s="41"/>
      <c r="H1158" s="40" t="str">
        <f t="shared" si="26"/>
        <v/>
      </c>
      <c r="I1158" s="35"/>
      <c r="J1158" s="35"/>
      <c r="K1158" s="40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5"/>
      <c r="G1159" s="41"/>
      <c r="H1159" s="40" t="str">
        <f t="shared" si="26"/>
        <v/>
      </c>
      <c r="I1159" s="35"/>
      <c r="J1159" s="35"/>
      <c r="K1159" s="40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5"/>
      <c r="G1160" s="41"/>
      <c r="H1160" s="40" t="str">
        <f t="shared" si="26"/>
        <v/>
      </c>
      <c r="I1160" s="35"/>
      <c r="J1160" s="35"/>
      <c r="K1160" s="40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5"/>
      <c r="G1161" s="41"/>
      <c r="H1161" s="40" t="str">
        <f t="shared" si="26"/>
        <v/>
      </c>
      <c r="I1161" s="35"/>
      <c r="J1161" s="35"/>
      <c r="K1161" s="40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5"/>
      <c r="G1162" s="41"/>
      <c r="H1162" s="40" t="str">
        <f t="shared" si="26"/>
        <v/>
      </c>
      <c r="I1162" s="35"/>
      <c r="J1162" s="35"/>
      <c r="K1162" s="40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5"/>
      <c r="G1163" s="41"/>
      <c r="H1163" s="40" t="str">
        <f t="shared" si="26"/>
        <v/>
      </c>
      <c r="I1163" s="35"/>
      <c r="J1163" s="35"/>
      <c r="K1163" s="40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5"/>
      <c r="G1164" s="41"/>
      <c r="H1164" s="40" t="str">
        <f t="shared" si="26"/>
        <v/>
      </c>
      <c r="I1164" s="35"/>
      <c r="J1164" s="35"/>
      <c r="K1164" s="40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5"/>
      <c r="G1165" s="41"/>
      <c r="H1165" s="40" t="str">
        <f t="shared" si="26"/>
        <v/>
      </c>
      <c r="I1165" s="35"/>
      <c r="J1165" s="35"/>
      <c r="K1165" s="40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5"/>
      <c r="G1166" s="41"/>
      <c r="H1166" s="40" t="str">
        <f t="shared" si="26"/>
        <v/>
      </c>
      <c r="I1166" s="35"/>
      <c r="J1166" s="35"/>
      <c r="K1166" s="40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5"/>
      <c r="G1167" s="41"/>
      <c r="H1167" s="40" t="str">
        <f t="shared" si="26"/>
        <v/>
      </c>
      <c r="I1167" s="35"/>
      <c r="J1167" s="35"/>
      <c r="K1167" s="40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5"/>
      <c r="G1168" s="41"/>
      <c r="H1168" s="40" t="str">
        <f t="shared" si="26"/>
        <v/>
      </c>
      <c r="I1168" s="35"/>
      <c r="J1168" s="35"/>
      <c r="K1168" s="40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5"/>
      <c r="G1169" s="41"/>
      <c r="H1169" s="40" t="str">
        <f t="shared" si="26"/>
        <v/>
      </c>
      <c r="I1169" s="35"/>
      <c r="J1169" s="35"/>
      <c r="K1169" s="40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5"/>
      <c r="G1170" s="41"/>
      <c r="H1170" s="40" t="str">
        <f t="shared" si="26"/>
        <v/>
      </c>
      <c r="I1170" s="35"/>
      <c r="J1170" s="35"/>
      <c r="K1170" s="40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5"/>
      <c r="G1171" s="41"/>
      <c r="H1171" s="40" t="str">
        <f t="shared" si="26"/>
        <v/>
      </c>
      <c r="I1171" s="35"/>
      <c r="J1171" s="35"/>
      <c r="K1171" s="40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5"/>
      <c r="G1172" s="41"/>
      <c r="H1172" s="40" t="str">
        <f t="shared" si="26"/>
        <v/>
      </c>
      <c r="I1172" s="35"/>
      <c r="J1172" s="35"/>
      <c r="K1172" s="40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5"/>
      <c r="G1173" s="41"/>
      <c r="H1173" s="40" t="str">
        <f t="shared" si="26"/>
        <v/>
      </c>
      <c r="I1173" s="35"/>
      <c r="J1173" s="35"/>
      <c r="K1173" s="40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5"/>
      <c r="G1174" s="41"/>
      <c r="H1174" s="40" t="str">
        <f t="shared" si="26"/>
        <v/>
      </c>
      <c r="I1174" s="35"/>
      <c r="J1174" s="35"/>
      <c r="K1174" s="40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5"/>
      <c r="G1175" s="41"/>
      <c r="H1175" s="40" t="str">
        <f t="shared" si="26"/>
        <v/>
      </c>
      <c r="I1175" s="35"/>
      <c r="J1175" s="35"/>
      <c r="K1175" s="40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5"/>
      <c r="G1176" s="41"/>
      <c r="H1176" s="40" t="str">
        <f t="shared" si="26"/>
        <v/>
      </c>
      <c r="I1176" s="35"/>
      <c r="J1176" s="35"/>
      <c r="K1176" s="40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5"/>
      <c r="G1177" s="41"/>
      <c r="H1177" s="40" t="str">
        <f t="shared" si="26"/>
        <v/>
      </c>
      <c r="I1177" s="35"/>
      <c r="J1177" s="35"/>
      <c r="K1177" s="40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5"/>
      <c r="G1178" s="41"/>
      <c r="H1178" s="40" t="str">
        <f t="shared" si="26"/>
        <v/>
      </c>
      <c r="I1178" s="35"/>
      <c r="J1178" s="35"/>
      <c r="K1178" s="40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5"/>
      <c r="G1179" s="41"/>
      <c r="H1179" s="40" t="str">
        <f t="shared" si="26"/>
        <v/>
      </c>
      <c r="I1179" s="35"/>
      <c r="J1179" s="35"/>
      <c r="K1179" s="40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5"/>
      <c r="G1180" s="41"/>
      <c r="H1180" s="40" t="str">
        <f t="shared" si="26"/>
        <v/>
      </c>
      <c r="I1180" s="35"/>
      <c r="J1180" s="35"/>
      <c r="K1180" s="40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5"/>
      <c r="G1181" s="41"/>
      <c r="H1181" s="40" t="str">
        <f t="shared" si="26"/>
        <v/>
      </c>
      <c r="I1181" s="35"/>
      <c r="J1181" s="35"/>
      <c r="K1181" s="40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5"/>
      <c r="G1182" s="41"/>
      <c r="H1182" s="40" t="str">
        <f t="shared" si="26"/>
        <v/>
      </c>
      <c r="I1182" s="35"/>
      <c r="J1182" s="35"/>
      <c r="K1182" s="40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5"/>
      <c r="G1183" s="41"/>
      <c r="H1183" s="40" t="str">
        <f t="shared" si="26"/>
        <v/>
      </c>
      <c r="I1183" s="35"/>
      <c r="J1183" s="35"/>
      <c r="K1183" s="40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5"/>
      <c r="G1184" s="41"/>
      <c r="H1184" s="40" t="str">
        <f t="shared" si="26"/>
        <v/>
      </c>
      <c r="I1184" s="35"/>
      <c r="J1184" s="35"/>
      <c r="K1184" s="40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5"/>
      <c r="G1185" s="41"/>
      <c r="H1185" s="40" t="str">
        <f t="shared" si="26"/>
        <v/>
      </c>
      <c r="I1185" s="35"/>
      <c r="J1185" s="35"/>
      <c r="K1185" s="40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5"/>
      <c r="G1186" s="41"/>
      <c r="H1186" s="40" t="str">
        <f t="shared" si="26"/>
        <v/>
      </c>
      <c r="I1186" s="35"/>
      <c r="J1186" s="35"/>
      <c r="K1186" s="40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5"/>
      <c r="G1187" s="41"/>
      <c r="H1187" s="40" t="str">
        <f t="shared" si="26"/>
        <v/>
      </c>
      <c r="I1187" s="35"/>
      <c r="J1187" s="35"/>
      <c r="K1187" s="40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5"/>
      <c r="G1188" s="41"/>
      <c r="H1188" s="40" t="str">
        <f t="shared" si="26"/>
        <v/>
      </c>
      <c r="I1188" s="35"/>
      <c r="J1188" s="35"/>
      <c r="K1188" s="40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5"/>
      <c r="G1189" s="41"/>
      <c r="H1189" s="40" t="str">
        <f t="shared" si="26"/>
        <v/>
      </c>
      <c r="I1189" s="35"/>
      <c r="J1189" s="35"/>
      <c r="K1189" s="40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5"/>
      <c r="G1190" s="41"/>
      <c r="H1190" s="40" t="str">
        <f t="shared" si="26"/>
        <v/>
      </c>
      <c r="I1190" s="35"/>
      <c r="J1190" s="35"/>
      <c r="K1190" s="40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5"/>
      <c r="G1191" s="41"/>
      <c r="H1191" s="40" t="str">
        <f t="shared" si="26"/>
        <v/>
      </c>
      <c r="I1191" s="35"/>
      <c r="J1191" s="35"/>
      <c r="K1191" s="40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5"/>
      <c r="G1192" s="41"/>
      <c r="H1192" s="40" t="str">
        <f t="shared" si="26"/>
        <v/>
      </c>
      <c r="I1192" s="35"/>
      <c r="J1192" s="35"/>
      <c r="K1192" s="40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5"/>
      <c r="G1193" s="41"/>
      <c r="H1193" s="40" t="str">
        <f t="shared" si="26"/>
        <v/>
      </c>
      <c r="I1193" s="35"/>
      <c r="J1193" s="35"/>
      <c r="K1193" s="40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5"/>
      <c r="G1194" s="41"/>
      <c r="H1194" s="40" t="str">
        <f t="shared" si="26"/>
        <v/>
      </c>
      <c r="I1194" s="35"/>
      <c r="J1194" s="35"/>
      <c r="K1194" s="40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5"/>
      <c r="G1195" s="41"/>
      <c r="H1195" s="40" t="str">
        <f t="shared" si="26"/>
        <v/>
      </c>
      <c r="I1195" s="35"/>
      <c r="J1195" s="35"/>
      <c r="K1195" s="40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5"/>
      <c r="G1196" s="41"/>
      <c r="H1196" s="40" t="str">
        <f t="shared" si="26"/>
        <v/>
      </c>
      <c r="I1196" s="35"/>
      <c r="J1196" s="35"/>
      <c r="K1196" s="40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5"/>
      <c r="G1197" s="41"/>
      <c r="H1197" s="40" t="str">
        <f t="shared" si="26"/>
        <v/>
      </c>
      <c r="I1197" s="35"/>
      <c r="J1197" s="35"/>
      <c r="K1197" s="40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5"/>
      <c r="G1198" s="41"/>
      <c r="H1198" s="40" t="str">
        <f t="shared" si="26"/>
        <v/>
      </c>
      <c r="I1198" s="35"/>
      <c r="J1198" s="35"/>
      <c r="K1198" s="40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5"/>
      <c r="G1199" s="41"/>
      <c r="H1199" s="40" t="str">
        <f t="shared" si="26"/>
        <v/>
      </c>
      <c r="I1199" s="35"/>
      <c r="J1199" s="35"/>
      <c r="K1199" s="40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5"/>
      <c r="G1200" s="41"/>
      <c r="H1200" s="40" t="str">
        <f t="shared" si="26"/>
        <v/>
      </c>
      <c r="I1200" s="35"/>
      <c r="J1200" s="35"/>
      <c r="K1200" s="40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5"/>
      <c r="G1201" s="41"/>
      <c r="H1201" s="40" t="str">
        <f t="shared" si="26"/>
        <v/>
      </c>
      <c r="I1201" s="35"/>
      <c r="J1201" s="35"/>
      <c r="K1201" s="40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5"/>
      <c r="G1202" s="41"/>
      <c r="H1202" s="40" t="str">
        <f t="shared" si="26"/>
        <v/>
      </c>
      <c r="I1202" s="35"/>
      <c r="J1202" s="35"/>
      <c r="K1202" s="40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5"/>
      <c r="G1203" s="41"/>
      <c r="H1203" s="40" t="str">
        <f t="shared" si="26"/>
        <v/>
      </c>
      <c r="I1203" s="35"/>
      <c r="J1203" s="35"/>
      <c r="K1203" s="40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5"/>
      <c r="G1204" s="41"/>
      <c r="H1204" s="40" t="str">
        <f t="shared" si="26"/>
        <v/>
      </c>
      <c r="I1204" s="35"/>
      <c r="J1204" s="35"/>
      <c r="K1204" s="40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5"/>
      <c r="G1205" s="41"/>
      <c r="H1205" s="40" t="str">
        <f t="shared" si="26"/>
        <v/>
      </c>
      <c r="I1205" s="35"/>
      <c r="J1205" s="35"/>
      <c r="K1205" s="40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5"/>
      <c r="G1206" s="41"/>
      <c r="H1206" s="40" t="str">
        <f t="shared" si="26"/>
        <v/>
      </c>
      <c r="I1206" s="35"/>
      <c r="J1206" s="35"/>
      <c r="K1206" s="40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5"/>
      <c r="G1207" s="41"/>
      <c r="H1207" s="40" t="str">
        <f t="shared" si="26"/>
        <v/>
      </c>
      <c r="I1207" s="35"/>
      <c r="J1207" s="35"/>
      <c r="K1207" s="40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5"/>
      <c r="G1208" s="41"/>
      <c r="H1208" s="40" t="str">
        <f t="shared" si="26"/>
        <v/>
      </c>
      <c r="I1208" s="35"/>
      <c r="J1208" s="35"/>
      <c r="K1208" s="40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5"/>
      <c r="G1209" s="41"/>
      <c r="H1209" s="40" t="str">
        <f t="shared" si="26"/>
        <v/>
      </c>
      <c r="I1209" s="35"/>
      <c r="J1209" s="35"/>
      <c r="K1209" s="40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5"/>
      <c r="G1210" s="41"/>
      <c r="H1210" s="40" t="str">
        <f t="shared" si="26"/>
        <v/>
      </c>
      <c r="I1210" s="35"/>
      <c r="J1210" s="35"/>
      <c r="K1210" s="40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5"/>
      <c r="G1211" s="41"/>
      <c r="H1211" s="40" t="str">
        <f t="shared" si="26"/>
        <v/>
      </c>
      <c r="I1211" s="35"/>
      <c r="J1211" s="35"/>
      <c r="K1211" s="40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5"/>
      <c r="G1212" s="41"/>
      <c r="H1212" s="40" t="str">
        <f t="shared" si="26"/>
        <v/>
      </c>
      <c r="I1212" s="35"/>
      <c r="J1212" s="35"/>
      <c r="K1212" s="40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5"/>
      <c r="G1213" s="41"/>
      <c r="H1213" s="40" t="str">
        <f t="shared" si="26"/>
        <v/>
      </c>
      <c r="I1213" s="35"/>
      <c r="J1213" s="35"/>
      <c r="K1213" s="40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5"/>
      <c r="G1214" s="41"/>
      <c r="H1214" s="40" t="str">
        <f t="shared" si="26"/>
        <v/>
      </c>
      <c r="I1214" s="35"/>
      <c r="J1214" s="35"/>
      <c r="K1214" s="40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5"/>
      <c r="G1215" s="41"/>
      <c r="H1215" s="40" t="str">
        <f t="shared" si="26"/>
        <v/>
      </c>
      <c r="I1215" s="35"/>
      <c r="J1215" s="35"/>
      <c r="K1215" s="40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5"/>
      <c r="G1216" s="41"/>
      <c r="H1216" s="40" t="str">
        <f t="shared" si="26"/>
        <v/>
      </c>
      <c r="I1216" s="35"/>
      <c r="J1216" s="35"/>
      <c r="K1216" s="40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5"/>
      <c r="G1217" s="41"/>
      <c r="H1217" s="40" t="str">
        <f t="shared" si="26"/>
        <v/>
      </c>
      <c r="I1217" s="35"/>
      <c r="J1217" s="35"/>
      <c r="K1217" s="40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5"/>
      <c r="G1218" s="41"/>
      <c r="H1218" s="40" t="str">
        <f t="shared" ref="H1218:H1281" si="27">IF(AND($F1218="TEMP",$G1218&gt;0,$M1218&lt;&gt;""),$M1218+$G1218,"")</f>
        <v/>
      </c>
      <c r="I1218" s="35"/>
      <c r="J1218" s="35"/>
      <c r="K1218" s="40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5"/>
      <c r="G1219" s="41"/>
      <c r="H1219" s="40" t="str">
        <f t="shared" si="27"/>
        <v/>
      </c>
      <c r="I1219" s="35"/>
      <c r="J1219" s="35"/>
      <c r="K1219" s="40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5"/>
      <c r="G1220" s="41"/>
      <c r="H1220" s="40" t="str">
        <f t="shared" si="27"/>
        <v/>
      </c>
      <c r="I1220" s="35"/>
      <c r="J1220" s="35"/>
      <c r="K1220" s="40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5"/>
      <c r="G1221" s="41"/>
      <c r="H1221" s="40" t="str">
        <f t="shared" si="27"/>
        <v/>
      </c>
      <c r="I1221" s="35"/>
      <c r="J1221" s="35"/>
      <c r="K1221" s="40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5"/>
      <c r="G1222" s="41"/>
      <c r="H1222" s="40" t="str">
        <f t="shared" si="27"/>
        <v/>
      </c>
      <c r="I1222" s="35"/>
      <c r="J1222" s="35"/>
      <c r="K1222" s="40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5"/>
      <c r="G1223" s="41"/>
      <c r="H1223" s="40" t="str">
        <f t="shared" si="27"/>
        <v/>
      </c>
      <c r="I1223" s="35"/>
      <c r="J1223" s="35"/>
      <c r="K1223" s="40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5"/>
      <c r="G1224" s="41"/>
      <c r="H1224" s="40" t="str">
        <f t="shared" si="27"/>
        <v/>
      </c>
      <c r="I1224" s="35"/>
      <c r="J1224" s="35"/>
      <c r="K1224" s="40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5"/>
      <c r="G1225" s="41"/>
      <c r="H1225" s="40" t="str">
        <f t="shared" si="27"/>
        <v/>
      </c>
      <c r="I1225" s="35"/>
      <c r="J1225" s="35"/>
      <c r="K1225" s="40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5"/>
      <c r="G1226" s="41"/>
      <c r="H1226" s="40" t="str">
        <f t="shared" si="27"/>
        <v/>
      </c>
      <c r="I1226" s="35"/>
      <c r="J1226" s="35"/>
      <c r="K1226" s="40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5"/>
      <c r="G1227" s="41"/>
      <c r="H1227" s="40" t="str">
        <f t="shared" si="27"/>
        <v/>
      </c>
      <c r="I1227" s="35"/>
      <c r="J1227" s="35"/>
      <c r="K1227" s="40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5"/>
      <c r="G1228" s="41"/>
      <c r="H1228" s="40" t="str">
        <f t="shared" si="27"/>
        <v/>
      </c>
      <c r="I1228" s="35"/>
      <c r="J1228" s="35"/>
      <c r="K1228" s="40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5"/>
      <c r="G1229" s="41"/>
      <c r="H1229" s="40" t="str">
        <f t="shared" si="27"/>
        <v/>
      </c>
      <c r="I1229" s="35"/>
      <c r="J1229" s="35"/>
      <c r="K1229" s="40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5"/>
      <c r="G1230" s="41"/>
      <c r="H1230" s="40" t="str">
        <f t="shared" si="27"/>
        <v/>
      </c>
      <c r="I1230" s="35"/>
      <c r="J1230" s="35"/>
      <c r="K1230" s="40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5"/>
      <c r="G1231" s="41"/>
      <c r="H1231" s="40" t="str">
        <f t="shared" si="27"/>
        <v/>
      </c>
      <c r="I1231" s="35"/>
      <c r="J1231" s="35"/>
      <c r="K1231" s="40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5"/>
      <c r="G1232" s="41"/>
      <c r="H1232" s="40" t="str">
        <f t="shared" si="27"/>
        <v/>
      </c>
      <c r="I1232" s="35"/>
      <c r="J1232" s="35"/>
      <c r="K1232" s="40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5"/>
      <c r="G1233" s="41"/>
      <c r="H1233" s="40" t="str">
        <f t="shared" si="27"/>
        <v/>
      </c>
      <c r="I1233" s="35"/>
      <c r="J1233" s="35"/>
      <c r="K1233" s="40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5"/>
      <c r="G1234" s="41"/>
      <c r="H1234" s="40" t="str">
        <f t="shared" si="27"/>
        <v/>
      </c>
      <c r="I1234" s="35"/>
      <c r="J1234" s="35"/>
      <c r="K1234" s="40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5"/>
      <c r="G1235" s="41"/>
      <c r="H1235" s="40" t="str">
        <f t="shared" si="27"/>
        <v/>
      </c>
      <c r="I1235" s="35"/>
      <c r="J1235" s="35"/>
      <c r="K1235" s="40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5"/>
      <c r="G1236" s="41"/>
      <c r="H1236" s="40" t="str">
        <f t="shared" si="27"/>
        <v/>
      </c>
      <c r="I1236" s="35"/>
      <c r="J1236" s="35"/>
      <c r="K1236" s="40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5"/>
      <c r="G1237" s="41"/>
      <c r="H1237" s="40" t="str">
        <f t="shared" si="27"/>
        <v/>
      </c>
      <c r="I1237" s="35"/>
      <c r="J1237" s="35"/>
      <c r="K1237" s="40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5"/>
      <c r="G1238" s="41"/>
      <c r="H1238" s="40" t="str">
        <f t="shared" si="27"/>
        <v/>
      </c>
      <c r="I1238" s="35"/>
      <c r="J1238" s="35"/>
      <c r="K1238" s="40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5"/>
      <c r="G1239" s="41"/>
      <c r="H1239" s="40" t="str">
        <f t="shared" si="27"/>
        <v/>
      </c>
      <c r="I1239" s="35"/>
      <c r="J1239" s="35"/>
      <c r="K1239" s="40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5"/>
      <c r="G1240" s="41"/>
      <c r="H1240" s="40" t="str">
        <f t="shared" si="27"/>
        <v/>
      </c>
      <c r="I1240" s="35"/>
      <c r="J1240" s="35"/>
      <c r="K1240" s="40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5"/>
      <c r="G1241" s="41"/>
      <c r="H1241" s="40" t="str">
        <f t="shared" si="27"/>
        <v/>
      </c>
      <c r="I1241" s="35"/>
      <c r="J1241" s="35"/>
      <c r="K1241" s="40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5"/>
      <c r="G1242" s="41"/>
      <c r="H1242" s="40" t="str">
        <f t="shared" si="27"/>
        <v/>
      </c>
      <c r="I1242" s="35"/>
      <c r="J1242" s="35"/>
      <c r="K1242" s="40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5"/>
      <c r="G1243" s="41"/>
      <c r="H1243" s="40" t="str">
        <f t="shared" si="27"/>
        <v/>
      </c>
      <c r="I1243" s="35"/>
      <c r="J1243" s="35"/>
      <c r="K1243" s="40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5"/>
      <c r="G1244" s="41"/>
      <c r="H1244" s="40" t="str">
        <f t="shared" si="27"/>
        <v/>
      </c>
      <c r="I1244" s="35"/>
      <c r="J1244" s="35"/>
      <c r="K1244" s="40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5"/>
      <c r="G1245" s="41"/>
      <c r="H1245" s="40" t="str">
        <f t="shared" si="27"/>
        <v/>
      </c>
      <c r="I1245" s="35"/>
      <c r="J1245" s="35"/>
      <c r="K1245" s="40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5"/>
      <c r="G1246" s="41"/>
      <c r="H1246" s="40" t="str">
        <f t="shared" si="27"/>
        <v/>
      </c>
      <c r="I1246" s="35"/>
      <c r="J1246" s="35"/>
      <c r="K1246" s="40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5"/>
      <c r="G1247" s="41"/>
      <c r="H1247" s="40" t="str">
        <f t="shared" si="27"/>
        <v/>
      </c>
      <c r="I1247" s="35"/>
      <c r="J1247" s="35"/>
      <c r="K1247" s="40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5"/>
      <c r="G1248" s="41"/>
      <c r="H1248" s="40" t="str">
        <f t="shared" si="27"/>
        <v/>
      </c>
      <c r="I1248" s="35"/>
      <c r="J1248" s="35"/>
      <c r="K1248" s="40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5"/>
      <c r="G1249" s="41"/>
      <c r="H1249" s="40" t="str">
        <f t="shared" si="27"/>
        <v/>
      </c>
      <c r="I1249" s="35"/>
      <c r="J1249" s="35"/>
      <c r="K1249" s="40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5"/>
      <c r="G1250" s="41"/>
      <c r="H1250" s="40" t="str">
        <f t="shared" si="27"/>
        <v/>
      </c>
      <c r="I1250" s="35"/>
      <c r="J1250" s="35"/>
      <c r="K1250" s="40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5"/>
      <c r="G1251" s="41"/>
      <c r="H1251" s="40" t="str">
        <f t="shared" si="27"/>
        <v/>
      </c>
      <c r="I1251" s="35"/>
      <c r="J1251" s="35"/>
      <c r="K1251" s="40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5"/>
      <c r="G1252" s="41"/>
      <c r="H1252" s="40" t="str">
        <f t="shared" si="27"/>
        <v/>
      </c>
      <c r="I1252" s="35"/>
      <c r="J1252" s="35"/>
      <c r="K1252" s="40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5"/>
      <c r="G1253" s="41"/>
      <c r="H1253" s="40" t="str">
        <f t="shared" si="27"/>
        <v/>
      </c>
      <c r="I1253" s="35"/>
      <c r="J1253" s="35"/>
      <c r="K1253" s="40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5"/>
      <c r="G1254" s="41"/>
      <c r="H1254" s="40" t="str">
        <f t="shared" si="27"/>
        <v/>
      </c>
      <c r="I1254" s="35"/>
      <c r="J1254" s="35"/>
      <c r="K1254" s="40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5"/>
      <c r="G1255" s="41"/>
      <c r="H1255" s="40" t="str">
        <f t="shared" si="27"/>
        <v/>
      </c>
      <c r="I1255" s="35"/>
      <c r="J1255" s="35"/>
      <c r="K1255" s="40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5"/>
      <c r="G1256" s="41"/>
      <c r="H1256" s="40" t="str">
        <f t="shared" si="27"/>
        <v/>
      </c>
      <c r="I1256" s="35"/>
      <c r="J1256" s="35"/>
      <c r="K1256" s="40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5"/>
      <c r="G1257" s="41"/>
      <c r="H1257" s="40" t="str">
        <f t="shared" si="27"/>
        <v/>
      </c>
      <c r="I1257" s="35"/>
      <c r="J1257" s="35"/>
      <c r="K1257" s="40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5"/>
      <c r="G1258" s="41"/>
      <c r="H1258" s="40" t="str">
        <f t="shared" si="27"/>
        <v/>
      </c>
      <c r="I1258" s="35"/>
      <c r="J1258" s="35"/>
      <c r="K1258" s="40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5"/>
      <c r="G1259" s="41"/>
      <c r="H1259" s="40" t="str">
        <f t="shared" si="27"/>
        <v/>
      </c>
      <c r="I1259" s="35"/>
      <c r="J1259" s="35"/>
      <c r="K1259" s="40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5"/>
      <c r="G1260" s="41"/>
      <c r="H1260" s="40" t="str">
        <f t="shared" si="27"/>
        <v/>
      </c>
      <c r="I1260" s="35"/>
      <c r="J1260" s="35"/>
      <c r="K1260" s="40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5"/>
      <c r="G1261" s="41"/>
      <c r="H1261" s="40" t="str">
        <f t="shared" si="27"/>
        <v/>
      </c>
      <c r="I1261" s="35"/>
      <c r="J1261" s="35"/>
      <c r="K1261" s="40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5"/>
      <c r="G1262" s="41"/>
      <c r="H1262" s="40" t="str">
        <f t="shared" si="27"/>
        <v/>
      </c>
      <c r="I1262" s="35"/>
      <c r="J1262" s="35"/>
      <c r="K1262" s="40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5"/>
      <c r="G1263" s="41"/>
      <c r="H1263" s="40" t="str">
        <f t="shared" si="27"/>
        <v/>
      </c>
      <c r="I1263" s="35"/>
      <c r="J1263" s="35"/>
      <c r="K1263" s="40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5"/>
      <c r="G1264" s="41"/>
      <c r="H1264" s="40" t="str">
        <f t="shared" si="27"/>
        <v/>
      </c>
      <c r="I1264" s="35"/>
      <c r="J1264" s="35"/>
      <c r="K1264" s="40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5"/>
      <c r="G1265" s="41"/>
      <c r="H1265" s="40" t="str">
        <f t="shared" si="27"/>
        <v/>
      </c>
      <c r="I1265" s="35"/>
      <c r="J1265" s="35"/>
      <c r="K1265" s="40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5"/>
      <c r="G1266" s="41"/>
      <c r="H1266" s="40" t="str">
        <f t="shared" si="27"/>
        <v/>
      </c>
      <c r="I1266" s="35"/>
      <c r="J1266" s="35"/>
      <c r="K1266" s="40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5"/>
      <c r="G1267" s="41"/>
      <c r="H1267" s="40" t="str">
        <f t="shared" si="27"/>
        <v/>
      </c>
      <c r="I1267" s="35"/>
      <c r="J1267" s="35"/>
      <c r="K1267" s="40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5"/>
      <c r="G1268" s="41"/>
      <c r="H1268" s="40" t="str">
        <f t="shared" si="27"/>
        <v/>
      </c>
      <c r="I1268" s="35"/>
      <c r="J1268" s="35"/>
      <c r="K1268" s="40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5"/>
      <c r="G1269" s="41"/>
      <c r="H1269" s="40" t="str">
        <f t="shared" si="27"/>
        <v/>
      </c>
      <c r="I1269" s="35"/>
      <c r="J1269" s="35"/>
      <c r="K1269" s="40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5"/>
      <c r="G1270" s="41"/>
      <c r="H1270" s="40" t="str">
        <f t="shared" si="27"/>
        <v/>
      </c>
      <c r="I1270" s="35"/>
      <c r="J1270" s="35"/>
      <c r="K1270" s="40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5"/>
      <c r="G1271" s="41"/>
      <c r="H1271" s="40" t="str">
        <f t="shared" si="27"/>
        <v/>
      </c>
      <c r="I1271" s="35"/>
      <c r="J1271" s="35"/>
      <c r="K1271" s="40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5"/>
      <c r="G1272" s="41"/>
      <c r="H1272" s="40" t="str">
        <f t="shared" si="27"/>
        <v/>
      </c>
      <c r="I1272" s="35"/>
      <c r="J1272" s="35"/>
      <c r="K1272" s="40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5"/>
      <c r="G1273" s="41"/>
      <c r="H1273" s="40" t="str">
        <f t="shared" si="27"/>
        <v/>
      </c>
      <c r="I1273" s="35"/>
      <c r="J1273" s="35"/>
      <c r="K1273" s="40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5"/>
      <c r="G1274" s="41"/>
      <c r="H1274" s="40" t="str">
        <f t="shared" si="27"/>
        <v/>
      </c>
      <c r="I1274" s="35"/>
      <c r="J1274" s="35"/>
      <c r="K1274" s="40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5"/>
      <c r="G1275" s="41"/>
      <c r="H1275" s="40" t="str">
        <f t="shared" si="27"/>
        <v/>
      </c>
      <c r="I1275" s="35"/>
      <c r="J1275" s="35"/>
      <c r="K1275" s="40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5"/>
      <c r="G1276" s="41"/>
      <c r="H1276" s="40" t="str">
        <f t="shared" si="27"/>
        <v/>
      </c>
      <c r="I1276" s="35"/>
      <c r="J1276" s="35"/>
      <c r="K1276" s="40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5"/>
      <c r="G1277" s="41"/>
      <c r="H1277" s="40" t="str">
        <f t="shared" si="27"/>
        <v/>
      </c>
      <c r="I1277" s="35"/>
      <c r="J1277" s="35"/>
      <c r="K1277" s="40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5"/>
      <c r="G1278" s="41"/>
      <c r="H1278" s="40" t="str">
        <f t="shared" si="27"/>
        <v/>
      </c>
      <c r="I1278" s="35"/>
      <c r="J1278" s="35"/>
      <c r="K1278" s="40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5"/>
      <c r="G1279" s="41"/>
      <c r="H1279" s="40" t="str">
        <f t="shared" si="27"/>
        <v/>
      </c>
      <c r="I1279" s="35"/>
      <c r="J1279" s="35"/>
      <c r="K1279" s="40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5"/>
      <c r="G1280" s="41"/>
      <c r="H1280" s="40" t="str">
        <f t="shared" si="27"/>
        <v/>
      </c>
      <c r="I1280" s="35"/>
      <c r="J1280" s="35"/>
      <c r="K1280" s="40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5"/>
      <c r="G1281" s="41"/>
      <c r="H1281" s="40" t="str">
        <f t="shared" si="27"/>
        <v/>
      </c>
      <c r="I1281" s="35"/>
      <c r="J1281" s="35"/>
      <c r="K1281" s="40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5"/>
      <c r="G1282" s="41"/>
      <c r="H1282" s="40" t="str">
        <f t="shared" ref="H1282:H1345" si="28">IF(AND($F1282="TEMP",$G1282&gt;0,$M1282&lt;&gt;""),$M1282+$G1282,"")</f>
        <v/>
      </c>
      <c r="I1282" s="35"/>
      <c r="J1282" s="35"/>
      <c r="K1282" s="40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5"/>
      <c r="G1283" s="41"/>
      <c r="H1283" s="40" t="str">
        <f t="shared" si="28"/>
        <v/>
      </c>
      <c r="I1283" s="35"/>
      <c r="J1283" s="35"/>
      <c r="K1283" s="40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5"/>
      <c r="G1284" s="41"/>
      <c r="H1284" s="40" t="str">
        <f t="shared" si="28"/>
        <v/>
      </c>
      <c r="I1284" s="35"/>
      <c r="J1284" s="35"/>
      <c r="K1284" s="40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5"/>
      <c r="G1285" s="41"/>
      <c r="H1285" s="40" t="str">
        <f t="shared" si="28"/>
        <v/>
      </c>
      <c r="I1285" s="35"/>
      <c r="J1285" s="35"/>
      <c r="K1285" s="40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5"/>
      <c r="G1286" s="41"/>
      <c r="H1286" s="40" t="str">
        <f t="shared" si="28"/>
        <v/>
      </c>
      <c r="I1286" s="35"/>
      <c r="J1286" s="35"/>
      <c r="K1286" s="40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5"/>
      <c r="G1287" s="41"/>
      <c r="H1287" s="40" t="str">
        <f t="shared" si="28"/>
        <v/>
      </c>
      <c r="I1287" s="35"/>
      <c r="J1287" s="35"/>
      <c r="K1287" s="40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5"/>
      <c r="G1288" s="41"/>
      <c r="H1288" s="40" t="str">
        <f t="shared" si="28"/>
        <v/>
      </c>
      <c r="I1288" s="35"/>
      <c r="J1288" s="35"/>
      <c r="K1288" s="40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5"/>
      <c r="G1289" s="41"/>
      <c r="H1289" s="40" t="str">
        <f t="shared" si="28"/>
        <v/>
      </c>
      <c r="I1289" s="35"/>
      <c r="J1289" s="35"/>
      <c r="K1289" s="40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5"/>
      <c r="G1290" s="41"/>
      <c r="H1290" s="40" t="str">
        <f t="shared" si="28"/>
        <v/>
      </c>
      <c r="I1290" s="35"/>
      <c r="J1290" s="35"/>
      <c r="K1290" s="40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5"/>
      <c r="G1291" s="41"/>
      <c r="H1291" s="40" t="str">
        <f t="shared" si="28"/>
        <v/>
      </c>
      <c r="I1291" s="35"/>
      <c r="J1291" s="35"/>
      <c r="K1291" s="40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5"/>
      <c r="G1292" s="41"/>
      <c r="H1292" s="40" t="str">
        <f t="shared" si="28"/>
        <v/>
      </c>
      <c r="I1292" s="35"/>
      <c r="J1292" s="35"/>
      <c r="K1292" s="40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5"/>
      <c r="G1293" s="41"/>
      <c r="H1293" s="40" t="str">
        <f t="shared" si="28"/>
        <v/>
      </c>
      <c r="I1293" s="35"/>
      <c r="J1293" s="35"/>
      <c r="K1293" s="40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5"/>
      <c r="G1294" s="41"/>
      <c r="H1294" s="40" t="str">
        <f t="shared" si="28"/>
        <v/>
      </c>
      <c r="I1294" s="35"/>
      <c r="J1294" s="35"/>
      <c r="K1294" s="40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5"/>
      <c r="G1295" s="41"/>
      <c r="H1295" s="40" t="str">
        <f t="shared" si="28"/>
        <v/>
      </c>
      <c r="I1295" s="35"/>
      <c r="J1295" s="35"/>
      <c r="K1295" s="40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5"/>
      <c r="G1296" s="41"/>
      <c r="H1296" s="40" t="str">
        <f t="shared" si="28"/>
        <v/>
      </c>
      <c r="I1296" s="35"/>
      <c r="J1296" s="35"/>
      <c r="K1296" s="40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5"/>
      <c r="G1297" s="41"/>
      <c r="H1297" s="40" t="str">
        <f t="shared" si="28"/>
        <v/>
      </c>
      <c r="I1297" s="35"/>
      <c r="J1297" s="35"/>
      <c r="K1297" s="40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5"/>
      <c r="G1298" s="41"/>
      <c r="H1298" s="40" t="str">
        <f t="shared" si="28"/>
        <v/>
      </c>
      <c r="I1298" s="35"/>
      <c r="J1298" s="35"/>
      <c r="K1298" s="40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5"/>
      <c r="G1299" s="41"/>
      <c r="H1299" s="40" t="str">
        <f t="shared" si="28"/>
        <v/>
      </c>
      <c r="I1299" s="35"/>
      <c r="J1299" s="35"/>
      <c r="K1299" s="40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5"/>
      <c r="G1300" s="41"/>
      <c r="H1300" s="40" t="str">
        <f t="shared" si="28"/>
        <v/>
      </c>
      <c r="I1300" s="35"/>
      <c r="J1300" s="35"/>
      <c r="K1300" s="40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5"/>
      <c r="G1301" s="41"/>
      <c r="H1301" s="40" t="str">
        <f t="shared" si="28"/>
        <v/>
      </c>
      <c r="I1301" s="35"/>
      <c r="J1301" s="35"/>
      <c r="K1301" s="40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5"/>
      <c r="G1302" s="41"/>
      <c r="H1302" s="40" t="str">
        <f t="shared" si="28"/>
        <v/>
      </c>
      <c r="I1302" s="35"/>
      <c r="J1302" s="35"/>
      <c r="K1302" s="40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5"/>
      <c r="G1303" s="41"/>
      <c r="H1303" s="40" t="str">
        <f t="shared" si="28"/>
        <v/>
      </c>
      <c r="I1303" s="35"/>
      <c r="J1303" s="35"/>
      <c r="K1303" s="40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5"/>
      <c r="G1304" s="41"/>
      <c r="H1304" s="40" t="str">
        <f t="shared" si="28"/>
        <v/>
      </c>
      <c r="I1304" s="35"/>
      <c r="J1304" s="35"/>
      <c r="K1304" s="40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5"/>
      <c r="G1305" s="41"/>
      <c r="H1305" s="40" t="str">
        <f t="shared" si="28"/>
        <v/>
      </c>
      <c r="I1305" s="35"/>
      <c r="J1305" s="35"/>
      <c r="K1305" s="40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5"/>
      <c r="G1306" s="41"/>
      <c r="H1306" s="40" t="str">
        <f t="shared" si="28"/>
        <v/>
      </c>
      <c r="I1306" s="35"/>
      <c r="J1306" s="35"/>
      <c r="K1306" s="40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5"/>
      <c r="G1307" s="41"/>
      <c r="H1307" s="40" t="str">
        <f t="shared" si="28"/>
        <v/>
      </c>
      <c r="I1307" s="35"/>
      <c r="J1307" s="35"/>
      <c r="K1307" s="40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5"/>
      <c r="G1308" s="41"/>
      <c r="H1308" s="40" t="str">
        <f t="shared" si="28"/>
        <v/>
      </c>
      <c r="I1308" s="35"/>
      <c r="J1308" s="35"/>
      <c r="K1308" s="40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5"/>
      <c r="G1309" s="41"/>
      <c r="H1309" s="40" t="str">
        <f t="shared" si="28"/>
        <v/>
      </c>
      <c r="I1309" s="35"/>
      <c r="J1309" s="35"/>
      <c r="K1309" s="40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5"/>
      <c r="G1310" s="41"/>
      <c r="H1310" s="40" t="str">
        <f t="shared" si="28"/>
        <v/>
      </c>
      <c r="I1310" s="35"/>
      <c r="J1310" s="35"/>
      <c r="K1310" s="40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5"/>
      <c r="G1311" s="41"/>
      <c r="H1311" s="40" t="str">
        <f t="shared" si="28"/>
        <v/>
      </c>
      <c r="I1311" s="35"/>
      <c r="J1311" s="35"/>
      <c r="K1311" s="40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5"/>
      <c r="G1312" s="41"/>
      <c r="H1312" s="40" t="str">
        <f t="shared" si="28"/>
        <v/>
      </c>
      <c r="I1312" s="35"/>
      <c r="J1312" s="35"/>
      <c r="K1312" s="40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5"/>
      <c r="G1313" s="41"/>
      <c r="H1313" s="40" t="str">
        <f t="shared" si="28"/>
        <v/>
      </c>
      <c r="I1313" s="35"/>
      <c r="J1313" s="35"/>
      <c r="K1313" s="40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5"/>
      <c r="G1314" s="41"/>
      <c r="H1314" s="40" t="str">
        <f t="shared" si="28"/>
        <v/>
      </c>
      <c r="I1314" s="35"/>
      <c r="J1314" s="35"/>
      <c r="K1314" s="40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5"/>
      <c r="G1315" s="41"/>
      <c r="H1315" s="40" t="str">
        <f t="shared" si="28"/>
        <v/>
      </c>
      <c r="I1315" s="35"/>
      <c r="J1315" s="35"/>
      <c r="K1315" s="40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5"/>
      <c r="G1316" s="41"/>
      <c r="H1316" s="40" t="str">
        <f t="shared" si="28"/>
        <v/>
      </c>
      <c r="I1316" s="35"/>
      <c r="J1316" s="35"/>
      <c r="K1316" s="40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5"/>
      <c r="G1317" s="41"/>
      <c r="H1317" s="40" t="str">
        <f t="shared" si="28"/>
        <v/>
      </c>
      <c r="I1317" s="35"/>
      <c r="J1317" s="35"/>
      <c r="K1317" s="40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5"/>
      <c r="G1318" s="41"/>
      <c r="H1318" s="40" t="str">
        <f t="shared" si="28"/>
        <v/>
      </c>
      <c r="I1318" s="35"/>
      <c r="J1318" s="35"/>
      <c r="K1318" s="40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5"/>
      <c r="G1319" s="41"/>
      <c r="H1319" s="40" t="str">
        <f t="shared" si="28"/>
        <v/>
      </c>
      <c r="I1319" s="35"/>
      <c r="J1319" s="35"/>
      <c r="K1319" s="40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5"/>
      <c r="G1320" s="41"/>
      <c r="H1320" s="40" t="str">
        <f t="shared" si="28"/>
        <v/>
      </c>
      <c r="I1320" s="35"/>
      <c r="J1320" s="35"/>
      <c r="K1320" s="40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5"/>
      <c r="G1321" s="41"/>
      <c r="H1321" s="40" t="str">
        <f t="shared" si="28"/>
        <v/>
      </c>
      <c r="I1321" s="35"/>
      <c r="J1321" s="35"/>
      <c r="K1321" s="40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5"/>
      <c r="G1322" s="41"/>
      <c r="H1322" s="40" t="str">
        <f t="shared" si="28"/>
        <v/>
      </c>
      <c r="I1322" s="35"/>
      <c r="J1322" s="35"/>
      <c r="K1322" s="40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5"/>
      <c r="G1323" s="41"/>
      <c r="H1323" s="40" t="str">
        <f t="shared" si="28"/>
        <v/>
      </c>
      <c r="I1323" s="35"/>
      <c r="J1323" s="35"/>
      <c r="K1323" s="40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5"/>
      <c r="G1324" s="41"/>
      <c r="H1324" s="40" t="str">
        <f t="shared" si="28"/>
        <v/>
      </c>
      <c r="I1324" s="35"/>
      <c r="J1324" s="35"/>
      <c r="K1324" s="40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5"/>
      <c r="G1325" s="41"/>
      <c r="H1325" s="40" t="str">
        <f t="shared" si="28"/>
        <v/>
      </c>
      <c r="I1325" s="35"/>
      <c r="J1325" s="35"/>
      <c r="K1325" s="40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5"/>
      <c r="G1326" s="41"/>
      <c r="H1326" s="40" t="str">
        <f t="shared" si="28"/>
        <v/>
      </c>
      <c r="I1326" s="35"/>
      <c r="J1326" s="35"/>
      <c r="K1326" s="40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5"/>
      <c r="G1327" s="41"/>
      <c r="H1327" s="40" t="str">
        <f t="shared" si="28"/>
        <v/>
      </c>
      <c r="I1327" s="35"/>
      <c r="J1327" s="35"/>
      <c r="K1327" s="40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5"/>
      <c r="G1328" s="41"/>
      <c r="H1328" s="40" t="str">
        <f t="shared" si="28"/>
        <v/>
      </c>
      <c r="I1328" s="35"/>
      <c r="J1328" s="35"/>
      <c r="K1328" s="40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5"/>
      <c r="G1329" s="41"/>
      <c r="H1329" s="40" t="str">
        <f t="shared" si="28"/>
        <v/>
      </c>
      <c r="I1329" s="35"/>
      <c r="J1329" s="35"/>
      <c r="K1329" s="40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5"/>
      <c r="G1330" s="41"/>
      <c r="H1330" s="40" t="str">
        <f t="shared" si="28"/>
        <v/>
      </c>
      <c r="I1330" s="35"/>
      <c r="J1330" s="35"/>
      <c r="K1330" s="40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5"/>
      <c r="G1331" s="41"/>
      <c r="H1331" s="40" t="str">
        <f t="shared" si="28"/>
        <v/>
      </c>
      <c r="I1331" s="35"/>
      <c r="J1331" s="35"/>
      <c r="K1331" s="40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5"/>
      <c r="G1332" s="41"/>
      <c r="H1332" s="40" t="str">
        <f t="shared" si="28"/>
        <v/>
      </c>
      <c r="I1332" s="35"/>
      <c r="J1332" s="35"/>
      <c r="K1332" s="40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5"/>
      <c r="G1333" s="41"/>
      <c r="H1333" s="40" t="str">
        <f t="shared" si="28"/>
        <v/>
      </c>
      <c r="I1333" s="35"/>
      <c r="J1333" s="35"/>
      <c r="K1333" s="40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5"/>
      <c r="G1334" s="41"/>
      <c r="H1334" s="40" t="str">
        <f t="shared" si="28"/>
        <v/>
      </c>
      <c r="I1334" s="35"/>
      <c r="J1334" s="35"/>
      <c r="K1334" s="40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5"/>
      <c r="G1335" s="41"/>
      <c r="H1335" s="40" t="str">
        <f t="shared" si="28"/>
        <v/>
      </c>
      <c r="I1335" s="35"/>
      <c r="J1335" s="35"/>
      <c r="K1335" s="40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5"/>
      <c r="G1336" s="41"/>
      <c r="H1336" s="40" t="str">
        <f t="shared" si="28"/>
        <v/>
      </c>
      <c r="I1336" s="35"/>
      <c r="J1336" s="35"/>
      <c r="K1336" s="40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5"/>
      <c r="G1337" s="41"/>
      <c r="H1337" s="40" t="str">
        <f t="shared" si="28"/>
        <v/>
      </c>
      <c r="I1337" s="35"/>
      <c r="J1337" s="35"/>
      <c r="K1337" s="40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5"/>
      <c r="G1338" s="41"/>
      <c r="H1338" s="40" t="str">
        <f t="shared" si="28"/>
        <v/>
      </c>
      <c r="I1338" s="35"/>
      <c r="J1338" s="35"/>
      <c r="K1338" s="40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5"/>
      <c r="G1339" s="41"/>
      <c r="H1339" s="40" t="str">
        <f t="shared" si="28"/>
        <v/>
      </c>
      <c r="I1339" s="35"/>
      <c r="J1339" s="35"/>
      <c r="K1339" s="40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5"/>
      <c r="G1340" s="41"/>
      <c r="H1340" s="40" t="str">
        <f t="shared" si="28"/>
        <v/>
      </c>
      <c r="I1340" s="35"/>
      <c r="J1340" s="35"/>
      <c r="K1340" s="40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5"/>
      <c r="G1341" s="41"/>
      <c r="H1341" s="40" t="str">
        <f t="shared" si="28"/>
        <v/>
      </c>
      <c r="I1341" s="35"/>
      <c r="J1341" s="35"/>
      <c r="K1341" s="40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5"/>
      <c r="G1342" s="41"/>
      <c r="H1342" s="40" t="str">
        <f t="shared" si="28"/>
        <v/>
      </c>
      <c r="I1342" s="35"/>
      <c r="J1342" s="35"/>
      <c r="K1342" s="40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5"/>
      <c r="G1343" s="41"/>
      <c r="H1343" s="40" t="str">
        <f t="shared" si="28"/>
        <v/>
      </c>
      <c r="I1343" s="35"/>
      <c r="J1343" s="35"/>
      <c r="K1343" s="40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5"/>
      <c r="G1344" s="41"/>
      <c r="H1344" s="40" t="str">
        <f t="shared" si="28"/>
        <v/>
      </c>
      <c r="I1344" s="35"/>
      <c r="J1344" s="35"/>
      <c r="K1344" s="40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5"/>
      <c r="G1345" s="41"/>
      <c r="H1345" s="40" t="str">
        <f t="shared" si="28"/>
        <v/>
      </c>
      <c r="I1345" s="35"/>
      <c r="J1345" s="35"/>
      <c r="K1345" s="40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5"/>
      <c r="G1346" s="41"/>
      <c r="H1346" s="40" t="str">
        <f t="shared" ref="H1346:H1409" si="29">IF(AND($F1346="TEMP",$G1346&gt;0,$M1346&lt;&gt;""),$M1346+$G1346,"")</f>
        <v/>
      </c>
      <c r="I1346" s="35"/>
      <c r="J1346" s="35"/>
      <c r="K1346" s="40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5"/>
      <c r="G1347" s="41"/>
      <c r="H1347" s="40" t="str">
        <f t="shared" si="29"/>
        <v/>
      </c>
      <c r="I1347" s="35"/>
      <c r="J1347" s="35"/>
      <c r="K1347" s="40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5"/>
      <c r="G1348" s="41"/>
      <c r="H1348" s="40" t="str">
        <f t="shared" si="29"/>
        <v/>
      </c>
      <c r="I1348" s="35"/>
      <c r="J1348" s="35"/>
      <c r="K1348" s="40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5"/>
      <c r="G1349" s="41"/>
      <c r="H1349" s="40" t="str">
        <f t="shared" si="29"/>
        <v/>
      </c>
      <c r="I1349" s="35"/>
      <c r="J1349" s="35"/>
      <c r="K1349" s="40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5"/>
      <c r="G1350" s="41"/>
      <c r="H1350" s="40" t="str">
        <f t="shared" si="29"/>
        <v/>
      </c>
      <c r="I1350" s="35"/>
      <c r="J1350" s="35"/>
      <c r="K1350" s="40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5"/>
      <c r="G1351" s="41"/>
      <c r="H1351" s="40" t="str">
        <f t="shared" si="29"/>
        <v/>
      </c>
      <c r="I1351" s="35"/>
      <c r="J1351" s="35"/>
      <c r="K1351" s="40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5"/>
      <c r="G1352" s="41"/>
      <c r="H1352" s="40" t="str">
        <f t="shared" si="29"/>
        <v/>
      </c>
      <c r="I1352" s="35"/>
      <c r="J1352" s="35"/>
      <c r="K1352" s="40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5"/>
      <c r="G1353" s="41"/>
      <c r="H1353" s="40" t="str">
        <f t="shared" si="29"/>
        <v/>
      </c>
      <c r="I1353" s="35"/>
      <c r="J1353" s="35"/>
      <c r="K1353" s="40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5"/>
      <c r="G1354" s="41"/>
      <c r="H1354" s="40" t="str">
        <f t="shared" si="29"/>
        <v/>
      </c>
      <c r="I1354" s="35"/>
      <c r="J1354" s="35"/>
      <c r="K1354" s="40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5"/>
      <c r="G1355" s="41"/>
      <c r="H1355" s="40" t="str">
        <f t="shared" si="29"/>
        <v/>
      </c>
      <c r="I1355" s="35"/>
      <c r="J1355" s="35"/>
      <c r="K1355" s="40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5"/>
      <c r="G1356" s="41"/>
      <c r="H1356" s="40" t="str">
        <f t="shared" si="29"/>
        <v/>
      </c>
      <c r="I1356" s="35"/>
      <c r="J1356" s="35"/>
      <c r="K1356" s="40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5"/>
      <c r="G1357" s="41"/>
      <c r="H1357" s="40" t="str">
        <f t="shared" si="29"/>
        <v/>
      </c>
      <c r="I1357" s="35"/>
      <c r="J1357" s="35"/>
      <c r="K1357" s="40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5"/>
      <c r="G1358" s="41"/>
      <c r="H1358" s="40" t="str">
        <f t="shared" si="29"/>
        <v/>
      </c>
      <c r="I1358" s="35"/>
      <c r="J1358" s="35"/>
      <c r="K1358" s="40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5"/>
      <c r="G1359" s="41"/>
      <c r="H1359" s="40" t="str">
        <f t="shared" si="29"/>
        <v/>
      </c>
      <c r="I1359" s="35"/>
      <c r="J1359" s="35"/>
      <c r="K1359" s="40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5"/>
      <c r="G1360" s="41"/>
      <c r="H1360" s="40" t="str">
        <f t="shared" si="29"/>
        <v/>
      </c>
      <c r="I1360" s="35"/>
      <c r="J1360" s="35"/>
      <c r="K1360" s="40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5"/>
      <c r="G1361" s="41"/>
      <c r="H1361" s="40" t="str">
        <f t="shared" si="29"/>
        <v/>
      </c>
      <c r="I1361" s="35"/>
      <c r="J1361" s="35"/>
      <c r="K1361" s="40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5"/>
      <c r="G1362" s="41"/>
      <c r="H1362" s="40" t="str">
        <f t="shared" si="29"/>
        <v/>
      </c>
      <c r="I1362" s="35"/>
      <c r="J1362" s="35"/>
      <c r="K1362" s="40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5"/>
      <c r="G1363" s="41"/>
      <c r="H1363" s="40" t="str">
        <f t="shared" si="29"/>
        <v/>
      </c>
      <c r="I1363" s="35"/>
      <c r="J1363" s="35"/>
      <c r="K1363" s="40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5"/>
      <c r="G1364" s="41"/>
      <c r="H1364" s="40" t="str">
        <f t="shared" si="29"/>
        <v/>
      </c>
      <c r="I1364" s="35"/>
      <c r="J1364" s="35"/>
      <c r="K1364" s="40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5"/>
      <c r="G1365" s="41"/>
      <c r="H1365" s="40" t="str">
        <f t="shared" si="29"/>
        <v/>
      </c>
      <c r="I1365" s="35"/>
      <c r="J1365" s="35"/>
      <c r="K1365" s="40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5"/>
      <c r="G1366" s="41"/>
      <c r="H1366" s="40" t="str">
        <f t="shared" si="29"/>
        <v/>
      </c>
      <c r="I1366" s="35"/>
      <c r="J1366" s="35"/>
      <c r="K1366" s="40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5"/>
      <c r="G1367" s="41"/>
      <c r="H1367" s="40" t="str">
        <f t="shared" si="29"/>
        <v/>
      </c>
      <c r="I1367" s="35"/>
      <c r="J1367" s="35"/>
      <c r="K1367" s="40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5"/>
      <c r="G1368" s="41"/>
      <c r="H1368" s="40" t="str">
        <f t="shared" si="29"/>
        <v/>
      </c>
      <c r="I1368" s="35"/>
      <c r="J1368" s="35"/>
      <c r="K1368" s="40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5"/>
      <c r="G1369" s="41"/>
      <c r="H1369" s="40" t="str">
        <f t="shared" si="29"/>
        <v/>
      </c>
      <c r="I1369" s="35"/>
      <c r="J1369" s="35"/>
      <c r="K1369" s="40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5"/>
      <c r="G1370" s="41"/>
      <c r="H1370" s="40" t="str">
        <f t="shared" si="29"/>
        <v/>
      </c>
      <c r="I1370" s="35"/>
      <c r="J1370" s="35"/>
      <c r="K1370" s="40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5"/>
      <c r="G1371" s="41"/>
      <c r="H1371" s="40" t="str">
        <f t="shared" si="29"/>
        <v/>
      </c>
      <c r="I1371" s="35"/>
      <c r="J1371" s="35"/>
      <c r="K1371" s="40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5"/>
      <c r="G1372" s="41"/>
      <c r="H1372" s="40" t="str">
        <f t="shared" si="29"/>
        <v/>
      </c>
      <c r="I1372" s="35"/>
      <c r="J1372" s="35"/>
      <c r="K1372" s="40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5"/>
      <c r="G1373" s="41"/>
      <c r="H1373" s="40" t="str">
        <f t="shared" si="29"/>
        <v/>
      </c>
      <c r="I1373" s="35"/>
      <c r="J1373" s="35"/>
      <c r="K1373" s="40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5"/>
      <c r="G1374" s="41"/>
      <c r="H1374" s="40" t="str">
        <f t="shared" si="29"/>
        <v/>
      </c>
      <c r="I1374" s="35"/>
      <c r="J1374" s="35"/>
      <c r="K1374" s="40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5"/>
      <c r="G1375" s="41"/>
      <c r="H1375" s="40" t="str">
        <f t="shared" si="29"/>
        <v/>
      </c>
      <c r="I1375" s="35"/>
      <c r="J1375" s="35"/>
      <c r="K1375" s="40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5"/>
      <c r="G1376" s="41"/>
      <c r="H1376" s="40" t="str">
        <f t="shared" si="29"/>
        <v/>
      </c>
      <c r="I1376" s="35"/>
      <c r="J1376" s="35"/>
      <c r="K1376" s="40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5"/>
      <c r="G1377" s="41"/>
      <c r="H1377" s="40" t="str">
        <f t="shared" si="29"/>
        <v/>
      </c>
      <c r="I1377" s="35"/>
      <c r="J1377" s="35"/>
      <c r="K1377" s="40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5"/>
      <c r="G1378" s="41"/>
      <c r="H1378" s="40" t="str">
        <f t="shared" si="29"/>
        <v/>
      </c>
      <c r="I1378" s="35"/>
      <c r="J1378" s="35"/>
      <c r="K1378" s="40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5"/>
      <c r="G1379" s="41"/>
      <c r="H1379" s="40" t="str">
        <f t="shared" si="29"/>
        <v/>
      </c>
      <c r="I1379" s="35"/>
      <c r="J1379" s="35"/>
      <c r="K1379" s="40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5"/>
      <c r="G1380" s="41"/>
      <c r="H1380" s="40" t="str">
        <f t="shared" si="29"/>
        <v/>
      </c>
      <c r="I1380" s="35"/>
      <c r="J1380" s="35"/>
      <c r="K1380" s="40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5"/>
      <c r="G1381" s="41"/>
      <c r="H1381" s="40" t="str">
        <f t="shared" si="29"/>
        <v/>
      </c>
      <c r="I1381" s="35"/>
      <c r="J1381" s="35"/>
      <c r="K1381" s="40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5"/>
      <c r="G1382" s="41"/>
      <c r="H1382" s="40" t="str">
        <f t="shared" si="29"/>
        <v/>
      </c>
      <c r="I1382" s="35"/>
      <c r="J1382" s="35"/>
      <c r="K1382" s="40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5"/>
      <c r="G1383" s="41"/>
      <c r="H1383" s="40" t="str">
        <f t="shared" si="29"/>
        <v/>
      </c>
      <c r="I1383" s="35"/>
      <c r="J1383" s="35"/>
      <c r="K1383" s="40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5"/>
      <c r="G1384" s="41"/>
      <c r="H1384" s="40" t="str">
        <f t="shared" si="29"/>
        <v/>
      </c>
      <c r="I1384" s="35"/>
      <c r="J1384" s="35"/>
      <c r="K1384" s="40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5"/>
      <c r="G1385" s="41"/>
      <c r="H1385" s="40" t="str">
        <f t="shared" si="29"/>
        <v/>
      </c>
      <c r="I1385" s="35"/>
      <c r="J1385" s="35"/>
      <c r="K1385" s="40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5"/>
      <c r="G1386" s="41"/>
      <c r="H1386" s="40" t="str">
        <f t="shared" si="29"/>
        <v/>
      </c>
      <c r="I1386" s="35"/>
      <c r="J1386" s="35"/>
      <c r="K1386" s="40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5"/>
      <c r="G1387" s="41"/>
      <c r="H1387" s="40" t="str">
        <f t="shared" si="29"/>
        <v/>
      </c>
      <c r="I1387" s="35"/>
      <c r="J1387" s="35"/>
      <c r="K1387" s="40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5"/>
      <c r="G1388" s="41"/>
      <c r="H1388" s="40" t="str">
        <f t="shared" si="29"/>
        <v/>
      </c>
      <c r="I1388" s="35"/>
      <c r="J1388" s="35"/>
      <c r="K1388" s="40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5"/>
      <c r="G1389" s="41"/>
      <c r="H1389" s="40" t="str">
        <f t="shared" si="29"/>
        <v/>
      </c>
      <c r="I1389" s="35"/>
      <c r="J1389" s="35"/>
      <c r="K1389" s="40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5"/>
      <c r="G1390" s="41"/>
      <c r="H1390" s="40" t="str">
        <f t="shared" si="29"/>
        <v/>
      </c>
      <c r="I1390" s="35"/>
      <c r="J1390" s="35"/>
      <c r="K1390" s="40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5"/>
      <c r="G1391" s="41"/>
      <c r="H1391" s="40" t="str">
        <f t="shared" si="29"/>
        <v/>
      </c>
      <c r="I1391" s="35"/>
      <c r="J1391" s="35"/>
      <c r="K1391" s="40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5"/>
      <c r="G1392" s="41"/>
      <c r="H1392" s="40" t="str">
        <f t="shared" si="29"/>
        <v/>
      </c>
      <c r="I1392" s="35"/>
      <c r="J1392" s="35"/>
      <c r="K1392" s="40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5"/>
      <c r="G1393" s="41"/>
      <c r="H1393" s="40" t="str">
        <f t="shared" si="29"/>
        <v/>
      </c>
      <c r="I1393" s="35"/>
      <c r="J1393" s="35"/>
      <c r="K1393" s="40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5"/>
      <c r="G1394" s="41"/>
      <c r="H1394" s="40" t="str">
        <f t="shared" si="29"/>
        <v/>
      </c>
      <c r="I1394" s="35"/>
      <c r="J1394" s="35"/>
      <c r="K1394" s="40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5"/>
      <c r="G1395" s="41"/>
      <c r="H1395" s="40" t="str">
        <f t="shared" si="29"/>
        <v/>
      </c>
      <c r="I1395" s="35"/>
      <c r="J1395" s="35"/>
      <c r="K1395" s="40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5"/>
      <c r="G1396" s="41"/>
      <c r="H1396" s="40" t="str">
        <f t="shared" si="29"/>
        <v/>
      </c>
      <c r="I1396" s="35"/>
      <c r="J1396" s="35"/>
      <c r="K1396" s="40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5"/>
      <c r="G1397" s="41"/>
      <c r="H1397" s="40" t="str">
        <f t="shared" si="29"/>
        <v/>
      </c>
      <c r="I1397" s="35"/>
      <c r="J1397" s="35"/>
      <c r="K1397" s="40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5"/>
      <c r="G1398" s="41"/>
      <c r="H1398" s="40" t="str">
        <f t="shared" si="29"/>
        <v/>
      </c>
      <c r="I1398" s="35"/>
      <c r="J1398" s="35"/>
      <c r="K1398" s="40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5"/>
      <c r="G1399" s="41"/>
      <c r="H1399" s="40" t="str">
        <f t="shared" si="29"/>
        <v/>
      </c>
      <c r="I1399" s="35"/>
      <c r="J1399" s="35"/>
      <c r="K1399" s="40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5"/>
      <c r="G1400" s="41"/>
      <c r="H1400" s="40" t="str">
        <f t="shared" si="29"/>
        <v/>
      </c>
      <c r="I1400" s="35"/>
      <c r="J1400" s="35"/>
      <c r="K1400" s="40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5"/>
      <c r="G1401" s="41"/>
      <c r="H1401" s="40" t="str">
        <f t="shared" si="29"/>
        <v/>
      </c>
      <c r="I1401" s="35"/>
      <c r="J1401" s="35"/>
      <c r="K1401" s="40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5"/>
      <c r="G1402" s="41"/>
      <c r="H1402" s="40" t="str">
        <f t="shared" si="29"/>
        <v/>
      </c>
      <c r="I1402" s="35"/>
      <c r="J1402" s="35"/>
      <c r="K1402" s="40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5"/>
      <c r="G1403" s="41"/>
      <c r="H1403" s="40" t="str">
        <f t="shared" si="29"/>
        <v/>
      </c>
      <c r="I1403" s="35"/>
      <c r="J1403" s="35"/>
      <c r="K1403" s="40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5"/>
      <c r="G1404" s="41"/>
      <c r="H1404" s="40" t="str">
        <f t="shared" si="29"/>
        <v/>
      </c>
      <c r="I1404" s="35"/>
      <c r="J1404" s="35"/>
      <c r="K1404" s="40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5"/>
      <c r="G1405" s="41"/>
      <c r="H1405" s="40" t="str">
        <f t="shared" si="29"/>
        <v/>
      </c>
      <c r="I1405" s="35"/>
      <c r="J1405" s="35"/>
      <c r="K1405" s="40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5"/>
      <c r="G1406" s="41"/>
      <c r="H1406" s="40" t="str">
        <f t="shared" si="29"/>
        <v/>
      </c>
      <c r="I1406" s="35"/>
      <c r="J1406" s="35"/>
      <c r="K1406" s="40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5"/>
      <c r="G1407" s="41"/>
      <c r="H1407" s="40" t="str">
        <f t="shared" si="29"/>
        <v/>
      </c>
      <c r="I1407" s="35"/>
      <c r="J1407" s="35"/>
      <c r="K1407" s="40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5"/>
      <c r="G1408" s="41"/>
      <c r="H1408" s="40" t="str">
        <f t="shared" si="29"/>
        <v/>
      </c>
      <c r="I1408" s="35"/>
      <c r="J1408" s="35"/>
      <c r="K1408" s="40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5"/>
      <c r="G1409" s="41"/>
      <c r="H1409" s="40" t="str">
        <f t="shared" si="29"/>
        <v/>
      </c>
      <c r="I1409" s="35"/>
      <c r="J1409" s="35"/>
      <c r="K1409" s="40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5"/>
      <c r="G1410" s="41"/>
      <c r="H1410" s="40" t="str">
        <f t="shared" ref="H1410:H1473" si="30">IF(AND($F1410="TEMP",$G1410&gt;0,$M1410&lt;&gt;""),$M1410+$G1410,"")</f>
        <v/>
      </c>
      <c r="I1410" s="35"/>
      <c r="J1410" s="35"/>
      <c r="K1410" s="40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5"/>
      <c r="G1411" s="41"/>
      <c r="H1411" s="40" t="str">
        <f t="shared" si="30"/>
        <v/>
      </c>
      <c r="I1411" s="35"/>
      <c r="J1411" s="35"/>
      <c r="K1411" s="40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5"/>
      <c r="G1412" s="41"/>
      <c r="H1412" s="40" t="str">
        <f t="shared" si="30"/>
        <v/>
      </c>
      <c r="I1412" s="35"/>
      <c r="J1412" s="35"/>
      <c r="K1412" s="40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5"/>
      <c r="G1413" s="41"/>
      <c r="H1413" s="40" t="str">
        <f t="shared" si="30"/>
        <v/>
      </c>
      <c r="I1413" s="35"/>
      <c r="J1413" s="35"/>
      <c r="K1413" s="40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5"/>
      <c r="G1414" s="41"/>
      <c r="H1414" s="40" t="str">
        <f t="shared" si="30"/>
        <v/>
      </c>
      <c r="I1414" s="35"/>
      <c r="J1414" s="35"/>
      <c r="K1414" s="40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5"/>
      <c r="G1415" s="41"/>
      <c r="H1415" s="40" t="str">
        <f t="shared" si="30"/>
        <v/>
      </c>
      <c r="I1415" s="35"/>
      <c r="J1415" s="35"/>
      <c r="K1415" s="40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5"/>
      <c r="G1416" s="41"/>
      <c r="H1416" s="40" t="str">
        <f t="shared" si="30"/>
        <v/>
      </c>
      <c r="I1416" s="35"/>
      <c r="J1416" s="35"/>
      <c r="K1416" s="40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5"/>
      <c r="G1417" s="41"/>
      <c r="H1417" s="40" t="str">
        <f t="shared" si="30"/>
        <v/>
      </c>
      <c r="I1417" s="35"/>
      <c r="J1417" s="35"/>
      <c r="K1417" s="40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5"/>
      <c r="G1418" s="41"/>
      <c r="H1418" s="40" t="str">
        <f t="shared" si="30"/>
        <v/>
      </c>
      <c r="I1418" s="35"/>
      <c r="J1418" s="35"/>
      <c r="K1418" s="40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5"/>
      <c r="G1419" s="41"/>
      <c r="H1419" s="40" t="str">
        <f t="shared" si="30"/>
        <v/>
      </c>
      <c r="I1419" s="35"/>
      <c r="J1419" s="35"/>
      <c r="K1419" s="40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5"/>
      <c r="G1420" s="41"/>
      <c r="H1420" s="40" t="str">
        <f t="shared" si="30"/>
        <v/>
      </c>
      <c r="I1420" s="35"/>
      <c r="J1420" s="35"/>
      <c r="K1420" s="40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5"/>
      <c r="G1421" s="41"/>
      <c r="H1421" s="40" t="str">
        <f t="shared" si="30"/>
        <v/>
      </c>
      <c r="I1421" s="35"/>
      <c r="J1421" s="35"/>
      <c r="K1421" s="40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5"/>
      <c r="G1422" s="41"/>
      <c r="H1422" s="40" t="str">
        <f t="shared" si="30"/>
        <v/>
      </c>
      <c r="I1422" s="35"/>
      <c r="J1422" s="35"/>
      <c r="K1422" s="40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5"/>
      <c r="G1423" s="41"/>
      <c r="H1423" s="40" t="str">
        <f t="shared" si="30"/>
        <v/>
      </c>
      <c r="I1423" s="35"/>
      <c r="J1423" s="35"/>
      <c r="K1423" s="40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5"/>
      <c r="G1424" s="41"/>
      <c r="H1424" s="40" t="str">
        <f t="shared" si="30"/>
        <v/>
      </c>
      <c r="I1424" s="35"/>
      <c r="J1424" s="35"/>
      <c r="K1424" s="40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5"/>
      <c r="G1425" s="41"/>
      <c r="H1425" s="40" t="str">
        <f t="shared" si="30"/>
        <v/>
      </c>
      <c r="I1425" s="35"/>
      <c r="J1425" s="35"/>
      <c r="K1425" s="40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5"/>
      <c r="G1426" s="41"/>
      <c r="H1426" s="40" t="str">
        <f t="shared" si="30"/>
        <v/>
      </c>
      <c r="I1426" s="35"/>
      <c r="J1426" s="35"/>
      <c r="K1426" s="40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5"/>
      <c r="G1427" s="41"/>
      <c r="H1427" s="40" t="str">
        <f t="shared" si="30"/>
        <v/>
      </c>
      <c r="I1427" s="35"/>
      <c r="J1427" s="35"/>
      <c r="K1427" s="40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5"/>
      <c r="G1428" s="41"/>
      <c r="H1428" s="40" t="str">
        <f t="shared" si="30"/>
        <v/>
      </c>
      <c r="I1428" s="35"/>
      <c r="J1428" s="35"/>
      <c r="K1428" s="40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5"/>
      <c r="G1429" s="41"/>
      <c r="H1429" s="40" t="str">
        <f t="shared" si="30"/>
        <v/>
      </c>
      <c r="I1429" s="35"/>
      <c r="J1429" s="35"/>
      <c r="K1429" s="40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5"/>
      <c r="G1430" s="41"/>
      <c r="H1430" s="40" t="str">
        <f t="shared" si="30"/>
        <v/>
      </c>
      <c r="I1430" s="35"/>
      <c r="J1430" s="35"/>
      <c r="K1430" s="40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5"/>
      <c r="G1431" s="41"/>
      <c r="H1431" s="40" t="str">
        <f t="shared" si="30"/>
        <v/>
      </c>
      <c r="I1431" s="35"/>
      <c r="J1431" s="35"/>
      <c r="K1431" s="40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5"/>
      <c r="G1432" s="41"/>
      <c r="H1432" s="40" t="str">
        <f t="shared" si="30"/>
        <v/>
      </c>
      <c r="I1432" s="35"/>
      <c r="J1432" s="35"/>
      <c r="K1432" s="40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5"/>
      <c r="G1433" s="41"/>
      <c r="H1433" s="40" t="str">
        <f t="shared" si="30"/>
        <v/>
      </c>
      <c r="I1433" s="35"/>
      <c r="J1433" s="35"/>
      <c r="K1433" s="40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5"/>
      <c r="G1434" s="41"/>
      <c r="H1434" s="40" t="str">
        <f t="shared" si="30"/>
        <v/>
      </c>
      <c r="I1434" s="35"/>
      <c r="J1434" s="35"/>
      <c r="K1434" s="40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5"/>
      <c r="G1435" s="41"/>
      <c r="H1435" s="40" t="str">
        <f t="shared" si="30"/>
        <v/>
      </c>
      <c r="I1435" s="35"/>
      <c r="J1435" s="35"/>
      <c r="K1435" s="40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5"/>
      <c r="G1436" s="41"/>
      <c r="H1436" s="40" t="str">
        <f t="shared" si="30"/>
        <v/>
      </c>
      <c r="I1436" s="35"/>
      <c r="J1436" s="35"/>
      <c r="K1436" s="40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5"/>
      <c r="G1437" s="41"/>
      <c r="H1437" s="40" t="str">
        <f t="shared" si="30"/>
        <v/>
      </c>
      <c r="I1437" s="35"/>
      <c r="J1437" s="35"/>
      <c r="K1437" s="40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5"/>
      <c r="G1438" s="41"/>
      <c r="H1438" s="40" t="str">
        <f t="shared" si="30"/>
        <v/>
      </c>
      <c r="I1438" s="35"/>
      <c r="J1438" s="35"/>
      <c r="K1438" s="40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5"/>
      <c r="G1439" s="41"/>
      <c r="H1439" s="40" t="str">
        <f t="shared" si="30"/>
        <v/>
      </c>
      <c r="I1439" s="35"/>
      <c r="J1439" s="35"/>
      <c r="K1439" s="40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5"/>
      <c r="G1440" s="41"/>
      <c r="H1440" s="40" t="str">
        <f t="shared" si="30"/>
        <v/>
      </c>
      <c r="I1440" s="35"/>
      <c r="J1440" s="35"/>
      <c r="K1440" s="40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5"/>
      <c r="G1441" s="41"/>
      <c r="H1441" s="40" t="str">
        <f t="shared" si="30"/>
        <v/>
      </c>
      <c r="I1441" s="35"/>
      <c r="J1441" s="35"/>
      <c r="K1441" s="40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5"/>
      <c r="G1442" s="41"/>
      <c r="H1442" s="40" t="str">
        <f t="shared" si="30"/>
        <v/>
      </c>
      <c r="I1442" s="35"/>
      <c r="J1442" s="35"/>
      <c r="K1442" s="40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5"/>
      <c r="G1443" s="41"/>
      <c r="H1443" s="40" t="str">
        <f t="shared" si="30"/>
        <v/>
      </c>
      <c r="I1443" s="35"/>
      <c r="J1443" s="35"/>
      <c r="K1443" s="40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5"/>
      <c r="G1444" s="41"/>
      <c r="H1444" s="40" t="str">
        <f t="shared" si="30"/>
        <v/>
      </c>
      <c r="I1444" s="35"/>
      <c r="J1444" s="35"/>
      <c r="K1444" s="40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5"/>
      <c r="G1445" s="41"/>
      <c r="H1445" s="40" t="str">
        <f t="shared" si="30"/>
        <v/>
      </c>
      <c r="I1445" s="35"/>
      <c r="J1445" s="35"/>
      <c r="K1445" s="40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5"/>
      <c r="G1446" s="41"/>
      <c r="H1446" s="40" t="str">
        <f t="shared" si="30"/>
        <v/>
      </c>
      <c r="I1446" s="35"/>
      <c r="J1446" s="35"/>
      <c r="K1446" s="40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5"/>
      <c r="G1447" s="41"/>
      <c r="H1447" s="40" t="str">
        <f t="shared" si="30"/>
        <v/>
      </c>
      <c r="I1447" s="35"/>
      <c r="J1447" s="35"/>
      <c r="K1447" s="40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5"/>
      <c r="G1448" s="41"/>
      <c r="H1448" s="40" t="str">
        <f t="shared" si="30"/>
        <v/>
      </c>
      <c r="I1448" s="35"/>
      <c r="J1448" s="35"/>
      <c r="K1448" s="40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5"/>
      <c r="G1449" s="41"/>
      <c r="H1449" s="40" t="str">
        <f t="shared" si="30"/>
        <v/>
      </c>
      <c r="I1449" s="35"/>
      <c r="J1449" s="35"/>
      <c r="K1449" s="40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5"/>
      <c r="G1450" s="41"/>
      <c r="H1450" s="40" t="str">
        <f t="shared" si="30"/>
        <v/>
      </c>
      <c r="I1450" s="35"/>
      <c r="J1450" s="35"/>
      <c r="K1450" s="40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5"/>
      <c r="G1451" s="41"/>
      <c r="H1451" s="40" t="str">
        <f t="shared" si="30"/>
        <v/>
      </c>
      <c r="I1451" s="35"/>
      <c r="J1451" s="35"/>
      <c r="K1451" s="40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5"/>
      <c r="G1452" s="41"/>
      <c r="H1452" s="40" t="str">
        <f t="shared" si="30"/>
        <v/>
      </c>
      <c r="I1452" s="35"/>
      <c r="J1452" s="35"/>
      <c r="K1452" s="40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5"/>
      <c r="G1453" s="41"/>
      <c r="H1453" s="40" t="str">
        <f t="shared" si="30"/>
        <v/>
      </c>
      <c r="I1453" s="35"/>
      <c r="J1453" s="35"/>
      <c r="K1453" s="40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5"/>
      <c r="G1454" s="41"/>
      <c r="H1454" s="40" t="str">
        <f t="shared" si="30"/>
        <v/>
      </c>
      <c r="I1454" s="35"/>
      <c r="J1454" s="35"/>
      <c r="K1454" s="40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5"/>
      <c r="G1455" s="41"/>
      <c r="H1455" s="40" t="str">
        <f t="shared" si="30"/>
        <v/>
      </c>
      <c r="I1455" s="35"/>
      <c r="J1455" s="35"/>
      <c r="K1455" s="40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5"/>
      <c r="G1456" s="41"/>
      <c r="H1456" s="40" t="str">
        <f t="shared" si="30"/>
        <v/>
      </c>
      <c r="I1456" s="35"/>
      <c r="J1456" s="35"/>
      <c r="K1456" s="40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5"/>
      <c r="G1457" s="41"/>
      <c r="H1457" s="40" t="str">
        <f t="shared" si="30"/>
        <v/>
      </c>
      <c r="I1457" s="35"/>
      <c r="J1457" s="35"/>
      <c r="K1457" s="40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5"/>
      <c r="G1458" s="41"/>
      <c r="H1458" s="40" t="str">
        <f t="shared" si="30"/>
        <v/>
      </c>
      <c r="I1458" s="35"/>
      <c r="J1458" s="35"/>
      <c r="K1458" s="40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5"/>
      <c r="G1459" s="41"/>
      <c r="H1459" s="40" t="str">
        <f t="shared" si="30"/>
        <v/>
      </c>
      <c r="I1459" s="35"/>
      <c r="J1459" s="35"/>
      <c r="K1459" s="40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5"/>
      <c r="G1460" s="41"/>
      <c r="H1460" s="40" t="str">
        <f t="shared" si="30"/>
        <v/>
      </c>
      <c r="I1460" s="35"/>
      <c r="J1460" s="35"/>
      <c r="K1460" s="40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5"/>
      <c r="G1461" s="41"/>
      <c r="H1461" s="40" t="str">
        <f t="shared" si="30"/>
        <v/>
      </c>
      <c r="I1461" s="35"/>
      <c r="J1461" s="35"/>
      <c r="K1461" s="40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5"/>
      <c r="G1462" s="41"/>
      <c r="H1462" s="40" t="str">
        <f t="shared" si="30"/>
        <v/>
      </c>
      <c r="I1462" s="35"/>
      <c r="J1462" s="35"/>
      <c r="K1462" s="40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5"/>
      <c r="G1463" s="41"/>
      <c r="H1463" s="40" t="str">
        <f t="shared" si="30"/>
        <v/>
      </c>
      <c r="I1463" s="35"/>
      <c r="J1463" s="35"/>
      <c r="K1463" s="40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5"/>
      <c r="G1464" s="41"/>
      <c r="H1464" s="40" t="str">
        <f t="shared" si="30"/>
        <v/>
      </c>
      <c r="I1464" s="35"/>
      <c r="J1464" s="35"/>
      <c r="K1464" s="40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5"/>
      <c r="G1465" s="41"/>
      <c r="H1465" s="40" t="str">
        <f t="shared" si="30"/>
        <v/>
      </c>
      <c r="I1465" s="35"/>
      <c r="J1465" s="35"/>
      <c r="K1465" s="40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5"/>
      <c r="G1466" s="41"/>
      <c r="H1466" s="40" t="str">
        <f t="shared" si="30"/>
        <v/>
      </c>
      <c r="I1466" s="35"/>
      <c r="J1466" s="35"/>
      <c r="K1466" s="40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5"/>
      <c r="G1467" s="41"/>
      <c r="H1467" s="40" t="str">
        <f t="shared" si="30"/>
        <v/>
      </c>
      <c r="I1467" s="35"/>
      <c r="J1467" s="35"/>
      <c r="K1467" s="40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5"/>
      <c r="G1468" s="41"/>
      <c r="H1468" s="40" t="str">
        <f t="shared" si="30"/>
        <v/>
      </c>
      <c r="I1468" s="35"/>
      <c r="J1468" s="35"/>
      <c r="K1468" s="40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5"/>
      <c r="G1469" s="41"/>
      <c r="H1469" s="40" t="str">
        <f t="shared" si="30"/>
        <v/>
      </c>
      <c r="I1469" s="35"/>
      <c r="J1469" s="35"/>
      <c r="K1469" s="40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5"/>
      <c r="G1470" s="41"/>
      <c r="H1470" s="40" t="str">
        <f t="shared" si="30"/>
        <v/>
      </c>
      <c r="I1470" s="35"/>
      <c r="J1470" s="35"/>
      <c r="K1470" s="40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5"/>
      <c r="G1471" s="41"/>
      <c r="H1471" s="40" t="str">
        <f t="shared" si="30"/>
        <v/>
      </c>
      <c r="I1471" s="35"/>
      <c r="J1471" s="35"/>
      <c r="K1471" s="40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5"/>
      <c r="G1472" s="41"/>
      <c r="H1472" s="40" t="str">
        <f t="shared" si="30"/>
        <v/>
      </c>
      <c r="I1472" s="35"/>
      <c r="J1472" s="35"/>
      <c r="K1472" s="40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5"/>
      <c r="G1473" s="41"/>
      <c r="H1473" s="40" t="str">
        <f t="shared" si="30"/>
        <v/>
      </c>
      <c r="I1473" s="35"/>
      <c r="J1473" s="35"/>
      <c r="K1473" s="40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5"/>
      <c r="G1474" s="41"/>
      <c r="H1474" s="40" t="str">
        <f t="shared" ref="H1474:H1537" si="31">IF(AND($F1474="TEMP",$G1474&gt;0,$M1474&lt;&gt;""),$M1474+$G1474,"")</f>
        <v/>
      </c>
      <c r="I1474" s="35"/>
      <c r="J1474" s="35"/>
      <c r="K1474" s="40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5"/>
      <c r="G1475" s="41"/>
      <c r="H1475" s="40" t="str">
        <f t="shared" si="31"/>
        <v/>
      </c>
      <c r="I1475" s="35"/>
      <c r="J1475" s="35"/>
      <c r="K1475" s="40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5"/>
      <c r="G1476" s="41"/>
      <c r="H1476" s="40" t="str">
        <f t="shared" si="31"/>
        <v/>
      </c>
      <c r="I1476" s="35"/>
      <c r="J1476" s="35"/>
      <c r="K1476" s="40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5"/>
      <c r="G1477" s="41"/>
      <c r="H1477" s="40" t="str">
        <f t="shared" si="31"/>
        <v/>
      </c>
      <c r="I1477" s="35"/>
      <c r="J1477" s="35"/>
      <c r="K1477" s="40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5"/>
      <c r="G1478" s="41"/>
      <c r="H1478" s="40" t="str">
        <f t="shared" si="31"/>
        <v/>
      </c>
      <c r="I1478" s="35"/>
      <c r="J1478" s="35"/>
      <c r="K1478" s="40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5"/>
      <c r="G1479" s="41"/>
      <c r="H1479" s="40" t="str">
        <f t="shared" si="31"/>
        <v/>
      </c>
      <c r="I1479" s="35"/>
      <c r="J1479" s="35"/>
      <c r="K1479" s="40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5"/>
      <c r="G1480" s="41"/>
      <c r="H1480" s="40" t="str">
        <f t="shared" si="31"/>
        <v/>
      </c>
      <c r="I1480" s="35"/>
      <c r="J1480" s="35"/>
      <c r="K1480" s="40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5"/>
      <c r="G1481" s="41"/>
      <c r="H1481" s="40" t="str">
        <f t="shared" si="31"/>
        <v/>
      </c>
      <c r="I1481" s="35"/>
      <c r="J1481" s="35"/>
      <c r="K1481" s="40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5"/>
      <c r="G1482" s="41"/>
      <c r="H1482" s="40" t="str">
        <f t="shared" si="31"/>
        <v/>
      </c>
      <c r="I1482" s="35"/>
      <c r="J1482" s="35"/>
      <c r="K1482" s="40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5"/>
      <c r="G1483" s="41"/>
      <c r="H1483" s="40" t="str">
        <f t="shared" si="31"/>
        <v/>
      </c>
      <c r="I1483" s="35"/>
      <c r="J1483" s="35"/>
      <c r="K1483" s="40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5"/>
      <c r="G1484" s="41"/>
      <c r="H1484" s="40" t="str">
        <f t="shared" si="31"/>
        <v/>
      </c>
      <c r="I1484" s="35"/>
      <c r="J1484" s="35"/>
      <c r="K1484" s="40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5"/>
      <c r="G1485" s="41"/>
      <c r="H1485" s="40" t="str">
        <f t="shared" si="31"/>
        <v/>
      </c>
      <c r="I1485" s="35"/>
      <c r="J1485" s="35"/>
      <c r="K1485" s="40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5"/>
      <c r="G1486" s="41"/>
      <c r="H1486" s="40" t="str">
        <f t="shared" si="31"/>
        <v/>
      </c>
      <c r="I1486" s="35"/>
      <c r="J1486" s="35"/>
      <c r="K1486" s="40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5"/>
      <c r="G1487" s="41"/>
      <c r="H1487" s="40" t="str">
        <f t="shared" si="31"/>
        <v/>
      </c>
      <c r="I1487" s="35"/>
      <c r="J1487" s="35"/>
      <c r="K1487" s="40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5"/>
      <c r="G1488" s="41"/>
      <c r="H1488" s="40" t="str">
        <f t="shared" si="31"/>
        <v/>
      </c>
      <c r="I1488" s="35"/>
      <c r="J1488" s="35"/>
      <c r="K1488" s="40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5"/>
      <c r="G1489" s="41"/>
      <c r="H1489" s="40" t="str">
        <f t="shared" si="31"/>
        <v/>
      </c>
      <c r="I1489" s="35"/>
      <c r="J1489" s="35"/>
      <c r="K1489" s="40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5"/>
      <c r="G1490" s="41"/>
      <c r="H1490" s="40" t="str">
        <f t="shared" si="31"/>
        <v/>
      </c>
      <c r="I1490" s="35"/>
      <c r="J1490" s="35"/>
      <c r="K1490" s="40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5"/>
      <c r="G1491" s="41"/>
      <c r="H1491" s="40" t="str">
        <f t="shared" si="31"/>
        <v/>
      </c>
      <c r="I1491" s="35"/>
      <c r="J1491" s="35"/>
      <c r="K1491" s="40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5"/>
      <c r="G1492" s="41"/>
      <c r="H1492" s="40" t="str">
        <f t="shared" si="31"/>
        <v/>
      </c>
      <c r="I1492" s="35"/>
      <c r="J1492" s="35"/>
      <c r="K1492" s="40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5"/>
      <c r="G1493" s="41"/>
      <c r="H1493" s="40" t="str">
        <f t="shared" si="31"/>
        <v/>
      </c>
      <c r="I1493" s="35"/>
      <c r="J1493" s="35"/>
      <c r="K1493" s="40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5"/>
      <c r="G1494" s="41"/>
      <c r="H1494" s="40" t="str">
        <f t="shared" si="31"/>
        <v/>
      </c>
      <c r="I1494" s="35"/>
      <c r="J1494" s="35"/>
      <c r="K1494" s="40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5"/>
      <c r="G1495" s="41"/>
      <c r="H1495" s="40" t="str">
        <f t="shared" si="31"/>
        <v/>
      </c>
      <c r="I1495" s="35"/>
      <c r="J1495" s="35"/>
      <c r="K1495" s="40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5"/>
      <c r="G1496" s="41"/>
      <c r="H1496" s="40" t="str">
        <f t="shared" si="31"/>
        <v/>
      </c>
      <c r="I1496" s="35"/>
      <c r="J1496" s="35"/>
      <c r="K1496" s="40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5"/>
      <c r="G1497" s="41"/>
      <c r="H1497" s="40" t="str">
        <f t="shared" si="31"/>
        <v/>
      </c>
      <c r="I1497" s="35"/>
      <c r="J1497" s="35"/>
      <c r="K1497" s="40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5"/>
      <c r="G1498" s="41"/>
      <c r="H1498" s="40" t="str">
        <f t="shared" si="31"/>
        <v/>
      </c>
      <c r="I1498" s="35"/>
      <c r="J1498" s="35"/>
      <c r="K1498" s="40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5"/>
      <c r="G1499" s="41"/>
      <c r="H1499" s="40" t="str">
        <f t="shared" si="31"/>
        <v/>
      </c>
      <c r="I1499" s="35"/>
      <c r="J1499" s="35"/>
      <c r="K1499" s="40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5"/>
      <c r="G1500" s="41"/>
      <c r="H1500" s="40" t="str">
        <f t="shared" si="31"/>
        <v/>
      </c>
      <c r="I1500" s="35"/>
      <c r="J1500" s="35"/>
      <c r="K1500" s="40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5"/>
      <c r="G1501" s="41"/>
      <c r="H1501" s="40" t="str">
        <f t="shared" si="31"/>
        <v/>
      </c>
      <c r="I1501" s="35"/>
      <c r="J1501" s="35"/>
      <c r="K1501" s="40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5"/>
      <c r="G1502" s="41"/>
      <c r="H1502" s="40" t="str">
        <f t="shared" si="31"/>
        <v/>
      </c>
      <c r="I1502" s="35"/>
      <c r="J1502" s="35"/>
      <c r="K1502" s="40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5"/>
      <c r="G1503" s="41"/>
      <c r="H1503" s="40" t="str">
        <f t="shared" si="31"/>
        <v/>
      </c>
      <c r="I1503" s="35"/>
      <c r="J1503" s="35"/>
      <c r="K1503" s="40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5"/>
      <c r="G1504" s="41"/>
      <c r="H1504" s="40" t="str">
        <f t="shared" si="31"/>
        <v/>
      </c>
      <c r="I1504" s="35"/>
      <c r="J1504" s="35"/>
      <c r="K1504" s="40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5"/>
      <c r="G1505" s="41"/>
      <c r="H1505" s="40" t="str">
        <f t="shared" si="31"/>
        <v/>
      </c>
      <c r="I1505" s="35"/>
      <c r="J1505" s="35"/>
      <c r="K1505" s="40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5"/>
      <c r="G1506" s="41"/>
      <c r="H1506" s="40" t="str">
        <f t="shared" si="31"/>
        <v/>
      </c>
      <c r="I1506" s="35"/>
      <c r="J1506" s="35"/>
      <c r="K1506" s="40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5"/>
      <c r="G1507" s="41"/>
      <c r="H1507" s="40" t="str">
        <f t="shared" si="31"/>
        <v/>
      </c>
      <c r="I1507" s="35"/>
      <c r="J1507" s="35"/>
      <c r="K1507" s="40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5"/>
      <c r="G1508" s="41"/>
      <c r="H1508" s="40" t="str">
        <f t="shared" si="31"/>
        <v/>
      </c>
      <c r="I1508" s="35"/>
      <c r="J1508" s="35"/>
      <c r="K1508" s="40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5"/>
      <c r="G1509" s="41"/>
      <c r="H1509" s="40" t="str">
        <f t="shared" si="31"/>
        <v/>
      </c>
      <c r="I1509" s="35"/>
      <c r="J1509" s="35"/>
      <c r="K1509" s="40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5"/>
      <c r="G1510" s="41"/>
      <c r="H1510" s="40" t="str">
        <f t="shared" si="31"/>
        <v/>
      </c>
      <c r="I1510" s="35"/>
      <c r="J1510" s="35"/>
      <c r="K1510" s="40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5"/>
      <c r="G1511" s="41"/>
      <c r="H1511" s="40" t="str">
        <f t="shared" si="31"/>
        <v/>
      </c>
      <c r="I1511" s="35"/>
      <c r="J1511" s="35"/>
      <c r="K1511" s="40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5"/>
      <c r="G1512" s="41"/>
      <c r="H1512" s="40" t="str">
        <f t="shared" si="31"/>
        <v/>
      </c>
      <c r="I1512" s="35"/>
      <c r="J1512" s="35"/>
      <c r="K1512" s="40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5"/>
      <c r="G1513" s="41"/>
      <c r="H1513" s="40" t="str">
        <f t="shared" si="31"/>
        <v/>
      </c>
      <c r="I1513" s="35"/>
      <c r="J1513" s="35"/>
      <c r="K1513" s="40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5"/>
      <c r="G1514" s="41"/>
      <c r="H1514" s="40" t="str">
        <f t="shared" si="31"/>
        <v/>
      </c>
      <c r="I1514" s="35"/>
      <c r="J1514" s="35"/>
      <c r="K1514" s="40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5"/>
      <c r="G1515" s="41"/>
      <c r="H1515" s="40" t="str">
        <f t="shared" si="31"/>
        <v/>
      </c>
      <c r="I1515" s="35"/>
      <c r="J1515" s="35"/>
      <c r="K1515" s="40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5"/>
      <c r="G1516" s="41"/>
      <c r="H1516" s="40" t="str">
        <f t="shared" si="31"/>
        <v/>
      </c>
      <c r="I1516" s="35"/>
      <c r="J1516" s="35"/>
      <c r="K1516" s="40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5"/>
      <c r="G1517" s="41"/>
      <c r="H1517" s="40" t="str">
        <f t="shared" si="31"/>
        <v/>
      </c>
      <c r="I1517" s="35"/>
      <c r="J1517" s="35"/>
      <c r="K1517" s="40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5"/>
      <c r="G1518" s="41"/>
      <c r="H1518" s="40" t="str">
        <f t="shared" si="31"/>
        <v/>
      </c>
      <c r="I1518" s="35"/>
      <c r="J1518" s="35"/>
      <c r="K1518" s="40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5"/>
      <c r="G1519" s="41"/>
      <c r="H1519" s="40" t="str">
        <f t="shared" si="31"/>
        <v/>
      </c>
      <c r="I1519" s="35"/>
      <c r="J1519" s="35"/>
      <c r="K1519" s="40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5"/>
      <c r="G1520" s="41"/>
      <c r="H1520" s="40" t="str">
        <f t="shared" si="31"/>
        <v/>
      </c>
      <c r="I1520" s="35"/>
      <c r="J1520" s="35"/>
      <c r="K1520" s="40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5"/>
      <c r="G1521" s="41"/>
      <c r="H1521" s="40" t="str">
        <f t="shared" si="31"/>
        <v/>
      </c>
      <c r="I1521" s="35"/>
      <c r="J1521" s="35"/>
      <c r="K1521" s="40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5"/>
      <c r="G1522" s="41"/>
      <c r="H1522" s="40" t="str">
        <f t="shared" si="31"/>
        <v/>
      </c>
      <c r="I1522" s="35"/>
      <c r="J1522" s="35"/>
      <c r="K1522" s="40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5"/>
      <c r="G1523" s="41"/>
      <c r="H1523" s="40" t="str">
        <f t="shared" si="31"/>
        <v/>
      </c>
      <c r="I1523" s="35"/>
      <c r="J1523" s="35"/>
      <c r="K1523" s="40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5"/>
      <c r="G1524" s="41"/>
      <c r="H1524" s="40" t="str">
        <f t="shared" si="31"/>
        <v/>
      </c>
      <c r="I1524" s="35"/>
      <c r="J1524" s="35"/>
      <c r="K1524" s="40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5"/>
      <c r="G1525" s="41"/>
      <c r="H1525" s="40" t="str">
        <f t="shared" si="31"/>
        <v/>
      </c>
      <c r="I1525" s="35"/>
      <c r="J1525" s="35"/>
      <c r="K1525" s="40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5"/>
      <c r="G1526" s="41"/>
      <c r="H1526" s="40" t="str">
        <f t="shared" si="31"/>
        <v/>
      </c>
      <c r="I1526" s="35"/>
      <c r="J1526" s="35"/>
      <c r="K1526" s="40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5"/>
      <c r="G1527" s="41"/>
      <c r="H1527" s="40" t="str">
        <f t="shared" si="31"/>
        <v/>
      </c>
      <c r="I1527" s="35"/>
      <c r="J1527" s="35"/>
      <c r="K1527" s="40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5"/>
      <c r="G1528" s="41"/>
      <c r="H1528" s="40" t="str">
        <f t="shared" si="31"/>
        <v/>
      </c>
      <c r="I1528" s="35"/>
      <c r="J1528" s="35"/>
      <c r="K1528" s="40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5"/>
      <c r="G1529" s="41"/>
      <c r="H1529" s="40" t="str">
        <f t="shared" si="31"/>
        <v/>
      </c>
      <c r="I1529" s="35"/>
      <c r="J1529" s="35"/>
      <c r="K1529" s="40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5"/>
      <c r="G1530" s="41"/>
      <c r="H1530" s="40" t="str">
        <f t="shared" si="31"/>
        <v/>
      </c>
      <c r="I1530" s="35"/>
      <c r="J1530" s="35"/>
      <c r="K1530" s="40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5"/>
      <c r="G1531" s="41"/>
      <c r="H1531" s="40" t="str">
        <f t="shared" si="31"/>
        <v/>
      </c>
      <c r="I1531" s="35"/>
      <c r="J1531" s="35"/>
      <c r="K1531" s="40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5"/>
      <c r="G1532" s="41"/>
      <c r="H1532" s="40" t="str">
        <f t="shared" si="31"/>
        <v/>
      </c>
      <c r="I1532" s="35"/>
      <c r="J1532" s="35"/>
      <c r="K1532" s="40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5"/>
      <c r="G1533" s="41"/>
      <c r="H1533" s="40" t="str">
        <f t="shared" si="31"/>
        <v/>
      </c>
      <c r="I1533" s="35"/>
      <c r="J1533" s="35"/>
      <c r="K1533" s="40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5"/>
      <c r="G1534" s="41"/>
      <c r="H1534" s="40" t="str">
        <f t="shared" si="31"/>
        <v/>
      </c>
      <c r="I1534" s="35"/>
      <c r="J1534" s="35"/>
      <c r="K1534" s="40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5"/>
      <c r="G1535" s="41"/>
      <c r="H1535" s="40" t="str">
        <f t="shared" si="31"/>
        <v/>
      </c>
      <c r="I1535" s="35"/>
      <c r="J1535" s="35"/>
      <c r="K1535" s="40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5"/>
      <c r="G1536" s="41"/>
      <c r="H1536" s="40" t="str">
        <f t="shared" si="31"/>
        <v/>
      </c>
      <c r="I1536" s="35"/>
      <c r="J1536" s="35"/>
      <c r="K1536" s="40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5"/>
      <c r="G1537" s="41"/>
      <c r="H1537" s="40" t="str">
        <f t="shared" si="31"/>
        <v/>
      </c>
      <c r="I1537" s="35"/>
      <c r="J1537" s="35"/>
      <c r="K1537" s="40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5"/>
      <c r="G1538" s="41"/>
      <c r="H1538" s="40" t="str">
        <f t="shared" ref="H1538:H1601" si="32">IF(AND($F1538="TEMP",$G1538&gt;0,$M1538&lt;&gt;""),$M1538+$G1538,"")</f>
        <v/>
      </c>
      <c r="I1538" s="35"/>
      <c r="J1538" s="35"/>
      <c r="K1538" s="40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5"/>
      <c r="G1539" s="41"/>
      <c r="H1539" s="40" t="str">
        <f t="shared" si="32"/>
        <v/>
      </c>
      <c r="I1539" s="35"/>
      <c r="J1539" s="35"/>
      <c r="K1539" s="40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5"/>
      <c r="G1540" s="41"/>
      <c r="H1540" s="40" t="str">
        <f t="shared" si="32"/>
        <v/>
      </c>
      <c r="I1540" s="35"/>
      <c r="J1540" s="35"/>
      <c r="K1540" s="40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5"/>
      <c r="G1541" s="41"/>
      <c r="H1541" s="40" t="str">
        <f t="shared" si="32"/>
        <v/>
      </c>
      <c r="I1541" s="35"/>
      <c r="J1541" s="35"/>
      <c r="K1541" s="40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5"/>
      <c r="G1542" s="41"/>
      <c r="H1542" s="40" t="str">
        <f t="shared" si="32"/>
        <v/>
      </c>
      <c r="I1542" s="35"/>
      <c r="J1542" s="35"/>
      <c r="K1542" s="40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5"/>
      <c r="G1543" s="41"/>
      <c r="H1543" s="40" t="str">
        <f t="shared" si="32"/>
        <v/>
      </c>
      <c r="I1543" s="35"/>
      <c r="J1543" s="35"/>
      <c r="K1543" s="40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5"/>
      <c r="G1544" s="41"/>
      <c r="H1544" s="40" t="str">
        <f t="shared" si="32"/>
        <v/>
      </c>
      <c r="I1544" s="35"/>
      <c r="J1544" s="35"/>
      <c r="K1544" s="40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5"/>
      <c r="G1545" s="41"/>
      <c r="H1545" s="40" t="str">
        <f t="shared" si="32"/>
        <v/>
      </c>
      <c r="I1545" s="35"/>
      <c r="J1545" s="35"/>
      <c r="K1545" s="40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5"/>
      <c r="G1546" s="41"/>
      <c r="H1546" s="40" t="str">
        <f t="shared" si="32"/>
        <v/>
      </c>
      <c r="I1546" s="35"/>
      <c r="J1546" s="35"/>
      <c r="K1546" s="40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5"/>
      <c r="G1547" s="41"/>
      <c r="H1547" s="40" t="str">
        <f t="shared" si="32"/>
        <v/>
      </c>
      <c r="I1547" s="35"/>
      <c r="J1547" s="35"/>
      <c r="K1547" s="40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5"/>
      <c r="G1548" s="41"/>
      <c r="H1548" s="40" t="str">
        <f t="shared" si="32"/>
        <v/>
      </c>
      <c r="I1548" s="35"/>
      <c r="J1548" s="35"/>
      <c r="K1548" s="40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5"/>
      <c r="G1549" s="41"/>
      <c r="H1549" s="40" t="str">
        <f t="shared" si="32"/>
        <v/>
      </c>
      <c r="I1549" s="35"/>
      <c r="J1549" s="35"/>
      <c r="K1549" s="40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5"/>
      <c r="G1550" s="41"/>
      <c r="H1550" s="40" t="str">
        <f t="shared" si="32"/>
        <v/>
      </c>
      <c r="I1550" s="35"/>
      <c r="J1550" s="35"/>
      <c r="K1550" s="40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5"/>
      <c r="G1551" s="41"/>
      <c r="H1551" s="40" t="str">
        <f t="shared" si="32"/>
        <v/>
      </c>
      <c r="I1551" s="35"/>
      <c r="J1551" s="35"/>
      <c r="K1551" s="40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5"/>
      <c r="G1552" s="41"/>
      <c r="H1552" s="40" t="str">
        <f t="shared" si="32"/>
        <v/>
      </c>
      <c r="I1552" s="35"/>
      <c r="J1552" s="35"/>
      <c r="K1552" s="40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5"/>
      <c r="G1553" s="41"/>
      <c r="H1553" s="40" t="str">
        <f t="shared" si="32"/>
        <v/>
      </c>
      <c r="I1553" s="35"/>
      <c r="J1553" s="35"/>
      <c r="K1553" s="40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5"/>
      <c r="G1554" s="41"/>
      <c r="H1554" s="40" t="str">
        <f t="shared" si="32"/>
        <v/>
      </c>
      <c r="I1554" s="35"/>
      <c r="J1554" s="35"/>
      <c r="K1554" s="40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5"/>
      <c r="G1555" s="41"/>
      <c r="H1555" s="40" t="str">
        <f t="shared" si="32"/>
        <v/>
      </c>
      <c r="I1555" s="35"/>
      <c r="J1555" s="35"/>
      <c r="K1555" s="40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5"/>
      <c r="G1556" s="41"/>
      <c r="H1556" s="40" t="str">
        <f t="shared" si="32"/>
        <v/>
      </c>
      <c r="I1556" s="35"/>
      <c r="J1556" s="35"/>
      <c r="K1556" s="40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5"/>
      <c r="G1557" s="41"/>
      <c r="H1557" s="40" t="str">
        <f t="shared" si="32"/>
        <v/>
      </c>
      <c r="I1557" s="35"/>
      <c r="J1557" s="35"/>
      <c r="K1557" s="40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5"/>
      <c r="G1558" s="41"/>
      <c r="H1558" s="40" t="str">
        <f t="shared" si="32"/>
        <v/>
      </c>
      <c r="I1558" s="35"/>
      <c r="J1558" s="35"/>
      <c r="K1558" s="40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5"/>
      <c r="G1559" s="41"/>
      <c r="H1559" s="40" t="str">
        <f t="shared" si="32"/>
        <v/>
      </c>
      <c r="I1559" s="35"/>
      <c r="J1559" s="35"/>
      <c r="K1559" s="40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5"/>
      <c r="G1560" s="41"/>
      <c r="H1560" s="40" t="str">
        <f t="shared" si="32"/>
        <v/>
      </c>
      <c r="I1560" s="35"/>
      <c r="J1560" s="35"/>
      <c r="K1560" s="40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5"/>
      <c r="G1561" s="41"/>
      <c r="H1561" s="40" t="str">
        <f t="shared" si="32"/>
        <v/>
      </c>
      <c r="I1561" s="35"/>
      <c r="J1561" s="35"/>
      <c r="K1561" s="40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5"/>
      <c r="G1562" s="41"/>
      <c r="H1562" s="40" t="str">
        <f t="shared" si="32"/>
        <v/>
      </c>
      <c r="I1562" s="35"/>
      <c r="J1562" s="35"/>
      <c r="K1562" s="40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5"/>
      <c r="G1563" s="41"/>
      <c r="H1563" s="40" t="str">
        <f t="shared" si="32"/>
        <v/>
      </c>
      <c r="I1563" s="35"/>
      <c r="J1563" s="35"/>
      <c r="K1563" s="40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5"/>
      <c r="G1564" s="41"/>
      <c r="H1564" s="40" t="str">
        <f t="shared" si="32"/>
        <v/>
      </c>
      <c r="I1564" s="35"/>
      <c r="J1564" s="35"/>
      <c r="K1564" s="40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5"/>
      <c r="G1565" s="41"/>
      <c r="H1565" s="40" t="str">
        <f t="shared" si="32"/>
        <v/>
      </c>
      <c r="I1565" s="35"/>
      <c r="J1565" s="35"/>
      <c r="K1565" s="40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5"/>
      <c r="G1566" s="41"/>
      <c r="H1566" s="40" t="str">
        <f t="shared" si="32"/>
        <v/>
      </c>
      <c r="I1566" s="35"/>
      <c r="J1566" s="35"/>
      <c r="K1566" s="40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5"/>
      <c r="G1567" s="41"/>
      <c r="H1567" s="40" t="str">
        <f t="shared" si="32"/>
        <v/>
      </c>
      <c r="I1567" s="35"/>
      <c r="J1567" s="35"/>
      <c r="K1567" s="40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5"/>
      <c r="G1568" s="41"/>
      <c r="H1568" s="40" t="str">
        <f t="shared" si="32"/>
        <v/>
      </c>
      <c r="I1568" s="35"/>
      <c r="J1568" s="35"/>
      <c r="K1568" s="40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5"/>
      <c r="G1569" s="41"/>
      <c r="H1569" s="40" t="str">
        <f t="shared" si="32"/>
        <v/>
      </c>
      <c r="I1569" s="35"/>
      <c r="J1569" s="35"/>
      <c r="K1569" s="40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5"/>
      <c r="G1570" s="41"/>
      <c r="H1570" s="40" t="str">
        <f t="shared" si="32"/>
        <v/>
      </c>
      <c r="I1570" s="35"/>
      <c r="J1570" s="35"/>
      <c r="K1570" s="40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5"/>
      <c r="G1571" s="41"/>
      <c r="H1571" s="40" t="str">
        <f t="shared" si="32"/>
        <v/>
      </c>
      <c r="I1571" s="35"/>
      <c r="J1571" s="35"/>
      <c r="K1571" s="40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5"/>
      <c r="G1572" s="41"/>
      <c r="H1572" s="40" t="str">
        <f t="shared" si="32"/>
        <v/>
      </c>
      <c r="I1572" s="35"/>
      <c r="J1572" s="35"/>
      <c r="K1572" s="40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5"/>
      <c r="G1573" s="41"/>
      <c r="H1573" s="40" t="str">
        <f t="shared" si="32"/>
        <v/>
      </c>
      <c r="I1573" s="35"/>
      <c r="J1573" s="35"/>
      <c r="K1573" s="40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5"/>
      <c r="G1574" s="41"/>
      <c r="H1574" s="40" t="str">
        <f t="shared" si="32"/>
        <v/>
      </c>
      <c r="I1574" s="35"/>
      <c r="J1574" s="35"/>
      <c r="K1574" s="40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5"/>
      <c r="G1575" s="41"/>
      <c r="H1575" s="40" t="str">
        <f t="shared" si="32"/>
        <v/>
      </c>
      <c r="I1575" s="35"/>
      <c r="J1575" s="35"/>
      <c r="K1575" s="40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5"/>
      <c r="G1576" s="41"/>
      <c r="H1576" s="40" t="str">
        <f t="shared" si="32"/>
        <v/>
      </c>
      <c r="I1576" s="35"/>
      <c r="J1576" s="35"/>
      <c r="K1576" s="40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5"/>
      <c r="G1577" s="41"/>
      <c r="H1577" s="40" t="str">
        <f t="shared" si="32"/>
        <v/>
      </c>
      <c r="I1577" s="35"/>
      <c r="J1577" s="35"/>
      <c r="K1577" s="40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5"/>
      <c r="G1578" s="41"/>
      <c r="H1578" s="40" t="str">
        <f t="shared" si="32"/>
        <v/>
      </c>
      <c r="I1578" s="35"/>
      <c r="J1578" s="35"/>
      <c r="K1578" s="40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5"/>
      <c r="G1579" s="41"/>
      <c r="H1579" s="40" t="str">
        <f t="shared" si="32"/>
        <v/>
      </c>
      <c r="I1579" s="35"/>
      <c r="J1579" s="35"/>
      <c r="K1579" s="40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5"/>
      <c r="G1580" s="41"/>
      <c r="H1580" s="40" t="str">
        <f t="shared" si="32"/>
        <v/>
      </c>
      <c r="I1580" s="35"/>
      <c r="J1580" s="35"/>
      <c r="K1580" s="40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5"/>
      <c r="G1581" s="41"/>
      <c r="H1581" s="40" t="str">
        <f t="shared" si="32"/>
        <v/>
      </c>
      <c r="I1581" s="35"/>
      <c r="J1581" s="35"/>
      <c r="K1581" s="40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5"/>
      <c r="G1582" s="41"/>
      <c r="H1582" s="40" t="str">
        <f t="shared" si="32"/>
        <v/>
      </c>
      <c r="I1582" s="35"/>
      <c r="J1582" s="35"/>
      <c r="K1582" s="40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5"/>
      <c r="G1583" s="41"/>
      <c r="H1583" s="40" t="str">
        <f t="shared" si="32"/>
        <v/>
      </c>
      <c r="I1583" s="35"/>
      <c r="J1583" s="35"/>
      <c r="K1583" s="40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5"/>
      <c r="G1584" s="41"/>
      <c r="H1584" s="40" t="str">
        <f t="shared" si="32"/>
        <v/>
      </c>
      <c r="I1584" s="35"/>
      <c r="J1584" s="35"/>
      <c r="K1584" s="40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5"/>
      <c r="G1585" s="41"/>
      <c r="H1585" s="40" t="str">
        <f t="shared" si="32"/>
        <v/>
      </c>
      <c r="I1585" s="35"/>
      <c r="J1585" s="35"/>
      <c r="K1585" s="40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5"/>
      <c r="G1586" s="41"/>
      <c r="H1586" s="40" t="str">
        <f t="shared" si="32"/>
        <v/>
      </c>
      <c r="I1586" s="35"/>
      <c r="J1586" s="35"/>
      <c r="K1586" s="40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5"/>
      <c r="G1587" s="41"/>
      <c r="H1587" s="40" t="str">
        <f t="shared" si="32"/>
        <v/>
      </c>
      <c r="I1587" s="35"/>
      <c r="J1587" s="35"/>
      <c r="K1587" s="40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5"/>
      <c r="G1588" s="41"/>
      <c r="H1588" s="40" t="str">
        <f t="shared" si="32"/>
        <v/>
      </c>
      <c r="I1588" s="35"/>
      <c r="J1588" s="35"/>
      <c r="K1588" s="40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5"/>
      <c r="G1589" s="41"/>
      <c r="H1589" s="40" t="str">
        <f t="shared" si="32"/>
        <v/>
      </c>
      <c r="I1589" s="35"/>
      <c r="J1589" s="35"/>
      <c r="K1589" s="40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5"/>
      <c r="G1590" s="41"/>
      <c r="H1590" s="40" t="str">
        <f t="shared" si="32"/>
        <v/>
      </c>
      <c r="I1590" s="35"/>
      <c r="J1590" s="35"/>
      <c r="K1590" s="40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5"/>
      <c r="G1591" s="41"/>
      <c r="H1591" s="40" t="str">
        <f t="shared" si="32"/>
        <v/>
      </c>
      <c r="I1591" s="35"/>
      <c r="J1591" s="35"/>
      <c r="K1591" s="40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5"/>
      <c r="G1592" s="41"/>
      <c r="H1592" s="40" t="str">
        <f t="shared" si="32"/>
        <v/>
      </c>
      <c r="I1592" s="35"/>
      <c r="J1592" s="35"/>
      <c r="K1592" s="40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5"/>
      <c r="G1593" s="41"/>
      <c r="H1593" s="40" t="str">
        <f t="shared" si="32"/>
        <v/>
      </c>
      <c r="I1593" s="35"/>
      <c r="J1593" s="35"/>
      <c r="K1593" s="40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5"/>
      <c r="G1594" s="41"/>
      <c r="H1594" s="40" t="str">
        <f t="shared" si="32"/>
        <v/>
      </c>
      <c r="I1594" s="35"/>
      <c r="J1594" s="35"/>
      <c r="K1594" s="40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5"/>
      <c r="G1595" s="41"/>
      <c r="H1595" s="40" t="str">
        <f t="shared" si="32"/>
        <v/>
      </c>
      <c r="I1595" s="35"/>
      <c r="J1595" s="35"/>
      <c r="K1595" s="40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5"/>
      <c r="G1596" s="41"/>
      <c r="H1596" s="40" t="str">
        <f t="shared" si="32"/>
        <v/>
      </c>
      <c r="I1596" s="35"/>
      <c r="J1596" s="35"/>
      <c r="K1596" s="40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5"/>
      <c r="G1597" s="41"/>
      <c r="H1597" s="40" t="str">
        <f t="shared" si="32"/>
        <v/>
      </c>
      <c r="I1597" s="35"/>
      <c r="J1597" s="35"/>
      <c r="K1597" s="40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5"/>
      <c r="G1598" s="41"/>
      <c r="H1598" s="40" t="str">
        <f t="shared" si="32"/>
        <v/>
      </c>
      <c r="I1598" s="35"/>
      <c r="J1598" s="35"/>
      <c r="K1598" s="40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5"/>
      <c r="G1599" s="41"/>
      <c r="H1599" s="40" t="str">
        <f t="shared" si="32"/>
        <v/>
      </c>
      <c r="I1599" s="35"/>
      <c r="J1599" s="35"/>
      <c r="K1599" s="40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5"/>
      <c r="G1600" s="41"/>
      <c r="H1600" s="40" t="str">
        <f t="shared" si="32"/>
        <v/>
      </c>
      <c r="I1600" s="35"/>
      <c r="J1600" s="35"/>
      <c r="K1600" s="40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5"/>
      <c r="G1601" s="41"/>
      <c r="H1601" s="40" t="str">
        <f t="shared" si="32"/>
        <v/>
      </c>
      <c r="I1601" s="35"/>
      <c r="J1601" s="35"/>
      <c r="K1601" s="40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5"/>
      <c r="G1602" s="41"/>
      <c r="H1602" s="40" t="str">
        <f t="shared" ref="H1602:H1665" si="33">IF(AND($F1602="TEMP",$G1602&gt;0,$M1602&lt;&gt;""),$M1602+$G1602,"")</f>
        <v/>
      </c>
      <c r="I1602" s="35"/>
      <c r="J1602" s="35"/>
      <c r="K1602" s="40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5"/>
      <c r="G1603" s="41"/>
      <c r="H1603" s="40" t="str">
        <f t="shared" si="33"/>
        <v/>
      </c>
      <c r="I1603" s="35"/>
      <c r="J1603" s="35"/>
      <c r="K1603" s="40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5"/>
      <c r="G1604" s="41"/>
      <c r="H1604" s="40" t="str">
        <f t="shared" si="33"/>
        <v/>
      </c>
      <c r="I1604" s="35"/>
      <c r="J1604" s="35"/>
      <c r="K1604" s="40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5"/>
      <c r="G1605" s="41"/>
      <c r="H1605" s="40" t="str">
        <f t="shared" si="33"/>
        <v/>
      </c>
      <c r="I1605" s="35"/>
      <c r="J1605" s="35"/>
      <c r="K1605" s="40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5"/>
      <c r="G1606" s="41"/>
      <c r="H1606" s="40" t="str">
        <f t="shared" si="33"/>
        <v/>
      </c>
      <c r="I1606" s="35"/>
      <c r="J1606" s="35"/>
      <c r="K1606" s="40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5"/>
      <c r="G1607" s="41"/>
      <c r="H1607" s="40" t="str">
        <f t="shared" si="33"/>
        <v/>
      </c>
      <c r="I1607" s="35"/>
      <c r="J1607" s="35"/>
      <c r="K1607" s="40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5"/>
      <c r="G1608" s="41"/>
      <c r="H1608" s="40" t="str">
        <f t="shared" si="33"/>
        <v/>
      </c>
      <c r="I1608" s="35"/>
      <c r="J1608" s="35"/>
      <c r="K1608" s="40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5"/>
      <c r="G1609" s="41"/>
      <c r="H1609" s="40" t="str">
        <f t="shared" si="33"/>
        <v/>
      </c>
      <c r="I1609" s="35"/>
      <c r="J1609" s="35"/>
      <c r="K1609" s="40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5"/>
      <c r="G1610" s="41"/>
      <c r="H1610" s="40" t="str">
        <f t="shared" si="33"/>
        <v/>
      </c>
      <c r="I1610" s="35"/>
      <c r="J1610" s="35"/>
      <c r="K1610" s="40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5"/>
      <c r="G1611" s="41"/>
      <c r="H1611" s="40" t="str">
        <f t="shared" si="33"/>
        <v/>
      </c>
      <c r="I1611" s="35"/>
      <c r="J1611" s="35"/>
      <c r="K1611" s="40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5"/>
      <c r="G1612" s="41"/>
      <c r="H1612" s="40" t="str">
        <f t="shared" si="33"/>
        <v/>
      </c>
      <c r="I1612" s="35"/>
      <c r="J1612" s="35"/>
      <c r="K1612" s="40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5"/>
      <c r="G1613" s="41"/>
      <c r="H1613" s="40" t="str">
        <f t="shared" si="33"/>
        <v/>
      </c>
      <c r="I1613" s="35"/>
      <c r="J1613" s="35"/>
      <c r="K1613" s="40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5"/>
      <c r="G1614" s="41"/>
      <c r="H1614" s="40" t="str">
        <f t="shared" si="33"/>
        <v/>
      </c>
      <c r="I1614" s="35"/>
      <c r="J1614" s="35"/>
      <c r="K1614" s="40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5"/>
      <c r="G1615" s="41"/>
      <c r="H1615" s="40" t="str">
        <f t="shared" si="33"/>
        <v/>
      </c>
      <c r="I1615" s="35"/>
      <c r="J1615" s="35"/>
      <c r="K1615" s="40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5"/>
      <c r="G1616" s="41"/>
      <c r="H1616" s="40" t="str">
        <f t="shared" si="33"/>
        <v/>
      </c>
      <c r="I1616" s="35"/>
      <c r="J1616" s="35"/>
      <c r="K1616" s="40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5"/>
      <c r="G1617" s="41"/>
      <c r="H1617" s="40" t="str">
        <f t="shared" si="33"/>
        <v/>
      </c>
      <c r="I1617" s="35"/>
      <c r="J1617" s="35"/>
      <c r="K1617" s="40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5"/>
      <c r="G1618" s="41"/>
      <c r="H1618" s="40" t="str">
        <f t="shared" si="33"/>
        <v/>
      </c>
      <c r="I1618" s="35"/>
      <c r="J1618" s="35"/>
      <c r="K1618" s="40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5"/>
      <c r="G1619" s="41"/>
      <c r="H1619" s="40" t="str">
        <f t="shared" si="33"/>
        <v/>
      </c>
      <c r="I1619" s="35"/>
      <c r="J1619" s="35"/>
      <c r="K1619" s="40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5"/>
      <c r="G1620" s="41"/>
      <c r="H1620" s="40" t="str">
        <f t="shared" si="33"/>
        <v/>
      </c>
      <c r="I1620" s="35"/>
      <c r="J1620" s="35"/>
      <c r="K1620" s="40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5"/>
      <c r="G1621" s="41"/>
      <c r="H1621" s="40" t="str">
        <f t="shared" si="33"/>
        <v/>
      </c>
      <c r="I1621" s="35"/>
      <c r="J1621" s="35"/>
      <c r="K1621" s="40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5"/>
      <c r="G1622" s="41"/>
      <c r="H1622" s="40" t="str">
        <f t="shared" si="33"/>
        <v/>
      </c>
      <c r="I1622" s="35"/>
      <c r="J1622" s="35"/>
      <c r="K1622" s="40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5"/>
      <c r="G1623" s="41"/>
      <c r="H1623" s="40" t="str">
        <f t="shared" si="33"/>
        <v/>
      </c>
      <c r="I1623" s="35"/>
      <c r="J1623" s="35"/>
      <c r="K1623" s="40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5"/>
      <c r="G1624" s="41"/>
      <c r="H1624" s="40" t="str">
        <f t="shared" si="33"/>
        <v/>
      </c>
      <c r="I1624" s="35"/>
      <c r="J1624" s="35"/>
      <c r="K1624" s="40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5"/>
      <c r="G1625" s="41"/>
      <c r="H1625" s="40" t="str">
        <f t="shared" si="33"/>
        <v/>
      </c>
      <c r="I1625" s="35"/>
      <c r="J1625" s="35"/>
      <c r="K1625" s="40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5"/>
      <c r="G1626" s="41"/>
      <c r="H1626" s="40" t="str">
        <f t="shared" si="33"/>
        <v/>
      </c>
      <c r="I1626" s="35"/>
      <c r="J1626" s="35"/>
      <c r="K1626" s="40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5"/>
      <c r="G1627" s="41"/>
      <c r="H1627" s="40" t="str">
        <f t="shared" si="33"/>
        <v/>
      </c>
      <c r="I1627" s="35"/>
      <c r="J1627" s="35"/>
      <c r="K1627" s="40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5"/>
      <c r="G1628" s="41"/>
      <c r="H1628" s="40" t="str">
        <f t="shared" si="33"/>
        <v/>
      </c>
      <c r="I1628" s="35"/>
      <c r="J1628" s="35"/>
      <c r="K1628" s="40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5"/>
      <c r="G1629" s="41"/>
      <c r="H1629" s="40" t="str">
        <f t="shared" si="33"/>
        <v/>
      </c>
      <c r="I1629" s="35"/>
      <c r="J1629" s="35"/>
      <c r="K1629" s="40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5"/>
      <c r="G1630" s="41"/>
      <c r="H1630" s="40" t="str">
        <f t="shared" si="33"/>
        <v/>
      </c>
      <c r="I1630" s="35"/>
      <c r="J1630" s="35"/>
      <c r="K1630" s="40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5"/>
      <c r="G1631" s="41"/>
      <c r="H1631" s="40" t="str">
        <f t="shared" si="33"/>
        <v/>
      </c>
      <c r="I1631" s="35"/>
      <c r="J1631" s="35"/>
      <c r="K1631" s="40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5"/>
      <c r="G1632" s="41"/>
      <c r="H1632" s="40" t="str">
        <f t="shared" si="33"/>
        <v/>
      </c>
      <c r="I1632" s="35"/>
      <c r="J1632" s="35"/>
      <c r="K1632" s="40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5"/>
      <c r="G1633" s="41"/>
      <c r="H1633" s="40" t="str">
        <f t="shared" si="33"/>
        <v/>
      </c>
      <c r="I1633" s="35"/>
      <c r="J1633" s="35"/>
      <c r="K1633" s="40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5"/>
      <c r="G1634" s="41"/>
      <c r="H1634" s="40" t="str">
        <f t="shared" si="33"/>
        <v/>
      </c>
      <c r="I1634" s="35"/>
      <c r="J1634" s="35"/>
      <c r="K1634" s="40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5"/>
      <c r="G1635" s="41"/>
      <c r="H1635" s="40" t="str">
        <f t="shared" si="33"/>
        <v/>
      </c>
      <c r="I1635" s="35"/>
      <c r="J1635" s="35"/>
      <c r="K1635" s="40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5"/>
      <c r="G1636" s="41"/>
      <c r="H1636" s="40" t="str">
        <f t="shared" si="33"/>
        <v/>
      </c>
      <c r="I1636" s="35"/>
      <c r="J1636" s="35"/>
      <c r="K1636" s="40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5"/>
      <c r="G1637" s="41"/>
      <c r="H1637" s="40" t="str">
        <f t="shared" si="33"/>
        <v/>
      </c>
      <c r="I1637" s="35"/>
      <c r="J1637" s="35"/>
      <c r="K1637" s="40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5"/>
      <c r="G1638" s="41"/>
      <c r="H1638" s="40" t="str">
        <f t="shared" si="33"/>
        <v/>
      </c>
      <c r="I1638" s="35"/>
      <c r="J1638" s="35"/>
      <c r="K1638" s="40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5"/>
      <c r="G1639" s="41"/>
      <c r="H1639" s="40" t="str">
        <f t="shared" si="33"/>
        <v/>
      </c>
      <c r="I1639" s="35"/>
      <c r="J1639" s="35"/>
      <c r="K1639" s="40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5"/>
      <c r="G1640" s="41"/>
      <c r="H1640" s="40" t="str">
        <f t="shared" si="33"/>
        <v/>
      </c>
      <c r="I1640" s="35"/>
      <c r="J1640" s="35"/>
      <c r="K1640" s="40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5"/>
      <c r="G1641" s="41"/>
      <c r="H1641" s="40" t="str">
        <f t="shared" si="33"/>
        <v/>
      </c>
      <c r="I1641" s="35"/>
      <c r="J1641" s="35"/>
      <c r="K1641" s="40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5"/>
      <c r="G1642" s="41"/>
      <c r="H1642" s="40" t="str">
        <f t="shared" si="33"/>
        <v/>
      </c>
      <c r="I1642" s="35"/>
      <c r="J1642" s="35"/>
      <c r="K1642" s="40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5"/>
      <c r="G1643" s="41"/>
      <c r="H1643" s="40" t="str">
        <f t="shared" si="33"/>
        <v/>
      </c>
      <c r="I1643" s="35"/>
      <c r="J1643" s="35"/>
      <c r="K1643" s="40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5"/>
      <c r="G1644" s="41"/>
      <c r="H1644" s="40" t="str">
        <f t="shared" si="33"/>
        <v/>
      </c>
      <c r="I1644" s="35"/>
      <c r="J1644" s="35"/>
      <c r="K1644" s="40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5"/>
      <c r="G1645" s="41"/>
      <c r="H1645" s="40" t="str">
        <f t="shared" si="33"/>
        <v/>
      </c>
      <c r="I1645" s="35"/>
      <c r="J1645" s="35"/>
      <c r="K1645" s="40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5"/>
      <c r="G1646" s="41"/>
      <c r="H1646" s="40" t="str">
        <f t="shared" si="33"/>
        <v/>
      </c>
      <c r="I1646" s="35"/>
      <c r="J1646" s="35"/>
      <c r="K1646" s="40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5"/>
      <c r="G1647" s="41"/>
      <c r="H1647" s="40" t="str">
        <f t="shared" si="33"/>
        <v/>
      </c>
      <c r="I1647" s="35"/>
      <c r="J1647" s="35"/>
      <c r="K1647" s="40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5"/>
      <c r="G1648" s="41"/>
      <c r="H1648" s="40" t="str">
        <f t="shared" si="33"/>
        <v/>
      </c>
      <c r="I1648" s="35"/>
      <c r="J1648" s="35"/>
      <c r="K1648" s="40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5"/>
      <c r="G1649" s="41"/>
      <c r="H1649" s="40" t="str">
        <f t="shared" si="33"/>
        <v/>
      </c>
      <c r="I1649" s="35"/>
      <c r="J1649" s="35"/>
      <c r="K1649" s="40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5"/>
      <c r="G1650" s="41"/>
      <c r="H1650" s="40" t="str">
        <f t="shared" si="33"/>
        <v/>
      </c>
      <c r="I1650" s="35"/>
      <c r="J1650" s="35"/>
      <c r="K1650" s="40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5"/>
      <c r="G1651" s="41"/>
      <c r="H1651" s="40" t="str">
        <f t="shared" si="33"/>
        <v/>
      </c>
      <c r="I1651" s="35"/>
      <c r="J1651" s="35"/>
      <c r="K1651" s="40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5"/>
      <c r="G1652" s="41"/>
      <c r="H1652" s="40" t="str">
        <f t="shared" si="33"/>
        <v/>
      </c>
      <c r="I1652" s="35"/>
      <c r="J1652" s="35"/>
      <c r="K1652" s="40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5"/>
      <c r="G1653" s="41"/>
      <c r="H1653" s="40" t="str">
        <f t="shared" si="33"/>
        <v/>
      </c>
      <c r="I1653" s="35"/>
      <c r="J1653" s="35"/>
      <c r="K1653" s="40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5"/>
      <c r="G1654" s="41"/>
      <c r="H1654" s="40" t="str">
        <f t="shared" si="33"/>
        <v/>
      </c>
      <c r="I1654" s="35"/>
      <c r="J1654" s="35"/>
      <c r="K1654" s="40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5"/>
      <c r="G1655" s="41"/>
      <c r="H1655" s="40" t="str">
        <f t="shared" si="33"/>
        <v/>
      </c>
      <c r="I1655" s="35"/>
      <c r="J1655" s="35"/>
      <c r="K1655" s="40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5"/>
      <c r="G1656" s="41"/>
      <c r="H1656" s="40" t="str">
        <f t="shared" si="33"/>
        <v/>
      </c>
      <c r="I1656" s="35"/>
      <c r="J1656" s="35"/>
      <c r="K1656" s="40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5"/>
      <c r="G1657" s="41"/>
      <c r="H1657" s="40" t="str">
        <f t="shared" si="33"/>
        <v/>
      </c>
      <c r="I1657" s="35"/>
      <c r="J1657" s="35"/>
      <c r="K1657" s="40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5"/>
      <c r="G1658" s="41"/>
      <c r="H1658" s="40" t="str">
        <f t="shared" si="33"/>
        <v/>
      </c>
      <c r="I1658" s="35"/>
      <c r="J1658" s="35"/>
      <c r="K1658" s="40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5"/>
      <c r="G1659" s="41"/>
      <c r="H1659" s="40" t="str">
        <f t="shared" si="33"/>
        <v/>
      </c>
      <c r="I1659" s="35"/>
      <c r="J1659" s="35"/>
      <c r="K1659" s="40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5"/>
      <c r="G1660" s="41"/>
      <c r="H1660" s="40" t="str">
        <f t="shared" si="33"/>
        <v/>
      </c>
      <c r="I1660" s="35"/>
      <c r="J1660" s="35"/>
      <c r="K1660" s="40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5"/>
      <c r="G1661" s="41"/>
      <c r="H1661" s="40" t="str">
        <f t="shared" si="33"/>
        <v/>
      </c>
      <c r="I1661" s="35"/>
      <c r="J1661" s="35"/>
      <c r="K1661" s="40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5"/>
      <c r="G1662" s="41"/>
      <c r="H1662" s="40" t="str">
        <f t="shared" si="33"/>
        <v/>
      </c>
      <c r="I1662" s="35"/>
      <c r="J1662" s="35"/>
      <c r="K1662" s="40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5"/>
      <c r="G1663" s="41"/>
      <c r="H1663" s="40" t="str">
        <f t="shared" si="33"/>
        <v/>
      </c>
      <c r="I1663" s="35"/>
      <c r="J1663" s="35"/>
      <c r="K1663" s="40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5"/>
      <c r="G1664" s="41"/>
      <c r="H1664" s="40" t="str">
        <f t="shared" si="33"/>
        <v/>
      </c>
      <c r="I1664" s="35"/>
      <c r="J1664" s="35"/>
      <c r="K1664" s="40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5"/>
      <c r="G1665" s="41"/>
      <c r="H1665" s="40" t="str">
        <f t="shared" si="33"/>
        <v/>
      </c>
      <c r="I1665" s="35"/>
      <c r="J1665" s="35"/>
      <c r="K1665" s="40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5"/>
      <c r="G1666" s="41"/>
      <c r="H1666" s="40" t="str">
        <f t="shared" ref="H1666:H1729" si="34">IF(AND($F1666="TEMP",$G1666&gt;0,$M1666&lt;&gt;""),$M1666+$G1666,"")</f>
        <v/>
      </c>
      <c r="I1666" s="35"/>
      <c r="J1666" s="35"/>
      <c r="K1666" s="40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5"/>
      <c r="G1667" s="41"/>
      <c r="H1667" s="40" t="str">
        <f t="shared" si="34"/>
        <v/>
      </c>
      <c r="I1667" s="35"/>
      <c r="J1667" s="35"/>
      <c r="K1667" s="40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5"/>
      <c r="G1668" s="41"/>
      <c r="H1668" s="40" t="str">
        <f t="shared" si="34"/>
        <v/>
      </c>
      <c r="I1668" s="35"/>
      <c r="J1668" s="35"/>
      <c r="K1668" s="40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5"/>
      <c r="G1669" s="41"/>
      <c r="H1669" s="40" t="str">
        <f t="shared" si="34"/>
        <v/>
      </c>
      <c r="I1669" s="35"/>
      <c r="J1669" s="35"/>
      <c r="K1669" s="40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5"/>
      <c r="G1670" s="41"/>
      <c r="H1670" s="40" t="str">
        <f t="shared" si="34"/>
        <v/>
      </c>
      <c r="I1670" s="35"/>
      <c r="J1670" s="35"/>
      <c r="K1670" s="40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5"/>
      <c r="G1671" s="41"/>
      <c r="H1671" s="40" t="str">
        <f t="shared" si="34"/>
        <v/>
      </c>
      <c r="I1671" s="35"/>
      <c r="J1671" s="35"/>
      <c r="K1671" s="40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5"/>
      <c r="G1672" s="41"/>
      <c r="H1672" s="40" t="str">
        <f t="shared" si="34"/>
        <v/>
      </c>
      <c r="I1672" s="35"/>
      <c r="J1672" s="35"/>
      <c r="K1672" s="40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5"/>
      <c r="G1673" s="41"/>
      <c r="H1673" s="40" t="str">
        <f t="shared" si="34"/>
        <v/>
      </c>
      <c r="I1673" s="35"/>
      <c r="J1673" s="35"/>
      <c r="K1673" s="40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5"/>
      <c r="G1674" s="41"/>
      <c r="H1674" s="40" t="str">
        <f t="shared" si="34"/>
        <v/>
      </c>
      <c r="I1674" s="35"/>
      <c r="J1674" s="35"/>
      <c r="K1674" s="40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5"/>
      <c r="G1675" s="41"/>
      <c r="H1675" s="40" t="str">
        <f t="shared" si="34"/>
        <v/>
      </c>
      <c r="I1675" s="35"/>
      <c r="J1675" s="35"/>
      <c r="K1675" s="40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5"/>
      <c r="G1676" s="41"/>
      <c r="H1676" s="40" t="str">
        <f t="shared" si="34"/>
        <v/>
      </c>
      <c r="I1676" s="35"/>
      <c r="J1676" s="35"/>
      <c r="K1676" s="40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5"/>
      <c r="G1677" s="41"/>
      <c r="H1677" s="40" t="str">
        <f t="shared" si="34"/>
        <v/>
      </c>
      <c r="I1677" s="35"/>
      <c r="J1677" s="35"/>
      <c r="K1677" s="40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5"/>
      <c r="G1678" s="41"/>
      <c r="H1678" s="40" t="str">
        <f t="shared" si="34"/>
        <v/>
      </c>
      <c r="I1678" s="35"/>
      <c r="J1678" s="35"/>
      <c r="K1678" s="40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5"/>
      <c r="G1679" s="41"/>
      <c r="H1679" s="40" t="str">
        <f t="shared" si="34"/>
        <v/>
      </c>
      <c r="I1679" s="35"/>
      <c r="J1679" s="35"/>
      <c r="K1679" s="40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5"/>
      <c r="G1680" s="41"/>
      <c r="H1680" s="40" t="str">
        <f t="shared" si="34"/>
        <v/>
      </c>
      <c r="I1680" s="35"/>
      <c r="J1680" s="35"/>
      <c r="K1680" s="40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5"/>
      <c r="G1681" s="41"/>
      <c r="H1681" s="40" t="str">
        <f t="shared" si="34"/>
        <v/>
      </c>
      <c r="I1681" s="35"/>
      <c r="J1681" s="35"/>
      <c r="K1681" s="40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5"/>
      <c r="G1682" s="41"/>
      <c r="H1682" s="40" t="str">
        <f t="shared" si="34"/>
        <v/>
      </c>
      <c r="I1682" s="35"/>
      <c r="J1682" s="35"/>
      <c r="K1682" s="40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5"/>
      <c r="G1683" s="41"/>
      <c r="H1683" s="40" t="str">
        <f t="shared" si="34"/>
        <v/>
      </c>
      <c r="I1683" s="35"/>
      <c r="J1683" s="35"/>
      <c r="K1683" s="40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5"/>
      <c r="G1684" s="41"/>
      <c r="H1684" s="40" t="str">
        <f t="shared" si="34"/>
        <v/>
      </c>
      <c r="I1684" s="35"/>
      <c r="J1684" s="35"/>
      <c r="K1684" s="40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5"/>
      <c r="G1685" s="41"/>
      <c r="H1685" s="40" t="str">
        <f t="shared" si="34"/>
        <v/>
      </c>
      <c r="I1685" s="35"/>
      <c r="J1685" s="35"/>
      <c r="K1685" s="40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5"/>
      <c r="G1686" s="41"/>
      <c r="H1686" s="40" t="str">
        <f t="shared" si="34"/>
        <v/>
      </c>
      <c r="I1686" s="35"/>
      <c r="J1686" s="35"/>
      <c r="K1686" s="40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5"/>
      <c r="G1687" s="41"/>
      <c r="H1687" s="40" t="str">
        <f t="shared" si="34"/>
        <v/>
      </c>
      <c r="I1687" s="35"/>
      <c r="J1687" s="35"/>
      <c r="K1687" s="40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5"/>
      <c r="G1688" s="41"/>
      <c r="H1688" s="40" t="str">
        <f t="shared" si="34"/>
        <v/>
      </c>
      <c r="I1688" s="35"/>
      <c r="J1688" s="35"/>
      <c r="K1688" s="40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5"/>
      <c r="G1689" s="41"/>
      <c r="H1689" s="40" t="str">
        <f t="shared" si="34"/>
        <v/>
      </c>
      <c r="I1689" s="35"/>
      <c r="J1689" s="35"/>
      <c r="K1689" s="40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5"/>
      <c r="G1690" s="41"/>
      <c r="H1690" s="40" t="str">
        <f t="shared" si="34"/>
        <v/>
      </c>
      <c r="I1690" s="35"/>
      <c r="J1690" s="35"/>
      <c r="K1690" s="40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5"/>
      <c r="G1691" s="41"/>
      <c r="H1691" s="40" t="str">
        <f t="shared" si="34"/>
        <v/>
      </c>
      <c r="I1691" s="35"/>
      <c r="J1691" s="35"/>
      <c r="K1691" s="40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5"/>
      <c r="G1692" s="41"/>
      <c r="H1692" s="40" t="str">
        <f t="shared" si="34"/>
        <v/>
      </c>
      <c r="I1692" s="35"/>
      <c r="J1692" s="35"/>
      <c r="K1692" s="40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5"/>
      <c r="G1693" s="41"/>
      <c r="H1693" s="40" t="str">
        <f t="shared" si="34"/>
        <v/>
      </c>
      <c r="I1693" s="35"/>
      <c r="J1693" s="35"/>
      <c r="K1693" s="40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5"/>
      <c r="G1694" s="41"/>
      <c r="H1694" s="40" t="str">
        <f t="shared" si="34"/>
        <v/>
      </c>
      <c r="I1694" s="35"/>
      <c r="J1694" s="35"/>
      <c r="K1694" s="40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5"/>
      <c r="G1695" s="41"/>
      <c r="H1695" s="40" t="str">
        <f t="shared" si="34"/>
        <v/>
      </c>
      <c r="I1695" s="35"/>
      <c r="J1695" s="35"/>
      <c r="K1695" s="40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5"/>
      <c r="G1696" s="41"/>
      <c r="H1696" s="40" t="str">
        <f t="shared" si="34"/>
        <v/>
      </c>
      <c r="I1696" s="35"/>
      <c r="J1696" s="35"/>
      <c r="K1696" s="40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5"/>
      <c r="G1697" s="41"/>
      <c r="H1697" s="40" t="str">
        <f t="shared" si="34"/>
        <v/>
      </c>
      <c r="I1697" s="35"/>
      <c r="J1697" s="35"/>
      <c r="K1697" s="40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5"/>
      <c r="G1698" s="41"/>
      <c r="H1698" s="40" t="str">
        <f t="shared" si="34"/>
        <v/>
      </c>
      <c r="I1698" s="35"/>
      <c r="J1698" s="35"/>
      <c r="K1698" s="40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5"/>
      <c r="G1699" s="41"/>
      <c r="H1699" s="40" t="str">
        <f t="shared" si="34"/>
        <v/>
      </c>
      <c r="I1699" s="35"/>
      <c r="J1699" s="35"/>
      <c r="K1699" s="40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5"/>
      <c r="G1700" s="41"/>
      <c r="H1700" s="40" t="str">
        <f t="shared" si="34"/>
        <v/>
      </c>
      <c r="I1700" s="35"/>
      <c r="J1700" s="35"/>
      <c r="K1700" s="40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5"/>
      <c r="G1701" s="41"/>
      <c r="H1701" s="40" t="str">
        <f t="shared" si="34"/>
        <v/>
      </c>
      <c r="I1701" s="35"/>
      <c r="J1701" s="35"/>
      <c r="K1701" s="40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5"/>
      <c r="G1702" s="41"/>
      <c r="H1702" s="40" t="str">
        <f t="shared" si="34"/>
        <v/>
      </c>
      <c r="I1702" s="35"/>
      <c r="J1702" s="35"/>
      <c r="K1702" s="40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5"/>
      <c r="G1703" s="41"/>
      <c r="H1703" s="40" t="str">
        <f t="shared" si="34"/>
        <v/>
      </c>
      <c r="I1703" s="35"/>
      <c r="J1703" s="35"/>
      <c r="K1703" s="40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5"/>
      <c r="G1704" s="41"/>
      <c r="H1704" s="40" t="str">
        <f t="shared" si="34"/>
        <v/>
      </c>
      <c r="I1704" s="35"/>
      <c r="J1704" s="35"/>
      <c r="K1704" s="40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5"/>
      <c r="G1705" s="41"/>
      <c r="H1705" s="40" t="str">
        <f t="shared" si="34"/>
        <v/>
      </c>
      <c r="I1705" s="35"/>
      <c r="J1705" s="35"/>
      <c r="K1705" s="40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5"/>
      <c r="G1706" s="41"/>
      <c r="H1706" s="40" t="str">
        <f t="shared" si="34"/>
        <v/>
      </c>
      <c r="I1706" s="35"/>
      <c r="J1706" s="35"/>
      <c r="K1706" s="40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5"/>
      <c r="G1707" s="41"/>
      <c r="H1707" s="40" t="str">
        <f t="shared" si="34"/>
        <v/>
      </c>
      <c r="I1707" s="35"/>
      <c r="J1707" s="35"/>
      <c r="K1707" s="40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5"/>
      <c r="G1708" s="41"/>
      <c r="H1708" s="40" t="str">
        <f t="shared" si="34"/>
        <v/>
      </c>
      <c r="I1708" s="35"/>
      <c r="J1708" s="35"/>
      <c r="K1708" s="40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5"/>
      <c r="G1709" s="41"/>
      <c r="H1709" s="40" t="str">
        <f t="shared" si="34"/>
        <v/>
      </c>
      <c r="I1709" s="35"/>
      <c r="J1709" s="35"/>
      <c r="K1709" s="40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5"/>
      <c r="G1710" s="41"/>
      <c r="H1710" s="40" t="str">
        <f t="shared" si="34"/>
        <v/>
      </c>
      <c r="I1710" s="35"/>
      <c r="J1710" s="35"/>
      <c r="K1710" s="40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5"/>
      <c r="G1711" s="41"/>
      <c r="H1711" s="40" t="str">
        <f t="shared" si="34"/>
        <v/>
      </c>
      <c r="I1711" s="35"/>
      <c r="J1711" s="35"/>
      <c r="K1711" s="40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5"/>
      <c r="G1712" s="41"/>
      <c r="H1712" s="40" t="str">
        <f t="shared" si="34"/>
        <v/>
      </c>
      <c r="I1712" s="35"/>
      <c r="J1712" s="35"/>
      <c r="K1712" s="40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5"/>
      <c r="G1713" s="41"/>
      <c r="H1713" s="40" t="str">
        <f t="shared" si="34"/>
        <v/>
      </c>
      <c r="I1713" s="35"/>
      <c r="J1713" s="35"/>
      <c r="K1713" s="40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5"/>
      <c r="G1714" s="41"/>
      <c r="H1714" s="40" t="str">
        <f t="shared" si="34"/>
        <v/>
      </c>
      <c r="I1714" s="35"/>
      <c r="J1714" s="35"/>
      <c r="K1714" s="40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5"/>
      <c r="G1715" s="41"/>
      <c r="H1715" s="40" t="str">
        <f t="shared" si="34"/>
        <v/>
      </c>
      <c r="I1715" s="35"/>
      <c r="J1715" s="35"/>
      <c r="K1715" s="40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5"/>
      <c r="G1716" s="41"/>
      <c r="H1716" s="40" t="str">
        <f t="shared" si="34"/>
        <v/>
      </c>
      <c r="I1716" s="35"/>
      <c r="J1716" s="35"/>
      <c r="K1716" s="40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5"/>
      <c r="G1717" s="41"/>
      <c r="H1717" s="40" t="str">
        <f t="shared" si="34"/>
        <v/>
      </c>
      <c r="I1717" s="35"/>
      <c r="J1717" s="35"/>
      <c r="K1717" s="40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5"/>
      <c r="G1718" s="41"/>
      <c r="H1718" s="40" t="str">
        <f t="shared" si="34"/>
        <v/>
      </c>
      <c r="I1718" s="35"/>
      <c r="J1718" s="35"/>
      <c r="K1718" s="40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5"/>
      <c r="G1719" s="41"/>
      <c r="H1719" s="40" t="str">
        <f t="shared" si="34"/>
        <v/>
      </c>
      <c r="I1719" s="35"/>
      <c r="J1719" s="35"/>
      <c r="K1719" s="40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5"/>
      <c r="G1720" s="41"/>
      <c r="H1720" s="40" t="str">
        <f t="shared" si="34"/>
        <v/>
      </c>
      <c r="I1720" s="35"/>
      <c r="J1720" s="35"/>
      <c r="K1720" s="40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5"/>
      <c r="G1721" s="41"/>
      <c r="H1721" s="40" t="str">
        <f t="shared" si="34"/>
        <v/>
      </c>
      <c r="I1721" s="35"/>
      <c r="J1721" s="35"/>
      <c r="K1721" s="40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5"/>
      <c r="G1722" s="41"/>
      <c r="H1722" s="40" t="str">
        <f t="shared" si="34"/>
        <v/>
      </c>
      <c r="I1722" s="35"/>
      <c r="J1722" s="35"/>
      <c r="K1722" s="40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5"/>
      <c r="G1723" s="41"/>
      <c r="H1723" s="40" t="str">
        <f t="shared" si="34"/>
        <v/>
      </c>
      <c r="I1723" s="35"/>
      <c r="J1723" s="35"/>
      <c r="K1723" s="40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5"/>
      <c r="G1724" s="41"/>
      <c r="H1724" s="40" t="str">
        <f t="shared" si="34"/>
        <v/>
      </c>
      <c r="I1724" s="35"/>
      <c r="J1724" s="35"/>
      <c r="K1724" s="40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5"/>
      <c r="G1725" s="41"/>
      <c r="H1725" s="40" t="str">
        <f t="shared" si="34"/>
        <v/>
      </c>
      <c r="I1725" s="35"/>
      <c r="J1725" s="35"/>
      <c r="K1725" s="40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5"/>
      <c r="G1726" s="41"/>
      <c r="H1726" s="40" t="str">
        <f t="shared" si="34"/>
        <v/>
      </c>
      <c r="I1726" s="35"/>
      <c r="J1726" s="35"/>
      <c r="K1726" s="40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5"/>
      <c r="G1727" s="41"/>
      <c r="H1727" s="40" t="str">
        <f t="shared" si="34"/>
        <v/>
      </c>
      <c r="I1727" s="35"/>
      <c r="J1727" s="35"/>
      <c r="K1727" s="40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5"/>
      <c r="G1728" s="41"/>
      <c r="H1728" s="40" t="str">
        <f t="shared" si="34"/>
        <v/>
      </c>
      <c r="I1728" s="35"/>
      <c r="J1728" s="35"/>
      <c r="K1728" s="40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5"/>
      <c r="G1729" s="41"/>
      <c r="H1729" s="40" t="str">
        <f t="shared" si="34"/>
        <v/>
      </c>
      <c r="I1729" s="35"/>
      <c r="J1729" s="35"/>
      <c r="K1729" s="40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5"/>
      <c r="G1730" s="41"/>
      <c r="H1730" s="40" t="str">
        <f t="shared" ref="H1730:H1793" si="35">IF(AND($F1730="TEMP",$G1730&gt;0,$M1730&lt;&gt;""),$M1730+$G1730,"")</f>
        <v/>
      </c>
      <c r="I1730" s="35"/>
      <c r="J1730" s="35"/>
      <c r="K1730" s="40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5"/>
      <c r="G1731" s="41"/>
      <c r="H1731" s="40" t="str">
        <f t="shared" si="35"/>
        <v/>
      </c>
      <c r="I1731" s="35"/>
      <c r="J1731" s="35"/>
      <c r="K1731" s="40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5"/>
      <c r="G1732" s="41"/>
      <c r="H1732" s="40" t="str">
        <f t="shared" si="35"/>
        <v/>
      </c>
      <c r="I1732" s="35"/>
      <c r="J1732" s="35"/>
      <c r="K1732" s="40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5"/>
      <c r="G1733" s="41"/>
      <c r="H1733" s="40" t="str">
        <f t="shared" si="35"/>
        <v/>
      </c>
      <c r="I1733" s="35"/>
      <c r="J1733" s="35"/>
      <c r="K1733" s="40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5"/>
      <c r="G1734" s="41"/>
      <c r="H1734" s="40" t="str">
        <f t="shared" si="35"/>
        <v/>
      </c>
      <c r="I1734" s="35"/>
      <c r="J1734" s="35"/>
      <c r="K1734" s="40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5"/>
      <c r="G1735" s="41"/>
      <c r="H1735" s="40" t="str">
        <f t="shared" si="35"/>
        <v/>
      </c>
      <c r="I1735" s="35"/>
      <c r="J1735" s="35"/>
      <c r="K1735" s="40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5"/>
      <c r="G1736" s="41"/>
      <c r="H1736" s="40" t="str">
        <f t="shared" si="35"/>
        <v/>
      </c>
      <c r="I1736" s="35"/>
      <c r="J1736" s="35"/>
      <c r="K1736" s="40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5"/>
      <c r="G1737" s="41"/>
      <c r="H1737" s="40" t="str">
        <f t="shared" si="35"/>
        <v/>
      </c>
      <c r="I1737" s="35"/>
      <c r="J1737" s="35"/>
      <c r="K1737" s="40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5"/>
      <c r="G1738" s="41"/>
      <c r="H1738" s="40" t="str">
        <f t="shared" si="35"/>
        <v/>
      </c>
      <c r="I1738" s="35"/>
      <c r="J1738" s="35"/>
      <c r="K1738" s="40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5"/>
      <c r="G1739" s="41"/>
      <c r="H1739" s="40" t="str">
        <f t="shared" si="35"/>
        <v/>
      </c>
      <c r="I1739" s="35"/>
      <c r="J1739" s="35"/>
      <c r="K1739" s="40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5"/>
      <c r="G1740" s="41"/>
      <c r="H1740" s="40" t="str">
        <f t="shared" si="35"/>
        <v/>
      </c>
      <c r="I1740" s="35"/>
      <c r="J1740" s="35"/>
      <c r="K1740" s="40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5"/>
      <c r="G1741" s="41"/>
      <c r="H1741" s="40" t="str">
        <f t="shared" si="35"/>
        <v/>
      </c>
      <c r="I1741" s="35"/>
      <c r="J1741" s="35"/>
      <c r="K1741" s="40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5"/>
      <c r="G1742" s="41"/>
      <c r="H1742" s="40" t="str">
        <f t="shared" si="35"/>
        <v/>
      </c>
      <c r="I1742" s="35"/>
      <c r="J1742" s="35"/>
      <c r="K1742" s="40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5"/>
      <c r="G1743" s="41"/>
      <c r="H1743" s="40" t="str">
        <f t="shared" si="35"/>
        <v/>
      </c>
      <c r="I1743" s="35"/>
      <c r="J1743" s="35"/>
      <c r="K1743" s="40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5"/>
      <c r="G1744" s="41"/>
      <c r="H1744" s="40" t="str">
        <f t="shared" si="35"/>
        <v/>
      </c>
      <c r="I1744" s="35"/>
      <c r="J1744" s="35"/>
      <c r="K1744" s="40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5"/>
      <c r="G1745" s="41"/>
      <c r="H1745" s="40" t="str">
        <f t="shared" si="35"/>
        <v/>
      </c>
      <c r="I1745" s="35"/>
      <c r="J1745" s="35"/>
      <c r="K1745" s="40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5"/>
      <c r="G1746" s="41"/>
      <c r="H1746" s="40" t="str">
        <f t="shared" si="35"/>
        <v/>
      </c>
      <c r="I1746" s="35"/>
      <c r="J1746" s="35"/>
      <c r="K1746" s="40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5"/>
      <c r="G1747" s="41"/>
      <c r="H1747" s="40" t="str">
        <f t="shared" si="35"/>
        <v/>
      </c>
      <c r="I1747" s="35"/>
      <c r="J1747" s="35"/>
      <c r="K1747" s="40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5"/>
      <c r="G1748" s="41"/>
      <c r="H1748" s="40" t="str">
        <f t="shared" si="35"/>
        <v/>
      </c>
      <c r="I1748" s="35"/>
      <c r="J1748" s="35"/>
      <c r="K1748" s="40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5"/>
      <c r="G1749" s="41"/>
      <c r="H1749" s="40" t="str">
        <f t="shared" si="35"/>
        <v/>
      </c>
      <c r="I1749" s="35"/>
      <c r="J1749" s="35"/>
      <c r="K1749" s="40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5"/>
      <c r="G1750" s="41"/>
      <c r="H1750" s="40" t="str">
        <f t="shared" si="35"/>
        <v/>
      </c>
      <c r="I1750" s="35"/>
      <c r="J1750" s="35"/>
      <c r="K1750" s="40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5"/>
      <c r="G1751" s="41"/>
      <c r="H1751" s="40" t="str">
        <f t="shared" si="35"/>
        <v/>
      </c>
      <c r="I1751" s="35"/>
      <c r="J1751" s="35"/>
      <c r="K1751" s="40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5"/>
      <c r="G1752" s="41"/>
      <c r="H1752" s="40" t="str">
        <f t="shared" si="35"/>
        <v/>
      </c>
      <c r="I1752" s="35"/>
      <c r="J1752" s="35"/>
      <c r="K1752" s="40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5"/>
      <c r="G1753" s="41"/>
      <c r="H1753" s="40" t="str">
        <f t="shared" si="35"/>
        <v/>
      </c>
      <c r="I1753" s="35"/>
      <c r="J1753" s="35"/>
      <c r="K1753" s="40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5"/>
      <c r="G1754" s="41"/>
      <c r="H1754" s="40" t="str">
        <f t="shared" si="35"/>
        <v/>
      </c>
      <c r="I1754" s="35"/>
      <c r="J1754" s="35"/>
      <c r="K1754" s="40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5"/>
      <c r="G1755" s="41"/>
      <c r="H1755" s="40" t="str">
        <f t="shared" si="35"/>
        <v/>
      </c>
      <c r="I1755" s="35"/>
      <c r="J1755" s="35"/>
      <c r="K1755" s="40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5"/>
      <c r="G1756" s="41"/>
      <c r="H1756" s="40" t="str">
        <f t="shared" si="35"/>
        <v/>
      </c>
      <c r="I1756" s="35"/>
      <c r="J1756" s="35"/>
      <c r="K1756" s="40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5"/>
      <c r="G1757" s="41"/>
      <c r="H1757" s="40" t="str">
        <f t="shared" si="35"/>
        <v/>
      </c>
      <c r="I1757" s="35"/>
      <c r="J1757" s="35"/>
      <c r="K1757" s="40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5"/>
      <c r="G1758" s="41"/>
      <c r="H1758" s="40" t="str">
        <f t="shared" si="35"/>
        <v/>
      </c>
      <c r="I1758" s="35"/>
      <c r="J1758" s="35"/>
      <c r="K1758" s="40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5"/>
      <c r="G1759" s="41"/>
      <c r="H1759" s="40" t="str">
        <f t="shared" si="35"/>
        <v/>
      </c>
      <c r="I1759" s="35"/>
      <c r="J1759" s="35"/>
      <c r="K1759" s="40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5"/>
      <c r="G1760" s="41"/>
      <c r="H1760" s="40" t="str">
        <f t="shared" si="35"/>
        <v/>
      </c>
      <c r="I1760" s="35"/>
      <c r="J1760" s="35"/>
      <c r="K1760" s="40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5"/>
      <c r="G1761" s="41"/>
      <c r="H1761" s="40" t="str">
        <f t="shared" si="35"/>
        <v/>
      </c>
      <c r="I1761" s="35"/>
      <c r="J1761" s="35"/>
      <c r="K1761" s="40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5"/>
      <c r="G1762" s="41"/>
      <c r="H1762" s="40" t="str">
        <f t="shared" si="35"/>
        <v/>
      </c>
      <c r="I1762" s="35"/>
      <c r="J1762" s="35"/>
      <c r="K1762" s="40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5"/>
      <c r="G1763" s="41"/>
      <c r="H1763" s="40" t="str">
        <f t="shared" si="35"/>
        <v/>
      </c>
      <c r="I1763" s="35"/>
      <c r="J1763" s="35"/>
      <c r="K1763" s="40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5"/>
      <c r="G1764" s="41"/>
      <c r="H1764" s="40" t="str">
        <f t="shared" si="35"/>
        <v/>
      </c>
      <c r="I1764" s="35"/>
      <c r="J1764" s="35"/>
      <c r="K1764" s="40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5"/>
      <c r="G1765" s="41"/>
      <c r="H1765" s="40" t="str">
        <f t="shared" si="35"/>
        <v/>
      </c>
      <c r="I1765" s="35"/>
      <c r="J1765" s="35"/>
      <c r="K1765" s="40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5"/>
      <c r="G1766" s="41"/>
      <c r="H1766" s="40" t="str">
        <f t="shared" si="35"/>
        <v/>
      </c>
      <c r="I1766" s="35"/>
      <c r="J1766" s="35"/>
      <c r="K1766" s="40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5"/>
      <c r="G1767" s="41"/>
      <c r="H1767" s="40" t="str">
        <f t="shared" si="35"/>
        <v/>
      </c>
      <c r="I1767" s="35"/>
      <c r="J1767" s="35"/>
      <c r="K1767" s="40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5"/>
      <c r="G1768" s="41"/>
      <c r="H1768" s="40" t="str">
        <f t="shared" si="35"/>
        <v/>
      </c>
      <c r="I1768" s="35"/>
      <c r="J1768" s="35"/>
      <c r="K1768" s="40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5"/>
      <c r="G1769" s="41"/>
      <c r="H1769" s="40" t="str">
        <f t="shared" si="35"/>
        <v/>
      </c>
      <c r="I1769" s="35"/>
      <c r="J1769" s="35"/>
      <c r="K1769" s="40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5"/>
      <c r="G1770" s="41"/>
      <c r="H1770" s="40" t="str">
        <f t="shared" si="35"/>
        <v/>
      </c>
      <c r="I1770" s="35"/>
      <c r="J1770" s="35"/>
      <c r="K1770" s="40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5"/>
      <c r="G1771" s="41"/>
      <c r="H1771" s="40" t="str">
        <f t="shared" si="35"/>
        <v/>
      </c>
      <c r="I1771" s="35"/>
      <c r="J1771" s="35"/>
      <c r="K1771" s="40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5"/>
      <c r="G1772" s="41"/>
      <c r="H1772" s="40" t="str">
        <f t="shared" si="35"/>
        <v/>
      </c>
      <c r="I1772" s="35"/>
      <c r="J1772" s="35"/>
      <c r="K1772" s="40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5"/>
      <c r="G1773" s="41"/>
      <c r="H1773" s="40" t="str">
        <f t="shared" si="35"/>
        <v/>
      </c>
      <c r="I1773" s="35"/>
      <c r="J1773" s="35"/>
      <c r="K1773" s="40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5"/>
      <c r="G1774" s="41"/>
      <c r="H1774" s="40" t="str">
        <f t="shared" si="35"/>
        <v/>
      </c>
      <c r="I1774" s="35"/>
      <c r="J1774" s="35"/>
      <c r="K1774" s="40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5"/>
      <c r="G1775" s="41"/>
      <c r="H1775" s="40" t="str">
        <f t="shared" si="35"/>
        <v/>
      </c>
      <c r="I1775" s="35"/>
      <c r="J1775" s="35"/>
      <c r="K1775" s="40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5"/>
      <c r="G1776" s="41"/>
      <c r="H1776" s="40" t="str">
        <f t="shared" si="35"/>
        <v/>
      </c>
      <c r="I1776" s="35"/>
      <c r="J1776" s="35"/>
      <c r="K1776" s="40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5"/>
      <c r="G1777" s="41"/>
      <c r="H1777" s="40" t="str">
        <f t="shared" si="35"/>
        <v/>
      </c>
      <c r="I1777" s="35"/>
      <c r="J1777" s="35"/>
      <c r="K1777" s="40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5"/>
      <c r="G1778" s="41"/>
      <c r="H1778" s="40" t="str">
        <f t="shared" si="35"/>
        <v/>
      </c>
      <c r="I1778" s="35"/>
      <c r="J1778" s="35"/>
      <c r="K1778" s="40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5"/>
      <c r="G1779" s="41"/>
      <c r="H1779" s="40" t="str">
        <f t="shared" si="35"/>
        <v/>
      </c>
      <c r="I1779" s="35"/>
      <c r="J1779" s="35"/>
      <c r="K1779" s="40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5"/>
      <c r="G1780" s="41"/>
      <c r="H1780" s="40" t="str">
        <f t="shared" si="35"/>
        <v/>
      </c>
      <c r="I1780" s="35"/>
      <c r="J1780" s="35"/>
      <c r="K1780" s="40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5"/>
      <c r="G1781" s="41"/>
      <c r="H1781" s="40" t="str">
        <f t="shared" si="35"/>
        <v/>
      </c>
      <c r="I1781" s="35"/>
      <c r="J1781" s="35"/>
      <c r="K1781" s="40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5"/>
      <c r="G1782" s="41"/>
      <c r="H1782" s="40" t="str">
        <f t="shared" si="35"/>
        <v/>
      </c>
      <c r="I1782" s="35"/>
      <c r="J1782" s="35"/>
      <c r="K1782" s="40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5"/>
      <c r="G1783" s="41"/>
      <c r="H1783" s="40" t="str">
        <f t="shared" si="35"/>
        <v/>
      </c>
      <c r="I1783" s="35"/>
      <c r="J1783" s="35"/>
      <c r="K1783" s="40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5"/>
      <c r="G1784" s="41"/>
      <c r="H1784" s="40" t="str">
        <f t="shared" si="35"/>
        <v/>
      </c>
      <c r="I1784" s="35"/>
      <c r="J1784" s="35"/>
      <c r="K1784" s="40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5"/>
      <c r="G1785" s="41"/>
      <c r="H1785" s="40" t="str">
        <f t="shared" si="35"/>
        <v/>
      </c>
      <c r="I1785" s="35"/>
      <c r="J1785" s="35"/>
      <c r="K1785" s="40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5"/>
      <c r="G1786" s="41"/>
      <c r="H1786" s="40" t="str">
        <f t="shared" si="35"/>
        <v/>
      </c>
      <c r="I1786" s="35"/>
      <c r="J1786" s="35"/>
      <c r="K1786" s="40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5"/>
      <c r="G1787" s="41"/>
      <c r="H1787" s="40" t="str">
        <f t="shared" si="35"/>
        <v/>
      </c>
      <c r="I1787" s="35"/>
      <c r="J1787" s="35"/>
      <c r="K1787" s="40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5"/>
      <c r="G1788" s="41"/>
      <c r="H1788" s="40" t="str">
        <f t="shared" si="35"/>
        <v/>
      </c>
      <c r="I1788" s="35"/>
      <c r="J1788" s="35"/>
      <c r="K1788" s="40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5"/>
      <c r="G1789" s="41"/>
      <c r="H1789" s="40" t="str">
        <f t="shared" si="35"/>
        <v/>
      </c>
      <c r="I1789" s="35"/>
      <c r="J1789" s="35"/>
      <c r="K1789" s="40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5"/>
      <c r="G1790" s="41"/>
      <c r="H1790" s="40" t="str">
        <f t="shared" si="35"/>
        <v/>
      </c>
      <c r="I1790" s="35"/>
      <c r="J1790" s="35"/>
      <c r="K1790" s="40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5"/>
      <c r="G1791" s="41"/>
      <c r="H1791" s="40" t="str">
        <f t="shared" si="35"/>
        <v/>
      </c>
      <c r="I1791" s="35"/>
      <c r="J1791" s="35"/>
      <c r="K1791" s="40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5"/>
      <c r="G1792" s="41"/>
      <c r="H1792" s="40" t="str">
        <f t="shared" si="35"/>
        <v/>
      </c>
      <c r="I1792" s="35"/>
      <c r="J1792" s="35"/>
      <c r="K1792" s="40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5"/>
      <c r="G1793" s="41"/>
      <c r="H1793" s="40" t="str">
        <f t="shared" si="35"/>
        <v/>
      </c>
      <c r="I1793" s="35"/>
      <c r="J1793" s="35"/>
      <c r="K1793" s="40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5"/>
      <c r="G1794" s="41"/>
      <c r="H1794" s="40" t="str">
        <f t="shared" ref="H1794:H1857" si="36">IF(AND($F1794="TEMP",$G1794&gt;0,$M1794&lt;&gt;""),$M1794+$G1794,"")</f>
        <v/>
      </c>
      <c r="I1794" s="35"/>
      <c r="J1794" s="35"/>
      <c r="K1794" s="40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5"/>
      <c r="G1795" s="41"/>
      <c r="H1795" s="40" t="str">
        <f t="shared" si="36"/>
        <v/>
      </c>
      <c r="I1795" s="35"/>
      <c r="J1795" s="35"/>
      <c r="K1795" s="40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5"/>
      <c r="G1796" s="41"/>
      <c r="H1796" s="40" t="str">
        <f t="shared" si="36"/>
        <v/>
      </c>
      <c r="I1796" s="35"/>
      <c r="J1796" s="35"/>
      <c r="K1796" s="40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5"/>
      <c r="G1797" s="41"/>
      <c r="H1797" s="40" t="str">
        <f t="shared" si="36"/>
        <v/>
      </c>
      <c r="I1797" s="35"/>
      <c r="J1797" s="35"/>
      <c r="K1797" s="40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5"/>
      <c r="G1798" s="41"/>
      <c r="H1798" s="40" t="str">
        <f t="shared" si="36"/>
        <v/>
      </c>
      <c r="I1798" s="35"/>
      <c r="J1798" s="35"/>
      <c r="K1798" s="40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5"/>
      <c r="G1799" s="41"/>
      <c r="H1799" s="40" t="str">
        <f t="shared" si="36"/>
        <v/>
      </c>
      <c r="I1799" s="35"/>
      <c r="J1799" s="35"/>
      <c r="K1799" s="40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5"/>
      <c r="G1800" s="41"/>
      <c r="H1800" s="40" t="str">
        <f t="shared" si="36"/>
        <v/>
      </c>
      <c r="I1800" s="35"/>
      <c r="J1800" s="35"/>
      <c r="K1800" s="40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5"/>
      <c r="G1801" s="41"/>
      <c r="H1801" s="40" t="str">
        <f t="shared" si="36"/>
        <v/>
      </c>
      <c r="I1801" s="35"/>
      <c r="J1801" s="35"/>
      <c r="K1801" s="40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5"/>
      <c r="G1802" s="41"/>
      <c r="H1802" s="40" t="str">
        <f t="shared" si="36"/>
        <v/>
      </c>
      <c r="I1802" s="35"/>
      <c r="J1802" s="35"/>
      <c r="K1802" s="40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5"/>
      <c r="G1803" s="41"/>
      <c r="H1803" s="40" t="str">
        <f t="shared" si="36"/>
        <v/>
      </c>
      <c r="I1803" s="35"/>
      <c r="J1803" s="35"/>
      <c r="K1803" s="40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5"/>
      <c r="G1804" s="41"/>
      <c r="H1804" s="40" t="str">
        <f t="shared" si="36"/>
        <v/>
      </c>
      <c r="I1804" s="35"/>
      <c r="J1804" s="35"/>
      <c r="K1804" s="40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5"/>
      <c r="G1805" s="41"/>
      <c r="H1805" s="40" t="str">
        <f t="shared" si="36"/>
        <v/>
      </c>
      <c r="I1805" s="35"/>
      <c r="J1805" s="35"/>
      <c r="K1805" s="40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5"/>
      <c r="G1806" s="41"/>
      <c r="H1806" s="40" t="str">
        <f t="shared" si="36"/>
        <v/>
      </c>
      <c r="I1806" s="35"/>
      <c r="J1806" s="35"/>
      <c r="K1806" s="40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5"/>
      <c r="G1807" s="41"/>
      <c r="H1807" s="40" t="str">
        <f t="shared" si="36"/>
        <v/>
      </c>
      <c r="I1807" s="35"/>
      <c r="J1807" s="35"/>
      <c r="K1807" s="40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5"/>
      <c r="G1808" s="41"/>
      <c r="H1808" s="40" t="str">
        <f t="shared" si="36"/>
        <v/>
      </c>
      <c r="I1808" s="35"/>
      <c r="J1808" s="35"/>
      <c r="K1808" s="40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5"/>
      <c r="G1809" s="41"/>
      <c r="H1809" s="40" t="str">
        <f t="shared" si="36"/>
        <v/>
      </c>
      <c r="I1809" s="35"/>
      <c r="J1809" s="35"/>
      <c r="K1809" s="40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5"/>
      <c r="G1810" s="41"/>
      <c r="H1810" s="40" t="str">
        <f t="shared" si="36"/>
        <v/>
      </c>
      <c r="I1810" s="35"/>
      <c r="J1810" s="35"/>
      <c r="K1810" s="40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5"/>
      <c r="G1811" s="41"/>
      <c r="H1811" s="40" t="str">
        <f t="shared" si="36"/>
        <v/>
      </c>
      <c r="I1811" s="35"/>
      <c r="J1811" s="35"/>
      <c r="K1811" s="40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5"/>
      <c r="G1812" s="41"/>
      <c r="H1812" s="40" t="str">
        <f t="shared" si="36"/>
        <v/>
      </c>
      <c r="I1812" s="35"/>
      <c r="J1812" s="35"/>
      <c r="K1812" s="40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5"/>
      <c r="G1813" s="41"/>
      <c r="H1813" s="40" t="str">
        <f t="shared" si="36"/>
        <v/>
      </c>
      <c r="I1813" s="35"/>
      <c r="J1813" s="35"/>
      <c r="K1813" s="40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5"/>
      <c r="G1814" s="41"/>
      <c r="H1814" s="40" t="str">
        <f t="shared" si="36"/>
        <v/>
      </c>
      <c r="I1814" s="35"/>
      <c r="J1814" s="35"/>
      <c r="K1814" s="40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5"/>
      <c r="G1815" s="41"/>
      <c r="H1815" s="40" t="str">
        <f t="shared" si="36"/>
        <v/>
      </c>
      <c r="I1815" s="35"/>
      <c r="J1815" s="35"/>
      <c r="K1815" s="40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5"/>
      <c r="G1816" s="41"/>
      <c r="H1816" s="40" t="str">
        <f t="shared" si="36"/>
        <v/>
      </c>
      <c r="I1816" s="35"/>
      <c r="J1816" s="35"/>
      <c r="K1816" s="40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5"/>
      <c r="G1817" s="41"/>
      <c r="H1817" s="40" t="str">
        <f t="shared" si="36"/>
        <v/>
      </c>
      <c r="I1817" s="35"/>
      <c r="J1817" s="35"/>
      <c r="K1817" s="40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5"/>
      <c r="G1818" s="41"/>
      <c r="H1818" s="40" t="str">
        <f t="shared" si="36"/>
        <v/>
      </c>
      <c r="I1818" s="35"/>
      <c r="J1818" s="35"/>
      <c r="K1818" s="40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5"/>
      <c r="G1819" s="41"/>
      <c r="H1819" s="40" t="str">
        <f t="shared" si="36"/>
        <v/>
      </c>
      <c r="I1819" s="35"/>
      <c r="J1819" s="35"/>
      <c r="K1819" s="40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5"/>
      <c r="G1820" s="41"/>
      <c r="H1820" s="40" t="str">
        <f t="shared" si="36"/>
        <v/>
      </c>
      <c r="I1820" s="35"/>
      <c r="J1820" s="35"/>
      <c r="K1820" s="40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5"/>
      <c r="G1821" s="41"/>
      <c r="H1821" s="40" t="str">
        <f t="shared" si="36"/>
        <v/>
      </c>
      <c r="I1821" s="35"/>
      <c r="J1821" s="35"/>
      <c r="K1821" s="40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5"/>
      <c r="G1822" s="41"/>
      <c r="H1822" s="40" t="str">
        <f t="shared" si="36"/>
        <v/>
      </c>
      <c r="I1822" s="35"/>
      <c r="J1822" s="35"/>
      <c r="K1822" s="40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5"/>
      <c r="G1823" s="41"/>
      <c r="H1823" s="40" t="str">
        <f t="shared" si="36"/>
        <v/>
      </c>
      <c r="I1823" s="35"/>
      <c r="J1823" s="35"/>
      <c r="K1823" s="40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5"/>
      <c r="G1824" s="41"/>
      <c r="H1824" s="40" t="str">
        <f t="shared" si="36"/>
        <v/>
      </c>
      <c r="I1824" s="35"/>
      <c r="J1824" s="35"/>
      <c r="K1824" s="40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5"/>
      <c r="G1825" s="41"/>
      <c r="H1825" s="40" t="str">
        <f t="shared" si="36"/>
        <v/>
      </c>
      <c r="I1825" s="35"/>
      <c r="J1825" s="35"/>
      <c r="K1825" s="40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5"/>
      <c r="G1826" s="41"/>
      <c r="H1826" s="40" t="str">
        <f t="shared" si="36"/>
        <v/>
      </c>
      <c r="I1826" s="35"/>
      <c r="J1826" s="35"/>
      <c r="K1826" s="40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5"/>
      <c r="G1827" s="41"/>
      <c r="H1827" s="40" t="str">
        <f t="shared" si="36"/>
        <v/>
      </c>
      <c r="I1827" s="35"/>
      <c r="J1827" s="35"/>
      <c r="K1827" s="40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5"/>
      <c r="G1828" s="41"/>
      <c r="H1828" s="40" t="str">
        <f t="shared" si="36"/>
        <v/>
      </c>
      <c r="I1828" s="35"/>
      <c r="J1828" s="35"/>
      <c r="K1828" s="40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5"/>
      <c r="G1829" s="41"/>
      <c r="H1829" s="40" t="str">
        <f t="shared" si="36"/>
        <v/>
      </c>
      <c r="I1829" s="35"/>
      <c r="J1829" s="35"/>
      <c r="K1829" s="40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5"/>
      <c r="G1830" s="41"/>
      <c r="H1830" s="40" t="str">
        <f t="shared" si="36"/>
        <v/>
      </c>
      <c r="I1830" s="35"/>
      <c r="J1830" s="35"/>
      <c r="K1830" s="40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5"/>
      <c r="G1831" s="41"/>
      <c r="H1831" s="40" t="str">
        <f t="shared" si="36"/>
        <v/>
      </c>
      <c r="I1831" s="35"/>
      <c r="J1831" s="35"/>
      <c r="K1831" s="40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5"/>
      <c r="G1832" s="41"/>
      <c r="H1832" s="40" t="str">
        <f t="shared" si="36"/>
        <v/>
      </c>
      <c r="I1832" s="35"/>
      <c r="J1832" s="35"/>
      <c r="K1832" s="40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5"/>
      <c r="G1833" s="41"/>
      <c r="H1833" s="40" t="str">
        <f t="shared" si="36"/>
        <v/>
      </c>
      <c r="I1833" s="35"/>
      <c r="J1833" s="35"/>
      <c r="K1833" s="40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5"/>
      <c r="G1834" s="41"/>
      <c r="H1834" s="40" t="str">
        <f t="shared" si="36"/>
        <v/>
      </c>
      <c r="I1834" s="35"/>
      <c r="J1834" s="35"/>
      <c r="K1834" s="40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5"/>
      <c r="G1835" s="41"/>
      <c r="H1835" s="40" t="str">
        <f t="shared" si="36"/>
        <v/>
      </c>
      <c r="I1835" s="35"/>
      <c r="J1835" s="35"/>
      <c r="K1835" s="40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5"/>
      <c r="G1836" s="41"/>
      <c r="H1836" s="40" t="str">
        <f t="shared" si="36"/>
        <v/>
      </c>
      <c r="I1836" s="35"/>
      <c r="J1836" s="35"/>
      <c r="K1836" s="40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5"/>
      <c r="G1837" s="41"/>
      <c r="H1837" s="40" t="str">
        <f t="shared" si="36"/>
        <v/>
      </c>
      <c r="I1837" s="35"/>
      <c r="J1837" s="35"/>
      <c r="K1837" s="40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5"/>
      <c r="G1838" s="41"/>
      <c r="H1838" s="40" t="str">
        <f t="shared" si="36"/>
        <v/>
      </c>
      <c r="I1838" s="35"/>
      <c r="J1838" s="35"/>
      <c r="K1838" s="40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5"/>
      <c r="G1839" s="41"/>
      <c r="H1839" s="40" t="str">
        <f t="shared" si="36"/>
        <v/>
      </c>
      <c r="I1839" s="35"/>
      <c r="J1839" s="35"/>
      <c r="K1839" s="40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5"/>
      <c r="G1840" s="41"/>
      <c r="H1840" s="40" t="str">
        <f t="shared" si="36"/>
        <v/>
      </c>
      <c r="I1840" s="35"/>
      <c r="J1840" s="35"/>
      <c r="K1840" s="40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5"/>
      <c r="G1841" s="41"/>
      <c r="H1841" s="40" t="str">
        <f t="shared" si="36"/>
        <v/>
      </c>
      <c r="I1841" s="35"/>
      <c r="J1841" s="35"/>
      <c r="K1841" s="40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5"/>
      <c r="G1842" s="41"/>
      <c r="H1842" s="40" t="str">
        <f t="shared" si="36"/>
        <v/>
      </c>
      <c r="I1842" s="35"/>
      <c r="J1842" s="35"/>
      <c r="K1842" s="40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5"/>
      <c r="G1843" s="41"/>
      <c r="H1843" s="40" t="str">
        <f t="shared" si="36"/>
        <v/>
      </c>
      <c r="I1843" s="35"/>
      <c r="J1843" s="35"/>
      <c r="K1843" s="40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5"/>
      <c r="G1844" s="41"/>
      <c r="H1844" s="40" t="str">
        <f t="shared" si="36"/>
        <v/>
      </c>
      <c r="I1844" s="35"/>
      <c r="J1844" s="35"/>
      <c r="K1844" s="40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5"/>
      <c r="G1845" s="41"/>
      <c r="H1845" s="40" t="str">
        <f t="shared" si="36"/>
        <v/>
      </c>
      <c r="I1845" s="35"/>
      <c r="J1845" s="35"/>
      <c r="K1845" s="40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5"/>
      <c r="G1846" s="41"/>
      <c r="H1846" s="40" t="str">
        <f t="shared" si="36"/>
        <v/>
      </c>
      <c r="I1846" s="35"/>
      <c r="J1846" s="35"/>
      <c r="K1846" s="40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5"/>
      <c r="G1847" s="41"/>
      <c r="H1847" s="40" t="str">
        <f t="shared" si="36"/>
        <v/>
      </c>
      <c r="I1847" s="35"/>
      <c r="J1847" s="35"/>
      <c r="K1847" s="40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5"/>
      <c r="G1848" s="41"/>
      <c r="H1848" s="40" t="str">
        <f t="shared" si="36"/>
        <v/>
      </c>
      <c r="I1848" s="35"/>
      <c r="J1848" s="35"/>
      <c r="K1848" s="40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5"/>
      <c r="G1849" s="41"/>
      <c r="H1849" s="40" t="str">
        <f t="shared" si="36"/>
        <v/>
      </c>
      <c r="I1849" s="35"/>
      <c r="J1849" s="35"/>
      <c r="K1849" s="40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5"/>
      <c r="G1850" s="41"/>
      <c r="H1850" s="40" t="str">
        <f t="shared" si="36"/>
        <v/>
      </c>
      <c r="I1850" s="35"/>
      <c r="J1850" s="35"/>
      <c r="K1850" s="40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5"/>
      <c r="G1851" s="41"/>
      <c r="H1851" s="40" t="str">
        <f t="shared" si="36"/>
        <v/>
      </c>
      <c r="I1851" s="35"/>
      <c r="J1851" s="35"/>
      <c r="K1851" s="40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5"/>
      <c r="G1852" s="41"/>
      <c r="H1852" s="40" t="str">
        <f t="shared" si="36"/>
        <v/>
      </c>
      <c r="I1852" s="35"/>
      <c r="J1852" s="35"/>
      <c r="K1852" s="40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5"/>
      <c r="G1853" s="41"/>
      <c r="H1853" s="40" t="str">
        <f t="shared" si="36"/>
        <v/>
      </c>
      <c r="I1853" s="35"/>
      <c r="J1853" s="35"/>
      <c r="K1853" s="40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5"/>
      <c r="G1854" s="41"/>
      <c r="H1854" s="40" t="str">
        <f t="shared" si="36"/>
        <v/>
      </c>
      <c r="I1854" s="35"/>
      <c r="J1854" s="35"/>
      <c r="K1854" s="40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5"/>
      <c r="G1855" s="41"/>
      <c r="H1855" s="40" t="str">
        <f t="shared" si="36"/>
        <v/>
      </c>
      <c r="I1855" s="35"/>
      <c r="J1855" s="35"/>
      <c r="K1855" s="40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5"/>
      <c r="G1856" s="41"/>
      <c r="H1856" s="40" t="str">
        <f t="shared" si="36"/>
        <v/>
      </c>
      <c r="I1856" s="35"/>
      <c r="J1856" s="35"/>
      <c r="K1856" s="40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5"/>
      <c r="G1857" s="41"/>
      <c r="H1857" s="40" t="str">
        <f t="shared" si="36"/>
        <v/>
      </c>
      <c r="I1857" s="35"/>
      <c r="J1857" s="35"/>
      <c r="K1857" s="40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5"/>
      <c r="G1858" s="41"/>
      <c r="H1858" s="40" t="str">
        <f t="shared" ref="H1858:H1921" si="37">IF(AND($F1858="TEMP",$G1858&gt;0,$M1858&lt;&gt;""),$M1858+$G1858,"")</f>
        <v/>
      </c>
      <c r="I1858" s="35"/>
      <c r="J1858" s="35"/>
      <c r="K1858" s="40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5"/>
      <c r="G1859" s="41"/>
      <c r="H1859" s="40" t="str">
        <f t="shared" si="37"/>
        <v/>
      </c>
      <c r="I1859" s="35"/>
      <c r="J1859" s="35"/>
      <c r="K1859" s="40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5"/>
      <c r="G1860" s="41"/>
      <c r="H1860" s="40" t="str">
        <f t="shared" si="37"/>
        <v/>
      </c>
      <c r="I1860" s="35"/>
      <c r="J1860" s="35"/>
      <c r="K1860" s="40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5"/>
      <c r="G1861" s="41"/>
      <c r="H1861" s="40" t="str">
        <f t="shared" si="37"/>
        <v/>
      </c>
      <c r="I1861" s="35"/>
      <c r="J1861" s="35"/>
      <c r="K1861" s="40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5"/>
      <c r="G1862" s="41"/>
      <c r="H1862" s="40" t="str">
        <f t="shared" si="37"/>
        <v/>
      </c>
      <c r="I1862" s="35"/>
      <c r="J1862" s="35"/>
      <c r="K1862" s="40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5"/>
      <c r="G1863" s="41"/>
      <c r="H1863" s="40" t="str">
        <f t="shared" si="37"/>
        <v/>
      </c>
      <c r="I1863" s="35"/>
      <c r="J1863" s="35"/>
      <c r="K1863" s="40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5"/>
      <c r="G1864" s="41"/>
      <c r="H1864" s="40" t="str">
        <f t="shared" si="37"/>
        <v/>
      </c>
      <c r="I1864" s="35"/>
      <c r="J1864" s="35"/>
      <c r="K1864" s="40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5"/>
      <c r="G1865" s="41"/>
      <c r="H1865" s="40" t="str">
        <f t="shared" si="37"/>
        <v/>
      </c>
      <c r="I1865" s="35"/>
      <c r="J1865" s="35"/>
      <c r="K1865" s="40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5"/>
      <c r="G1866" s="41"/>
      <c r="H1866" s="40" t="str">
        <f t="shared" si="37"/>
        <v/>
      </c>
      <c r="I1866" s="35"/>
      <c r="J1866" s="35"/>
      <c r="K1866" s="40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5"/>
      <c r="G1867" s="41"/>
      <c r="H1867" s="40" t="str">
        <f t="shared" si="37"/>
        <v/>
      </c>
      <c r="I1867" s="35"/>
      <c r="J1867" s="35"/>
      <c r="K1867" s="40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5"/>
      <c r="G1868" s="41"/>
      <c r="H1868" s="40" t="str">
        <f t="shared" si="37"/>
        <v/>
      </c>
      <c r="I1868" s="35"/>
      <c r="J1868" s="35"/>
      <c r="K1868" s="40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5"/>
      <c r="G1869" s="41"/>
      <c r="H1869" s="40" t="str">
        <f t="shared" si="37"/>
        <v/>
      </c>
      <c r="I1869" s="35"/>
      <c r="J1869" s="35"/>
      <c r="K1869" s="40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5"/>
      <c r="G1870" s="41"/>
      <c r="H1870" s="40" t="str">
        <f t="shared" si="37"/>
        <v/>
      </c>
      <c r="I1870" s="35"/>
      <c r="J1870" s="35"/>
      <c r="K1870" s="40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5"/>
      <c r="G1871" s="41"/>
      <c r="H1871" s="40" t="str">
        <f t="shared" si="37"/>
        <v/>
      </c>
      <c r="I1871" s="35"/>
      <c r="J1871" s="35"/>
      <c r="K1871" s="40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5"/>
      <c r="G1872" s="41"/>
      <c r="H1872" s="40" t="str">
        <f t="shared" si="37"/>
        <v/>
      </c>
      <c r="I1872" s="35"/>
      <c r="J1872" s="35"/>
      <c r="K1872" s="40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5"/>
      <c r="G1873" s="41"/>
      <c r="H1873" s="40" t="str">
        <f t="shared" si="37"/>
        <v/>
      </c>
      <c r="I1873" s="35"/>
      <c r="J1873" s="35"/>
      <c r="K1873" s="40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5"/>
      <c r="G1874" s="41"/>
      <c r="H1874" s="40" t="str">
        <f t="shared" si="37"/>
        <v/>
      </c>
      <c r="I1874" s="35"/>
      <c r="J1874" s="35"/>
      <c r="K1874" s="40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5"/>
      <c r="G1875" s="41"/>
      <c r="H1875" s="40" t="str">
        <f t="shared" si="37"/>
        <v/>
      </c>
      <c r="I1875" s="35"/>
      <c r="J1875" s="35"/>
      <c r="K1875" s="40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5"/>
      <c r="G1876" s="41"/>
      <c r="H1876" s="40" t="str">
        <f t="shared" si="37"/>
        <v/>
      </c>
      <c r="I1876" s="35"/>
      <c r="J1876" s="35"/>
      <c r="K1876" s="40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5"/>
      <c r="G1877" s="41"/>
      <c r="H1877" s="40" t="str">
        <f t="shared" si="37"/>
        <v/>
      </c>
      <c r="I1877" s="35"/>
      <c r="J1877" s="35"/>
      <c r="K1877" s="40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5"/>
      <c r="G1878" s="41"/>
      <c r="H1878" s="40" t="str">
        <f t="shared" si="37"/>
        <v/>
      </c>
      <c r="I1878" s="35"/>
      <c r="J1878" s="35"/>
      <c r="K1878" s="40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5"/>
      <c r="G1879" s="41"/>
      <c r="H1879" s="40" t="str">
        <f t="shared" si="37"/>
        <v/>
      </c>
      <c r="I1879" s="35"/>
      <c r="J1879" s="35"/>
      <c r="K1879" s="40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5"/>
      <c r="G1880" s="41"/>
      <c r="H1880" s="40" t="str">
        <f t="shared" si="37"/>
        <v/>
      </c>
      <c r="I1880" s="35"/>
      <c r="J1880" s="35"/>
      <c r="K1880" s="40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5"/>
      <c r="G1881" s="41"/>
      <c r="H1881" s="40" t="str">
        <f t="shared" si="37"/>
        <v/>
      </c>
      <c r="I1881" s="35"/>
      <c r="J1881" s="35"/>
      <c r="K1881" s="40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5"/>
      <c r="G1882" s="41"/>
      <c r="H1882" s="40" t="str">
        <f t="shared" si="37"/>
        <v/>
      </c>
      <c r="I1882" s="35"/>
      <c r="J1882" s="35"/>
      <c r="K1882" s="40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5"/>
      <c r="G1883" s="41"/>
      <c r="H1883" s="40" t="str">
        <f t="shared" si="37"/>
        <v/>
      </c>
      <c r="I1883" s="35"/>
      <c r="J1883" s="35"/>
      <c r="K1883" s="40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5"/>
      <c r="G1884" s="41"/>
      <c r="H1884" s="40" t="str">
        <f t="shared" si="37"/>
        <v/>
      </c>
      <c r="I1884" s="35"/>
      <c r="J1884" s="35"/>
      <c r="K1884" s="40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5"/>
      <c r="G1885" s="41"/>
      <c r="H1885" s="40" t="str">
        <f t="shared" si="37"/>
        <v/>
      </c>
      <c r="I1885" s="35"/>
      <c r="J1885" s="35"/>
      <c r="K1885" s="40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5"/>
      <c r="G1886" s="41"/>
      <c r="H1886" s="40" t="str">
        <f t="shared" si="37"/>
        <v/>
      </c>
      <c r="I1886" s="35"/>
      <c r="J1886" s="35"/>
      <c r="K1886" s="40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5"/>
      <c r="G1887" s="41"/>
      <c r="H1887" s="40" t="str">
        <f t="shared" si="37"/>
        <v/>
      </c>
      <c r="I1887" s="35"/>
      <c r="J1887" s="35"/>
      <c r="K1887" s="40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5"/>
      <c r="G1888" s="41"/>
      <c r="H1888" s="40" t="str">
        <f t="shared" si="37"/>
        <v/>
      </c>
      <c r="I1888" s="35"/>
      <c r="J1888" s="35"/>
      <c r="K1888" s="40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5"/>
      <c r="G1889" s="41"/>
      <c r="H1889" s="40" t="str">
        <f t="shared" si="37"/>
        <v/>
      </c>
      <c r="I1889" s="35"/>
      <c r="J1889" s="35"/>
      <c r="K1889" s="40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5"/>
      <c r="G1890" s="41"/>
      <c r="H1890" s="40" t="str">
        <f t="shared" si="37"/>
        <v/>
      </c>
      <c r="I1890" s="35"/>
      <c r="J1890" s="35"/>
      <c r="K1890" s="40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5"/>
      <c r="G1891" s="41"/>
      <c r="H1891" s="40" t="str">
        <f t="shared" si="37"/>
        <v/>
      </c>
      <c r="I1891" s="35"/>
      <c r="J1891" s="35"/>
      <c r="K1891" s="40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5"/>
      <c r="G1892" s="41"/>
      <c r="H1892" s="40" t="str">
        <f t="shared" si="37"/>
        <v/>
      </c>
      <c r="I1892" s="35"/>
      <c r="J1892" s="35"/>
      <c r="K1892" s="40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5"/>
      <c r="G1893" s="41"/>
      <c r="H1893" s="40" t="str">
        <f t="shared" si="37"/>
        <v/>
      </c>
      <c r="I1893" s="35"/>
      <c r="J1893" s="35"/>
      <c r="K1893" s="40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5"/>
      <c r="G1894" s="41"/>
      <c r="H1894" s="40" t="str">
        <f t="shared" si="37"/>
        <v/>
      </c>
      <c r="I1894" s="35"/>
      <c r="J1894" s="35"/>
      <c r="K1894" s="40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5"/>
      <c r="G1895" s="41"/>
      <c r="H1895" s="40" t="str">
        <f t="shared" si="37"/>
        <v/>
      </c>
      <c r="I1895" s="35"/>
      <c r="J1895" s="35"/>
      <c r="K1895" s="40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5"/>
      <c r="G1896" s="41"/>
      <c r="H1896" s="40" t="str">
        <f t="shared" si="37"/>
        <v/>
      </c>
      <c r="I1896" s="35"/>
      <c r="J1896" s="35"/>
      <c r="K1896" s="40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5"/>
      <c r="G1897" s="41"/>
      <c r="H1897" s="40" t="str">
        <f t="shared" si="37"/>
        <v/>
      </c>
      <c r="I1897" s="35"/>
      <c r="J1897" s="35"/>
      <c r="K1897" s="40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5"/>
      <c r="G1898" s="41"/>
      <c r="H1898" s="40" t="str">
        <f t="shared" si="37"/>
        <v/>
      </c>
      <c r="I1898" s="35"/>
      <c r="J1898" s="35"/>
      <c r="K1898" s="40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5"/>
      <c r="G1899" s="41"/>
      <c r="H1899" s="40" t="str">
        <f t="shared" si="37"/>
        <v/>
      </c>
      <c r="I1899" s="35"/>
      <c r="J1899" s="35"/>
      <c r="K1899" s="40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5"/>
      <c r="G1900" s="41"/>
      <c r="H1900" s="40" t="str">
        <f t="shared" si="37"/>
        <v/>
      </c>
      <c r="I1900" s="35"/>
      <c r="J1900" s="35"/>
      <c r="K1900" s="40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5"/>
      <c r="G1901" s="41"/>
      <c r="H1901" s="40" t="str">
        <f t="shared" si="37"/>
        <v/>
      </c>
      <c r="I1901" s="35"/>
      <c r="J1901" s="35"/>
      <c r="K1901" s="40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5"/>
      <c r="G1902" s="41"/>
      <c r="H1902" s="40" t="str">
        <f t="shared" si="37"/>
        <v/>
      </c>
      <c r="I1902" s="35"/>
      <c r="J1902" s="35"/>
      <c r="K1902" s="40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5"/>
      <c r="G1903" s="41"/>
      <c r="H1903" s="40" t="str">
        <f t="shared" si="37"/>
        <v/>
      </c>
      <c r="I1903" s="35"/>
      <c r="J1903" s="35"/>
      <c r="K1903" s="40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5"/>
      <c r="G1904" s="41"/>
      <c r="H1904" s="40" t="str">
        <f t="shared" si="37"/>
        <v/>
      </c>
      <c r="I1904" s="35"/>
      <c r="J1904" s="35"/>
      <c r="K1904" s="40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5"/>
      <c r="G1905" s="41"/>
      <c r="H1905" s="40" t="str">
        <f t="shared" si="37"/>
        <v/>
      </c>
      <c r="I1905" s="35"/>
      <c r="J1905" s="35"/>
      <c r="K1905" s="40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5"/>
      <c r="G1906" s="41"/>
      <c r="H1906" s="40" t="str">
        <f t="shared" si="37"/>
        <v/>
      </c>
      <c r="I1906" s="35"/>
      <c r="J1906" s="35"/>
      <c r="K1906" s="40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5"/>
      <c r="G1907" s="41"/>
      <c r="H1907" s="40" t="str">
        <f t="shared" si="37"/>
        <v/>
      </c>
      <c r="I1907" s="35"/>
      <c r="J1907" s="35"/>
      <c r="K1907" s="40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5"/>
      <c r="G1908" s="41"/>
      <c r="H1908" s="40" t="str">
        <f t="shared" si="37"/>
        <v/>
      </c>
      <c r="I1908" s="35"/>
      <c r="J1908" s="35"/>
      <c r="K1908" s="40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5"/>
      <c r="G1909" s="41"/>
      <c r="H1909" s="40" t="str">
        <f t="shared" si="37"/>
        <v/>
      </c>
      <c r="I1909" s="35"/>
      <c r="J1909" s="35"/>
      <c r="K1909" s="40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5"/>
      <c r="G1910" s="41"/>
      <c r="H1910" s="40" t="str">
        <f t="shared" si="37"/>
        <v/>
      </c>
      <c r="I1910" s="35"/>
      <c r="J1910" s="35"/>
      <c r="K1910" s="40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5"/>
      <c r="G1911" s="41"/>
      <c r="H1911" s="40" t="str">
        <f t="shared" si="37"/>
        <v/>
      </c>
      <c r="I1911" s="35"/>
      <c r="J1911" s="35"/>
      <c r="K1911" s="40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5"/>
      <c r="G1912" s="41"/>
      <c r="H1912" s="40" t="str">
        <f t="shared" si="37"/>
        <v/>
      </c>
      <c r="I1912" s="35"/>
      <c r="J1912" s="35"/>
      <c r="K1912" s="40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5"/>
      <c r="G1913" s="41"/>
      <c r="H1913" s="40" t="str">
        <f t="shared" si="37"/>
        <v/>
      </c>
      <c r="I1913" s="35"/>
      <c r="J1913" s="35"/>
      <c r="K1913" s="40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5"/>
      <c r="G1914" s="41"/>
      <c r="H1914" s="40" t="str">
        <f t="shared" si="37"/>
        <v/>
      </c>
      <c r="I1914" s="35"/>
      <c r="J1914" s="35"/>
      <c r="K1914" s="40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5"/>
      <c r="G1915" s="41"/>
      <c r="H1915" s="40" t="str">
        <f t="shared" si="37"/>
        <v/>
      </c>
      <c r="I1915" s="35"/>
      <c r="J1915" s="35"/>
      <c r="K1915" s="40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5"/>
      <c r="G1916" s="41"/>
      <c r="H1916" s="40" t="str">
        <f t="shared" si="37"/>
        <v/>
      </c>
      <c r="I1916" s="35"/>
      <c r="J1916" s="35"/>
      <c r="K1916" s="40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5"/>
      <c r="G1917" s="41"/>
      <c r="H1917" s="40" t="str">
        <f t="shared" si="37"/>
        <v/>
      </c>
      <c r="I1917" s="35"/>
      <c r="J1917" s="35"/>
      <c r="K1917" s="40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5"/>
      <c r="G1918" s="41"/>
      <c r="H1918" s="40" t="str">
        <f t="shared" si="37"/>
        <v/>
      </c>
      <c r="I1918" s="35"/>
      <c r="J1918" s="35"/>
      <c r="K1918" s="40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5"/>
      <c r="G1919" s="41"/>
      <c r="H1919" s="40" t="str">
        <f t="shared" si="37"/>
        <v/>
      </c>
      <c r="I1919" s="35"/>
      <c r="J1919" s="35"/>
      <c r="K1919" s="40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5"/>
      <c r="G1920" s="41"/>
      <c r="H1920" s="40" t="str">
        <f t="shared" si="37"/>
        <v/>
      </c>
      <c r="I1920" s="35"/>
      <c r="J1920" s="35"/>
      <c r="K1920" s="40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5"/>
      <c r="G1921" s="41"/>
      <c r="H1921" s="40" t="str">
        <f t="shared" si="37"/>
        <v/>
      </c>
      <c r="I1921" s="35"/>
      <c r="J1921" s="35"/>
      <c r="K1921" s="40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5"/>
      <c r="G1922" s="41"/>
      <c r="H1922" s="40" t="str">
        <f t="shared" ref="H1922:H1985" si="38">IF(AND($F1922="TEMP",$G1922&gt;0,$M1922&lt;&gt;""),$M1922+$G1922,"")</f>
        <v/>
      </c>
      <c r="I1922" s="35"/>
      <c r="J1922" s="35"/>
      <c r="K1922" s="40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5"/>
      <c r="G1923" s="41"/>
      <c r="H1923" s="40" t="str">
        <f t="shared" si="38"/>
        <v/>
      </c>
      <c r="I1923" s="35"/>
      <c r="J1923" s="35"/>
      <c r="K1923" s="40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5"/>
      <c r="G1924" s="41"/>
      <c r="H1924" s="40" t="str">
        <f t="shared" si="38"/>
        <v/>
      </c>
      <c r="I1924" s="35"/>
      <c r="J1924" s="35"/>
      <c r="K1924" s="40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5"/>
      <c r="G1925" s="41"/>
      <c r="H1925" s="40" t="str">
        <f t="shared" si="38"/>
        <v/>
      </c>
      <c r="I1925" s="35"/>
      <c r="J1925" s="35"/>
      <c r="K1925" s="40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5"/>
      <c r="G1926" s="41"/>
      <c r="H1926" s="40" t="str">
        <f t="shared" si="38"/>
        <v/>
      </c>
      <c r="I1926" s="35"/>
      <c r="J1926" s="35"/>
      <c r="K1926" s="40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5"/>
      <c r="G1927" s="41"/>
      <c r="H1927" s="40" t="str">
        <f t="shared" si="38"/>
        <v/>
      </c>
      <c r="I1927" s="35"/>
      <c r="J1927" s="35"/>
      <c r="K1927" s="40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5"/>
      <c r="G1928" s="41"/>
      <c r="H1928" s="40" t="str">
        <f t="shared" si="38"/>
        <v/>
      </c>
      <c r="I1928" s="35"/>
      <c r="J1928" s="35"/>
      <c r="K1928" s="40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5"/>
      <c r="G1929" s="41"/>
      <c r="H1929" s="40" t="str">
        <f t="shared" si="38"/>
        <v/>
      </c>
      <c r="I1929" s="35"/>
      <c r="J1929" s="35"/>
      <c r="K1929" s="40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5"/>
      <c r="G1930" s="41"/>
      <c r="H1930" s="40" t="str">
        <f t="shared" si="38"/>
        <v/>
      </c>
      <c r="I1930" s="35"/>
      <c r="J1930" s="35"/>
      <c r="K1930" s="40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5"/>
      <c r="G1931" s="41"/>
      <c r="H1931" s="40" t="str">
        <f t="shared" si="38"/>
        <v/>
      </c>
      <c r="I1931" s="35"/>
      <c r="J1931" s="35"/>
      <c r="K1931" s="40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5"/>
      <c r="G1932" s="41"/>
      <c r="H1932" s="40" t="str">
        <f t="shared" si="38"/>
        <v/>
      </c>
      <c r="I1932" s="35"/>
      <c r="J1932" s="35"/>
      <c r="K1932" s="40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5"/>
      <c r="G1933" s="41"/>
      <c r="H1933" s="40" t="str">
        <f t="shared" si="38"/>
        <v/>
      </c>
      <c r="I1933" s="35"/>
      <c r="J1933" s="35"/>
      <c r="K1933" s="40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5"/>
      <c r="G1934" s="41"/>
      <c r="H1934" s="40" t="str">
        <f t="shared" si="38"/>
        <v/>
      </c>
      <c r="I1934" s="35"/>
      <c r="J1934" s="35"/>
      <c r="K1934" s="40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5"/>
      <c r="G1935" s="41"/>
      <c r="H1935" s="40" t="str">
        <f t="shared" si="38"/>
        <v/>
      </c>
      <c r="I1935" s="35"/>
      <c r="J1935" s="35"/>
      <c r="K1935" s="40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5"/>
      <c r="G1936" s="41"/>
      <c r="H1936" s="40" t="str">
        <f t="shared" si="38"/>
        <v/>
      </c>
      <c r="I1936" s="35"/>
      <c r="J1936" s="35"/>
      <c r="K1936" s="40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5"/>
      <c r="G1937" s="41"/>
      <c r="H1937" s="40" t="str">
        <f t="shared" si="38"/>
        <v/>
      </c>
      <c r="I1937" s="35"/>
      <c r="J1937" s="35"/>
      <c r="K1937" s="40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5"/>
      <c r="G1938" s="41"/>
      <c r="H1938" s="40" t="str">
        <f t="shared" si="38"/>
        <v/>
      </c>
      <c r="I1938" s="35"/>
      <c r="J1938" s="35"/>
      <c r="K1938" s="40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5"/>
      <c r="G1939" s="41"/>
      <c r="H1939" s="40" t="str">
        <f t="shared" si="38"/>
        <v/>
      </c>
      <c r="I1939" s="35"/>
      <c r="J1939" s="35"/>
      <c r="K1939" s="40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5"/>
      <c r="G1940" s="41"/>
      <c r="H1940" s="40" t="str">
        <f t="shared" si="38"/>
        <v/>
      </c>
      <c r="I1940" s="35"/>
      <c r="J1940" s="35"/>
      <c r="K1940" s="40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5"/>
      <c r="G1941" s="41"/>
      <c r="H1941" s="40" t="str">
        <f t="shared" si="38"/>
        <v/>
      </c>
      <c r="I1941" s="35"/>
      <c r="J1941" s="35"/>
      <c r="K1941" s="40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5"/>
      <c r="G1942" s="41"/>
      <c r="H1942" s="40" t="str">
        <f t="shared" si="38"/>
        <v/>
      </c>
      <c r="I1942" s="35"/>
      <c r="J1942" s="35"/>
      <c r="K1942" s="40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5"/>
      <c r="G1943" s="41"/>
      <c r="H1943" s="40" t="str">
        <f t="shared" si="38"/>
        <v/>
      </c>
      <c r="I1943" s="35"/>
      <c r="J1943" s="35"/>
      <c r="K1943" s="40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5"/>
      <c r="G1944" s="41"/>
      <c r="H1944" s="40" t="str">
        <f t="shared" si="38"/>
        <v/>
      </c>
      <c r="I1944" s="35"/>
      <c r="J1944" s="35"/>
      <c r="K1944" s="40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5"/>
      <c r="G1945" s="41"/>
      <c r="H1945" s="40" t="str">
        <f t="shared" si="38"/>
        <v/>
      </c>
      <c r="I1945" s="35"/>
      <c r="J1945" s="35"/>
      <c r="K1945" s="40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5"/>
      <c r="G1946" s="41"/>
      <c r="H1946" s="40" t="str">
        <f t="shared" si="38"/>
        <v/>
      </c>
      <c r="I1946" s="35"/>
      <c r="J1946" s="35"/>
      <c r="K1946" s="40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5"/>
      <c r="G1947" s="41"/>
      <c r="H1947" s="40" t="str">
        <f t="shared" si="38"/>
        <v/>
      </c>
      <c r="I1947" s="35"/>
      <c r="J1947" s="35"/>
      <c r="K1947" s="40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5"/>
      <c r="G1948" s="41"/>
      <c r="H1948" s="40" t="str">
        <f t="shared" si="38"/>
        <v/>
      </c>
      <c r="I1948" s="35"/>
      <c r="J1948" s="35"/>
      <c r="K1948" s="40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5"/>
      <c r="G1949" s="41"/>
      <c r="H1949" s="40" t="str">
        <f t="shared" si="38"/>
        <v/>
      </c>
      <c r="I1949" s="35"/>
      <c r="J1949" s="35"/>
      <c r="K1949" s="40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5"/>
      <c r="G1950" s="41"/>
      <c r="H1950" s="40" t="str">
        <f t="shared" si="38"/>
        <v/>
      </c>
      <c r="I1950" s="35"/>
      <c r="J1950" s="35"/>
      <c r="K1950" s="40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5"/>
      <c r="G1951" s="41"/>
      <c r="H1951" s="40" t="str">
        <f t="shared" si="38"/>
        <v/>
      </c>
      <c r="I1951" s="35"/>
      <c r="J1951" s="35"/>
      <c r="K1951" s="40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5"/>
      <c r="G1952" s="41"/>
      <c r="H1952" s="40" t="str">
        <f t="shared" si="38"/>
        <v/>
      </c>
      <c r="I1952" s="35"/>
      <c r="J1952" s="35"/>
      <c r="K1952" s="40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5"/>
      <c r="G1953" s="41"/>
      <c r="H1953" s="40" t="str">
        <f t="shared" si="38"/>
        <v/>
      </c>
      <c r="I1953" s="35"/>
      <c r="J1953" s="35"/>
      <c r="K1953" s="40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5"/>
      <c r="G1954" s="41"/>
      <c r="H1954" s="40" t="str">
        <f t="shared" si="38"/>
        <v/>
      </c>
      <c r="I1954" s="35"/>
      <c r="J1954" s="35"/>
      <c r="K1954" s="40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5"/>
      <c r="G1955" s="41"/>
      <c r="H1955" s="40" t="str">
        <f t="shared" si="38"/>
        <v/>
      </c>
      <c r="I1955" s="35"/>
      <c r="J1955" s="35"/>
      <c r="K1955" s="40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5"/>
      <c r="G1956" s="41"/>
      <c r="H1956" s="40" t="str">
        <f t="shared" si="38"/>
        <v/>
      </c>
      <c r="I1956" s="35"/>
      <c r="J1956" s="35"/>
      <c r="K1956" s="40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5"/>
      <c r="G1957" s="41"/>
      <c r="H1957" s="40" t="str">
        <f t="shared" si="38"/>
        <v/>
      </c>
      <c r="I1957" s="35"/>
      <c r="J1957" s="35"/>
      <c r="K1957" s="40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5"/>
      <c r="G1958" s="41"/>
      <c r="H1958" s="40" t="str">
        <f t="shared" si="38"/>
        <v/>
      </c>
      <c r="I1958" s="35"/>
      <c r="J1958" s="35"/>
      <c r="K1958" s="40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5"/>
      <c r="G1959" s="41"/>
      <c r="H1959" s="40" t="str">
        <f t="shared" si="38"/>
        <v/>
      </c>
      <c r="I1959" s="35"/>
      <c r="J1959" s="35"/>
      <c r="K1959" s="40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5"/>
      <c r="G1960" s="41"/>
      <c r="H1960" s="40" t="str">
        <f t="shared" si="38"/>
        <v/>
      </c>
      <c r="I1960" s="35"/>
      <c r="J1960" s="35"/>
      <c r="K1960" s="40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5"/>
      <c r="G1961" s="41"/>
      <c r="H1961" s="40" t="str">
        <f t="shared" si="38"/>
        <v/>
      </c>
      <c r="I1961" s="35"/>
      <c r="J1961" s="35"/>
      <c r="K1961" s="40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5"/>
      <c r="G1962" s="41"/>
      <c r="H1962" s="40" t="str">
        <f t="shared" si="38"/>
        <v/>
      </c>
      <c r="I1962" s="35"/>
      <c r="J1962" s="35"/>
      <c r="K1962" s="40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5"/>
      <c r="G1963" s="41"/>
      <c r="H1963" s="40" t="str">
        <f t="shared" si="38"/>
        <v/>
      </c>
      <c r="I1963" s="35"/>
      <c r="J1963" s="35"/>
      <c r="K1963" s="40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5"/>
      <c r="G1964" s="41"/>
      <c r="H1964" s="40" t="str">
        <f t="shared" si="38"/>
        <v/>
      </c>
      <c r="I1964" s="35"/>
      <c r="J1964" s="35"/>
      <c r="K1964" s="40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5"/>
      <c r="G1965" s="41"/>
      <c r="H1965" s="40" t="str">
        <f t="shared" si="38"/>
        <v/>
      </c>
      <c r="I1965" s="35"/>
      <c r="J1965" s="35"/>
      <c r="K1965" s="40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5"/>
      <c r="G1966" s="41"/>
      <c r="H1966" s="40" t="str">
        <f t="shared" si="38"/>
        <v/>
      </c>
      <c r="I1966" s="35"/>
      <c r="J1966" s="35"/>
      <c r="K1966" s="40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5"/>
      <c r="G1967" s="41"/>
      <c r="H1967" s="40" t="str">
        <f t="shared" si="38"/>
        <v/>
      </c>
      <c r="I1967" s="35"/>
      <c r="J1967" s="35"/>
      <c r="K1967" s="40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5"/>
      <c r="G1968" s="41"/>
      <c r="H1968" s="40" t="str">
        <f t="shared" si="38"/>
        <v/>
      </c>
      <c r="I1968" s="35"/>
      <c r="J1968" s="35"/>
      <c r="K1968" s="40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5"/>
      <c r="G1969" s="41"/>
      <c r="H1969" s="40" t="str">
        <f t="shared" si="38"/>
        <v/>
      </c>
      <c r="I1969" s="35"/>
      <c r="J1969" s="35"/>
      <c r="K1969" s="40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5"/>
      <c r="G1970" s="41"/>
      <c r="H1970" s="40" t="str">
        <f t="shared" si="38"/>
        <v/>
      </c>
      <c r="I1970" s="35"/>
      <c r="J1970" s="35"/>
      <c r="K1970" s="40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5"/>
      <c r="G1971" s="41"/>
      <c r="H1971" s="40" t="str">
        <f t="shared" si="38"/>
        <v/>
      </c>
      <c r="I1971" s="35"/>
      <c r="J1971" s="35"/>
      <c r="K1971" s="40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5"/>
      <c r="G1972" s="41"/>
      <c r="H1972" s="40" t="str">
        <f t="shared" si="38"/>
        <v/>
      </c>
      <c r="I1972" s="35"/>
      <c r="J1972" s="35"/>
      <c r="K1972" s="40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5"/>
      <c r="G1973" s="41"/>
      <c r="H1973" s="40" t="str">
        <f t="shared" si="38"/>
        <v/>
      </c>
      <c r="I1973" s="35"/>
      <c r="J1973" s="35"/>
      <c r="K1973" s="40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5"/>
      <c r="G1974" s="41"/>
      <c r="H1974" s="40" t="str">
        <f t="shared" si="38"/>
        <v/>
      </c>
      <c r="I1974" s="35"/>
      <c r="J1974" s="35"/>
      <c r="K1974" s="40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5"/>
      <c r="G1975" s="41"/>
      <c r="H1975" s="40" t="str">
        <f t="shared" si="38"/>
        <v/>
      </c>
      <c r="I1975" s="35"/>
      <c r="J1975" s="35"/>
      <c r="K1975" s="40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5"/>
      <c r="G1976" s="41"/>
      <c r="H1976" s="40" t="str">
        <f t="shared" si="38"/>
        <v/>
      </c>
      <c r="I1976" s="35"/>
      <c r="J1976" s="35"/>
      <c r="K1976" s="40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5"/>
      <c r="G1977" s="41"/>
      <c r="H1977" s="40" t="str">
        <f t="shared" si="38"/>
        <v/>
      </c>
      <c r="I1977" s="35"/>
      <c r="J1977" s="35"/>
      <c r="K1977" s="40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5"/>
      <c r="G1978" s="41"/>
      <c r="H1978" s="40" t="str">
        <f t="shared" si="38"/>
        <v/>
      </c>
      <c r="I1978" s="35"/>
      <c r="J1978" s="35"/>
      <c r="K1978" s="40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5"/>
      <c r="G1979" s="41"/>
      <c r="H1979" s="40" t="str">
        <f t="shared" si="38"/>
        <v/>
      </c>
      <c r="I1979" s="35"/>
      <c r="J1979" s="35"/>
      <c r="K1979" s="40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5"/>
      <c r="G1980" s="41"/>
      <c r="H1980" s="40" t="str">
        <f t="shared" si="38"/>
        <v/>
      </c>
      <c r="I1980" s="35"/>
      <c r="J1980" s="35"/>
      <c r="K1980" s="40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5"/>
      <c r="G1981" s="41"/>
      <c r="H1981" s="40" t="str">
        <f t="shared" si="38"/>
        <v/>
      </c>
      <c r="I1981" s="35"/>
      <c r="J1981" s="35"/>
      <c r="K1981" s="40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5"/>
      <c r="G1982" s="41"/>
      <c r="H1982" s="40" t="str">
        <f t="shared" si="38"/>
        <v/>
      </c>
      <c r="I1982" s="35"/>
      <c r="J1982" s="35"/>
      <c r="K1982" s="40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5"/>
      <c r="G1983" s="41"/>
      <c r="H1983" s="40" t="str">
        <f t="shared" si="38"/>
        <v/>
      </c>
      <c r="I1983" s="35"/>
      <c r="J1983" s="35"/>
      <c r="K1983" s="40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5"/>
      <c r="G1984" s="41"/>
      <c r="H1984" s="40" t="str">
        <f t="shared" si="38"/>
        <v/>
      </c>
      <c r="I1984" s="35"/>
      <c r="J1984" s="35"/>
      <c r="K1984" s="40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5"/>
      <c r="G1985" s="41"/>
      <c r="H1985" s="40" t="str">
        <f t="shared" si="38"/>
        <v/>
      </c>
      <c r="I1985" s="35"/>
      <c r="J1985" s="35"/>
      <c r="K1985" s="40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5"/>
      <c r="G1986" s="41"/>
      <c r="H1986" s="40" t="str">
        <f t="shared" ref="H1986:H2002" si="39">IF(AND($F1986="TEMP",$G1986&gt;0,$M1986&lt;&gt;""),$M1986+$G1986,"")</f>
        <v/>
      </c>
      <c r="I1986" s="35"/>
      <c r="J1986" s="35"/>
      <c r="K1986" s="40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5"/>
      <c r="G1987" s="41"/>
      <c r="H1987" s="40" t="str">
        <f t="shared" si="39"/>
        <v/>
      </c>
      <c r="I1987" s="35"/>
      <c r="J1987" s="35"/>
      <c r="K1987" s="40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5"/>
      <c r="G1988" s="41"/>
      <c r="H1988" s="40" t="str">
        <f t="shared" si="39"/>
        <v/>
      </c>
      <c r="I1988" s="35"/>
      <c r="J1988" s="35"/>
      <c r="K1988" s="40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5"/>
      <c r="G1989" s="41"/>
      <c r="H1989" s="40" t="str">
        <f t="shared" si="39"/>
        <v/>
      </c>
      <c r="I1989" s="35"/>
      <c r="J1989" s="35"/>
      <c r="K1989" s="40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5"/>
      <c r="G1990" s="41"/>
      <c r="H1990" s="40" t="str">
        <f t="shared" si="39"/>
        <v/>
      </c>
      <c r="I1990" s="35"/>
      <c r="J1990" s="35"/>
      <c r="K1990" s="40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5"/>
      <c r="G1991" s="41"/>
      <c r="H1991" s="40" t="str">
        <f t="shared" si="39"/>
        <v/>
      </c>
      <c r="I1991" s="35"/>
      <c r="J1991" s="35"/>
      <c r="K1991" s="40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5"/>
      <c r="G1992" s="41"/>
      <c r="H1992" s="40" t="str">
        <f t="shared" si="39"/>
        <v/>
      </c>
      <c r="I1992" s="35"/>
      <c r="J1992" s="35"/>
      <c r="K1992" s="40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5"/>
      <c r="G1993" s="41"/>
      <c r="H1993" s="40" t="str">
        <f t="shared" si="39"/>
        <v/>
      </c>
      <c r="I1993" s="35"/>
      <c r="J1993" s="35"/>
      <c r="K1993" s="40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5"/>
      <c r="G1994" s="41"/>
      <c r="H1994" s="40" t="str">
        <f t="shared" si="39"/>
        <v/>
      </c>
      <c r="I1994" s="35"/>
      <c r="J1994" s="35"/>
      <c r="K1994" s="40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5"/>
      <c r="G1995" s="41"/>
      <c r="H1995" s="40" t="str">
        <f t="shared" si="39"/>
        <v/>
      </c>
      <c r="I1995" s="35"/>
      <c r="J1995" s="35"/>
      <c r="K1995" s="40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5"/>
      <c r="G1996" s="41"/>
      <c r="H1996" s="40" t="str">
        <f t="shared" si="39"/>
        <v/>
      </c>
      <c r="I1996" s="35"/>
      <c r="J1996" s="35"/>
      <c r="K1996" s="40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5"/>
      <c r="G1997" s="41"/>
      <c r="H1997" s="40" t="str">
        <f t="shared" si="39"/>
        <v/>
      </c>
      <c r="I1997" s="35"/>
      <c r="J1997" s="35"/>
      <c r="K1997" s="40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5"/>
      <c r="G1998" s="41"/>
      <c r="H1998" s="40" t="str">
        <f t="shared" si="39"/>
        <v/>
      </c>
      <c r="I1998" s="35"/>
      <c r="J1998" s="35"/>
      <c r="K1998" s="40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5"/>
      <c r="G1999" s="41"/>
      <c r="H1999" s="40" t="str">
        <f t="shared" si="39"/>
        <v/>
      </c>
      <c r="I1999" s="35"/>
      <c r="J1999" s="35"/>
      <c r="K1999" s="40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5"/>
      <c r="G2000" s="41"/>
      <c r="H2000" s="40" t="str">
        <f t="shared" si="39"/>
        <v/>
      </c>
      <c r="I2000" s="35"/>
      <c r="J2000" s="35"/>
      <c r="K2000" s="40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5"/>
      <c r="G2001" s="41"/>
      <c r="H2001" s="40" t="str">
        <f t="shared" si="39"/>
        <v/>
      </c>
      <c r="I2001" s="35"/>
      <c r="J2001" s="35"/>
      <c r="K2001" s="40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696</v>
      </c>
      <c r="B2002" s="35"/>
      <c r="D2002" t="str">
        <f>IF($C2002="","",IFERROR(LOOKUP(2,1/('03_Warehouse_Movements'!$C$2:$C$500=$A2002),'03_Warehouse_Movements'!$E$2:$E$500),$C2002))</f>
        <v/>
      </c>
      <c r="E2002" t="s">
        <v>92</v>
      </c>
      <c r="G2002" s="41"/>
      <c r="H2002" s="40" t="str">
        <f t="shared" si="39"/>
        <v/>
      </c>
      <c r="I2002" s="35"/>
      <c r="J2002" s="35"/>
      <c r="K2002" s="40"/>
      <c r="M2002" s="3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END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D8:R8 A9:R2002">
    <cfRule type="expression" dxfId="76" priority="3" stopIfTrue="1">
      <formula>AND(TRIM($A2)="",OR($B2&lt;&gt;"",$C2&lt;&gt;"",$D2&lt;&gt;"",$E2&lt;&gt;"",$I2&lt;&gt;"",$J2&lt;&gt;""))</formula>
    </cfRule>
    <cfRule type="expression" dxfId="75" priority="4">
      <formula>AND(TRIM($A2)&lt;&gt;"",NOT(AND(LEFT($A2,4)="PAL-",LEN($A2)=11,ISNUMBER(--MID($A2,5,7)))))</formula>
    </cfRule>
    <cfRule type="expression" dxfId="74" priority="5">
      <formula>AND(TRIM($A2)&lt;&gt;"",COUNTIF($A$2:$A$2002,$A2)&gt;1)</formula>
    </cfRule>
    <cfRule type="expression" dxfId="73" priority="6">
      <formula>AND(TRIM($A2)&lt;&gt;"",$C2&lt;&gt;"",$D2&lt;&gt;"",$D2&lt;&gt;"0",$C2&lt;&gt;$D2)</formula>
    </cfRule>
  </conditionalFormatting>
  <conditionalFormatting sqref="C8">
    <cfRule type="expression" dxfId="72" priority="1" stopIfTrue="1">
      <formula>AND(TRIM($A8)="",OR($B8&lt;&gt;"",$C8&lt;&gt;"",$D8&lt;&gt;"",$E8&lt;&gt;"",$F8&lt;&gt;"",$I8&lt;&gt;""))</formula>
    </cfRule>
    <cfRule type="expression" dxfId="71" priority="2">
      <formula>AND(TRIM($A8)&lt;&gt;"",COUNTIF($A$2:$A$2002,$A8)&gt;1)</formula>
    </cfRule>
  </conditionalFormatting>
  <dataValidations count="3">
    <dataValidation type="custom" allowBlank="1" showInputMessage="1" showErrorMessage="1" sqref="H3001:H1048576 M3001:N1048576 D3001:D1048576" xr:uid="{3B7E8798-1998-4853-B195-3DC8255926A5}">
      <formula1>FALSE</formula1>
    </dataValidation>
    <dataValidation allowBlank="1" showInputMessage="1" showErrorMessage="1" sqref="A1:B3000 C9:C3000 C1:C7 D1:Z3000" xr:uid="{93DD8449-AF35-4A3E-81D4-A1F9C95A6964}"/>
    <dataValidation allowBlank="1" showInputMessage="1" showErrorMessage="1" errorTitle="Automated field, foo 🤡" error="Skedaddle 💨. Don't overwrite formulas 😄" sqref="C8" xr:uid="{CAAEB793-BC93-42BB-9791-0400F36CFD46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Q501"/>
  <sheetViews>
    <sheetView workbookViewId="0">
      <pane xSplit="6" ySplit="1" topLeftCell="J121" activePane="bottomRight" state="frozen"/>
      <selection pane="bottomRight" activeCell="A6" sqref="A6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4" t="s">
        <v>697</v>
      </c>
      <c r="B1" s="54" t="s">
        <v>698</v>
      </c>
      <c r="C1" s="54" t="s">
        <v>699</v>
      </c>
      <c r="D1" s="54" t="s">
        <v>700</v>
      </c>
      <c r="E1" s="54" t="s">
        <v>701</v>
      </c>
      <c r="F1" s="54" t="s">
        <v>702</v>
      </c>
      <c r="G1" s="54" t="s">
        <v>69</v>
      </c>
      <c r="H1" s="54" t="s">
        <v>703</v>
      </c>
      <c r="I1" s="54" t="s">
        <v>72</v>
      </c>
      <c r="J1" s="55" t="s">
        <v>704</v>
      </c>
      <c r="K1" s="55" t="s">
        <v>705</v>
      </c>
      <c r="L1" s="55" t="s">
        <v>706</v>
      </c>
      <c r="M1" s="55" t="s">
        <v>707</v>
      </c>
      <c r="N1" s="55" t="s">
        <v>708</v>
      </c>
      <c r="O1" t="s">
        <v>709</v>
      </c>
      <c r="P1" t="s">
        <v>710</v>
      </c>
      <c r="Q1" t="s">
        <v>711</v>
      </c>
    </row>
    <row r="2" spans="1:17">
      <c r="A2" t="s">
        <v>99</v>
      </c>
      <c r="B2" t="s">
        <v>712</v>
      </c>
      <c r="E2" t="s">
        <v>713</v>
      </c>
      <c r="F2">
        <v>1</v>
      </c>
      <c r="G2">
        <v>0</v>
      </c>
      <c r="H2" t="str">
        <f t="shared" ref="H2:H65" si="0">A2</f>
        <v>WH-STAGE-IN</v>
      </c>
      <c r="I2" t="s">
        <v>714</v>
      </c>
      <c r="J2" t="str">
        <f t="shared" ref="J2:J65" si="1">IF($I2&lt;&gt;"",$I2,$A2)</f>
        <v>Inbound staging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65" si="4">IFERROR(VALUE(MID($A2,FIND("Level",$A2)+5,99)),IF($E2="AISLE_FLOOR",0,IF($E2="OVERFLOW",0,IF($E2="ENDCAP",0,""))))</f>
        <v/>
      </c>
      <c r="N2" t="str">
        <f t="shared" ref="N2:N65" si="5">IF(AND($B2&lt;&gt;"",$C2&lt;&gt;"",ISNUMBER(--$D2)), $B2&amp;": "&amp;LEFT($C2,1)&amp;TEXT(--$D2,"00"), IF($I2&lt;&gt;"",$I2,$A2))</f>
        <v>Inbound staging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715</v>
      </c>
      <c r="B3" t="s">
        <v>712</v>
      </c>
      <c r="E3" t="s">
        <v>716</v>
      </c>
      <c r="F3">
        <v>1</v>
      </c>
      <c r="G3">
        <v>0</v>
      </c>
      <c r="H3" t="str">
        <f t="shared" si="0"/>
        <v>WH-STAGE-OUT</v>
      </c>
      <c r="I3" t="s">
        <v>717</v>
      </c>
      <c r="J3" t="str">
        <f t="shared" si="1"/>
        <v>Outbound / ship staging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Outbound / ship staging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718</v>
      </c>
      <c r="B4" t="s">
        <v>712</v>
      </c>
      <c r="E4" t="s">
        <v>719</v>
      </c>
      <c r="F4">
        <v>2</v>
      </c>
      <c r="G4">
        <v>0</v>
      </c>
      <c r="H4" t="str">
        <f t="shared" si="0"/>
        <v>WH-QUARANTINE</v>
      </c>
      <c r="I4" t="s">
        <v>720</v>
      </c>
      <c r="J4" t="str">
        <f t="shared" si="1"/>
        <v>Damaged/unknown hold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Damaged/unknown hold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721</v>
      </c>
      <c r="B5" t="s">
        <v>722</v>
      </c>
      <c r="C5" t="s">
        <v>723</v>
      </c>
      <c r="D5" t="s">
        <v>724</v>
      </c>
      <c r="E5" t="s">
        <v>725</v>
      </c>
      <c r="F5">
        <v>1</v>
      </c>
      <c r="G5">
        <v>2</v>
      </c>
      <c r="H5" t="str">
        <f t="shared" si="0"/>
        <v>WH-Z1-A01-ENDCAP-L</v>
      </c>
      <c r="I5" t="s">
        <v>726</v>
      </c>
      <c r="J5" t="str">
        <f t="shared" si="1"/>
        <v>Endcap left</v>
      </c>
      <c r="K5">
        <f t="shared" si="2"/>
        <v>1</v>
      </c>
      <c r="L5" t="str">
        <f t="shared" si="3"/>
        <v/>
      </c>
      <c r="M5">
        <f t="shared" si="4"/>
        <v>0</v>
      </c>
      <c r="N5" t="str">
        <f t="shared" si="5"/>
        <v>Endcap left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727</v>
      </c>
      <c r="B6" t="s">
        <v>722</v>
      </c>
      <c r="C6" t="s">
        <v>728</v>
      </c>
      <c r="D6">
        <v>1</v>
      </c>
      <c r="E6" t="s">
        <v>729</v>
      </c>
      <c r="F6">
        <v>4</v>
      </c>
      <c r="G6">
        <v>2</v>
      </c>
      <c r="H6" t="str">
        <f t="shared" si="0"/>
        <v>WH-Z1-AisleA-Bay1-Level1</v>
      </c>
      <c r="I6" t="s">
        <v>730</v>
      </c>
      <c r="J6" t="str">
        <f t="shared" si="1"/>
        <v>Between rows segment 01</v>
      </c>
      <c r="K6">
        <f t="shared" si="2"/>
        <v>1</v>
      </c>
      <c r="L6">
        <f t="shared" si="3"/>
        <v>1</v>
      </c>
      <c r="M6">
        <f t="shared" si="4"/>
        <v>1</v>
      </c>
      <c r="N6" t="str">
        <f t="shared" si="5"/>
        <v>Z1: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731</v>
      </c>
      <c r="B7" t="s">
        <v>722</v>
      </c>
      <c r="C7" t="s">
        <v>728</v>
      </c>
      <c r="D7">
        <v>1</v>
      </c>
      <c r="E7" t="s">
        <v>729</v>
      </c>
      <c r="F7">
        <v>4</v>
      </c>
      <c r="G7">
        <v>2</v>
      </c>
      <c r="H7" t="str">
        <f t="shared" si="0"/>
        <v>WH-Z1-AisleA-Bay1-Level2</v>
      </c>
      <c r="I7" t="s">
        <v>732</v>
      </c>
      <c r="J7" t="str">
        <f t="shared" si="1"/>
        <v>Between rows segment 02</v>
      </c>
      <c r="K7">
        <f t="shared" si="2"/>
        <v>1</v>
      </c>
      <c r="L7">
        <f t="shared" si="3"/>
        <v>1</v>
      </c>
      <c r="M7">
        <f t="shared" si="4"/>
        <v>2</v>
      </c>
      <c r="N7" t="str">
        <f t="shared" si="5"/>
        <v>Z1: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733</v>
      </c>
      <c r="B8" t="s">
        <v>722</v>
      </c>
      <c r="C8" t="s">
        <v>723</v>
      </c>
      <c r="D8" t="s">
        <v>734</v>
      </c>
      <c r="E8" t="s">
        <v>735</v>
      </c>
      <c r="F8">
        <v>3</v>
      </c>
      <c r="G8">
        <v>7</v>
      </c>
      <c r="H8" t="str">
        <f t="shared" si="0"/>
        <v>WH-Z1-A01-OVERFLOW-01</v>
      </c>
      <c r="I8" t="s">
        <v>736</v>
      </c>
      <c r="J8" t="str">
        <f t="shared" si="1"/>
        <v>Overflow slot 01</v>
      </c>
      <c r="K8">
        <f t="shared" si="2"/>
        <v>1</v>
      </c>
      <c r="L8">
        <f t="shared" si="3"/>
        <v>1</v>
      </c>
      <c r="M8">
        <f t="shared" si="4"/>
        <v>0</v>
      </c>
      <c r="N8" t="str">
        <f t="shared" si="5"/>
        <v>Z1: A01</v>
      </c>
      <c r="O8" t="str">
        <f t="shared" si="6"/>
        <v>A</v>
      </c>
      <c r="P8">
        <f t="shared" si="7"/>
        <v>1</v>
      </c>
      <c r="Q8" t="str">
        <f t="shared" si="8"/>
        <v>A01</v>
      </c>
    </row>
    <row r="9" spans="1:17">
      <c r="A9" t="s">
        <v>108</v>
      </c>
      <c r="B9" t="s">
        <v>737</v>
      </c>
      <c r="E9" t="s">
        <v>735</v>
      </c>
      <c r="F9">
        <v>3</v>
      </c>
      <c r="G9">
        <v>0</v>
      </c>
      <c r="H9" t="str">
        <f t="shared" si="0"/>
        <v>CHRIS_OVERFLOW_A_ZONE1</v>
      </c>
      <c r="I9" t="s">
        <v>738</v>
      </c>
      <c r="J9" t="str">
        <f t="shared" si="1"/>
        <v>Custom location code from Warehouse Ledger (details TBD).</v>
      </c>
      <c r="K9" t="str">
        <f t="shared" si="2"/>
        <v/>
      </c>
      <c r="L9" t="str">
        <f t="shared" si="3"/>
        <v/>
      </c>
      <c r="M9">
        <f t="shared" si="4"/>
        <v>0</v>
      </c>
      <c r="N9" t="str">
        <f t="shared" si="5"/>
        <v>Custom location code from Warehouse Ledger (details TBD).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739</v>
      </c>
      <c r="B10" t="s">
        <v>722</v>
      </c>
      <c r="C10" t="s">
        <v>728</v>
      </c>
      <c r="D10">
        <v>1</v>
      </c>
      <c r="E10" t="s">
        <v>729</v>
      </c>
      <c r="F10">
        <v>4</v>
      </c>
      <c r="G10">
        <v>2</v>
      </c>
      <c r="H10" t="str">
        <f t="shared" si="0"/>
        <v>WH-Z1-AisleA-Bay1-Level3</v>
      </c>
      <c r="I10" t="s">
        <v>740</v>
      </c>
      <c r="J10" t="str">
        <f t="shared" si="1"/>
        <v>SAMPLE: Grid A03</v>
      </c>
      <c r="K10">
        <f t="shared" si="2"/>
        <v>1</v>
      </c>
      <c r="L10">
        <f t="shared" si="3"/>
        <v>1</v>
      </c>
      <c r="M10">
        <f t="shared" si="4"/>
        <v>3</v>
      </c>
      <c r="N10" t="str">
        <f t="shared" si="5"/>
        <v>Z1: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741</v>
      </c>
      <c r="B11" t="s">
        <v>722</v>
      </c>
      <c r="C11" t="s">
        <v>728</v>
      </c>
      <c r="D11">
        <v>1</v>
      </c>
      <c r="E11" t="s">
        <v>729</v>
      </c>
      <c r="F11">
        <v>4</v>
      </c>
      <c r="G11">
        <v>2</v>
      </c>
      <c r="H11" t="str">
        <f t="shared" si="0"/>
        <v>WH-Z1-AisleA-Bay1-Level4</v>
      </c>
      <c r="I11" t="s">
        <v>742</v>
      </c>
      <c r="J11" t="str">
        <f t="shared" si="1"/>
        <v>SAMPLE: Grid A04</v>
      </c>
      <c r="K11">
        <f t="shared" si="2"/>
        <v>1</v>
      </c>
      <c r="L11">
        <f t="shared" si="3"/>
        <v>1</v>
      </c>
      <c r="M11">
        <f t="shared" si="4"/>
        <v>4</v>
      </c>
      <c r="N11" t="str">
        <f t="shared" si="5"/>
        <v>Z1: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132</v>
      </c>
      <c r="B12" t="s">
        <v>722</v>
      </c>
      <c r="C12" t="s">
        <v>728</v>
      </c>
      <c r="D12">
        <v>1</v>
      </c>
      <c r="E12" t="s">
        <v>729</v>
      </c>
      <c r="F12">
        <v>4</v>
      </c>
      <c r="G12">
        <v>2</v>
      </c>
      <c r="H12" t="str">
        <f t="shared" si="0"/>
        <v>WH-Z1-AisleA-Bay1-Level5</v>
      </c>
      <c r="I12" t="s">
        <v>743</v>
      </c>
      <c r="J12" t="str">
        <f t="shared" si="1"/>
        <v>SAMPLE: Grid A05</v>
      </c>
      <c r="K12">
        <f t="shared" si="2"/>
        <v>1</v>
      </c>
      <c r="L12">
        <f t="shared" si="3"/>
        <v>1</v>
      </c>
      <c r="M12">
        <f t="shared" si="4"/>
        <v>5</v>
      </c>
      <c r="N12" t="str">
        <f t="shared" si="5"/>
        <v>Z1: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135</v>
      </c>
      <c r="B13" t="s">
        <v>722</v>
      </c>
      <c r="C13" t="s">
        <v>728</v>
      </c>
      <c r="D13">
        <v>1</v>
      </c>
      <c r="E13" t="s">
        <v>729</v>
      </c>
      <c r="F13">
        <v>4</v>
      </c>
      <c r="G13">
        <v>2</v>
      </c>
      <c r="H13" t="str">
        <f t="shared" si="0"/>
        <v>WH-Z1-AisleA-Bay1-Level6</v>
      </c>
      <c r="I13" t="s">
        <v>744</v>
      </c>
      <c r="J13" t="str">
        <f t="shared" si="1"/>
        <v>SAMPLE: Grid A06</v>
      </c>
      <c r="K13">
        <f t="shared" si="2"/>
        <v>1</v>
      </c>
      <c r="L13">
        <f t="shared" si="3"/>
        <v>1</v>
      </c>
      <c r="M13">
        <f t="shared" si="4"/>
        <v>6</v>
      </c>
      <c r="N13" t="str">
        <f t="shared" si="5"/>
        <v>Z1: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138</v>
      </c>
      <c r="B14" t="s">
        <v>722</v>
      </c>
      <c r="C14" t="s">
        <v>728</v>
      </c>
      <c r="D14">
        <v>1</v>
      </c>
      <c r="E14" t="s">
        <v>729</v>
      </c>
      <c r="F14">
        <v>4</v>
      </c>
      <c r="G14">
        <v>2</v>
      </c>
      <c r="H14" t="str">
        <f t="shared" si="0"/>
        <v>WH-Z1-AisleA-Bay1-Level7</v>
      </c>
      <c r="I14" t="s">
        <v>745</v>
      </c>
      <c r="J14" t="str">
        <f t="shared" si="1"/>
        <v>SAMPLE: Grid A07</v>
      </c>
      <c r="K14">
        <f t="shared" si="2"/>
        <v>1</v>
      </c>
      <c r="L14">
        <f t="shared" si="3"/>
        <v>1</v>
      </c>
      <c r="M14">
        <f t="shared" si="4"/>
        <v>7</v>
      </c>
      <c r="N14" t="str">
        <f t="shared" si="5"/>
        <v>Z1: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142</v>
      </c>
      <c r="B15" t="s">
        <v>722</v>
      </c>
      <c r="C15" t="s">
        <v>728</v>
      </c>
      <c r="D15">
        <v>1</v>
      </c>
      <c r="E15" t="s">
        <v>729</v>
      </c>
      <c r="F15">
        <v>4</v>
      </c>
      <c r="G15">
        <v>2</v>
      </c>
      <c r="H15" t="str">
        <f t="shared" si="0"/>
        <v>WH-Z1-AisleA-Bay1-Level8</v>
      </c>
      <c r="I15" t="s">
        <v>746</v>
      </c>
      <c r="J15" t="str">
        <f t="shared" si="1"/>
        <v>SAMPLE: Grid A08</v>
      </c>
      <c r="K15">
        <f t="shared" si="2"/>
        <v>1</v>
      </c>
      <c r="L15">
        <f t="shared" si="3"/>
        <v>1</v>
      </c>
      <c r="M15">
        <f t="shared" si="4"/>
        <v>8</v>
      </c>
      <c r="N15" t="str">
        <f t="shared" si="5"/>
        <v>Z1: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145</v>
      </c>
      <c r="B16" t="s">
        <v>722</v>
      </c>
      <c r="C16" t="s">
        <v>728</v>
      </c>
      <c r="D16">
        <v>1</v>
      </c>
      <c r="E16" t="s">
        <v>729</v>
      </c>
      <c r="F16">
        <v>4</v>
      </c>
      <c r="G16">
        <v>2</v>
      </c>
      <c r="H16" t="str">
        <f t="shared" si="0"/>
        <v>WH-Z1-AisleA-Bay1-Level9</v>
      </c>
      <c r="I16" t="s">
        <v>747</v>
      </c>
      <c r="J16" t="str">
        <f t="shared" si="1"/>
        <v>SAMPLE: Grid A09</v>
      </c>
      <c r="K16">
        <f t="shared" si="2"/>
        <v>1</v>
      </c>
      <c r="L16">
        <f t="shared" si="3"/>
        <v>1</v>
      </c>
      <c r="M16">
        <f t="shared" si="4"/>
        <v>9</v>
      </c>
      <c r="N16" t="str">
        <f t="shared" si="5"/>
        <v>Z1: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147</v>
      </c>
      <c r="B17" t="s">
        <v>722</v>
      </c>
      <c r="C17" t="s">
        <v>728</v>
      </c>
      <c r="D17">
        <v>1</v>
      </c>
      <c r="E17" t="s">
        <v>729</v>
      </c>
      <c r="F17">
        <v>4</v>
      </c>
      <c r="G17">
        <v>2</v>
      </c>
      <c r="H17" t="str">
        <f t="shared" si="0"/>
        <v>WH-Z1-AisleA-Bay1-Level10</v>
      </c>
      <c r="I17" t="s">
        <v>748</v>
      </c>
      <c r="J17" t="str">
        <f t="shared" si="1"/>
        <v>SAMPLE: Grid A10</v>
      </c>
      <c r="K17">
        <f t="shared" si="2"/>
        <v>1</v>
      </c>
      <c r="L17">
        <f t="shared" si="3"/>
        <v>1</v>
      </c>
      <c r="M17">
        <f t="shared" si="4"/>
        <v>10</v>
      </c>
      <c r="N17" t="str">
        <f t="shared" si="5"/>
        <v>Z1: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150</v>
      </c>
      <c r="B18" t="s">
        <v>722</v>
      </c>
      <c r="C18" t="s">
        <v>728</v>
      </c>
      <c r="D18">
        <v>1</v>
      </c>
      <c r="E18" t="s">
        <v>729</v>
      </c>
      <c r="F18">
        <v>4</v>
      </c>
      <c r="G18">
        <v>2</v>
      </c>
      <c r="H18" t="str">
        <f t="shared" si="0"/>
        <v>WH-Z1-AisleA-Bay1-Level11</v>
      </c>
      <c r="I18" t="s">
        <v>749</v>
      </c>
      <c r="J18" t="str">
        <f t="shared" si="1"/>
        <v>SAMPLE: Grid A11</v>
      </c>
      <c r="K18">
        <f t="shared" si="2"/>
        <v>1</v>
      </c>
      <c r="L18">
        <f t="shared" si="3"/>
        <v>1</v>
      </c>
      <c r="M18">
        <f t="shared" si="4"/>
        <v>11</v>
      </c>
      <c r="N18" t="str">
        <f t="shared" si="5"/>
        <v>Z1: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154</v>
      </c>
      <c r="B19" t="s">
        <v>722</v>
      </c>
      <c r="C19" t="s">
        <v>728</v>
      </c>
      <c r="D19">
        <v>1</v>
      </c>
      <c r="E19" t="s">
        <v>729</v>
      </c>
      <c r="F19">
        <v>4</v>
      </c>
      <c r="G19">
        <v>2</v>
      </c>
      <c r="H19" t="str">
        <f t="shared" si="0"/>
        <v>WH-Z1-AisleA-Bay1-Level12</v>
      </c>
      <c r="I19" t="s">
        <v>750</v>
      </c>
      <c r="J19" t="str">
        <f t="shared" si="1"/>
        <v>SAMPLE: Grid A12</v>
      </c>
      <c r="K19">
        <f t="shared" si="2"/>
        <v>1</v>
      </c>
      <c r="L19">
        <f t="shared" si="3"/>
        <v>1</v>
      </c>
      <c r="M19">
        <f t="shared" si="4"/>
        <v>12</v>
      </c>
      <c r="N19" t="str">
        <f t="shared" si="5"/>
        <v>Z1: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157</v>
      </c>
      <c r="B20" t="s">
        <v>722</v>
      </c>
      <c r="C20" t="s">
        <v>728</v>
      </c>
      <c r="D20">
        <v>1</v>
      </c>
      <c r="E20" t="s">
        <v>729</v>
      </c>
      <c r="F20">
        <v>4</v>
      </c>
      <c r="G20">
        <v>2</v>
      </c>
      <c r="H20" t="str">
        <f t="shared" si="0"/>
        <v>WH-Z1-AisleA-Bay1-Level13</v>
      </c>
      <c r="I20" t="s">
        <v>751</v>
      </c>
      <c r="J20" t="str">
        <f t="shared" si="1"/>
        <v>SAMPLE: Grid A13</v>
      </c>
      <c r="K20">
        <f t="shared" si="2"/>
        <v>1</v>
      </c>
      <c r="L20">
        <f t="shared" si="3"/>
        <v>1</v>
      </c>
      <c r="M20">
        <f t="shared" si="4"/>
        <v>13</v>
      </c>
      <c r="N20" t="str">
        <f t="shared" si="5"/>
        <v>Z1: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160</v>
      </c>
      <c r="B21" t="s">
        <v>722</v>
      </c>
      <c r="C21" t="s">
        <v>728</v>
      </c>
      <c r="D21">
        <v>1</v>
      </c>
      <c r="E21" t="s">
        <v>729</v>
      </c>
      <c r="F21">
        <v>4</v>
      </c>
      <c r="G21">
        <v>2</v>
      </c>
      <c r="H21" t="str">
        <f t="shared" si="0"/>
        <v>WH-Z1-AisleA-Bay1-Level14</v>
      </c>
      <c r="I21" t="s">
        <v>752</v>
      </c>
      <c r="J21" t="str">
        <f t="shared" si="1"/>
        <v>SAMPLE: Grid A14</v>
      </c>
      <c r="K21">
        <f t="shared" si="2"/>
        <v>1</v>
      </c>
      <c r="L21">
        <f t="shared" si="3"/>
        <v>1</v>
      </c>
      <c r="M21">
        <f t="shared" si="4"/>
        <v>14</v>
      </c>
      <c r="N21" t="str">
        <f t="shared" si="5"/>
        <v>Z1: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163</v>
      </c>
      <c r="B22" t="s">
        <v>722</v>
      </c>
      <c r="C22" t="s">
        <v>728</v>
      </c>
      <c r="D22">
        <v>1</v>
      </c>
      <c r="E22" t="s">
        <v>729</v>
      </c>
      <c r="F22">
        <v>4</v>
      </c>
      <c r="G22">
        <v>2</v>
      </c>
      <c r="H22" t="str">
        <f t="shared" si="0"/>
        <v>WH-Z1-AisleA-Bay1-Level15</v>
      </c>
      <c r="I22" t="s">
        <v>753</v>
      </c>
      <c r="J22" t="str">
        <f t="shared" si="1"/>
        <v>SAMPLE: Grid A15</v>
      </c>
      <c r="K22">
        <f t="shared" si="2"/>
        <v>1</v>
      </c>
      <c r="L22">
        <f t="shared" si="3"/>
        <v>1</v>
      </c>
      <c r="M22">
        <f t="shared" si="4"/>
        <v>15</v>
      </c>
      <c r="N22" t="str">
        <f t="shared" si="5"/>
        <v>Z1: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165</v>
      </c>
      <c r="B23" t="s">
        <v>722</v>
      </c>
      <c r="C23" t="s">
        <v>728</v>
      </c>
      <c r="D23">
        <v>1</v>
      </c>
      <c r="E23" t="s">
        <v>729</v>
      </c>
      <c r="F23">
        <v>4</v>
      </c>
      <c r="G23">
        <v>2</v>
      </c>
      <c r="H23" t="str">
        <f t="shared" si="0"/>
        <v>WH-Z1-AisleA-Bay1-Level16</v>
      </c>
      <c r="I23" t="s">
        <v>754</v>
      </c>
      <c r="J23" t="str">
        <f t="shared" si="1"/>
        <v>SAMPLE: Grid A16</v>
      </c>
      <c r="K23">
        <f t="shared" si="2"/>
        <v>1</v>
      </c>
      <c r="L23">
        <f t="shared" si="3"/>
        <v>1</v>
      </c>
      <c r="M23">
        <f t="shared" si="4"/>
        <v>16</v>
      </c>
      <c r="N23" t="str">
        <f t="shared" si="5"/>
        <v>Z1: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167</v>
      </c>
      <c r="B24" t="s">
        <v>722</v>
      </c>
      <c r="C24" t="s">
        <v>728</v>
      </c>
      <c r="D24">
        <v>1</v>
      </c>
      <c r="E24" t="s">
        <v>729</v>
      </c>
      <c r="F24">
        <v>4</v>
      </c>
      <c r="G24">
        <v>2</v>
      </c>
      <c r="H24" t="str">
        <f t="shared" si="0"/>
        <v>WH-Z1-AisleA-Bay1-Level17</v>
      </c>
      <c r="I24" t="s">
        <v>755</v>
      </c>
      <c r="J24" t="str">
        <f t="shared" si="1"/>
        <v>SAMPLE: Grid A17</v>
      </c>
      <c r="K24">
        <f t="shared" si="2"/>
        <v>1</v>
      </c>
      <c r="L24">
        <f t="shared" si="3"/>
        <v>1</v>
      </c>
      <c r="M24">
        <f t="shared" si="4"/>
        <v>17</v>
      </c>
      <c r="N24" t="str">
        <f t="shared" si="5"/>
        <v>Z1: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169</v>
      </c>
      <c r="B25" t="s">
        <v>722</v>
      </c>
      <c r="C25" t="s">
        <v>728</v>
      </c>
      <c r="D25">
        <v>1</v>
      </c>
      <c r="E25" t="s">
        <v>729</v>
      </c>
      <c r="F25">
        <v>4</v>
      </c>
      <c r="G25">
        <v>2</v>
      </c>
      <c r="H25" t="str">
        <f t="shared" si="0"/>
        <v>WH-Z1-AisleA-Bay1-Level18</v>
      </c>
      <c r="I25" t="s">
        <v>756</v>
      </c>
      <c r="J25" t="str">
        <f t="shared" si="1"/>
        <v>SAMPLE: Grid A18</v>
      </c>
      <c r="K25">
        <f t="shared" si="2"/>
        <v>1</v>
      </c>
      <c r="L25">
        <f t="shared" si="3"/>
        <v>1</v>
      </c>
      <c r="M25">
        <f t="shared" si="4"/>
        <v>18</v>
      </c>
      <c r="N25" t="str">
        <f t="shared" si="5"/>
        <v>Z1: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172</v>
      </c>
      <c r="B26" t="s">
        <v>722</v>
      </c>
      <c r="C26" t="s">
        <v>728</v>
      </c>
      <c r="D26">
        <v>1</v>
      </c>
      <c r="E26" t="s">
        <v>729</v>
      </c>
      <c r="F26">
        <v>4</v>
      </c>
      <c r="G26">
        <v>2</v>
      </c>
      <c r="H26" t="str">
        <f t="shared" si="0"/>
        <v>WH-Z1-AisleA-Bay1-Level19</v>
      </c>
      <c r="I26" t="s">
        <v>757</v>
      </c>
      <c r="J26" t="str">
        <f t="shared" si="1"/>
        <v>SAMPLE: Grid A19</v>
      </c>
      <c r="K26">
        <f t="shared" si="2"/>
        <v>1</v>
      </c>
      <c r="L26">
        <f t="shared" si="3"/>
        <v>1</v>
      </c>
      <c r="M26">
        <f t="shared" si="4"/>
        <v>19</v>
      </c>
      <c r="N26" t="str">
        <f t="shared" si="5"/>
        <v>Z1: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174</v>
      </c>
      <c r="B27" t="s">
        <v>722</v>
      </c>
      <c r="C27" t="s">
        <v>728</v>
      </c>
      <c r="D27">
        <v>1</v>
      </c>
      <c r="E27" t="s">
        <v>729</v>
      </c>
      <c r="F27">
        <v>4</v>
      </c>
      <c r="G27">
        <v>2</v>
      </c>
      <c r="H27" t="str">
        <f t="shared" si="0"/>
        <v>WH-Z1-AisleA-Bay1-Level20</v>
      </c>
      <c r="I27" t="s">
        <v>758</v>
      </c>
      <c r="J27" t="str">
        <f t="shared" si="1"/>
        <v>SAMPLE: Grid A20</v>
      </c>
      <c r="K27">
        <f t="shared" si="2"/>
        <v>1</v>
      </c>
      <c r="L27">
        <f t="shared" si="3"/>
        <v>1</v>
      </c>
      <c r="M27">
        <f t="shared" si="4"/>
        <v>20</v>
      </c>
      <c r="N27" t="str">
        <f t="shared" si="5"/>
        <v>Z1: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176</v>
      </c>
      <c r="B28" t="s">
        <v>722</v>
      </c>
      <c r="C28" t="s">
        <v>140</v>
      </c>
      <c r="D28">
        <v>1</v>
      </c>
      <c r="E28" t="s">
        <v>729</v>
      </c>
      <c r="F28">
        <v>4</v>
      </c>
      <c r="G28">
        <v>2</v>
      </c>
      <c r="H28" t="str">
        <f t="shared" si="0"/>
        <v>WH-Z1-AisleB-Bay1-Level1</v>
      </c>
      <c r="I28" t="s">
        <v>759</v>
      </c>
      <c r="J28" t="str">
        <f t="shared" si="1"/>
        <v>SAMPLE: Grid B01</v>
      </c>
      <c r="K28">
        <f t="shared" si="2"/>
        <v>2</v>
      </c>
      <c r="L28">
        <f t="shared" si="3"/>
        <v>1</v>
      </c>
      <c r="M28">
        <f t="shared" si="4"/>
        <v>1</v>
      </c>
      <c r="N28" t="str">
        <f t="shared" si="5"/>
        <v>Z1: B01</v>
      </c>
      <c r="O28" t="str">
        <f t="shared" si="6"/>
        <v>B</v>
      </c>
      <c r="P28">
        <f t="shared" si="7"/>
        <v>1</v>
      </c>
      <c r="Q28" t="str">
        <f t="shared" si="8"/>
        <v>B01</v>
      </c>
    </row>
    <row r="29" spans="1:17">
      <c r="A29" t="s">
        <v>178</v>
      </c>
      <c r="B29" t="s">
        <v>722</v>
      </c>
      <c r="C29" t="s">
        <v>140</v>
      </c>
      <c r="D29">
        <v>1</v>
      </c>
      <c r="E29" t="s">
        <v>729</v>
      </c>
      <c r="F29">
        <v>4</v>
      </c>
      <c r="G29">
        <v>2</v>
      </c>
      <c r="H29" t="str">
        <f t="shared" si="0"/>
        <v>WH-Z1-AisleB-Bay1-Level2</v>
      </c>
      <c r="I29" t="s">
        <v>760</v>
      </c>
      <c r="J29" t="str">
        <f t="shared" si="1"/>
        <v>SAMPLE: Grid B02</v>
      </c>
      <c r="K29">
        <f t="shared" si="2"/>
        <v>2</v>
      </c>
      <c r="L29">
        <f t="shared" si="3"/>
        <v>1</v>
      </c>
      <c r="M29">
        <f t="shared" si="4"/>
        <v>2</v>
      </c>
      <c r="N29" t="str">
        <f t="shared" si="5"/>
        <v>Z1: B01</v>
      </c>
      <c r="O29" t="str">
        <f t="shared" si="6"/>
        <v>B</v>
      </c>
      <c r="P29">
        <f t="shared" si="7"/>
        <v>1</v>
      </c>
      <c r="Q29" t="str">
        <f t="shared" si="8"/>
        <v>B01</v>
      </c>
    </row>
    <row r="30" spans="1:17">
      <c r="A30" t="s">
        <v>180</v>
      </c>
      <c r="B30" t="s">
        <v>722</v>
      </c>
      <c r="C30" t="s">
        <v>140</v>
      </c>
      <c r="D30">
        <v>1</v>
      </c>
      <c r="E30" t="s">
        <v>729</v>
      </c>
      <c r="F30">
        <v>4</v>
      </c>
      <c r="G30">
        <v>2</v>
      </c>
      <c r="H30" t="str">
        <f t="shared" si="0"/>
        <v>WH-Z1-AisleB-Bay1-Level3</v>
      </c>
      <c r="I30" t="s">
        <v>761</v>
      </c>
      <c r="J30" t="str">
        <f t="shared" si="1"/>
        <v>SAMPLE: Grid B03</v>
      </c>
      <c r="K30">
        <f t="shared" si="2"/>
        <v>2</v>
      </c>
      <c r="L30">
        <f t="shared" si="3"/>
        <v>1</v>
      </c>
      <c r="M30">
        <f t="shared" si="4"/>
        <v>3</v>
      </c>
      <c r="N30" t="str">
        <f t="shared" si="5"/>
        <v>Z1: B01</v>
      </c>
      <c r="O30" t="str">
        <f t="shared" si="6"/>
        <v>B</v>
      </c>
      <c r="P30">
        <f t="shared" si="7"/>
        <v>1</v>
      </c>
      <c r="Q30" t="str">
        <f t="shared" si="8"/>
        <v>B01</v>
      </c>
    </row>
    <row r="31" spans="1:17">
      <c r="A31" t="s">
        <v>182</v>
      </c>
      <c r="B31" t="s">
        <v>722</v>
      </c>
      <c r="C31" t="s">
        <v>140</v>
      </c>
      <c r="D31">
        <v>1</v>
      </c>
      <c r="E31" t="s">
        <v>729</v>
      </c>
      <c r="F31">
        <v>4</v>
      </c>
      <c r="G31">
        <v>2</v>
      </c>
      <c r="H31" t="str">
        <f t="shared" si="0"/>
        <v>WH-Z1-AisleB-Bay1-Level4</v>
      </c>
      <c r="I31" t="s">
        <v>762</v>
      </c>
      <c r="J31" t="str">
        <f t="shared" si="1"/>
        <v>SAMPLE: Grid B04</v>
      </c>
      <c r="K31">
        <f t="shared" si="2"/>
        <v>2</v>
      </c>
      <c r="L31">
        <f t="shared" si="3"/>
        <v>1</v>
      </c>
      <c r="M31">
        <f t="shared" si="4"/>
        <v>4</v>
      </c>
      <c r="N31" t="str">
        <f t="shared" si="5"/>
        <v>Z1: B01</v>
      </c>
      <c r="O31" t="str">
        <f t="shared" si="6"/>
        <v>B</v>
      </c>
      <c r="P31">
        <f t="shared" si="7"/>
        <v>1</v>
      </c>
      <c r="Q31" t="str">
        <f t="shared" si="8"/>
        <v>B01</v>
      </c>
    </row>
    <row r="32" spans="1:17">
      <c r="A32" t="s">
        <v>184</v>
      </c>
      <c r="B32" t="s">
        <v>722</v>
      </c>
      <c r="C32" t="s">
        <v>140</v>
      </c>
      <c r="D32">
        <v>1</v>
      </c>
      <c r="E32" t="s">
        <v>729</v>
      </c>
      <c r="F32">
        <v>4</v>
      </c>
      <c r="G32">
        <v>2</v>
      </c>
      <c r="H32" t="str">
        <f t="shared" si="0"/>
        <v>WH-Z1-AisleB-Bay1-Level5</v>
      </c>
      <c r="I32" t="s">
        <v>763</v>
      </c>
      <c r="J32" t="str">
        <f t="shared" si="1"/>
        <v>SAMPLE: Grid B05</v>
      </c>
      <c r="K32">
        <f t="shared" si="2"/>
        <v>2</v>
      </c>
      <c r="L32">
        <f t="shared" si="3"/>
        <v>1</v>
      </c>
      <c r="M32">
        <f t="shared" si="4"/>
        <v>5</v>
      </c>
      <c r="N32" t="str">
        <f t="shared" si="5"/>
        <v>Z1: B01</v>
      </c>
      <c r="O32" t="str">
        <f t="shared" si="6"/>
        <v>B</v>
      </c>
      <c r="P32">
        <f t="shared" si="7"/>
        <v>1</v>
      </c>
      <c r="Q32" t="str">
        <f t="shared" si="8"/>
        <v>B01</v>
      </c>
    </row>
    <row r="33" spans="1:17">
      <c r="A33" t="s">
        <v>187</v>
      </c>
      <c r="B33" t="s">
        <v>722</v>
      </c>
      <c r="C33" t="s">
        <v>140</v>
      </c>
      <c r="D33">
        <v>1</v>
      </c>
      <c r="E33" t="s">
        <v>729</v>
      </c>
      <c r="F33">
        <v>4</v>
      </c>
      <c r="G33">
        <v>2</v>
      </c>
      <c r="H33" t="str">
        <f t="shared" si="0"/>
        <v>WH-Z1-AisleB-Bay1-Level6</v>
      </c>
      <c r="I33" t="s">
        <v>764</v>
      </c>
      <c r="J33" t="str">
        <f t="shared" si="1"/>
        <v>SAMPLE: Grid B06</v>
      </c>
      <c r="K33">
        <f t="shared" si="2"/>
        <v>2</v>
      </c>
      <c r="L33">
        <f t="shared" si="3"/>
        <v>1</v>
      </c>
      <c r="M33">
        <f t="shared" si="4"/>
        <v>6</v>
      </c>
      <c r="N33" t="str">
        <f t="shared" si="5"/>
        <v>Z1: B01</v>
      </c>
      <c r="O33" t="str">
        <f t="shared" si="6"/>
        <v>B</v>
      </c>
      <c r="P33">
        <f t="shared" si="7"/>
        <v>1</v>
      </c>
      <c r="Q33" t="str">
        <f t="shared" si="8"/>
        <v>B01</v>
      </c>
    </row>
    <row r="34" spans="1:17">
      <c r="A34" t="s">
        <v>189</v>
      </c>
      <c r="B34" t="s">
        <v>722</v>
      </c>
      <c r="C34" t="s">
        <v>140</v>
      </c>
      <c r="D34">
        <v>1</v>
      </c>
      <c r="E34" t="s">
        <v>729</v>
      </c>
      <c r="F34">
        <v>4</v>
      </c>
      <c r="G34">
        <v>2</v>
      </c>
      <c r="H34" t="str">
        <f t="shared" si="0"/>
        <v>WH-Z1-AisleB-Bay1-Level7</v>
      </c>
      <c r="I34" t="s">
        <v>765</v>
      </c>
      <c r="J34" t="str">
        <f t="shared" si="1"/>
        <v>SAMPLE: Grid B07</v>
      </c>
      <c r="K34">
        <f t="shared" si="2"/>
        <v>2</v>
      </c>
      <c r="L34">
        <f t="shared" si="3"/>
        <v>1</v>
      </c>
      <c r="M34">
        <f t="shared" si="4"/>
        <v>7</v>
      </c>
      <c r="N34" t="str">
        <f t="shared" si="5"/>
        <v>Z1: B01</v>
      </c>
      <c r="O34" t="str">
        <f t="shared" si="6"/>
        <v>B</v>
      </c>
      <c r="P34">
        <f t="shared" si="7"/>
        <v>1</v>
      </c>
      <c r="Q34" t="str">
        <f t="shared" si="8"/>
        <v>B01</v>
      </c>
    </row>
    <row r="35" spans="1:17">
      <c r="A35" t="s">
        <v>191</v>
      </c>
      <c r="B35" t="s">
        <v>722</v>
      </c>
      <c r="C35" t="s">
        <v>140</v>
      </c>
      <c r="D35">
        <v>1</v>
      </c>
      <c r="E35" t="s">
        <v>729</v>
      </c>
      <c r="F35">
        <v>4</v>
      </c>
      <c r="G35">
        <v>2</v>
      </c>
      <c r="H35" t="str">
        <f t="shared" si="0"/>
        <v>WH-Z1-AisleB-Bay1-Level8</v>
      </c>
      <c r="I35" t="s">
        <v>766</v>
      </c>
      <c r="J35" t="str">
        <f t="shared" si="1"/>
        <v>SAMPLE: Grid B08</v>
      </c>
      <c r="K35">
        <f t="shared" si="2"/>
        <v>2</v>
      </c>
      <c r="L35">
        <f t="shared" si="3"/>
        <v>1</v>
      </c>
      <c r="M35">
        <f t="shared" si="4"/>
        <v>8</v>
      </c>
      <c r="N35" t="str">
        <f t="shared" si="5"/>
        <v>Z1: B01</v>
      </c>
      <c r="O35" t="str">
        <f t="shared" si="6"/>
        <v>B</v>
      </c>
      <c r="P35">
        <f t="shared" si="7"/>
        <v>1</v>
      </c>
      <c r="Q35" t="str">
        <f t="shared" si="8"/>
        <v>B01</v>
      </c>
    </row>
    <row r="36" spans="1:17">
      <c r="A36" t="s">
        <v>193</v>
      </c>
      <c r="B36" t="s">
        <v>722</v>
      </c>
      <c r="C36" t="s">
        <v>140</v>
      </c>
      <c r="D36">
        <v>1</v>
      </c>
      <c r="E36" t="s">
        <v>729</v>
      </c>
      <c r="F36">
        <v>4</v>
      </c>
      <c r="G36">
        <v>2</v>
      </c>
      <c r="H36" t="str">
        <f t="shared" si="0"/>
        <v>WH-Z1-AisleB-Bay1-Level9</v>
      </c>
      <c r="I36" t="s">
        <v>767</v>
      </c>
      <c r="J36" t="str">
        <f t="shared" si="1"/>
        <v>SAMPLE: Grid B09</v>
      </c>
      <c r="K36">
        <f t="shared" si="2"/>
        <v>2</v>
      </c>
      <c r="L36">
        <f t="shared" si="3"/>
        <v>1</v>
      </c>
      <c r="M36">
        <f t="shared" si="4"/>
        <v>9</v>
      </c>
      <c r="N36" t="str">
        <f t="shared" si="5"/>
        <v>Z1: B01</v>
      </c>
      <c r="O36" t="str">
        <f t="shared" si="6"/>
        <v>B</v>
      </c>
      <c r="P36">
        <f t="shared" si="7"/>
        <v>1</v>
      </c>
      <c r="Q36" t="str">
        <f t="shared" si="8"/>
        <v>B01</v>
      </c>
    </row>
    <row r="37" spans="1:17">
      <c r="A37" t="s">
        <v>195</v>
      </c>
      <c r="B37" t="s">
        <v>722</v>
      </c>
      <c r="C37" t="s">
        <v>140</v>
      </c>
      <c r="D37">
        <v>1</v>
      </c>
      <c r="E37" t="s">
        <v>729</v>
      </c>
      <c r="F37">
        <v>4</v>
      </c>
      <c r="G37">
        <v>2</v>
      </c>
      <c r="H37" t="str">
        <f t="shared" si="0"/>
        <v>WH-Z1-AisleB-Bay1-Level10</v>
      </c>
      <c r="I37" t="s">
        <v>768</v>
      </c>
      <c r="J37" t="str">
        <f t="shared" si="1"/>
        <v>SAMPLE: Grid B10</v>
      </c>
      <c r="K37">
        <f t="shared" si="2"/>
        <v>2</v>
      </c>
      <c r="L37">
        <f t="shared" si="3"/>
        <v>1</v>
      </c>
      <c r="M37">
        <f t="shared" si="4"/>
        <v>10</v>
      </c>
      <c r="N37" t="str">
        <f t="shared" si="5"/>
        <v>Z1: B01</v>
      </c>
      <c r="O37" t="str">
        <f t="shared" si="6"/>
        <v>B</v>
      </c>
      <c r="P37">
        <f t="shared" si="7"/>
        <v>1</v>
      </c>
      <c r="Q37" t="str">
        <f t="shared" si="8"/>
        <v>B01</v>
      </c>
    </row>
    <row r="38" spans="1:17">
      <c r="A38" t="s">
        <v>197</v>
      </c>
      <c r="B38" t="s">
        <v>722</v>
      </c>
      <c r="C38" t="s">
        <v>140</v>
      </c>
      <c r="D38">
        <v>1</v>
      </c>
      <c r="E38" t="s">
        <v>729</v>
      </c>
      <c r="F38">
        <v>4</v>
      </c>
      <c r="G38">
        <v>2</v>
      </c>
      <c r="H38" t="str">
        <f t="shared" si="0"/>
        <v>WH-Z1-AisleB-Bay1-Level11</v>
      </c>
      <c r="I38" t="s">
        <v>769</v>
      </c>
      <c r="J38" t="str">
        <f t="shared" si="1"/>
        <v>SAMPLE: Grid B11</v>
      </c>
      <c r="K38">
        <f t="shared" si="2"/>
        <v>2</v>
      </c>
      <c r="L38">
        <f t="shared" si="3"/>
        <v>1</v>
      </c>
      <c r="M38">
        <f t="shared" si="4"/>
        <v>11</v>
      </c>
      <c r="N38" t="str">
        <f t="shared" si="5"/>
        <v>Z1: B01</v>
      </c>
      <c r="O38" t="str">
        <f t="shared" si="6"/>
        <v>B</v>
      </c>
      <c r="P38">
        <f t="shared" si="7"/>
        <v>1</v>
      </c>
      <c r="Q38" t="str">
        <f t="shared" si="8"/>
        <v>B01</v>
      </c>
    </row>
    <row r="39" spans="1:17">
      <c r="A39" t="s">
        <v>199</v>
      </c>
      <c r="B39" t="s">
        <v>722</v>
      </c>
      <c r="C39" t="s">
        <v>140</v>
      </c>
      <c r="D39">
        <v>1</v>
      </c>
      <c r="E39" t="s">
        <v>729</v>
      </c>
      <c r="F39">
        <v>4</v>
      </c>
      <c r="G39">
        <v>2</v>
      </c>
      <c r="H39" t="str">
        <f t="shared" si="0"/>
        <v>WH-Z1-AisleB-Bay1-Level12</v>
      </c>
      <c r="I39" t="s">
        <v>770</v>
      </c>
      <c r="J39" t="str">
        <f t="shared" si="1"/>
        <v>SAMPLE: Grid B12</v>
      </c>
      <c r="K39">
        <f t="shared" si="2"/>
        <v>2</v>
      </c>
      <c r="L39">
        <f t="shared" si="3"/>
        <v>1</v>
      </c>
      <c r="M39">
        <f t="shared" si="4"/>
        <v>12</v>
      </c>
      <c r="N39" t="str">
        <f t="shared" si="5"/>
        <v>Z1: B01</v>
      </c>
      <c r="O39" t="str">
        <f t="shared" si="6"/>
        <v>B</v>
      </c>
      <c r="P39">
        <f t="shared" si="7"/>
        <v>1</v>
      </c>
      <c r="Q39" t="str">
        <f t="shared" si="8"/>
        <v>B01</v>
      </c>
    </row>
    <row r="40" spans="1:17">
      <c r="A40" t="s">
        <v>202</v>
      </c>
      <c r="B40" t="s">
        <v>722</v>
      </c>
      <c r="C40" t="s">
        <v>140</v>
      </c>
      <c r="D40">
        <v>1</v>
      </c>
      <c r="E40" t="s">
        <v>729</v>
      </c>
      <c r="F40">
        <v>4</v>
      </c>
      <c r="G40">
        <v>2</v>
      </c>
      <c r="H40" t="str">
        <f t="shared" si="0"/>
        <v>WH-Z1-AisleB-Bay1-Level13</v>
      </c>
      <c r="I40" t="s">
        <v>771</v>
      </c>
      <c r="J40" t="str">
        <f t="shared" si="1"/>
        <v>SAMPLE: Grid B13</v>
      </c>
      <c r="K40">
        <f t="shared" si="2"/>
        <v>2</v>
      </c>
      <c r="L40">
        <f t="shared" si="3"/>
        <v>1</v>
      </c>
      <c r="M40">
        <f t="shared" si="4"/>
        <v>13</v>
      </c>
      <c r="N40" t="str">
        <f t="shared" si="5"/>
        <v>Z1: B01</v>
      </c>
      <c r="O40" t="str">
        <f t="shared" si="6"/>
        <v>B</v>
      </c>
      <c r="P40">
        <f t="shared" si="7"/>
        <v>1</v>
      </c>
      <c r="Q40" t="str">
        <f t="shared" si="8"/>
        <v>B01</v>
      </c>
    </row>
    <row r="41" spans="1:17">
      <c r="A41" t="s">
        <v>204</v>
      </c>
      <c r="B41" t="s">
        <v>722</v>
      </c>
      <c r="C41" t="s">
        <v>140</v>
      </c>
      <c r="D41">
        <v>1</v>
      </c>
      <c r="E41" t="s">
        <v>729</v>
      </c>
      <c r="F41">
        <v>4</v>
      </c>
      <c r="G41">
        <v>2</v>
      </c>
      <c r="H41" t="str">
        <f t="shared" si="0"/>
        <v>WH-Z1-AisleB-Bay1-Level14</v>
      </c>
      <c r="I41" t="s">
        <v>772</v>
      </c>
      <c r="J41" t="str">
        <f t="shared" si="1"/>
        <v>SAMPLE: Grid B14</v>
      </c>
      <c r="K41">
        <f t="shared" si="2"/>
        <v>2</v>
      </c>
      <c r="L41">
        <f t="shared" si="3"/>
        <v>1</v>
      </c>
      <c r="M41">
        <f t="shared" si="4"/>
        <v>14</v>
      </c>
      <c r="N41" t="str">
        <f t="shared" si="5"/>
        <v>Z1: B01</v>
      </c>
      <c r="O41" t="str">
        <f t="shared" si="6"/>
        <v>B</v>
      </c>
      <c r="P41">
        <f t="shared" si="7"/>
        <v>1</v>
      </c>
      <c r="Q41" t="str">
        <f t="shared" si="8"/>
        <v>B01</v>
      </c>
    </row>
    <row r="42" spans="1:17">
      <c r="A42" t="s">
        <v>206</v>
      </c>
      <c r="B42" t="s">
        <v>722</v>
      </c>
      <c r="C42" t="s">
        <v>140</v>
      </c>
      <c r="D42">
        <v>1</v>
      </c>
      <c r="E42" t="s">
        <v>729</v>
      </c>
      <c r="F42">
        <v>4</v>
      </c>
      <c r="G42">
        <v>2</v>
      </c>
      <c r="H42" t="str">
        <f t="shared" si="0"/>
        <v>WH-Z1-AisleB-Bay1-Level15</v>
      </c>
      <c r="I42" t="s">
        <v>773</v>
      </c>
      <c r="J42" t="str">
        <f t="shared" si="1"/>
        <v>SAMPLE: Grid B15</v>
      </c>
      <c r="K42">
        <f t="shared" si="2"/>
        <v>2</v>
      </c>
      <c r="L42">
        <f t="shared" si="3"/>
        <v>1</v>
      </c>
      <c r="M42">
        <f t="shared" si="4"/>
        <v>15</v>
      </c>
      <c r="N42" t="str">
        <f t="shared" si="5"/>
        <v>Z1: B01</v>
      </c>
      <c r="O42" t="str">
        <f t="shared" si="6"/>
        <v>B</v>
      </c>
      <c r="P42">
        <f t="shared" si="7"/>
        <v>1</v>
      </c>
      <c r="Q42" t="str">
        <f t="shared" si="8"/>
        <v>B01</v>
      </c>
    </row>
    <row r="43" spans="1:17">
      <c r="A43" t="s">
        <v>208</v>
      </c>
      <c r="B43" t="s">
        <v>722</v>
      </c>
      <c r="C43" t="s">
        <v>140</v>
      </c>
      <c r="D43">
        <v>1</v>
      </c>
      <c r="E43" t="s">
        <v>729</v>
      </c>
      <c r="F43">
        <v>4</v>
      </c>
      <c r="G43">
        <v>2</v>
      </c>
      <c r="H43" t="str">
        <f t="shared" si="0"/>
        <v>WH-Z1-AisleB-Bay1-Level16</v>
      </c>
      <c r="I43" t="s">
        <v>774</v>
      </c>
      <c r="J43" t="str">
        <f t="shared" si="1"/>
        <v>SAMPLE: Grid B16</v>
      </c>
      <c r="K43">
        <f t="shared" si="2"/>
        <v>2</v>
      </c>
      <c r="L43">
        <f t="shared" si="3"/>
        <v>1</v>
      </c>
      <c r="M43">
        <f t="shared" si="4"/>
        <v>16</v>
      </c>
      <c r="N43" t="str">
        <f t="shared" si="5"/>
        <v>Z1: B01</v>
      </c>
      <c r="O43" t="str">
        <f t="shared" si="6"/>
        <v>B</v>
      </c>
      <c r="P43">
        <f t="shared" si="7"/>
        <v>1</v>
      </c>
      <c r="Q43" t="str">
        <f t="shared" si="8"/>
        <v>B01</v>
      </c>
    </row>
    <row r="44" spans="1:17">
      <c r="A44" t="s">
        <v>210</v>
      </c>
      <c r="B44" t="s">
        <v>722</v>
      </c>
      <c r="C44" t="s">
        <v>140</v>
      </c>
      <c r="D44">
        <v>1</v>
      </c>
      <c r="E44" t="s">
        <v>729</v>
      </c>
      <c r="F44">
        <v>4</v>
      </c>
      <c r="G44">
        <v>2</v>
      </c>
      <c r="H44" t="str">
        <f t="shared" si="0"/>
        <v>WH-Z1-AisleB-Bay1-Level17</v>
      </c>
      <c r="I44" t="s">
        <v>775</v>
      </c>
      <c r="J44" t="str">
        <f t="shared" si="1"/>
        <v>SAMPLE: Grid B17</v>
      </c>
      <c r="K44">
        <f t="shared" si="2"/>
        <v>2</v>
      </c>
      <c r="L44">
        <f t="shared" si="3"/>
        <v>1</v>
      </c>
      <c r="M44">
        <f t="shared" si="4"/>
        <v>17</v>
      </c>
      <c r="N44" t="str">
        <f t="shared" si="5"/>
        <v>Z1: B01</v>
      </c>
      <c r="O44" t="str">
        <f t="shared" si="6"/>
        <v>B</v>
      </c>
      <c r="P44">
        <f t="shared" si="7"/>
        <v>1</v>
      </c>
      <c r="Q44" t="str">
        <f t="shared" si="8"/>
        <v>B01</v>
      </c>
    </row>
    <row r="45" spans="1:17">
      <c r="A45" t="s">
        <v>212</v>
      </c>
      <c r="B45" t="s">
        <v>722</v>
      </c>
      <c r="C45" t="s">
        <v>140</v>
      </c>
      <c r="D45">
        <v>1</v>
      </c>
      <c r="E45" t="s">
        <v>729</v>
      </c>
      <c r="F45">
        <v>4</v>
      </c>
      <c r="G45">
        <v>2</v>
      </c>
      <c r="H45" t="str">
        <f t="shared" si="0"/>
        <v>WH-Z1-AisleB-Bay1-Level18</v>
      </c>
      <c r="I45" t="s">
        <v>776</v>
      </c>
      <c r="J45" t="str">
        <f t="shared" si="1"/>
        <v>SAMPLE: Grid B18</v>
      </c>
      <c r="K45">
        <f t="shared" si="2"/>
        <v>2</v>
      </c>
      <c r="L45">
        <f t="shared" si="3"/>
        <v>1</v>
      </c>
      <c r="M45">
        <f t="shared" si="4"/>
        <v>18</v>
      </c>
      <c r="N45" t="str">
        <f t="shared" si="5"/>
        <v>Z1: B01</v>
      </c>
      <c r="O45" t="str">
        <f t="shared" si="6"/>
        <v>B</v>
      </c>
      <c r="P45">
        <f t="shared" si="7"/>
        <v>1</v>
      </c>
      <c r="Q45" t="str">
        <f t="shared" si="8"/>
        <v>B01</v>
      </c>
    </row>
    <row r="46" spans="1:17">
      <c r="A46" t="s">
        <v>214</v>
      </c>
      <c r="B46" t="s">
        <v>722</v>
      </c>
      <c r="C46" t="s">
        <v>140</v>
      </c>
      <c r="D46">
        <v>1</v>
      </c>
      <c r="E46" t="s">
        <v>729</v>
      </c>
      <c r="F46">
        <v>4</v>
      </c>
      <c r="G46">
        <v>2</v>
      </c>
      <c r="H46" t="str">
        <f t="shared" si="0"/>
        <v>WH-Z1-AisleB-Bay1-Level19</v>
      </c>
      <c r="I46" t="s">
        <v>777</v>
      </c>
      <c r="J46" t="str">
        <f t="shared" si="1"/>
        <v>SAMPLE: Grid B19</v>
      </c>
      <c r="K46">
        <f t="shared" si="2"/>
        <v>2</v>
      </c>
      <c r="L46">
        <f t="shared" si="3"/>
        <v>1</v>
      </c>
      <c r="M46">
        <f t="shared" si="4"/>
        <v>19</v>
      </c>
      <c r="N46" t="str">
        <f t="shared" si="5"/>
        <v>Z1: B01</v>
      </c>
      <c r="O46" t="str">
        <f t="shared" si="6"/>
        <v>B</v>
      </c>
      <c r="P46">
        <f t="shared" si="7"/>
        <v>1</v>
      </c>
      <c r="Q46" t="str">
        <f t="shared" si="8"/>
        <v>B01</v>
      </c>
    </row>
    <row r="47" spans="1:17">
      <c r="A47" t="s">
        <v>217</v>
      </c>
      <c r="B47" t="s">
        <v>722</v>
      </c>
      <c r="C47" t="s">
        <v>140</v>
      </c>
      <c r="D47">
        <v>1</v>
      </c>
      <c r="E47" t="s">
        <v>729</v>
      </c>
      <c r="F47">
        <v>4</v>
      </c>
      <c r="G47">
        <v>2</v>
      </c>
      <c r="H47" t="str">
        <f t="shared" si="0"/>
        <v>WH-Z1-AisleB-Bay1-Level20</v>
      </c>
      <c r="I47" t="s">
        <v>778</v>
      </c>
      <c r="J47" t="str">
        <f t="shared" si="1"/>
        <v>SAMPLE: Grid B20</v>
      </c>
      <c r="K47">
        <f t="shared" si="2"/>
        <v>2</v>
      </c>
      <c r="L47">
        <f t="shared" si="3"/>
        <v>1</v>
      </c>
      <c r="M47">
        <f t="shared" si="4"/>
        <v>20</v>
      </c>
      <c r="N47" t="str">
        <f t="shared" si="5"/>
        <v>Z1: B01</v>
      </c>
      <c r="O47" t="str">
        <f t="shared" si="6"/>
        <v>B</v>
      </c>
      <c r="P47">
        <f t="shared" si="7"/>
        <v>1</v>
      </c>
      <c r="Q47" t="str">
        <f t="shared" si="8"/>
        <v>B01</v>
      </c>
    </row>
    <row r="48" spans="1:17">
      <c r="A48" t="s">
        <v>219</v>
      </c>
      <c r="B48" t="s">
        <v>722</v>
      </c>
      <c r="C48" t="s">
        <v>779</v>
      </c>
      <c r="D48">
        <v>1</v>
      </c>
      <c r="E48" t="s">
        <v>729</v>
      </c>
      <c r="F48">
        <v>4</v>
      </c>
      <c r="G48">
        <v>2</v>
      </c>
      <c r="H48" t="str">
        <f t="shared" si="0"/>
        <v>WH-Z1-AisleC-Bay1-Level1</v>
      </c>
      <c r="I48" t="s">
        <v>780</v>
      </c>
      <c r="J48" t="str">
        <f t="shared" si="1"/>
        <v>SAMPLE: Grid C01</v>
      </c>
      <c r="K48">
        <f t="shared" si="2"/>
        <v>3</v>
      </c>
      <c r="L48">
        <f t="shared" si="3"/>
        <v>1</v>
      </c>
      <c r="M48">
        <f t="shared" si="4"/>
        <v>1</v>
      </c>
      <c r="N48" t="str">
        <f t="shared" si="5"/>
        <v>Z1: C01</v>
      </c>
      <c r="O48" t="str">
        <f t="shared" si="6"/>
        <v>C</v>
      </c>
      <c r="P48">
        <f t="shared" si="7"/>
        <v>1</v>
      </c>
      <c r="Q48" t="str">
        <f t="shared" si="8"/>
        <v>C01</v>
      </c>
    </row>
    <row r="49" spans="1:17">
      <c r="A49" t="s">
        <v>221</v>
      </c>
      <c r="B49" t="s">
        <v>722</v>
      </c>
      <c r="C49" t="s">
        <v>779</v>
      </c>
      <c r="D49">
        <v>1</v>
      </c>
      <c r="E49" t="s">
        <v>729</v>
      </c>
      <c r="F49">
        <v>4</v>
      </c>
      <c r="G49">
        <v>2</v>
      </c>
      <c r="H49" t="str">
        <f t="shared" si="0"/>
        <v>WH-Z1-AisleC-Bay1-Level2</v>
      </c>
      <c r="I49" t="s">
        <v>781</v>
      </c>
      <c r="J49" t="str">
        <f t="shared" si="1"/>
        <v>SAMPLE: Grid C02</v>
      </c>
      <c r="K49">
        <f t="shared" si="2"/>
        <v>3</v>
      </c>
      <c r="L49">
        <f t="shared" si="3"/>
        <v>1</v>
      </c>
      <c r="M49">
        <f t="shared" si="4"/>
        <v>2</v>
      </c>
      <c r="N49" t="str">
        <f t="shared" si="5"/>
        <v>Z1: C01</v>
      </c>
      <c r="O49" t="str">
        <f t="shared" si="6"/>
        <v>C</v>
      </c>
      <c r="P49">
        <f t="shared" si="7"/>
        <v>1</v>
      </c>
      <c r="Q49" t="str">
        <f t="shared" si="8"/>
        <v>C01</v>
      </c>
    </row>
    <row r="50" spans="1:17">
      <c r="A50" t="s">
        <v>223</v>
      </c>
      <c r="B50" t="s">
        <v>722</v>
      </c>
      <c r="C50" t="s">
        <v>779</v>
      </c>
      <c r="D50">
        <v>1</v>
      </c>
      <c r="E50" t="s">
        <v>729</v>
      </c>
      <c r="F50">
        <v>4</v>
      </c>
      <c r="G50">
        <v>2</v>
      </c>
      <c r="H50" t="str">
        <f t="shared" si="0"/>
        <v>WH-Z1-AisleC-Bay1-Level3</v>
      </c>
      <c r="I50" t="s">
        <v>782</v>
      </c>
      <c r="J50" t="str">
        <f t="shared" si="1"/>
        <v>SAMPLE: Grid C03</v>
      </c>
      <c r="K50">
        <f t="shared" si="2"/>
        <v>3</v>
      </c>
      <c r="L50">
        <f t="shared" si="3"/>
        <v>1</v>
      </c>
      <c r="M50">
        <f t="shared" si="4"/>
        <v>3</v>
      </c>
      <c r="N50" t="str">
        <f t="shared" si="5"/>
        <v>Z1: C01</v>
      </c>
      <c r="O50" t="str">
        <f t="shared" si="6"/>
        <v>C</v>
      </c>
      <c r="P50">
        <f t="shared" si="7"/>
        <v>1</v>
      </c>
      <c r="Q50" t="str">
        <f t="shared" si="8"/>
        <v>C01</v>
      </c>
    </row>
    <row r="51" spans="1:17">
      <c r="A51" t="s">
        <v>225</v>
      </c>
      <c r="B51" t="s">
        <v>722</v>
      </c>
      <c r="C51" t="s">
        <v>779</v>
      </c>
      <c r="D51">
        <v>1</v>
      </c>
      <c r="E51" t="s">
        <v>729</v>
      </c>
      <c r="F51">
        <v>4</v>
      </c>
      <c r="G51">
        <v>2</v>
      </c>
      <c r="H51" t="str">
        <f t="shared" si="0"/>
        <v>WH-Z1-AisleC-Bay1-Level4</v>
      </c>
      <c r="I51" t="s">
        <v>783</v>
      </c>
      <c r="J51" t="str">
        <f t="shared" si="1"/>
        <v>SAMPLE: Grid C04</v>
      </c>
      <c r="K51">
        <f t="shared" si="2"/>
        <v>3</v>
      </c>
      <c r="L51">
        <f t="shared" si="3"/>
        <v>1</v>
      </c>
      <c r="M51">
        <f t="shared" si="4"/>
        <v>4</v>
      </c>
      <c r="N51" t="str">
        <f t="shared" si="5"/>
        <v>Z1: C01</v>
      </c>
      <c r="O51" t="str">
        <f t="shared" si="6"/>
        <v>C</v>
      </c>
      <c r="P51">
        <f t="shared" si="7"/>
        <v>1</v>
      </c>
      <c r="Q51" t="str">
        <f t="shared" si="8"/>
        <v>C01</v>
      </c>
    </row>
    <row r="52" spans="1:17">
      <c r="A52" t="s">
        <v>227</v>
      </c>
      <c r="B52" t="s">
        <v>722</v>
      </c>
      <c r="C52" t="s">
        <v>779</v>
      </c>
      <c r="D52">
        <v>1</v>
      </c>
      <c r="E52" t="s">
        <v>729</v>
      </c>
      <c r="F52">
        <v>4</v>
      </c>
      <c r="G52">
        <v>2</v>
      </c>
      <c r="H52" t="str">
        <f t="shared" si="0"/>
        <v>WH-Z1-AisleC-Bay1-Level5</v>
      </c>
      <c r="I52" t="s">
        <v>784</v>
      </c>
      <c r="J52" t="str">
        <f t="shared" si="1"/>
        <v>SAMPLE: Grid C05</v>
      </c>
      <c r="K52">
        <f t="shared" si="2"/>
        <v>3</v>
      </c>
      <c r="L52">
        <f t="shared" si="3"/>
        <v>1</v>
      </c>
      <c r="M52">
        <f t="shared" si="4"/>
        <v>5</v>
      </c>
      <c r="N52" t="str">
        <f t="shared" si="5"/>
        <v>Z1: C01</v>
      </c>
      <c r="O52" t="str">
        <f t="shared" si="6"/>
        <v>C</v>
      </c>
      <c r="P52">
        <f t="shared" si="7"/>
        <v>1</v>
      </c>
      <c r="Q52" t="str">
        <f t="shared" si="8"/>
        <v>C01</v>
      </c>
    </row>
    <row r="53" spans="1:17">
      <c r="A53" t="s">
        <v>229</v>
      </c>
      <c r="B53" t="s">
        <v>722</v>
      </c>
      <c r="C53" t="s">
        <v>779</v>
      </c>
      <c r="D53">
        <v>1</v>
      </c>
      <c r="E53" t="s">
        <v>729</v>
      </c>
      <c r="F53">
        <v>4</v>
      </c>
      <c r="G53">
        <v>2</v>
      </c>
      <c r="H53" t="str">
        <f t="shared" si="0"/>
        <v>WH-Z1-AisleC-Bay1-Level6</v>
      </c>
      <c r="I53" t="s">
        <v>785</v>
      </c>
      <c r="J53" t="str">
        <f t="shared" si="1"/>
        <v>SAMPLE: Grid C06</v>
      </c>
      <c r="K53">
        <f t="shared" si="2"/>
        <v>3</v>
      </c>
      <c r="L53">
        <f t="shared" si="3"/>
        <v>1</v>
      </c>
      <c r="M53">
        <f t="shared" si="4"/>
        <v>6</v>
      </c>
      <c r="N53" t="str">
        <f t="shared" si="5"/>
        <v>Z1: C01</v>
      </c>
      <c r="O53" t="str">
        <f t="shared" si="6"/>
        <v>C</v>
      </c>
      <c r="P53">
        <f t="shared" si="7"/>
        <v>1</v>
      </c>
      <c r="Q53" t="str">
        <f t="shared" si="8"/>
        <v>C01</v>
      </c>
    </row>
    <row r="54" spans="1:17">
      <c r="A54" t="s">
        <v>232</v>
      </c>
      <c r="B54" t="s">
        <v>722</v>
      </c>
      <c r="C54" t="s">
        <v>779</v>
      </c>
      <c r="D54">
        <v>1</v>
      </c>
      <c r="E54" t="s">
        <v>729</v>
      </c>
      <c r="F54">
        <v>4</v>
      </c>
      <c r="G54">
        <v>2</v>
      </c>
      <c r="H54" t="str">
        <f t="shared" si="0"/>
        <v>WH-Z1-AisleC-Bay1-Level7</v>
      </c>
      <c r="I54" t="s">
        <v>786</v>
      </c>
      <c r="J54" t="str">
        <f t="shared" si="1"/>
        <v>SAMPLE: Grid C07</v>
      </c>
      <c r="K54">
        <f t="shared" si="2"/>
        <v>3</v>
      </c>
      <c r="L54">
        <f t="shared" si="3"/>
        <v>1</v>
      </c>
      <c r="M54">
        <f t="shared" si="4"/>
        <v>7</v>
      </c>
      <c r="N54" t="str">
        <f t="shared" si="5"/>
        <v>Z1: C01</v>
      </c>
      <c r="O54" t="str">
        <f t="shared" si="6"/>
        <v>C</v>
      </c>
      <c r="P54">
        <f t="shared" si="7"/>
        <v>1</v>
      </c>
      <c r="Q54" t="str">
        <f t="shared" si="8"/>
        <v>C01</v>
      </c>
    </row>
    <row r="55" spans="1:17">
      <c r="A55" t="s">
        <v>235</v>
      </c>
      <c r="B55" t="s">
        <v>722</v>
      </c>
      <c r="C55" t="s">
        <v>779</v>
      </c>
      <c r="D55">
        <v>1</v>
      </c>
      <c r="E55" t="s">
        <v>729</v>
      </c>
      <c r="F55">
        <v>4</v>
      </c>
      <c r="G55">
        <v>2</v>
      </c>
      <c r="H55" t="str">
        <f t="shared" si="0"/>
        <v>WH-Z1-AisleC-Bay1-Level8</v>
      </c>
      <c r="I55" t="s">
        <v>787</v>
      </c>
      <c r="J55" t="str">
        <f t="shared" si="1"/>
        <v>SAMPLE: Grid C08</v>
      </c>
      <c r="K55">
        <f t="shared" si="2"/>
        <v>3</v>
      </c>
      <c r="L55">
        <f t="shared" si="3"/>
        <v>1</v>
      </c>
      <c r="M55">
        <f t="shared" si="4"/>
        <v>8</v>
      </c>
      <c r="N55" t="str">
        <f t="shared" si="5"/>
        <v>Z1: C01</v>
      </c>
      <c r="O55" t="str">
        <f t="shared" si="6"/>
        <v>C</v>
      </c>
      <c r="P55">
        <f t="shared" si="7"/>
        <v>1</v>
      </c>
      <c r="Q55" t="str">
        <f t="shared" si="8"/>
        <v>C01</v>
      </c>
    </row>
    <row r="56" spans="1:17">
      <c r="A56" t="s">
        <v>237</v>
      </c>
      <c r="B56" t="s">
        <v>722</v>
      </c>
      <c r="C56" t="s">
        <v>779</v>
      </c>
      <c r="D56">
        <v>1</v>
      </c>
      <c r="E56" t="s">
        <v>729</v>
      </c>
      <c r="F56">
        <v>4</v>
      </c>
      <c r="G56">
        <v>2</v>
      </c>
      <c r="H56" t="str">
        <f t="shared" si="0"/>
        <v>WH-Z1-AisleC-Bay1-Level9</v>
      </c>
      <c r="I56" t="s">
        <v>788</v>
      </c>
      <c r="J56" t="str">
        <f t="shared" si="1"/>
        <v>SAMPLE: Grid C09</v>
      </c>
      <c r="K56">
        <f t="shared" si="2"/>
        <v>3</v>
      </c>
      <c r="L56">
        <f t="shared" si="3"/>
        <v>1</v>
      </c>
      <c r="M56">
        <f t="shared" si="4"/>
        <v>9</v>
      </c>
      <c r="N56" t="str">
        <f t="shared" si="5"/>
        <v>Z1: C01</v>
      </c>
      <c r="O56" t="str">
        <f t="shared" si="6"/>
        <v>C</v>
      </c>
      <c r="P56">
        <f t="shared" si="7"/>
        <v>1</v>
      </c>
      <c r="Q56" t="str">
        <f t="shared" si="8"/>
        <v>C01</v>
      </c>
    </row>
    <row r="57" spans="1:17">
      <c r="A57" t="s">
        <v>239</v>
      </c>
      <c r="B57" t="s">
        <v>722</v>
      </c>
      <c r="C57" t="s">
        <v>779</v>
      </c>
      <c r="D57">
        <v>1</v>
      </c>
      <c r="E57" t="s">
        <v>729</v>
      </c>
      <c r="F57">
        <v>4</v>
      </c>
      <c r="G57">
        <v>2</v>
      </c>
      <c r="H57" t="str">
        <f t="shared" si="0"/>
        <v>WH-Z1-AisleC-Bay1-Level10</v>
      </c>
      <c r="I57" t="s">
        <v>789</v>
      </c>
      <c r="J57" t="str">
        <f t="shared" si="1"/>
        <v>SAMPLE: Grid C10</v>
      </c>
      <c r="K57">
        <f t="shared" si="2"/>
        <v>3</v>
      </c>
      <c r="L57">
        <f t="shared" si="3"/>
        <v>1</v>
      </c>
      <c r="M57">
        <f t="shared" si="4"/>
        <v>10</v>
      </c>
      <c r="N57" t="str">
        <f t="shared" si="5"/>
        <v>Z1: C01</v>
      </c>
      <c r="O57" t="str">
        <f t="shared" si="6"/>
        <v>C</v>
      </c>
      <c r="P57">
        <f t="shared" si="7"/>
        <v>1</v>
      </c>
      <c r="Q57" t="str">
        <f t="shared" si="8"/>
        <v>C01</v>
      </c>
    </row>
    <row r="58" spans="1:17">
      <c r="A58" t="s">
        <v>241</v>
      </c>
      <c r="B58" t="s">
        <v>722</v>
      </c>
      <c r="C58" t="s">
        <v>779</v>
      </c>
      <c r="D58">
        <v>1</v>
      </c>
      <c r="E58" t="s">
        <v>729</v>
      </c>
      <c r="F58">
        <v>4</v>
      </c>
      <c r="G58">
        <v>2</v>
      </c>
      <c r="H58" t="str">
        <f t="shared" si="0"/>
        <v>WH-Z1-AisleC-Bay1-Level11</v>
      </c>
      <c r="I58" t="s">
        <v>790</v>
      </c>
      <c r="J58" t="str">
        <f t="shared" si="1"/>
        <v>SAMPLE: Grid C11</v>
      </c>
      <c r="K58">
        <f t="shared" si="2"/>
        <v>3</v>
      </c>
      <c r="L58">
        <f t="shared" si="3"/>
        <v>1</v>
      </c>
      <c r="M58">
        <f t="shared" si="4"/>
        <v>11</v>
      </c>
      <c r="N58" t="str">
        <f t="shared" si="5"/>
        <v>Z1: C01</v>
      </c>
      <c r="O58" t="str">
        <f t="shared" si="6"/>
        <v>C</v>
      </c>
      <c r="P58">
        <f t="shared" si="7"/>
        <v>1</v>
      </c>
      <c r="Q58" t="str">
        <f t="shared" si="8"/>
        <v>C01</v>
      </c>
    </row>
    <row r="59" spans="1:17">
      <c r="A59" t="s">
        <v>243</v>
      </c>
      <c r="B59" t="s">
        <v>722</v>
      </c>
      <c r="C59" t="s">
        <v>779</v>
      </c>
      <c r="D59">
        <v>1</v>
      </c>
      <c r="E59" t="s">
        <v>729</v>
      </c>
      <c r="F59">
        <v>4</v>
      </c>
      <c r="G59">
        <v>2</v>
      </c>
      <c r="H59" t="str">
        <f t="shared" si="0"/>
        <v>WH-Z1-AisleC-Bay1-Level12</v>
      </c>
      <c r="I59" t="s">
        <v>791</v>
      </c>
      <c r="J59" t="str">
        <f t="shared" si="1"/>
        <v>SAMPLE: Grid C12</v>
      </c>
      <c r="K59">
        <f t="shared" si="2"/>
        <v>3</v>
      </c>
      <c r="L59">
        <f t="shared" si="3"/>
        <v>1</v>
      </c>
      <c r="M59">
        <f t="shared" si="4"/>
        <v>12</v>
      </c>
      <c r="N59" t="str">
        <f t="shared" si="5"/>
        <v>Z1: C01</v>
      </c>
      <c r="O59" t="str">
        <f t="shared" si="6"/>
        <v>C</v>
      </c>
      <c r="P59">
        <f t="shared" si="7"/>
        <v>1</v>
      </c>
      <c r="Q59" t="str">
        <f t="shared" si="8"/>
        <v>C01</v>
      </c>
    </row>
    <row r="60" spans="1:17">
      <c r="A60" t="s">
        <v>245</v>
      </c>
      <c r="B60" t="s">
        <v>722</v>
      </c>
      <c r="C60" t="s">
        <v>779</v>
      </c>
      <c r="D60">
        <v>1</v>
      </c>
      <c r="E60" t="s">
        <v>729</v>
      </c>
      <c r="F60">
        <v>4</v>
      </c>
      <c r="G60">
        <v>2</v>
      </c>
      <c r="H60" t="str">
        <f t="shared" si="0"/>
        <v>WH-Z1-AisleC-Bay1-Level13</v>
      </c>
      <c r="I60" t="s">
        <v>792</v>
      </c>
      <c r="J60" t="str">
        <f t="shared" si="1"/>
        <v>SAMPLE: Grid C13</v>
      </c>
      <c r="K60">
        <f t="shared" si="2"/>
        <v>3</v>
      </c>
      <c r="L60">
        <f t="shared" si="3"/>
        <v>1</v>
      </c>
      <c r="M60">
        <f t="shared" si="4"/>
        <v>13</v>
      </c>
      <c r="N60" t="str">
        <f t="shared" si="5"/>
        <v>Z1: C01</v>
      </c>
      <c r="O60" t="str">
        <f t="shared" si="6"/>
        <v>C</v>
      </c>
      <c r="P60">
        <f t="shared" si="7"/>
        <v>1</v>
      </c>
      <c r="Q60" t="str">
        <f t="shared" si="8"/>
        <v>C01</v>
      </c>
    </row>
    <row r="61" spans="1:17">
      <c r="A61" t="s">
        <v>248</v>
      </c>
      <c r="B61" t="s">
        <v>722</v>
      </c>
      <c r="C61" t="s">
        <v>779</v>
      </c>
      <c r="D61">
        <v>1</v>
      </c>
      <c r="E61" t="s">
        <v>729</v>
      </c>
      <c r="F61">
        <v>4</v>
      </c>
      <c r="G61">
        <v>2</v>
      </c>
      <c r="H61" t="str">
        <f t="shared" si="0"/>
        <v>WH-Z1-AisleC-Bay1-Level14</v>
      </c>
      <c r="I61" t="s">
        <v>793</v>
      </c>
      <c r="J61" t="str">
        <f t="shared" si="1"/>
        <v>SAMPLE: Grid C14</v>
      </c>
      <c r="K61">
        <f t="shared" si="2"/>
        <v>3</v>
      </c>
      <c r="L61">
        <f t="shared" si="3"/>
        <v>1</v>
      </c>
      <c r="M61">
        <f t="shared" si="4"/>
        <v>14</v>
      </c>
      <c r="N61" t="str">
        <f t="shared" si="5"/>
        <v>Z1: C01</v>
      </c>
      <c r="O61" t="str">
        <f t="shared" si="6"/>
        <v>C</v>
      </c>
      <c r="P61">
        <f t="shared" si="7"/>
        <v>1</v>
      </c>
      <c r="Q61" t="str">
        <f t="shared" si="8"/>
        <v>C01</v>
      </c>
    </row>
    <row r="62" spans="1:17">
      <c r="A62" t="s">
        <v>250</v>
      </c>
      <c r="B62" t="s">
        <v>722</v>
      </c>
      <c r="C62" t="s">
        <v>779</v>
      </c>
      <c r="D62">
        <v>1</v>
      </c>
      <c r="E62" t="s">
        <v>729</v>
      </c>
      <c r="F62">
        <v>4</v>
      </c>
      <c r="G62">
        <v>2</v>
      </c>
      <c r="H62" t="str">
        <f t="shared" si="0"/>
        <v>WH-Z1-AisleC-Bay1-Level15</v>
      </c>
      <c r="I62" t="s">
        <v>794</v>
      </c>
      <c r="J62" t="str">
        <f t="shared" si="1"/>
        <v>SAMPLE: Grid C15</v>
      </c>
      <c r="K62">
        <f t="shared" si="2"/>
        <v>3</v>
      </c>
      <c r="L62">
        <f t="shared" si="3"/>
        <v>1</v>
      </c>
      <c r="M62">
        <f t="shared" si="4"/>
        <v>15</v>
      </c>
      <c r="N62" t="str">
        <f t="shared" si="5"/>
        <v>Z1: C01</v>
      </c>
      <c r="O62" t="str">
        <f t="shared" si="6"/>
        <v>C</v>
      </c>
      <c r="P62">
        <f t="shared" si="7"/>
        <v>1</v>
      </c>
      <c r="Q62" t="str">
        <f t="shared" si="8"/>
        <v>C01</v>
      </c>
    </row>
    <row r="63" spans="1:17">
      <c r="A63" t="s">
        <v>252</v>
      </c>
      <c r="B63" t="s">
        <v>722</v>
      </c>
      <c r="C63" t="s">
        <v>779</v>
      </c>
      <c r="D63">
        <v>1</v>
      </c>
      <c r="E63" t="s">
        <v>729</v>
      </c>
      <c r="F63">
        <v>4</v>
      </c>
      <c r="G63">
        <v>2</v>
      </c>
      <c r="H63" t="str">
        <f t="shared" si="0"/>
        <v>WH-Z1-AisleC-Bay1-Level16</v>
      </c>
      <c r="I63" t="s">
        <v>795</v>
      </c>
      <c r="J63" t="str">
        <f t="shared" si="1"/>
        <v>SAMPLE: Grid C16</v>
      </c>
      <c r="K63">
        <f t="shared" si="2"/>
        <v>3</v>
      </c>
      <c r="L63">
        <f t="shared" si="3"/>
        <v>1</v>
      </c>
      <c r="M63">
        <f t="shared" si="4"/>
        <v>16</v>
      </c>
      <c r="N63" t="str">
        <f t="shared" si="5"/>
        <v>Z1: C01</v>
      </c>
      <c r="O63" t="str">
        <f t="shared" si="6"/>
        <v>C</v>
      </c>
      <c r="P63">
        <f t="shared" si="7"/>
        <v>1</v>
      </c>
      <c r="Q63" t="str">
        <f t="shared" si="8"/>
        <v>C01</v>
      </c>
    </row>
    <row r="64" spans="1:17">
      <c r="A64" t="s">
        <v>254</v>
      </c>
      <c r="B64" t="s">
        <v>722</v>
      </c>
      <c r="C64" t="s">
        <v>779</v>
      </c>
      <c r="D64">
        <v>1</v>
      </c>
      <c r="E64" t="s">
        <v>729</v>
      </c>
      <c r="F64">
        <v>4</v>
      </c>
      <c r="G64">
        <v>2</v>
      </c>
      <c r="H64" t="str">
        <f t="shared" si="0"/>
        <v>WH-Z1-AisleC-Bay1-Level17</v>
      </c>
      <c r="I64" t="s">
        <v>796</v>
      </c>
      <c r="J64" t="str">
        <f t="shared" si="1"/>
        <v>SAMPLE: Grid C17</v>
      </c>
      <c r="K64">
        <f t="shared" si="2"/>
        <v>3</v>
      </c>
      <c r="L64">
        <f t="shared" si="3"/>
        <v>1</v>
      </c>
      <c r="M64">
        <f t="shared" si="4"/>
        <v>17</v>
      </c>
      <c r="N64" t="str">
        <f t="shared" si="5"/>
        <v>Z1: C01</v>
      </c>
      <c r="O64" t="str">
        <f t="shared" si="6"/>
        <v>C</v>
      </c>
      <c r="P64">
        <f t="shared" si="7"/>
        <v>1</v>
      </c>
      <c r="Q64" t="str">
        <f t="shared" si="8"/>
        <v>C01</v>
      </c>
    </row>
    <row r="65" spans="1:17">
      <c r="A65" t="s">
        <v>797</v>
      </c>
      <c r="B65" t="s">
        <v>722</v>
      </c>
      <c r="C65" t="s">
        <v>779</v>
      </c>
      <c r="D65">
        <v>1</v>
      </c>
      <c r="E65" t="s">
        <v>729</v>
      </c>
      <c r="F65">
        <v>4</v>
      </c>
      <c r="G65">
        <v>2</v>
      </c>
      <c r="H65" t="str">
        <f t="shared" si="0"/>
        <v>WH-Z1-AisleC-Bay1-Level18</v>
      </c>
      <c r="I65" t="s">
        <v>798</v>
      </c>
      <c r="J65" t="str">
        <f t="shared" si="1"/>
        <v>SAMPLE: Grid C18</v>
      </c>
      <c r="K65">
        <f t="shared" si="2"/>
        <v>3</v>
      </c>
      <c r="L65">
        <f t="shared" si="3"/>
        <v>1</v>
      </c>
      <c r="M65">
        <f t="shared" si="4"/>
        <v>18</v>
      </c>
      <c r="N65" t="str">
        <f t="shared" si="5"/>
        <v>Z1: C01</v>
      </c>
      <c r="O65" t="str">
        <f t="shared" si="6"/>
        <v>C</v>
      </c>
      <c r="P65">
        <f t="shared" si="7"/>
        <v>1</v>
      </c>
      <c r="Q65" t="str">
        <f t="shared" si="8"/>
        <v>C01</v>
      </c>
    </row>
    <row r="66" spans="1:17">
      <c r="A66" t="s">
        <v>799</v>
      </c>
      <c r="B66" t="s">
        <v>722</v>
      </c>
      <c r="C66" t="s">
        <v>779</v>
      </c>
      <c r="D66">
        <v>1</v>
      </c>
      <c r="E66" t="s">
        <v>729</v>
      </c>
      <c r="F66">
        <v>4</v>
      </c>
      <c r="G66">
        <v>2</v>
      </c>
      <c r="H66" t="str">
        <f t="shared" ref="H66:H129" si="9">A66</f>
        <v>WH-Z1-AisleC-Bay1-Level19</v>
      </c>
      <c r="I66" t="s">
        <v>800</v>
      </c>
      <c r="J66" t="str">
        <f t="shared" ref="J66:J129" si="10">IF($I66&lt;&gt;"",$I66,$A66)</f>
        <v>SAMPLE: Grid C19</v>
      </c>
      <c r="K66">
        <f t="shared" ref="K66:K129" si="11">IF($C66="","",IF(LEN($C66)=1,CODE(UPPER($C66))-64,IFERROR(VALUE(MID($C66,2,99)),"")))</f>
        <v>3</v>
      </c>
      <c r="L66">
        <f t="shared" ref="L66:L129" si="12">IF($D66="","",IFERROR(VALUE($D66),""))</f>
        <v>1</v>
      </c>
      <c r="M66">
        <f t="shared" ref="M66:M129" si="13">IFERROR(VALUE(MID($A66,FIND("Level",$A66)+5,99)),IF($E66="AISLE_FLOOR",0,IF($E66="OVERFLOW",0,IF($E66="ENDCAP",0,""))))</f>
        <v>19</v>
      </c>
      <c r="N66" t="str">
        <f t="shared" ref="N66:N129" si="14">IF(AND($B66&lt;&gt;"",$C66&lt;&gt;"",ISNUMBER(--$D66)), $B66&amp;": "&amp;LEFT($C66,1)&amp;TEXT(--$D66,"00"), IF($I66&lt;&gt;"",$I66,$A66))</f>
        <v>Z1: C01</v>
      </c>
      <c r="O66" t="str">
        <f t="shared" ref="O66:O129" si="15">IF(AND($C66&lt;&gt;"",ISNUMBER(--$D66)),LEFT($C66,1),"")</f>
        <v>C</v>
      </c>
      <c r="P66">
        <f t="shared" ref="P66:P129" si="16">IF(ISNUMBER(--$D66),--$D66,"")</f>
        <v>1</v>
      </c>
      <c r="Q66" t="str">
        <f t="shared" ref="Q66:Q129" si="17">IF(AND($O66&lt;&gt;"",$P66&lt;&gt;""),$O66&amp;TEXT($P66,"00"),"")</f>
        <v>C01</v>
      </c>
    </row>
    <row r="67" spans="1:17">
      <c r="A67" t="s">
        <v>801</v>
      </c>
      <c r="B67" t="s">
        <v>722</v>
      </c>
      <c r="C67" t="s">
        <v>779</v>
      </c>
      <c r="D67">
        <v>1</v>
      </c>
      <c r="E67" t="s">
        <v>729</v>
      </c>
      <c r="F67">
        <v>4</v>
      </c>
      <c r="G67">
        <v>2</v>
      </c>
      <c r="H67" t="str">
        <f t="shared" si="9"/>
        <v>WH-Z1-AisleC-Bay1-Level20</v>
      </c>
      <c r="I67" t="s">
        <v>802</v>
      </c>
      <c r="J67" t="str">
        <f t="shared" si="10"/>
        <v>SAMPLE: Grid C20</v>
      </c>
      <c r="K67">
        <f t="shared" si="11"/>
        <v>3</v>
      </c>
      <c r="L67">
        <f t="shared" si="12"/>
        <v>1</v>
      </c>
      <c r="M67">
        <f t="shared" si="13"/>
        <v>20</v>
      </c>
      <c r="N67" t="str">
        <f t="shared" si="14"/>
        <v>Z1: C01</v>
      </c>
      <c r="O67" t="str">
        <f t="shared" si="15"/>
        <v>C</v>
      </c>
      <c r="P67">
        <f t="shared" si="16"/>
        <v>1</v>
      </c>
      <c r="Q67" t="str">
        <f t="shared" si="17"/>
        <v>C01</v>
      </c>
    </row>
    <row r="68" spans="1:17">
      <c r="A68" t="s">
        <v>803</v>
      </c>
      <c r="B68" t="s">
        <v>722</v>
      </c>
      <c r="C68" t="s">
        <v>804</v>
      </c>
      <c r="D68">
        <v>1</v>
      </c>
      <c r="E68" t="s">
        <v>729</v>
      </c>
      <c r="F68">
        <v>4</v>
      </c>
      <c r="G68">
        <v>2</v>
      </c>
      <c r="H68" t="str">
        <f t="shared" si="9"/>
        <v>WH-Z1-AisleD-Bay1-Level1</v>
      </c>
      <c r="I68" t="s">
        <v>805</v>
      </c>
      <c r="J68" t="str">
        <f t="shared" si="10"/>
        <v>SAMPLE: Grid D01</v>
      </c>
      <c r="K68">
        <f t="shared" si="11"/>
        <v>4</v>
      </c>
      <c r="L68">
        <f t="shared" si="12"/>
        <v>1</v>
      </c>
      <c r="M68">
        <f t="shared" si="13"/>
        <v>1</v>
      </c>
      <c r="N68" t="str">
        <f t="shared" si="14"/>
        <v>Z1: D01</v>
      </c>
      <c r="O68" t="str">
        <f t="shared" si="15"/>
        <v>D</v>
      </c>
      <c r="P68">
        <f t="shared" si="16"/>
        <v>1</v>
      </c>
      <c r="Q68" t="str">
        <f t="shared" si="17"/>
        <v>D01</v>
      </c>
    </row>
    <row r="69" spans="1:17">
      <c r="A69" t="s">
        <v>806</v>
      </c>
      <c r="B69" t="s">
        <v>722</v>
      </c>
      <c r="C69" t="s">
        <v>804</v>
      </c>
      <c r="D69">
        <v>1</v>
      </c>
      <c r="E69" t="s">
        <v>729</v>
      </c>
      <c r="F69">
        <v>4</v>
      </c>
      <c r="G69">
        <v>2</v>
      </c>
      <c r="H69" t="str">
        <f t="shared" si="9"/>
        <v>WH-Z1-AisleD-Bay1-Level2</v>
      </c>
      <c r="I69" t="s">
        <v>807</v>
      </c>
      <c r="J69" t="str">
        <f t="shared" si="10"/>
        <v>SAMPLE: Grid D02</v>
      </c>
      <c r="K69">
        <f t="shared" si="11"/>
        <v>4</v>
      </c>
      <c r="L69">
        <f t="shared" si="12"/>
        <v>1</v>
      </c>
      <c r="M69">
        <f t="shared" si="13"/>
        <v>2</v>
      </c>
      <c r="N69" t="str">
        <f t="shared" si="14"/>
        <v>Z1: D01</v>
      </c>
      <c r="O69" t="str">
        <f t="shared" si="15"/>
        <v>D</v>
      </c>
      <c r="P69">
        <f t="shared" si="16"/>
        <v>1</v>
      </c>
      <c r="Q69" t="str">
        <f t="shared" si="17"/>
        <v>D01</v>
      </c>
    </row>
    <row r="70" spans="1:17">
      <c r="A70" t="s">
        <v>808</v>
      </c>
      <c r="B70" t="s">
        <v>722</v>
      </c>
      <c r="C70" t="s">
        <v>804</v>
      </c>
      <c r="D70">
        <v>1</v>
      </c>
      <c r="E70" t="s">
        <v>729</v>
      </c>
      <c r="F70">
        <v>4</v>
      </c>
      <c r="G70">
        <v>2</v>
      </c>
      <c r="H70" t="str">
        <f t="shared" si="9"/>
        <v>WH-Z1-AisleD-Bay1-Level3</v>
      </c>
      <c r="I70" t="s">
        <v>809</v>
      </c>
      <c r="J70" t="str">
        <f t="shared" si="10"/>
        <v>SAMPLE: Grid D03</v>
      </c>
      <c r="K70">
        <f t="shared" si="11"/>
        <v>4</v>
      </c>
      <c r="L70">
        <f t="shared" si="12"/>
        <v>1</v>
      </c>
      <c r="M70">
        <f t="shared" si="13"/>
        <v>3</v>
      </c>
      <c r="N70" t="str">
        <f t="shared" si="14"/>
        <v>Z1: D01</v>
      </c>
      <c r="O70" t="str">
        <f t="shared" si="15"/>
        <v>D</v>
      </c>
      <c r="P70">
        <f t="shared" si="16"/>
        <v>1</v>
      </c>
      <c r="Q70" t="str">
        <f t="shared" si="17"/>
        <v>D01</v>
      </c>
    </row>
    <row r="71" spans="1:17">
      <c r="A71" t="s">
        <v>810</v>
      </c>
      <c r="B71" t="s">
        <v>722</v>
      </c>
      <c r="C71" t="s">
        <v>804</v>
      </c>
      <c r="D71">
        <v>1</v>
      </c>
      <c r="E71" t="s">
        <v>729</v>
      </c>
      <c r="F71">
        <v>4</v>
      </c>
      <c r="G71">
        <v>2</v>
      </c>
      <c r="H71" t="str">
        <f t="shared" si="9"/>
        <v>WH-Z1-AisleD-Bay1-Level4</v>
      </c>
      <c r="I71" t="s">
        <v>811</v>
      </c>
      <c r="J71" t="str">
        <f t="shared" si="10"/>
        <v>SAMPLE: Grid D04</v>
      </c>
      <c r="K71">
        <f t="shared" si="11"/>
        <v>4</v>
      </c>
      <c r="L71">
        <f t="shared" si="12"/>
        <v>1</v>
      </c>
      <c r="M71">
        <f t="shared" si="13"/>
        <v>4</v>
      </c>
      <c r="N71" t="str">
        <f t="shared" si="14"/>
        <v>Z1: D01</v>
      </c>
      <c r="O71" t="str">
        <f t="shared" si="15"/>
        <v>D</v>
      </c>
      <c r="P71">
        <f t="shared" si="16"/>
        <v>1</v>
      </c>
      <c r="Q71" t="str">
        <f t="shared" si="17"/>
        <v>D01</v>
      </c>
    </row>
    <row r="72" spans="1:17">
      <c r="A72" t="s">
        <v>812</v>
      </c>
      <c r="B72" t="s">
        <v>722</v>
      </c>
      <c r="C72" t="s">
        <v>804</v>
      </c>
      <c r="D72">
        <v>1</v>
      </c>
      <c r="E72" t="s">
        <v>729</v>
      </c>
      <c r="F72">
        <v>4</v>
      </c>
      <c r="G72">
        <v>2</v>
      </c>
      <c r="H72" t="str">
        <f t="shared" si="9"/>
        <v>WH-Z1-AisleD-Bay1-Level5</v>
      </c>
      <c r="I72" t="s">
        <v>813</v>
      </c>
      <c r="J72" t="str">
        <f t="shared" si="10"/>
        <v>SAMPLE: Grid D05</v>
      </c>
      <c r="K72">
        <f t="shared" si="11"/>
        <v>4</v>
      </c>
      <c r="L72">
        <f t="shared" si="12"/>
        <v>1</v>
      </c>
      <c r="M72">
        <f t="shared" si="13"/>
        <v>5</v>
      </c>
      <c r="N72" t="str">
        <f t="shared" si="14"/>
        <v>Z1: D01</v>
      </c>
      <c r="O72" t="str">
        <f t="shared" si="15"/>
        <v>D</v>
      </c>
      <c r="P72">
        <f t="shared" si="16"/>
        <v>1</v>
      </c>
      <c r="Q72" t="str">
        <f t="shared" si="17"/>
        <v>D01</v>
      </c>
    </row>
    <row r="73" spans="1:17">
      <c r="A73" t="s">
        <v>814</v>
      </c>
      <c r="B73" t="s">
        <v>722</v>
      </c>
      <c r="C73" t="s">
        <v>804</v>
      </c>
      <c r="D73">
        <v>1</v>
      </c>
      <c r="E73" t="s">
        <v>729</v>
      </c>
      <c r="F73">
        <v>4</v>
      </c>
      <c r="G73">
        <v>2</v>
      </c>
      <c r="H73" t="str">
        <f t="shared" si="9"/>
        <v>WH-Z1-AisleD-Bay1-Level6</v>
      </c>
      <c r="I73" t="s">
        <v>815</v>
      </c>
      <c r="J73" t="str">
        <f t="shared" si="10"/>
        <v>SAMPLE: Grid D06</v>
      </c>
      <c r="K73">
        <f t="shared" si="11"/>
        <v>4</v>
      </c>
      <c r="L73">
        <f t="shared" si="12"/>
        <v>1</v>
      </c>
      <c r="M73">
        <f t="shared" si="13"/>
        <v>6</v>
      </c>
      <c r="N73" t="str">
        <f t="shared" si="14"/>
        <v>Z1: D01</v>
      </c>
      <c r="O73" t="str">
        <f t="shared" si="15"/>
        <v>D</v>
      </c>
      <c r="P73">
        <f t="shared" si="16"/>
        <v>1</v>
      </c>
      <c r="Q73" t="str">
        <f t="shared" si="17"/>
        <v>D01</v>
      </c>
    </row>
    <row r="74" spans="1:17">
      <c r="A74" t="s">
        <v>816</v>
      </c>
      <c r="B74" t="s">
        <v>722</v>
      </c>
      <c r="C74" t="s">
        <v>804</v>
      </c>
      <c r="D74">
        <v>1</v>
      </c>
      <c r="E74" t="s">
        <v>729</v>
      </c>
      <c r="F74">
        <v>4</v>
      </c>
      <c r="G74">
        <v>2</v>
      </c>
      <c r="H74" t="str">
        <f t="shared" si="9"/>
        <v>WH-Z1-AisleD-Bay1-Level7</v>
      </c>
      <c r="I74" t="s">
        <v>817</v>
      </c>
      <c r="J74" t="str">
        <f t="shared" si="10"/>
        <v>SAMPLE: Grid D07</v>
      </c>
      <c r="K74">
        <f t="shared" si="11"/>
        <v>4</v>
      </c>
      <c r="L74">
        <f t="shared" si="12"/>
        <v>1</v>
      </c>
      <c r="M74">
        <f t="shared" si="13"/>
        <v>7</v>
      </c>
      <c r="N74" t="str">
        <f t="shared" si="14"/>
        <v>Z1: D01</v>
      </c>
      <c r="O74" t="str">
        <f t="shared" si="15"/>
        <v>D</v>
      </c>
      <c r="P74">
        <f t="shared" si="16"/>
        <v>1</v>
      </c>
      <c r="Q74" t="str">
        <f t="shared" si="17"/>
        <v>D01</v>
      </c>
    </row>
    <row r="75" spans="1:17">
      <c r="A75" t="s">
        <v>818</v>
      </c>
      <c r="B75" t="s">
        <v>722</v>
      </c>
      <c r="C75" t="s">
        <v>804</v>
      </c>
      <c r="D75">
        <v>1</v>
      </c>
      <c r="E75" t="s">
        <v>729</v>
      </c>
      <c r="F75">
        <v>4</v>
      </c>
      <c r="G75">
        <v>2</v>
      </c>
      <c r="H75" t="str">
        <f t="shared" si="9"/>
        <v>WH-Z1-AisleD-Bay1-Level8</v>
      </c>
      <c r="I75" t="s">
        <v>819</v>
      </c>
      <c r="J75" t="str">
        <f t="shared" si="10"/>
        <v>SAMPLE: Grid D08</v>
      </c>
      <c r="K75">
        <f t="shared" si="11"/>
        <v>4</v>
      </c>
      <c r="L75">
        <f t="shared" si="12"/>
        <v>1</v>
      </c>
      <c r="M75">
        <f t="shared" si="13"/>
        <v>8</v>
      </c>
      <c r="N75" t="str">
        <f t="shared" si="14"/>
        <v>Z1: D01</v>
      </c>
      <c r="O75" t="str">
        <f t="shared" si="15"/>
        <v>D</v>
      </c>
      <c r="P75">
        <f t="shared" si="16"/>
        <v>1</v>
      </c>
      <c r="Q75" t="str">
        <f t="shared" si="17"/>
        <v>D01</v>
      </c>
    </row>
    <row r="76" spans="1:17">
      <c r="A76" t="s">
        <v>820</v>
      </c>
      <c r="B76" t="s">
        <v>722</v>
      </c>
      <c r="C76" t="s">
        <v>804</v>
      </c>
      <c r="D76">
        <v>1</v>
      </c>
      <c r="E76" t="s">
        <v>729</v>
      </c>
      <c r="F76">
        <v>4</v>
      </c>
      <c r="G76">
        <v>2</v>
      </c>
      <c r="H76" t="str">
        <f t="shared" si="9"/>
        <v>WH-Z1-AisleD-Bay1-Level9</v>
      </c>
      <c r="I76" t="s">
        <v>821</v>
      </c>
      <c r="J76" t="str">
        <f t="shared" si="10"/>
        <v>SAMPLE: Grid D09</v>
      </c>
      <c r="K76">
        <f t="shared" si="11"/>
        <v>4</v>
      </c>
      <c r="L76">
        <f t="shared" si="12"/>
        <v>1</v>
      </c>
      <c r="M76">
        <f t="shared" si="13"/>
        <v>9</v>
      </c>
      <c r="N76" t="str">
        <f t="shared" si="14"/>
        <v>Z1: D01</v>
      </c>
      <c r="O76" t="str">
        <f t="shared" si="15"/>
        <v>D</v>
      </c>
      <c r="P76">
        <f t="shared" si="16"/>
        <v>1</v>
      </c>
      <c r="Q76" t="str">
        <f t="shared" si="17"/>
        <v>D01</v>
      </c>
    </row>
    <row r="77" spans="1:17">
      <c r="A77" t="s">
        <v>822</v>
      </c>
      <c r="B77" t="s">
        <v>722</v>
      </c>
      <c r="C77" t="s">
        <v>804</v>
      </c>
      <c r="D77">
        <v>1</v>
      </c>
      <c r="E77" t="s">
        <v>729</v>
      </c>
      <c r="F77">
        <v>4</v>
      </c>
      <c r="G77">
        <v>2</v>
      </c>
      <c r="H77" t="str">
        <f t="shared" si="9"/>
        <v>WH-Z1-AisleD-Bay1-Level10</v>
      </c>
      <c r="I77" t="s">
        <v>823</v>
      </c>
      <c r="J77" t="str">
        <f t="shared" si="10"/>
        <v>SAMPLE: Grid D10</v>
      </c>
      <c r="K77">
        <f t="shared" si="11"/>
        <v>4</v>
      </c>
      <c r="L77">
        <f t="shared" si="12"/>
        <v>1</v>
      </c>
      <c r="M77">
        <f t="shared" si="13"/>
        <v>10</v>
      </c>
      <c r="N77" t="str">
        <f t="shared" si="14"/>
        <v>Z1: D01</v>
      </c>
      <c r="O77" t="str">
        <f t="shared" si="15"/>
        <v>D</v>
      </c>
      <c r="P77">
        <f t="shared" si="16"/>
        <v>1</v>
      </c>
      <c r="Q77" t="str">
        <f t="shared" si="17"/>
        <v>D01</v>
      </c>
    </row>
    <row r="78" spans="1:17">
      <c r="A78" t="s">
        <v>824</v>
      </c>
      <c r="B78" t="s">
        <v>722</v>
      </c>
      <c r="C78" t="s">
        <v>804</v>
      </c>
      <c r="D78">
        <v>1</v>
      </c>
      <c r="E78" t="s">
        <v>729</v>
      </c>
      <c r="F78">
        <v>4</v>
      </c>
      <c r="G78">
        <v>2</v>
      </c>
      <c r="H78" t="str">
        <f t="shared" si="9"/>
        <v>WH-Z1-AisleD-Bay1-Level11</v>
      </c>
      <c r="I78" t="s">
        <v>825</v>
      </c>
      <c r="J78" t="str">
        <f t="shared" si="10"/>
        <v>SAMPLE: Grid D11</v>
      </c>
      <c r="K78">
        <f t="shared" si="11"/>
        <v>4</v>
      </c>
      <c r="L78">
        <f t="shared" si="12"/>
        <v>1</v>
      </c>
      <c r="M78">
        <f t="shared" si="13"/>
        <v>11</v>
      </c>
      <c r="N78" t="str">
        <f t="shared" si="14"/>
        <v>Z1: D01</v>
      </c>
      <c r="O78" t="str">
        <f t="shared" si="15"/>
        <v>D</v>
      </c>
      <c r="P78">
        <f t="shared" si="16"/>
        <v>1</v>
      </c>
      <c r="Q78" t="str">
        <f t="shared" si="17"/>
        <v>D01</v>
      </c>
    </row>
    <row r="79" spans="1:17">
      <c r="A79" t="s">
        <v>826</v>
      </c>
      <c r="B79" t="s">
        <v>722</v>
      </c>
      <c r="C79" t="s">
        <v>804</v>
      </c>
      <c r="D79">
        <v>1</v>
      </c>
      <c r="E79" t="s">
        <v>729</v>
      </c>
      <c r="F79">
        <v>4</v>
      </c>
      <c r="G79">
        <v>2</v>
      </c>
      <c r="H79" t="str">
        <f t="shared" si="9"/>
        <v>WH-Z1-AisleD-Bay1-Level12</v>
      </c>
      <c r="I79" t="s">
        <v>827</v>
      </c>
      <c r="J79" t="str">
        <f t="shared" si="10"/>
        <v>SAMPLE: Grid D12</v>
      </c>
      <c r="K79">
        <f t="shared" si="11"/>
        <v>4</v>
      </c>
      <c r="L79">
        <f t="shared" si="12"/>
        <v>1</v>
      </c>
      <c r="M79">
        <f t="shared" si="13"/>
        <v>12</v>
      </c>
      <c r="N79" t="str">
        <f t="shared" si="14"/>
        <v>Z1: D01</v>
      </c>
      <c r="O79" t="str">
        <f t="shared" si="15"/>
        <v>D</v>
      </c>
      <c r="P79">
        <f t="shared" si="16"/>
        <v>1</v>
      </c>
      <c r="Q79" t="str">
        <f t="shared" si="17"/>
        <v>D01</v>
      </c>
    </row>
    <row r="80" spans="1:17">
      <c r="A80" t="s">
        <v>828</v>
      </c>
      <c r="B80" t="s">
        <v>722</v>
      </c>
      <c r="C80" t="s">
        <v>804</v>
      </c>
      <c r="D80">
        <v>1</v>
      </c>
      <c r="E80" t="s">
        <v>729</v>
      </c>
      <c r="F80">
        <v>4</v>
      </c>
      <c r="G80">
        <v>2</v>
      </c>
      <c r="H80" t="str">
        <f t="shared" si="9"/>
        <v>WH-Z1-AisleD-Bay1-Level13</v>
      </c>
      <c r="I80" t="s">
        <v>829</v>
      </c>
      <c r="J80" t="str">
        <f t="shared" si="10"/>
        <v>SAMPLE: Grid D13</v>
      </c>
      <c r="K80">
        <f t="shared" si="11"/>
        <v>4</v>
      </c>
      <c r="L80">
        <f t="shared" si="12"/>
        <v>1</v>
      </c>
      <c r="M80">
        <f t="shared" si="13"/>
        <v>13</v>
      </c>
      <c r="N80" t="str">
        <f t="shared" si="14"/>
        <v>Z1: D01</v>
      </c>
      <c r="O80" t="str">
        <f t="shared" si="15"/>
        <v>D</v>
      </c>
      <c r="P80">
        <f t="shared" si="16"/>
        <v>1</v>
      </c>
      <c r="Q80" t="str">
        <f t="shared" si="17"/>
        <v>D01</v>
      </c>
    </row>
    <row r="81" spans="1:17">
      <c r="A81" t="s">
        <v>830</v>
      </c>
      <c r="B81" t="s">
        <v>722</v>
      </c>
      <c r="C81" t="s">
        <v>804</v>
      </c>
      <c r="D81">
        <v>1</v>
      </c>
      <c r="E81" t="s">
        <v>729</v>
      </c>
      <c r="F81">
        <v>4</v>
      </c>
      <c r="G81">
        <v>2</v>
      </c>
      <c r="H81" t="str">
        <f t="shared" si="9"/>
        <v>WH-Z1-AisleD-Bay1-Level14</v>
      </c>
      <c r="I81" t="s">
        <v>831</v>
      </c>
      <c r="J81" t="str">
        <f t="shared" si="10"/>
        <v>SAMPLE: Grid D14</v>
      </c>
      <c r="K81">
        <f t="shared" si="11"/>
        <v>4</v>
      </c>
      <c r="L81">
        <f t="shared" si="12"/>
        <v>1</v>
      </c>
      <c r="M81">
        <f t="shared" si="13"/>
        <v>14</v>
      </c>
      <c r="N81" t="str">
        <f t="shared" si="14"/>
        <v>Z1: D01</v>
      </c>
      <c r="O81" t="str">
        <f t="shared" si="15"/>
        <v>D</v>
      </c>
      <c r="P81">
        <f t="shared" si="16"/>
        <v>1</v>
      </c>
      <c r="Q81" t="str">
        <f t="shared" si="17"/>
        <v>D01</v>
      </c>
    </row>
    <row r="82" spans="1:17">
      <c r="A82" t="s">
        <v>832</v>
      </c>
      <c r="B82" t="s">
        <v>722</v>
      </c>
      <c r="C82" t="s">
        <v>804</v>
      </c>
      <c r="D82">
        <v>1</v>
      </c>
      <c r="E82" t="s">
        <v>729</v>
      </c>
      <c r="F82">
        <v>4</v>
      </c>
      <c r="G82">
        <v>2</v>
      </c>
      <c r="H82" t="str">
        <f t="shared" si="9"/>
        <v>WH-Z1-AisleD-Bay1-Level15</v>
      </c>
      <c r="I82" t="s">
        <v>833</v>
      </c>
      <c r="J82" t="str">
        <f t="shared" si="10"/>
        <v>SAMPLE: Grid D15</v>
      </c>
      <c r="K82">
        <f t="shared" si="11"/>
        <v>4</v>
      </c>
      <c r="L82">
        <f t="shared" si="12"/>
        <v>1</v>
      </c>
      <c r="M82">
        <f t="shared" si="13"/>
        <v>15</v>
      </c>
      <c r="N82" t="str">
        <f t="shared" si="14"/>
        <v>Z1: D01</v>
      </c>
      <c r="O82" t="str">
        <f t="shared" si="15"/>
        <v>D</v>
      </c>
      <c r="P82">
        <f t="shared" si="16"/>
        <v>1</v>
      </c>
      <c r="Q82" t="str">
        <f t="shared" si="17"/>
        <v>D01</v>
      </c>
    </row>
    <row r="83" spans="1:17">
      <c r="A83" t="s">
        <v>834</v>
      </c>
      <c r="B83" t="s">
        <v>722</v>
      </c>
      <c r="C83" t="s">
        <v>804</v>
      </c>
      <c r="D83">
        <v>1</v>
      </c>
      <c r="E83" t="s">
        <v>729</v>
      </c>
      <c r="F83">
        <v>4</v>
      </c>
      <c r="G83">
        <v>2</v>
      </c>
      <c r="H83" t="str">
        <f t="shared" si="9"/>
        <v>WH-Z1-AisleD-Bay1-Level16</v>
      </c>
      <c r="I83" t="s">
        <v>835</v>
      </c>
      <c r="J83" t="str">
        <f t="shared" si="10"/>
        <v>SAMPLE: Grid D16</v>
      </c>
      <c r="K83">
        <f t="shared" si="11"/>
        <v>4</v>
      </c>
      <c r="L83">
        <f t="shared" si="12"/>
        <v>1</v>
      </c>
      <c r="M83">
        <f t="shared" si="13"/>
        <v>16</v>
      </c>
      <c r="N83" t="str">
        <f t="shared" si="14"/>
        <v>Z1: D01</v>
      </c>
      <c r="O83" t="str">
        <f t="shared" si="15"/>
        <v>D</v>
      </c>
      <c r="P83">
        <f t="shared" si="16"/>
        <v>1</v>
      </c>
      <c r="Q83" t="str">
        <f t="shared" si="17"/>
        <v>D01</v>
      </c>
    </row>
    <row r="84" spans="1:17">
      <c r="A84" t="s">
        <v>836</v>
      </c>
      <c r="B84" t="s">
        <v>722</v>
      </c>
      <c r="C84" t="s">
        <v>804</v>
      </c>
      <c r="D84">
        <v>1</v>
      </c>
      <c r="E84" t="s">
        <v>729</v>
      </c>
      <c r="F84">
        <v>4</v>
      </c>
      <c r="G84">
        <v>2</v>
      </c>
      <c r="H84" t="str">
        <f t="shared" si="9"/>
        <v>WH-Z1-AisleD-Bay1-Level17</v>
      </c>
      <c r="I84" t="s">
        <v>837</v>
      </c>
      <c r="J84" t="str">
        <f t="shared" si="10"/>
        <v>SAMPLE: Grid D17</v>
      </c>
      <c r="K84">
        <f t="shared" si="11"/>
        <v>4</v>
      </c>
      <c r="L84">
        <f t="shared" si="12"/>
        <v>1</v>
      </c>
      <c r="M84">
        <f t="shared" si="13"/>
        <v>17</v>
      </c>
      <c r="N84" t="str">
        <f t="shared" si="14"/>
        <v>Z1: D01</v>
      </c>
      <c r="O84" t="str">
        <f t="shared" si="15"/>
        <v>D</v>
      </c>
      <c r="P84">
        <f t="shared" si="16"/>
        <v>1</v>
      </c>
      <c r="Q84" t="str">
        <f t="shared" si="17"/>
        <v>D01</v>
      </c>
    </row>
    <row r="85" spans="1:17">
      <c r="A85" t="s">
        <v>838</v>
      </c>
      <c r="B85" t="s">
        <v>722</v>
      </c>
      <c r="C85" t="s">
        <v>804</v>
      </c>
      <c r="D85">
        <v>1</v>
      </c>
      <c r="E85" t="s">
        <v>729</v>
      </c>
      <c r="F85">
        <v>4</v>
      </c>
      <c r="G85">
        <v>2</v>
      </c>
      <c r="H85" t="str">
        <f t="shared" si="9"/>
        <v>WH-Z1-AisleD-Bay1-Level18</v>
      </c>
      <c r="I85" t="s">
        <v>839</v>
      </c>
      <c r="J85" t="str">
        <f t="shared" si="10"/>
        <v>SAMPLE: Grid D18</v>
      </c>
      <c r="K85">
        <f t="shared" si="11"/>
        <v>4</v>
      </c>
      <c r="L85">
        <f t="shared" si="12"/>
        <v>1</v>
      </c>
      <c r="M85">
        <f t="shared" si="13"/>
        <v>18</v>
      </c>
      <c r="N85" t="str">
        <f t="shared" si="14"/>
        <v>Z1: D01</v>
      </c>
      <c r="O85" t="str">
        <f t="shared" si="15"/>
        <v>D</v>
      </c>
      <c r="P85">
        <f t="shared" si="16"/>
        <v>1</v>
      </c>
      <c r="Q85" t="str">
        <f t="shared" si="17"/>
        <v>D01</v>
      </c>
    </row>
    <row r="86" spans="1:17">
      <c r="A86" t="s">
        <v>840</v>
      </c>
      <c r="B86" t="s">
        <v>722</v>
      </c>
      <c r="C86" t="s">
        <v>804</v>
      </c>
      <c r="D86">
        <v>1</v>
      </c>
      <c r="E86" t="s">
        <v>729</v>
      </c>
      <c r="F86">
        <v>4</v>
      </c>
      <c r="G86">
        <v>2</v>
      </c>
      <c r="H86" t="str">
        <f t="shared" si="9"/>
        <v>WH-Z1-AisleD-Bay1-Level19</v>
      </c>
      <c r="I86" t="s">
        <v>841</v>
      </c>
      <c r="J86" t="str">
        <f t="shared" si="10"/>
        <v>SAMPLE: Grid D19</v>
      </c>
      <c r="K86">
        <f t="shared" si="11"/>
        <v>4</v>
      </c>
      <c r="L86">
        <f t="shared" si="12"/>
        <v>1</v>
      </c>
      <c r="M86">
        <f t="shared" si="13"/>
        <v>19</v>
      </c>
      <c r="N86" t="str">
        <f t="shared" si="14"/>
        <v>Z1: D01</v>
      </c>
      <c r="O86" t="str">
        <f t="shared" si="15"/>
        <v>D</v>
      </c>
      <c r="P86">
        <f t="shared" si="16"/>
        <v>1</v>
      </c>
      <c r="Q86" t="str">
        <f t="shared" si="17"/>
        <v>D01</v>
      </c>
    </row>
    <row r="87" spans="1:17">
      <c r="A87" t="s">
        <v>842</v>
      </c>
      <c r="B87" t="s">
        <v>722</v>
      </c>
      <c r="C87" t="s">
        <v>804</v>
      </c>
      <c r="D87">
        <v>1</v>
      </c>
      <c r="E87" t="s">
        <v>729</v>
      </c>
      <c r="F87">
        <v>4</v>
      </c>
      <c r="G87">
        <v>2</v>
      </c>
      <c r="H87" t="str">
        <f t="shared" si="9"/>
        <v>WH-Z1-AisleD-Bay1-Level20</v>
      </c>
      <c r="I87" t="s">
        <v>843</v>
      </c>
      <c r="J87" t="str">
        <f t="shared" si="10"/>
        <v>SAMPLE: Grid D20</v>
      </c>
      <c r="K87">
        <f t="shared" si="11"/>
        <v>4</v>
      </c>
      <c r="L87">
        <f t="shared" si="12"/>
        <v>1</v>
      </c>
      <c r="M87">
        <f t="shared" si="13"/>
        <v>20</v>
      </c>
      <c r="N87" t="str">
        <f t="shared" si="14"/>
        <v>Z1: D01</v>
      </c>
      <c r="O87" t="str">
        <f t="shared" si="15"/>
        <v>D</v>
      </c>
      <c r="P87">
        <f t="shared" si="16"/>
        <v>1</v>
      </c>
      <c r="Q87" t="str">
        <f t="shared" si="17"/>
        <v>D01</v>
      </c>
    </row>
    <row r="88" spans="1:17">
      <c r="A88" t="s">
        <v>844</v>
      </c>
      <c r="B88" t="s">
        <v>722</v>
      </c>
      <c r="C88" t="s">
        <v>845</v>
      </c>
      <c r="D88">
        <v>1</v>
      </c>
      <c r="E88" t="s">
        <v>729</v>
      </c>
      <c r="F88">
        <v>4</v>
      </c>
      <c r="G88">
        <v>2</v>
      </c>
      <c r="H88" t="str">
        <f t="shared" si="9"/>
        <v>WH-Z1-AisleE-Bay1-Level1</v>
      </c>
      <c r="I88" t="s">
        <v>846</v>
      </c>
      <c r="J88" t="str">
        <f t="shared" si="10"/>
        <v>SAMPLE: Grid E01</v>
      </c>
      <c r="K88">
        <f t="shared" si="11"/>
        <v>5</v>
      </c>
      <c r="L88">
        <f t="shared" si="12"/>
        <v>1</v>
      </c>
      <c r="M88">
        <f t="shared" si="13"/>
        <v>1</v>
      </c>
      <c r="N88" t="str">
        <f t="shared" si="14"/>
        <v>Z1: E01</v>
      </c>
      <c r="O88" t="str">
        <f t="shared" si="15"/>
        <v>E</v>
      </c>
      <c r="P88">
        <f t="shared" si="16"/>
        <v>1</v>
      </c>
      <c r="Q88" t="str">
        <f t="shared" si="17"/>
        <v>E01</v>
      </c>
    </row>
    <row r="89" spans="1:17">
      <c r="A89" t="s">
        <v>847</v>
      </c>
      <c r="B89" t="s">
        <v>722</v>
      </c>
      <c r="C89" t="s">
        <v>845</v>
      </c>
      <c r="D89">
        <v>1</v>
      </c>
      <c r="E89" t="s">
        <v>729</v>
      </c>
      <c r="F89">
        <v>4</v>
      </c>
      <c r="G89">
        <v>2</v>
      </c>
      <c r="H89" t="str">
        <f t="shared" si="9"/>
        <v>WH-Z1-AisleE-Bay1-Level2</v>
      </c>
      <c r="I89" t="s">
        <v>848</v>
      </c>
      <c r="J89" t="str">
        <f t="shared" si="10"/>
        <v>SAMPLE: Grid E02</v>
      </c>
      <c r="K89">
        <f t="shared" si="11"/>
        <v>5</v>
      </c>
      <c r="L89">
        <f t="shared" si="12"/>
        <v>1</v>
      </c>
      <c r="M89">
        <f t="shared" si="13"/>
        <v>2</v>
      </c>
      <c r="N89" t="str">
        <f t="shared" si="14"/>
        <v>Z1: E01</v>
      </c>
      <c r="O89" t="str">
        <f t="shared" si="15"/>
        <v>E</v>
      </c>
      <c r="P89">
        <f t="shared" si="16"/>
        <v>1</v>
      </c>
      <c r="Q89" t="str">
        <f t="shared" si="17"/>
        <v>E01</v>
      </c>
    </row>
    <row r="90" spans="1:17">
      <c r="A90" t="s">
        <v>849</v>
      </c>
      <c r="B90" t="s">
        <v>722</v>
      </c>
      <c r="C90" t="s">
        <v>845</v>
      </c>
      <c r="D90">
        <v>1</v>
      </c>
      <c r="E90" t="s">
        <v>729</v>
      </c>
      <c r="F90">
        <v>4</v>
      </c>
      <c r="G90">
        <v>2</v>
      </c>
      <c r="H90" t="str">
        <f t="shared" si="9"/>
        <v>WH-Z1-AisleE-Bay1-Level3</v>
      </c>
      <c r="I90" t="s">
        <v>850</v>
      </c>
      <c r="J90" t="str">
        <f t="shared" si="10"/>
        <v>SAMPLE: Grid E03</v>
      </c>
      <c r="K90">
        <f t="shared" si="11"/>
        <v>5</v>
      </c>
      <c r="L90">
        <f t="shared" si="12"/>
        <v>1</v>
      </c>
      <c r="M90">
        <f t="shared" si="13"/>
        <v>3</v>
      </c>
      <c r="N90" t="str">
        <f t="shared" si="14"/>
        <v>Z1: E01</v>
      </c>
      <c r="O90" t="str">
        <f t="shared" si="15"/>
        <v>E</v>
      </c>
      <c r="P90">
        <f t="shared" si="16"/>
        <v>1</v>
      </c>
      <c r="Q90" t="str">
        <f t="shared" si="17"/>
        <v>E01</v>
      </c>
    </row>
    <row r="91" spans="1:17">
      <c r="A91" t="s">
        <v>851</v>
      </c>
      <c r="B91" t="s">
        <v>722</v>
      </c>
      <c r="C91" t="s">
        <v>845</v>
      </c>
      <c r="D91">
        <v>1</v>
      </c>
      <c r="E91" t="s">
        <v>729</v>
      </c>
      <c r="F91">
        <v>4</v>
      </c>
      <c r="G91">
        <v>2</v>
      </c>
      <c r="H91" t="str">
        <f t="shared" si="9"/>
        <v>WH-Z1-AisleE-Bay1-Level4</v>
      </c>
      <c r="I91" t="s">
        <v>852</v>
      </c>
      <c r="J91" t="str">
        <f t="shared" si="10"/>
        <v>SAMPLE: Grid E04</v>
      </c>
      <c r="K91">
        <f t="shared" si="11"/>
        <v>5</v>
      </c>
      <c r="L91">
        <f t="shared" si="12"/>
        <v>1</v>
      </c>
      <c r="M91">
        <f t="shared" si="13"/>
        <v>4</v>
      </c>
      <c r="N91" t="str">
        <f t="shared" si="14"/>
        <v>Z1: E01</v>
      </c>
      <c r="O91" t="str">
        <f t="shared" si="15"/>
        <v>E</v>
      </c>
      <c r="P91">
        <f t="shared" si="16"/>
        <v>1</v>
      </c>
      <c r="Q91" t="str">
        <f t="shared" si="17"/>
        <v>E01</v>
      </c>
    </row>
    <row r="92" spans="1:17">
      <c r="A92" t="s">
        <v>853</v>
      </c>
      <c r="B92" t="s">
        <v>722</v>
      </c>
      <c r="C92" t="s">
        <v>845</v>
      </c>
      <c r="D92">
        <v>1</v>
      </c>
      <c r="E92" t="s">
        <v>729</v>
      </c>
      <c r="F92">
        <v>4</v>
      </c>
      <c r="G92">
        <v>2</v>
      </c>
      <c r="H92" t="str">
        <f t="shared" si="9"/>
        <v>WH-Z1-AisleE-Bay1-Level5</v>
      </c>
      <c r="I92" t="s">
        <v>854</v>
      </c>
      <c r="J92" t="str">
        <f t="shared" si="10"/>
        <v>SAMPLE: Grid E05</v>
      </c>
      <c r="K92">
        <f t="shared" si="11"/>
        <v>5</v>
      </c>
      <c r="L92">
        <f t="shared" si="12"/>
        <v>1</v>
      </c>
      <c r="M92">
        <f t="shared" si="13"/>
        <v>5</v>
      </c>
      <c r="N92" t="str">
        <f t="shared" si="14"/>
        <v>Z1: E01</v>
      </c>
      <c r="O92" t="str">
        <f t="shared" si="15"/>
        <v>E</v>
      </c>
      <c r="P92">
        <f t="shared" si="16"/>
        <v>1</v>
      </c>
      <c r="Q92" t="str">
        <f t="shared" si="17"/>
        <v>E01</v>
      </c>
    </row>
    <row r="93" spans="1:17">
      <c r="A93" t="s">
        <v>855</v>
      </c>
      <c r="B93" t="s">
        <v>722</v>
      </c>
      <c r="C93" t="s">
        <v>845</v>
      </c>
      <c r="D93">
        <v>1</v>
      </c>
      <c r="E93" t="s">
        <v>729</v>
      </c>
      <c r="F93">
        <v>4</v>
      </c>
      <c r="G93">
        <v>2</v>
      </c>
      <c r="H93" t="str">
        <f t="shared" si="9"/>
        <v>WH-Z1-AisleE-Bay1-Level6</v>
      </c>
      <c r="I93" t="s">
        <v>856</v>
      </c>
      <c r="J93" t="str">
        <f t="shared" si="10"/>
        <v>SAMPLE: Grid E06</v>
      </c>
      <c r="K93">
        <f t="shared" si="11"/>
        <v>5</v>
      </c>
      <c r="L93">
        <f t="shared" si="12"/>
        <v>1</v>
      </c>
      <c r="M93">
        <f t="shared" si="13"/>
        <v>6</v>
      </c>
      <c r="N93" t="str">
        <f t="shared" si="14"/>
        <v>Z1: E01</v>
      </c>
      <c r="O93" t="str">
        <f t="shared" si="15"/>
        <v>E</v>
      </c>
      <c r="P93">
        <f t="shared" si="16"/>
        <v>1</v>
      </c>
      <c r="Q93" t="str">
        <f t="shared" si="17"/>
        <v>E01</v>
      </c>
    </row>
    <row r="94" spans="1:17">
      <c r="A94" t="s">
        <v>857</v>
      </c>
      <c r="B94" t="s">
        <v>722</v>
      </c>
      <c r="C94" t="s">
        <v>845</v>
      </c>
      <c r="D94">
        <v>1</v>
      </c>
      <c r="E94" t="s">
        <v>729</v>
      </c>
      <c r="F94">
        <v>4</v>
      </c>
      <c r="G94">
        <v>2</v>
      </c>
      <c r="H94" t="str">
        <f t="shared" si="9"/>
        <v>WH-Z1-AisleE-Bay1-Level7</v>
      </c>
      <c r="I94" t="s">
        <v>858</v>
      </c>
      <c r="J94" t="str">
        <f t="shared" si="10"/>
        <v>SAMPLE: Grid E07</v>
      </c>
      <c r="K94">
        <f t="shared" si="11"/>
        <v>5</v>
      </c>
      <c r="L94">
        <f t="shared" si="12"/>
        <v>1</v>
      </c>
      <c r="M94">
        <f t="shared" si="13"/>
        <v>7</v>
      </c>
      <c r="N94" t="str">
        <f t="shared" si="14"/>
        <v>Z1: E01</v>
      </c>
      <c r="O94" t="str">
        <f t="shared" si="15"/>
        <v>E</v>
      </c>
      <c r="P94">
        <f t="shared" si="16"/>
        <v>1</v>
      </c>
      <c r="Q94" t="str">
        <f t="shared" si="17"/>
        <v>E01</v>
      </c>
    </row>
    <row r="95" spans="1:17">
      <c r="A95" t="s">
        <v>859</v>
      </c>
      <c r="B95" t="s">
        <v>722</v>
      </c>
      <c r="C95" t="s">
        <v>845</v>
      </c>
      <c r="D95">
        <v>1</v>
      </c>
      <c r="E95" t="s">
        <v>729</v>
      </c>
      <c r="F95">
        <v>4</v>
      </c>
      <c r="G95">
        <v>2</v>
      </c>
      <c r="H95" t="str">
        <f t="shared" si="9"/>
        <v>WH-Z1-AisleE-Bay1-Level8</v>
      </c>
      <c r="I95" t="s">
        <v>860</v>
      </c>
      <c r="J95" t="str">
        <f t="shared" si="10"/>
        <v>SAMPLE: Grid E08</v>
      </c>
      <c r="K95">
        <f t="shared" si="11"/>
        <v>5</v>
      </c>
      <c r="L95">
        <f t="shared" si="12"/>
        <v>1</v>
      </c>
      <c r="M95">
        <f t="shared" si="13"/>
        <v>8</v>
      </c>
      <c r="N95" t="str">
        <f t="shared" si="14"/>
        <v>Z1: E01</v>
      </c>
      <c r="O95" t="str">
        <f t="shared" si="15"/>
        <v>E</v>
      </c>
      <c r="P95">
        <f t="shared" si="16"/>
        <v>1</v>
      </c>
      <c r="Q95" t="str">
        <f t="shared" si="17"/>
        <v>E01</v>
      </c>
    </row>
    <row r="96" spans="1:17">
      <c r="A96" t="s">
        <v>861</v>
      </c>
      <c r="B96" t="s">
        <v>722</v>
      </c>
      <c r="C96" t="s">
        <v>845</v>
      </c>
      <c r="D96">
        <v>1</v>
      </c>
      <c r="E96" t="s">
        <v>729</v>
      </c>
      <c r="F96">
        <v>4</v>
      </c>
      <c r="G96">
        <v>2</v>
      </c>
      <c r="H96" t="str">
        <f t="shared" si="9"/>
        <v>WH-Z1-AisleE-Bay1-Level9</v>
      </c>
      <c r="I96" t="s">
        <v>862</v>
      </c>
      <c r="J96" t="str">
        <f t="shared" si="10"/>
        <v>SAMPLE: Grid E09</v>
      </c>
      <c r="K96">
        <f t="shared" si="11"/>
        <v>5</v>
      </c>
      <c r="L96">
        <f t="shared" si="12"/>
        <v>1</v>
      </c>
      <c r="M96">
        <f t="shared" si="13"/>
        <v>9</v>
      </c>
      <c r="N96" t="str">
        <f t="shared" si="14"/>
        <v>Z1: E01</v>
      </c>
      <c r="O96" t="str">
        <f t="shared" si="15"/>
        <v>E</v>
      </c>
      <c r="P96">
        <f t="shared" si="16"/>
        <v>1</v>
      </c>
      <c r="Q96" t="str">
        <f t="shared" si="17"/>
        <v>E01</v>
      </c>
    </row>
    <row r="97" spans="1:17">
      <c r="A97" t="s">
        <v>863</v>
      </c>
      <c r="B97" t="s">
        <v>722</v>
      </c>
      <c r="C97" t="s">
        <v>845</v>
      </c>
      <c r="D97">
        <v>1</v>
      </c>
      <c r="E97" t="s">
        <v>729</v>
      </c>
      <c r="F97">
        <v>4</v>
      </c>
      <c r="G97">
        <v>2</v>
      </c>
      <c r="H97" t="str">
        <f t="shared" si="9"/>
        <v>WH-Z1-AisleE-Bay1-Level10</v>
      </c>
      <c r="I97" t="s">
        <v>864</v>
      </c>
      <c r="J97" t="str">
        <f t="shared" si="10"/>
        <v>SAMPLE: Grid E10</v>
      </c>
      <c r="K97">
        <f t="shared" si="11"/>
        <v>5</v>
      </c>
      <c r="L97">
        <f t="shared" si="12"/>
        <v>1</v>
      </c>
      <c r="M97">
        <f t="shared" si="13"/>
        <v>10</v>
      </c>
      <c r="N97" t="str">
        <f t="shared" si="14"/>
        <v>Z1: E01</v>
      </c>
      <c r="O97" t="str">
        <f t="shared" si="15"/>
        <v>E</v>
      </c>
      <c r="P97">
        <f t="shared" si="16"/>
        <v>1</v>
      </c>
      <c r="Q97" t="str">
        <f t="shared" si="17"/>
        <v>E01</v>
      </c>
    </row>
    <row r="98" spans="1:17">
      <c r="A98" t="s">
        <v>865</v>
      </c>
      <c r="B98" t="s">
        <v>722</v>
      </c>
      <c r="C98" t="s">
        <v>845</v>
      </c>
      <c r="D98">
        <v>1</v>
      </c>
      <c r="E98" t="s">
        <v>729</v>
      </c>
      <c r="F98">
        <v>4</v>
      </c>
      <c r="G98">
        <v>2</v>
      </c>
      <c r="H98" t="str">
        <f t="shared" si="9"/>
        <v>WH-Z1-AisleE-Bay1-Level11</v>
      </c>
      <c r="I98" t="s">
        <v>866</v>
      </c>
      <c r="J98" t="str">
        <f t="shared" si="10"/>
        <v>SAMPLE: Grid E11</v>
      </c>
      <c r="K98">
        <f t="shared" si="11"/>
        <v>5</v>
      </c>
      <c r="L98">
        <f t="shared" si="12"/>
        <v>1</v>
      </c>
      <c r="M98">
        <f t="shared" si="13"/>
        <v>11</v>
      </c>
      <c r="N98" t="str">
        <f t="shared" si="14"/>
        <v>Z1: E01</v>
      </c>
      <c r="O98" t="str">
        <f t="shared" si="15"/>
        <v>E</v>
      </c>
      <c r="P98">
        <f t="shared" si="16"/>
        <v>1</v>
      </c>
      <c r="Q98" t="str">
        <f t="shared" si="17"/>
        <v>E01</v>
      </c>
    </row>
    <row r="99" spans="1:17">
      <c r="A99" t="s">
        <v>867</v>
      </c>
      <c r="B99" t="s">
        <v>722</v>
      </c>
      <c r="C99" t="s">
        <v>845</v>
      </c>
      <c r="D99">
        <v>1</v>
      </c>
      <c r="E99" t="s">
        <v>729</v>
      </c>
      <c r="F99">
        <v>4</v>
      </c>
      <c r="G99">
        <v>2</v>
      </c>
      <c r="H99" t="str">
        <f t="shared" si="9"/>
        <v>WH-Z1-AisleE-Bay1-Level12</v>
      </c>
      <c r="I99" t="s">
        <v>868</v>
      </c>
      <c r="J99" t="str">
        <f t="shared" si="10"/>
        <v>SAMPLE: Grid E12</v>
      </c>
      <c r="K99">
        <f t="shared" si="11"/>
        <v>5</v>
      </c>
      <c r="L99">
        <f t="shared" si="12"/>
        <v>1</v>
      </c>
      <c r="M99">
        <f t="shared" si="13"/>
        <v>12</v>
      </c>
      <c r="N99" t="str">
        <f t="shared" si="14"/>
        <v>Z1: E01</v>
      </c>
      <c r="O99" t="str">
        <f t="shared" si="15"/>
        <v>E</v>
      </c>
      <c r="P99">
        <f t="shared" si="16"/>
        <v>1</v>
      </c>
      <c r="Q99" t="str">
        <f t="shared" si="17"/>
        <v>E01</v>
      </c>
    </row>
    <row r="100" spans="1:17">
      <c r="A100" t="s">
        <v>869</v>
      </c>
      <c r="B100" t="s">
        <v>722</v>
      </c>
      <c r="C100" t="s">
        <v>845</v>
      </c>
      <c r="D100">
        <v>1</v>
      </c>
      <c r="E100" t="s">
        <v>729</v>
      </c>
      <c r="F100">
        <v>4</v>
      </c>
      <c r="G100">
        <v>2</v>
      </c>
      <c r="H100" t="str">
        <f t="shared" si="9"/>
        <v>WH-Z1-AisleE-Bay1-Level13</v>
      </c>
      <c r="I100" t="s">
        <v>870</v>
      </c>
      <c r="J100" t="str">
        <f t="shared" si="10"/>
        <v>SAMPLE: Grid E13</v>
      </c>
      <c r="K100">
        <f t="shared" si="11"/>
        <v>5</v>
      </c>
      <c r="L100">
        <f t="shared" si="12"/>
        <v>1</v>
      </c>
      <c r="M100">
        <f t="shared" si="13"/>
        <v>13</v>
      </c>
      <c r="N100" t="str">
        <f t="shared" si="14"/>
        <v>Z1: E01</v>
      </c>
      <c r="O100" t="str">
        <f t="shared" si="15"/>
        <v>E</v>
      </c>
      <c r="P100">
        <f t="shared" si="16"/>
        <v>1</v>
      </c>
      <c r="Q100" t="str">
        <f t="shared" si="17"/>
        <v>E01</v>
      </c>
    </row>
    <row r="101" spans="1:17">
      <c r="A101" t="s">
        <v>871</v>
      </c>
      <c r="B101" t="s">
        <v>722</v>
      </c>
      <c r="C101" t="s">
        <v>845</v>
      </c>
      <c r="D101">
        <v>1</v>
      </c>
      <c r="E101" t="s">
        <v>729</v>
      </c>
      <c r="F101">
        <v>4</v>
      </c>
      <c r="G101">
        <v>2</v>
      </c>
      <c r="H101" t="str">
        <f t="shared" si="9"/>
        <v>WH-Z1-AisleE-Bay1-Level14</v>
      </c>
      <c r="I101" t="s">
        <v>872</v>
      </c>
      <c r="J101" t="str">
        <f t="shared" si="10"/>
        <v>SAMPLE: Grid E14</v>
      </c>
      <c r="K101">
        <f t="shared" si="11"/>
        <v>5</v>
      </c>
      <c r="L101">
        <f t="shared" si="12"/>
        <v>1</v>
      </c>
      <c r="M101">
        <f t="shared" si="13"/>
        <v>14</v>
      </c>
      <c r="N101" t="str">
        <f t="shared" si="14"/>
        <v>Z1: E01</v>
      </c>
      <c r="O101" t="str">
        <f t="shared" si="15"/>
        <v>E</v>
      </c>
      <c r="P101">
        <f t="shared" si="16"/>
        <v>1</v>
      </c>
      <c r="Q101" t="str">
        <f t="shared" si="17"/>
        <v>E01</v>
      </c>
    </row>
    <row r="102" spans="1:17">
      <c r="A102" t="s">
        <v>873</v>
      </c>
      <c r="B102" t="s">
        <v>722</v>
      </c>
      <c r="C102" t="s">
        <v>845</v>
      </c>
      <c r="D102">
        <v>1</v>
      </c>
      <c r="E102" t="s">
        <v>729</v>
      </c>
      <c r="F102">
        <v>4</v>
      </c>
      <c r="G102">
        <v>2</v>
      </c>
      <c r="H102" t="str">
        <f t="shared" si="9"/>
        <v>WH-Z1-AisleE-Bay1-Level15</v>
      </c>
      <c r="I102" t="s">
        <v>874</v>
      </c>
      <c r="J102" t="str">
        <f t="shared" si="10"/>
        <v>SAMPLE: Grid E15</v>
      </c>
      <c r="K102">
        <f t="shared" si="11"/>
        <v>5</v>
      </c>
      <c r="L102">
        <f t="shared" si="12"/>
        <v>1</v>
      </c>
      <c r="M102">
        <f t="shared" si="13"/>
        <v>15</v>
      </c>
      <c r="N102" t="str">
        <f t="shared" si="14"/>
        <v>Z1: E01</v>
      </c>
      <c r="O102" t="str">
        <f t="shared" si="15"/>
        <v>E</v>
      </c>
      <c r="P102">
        <f t="shared" si="16"/>
        <v>1</v>
      </c>
      <c r="Q102" t="str">
        <f t="shared" si="17"/>
        <v>E01</v>
      </c>
    </row>
    <row r="103" spans="1:17">
      <c r="A103" t="s">
        <v>875</v>
      </c>
      <c r="B103" t="s">
        <v>722</v>
      </c>
      <c r="C103" t="s">
        <v>845</v>
      </c>
      <c r="D103">
        <v>1</v>
      </c>
      <c r="E103" t="s">
        <v>729</v>
      </c>
      <c r="F103">
        <v>4</v>
      </c>
      <c r="G103">
        <v>2</v>
      </c>
      <c r="H103" t="str">
        <f t="shared" si="9"/>
        <v>WH-Z1-AisleE-Bay1-Level16</v>
      </c>
      <c r="I103" t="s">
        <v>876</v>
      </c>
      <c r="J103" t="str">
        <f t="shared" si="10"/>
        <v>SAMPLE: Grid E16</v>
      </c>
      <c r="K103">
        <f t="shared" si="11"/>
        <v>5</v>
      </c>
      <c r="L103">
        <f t="shared" si="12"/>
        <v>1</v>
      </c>
      <c r="M103">
        <f t="shared" si="13"/>
        <v>16</v>
      </c>
      <c r="N103" t="str">
        <f t="shared" si="14"/>
        <v>Z1: E01</v>
      </c>
      <c r="O103" t="str">
        <f t="shared" si="15"/>
        <v>E</v>
      </c>
      <c r="P103">
        <f t="shared" si="16"/>
        <v>1</v>
      </c>
      <c r="Q103" t="str">
        <f t="shared" si="17"/>
        <v>E01</v>
      </c>
    </row>
    <row r="104" spans="1:17">
      <c r="A104" t="s">
        <v>877</v>
      </c>
      <c r="B104" t="s">
        <v>722</v>
      </c>
      <c r="C104" t="s">
        <v>845</v>
      </c>
      <c r="D104">
        <v>1</v>
      </c>
      <c r="E104" t="s">
        <v>729</v>
      </c>
      <c r="F104">
        <v>4</v>
      </c>
      <c r="G104">
        <v>2</v>
      </c>
      <c r="H104" t="str">
        <f t="shared" si="9"/>
        <v>WH-Z1-AisleE-Bay1-Level17</v>
      </c>
      <c r="I104" t="s">
        <v>878</v>
      </c>
      <c r="J104" t="str">
        <f t="shared" si="10"/>
        <v>SAMPLE: Grid E17</v>
      </c>
      <c r="K104">
        <f t="shared" si="11"/>
        <v>5</v>
      </c>
      <c r="L104">
        <f t="shared" si="12"/>
        <v>1</v>
      </c>
      <c r="M104">
        <f t="shared" si="13"/>
        <v>17</v>
      </c>
      <c r="N104" t="str">
        <f t="shared" si="14"/>
        <v>Z1: E01</v>
      </c>
      <c r="O104" t="str">
        <f t="shared" si="15"/>
        <v>E</v>
      </c>
      <c r="P104">
        <f t="shared" si="16"/>
        <v>1</v>
      </c>
      <c r="Q104" t="str">
        <f t="shared" si="17"/>
        <v>E01</v>
      </c>
    </row>
    <row r="105" spans="1:17">
      <c r="A105" t="s">
        <v>879</v>
      </c>
      <c r="B105" t="s">
        <v>722</v>
      </c>
      <c r="C105" t="s">
        <v>845</v>
      </c>
      <c r="D105">
        <v>1</v>
      </c>
      <c r="E105" t="s">
        <v>729</v>
      </c>
      <c r="F105">
        <v>4</v>
      </c>
      <c r="G105">
        <v>2</v>
      </c>
      <c r="H105" t="str">
        <f t="shared" si="9"/>
        <v>WH-Z1-AisleE-Bay1-Level18</v>
      </c>
      <c r="I105" t="s">
        <v>880</v>
      </c>
      <c r="J105" t="str">
        <f t="shared" si="10"/>
        <v>SAMPLE: Grid E18</v>
      </c>
      <c r="K105">
        <f t="shared" si="11"/>
        <v>5</v>
      </c>
      <c r="L105">
        <f t="shared" si="12"/>
        <v>1</v>
      </c>
      <c r="M105">
        <f t="shared" si="13"/>
        <v>18</v>
      </c>
      <c r="N105" t="str">
        <f t="shared" si="14"/>
        <v>Z1: E01</v>
      </c>
      <c r="O105" t="str">
        <f t="shared" si="15"/>
        <v>E</v>
      </c>
      <c r="P105">
        <f t="shared" si="16"/>
        <v>1</v>
      </c>
      <c r="Q105" t="str">
        <f t="shared" si="17"/>
        <v>E01</v>
      </c>
    </row>
    <row r="106" spans="1:17">
      <c r="A106" t="s">
        <v>881</v>
      </c>
      <c r="B106" t="s">
        <v>722</v>
      </c>
      <c r="C106" t="s">
        <v>845</v>
      </c>
      <c r="D106">
        <v>1</v>
      </c>
      <c r="E106" t="s">
        <v>729</v>
      </c>
      <c r="F106">
        <v>4</v>
      </c>
      <c r="G106">
        <v>2</v>
      </c>
      <c r="H106" t="str">
        <f t="shared" si="9"/>
        <v>WH-Z1-AisleE-Bay1-Level19</v>
      </c>
      <c r="I106" t="s">
        <v>882</v>
      </c>
      <c r="J106" t="str">
        <f t="shared" si="10"/>
        <v>SAMPLE: Grid E19</v>
      </c>
      <c r="K106">
        <f t="shared" si="11"/>
        <v>5</v>
      </c>
      <c r="L106">
        <f t="shared" si="12"/>
        <v>1</v>
      </c>
      <c r="M106">
        <f t="shared" si="13"/>
        <v>19</v>
      </c>
      <c r="N106" t="str">
        <f t="shared" si="14"/>
        <v>Z1: E01</v>
      </c>
      <c r="O106" t="str">
        <f t="shared" si="15"/>
        <v>E</v>
      </c>
      <c r="P106">
        <f t="shared" si="16"/>
        <v>1</v>
      </c>
      <c r="Q106" t="str">
        <f t="shared" si="17"/>
        <v>E01</v>
      </c>
    </row>
    <row r="107" spans="1:17">
      <c r="A107" t="s">
        <v>883</v>
      </c>
      <c r="B107" t="s">
        <v>722</v>
      </c>
      <c r="C107" t="s">
        <v>845</v>
      </c>
      <c r="D107">
        <v>1</v>
      </c>
      <c r="E107" t="s">
        <v>729</v>
      </c>
      <c r="F107">
        <v>4</v>
      </c>
      <c r="G107">
        <v>2</v>
      </c>
      <c r="H107" t="str">
        <f t="shared" si="9"/>
        <v>WH-Z1-AisleE-Bay1-Level20</v>
      </c>
      <c r="I107" t="s">
        <v>884</v>
      </c>
      <c r="J107" t="str">
        <f t="shared" si="10"/>
        <v>SAMPLE: Grid E20</v>
      </c>
      <c r="K107">
        <f t="shared" si="11"/>
        <v>5</v>
      </c>
      <c r="L107">
        <f t="shared" si="12"/>
        <v>1</v>
      </c>
      <c r="M107">
        <f t="shared" si="13"/>
        <v>20</v>
      </c>
      <c r="N107" t="str">
        <f t="shared" si="14"/>
        <v>Z1: E01</v>
      </c>
      <c r="O107" t="str">
        <f t="shared" si="15"/>
        <v>E</v>
      </c>
      <c r="P107">
        <f t="shared" si="16"/>
        <v>1</v>
      </c>
      <c r="Q107" t="str">
        <f t="shared" si="17"/>
        <v>E01</v>
      </c>
    </row>
    <row r="108" spans="1:17">
      <c r="A108" t="s">
        <v>885</v>
      </c>
      <c r="B108" t="s">
        <v>722</v>
      </c>
      <c r="C108" t="s">
        <v>886</v>
      </c>
      <c r="D108">
        <v>1</v>
      </c>
      <c r="E108" t="s">
        <v>729</v>
      </c>
      <c r="F108">
        <v>4</v>
      </c>
      <c r="G108">
        <v>2</v>
      </c>
      <c r="H108" t="str">
        <f t="shared" si="9"/>
        <v>WH-Z1-AisleF-Bay1-Level1</v>
      </c>
      <c r="I108" t="s">
        <v>887</v>
      </c>
      <c r="J108" t="str">
        <f t="shared" si="10"/>
        <v>SAMPLE: Grid F01</v>
      </c>
      <c r="K108">
        <f t="shared" si="11"/>
        <v>6</v>
      </c>
      <c r="L108">
        <f t="shared" si="12"/>
        <v>1</v>
      </c>
      <c r="M108">
        <f t="shared" si="13"/>
        <v>1</v>
      </c>
      <c r="N108" t="str">
        <f t="shared" si="14"/>
        <v>Z1: F01</v>
      </c>
      <c r="O108" t="str">
        <f t="shared" si="15"/>
        <v>F</v>
      </c>
      <c r="P108">
        <f t="shared" si="16"/>
        <v>1</v>
      </c>
      <c r="Q108" t="str">
        <f t="shared" si="17"/>
        <v>F01</v>
      </c>
    </row>
    <row r="109" spans="1:17">
      <c r="A109" t="s">
        <v>888</v>
      </c>
      <c r="B109" t="s">
        <v>722</v>
      </c>
      <c r="C109" t="s">
        <v>886</v>
      </c>
      <c r="D109">
        <v>1</v>
      </c>
      <c r="E109" t="s">
        <v>729</v>
      </c>
      <c r="F109">
        <v>4</v>
      </c>
      <c r="G109">
        <v>2</v>
      </c>
      <c r="H109" t="str">
        <f t="shared" si="9"/>
        <v>WH-Z1-AisleF-Bay1-Level2</v>
      </c>
      <c r="I109" t="s">
        <v>889</v>
      </c>
      <c r="J109" t="str">
        <f t="shared" si="10"/>
        <v>SAMPLE: Grid F02</v>
      </c>
      <c r="K109">
        <f t="shared" si="11"/>
        <v>6</v>
      </c>
      <c r="L109">
        <f t="shared" si="12"/>
        <v>1</v>
      </c>
      <c r="M109">
        <f t="shared" si="13"/>
        <v>2</v>
      </c>
      <c r="N109" t="str">
        <f t="shared" si="14"/>
        <v>Z1: F01</v>
      </c>
      <c r="O109" t="str">
        <f t="shared" si="15"/>
        <v>F</v>
      </c>
      <c r="P109">
        <f t="shared" si="16"/>
        <v>1</v>
      </c>
      <c r="Q109" t="str">
        <f t="shared" si="17"/>
        <v>F01</v>
      </c>
    </row>
    <row r="110" spans="1:17">
      <c r="A110" t="s">
        <v>890</v>
      </c>
      <c r="B110" t="s">
        <v>722</v>
      </c>
      <c r="C110" t="s">
        <v>886</v>
      </c>
      <c r="D110">
        <v>1</v>
      </c>
      <c r="E110" t="s">
        <v>729</v>
      </c>
      <c r="F110">
        <v>4</v>
      </c>
      <c r="G110">
        <v>2</v>
      </c>
      <c r="H110" t="str">
        <f t="shared" si="9"/>
        <v>WH-Z1-AisleF-Bay1-Level3</v>
      </c>
      <c r="I110" t="s">
        <v>891</v>
      </c>
      <c r="J110" t="str">
        <f t="shared" si="10"/>
        <v>SAMPLE: Grid F03</v>
      </c>
      <c r="K110">
        <f t="shared" si="11"/>
        <v>6</v>
      </c>
      <c r="L110">
        <f t="shared" si="12"/>
        <v>1</v>
      </c>
      <c r="M110">
        <f t="shared" si="13"/>
        <v>3</v>
      </c>
      <c r="N110" t="str">
        <f t="shared" si="14"/>
        <v>Z1: F01</v>
      </c>
      <c r="O110" t="str">
        <f t="shared" si="15"/>
        <v>F</v>
      </c>
      <c r="P110">
        <f t="shared" si="16"/>
        <v>1</v>
      </c>
      <c r="Q110" t="str">
        <f t="shared" si="17"/>
        <v>F01</v>
      </c>
    </row>
    <row r="111" spans="1:17">
      <c r="A111" t="s">
        <v>892</v>
      </c>
      <c r="B111" t="s">
        <v>722</v>
      </c>
      <c r="C111" t="s">
        <v>886</v>
      </c>
      <c r="D111">
        <v>1</v>
      </c>
      <c r="E111" t="s">
        <v>729</v>
      </c>
      <c r="F111">
        <v>4</v>
      </c>
      <c r="G111">
        <v>2</v>
      </c>
      <c r="H111" t="str">
        <f t="shared" si="9"/>
        <v>WH-Z1-AisleF-Bay1-Level4</v>
      </c>
      <c r="I111" t="s">
        <v>893</v>
      </c>
      <c r="J111" t="str">
        <f t="shared" si="10"/>
        <v>SAMPLE: Grid F04</v>
      </c>
      <c r="K111">
        <f t="shared" si="11"/>
        <v>6</v>
      </c>
      <c r="L111">
        <f t="shared" si="12"/>
        <v>1</v>
      </c>
      <c r="M111">
        <f t="shared" si="13"/>
        <v>4</v>
      </c>
      <c r="N111" t="str">
        <f t="shared" si="14"/>
        <v>Z1: F01</v>
      </c>
      <c r="O111" t="str">
        <f t="shared" si="15"/>
        <v>F</v>
      </c>
      <c r="P111">
        <f t="shared" si="16"/>
        <v>1</v>
      </c>
      <c r="Q111" t="str">
        <f t="shared" si="17"/>
        <v>F01</v>
      </c>
    </row>
    <row r="112" spans="1:17">
      <c r="A112" t="s">
        <v>894</v>
      </c>
      <c r="B112" t="s">
        <v>722</v>
      </c>
      <c r="C112" t="s">
        <v>886</v>
      </c>
      <c r="D112">
        <v>1</v>
      </c>
      <c r="E112" t="s">
        <v>729</v>
      </c>
      <c r="F112">
        <v>4</v>
      </c>
      <c r="G112">
        <v>2</v>
      </c>
      <c r="H112" t="str">
        <f t="shared" si="9"/>
        <v>WH-Z1-AisleF-Bay1-Level5</v>
      </c>
      <c r="I112" t="s">
        <v>895</v>
      </c>
      <c r="J112" t="str">
        <f t="shared" si="10"/>
        <v>SAMPLE: Grid F05</v>
      </c>
      <c r="K112">
        <f t="shared" si="11"/>
        <v>6</v>
      </c>
      <c r="L112">
        <f t="shared" si="12"/>
        <v>1</v>
      </c>
      <c r="M112">
        <f t="shared" si="13"/>
        <v>5</v>
      </c>
      <c r="N112" t="str">
        <f t="shared" si="14"/>
        <v>Z1: F01</v>
      </c>
      <c r="O112" t="str">
        <f t="shared" si="15"/>
        <v>F</v>
      </c>
      <c r="P112">
        <f t="shared" si="16"/>
        <v>1</v>
      </c>
      <c r="Q112" t="str">
        <f t="shared" si="17"/>
        <v>F01</v>
      </c>
    </row>
    <row r="113" spans="1:17">
      <c r="A113" t="s">
        <v>896</v>
      </c>
      <c r="B113" t="s">
        <v>722</v>
      </c>
      <c r="C113" t="s">
        <v>886</v>
      </c>
      <c r="D113">
        <v>1</v>
      </c>
      <c r="E113" t="s">
        <v>729</v>
      </c>
      <c r="F113">
        <v>4</v>
      </c>
      <c r="G113">
        <v>2</v>
      </c>
      <c r="H113" t="str">
        <f t="shared" si="9"/>
        <v>WH-Z1-AisleF-Bay1-Level6</v>
      </c>
      <c r="I113" t="s">
        <v>897</v>
      </c>
      <c r="J113" t="str">
        <f t="shared" si="10"/>
        <v>SAMPLE: Grid F06</v>
      </c>
      <c r="K113">
        <f t="shared" si="11"/>
        <v>6</v>
      </c>
      <c r="L113">
        <f t="shared" si="12"/>
        <v>1</v>
      </c>
      <c r="M113">
        <f t="shared" si="13"/>
        <v>6</v>
      </c>
      <c r="N113" t="str">
        <f t="shared" si="14"/>
        <v>Z1: F01</v>
      </c>
      <c r="O113" t="str">
        <f t="shared" si="15"/>
        <v>F</v>
      </c>
      <c r="P113">
        <f t="shared" si="16"/>
        <v>1</v>
      </c>
      <c r="Q113" t="str">
        <f t="shared" si="17"/>
        <v>F01</v>
      </c>
    </row>
    <row r="114" spans="1:17">
      <c r="A114" t="s">
        <v>898</v>
      </c>
      <c r="B114" t="s">
        <v>722</v>
      </c>
      <c r="C114" t="s">
        <v>886</v>
      </c>
      <c r="D114">
        <v>1</v>
      </c>
      <c r="E114" t="s">
        <v>729</v>
      </c>
      <c r="F114">
        <v>4</v>
      </c>
      <c r="G114">
        <v>2</v>
      </c>
      <c r="H114" t="str">
        <f t="shared" si="9"/>
        <v>WH-Z1-AisleF-Bay1-Level7</v>
      </c>
      <c r="I114" t="s">
        <v>899</v>
      </c>
      <c r="J114" t="str">
        <f t="shared" si="10"/>
        <v>SAMPLE: Grid F07</v>
      </c>
      <c r="K114">
        <f t="shared" si="11"/>
        <v>6</v>
      </c>
      <c r="L114">
        <f t="shared" si="12"/>
        <v>1</v>
      </c>
      <c r="M114">
        <f t="shared" si="13"/>
        <v>7</v>
      </c>
      <c r="N114" t="str">
        <f t="shared" si="14"/>
        <v>Z1: F01</v>
      </c>
      <c r="O114" t="str">
        <f t="shared" si="15"/>
        <v>F</v>
      </c>
      <c r="P114">
        <f t="shared" si="16"/>
        <v>1</v>
      </c>
      <c r="Q114" t="str">
        <f t="shared" si="17"/>
        <v>F01</v>
      </c>
    </row>
    <row r="115" spans="1:17">
      <c r="A115" t="s">
        <v>900</v>
      </c>
      <c r="B115" t="s">
        <v>722</v>
      </c>
      <c r="C115" t="s">
        <v>886</v>
      </c>
      <c r="D115">
        <v>1</v>
      </c>
      <c r="E115" t="s">
        <v>729</v>
      </c>
      <c r="F115">
        <v>4</v>
      </c>
      <c r="G115">
        <v>2</v>
      </c>
      <c r="H115" t="str">
        <f t="shared" si="9"/>
        <v>WH-Z1-AisleF-Bay1-Level8</v>
      </c>
      <c r="I115" t="s">
        <v>901</v>
      </c>
      <c r="J115" t="str">
        <f t="shared" si="10"/>
        <v>SAMPLE: Grid F08</v>
      </c>
      <c r="K115">
        <f t="shared" si="11"/>
        <v>6</v>
      </c>
      <c r="L115">
        <f t="shared" si="12"/>
        <v>1</v>
      </c>
      <c r="M115">
        <f t="shared" si="13"/>
        <v>8</v>
      </c>
      <c r="N115" t="str">
        <f t="shared" si="14"/>
        <v>Z1: F01</v>
      </c>
      <c r="O115" t="str">
        <f t="shared" si="15"/>
        <v>F</v>
      </c>
      <c r="P115">
        <f t="shared" si="16"/>
        <v>1</v>
      </c>
      <c r="Q115" t="str">
        <f t="shared" si="17"/>
        <v>F01</v>
      </c>
    </row>
    <row r="116" spans="1:17">
      <c r="A116" t="s">
        <v>902</v>
      </c>
      <c r="B116" t="s">
        <v>722</v>
      </c>
      <c r="C116" t="s">
        <v>886</v>
      </c>
      <c r="D116">
        <v>1</v>
      </c>
      <c r="E116" t="s">
        <v>729</v>
      </c>
      <c r="F116">
        <v>4</v>
      </c>
      <c r="G116">
        <v>2</v>
      </c>
      <c r="H116" t="str">
        <f t="shared" si="9"/>
        <v>WH-Z1-AisleF-Bay1-Level9</v>
      </c>
      <c r="I116" t="s">
        <v>903</v>
      </c>
      <c r="J116" t="str">
        <f t="shared" si="10"/>
        <v>SAMPLE: Grid F09</v>
      </c>
      <c r="K116">
        <f t="shared" si="11"/>
        <v>6</v>
      </c>
      <c r="L116">
        <f t="shared" si="12"/>
        <v>1</v>
      </c>
      <c r="M116">
        <f t="shared" si="13"/>
        <v>9</v>
      </c>
      <c r="N116" t="str">
        <f t="shared" si="14"/>
        <v>Z1: F01</v>
      </c>
      <c r="O116" t="str">
        <f t="shared" si="15"/>
        <v>F</v>
      </c>
      <c r="P116">
        <f t="shared" si="16"/>
        <v>1</v>
      </c>
      <c r="Q116" t="str">
        <f t="shared" si="17"/>
        <v>F01</v>
      </c>
    </row>
    <row r="117" spans="1:17">
      <c r="A117" t="s">
        <v>904</v>
      </c>
      <c r="B117" t="s">
        <v>722</v>
      </c>
      <c r="C117" t="s">
        <v>886</v>
      </c>
      <c r="D117">
        <v>1</v>
      </c>
      <c r="E117" t="s">
        <v>729</v>
      </c>
      <c r="F117">
        <v>4</v>
      </c>
      <c r="G117">
        <v>2</v>
      </c>
      <c r="H117" t="str">
        <f t="shared" si="9"/>
        <v>WH-Z1-AisleF-Bay1-Level10</v>
      </c>
      <c r="I117" t="s">
        <v>905</v>
      </c>
      <c r="J117" t="str">
        <f t="shared" si="10"/>
        <v>SAMPLE: Grid F10</v>
      </c>
      <c r="K117">
        <f t="shared" si="11"/>
        <v>6</v>
      </c>
      <c r="L117">
        <f t="shared" si="12"/>
        <v>1</v>
      </c>
      <c r="M117">
        <f t="shared" si="13"/>
        <v>10</v>
      </c>
      <c r="N117" t="str">
        <f t="shared" si="14"/>
        <v>Z1: F01</v>
      </c>
      <c r="O117" t="str">
        <f t="shared" si="15"/>
        <v>F</v>
      </c>
      <c r="P117">
        <f t="shared" si="16"/>
        <v>1</v>
      </c>
      <c r="Q117" t="str">
        <f t="shared" si="17"/>
        <v>F01</v>
      </c>
    </row>
    <row r="118" spans="1:17">
      <c r="A118" t="s">
        <v>906</v>
      </c>
      <c r="B118" t="s">
        <v>722</v>
      </c>
      <c r="C118" t="s">
        <v>886</v>
      </c>
      <c r="D118">
        <v>1</v>
      </c>
      <c r="E118" t="s">
        <v>729</v>
      </c>
      <c r="F118">
        <v>4</v>
      </c>
      <c r="G118">
        <v>2</v>
      </c>
      <c r="H118" t="str">
        <f t="shared" si="9"/>
        <v>WH-Z1-AisleF-Bay1-Level11</v>
      </c>
      <c r="I118" t="s">
        <v>907</v>
      </c>
      <c r="J118" t="str">
        <f t="shared" si="10"/>
        <v>SAMPLE: Grid F11</v>
      </c>
      <c r="K118">
        <f t="shared" si="11"/>
        <v>6</v>
      </c>
      <c r="L118">
        <f t="shared" si="12"/>
        <v>1</v>
      </c>
      <c r="M118">
        <f t="shared" si="13"/>
        <v>11</v>
      </c>
      <c r="N118" t="str">
        <f t="shared" si="14"/>
        <v>Z1: F01</v>
      </c>
      <c r="O118" t="str">
        <f t="shared" si="15"/>
        <v>F</v>
      </c>
      <c r="P118">
        <f t="shared" si="16"/>
        <v>1</v>
      </c>
      <c r="Q118" t="str">
        <f t="shared" si="17"/>
        <v>F01</v>
      </c>
    </row>
    <row r="119" spans="1:17">
      <c r="A119" t="s">
        <v>908</v>
      </c>
      <c r="B119" t="s">
        <v>722</v>
      </c>
      <c r="C119" t="s">
        <v>886</v>
      </c>
      <c r="D119">
        <v>1</v>
      </c>
      <c r="E119" t="s">
        <v>729</v>
      </c>
      <c r="F119">
        <v>4</v>
      </c>
      <c r="G119">
        <v>2</v>
      </c>
      <c r="H119" t="str">
        <f t="shared" si="9"/>
        <v>WH-Z1-AisleF-Bay1-Level12</v>
      </c>
      <c r="I119" t="s">
        <v>909</v>
      </c>
      <c r="J119" t="str">
        <f t="shared" si="10"/>
        <v>SAMPLE: Grid F12</v>
      </c>
      <c r="K119">
        <f t="shared" si="11"/>
        <v>6</v>
      </c>
      <c r="L119">
        <f t="shared" si="12"/>
        <v>1</v>
      </c>
      <c r="M119">
        <f t="shared" si="13"/>
        <v>12</v>
      </c>
      <c r="N119" t="str">
        <f t="shared" si="14"/>
        <v>Z1: F01</v>
      </c>
      <c r="O119" t="str">
        <f t="shared" si="15"/>
        <v>F</v>
      </c>
      <c r="P119">
        <f t="shared" si="16"/>
        <v>1</v>
      </c>
      <c r="Q119" t="str">
        <f t="shared" si="17"/>
        <v>F01</v>
      </c>
    </row>
    <row r="120" spans="1:17">
      <c r="A120" t="s">
        <v>910</v>
      </c>
      <c r="B120" t="s">
        <v>722</v>
      </c>
      <c r="C120" t="s">
        <v>886</v>
      </c>
      <c r="D120">
        <v>1</v>
      </c>
      <c r="E120" t="s">
        <v>729</v>
      </c>
      <c r="F120">
        <v>4</v>
      </c>
      <c r="G120">
        <v>2</v>
      </c>
      <c r="H120" t="str">
        <f t="shared" si="9"/>
        <v>WH-Z1-AisleF-Bay1-Level13</v>
      </c>
      <c r="I120" t="s">
        <v>911</v>
      </c>
      <c r="J120" t="str">
        <f t="shared" si="10"/>
        <v>SAMPLE: Grid F13</v>
      </c>
      <c r="K120">
        <f t="shared" si="11"/>
        <v>6</v>
      </c>
      <c r="L120">
        <f t="shared" si="12"/>
        <v>1</v>
      </c>
      <c r="M120">
        <f t="shared" si="13"/>
        <v>13</v>
      </c>
      <c r="N120" t="str">
        <f t="shared" si="14"/>
        <v>Z1: F01</v>
      </c>
      <c r="O120" t="str">
        <f t="shared" si="15"/>
        <v>F</v>
      </c>
      <c r="P120">
        <f t="shared" si="16"/>
        <v>1</v>
      </c>
      <c r="Q120" t="str">
        <f t="shared" si="17"/>
        <v>F01</v>
      </c>
    </row>
    <row r="121" spans="1:17">
      <c r="A121" t="s">
        <v>912</v>
      </c>
      <c r="B121" t="s">
        <v>722</v>
      </c>
      <c r="C121" t="s">
        <v>886</v>
      </c>
      <c r="D121">
        <v>1</v>
      </c>
      <c r="E121" t="s">
        <v>729</v>
      </c>
      <c r="F121">
        <v>4</v>
      </c>
      <c r="G121">
        <v>2</v>
      </c>
      <c r="H121" t="str">
        <f t="shared" si="9"/>
        <v>WH-Z1-AisleF-Bay1-Level14</v>
      </c>
      <c r="I121" t="s">
        <v>913</v>
      </c>
      <c r="J121" t="str">
        <f t="shared" si="10"/>
        <v>SAMPLE: Grid F14</v>
      </c>
      <c r="K121">
        <f t="shared" si="11"/>
        <v>6</v>
      </c>
      <c r="L121">
        <f t="shared" si="12"/>
        <v>1</v>
      </c>
      <c r="M121">
        <f t="shared" si="13"/>
        <v>14</v>
      </c>
      <c r="N121" t="str">
        <f t="shared" si="14"/>
        <v>Z1: F01</v>
      </c>
      <c r="O121" t="str">
        <f t="shared" si="15"/>
        <v>F</v>
      </c>
      <c r="P121">
        <f t="shared" si="16"/>
        <v>1</v>
      </c>
      <c r="Q121" t="str">
        <f t="shared" si="17"/>
        <v>F01</v>
      </c>
    </row>
    <row r="122" spans="1:17">
      <c r="A122" t="s">
        <v>914</v>
      </c>
      <c r="B122" t="s">
        <v>722</v>
      </c>
      <c r="C122" t="s">
        <v>886</v>
      </c>
      <c r="D122">
        <v>1</v>
      </c>
      <c r="E122" t="s">
        <v>729</v>
      </c>
      <c r="F122">
        <v>4</v>
      </c>
      <c r="G122">
        <v>2</v>
      </c>
      <c r="H122" t="str">
        <f t="shared" si="9"/>
        <v>WH-Z1-AisleF-Bay1-Level15</v>
      </c>
      <c r="I122" t="s">
        <v>915</v>
      </c>
      <c r="J122" t="str">
        <f t="shared" si="10"/>
        <v>SAMPLE: Grid F15</v>
      </c>
      <c r="K122">
        <f t="shared" si="11"/>
        <v>6</v>
      </c>
      <c r="L122">
        <f t="shared" si="12"/>
        <v>1</v>
      </c>
      <c r="M122">
        <f t="shared" si="13"/>
        <v>15</v>
      </c>
      <c r="N122" t="str">
        <f t="shared" si="14"/>
        <v>Z1: F01</v>
      </c>
      <c r="O122" t="str">
        <f t="shared" si="15"/>
        <v>F</v>
      </c>
      <c r="P122">
        <f t="shared" si="16"/>
        <v>1</v>
      </c>
      <c r="Q122" t="str">
        <f t="shared" si="17"/>
        <v>F01</v>
      </c>
    </row>
    <row r="123" spans="1:17">
      <c r="A123" t="s">
        <v>916</v>
      </c>
      <c r="B123" t="s">
        <v>722</v>
      </c>
      <c r="C123" t="s">
        <v>886</v>
      </c>
      <c r="D123">
        <v>1</v>
      </c>
      <c r="E123" t="s">
        <v>729</v>
      </c>
      <c r="F123">
        <v>4</v>
      </c>
      <c r="G123">
        <v>2</v>
      </c>
      <c r="H123" t="str">
        <f t="shared" si="9"/>
        <v>WH-Z1-AisleF-Bay1-Level16</v>
      </c>
      <c r="I123" t="s">
        <v>917</v>
      </c>
      <c r="J123" t="str">
        <f t="shared" si="10"/>
        <v>SAMPLE: Grid F16</v>
      </c>
      <c r="K123">
        <f t="shared" si="11"/>
        <v>6</v>
      </c>
      <c r="L123">
        <f t="shared" si="12"/>
        <v>1</v>
      </c>
      <c r="M123">
        <f t="shared" si="13"/>
        <v>16</v>
      </c>
      <c r="N123" t="str">
        <f t="shared" si="14"/>
        <v>Z1: F01</v>
      </c>
      <c r="O123" t="str">
        <f t="shared" si="15"/>
        <v>F</v>
      </c>
      <c r="P123">
        <f t="shared" si="16"/>
        <v>1</v>
      </c>
      <c r="Q123" t="str">
        <f t="shared" si="17"/>
        <v>F01</v>
      </c>
    </row>
    <row r="124" spans="1:17">
      <c r="A124" t="s">
        <v>918</v>
      </c>
      <c r="B124" t="s">
        <v>722</v>
      </c>
      <c r="C124" t="s">
        <v>886</v>
      </c>
      <c r="D124">
        <v>1</v>
      </c>
      <c r="E124" t="s">
        <v>729</v>
      </c>
      <c r="F124">
        <v>4</v>
      </c>
      <c r="G124">
        <v>2</v>
      </c>
      <c r="H124" t="str">
        <f t="shared" si="9"/>
        <v>WH-Z1-AisleF-Bay1-Level17</v>
      </c>
      <c r="I124" t="s">
        <v>919</v>
      </c>
      <c r="J124" t="str">
        <f t="shared" si="10"/>
        <v>SAMPLE: Grid F17</v>
      </c>
      <c r="K124">
        <f t="shared" si="11"/>
        <v>6</v>
      </c>
      <c r="L124">
        <f t="shared" si="12"/>
        <v>1</v>
      </c>
      <c r="M124">
        <f t="shared" si="13"/>
        <v>17</v>
      </c>
      <c r="N124" t="str">
        <f t="shared" si="14"/>
        <v>Z1: F01</v>
      </c>
      <c r="O124" t="str">
        <f t="shared" si="15"/>
        <v>F</v>
      </c>
      <c r="P124">
        <f t="shared" si="16"/>
        <v>1</v>
      </c>
      <c r="Q124" t="str">
        <f t="shared" si="17"/>
        <v>F01</v>
      </c>
    </row>
    <row r="125" spans="1:17">
      <c r="A125" t="s">
        <v>920</v>
      </c>
      <c r="B125" t="s">
        <v>722</v>
      </c>
      <c r="C125" t="s">
        <v>886</v>
      </c>
      <c r="D125">
        <v>1</v>
      </c>
      <c r="E125" t="s">
        <v>729</v>
      </c>
      <c r="F125">
        <v>4</v>
      </c>
      <c r="G125">
        <v>2</v>
      </c>
      <c r="H125" t="str">
        <f t="shared" si="9"/>
        <v>WH-Z1-AisleF-Bay1-Level18</v>
      </c>
      <c r="I125" t="s">
        <v>921</v>
      </c>
      <c r="J125" t="str">
        <f t="shared" si="10"/>
        <v>SAMPLE: Grid F18</v>
      </c>
      <c r="K125">
        <f t="shared" si="11"/>
        <v>6</v>
      </c>
      <c r="L125">
        <f t="shared" si="12"/>
        <v>1</v>
      </c>
      <c r="M125">
        <f t="shared" si="13"/>
        <v>18</v>
      </c>
      <c r="N125" t="str">
        <f t="shared" si="14"/>
        <v>Z1: F01</v>
      </c>
      <c r="O125" t="str">
        <f t="shared" si="15"/>
        <v>F</v>
      </c>
      <c r="P125">
        <f t="shared" si="16"/>
        <v>1</v>
      </c>
      <c r="Q125" t="str">
        <f t="shared" si="17"/>
        <v>F01</v>
      </c>
    </row>
    <row r="126" spans="1:17">
      <c r="A126" t="s">
        <v>922</v>
      </c>
      <c r="B126" t="s">
        <v>722</v>
      </c>
      <c r="C126" t="s">
        <v>886</v>
      </c>
      <c r="D126">
        <v>1</v>
      </c>
      <c r="E126" t="s">
        <v>729</v>
      </c>
      <c r="F126">
        <v>4</v>
      </c>
      <c r="G126">
        <v>2</v>
      </c>
      <c r="H126" t="str">
        <f t="shared" si="9"/>
        <v>WH-Z1-AisleF-Bay1-Level19</v>
      </c>
      <c r="I126" t="s">
        <v>923</v>
      </c>
      <c r="J126" t="str">
        <f t="shared" si="10"/>
        <v>SAMPLE: Grid F19</v>
      </c>
      <c r="K126">
        <f t="shared" si="11"/>
        <v>6</v>
      </c>
      <c r="L126">
        <f t="shared" si="12"/>
        <v>1</v>
      </c>
      <c r="M126">
        <f t="shared" si="13"/>
        <v>19</v>
      </c>
      <c r="N126" t="str">
        <f t="shared" si="14"/>
        <v>Z1: F01</v>
      </c>
      <c r="O126" t="str">
        <f t="shared" si="15"/>
        <v>F</v>
      </c>
      <c r="P126">
        <f t="shared" si="16"/>
        <v>1</v>
      </c>
      <c r="Q126" t="str">
        <f t="shared" si="17"/>
        <v>F01</v>
      </c>
    </row>
    <row r="127" spans="1:17">
      <c r="A127" t="s">
        <v>924</v>
      </c>
      <c r="B127" t="s">
        <v>722</v>
      </c>
      <c r="C127" t="s">
        <v>886</v>
      </c>
      <c r="D127">
        <v>1</v>
      </c>
      <c r="E127" t="s">
        <v>729</v>
      </c>
      <c r="F127">
        <v>4</v>
      </c>
      <c r="G127">
        <v>2</v>
      </c>
      <c r="H127" t="str">
        <f t="shared" si="9"/>
        <v>WH-Z1-AisleF-Bay1-Level20</v>
      </c>
      <c r="I127" t="s">
        <v>925</v>
      </c>
      <c r="J127" t="str">
        <f t="shared" si="10"/>
        <v>SAMPLE: Grid F20</v>
      </c>
      <c r="K127">
        <f t="shared" si="11"/>
        <v>6</v>
      </c>
      <c r="L127">
        <f t="shared" si="12"/>
        <v>1</v>
      </c>
      <c r="M127">
        <f t="shared" si="13"/>
        <v>20</v>
      </c>
      <c r="N127" t="str">
        <f t="shared" si="14"/>
        <v>Z1: F01</v>
      </c>
      <c r="O127" t="str">
        <f t="shared" si="15"/>
        <v>F</v>
      </c>
      <c r="P127">
        <f t="shared" si="16"/>
        <v>1</v>
      </c>
      <c r="Q127" t="str">
        <f t="shared" si="17"/>
        <v>F01</v>
      </c>
    </row>
    <row r="128" spans="1:17">
      <c r="A128" t="s">
        <v>926</v>
      </c>
      <c r="B128" t="s">
        <v>712</v>
      </c>
      <c r="E128" t="s">
        <v>927</v>
      </c>
      <c r="F128">
        <v>3</v>
      </c>
      <c r="H128" t="str">
        <f t="shared" si="9"/>
        <v>WH-DISPOSAL</v>
      </c>
      <c r="I128" t="s">
        <v>928</v>
      </c>
      <c r="J128" t="str">
        <f t="shared" si="10"/>
        <v>SAMPLE: Retire destination</v>
      </c>
      <c r="K128" t="str">
        <f t="shared" si="11"/>
        <v/>
      </c>
      <c r="L128" t="str">
        <f t="shared" si="12"/>
        <v/>
      </c>
      <c r="M128" t="str">
        <f t="shared" si="13"/>
        <v/>
      </c>
      <c r="N128" t="str">
        <f t="shared" si="14"/>
        <v>SAMPLE: Retire destination</v>
      </c>
      <c r="O128" t="str">
        <f t="shared" si="15"/>
        <v/>
      </c>
      <c r="P128">
        <f t="shared" si="16"/>
        <v>0</v>
      </c>
      <c r="Q128" t="str">
        <f t="shared" si="17"/>
        <v/>
      </c>
    </row>
    <row r="129" spans="1:17">
      <c r="A129" t="s">
        <v>929</v>
      </c>
      <c r="B129" t="s">
        <v>712</v>
      </c>
      <c r="E129" t="s">
        <v>930</v>
      </c>
      <c r="F129">
        <v>3</v>
      </c>
      <c r="H129" t="str">
        <f t="shared" si="9"/>
        <v>WH-OUTBOUND</v>
      </c>
      <c r="I129" t="s">
        <v>931</v>
      </c>
      <c r="J129" t="str">
        <f t="shared" si="10"/>
        <v>SAMPLE: Ship destination</v>
      </c>
      <c r="K129" t="str">
        <f t="shared" si="11"/>
        <v/>
      </c>
      <c r="L129" t="str">
        <f t="shared" si="12"/>
        <v/>
      </c>
      <c r="M129" t="str">
        <f t="shared" si="13"/>
        <v/>
      </c>
      <c r="N129" t="str">
        <f t="shared" si="14"/>
        <v>SAMPLE: Ship destination</v>
      </c>
      <c r="O129" t="str">
        <f t="shared" si="15"/>
        <v/>
      </c>
      <c r="P129">
        <f t="shared" si="16"/>
        <v>0</v>
      </c>
      <c r="Q129" t="str">
        <f t="shared" si="17"/>
        <v/>
      </c>
    </row>
    <row r="130" spans="1:17">
      <c r="A130" t="s">
        <v>91</v>
      </c>
      <c r="B130" t="s">
        <v>737</v>
      </c>
      <c r="E130" t="s">
        <v>735</v>
      </c>
      <c r="F130">
        <v>3</v>
      </c>
      <c r="G130">
        <v>7</v>
      </c>
      <c r="H130" t="str">
        <f t="shared" ref="H130:H193" si="18">A130</f>
        <v>CHRIS_OVERFLOW_A_ZONE3</v>
      </c>
      <c r="I130" t="s">
        <v>738</v>
      </c>
      <c r="J130" t="str">
        <f t="shared" ref="J130:J193" si="19">IF($I130&lt;&gt;"",$I130,$A130)</f>
        <v>Custom location code from Warehouse Ledger (details TBD).</v>
      </c>
      <c r="K130" t="str">
        <f t="shared" ref="K130:K193" si="20">IF($C130="","",IF(LEN($C130)=1,CODE(UPPER($C130))-64,IFERROR(VALUE(MID($C130,2,99)),"")))</f>
        <v/>
      </c>
      <c r="L130" t="str">
        <f t="shared" ref="L130:L193" si="21">IF($D130="","",IFERROR(VALUE($D130),""))</f>
        <v/>
      </c>
      <c r="M130">
        <f t="shared" ref="M130:M193" si="22">IFERROR(VALUE(MID($A130,FIND("Level",$A130)+5,99)),IF($E130="AISLE_FLOOR",0,IF($E130="OVERFLOW",0,IF($E130="ENDCAP",0,""))))</f>
        <v>0</v>
      </c>
      <c r="N130" t="str">
        <f t="shared" ref="N130:N193" si="23">IF(AND($B130&lt;&gt;"",$C130&lt;&gt;"",ISNUMBER(--$D130)), $B130&amp;": "&amp;LEFT($C130,1)&amp;TEXT(--$D130,"00"), IF($I130&lt;&gt;"",$I130,$A130))</f>
        <v>Custom location code from Warehouse Ledger (details TBD).</v>
      </c>
      <c r="O130" t="str">
        <f t="shared" ref="O130:O193" si="24">IF(AND($C130&lt;&gt;"",ISNUMBER(--$D130)),LEFT($C130,1),"")</f>
        <v/>
      </c>
      <c r="P130">
        <f t="shared" ref="P130:P193" si="25">IF(ISNUMBER(--$D130),--$D130,"")</f>
        <v>0</v>
      </c>
      <c r="Q130" t="str">
        <f t="shared" ref="Q130:Q193" si="26">IF(AND($O130&lt;&gt;"",$P130&lt;&gt;""),$O130&amp;TEXT($P130,"00"),"")</f>
        <v/>
      </c>
    </row>
    <row r="131" spans="1:17">
      <c r="A131" t="s">
        <v>932</v>
      </c>
      <c r="B131" t="s">
        <v>722</v>
      </c>
      <c r="C131" t="s">
        <v>933</v>
      </c>
      <c r="D131">
        <v>3</v>
      </c>
      <c r="E131" t="s">
        <v>729</v>
      </c>
      <c r="F131">
        <v>4</v>
      </c>
      <c r="G131">
        <v>2</v>
      </c>
      <c r="H131" t="str">
        <f t="shared" si="18"/>
        <v>WH-Z1-AisleO-Bay3-Level2</v>
      </c>
      <c r="I131" t="s">
        <v>934</v>
      </c>
      <c r="J131" t="str">
        <f t="shared" si="19"/>
        <v>From Warehouse Ledger naming standard.</v>
      </c>
      <c r="K131">
        <f t="shared" si="20"/>
        <v>15</v>
      </c>
      <c r="L131">
        <f t="shared" si="21"/>
        <v>3</v>
      </c>
      <c r="M131">
        <f t="shared" si="22"/>
        <v>2</v>
      </c>
      <c r="N131" t="str">
        <f t="shared" si="23"/>
        <v>Z1: O03</v>
      </c>
      <c r="O131" t="str">
        <f t="shared" si="24"/>
        <v>O</v>
      </c>
      <c r="P131">
        <f t="shared" si="25"/>
        <v>3</v>
      </c>
      <c r="Q131" t="str">
        <f t="shared" si="26"/>
        <v>O03</v>
      </c>
    </row>
    <row r="132" spans="1:17">
      <c r="A132" t="s">
        <v>114</v>
      </c>
      <c r="B132" t="s">
        <v>722</v>
      </c>
      <c r="E132" t="s">
        <v>735</v>
      </c>
      <c r="F132">
        <v>3</v>
      </c>
      <c r="G132">
        <v>7</v>
      </c>
      <c r="H132" t="str">
        <f>A132</f>
        <v>WH-Z1-AisleO-Bay10-Level1</v>
      </c>
      <c r="I132" t="s">
        <v>935</v>
      </c>
      <c r="J132" t="str">
        <f>IF($I132&lt;&gt;"",$I132,$A132)</f>
        <v>Zone 1 non-overflow section (naming standard).</v>
      </c>
      <c r="K132" t="str">
        <f t="shared" si="20"/>
        <v/>
      </c>
      <c r="L132" t="str">
        <f t="shared" si="21"/>
        <v/>
      </c>
      <c r="M132">
        <f>IFERROR(VALUE(MID($A132,FIND("Level",$A132)+5,99)),IF($E132="AISLE_FLOOR",0,IF($E132="OVERFLOW",0,IF($E132="ENDCAP",0,""))))</f>
        <v>1</v>
      </c>
      <c r="N132" t="str">
        <f>IF(AND($B132&lt;&gt;"",$C132&lt;&gt;"",ISNUMBER(--$D132)), $B132&amp;": "&amp;LEFT($C132,1)&amp;TEXT(--$D132,"00"), IF($I132&lt;&gt;"",$I132,$A132))</f>
        <v>Zone 1 non-overflow section (naming standard).</v>
      </c>
      <c r="O132" t="str">
        <f t="shared" si="24"/>
        <v/>
      </c>
      <c r="P132">
        <f t="shared" si="25"/>
        <v>0</v>
      </c>
      <c r="Q132" t="str">
        <f t="shared" si="26"/>
        <v/>
      </c>
    </row>
    <row r="133" spans="1:17">
      <c r="A133" t="s">
        <v>128</v>
      </c>
      <c r="H133" t="e">
        <f>#REF!</f>
        <v>#REF!</v>
      </c>
      <c r="J133" t="e">
        <f>IF($I133&lt;&gt;"",$I133,#REF!)</f>
        <v>#REF!</v>
      </c>
      <c r="K133" t="str">
        <f t="shared" si="20"/>
        <v/>
      </c>
      <c r="L133" t="str">
        <f t="shared" si="21"/>
        <v/>
      </c>
      <c r="M133" t="str">
        <f>IFERROR(VALUE(MID(#REF!,FIND("Level",#REF!)+5,99)),IF($E133="AISLE_FLOOR",0,IF($E133="OVERFLOW",0,IF($E133="ENDCAP",0,""))))</f>
        <v/>
      </c>
      <c r="N133" t="e">
        <f>IF(AND($B133&lt;&gt;"",$C133&lt;&gt;"",ISNUMBER(--$D133)), $B133&amp;": "&amp;LEFT($C133,1)&amp;TEXT(--$D133,"00"), IF($I133&lt;&gt;"",$I133,#REF!))</f>
        <v>#REF!</v>
      </c>
      <c r="O133" t="str">
        <f t="shared" si="24"/>
        <v/>
      </c>
      <c r="P133">
        <f t="shared" si="25"/>
        <v>0</v>
      </c>
      <c r="Q133" t="str">
        <f t="shared" si="26"/>
        <v/>
      </c>
    </row>
    <row r="134" spans="1:17">
      <c r="H134">
        <f t="shared" si="18"/>
        <v>0</v>
      </c>
      <c r="J134">
        <f t="shared" si="19"/>
        <v>0</v>
      </c>
      <c r="K134" t="str">
        <f t="shared" si="20"/>
        <v/>
      </c>
      <c r="L134" t="str">
        <f t="shared" si="21"/>
        <v/>
      </c>
      <c r="M134" t="str">
        <f t="shared" si="22"/>
        <v/>
      </c>
      <c r="N134">
        <f t="shared" si="23"/>
        <v>0</v>
      </c>
      <c r="O134" t="str">
        <f t="shared" si="24"/>
        <v/>
      </c>
      <c r="P134">
        <f t="shared" si="25"/>
        <v>0</v>
      </c>
      <c r="Q134" t="str">
        <f t="shared" si="26"/>
        <v/>
      </c>
    </row>
    <row r="135" spans="1:17">
      <c r="H135">
        <f t="shared" si="18"/>
        <v>0</v>
      </c>
      <c r="J135">
        <f t="shared" si="19"/>
        <v>0</v>
      </c>
      <c r="K135" t="str">
        <f t="shared" si="20"/>
        <v/>
      </c>
      <c r="L135" t="str">
        <f t="shared" si="21"/>
        <v/>
      </c>
      <c r="M135" t="str">
        <f t="shared" si="22"/>
        <v/>
      </c>
      <c r="N135">
        <f t="shared" si="23"/>
        <v>0</v>
      </c>
      <c r="O135" t="str">
        <f t="shared" si="24"/>
        <v/>
      </c>
      <c r="P135">
        <f t="shared" si="25"/>
        <v>0</v>
      </c>
      <c r="Q135" t="str">
        <f t="shared" si="26"/>
        <v/>
      </c>
    </row>
    <row r="136" spans="1:17">
      <c r="H136">
        <f t="shared" si="18"/>
        <v>0</v>
      </c>
      <c r="J136">
        <f t="shared" si="19"/>
        <v>0</v>
      </c>
      <c r="K136" t="str">
        <f t="shared" si="20"/>
        <v/>
      </c>
      <c r="L136" t="str">
        <f t="shared" si="21"/>
        <v/>
      </c>
      <c r="M136" t="str">
        <f t="shared" si="22"/>
        <v/>
      </c>
      <c r="N136">
        <f t="shared" si="23"/>
        <v>0</v>
      </c>
      <c r="O136" t="str">
        <f t="shared" si="24"/>
        <v/>
      </c>
      <c r="P136">
        <f t="shared" si="25"/>
        <v>0</v>
      </c>
      <c r="Q136" t="str">
        <f t="shared" si="26"/>
        <v/>
      </c>
    </row>
    <row r="137" spans="1:17">
      <c r="H137">
        <f t="shared" si="18"/>
        <v>0</v>
      </c>
      <c r="J137">
        <f t="shared" si="19"/>
        <v>0</v>
      </c>
      <c r="K137" t="str">
        <f t="shared" si="20"/>
        <v/>
      </c>
      <c r="L137" t="str">
        <f t="shared" si="21"/>
        <v/>
      </c>
      <c r="M137" t="str">
        <f t="shared" si="22"/>
        <v/>
      </c>
      <c r="N137">
        <f t="shared" si="23"/>
        <v>0</v>
      </c>
      <c r="O137" t="str">
        <f t="shared" si="24"/>
        <v/>
      </c>
      <c r="P137">
        <f t="shared" si="25"/>
        <v>0</v>
      </c>
      <c r="Q137" t="str">
        <f t="shared" si="26"/>
        <v/>
      </c>
    </row>
    <row r="138" spans="1:17">
      <c r="H138">
        <f t="shared" si="18"/>
        <v>0</v>
      </c>
      <c r="J138">
        <f t="shared" si="19"/>
        <v>0</v>
      </c>
      <c r="K138" t="str">
        <f t="shared" si="20"/>
        <v/>
      </c>
      <c r="L138" t="str">
        <f t="shared" si="21"/>
        <v/>
      </c>
      <c r="M138" t="str">
        <f t="shared" si="22"/>
        <v/>
      </c>
      <c r="N138">
        <f t="shared" si="23"/>
        <v>0</v>
      </c>
      <c r="O138" t="str">
        <f t="shared" si="24"/>
        <v/>
      </c>
      <c r="P138">
        <f t="shared" si="25"/>
        <v>0</v>
      </c>
      <c r="Q138" t="str">
        <f t="shared" si="26"/>
        <v/>
      </c>
    </row>
    <row r="139" spans="1:17">
      <c r="H139">
        <f t="shared" si="18"/>
        <v>0</v>
      </c>
      <c r="J139">
        <f t="shared" si="19"/>
        <v>0</v>
      </c>
      <c r="K139" t="str">
        <f t="shared" si="20"/>
        <v/>
      </c>
      <c r="L139" t="str">
        <f t="shared" si="21"/>
        <v/>
      </c>
      <c r="M139" t="str">
        <f t="shared" si="22"/>
        <v/>
      </c>
      <c r="N139">
        <f t="shared" si="23"/>
        <v>0</v>
      </c>
      <c r="O139" t="str">
        <f t="shared" si="24"/>
        <v/>
      </c>
      <c r="P139">
        <f t="shared" si="25"/>
        <v>0</v>
      </c>
      <c r="Q139" t="str">
        <f t="shared" si="26"/>
        <v/>
      </c>
    </row>
    <row r="140" spans="1:17">
      <c r="H140">
        <f t="shared" si="18"/>
        <v>0</v>
      </c>
      <c r="J140">
        <f t="shared" si="19"/>
        <v>0</v>
      </c>
      <c r="K140" t="str">
        <f t="shared" si="20"/>
        <v/>
      </c>
      <c r="L140" t="str">
        <f t="shared" si="21"/>
        <v/>
      </c>
      <c r="M140" t="str">
        <f t="shared" si="22"/>
        <v/>
      </c>
      <c r="N140">
        <f t="shared" si="23"/>
        <v>0</v>
      </c>
      <c r="O140" t="str">
        <f t="shared" si="24"/>
        <v/>
      </c>
      <c r="P140">
        <f t="shared" si="25"/>
        <v>0</v>
      </c>
      <c r="Q140" t="str">
        <f t="shared" si="26"/>
        <v/>
      </c>
    </row>
    <row r="141" spans="1:17">
      <c r="H141">
        <f t="shared" si="18"/>
        <v>0</v>
      </c>
      <c r="J141">
        <f t="shared" si="19"/>
        <v>0</v>
      </c>
      <c r="K141" t="str">
        <f t="shared" si="20"/>
        <v/>
      </c>
      <c r="L141" t="str">
        <f t="shared" si="21"/>
        <v/>
      </c>
      <c r="M141" t="str">
        <f t="shared" si="22"/>
        <v/>
      </c>
      <c r="N141">
        <f t="shared" si="23"/>
        <v>0</v>
      </c>
      <c r="O141" t="str">
        <f t="shared" si="24"/>
        <v/>
      </c>
      <c r="P141">
        <f t="shared" si="25"/>
        <v>0</v>
      </c>
      <c r="Q141" t="str">
        <f t="shared" si="26"/>
        <v/>
      </c>
    </row>
    <row r="142" spans="1:17">
      <c r="H142">
        <f t="shared" si="18"/>
        <v>0</v>
      </c>
      <c r="J142">
        <f t="shared" si="19"/>
        <v>0</v>
      </c>
      <c r="K142" t="str">
        <f t="shared" si="20"/>
        <v/>
      </c>
      <c r="L142" t="str">
        <f t="shared" si="21"/>
        <v/>
      </c>
      <c r="M142" t="str">
        <f t="shared" si="22"/>
        <v/>
      </c>
      <c r="N142">
        <f t="shared" si="23"/>
        <v>0</v>
      </c>
      <c r="O142" t="str">
        <f t="shared" si="24"/>
        <v/>
      </c>
      <c r="P142">
        <f t="shared" si="25"/>
        <v>0</v>
      </c>
      <c r="Q142" t="str">
        <f t="shared" si="26"/>
        <v/>
      </c>
    </row>
    <row r="143" spans="1:17">
      <c r="H143">
        <f t="shared" si="18"/>
        <v>0</v>
      </c>
      <c r="J143">
        <f t="shared" si="19"/>
        <v>0</v>
      </c>
      <c r="K143" t="str">
        <f t="shared" si="20"/>
        <v/>
      </c>
      <c r="L143" t="str">
        <f t="shared" si="21"/>
        <v/>
      </c>
      <c r="M143" t="str">
        <f t="shared" si="22"/>
        <v/>
      </c>
      <c r="N143">
        <f t="shared" si="23"/>
        <v>0</v>
      </c>
      <c r="O143" t="str">
        <f t="shared" si="24"/>
        <v/>
      </c>
      <c r="P143">
        <f t="shared" si="25"/>
        <v>0</v>
      </c>
      <c r="Q143" t="str">
        <f t="shared" si="26"/>
        <v/>
      </c>
    </row>
    <row r="144" spans="1:17">
      <c r="H144">
        <f t="shared" si="18"/>
        <v>0</v>
      </c>
      <c r="J144">
        <f t="shared" si="19"/>
        <v>0</v>
      </c>
      <c r="K144" t="str">
        <f t="shared" si="20"/>
        <v/>
      </c>
      <c r="L144" t="str">
        <f t="shared" si="21"/>
        <v/>
      </c>
      <c r="M144" t="str">
        <f t="shared" si="22"/>
        <v/>
      </c>
      <c r="N144">
        <f t="shared" si="23"/>
        <v>0</v>
      </c>
      <c r="O144" t="str">
        <f t="shared" si="24"/>
        <v/>
      </c>
      <c r="P144">
        <f t="shared" si="25"/>
        <v>0</v>
      </c>
      <c r="Q144" t="str">
        <f t="shared" si="26"/>
        <v/>
      </c>
    </row>
    <row r="145" spans="8:17">
      <c r="H145">
        <f t="shared" si="18"/>
        <v>0</v>
      </c>
      <c r="J145">
        <f t="shared" si="19"/>
        <v>0</v>
      </c>
      <c r="K145" t="str">
        <f t="shared" si="20"/>
        <v/>
      </c>
      <c r="L145" t="str">
        <f t="shared" si="21"/>
        <v/>
      </c>
      <c r="M145" t="str">
        <f t="shared" si="22"/>
        <v/>
      </c>
      <c r="N145">
        <f t="shared" si="23"/>
        <v>0</v>
      </c>
      <c r="O145" t="str">
        <f t="shared" si="24"/>
        <v/>
      </c>
      <c r="P145">
        <f t="shared" si="25"/>
        <v>0</v>
      </c>
      <c r="Q145" t="str">
        <f t="shared" si="26"/>
        <v/>
      </c>
    </row>
    <row r="146" spans="8:17">
      <c r="H146">
        <f t="shared" si="18"/>
        <v>0</v>
      </c>
      <c r="J146">
        <f t="shared" si="19"/>
        <v>0</v>
      </c>
      <c r="K146" t="str">
        <f t="shared" si="20"/>
        <v/>
      </c>
      <c r="L146" t="str">
        <f t="shared" si="21"/>
        <v/>
      </c>
      <c r="M146" t="str">
        <f t="shared" si="22"/>
        <v/>
      </c>
      <c r="N146">
        <f t="shared" si="23"/>
        <v>0</v>
      </c>
      <c r="O146" t="str">
        <f t="shared" si="24"/>
        <v/>
      </c>
      <c r="P146">
        <f t="shared" si="25"/>
        <v>0</v>
      </c>
      <c r="Q146" t="str">
        <f t="shared" si="26"/>
        <v/>
      </c>
    </row>
    <row r="147" spans="8:17">
      <c r="H147">
        <f t="shared" si="18"/>
        <v>0</v>
      </c>
      <c r="J147">
        <f t="shared" si="19"/>
        <v>0</v>
      </c>
      <c r="K147" t="str">
        <f t="shared" si="20"/>
        <v/>
      </c>
      <c r="L147" t="str">
        <f t="shared" si="21"/>
        <v/>
      </c>
      <c r="M147" t="str">
        <f t="shared" si="22"/>
        <v/>
      </c>
      <c r="N147">
        <f t="shared" si="23"/>
        <v>0</v>
      </c>
      <c r="O147" t="str">
        <f t="shared" si="24"/>
        <v/>
      </c>
      <c r="P147">
        <f t="shared" si="25"/>
        <v>0</v>
      </c>
      <c r="Q147" t="str">
        <f t="shared" si="26"/>
        <v/>
      </c>
    </row>
    <row r="148" spans="8:17">
      <c r="H148">
        <f t="shared" si="18"/>
        <v>0</v>
      </c>
      <c r="J148">
        <f t="shared" si="19"/>
        <v>0</v>
      </c>
      <c r="K148" t="str">
        <f t="shared" si="20"/>
        <v/>
      </c>
      <c r="L148" t="str">
        <f t="shared" si="21"/>
        <v/>
      </c>
      <c r="M148" t="str">
        <f t="shared" si="22"/>
        <v/>
      </c>
      <c r="N148">
        <f t="shared" si="23"/>
        <v>0</v>
      </c>
      <c r="O148" t="str">
        <f t="shared" si="24"/>
        <v/>
      </c>
      <c r="P148">
        <f t="shared" si="25"/>
        <v>0</v>
      </c>
      <c r="Q148" t="str">
        <f t="shared" si="26"/>
        <v/>
      </c>
    </row>
    <row r="149" spans="8:17">
      <c r="H149">
        <f t="shared" si="18"/>
        <v>0</v>
      </c>
      <c r="J149">
        <f t="shared" si="19"/>
        <v>0</v>
      </c>
      <c r="K149" t="str">
        <f t="shared" si="20"/>
        <v/>
      </c>
      <c r="L149" t="str">
        <f t="shared" si="21"/>
        <v/>
      </c>
      <c r="M149" t="str">
        <f t="shared" si="22"/>
        <v/>
      </c>
      <c r="N149">
        <f t="shared" si="23"/>
        <v>0</v>
      </c>
      <c r="O149" t="str">
        <f t="shared" si="24"/>
        <v/>
      </c>
      <c r="P149">
        <f t="shared" si="25"/>
        <v>0</v>
      </c>
      <c r="Q149" t="str">
        <f t="shared" si="26"/>
        <v/>
      </c>
    </row>
    <row r="150" spans="8:17">
      <c r="H150">
        <f t="shared" si="18"/>
        <v>0</v>
      </c>
      <c r="J150">
        <f t="shared" si="19"/>
        <v>0</v>
      </c>
      <c r="K150" t="str">
        <f t="shared" si="20"/>
        <v/>
      </c>
      <c r="L150" t="str">
        <f t="shared" si="21"/>
        <v/>
      </c>
      <c r="M150" t="str">
        <f t="shared" si="22"/>
        <v/>
      </c>
      <c r="N150">
        <f t="shared" si="23"/>
        <v>0</v>
      </c>
      <c r="O150" t="str">
        <f t="shared" si="24"/>
        <v/>
      </c>
      <c r="P150">
        <f t="shared" si="25"/>
        <v>0</v>
      </c>
      <c r="Q150" t="str">
        <f t="shared" si="26"/>
        <v/>
      </c>
    </row>
    <row r="151" spans="8:17">
      <c r="H151">
        <f t="shared" si="18"/>
        <v>0</v>
      </c>
      <c r="J151">
        <f t="shared" si="19"/>
        <v>0</v>
      </c>
      <c r="K151" t="str">
        <f t="shared" si="20"/>
        <v/>
      </c>
      <c r="L151" t="str">
        <f t="shared" si="21"/>
        <v/>
      </c>
      <c r="M151" t="str">
        <f t="shared" si="22"/>
        <v/>
      </c>
      <c r="N151">
        <f t="shared" si="23"/>
        <v>0</v>
      </c>
      <c r="O151" t="str">
        <f t="shared" si="24"/>
        <v/>
      </c>
      <c r="P151">
        <f t="shared" si="25"/>
        <v>0</v>
      </c>
      <c r="Q151" t="str">
        <f t="shared" si="26"/>
        <v/>
      </c>
    </row>
    <row r="152" spans="8:17">
      <c r="H152">
        <f t="shared" si="18"/>
        <v>0</v>
      </c>
      <c r="J152">
        <f t="shared" si="19"/>
        <v>0</v>
      </c>
      <c r="K152" t="str">
        <f t="shared" si="20"/>
        <v/>
      </c>
      <c r="L152" t="str">
        <f t="shared" si="21"/>
        <v/>
      </c>
      <c r="M152" t="str">
        <f t="shared" si="22"/>
        <v/>
      </c>
      <c r="N152">
        <f t="shared" si="23"/>
        <v>0</v>
      </c>
      <c r="O152" t="str">
        <f t="shared" si="24"/>
        <v/>
      </c>
      <c r="P152">
        <f t="shared" si="25"/>
        <v>0</v>
      </c>
      <c r="Q152" t="str">
        <f t="shared" si="26"/>
        <v/>
      </c>
    </row>
    <row r="153" spans="8:17">
      <c r="H153">
        <f t="shared" si="18"/>
        <v>0</v>
      </c>
      <c r="J153">
        <f t="shared" si="19"/>
        <v>0</v>
      </c>
      <c r="K153" t="str">
        <f t="shared" si="20"/>
        <v/>
      </c>
      <c r="L153" t="str">
        <f t="shared" si="21"/>
        <v/>
      </c>
      <c r="M153" t="str">
        <f t="shared" si="22"/>
        <v/>
      </c>
      <c r="N153">
        <f t="shared" si="23"/>
        <v>0</v>
      </c>
      <c r="O153" t="str">
        <f t="shared" si="24"/>
        <v/>
      </c>
      <c r="P153">
        <f t="shared" si="25"/>
        <v>0</v>
      </c>
      <c r="Q153" t="str">
        <f t="shared" si="26"/>
        <v/>
      </c>
    </row>
    <row r="154" spans="8:17">
      <c r="H154">
        <f t="shared" si="18"/>
        <v>0</v>
      </c>
      <c r="J154">
        <f t="shared" si="19"/>
        <v>0</v>
      </c>
      <c r="K154" t="str">
        <f t="shared" si="20"/>
        <v/>
      </c>
      <c r="L154" t="str">
        <f t="shared" si="21"/>
        <v/>
      </c>
      <c r="M154" t="str">
        <f t="shared" si="22"/>
        <v/>
      </c>
      <c r="N154">
        <f t="shared" si="23"/>
        <v>0</v>
      </c>
      <c r="O154" t="str">
        <f t="shared" si="24"/>
        <v/>
      </c>
      <c r="P154">
        <f t="shared" si="25"/>
        <v>0</v>
      </c>
      <c r="Q154" t="str">
        <f t="shared" si="26"/>
        <v/>
      </c>
    </row>
    <row r="155" spans="8:17">
      <c r="H155">
        <f t="shared" si="18"/>
        <v>0</v>
      </c>
      <c r="J155">
        <f t="shared" si="19"/>
        <v>0</v>
      </c>
      <c r="K155" t="str">
        <f t="shared" si="20"/>
        <v/>
      </c>
      <c r="L155" t="str">
        <f t="shared" si="21"/>
        <v/>
      </c>
      <c r="M155" t="str">
        <f t="shared" si="22"/>
        <v/>
      </c>
      <c r="N155">
        <f t="shared" si="23"/>
        <v>0</v>
      </c>
      <c r="O155" t="str">
        <f t="shared" si="24"/>
        <v/>
      </c>
      <c r="P155">
        <f t="shared" si="25"/>
        <v>0</v>
      </c>
      <c r="Q155" t="str">
        <f t="shared" si="26"/>
        <v/>
      </c>
    </row>
    <row r="156" spans="8:17">
      <c r="H156">
        <f t="shared" si="18"/>
        <v>0</v>
      </c>
      <c r="J156">
        <f t="shared" si="19"/>
        <v>0</v>
      </c>
      <c r="K156" t="str">
        <f t="shared" si="20"/>
        <v/>
      </c>
      <c r="L156" t="str">
        <f t="shared" si="21"/>
        <v/>
      </c>
      <c r="M156" t="str">
        <f t="shared" si="22"/>
        <v/>
      </c>
      <c r="N156">
        <f t="shared" si="23"/>
        <v>0</v>
      </c>
      <c r="O156" t="str">
        <f t="shared" si="24"/>
        <v/>
      </c>
      <c r="P156">
        <f t="shared" si="25"/>
        <v>0</v>
      </c>
      <c r="Q156" t="str">
        <f t="shared" si="26"/>
        <v/>
      </c>
    </row>
    <row r="157" spans="8:17">
      <c r="H157">
        <f t="shared" si="18"/>
        <v>0</v>
      </c>
      <c r="J157">
        <f t="shared" si="19"/>
        <v>0</v>
      </c>
      <c r="K157" t="str">
        <f t="shared" si="20"/>
        <v/>
      </c>
      <c r="L157" t="str">
        <f t="shared" si="21"/>
        <v/>
      </c>
      <c r="M157" t="str">
        <f t="shared" si="22"/>
        <v/>
      </c>
      <c r="N157">
        <f t="shared" si="23"/>
        <v>0</v>
      </c>
      <c r="O157" t="str">
        <f t="shared" si="24"/>
        <v/>
      </c>
      <c r="P157">
        <f t="shared" si="25"/>
        <v>0</v>
      </c>
      <c r="Q157" t="str">
        <f t="shared" si="26"/>
        <v/>
      </c>
    </row>
    <row r="158" spans="8:17">
      <c r="H158">
        <f t="shared" si="18"/>
        <v>0</v>
      </c>
      <c r="J158">
        <f t="shared" si="19"/>
        <v>0</v>
      </c>
      <c r="K158" t="str">
        <f t="shared" si="20"/>
        <v/>
      </c>
      <c r="L158" t="str">
        <f t="shared" si="21"/>
        <v/>
      </c>
      <c r="M158" t="str">
        <f t="shared" si="22"/>
        <v/>
      </c>
      <c r="N158">
        <f t="shared" si="23"/>
        <v>0</v>
      </c>
      <c r="O158" t="str">
        <f t="shared" si="24"/>
        <v/>
      </c>
      <c r="P158">
        <f t="shared" si="25"/>
        <v>0</v>
      </c>
      <c r="Q158" t="str">
        <f t="shared" si="26"/>
        <v/>
      </c>
    </row>
    <row r="159" spans="8:17">
      <c r="H159">
        <f t="shared" si="18"/>
        <v>0</v>
      </c>
      <c r="J159">
        <f t="shared" si="19"/>
        <v>0</v>
      </c>
      <c r="K159" t="str">
        <f t="shared" si="20"/>
        <v/>
      </c>
      <c r="L159" t="str">
        <f t="shared" si="21"/>
        <v/>
      </c>
      <c r="M159" t="str">
        <f t="shared" si="22"/>
        <v/>
      </c>
      <c r="N159">
        <f t="shared" si="23"/>
        <v>0</v>
      </c>
      <c r="O159" t="str">
        <f t="shared" si="24"/>
        <v/>
      </c>
      <c r="P159">
        <f t="shared" si="25"/>
        <v>0</v>
      </c>
      <c r="Q159" t="str">
        <f t="shared" si="26"/>
        <v/>
      </c>
    </row>
    <row r="160" spans="8:17">
      <c r="H160">
        <f t="shared" si="18"/>
        <v>0</v>
      </c>
      <c r="J160">
        <f t="shared" si="19"/>
        <v>0</v>
      </c>
      <c r="K160" t="str">
        <f t="shared" si="20"/>
        <v/>
      </c>
      <c r="L160" t="str">
        <f t="shared" si="21"/>
        <v/>
      </c>
      <c r="M160" t="str">
        <f t="shared" si="22"/>
        <v/>
      </c>
      <c r="N160">
        <f t="shared" si="23"/>
        <v>0</v>
      </c>
      <c r="O160" t="str">
        <f t="shared" si="24"/>
        <v/>
      </c>
      <c r="P160">
        <f t="shared" si="25"/>
        <v>0</v>
      </c>
      <c r="Q160" t="str">
        <f t="shared" si="26"/>
        <v/>
      </c>
    </row>
    <row r="161" spans="8:17">
      <c r="H161">
        <f t="shared" si="18"/>
        <v>0</v>
      </c>
      <c r="J161">
        <f t="shared" si="19"/>
        <v>0</v>
      </c>
      <c r="K161" t="str">
        <f t="shared" si="20"/>
        <v/>
      </c>
      <c r="L161" t="str">
        <f t="shared" si="21"/>
        <v/>
      </c>
      <c r="M161" t="str">
        <f t="shared" si="22"/>
        <v/>
      </c>
      <c r="N161">
        <f t="shared" si="23"/>
        <v>0</v>
      </c>
      <c r="O161" t="str">
        <f t="shared" si="24"/>
        <v/>
      </c>
      <c r="P161">
        <f t="shared" si="25"/>
        <v>0</v>
      </c>
      <c r="Q161" t="str">
        <f t="shared" si="26"/>
        <v/>
      </c>
    </row>
    <row r="162" spans="8:17">
      <c r="H162">
        <f t="shared" si="18"/>
        <v>0</v>
      </c>
      <c r="J162">
        <f t="shared" si="19"/>
        <v>0</v>
      </c>
      <c r="K162" t="str">
        <f t="shared" si="20"/>
        <v/>
      </c>
      <c r="L162" t="str">
        <f t="shared" si="21"/>
        <v/>
      </c>
      <c r="M162" t="str">
        <f t="shared" si="22"/>
        <v/>
      </c>
      <c r="N162">
        <f t="shared" si="23"/>
        <v>0</v>
      </c>
      <c r="O162" t="str">
        <f t="shared" si="24"/>
        <v/>
      </c>
      <c r="P162">
        <f t="shared" si="25"/>
        <v>0</v>
      </c>
      <c r="Q162" t="str">
        <f t="shared" si="26"/>
        <v/>
      </c>
    </row>
    <row r="163" spans="8:17">
      <c r="H163">
        <f t="shared" si="18"/>
        <v>0</v>
      </c>
      <c r="J163">
        <f t="shared" si="19"/>
        <v>0</v>
      </c>
      <c r="K163" t="str">
        <f t="shared" si="20"/>
        <v/>
      </c>
      <c r="L163" t="str">
        <f t="shared" si="21"/>
        <v/>
      </c>
      <c r="M163" t="str">
        <f t="shared" si="22"/>
        <v/>
      </c>
      <c r="N163">
        <f t="shared" si="23"/>
        <v>0</v>
      </c>
      <c r="O163" t="str">
        <f t="shared" si="24"/>
        <v/>
      </c>
      <c r="P163">
        <f t="shared" si="25"/>
        <v>0</v>
      </c>
      <c r="Q163" t="str">
        <f t="shared" si="26"/>
        <v/>
      </c>
    </row>
    <row r="164" spans="8:17">
      <c r="H164">
        <f t="shared" si="18"/>
        <v>0</v>
      </c>
      <c r="J164">
        <f t="shared" si="19"/>
        <v>0</v>
      </c>
      <c r="K164" t="str">
        <f t="shared" si="20"/>
        <v/>
      </c>
      <c r="L164" t="str">
        <f t="shared" si="21"/>
        <v/>
      </c>
      <c r="M164" t="str">
        <f t="shared" si="22"/>
        <v/>
      </c>
      <c r="N164">
        <f t="shared" si="23"/>
        <v>0</v>
      </c>
      <c r="O164" t="str">
        <f t="shared" si="24"/>
        <v/>
      </c>
      <c r="P164">
        <f t="shared" si="25"/>
        <v>0</v>
      </c>
      <c r="Q164" t="str">
        <f t="shared" si="26"/>
        <v/>
      </c>
    </row>
    <row r="165" spans="8:17">
      <c r="H165">
        <f t="shared" si="18"/>
        <v>0</v>
      </c>
      <c r="J165">
        <f t="shared" si="19"/>
        <v>0</v>
      </c>
      <c r="K165" t="str">
        <f t="shared" si="20"/>
        <v/>
      </c>
      <c r="L165" t="str">
        <f t="shared" si="21"/>
        <v/>
      </c>
      <c r="M165" t="str">
        <f t="shared" si="22"/>
        <v/>
      </c>
      <c r="N165">
        <f t="shared" si="23"/>
        <v>0</v>
      </c>
      <c r="O165" t="str">
        <f t="shared" si="24"/>
        <v/>
      </c>
      <c r="P165">
        <f t="shared" si="25"/>
        <v>0</v>
      </c>
      <c r="Q165" t="str">
        <f t="shared" si="26"/>
        <v/>
      </c>
    </row>
    <row r="166" spans="8:17">
      <c r="H166">
        <f t="shared" si="18"/>
        <v>0</v>
      </c>
      <c r="J166">
        <f t="shared" si="19"/>
        <v>0</v>
      </c>
      <c r="K166" t="str">
        <f t="shared" si="20"/>
        <v/>
      </c>
      <c r="L166" t="str">
        <f t="shared" si="21"/>
        <v/>
      </c>
      <c r="M166" t="str">
        <f t="shared" si="22"/>
        <v/>
      </c>
      <c r="N166">
        <f t="shared" si="23"/>
        <v>0</v>
      </c>
      <c r="O166" t="str">
        <f t="shared" si="24"/>
        <v/>
      </c>
      <c r="P166">
        <f t="shared" si="25"/>
        <v>0</v>
      </c>
      <c r="Q166" t="str">
        <f t="shared" si="26"/>
        <v/>
      </c>
    </row>
    <row r="167" spans="8:17">
      <c r="H167">
        <f t="shared" si="18"/>
        <v>0</v>
      </c>
      <c r="J167">
        <f t="shared" si="19"/>
        <v>0</v>
      </c>
      <c r="K167" t="str">
        <f t="shared" si="20"/>
        <v/>
      </c>
      <c r="L167" t="str">
        <f t="shared" si="21"/>
        <v/>
      </c>
      <c r="M167" t="str">
        <f t="shared" si="22"/>
        <v/>
      </c>
      <c r="N167">
        <f t="shared" si="23"/>
        <v>0</v>
      </c>
      <c r="O167" t="str">
        <f t="shared" si="24"/>
        <v/>
      </c>
      <c r="P167">
        <f t="shared" si="25"/>
        <v>0</v>
      </c>
      <c r="Q167" t="str">
        <f t="shared" si="26"/>
        <v/>
      </c>
    </row>
    <row r="168" spans="8:17">
      <c r="H168">
        <f t="shared" si="18"/>
        <v>0</v>
      </c>
      <c r="J168">
        <f t="shared" si="19"/>
        <v>0</v>
      </c>
      <c r="K168" t="str">
        <f t="shared" si="20"/>
        <v/>
      </c>
      <c r="L168" t="str">
        <f t="shared" si="21"/>
        <v/>
      </c>
      <c r="M168" t="str">
        <f t="shared" si="22"/>
        <v/>
      </c>
      <c r="N168">
        <f t="shared" si="23"/>
        <v>0</v>
      </c>
      <c r="O168" t="str">
        <f t="shared" si="24"/>
        <v/>
      </c>
      <c r="P168">
        <f t="shared" si="25"/>
        <v>0</v>
      </c>
      <c r="Q168" t="str">
        <f t="shared" si="26"/>
        <v/>
      </c>
    </row>
    <row r="169" spans="8:17">
      <c r="H169">
        <f t="shared" si="18"/>
        <v>0</v>
      </c>
      <c r="J169">
        <f t="shared" si="19"/>
        <v>0</v>
      </c>
      <c r="K169" t="str">
        <f t="shared" si="20"/>
        <v/>
      </c>
      <c r="L169" t="str">
        <f t="shared" si="21"/>
        <v/>
      </c>
      <c r="M169" t="str">
        <f t="shared" si="22"/>
        <v/>
      </c>
      <c r="N169">
        <f t="shared" si="23"/>
        <v>0</v>
      </c>
      <c r="O169" t="str">
        <f t="shared" si="24"/>
        <v/>
      </c>
      <c r="P169">
        <f t="shared" si="25"/>
        <v>0</v>
      </c>
      <c r="Q169" t="str">
        <f t="shared" si="26"/>
        <v/>
      </c>
    </row>
    <row r="170" spans="8:17">
      <c r="H170">
        <f t="shared" si="18"/>
        <v>0</v>
      </c>
      <c r="J170">
        <f t="shared" si="19"/>
        <v>0</v>
      </c>
      <c r="K170" t="str">
        <f t="shared" si="20"/>
        <v/>
      </c>
      <c r="L170" t="str">
        <f t="shared" si="21"/>
        <v/>
      </c>
      <c r="M170" t="str">
        <f t="shared" si="22"/>
        <v/>
      </c>
      <c r="N170">
        <f t="shared" si="23"/>
        <v>0</v>
      </c>
      <c r="O170" t="str">
        <f t="shared" si="24"/>
        <v/>
      </c>
      <c r="P170">
        <f t="shared" si="25"/>
        <v>0</v>
      </c>
      <c r="Q170" t="str">
        <f t="shared" si="26"/>
        <v/>
      </c>
    </row>
    <row r="171" spans="8:17">
      <c r="H171">
        <f t="shared" si="18"/>
        <v>0</v>
      </c>
      <c r="J171">
        <f t="shared" si="19"/>
        <v>0</v>
      </c>
      <c r="K171" t="str">
        <f t="shared" si="20"/>
        <v/>
      </c>
      <c r="L171" t="str">
        <f t="shared" si="21"/>
        <v/>
      </c>
      <c r="M171" t="str">
        <f t="shared" si="22"/>
        <v/>
      </c>
      <c r="N171">
        <f t="shared" si="23"/>
        <v>0</v>
      </c>
      <c r="O171" t="str">
        <f t="shared" si="24"/>
        <v/>
      </c>
      <c r="P171">
        <f t="shared" si="25"/>
        <v>0</v>
      </c>
      <c r="Q171" t="str">
        <f t="shared" si="26"/>
        <v/>
      </c>
    </row>
    <row r="172" spans="8:17">
      <c r="H172">
        <f t="shared" si="18"/>
        <v>0</v>
      </c>
      <c r="J172">
        <f t="shared" si="19"/>
        <v>0</v>
      </c>
      <c r="K172" t="str">
        <f t="shared" si="20"/>
        <v/>
      </c>
      <c r="L172" t="str">
        <f t="shared" si="21"/>
        <v/>
      </c>
      <c r="M172" t="str">
        <f t="shared" si="22"/>
        <v/>
      </c>
      <c r="N172">
        <f t="shared" si="23"/>
        <v>0</v>
      </c>
      <c r="O172" t="str">
        <f t="shared" si="24"/>
        <v/>
      </c>
      <c r="P172">
        <f t="shared" si="25"/>
        <v>0</v>
      </c>
      <c r="Q172" t="str">
        <f t="shared" si="26"/>
        <v/>
      </c>
    </row>
    <row r="173" spans="8:17">
      <c r="H173">
        <f t="shared" si="18"/>
        <v>0</v>
      </c>
      <c r="J173">
        <f t="shared" si="19"/>
        <v>0</v>
      </c>
      <c r="K173" t="str">
        <f t="shared" si="20"/>
        <v/>
      </c>
      <c r="L173" t="str">
        <f t="shared" si="21"/>
        <v/>
      </c>
      <c r="M173" t="str">
        <f t="shared" si="22"/>
        <v/>
      </c>
      <c r="N173">
        <f t="shared" si="23"/>
        <v>0</v>
      </c>
      <c r="O173" t="str">
        <f t="shared" si="24"/>
        <v/>
      </c>
      <c r="P173">
        <f t="shared" si="25"/>
        <v>0</v>
      </c>
      <c r="Q173" t="str">
        <f t="shared" si="26"/>
        <v/>
      </c>
    </row>
    <row r="174" spans="8:17">
      <c r="H174">
        <f t="shared" si="18"/>
        <v>0</v>
      </c>
      <c r="J174">
        <f t="shared" si="19"/>
        <v>0</v>
      </c>
      <c r="K174" t="str">
        <f t="shared" si="20"/>
        <v/>
      </c>
      <c r="L174" t="str">
        <f t="shared" si="21"/>
        <v/>
      </c>
      <c r="M174" t="str">
        <f t="shared" si="22"/>
        <v/>
      </c>
      <c r="N174">
        <f t="shared" si="23"/>
        <v>0</v>
      </c>
      <c r="O174" t="str">
        <f t="shared" si="24"/>
        <v/>
      </c>
      <c r="P174">
        <f t="shared" si="25"/>
        <v>0</v>
      </c>
      <c r="Q174" t="str">
        <f t="shared" si="26"/>
        <v/>
      </c>
    </row>
    <row r="175" spans="8:17">
      <c r="H175">
        <f t="shared" si="18"/>
        <v>0</v>
      </c>
      <c r="J175">
        <f t="shared" si="19"/>
        <v>0</v>
      </c>
      <c r="K175" t="str">
        <f t="shared" si="20"/>
        <v/>
      </c>
      <c r="L175" t="str">
        <f t="shared" si="21"/>
        <v/>
      </c>
      <c r="M175" t="str">
        <f t="shared" si="22"/>
        <v/>
      </c>
      <c r="N175">
        <f t="shared" si="23"/>
        <v>0</v>
      </c>
      <c r="O175" t="str">
        <f t="shared" si="24"/>
        <v/>
      </c>
      <c r="P175">
        <f t="shared" si="25"/>
        <v>0</v>
      </c>
      <c r="Q175" t="str">
        <f t="shared" si="26"/>
        <v/>
      </c>
    </row>
    <row r="176" spans="8:17">
      <c r="H176">
        <f t="shared" si="18"/>
        <v>0</v>
      </c>
      <c r="J176">
        <f t="shared" si="19"/>
        <v>0</v>
      </c>
      <c r="K176" t="str">
        <f t="shared" si="20"/>
        <v/>
      </c>
      <c r="L176" t="str">
        <f t="shared" si="21"/>
        <v/>
      </c>
      <c r="M176" t="str">
        <f t="shared" si="22"/>
        <v/>
      </c>
      <c r="N176">
        <f t="shared" si="23"/>
        <v>0</v>
      </c>
      <c r="O176" t="str">
        <f t="shared" si="24"/>
        <v/>
      </c>
      <c r="P176">
        <f t="shared" si="25"/>
        <v>0</v>
      </c>
      <c r="Q176" t="str">
        <f t="shared" si="26"/>
        <v/>
      </c>
    </row>
    <row r="177" spans="8:17">
      <c r="H177">
        <f t="shared" si="18"/>
        <v>0</v>
      </c>
      <c r="J177">
        <f t="shared" si="19"/>
        <v>0</v>
      </c>
      <c r="K177" t="str">
        <f t="shared" si="20"/>
        <v/>
      </c>
      <c r="L177" t="str">
        <f t="shared" si="21"/>
        <v/>
      </c>
      <c r="M177" t="str">
        <f t="shared" si="22"/>
        <v/>
      </c>
      <c r="N177">
        <f t="shared" si="23"/>
        <v>0</v>
      </c>
      <c r="O177" t="str">
        <f t="shared" si="24"/>
        <v/>
      </c>
      <c r="P177">
        <f t="shared" si="25"/>
        <v>0</v>
      </c>
      <c r="Q177" t="str">
        <f t="shared" si="26"/>
        <v/>
      </c>
    </row>
    <row r="178" spans="8:17">
      <c r="H178">
        <f t="shared" si="18"/>
        <v>0</v>
      </c>
      <c r="J178">
        <f t="shared" si="19"/>
        <v>0</v>
      </c>
      <c r="K178" t="str">
        <f t="shared" si="20"/>
        <v/>
      </c>
      <c r="L178" t="str">
        <f t="shared" si="21"/>
        <v/>
      </c>
      <c r="M178" t="str">
        <f t="shared" si="22"/>
        <v/>
      </c>
      <c r="N178">
        <f t="shared" si="23"/>
        <v>0</v>
      </c>
      <c r="O178" t="str">
        <f t="shared" si="24"/>
        <v/>
      </c>
      <c r="P178">
        <f t="shared" si="25"/>
        <v>0</v>
      </c>
      <c r="Q178" t="str">
        <f t="shared" si="26"/>
        <v/>
      </c>
    </row>
    <row r="179" spans="8:17">
      <c r="H179">
        <f t="shared" si="18"/>
        <v>0</v>
      </c>
      <c r="J179">
        <f t="shared" si="19"/>
        <v>0</v>
      </c>
      <c r="K179" t="str">
        <f t="shared" si="20"/>
        <v/>
      </c>
      <c r="L179" t="str">
        <f t="shared" si="21"/>
        <v/>
      </c>
      <c r="M179" t="str">
        <f t="shared" si="22"/>
        <v/>
      </c>
      <c r="N179">
        <f t="shared" si="23"/>
        <v>0</v>
      </c>
      <c r="O179" t="str">
        <f t="shared" si="24"/>
        <v/>
      </c>
      <c r="P179">
        <f t="shared" si="25"/>
        <v>0</v>
      </c>
      <c r="Q179" t="str">
        <f t="shared" si="26"/>
        <v/>
      </c>
    </row>
    <row r="180" spans="8:17">
      <c r="H180">
        <f t="shared" si="18"/>
        <v>0</v>
      </c>
      <c r="J180">
        <f t="shared" si="19"/>
        <v>0</v>
      </c>
      <c r="K180" t="str">
        <f t="shared" si="20"/>
        <v/>
      </c>
      <c r="L180" t="str">
        <f t="shared" si="21"/>
        <v/>
      </c>
      <c r="M180" t="str">
        <f t="shared" si="22"/>
        <v/>
      </c>
      <c r="N180">
        <f t="shared" si="23"/>
        <v>0</v>
      </c>
      <c r="O180" t="str">
        <f t="shared" si="24"/>
        <v/>
      </c>
      <c r="P180">
        <f t="shared" si="25"/>
        <v>0</v>
      </c>
      <c r="Q180" t="str">
        <f t="shared" si="26"/>
        <v/>
      </c>
    </row>
    <row r="181" spans="8:17">
      <c r="H181">
        <f t="shared" si="18"/>
        <v>0</v>
      </c>
      <c r="J181">
        <f t="shared" si="19"/>
        <v>0</v>
      </c>
      <c r="K181" t="str">
        <f t="shared" si="20"/>
        <v/>
      </c>
      <c r="L181" t="str">
        <f t="shared" si="21"/>
        <v/>
      </c>
      <c r="M181" t="str">
        <f t="shared" si="22"/>
        <v/>
      </c>
      <c r="N181">
        <f t="shared" si="23"/>
        <v>0</v>
      </c>
      <c r="O181" t="str">
        <f t="shared" si="24"/>
        <v/>
      </c>
      <c r="P181">
        <f t="shared" si="25"/>
        <v>0</v>
      </c>
      <c r="Q181" t="str">
        <f t="shared" si="26"/>
        <v/>
      </c>
    </row>
    <row r="182" spans="8:17">
      <c r="H182">
        <f t="shared" si="18"/>
        <v>0</v>
      </c>
      <c r="J182">
        <f t="shared" si="19"/>
        <v>0</v>
      </c>
      <c r="K182" t="str">
        <f t="shared" si="20"/>
        <v/>
      </c>
      <c r="L182" t="str">
        <f t="shared" si="21"/>
        <v/>
      </c>
      <c r="M182" t="str">
        <f t="shared" si="22"/>
        <v/>
      </c>
      <c r="N182">
        <f t="shared" si="23"/>
        <v>0</v>
      </c>
      <c r="O182" t="str">
        <f t="shared" si="24"/>
        <v/>
      </c>
      <c r="P182">
        <f t="shared" si="25"/>
        <v>0</v>
      </c>
      <c r="Q182" t="str">
        <f t="shared" si="26"/>
        <v/>
      </c>
    </row>
    <row r="183" spans="8:17">
      <c r="H183">
        <f t="shared" si="18"/>
        <v>0</v>
      </c>
      <c r="J183">
        <f t="shared" si="19"/>
        <v>0</v>
      </c>
      <c r="K183" t="str">
        <f t="shared" si="20"/>
        <v/>
      </c>
      <c r="L183" t="str">
        <f t="shared" si="21"/>
        <v/>
      </c>
      <c r="M183" t="str">
        <f t="shared" si="22"/>
        <v/>
      </c>
      <c r="N183">
        <f t="shared" si="23"/>
        <v>0</v>
      </c>
      <c r="O183" t="str">
        <f t="shared" si="24"/>
        <v/>
      </c>
      <c r="P183">
        <f t="shared" si="25"/>
        <v>0</v>
      </c>
      <c r="Q183" t="str">
        <f t="shared" si="26"/>
        <v/>
      </c>
    </row>
    <row r="184" spans="8:17">
      <c r="H184">
        <f t="shared" si="18"/>
        <v>0</v>
      </c>
      <c r="J184">
        <f t="shared" si="19"/>
        <v>0</v>
      </c>
      <c r="K184" t="str">
        <f t="shared" si="20"/>
        <v/>
      </c>
      <c r="L184" t="str">
        <f t="shared" si="21"/>
        <v/>
      </c>
      <c r="M184" t="str">
        <f t="shared" si="22"/>
        <v/>
      </c>
      <c r="N184">
        <f t="shared" si="23"/>
        <v>0</v>
      </c>
      <c r="O184" t="str">
        <f t="shared" si="24"/>
        <v/>
      </c>
      <c r="P184">
        <f t="shared" si="25"/>
        <v>0</v>
      </c>
      <c r="Q184" t="str">
        <f t="shared" si="26"/>
        <v/>
      </c>
    </row>
    <row r="185" spans="8:17">
      <c r="H185">
        <f t="shared" si="18"/>
        <v>0</v>
      </c>
      <c r="J185">
        <f t="shared" si="19"/>
        <v>0</v>
      </c>
      <c r="K185" t="str">
        <f t="shared" si="20"/>
        <v/>
      </c>
      <c r="L185" t="str">
        <f t="shared" si="21"/>
        <v/>
      </c>
      <c r="M185" t="str">
        <f t="shared" si="22"/>
        <v/>
      </c>
      <c r="N185">
        <f t="shared" si="23"/>
        <v>0</v>
      </c>
      <c r="O185" t="str">
        <f t="shared" si="24"/>
        <v/>
      </c>
      <c r="P185">
        <f t="shared" si="25"/>
        <v>0</v>
      </c>
      <c r="Q185" t="str">
        <f t="shared" si="26"/>
        <v/>
      </c>
    </row>
    <row r="186" spans="8:17">
      <c r="H186">
        <f t="shared" si="18"/>
        <v>0</v>
      </c>
      <c r="J186">
        <f t="shared" si="19"/>
        <v>0</v>
      </c>
      <c r="K186" t="str">
        <f t="shared" si="20"/>
        <v/>
      </c>
      <c r="L186" t="str">
        <f t="shared" si="21"/>
        <v/>
      </c>
      <c r="M186" t="str">
        <f t="shared" si="22"/>
        <v/>
      </c>
      <c r="N186">
        <f t="shared" si="23"/>
        <v>0</v>
      </c>
      <c r="O186" t="str">
        <f t="shared" si="24"/>
        <v/>
      </c>
      <c r="P186">
        <f t="shared" si="25"/>
        <v>0</v>
      </c>
      <c r="Q186" t="str">
        <f t="shared" si="26"/>
        <v/>
      </c>
    </row>
    <row r="187" spans="8:17">
      <c r="H187">
        <f t="shared" si="18"/>
        <v>0</v>
      </c>
      <c r="J187">
        <f t="shared" si="19"/>
        <v>0</v>
      </c>
      <c r="K187" t="str">
        <f t="shared" si="20"/>
        <v/>
      </c>
      <c r="L187" t="str">
        <f t="shared" si="21"/>
        <v/>
      </c>
      <c r="M187" t="str">
        <f t="shared" si="22"/>
        <v/>
      </c>
      <c r="N187">
        <f t="shared" si="23"/>
        <v>0</v>
      </c>
      <c r="O187" t="str">
        <f t="shared" si="24"/>
        <v/>
      </c>
      <c r="P187">
        <f t="shared" si="25"/>
        <v>0</v>
      </c>
      <c r="Q187" t="str">
        <f t="shared" si="26"/>
        <v/>
      </c>
    </row>
    <row r="188" spans="8:17">
      <c r="H188">
        <f t="shared" si="18"/>
        <v>0</v>
      </c>
      <c r="J188">
        <f t="shared" si="19"/>
        <v>0</v>
      </c>
      <c r="K188" t="str">
        <f t="shared" si="20"/>
        <v/>
      </c>
      <c r="L188" t="str">
        <f t="shared" si="21"/>
        <v/>
      </c>
      <c r="M188" t="str">
        <f t="shared" si="22"/>
        <v/>
      </c>
      <c r="N188">
        <f t="shared" si="23"/>
        <v>0</v>
      </c>
      <c r="O188" t="str">
        <f t="shared" si="24"/>
        <v/>
      </c>
      <c r="P188">
        <f t="shared" si="25"/>
        <v>0</v>
      </c>
      <c r="Q188" t="str">
        <f t="shared" si="26"/>
        <v/>
      </c>
    </row>
    <row r="189" spans="8:17">
      <c r="H189">
        <f t="shared" si="18"/>
        <v>0</v>
      </c>
      <c r="J189">
        <f t="shared" si="19"/>
        <v>0</v>
      </c>
      <c r="K189" t="str">
        <f t="shared" si="20"/>
        <v/>
      </c>
      <c r="L189" t="str">
        <f t="shared" si="21"/>
        <v/>
      </c>
      <c r="M189" t="str">
        <f t="shared" si="22"/>
        <v/>
      </c>
      <c r="N189">
        <f t="shared" si="23"/>
        <v>0</v>
      </c>
      <c r="O189" t="str">
        <f t="shared" si="24"/>
        <v/>
      </c>
      <c r="P189">
        <f t="shared" si="25"/>
        <v>0</v>
      </c>
      <c r="Q189" t="str">
        <f t="shared" si="26"/>
        <v/>
      </c>
    </row>
    <row r="190" spans="8:17">
      <c r="H190">
        <f t="shared" si="18"/>
        <v>0</v>
      </c>
      <c r="J190">
        <f t="shared" si="19"/>
        <v>0</v>
      </c>
      <c r="K190" t="str">
        <f t="shared" si="20"/>
        <v/>
      </c>
      <c r="L190" t="str">
        <f t="shared" si="21"/>
        <v/>
      </c>
      <c r="M190" t="str">
        <f t="shared" si="22"/>
        <v/>
      </c>
      <c r="N190">
        <f t="shared" si="23"/>
        <v>0</v>
      </c>
      <c r="O190" t="str">
        <f t="shared" si="24"/>
        <v/>
      </c>
      <c r="P190">
        <f t="shared" si="25"/>
        <v>0</v>
      </c>
      <c r="Q190" t="str">
        <f t="shared" si="26"/>
        <v/>
      </c>
    </row>
    <row r="191" spans="8:17">
      <c r="H191">
        <f t="shared" si="18"/>
        <v>0</v>
      </c>
      <c r="J191">
        <f t="shared" si="19"/>
        <v>0</v>
      </c>
      <c r="K191" t="str">
        <f t="shared" si="20"/>
        <v/>
      </c>
      <c r="L191" t="str">
        <f t="shared" si="21"/>
        <v/>
      </c>
      <c r="M191" t="str">
        <f t="shared" si="22"/>
        <v/>
      </c>
      <c r="N191">
        <f t="shared" si="23"/>
        <v>0</v>
      </c>
      <c r="O191" t="str">
        <f t="shared" si="24"/>
        <v/>
      </c>
      <c r="P191">
        <f t="shared" si="25"/>
        <v>0</v>
      </c>
      <c r="Q191" t="str">
        <f t="shared" si="26"/>
        <v/>
      </c>
    </row>
    <row r="192" spans="8:17">
      <c r="H192">
        <f t="shared" si="18"/>
        <v>0</v>
      </c>
      <c r="J192">
        <f t="shared" si="19"/>
        <v>0</v>
      </c>
      <c r="K192" t="str">
        <f t="shared" si="20"/>
        <v/>
      </c>
      <c r="L192" t="str">
        <f t="shared" si="21"/>
        <v/>
      </c>
      <c r="M192" t="str">
        <f t="shared" si="22"/>
        <v/>
      </c>
      <c r="N192">
        <f t="shared" si="23"/>
        <v>0</v>
      </c>
      <c r="O192" t="str">
        <f t="shared" si="24"/>
        <v/>
      </c>
      <c r="P192">
        <f t="shared" si="25"/>
        <v>0</v>
      </c>
      <c r="Q192" t="str">
        <f t="shared" si="26"/>
        <v/>
      </c>
    </row>
    <row r="193" spans="8:17">
      <c r="H193">
        <f t="shared" si="18"/>
        <v>0</v>
      </c>
      <c r="J193">
        <f t="shared" si="19"/>
        <v>0</v>
      </c>
      <c r="K193" t="str">
        <f t="shared" si="20"/>
        <v/>
      </c>
      <c r="L193" t="str">
        <f t="shared" si="21"/>
        <v/>
      </c>
      <c r="M193" t="str">
        <f t="shared" si="22"/>
        <v/>
      </c>
      <c r="N193">
        <f t="shared" si="23"/>
        <v>0</v>
      </c>
      <c r="O193" t="str">
        <f t="shared" si="24"/>
        <v/>
      </c>
      <c r="P193">
        <f t="shared" si="25"/>
        <v>0</v>
      </c>
      <c r="Q193" t="str">
        <f t="shared" si="26"/>
        <v/>
      </c>
    </row>
    <row r="194" spans="8:17">
      <c r="H194">
        <f t="shared" ref="H194:H257" si="27">A194</f>
        <v>0</v>
      </c>
      <c r="J194">
        <f t="shared" ref="J194:J257" si="28">IF($I194&lt;&gt;"",$I194,$A194)</f>
        <v>0</v>
      </c>
      <c r="K194" t="str">
        <f t="shared" ref="K194:K257" si="29">IF($C194="","",IF(LEN($C194)=1,CODE(UPPER($C194))-64,IFERROR(VALUE(MID($C194,2,99)),"")))</f>
        <v/>
      </c>
      <c r="L194" t="str">
        <f t="shared" ref="L194:L257" si="30">IF($D194="","",IFERROR(VALUE($D194),""))</f>
        <v/>
      </c>
      <c r="M194" t="str">
        <f t="shared" ref="M194:M257" si="31">IFERROR(VALUE(MID($A194,FIND("Level",$A194)+5,99)),IF($E194="AISLE_FLOOR",0,IF($E194="OVERFLOW",0,IF($E194="ENDCAP",0,""))))</f>
        <v/>
      </c>
      <c r="N194">
        <f t="shared" ref="N194:N257" si="32">IF(AND($B194&lt;&gt;"",$C194&lt;&gt;"",ISNUMBER(--$D194)), $B194&amp;": "&amp;LEFT($C194,1)&amp;TEXT(--$D194,"00"), IF($I194&lt;&gt;"",$I194,$A194))</f>
        <v>0</v>
      </c>
      <c r="O194" t="str">
        <f t="shared" ref="O194:O257" si="33">IF(AND($C194&lt;&gt;"",ISNUMBER(--$D194)),LEFT($C194,1),"")</f>
        <v/>
      </c>
      <c r="P194">
        <f t="shared" ref="P194:P257" si="34">IF(ISNUMBER(--$D194),--$D194,"")</f>
        <v>0</v>
      </c>
      <c r="Q194" t="str">
        <f t="shared" ref="Q194:Q257" si="35">IF(AND($O194&lt;&gt;"",$P194&lt;&gt;""),$O194&amp;TEXT($P194,"00"),"")</f>
        <v/>
      </c>
    </row>
    <row r="195" spans="8:17">
      <c r="H195">
        <f t="shared" si="27"/>
        <v>0</v>
      </c>
      <c r="J195">
        <f t="shared" si="28"/>
        <v>0</v>
      </c>
      <c r="K195" t="str">
        <f t="shared" si="29"/>
        <v/>
      </c>
      <c r="L195" t="str">
        <f t="shared" si="30"/>
        <v/>
      </c>
      <c r="M195" t="str">
        <f t="shared" si="31"/>
        <v/>
      </c>
      <c r="N195">
        <f t="shared" si="32"/>
        <v>0</v>
      </c>
      <c r="O195" t="str">
        <f t="shared" si="33"/>
        <v/>
      </c>
      <c r="P195">
        <f t="shared" si="34"/>
        <v>0</v>
      </c>
      <c r="Q195" t="str">
        <f t="shared" si="35"/>
        <v/>
      </c>
    </row>
    <row r="196" spans="8:17">
      <c r="H196">
        <f t="shared" si="27"/>
        <v>0</v>
      </c>
      <c r="J196">
        <f t="shared" si="28"/>
        <v>0</v>
      </c>
      <c r="K196" t="str">
        <f t="shared" si="29"/>
        <v/>
      </c>
      <c r="L196" t="str">
        <f t="shared" si="30"/>
        <v/>
      </c>
      <c r="M196" t="str">
        <f t="shared" si="31"/>
        <v/>
      </c>
      <c r="N196">
        <f t="shared" si="32"/>
        <v>0</v>
      </c>
      <c r="O196" t="str">
        <f t="shared" si="33"/>
        <v/>
      </c>
      <c r="P196">
        <f t="shared" si="34"/>
        <v>0</v>
      </c>
      <c r="Q196" t="str">
        <f t="shared" si="35"/>
        <v/>
      </c>
    </row>
    <row r="197" spans="8:17">
      <c r="H197">
        <f t="shared" si="27"/>
        <v>0</v>
      </c>
      <c r="J197">
        <f t="shared" si="28"/>
        <v>0</v>
      </c>
      <c r="K197" t="str">
        <f t="shared" si="29"/>
        <v/>
      </c>
      <c r="L197" t="str">
        <f t="shared" si="30"/>
        <v/>
      </c>
      <c r="M197" t="str">
        <f t="shared" si="31"/>
        <v/>
      </c>
      <c r="N197">
        <f t="shared" si="32"/>
        <v>0</v>
      </c>
      <c r="O197" t="str">
        <f t="shared" si="33"/>
        <v/>
      </c>
      <c r="P197">
        <f t="shared" si="34"/>
        <v>0</v>
      </c>
      <c r="Q197" t="str">
        <f t="shared" si="35"/>
        <v/>
      </c>
    </row>
    <row r="198" spans="8:17">
      <c r="H198">
        <f t="shared" si="27"/>
        <v>0</v>
      </c>
      <c r="J198">
        <f t="shared" si="28"/>
        <v>0</v>
      </c>
      <c r="K198" t="str">
        <f t="shared" si="29"/>
        <v/>
      </c>
      <c r="L198" t="str">
        <f t="shared" si="30"/>
        <v/>
      </c>
      <c r="M198" t="str">
        <f t="shared" si="31"/>
        <v/>
      </c>
      <c r="N198">
        <f t="shared" si="32"/>
        <v>0</v>
      </c>
      <c r="O198" t="str">
        <f t="shared" si="33"/>
        <v/>
      </c>
      <c r="P198">
        <f t="shared" si="34"/>
        <v>0</v>
      </c>
      <c r="Q198" t="str">
        <f t="shared" si="35"/>
        <v/>
      </c>
    </row>
    <row r="199" spans="8:17">
      <c r="H199">
        <f t="shared" si="27"/>
        <v>0</v>
      </c>
      <c r="J199">
        <f t="shared" si="28"/>
        <v>0</v>
      </c>
      <c r="K199" t="str">
        <f t="shared" si="29"/>
        <v/>
      </c>
      <c r="L199" t="str">
        <f t="shared" si="30"/>
        <v/>
      </c>
      <c r="M199" t="str">
        <f t="shared" si="31"/>
        <v/>
      </c>
      <c r="N199">
        <f t="shared" si="32"/>
        <v>0</v>
      </c>
      <c r="O199" t="str">
        <f t="shared" si="33"/>
        <v/>
      </c>
      <c r="P199">
        <f t="shared" si="34"/>
        <v>0</v>
      </c>
      <c r="Q199" t="str">
        <f t="shared" si="35"/>
        <v/>
      </c>
    </row>
    <row r="200" spans="8:17">
      <c r="H200">
        <f t="shared" si="27"/>
        <v>0</v>
      </c>
      <c r="J200">
        <f t="shared" si="28"/>
        <v>0</v>
      </c>
      <c r="K200" t="str">
        <f t="shared" si="29"/>
        <v/>
      </c>
      <c r="L200" t="str">
        <f t="shared" si="30"/>
        <v/>
      </c>
      <c r="M200" t="str">
        <f t="shared" si="31"/>
        <v/>
      </c>
      <c r="N200">
        <f t="shared" si="32"/>
        <v>0</v>
      </c>
      <c r="O200" t="str">
        <f t="shared" si="33"/>
        <v/>
      </c>
      <c r="P200">
        <f t="shared" si="34"/>
        <v>0</v>
      </c>
      <c r="Q200" t="str">
        <f t="shared" si="35"/>
        <v/>
      </c>
    </row>
    <row r="201" spans="8:17">
      <c r="H201">
        <f t="shared" si="27"/>
        <v>0</v>
      </c>
      <c r="J201">
        <f t="shared" si="28"/>
        <v>0</v>
      </c>
      <c r="K201" t="str">
        <f t="shared" si="29"/>
        <v/>
      </c>
      <c r="L201" t="str">
        <f t="shared" si="30"/>
        <v/>
      </c>
      <c r="M201" t="str">
        <f t="shared" si="31"/>
        <v/>
      </c>
      <c r="N201">
        <f t="shared" si="32"/>
        <v>0</v>
      </c>
      <c r="O201" t="str">
        <f t="shared" si="33"/>
        <v/>
      </c>
      <c r="P201">
        <f t="shared" si="34"/>
        <v>0</v>
      </c>
      <c r="Q201" t="str">
        <f t="shared" si="35"/>
        <v/>
      </c>
    </row>
    <row r="202" spans="8:17">
      <c r="H202">
        <f t="shared" si="27"/>
        <v>0</v>
      </c>
      <c r="J202">
        <f t="shared" si="28"/>
        <v>0</v>
      </c>
      <c r="K202" t="str">
        <f t="shared" si="29"/>
        <v/>
      </c>
      <c r="L202" t="str">
        <f t="shared" si="30"/>
        <v/>
      </c>
      <c r="M202" t="str">
        <f t="shared" si="31"/>
        <v/>
      </c>
      <c r="N202">
        <f t="shared" si="32"/>
        <v>0</v>
      </c>
      <c r="O202" t="str">
        <f t="shared" si="33"/>
        <v/>
      </c>
      <c r="P202">
        <f t="shared" si="34"/>
        <v>0</v>
      </c>
      <c r="Q202" t="str">
        <f t="shared" si="35"/>
        <v/>
      </c>
    </row>
    <row r="203" spans="8:17">
      <c r="H203">
        <f t="shared" si="27"/>
        <v>0</v>
      </c>
      <c r="J203">
        <f t="shared" si="28"/>
        <v>0</v>
      </c>
      <c r="K203" t="str">
        <f t="shared" si="29"/>
        <v/>
      </c>
      <c r="L203" t="str">
        <f t="shared" si="30"/>
        <v/>
      </c>
      <c r="M203" t="str">
        <f t="shared" si="31"/>
        <v/>
      </c>
      <c r="N203">
        <f t="shared" si="32"/>
        <v>0</v>
      </c>
      <c r="O203" t="str">
        <f t="shared" si="33"/>
        <v/>
      </c>
      <c r="P203">
        <f t="shared" si="34"/>
        <v>0</v>
      </c>
      <c r="Q203" t="str">
        <f t="shared" si="35"/>
        <v/>
      </c>
    </row>
    <row r="204" spans="8:17">
      <c r="H204">
        <f t="shared" si="27"/>
        <v>0</v>
      </c>
      <c r="J204">
        <f t="shared" si="28"/>
        <v>0</v>
      </c>
      <c r="K204" t="str">
        <f t="shared" si="29"/>
        <v/>
      </c>
      <c r="L204" t="str">
        <f t="shared" si="30"/>
        <v/>
      </c>
      <c r="M204" t="str">
        <f t="shared" si="31"/>
        <v/>
      </c>
      <c r="N204">
        <f t="shared" si="32"/>
        <v>0</v>
      </c>
      <c r="O204" t="str">
        <f t="shared" si="33"/>
        <v/>
      </c>
      <c r="P204">
        <f t="shared" si="34"/>
        <v>0</v>
      </c>
      <c r="Q204" t="str">
        <f t="shared" si="35"/>
        <v/>
      </c>
    </row>
    <row r="205" spans="8:17">
      <c r="H205">
        <f t="shared" si="27"/>
        <v>0</v>
      </c>
      <c r="J205">
        <f t="shared" si="28"/>
        <v>0</v>
      </c>
      <c r="K205" t="str">
        <f t="shared" si="29"/>
        <v/>
      </c>
      <c r="L205" t="str">
        <f t="shared" si="30"/>
        <v/>
      </c>
      <c r="M205" t="str">
        <f t="shared" si="31"/>
        <v/>
      </c>
      <c r="N205">
        <f t="shared" si="32"/>
        <v>0</v>
      </c>
      <c r="O205" t="str">
        <f t="shared" si="33"/>
        <v/>
      </c>
      <c r="P205">
        <f t="shared" si="34"/>
        <v>0</v>
      </c>
      <c r="Q205" t="str">
        <f t="shared" si="35"/>
        <v/>
      </c>
    </row>
    <row r="206" spans="8:17">
      <c r="H206">
        <f t="shared" si="27"/>
        <v>0</v>
      </c>
      <c r="J206">
        <f t="shared" si="28"/>
        <v>0</v>
      </c>
      <c r="K206" t="str">
        <f t="shared" si="29"/>
        <v/>
      </c>
      <c r="L206" t="str">
        <f t="shared" si="30"/>
        <v/>
      </c>
      <c r="M206" t="str">
        <f t="shared" si="31"/>
        <v/>
      </c>
      <c r="N206">
        <f t="shared" si="32"/>
        <v>0</v>
      </c>
      <c r="O206" t="str">
        <f t="shared" si="33"/>
        <v/>
      </c>
      <c r="P206">
        <f t="shared" si="34"/>
        <v>0</v>
      </c>
      <c r="Q206" t="str">
        <f t="shared" si="35"/>
        <v/>
      </c>
    </row>
    <row r="207" spans="8:17">
      <c r="H207">
        <f t="shared" si="27"/>
        <v>0</v>
      </c>
      <c r="J207">
        <f t="shared" si="28"/>
        <v>0</v>
      </c>
      <c r="K207" t="str">
        <f t="shared" si="29"/>
        <v/>
      </c>
      <c r="L207" t="str">
        <f t="shared" si="30"/>
        <v/>
      </c>
      <c r="M207" t="str">
        <f t="shared" si="31"/>
        <v/>
      </c>
      <c r="N207">
        <f t="shared" si="32"/>
        <v>0</v>
      </c>
      <c r="O207" t="str">
        <f t="shared" si="33"/>
        <v/>
      </c>
      <c r="P207">
        <f t="shared" si="34"/>
        <v>0</v>
      </c>
      <c r="Q207" t="str">
        <f t="shared" si="35"/>
        <v/>
      </c>
    </row>
    <row r="208" spans="8:17">
      <c r="H208">
        <f t="shared" si="27"/>
        <v>0</v>
      </c>
      <c r="J208">
        <f t="shared" si="28"/>
        <v>0</v>
      </c>
      <c r="K208" t="str">
        <f t="shared" si="29"/>
        <v/>
      </c>
      <c r="L208" t="str">
        <f t="shared" si="30"/>
        <v/>
      </c>
      <c r="M208" t="str">
        <f t="shared" si="31"/>
        <v/>
      </c>
      <c r="N208">
        <f t="shared" si="32"/>
        <v>0</v>
      </c>
      <c r="O208" t="str">
        <f t="shared" si="33"/>
        <v/>
      </c>
      <c r="P208">
        <f t="shared" si="34"/>
        <v>0</v>
      </c>
      <c r="Q208" t="str">
        <f t="shared" si="35"/>
        <v/>
      </c>
    </row>
    <row r="209" spans="8:17">
      <c r="H209">
        <f t="shared" si="27"/>
        <v>0</v>
      </c>
      <c r="J209">
        <f t="shared" si="28"/>
        <v>0</v>
      </c>
      <c r="K209" t="str">
        <f t="shared" si="29"/>
        <v/>
      </c>
      <c r="L209" t="str">
        <f t="shared" si="30"/>
        <v/>
      </c>
      <c r="M209" t="str">
        <f t="shared" si="31"/>
        <v/>
      </c>
      <c r="N209">
        <f t="shared" si="32"/>
        <v>0</v>
      </c>
      <c r="O209" t="str">
        <f t="shared" si="33"/>
        <v/>
      </c>
      <c r="P209">
        <f t="shared" si="34"/>
        <v>0</v>
      </c>
      <c r="Q209" t="str">
        <f t="shared" si="35"/>
        <v/>
      </c>
    </row>
    <row r="210" spans="8:17">
      <c r="H210">
        <f t="shared" si="27"/>
        <v>0</v>
      </c>
      <c r="J210">
        <f t="shared" si="28"/>
        <v>0</v>
      </c>
      <c r="K210" t="str">
        <f t="shared" si="29"/>
        <v/>
      </c>
      <c r="L210" t="str">
        <f t="shared" si="30"/>
        <v/>
      </c>
      <c r="M210" t="str">
        <f t="shared" si="31"/>
        <v/>
      </c>
      <c r="N210">
        <f t="shared" si="32"/>
        <v>0</v>
      </c>
      <c r="O210" t="str">
        <f t="shared" si="33"/>
        <v/>
      </c>
      <c r="P210">
        <f t="shared" si="34"/>
        <v>0</v>
      </c>
      <c r="Q210" t="str">
        <f t="shared" si="35"/>
        <v/>
      </c>
    </row>
    <row r="211" spans="8:17">
      <c r="H211">
        <f t="shared" si="27"/>
        <v>0</v>
      </c>
      <c r="J211">
        <f t="shared" si="28"/>
        <v>0</v>
      </c>
      <c r="K211" t="str">
        <f t="shared" si="29"/>
        <v/>
      </c>
      <c r="L211" t="str">
        <f t="shared" si="30"/>
        <v/>
      </c>
      <c r="M211" t="str">
        <f t="shared" si="31"/>
        <v/>
      </c>
      <c r="N211">
        <f t="shared" si="32"/>
        <v>0</v>
      </c>
      <c r="O211" t="str">
        <f t="shared" si="33"/>
        <v/>
      </c>
      <c r="P211">
        <f t="shared" si="34"/>
        <v>0</v>
      </c>
      <c r="Q211" t="str">
        <f t="shared" si="35"/>
        <v/>
      </c>
    </row>
    <row r="212" spans="8:17">
      <c r="H212">
        <f t="shared" si="27"/>
        <v>0</v>
      </c>
      <c r="J212">
        <f t="shared" si="28"/>
        <v>0</v>
      </c>
      <c r="K212" t="str">
        <f t="shared" si="29"/>
        <v/>
      </c>
      <c r="L212" t="str">
        <f t="shared" si="30"/>
        <v/>
      </c>
      <c r="M212" t="str">
        <f t="shared" si="31"/>
        <v/>
      </c>
      <c r="N212">
        <f t="shared" si="32"/>
        <v>0</v>
      </c>
      <c r="O212" t="str">
        <f t="shared" si="33"/>
        <v/>
      </c>
      <c r="P212">
        <f t="shared" si="34"/>
        <v>0</v>
      </c>
      <c r="Q212" t="str">
        <f t="shared" si="35"/>
        <v/>
      </c>
    </row>
    <row r="213" spans="8:17">
      <c r="H213">
        <f t="shared" si="27"/>
        <v>0</v>
      </c>
      <c r="J213">
        <f t="shared" si="28"/>
        <v>0</v>
      </c>
      <c r="K213" t="str">
        <f t="shared" si="29"/>
        <v/>
      </c>
      <c r="L213" t="str">
        <f t="shared" si="30"/>
        <v/>
      </c>
      <c r="M213" t="str">
        <f t="shared" si="31"/>
        <v/>
      </c>
      <c r="N213">
        <f t="shared" si="32"/>
        <v>0</v>
      </c>
      <c r="O213" t="str">
        <f t="shared" si="33"/>
        <v/>
      </c>
      <c r="P213">
        <f t="shared" si="34"/>
        <v>0</v>
      </c>
      <c r="Q213" t="str">
        <f t="shared" si="35"/>
        <v/>
      </c>
    </row>
    <row r="214" spans="8:17">
      <c r="H214">
        <f t="shared" si="27"/>
        <v>0</v>
      </c>
      <c r="J214">
        <f t="shared" si="28"/>
        <v>0</v>
      </c>
      <c r="K214" t="str">
        <f t="shared" si="29"/>
        <v/>
      </c>
      <c r="L214" t="str">
        <f t="shared" si="30"/>
        <v/>
      </c>
      <c r="M214" t="str">
        <f t="shared" si="31"/>
        <v/>
      </c>
      <c r="N214">
        <f t="shared" si="32"/>
        <v>0</v>
      </c>
      <c r="O214" t="str">
        <f t="shared" si="33"/>
        <v/>
      </c>
      <c r="P214">
        <f t="shared" si="34"/>
        <v>0</v>
      </c>
      <c r="Q214" t="str">
        <f t="shared" si="35"/>
        <v/>
      </c>
    </row>
    <row r="215" spans="8:17">
      <c r="H215">
        <f t="shared" si="27"/>
        <v>0</v>
      </c>
      <c r="J215">
        <f t="shared" si="28"/>
        <v>0</v>
      </c>
      <c r="K215" t="str">
        <f t="shared" si="29"/>
        <v/>
      </c>
      <c r="L215" t="str">
        <f t="shared" si="30"/>
        <v/>
      </c>
      <c r="M215" t="str">
        <f t="shared" si="31"/>
        <v/>
      </c>
      <c r="N215">
        <f t="shared" si="32"/>
        <v>0</v>
      </c>
      <c r="O215" t="str">
        <f t="shared" si="33"/>
        <v/>
      </c>
      <c r="P215">
        <f t="shared" si="34"/>
        <v>0</v>
      </c>
      <c r="Q215" t="str">
        <f t="shared" si="35"/>
        <v/>
      </c>
    </row>
    <row r="216" spans="8:17">
      <c r="H216">
        <f t="shared" si="27"/>
        <v>0</v>
      </c>
      <c r="J216">
        <f t="shared" si="28"/>
        <v>0</v>
      </c>
      <c r="K216" t="str">
        <f t="shared" si="29"/>
        <v/>
      </c>
      <c r="L216" t="str">
        <f t="shared" si="30"/>
        <v/>
      </c>
      <c r="M216" t="str">
        <f t="shared" si="31"/>
        <v/>
      </c>
      <c r="N216">
        <f t="shared" si="32"/>
        <v>0</v>
      </c>
      <c r="O216" t="str">
        <f t="shared" si="33"/>
        <v/>
      </c>
      <c r="P216">
        <f t="shared" si="34"/>
        <v>0</v>
      </c>
      <c r="Q216" t="str">
        <f t="shared" si="35"/>
        <v/>
      </c>
    </row>
    <row r="217" spans="8:17">
      <c r="H217">
        <f t="shared" si="27"/>
        <v>0</v>
      </c>
      <c r="J217">
        <f t="shared" si="28"/>
        <v>0</v>
      </c>
      <c r="K217" t="str">
        <f t="shared" si="29"/>
        <v/>
      </c>
      <c r="L217" t="str">
        <f t="shared" si="30"/>
        <v/>
      </c>
      <c r="M217" t="str">
        <f t="shared" si="31"/>
        <v/>
      </c>
      <c r="N217">
        <f t="shared" si="32"/>
        <v>0</v>
      </c>
      <c r="O217" t="str">
        <f t="shared" si="33"/>
        <v/>
      </c>
      <c r="P217">
        <f t="shared" si="34"/>
        <v>0</v>
      </c>
      <c r="Q217" t="str">
        <f t="shared" si="35"/>
        <v/>
      </c>
    </row>
    <row r="218" spans="8:17">
      <c r="H218">
        <f t="shared" si="27"/>
        <v>0</v>
      </c>
      <c r="J218">
        <f t="shared" si="28"/>
        <v>0</v>
      </c>
      <c r="K218" t="str">
        <f t="shared" si="29"/>
        <v/>
      </c>
      <c r="L218" t="str">
        <f t="shared" si="30"/>
        <v/>
      </c>
      <c r="M218" t="str">
        <f t="shared" si="31"/>
        <v/>
      </c>
      <c r="N218">
        <f t="shared" si="32"/>
        <v>0</v>
      </c>
      <c r="O218" t="str">
        <f t="shared" si="33"/>
        <v/>
      </c>
      <c r="P218">
        <f t="shared" si="34"/>
        <v>0</v>
      </c>
      <c r="Q218" t="str">
        <f t="shared" si="35"/>
        <v/>
      </c>
    </row>
    <row r="219" spans="8:17">
      <c r="H219">
        <f t="shared" si="27"/>
        <v>0</v>
      </c>
      <c r="J219">
        <f t="shared" si="28"/>
        <v>0</v>
      </c>
      <c r="K219" t="str">
        <f t="shared" si="29"/>
        <v/>
      </c>
      <c r="L219" t="str">
        <f t="shared" si="30"/>
        <v/>
      </c>
      <c r="M219" t="str">
        <f t="shared" si="31"/>
        <v/>
      </c>
      <c r="N219">
        <f t="shared" si="32"/>
        <v>0</v>
      </c>
      <c r="O219" t="str">
        <f t="shared" si="33"/>
        <v/>
      </c>
      <c r="P219">
        <f t="shared" si="34"/>
        <v>0</v>
      </c>
      <c r="Q219" t="str">
        <f t="shared" si="35"/>
        <v/>
      </c>
    </row>
    <row r="220" spans="8:17">
      <c r="H220">
        <f t="shared" si="27"/>
        <v>0</v>
      </c>
      <c r="J220">
        <f t="shared" si="28"/>
        <v>0</v>
      </c>
      <c r="K220" t="str">
        <f t="shared" si="29"/>
        <v/>
      </c>
      <c r="L220" t="str">
        <f t="shared" si="30"/>
        <v/>
      </c>
      <c r="M220" t="str">
        <f t="shared" si="31"/>
        <v/>
      </c>
      <c r="N220">
        <f t="shared" si="32"/>
        <v>0</v>
      </c>
      <c r="O220" t="str">
        <f t="shared" si="33"/>
        <v/>
      </c>
      <c r="P220">
        <f t="shared" si="34"/>
        <v>0</v>
      </c>
      <c r="Q220" t="str">
        <f t="shared" si="35"/>
        <v/>
      </c>
    </row>
    <row r="221" spans="8:17">
      <c r="H221">
        <f t="shared" si="27"/>
        <v>0</v>
      </c>
      <c r="J221">
        <f t="shared" si="28"/>
        <v>0</v>
      </c>
      <c r="K221" t="str">
        <f t="shared" si="29"/>
        <v/>
      </c>
      <c r="L221" t="str">
        <f t="shared" si="30"/>
        <v/>
      </c>
      <c r="M221" t="str">
        <f t="shared" si="31"/>
        <v/>
      </c>
      <c r="N221">
        <f t="shared" si="32"/>
        <v>0</v>
      </c>
      <c r="O221" t="str">
        <f t="shared" si="33"/>
        <v/>
      </c>
      <c r="P221">
        <f t="shared" si="34"/>
        <v>0</v>
      </c>
      <c r="Q221" t="str">
        <f t="shared" si="35"/>
        <v/>
      </c>
    </row>
    <row r="222" spans="8:17">
      <c r="H222">
        <f t="shared" si="27"/>
        <v>0</v>
      </c>
      <c r="J222">
        <f t="shared" si="28"/>
        <v>0</v>
      </c>
      <c r="K222" t="str">
        <f t="shared" si="29"/>
        <v/>
      </c>
      <c r="L222" t="str">
        <f t="shared" si="30"/>
        <v/>
      </c>
      <c r="M222" t="str">
        <f t="shared" si="31"/>
        <v/>
      </c>
      <c r="N222">
        <f t="shared" si="32"/>
        <v>0</v>
      </c>
      <c r="O222" t="str">
        <f t="shared" si="33"/>
        <v/>
      </c>
      <c r="P222">
        <f t="shared" si="34"/>
        <v>0</v>
      </c>
      <c r="Q222" t="str">
        <f t="shared" si="35"/>
        <v/>
      </c>
    </row>
    <row r="223" spans="8:17">
      <c r="H223">
        <f t="shared" si="27"/>
        <v>0</v>
      </c>
      <c r="J223">
        <f t="shared" si="28"/>
        <v>0</v>
      </c>
      <c r="K223" t="str">
        <f t="shared" si="29"/>
        <v/>
      </c>
      <c r="L223" t="str">
        <f t="shared" si="30"/>
        <v/>
      </c>
      <c r="M223" t="str">
        <f t="shared" si="31"/>
        <v/>
      </c>
      <c r="N223">
        <f t="shared" si="32"/>
        <v>0</v>
      </c>
      <c r="O223" t="str">
        <f t="shared" si="33"/>
        <v/>
      </c>
      <c r="P223">
        <f t="shared" si="34"/>
        <v>0</v>
      </c>
      <c r="Q223" t="str">
        <f t="shared" si="35"/>
        <v/>
      </c>
    </row>
    <row r="224" spans="8:17">
      <c r="H224">
        <f t="shared" si="27"/>
        <v>0</v>
      </c>
      <c r="J224">
        <f t="shared" si="28"/>
        <v>0</v>
      </c>
      <c r="K224" t="str">
        <f t="shared" si="29"/>
        <v/>
      </c>
      <c r="L224" t="str">
        <f t="shared" si="30"/>
        <v/>
      </c>
      <c r="M224" t="str">
        <f t="shared" si="31"/>
        <v/>
      </c>
      <c r="N224">
        <f t="shared" si="32"/>
        <v>0</v>
      </c>
      <c r="O224" t="str">
        <f t="shared" si="33"/>
        <v/>
      </c>
      <c r="P224">
        <f t="shared" si="34"/>
        <v>0</v>
      </c>
      <c r="Q224" t="str">
        <f t="shared" si="35"/>
        <v/>
      </c>
    </row>
    <row r="225" spans="8:17">
      <c r="H225">
        <f t="shared" si="27"/>
        <v>0</v>
      </c>
      <c r="J225">
        <f t="shared" si="28"/>
        <v>0</v>
      </c>
      <c r="K225" t="str">
        <f t="shared" si="29"/>
        <v/>
      </c>
      <c r="L225" t="str">
        <f t="shared" si="30"/>
        <v/>
      </c>
      <c r="M225" t="str">
        <f t="shared" si="31"/>
        <v/>
      </c>
      <c r="N225">
        <f t="shared" si="32"/>
        <v>0</v>
      </c>
      <c r="O225" t="str">
        <f t="shared" si="33"/>
        <v/>
      </c>
      <c r="P225">
        <f t="shared" si="34"/>
        <v>0</v>
      </c>
      <c r="Q225" t="str">
        <f t="shared" si="35"/>
        <v/>
      </c>
    </row>
    <row r="226" spans="8:17">
      <c r="H226">
        <f t="shared" si="27"/>
        <v>0</v>
      </c>
      <c r="J226">
        <f t="shared" si="28"/>
        <v>0</v>
      </c>
      <c r="K226" t="str">
        <f t="shared" si="29"/>
        <v/>
      </c>
      <c r="L226" t="str">
        <f t="shared" si="30"/>
        <v/>
      </c>
      <c r="M226" t="str">
        <f t="shared" si="31"/>
        <v/>
      </c>
      <c r="N226">
        <f t="shared" si="32"/>
        <v>0</v>
      </c>
      <c r="O226" t="str">
        <f t="shared" si="33"/>
        <v/>
      </c>
      <c r="P226">
        <f t="shared" si="34"/>
        <v>0</v>
      </c>
      <c r="Q226" t="str">
        <f t="shared" si="35"/>
        <v/>
      </c>
    </row>
    <row r="227" spans="8:17">
      <c r="H227">
        <f t="shared" si="27"/>
        <v>0</v>
      </c>
      <c r="J227">
        <f t="shared" si="28"/>
        <v>0</v>
      </c>
      <c r="K227" t="str">
        <f t="shared" si="29"/>
        <v/>
      </c>
      <c r="L227" t="str">
        <f t="shared" si="30"/>
        <v/>
      </c>
      <c r="M227" t="str">
        <f t="shared" si="31"/>
        <v/>
      </c>
      <c r="N227">
        <f t="shared" si="32"/>
        <v>0</v>
      </c>
      <c r="O227" t="str">
        <f t="shared" si="33"/>
        <v/>
      </c>
      <c r="P227">
        <f t="shared" si="34"/>
        <v>0</v>
      </c>
      <c r="Q227" t="str">
        <f t="shared" si="35"/>
        <v/>
      </c>
    </row>
    <row r="228" spans="8:17">
      <c r="H228">
        <f t="shared" si="27"/>
        <v>0</v>
      </c>
      <c r="J228">
        <f t="shared" si="28"/>
        <v>0</v>
      </c>
      <c r="K228" t="str">
        <f t="shared" si="29"/>
        <v/>
      </c>
      <c r="L228" t="str">
        <f t="shared" si="30"/>
        <v/>
      </c>
      <c r="M228" t="str">
        <f t="shared" si="31"/>
        <v/>
      </c>
      <c r="N228">
        <f t="shared" si="32"/>
        <v>0</v>
      </c>
      <c r="O228" t="str">
        <f t="shared" si="33"/>
        <v/>
      </c>
      <c r="P228">
        <f t="shared" si="34"/>
        <v>0</v>
      </c>
      <c r="Q228" t="str">
        <f t="shared" si="35"/>
        <v/>
      </c>
    </row>
    <row r="229" spans="8:17">
      <c r="H229">
        <f t="shared" si="27"/>
        <v>0</v>
      </c>
      <c r="J229">
        <f t="shared" si="28"/>
        <v>0</v>
      </c>
      <c r="K229" t="str">
        <f t="shared" si="29"/>
        <v/>
      </c>
      <c r="L229" t="str">
        <f t="shared" si="30"/>
        <v/>
      </c>
      <c r="M229" t="str">
        <f t="shared" si="31"/>
        <v/>
      </c>
      <c r="N229">
        <f t="shared" si="32"/>
        <v>0</v>
      </c>
      <c r="O229" t="str">
        <f t="shared" si="33"/>
        <v/>
      </c>
      <c r="P229">
        <f t="shared" si="34"/>
        <v>0</v>
      </c>
      <c r="Q229" t="str">
        <f t="shared" si="35"/>
        <v/>
      </c>
    </row>
    <row r="230" spans="8:17">
      <c r="H230">
        <f t="shared" si="27"/>
        <v>0</v>
      </c>
      <c r="J230">
        <f t="shared" si="28"/>
        <v>0</v>
      </c>
      <c r="K230" t="str">
        <f t="shared" si="29"/>
        <v/>
      </c>
      <c r="L230" t="str">
        <f t="shared" si="30"/>
        <v/>
      </c>
      <c r="M230" t="str">
        <f t="shared" si="31"/>
        <v/>
      </c>
      <c r="N230">
        <f t="shared" si="32"/>
        <v>0</v>
      </c>
      <c r="O230" t="str">
        <f t="shared" si="33"/>
        <v/>
      </c>
      <c r="P230">
        <f t="shared" si="34"/>
        <v>0</v>
      </c>
      <c r="Q230" t="str">
        <f t="shared" si="35"/>
        <v/>
      </c>
    </row>
    <row r="231" spans="8:17">
      <c r="H231">
        <f t="shared" si="27"/>
        <v>0</v>
      </c>
      <c r="J231">
        <f t="shared" si="28"/>
        <v>0</v>
      </c>
      <c r="K231" t="str">
        <f t="shared" si="29"/>
        <v/>
      </c>
      <c r="L231" t="str">
        <f t="shared" si="30"/>
        <v/>
      </c>
      <c r="M231" t="str">
        <f t="shared" si="31"/>
        <v/>
      </c>
      <c r="N231">
        <f t="shared" si="32"/>
        <v>0</v>
      </c>
      <c r="O231" t="str">
        <f t="shared" si="33"/>
        <v/>
      </c>
      <c r="P231">
        <f t="shared" si="34"/>
        <v>0</v>
      </c>
      <c r="Q231" t="str">
        <f t="shared" si="35"/>
        <v/>
      </c>
    </row>
    <row r="232" spans="8:17">
      <c r="H232">
        <f t="shared" si="27"/>
        <v>0</v>
      </c>
      <c r="J232">
        <f t="shared" si="28"/>
        <v>0</v>
      </c>
      <c r="K232" t="str">
        <f t="shared" si="29"/>
        <v/>
      </c>
      <c r="L232" t="str">
        <f t="shared" si="30"/>
        <v/>
      </c>
      <c r="M232" t="str">
        <f t="shared" si="31"/>
        <v/>
      </c>
      <c r="N232">
        <f t="shared" si="32"/>
        <v>0</v>
      </c>
      <c r="O232" t="str">
        <f t="shared" si="33"/>
        <v/>
      </c>
      <c r="P232">
        <f t="shared" si="34"/>
        <v>0</v>
      </c>
      <c r="Q232" t="str">
        <f t="shared" si="35"/>
        <v/>
      </c>
    </row>
    <row r="233" spans="8:17">
      <c r="H233">
        <f t="shared" si="27"/>
        <v>0</v>
      </c>
      <c r="J233">
        <f t="shared" si="28"/>
        <v>0</v>
      </c>
      <c r="K233" t="str">
        <f t="shared" si="29"/>
        <v/>
      </c>
      <c r="L233" t="str">
        <f t="shared" si="30"/>
        <v/>
      </c>
      <c r="M233" t="str">
        <f t="shared" si="31"/>
        <v/>
      </c>
      <c r="N233">
        <f t="shared" si="32"/>
        <v>0</v>
      </c>
      <c r="O233" t="str">
        <f t="shared" si="33"/>
        <v/>
      </c>
      <c r="P233">
        <f t="shared" si="34"/>
        <v>0</v>
      </c>
      <c r="Q233" t="str">
        <f t="shared" si="35"/>
        <v/>
      </c>
    </row>
    <row r="234" spans="8:17">
      <c r="H234">
        <f t="shared" si="27"/>
        <v>0</v>
      </c>
      <c r="J234">
        <f t="shared" si="28"/>
        <v>0</v>
      </c>
      <c r="K234" t="str">
        <f t="shared" si="29"/>
        <v/>
      </c>
      <c r="L234" t="str">
        <f t="shared" si="30"/>
        <v/>
      </c>
      <c r="M234" t="str">
        <f t="shared" si="31"/>
        <v/>
      </c>
      <c r="N234">
        <f t="shared" si="32"/>
        <v>0</v>
      </c>
      <c r="O234" t="str">
        <f t="shared" si="33"/>
        <v/>
      </c>
      <c r="P234">
        <f t="shared" si="34"/>
        <v>0</v>
      </c>
      <c r="Q234" t="str">
        <f t="shared" si="35"/>
        <v/>
      </c>
    </row>
    <row r="235" spans="8:17">
      <c r="H235">
        <f t="shared" si="27"/>
        <v>0</v>
      </c>
      <c r="J235">
        <f t="shared" si="28"/>
        <v>0</v>
      </c>
      <c r="K235" t="str">
        <f t="shared" si="29"/>
        <v/>
      </c>
      <c r="L235" t="str">
        <f t="shared" si="30"/>
        <v/>
      </c>
      <c r="M235" t="str">
        <f t="shared" si="31"/>
        <v/>
      </c>
      <c r="N235">
        <f t="shared" si="32"/>
        <v>0</v>
      </c>
      <c r="O235" t="str">
        <f t="shared" si="33"/>
        <v/>
      </c>
      <c r="P235">
        <f t="shared" si="34"/>
        <v>0</v>
      </c>
      <c r="Q235" t="str">
        <f t="shared" si="35"/>
        <v/>
      </c>
    </row>
    <row r="236" spans="8:17">
      <c r="H236">
        <f t="shared" si="27"/>
        <v>0</v>
      </c>
      <c r="J236">
        <f t="shared" si="28"/>
        <v>0</v>
      </c>
      <c r="K236" t="str">
        <f t="shared" si="29"/>
        <v/>
      </c>
      <c r="L236" t="str">
        <f t="shared" si="30"/>
        <v/>
      </c>
      <c r="M236" t="str">
        <f t="shared" si="31"/>
        <v/>
      </c>
      <c r="N236">
        <f t="shared" si="32"/>
        <v>0</v>
      </c>
      <c r="O236" t="str">
        <f t="shared" si="33"/>
        <v/>
      </c>
      <c r="P236">
        <f t="shared" si="34"/>
        <v>0</v>
      </c>
      <c r="Q236" t="str">
        <f t="shared" si="35"/>
        <v/>
      </c>
    </row>
    <row r="237" spans="8:17">
      <c r="H237">
        <f t="shared" si="27"/>
        <v>0</v>
      </c>
      <c r="J237">
        <f t="shared" si="28"/>
        <v>0</v>
      </c>
      <c r="K237" t="str">
        <f t="shared" si="29"/>
        <v/>
      </c>
      <c r="L237" t="str">
        <f t="shared" si="30"/>
        <v/>
      </c>
      <c r="M237" t="str">
        <f t="shared" si="31"/>
        <v/>
      </c>
      <c r="N237">
        <f t="shared" si="32"/>
        <v>0</v>
      </c>
      <c r="O237" t="str">
        <f t="shared" si="33"/>
        <v/>
      </c>
      <c r="P237">
        <f t="shared" si="34"/>
        <v>0</v>
      </c>
      <c r="Q237" t="str">
        <f t="shared" si="35"/>
        <v/>
      </c>
    </row>
    <row r="238" spans="8:17">
      <c r="H238">
        <f t="shared" si="27"/>
        <v>0</v>
      </c>
      <c r="J238">
        <f t="shared" si="28"/>
        <v>0</v>
      </c>
      <c r="K238" t="str">
        <f t="shared" si="29"/>
        <v/>
      </c>
      <c r="L238" t="str">
        <f t="shared" si="30"/>
        <v/>
      </c>
      <c r="M238" t="str">
        <f t="shared" si="31"/>
        <v/>
      </c>
      <c r="N238">
        <f t="shared" si="32"/>
        <v>0</v>
      </c>
      <c r="O238" t="str">
        <f t="shared" si="33"/>
        <v/>
      </c>
      <c r="P238">
        <f t="shared" si="34"/>
        <v>0</v>
      </c>
      <c r="Q238" t="str">
        <f t="shared" si="35"/>
        <v/>
      </c>
    </row>
    <row r="239" spans="8:17">
      <c r="H239">
        <f t="shared" si="27"/>
        <v>0</v>
      </c>
      <c r="J239">
        <f t="shared" si="28"/>
        <v>0</v>
      </c>
      <c r="K239" t="str">
        <f t="shared" si="29"/>
        <v/>
      </c>
      <c r="L239" t="str">
        <f t="shared" si="30"/>
        <v/>
      </c>
      <c r="M239" t="str">
        <f t="shared" si="31"/>
        <v/>
      </c>
      <c r="N239">
        <f t="shared" si="32"/>
        <v>0</v>
      </c>
      <c r="O239" t="str">
        <f t="shared" si="33"/>
        <v/>
      </c>
      <c r="P239">
        <f t="shared" si="34"/>
        <v>0</v>
      </c>
      <c r="Q239" t="str">
        <f t="shared" si="35"/>
        <v/>
      </c>
    </row>
    <row r="240" spans="8:17">
      <c r="H240">
        <f t="shared" si="27"/>
        <v>0</v>
      </c>
      <c r="J240">
        <f t="shared" si="28"/>
        <v>0</v>
      </c>
      <c r="K240" t="str">
        <f t="shared" si="29"/>
        <v/>
      </c>
      <c r="L240" t="str">
        <f t="shared" si="30"/>
        <v/>
      </c>
      <c r="M240" t="str">
        <f t="shared" si="31"/>
        <v/>
      </c>
      <c r="N240">
        <f t="shared" si="32"/>
        <v>0</v>
      </c>
      <c r="O240" t="str">
        <f t="shared" si="33"/>
        <v/>
      </c>
      <c r="P240">
        <f t="shared" si="34"/>
        <v>0</v>
      </c>
      <c r="Q240" t="str">
        <f t="shared" si="35"/>
        <v/>
      </c>
    </row>
    <row r="241" spans="8:17">
      <c r="H241">
        <f t="shared" si="27"/>
        <v>0</v>
      </c>
      <c r="J241">
        <f t="shared" si="28"/>
        <v>0</v>
      </c>
      <c r="K241" t="str">
        <f t="shared" si="29"/>
        <v/>
      </c>
      <c r="L241" t="str">
        <f t="shared" si="30"/>
        <v/>
      </c>
      <c r="M241" t="str">
        <f t="shared" si="31"/>
        <v/>
      </c>
      <c r="N241">
        <f t="shared" si="32"/>
        <v>0</v>
      </c>
      <c r="O241" t="str">
        <f t="shared" si="33"/>
        <v/>
      </c>
      <c r="P241">
        <f t="shared" si="34"/>
        <v>0</v>
      </c>
      <c r="Q241" t="str">
        <f t="shared" si="35"/>
        <v/>
      </c>
    </row>
    <row r="242" spans="8:17">
      <c r="H242">
        <f t="shared" si="27"/>
        <v>0</v>
      </c>
      <c r="J242">
        <f t="shared" si="28"/>
        <v>0</v>
      </c>
      <c r="K242" t="str">
        <f t="shared" si="29"/>
        <v/>
      </c>
      <c r="L242" t="str">
        <f t="shared" si="30"/>
        <v/>
      </c>
      <c r="M242" t="str">
        <f t="shared" si="31"/>
        <v/>
      </c>
      <c r="N242">
        <f t="shared" si="32"/>
        <v>0</v>
      </c>
      <c r="O242" t="str">
        <f t="shared" si="33"/>
        <v/>
      </c>
      <c r="P242">
        <f t="shared" si="34"/>
        <v>0</v>
      </c>
      <c r="Q242" t="str">
        <f t="shared" si="35"/>
        <v/>
      </c>
    </row>
    <row r="243" spans="8:17">
      <c r="H243">
        <f t="shared" si="27"/>
        <v>0</v>
      </c>
      <c r="J243">
        <f t="shared" si="28"/>
        <v>0</v>
      </c>
      <c r="K243" t="str">
        <f t="shared" si="29"/>
        <v/>
      </c>
      <c r="L243" t="str">
        <f t="shared" si="30"/>
        <v/>
      </c>
      <c r="M243" t="str">
        <f t="shared" si="31"/>
        <v/>
      </c>
      <c r="N243">
        <f t="shared" si="32"/>
        <v>0</v>
      </c>
      <c r="O243" t="str">
        <f t="shared" si="33"/>
        <v/>
      </c>
      <c r="P243">
        <f t="shared" si="34"/>
        <v>0</v>
      </c>
      <c r="Q243" t="str">
        <f t="shared" si="35"/>
        <v/>
      </c>
    </row>
    <row r="244" spans="8:17">
      <c r="H244">
        <f t="shared" si="27"/>
        <v>0</v>
      </c>
      <c r="J244">
        <f t="shared" si="28"/>
        <v>0</v>
      </c>
      <c r="K244" t="str">
        <f t="shared" si="29"/>
        <v/>
      </c>
      <c r="L244" t="str">
        <f t="shared" si="30"/>
        <v/>
      </c>
      <c r="M244" t="str">
        <f t="shared" si="31"/>
        <v/>
      </c>
      <c r="N244">
        <f t="shared" si="32"/>
        <v>0</v>
      </c>
      <c r="O244" t="str">
        <f t="shared" si="33"/>
        <v/>
      </c>
      <c r="P244">
        <f t="shared" si="34"/>
        <v>0</v>
      </c>
      <c r="Q244" t="str">
        <f t="shared" si="35"/>
        <v/>
      </c>
    </row>
    <row r="245" spans="8:17">
      <c r="H245">
        <f t="shared" si="27"/>
        <v>0</v>
      </c>
      <c r="J245">
        <f t="shared" si="28"/>
        <v>0</v>
      </c>
      <c r="K245" t="str">
        <f t="shared" si="29"/>
        <v/>
      </c>
      <c r="L245" t="str">
        <f t="shared" si="30"/>
        <v/>
      </c>
      <c r="M245" t="str">
        <f t="shared" si="31"/>
        <v/>
      </c>
      <c r="N245">
        <f t="shared" si="32"/>
        <v>0</v>
      </c>
      <c r="O245" t="str">
        <f t="shared" si="33"/>
        <v/>
      </c>
      <c r="P245">
        <f t="shared" si="34"/>
        <v>0</v>
      </c>
      <c r="Q245" t="str">
        <f t="shared" si="35"/>
        <v/>
      </c>
    </row>
    <row r="246" spans="8:17">
      <c r="H246">
        <f t="shared" si="27"/>
        <v>0</v>
      </c>
      <c r="J246">
        <f t="shared" si="28"/>
        <v>0</v>
      </c>
      <c r="K246" t="str">
        <f t="shared" si="29"/>
        <v/>
      </c>
      <c r="L246" t="str">
        <f t="shared" si="30"/>
        <v/>
      </c>
      <c r="M246" t="str">
        <f t="shared" si="31"/>
        <v/>
      </c>
      <c r="N246">
        <f t="shared" si="32"/>
        <v>0</v>
      </c>
      <c r="O246" t="str">
        <f t="shared" si="33"/>
        <v/>
      </c>
      <c r="P246">
        <f t="shared" si="34"/>
        <v>0</v>
      </c>
      <c r="Q246" t="str">
        <f t="shared" si="35"/>
        <v/>
      </c>
    </row>
    <row r="247" spans="8:17">
      <c r="H247">
        <f t="shared" si="27"/>
        <v>0</v>
      </c>
      <c r="J247">
        <f t="shared" si="28"/>
        <v>0</v>
      </c>
      <c r="K247" t="str">
        <f t="shared" si="29"/>
        <v/>
      </c>
      <c r="L247" t="str">
        <f t="shared" si="30"/>
        <v/>
      </c>
      <c r="M247" t="str">
        <f t="shared" si="31"/>
        <v/>
      </c>
      <c r="N247">
        <f t="shared" si="32"/>
        <v>0</v>
      </c>
      <c r="O247" t="str">
        <f t="shared" si="33"/>
        <v/>
      </c>
      <c r="P247">
        <f t="shared" si="34"/>
        <v>0</v>
      </c>
      <c r="Q247" t="str">
        <f t="shared" si="35"/>
        <v/>
      </c>
    </row>
    <row r="248" spans="8:17">
      <c r="H248">
        <f t="shared" si="27"/>
        <v>0</v>
      </c>
      <c r="J248">
        <f t="shared" si="28"/>
        <v>0</v>
      </c>
      <c r="K248" t="str">
        <f t="shared" si="29"/>
        <v/>
      </c>
      <c r="L248" t="str">
        <f t="shared" si="30"/>
        <v/>
      </c>
      <c r="M248" t="str">
        <f t="shared" si="31"/>
        <v/>
      </c>
      <c r="N248">
        <f t="shared" si="32"/>
        <v>0</v>
      </c>
      <c r="O248" t="str">
        <f t="shared" si="33"/>
        <v/>
      </c>
      <c r="P248">
        <f t="shared" si="34"/>
        <v>0</v>
      </c>
      <c r="Q248" t="str">
        <f t="shared" si="35"/>
        <v/>
      </c>
    </row>
    <row r="249" spans="8:17">
      <c r="H249">
        <f t="shared" si="27"/>
        <v>0</v>
      </c>
      <c r="J249">
        <f t="shared" si="28"/>
        <v>0</v>
      </c>
      <c r="K249" t="str">
        <f t="shared" si="29"/>
        <v/>
      </c>
      <c r="L249" t="str">
        <f t="shared" si="30"/>
        <v/>
      </c>
      <c r="M249" t="str">
        <f t="shared" si="31"/>
        <v/>
      </c>
      <c r="N249">
        <f t="shared" si="32"/>
        <v>0</v>
      </c>
      <c r="O249" t="str">
        <f t="shared" si="33"/>
        <v/>
      </c>
      <c r="P249">
        <f t="shared" si="34"/>
        <v>0</v>
      </c>
      <c r="Q249" t="str">
        <f t="shared" si="35"/>
        <v/>
      </c>
    </row>
    <row r="250" spans="8:17">
      <c r="H250">
        <f t="shared" si="27"/>
        <v>0</v>
      </c>
      <c r="J250">
        <f t="shared" si="28"/>
        <v>0</v>
      </c>
      <c r="K250" t="str">
        <f t="shared" si="29"/>
        <v/>
      </c>
      <c r="L250" t="str">
        <f t="shared" si="30"/>
        <v/>
      </c>
      <c r="M250" t="str">
        <f t="shared" si="31"/>
        <v/>
      </c>
      <c r="N250">
        <f t="shared" si="32"/>
        <v>0</v>
      </c>
      <c r="O250" t="str">
        <f t="shared" si="33"/>
        <v/>
      </c>
      <c r="P250">
        <f t="shared" si="34"/>
        <v>0</v>
      </c>
      <c r="Q250" t="str">
        <f t="shared" si="35"/>
        <v/>
      </c>
    </row>
    <row r="251" spans="8:17">
      <c r="H251">
        <f t="shared" si="27"/>
        <v>0</v>
      </c>
      <c r="J251">
        <f t="shared" si="28"/>
        <v>0</v>
      </c>
      <c r="K251" t="str">
        <f t="shared" si="29"/>
        <v/>
      </c>
      <c r="L251" t="str">
        <f t="shared" si="30"/>
        <v/>
      </c>
      <c r="M251" t="str">
        <f t="shared" si="31"/>
        <v/>
      </c>
      <c r="N251">
        <f t="shared" si="32"/>
        <v>0</v>
      </c>
      <c r="O251" t="str">
        <f t="shared" si="33"/>
        <v/>
      </c>
      <c r="P251">
        <f t="shared" si="34"/>
        <v>0</v>
      </c>
      <c r="Q251" t="str">
        <f t="shared" si="35"/>
        <v/>
      </c>
    </row>
    <row r="252" spans="8:17">
      <c r="H252">
        <f t="shared" si="27"/>
        <v>0</v>
      </c>
      <c r="J252">
        <f t="shared" si="28"/>
        <v>0</v>
      </c>
      <c r="K252" t="str">
        <f t="shared" si="29"/>
        <v/>
      </c>
      <c r="L252" t="str">
        <f t="shared" si="30"/>
        <v/>
      </c>
      <c r="M252" t="str">
        <f t="shared" si="31"/>
        <v/>
      </c>
      <c r="N252">
        <f t="shared" si="32"/>
        <v>0</v>
      </c>
      <c r="O252" t="str">
        <f t="shared" si="33"/>
        <v/>
      </c>
      <c r="P252">
        <f t="shared" si="34"/>
        <v>0</v>
      </c>
      <c r="Q252" t="str">
        <f t="shared" si="35"/>
        <v/>
      </c>
    </row>
    <row r="253" spans="8:17">
      <c r="H253">
        <f t="shared" si="27"/>
        <v>0</v>
      </c>
      <c r="J253">
        <f t="shared" si="28"/>
        <v>0</v>
      </c>
      <c r="K253" t="str">
        <f t="shared" si="29"/>
        <v/>
      </c>
      <c r="L253" t="str">
        <f t="shared" si="30"/>
        <v/>
      </c>
      <c r="M253" t="str">
        <f t="shared" si="31"/>
        <v/>
      </c>
      <c r="N253">
        <f t="shared" si="32"/>
        <v>0</v>
      </c>
      <c r="O253" t="str">
        <f t="shared" si="33"/>
        <v/>
      </c>
      <c r="P253">
        <f t="shared" si="34"/>
        <v>0</v>
      </c>
      <c r="Q253" t="str">
        <f t="shared" si="35"/>
        <v/>
      </c>
    </row>
    <row r="254" spans="8:17">
      <c r="H254">
        <f t="shared" si="27"/>
        <v>0</v>
      </c>
      <c r="J254">
        <f t="shared" si="28"/>
        <v>0</v>
      </c>
      <c r="K254" t="str">
        <f t="shared" si="29"/>
        <v/>
      </c>
      <c r="L254" t="str">
        <f t="shared" si="30"/>
        <v/>
      </c>
      <c r="M254" t="str">
        <f t="shared" si="31"/>
        <v/>
      </c>
      <c r="N254">
        <f t="shared" si="32"/>
        <v>0</v>
      </c>
      <c r="O254" t="str">
        <f t="shared" si="33"/>
        <v/>
      </c>
      <c r="P254">
        <f t="shared" si="34"/>
        <v>0</v>
      </c>
      <c r="Q254" t="str">
        <f t="shared" si="35"/>
        <v/>
      </c>
    </row>
    <row r="255" spans="8:17">
      <c r="H255">
        <f t="shared" si="27"/>
        <v>0</v>
      </c>
      <c r="J255">
        <f t="shared" si="28"/>
        <v>0</v>
      </c>
      <c r="K255" t="str">
        <f t="shared" si="29"/>
        <v/>
      </c>
      <c r="L255" t="str">
        <f t="shared" si="30"/>
        <v/>
      </c>
      <c r="M255" t="str">
        <f t="shared" si="31"/>
        <v/>
      </c>
      <c r="N255">
        <f t="shared" si="32"/>
        <v>0</v>
      </c>
      <c r="O255" t="str">
        <f t="shared" si="33"/>
        <v/>
      </c>
      <c r="P255">
        <f t="shared" si="34"/>
        <v>0</v>
      </c>
      <c r="Q255" t="str">
        <f t="shared" si="35"/>
        <v/>
      </c>
    </row>
    <row r="256" spans="8:17">
      <c r="H256">
        <f t="shared" si="27"/>
        <v>0</v>
      </c>
      <c r="J256">
        <f t="shared" si="28"/>
        <v>0</v>
      </c>
      <c r="K256" t="str">
        <f t="shared" si="29"/>
        <v/>
      </c>
      <c r="L256" t="str">
        <f t="shared" si="30"/>
        <v/>
      </c>
      <c r="M256" t="str">
        <f t="shared" si="31"/>
        <v/>
      </c>
      <c r="N256">
        <f t="shared" si="32"/>
        <v>0</v>
      </c>
      <c r="O256" t="str">
        <f t="shared" si="33"/>
        <v/>
      </c>
      <c r="P256">
        <f t="shared" si="34"/>
        <v>0</v>
      </c>
      <c r="Q256" t="str">
        <f t="shared" si="35"/>
        <v/>
      </c>
    </row>
    <row r="257" spans="8:17">
      <c r="H257">
        <f t="shared" si="27"/>
        <v>0</v>
      </c>
      <c r="J257">
        <f t="shared" si="28"/>
        <v>0</v>
      </c>
      <c r="K257" t="str">
        <f t="shared" si="29"/>
        <v/>
      </c>
      <c r="L257" t="str">
        <f t="shared" si="30"/>
        <v/>
      </c>
      <c r="M257" t="str">
        <f t="shared" si="31"/>
        <v/>
      </c>
      <c r="N257">
        <f t="shared" si="32"/>
        <v>0</v>
      </c>
      <c r="O257" t="str">
        <f t="shared" si="33"/>
        <v/>
      </c>
      <c r="P257">
        <f t="shared" si="34"/>
        <v>0</v>
      </c>
      <c r="Q257" t="str">
        <f t="shared" si="35"/>
        <v/>
      </c>
    </row>
    <row r="258" spans="8:17">
      <c r="H258">
        <f t="shared" ref="H258:H321" si="36">A258</f>
        <v>0</v>
      </c>
      <c r="J258">
        <f t="shared" ref="J258:J321" si="37">IF($I258&lt;&gt;"",$I258,$A258)</f>
        <v>0</v>
      </c>
      <c r="K258" t="str">
        <f t="shared" ref="K258:K321" si="38">IF($C258="","",IF(LEN($C258)=1,CODE(UPPER($C258))-64,IFERROR(VALUE(MID($C258,2,99)),"")))</f>
        <v/>
      </c>
      <c r="L258" t="str">
        <f t="shared" ref="L258:L321" si="39">IF($D258="","",IFERROR(VALUE($D258),""))</f>
        <v/>
      </c>
      <c r="M258" t="str">
        <f t="shared" ref="M258:M321" si="40">IFERROR(VALUE(MID($A258,FIND("Level",$A258)+5,99)),IF($E258="AISLE_FLOOR",0,IF($E258="OVERFLOW",0,IF($E258="ENDCAP",0,""))))</f>
        <v/>
      </c>
      <c r="N258">
        <f t="shared" ref="N258:N321" si="41">IF(AND($B258&lt;&gt;"",$C258&lt;&gt;"",ISNUMBER(--$D258)), $B258&amp;": "&amp;LEFT($C258,1)&amp;TEXT(--$D258,"00"), IF($I258&lt;&gt;"",$I258,$A258))</f>
        <v>0</v>
      </c>
      <c r="O258" t="str">
        <f t="shared" ref="O258:O321" si="42">IF(AND($C258&lt;&gt;"",ISNUMBER(--$D258)),LEFT($C258,1),"")</f>
        <v/>
      </c>
      <c r="P258">
        <f t="shared" ref="P258:P321" si="43">IF(ISNUMBER(--$D258),--$D258,"")</f>
        <v>0</v>
      </c>
      <c r="Q258" t="str">
        <f t="shared" ref="Q258:Q321" si="44">IF(AND($O258&lt;&gt;"",$P258&lt;&gt;""),$O258&amp;TEXT($P258,"00"),"")</f>
        <v/>
      </c>
    </row>
    <row r="259" spans="8:17">
      <c r="H259">
        <f t="shared" si="36"/>
        <v>0</v>
      </c>
      <c r="J259">
        <f t="shared" si="37"/>
        <v>0</v>
      </c>
      <c r="K259" t="str">
        <f t="shared" si="38"/>
        <v/>
      </c>
      <c r="L259" t="str">
        <f t="shared" si="39"/>
        <v/>
      </c>
      <c r="M259" t="str">
        <f t="shared" si="40"/>
        <v/>
      </c>
      <c r="N259">
        <f t="shared" si="41"/>
        <v>0</v>
      </c>
      <c r="O259" t="str">
        <f t="shared" si="42"/>
        <v/>
      </c>
      <c r="P259">
        <f t="shared" si="43"/>
        <v>0</v>
      </c>
      <c r="Q259" t="str">
        <f t="shared" si="44"/>
        <v/>
      </c>
    </row>
    <row r="260" spans="8:17">
      <c r="H260">
        <f t="shared" si="36"/>
        <v>0</v>
      </c>
      <c r="J260">
        <f t="shared" si="37"/>
        <v>0</v>
      </c>
      <c r="K260" t="str">
        <f t="shared" si="38"/>
        <v/>
      </c>
      <c r="L260" t="str">
        <f t="shared" si="39"/>
        <v/>
      </c>
      <c r="M260" t="str">
        <f t="shared" si="40"/>
        <v/>
      </c>
      <c r="N260">
        <f t="shared" si="41"/>
        <v>0</v>
      </c>
      <c r="O260" t="str">
        <f t="shared" si="42"/>
        <v/>
      </c>
      <c r="P260">
        <f t="shared" si="43"/>
        <v>0</v>
      </c>
      <c r="Q260" t="str">
        <f t="shared" si="44"/>
        <v/>
      </c>
    </row>
    <row r="261" spans="8:17">
      <c r="H261">
        <f t="shared" si="36"/>
        <v>0</v>
      </c>
      <c r="J261">
        <f t="shared" si="37"/>
        <v>0</v>
      </c>
      <c r="K261" t="str">
        <f t="shared" si="38"/>
        <v/>
      </c>
      <c r="L261" t="str">
        <f t="shared" si="39"/>
        <v/>
      </c>
      <c r="M261" t="str">
        <f t="shared" si="40"/>
        <v/>
      </c>
      <c r="N261">
        <f t="shared" si="41"/>
        <v>0</v>
      </c>
      <c r="O261" t="str">
        <f t="shared" si="42"/>
        <v/>
      </c>
      <c r="P261">
        <f t="shared" si="43"/>
        <v>0</v>
      </c>
      <c r="Q261" t="str">
        <f t="shared" si="44"/>
        <v/>
      </c>
    </row>
    <row r="262" spans="8:17">
      <c r="H262">
        <f t="shared" si="36"/>
        <v>0</v>
      </c>
      <c r="J262">
        <f t="shared" si="37"/>
        <v>0</v>
      </c>
      <c r="K262" t="str">
        <f t="shared" si="38"/>
        <v/>
      </c>
      <c r="L262" t="str">
        <f t="shared" si="39"/>
        <v/>
      </c>
      <c r="M262" t="str">
        <f t="shared" si="40"/>
        <v/>
      </c>
      <c r="N262">
        <f t="shared" si="41"/>
        <v>0</v>
      </c>
      <c r="O262" t="str">
        <f t="shared" si="42"/>
        <v/>
      </c>
      <c r="P262">
        <f t="shared" si="43"/>
        <v>0</v>
      </c>
      <c r="Q262" t="str">
        <f t="shared" si="44"/>
        <v/>
      </c>
    </row>
    <row r="263" spans="8:17">
      <c r="H263">
        <f t="shared" si="36"/>
        <v>0</v>
      </c>
      <c r="J263">
        <f t="shared" si="37"/>
        <v>0</v>
      </c>
      <c r="K263" t="str">
        <f t="shared" si="38"/>
        <v/>
      </c>
      <c r="L263" t="str">
        <f t="shared" si="39"/>
        <v/>
      </c>
      <c r="M263" t="str">
        <f t="shared" si="40"/>
        <v/>
      </c>
      <c r="N263">
        <f t="shared" si="41"/>
        <v>0</v>
      </c>
      <c r="O263" t="str">
        <f t="shared" si="42"/>
        <v/>
      </c>
      <c r="P263">
        <f t="shared" si="43"/>
        <v>0</v>
      </c>
      <c r="Q263" t="str">
        <f t="shared" si="44"/>
        <v/>
      </c>
    </row>
    <row r="264" spans="8:17">
      <c r="H264">
        <f t="shared" si="36"/>
        <v>0</v>
      </c>
      <c r="J264">
        <f t="shared" si="37"/>
        <v>0</v>
      </c>
      <c r="K264" t="str">
        <f t="shared" si="38"/>
        <v/>
      </c>
      <c r="L264" t="str">
        <f t="shared" si="39"/>
        <v/>
      </c>
      <c r="M264" t="str">
        <f t="shared" si="40"/>
        <v/>
      </c>
      <c r="N264">
        <f t="shared" si="41"/>
        <v>0</v>
      </c>
      <c r="O264" t="str">
        <f t="shared" si="42"/>
        <v/>
      </c>
      <c r="P264">
        <f t="shared" si="43"/>
        <v>0</v>
      </c>
      <c r="Q264" t="str">
        <f t="shared" si="44"/>
        <v/>
      </c>
    </row>
    <row r="265" spans="8:17">
      <c r="H265">
        <f t="shared" si="36"/>
        <v>0</v>
      </c>
      <c r="J265">
        <f t="shared" si="37"/>
        <v>0</v>
      </c>
      <c r="K265" t="str">
        <f t="shared" si="38"/>
        <v/>
      </c>
      <c r="L265" t="str">
        <f t="shared" si="39"/>
        <v/>
      </c>
      <c r="M265" t="str">
        <f t="shared" si="40"/>
        <v/>
      </c>
      <c r="N265">
        <f t="shared" si="41"/>
        <v>0</v>
      </c>
      <c r="O265" t="str">
        <f t="shared" si="42"/>
        <v/>
      </c>
      <c r="P265">
        <f t="shared" si="43"/>
        <v>0</v>
      </c>
      <c r="Q265" t="str">
        <f t="shared" si="44"/>
        <v/>
      </c>
    </row>
    <row r="266" spans="8:17">
      <c r="H266">
        <f t="shared" si="36"/>
        <v>0</v>
      </c>
      <c r="J266">
        <f t="shared" si="37"/>
        <v>0</v>
      </c>
      <c r="K266" t="str">
        <f t="shared" si="38"/>
        <v/>
      </c>
      <c r="L266" t="str">
        <f t="shared" si="39"/>
        <v/>
      </c>
      <c r="M266" t="str">
        <f t="shared" si="40"/>
        <v/>
      </c>
      <c r="N266">
        <f t="shared" si="41"/>
        <v>0</v>
      </c>
      <c r="O266" t="str">
        <f t="shared" si="42"/>
        <v/>
      </c>
      <c r="P266">
        <f t="shared" si="43"/>
        <v>0</v>
      </c>
      <c r="Q266" t="str">
        <f t="shared" si="44"/>
        <v/>
      </c>
    </row>
    <row r="267" spans="8:17">
      <c r="H267">
        <f t="shared" si="36"/>
        <v>0</v>
      </c>
      <c r="J267">
        <f t="shared" si="37"/>
        <v>0</v>
      </c>
      <c r="K267" t="str">
        <f t="shared" si="38"/>
        <v/>
      </c>
      <c r="L267" t="str">
        <f t="shared" si="39"/>
        <v/>
      </c>
      <c r="M267" t="str">
        <f t="shared" si="40"/>
        <v/>
      </c>
      <c r="N267">
        <f t="shared" si="41"/>
        <v>0</v>
      </c>
      <c r="O267" t="str">
        <f t="shared" si="42"/>
        <v/>
      </c>
      <c r="P267">
        <f t="shared" si="43"/>
        <v>0</v>
      </c>
      <c r="Q267" t="str">
        <f t="shared" si="44"/>
        <v/>
      </c>
    </row>
    <row r="268" spans="8:17">
      <c r="H268">
        <f t="shared" si="36"/>
        <v>0</v>
      </c>
      <c r="J268">
        <f t="shared" si="37"/>
        <v>0</v>
      </c>
      <c r="K268" t="str">
        <f t="shared" si="38"/>
        <v/>
      </c>
      <c r="L268" t="str">
        <f t="shared" si="39"/>
        <v/>
      </c>
      <c r="M268" t="str">
        <f t="shared" si="40"/>
        <v/>
      </c>
      <c r="N268">
        <f t="shared" si="41"/>
        <v>0</v>
      </c>
      <c r="O268" t="str">
        <f t="shared" si="42"/>
        <v/>
      </c>
      <c r="P268">
        <f t="shared" si="43"/>
        <v>0</v>
      </c>
      <c r="Q268" t="str">
        <f t="shared" si="44"/>
        <v/>
      </c>
    </row>
    <row r="269" spans="8:17">
      <c r="H269">
        <f t="shared" si="36"/>
        <v>0</v>
      </c>
      <c r="J269">
        <f t="shared" si="37"/>
        <v>0</v>
      </c>
      <c r="K269" t="str">
        <f t="shared" si="38"/>
        <v/>
      </c>
      <c r="L269" t="str">
        <f t="shared" si="39"/>
        <v/>
      </c>
      <c r="M269" t="str">
        <f t="shared" si="40"/>
        <v/>
      </c>
      <c r="N269">
        <f t="shared" si="41"/>
        <v>0</v>
      </c>
      <c r="O269" t="str">
        <f t="shared" si="42"/>
        <v/>
      </c>
      <c r="P269">
        <f t="shared" si="43"/>
        <v>0</v>
      </c>
      <c r="Q269" t="str">
        <f t="shared" si="44"/>
        <v/>
      </c>
    </row>
    <row r="270" spans="8:17">
      <c r="H270">
        <f t="shared" si="36"/>
        <v>0</v>
      </c>
      <c r="J270">
        <f t="shared" si="37"/>
        <v>0</v>
      </c>
      <c r="K270" t="str">
        <f t="shared" si="38"/>
        <v/>
      </c>
      <c r="L270" t="str">
        <f t="shared" si="39"/>
        <v/>
      </c>
      <c r="M270" t="str">
        <f t="shared" si="40"/>
        <v/>
      </c>
      <c r="N270">
        <f t="shared" si="41"/>
        <v>0</v>
      </c>
      <c r="O270" t="str">
        <f t="shared" si="42"/>
        <v/>
      </c>
      <c r="P270">
        <f t="shared" si="43"/>
        <v>0</v>
      </c>
      <c r="Q270" t="str">
        <f t="shared" si="44"/>
        <v/>
      </c>
    </row>
    <row r="271" spans="8:17">
      <c r="H271">
        <f t="shared" si="36"/>
        <v>0</v>
      </c>
      <c r="J271">
        <f t="shared" si="37"/>
        <v>0</v>
      </c>
      <c r="K271" t="str">
        <f t="shared" si="38"/>
        <v/>
      </c>
      <c r="L271" t="str">
        <f t="shared" si="39"/>
        <v/>
      </c>
      <c r="M271" t="str">
        <f t="shared" si="40"/>
        <v/>
      </c>
      <c r="N271">
        <f t="shared" si="41"/>
        <v>0</v>
      </c>
      <c r="O271" t="str">
        <f t="shared" si="42"/>
        <v/>
      </c>
      <c r="P271">
        <f t="shared" si="43"/>
        <v>0</v>
      </c>
      <c r="Q271" t="str">
        <f t="shared" si="44"/>
        <v/>
      </c>
    </row>
    <row r="272" spans="8:17">
      <c r="H272">
        <f t="shared" si="36"/>
        <v>0</v>
      </c>
      <c r="J272">
        <f t="shared" si="37"/>
        <v>0</v>
      </c>
      <c r="K272" t="str">
        <f t="shared" si="38"/>
        <v/>
      </c>
      <c r="L272" t="str">
        <f t="shared" si="39"/>
        <v/>
      </c>
      <c r="M272" t="str">
        <f t="shared" si="40"/>
        <v/>
      </c>
      <c r="N272">
        <f t="shared" si="41"/>
        <v>0</v>
      </c>
      <c r="O272" t="str">
        <f t="shared" si="42"/>
        <v/>
      </c>
      <c r="P272">
        <f t="shared" si="43"/>
        <v>0</v>
      </c>
      <c r="Q272" t="str">
        <f t="shared" si="44"/>
        <v/>
      </c>
    </row>
    <row r="273" spans="8:17">
      <c r="H273">
        <f t="shared" si="36"/>
        <v>0</v>
      </c>
      <c r="J273">
        <f t="shared" si="37"/>
        <v>0</v>
      </c>
      <c r="K273" t="str">
        <f t="shared" si="38"/>
        <v/>
      </c>
      <c r="L273" t="str">
        <f t="shared" si="39"/>
        <v/>
      </c>
      <c r="M273" t="str">
        <f t="shared" si="40"/>
        <v/>
      </c>
      <c r="N273">
        <f t="shared" si="41"/>
        <v>0</v>
      </c>
      <c r="O273" t="str">
        <f t="shared" si="42"/>
        <v/>
      </c>
      <c r="P273">
        <f t="shared" si="43"/>
        <v>0</v>
      </c>
      <c r="Q273" t="str">
        <f t="shared" si="44"/>
        <v/>
      </c>
    </row>
    <row r="274" spans="8:17">
      <c r="H274">
        <f t="shared" si="36"/>
        <v>0</v>
      </c>
      <c r="J274">
        <f t="shared" si="37"/>
        <v>0</v>
      </c>
      <c r="K274" t="str">
        <f t="shared" si="38"/>
        <v/>
      </c>
      <c r="L274" t="str">
        <f t="shared" si="39"/>
        <v/>
      </c>
      <c r="M274" t="str">
        <f t="shared" si="40"/>
        <v/>
      </c>
      <c r="N274">
        <f t="shared" si="41"/>
        <v>0</v>
      </c>
      <c r="O274" t="str">
        <f t="shared" si="42"/>
        <v/>
      </c>
      <c r="P274">
        <f t="shared" si="43"/>
        <v>0</v>
      </c>
      <c r="Q274" t="str">
        <f t="shared" si="44"/>
        <v/>
      </c>
    </row>
    <row r="275" spans="8:17">
      <c r="H275">
        <f t="shared" si="36"/>
        <v>0</v>
      </c>
      <c r="J275">
        <f t="shared" si="37"/>
        <v>0</v>
      </c>
      <c r="K275" t="str">
        <f t="shared" si="38"/>
        <v/>
      </c>
      <c r="L275" t="str">
        <f t="shared" si="39"/>
        <v/>
      </c>
      <c r="M275" t="str">
        <f t="shared" si="40"/>
        <v/>
      </c>
      <c r="N275">
        <f t="shared" si="41"/>
        <v>0</v>
      </c>
      <c r="O275" t="str">
        <f t="shared" si="42"/>
        <v/>
      </c>
      <c r="P275">
        <f t="shared" si="43"/>
        <v>0</v>
      </c>
      <c r="Q275" t="str">
        <f t="shared" si="44"/>
        <v/>
      </c>
    </row>
    <row r="276" spans="8:17">
      <c r="H276">
        <f t="shared" si="36"/>
        <v>0</v>
      </c>
      <c r="J276">
        <f t="shared" si="37"/>
        <v>0</v>
      </c>
      <c r="K276" t="str">
        <f t="shared" si="38"/>
        <v/>
      </c>
      <c r="L276" t="str">
        <f t="shared" si="39"/>
        <v/>
      </c>
      <c r="M276" t="str">
        <f t="shared" si="40"/>
        <v/>
      </c>
      <c r="N276">
        <f t="shared" si="41"/>
        <v>0</v>
      </c>
      <c r="O276" t="str">
        <f t="shared" si="42"/>
        <v/>
      </c>
      <c r="P276">
        <f t="shared" si="43"/>
        <v>0</v>
      </c>
      <c r="Q276" t="str">
        <f t="shared" si="44"/>
        <v/>
      </c>
    </row>
    <row r="277" spans="8:17">
      <c r="H277">
        <f t="shared" si="36"/>
        <v>0</v>
      </c>
      <c r="J277">
        <f t="shared" si="37"/>
        <v>0</v>
      </c>
      <c r="K277" t="str">
        <f t="shared" si="38"/>
        <v/>
      </c>
      <c r="L277" t="str">
        <f t="shared" si="39"/>
        <v/>
      </c>
      <c r="M277" t="str">
        <f t="shared" si="40"/>
        <v/>
      </c>
      <c r="N277">
        <f t="shared" si="41"/>
        <v>0</v>
      </c>
      <c r="O277" t="str">
        <f t="shared" si="42"/>
        <v/>
      </c>
      <c r="P277">
        <f t="shared" si="43"/>
        <v>0</v>
      </c>
      <c r="Q277" t="str">
        <f t="shared" si="44"/>
        <v/>
      </c>
    </row>
    <row r="278" spans="8:17">
      <c r="H278">
        <f t="shared" si="36"/>
        <v>0</v>
      </c>
      <c r="J278">
        <f t="shared" si="37"/>
        <v>0</v>
      </c>
      <c r="K278" t="str">
        <f t="shared" si="38"/>
        <v/>
      </c>
      <c r="L278" t="str">
        <f t="shared" si="39"/>
        <v/>
      </c>
      <c r="M278" t="str">
        <f t="shared" si="40"/>
        <v/>
      </c>
      <c r="N278">
        <f t="shared" si="41"/>
        <v>0</v>
      </c>
      <c r="O278" t="str">
        <f t="shared" si="42"/>
        <v/>
      </c>
      <c r="P278">
        <f t="shared" si="43"/>
        <v>0</v>
      </c>
      <c r="Q278" t="str">
        <f t="shared" si="44"/>
        <v/>
      </c>
    </row>
    <row r="279" spans="8:17">
      <c r="H279">
        <f t="shared" si="36"/>
        <v>0</v>
      </c>
      <c r="J279">
        <f t="shared" si="37"/>
        <v>0</v>
      </c>
      <c r="K279" t="str">
        <f t="shared" si="38"/>
        <v/>
      </c>
      <c r="L279" t="str">
        <f t="shared" si="39"/>
        <v/>
      </c>
      <c r="M279" t="str">
        <f t="shared" si="40"/>
        <v/>
      </c>
      <c r="N279">
        <f t="shared" si="41"/>
        <v>0</v>
      </c>
      <c r="O279" t="str">
        <f t="shared" si="42"/>
        <v/>
      </c>
      <c r="P279">
        <f t="shared" si="43"/>
        <v>0</v>
      </c>
      <c r="Q279" t="str">
        <f t="shared" si="44"/>
        <v/>
      </c>
    </row>
    <row r="280" spans="8:17">
      <c r="H280">
        <f t="shared" si="36"/>
        <v>0</v>
      </c>
      <c r="J280">
        <f t="shared" si="37"/>
        <v>0</v>
      </c>
      <c r="K280" t="str">
        <f t="shared" si="38"/>
        <v/>
      </c>
      <c r="L280" t="str">
        <f t="shared" si="39"/>
        <v/>
      </c>
      <c r="M280" t="str">
        <f t="shared" si="40"/>
        <v/>
      </c>
      <c r="N280">
        <f t="shared" si="41"/>
        <v>0</v>
      </c>
      <c r="O280" t="str">
        <f t="shared" si="42"/>
        <v/>
      </c>
      <c r="P280">
        <f t="shared" si="43"/>
        <v>0</v>
      </c>
      <c r="Q280" t="str">
        <f t="shared" si="44"/>
        <v/>
      </c>
    </row>
    <row r="281" spans="8:17">
      <c r="H281">
        <f t="shared" si="36"/>
        <v>0</v>
      </c>
      <c r="J281">
        <f t="shared" si="37"/>
        <v>0</v>
      </c>
      <c r="K281" t="str">
        <f t="shared" si="38"/>
        <v/>
      </c>
      <c r="L281" t="str">
        <f t="shared" si="39"/>
        <v/>
      </c>
      <c r="M281" t="str">
        <f t="shared" si="40"/>
        <v/>
      </c>
      <c r="N281">
        <f t="shared" si="41"/>
        <v>0</v>
      </c>
      <c r="O281" t="str">
        <f t="shared" si="42"/>
        <v/>
      </c>
      <c r="P281">
        <f t="shared" si="43"/>
        <v>0</v>
      </c>
      <c r="Q281" t="str">
        <f t="shared" si="44"/>
        <v/>
      </c>
    </row>
    <row r="282" spans="8:17">
      <c r="H282">
        <f t="shared" si="36"/>
        <v>0</v>
      </c>
      <c r="J282">
        <f t="shared" si="37"/>
        <v>0</v>
      </c>
      <c r="K282" t="str">
        <f t="shared" si="38"/>
        <v/>
      </c>
      <c r="L282" t="str">
        <f t="shared" si="39"/>
        <v/>
      </c>
      <c r="M282" t="str">
        <f t="shared" si="40"/>
        <v/>
      </c>
      <c r="N282">
        <f t="shared" si="41"/>
        <v>0</v>
      </c>
      <c r="O282" t="str">
        <f t="shared" si="42"/>
        <v/>
      </c>
      <c r="P282">
        <f t="shared" si="43"/>
        <v>0</v>
      </c>
      <c r="Q282" t="str">
        <f t="shared" si="44"/>
        <v/>
      </c>
    </row>
    <row r="283" spans="8:17">
      <c r="H283">
        <f t="shared" si="36"/>
        <v>0</v>
      </c>
      <c r="J283">
        <f t="shared" si="37"/>
        <v>0</v>
      </c>
      <c r="K283" t="str">
        <f t="shared" si="38"/>
        <v/>
      </c>
      <c r="L283" t="str">
        <f t="shared" si="39"/>
        <v/>
      </c>
      <c r="M283" t="str">
        <f t="shared" si="40"/>
        <v/>
      </c>
      <c r="N283">
        <f t="shared" si="41"/>
        <v>0</v>
      </c>
      <c r="O283" t="str">
        <f t="shared" si="42"/>
        <v/>
      </c>
      <c r="P283">
        <f t="shared" si="43"/>
        <v>0</v>
      </c>
      <c r="Q283" t="str">
        <f t="shared" si="44"/>
        <v/>
      </c>
    </row>
    <row r="284" spans="8:17">
      <c r="H284">
        <f t="shared" si="36"/>
        <v>0</v>
      </c>
      <c r="J284">
        <f t="shared" si="37"/>
        <v>0</v>
      </c>
      <c r="K284" t="str">
        <f t="shared" si="38"/>
        <v/>
      </c>
      <c r="L284" t="str">
        <f t="shared" si="39"/>
        <v/>
      </c>
      <c r="M284" t="str">
        <f t="shared" si="40"/>
        <v/>
      </c>
      <c r="N284">
        <f t="shared" si="41"/>
        <v>0</v>
      </c>
      <c r="O284" t="str">
        <f t="shared" si="42"/>
        <v/>
      </c>
      <c r="P284">
        <f t="shared" si="43"/>
        <v>0</v>
      </c>
      <c r="Q284" t="str">
        <f t="shared" si="44"/>
        <v/>
      </c>
    </row>
    <row r="285" spans="8:17">
      <c r="H285">
        <f t="shared" si="36"/>
        <v>0</v>
      </c>
      <c r="J285">
        <f t="shared" si="37"/>
        <v>0</v>
      </c>
      <c r="K285" t="str">
        <f t="shared" si="38"/>
        <v/>
      </c>
      <c r="L285" t="str">
        <f t="shared" si="39"/>
        <v/>
      </c>
      <c r="M285" t="str">
        <f t="shared" si="40"/>
        <v/>
      </c>
      <c r="N285">
        <f t="shared" si="41"/>
        <v>0</v>
      </c>
      <c r="O285" t="str">
        <f t="shared" si="42"/>
        <v/>
      </c>
      <c r="P285">
        <f t="shared" si="43"/>
        <v>0</v>
      </c>
      <c r="Q285" t="str">
        <f t="shared" si="44"/>
        <v/>
      </c>
    </row>
    <row r="286" spans="8:17">
      <c r="H286">
        <f t="shared" si="36"/>
        <v>0</v>
      </c>
      <c r="J286">
        <f t="shared" si="37"/>
        <v>0</v>
      </c>
      <c r="K286" t="str">
        <f t="shared" si="38"/>
        <v/>
      </c>
      <c r="L286" t="str">
        <f t="shared" si="39"/>
        <v/>
      </c>
      <c r="M286" t="str">
        <f t="shared" si="40"/>
        <v/>
      </c>
      <c r="N286">
        <f t="shared" si="41"/>
        <v>0</v>
      </c>
      <c r="O286" t="str">
        <f t="shared" si="42"/>
        <v/>
      </c>
      <c r="P286">
        <f t="shared" si="43"/>
        <v>0</v>
      </c>
      <c r="Q286" t="str">
        <f t="shared" si="44"/>
        <v/>
      </c>
    </row>
    <row r="287" spans="8:17">
      <c r="H287">
        <f t="shared" si="36"/>
        <v>0</v>
      </c>
      <c r="J287">
        <f t="shared" si="37"/>
        <v>0</v>
      </c>
      <c r="K287" t="str">
        <f t="shared" si="38"/>
        <v/>
      </c>
      <c r="L287" t="str">
        <f t="shared" si="39"/>
        <v/>
      </c>
      <c r="M287" t="str">
        <f t="shared" si="40"/>
        <v/>
      </c>
      <c r="N287">
        <f t="shared" si="41"/>
        <v>0</v>
      </c>
      <c r="O287" t="str">
        <f t="shared" si="42"/>
        <v/>
      </c>
      <c r="P287">
        <f t="shared" si="43"/>
        <v>0</v>
      </c>
      <c r="Q287" t="str">
        <f t="shared" si="44"/>
        <v/>
      </c>
    </row>
    <row r="288" spans="8:17">
      <c r="H288">
        <f t="shared" si="36"/>
        <v>0</v>
      </c>
      <c r="J288">
        <f t="shared" si="37"/>
        <v>0</v>
      </c>
      <c r="K288" t="str">
        <f t="shared" si="38"/>
        <v/>
      </c>
      <c r="L288" t="str">
        <f t="shared" si="39"/>
        <v/>
      </c>
      <c r="M288" t="str">
        <f t="shared" si="40"/>
        <v/>
      </c>
      <c r="N288">
        <f t="shared" si="41"/>
        <v>0</v>
      </c>
      <c r="O288" t="str">
        <f t="shared" si="42"/>
        <v/>
      </c>
      <c r="P288">
        <f t="shared" si="43"/>
        <v>0</v>
      </c>
      <c r="Q288" t="str">
        <f t="shared" si="44"/>
        <v/>
      </c>
    </row>
    <row r="289" spans="8:17">
      <c r="H289">
        <f t="shared" si="36"/>
        <v>0</v>
      </c>
      <c r="J289">
        <f t="shared" si="37"/>
        <v>0</v>
      </c>
      <c r="K289" t="str">
        <f t="shared" si="38"/>
        <v/>
      </c>
      <c r="L289" t="str">
        <f t="shared" si="39"/>
        <v/>
      </c>
      <c r="M289" t="str">
        <f t="shared" si="40"/>
        <v/>
      </c>
      <c r="N289">
        <f t="shared" si="41"/>
        <v>0</v>
      </c>
      <c r="O289" t="str">
        <f t="shared" si="42"/>
        <v/>
      </c>
      <c r="P289">
        <f t="shared" si="43"/>
        <v>0</v>
      </c>
      <c r="Q289" t="str">
        <f t="shared" si="44"/>
        <v/>
      </c>
    </row>
    <row r="290" spans="8:17">
      <c r="H290">
        <f t="shared" si="36"/>
        <v>0</v>
      </c>
      <c r="J290">
        <f t="shared" si="37"/>
        <v>0</v>
      </c>
      <c r="K290" t="str">
        <f t="shared" si="38"/>
        <v/>
      </c>
      <c r="L290" t="str">
        <f t="shared" si="39"/>
        <v/>
      </c>
      <c r="M290" t="str">
        <f t="shared" si="40"/>
        <v/>
      </c>
      <c r="N290">
        <f t="shared" si="41"/>
        <v>0</v>
      </c>
      <c r="O290" t="str">
        <f t="shared" si="42"/>
        <v/>
      </c>
      <c r="P290">
        <f t="shared" si="43"/>
        <v>0</v>
      </c>
      <c r="Q290" t="str">
        <f t="shared" si="44"/>
        <v/>
      </c>
    </row>
    <row r="291" spans="8:17">
      <c r="H291">
        <f t="shared" si="36"/>
        <v>0</v>
      </c>
      <c r="J291">
        <f t="shared" si="37"/>
        <v>0</v>
      </c>
      <c r="K291" t="str">
        <f t="shared" si="38"/>
        <v/>
      </c>
      <c r="L291" t="str">
        <f t="shared" si="39"/>
        <v/>
      </c>
      <c r="M291" t="str">
        <f t="shared" si="40"/>
        <v/>
      </c>
      <c r="N291">
        <f t="shared" si="41"/>
        <v>0</v>
      </c>
      <c r="O291" t="str">
        <f t="shared" si="42"/>
        <v/>
      </c>
      <c r="P291">
        <f t="shared" si="43"/>
        <v>0</v>
      </c>
      <c r="Q291" t="str">
        <f t="shared" si="44"/>
        <v/>
      </c>
    </row>
    <row r="292" spans="8:17">
      <c r="H292">
        <f t="shared" si="36"/>
        <v>0</v>
      </c>
      <c r="J292">
        <f t="shared" si="37"/>
        <v>0</v>
      </c>
      <c r="K292" t="str">
        <f t="shared" si="38"/>
        <v/>
      </c>
      <c r="L292" t="str">
        <f t="shared" si="39"/>
        <v/>
      </c>
      <c r="M292" t="str">
        <f t="shared" si="40"/>
        <v/>
      </c>
      <c r="N292">
        <f t="shared" si="41"/>
        <v>0</v>
      </c>
      <c r="O292" t="str">
        <f t="shared" si="42"/>
        <v/>
      </c>
      <c r="P292">
        <f t="shared" si="43"/>
        <v>0</v>
      </c>
      <c r="Q292" t="str">
        <f t="shared" si="44"/>
        <v/>
      </c>
    </row>
    <row r="293" spans="8:17">
      <c r="H293">
        <f t="shared" si="36"/>
        <v>0</v>
      </c>
      <c r="J293">
        <f t="shared" si="37"/>
        <v>0</v>
      </c>
      <c r="K293" t="str">
        <f t="shared" si="38"/>
        <v/>
      </c>
      <c r="L293" t="str">
        <f t="shared" si="39"/>
        <v/>
      </c>
      <c r="M293" t="str">
        <f t="shared" si="40"/>
        <v/>
      </c>
      <c r="N293">
        <f t="shared" si="41"/>
        <v>0</v>
      </c>
      <c r="O293" t="str">
        <f t="shared" si="42"/>
        <v/>
      </c>
      <c r="P293">
        <f t="shared" si="43"/>
        <v>0</v>
      </c>
      <c r="Q293" t="str">
        <f t="shared" si="44"/>
        <v/>
      </c>
    </row>
    <row r="294" spans="8:17">
      <c r="H294">
        <f t="shared" si="36"/>
        <v>0</v>
      </c>
      <c r="J294">
        <f t="shared" si="37"/>
        <v>0</v>
      </c>
      <c r="K294" t="str">
        <f t="shared" si="38"/>
        <v/>
      </c>
      <c r="L294" t="str">
        <f t="shared" si="39"/>
        <v/>
      </c>
      <c r="M294" t="str">
        <f t="shared" si="40"/>
        <v/>
      </c>
      <c r="N294">
        <f t="shared" si="41"/>
        <v>0</v>
      </c>
      <c r="O294" t="str">
        <f t="shared" si="42"/>
        <v/>
      </c>
      <c r="P294">
        <f t="shared" si="43"/>
        <v>0</v>
      </c>
      <c r="Q294" t="str">
        <f t="shared" si="44"/>
        <v/>
      </c>
    </row>
    <row r="295" spans="8:17">
      <c r="H295">
        <f t="shared" si="36"/>
        <v>0</v>
      </c>
      <c r="J295">
        <f t="shared" si="37"/>
        <v>0</v>
      </c>
      <c r="K295" t="str">
        <f t="shared" si="38"/>
        <v/>
      </c>
      <c r="L295" t="str">
        <f t="shared" si="39"/>
        <v/>
      </c>
      <c r="M295" t="str">
        <f t="shared" si="40"/>
        <v/>
      </c>
      <c r="N295">
        <f t="shared" si="41"/>
        <v>0</v>
      </c>
      <c r="O295" t="str">
        <f t="shared" si="42"/>
        <v/>
      </c>
      <c r="P295">
        <f t="shared" si="43"/>
        <v>0</v>
      </c>
      <c r="Q295" t="str">
        <f t="shared" si="44"/>
        <v/>
      </c>
    </row>
    <row r="296" spans="8:17">
      <c r="H296">
        <f t="shared" si="36"/>
        <v>0</v>
      </c>
      <c r="J296">
        <f t="shared" si="37"/>
        <v>0</v>
      </c>
      <c r="K296" t="str">
        <f t="shared" si="38"/>
        <v/>
      </c>
      <c r="L296" t="str">
        <f t="shared" si="39"/>
        <v/>
      </c>
      <c r="M296" t="str">
        <f t="shared" si="40"/>
        <v/>
      </c>
      <c r="N296">
        <f t="shared" si="41"/>
        <v>0</v>
      </c>
      <c r="O296" t="str">
        <f t="shared" si="42"/>
        <v/>
      </c>
      <c r="P296">
        <f t="shared" si="43"/>
        <v>0</v>
      </c>
      <c r="Q296" t="str">
        <f t="shared" si="44"/>
        <v/>
      </c>
    </row>
    <row r="297" spans="8:17">
      <c r="H297">
        <f t="shared" si="36"/>
        <v>0</v>
      </c>
      <c r="J297">
        <f t="shared" si="37"/>
        <v>0</v>
      </c>
      <c r="K297" t="str">
        <f t="shared" si="38"/>
        <v/>
      </c>
      <c r="L297" t="str">
        <f t="shared" si="39"/>
        <v/>
      </c>
      <c r="M297" t="str">
        <f t="shared" si="40"/>
        <v/>
      </c>
      <c r="N297">
        <f t="shared" si="41"/>
        <v>0</v>
      </c>
      <c r="O297" t="str">
        <f t="shared" si="42"/>
        <v/>
      </c>
      <c r="P297">
        <f t="shared" si="43"/>
        <v>0</v>
      </c>
      <c r="Q297" t="str">
        <f t="shared" si="44"/>
        <v/>
      </c>
    </row>
    <row r="298" spans="8:17">
      <c r="H298">
        <f t="shared" si="36"/>
        <v>0</v>
      </c>
      <c r="J298">
        <f t="shared" si="37"/>
        <v>0</v>
      </c>
      <c r="K298" t="str">
        <f t="shared" si="38"/>
        <v/>
      </c>
      <c r="L298" t="str">
        <f t="shared" si="39"/>
        <v/>
      </c>
      <c r="M298" t="str">
        <f t="shared" si="40"/>
        <v/>
      </c>
      <c r="N298">
        <f t="shared" si="41"/>
        <v>0</v>
      </c>
      <c r="O298" t="str">
        <f t="shared" si="42"/>
        <v/>
      </c>
      <c r="P298">
        <f t="shared" si="43"/>
        <v>0</v>
      </c>
      <c r="Q298" t="str">
        <f t="shared" si="44"/>
        <v/>
      </c>
    </row>
    <row r="299" spans="8:17">
      <c r="H299">
        <f t="shared" si="36"/>
        <v>0</v>
      </c>
      <c r="J299">
        <f t="shared" si="37"/>
        <v>0</v>
      </c>
      <c r="K299" t="str">
        <f t="shared" si="38"/>
        <v/>
      </c>
      <c r="L299" t="str">
        <f t="shared" si="39"/>
        <v/>
      </c>
      <c r="M299" t="str">
        <f t="shared" si="40"/>
        <v/>
      </c>
      <c r="N299">
        <f t="shared" si="41"/>
        <v>0</v>
      </c>
      <c r="O299" t="str">
        <f t="shared" si="42"/>
        <v/>
      </c>
      <c r="P299">
        <f t="shared" si="43"/>
        <v>0</v>
      </c>
      <c r="Q299" t="str">
        <f t="shared" si="44"/>
        <v/>
      </c>
    </row>
    <row r="300" spans="8:17">
      <c r="H300">
        <f t="shared" si="36"/>
        <v>0</v>
      </c>
      <c r="J300">
        <f t="shared" si="37"/>
        <v>0</v>
      </c>
      <c r="K300" t="str">
        <f t="shared" si="38"/>
        <v/>
      </c>
      <c r="L300" t="str">
        <f t="shared" si="39"/>
        <v/>
      </c>
      <c r="M300" t="str">
        <f t="shared" si="40"/>
        <v/>
      </c>
      <c r="N300">
        <f t="shared" si="41"/>
        <v>0</v>
      </c>
      <c r="O300" t="str">
        <f t="shared" si="42"/>
        <v/>
      </c>
      <c r="P300">
        <f t="shared" si="43"/>
        <v>0</v>
      </c>
      <c r="Q300" t="str">
        <f t="shared" si="44"/>
        <v/>
      </c>
    </row>
    <row r="301" spans="8:17">
      <c r="H301">
        <f t="shared" si="36"/>
        <v>0</v>
      </c>
      <c r="J301">
        <f t="shared" si="37"/>
        <v>0</v>
      </c>
      <c r="K301" t="str">
        <f t="shared" si="38"/>
        <v/>
      </c>
      <c r="L301" t="str">
        <f t="shared" si="39"/>
        <v/>
      </c>
      <c r="M301" t="str">
        <f t="shared" si="40"/>
        <v/>
      </c>
      <c r="N301">
        <f t="shared" si="41"/>
        <v>0</v>
      </c>
      <c r="O301" t="str">
        <f t="shared" si="42"/>
        <v/>
      </c>
      <c r="P301">
        <f t="shared" si="43"/>
        <v>0</v>
      </c>
      <c r="Q301" t="str">
        <f t="shared" si="44"/>
        <v/>
      </c>
    </row>
    <row r="302" spans="8:17">
      <c r="H302">
        <f t="shared" si="36"/>
        <v>0</v>
      </c>
      <c r="J302">
        <f t="shared" si="37"/>
        <v>0</v>
      </c>
      <c r="K302" t="str">
        <f t="shared" si="38"/>
        <v/>
      </c>
      <c r="L302" t="str">
        <f t="shared" si="39"/>
        <v/>
      </c>
      <c r="M302" t="str">
        <f t="shared" si="40"/>
        <v/>
      </c>
      <c r="N302">
        <f t="shared" si="41"/>
        <v>0</v>
      </c>
      <c r="O302" t="str">
        <f t="shared" si="42"/>
        <v/>
      </c>
      <c r="P302">
        <f t="shared" si="43"/>
        <v>0</v>
      </c>
      <c r="Q302" t="str">
        <f t="shared" si="44"/>
        <v/>
      </c>
    </row>
    <row r="303" spans="8:17">
      <c r="H303">
        <f t="shared" si="36"/>
        <v>0</v>
      </c>
      <c r="J303">
        <f t="shared" si="37"/>
        <v>0</v>
      </c>
      <c r="K303" t="str">
        <f t="shared" si="38"/>
        <v/>
      </c>
      <c r="L303" t="str">
        <f t="shared" si="39"/>
        <v/>
      </c>
      <c r="M303" t="str">
        <f t="shared" si="40"/>
        <v/>
      </c>
      <c r="N303">
        <f t="shared" si="41"/>
        <v>0</v>
      </c>
      <c r="O303" t="str">
        <f t="shared" si="42"/>
        <v/>
      </c>
      <c r="P303">
        <f t="shared" si="43"/>
        <v>0</v>
      </c>
      <c r="Q303" t="str">
        <f t="shared" si="44"/>
        <v/>
      </c>
    </row>
    <row r="304" spans="8:17">
      <c r="H304">
        <f t="shared" si="36"/>
        <v>0</v>
      </c>
      <c r="J304">
        <f t="shared" si="37"/>
        <v>0</v>
      </c>
      <c r="K304" t="str">
        <f t="shared" si="38"/>
        <v/>
      </c>
      <c r="L304" t="str">
        <f t="shared" si="39"/>
        <v/>
      </c>
      <c r="M304" t="str">
        <f t="shared" si="40"/>
        <v/>
      </c>
      <c r="N304">
        <f t="shared" si="41"/>
        <v>0</v>
      </c>
      <c r="O304" t="str">
        <f t="shared" si="42"/>
        <v/>
      </c>
      <c r="P304">
        <f t="shared" si="43"/>
        <v>0</v>
      </c>
      <c r="Q304" t="str">
        <f t="shared" si="44"/>
        <v/>
      </c>
    </row>
    <row r="305" spans="8:17">
      <c r="H305">
        <f t="shared" si="36"/>
        <v>0</v>
      </c>
      <c r="J305">
        <f t="shared" si="37"/>
        <v>0</v>
      </c>
      <c r="K305" t="str">
        <f t="shared" si="38"/>
        <v/>
      </c>
      <c r="L305" t="str">
        <f t="shared" si="39"/>
        <v/>
      </c>
      <c r="M305" t="str">
        <f t="shared" si="40"/>
        <v/>
      </c>
      <c r="N305">
        <f t="shared" si="41"/>
        <v>0</v>
      </c>
      <c r="O305" t="str">
        <f t="shared" si="42"/>
        <v/>
      </c>
      <c r="P305">
        <f t="shared" si="43"/>
        <v>0</v>
      </c>
      <c r="Q305" t="str">
        <f t="shared" si="44"/>
        <v/>
      </c>
    </row>
    <row r="306" spans="8:17">
      <c r="H306">
        <f t="shared" si="36"/>
        <v>0</v>
      </c>
      <c r="J306">
        <f t="shared" si="37"/>
        <v>0</v>
      </c>
      <c r="K306" t="str">
        <f t="shared" si="38"/>
        <v/>
      </c>
      <c r="L306" t="str">
        <f t="shared" si="39"/>
        <v/>
      </c>
      <c r="M306" t="str">
        <f t="shared" si="40"/>
        <v/>
      </c>
      <c r="N306">
        <f t="shared" si="41"/>
        <v>0</v>
      </c>
      <c r="O306" t="str">
        <f t="shared" si="42"/>
        <v/>
      </c>
      <c r="P306">
        <f t="shared" si="43"/>
        <v>0</v>
      </c>
      <c r="Q306" t="str">
        <f t="shared" si="44"/>
        <v/>
      </c>
    </row>
    <row r="307" spans="8:17">
      <c r="H307">
        <f t="shared" si="36"/>
        <v>0</v>
      </c>
      <c r="J307">
        <f t="shared" si="37"/>
        <v>0</v>
      </c>
      <c r="K307" t="str">
        <f t="shared" si="38"/>
        <v/>
      </c>
      <c r="L307" t="str">
        <f t="shared" si="39"/>
        <v/>
      </c>
      <c r="M307" t="str">
        <f t="shared" si="40"/>
        <v/>
      </c>
      <c r="N307">
        <f t="shared" si="41"/>
        <v>0</v>
      </c>
      <c r="O307" t="str">
        <f t="shared" si="42"/>
        <v/>
      </c>
      <c r="P307">
        <f t="shared" si="43"/>
        <v>0</v>
      </c>
      <c r="Q307" t="str">
        <f t="shared" si="44"/>
        <v/>
      </c>
    </row>
    <row r="308" spans="8:17">
      <c r="H308">
        <f t="shared" si="36"/>
        <v>0</v>
      </c>
      <c r="J308">
        <f t="shared" si="37"/>
        <v>0</v>
      </c>
      <c r="K308" t="str">
        <f t="shared" si="38"/>
        <v/>
      </c>
      <c r="L308" t="str">
        <f t="shared" si="39"/>
        <v/>
      </c>
      <c r="M308" t="str">
        <f t="shared" si="40"/>
        <v/>
      </c>
      <c r="N308">
        <f t="shared" si="41"/>
        <v>0</v>
      </c>
      <c r="O308" t="str">
        <f t="shared" si="42"/>
        <v/>
      </c>
      <c r="P308">
        <f t="shared" si="43"/>
        <v>0</v>
      </c>
      <c r="Q308" t="str">
        <f t="shared" si="44"/>
        <v/>
      </c>
    </row>
    <row r="309" spans="8:17">
      <c r="H309">
        <f t="shared" si="36"/>
        <v>0</v>
      </c>
      <c r="J309">
        <f t="shared" si="37"/>
        <v>0</v>
      </c>
      <c r="K309" t="str">
        <f t="shared" si="38"/>
        <v/>
      </c>
      <c r="L309" t="str">
        <f t="shared" si="39"/>
        <v/>
      </c>
      <c r="M309" t="str">
        <f t="shared" si="40"/>
        <v/>
      </c>
      <c r="N309">
        <f t="shared" si="41"/>
        <v>0</v>
      </c>
      <c r="O309" t="str">
        <f t="shared" si="42"/>
        <v/>
      </c>
      <c r="P309">
        <f t="shared" si="43"/>
        <v>0</v>
      </c>
      <c r="Q309" t="str">
        <f t="shared" si="44"/>
        <v/>
      </c>
    </row>
    <row r="310" spans="8:17">
      <c r="H310">
        <f t="shared" si="36"/>
        <v>0</v>
      </c>
      <c r="J310">
        <f t="shared" si="37"/>
        <v>0</v>
      </c>
      <c r="K310" t="str">
        <f t="shared" si="38"/>
        <v/>
      </c>
      <c r="L310" t="str">
        <f t="shared" si="39"/>
        <v/>
      </c>
      <c r="M310" t="str">
        <f t="shared" si="40"/>
        <v/>
      </c>
      <c r="N310">
        <f t="shared" si="41"/>
        <v>0</v>
      </c>
      <c r="O310" t="str">
        <f t="shared" si="42"/>
        <v/>
      </c>
      <c r="P310">
        <f t="shared" si="43"/>
        <v>0</v>
      </c>
      <c r="Q310" t="str">
        <f t="shared" si="44"/>
        <v/>
      </c>
    </row>
    <row r="311" spans="8:17">
      <c r="H311">
        <f t="shared" si="36"/>
        <v>0</v>
      </c>
      <c r="J311">
        <f t="shared" si="37"/>
        <v>0</v>
      </c>
      <c r="K311" t="str">
        <f t="shared" si="38"/>
        <v/>
      </c>
      <c r="L311" t="str">
        <f t="shared" si="39"/>
        <v/>
      </c>
      <c r="M311" t="str">
        <f t="shared" si="40"/>
        <v/>
      </c>
      <c r="N311">
        <f t="shared" si="41"/>
        <v>0</v>
      </c>
      <c r="O311" t="str">
        <f t="shared" si="42"/>
        <v/>
      </c>
      <c r="P311">
        <f t="shared" si="43"/>
        <v>0</v>
      </c>
      <c r="Q311" t="str">
        <f t="shared" si="44"/>
        <v/>
      </c>
    </row>
    <row r="312" spans="8:17">
      <c r="H312">
        <f t="shared" si="36"/>
        <v>0</v>
      </c>
      <c r="J312">
        <f t="shared" si="37"/>
        <v>0</v>
      </c>
      <c r="K312" t="str">
        <f t="shared" si="38"/>
        <v/>
      </c>
      <c r="L312" t="str">
        <f t="shared" si="39"/>
        <v/>
      </c>
      <c r="M312" t="str">
        <f t="shared" si="40"/>
        <v/>
      </c>
      <c r="N312">
        <f t="shared" si="41"/>
        <v>0</v>
      </c>
      <c r="O312" t="str">
        <f t="shared" si="42"/>
        <v/>
      </c>
      <c r="P312">
        <f t="shared" si="43"/>
        <v>0</v>
      </c>
      <c r="Q312" t="str">
        <f t="shared" si="44"/>
        <v/>
      </c>
    </row>
    <row r="313" spans="8:17">
      <c r="H313">
        <f t="shared" si="36"/>
        <v>0</v>
      </c>
      <c r="J313">
        <f t="shared" si="37"/>
        <v>0</v>
      </c>
      <c r="K313" t="str">
        <f t="shared" si="38"/>
        <v/>
      </c>
      <c r="L313" t="str">
        <f t="shared" si="39"/>
        <v/>
      </c>
      <c r="M313" t="str">
        <f t="shared" si="40"/>
        <v/>
      </c>
      <c r="N313">
        <f t="shared" si="41"/>
        <v>0</v>
      </c>
      <c r="O313" t="str">
        <f t="shared" si="42"/>
        <v/>
      </c>
      <c r="P313">
        <f t="shared" si="43"/>
        <v>0</v>
      </c>
      <c r="Q313" t="str">
        <f t="shared" si="44"/>
        <v/>
      </c>
    </row>
    <row r="314" spans="8:17">
      <c r="H314">
        <f t="shared" si="36"/>
        <v>0</v>
      </c>
      <c r="J314">
        <f t="shared" si="37"/>
        <v>0</v>
      </c>
      <c r="K314" t="str">
        <f t="shared" si="38"/>
        <v/>
      </c>
      <c r="L314" t="str">
        <f t="shared" si="39"/>
        <v/>
      </c>
      <c r="M314" t="str">
        <f t="shared" si="40"/>
        <v/>
      </c>
      <c r="N314">
        <f t="shared" si="41"/>
        <v>0</v>
      </c>
      <c r="O314" t="str">
        <f t="shared" si="42"/>
        <v/>
      </c>
      <c r="P314">
        <f t="shared" si="43"/>
        <v>0</v>
      </c>
      <c r="Q314" t="str">
        <f t="shared" si="44"/>
        <v/>
      </c>
    </row>
    <row r="315" spans="8:17">
      <c r="H315">
        <f t="shared" si="36"/>
        <v>0</v>
      </c>
      <c r="J315">
        <f t="shared" si="37"/>
        <v>0</v>
      </c>
      <c r="K315" t="str">
        <f t="shared" si="38"/>
        <v/>
      </c>
      <c r="L315" t="str">
        <f t="shared" si="39"/>
        <v/>
      </c>
      <c r="M315" t="str">
        <f t="shared" si="40"/>
        <v/>
      </c>
      <c r="N315">
        <f t="shared" si="41"/>
        <v>0</v>
      </c>
      <c r="O315" t="str">
        <f t="shared" si="42"/>
        <v/>
      </c>
      <c r="P315">
        <f t="shared" si="43"/>
        <v>0</v>
      </c>
      <c r="Q315" t="str">
        <f t="shared" si="44"/>
        <v/>
      </c>
    </row>
    <row r="316" spans="8:17">
      <c r="H316">
        <f t="shared" si="36"/>
        <v>0</v>
      </c>
      <c r="J316">
        <f t="shared" si="37"/>
        <v>0</v>
      </c>
      <c r="K316" t="str">
        <f t="shared" si="38"/>
        <v/>
      </c>
      <c r="L316" t="str">
        <f t="shared" si="39"/>
        <v/>
      </c>
      <c r="M316" t="str">
        <f t="shared" si="40"/>
        <v/>
      </c>
      <c r="N316">
        <f t="shared" si="41"/>
        <v>0</v>
      </c>
      <c r="O316" t="str">
        <f t="shared" si="42"/>
        <v/>
      </c>
      <c r="P316">
        <f t="shared" si="43"/>
        <v>0</v>
      </c>
      <c r="Q316" t="str">
        <f t="shared" si="44"/>
        <v/>
      </c>
    </row>
    <row r="317" spans="8:17">
      <c r="H317">
        <f t="shared" si="36"/>
        <v>0</v>
      </c>
      <c r="J317">
        <f t="shared" si="37"/>
        <v>0</v>
      </c>
      <c r="K317" t="str">
        <f t="shared" si="38"/>
        <v/>
      </c>
      <c r="L317" t="str">
        <f t="shared" si="39"/>
        <v/>
      </c>
      <c r="M317" t="str">
        <f t="shared" si="40"/>
        <v/>
      </c>
      <c r="N317">
        <f t="shared" si="41"/>
        <v>0</v>
      </c>
      <c r="O317" t="str">
        <f t="shared" si="42"/>
        <v/>
      </c>
      <c r="P317">
        <f t="shared" si="43"/>
        <v>0</v>
      </c>
      <c r="Q317" t="str">
        <f t="shared" si="44"/>
        <v/>
      </c>
    </row>
    <row r="318" spans="8:17">
      <c r="H318">
        <f t="shared" si="36"/>
        <v>0</v>
      </c>
      <c r="J318">
        <f t="shared" si="37"/>
        <v>0</v>
      </c>
      <c r="K318" t="str">
        <f t="shared" si="38"/>
        <v/>
      </c>
      <c r="L318" t="str">
        <f t="shared" si="39"/>
        <v/>
      </c>
      <c r="M318" t="str">
        <f t="shared" si="40"/>
        <v/>
      </c>
      <c r="N318">
        <f t="shared" si="41"/>
        <v>0</v>
      </c>
      <c r="O318" t="str">
        <f t="shared" si="42"/>
        <v/>
      </c>
      <c r="P318">
        <f t="shared" si="43"/>
        <v>0</v>
      </c>
      <c r="Q318" t="str">
        <f t="shared" si="44"/>
        <v/>
      </c>
    </row>
    <row r="319" spans="8:17">
      <c r="H319">
        <f t="shared" si="36"/>
        <v>0</v>
      </c>
      <c r="J319">
        <f t="shared" si="37"/>
        <v>0</v>
      </c>
      <c r="K319" t="str">
        <f t="shared" si="38"/>
        <v/>
      </c>
      <c r="L319" t="str">
        <f t="shared" si="39"/>
        <v/>
      </c>
      <c r="M319" t="str">
        <f t="shared" si="40"/>
        <v/>
      </c>
      <c r="N319">
        <f t="shared" si="41"/>
        <v>0</v>
      </c>
      <c r="O319" t="str">
        <f t="shared" si="42"/>
        <v/>
      </c>
      <c r="P319">
        <f t="shared" si="43"/>
        <v>0</v>
      </c>
      <c r="Q319" t="str">
        <f t="shared" si="44"/>
        <v/>
      </c>
    </row>
    <row r="320" spans="8:17">
      <c r="H320">
        <f t="shared" si="36"/>
        <v>0</v>
      </c>
      <c r="J320">
        <f t="shared" si="37"/>
        <v>0</v>
      </c>
      <c r="K320" t="str">
        <f t="shared" si="38"/>
        <v/>
      </c>
      <c r="L320" t="str">
        <f t="shared" si="39"/>
        <v/>
      </c>
      <c r="M320" t="str">
        <f t="shared" si="40"/>
        <v/>
      </c>
      <c r="N320">
        <f t="shared" si="41"/>
        <v>0</v>
      </c>
      <c r="O320" t="str">
        <f t="shared" si="42"/>
        <v/>
      </c>
      <c r="P320">
        <f t="shared" si="43"/>
        <v>0</v>
      </c>
      <c r="Q320" t="str">
        <f t="shared" si="44"/>
        <v/>
      </c>
    </row>
    <row r="321" spans="8:17">
      <c r="H321">
        <f t="shared" si="36"/>
        <v>0</v>
      </c>
      <c r="J321">
        <f t="shared" si="37"/>
        <v>0</v>
      </c>
      <c r="K321" t="str">
        <f t="shared" si="38"/>
        <v/>
      </c>
      <c r="L321" t="str">
        <f t="shared" si="39"/>
        <v/>
      </c>
      <c r="M321" t="str">
        <f t="shared" si="40"/>
        <v/>
      </c>
      <c r="N321">
        <f t="shared" si="41"/>
        <v>0</v>
      </c>
      <c r="O321" t="str">
        <f t="shared" si="42"/>
        <v/>
      </c>
      <c r="P321">
        <f t="shared" si="43"/>
        <v>0</v>
      </c>
      <c r="Q321" t="str">
        <f t="shared" si="44"/>
        <v/>
      </c>
    </row>
    <row r="322" spans="8:17">
      <c r="H322">
        <f t="shared" ref="H322:H385" si="45">A322</f>
        <v>0</v>
      </c>
      <c r="J322">
        <f t="shared" ref="J322:J385" si="46">IF($I322&lt;&gt;"",$I322,$A322)</f>
        <v>0</v>
      </c>
      <c r="K322" t="str">
        <f t="shared" ref="K322:K385" si="47">IF($C322="","",IF(LEN($C322)=1,CODE(UPPER($C322))-64,IFERROR(VALUE(MID($C322,2,99)),"")))</f>
        <v/>
      </c>
      <c r="L322" t="str">
        <f t="shared" ref="L322:L385" si="48">IF($D322="","",IFERROR(VALUE($D322),""))</f>
        <v/>
      </c>
      <c r="M322" t="str">
        <f t="shared" ref="M322:M385" si="49">IFERROR(VALUE(MID($A322,FIND("Level",$A322)+5,99)),IF($E322="AISLE_FLOOR",0,IF($E322="OVERFLOW",0,IF($E322="ENDCAP",0,""))))</f>
        <v/>
      </c>
      <c r="N322">
        <f t="shared" ref="N322:N385" si="50">IF(AND($B322&lt;&gt;"",$C322&lt;&gt;"",ISNUMBER(--$D322)), $B322&amp;": "&amp;LEFT($C322,1)&amp;TEXT(--$D322,"00"), IF($I322&lt;&gt;"",$I322,$A322))</f>
        <v>0</v>
      </c>
      <c r="O322" t="str">
        <f t="shared" ref="O322:O385" si="51">IF(AND($C322&lt;&gt;"",ISNUMBER(--$D322)),LEFT($C322,1),"")</f>
        <v/>
      </c>
      <c r="P322">
        <f t="shared" ref="P322:P385" si="52">IF(ISNUMBER(--$D322),--$D322,"")</f>
        <v>0</v>
      </c>
      <c r="Q322" t="str">
        <f t="shared" ref="Q322:Q385" si="53">IF(AND($O322&lt;&gt;"",$P322&lt;&gt;""),$O322&amp;TEXT($P322,"00"),"")</f>
        <v/>
      </c>
    </row>
    <row r="323" spans="8:17">
      <c r="H323">
        <f t="shared" si="45"/>
        <v>0</v>
      </c>
      <c r="J323">
        <f t="shared" si="46"/>
        <v>0</v>
      </c>
      <c r="K323" t="str">
        <f t="shared" si="47"/>
        <v/>
      </c>
      <c r="L323" t="str">
        <f t="shared" si="48"/>
        <v/>
      </c>
      <c r="M323" t="str">
        <f t="shared" si="49"/>
        <v/>
      </c>
      <c r="N323">
        <f t="shared" si="50"/>
        <v>0</v>
      </c>
      <c r="O323" t="str">
        <f t="shared" si="51"/>
        <v/>
      </c>
      <c r="P323">
        <f t="shared" si="52"/>
        <v>0</v>
      </c>
      <c r="Q323" t="str">
        <f t="shared" si="53"/>
        <v/>
      </c>
    </row>
    <row r="324" spans="8:17">
      <c r="H324">
        <f t="shared" si="45"/>
        <v>0</v>
      </c>
      <c r="J324">
        <f t="shared" si="46"/>
        <v>0</v>
      </c>
      <c r="K324" t="str">
        <f t="shared" si="47"/>
        <v/>
      </c>
      <c r="L324" t="str">
        <f t="shared" si="48"/>
        <v/>
      </c>
      <c r="M324" t="str">
        <f t="shared" si="49"/>
        <v/>
      </c>
      <c r="N324">
        <f t="shared" si="50"/>
        <v>0</v>
      </c>
      <c r="O324" t="str">
        <f t="shared" si="51"/>
        <v/>
      </c>
      <c r="P324">
        <f t="shared" si="52"/>
        <v>0</v>
      </c>
      <c r="Q324" t="str">
        <f t="shared" si="53"/>
        <v/>
      </c>
    </row>
    <row r="325" spans="8:17">
      <c r="H325">
        <f t="shared" si="45"/>
        <v>0</v>
      </c>
      <c r="J325">
        <f t="shared" si="46"/>
        <v>0</v>
      </c>
      <c r="K325" t="str">
        <f t="shared" si="47"/>
        <v/>
      </c>
      <c r="L325" t="str">
        <f t="shared" si="48"/>
        <v/>
      </c>
      <c r="M325" t="str">
        <f t="shared" si="49"/>
        <v/>
      </c>
      <c r="N325">
        <f t="shared" si="50"/>
        <v>0</v>
      </c>
      <c r="O325" t="str">
        <f t="shared" si="51"/>
        <v/>
      </c>
      <c r="P325">
        <f t="shared" si="52"/>
        <v>0</v>
      </c>
      <c r="Q325" t="str">
        <f t="shared" si="53"/>
        <v/>
      </c>
    </row>
    <row r="326" spans="8:17">
      <c r="H326">
        <f t="shared" si="45"/>
        <v>0</v>
      </c>
      <c r="J326">
        <f t="shared" si="46"/>
        <v>0</v>
      </c>
      <c r="K326" t="str">
        <f t="shared" si="47"/>
        <v/>
      </c>
      <c r="L326" t="str">
        <f t="shared" si="48"/>
        <v/>
      </c>
      <c r="M326" t="str">
        <f t="shared" si="49"/>
        <v/>
      </c>
      <c r="N326">
        <f t="shared" si="50"/>
        <v>0</v>
      </c>
      <c r="O326" t="str">
        <f t="shared" si="51"/>
        <v/>
      </c>
      <c r="P326">
        <f t="shared" si="52"/>
        <v>0</v>
      </c>
      <c r="Q326" t="str">
        <f t="shared" si="53"/>
        <v/>
      </c>
    </row>
    <row r="327" spans="8:17">
      <c r="H327">
        <f t="shared" si="45"/>
        <v>0</v>
      </c>
      <c r="J327">
        <f t="shared" si="46"/>
        <v>0</v>
      </c>
      <c r="K327" t="str">
        <f t="shared" si="47"/>
        <v/>
      </c>
      <c r="L327" t="str">
        <f t="shared" si="48"/>
        <v/>
      </c>
      <c r="M327" t="str">
        <f t="shared" si="49"/>
        <v/>
      </c>
      <c r="N327">
        <f t="shared" si="50"/>
        <v>0</v>
      </c>
      <c r="O327" t="str">
        <f t="shared" si="51"/>
        <v/>
      </c>
      <c r="P327">
        <f t="shared" si="52"/>
        <v>0</v>
      </c>
      <c r="Q327" t="str">
        <f t="shared" si="53"/>
        <v/>
      </c>
    </row>
    <row r="328" spans="8:17">
      <c r="H328">
        <f t="shared" si="45"/>
        <v>0</v>
      </c>
      <c r="J328">
        <f t="shared" si="46"/>
        <v>0</v>
      </c>
      <c r="K328" t="str">
        <f t="shared" si="47"/>
        <v/>
      </c>
      <c r="L328" t="str">
        <f t="shared" si="48"/>
        <v/>
      </c>
      <c r="M328" t="str">
        <f t="shared" si="49"/>
        <v/>
      </c>
      <c r="N328">
        <f t="shared" si="50"/>
        <v>0</v>
      </c>
      <c r="O328" t="str">
        <f t="shared" si="51"/>
        <v/>
      </c>
      <c r="P328">
        <f t="shared" si="52"/>
        <v>0</v>
      </c>
      <c r="Q328" t="str">
        <f t="shared" si="53"/>
        <v/>
      </c>
    </row>
    <row r="329" spans="8:17">
      <c r="H329">
        <f t="shared" si="45"/>
        <v>0</v>
      </c>
      <c r="J329">
        <f t="shared" si="46"/>
        <v>0</v>
      </c>
      <c r="K329" t="str">
        <f t="shared" si="47"/>
        <v/>
      </c>
      <c r="L329" t="str">
        <f t="shared" si="48"/>
        <v/>
      </c>
      <c r="M329" t="str">
        <f t="shared" si="49"/>
        <v/>
      </c>
      <c r="N329">
        <f t="shared" si="50"/>
        <v>0</v>
      </c>
      <c r="O329" t="str">
        <f t="shared" si="51"/>
        <v/>
      </c>
      <c r="P329">
        <f t="shared" si="52"/>
        <v>0</v>
      </c>
      <c r="Q329" t="str">
        <f t="shared" si="53"/>
        <v/>
      </c>
    </row>
    <row r="330" spans="8:17">
      <c r="H330">
        <f t="shared" si="45"/>
        <v>0</v>
      </c>
      <c r="J330">
        <f t="shared" si="46"/>
        <v>0</v>
      </c>
      <c r="K330" t="str">
        <f t="shared" si="47"/>
        <v/>
      </c>
      <c r="L330" t="str">
        <f t="shared" si="48"/>
        <v/>
      </c>
      <c r="M330" t="str">
        <f t="shared" si="49"/>
        <v/>
      </c>
      <c r="N330">
        <f t="shared" si="50"/>
        <v>0</v>
      </c>
      <c r="O330" t="str">
        <f t="shared" si="51"/>
        <v/>
      </c>
      <c r="P330">
        <f t="shared" si="52"/>
        <v>0</v>
      </c>
      <c r="Q330" t="str">
        <f t="shared" si="53"/>
        <v/>
      </c>
    </row>
    <row r="331" spans="8:17">
      <c r="H331">
        <f t="shared" si="45"/>
        <v>0</v>
      </c>
      <c r="J331">
        <f t="shared" si="46"/>
        <v>0</v>
      </c>
      <c r="K331" t="str">
        <f t="shared" si="47"/>
        <v/>
      </c>
      <c r="L331" t="str">
        <f t="shared" si="48"/>
        <v/>
      </c>
      <c r="M331" t="str">
        <f t="shared" si="49"/>
        <v/>
      </c>
      <c r="N331">
        <f t="shared" si="50"/>
        <v>0</v>
      </c>
      <c r="O331" t="str">
        <f t="shared" si="51"/>
        <v/>
      </c>
      <c r="P331">
        <f t="shared" si="52"/>
        <v>0</v>
      </c>
      <c r="Q331" t="str">
        <f t="shared" si="53"/>
        <v/>
      </c>
    </row>
    <row r="332" spans="8:17">
      <c r="H332">
        <f t="shared" si="45"/>
        <v>0</v>
      </c>
      <c r="J332">
        <f t="shared" si="46"/>
        <v>0</v>
      </c>
      <c r="K332" t="str">
        <f t="shared" si="47"/>
        <v/>
      </c>
      <c r="L332" t="str">
        <f t="shared" si="48"/>
        <v/>
      </c>
      <c r="M332" t="str">
        <f t="shared" si="49"/>
        <v/>
      </c>
      <c r="N332">
        <f t="shared" si="50"/>
        <v>0</v>
      </c>
      <c r="O332" t="str">
        <f t="shared" si="51"/>
        <v/>
      </c>
      <c r="P332">
        <f t="shared" si="52"/>
        <v>0</v>
      </c>
      <c r="Q332" t="str">
        <f t="shared" si="53"/>
        <v/>
      </c>
    </row>
    <row r="333" spans="8:17">
      <c r="H333">
        <f t="shared" si="45"/>
        <v>0</v>
      </c>
      <c r="J333">
        <f t="shared" si="46"/>
        <v>0</v>
      </c>
      <c r="K333" t="str">
        <f t="shared" si="47"/>
        <v/>
      </c>
      <c r="L333" t="str">
        <f t="shared" si="48"/>
        <v/>
      </c>
      <c r="M333" t="str">
        <f t="shared" si="49"/>
        <v/>
      </c>
      <c r="N333">
        <f t="shared" si="50"/>
        <v>0</v>
      </c>
      <c r="O333" t="str">
        <f t="shared" si="51"/>
        <v/>
      </c>
      <c r="P333">
        <f t="shared" si="52"/>
        <v>0</v>
      </c>
      <c r="Q333" t="str">
        <f t="shared" si="53"/>
        <v/>
      </c>
    </row>
    <row r="334" spans="8:17">
      <c r="H334">
        <f t="shared" si="45"/>
        <v>0</v>
      </c>
      <c r="J334">
        <f t="shared" si="46"/>
        <v>0</v>
      </c>
      <c r="K334" t="str">
        <f t="shared" si="47"/>
        <v/>
      </c>
      <c r="L334" t="str">
        <f t="shared" si="48"/>
        <v/>
      </c>
      <c r="M334" t="str">
        <f t="shared" si="49"/>
        <v/>
      </c>
      <c r="N334">
        <f t="shared" si="50"/>
        <v>0</v>
      </c>
      <c r="O334" t="str">
        <f t="shared" si="51"/>
        <v/>
      </c>
      <c r="P334">
        <f t="shared" si="52"/>
        <v>0</v>
      </c>
      <c r="Q334" t="str">
        <f t="shared" si="53"/>
        <v/>
      </c>
    </row>
    <row r="335" spans="8:17">
      <c r="H335">
        <f t="shared" si="45"/>
        <v>0</v>
      </c>
      <c r="J335">
        <f t="shared" si="46"/>
        <v>0</v>
      </c>
      <c r="K335" t="str">
        <f t="shared" si="47"/>
        <v/>
      </c>
      <c r="L335" t="str">
        <f t="shared" si="48"/>
        <v/>
      </c>
      <c r="M335" t="str">
        <f t="shared" si="49"/>
        <v/>
      </c>
      <c r="N335">
        <f t="shared" si="50"/>
        <v>0</v>
      </c>
      <c r="O335" t="str">
        <f t="shared" si="51"/>
        <v/>
      </c>
      <c r="P335">
        <f t="shared" si="52"/>
        <v>0</v>
      </c>
      <c r="Q335" t="str">
        <f t="shared" si="53"/>
        <v/>
      </c>
    </row>
    <row r="336" spans="8:17">
      <c r="H336">
        <f t="shared" si="45"/>
        <v>0</v>
      </c>
      <c r="J336">
        <f t="shared" si="46"/>
        <v>0</v>
      </c>
      <c r="K336" t="str">
        <f t="shared" si="47"/>
        <v/>
      </c>
      <c r="L336" t="str">
        <f t="shared" si="48"/>
        <v/>
      </c>
      <c r="M336" t="str">
        <f t="shared" si="49"/>
        <v/>
      </c>
      <c r="N336">
        <f t="shared" si="50"/>
        <v>0</v>
      </c>
      <c r="O336" t="str">
        <f t="shared" si="51"/>
        <v/>
      </c>
      <c r="P336">
        <f t="shared" si="52"/>
        <v>0</v>
      </c>
      <c r="Q336" t="str">
        <f t="shared" si="53"/>
        <v/>
      </c>
    </row>
    <row r="337" spans="8:17">
      <c r="H337">
        <f t="shared" si="45"/>
        <v>0</v>
      </c>
      <c r="J337">
        <f t="shared" si="46"/>
        <v>0</v>
      </c>
      <c r="K337" t="str">
        <f t="shared" si="47"/>
        <v/>
      </c>
      <c r="L337" t="str">
        <f t="shared" si="48"/>
        <v/>
      </c>
      <c r="M337" t="str">
        <f t="shared" si="49"/>
        <v/>
      </c>
      <c r="N337">
        <f t="shared" si="50"/>
        <v>0</v>
      </c>
      <c r="O337" t="str">
        <f t="shared" si="51"/>
        <v/>
      </c>
      <c r="P337">
        <f t="shared" si="52"/>
        <v>0</v>
      </c>
      <c r="Q337" t="str">
        <f t="shared" si="53"/>
        <v/>
      </c>
    </row>
    <row r="338" spans="8:17">
      <c r="H338">
        <f t="shared" si="45"/>
        <v>0</v>
      </c>
      <c r="J338">
        <f t="shared" si="46"/>
        <v>0</v>
      </c>
      <c r="K338" t="str">
        <f t="shared" si="47"/>
        <v/>
      </c>
      <c r="L338" t="str">
        <f t="shared" si="48"/>
        <v/>
      </c>
      <c r="M338" t="str">
        <f t="shared" si="49"/>
        <v/>
      </c>
      <c r="N338">
        <f t="shared" si="50"/>
        <v>0</v>
      </c>
      <c r="O338" t="str">
        <f t="shared" si="51"/>
        <v/>
      </c>
      <c r="P338">
        <f t="shared" si="52"/>
        <v>0</v>
      </c>
      <c r="Q338" t="str">
        <f t="shared" si="53"/>
        <v/>
      </c>
    </row>
    <row r="339" spans="8:17">
      <c r="H339">
        <f t="shared" si="45"/>
        <v>0</v>
      </c>
      <c r="J339">
        <f t="shared" si="46"/>
        <v>0</v>
      </c>
      <c r="K339" t="str">
        <f t="shared" si="47"/>
        <v/>
      </c>
      <c r="L339" t="str">
        <f t="shared" si="48"/>
        <v/>
      </c>
      <c r="M339" t="str">
        <f t="shared" si="49"/>
        <v/>
      </c>
      <c r="N339">
        <f t="shared" si="50"/>
        <v>0</v>
      </c>
      <c r="O339" t="str">
        <f t="shared" si="51"/>
        <v/>
      </c>
      <c r="P339">
        <f t="shared" si="52"/>
        <v>0</v>
      </c>
      <c r="Q339" t="str">
        <f t="shared" si="53"/>
        <v/>
      </c>
    </row>
    <row r="340" spans="8:17">
      <c r="H340">
        <f t="shared" si="45"/>
        <v>0</v>
      </c>
      <c r="J340">
        <f t="shared" si="46"/>
        <v>0</v>
      </c>
      <c r="K340" t="str">
        <f t="shared" si="47"/>
        <v/>
      </c>
      <c r="L340" t="str">
        <f t="shared" si="48"/>
        <v/>
      </c>
      <c r="M340" t="str">
        <f t="shared" si="49"/>
        <v/>
      </c>
      <c r="N340">
        <f t="shared" si="50"/>
        <v>0</v>
      </c>
      <c r="O340" t="str">
        <f t="shared" si="51"/>
        <v/>
      </c>
      <c r="P340">
        <f t="shared" si="52"/>
        <v>0</v>
      </c>
      <c r="Q340" t="str">
        <f t="shared" si="53"/>
        <v/>
      </c>
    </row>
    <row r="341" spans="8:17">
      <c r="H341">
        <f t="shared" si="45"/>
        <v>0</v>
      </c>
      <c r="J341">
        <f t="shared" si="46"/>
        <v>0</v>
      </c>
      <c r="K341" t="str">
        <f t="shared" si="47"/>
        <v/>
      </c>
      <c r="L341" t="str">
        <f t="shared" si="48"/>
        <v/>
      </c>
      <c r="M341" t="str">
        <f t="shared" si="49"/>
        <v/>
      </c>
      <c r="N341">
        <f t="shared" si="50"/>
        <v>0</v>
      </c>
      <c r="O341" t="str">
        <f t="shared" si="51"/>
        <v/>
      </c>
      <c r="P341">
        <f t="shared" si="52"/>
        <v>0</v>
      </c>
      <c r="Q341" t="str">
        <f t="shared" si="53"/>
        <v/>
      </c>
    </row>
    <row r="342" spans="8:17">
      <c r="H342">
        <f t="shared" si="45"/>
        <v>0</v>
      </c>
      <c r="J342">
        <f t="shared" si="46"/>
        <v>0</v>
      </c>
      <c r="K342" t="str">
        <f t="shared" si="47"/>
        <v/>
      </c>
      <c r="L342" t="str">
        <f t="shared" si="48"/>
        <v/>
      </c>
      <c r="M342" t="str">
        <f t="shared" si="49"/>
        <v/>
      </c>
      <c r="N342">
        <f t="shared" si="50"/>
        <v>0</v>
      </c>
      <c r="O342" t="str">
        <f t="shared" si="51"/>
        <v/>
      </c>
      <c r="P342">
        <f t="shared" si="52"/>
        <v>0</v>
      </c>
      <c r="Q342" t="str">
        <f t="shared" si="53"/>
        <v/>
      </c>
    </row>
    <row r="343" spans="8:17">
      <c r="H343">
        <f t="shared" si="45"/>
        <v>0</v>
      </c>
      <c r="J343">
        <f t="shared" si="46"/>
        <v>0</v>
      </c>
      <c r="K343" t="str">
        <f t="shared" si="47"/>
        <v/>
      </c>
      <c r="L343" t="str">
        <f t="shared" si="48"/>
        <v/>
      </c>
      <c r="M343" t="str">
        <f t="shared" si="49"/>
        <v/>
      </c>
      <c r="N343">
        <f t="shared" si="50"/>
        <v>0</v>
      </c>
      <c r="O343" t="str">
        <f t="shared" si="51"/>
        <v/>
      </c>
      <c r="P343">
        <f t="shared" si="52"/>
        <v>0</v>
      </c>
      <c r="Q343" t="str">
        <f t="shared" si="53"/>
        <v/>
      </c>
    </row>
    <row r="344" spans="8:17">
      <c r="H344">
        <f t="shared" si="45"/>
        <v>0</v>
      </c>
      <c r="J344">
        <f t="shared" si="46"/>
        <v>0</v>
      </c>
      <c r="K344" t="str">
        <f t="shared" si="47"/>
        <v/>
      </c>
      <c r="L344" t="str">
        <f t="shared" si="48"/>
        <v/>
      </c>
      <c r="M344" t="str">
        <f t="shared" si="49"/>
        <v/>
      </c>
      <c r="N344">
        <f t="shared" si="50"/>
        <v>0</v>
      </c>
      <c r="O344" t="str">
        <f t="shared" si="51"/>
        <v/>
      </c>
      <c r="P344">
        <f t="shared" si="52"/>
        <v>0</v>
      </c>
      <c r="Q344" t="str">
        <f t="shared" si="53"/>
        <v/>
      </c>
    </row>
    <row r="345" spans="8:17">
      <c r="H345">
        <f t="shared" si="45"/>
        <v>0</v>
      </c>
      <c r="J345">
        <f t="shared" si="46"/>
        <v>0</v>
      </c>
      <c r="K345" t="str">
        <f t="shared" si="47"/>
        <v/>
      </c>
      <c r="L345" t="str">
        <f t="shared" si="48"/>
        <v/>
      </c>
      <c r="M345" t="str">
        <f t="shared" si="49"/>
        <v/>
      </c>
      <c r="N345">
        <f t="shared" si="50"/>
        <v>0</v>
      </c>
      <c r="O345" t="str">
        <f t="shared" si="51"/>
        <v/>
      </c>
      <c r="P345">
        <f t="shared" si="52"/>
        <v>0</v>
      </c>
      <c r="Q345" t="str">
        <f t="shared" si="53"/>
        <v/>
      </c>
    </row>
    <row r="346" spans="8:17">
      <c r="H346">
        <f t="shared" si="45"/>
        <v>0</v>
      </c>
      <c r="J346">
        <f t="shared" si="46"/>
        <v>0</v>
      </c>
      <c r="K346" t="str">
        <f t="shared" si="47"/>
        <v/>
      </c>
      <c r="L346" t="str">
        <f t="shared" si="48"/>
        <v/>
      </c>
      <c r="M346" t="str">
        <f t="shared" si="49"/>
        <v/>
      </c>
      <c r="N346">
        <f t="shared" si="50"/>
        <v>0</v>
      </c>
      <c r="O346" t="str">
        <f t="shared" si="51"/>
        <v/>
      </c>
      <c r="P346">
        <f t="shared" si="52"/>
        <v>0</v>
      </c>
      <c r="Q346" t="str">
        <f t="shared" si="53"/>
        <v/>
      </c>
    </row>
    <row r="347" spans="8:17">
      <c r="H347">
        <f t="shared" si="45"/>
        <v>0</v>
      </c>
      <c r="J347">
        <f t="shared" si="46"/>
        <v>0</v>
      </c>
      <c r="K347" t="str">
        <f t="shared" si="47"/>
        <v/>
      </c>
      <c r="L347" t="str">
        <f t="shared" si="48"/>
        <v/>
      </c>
      <c r="M347" t="str">
        <f t="shared" si="49"/>
        <v/>
      </c>
      <c r="N347">
        <f t="shared" si="50"/>
        <v>0</v>
      </c>
      <c r="O347" t="str">
        <f t="shared" si="51"/>
        <v/>
      </c>
      <c r="P347">
        <f t="shared" si="52"/>
        <v>0</v>
      </c>
      <c r="Q347" t="str">
        <f t="shared" si="53"/>
        <v/>
      </c>
    </row>
    <row r="348" spans="8:17">
      <c r="H348">
        <f t="shared" si="45"/>
        <v>0</v>
      </c>
      <c r="J348">
        <f t="shared" si="46"/>
        <v>0</v>
      </c>
      <c r="K348" t="str">
        <f t="shared" si="47"/>
        <v/>
      </c>
      <c r="L348" t="str">
        <f t="shared" si="48"/>
        <v/>
      </c>
      <c r="M348" t="str">
        <f t="shared" si="49"/>
        <v/>
      </c>
      <c r="N348">
        <f t="shared" si="50"/>
        <v>0</v>
      </c>
      <c r="O348" t="str">
        <f t="shared" si="51"/>
        <v/>
      </c>
      <c r="P348">
        <f t="shared" si="52"/>
        <v>0</v>
      </c>
      <c r="Q348" t="str">
        <f t="shared" si="53"/>
        <v/>
      </c>
    </row>
    <row r="349" spans="8:17">
      <c r="H349">
        <f t="shared" si="45"/>
        <v>0</v>
      </c>
      <c r="J349">
        <f t="shared" si="46"/>
        <v>0</v>
      </c>
      <c r="K349" t="str">
        <f t="shared" si="47"/>
        <v/>
      </c>
      <c r="L349" t="str">
        <f t="shared" si="48"/>
        <v/>
      </c>
      <c r="M349" t="str">
        <f t="shared" si="49"/>
        <v/>
      </c>
      <c r="N349">
        <f t="shared" si="50"/>
        <v>0</v>
      </c>
      <c r="O349" t="str">
        <f t="shared" si="51"/>
        <v/>
      </c>
      <c r="P349">
        <f t="shared" si="52"/>
        <v>0</v>
      </c>
      <c r="Q349" t="str">
        <f t="shared" si="53"/>
        <v/>
      </c>
    </row>
    <row r="350" spans="8:17">
      <c r="H350">
        <f t="shared" si="45"/>
        <v>0</v>
      </c>
      <c r="J350">
        <f t="shared" si="46"/>
        <v>0</v>
      </c>
      <c r="K350" t="str">
        <f t="shared" si="47"/>
        <v/>
      </c>
      <c r="L350" t="str">
        <f t="shared" si="48"/>
        <v/>
      </c>
      <c r="M350" t="str">
        <f t="shared" si="49"/>
        <v/>
      </c>
      <c r="N350">
        <f t="shared" si="50"/>
        <v>0</v>
      </c>
      <c r="O350" t="str">
        <f t="shared" si="51"/>
        <v/>
      </c>
      <c r="P350">
        <f t="shared" si="52"/>
        <v>0</v>
      </c>
      <c r="Q350" t="str">
        <f t="shared" si="53"/>
        <v/>
      </c>
    </row>
    <row r="351" spans="8:17">
      <c r="H351">
        <f t="shared" si="45"/>
        <v>0</v>
      </c>
      <c r="J351">
        <f t="shared" si="46"/>
        <v>0</v>
      </c>
      <c r="K351" t="str">
        <f t="shared" si="47"/>
        <v/>
      </c>
      <c r="L351" t="str">
        <f t="shared" si="48"/>
        <v/>
      </c>
      <c r="M351" t="str">
        <f t="shared" si="49"/>
        <v/>
      </c>
      <c r="N351">
        <f t="shared" si="50"/>
        <v>0</v>
      </c>
      <c r="O351" t="str">
        <f t="shared" si="51"/>
        <v/>
      </c>
      <c r="P351">
        <f t="shared" si="52"/>
        <v>0</v>
      </c>
      <c r="Q351" t="str">
        <f t="shared" si="53"/>
        <v/>
      </c>
    </row>
    <row r="352" spans="8:17">
      <c r="H352">
        <f t="shared" si="45"/>
        <v>0</v>
      </c>
      <c r="J352">
        <f t="shared" si="46"/>
        <v>0</v>
      </c>
      <c r="K352" t="str">
        <f t="shared" si="47"/>
        <v/>
      </c>
      <c r="L352" t="str">
        <f t="shared" si="48"/>
        <v/>
      </c>
      <c r="M352" t="str">
        <f t="shared" si="49"/>
        <v/>
      </c>
      <c r="N352">
        <f t="shared" si="50"/>
        <v>0</v>
      </c>
      <c r="O352" t="str">
        <f t="shared" si="51"/>
        <v/>
      </c>
      <c r="P352">
        <f t="shared" si="52"/>
        <v>0</v>
      </c>
      <c r="Q352" t="str">
        <f t="shared" si="53"/>
        <v/>
      </c>
    </row>
    <row r="353" spans="8:17">
      <c r="H353">
        <f t="shared" si="45"/>
        <v>0</v>
      </c>
      <c r="J353">
        <f t="shared" si="46"/>
        <v>0</v>
      </c>
      <c r="K353" t="str">
        <f t="shared" si="47"/>
        <v/>
      </c>
      <c r="L353" t="str">
        <f t="shared" si="48"/>
        <v/>
      </c>
      <c r="M353" t="str">
        <f t="shared" si="49"/>
        <v/>
      </c>
      <c r="N353">
        <f t="shared" si="50"/>
        <v>0</v>
      </c>
      <c r="O353" t="str">
        <f t="shared" si="51"/>
        <v/>
      </c>
      <c r="P353">
        <f t="shared" si="52"/>
        <v>0</v>
      </c>
      <c r="Q353" t="str">
        <f t="shared" si="53"/>
        <v/>
      </c>
    </row>
    <row r="354" spans="8:17">
      <c r="H354">
        <f t="shared" si="45"/>
        <v>0</v>
      </c>
      <c r="J354">
        <f t="shared" si="46"/>
        <v>0</v>
      </c>
      <c r="K354" t="str">
        <f t="shared" si="47"/>
        <v/>
      </c>
      <c r="L354" t="str">
        <f t="shared" si="48"/>
        <v/>
      </c>
      <c r="M354" t="str">
        <f t="shared" si="49"/>
        <v/>
      </c>
      <c r="N354">
        <f t="shared" si="50"/>
        <v>0</v>
      </c>
      <c r="O354" t="str">
        <f t="shared" si="51"/>
        <v/>
      </c>
      <c r="P354">
        <f t="shared" si="52"/>
        <v>0</v>
      </c>
      <c r="Q354" t="str">
        <f t="shared" si="53"/>
        <v/>
      </c>
    </row>
    <row r="355" spans="8:17">
      <c r="H355">
        <f t="shared" si="45"/>
        <v>0</v>
      </c>
      <c r="J355">
        <f t="shared" si="46"/>
        <v>0</v>
      </c>
      <c r="K355" t="str">
        <f t="shared" si="47"/>
        <v/>
      </c>
      <c r="L355" t="str">
        <f t="shared" si="48"/>
        <v/>
      </c>
      <c r="M355" t="str">
        <f t="shared" si="49"/>
        <v/>
      </c>
      <c r="N355">
        <f t="shared" si="50"/>
        <v>0</v>
      </c>
      <c r="O355" t="str">
        <f t="shared" si="51"/>
        <v/>
      </c>
      <c r="P355">
        <f t="shared" si="52"/>
        <v>0</v>
      </c>
      <c r="Q355" t="str">
        <f t="shared" si="53"/>
        <v/>
      </c>
    </row>
    <row r="356" spans="8:17">
      <c r="H356">
        <f t="shared" si="45"/>
        <v>0</v>
      </c>
      <c r="J356">
        <f t="shared" si="46"/>
        <v>0</v>
      </c>
      <c r="K356" t="str">
        <f t="shared" si="47"/>
        <v/>
      </c>
      <c r="L356" t="str">
        <f t="shared" si="48"/>
        <v/>
      </c>
      <c r="M356" t="str">
        <f t="shared" si="49"/>
        <v/>
      </c>
      <c r="N356">
        <f t="shared" si="50"/>
        <v>0</v>
      </c>
      <c r="O356" t="str">
        <f t="shared" si="51"/>
        <v/>
      </c>
      <c r="P356">
        <f t="shared" si="52"/>
        <v>0</v>
      </c>
      <c r="Q356" t="str">
        <f t="shared" si="53"/>
        <v/>
      </c>
    </row>
    <row r="357" spans="8:17">
      <c r="H357">
        <f t="shared" si="45"/>
        <v>0</v>
      </c>
      <c r="J357">
        <f t="shared" si="46"/>
        <v>0</v>
      </c>
      <c r="K357" t="str">
        <f t="shared" si="47"/>
        <v/>
      </c>
      <c r="L357" t="str">
        <f t="shared" si="48"/>
        <v/>
      </c>
      <c r="M357" t="str">
        <f t="shared" si="49"/>
        <v/>
      </c>
      <c r="N357">
        <f t="shared" si="50"/>
        <v>0</v>
      </c>
      <c r="O357" t="str">
        <f t="shared" si="51"/>
        <v/>
      </c>
      <c r="P357">
        <f t="shared" si="52"/>
        <v>0</v>
      </c>
      <c r="Q357" t="str">
        <f t="shared" si="53"/>
        <v/>
      </c>
    </row>
    <row r="358" spans="8:17">
      <c r="H358">
        <f t="shared" si="45"/>
        <v>0</v>
      </c>
      <c r="J358">
        <f t="shared" si="46"/>
        <v>0</v>
      </c>
      <c r="K358" t="str">
        <f t="shared" si="47"/>
        <v/>
      </c>
      <c r="L358" t="str">
        <f t="shared" si="48"/>
        <v/>
      </c>
      <c r="M358" t="str">
        <f t="shared" si="49"/>
        <v/>
      </c>
      <c r="N358">
        <f t="shared" si="50"/>
        <v>0</v>
      </c>
      <c r="O358" t="str">
        <f t="shared" si="51"/>
        <v/>
      </c>
      <c r="P358">
        <f t="shared" si="52"/>
        <v>0</v>
      </c>
      <c r="Q358" t="str">
        <f t="shared" si="53"/>
        <v/>
      </c>
    </row>
    <row r="359" spans="8:17">
      <c r="H359">
        <f t="shared" si="45"/>
        <v>0</v>
      </c>
      <c r="J359">
        <f t="shared" si="46"/>
        <v>0</v>
      </c>
      <c r="K359" t="str">
        <f t="shared" si="47"/>
        <v/>
      </c>
      <c r="L359" t="str">
        <f t="shared" si="48"/>
        <v/>
      </c>
      <c r="M359" t="str">
        <f t="shared" si="49"/>
        <v/>
      </c>
      <c r="N359">
        <f t="shared" si="50"/>
        <v>0</v>
      </c>
      <c r="O359" t="str">
        <f t="shared" si="51"/>
        <v/>
      </c>
      <c r="P359">
        <f t="shared" si="52"/>
        <v>0</v>
      </c>
      <c r="Q359" t="str">
        <f t="shared" si="53"/>
        <v/>
      </c>
    </row>
    <row r="360" spans="8:17">
      <c r="H360">
        <f t="shared" si="45"/>
        <v>0</v>
      </c>
      <c r="J360">
        <f t="shared" si="46"/>
        <v>0</v>
      </c>
      <c r="K360" t="str">
        <f t="shared" si="47"/>
        <v/>
      </c>
      <c r="L360" t="str">
        <f t="shared" si="48"/>
        <v/>
      </c>
      <c r="M360" t="str">
        <f t="shared" si="49"/>
        <v/>
      </c>
      <c r="N360">
        <f t="shared" si="50"/>
        <v>0</v>
      </c>
      <c r="O360" t="str">
        <f t="shared" si="51"/>
        <v/>
      </c>
      <c r="P360">
        <f t="shared" si="52"/>
        <v>0</v>
      </c>
      <c r="Q360" t="str">
        <f t="shared" si="53"/>
        <v/>
      </c>
    </row>
    <row r="361" spans="8:17">
      <c r="H361">
        <f t="shared" si="45"/>
        <v>0</v>
      </c>
      <c r="J361">
        <f t="shared" si="46"/>
        <v>0</v>
      </c>
      <c r="K361" t="str">
        <f t="shared" si="47"/>
        <v/>
      </c>
      <c r="L361" t="str">
        <f t="shared" si="48"/>
        <v/>
      </c>
      <c r="M361" t="str">
        <f t="shared" si="49"/>
        <v/>
      </c>
      <c r="N361">
        <f t="shared" si="50"/>
        <v>0</v>
      </c>
      <c r="O361" t="str">
        <f t="shared" si="51"/>
        <v/>
      </c>
      <c r="P361">
        <f t="shared" si="52"/>
        <v>0</v>
      </c>
      <c r="Q361" t="str">
        <f t="shared" si="53"/>
        <v/>
      </c>
    </row>
    <row r="362" spans="8:17">
      <c r="H362">
        <f t="shared" si="45"/>
        <v>0</v>
      </c>
      <c r="J362">
        <f t="shared" si="46"/>
        <v>0</v>
      </c>
      <c r="K362" t="str">
        <f t="shared" si="47"/>
        <v/>
      </c>
      <c r="L362" t="str">
        <f t="shared" si="48"/>
        <v/>
      </c>
      <c r="M362" t="str">
        <f t="shared" si="49"/>
        <v/>
      </c>
      <c r="N362">
        <f t="shared" si="50"/>
        <v>0</v>
      </c>
      <c r="O362" t="str">
        <f t="shared" si="51"/>
        <v/>
      </c>
      <c r="P362">
        <f t="shared" si="52"/>
        <v>0</v>
      </c>
      <c r="Q362" t="str">
        <f t="shared" si="53"/>
        <v/>
      </c>
    </row>
    <row r="363" spans="8:17">
      <c r="H363">
        <f t="shared" si="45"/>
        <v>0</v>
      </c>
      <c r="J363">
        <f t="shared" si="46"/>
        <v>0</v>
      </c>
      <c r="K363" t="str">
        <f t="shared" si="47"/>
        <v/>
      </c>
      <c r="L363" t="str">
        <f t="shared" si="48"/>
        <v/>
      </c>
      <c r="M363" t="str">
        <f t="shared" si="49"/>
        <v/>
      </c>
      <c r="N363">
        <f t="shared" si="50"/>
        <v>0</v>
      </c>
      <c r="O363" t="str">
        <f t="shared" si="51"/>
        <v/>
      </c>
      <c r="P363">
        <f t="shared" si="52"/>
        <v>0</v>
      </c>
      <c r="Q363" t="str">
        <f t="shared" si="53"/>
        <v/>
      </c>
    </row>
    <row r="364" spans="8:17">
      <c r="H364">
        <f t="shared" si="45"/>
        <v>0</v>
      </c>
      <c r="J364">
        <f t="shared" si="46"/>
        <v>0</v>
      </c>
      <c r="K364" t="str">
        <f t="shared" si="47"/>
        <v/>
      </c>
      <c r="L364" t="str">
        <f t="shared" si="48"/>
        <v/>
      </c>
      <c r="M364" t="str">
        <f t="shared" si="49"/>
        <v/>
      </c>
      <c r="N364">
        <f t="shared" si="50"/>
        <v>0</v>
      </c>
      <c r="O364" t="str">
        <f t="shared" si="51"/>
        <v/>
      </c>
      <c r="P364">
        <f t="shared" si="52"/>
        <v>0</v>
      </c>
      <c r="Q364" t="str">
        <f t="shared" si="53"/>
        <v/>
      </c>
    </row>
    <row r="365" spans="8:17">
      <c r="H365">
        <f t="shared" si="45"/>
        <v>0</v>
      </c>
      <c r="J365">
        <f t="shared" si="46"/>
        <v>0</v>
      </c>
      <c r="K365" t="str">
        <f t="shared" si="47"/>
        <v/>
      </c>
      <c r="L365" t="str">
        <f t="shared" si="48"/>
        <v/>
      </c>
      <c r="M365" t="str">
        <f t="shared" si="49"/>
        <v/>
      </c>
      <c r="N365">
        <f t="shared" si="50"/>
        <v>0</v>
      </c>
      <c r="O365" t="str">
        <f t="shared" si="51"/>
        <v/>
      </c>
      <c r="P365">
        <f t="shared" si="52"/>
        <v>0</v>
      </c>
      <c r="Q365" t="str">
        <f t="shared" si="53"/>
        <v/>
      </c>
    </row>
    <row r="366" spans="8:17">
      <c r="H366">
        <f t="shared" si="45"/>
        <v>0</v>
      </c>
      <c r="J366">
        <f t="shared" si="46"/>
        <v>0</v>
      </c>
      <c r="K366" t="str">
        <f t="shared" si="47"/>
        <v/>
      </c>
      <c r="L366" t="str">
        <f t="shared" si="48"/>
        <v/>
      </c>
      <c r="M366" t="str">
        <f t="shared" si="49"/>
        <v/>
      </c>
      <c r="N366">
        <f t="shared" si="50"/>
        <v>0</v>
      </c>
      <c r="O366" t="str">
        <f t="shared" si="51"/>
        <v/>
      </c>
      <c r="P366">
        <f t="shared" si="52"/>
        <v>0</v>
      </c>
      <c r="Q366" t="str">
        <f t="shared" si="53"/>
        <v/>
      </c>
    </row>
    <row r="367" spans="8:17">
      <c r="H367">
        <f t="shared" si="45"/>
        <v>0</v>
      </c>
      <c r="J367">
        <f t="shared" si="46"/>
        <v>0</v>
      </c>
      <c r="K367" t="str">
        <f t="shared" si="47"/>
        <v/>
      </c>
      <c r="L367" t="str">
        <f t="shared" si="48"/>
        <v/>
      </c>
      <c r="M367" t="str">
        <f t="shared" si="49"/>
        <v/>
      </c>
      <c r="N367">
        <f t="shared" si="50"/>
        <v>0</v>
      </c>
      <c r="O367" t="str">
        <f t="shared" si="51"/>
        <v/>
      </c>
      <c r="P367">
        <f t="shared" si="52"/>
        <v>0</v>
      </c>
      <c r="Q367" t="str">
        <f t="shared" si="53"/>
        <v/>
      </c>
    </row>
    <row r="368" spans="8:17">
      <c r="H368">
        <f t="shared" si="45"/>
        <v>0</v>
      </c>
      <c r="J368">
        <f t="shared" si="46"/>
        <v>0</v>
      </c>
      <c r="K368" t="str">
        <f t="shared" si="47"/>
        <v/>
      </c>
      <c r="L368" t="str">
        <f t="shared" si="48"/>
        <v/>
      </c>
      <c r="M368" t="str">
        <f t="shared" si="49"/>
        <v/>
      </c>
      <c r="N368">
        <f t="shared" si="50"/>
        <v>0</v>
      </c>
      <c r="O368" t="str">
        <f t="shared" si="51"/>
        <v/>
      </c>
      <c r="P368">
        <f t="shared" si="52"/>
        <v>0</v>
      </c>
      <c r="Q368" t="str">
        <f t="shared" si="53"/>
        <v/>
      </c>
    </row>
    <row r="369" spans="8:17">
      <c r="H369">
        <f t="shared" si="45"/>
        <v>0</v>
      </c>
      <c r="J369">
        <f t="shared" si="46"/>
        <v>0</v>
      </c>
      <c r="K369" t="str">
        <f t="shared" si="47"/>
        <v/>
      </c>
      <c r="L369" t="str">
        <f t="shared" si="48"/>
        <v/>
      </c>
      <c r="M369" t="str">
        <f t="shared" si="49"/>
        <v/>
      </c>
      <c r="N369">
        <f t="shared" si="50"/>
        <v>0</v>
      </c>
      <c r="O369" t="str">
        <f t="shared" si="51"/>
        <v/>
      </c>
      <c r="P369">
        <f t="shared" si="52"/>
        <v>0</v>
      </c>
      <c r="Q369" t="str">
        <f t="shared" si="53"/>
        <v/>
      </c>
    </row>
    <row r="370" spans="8:17">
      <c r="H370">
        <f t="shared" si="45"/>
        <v>0</v>
      </c>
      <c r="J370">
        <f t="shared" si="46"/>
        <v>0</v>
      </c>
      <c r="K370" t="str">
        <f t="shared" si="47"/>
        <v/>
      </c>
      <c r="L370" t="str">
        <f t="shared" si="48"/>
        <v/>
      </c>
      <c r="M370" t="str">
        <f t="shared" si="49"/>
        <v/>
      </c>
      <c r="N370">
        <f t="shared" si="50"/>
        <v>0</v>
      </c>
      <c r="O370" t="str">
        <f t="shared" si="51"/>
        <v/>
      </c>
      <c r="P370">
        <f t="shared" si="52"/>
        <v>0</v>
      </c>
      <c r="Q370" t="str">
        <f t="shared" si="53"/>
        <v/>
      </c>
    </row>
    <row r="371" spans="8:17">
      <c r="H371">
        <f t="shared" si="45"/>
        <v>0</v>
      </c>
      <c r="J371">
        <f t="shared" si="46"/>
        <v>0</v>
      </c>
      <c r="K371" t="str">
        <f t="shared" si="47"/>
        <v/>
      </c>
      <c r="L371" t="str">
        <f t="shared" si="48"/>
        <v/>
      </c>
      <c r="M371" t="str">
        <f t="shared" si="49"/>
        <v/>
      </c>
      <c r="N371">
        <f t="shared" si="50"/>
        <v>0</v>
      </c>
      <c r="O371" t="str">
        <f t="shared" si="51"/>
        <v/>
      </c>
      <c r="P371">
        <f t="shared" si="52"/>
        <v>0</v>
      </c>
      <c r="Q371" t="str">
        <f t="shared" si="53"/>
        <v/>
      </c>
    </row>
    <row r="372" spans="8:17">
      <c r="H372">
        <f t="shared" si="45"/>
        <v>0</v>
      </c>
      <c r="J372">
        <f t="shared" si="46"/>
        <v>0</v>
      </c>
      <c r="K372" t="str">
        <f t="shared" si="47"/>
        <v/>
      </c>
      <c r="L372" t="str">
        <f t="shared" si="48"/>
        <v/>
      </c>
      <c r="M372" t="str">
        <f t="shared" si="49"/>
        <v/>
      </c>
      <c r="N372">
        <f t="shared" si="50"/>
        <v>0</v>
      </c>
      <c r="O372" t="str">
        <f t="shared" si="51"/>
        <v/>
      </c>
      <c r="P372">
        <f t="shared" si="52"/>
        <v>0</v>
      </c>
      <c r="Q372" t="str">
        <f t="shared" si="53"/>
        <v/>
      </c>
    </row>
    <row r="373" spans="8:17">
      <c r="H373">
        <f t="shared" si="45"/>
        <v>0</v>
      </c>
      <c r="J373">
        <f t="shared" si="46"/>
        <v>0</v>
      </c>
      <c r="K373" t="str">
        <f t="shared" si="47"/>
        <v/>
      </c>
      <c r="L373" t="str">
        <f t="shared" si="48"/>
        <v/>
      </c>
      <c r="M373" t="str">
        <f t="shared" si="49"/>
        <v/>
      </c>
      <c r="N373">
        <f t="shared" si="50"/>
        <v>0</v>
      </c>
      <c r="O373" t="str">
        <f t="shared" si="51"/>
        <v/>
      </c>
      <c r="P373">
        <f t="shared" si="52"/>
        <v>0</v>
      </c>
      <c r="Q373" t="str">
        <f t="shared" si="53"/>
        <v/>
      </c>
    </row>
    <row r="374" spans="8:17">
      <c r="H374">
        <f t="shared" si="45"/>
        <v>0</v>
      </c>
      <c r="J374">
        <f t="shared" si="46"/>
        <v>0</v>
      </c>
      <c r="K374" t="str">
        <f t="shared" si="47"/>
        <v/>
      </c>
      <c r="L374" t="str">
        <f t="shared" si="48"/>
        <v/>
      </c>
      <c r="M374" t="str">
        <f t="shared" si="49"/>
        <v/>
      </c>
      <c r="N374">
        <f t="shared" si="50"/>
        <v>0</v>
      </c>
      <c r="O374" t="str">
        <f t="shared" si="51"/>
        <v/>
      </c>
      <c r="P374">
        <f t="shared" si="52"/>
        <v>0</v>
      </c>
      <c r="Q374" t="str">
        <f t="shared" si="53"/>
        <v/>
      </c>
    </row>
    <row r="375" spans="8:17">
      <c r="H375">
        <f t="shared" si="45"/>
        <v>0</v>
      </c>
      <c r="J375">
        <f t="shared" si="46"/>
        <v>0</v>
      </c>
      <c r="K375" t="str">
        <f t="shared" si="47"/>
        <v/>
      </c>
      <c r="L375" t="str">
        <f t="shared" si="48"/>
        <v/>
      </c>
      <c r="M375" t="str">
        <f t="shared" si="49"/>
        <v/>
      </c>
      <c r="N375">
        <f t="shared" si="50"/>
        <v>0</v>
      </c>
      <c r="O375" t="str">
        <f t="shared" si="51"/>
        <v/>
      </c>
      <c r="P375">
        <f t="shared" si="52"/>
        <v>0</v>
      </c>
      <c r="Q375" t="str">
        <f t="shared" si="53"/>
        <v/>
      </c>
    </row>
    <row r="376" spans="8:17">
      <c r="H376">
        <f t="shared" si="45"/>
        <v>0</v>
      </c>
      <c r="J376">
        <f t="shared" si="46"/>
        <v>0</v>
      </c>
      <c r="K376" t="str">
        <f t="shared" si="47"/>
        <v/>
      </c>
      <c r="L376" t="str">
        <f t="shared" si="48"/>
        <v/>
      </c>
      <c r="M376" t="str">
        <f t="shared" si="49"/>
        <v/>
      </c>
      <c r="N376">
        <f t="shared" si="50"/>
        <v>0</v>
      </c>
      <c r="O376" t="str">
        <f t="shared" si="51"/>
        <v/>
      </c>
      <c r="P376">
        <f t="shared" si="52"/>
        <v>0</v>
      </c>
      <c r="Q376" t="str">
        <f t="shared" si="53"/>
        <v/>
      </c>
    </row>
    <row r="377" spans="8:17">
      <c r="H377">
        <f t="shared" si="45"/>
        <v>0</v>
      </c>
      <c r="J377">
        <f t="shared" si="46"/>
        <v>0</v>
      </c>
      <c r="K377" t="str">
        <f t="shared" si="47"/>
        <v/>
      </c>
      <c r="L377" t="str">
        <f t="shared" si="48"/>
        <v/>
      </c>
      <c r="M377" t="str">
        <f t="shared" si="49"/>
        <v/>
      </c>
      <c r="N377">
        <f t="shared" si="50"/>
        <v>0</v>
      </c>
      <c r="O377" t="str">
        <f t="shared" si="51"/>
        <v/>
      </c>
      <c r="P377">
        <f t="shared" si="52"/>
        <v>0</v>
      </c>
      <c r="Q377" t="str">
        <f t="shared" si="53"/>
        <v/>
      </c>
    </row>
    <row r="378" spans="8:17">
      <c r="H378">
        <f t="shared" si="45"/>
        <v>0</v>
      </c>
      <c r="J378">
        <f t="shared" si="46"/>
        <v>0</v>
      </c>
      <c r="K378" t="str">
        <f t="shared" si="47"/>
        <v/>
      </c>
      <c r="L378" t="str">
        <f t="shared" si="48"/>
        <v/>
      </c>
      <c r="M378" t="str">
        <f t="shared" si="49"/>
        <v/>
      </c>
      <c r="N378">
        <f t="shared" si="50"/>
        <v>0</v>
      </c>
      <c r="O378" t="str">
        <f t="shared" si="51"/>
        <v/>
      </c>
      <c r="P378">
        <f t="shared" si="52"/>
        <v>0</v>
      </c>
      <c r="Q378" t="str">
        <f t="shared" si="53"/>
        <v/>
      </c>
    </row>
    <row r="379" spans="8:17">
      <c r="H379">
        <f t="shared" si="45"/>
        <v>0</v>
      </c>
      <c r="J379">
        <f t="shared" si="46"/>
        <v>0</v>
      </c>
      <c r="K379" t="str">
        <f t="shared" si="47"/>
        <v/>
      </c>
      <c r="L379" t="str">
        <f t="shared" si="48"/>
        <v/>
      </c>
      <c r="M379" t="str">
        <f t="shared" si="49"/>
        <v/>
      </c>
      <c r="N379">
        <f t="shared" si="50"/>
        <v>0</v>
      </c>
      <c r="O379" t="str">
        <f t="shared" si="51"/>
        <v/>
      </c>
      <c r="P379">
        <f t="shared" si="52"/>
        <v>0</v>
      </c>
      <c r="Q379" t="str">
        <f t="shared" si="53"/>
        <v/>
      </c>
    </row>
    <row r="380" spans="8:17">
      <c r="H380">
        <f t="shared" si="45"/>
        <v>0</v>
      </c>
      <c r="J380">
        <f t="shared" si="46"/>
        <v>0</v>
      </c>
      <c r="K380" t="str">
        <f t="shared" si="47"/>
        <v/>
      </c>
      <c r="L380" t="str">
        <f t="shared" si="48"/>
        <v/>
      </c>
      <c r="M380" t="str">
        <f t="shared" si="49"/>
        <v/>
      </c>
      <c r="N380">
        <f t="shared" si="50"/>
        <v>0</v>
      </c>
      <c r="O380" t="str">
        <f t="shared" si="51"/>
        <v/>
      </c>
      <c r="P380">
        <f t="shared" si="52"/>
        <v>0</v>
      </c>
      <c r="Q380" t="str">
        <f t="shared" si="53"/>
        <v/>
      </c>
    </row>
    <row r="381" spans="8:17">
      <c r="H381">
        <f t="shared" si="45"/>
        <v>0</v>
      </c>
      <c r="J381">
        <f t="shared" si="46"/>
        <v>0</v>
      </c>
      <c r="K381" t="str">
        <f t="shared" si="47"/>
        <v/>
      </c>
      <c r="L381" t="str">
        <f t="shared" si="48"/>
        <v/>
      </c>
      <c r="M381" t="str">
        <f t="shared" si="49"/>
        <v/>
      </c>
      <c r="N381">
        <f t="shared" si="50"/>
        <v>0</v>
      </c>
      <c r="O381" t="str">
        <f t="shared" si="51"/>
        <v/>
      </c>
      <c r="P381">
        <f t="shared" si="52"/>
        <v>0</v>
      </c>
      <c r="Q381" t="str">
        <f t="shared" si="53"/>
        <v/>
      </c>
    </row>
    <row r="382" spans="8:17">
      <c r="H382">
        <f t="shared" si="45"/>
        <v>0</v>
      </c>
      <c r="J382">
        <f t="shared" si="46"/>
        <v>0</v>
      </c>
      <c r="K382" t="str">
        <f t="shared" si="47"/>
        <v/>
      </c>
      <c r="L382" t="str">
        <f t="shared" si="48"/>
        <v/>
      </c>
      <c r="M382" t="str">
        <f t="shared" si="49"/>
        <v/>
      </c>
      <c r="N382">
        <f t="shared" si="50"/>
        <v>0</v>
      </c>
      <c r="O382" t="str">
        <f t="shared" si="51"/>
        <v/>
      </c>
      <c r="P382">
        <f t="shared" si="52"/>
        <v>0</v>
      </c>
      <c r="Q382" t="str">
        <f t="shared" si="53"/>
        <v/>
      </c>
    </row>
    <row r="383" spans="8:17">
      <c r="H383">
        <f t="shared" si="45"/>
        <v>0</v>
      </c>
      <c r="J383">
        <f t="shared" si="46"/>
        <v>0</v>
      </c>
      <c r="K383" t="str">
        <f t="shared" si="47"/>
        <v/>
      </c>
      <c r="L383" t="str">
        <f t="shared" si="48"/>
        <v/>
      </c>
      <c r="M383" t="str">
        <f t="shared" si="49"/>
        <v/>
      </c>
      <c r="N383">
        <f t="shared" si="50"/>
        <v>0</v>
      </c>
      <c r="O383" t="str">
        <f t="shared" si="51"/>
        <v/>
      </c>
      <c r="P383">
        <f t="shared" si="52"/>
        <v>0</v>
      </c>
      <c r="Q383" t="str">
        <f t="shared" si="53"/>
        <v/>
      </c>
    </row>
    <row r="384" spans="8:17">
      <c r="H384">
        <f t="shared" si="45"/>
        <v>0</v>
      </c>
      <c r="J384">
        <f t="shared" si="46"/>
        <v>0</v>
      </c>
      <c r="K384" t="str">
        <f t="shared" si="47"/>
        <v/>
      </c>
      <c r="L384" t="str">
        <f t="shared" si="48"/>
        <v/>
      </c>
      <c r="M384" t="str">
        <f t="shared" si="49"/>
        <v/>
      </c>
      <c r="N384">
        <f t="shared" si="50"/>
        <v>0</v>
      </c>
      <c r="O384" t="str">
        <f t="shared" si="51"/>
        <v/>
      </c>
      <c r="P384">
        <f t="shared" si="52"/>
        <v>0</v>
      </c>
      <c r="Q384" t="str">
        <f t="shared" si="53"/>
        <v/>
      </c>
    </row>
    <row r="385" spans="8:17">
      <c r="H385">
        <f t="shared" si="45"/>
        <v>0</v>
      </c>
      <c r="J385">
        <f t="shared" si="46"/>
        <v>0</v>
      </c>
      <c r="K385" t="str">
        <f t="shared" si="47"/>
        <v/>
      </c>
      <c r="L385" t="str">
        <f t="shared" si="48"/>
        <v/>
      </c>
      <c r="M385" t="str">
        <f t="shared" si="49"/>
        <v/>
      </c>
      <c r="N385">
        <f t="shared" si="50"/>
        <v>0</v>
      </c>
      <c r="O385" t="str">
        <f t="shared" si="51"/>
        <v/>
      </c>
      <c r="P385">
        <f t="shared" si="52"/>
        <v>0</v>
      </c>
      <c r="Q385" t="str">
        <f t="shared" si="53"/>
        <v/>
      </c>
    </row>
    <row r="386" spans="8:17">
      <c r="H386">
        <f t="shared" ref="H386:H449" si="54">A386</f>
        <v>0</v>
      </c>
      <c r="J386">
        <f t="shared" ref="J386:J449" si="55">IF($I386&lt;&gt;"",$I386,$A386)</f>
        <v>0</v>
      </c>
      <c r="K386" t="str">
        <f t="shared" ref="K386:K449" si="56">IF($C386="","",IF(LEN($C386)=1,CODE(UPPER($C386))-64,IFERROR(VALUE(MID($C386,2,99)),"")))</f>
        <v/>
      </c>
      <c r="L386" t="str">
        <f t="shared" ref="L386:L449" si="57">IF($D386="","",IFERROR(VALUE($D386),""))</f>
        <v/>
      </c>
      <c r="M386" t="str">
        <f t="shared" ref="M386:M449" si="58">IFERROR(VALUE(MID($A386,FIND("Level",$A386)+5,99)),IF($E386="AISLE_FLOOR",0,IF($E386="OVERFLOW",0,IF($E386="ENDCAP",0,""))))</f>
        <v/>
      </c>
      <c r="N386">
        <f t="shared" ref="N386:N449" si="59">IF(AND($B386&lt;&gt;"",$C386&lt;&gt;"",ISNUMBER(--$D386)), $B386&amp;": "&amp;LEFT($C386,1)&amp;TEXT(--$D386,"00"), IF($I386&lt;&gt;"",$I386,$A386))</f>
        <v>0</v>
      </c>
      <c r="O386" t="str">
        <f t="shared" ref="O386:O449" si="60">IF(AND($C386&lt;&gt;"",ISNUMBER(--$D386)),LEFT($C386,1),"")</f>
        <v/>
      </c>
      <c r="P386">
        <f t="shared" ref="P386:P449" si="61">IF(ISNUMBER(--$D386),--$D386,"")</f>
        <v>0</v>
      </c>
      <c r="Q386" t="str">
        <f t="shared" ref="Q386:Q449" si="62">IF(AND($O386&lt;&gt;"",$P386&lt;&gt;""),$O386&amp;TEXT($P386,"00"),"")</f>
        <v/>
      </c>
    </row>
    <row r="387" spans="8:17">
      <c r="H387">
        <f t="shared" si="54"/>
        <v>0</v>
      </c>
      <c r="J387">
        <f t="shared" si="55"/>
        <v>0</v>
      </c>
      <c r="K387" t="str">
        <f t="shared" si="56"/>
        <v/>
      </c>
      <c r="L387" t="str">
        <f t="shared" si="57"/>
        <v/>
      </c>
      <c r="M387" t="str">
        <f t="shared" si="58"/>
        <v/>
      </c>
      <c r="N387">
        <f t="shared" si="59"/>
        <v>0</v>
      </c>
      <c r="O387" t="str">
        <f t="shared" si="60"/>
        <v/>
      </c>
      <c r="P387">
        <f t="shared" si="61"/>
        <v>0</v>
      </c>
      <c r="Q387" t="str">
        <f t="shared" si="62"/>
        <v/>
      </c>
    </row>
    <row r="388" spans="8:17">
      <c r="H388">
        <f t="shared" si="54"/>
        <v>0</v>
      </c>
      <c r="J388">
        <f t="shared" si="55"/>
        <v>0</v>
      </c>
      <c r="K388" t="str">
        <f t="shared" si="56"/>
        <v/>
      </c>
      <c r="L388" t="str">
        <f t="shared" si="57"/>
        <v/>
      </c>
      <c r="M388" t="str">
        <f t="shared" si="58"/>
        <v/>
      </c>
      <c r="N388">
        <f t="shared" si="59"/>
        <v>0</v>
      </c>
      <c r="O388" t="str">
        <f t="shared" si="60"/>
        <v/>
      </c>
      <c r="P388">
        <f t="shared" si="61"/>
        <v>0</v>
      </c>
      <c r="Q388" t="str">
        <f t="shared" si="62"/>
        <v/>
      </c>
    </row>
    <row r="389" spans="8:17">
      <c r="H389">
        <f t="shared" si="54"/>
        <v>0</v>
      </c>
      <c r="J389">
        <f t="shared" si="55"/>
        <v>0</v>
      </c>
      <c r="K389" t="str">
        <f t="shared" si="56"/>
        <v/>
      </c>
      <c r="L389" t="str">
        <f t="shared" si="57"/>
        <v/>
      </c>
      <c r="M389" t="str">
        <f t="shared" si="58"/>
        <v/>
      </c>
      <c r="N389">
        <f t="shared" si="59"/>
        <v>0</v>
      </c>
      <c r="O389" t="str">
        <f t="shared" si="60"/>
        <v/>
      </c>
      <c r="P389">
        <f t="shared" si="61"/>
        <v>0</v>
      </c>
      <c r="Q389" t="str">
        <f t="shared" si="62"/>
        <v/>
      </c>
    </row>
    <row r="390" spans="8:17">
      <c r="H390">
        <f t="shared" si="54"/>
        <v>0</v>
      </c>
      <c r="J390">
        <f t="shared" si="55"/>
        <v>0</v>
      </c>
      <c r="K390" t="str">
        <f t="shared" si="56"/>
        <v/>
      </c>
      <c r="L390" t="str">
        <f t="shared" si="57"/>
        <v/>
      </c>
      <c r="M390" t="str">
        <f t="shared" si="58"/>
        <v/>
      </c>
      <c r="N390">
        <f t="shared" si="59"/>
        <v>0</v>
      </c>
      <c r="O390" t="str">
        <f t="shared" si="60"/>
        <v/>
      </c>
      <c r="P390">
        <f t="shared" si="61"/>
        <v>0</v>
      </c>
      <c r="Q390" t="str">
        <f t="shared" si="62"/>
        <v/>
      </c>
    </row>
    <row r="391" spans="8:17">
      <c r="H391">
        <f t="shared" si="54"/>
        <v>0</v>
      </c>
      <c r="J391">
        <f t="shared" si="55"/>
        <v>0</v>
      </c>
      <c r="K391" t="str">
        <f t="shared" si="56"/>
        <v/>
      </c>
      <c r="L391" t="str">
        <f t="shared" si="57"/>
        <v/>
      </c>
      <c r="M391" t="str">
        <f t="shared" si="58"/>
        <v/>
      </c>
      <c r="N391">
        <f t="shared" si="59"/>
        <v>0</v>
      </c>
      <c r="O391" t="str">
        <f t="shared" si="60"/>
        <v/>
      </c>
      <c r="P391">
        <f t="shared" si="61"/>
        <v>0</v>
      </c>
      <c r="Q391" t="str">
        <f t="shared" si="62"/>
        <v/>
      </c>
    </row>
    <row r="392" spans="8:17">
      <c r="H392">
        <f t="shared" si="54"/>
        <v>0</v>
      </c>
      <c r="J392">
        <f t="shared" si="55"/>
        <v>0</v>
      </c>
      <c r="K392" t="str">
        <f t="shared" si="56"/>
        <v/>
      </c>
      <c r="L392" t="str">
        <f t="shared" si="57"/>
        <v/>
      </c>
      <c r="M392" t="str">
        <f t="shared" si="58"/>
        <v/>
      </c>
      <c r="N392">
        <f t="shared" si="59"/>
        <v>0</v>
      </c>
      <c r="O392" t="str">
        <f t="shared" si="60"/>
        <v/>
      </c>
      <c r="P392">
        <f t="shared" si="61"/>
        <v>0</v>
      </c>
      <c r="Q392" t="str">
        <f t="shared" si="62"/>
        <v/>
      </c>
    </row>
    <row r="393" spans="8:17">
      <c r="H393">
        <f t="shared" si="54"/>
        <v>0</v>
      </c>
      <c r="J393">
        <f t="shared" si="55"/>
        <v>0</v>
      </c>
      <c r="K393" t="str">
        <f t="shared" si="56"/>
        <v/>
      </c>
      <c r="L393" t="str">
        <f t="shared" si="57"/>
        <v/>
      </c>
      <c r="M393" t="str">
        <f t="shared" si="58"/>
        <v/>
      </c>
      <c r="N393">
        <f t="shared" si="59"/>
        <v>0</v>
      </c>
      <c r="O393" t="str">
        <f t="shared" si="60"/>
        <v/>
      </c>
      <c r="P393">
        <f t="shared" si="61"/>
        <v>0</v>
      </c>
      <c r="Q393" t="str">
        <f t="shared" si="62"/>
        <v/>
      </c>
    </row>
    <row r="394" spans="8:17">
      <c r="H394">
        <f t="shared" si="54"/>
        <v>0</v>
      </c>
      <c r="J394">
        <f t="shared" si="55"/>
        <v>0</v>
      </c>
      <c r="K394" t="str">
        <f t="shared" si="56"/>
        <v/>
      </c>
      <c r="L394" t="str">
        <f t="shared" si="57"/>
        <v/>
      </c>
      <c r="M394" t="str">
        <f t="shared" si="58"/>
        <v/>
      </c>
      <c r="N394">
        <f t="shared" si="59"/>
        <v>0</v>
      </c>
      <c r="O394" t="str">
        <f t="shared" si="60"/>
        <v/>
      </c>
      <c r="P394">
        <f t="shared" si="61"/>
        <v>0</v>
      </c>
      <c r="Q394" t="str">
        <f t="shared" si="62"/>
        <v/>
      </c>
    </row>
    <row r="395" spans="8:17">
      <c r="H395">
        <f t="shared" si="54"/>
        <v>0</v>
      </c>
      <c r="J395">
        <f t="shared" si="55"/>
        <v>0</v>
      </c>
      <c r="K395" t="str">
        <f t="shared" si="56"/>
        <v/>
      </c>
      <c r="L395" t="str">
        <f t="shared" si="57"/>
        <v/>
      </c>
      <c r="M395" t="str">
        <f t="shared" si="58"/>
        <v/>
      </c>
      <c r="N395">
        <f t="shared" si="59"/>
        <v>0</v>
      </c>
      <c r="O395" t="str">
        <f t="shared" si="60"/>
        <v/>
      </c>
      <c r="P395">
        <f t="shared" si="61"/>
        <v>0</v>
      </c>
      <c r="Q395" t="str">
        <f t="shared" si="62"/>
        <v/>
      </c>
    </row>
    <row r="396" spans="8:17">
      <c r="H396">
        <f t="shared" si="54"/>
        <v>0</v>
      </c>
      <c r="J396">
        <f t="shared" si="55"/>
        <v>0</v>
      </c>
      <c r="K396" t="str">
        <f t="shared" si="56"/>
        <v/>
      </c>
      <c r="L396" t="str">
        <f t="shared" si="57"/>
        <v/>
      </c>
      <c r="M396" t="str">
        <f t="shared" si="58"/>
        <v/>
      </c>
      <c r="N396">
        <f t="shared" si="59"/>
        <v>0</v>
      </c>
      <c r="O396" t="str">
        <f t="shared" si="60"/>
        <v/>
      </c>
      <c r="P396">
        <f t="shared" si="61"/>
        <v>0</v>
      </c>
      <c r="Q396" t="str">
        <f t="shared" si="62"/>
        <v/>
      </c>
    </row>
    <row r="397" spans="8:17">
      <c r="H397">
        <f t="shared" si="54"/>
        <v>0</v>
      </c>
      <c r="J397">
        <f t="shared" si="55"/>
        <v>0</v>
      </c>
      <c r="K397" t="str">
        <f t="shared" si="56"/>
        <v/>
      </c>
      <c r="L397" t="str">
        <f t="shared" si="57"/>
        <v/>
      </c>
      <c r="M397" t="str">
        <f t="shared" si="58"/>
        <v/>
      </c>
      <c r="N397">
        <f t="shared" si="59"/>
        <v>0</v>
      </c>
      <c r="O397" t="str">
        <f t="shared" si="60"/>
        <v/>
      </c>
      <c r="P397">
        <f t="shared" si="61"/>
        <v>0</v>
      </c>
      <c r="Q397" t="str">
        <f t="shared" si="62"/>
        <v/>
      </c>
    </row>
    <row r="398" spans="8:17">
      <c r="H398">
        <f t="shared" si="54"/>
        <v>0</v>
      </c>
      <c r="J398">
        <f t="shared" si="55"/>
        <v>0</v>
      </c>
      <c r="K398" t="str">
        <f t="shared" si="56"/>
        <v/>
      </c>
      <c r="L398" t="str">
        <f t="shared" si="57"/>
        <v/>
      </c>
      <c r="M398" t="str">
        <f t="shared" si="58"/>
        <v/>
      </c>
      <c r="N398">
        <f t="shared" si="59"/>
        <v>0</v>
      </c>
      <c r="O398" t="str">
        <f t="shared" si="60"/>
        <v/>
      </c>
      <c r="P398">
        <f t="shared" si="61"/>
        <v>0</v>
      </c>
      <c r="Q398" t="str">
        <f t="shared" si="62"/>
        <v/>
      </c>
    </row>
    <row r="399" spans="8:17">
      <c r="H399">
        <f t="shared" si="54"/>
        <v>0</v>
      </c>
      <c r="J399">
        <f t="shared" si="55"/>
        <v>0</v>
      </c>
      <c r="K399" t="str">
        <f t="shared" si="56"/>
        <v/>
      </c>
      <c r="L399" t="str">
        <f t="shared" si="57"/>
        <v/>
      </c>
      <c r="M399" t="str">
        <f t="shared" si="58"/>
        <v/>
      </c>
      <c r="N399">
        <f t="shared" si="59"/>
        <v>0</v>
      </c>
      <c r="O399" t="str">
        <f t="shared" si="60"/>
        <v/>
      </c>
      <c r="P399">
        <f t="shared" si="61"/>
        <v>0</v>
      </c>
      <c r="Q399" t="str">
        <f t="shared" si="62"/>
        <v/>
      </c>
    </row>
    <row r="400" spans="8:17">
      <c r="H400">
        <f t="shared" si="54"/>
        <v>0</v>
      </c>
      <c r="J400">
        <f t="shared" si="55"/>
        <v>0</v>
      </c>
      <c r="K400" t="str">
        <f t="shared" si="56"/>
        <v/>
      </c>
      <c r="L400" t="str">
        <f t="shared" si="57"/>
        <v/>
      </c>
      <c r="M400" t="str">
        <f t="shared" si="58"/>
        <v/>
      </c>
      <c r="N400">
        <f t="shared" si="59"/>
        <v>0</v>
      </c>
      <c r="O400" t="str">
        <f t="shared" si="60"/>
        <v/>
      </c>
      <c r="P400">
        <f t="shared" si="61"/>
        <v>0</v>
      </c>
      <c r="Q400" t="str">
        <f t="shared" si="62"/>
        <v/>
      </c>
    </row>
    <row r="401" spans="8:17">
      <c r="H401">
        <f t="shared" si="54"/>
        <v>0</v>
      </c>
      <c r="J401">
        <f t="shared" si="55"/>
        <v>0</v>
      </c>
      <c r="K401" t="str">
        <f t="shared" si="56"/>
        <v/>
      </c>
      <c r="L401" t="str">
        <f t="shared" si="57"/>
        <v/>
      </c>
      <c r="M401" t="str">
        <f t="shared" si="58"/>
        <v/>
      </c>
      <c r="N401">
        <f t="shared" si="59"/>
        <v>0</v>
      </c>
      <c r="O401" t="str">
        <f t="shared" si="60"/>
        <v/>
      </c>
      <c r="P401">
        <f t="shared" si="61"/>
        <v>0</v>
      </c>
      <c r="Q401" t="str">
        <f t="shared" si="62"/>
        <v/>
      </c>
    </row>
    <row r="402" spans="8:17">
      <c r="H402">
        <f t="shared" si="54"/>
        <v>0</v>
      </c>
      <c r="J402">
        <f t="shared" si="55"/>
        <v>0</v>
      </c>
      <c r="K402" t="str">
        <f t="shared" si="56"/>
        <v/>
      </c>
      <c r="L402" t="str">
        <f t="shared" si="57"/>
        <v/>
      </c>
      <c r="M402" t="str">
        <f t="shared" si="58"/>
        <v/>
      </c>
      <c r="N402">
        <f t="shared" si="59"/>
        <v>0</v>
      </c>
      <c r="O402" t="str">
        <f t="shared" si="60"/>
        <v/>
      </c>
      <c r="P402">
        <f t="shared" si="61"/>
        <v>0</v>
      </c>
      <c r="Q402" t="str">
        <f t="shared" si="62"/>
        <v/>
      </c>
    </row>
    <row r="403" spans="8:17">
      <c r="H403">
        <f t="shared" si="54"/>
        <v>0</v>
      </c>
      <c r="J403">
        <f t="shared" si="55"/>
        <v>0</v>
      </c>
      <c r="K403" t="str">
        <f t="shared" si="56"/>
        <v/>
      </c>
      <c r="L403" t="str">
        <f t="shared" si="57"/>
        <v/>
      </c>
      <c r="M403" t="str">
        <f t="shared" si="58"/>
        <v/>
      </c>
      <c r="N403">
        <f t="shared" si="59"/>
        <v>0</v>
      </c>
      <c r="O403" t="str">
        <f t="shared" si="60"/>
        <v/>
      </c>
      <c r="P403">
        <f t="shared" si="61"/>
        <v>0</v>
      </c>
      <c r="Q403" t="str">
        <f t="shared" si="62"/>
        <v/>
      </c>
    </row>
    <row r="404" spans="8:17">
      <c r="H404">
        <f t="shared" si="54"/>
        <v>0</v>
      </c>
      <c r="J404">
        <f t="shared" si="55"/>
        <v>0</v>
      </c>
      <c r="K404" t="str">
        <f t="shared" si="56"/>
        <v/>
      </c>
      <c r="L404" t="str">
        <f t="shared" si="57"/>
        <v/>
      </c>
      <c r="M404" t="str">
        <f t="shared" si="58"/>
        <v/>
      </c>
      <c r="N404">
        <f t="shared" si="59"/>
        <v>0</v>
      </c>
      <c r="O404" t="str">
        <f t="shared" si="60"/>
        <v/>
      </c>
      <c r="P404">
        <f t="shared" si="61"/>
        <v>0</v>
      </c>
      <c r="Q404" t="str">
        <f t="shared" si="62"/>
        <v/>
      </c>
    </row>
    <row r="405" spans="8:17">
      <c r="H405">
        <f t="shared" si="54"/>
        <v>0</v>
      </c>
      <c r="J405">
        <f t="shared" si="55"/>
        <v>0</v>
      </c>
      <c r="K405" t="str">
        <f t="shared" si="56"/>
        <v/>
      </c>
      <c r="L405" t="str">
        <f t="shared" si="57"/>
        <v/>
      </c>
      <c r="M405" t="str">
        <f t="shared" si="58"/>
        <v/>
      </c>
      <c r="N405">
        <f t="shared" si="59"/>
        <v>0</v>
      </c>
      <c r="O405" t="str">
        <f t="shared" si="60"/>
        <v/>
      </c>
      <c r="P405">
        <f t="shared" si="61"/>
        <v>0</v>
      </c>
      <c r="Q405" t="str">
        <f t="shared" si="62"/>
        <v/>
      </c>
    </row>
    <row r="406" spans="8:17">
      <c r="H406">
        <f t="shared" si="54"/>
        <v>0</v>
      </c>
      <c r="J406">
        <f t="shared" si="55"/>
        <v>0</v>
      </c>
      <c r="K406" t="str">
        <f t="shared" si="56"/>
        <v/>
      </c>
      <c r="L406" t="str">
        <f t="shared" si="57"/>
        <v/>
      </c>
      <c r="M406" t="str">
        <f t="shared" si="58"/>
        <v/>
      </c>
      <c r="N406">
        <f t="shared" si="59"/>
        <v>0</v>
      </c>
      <c r="O406" t="str">
        <f t="shared" si="60"/>
        <v/>
      </c>
      <c r="P406">
        <f t="shared" si="61"/>
        <v>0</v>
      </c>
      <c r="Q406" t="str">
        <f t="shared" si="62"/>
        <v/>
      </c>
    </row>
    <row r="407" spans="8:17">
      <c r="H407">
        <f t="shared" si="54"/>
        <v>0</v>
      </c>
      <c r="J407">
        <f t="shared" si="55"/>
        <v>0</v>
      </c>
      <c r="K407" t="str">
        <f t="shared" si="56"/>
        <v/>
      </c>
      <c r="L407" t="str">
        <f t="shared" si="57"/>
        <v/>
      </c>
      <c r="M407" t="str">
        <f t="shared" si="58"/>
        <v/>
      </c>
      <c r="N407">
        <f t="shared" si="59"/>
        <v>0</v>
      </c>
      <c r="O407" t="str">
        <f t="shared" si="60"/>
        <v/>
      </c>
      <c r="P407">
        <f t="shared" si="61"/>
        <v>0</v>
      </c>
      <c r="Q407" t="str">
        <f t="shared" si="62"/>
        <v/>
      </c>
    </row>
    <row r="408" spans="8:17">
      <c r="H408">
        <f t="shared" si="54"/>
        <v>0</v>
      </c>
      <c r="J408">
        <f t="shared" si="55"/>
        <v>0</v>
      </c>
      <c r="K408" t="str">
        <f t="shared" si="56"/>
        <v/>
      </c>
      <c r="L408" t="str">
        <f t="shared" si="57"/>
        <v/>
      </c>
      <c r="M408" t="str">
        <f t="shared" si="58"/>
        <v/>
      </c>
      <c r="N408">
        <f t="shared" si="59"/>
        <v>0</v>
      </c>
      <c r="O408" t="str">
        <f t="shared" si="60"/>
        <v/>
      </c>
      <c r="P408">
        <f t="shared" si="61"/>
        <v>0</v>
      </c>
      <c r="Q408" t="str">
        <f t="shared" si="62"/>
        <v/>
      </c>
    </row>
    <row r="409" spans="8:17">
      <c r="H409">
        <f t="shared" si="54"/>
        <v>0</v>
      </c>
      <c r="J409">
        <f t="shared" si="55"/>
        <v>0</v>
      </c>
      <c r="K409" t="str">
        <f t="shared" si="56"/>
        <v/>
      </c>
      <c r="L409" t="str">
        <f t="shared" si="57"/>
        <v/>
      </c>
      <c r="M409" t="str">
        <f t="shared" si="58"/>
        <v/>
      </c>
      <c r="N409">
        <f t="shared" si="59"/>
        <v>0</v>
      </c>
      <c r="O409" t="str">
        <f t="shared" si="60"/>
        <v/>
      </c>
      <c r="P409">
        <f t="shared" si="61"/>
        <v>0</v>
      </c>
      <c r="Q409" t="str">
        <f t="shared" si="62"/>
        <v/>
      </c>
    </row>
    <row r="410" spans="8:17">
      <c r="H410">
        <f t="shared" si="54"/>
        <v>0</v>
      </c>
      <c r="J410">
        <f t="shared" si="55"/>
        <v>0</v>
      </c>
      <c r="K410" t="str">
        <f t="shared" si="56"/>
        <v/>
      </c>
      <c r="L410" t="str">
        <f t="shared" si="57"/>
        <v/>
      </c>
      <c r="M410" t="str">
        <f t="shared" si="58"/>
        <v/>
      </c>
      <c r="N410">
        <f t="shared" si="59"/>
        <v>0</v>
      </c>
      <c r="O410" t="str">
        <f t="shared" si="60"/>
        <v/>
      </c>
      <c r="P410">
        <f t="shared" si="61"/>
        <v>0</v>
      </c>
      <c r="Q410" t="str">
        <f t="shared" si="62"/>
        <v/>
      </c>
    </row>
    <row r="411" spans="8:17">
      <c r="H411">
        <f t="shared" si="54"/>
        <v>0</v>
      </c>
      <c r="J411">
        <f t="shared" si="55"/>
        <v>0</v>
      </c>
      <c r="K411" t="str">
        <f t="shared" si="56"/>
        <v/>
      </c>
      <c r="L411" t="str">
        <f t="shared" si="57"/>
        <v/>
      </c>
      <c r="M411" t="str">
        <f t="shared" si="58"/>
        <v/>
      </c>
      <c r="N411">
        <f t="shared" si="59"/>
        <v>0</v>
      </c>
      <c r="O411" t="str">
        <f t="shared" si="60"/>
        <v/>
      </c>
      <c r="P411">
        <f t="shared" si="61"/>
        <v>0</v>
      </c>
      <c r="Q411" t="str">
        <f t="shared" si="62"/>
        <v/>
      </c>
    </row>
    <row r="412" spans="8:17">
      <c r="H412">
        <f t="shared" si="54"/>
        <v>0</v>
      </c>
      <c r="J412">
        <f t="shared" si="55"/>
        <v>0</v>
      </c>
      <c r="K412" t="str">
        <f t="shared" si="56"/>
        <v/>
      </c>
      <c r="L412" t="str">
        <f t="shared" si="57"/>
        <v/>
      </c>
      <c r="M412" t="str">
        <f t="shared" si="58"/>
        <v/>
      </c>
      <c r="N412">
        <f t="shared" si="59"/>
        <v>0</v>
      </c>
      <c r="O412" t="str">
        <f t="shared" si="60"/>
        <v/>
      </c>
      <c r="P412">
        <f t="shared" si="61"/>
        <v>0</v>
      </c>
      <c r="Q412" t="str">
        <f t="shared" si="62"/>
        <v/>
      </c>
    </row>
    <row r="413" spans="8:17">
      <c r="H413">
        <f t="shared" si="54"/>
        <v>0</v>
      </c>
      <c r="J413">
        <f t="shared" si="55"/>
        <v>0</v>
      </c>
      <c r="K413" t="str">
        <f t="shared" si="56"/>
        <v/>
      </c>
      <c r="L413" t="str">
        <f t="shared" si="57"/>
        <v/>
      </c>
      <c r="M413" t="str">
        <f t="shared" si="58"/>
        <v/>
      </c>
      <c r="N413">
        <f t="shared" si="59"/>
        <v>0</v>
      </c>
      <c r="O413" t="str">
        <f t="shared" si="60"/>
        <v/>
      </c>
      <c r="P413">
        <f t="shared" si="61"/>
        <v>0</v>
      </c>
      <c r="Q413" t="str">
        <f t="shared" si="62"/>
        <v/>
      </c>
    </row>
    <row r="414" spans="8:17">
      <c r="H414">
        <f t="shared" si="54"/>
        <v>0</v>
      </c>
      <c r="J414">
        <f t="shared" si="55"/>
        <v>0</v>
      </c>
      <c r="K414" t="str">
        <f t="shared" si="56"/>
        <v/>
      </c>
      <c r="L414" t="str">
        <f t="shared" si="57"/>
        <v/>
      </c>
      <c r="M414" t="str">
        <f t="shared" si="58"/>
        <v/>
      </c>
      <c r="N414">
        <f t="shared" si="59"/>
        <v>0</v>
      </c>
      <c r="O414" t="str">
        <f t="shared" si="60"/>
        <v/>
      </c>
      <c r="P414">
        <f t="shared" si="61"/>
        <v>0</v>
      </c>
      <c r="Q414" t="str">
        <f t="shared" si="62"/>
        <v/>
      </c>
    </row>
    <row r="415" spans="8:17">
      <c r="H415">
        <f t="shared" si="54"/>
        <v>0</v>
      </c>
      <c r="J415">
        <f t="shared" si="55"/>
        <v>0</v>
      </c>
      <c r="K415" t="str">
        <f t="shared" si="56"/>
        <v/>
      </c>
      <c r="L415" t="str">
        <f t="shared" si="57"/>
        <v/>
      </c>
      <c r="M415" t="str">
        <f t="shared" si="58"/>
        <v/>
      </c>
      <c r="N415">
        <f t="shared" si="59"/>
        <v>0</v>
      </c>
      <c r="O415" t="str">
        <f t="shared" si="60"/>
        <v/>
      </c>
      <c r="P415">
        <f t="shared" si="61"/>
        <v>0</v>
      </c>
      <c r="Q415" t="str">
        <f t="shared" si="62"/>
        <v/>
      </c>
    </row>
    <row r="416" spans="8:17">
      <c r="H416">
        <f t="shared" si="54"/>
        <v>0</v>
      </c>
      <c r="J416">
        <f t="shared" si="55"/>
        <v>0</v>
      </c>
      <c r="K416" t="str">
        <f t="shared" si="56"/>
        <v/>
      </c>
      <c r="L416" t="str">
        <f t="shared" si="57"/>
        <v/>
      </c>
      <c r="M416" t="str">
        <f t="shared" si="58"/>
        <v/>
      </c>
      <c r="N416">
        <f t="shared" si="59"/>
        <v>0</v>
      </c>
      <c r="O416" t="str">
        <f t="shared" si="60"/>
        <v/>
      </c>
      <c r="P416">
        <f t="shared" si="61"/>
        <v>0</v>
      </c>
      <c r="Q416" t="str">
        <f t="shared" si="62"/>
        <v/>
      </c>
    </row>
    <row r="417" spans="8:17">
      <c r="H417">
        <f t="shared" si="54"/>
        <v>0</v>
      </c>
      <c r="J417">
        <f t="shared" si="55"/>
        <v>0</v>
      </c>
      <c r="K417" t="str">
        <f t="shared" si="56"/>
        <v/>
      </c>
      <c r="L417" t="str">
        <f t="shared" si="57"/>
        <v/>
      </c>
      <c r="M417" t="str">
        <f t="shared" si="58"/>
        <v/>
      </c>
      <c r="N417">
        <f t="shared" si="59"/>
        <v>0</v>
      </c>
      <c r="O417" t="str">
        <f t="shared" si="60"/>
        <v/>
      </c>
      <c r="P417">
        <f t="shared" si="61"/>
        <v>0</v>
      </c>
      <c r="Q417" t="str">
        <f t="shared" si="62"/>
        <v/>
      </c>
    </row>
    <row r="418" spans="8:17">
      <c r="H418">
        <f t="shared" si="54"/>
        <v>0</v>
      </c>
      <c r="J418">
        <f t="shared" si="55"/>
        <v>0</v>
      </c>
      <c r="K418" t="str">
        <f t="shared" si="56"/>
        <v/>
      </c>
      <c r="L418" t="str">
        <f t="shared" si="57"/>
        <v/>
      </c>
      <c r="M418" t="str">
        <f t="shared" si="58"/>
        <v/>
      </c>
      <c r="N418">
        <f t="shared" si="59"/>
        <v>0</v>
      </c>
      <c r="O418" t="str">
        <f t="shared" si="60"/>
        <v/>
      </c>
      <c r="P418">
        <f t="shared" si="61"/>
        <v>0</v>
      </c>
      <c r="Q418" t="str">
        <f t="shared" si="62"/>
        <v/>
      </c>
    </row>
    <row r="419" spans="8:17">
      <c r="H419">
        <f t="shared" si="54"/>
        <v>0</v>
      </c>
      <c r="J419">
        <f t="shared" si="55"/>
        <v>0</v>
      </c>
      <c r="K419" t="str">
        <f t="shared" si="56"/>
        <v/>
      </c>
      <c r="L419" t="str">
        <f t="shared" si="57"/>
        <v/>
      </c>
      <c r="M419" t="str">
        <f t="shared" si="58"/>
        <v/>
      </c>
      <c r="N419">
        <f t="shared" si="59"/>
        <v>0</v>
      </c>
      <c r="O419" t="str">
        <f t="shared" si="60"/>
        <v/>
      </c>
      <c r="P419">
        <f t="shared" si="61"/>
        <v>0</v>
      </c>
      <c r="Q419" t="str">
        <f t="shared" si="62"/>
        <v/>
      </c>
    </row>
    <row r="420" spans="8:17">
      <c r="H420">
        <f t="shared" si="54"/>
        <v>0</v>
      </c>
      <c r="J420">
        <f t="shared" si="55"/>
        <v>0</v>
      </c>
      <c r="K420" t="str">
        <f t="shared" si="56"/>
        <v/>
      </c>
      <c r="L420" t="str">
        <f t="shared" si="57"/>
        <v/>
      </c>
      <c r="M420" t="str">
        <f t="shared" si="58"/>
        <v/>
      </c>
      <c r="N420">
        <f t="shared" si="59"/>
        <v>0</v>
      </c>
      <c r="O420" t="str">
        <f t="shared" si="60"/>
        <v/>
      </c>
      <c r="P420">
        <f t="shared" si="61"/>
        <v>0</v>
      </c>
      <c r="Q420" t="str">
        <f t="shared" si="62"/>
        <v/>
      </c>
    </row>
    <row r="421" spans="8:17">
      <c r="H421">
        <f t="shared" si="54"/>
        <v>0</v>
      </c>
      <c r="J421">
        <f t="shared" si="55"/>
        <v>0</v>
      </c>
      <c r="K421" t="str">
        <f t="shared" si="56"/>
        <v/>
      </c>
      <c r="L421" t="str">
        <f t="shared" si="57"/>
        <v/>
      </c>
      <c r="M421" t="str">
        <f t="shared" si="58"/>
        <v/>
      </c>
      <c r="N421">
        <f t="shared" si="59"/>
        <v>0</v>
      </c>
      <c r="O421" t="str">
        <f t="shared" si="60"/>
        <v/>
      </c>
      <c r="P421">
        <f t="shared" si="61"/>
        <v>0</v>
      </c>
      <c r="Q421" t="str">
        <f t="shared" si="62"/>
        <v/>
      </c>
    </row>
    <row r="422" spans="8:17">
      <c r="H422">
        <f t="shared" si="54"/>
        <v>0</v>
      </c>
      <c r="J422">
        <f t="shared" si="55"/>
        <v>0</v>
      </c>
      <c r="K422" t="str">
        <f t="shared" si="56"/>
        <v/>
      </c>
      <c r="L422" t="str">
        <f t="shared" si="57"/>
        <v/>
      </c>
      <c r="M422" t="str">
        <f t="shared" si="58"/>
        <v/>
      </c>
      <c r="N422">
        <f t="shared" si="59"/>
        <v>0</v>
      </c>
      <c r="O422" t="str">
        <f t="shared" si="60"/>
        <v/>
      </c>
      <c r="P422">
        <f t="shared" si="61"/>
        <v>0</v>
      </c>
      <c r="Q422" t="str">
        <f t="shared" si="62"/>
        <v/>
      </c>
    </row>
    <row r="423" spans="8:17">
      <c r="H423">
        <f t="shared" si="54"/>
        <v>0</v>
      </c>
      <c r="J423">
        <f t="shared" si="55"/>
        <v>0</v>
      </c>
      <c r="K423" t="str">
        <f t="shared" si="56"/>
        <v/>
      </c>
      <c r="L423" t="str">
        <f t="shared" si="57"/>
        <v/>
      </c>
      <c r="M423" t="str">
        <f t="shared" si="58"/>
        <v/>
      </c>
      <c r="N423">
        <f t="shared" si="59"/>
        <v>0</v>
      </c>
      <c r="O423" t="str">
        <f t="shared" si="60"/>
        <v/>
      </c>
      <c r="P423">
        <f t="shared" si="61"/>
        <v>0</v>
      </c>
      <c r="Q423" t="str">
        <f t="shared" si="62"/>
        <v/>
      </c>
    </row>
    <row r="424" spans="8:17">
      <c r="H424">
        <f t="shared" si="54"/>
        <v>0</v>
      </c>
      <c r="J424">
        <f t="shared" si="55"/>
        <v>0</v>
      </c>
      <c r="K424" t="str">
        <f t="shared" si="56"/>
        <v/>
      </c>
      <c r="L424" t="str">
        <f t="shared" si="57"/>
        <v/>
      </c>
      <c r="M424" t="str">
        <f t="shared" si="58"/>
        <v/>
      </c>
      <c r="N424">
        <f t="shared" si="59"/>
        <v>0</v>
      </c>
      <c r="O424" t="str">
        <f t="shared" si="60"/>
        <v/>
      </c>
      <c r="P424">
        <f t="shared" si="61"/>
        <v>0</v>
      </c>
      <c r="Q424" t="str">
        <f t="shared" si="62"/>
        <v/>
      </c>
    </row>
    <row r="425" spans="8:17">
      <c r="H425">
        <f t="shared" si="54"/>
        <v>0</v>
      </c>
      <c r="J425">
        <f t="shared" si="55"/>
        <v>0</v>
      </c>
      <c r="K425" t="str">
        <f t="shared" si="56"/>
        <v/>
      </c>
      <c r="L425" t="str">
        <f t="shared" si="57"/>
        <v/>
      </c>
      <c r="M425" t="str">
        <f t="shared" si="58"/>
        <v/>
      </c>
      <c r="N425">
        <f t="shared" si="59"/>
        <v>0</v>
      </c>
      <c r="O425" t="str">
        <f t="shared" si="60"/>
        <v/>
      </c>
      <c r="P425">
        <f t="shared" si="61"/>
        <v>0</v>
      </c>
      <c r="Q425" t="str">
        <f t="shared" si="62"/>
        <v/>
      </c>
    </row>
    <row r="426" spans="8:17">
      <c r="H426">
        <f t="shared" si="54"/>
        <v>0</v>
      </c>
      <c r="J426">
        <f t="shared" si="55"/>
        <v>0</v>
      </c>
      <c r="K426" t="str">
        <f t="shared" si="56"/>
        <v/>
      </c>
      <c r="L426" t="str">
        <f t="shared" si="57"/>
        <v/>
      </c>
      <c r="M426" t="str">
        <f t="shared" si="58"/>
        <v/>
      </c>
      <c r="N426">
        <f t="shared" si="59"/>
        <v>0</v>
      </c>
      <c r="O426" t="str">
        <f t="shared" si="60"/>
        <v/>
      </c>
      <c r="P426">
        <f t="shared" si="61"/>
        <v>0</v>
      </c>
      <c r="Q426" t="str">
        <f t="shared" si="62"/>
        <v/>
      </c>
    </row>
    <row r="427" spans="8:17">
      <c r="H427">
        <f t="shared" si="54"/>
        <v>0</v>
      </c>
      <c r="J427">
        <f t="shared" si="55"/>
        <v>0</v>
      </c>
      <c r="K427" t="str">
        <f t="shared" si="56"/>
        <v/>
      </c>
      <c r="L427" t="str">
        <f t="shared" si="57"/>
        <v/>
      </c>
      <c r="M427" t="str">
        <f t="shared" si="58"/>
        <v/>
      </c>
      <c r="N427">
        <f t="shared" si="59"/>
        <v>0</v>
      </c>
      <c r="O427" t="str">
        <f t="shared" si="60"/>
        <v/>
      </c>
      <c r="P427">
        <f t="shared" si="61"/>
        <v>0</v>
      </c>
      <c r="Q427" t="str">
        <f t="shared" si="62"/>
        <v/>
      </c>
    </row>
    <row r="428" spans="8:17">
      <c r="H428">
        <f t="shared" si="54"/>
        <v>0</v>
      </c>
      <c r="J428">
        <f t="shared" si="55"/>
        <v>0</v>
      </c>
      <c r="K428" t="str">
        <f t="shared" si="56"/>
        <v/>
      </c>
      <c r="L428" t="str">
        <f t="shared" si="57"/>
        <v/>
      </c>
      <c r="M428" t="str">
        <f t="shared" si="58"/>
        <v/>
      </c>
      <c r="N428">
        <f t="shared" si="59"/>
        <v>0</v>
      </c>
      <c r="O428" t="str">
        <f t="shared" si="60"/>
        <v/>
      </c>
      <c r="P428">
        <f t="shared" si="61"/>
        <v>0</v>
      </c>
      <c r="Q428" t="str">
        <f t="shared" si="62"/>
        <v/>
      </c>
    </row>
    <row r="429" spans="8:17">
      <c r="H429">
        <f t="shared" si="54"/>
        <v>0</v>
      </c>
      <c r="J429">
        <f t="shared" si="55"/>
        <v>0</v>
      </c>
      <c r="K429" t="str">
        <f t="shared" si="56"/>
        <v/>
      </c>
      <c r="L429" t="str">
        <f t="shared" si="57"/>
        <v/>
      </c>
      <c r="M429" t="str">
        <f t="shared" si="58"/>
        <v/>
      </c>
      <c r="N429">
        <f t="shared" si="59"/>
        <v>0</v>
      </c>
      <c r="O429" t="str">
        <f t="shared" si="60"/>
        <v/>
      </c>
      <c r="P429">
        <f t="shared" si="61"/>
        <v>0</v>
      </c>
      <c r="Q429" t="str">
        <f t="shared" si="62"/>
        <v/>
      </c>
    </row>
    <row r="430" spans="8:17">
      <c r="H430">
        <f t="shared" si="54"/>
        <v>0</v>
      </c>
      <c r="J430">
        <f t="shared" si="55"/>
        <v>0</v>
      </c>
      <c r="K430" t="str">
        <f t="shared" si="56"/>
        <v/>
      </c>
      <c r="L430" t="str">
        <f t="shared" si="57"/>
        <v/>
      </c>
      <c r="M430" t="str">
        <f t="shared" si="58"/>
        <v/>
      </c>
      <c r="N430">
        <f t="shared" si="59"/>
        <v>0</v>
      </c>
      <c r="O430" t="str">
        <f t="shared" si="60"/>
        <v/>
      </c>
      <c r="P430">
        <f t="shared" si="61"/>
        <v>0</v>
      </c>
      <c r="Q430" t="str">
        <f t="shared" si="62"/>
        <v/>
      </c>
    </row>
    <row r="431" spans="8:17">
      <c r="H431">
        <f t="shared" si="54"/>
        <v>0</v>
      </c>
      <c r="J431">
        <f t="shared" si="55"/>
        <v>0</v>
      </c>
      <c r="K431" t="str">
        <f t="shared" si="56"/>
        <v/>
      </c>
      <c r="L431" t="str">
        <f t="shared" si="57"/>
        <v/>
      </c>
      <c r="M431" t="str">
        <f t="shared" si="58"/>
        <v/>
      </c>
      <c r="N431">
        <f t="shared" si="59"/>
        <v>0</v>
      </c>
      <c r="O431" t="str">
        <f t="shared" si="60"/>
        <v/>
      </c>
      <c r="P431">
        <f t="shared" si="61"/>
        <v>0</v>
      </c>
      <c r="Q431" t="str">
        <f t="shared" si="62"/>
        <v/>
      </c>
    </row>
    <row r="432" spans="8:17">
      <c r="H432">
        <f t="shared" si="54"/>
        <v>0</v>
      </c>
      <c r="J432">
        <f t="shared" si="55"/>
        <v>0</v>
      </c>
      <c r="K432" t="str">
        <f t="shared" si="56"/>
        <v/>
      </c>
      <c r="L432" t="str">
        <f t="shared" si="57"/>
        <v/>
      </c>
      <c r="M432" t="str">
        <f t="shared" si="58"/>
        <v/>
      </c>
      <c r="N432">
        <f t="shared" si="59"/>
        <v>0</v>
      </c>
      <c r="O432" t="str">
        <f t="shared" si="60"/>
        <v/>
      </c>
      <c r="P432">
        <f t="shared" si="61"/>
        <v>0</v>
      </c>
      <c r="Q432" t="str">
        <f t="shared" si="62"/>
        <v/>
      </c>
    </row>
    <row r="433" spans="8:17">
      <c r="H433">
        <f t="shared" si="54"/>
        <v>0</v>
      </c>
      <c r="J433">
        <f t="shared" si="55"/>
        <v>0</v>
      </c>
      <c r="K433" t="str">
        <f t="shared" si="56"/>
        <v/>
      </c>
      <c r="L433" t="str">
        <f t="shared" si="57"/>
        <v/>
      </c>
      <c r="M433" t="str">
        <f t="shared" si="58"/>
        <v/>
      </c>
      <c r="N433">
        <f t="shared" si="59"/>
        <v>0</v>
      </c>
      <c r="O433" t="str">
        <f t="shared" si="60"/>
        <v/>
      </c>
      <c r="P433">
        <f t="shared" si="61"/>
        <v>0</v>
      </c>
      <c r="Q433" t="str">
        <f t="shared" si="62"/>
        <v/>
      </c>
    </row>
    <row r="434" spans="8:17">
      <c r="H434">
        <f t="shared" si="54"/>
        <v>0</v>
      </c>
      <c r="J434">
        <f t="shared" si="55"/>
        <v>0</v>
      </c>
      <c r="K434" t="str">
        <f t="shared" si="56"/>
        <v/>
      </c>
      <c r="L434" t="str">
        <f t="shared" si="57"/>
        <v/>
      </c>
      <c r="M434" t="str">
        <f t="shared" si="58"/>
        <v/>
      </c>
      <c r="N434">
        <f t="shared" si="59"/>
        <v>0</v>
      </c>
      <c r="O434" t="str">
        <f t="shared" si="60"/>
        <v/>
      </c>
      <c r="P434">
        <f t="shared" si="61"/>
        <v>0</v>
      </c>
      <c r="Q434" t="str">
        <f t="shared" si="62"/>
        <v/>
      </c>
    </row>
    <row r="435" spans="8:17">
      <c r="H435">
        <f t="shared" si="54"/>
        <v>0</v>
      </c>
      <c r="J435">
        <f t="shared" si="55"/>
        <v>0</v>
      </c>
      <c r="K435" t="str">
        <f t="shared" si="56"/>
        <v/>
      </c>
      <c r="L435" t="str">
        <f t="shared" si="57"/>
        <v/>
      </c>
      <c r="M435" t="str">
        <f t="shared" si="58"/>
        <v/>
      </c>
      <c r="N435">
        <f t="shared" si="59"/>
        <v>0</v>
      </c>
      <c r="O435" t="str">
        <f t="shared" si="60"/>
        <v/>
      </c>
      <c r="P435">
        <f t="shared" si="61"/>
        <v>0</v>
      </c>
      <c r="Q435" t="str">
        <f t="shared" si="62"/>
        <v/>
      </c>
    </row>
    <row r="436" spans="8:17">
      <c r="H436">
        <f t="shared" si="54"/>
        <v>0</v>
      </c>
      <c r="J436">
        <f t="shared" si="55"/>
        <v>0</v>
      </c>
      <c r="K436" t="str">
        <f t="shared" si="56"/>
        <v/>
      </c>
      <c r="L436" t="str">
        <f t="shared" si="57"/>
        <v/>
      </c>
      <c r="M436" t="str">
        <f t="shared" si="58"/>
        <v/>
      </c>
      <c r="N436">
        <f t="shared" si="59"/>
        <v>0</v>
      </c>
      <c r="O436" t="str">
        <f t="shared" si="60"/>
        <v/>
      </c>
      <c r="P436">
        <f t="shared" si="61"/>
        <v>0</v>
      </c>
      <c r="Q436" t="str">
        <f t="shared" si="62"/>
        <v/>
      </c>
    </row>
    <row r="437" spans="8:17">
      <c r="H437">
        <f t="shared" si="54"/>
        <v>0</v>
      </c>
      <c r="J437">
        <f t="shared" si="55"/>
        <v>0</v>
      </c>
      <c r="K437" t="str">
        <f t="shared" si="56"/>
        <v/>
      </c>
      <c r="L437" t="str">
        <f t="shared" si="57"/>
        <v/>
      </c>
      <c r="M437" t="str">
        <f t="shared" si="58"/>
        <v/>
      </c>
      <c r="N437">
        <f t="shared" si="59"/>
        <v>0</v>
      </c>
      <c r="O437" t="str">
        <f t="shared" si="60"/>
        <v/>
      </c>
      <c r="P437">
        <f t="shared" si="61"/>
        <v>0</v>
      </c>
      <c r="Q437" t="str">
        <f t="shared" si="62"/>
        <v/>
      </c>
    </row>
    <row r="438" spans="8:17">
      <c r="H438">
        <f t="shared" si="54"/>
        <v>0</v>
      </c>
      <c r="J438">
        <f t="shared" si="55"/>
        <v>0</v>
      </c>
      <c r="K438" t="str">
        <f t="shared" si="56"/>
        <v/>
      </c>
      <c r="L438" t="str">
        <f t="shared" si="57"/>
        <v/>
      </c>
      <c r="M438" t="str">
        <f t="shared" si="58"/>
        <v/>
      </c>
      <c r="N438">
        <f t="shared" si="59"/>
        <v>0</v>
      </c>
      <c r="O438" t="str">
        <f t="shared" si="60"/>
        <v/>
      </c>
      <c r="P438">
        <f t="shared" si="61"/>
        <v>0</v>
      </c>
      <c r="Q438" t="str">
        <f t="shared" si="62"/>
        <v/>
      </c>
    </row>
    <row r="439" spans="8:17">
      <c r="H439">
        <f t="shared" si="54"/>
        <v>0</v>
      </c>
      <c r="J439">
        <f t="shared" si="55"/>
        <v>0</v>
      </c>
      <c r="K439" t="str">
        <f t="shared" si="56"/>
        <v/>
      </c>
      <c r="L439" t="str">
        <f t="shared" si="57"/>
        <v/>
      </c>
      <c r="M439" t="str">
        <f t="shared" si="58"/>
        <v/>
      </c>
      <c r="N439">
        <f t="shared" si="59"/>
        <v>0</v>
      </c>
      <c r="O439" t="str">
        <f t="shared" si="60"/>
        <v/>
      </c>
      <c r="P439">
        <f t="shared" si="61"/>
        <v>0</v>
      </c>
      <c r="Q439" t="str">
        <f t="shared" si="62"/>
        <v/>
      </c>
    </row>
    <row r="440" spans="8:17">
      <c r="H440">
        <f t="shared" si="54"/>
        <v>0</v>
      </c>
      <c r="J440">
        <f t="shared" si="55"/>
        <v>0</v>
      </c>
      <c r="K440" t="str">
        <f t="shared" si="56"/>
        <v/>
      </c>
      <c r="L440" t="str">
        <f t="shared" si="57"/>
        <v/>
      </c>
      <c r="M440" t="str">
        <f t="shared" si="58"/>
        <v/>
      </c>
      <c r="N440">
        <f t="shared" si="59"/>
        <v>0</v>
      </c>
      <c r="O440" t="str">
        <f t="shared" si="60"/>
        <v/>
      </c>
      <c r="P440">
        <f t="shared" si="61"/>
        <v>0</v>
      </c>
      <c r="Q440" t="str">
        <f t="shared" si="62"/>
        <v/>
      </c>
    </row>
    <row r="441" spans="8:17">
      <c r="H441">
        <f t="shared" si="54"/>
        <v>0</v>
      </c>
      <c r="J441">
        <f t="shared" si="55"/>
        <v>0</v>
      </c>
      <c r="K441" t="str">
        <f t="shared" si="56"/>
        <v/>
      </c>
      <c r="L441" t="str">
        <f t="shared" si="57"/>
        <v/>
      </c>
      <c r="M441" t="str">
        <f t="shared" si="58"/>
        <v/>
      </c>
      <c r="N441">
        <f t="shared" si="59"/>
        <v>0</v>
      </c>
      <c r="O441" t="str">
        <f t="shared" si="60"/>
        <v/>
      </c>
      <c r="P441">
        <f t="shared" si="61"/>
        <v>0</v>
      </c>
      <c r="Q441" t="str">
        <f t="shared" si="62"/>
        <v/>
      </c>
    </row>
    <row r="442" spans="8:17">
      <c r="H442">
        <f t="shared" si="54"/>
        <v>0</v>
      </c>
      <c r="J442">
        <f t="shared" si="55"/>
        <v>0</v>
      </c>
      <c r="K442" t="str">
        <f t="shared" si="56"/>
        <v/>
      </c>
      <c r="L442" t="str">
        <f t="shared" si="57"/>
        <v/>
      </c>
      <c r="M442" t="str">
        <f t="shared" si="58"/>
        <v/>
      </c>
      <c r="N442">
        <f t="shared" si="59"/>
        <v>0</v>
      </c>
      <c r="O442" t="str">
        <f t="shared" si="60"/>
        <v/>
      </c>
      <c r="P442">
        <f t="shared" si="61"/>
        <v>0</v>
      </c>
      <c r="Q442" t="str">
        <f t="shared" si="62"/>
        <v/>
      </c>
    </row>
    <row r="443" spans="8:17">
      <c r="H443">
        <f t="shared" si="54"/>
        <v>0</v>
      </c>
      <c r="J443">
        <f t="shared" si="55"/>
        <v>0</v>
      </c>
      <c r="K443" t="str">
        <f t="shared" si="56"/>
        <v/>
      </c>
      <c r="L443" t="str">
        <f t="shared" si="57"/>
        <v/>
      </c>
      <c r="M443" t="str">
        <f t="shared" si="58"/>
        <v/>
      </c>
      <c r="N443">
        <f t="shared" si="59"/>
        <v>0</v>
      </c>
      <c r="O443" t="str">
        <f t="shared" si="60"/>
        <v/>
      </c>
      <c r="P443">
        <f t="shared" si="61"/>
        <v>0</v>
      </c>
      <c r="Q443" t="str">
        <f t="shared" si="62"/>
        <v/>
      </c>
    </row>
    <row r="444" spans="8:17">
      <c r="H444">
        <f t="shared" si="54"/>
        <v>0</v>
      </c>
      <c r="J444">
        <f t="shared" si="55"/>
        <v>0</v>
      </c>
      <c r="K444" t="str">
        <f t="shared" si="56"/>
        <v/>
      </c>
      <c r="L444" t="str">
        <f t="shared" si="57"/>
        <v/>
      </c>
      <c r="M444" t="str">
        <f t="shared" si="58"/>
        <v/>
      </c>
      <c r="N444">
        <f t="shared" si="59"/>
        <v>0</v>
      </c>
      <c r="O444" t="str">
        <f t="shared" si="60"/>
        <v/>
      </c>
      <c r="P444">
        <f t="shared" si="61"/>
        <v>0</v>
      </c>
      <c r="Q444" t="str">
        <f t="shared" si="62"/>
        <v/>
      </c>
    </row>
    <row r="445" spans="8:17">
      <c r="H445">
        <f t="shared" si="54"/>
        <v>0</v>
      </c>
      <c r="J445">
        <f t="shared" si="55"/>
        <v>0</v>
      </c>
      <c r="K445" t="str">
        <f t="shared" si="56"/>
        <v/>
      </c>
      <c r="L445" t="str">
        <f t="shared" si="57"/>
        <v/>
      </c>
      <c r="M445" t="str">
        <f t="shared" si="58"/>
        <v/>
      </c>
      <c r="N445">
        <f t="shared" si="59"/>
        <v>0</v>
      </c>
      <c r="O445" t="str">
        <f t="shared" si="60"/>
        <v/>
      </c>
      <c r="P445">
        <f t="shared" si="61"/>
        <v>0</v>
      </c>
      <c r="Q445" t="str">
        <f t="shared" si="62"/>
        <v/>
      </c>
    </row>
    <row r="446" spans="8:17">
      <c r="H446">
        <f t="shared" si="54"/>
        <v>0</v>
      </c>
      <c r="J446">
        <f t="shared" si="55"/>
        <v>0</v>
      </c>
      <c r="K446" t="str">
        <f t="shared" si="56"/>
        <v/>
      </c>
      <c r="L446" t="str">
        <f t="shared" si="57"/>
        <v/>
      </c>
      <c r="M446" t="str">
        <f t="shared" si="58"/>
        <v/>
      </c>
      <c r="N446">
        <f t="shared" si="59"/>
        <v>0</v>
      </c>
      <c r="O446" t="str">
        <f t="shared" si="60"/>
        <v/>
      </c>
      <c r="P446">
        <f t="shared" si="61"/>
        <v>0</v>
      </c>
      <c r="Q446" t="str">
        <f t="shared" si="62"/>
        <v/>
      </c>
    </row>
    <row r="447" spans="8:17">
      <c r="H447">
        <f t="shared" si="54"/>
        <v>0</v>
      </c>
      <c r="J447">
        <f t="shared" si="55"/>
        <v>0</v>
      </c>
      <c r="K447" t="str">
        <f t="shared" si="56"/>
        <v/>
      </c>
      <c r="L447" t="str">
        <f t="shared" si="57"/>
        <v/>
      </c>
      <c r="M447" t="str">
        <f t="shared" si="58"/>
        <v/>
      </c>
      <c r="N447">
        <f t="shared" si="59"/>
        <v>0</v>
      </c>
      <c r="O447" t="str">
        <f t="shared" si="60"/>
        <v/>
      </c>
      <c r="P447">
        <f t="shared" si="61"/>
        <v>0</v>
      </c>
      <c r="Q447" t="str">
        <f t="shared" si="62"/>
        <v/>
      </c>
    </row>
    <row r="448" spans="8:17">
      <c r="H448">
        <f t="shared" si="54"/>
        <v>0</v>
      </c>
      <c r="J448">
        <f t="shared" si="55"/>
        <v>0</v>
      </c>
      <c r="K448" t="str">
        <f t="shared" si="56"/>
        <v/>
      </c>
      <c r="L448" t="str">
        <f t="shared" si="57"/>
        <v/>
      </c>
      <c r="M448" t="str">
        <f t="shared" si="58"/>
        <v/>
      </c>
      <c r="N448">
        <f t="shared" si="59"/>
        <v>0</v>
      </c>
      <c r="O448" t="str">
        <f t="shared" si="60"/>
        <v/>
      </c>
      <c r="P448">
        <f t="shared" si="61"/>
        <v>0</v>
      </c>
      <c r="Q448" t="str">
        <f t="shared" si="62"/>
        <v/>
      </c>
    </row>
    <row r="449" spans="8:17">
      <c r="H449">
        <f t="shared" si="54"/>
        <v>0</v>
      </c>
      <c r="J449">
        <f t="shared" si="55"/>
        <v>0</v>
      </c>
      <c r="K449" t="str">
        <f t="shared" si="56"/>
        <v/>
      </c>
      <c r="L449" t="str">
        <f t="shared" si="57"/>
        <v/>
      </c>
      <c r="M449" t="str">
        <f t="shared" si="58"/>
        <v/>
      </c>
      <c r="N449">
        <f t="shared" si="59"/>
        <v>0</v>
      </c>
      <c r="O449" t="str">
        <f t="shared" si="60"/>
        <v/>
      </c>
      <c r="P449">
        <f t="shared" si="61"/>
        <v>0</v>
      </c>
      <c r="Q449" t="str">
        <f t="shared" si="62"/>
        <v/>
      </c>
    </row>
    <row r="450" spans="8:17">
      <c r="H450">
        <f t="shared" ref="H450:H501" si="63">A450</f>
        <v>0</v>
      </c>
      <c r="J450">
        <f t="shared" ref="J450:J501" si="64">IF($I450&lt;&gt;"",$I450,$A450)</f>
        <v>0</v>
      </c>
      <c r="K450" t="str">
        <f t="shared" ref="K450:K500" si="65">IF($C450="","",IF(LEN($C450)=1,CODE(UPPER($C450))-64,IFERROR(VALUE(MID($C450,2,99)),"")))</f>
        <v/>
      </c>
      <c r="L450" t="str">
        <f t="shared" ref="L450:L501" si="66">IF($D450="","",IFERROR(VALUE($D450),""))</f>
        <v/>
      </c>
      <c r="M450" t="str">
        <f t="shared" ref="M450:M500" si="67">IFERROR(VALUE(MID($A450,FIND("Level",$A450)+5,99)),IF($E450="AISLE_FLOOR",0,IF($E450="OVERFLOW",0,IF($E450="ENDCAP",0,""))))</f>
        <v/>
      </c>
      <c r="N450">
        <f t="shared" ref="N450:N501" si="68">IF(AND($B450&lt;&gt;"",$C450&lt;&gt;"",ISNUMBER(--$D450)), $B450&amp;": "&amp;LEFT($C450,1)&amp;TEXT(--$D450,"00"), IF($I450&lt;&gt;"",$I450,$A450))</f>
        <v>0</v>
      </c>
      <c r="O450" t="str">
        <f t="shared" ref="O450:O501" si="69">IF(AND($C450&lt;&gt;"",ISNUMBER(--$D450)),LEFT($C450,1),"")</f>
        <v/>
      </c>
      <c r="P450">
        <f t="shared" ref="P450:P501" si="70">IF(ISNUMBER(--$D450),--$D450,"")</f>
        <v>0</v>
      </c>
      <c r="Q450" t="str">
        <f t="shared" ref="Q450:Q501" si="71">IF(AND($O450&lt;&gt;"",$P450&lt;&gt;""),$O450&amp;TEXT($P450,"00"),"")</f>
        <v/>
      </c>
    </row>
    <row r="451" spans="8:17">
      <c r="H451">
        <f t="shared" si="63"/>
        <v>0</v>
      </c>
      <c r="J451">
        <f t="shared" si="64"/>
        <v>0</v>
      </c>
      <c r="K451" t="str">
        <f t="shared" si="65"/>
        <v/>
      </c>
      <c r="L451" t="str">
        <f t="shared" si="66"/>
        <v/>
      </c>
      <c r="M451" t="str">
        <f t="shared" si="67"/>
        <v/>
      </c>
      <c r="N451">
        <f t="shared" si="68"/>
        <v>0</v>
      </c>
      <c r="O451" t="str">
        <f t="shared" si="69"/>
        <v/>
      </c>
      <c r="P451">
        <f t="shared" si="70"/>
        <v>0</v>
      </c>
      <c r="Q451" t="str">
        <f t="shared" si="71"/>
        <v/>
      </c>
    </row>
    <row r="452" spans="8:17">
      <c r="H452">
        <f t="shared" si="63"/>
        <v>0</v>
      </c>
      <c r="J452">
        <f t="shared" si="64"/>
        <v>0</v>
      </c>
      <c r="K452" t="str">
        <f t="shared" si="65"/>
        <v/>
      </c>
      <c r="L452" t="str">
        <f t="shared" si="66"/>
        <v/>
      </c>
      <c r="M452" t="str">
        <f t="shared" si="67"/>
        <v/>
      </c>
      <c r="N452">
        <f t="shared" si="68"/>
        <v>0</v>
      </c>
      <c r="O452" t="str">
        <f t="shared" si="69"/>
        <v/>
      </c>
      <c r="P452">
        <f t="shared" si="70"/>
        <v>0</v>
      </c>
      <c r="Q452" t="str">
        <f t="shared" si="71"/>
        <v/>
      </c>
    </row>
    <row r="453" spans="8:17">
      <c r="H453">
        <f t="shared" si="63"/>
        <v>0</v>
      </c>
      <c r="J453">
        <f t="shared" si="64"/>
        <v>0</v>
      </c>
      <c r="K453" t="str">
        <f t="shared" si="65"/>
        <v/>
      </c>
      <c r="L453" t="str">
        <f t="shared" si="66"/>
        <v/>
      </c>
      <c r="M453" t="str">
        <f t="shared" si="67"/>
        <v/>
      </c>
      <c r="N453">
        <f t="shared" si="68"/>
        <v>0</v>
      </c>
      <c r="O453" t="str">
        <f t="shared" si="69"/>
        <v/>
      </c>
      <c r="P453">
        <f t="shared" si="70"/>
        <v>0</v>
      </c>
      <c r="Q453" t="str">
        <f t="shared" si="71"/>
        <v/>
      </c>
    </row>
    <row r="454" spans="8:17">
      <c r="H454">
        <f t="shared" si="63"/>
        <v>0</v>
      </c>
      <c r="J454">
        <f t="shared" si="64"/>
        <v>0</v>
      </c>
      <c r="K454" t="str">
        <f t="shared" si="65"/>
        <v/>
      </c>
      <c r="L454" t="str">
        <f t="shared" si="66"/>
        <v/>
      </c>
      <c r="M454" t="str">
        <f t="shared" si="67"/>
        <v/>
      </c>
      <c r="N454">
        <f t="shared" si="68"/>
        <v>0</v>
      </c>
      <c r="O454" t="str">
        <f t="shared" si="69"/>
        <v/>
      </c>
      <c r="P454">
        <f t="shared" si="70"/>
        <v>0</v>
      </c>
      <c r="Q454" t="str">
        <f t="shared" si="71"/>
        <v/>
      </c>
    </row>
    <row r="455" spans="8:17">
      <c r="H455">
        <f t="shared" si="63"/>
        <v>0</v>
      </c>
      <c r="J455">
        <f t="shared" si="64"/>
        <v>0</v>
      </c>
      <c r="K455" t="str">
        <f t="shared" si="65"/>
        <v/>
      </c>
      <c r="L455" t="str">
        <f t="shared" si="66"/>
        <v/>
      </c>
      <c r="M455" t="str">
        <f t="shared" si="67"/>
        <v/>
      </c>
      <c r="N455">
        <f t="shared" si="68"/>
        <v>0</v>
      </c>
      <c r="O455" t="str">
        <f t="shared" si="69"/>
        <v/>
      </c>
      <c r="P455">
        <f t="shared" si="70"/>
        <v>0</v>
      </c>
      <c r="Q455" t="str">
        <f t="shared" si="71"/>
        <v/>
      </c>
    </row>
    <row r="456" spans="8:17">
      <c r="H456">
        <f t="shared" si="63"/>
        <v>0</v>
      </c>
      <c r="J456">
        <f t="shared" si="64"/>
        <v>0</v>
      </c>
      <c r="K456" t="str">
        <f t="shared" si="65"/>
        <v/>
      </c>
      <c r="L456" t="str">
        <f t="shared" si="66"/>
        <v/>
      </c>
      <c r="M456" t="str">
        <f t="shared" si="67"/>
        <v/>
      </c>
      <c r="N456">
        <f t="shared" si="68"/>
        <v>0</v>
      </c>
      <c r="O456" t="str">
        <f t="shared" si="69"/>
        <v/>
      </c>
      <c r="P456">
        <f t="shared" si="70"/>
        <v>0</v>
      </c>
      <c r="Q456" t="str">
        <f t="shared" si="71"/>
        <v/>
      </c>
    </row>
    <row r="457" spans="8:17">
      <c r="H457">
        <f t="shared" si="63"/>
        <v>0</v>
      </c>
      <c r="J457">
        <f t="shared" si="64"/>
        <v>0</v>
      </c>
      <c r="K457" t="str">
        <f t="shared" si="65"/>
        <v/>
      </c>
      <c r="L457" t="str">
        <f t="shared" si="66"/>
        <v/>
      </c>
      <c r="M457" t="str">
        <f t="shared" si="67"/>
        <v/>
      </c>
      <c r="N457">
        <f t="shared" si="68"/>
        <v>0</v>
      </c>
      <c r="O457" t="str">
        <f t="shared" si="69"/>
        <v/>
      </c>
      <c r="P457">
        <f t="shared" si="70"/>
        <v>0</v>
      </c>
      <c r="Q457" t="str">
        <f t="shared" si="71"/>
        <v/>
      </c>
    </row>
    <row r="458" spans="8:17">
      <c r="H458">
        <f t="shared" si="63"/>
        <v>0</v>
      </c>
      <c r="J458">
        <f t="shared" si="64"/>
        <v>0</v>
      </c>
      <c r="K458" t="str">
        <f t="shared" si="65"/>
        <v/>
      </c>
      <c r="L458" t="str">
        <f t="shared" si="66"/>
        <v/>
      </c>
      <c r="M458" t="str">
        <f t="shared" si="67"/>
        <v/>
      </c>
      <c r="N458">
        <f t="shared" si="68"/>
        <v>0</v>
      </c>
      <c r="O458" t="str">
        <f t="shared" si="69"/>
        <v/>
      </c>
      <c r="P458">
        <f t="shared" si="70"/>
        <v>0</v>
      </c>
      <c r="Q458" t="str">
        <f t="shared" si="71"/>
        <v/>
      </c>
    </row>
    <row r="459" spans="8:17">
      <c r="H459">
        <f t="shared" si="63"/>
        <v>0</v>
      </c>
      <c r="J459">
        <f t="shared" si="64"/>
        <v>0</v>
      </c>
      <c r="K459" t="str">
        <f t="shared" si="65"/>
        <v/>
      </c>
      <c r="L459" t="str">
        <f t="shared" si="66"/>
        <v/>
      </c>
      <c r="M459" t="str">
        <f t="shared" si="67"/>
        <v/>
      </c>
      <c r="N459">
        <f t="shared" si="68"/>
        <v>0</v>
      </c>
      <c r="O459" t="str">
        <f t="shared" si="69"/>
        <v/>
      </c>
      <c r="P459">
        <f t="shared" si="70"/>
        <v>0</v>
      </c>
      <c r="Q459" t="str">
        <f t="shared" si="71"/>
        <v/>
      </c>
    </row>
    <row r="460" spans="8:17">
      <c r="H460">
        <f t="shared" si="63"/>
        <v>0</v>
      </c>
      <c r="J460">
        <f t="shared" si="64"/>
        <v>0</v>
      </c>
      <c r="K460" t="str">
        <f t="shared" si="65"/>
        <v/>
      </c>
      <c r="L460" t="str">
        <f t="shared" si="66"/>
        <v/>
      </c>
      <c r="M460" t="str">
        <f t="shared" si="67"/>
        <v/>
      </c>
      <c r="N460">
        <f t="shared" si="68"/>
        <v>0</v>
      </c>
      <c r="O460" t="str">
        <f t="shared" si="69"/>
        <v/>
      </c>
      <c r="P460">
        <f t="shared" si="70"/>
        <v>0</v>
      </c>
      <c r="Q460" t="str">
        <f t="shared" si="71"/>
        <v/>
      </c>
    </row>
    <row r="461" spans="8:17">
      <c r="H461">
        <f t="shared" si="63"/>
        <v>0</v>
      </c>
      <c r="J461">
        <f t="shared" si="64"/>
        <v>0</v>
      </c>
      <c r="K461" t="str">
        <f t="shared" si="65"/>
        <v/>
      </c>
      <c r="L461" t="str">
        <f t="shared" si="66"/>
        <v/>
      </c>
      <c r="M461" t="str">
        <f t="shared" si="67"/>
        <v/>
      </c>
      <c r="N461">
        <f t="shared" si="68"/>
        <v>0</v>
      </c>
      <c r="O461" t="str">
        <f t="shared" si="69"/>
        <v/>
      </c>
      <c r="P461">
        <f t="shared" si="70"/>
        <v>0</v>
      </c>
      <c r="Q461" t="str">
        <f t="shared" si="71"/>
        <v/>
      </c>
    </row>
    <row r="462" spans="8:17">
      <c r="H462">
        <f t="shared" si="63"/>
        <v>0</v>
      </c>
      <c r="J462">
        <f t="shared" si="64"/>
        <v>0</v>
      </c>
      <c r="K462" t="str">
        <f t="shared" si="65"/>
        <v/>
      </c>
      <c r="L462" t="str">
        <f t="shared" si="66"/>
        <v/>
      </c>
      <c r="M462" t="str">
        <f t="shared" si="67"/>
        <v/>
      </c>
      <c r="N462">
        <f t="shared" si="68"/>
        <v>0</v>
      </c>
      <c r="O462" t="str">
        <f t="shared" si="69"/>
        <v/>
      </c>
      <c r="P462">
        <f t="shared" si="70"/>
        <v>0</v>
      </c>
      <c r="Q462" t="str">
        <f t="shared" si="71"/>
        <v/>
      </c>
    </row>
    <row r="463" spans="8:17">
      <c r="H463">
        <f t="shared" si="63"/>
        <v>0</v>
      </c>
      <c r="J463">
        <f t="shared" si="64"/>
        <v>0</v>
      </c>
      <c r="K463" t="str">
        <f t="shared" si="65"/>
        <v/>
      </c>
      <c r="L463" t="str">
        <f t="shared" si="66"/>
        <v/>
      </c>
      <c r="M463" t="str">
        <f t="shared" si="67"/>
        <v/>
      </c>
      <c r="N463">
        <f t="shared" si="68"/>
        <v>0</v>
      </c>
      <c r="O463" t="str">
        <f t="shared" si="69"/>
        <v/>
      </c>
      <c r="P463">
        <f t="shared" si="70"/>
        <v>0</v>
      </c>
      <c r="Q463" t="str">
        <f t="shared" si="71"/>
        <v/>
      </c>
    </row>
    <row r="464" spans="8:17">
      <c r="H464">
        <f t="shared" si="63"/>
        <v>0</v>
      </c>
      <c r="J464">
        <f t="shared" si="64"/>
        <v>0</v>
      </c>
      <c r="K464" t="str">
        <f t="shared" si="65"/>
        <v/>
      </c>
      <c r="L464" t="str">
        <f t="shared" si="66"/>
        <v/>
      </c>
      <c r="M464" t="str">
        <f t="shared" si="67"/>
        <v/>
      </c>
      <c r="N464">
        <f t="shared" si="68"/>
        <v>0</v>
      </c>
      <c r="O464" t="str">
        <f t="shared" si="69"/>
        <v/>
      </c>
      <c r="P464">
        <f t="shared" si="70"/>
        <v>0</v>
      </c>
      <c r="Q464" t="str">
        <f t="shared" si="71"/>
        <v/>
      </c>
    </row>
    <row r="465" spans="8:17">
      <c r="H465">
        <f t="shared" si="63"/>
        <v>0</v>
      </c>
      <c r="J465">
        <f t="shared" si="64"/>
        <v>0</v>
      </c>
      <c r="K465" t="str">
        <f t="shared" si="65"/>
        <v/>
      </c>
      <c r="L465" t="str">
        <f t="shared" si="66"/>
        <v/>
      </c>
      <c r="M465" t="str">
        <f t="shared" si="67"/>
        <v/>
      </c>
      <c r="N465">
        <f t="shared" si="68"/>
        <v>0</v>
      </c>
      <c r="O465" t="str">
        <f t="shared" si="69"/>
        <v/>
      </c>
      <c r="P465">
        <f t="shared" si="70"/>
        <v>0</v>
      </c>
      <c r="Q465" t="str">
        <f t="shared" si="71"/>
        <v/>
      </c>
    </row>
    <row r="466" spans="8:17">
      <c r="H466">
        <f t="shared" si="63"/>
        <v>0</v>
      </c>
      <c r="J466">
        <f t="shared" si="64"/>
        <v>0</v>
      </c>
      <c r="K466" t="str">
        <f t="shared" si="65"/>
        <v/>
      </c>
      <c r="L466" t="str">
        <f t="shared" si="66"/>
        <v/>
      </c>
      <c r="M466" t="str">
        <f t="shared" si="67"/>
        <v/>
      </c>
      <c r="N466">
        <f t="shared" si="68"/>
        <v>0</v>
      </c>
      <c r="O466" t="str">
        <f t="shared" si="69"/>
        <v/>
      </c>
      <c r="P466">
        <f t="shared" si="70"/>
        <v>0</v>
      </c>
      <c r="Q466" t="str">
        <f t="shared" si="71"/>
        <v/>
      </c>
    </row>
    <row r="467" spans="8:17">
      <c r="H467">
        <f t="shared" si="63"/>
        <v>0</v>
      </c>
      <c r="J467">
        <f t="shared" si="64"/>
        <v>0</v>
      </c>
      <c r="K467" t="str">
        <f t="shared" si="65"/>
        <v/>
      </c>
      <c r="L467" t="str">
        <f t="shared" si="66"/>
        <v/>
      </c>
      <c r="M467" t="str">
        <f t="shared" si="67"/>
        <v/>
      </c>
      <c r="N467">
        <f t="shared" si="68"/>
        <v>0</v>
      </c>
      <c r="O467" t="str">
        <f t="shared" si="69"/>
        <v/>
      </c>
      <c r="P467">
        <f t="shared" si="70"/>
        <v>0</v>
      </c>
      <c r="Q467" t="str">
        <f t="shared" si="71"/>
        <v/>
      </c>
    </row>
    <row r="468" spans="8:17">
      <c r="H468">
        <f t="shared" si="63"/>
        <v>0</v>
      </c>
      <c r="J468">
        <f t="shared" si="64"/>
        <v>0</v>
      </c>
      <c r="K468" t="str">
        <f t="shared" si="65"/>
        <v/>
      </c>
      <c r="L468" t="str">
        <f t="shared" si="66"/>
        <v/>
      </c>
      <c r="M468" t="str">
        <f t="shared" si="67"/>
        <v/>
      </c>
      <c r="N468">
        <f t="shared" si="68"/>
        <v>0</v>
      </c>
      <c r="O468" t="str">
        <f t="shared" si="69"/>
        <v/>
      </c>
      <c r="P468">
        <f t="shared" si="70"/>
        <v>0</v>
      </c>
      <c r="Q468" t="str">
        <f t="shared" si="71"/>
        <v/>
      </c>
    </row>
    <row r="469" spans="8:17">
      <c r="H469">
        <f t="shared" si="63"/>
        <v>0</v>
      </c>
      <c r="J469">
        <f t="shared" si="64"/>
        <v>0</v>
      </c>
      <c r="K469" t="str">
        <f t="shared" si="65"/>
        <v/>
      </c>
      <c r="L469" t="str">
        <f t="shared" si="66"/>
        <v/>
      </c>
      <c r="M469" t="str">
        <f t="shared" si="67"/>
        <v/>
      </c>
      <c r="N469">
        <f t="shared" si="68"/>
        <v>0</v>
      </c>
      <c r="O469" t="str">
        <f t="shared" si="69"/>
        <v/>
      </c>
      <c r="P469">
        <f t="shared" si="70"/>
        <v>0</v>
      </c>
      <c r="Q469" t="str">
        <f t="shared" si="71"/>
        <v/>
      </c>
    </row>
    <row r="470" spans="8:17">
      <c r="H470">
        <f t="shared" si="63"/>
        <v>0</v>
      </c>
      <c r="J470">
        <f t="shared" si="64"/>
        <v>0</v>
      </c>
      <c r="K470" t="str">
        <f t="shared" si="65"/>
        <v/>
      </c>
      <c r="L470" t="str">
        <f t="shared" si="66"/>
        <v/>
      </c>
      <c r="M470" t="str">
        <f t="shared" si="67"/>
        <v/>
      </c>
      <c r="N470">
        <f t="shared" si="68"/>
        <v>0</v>
      </c>
      <c r="O470" t="str">
        <f t="shared" si="69"/>
        <v/>
      </c>
      <c r="P470">
        <f t="shared" si="70"/>
        <v>0</v>
      </c>
      <c r="Q470" t="str">
        <f t="shared" si="71"/>
        <v/>
      </c>
    </row>
    <row r="471" spans="8:17">
      <c r="H471">
        <f t="shared" si="63"/>
        <v>0</v>
      </c>
      <c r="J471">
        <f t="shared" si="64"/>
        <v>0</v>
      </c>
      <c r="K471" t="str">
        <f t="shared" si="65"/>
        <v/>
      </c>
      <c r="L471" t="str">
        <f t="shared" si="66"/>
        <v/>
      </c>
      <c r="M471" t="str">
        <f t="shared" si="67"/>
        <v/>
      </c>
      <c r="N471">
        <f t="shared" si="68"/>
        <v>0</v>
      </c>
      <c r="O471" t="str">
        <f t="shared" si="69"/>
        <v/>
      </c>
      <c r="P471">
        <f t="shared" si="70"/>
        <v>0</v>
      </c>
      <c r="Q471" t="str">
        <f t="shared" si="71"/>
        <v/>
      </c>
    </row>
    <row r="472" spans="8:17">
      <c r="H472">
        <f t="shared" si="63"/>
        <v>0</v>
      </c>
      <c r="J472">
        <f t="shared" si="64"/>
        <v>0</v>
      </c>
      <c r="K472" t="str">
        <f t="shared" si="65"/>
        <v/>
      </c>
      <c r="L472" t="str">
        <f t="shared" si="66"/>
        <v/>
      </c>
      <c r="M472" t="str">
        <f t="shared" si="67"/>
        <v/>
      </c>
      <c r="N472">
        <f t="shared" si="68"/>
        <v>0</v>
      </c>
      <c r="O472" t="str">
        <f t="shared" si="69"/>
        <v/>
      </c>
      <c r="P472">
        <f t="shared" si="70"/>
        <v>0</v>
      </c>
      <c r="Q472" t="str">
        <f t="shared" si="71"/>
        <v/>
      </c>
    </row>
    <row r="473" spans="8:17">
      <c r="H473">
        <f t="shared" si="63"/>
        <v>0</v>
      </c>
      <c r="J473">
        <f t="shared" si="64"/>
        <v>0</v>
      </c>
      <c r="K473" t="str">
        <f t="shared" si="65"/>
        <v/>
      </c>
      <c r="L473" t="str">
        <f t="shared" si="66"/>
        <v/>
      </c>
      <c r="M473" t="str">
        <f t="shared" si="67"/>
        <v/>
      </c>
      <c r="N473">
        <f t="shared" si="68"/>
        <v>0</v>
      </c>
      <c r="O473" t="str">
        <f t="shared" si="69"/>
        <v/>
      </c>
      <c r="P473">
        <f t="shared" si="70"/>
        <v>0</v>
      </c>
      <c r="Q473" t="str">
        <f t="shared" si="71"/>
        <v/>
      </c>
    </row>
    <row r="474" spans="8:17">
      <c r="H474">
        <f t="shared" si="63"/>
        <v>0</v>
      </c>
      <c r="J474">
        <f t="shared" si="64"/>
        <v>0</v>
      </c>
      <c r="K474" t="str">
        <f t="shared" si="65"/>
        <v/>
      </c>
      <c r="L474" t="str">
        <f t="shared" si="66"/>
        <v/>
      </c>
      <c r="M474" t="str">
        <f t="shared" si="67"/>
        <v/>
      </c>
      <c r="N474">
        <f t="shared" si="68"/>
        <v>0</v>
      </c>
      <c r="O474" t="str">
        <f t="shared" si="69"/>
        <v/>
      </c>
      <c r="P474">
        <f t="shared" si="70"/>
        <v>0</v>
      </c>
      <c r="Q474" t="str">
        <f t="shared" si="71"/>
        <v/>
      </c>
    </row>
    <row r="475" spans="8:17">
      <c r="H475">
        <f t="shared" si="63"/>
        <v>0</v>
      </c>
      <c r="J475">
        <f t="shared" si="64"/>
        <v>0</v>
      </c>
      <c r="K475" t="str">
        <f t="shared" si="65"/>
        <v/>
      </c>
      <c r="L475" t="str">
        <f t="shared" si="66"/>
        <v/>
      </c>
      <c r="M475" t="str">
        <f t="shared" si="67"/>
        <v/>
      </c>
      <c r="N475">
        <f t="shared" si="68"/>
        <v>0</v>
      </c>
      <c r="O475" t="str">
        <f t="shared" si="69"/>
        <v/>
      </c>
      <c r="P475">
        <f t="shared" si="70"/>
        <v>0</v>
      </c>
      <c r="Q475" t="str">
        <f t="shared" si="71"/>
        <v/>
      </c>
    </row>
    <row r="476" spans="8:17">
      <c r="H476">
        <f t="shared" si="63"/>
        <v>0</v>
      </c>
      <c r="J476">
        <f t="shared" si="64"/>
        <v>0</v>
      </c>
      <c r="K476" t="str">
        <f t="shared" si="65"/>
        <v/>
      </c>
      <c r="L476" t="str">
        <f t="shared" si="66"/>
        <v/>
      </c>
      <c r="M476" t="str">
        <f t="shared" si="67"/>
        <v/>
      </c>
      <c r="N476">
        <f t="shared" si="68"/>
        <v>0</v>
      </c>
      <c r="O476" t="str">
        <f t="shared" si="69"/>
        <v/>
      </c>
      <c r="P476">
        <f t="shared" si="70"/>
        <v>0</v>
      </c>
      <c r="Q476" t="str">
        <f t="shared" si="71"/>
        <v/>
      </c>
    </row>
    <row r="477" spans="8:17">
      <c r="H477">
        <f t="shared" si="63"/>
        <v>0</v>
      </c>
      <c r="J477">
        <f t="shared" si="64"/>
        <v>0</v>
      </c>
      <c r="K477" t="str">
        <f t="shared" si="65"/>
        <v/>
      </c>
      <c r="L477" t="str">
        <f t="shared" si="66"/>
        <v/>
      </c>
      <c r="M477" t="str">
        <f t="shared" si="67"/>
        <v/>
      </c>
      <c r="N477">
        <f t="shared" si="68"/>
        <v>0</v>
      </c>
      <c r="O477" t="str">
        <f t="shared" si="69"/>
        <v/>
      </c>
      <c r="P477">
        <f t="shared" si="70"/>
        <v>0</v>
      </c>
      <c r="Q477" t="str">
        <f t="shared" si="71"/>
        <v/>
      </c>
    </row>
    <row r="478" spans="8:17">
      <c r="H478">
        <f t="shared" si="63"/>
        <v>0</v>
      </c>
      <c r="J478">
        <f t="shared" si="64"/>
        <v>0</v>
      </c>
      <c r="K478" t="str">
        <f t="shared" si="65"/>
        <v/>
      </c>
      <c r="L478" t="str">
        <f t="shared" si="66"/>
        <v/>
      </c>
      <c r="M478" t="str">
        <f t="shared" si="67"/>
        <v/>
      </c>
      <c r="N478">
        <f t="shared" si="68"/>
        <v>0</v>
      </c>
      <c r="O478" t="str">
        <f t="shared" si="69"/>
        <v/>
      </c>
      <c r="P478">
        <f t="shared" si="70"/>
        <v>0</v>
      </c>
      <c r="Q478" t="str">
        <f t="shared" si="71"/>
        <v/>
      </c>
    </row>
    <row r="479" spans="8:17">
      <c r="H479">
        <f t="shared" si="63"/>
        <v>0</v>
      </c>
      <c r="J479">
        <f t="shared" si="64"/>
        <v>0</v>
      </c>
      <c r="K479" t="str">
        <f t="shared" si="65"/>
        <v/>
      </c>
      <c r="L479" t="str">
        <f t="shared" si="66"/>
        <v/>
      </c>
      <c r="M479" t="str">
        <f t="shared" si="67"/>
        <v/>
      </c>
      <c r="N479">
        <f t="shared" si="68"/>
        <v>0</v>
      </c>
      <c r="O479" t="str">
        <f t="shared" si="69"/>
        <v/>
      </c>
      <c r="P479">
        <f t="shared" si="70"/>
        <v>0</v>
      </c>
      <c r="Q479" t="str">
        <f t="shared" si="71"/>
        <v/>
      </c>
    </row>
    <row r="480" spans="8:17">
      <c r="H480">
        <f t="shared" si="63"/>
        <v>0</v>
      </c>
      <c r="J480">
        <f t="shared" si="64"/>
        <v>0</v>
      </c>
      <c r="K480" t="str">
        <f t="shared" si="65"/>
        <v/>
      </c>
      <c r="L480" t="str">
        <f t="shared" si="66"/>
        <v/>
      </c>
      <c r="M480" t="str">
        <f t="shared" si="67"/>
        <v/>
      </c>
      <c r="N480">
        <f t="shared" si="68"/>
        <v>0</v>
      </c>
      <c r="O480" t="str">
        <f t="shared" si="69"/>
        <v/>
      </c>
      <c r="P480">
        <f t="shared" si="70"/>
        <v>0</v>
      </c>
      <c r="Q480" t="str">
        <f t="shared" si="71"/>
        <v/>
      </c>
    </row>
    <row r="481" spans="8:17">
      <c r="H481">
        <f t="shared" si="63"/>
        <v>0</v>
      </c>
      <c r="J481">
        <f t="shared" si="64"/>
        <v>0</v>
      </c>
      <c r="K481" t="str">
        <f t="shared" si="65"/>
        <v/>
      </c>
      <c r="L481" t="str">
        <f t="shared" si="66"/>
        <v/>
      </c>
      <c r="M481" t="str">
        <f t="shared" si="67"/>
        <v/>
      </c>
      <c r="N481">
        <f t="shared" si="68"/>
        <v>0</v>
      </c>
      <c r="O481" t="str">
        <f t="shared" si="69"/>
        <v/>
      </c>
      <c r="P481">
        <f t="shared" si="70"/>
        <v>0</v>
      </c>
      <c r="Q481" t="str">
        <f t="shared" si="71"/>
        <v/>
      </c>
    </row>
    <row r="482" spans="8:17">
      <c r="H482">
        <f t="shared" si="63"/>
        <v>0</v>
      </c>
      <c r="J482">
        <f t="shared" si="64"/>
        <v>0</v>
      </c>
      <c r="K482" t="str">
        <f t="shared" si="65"/>
        <v/>
      </c>
      <c r="L482" t="str">
        <f t="shared" si="66"/>
        <v/>
      </c>
      <c r="M482" t="str">
        <f t="shared" si="67"/>
        <v/>
      </c>
      <c r="N482">
        <f t="shared" si="68"/>
        <v>0</v>
      </c>
      <c r="O482" t="str">
        <f t="shared" si="69"/>
        <v/>
      </c>
      <c r="P482">
        <f t="shared" si="70"/>
        <v>0</v>
      </c>
      <c r="Q482" t="str">
        <f t="shared" si="71"/>
        <v/>
      </c>
    </row>
    <row r="483" spans="8:17">
      <c r="H483">
        <f t="shared" si="63"/>
        <v>0</v>
      </c>
      <c r="J483">
        <f t="shared" si="64"/>
        <v>0</v>
      </c>
      <c r="K483" t="str">
        <f t="shared" si="65"/>
        <v/>
      </c>
      <c r="L483" t="str">
        <f t="shared" si="66"/>
        <v/>
      </c>
      <c r="M483" t="str">
        <f t="shared" si="67"/>
        <v/>
      </c>
      <c r="N483">
        <f t="shared" si="68"/>
        <v>0</v>
      </c>
      <c r="O483" t="str">
        <f t="shared" si="69"/>
        <v/>
      </c>
      <c r="P483">
        <f t="shared" si="70"/>
        <v>0</v>
      </c>
      <c r="Q483" t="str">
        <f t="shared" si="71"/>
        <v/>
      </c>
    </row>
    <row r="484" spans="8:17">
      <c r="H484">
        <f t="shared" si="63"/>
        <v>0</v>
      </c>
      <c r="J484">
        <f t="shared" si="64"/>
        <v>0</v>
      </c>
      <c r="K484" t="str">
        <f t="shared" si="65"/>
        <v/>
      </c>
      <c r="L484" t="str">
        <f t="shared" si="66"/>
        <v/>
      </c>
      <c r="M484" t="str">
        <f t="shared" si="67"/>
        <v/>
      </c>
      <c r="N484">
        <f t="shared" si="68"/>
        <v>0</v>
      </c>
      <c r="O484" t="str">
        <f t="shared" si="69"/>
        <v/>
      </c>
      <c r="P484">
        <f t="shared" si="70"/>
        <v>0</v>
      </c>
      <c r="Q484" t="str">
        <f t="shared" si="71"/>
        <v/>
      </c>
    </row>
    <row r="485" spans="8:17">
      <c r="H485">
        <f t="shared" si="63"/>
        <v>0</v>
      </c>
      <c r="J485">
        <f t="shared" si="64"/>
        <v>0</v>
      </c>
      <c r="K485" t="str">
        <f t="shared" si="65"/>
        <v/>
      </c>
      <c r="L485" t="str">
        <f t="shared" si="66"/>
        <v/>
      </c>
      <c r="M485" t="str">
        <f t="shared" si="67"/>
        <v/>
      </c>
      <c r="N485">
        <f t="shared" si="68"/>
        <v>0</v>
      </c>
      <c r="O485" t="str">
        <f t="shared" si="69"/>
        <v/>
      </c>
      <c r="P485">
        <f t="shared" si="70"/>
        <v>0</v>
      </c>
      <c r="Q485" t="str">
        <f t="shared" si="71"/>
        <v/>
      </c>
    </row>
    <row r="486" spans="8:17">
      <c r="H486">
        <f t="shared" si="63"/>
        <v>0</v>
      </c>
      <c r="J486">
        <f t="shared" si="64"/>
        <v>0</v>
      </c>
      <c r="K486" t="str">
        <f t="shared" si="65"/>
        <v/>
      </c>
      <c r="L486" t="str">
        <f t="shared" si="66"/>
        <v/>
      </c>
      <c r="M486" t="str">
        <f t="shared" si="67"/>
        <v/>
      </c>
      <c r="N486">
        <f t="shared" si="68"/>
        <v>0</v>
      </c>
      <c r="O486" t="str">
        <f t="shared" si="69"/>
        <v/>
      </c>
      <c r="P486">
        <f t="shared" si="70"/>
        <v>0</v>
      </c>
      <c r="Q486" t="str">
        <f t="shared" si="71"/>
        <v/>
      </c>
    </row>
    <row r="487" spans="8:17">
      <c r="H487">
        <f t="shared" si="63"/>
        <v>0</v>
      </c>
      <c r="J487">
        <f t="shared" si="64"/>
        <v>0</v>
      </c>
      <c r="K487" t="str">
        <f t="shared" si="65"/>
        <v/>
      </c>
      <c r="L487" t="str">
        <f t="shared" si="66"/>
        <v/>
      </c>
      <c r="M487" t="str">
        <f t="shared" si="67"/>
        <v/>
      </c>
      <c r="N487">
        <f t="shared" si="68"/>
        <v>0</v>
      </c>
      <c r="O487" t="str">
        <f t="shared" si="69"/>
        <v/>
      </c>
      <c r="P487">
        <f t="shared" si="70"/>
        <v>0</v>
      </c>
      <c r="Q487" t="str">
        <f t="shared" si="71"/>
        <v/>
      </c>
    </row>
    <row r="488" spans="8:17">
      <c r="H488">
        <f t="shared" si="63"/>
        <v>0</v>
      </c>
      <c r="J488">
        <f t="shared" si="64"/>
        <v>0</v>
      </c>
      <c r="K488" t="str">
        <f t="shared" si="65"/>
        <v/>
      </c>
      <c r="L488" t="str">
        <f t="shared" si="66"/>
        <v/>
      </c>
      <c r="M488" t="str">
        <f t="shared" si="67"/>
        <v/>
      </c>
      <c r="N488">
        <f t="shared" si="68"/>
        <v>0</v>
      </c>
      <c r="O488" t="str">
        <f t="shared" si="69"/>
        <v/>
      </c>
      <c r="P488">
        <f t="shared" si="70"/>
        <v>0</v>
      </c>
      <c r="Q488" t="str">
        <f t="shared" si="71"/>
        <v/>
      </c>
    </row>
    <row r="489" spans="8:17">
      <c r="H489">
        <f t="shared" si="63"/>
        <v>0</v>
      </c>
      <c r="J489">
        <f t="shared" si="64"/>
        <v>0</v>
      </c>
      <c r="K489" t="str">
        <f t="shared" si="65"/>
        <v/>
      </c>
      <c r="L489" t="str">
        <f t="shared" si="66"/>
        <v/>
      </c>
      <c r="M489" t="str">
        <f t="shared" si="67"/>
        <v/>
      </c>
      <c r="N489">
        <f t="shared" si="68"/>
        <v>0</v>
      </c>
      <c r="O489" t="str">
        <f t="shared" si="69"/>
        <v/>
      </c>
      <c r="P489">
        <f t="shared" si="70"/>
        <v>0</v>
      </c>
      <c r="Q489" t="str">
        <f t="shared" si="71"/>
        <v/>
      </c>
    </row>
    <row r="490" spans="8:17">
      <c r="H490">
        <f t="shared" si="63"/>
        <v>0</v>
      </c>
      <c r="J490">
        <f t="shared" si="64"/>
        <v>0</v>
      </c>
      <c r="K490" t="str">
        <f t="shared" si="65"/>
        <v/>
      </c>
      <c r="L490" t="str">
        <f t="shared" si="66"/>
        <v/>
      </c>
      <c r="M490" t="str">
        <f t="shared" si="67"/>
        <v/>
      </c>
      <c r="N490">
        <f t="shared" si="68"/>
        <v>0</v>
      </c>
      <c r="O490" t="str">
        <f t="shared" si="69"/>
        <v/>
      </c>
      <c r="P490">
        <f t="shared" si="70"/>
        <v>0</v>
      </c>
      <c r="Q490" t="str">
        <f t="shared" si="71"/>
        <v/>
      </c>
    </row>
    <row r="491" spans="8:17">
      <c r="H491">
        <f t="shared" si="63"/>
        <v>0</v>
      </c>
      <c r="J491">
        <f t="shared" si="64"/>
        <v>0</v>
      </c>
      <c r="K491" t="str">
        <f t="shared" si="65"/>
        <v/>
      </c>
      <c r="L491" t="str">
        <f t="shared" si="66"/>
        <v/>
      </c>
      <c r="M491" t="str">
        <f t="shared" si="67"/>
        <v/>
      </c>
      <c r="N491">
        <f t="shared" si="68"/>
        <v>0</v>
      </c>
      <c r="O491" t="str">
        <f t="shared" si="69"/>
        <v/>
      </c>
      <c r="P491">
        <f t="shared" si="70"/>
        <v>0</v>
      </c>
      <c r="Q491" t="str">
        <f t="shared" si="71"/>
        <v/>
      </c>
    </row>
    <row r="492" spans="8:17">
      <c r="H492">
        <f t="shared" si="63"/>
        <v>0</v>
      </c>
      <c r="J492">
        <f t="shared" si="64"/>
        <v>0</v>
      </c>
      <c r="K492" t="str">
        <f t="shared" si="65"/>
        <v/>
      </c>
      <c r="L492" t="str">
        <f t="shared" si="66"/>
        <v/>
      </c>
      <c r="M492" t="str">
        <f t="shared" si="67"/>
        <v/>
      </c>
      <c r="N492">
        <f t="shared" si="68"/>
        <v>0</v>
      </c>
      <c r="O492" t="str">
        <f t="shared" si="69"/>
        <v/>
      </c>
      <c r="P492">
        <f t="shared" si="70"/>
        <v>0</v>
      </c>
      <c r="Q492" t="str">
        <f t="shared" si="71"/>
        <v/>
      </c>
    </row>
    <row r="493" spans="8:17">
      <c r="H493">
        <f t="shared" si="63"/>
        <v>0</v>
      </c>
      <c r="J493">
        <f t="shared" si="64"/>
        <v>0</v>
      </c>
      <c r="K493" t="str">
        <f t="shared" si="65"/>
        <v/>
      </c>
      <c r="L493" t="str">
        <f t="shared" si="66"/>
        <v/>
      </c>
      <c r="M493" t="str">
        <f t="shared" si="67"/>
        <v/>
      </c>
      <c r="N493">
        <f t="shared" si="68"/>
        <v>0</v>
      </c>
      <c r="O493" t="str">
        <f t="shared" si="69"/>
        <v/>
      </c>
      <c r="P493">
        <f t="shared" si="70"/>
        <v>0</v>
      </c>
      <c r="Q493" t="str">
        <f t="shared" si="71"/>
        <v/>
      </c>
    </row>
    <row r="494" spans="8:17">
      <c r="H494">
        <f t="shared" si="63"/>
        <v>0</v>
      </c>
      <c r="J494">
        <f t="shared" si="64"/>
        <v>0</v>
      </c>
      <c r="K494" t="str">
        <f t="shared" si="65"/>
        <v/>
      </c>
      <c r="L494" t="str">
        <f t="shared" si="66"/>
        <v/>
      </c>
      <c r="M494" t="str">
        <f t="shared" si="67"/>
        <v/>
      </c>
      <c r="N494">
        <f t="shared" si="68"/>
        <v>0</v>
      </c>
      <c r="O494" t="str">
        <f t="shared" si="69"/>
        <v/>
      </c>
      <c r="P494">
        <f t="shared" si="70"/>
        <v>0</v>
      </c>
      <c r="Q494" t="str">
        <f t="shared" si="71"/>
        <v/>
      </c>
    </row>
    <row r="495" spans="8:17">
      <c r="H495">
        <f t="shared" si="63"/>
        <v>0</v>
      </c>
      <c r="J495">
        <f t="shared" si="64"/>
        <v>0</v>
      </c>
      <c r="K495" t="str">
        <f t="shared" si="65"/>
        <v/>
      </c>
      <c r="L495" t="str">
        <f t="shared" si="66"/>
        <v/>
      </c>
      <c r="M495" t="str">
        <f t="shared" si="67"/>
        <v/>
      </c>
      <c r="N495">
        <f t="shared" si="68"/>
        <v>0</v>
      </c>
      <c r="O495" t="str">
        <f t="shared" si="69"/>
        <v/>
      </c>
      <c r="P495">
        <f t="shared" si="70"/>
        <v>0</v>
      </c>
      <c r="Q495" t="str">
        <f t="shared" si="71"/>
        <v/>
      </c>
    </row>
    <row r="496" spans="8:17">
      <c r="H496">
        <f t="shared" si="63"/>
        <v>0</v>
      </c>
      <c r="J496">
        <f t="shared" si="64"/>
        <v>0</v>
      </c>
      <c r="K496" t="str">
        <f t="shared" si="65"/>
        <v/>
      </c>
      <c r="L496" t="str">
        <f t="shared" si="66"/>
        <v/>
      </c>
      <c r="M496" t="str">
        <f t="shared" si="67"/>
        <v/>
      </c>
      <c r="N496">
        <f t="shared" si="68"/>
        <v>0</v>
      </c>
      <c r="O496" t="str">
        <f t="shared" si="69"/>
        <v/>
      </c>
      <c r="P496">
        <f t="shared" si="70"/>
        <v>0</v>
      </c>
      <c r="Q496" t="str">
        <f t="shared" si="71"/>
        <v/>
      </c>
    </row>
    <row r="497" spans="8:17">
      <c r="H497">
        <f t="shared" si="63"/>
        <v>0</v>
      </c>
      <c r="J497">
        <f t="shared" si="64"/>
        <v>0</v>
      </c>
      <c r="K497" t="str">
        <f t="shared" si="65"/>
        <v/>
      </c>
      <c r="L497" t="str">
        <f t="shared" si="66"/>
        <v/>
      </c>
      <c r="M497" t="str">
        <f t="shared" si="67"/>
        <v/>
      </c>
      <c r="N497">
        <f t="shared" si="68"/>
        <v>0</v>
      </c>
      <c r="O497" t="str">
        <f t="shared" si="69"/>
        <v/>
      </c>
      <c r="P497">
        <f t="shared" si="70"/>
        <v>0</v>
      </c>
      <c r="Q497" t="str">
        <f t="shared" si="71"/>
        <v/>
      </c>
    </row>
    <row r="498" spans="8:17">
      <c r="H498">
        <f t="shared" si="63"/>
        <v>0</v>
      </c>
      <c r="J498">
        <f t="shared" si="64"/>
        <v>0</v>
      </c>
      <c r="K498" t="str">
        <f t="shared" si="65"/>
        <v/>
      </c>
      <c r="L498" t="str">
        <f t="shared" si="66"/>
        <v/>
      </c>
      <c r="M498" t="str">
        <f t="shared" si="67"/>
        <v/>
      </c>
      <c r="N498">
        <f t="shared" si="68"/>
        <v>0</v>
      </c>
      <c r="O498" t="str">
        <f t="shared" si="69"/>
        <v/>
      </c>
      <c r="P498">
        <f t="shared" si="70"/>
        <v>0</v>
      </c>
      <c r="Q498" t="str">
        <f t="shared" si="71"/>
        <v/>
      </c>
    </row>
    <row r="499" spans="8:17">
      <c r="H499">
        <f t="shared" si="63"/>
        <v>0</v>
      </c>
      <c r="J499">
        <f t="shared" si="64"/>
        <v>0</v>
      </c>
      <c r="K499" t="str">
        <f t="shared" si="65"/>
        <v/>
      </c>
      <c r="L499" t="str">
        <f t="shared" si="66"/>
        <v/>
      </c>
      <c r="M499" t="str">
        <f t="shared" si="67"/>
        <v/>
      </c>
      <c r="N499">
        <f t="shared" si="68"/>
        <v>0</v>
      </c>
      <c r="O499" t="str">
        <f t="shared" si="69"/>
        <v/>
      </c>
      <c r="P499">
        <f t="shared" si="70"/>
        <v>0</v>
      </c>
      <c r="Q499" t="str">
        <f t="shared" si="71"/>
        <v/>
      </c>
    </row>
    <row r="500" spans="8:17">
      <c r="H500">
        <f t="shared" si="63"/>
        <v>0</v>
      </c>
      <c r="J500">
        <f t="shared" si="64"/>
        <v>0</v>
      </c>
      <c r="K500" t="str">
        <f t="shared" si="65"/>
        <v/>
      </c>
      <c r="L500" t="str">
        <f t="shared" si="66"/>
        <v/>
      </c>
      <c r="M500" t="str">
        <f t="shared" si="67"/>
        <v/>
      </c>
      <c r="N500">
        <f t="shared" si="68"/>
        <v>0</v>
      </c>
      <c r="O500" t="str">
        <f t="shared" si="69"/>
        <v/>
      </c>
      <c r="P500">
        <f t="shared" si="70"/>
        <v>0</v>
      </c>
      <c r="Q500" t="str">
        <f t="shared" si="71"/>
        <v/>
      </c>
    </row>
    <row r="501" spans="8:17">
      <c r="H501">
        <f t="shared" si="63"/>
        <v>0</v>
      </c>
      <c r="J501">
        <f t="shared" si="64"/>
        <v>0</v>
      </c>
      <c r="K501" t="str">
        <f>IF($C501="","",IFERROR(VALUE(MID($C501,2,99)),""))</f>
        <v/>
      </c>
      <c r="L501" t="str">
        <f t="shared" si="66"/>
        <v/>
      </c>
      <c r="M501" t="str">
        <f>IF($E501="AISLE_FLOOR",0,IF($E501="OVERFLOW",0,IF($E501="ENDCAP",0,"")))</f>
        <v/>
      </c>
      <c r="N501">
        <f t="shared" si="68"/>
        <v>0</v>
      </c>
      <c r="O501" t="str">
        <f t="shared" si="69"/>
        <v/>
      </c>
      <c r="P501">
        <f t="shared" si="70"/>
        <v>0</v>
      </c>
      <c r="Q501" t="str">
        <f t="shared" si="71"/>
        <v/>
      </c>
    </row>
  </sheetData>
  <conditionalFormatting sqref="A133">
    <cfRule type="expression" dxfId="70" priority="1" stopIfTrue="1">
      <formula>AND(TRIM($A133)="",OR($B133&lt;&gt;"",$C133&lt;&gt;"",$D133&lt;&gt;"",$E133&lt;&gt;"",$F133&lt;&gt;"",$I133&lt;&gt;""))</formula>
    </cfRule>
    <cfRule type="expression" dxfId="69" priority="2">
      <formula>AND(TRIM($A133)&lt;&gt;"",COUNTIF($A$2:$A$2002,$A133)&gt;1)</formula>
    </cfRule>
  </conditionalFormatting>
  <conditionalFormatting sqref="A2:I132 A134:I2002">
    <cfRule type="expression" dxfId="68" priority="3" stopIfTrue="1">
      <formula>AND(TRIM($A2)="",OR($B2&lt;&gt;"",$C2&lt;&gt;"",$D2&lt;&gt;"",$E2&lt;&gt;"",$F2&lt;&gt;"",$I2&lt;&gt;""))</formula>
    </cfRule>
    <cfRule type="expression" dxfId="67" priority="4">
      <formula>AND(TRIM($A2)&lt;&gt;"",COUNTIF($A$2:$A$2002,$A2)&gt;1)</formula>
    </cfRule>
  </conditionalFormatting>
  <conditionalFormatting sqref="B133:I133">
    <cfRule type="expression" dxfId="66" priority="116" stopIfTrue="1">
      <formula>AND(TRIM(#REF!)="",OR($B133&lt;&gt;"",$C133&lt;&gt;"",$D133&lt;&gt;"",$E133&lt;&gt;"",$F133&lt;&gt;"",$I133&lt;&gt;""))</formula>
    </cfRule>
    <cfRule type="expression" dxfId="65" priority="117">
      <formula>AND(TRIM(#REF!)&lt;&gt;"",COUNTIF($A$2:$A$2002,#REF!)&gt;1)</formula>
    </cfRule>
  </conditionalFormatting>
  <dataValidations count="6">
    <dataValidation type="list" allowBlank="1" sqref="E2:E500" xr:uid="{00000000-0002-0000-0200-000000000000}">
      <formula1>"ENDCAP,CAGE,STAGE_IN,STAGE_OUT,QUARANTINE,OVERFLOW,AISLE_FLOOR"</formula1>
    </dataValidation>
    <dataValidation type="whole" allowBlank="1" sqref="F2:F500" xr:uid="{00000000-0002-0000-0200-000001000000}">
      <formula1>1</formula1>
      <formula2>5</formula2>
    </dataValidation>
    <dataValidation type="whole" allowBlank="1" sqref="G2:G500" xr:uid="{00000000-0002-0000-0200-000002000000}">
      <formula1>0</formula1>
      <formula2>365</formula2>
    </dataValidation>
    <dataValidation type="custom" allowBlank="1" showInputMessage="1" showErrorMessage="1" sqref="H2:H1048576 J2:Q1048576" xr:uid="{00000000-0002-0000-02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200-000004000000}">
      <formula1>FALSE</formula1>
    </dataValidation>
    <dataValidation allowBlank="1" showInputMessage="1" showErrorMessage="1" errorTitle="Automated field, foo 🤡" error="Skedaddle 💨. Don't overwrite formulas 😄" sqref="A2:A347" xr:uid="{C44CDEC4-CFC3-467B-B5F7-04185222526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4" t="s">
        <v>936</v>
      </c>
      <c r="B1" s="54" t="s">
        <v>937</v>
      </c>
      <c r="C1" s="54" t="s">
        <v>63</v>
      </c>
      <c r="D1" s="54" t="s">
        <v>938</v>
      </c>
      <c r="E1" s="54" t="s">
        <v>939</v>
      </c>
      <c r="F1" s="54" t="s">
        <v>940</v>
      </c>
      <c r="G1" s="54" t="s">
        <v>941</v>
      </c>
      <c r="H1" s="54" t="s">
        <v>942</v>
      </c>
      <c r="I1" s="54" t="s">
        <v>943</v>
      </c>
      <c r="J1" s="54" t="s">
        <v>72</v>
      </c>
    </row>
    <row r="2" spans="1:10">
      <c r="A2" s="38">
        <v>46052.375</v>
      </c>
      <c r="B2" t="s">
        <v>944</v>
      </c>
      <c r="C2" t="s">
        <v>945</v>
      </c>
      <c r="D2" t="str">
        <f ca="1">IF($C2="","",IFERROR(LOOKUP(2,1/($C$2:INDEX($C:$C,ROW()-1)=$C2),$E$2:INDEX($E:$E,ROW()-1)),IFERROR(VLOOKUP($C2,'01_Warehouse_Ledger'!$A$2:$C$2002,3,FALSE),"")))</f>
        <v>WH-Z1-A01-AISLE-FLOOR-02</v>
      </c>
      <c r="E2" t="s">
        <v>946</v>
      </c>
      <c r="G2" s="41"/>
      <c r="H2" t="s">
        <v>104</v>
      </c>
      <c r="I2" t="s">
        <v>947</v>
      </c>
      <c r="J2" t="s">
        <v>948</v>
      </c>
    </row>
    <row r="3" spans="1:10">
      <c r="A3" s="38">
        <v>46052.379861111112</v>
      </c>
      <c r="B3" t="s">
        <v>944</v>
      </c>
      <c r="C3" t="s">
        <v>949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99</v>
      </c>
      <c r="G3" s="41"/>
      <c r="H3" t="s">
        <v>104</v>
      </c>
      <c r="I3" t="s">
        <v>950</v>
      </c>
      <c r="J3" t="s">
        <v>948</v>
      </c>
    </row>
    <row r="4" spans="1:10">
      <c r="A4" s="38">
        <v>46052.384722222218</v>
      </c>
      <c r="B4" t="s">
        <v>944</v>
      </c>
      <c r="C4" t="s">
        <v>951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108</v>
      </c>
      <c r="G4" s="41"/>
      <c r="H4" t="s">
        <v>104</v>
      </c>
      <c r="I4" t="s">
        <v>952</v>
      </c>
      <c r="J4" t="s">
        <v>948</v>
      </c>
    </row>
    <row r="5" spans="1:10">
      <c r="A5" s="38">
        <v>46052.38958333333</v>
      </c>
      <c r="B5" t="s">
        <v>944</v>
      </c>
      <c r="C5" t="s">
        <v>953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108</v>
      </c>
      <c r="G5" s="41"/>
      <c r="H5" t="s">
        <v>104</v>
      </c>
      <c r="I5" t="s">
        <v>954</v>
      </c>
      <c r="J5" t="s">
        <v>948</v>
      </c>
    </row>
    <row r="6" spans="1:10">
      <c r="A6" s="38">
        <v>46052.394444444442</v>
      </c>
      <c r="B6" t="s">
        <v>944</v>
      </c>
      <c r="C6" t="s">
        <v>955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956</v>
      </c>
      <c r="G6" s="41"/>
      <c r="H6" t="s">
        <v>104</v>
      </c>
      <c r="I6" t="s">
        <v>957</v>
      </c>
      <c r="J6" t="s">
        <v>948</v>
      </c>
    </row>
    <row r="7" spans="1:10">
      <c r="A7" s="38">
        <v>46052.399305555547</v>
      </c>
      <c r="B7" t="s">
        <v>944</v>
      </c>
      <c r="C7" t="s">
        <v>958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959</v>
      </c>
      <c r="G7" s="41"/>
      <c r="H7" t="s">
        <v>104</v>
      </c>
      <c r="I7" t="s">
        <v>960</v>
      </c>
      <c r="J7" t="s">
        <v>948</v>
      </c>
    </row>
    <row r="8" spans="1:10">
      <c r="A8" s="38">
        <v>46052.404166666667</v>
      </c>
      <c r="B8" t="s">
        <v>944</v>
      </c>
      <c r="C8" t="s">
        <v>961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962</v>
      </c>
      <c r="G8" s="41"/>
      <c r="H8" t="s">
        <v>104</v>
      </c>
      <c r="I8" t="s">
        <v>963</v>
      </c>
      <c r="J8" t="s">
        <v>948</v>
      </c>
    </row>
    <row r="9" spans="1:10">
      <c r="A9" s="38">
        <v>46052.40902777778</v>
      </c>
      <c r="B9" t="s">
        <v>944</v>
      </c>
      <c r="C9" t="s">
        <v>964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965</v>
      </c>
      <c r="G9" s="41"/>
      <c r="H9" t="s">
        <v>104</v>
      </c>
      <c r="I9" t="s">
        <v>966</v>
      </c>
      <c r="J9" t="s">
        <v>948</v>
      </c>
    </row>
    <row r="10" spans="1:10">
      <c r="A10" s="38">
        <v>46052.413888888892</v>
      </c>
      <c r="B10" t="s">
        <v>944</v>
      </c>
      <c r="C10" t="s">
        <v>967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968</v>
      </c>
      <c r="G10" s="41"/>
      <c r="H10" t="s">
        <v>104</v>
      </c>
      <c r="I10" t="s">
        <v>969</v>
      </c>
      <c r="J10" t="s">
        <v>948</v>
      </c>
    </row>
    <row r="11" spans="1:10">
      <c r="A11" s="38">
        <v>46052.418749999997</v>
      </c>
      <c r="B11" t="s">
        <v>944</v>
      </c>
      <c r="C11" t="s">
        <v>970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971</v>
      </c>
      <c r="G11" s="41"/>
      <c r="H11" t="s">
        <v>104</v>
      </c>
      <c r="I11" t="s">
        <v>972</v>
      </c>
      <c r="J11" t="s">
        <v>948</v>
      </c>
    </row>
    <row r="12" spans="1:10">
      <c r="A12" s="38">
        <v>46052.423611111109</v>
      </c>
      <c r="B12" t="s">
        <v>944</v>
      </c>
      <c r="C12" t="s">
        <v>973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974</v>
      </c>
      <c r="G12" s="41"/>
      <c r="H12" t="s">
        <v>104</v>
      </c>
      <c r="I12" t="s">
        <v>975</v>
      </c>
      <c r="J12" t="s">
        <v>948</v>
      </c>
    </row>
    <row r="13" spans="1:10">
      <c r="A13" s="38">
        <v>46052.428472222222</v>
      </c>
      <c r="B13" t="s">
        <v>944</v>
      </c>
      <c r="C13" t="s">
        <v>976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977</v>
      </c>
      <c r="G13" s="41"/>
      <c r="H13" t="s">
        <v>104</v>
      </c>
      <c r="I13" t="s">
        <v>978</v>
      </c>
      <c r="J13" t="s">
        <v>948</v>
      </c>
    </row>
    <row r="14" spans="1:10">
      <c r="A14" s="38">
        <v>46052.433333333327</v>
      </c>
      <c r="B14" t="s">
        <v>944</v>
      </c>
      <c r="C14" t="s">
        <v>979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980</v>
      </c>
      <c r="G14" s="41"/>
      <c r="H14" t="s">
        <v>104</v>
      </c>
      <c r="I14" t="s">
        <v>981</v>
      </c>
      <c r="J14" t="s">
        <v>948</v>
      </c>
    </row>
    <row r="15" spans="1:10">
      <c r="A15" s="38">
        <v>46052.438194444447</v>
      </c>
      <c r="B15" t="s">
        <v>944</v>
      </c>
      <c r="C15" t="s">
        <v>982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983</v>
      </c>
      <c r="G15" s="41"/>
      <c r="H15" t="s">
        <v>104</v>
      </c>
      <c r="I15" t="s">
        <v>984</v>
      </c>
      <c r="J15" t="s">
        <v>948</v>
      </c>
    </row>
    <row r="16" spans="1:10">
      <c r="A16" s="38">
        <v>46052.443055555559</v>
      </c>
      <c r="B16" t="s">
        <v>944</v>
      </c>
      <c r="C16" t="s">
        <v>985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986</v>
      </c>
      <c r="G16" s="41"/>
      <c r="H16" t="s">
        <v>104</v>
      </c>
      <c r="I16" t="s">
        <v>987</v>
      </c>
      <c r="J16" t="s">
        <v>948</v>
      </c>
    </row>
    <row r="17" spans="1:10">
      <c r="A17" s="38">
        <v>46052.447916666657</v>
      </c>
      <c r="B17" t="s">
        <v>944</v>
      </c>
      <c r="C17" t="s">
        <v>988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989</v>
      </c>
      <c r="G17" s="41"/>
      <c r="H17" t="s">
        <v>104</v>
      </c>
      <c r="I17" t="s">
        <v>990</v>
      </c>
      <c r="J17" t="s">
        <v>948</v>
      </c>
    </row>
    <row r="18" spans="1:10">
      <c r="A18" s="38">
        <v>46052.452777777777</v>
      </c>
      <c r="B18" t="s">
        <v>944</v>
      </c>
      <c r="C18" t="s">
        <v>991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992</v>
      </c>
      <c r="G18" s="41"/>
      <c r="H18" t="s">
        <v>104</v>
      </c>
      <c r="I18" t="s">
        <v>993</v>
      </c>
      <c r="J18" t="s">
        <v>948</v>
      </c>
    </row>
    <row r="19" spans="1:10">
      <c r="A19" s="38">
        <v>46052.457638888889</v>
      </c>
      <c r="B19" t="s">
        <v>944</v>
      </c>
      <c r="C19" t="s">
        <v>994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995</v>
      </c>
      <c r="G19" s="41"/>
      <c r="H19" t="s">
        <v>104</v>
      </c>
      <c r="I19" t="s">
        <v>996</v>
      </c>
      <c r="J19" t="s">
        <v>948</v>
      </c>
    </row>
    <row r="20" spans="1:10">
      <c r="A20" s="38">
        <v>46052.462500000001</v>
      </c>
      <c r="B20" t="s">
        <v>944</v>
      </c>
      <c r="C20" t="s">
        <v>997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998</v>
      </c>
      <c r="G20" s="41"/>
      <c r="H20" t="s">
        <v>104</v>
      </c>
      <c r="I20" t="s">
        <v>999</v>
      </c>
      <c r="J20" t="s">
        <v>948</v>
      </c>
    </row>
    <row r="21" spans="1:10">
      <c r="A21" s="38">
        <v>46052.467361111107</v>
      </c>
      <c r="B21" t="s">
        <v>944</v>
      </c>
      <c r="C21" t="s">
        <v>1000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1001</v>
      </c>
      <c r="G21" s="41"/>
      <c r="H21" t="s">
        <v>104</v>
      </c>
      <c r="I21" t="s">
        <v>1002</v>
      </c>
      <c r="J21" t="s">
        <v>948</v>
      </c>
    </row>
    <row r="22" spans="1:10">
      <c r="A22" s="38">
        <v>46052.472222222219</v>
      </c>
      <c r="B22" t="s">
        <v>944</v>
      </c>
      <c r="C22" t="s">
        <v>1003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1004</v>
      </c>
      <c r="G22" s="41"/>
      <c r="H22" t="s">
        <v>104</v>
      </c>
      <c r="I22" t="s">
        <v>1005</v>
      </c>
      <c r="J22" t="s">
        <v>948</v>
      </c>
    </row>
    <row r="23" spans="1:10">
      <c r="A23" s="38">
        <v>46052.477083333331</v>
      </c>
      <c r="B23" t="s">
        <v>944</v>
      </c>
      <c r="C23" t="s">
        <v>1006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1007</v>
      </c>
      <c r="G23" s="41"/>
      <c r="H23" t="s">
        <v>104</v>
      </c>
      <c r="I23" t="s">
        <v>1008</v>
      </c>
      <c r="J23" t="s">
        <v>948</v>
      </c>
    </row>
    <row r="24" spans="1:10">
      <c r="A24" s="38">
        <v>46052.481944444437</v>
      </c>
      <c r="B24" t="s">
        <v>944</v>
      </c>
      <c r="C24" t="s">
        <v>1009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1010</v>
      </c>
      <c r="G24" s="41"/>
      <c r="H24" t="s">
        <v>104</v>
      </c>
      <c r="I24" t="s">
        <v>1011</v>
      </c>
      <c r="J24" t="s">
        <v>948</v>
      </c>
    </row>
    <row r="25" spans="1:10">
      <c r="A25" s="38">
        <v>46052.486805555563</v>
      </c>
      <c r="B25" t="s">
        <v>944</v>
      </c>
      <c r="C25" t="s">
        <v>1012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1013</v>
      </c>
      <c r="G25" s="41"/>
      <c r="H25" t="s">
        <v>104</v>
      </c>
      <c r="I25" t="s">
        <v>1014</v>
      </c>
      <c r="J25" t="s">
        <v>948</v>
      </c>
    </row>
    <row r="26" spans="1:10">
      <c r="A26" s="38">
        <v>46052.491666666669</v>
      </c>
      <c r="B26" t="s">
        <v>944</v>
      </c>
      <c r="C26" t="s">
        <v>1015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1016</v>
      </c>
      <c r="G26" s="41"/>
      <c r="H26" t="s">
        <v>104</v>
      </c>
      <c r="I26" t="s">
        <v>1017</v>
      </c>
      <c r="J26" t="s">
        <v>948</v>
      </c>
    </row>
    <row r="27" spans="1:10">
      <c r="A27" s="38">
        <v>46052.496527777781</v>
      </c>
      <c r="B27" t="s">
        <v>944</v>
      </c>
      <c r="C27" t="s">
        <v>1018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1019</v>
      </c>
      <c r="G27" s="41"/>
      <c r="H27" t="s">
        <v>104</v>
      </c>
      <c r="I27" t="s">
        <v>1020</v>
      </c>
      <c r="J27" t="s">
        <v>948</v>
      </c>
    </row>
    <row r="28" spans="1:10">
      <c r="A28" s="38">
        <v>46052.501388888893</v>
      </c>
      <c r="B28" t="s">
        <v>944</v>
      </c>
      <c r="C28" t="s">
        <v>1021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1022</v>
      </c>
      <c r="G28" s="41"/>
      <c r="H28" t="s">
        <v>104</v>
      </c>
      <c r="I28" t="s">
        <v>1023</v>
      </c>
      <c r="J28" t="s">
        <v>948</v>
      </c>
    </row>
    <row r="29" spans="1:10">
      <c r="A29" s="38">
        <v>46052.506249999999</v>
      </c>
      <c r="B29" t="s">
        <v>944</v>
      </c>
      <c r="C29" t="s">
        <v>1024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1025</v>
      </c>
      <c r="G29" s="41"/>
      <c r="H29" t="s">
        <v>104</v>
      </c>
      <c r="I29" t="s">
        <v>1026</v>
      </c>
      <c r="J29" t="s">
        <v>948</v>
      </c>
    </row>
    <row r="30" spans="1:10">
      <c r="A30" s="38">
        <v>46052.511111111111</v>
      </c>
      <c r="B30" t="s">
        <v>944</v>
      </c>
      <c r="C30" t="s">
        <v>1027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1028</v>
      </c>
      <c r="G30" s="41"/>
      <c r="H30" t="s">
        <v>104</v>
      </c>
      <c r="I30" t="s">
        <v>1029</v>
      </c>
      <c r="J30" t="s">
        <v>948</v>
      </c>
    </row>
    <row r="31" spans="1:10">
      <c r="A31" s="38">
        <v>46052.515972222223</v>
      </c>
      <c r="B31" t="s">
        <v>944</v>
      </c>
      <c r="C31" t="s">
        <v>1030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1031</v>
      </c>
      <c r="G31" s="41"/>
      <c r="H31" t="s">
        <v>104</v>
      </c>
      <c r="I31" t="s">
        <v>1032</v>
      </c>
      <c r="J31" t="s">
        <v>948</v>
      </c>
    </row>
    <row r="32" spans="1:10">
      <c r="A32" s="38">
        <v>46052.520833333343</v>
      </c>
      <c r="B32" t="s">
        <v>944</v>
      </c>
      <c r="C32" t="s">
        <v>1033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1034</v>
      </c>
      <c r="G32" s="41"/>
      <c r="H32" t="s">
        <v>104</v>
      </c>
      <c r="I32" t="s">
        <v>1035</v>
      </c>
      <c r="J32" t="s">
        <v>948</v>
      </c>
    </row>
    <row r="33" spans="1:10">
      <c r="A33" s="38">
        <v>46052.525694444441</v>
      </c>
      <c r="B33" t="s">
        <v>944</v>
      </c>
      <c r="C33" t="s">
        <v>1036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1037</v>
      </c>
      <c r="G33" s="41"/>
      <c r="H33" t="s">
        <v>104</v>
      </c>
      <c r="I33" t="s">
        <v>1038</v>
      </c>
      <c r="J33" t="s">
        <v>948</v>
      </c>
    </row>
    <row r="34" spans="1:10">
      <c r="A34" s="38">
        <v>46052.530555555553</v>
      </c>
      <c r="B34" t="s">
        <v>944</v>
      </c>
      <c r="C34" t="s">
        <v>1039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1040</v>
      </c>
      <c r="G34" s="41"/>
      <c r="H34" t="s">
        <v>104</v>
      </c>
      <c r="I34" t="s">
        <v>1041</v>
      </c>
      <c r="J34" t="s">
        <v>948</v>
      </c>
    </row>
    <row r="35" spans="1:10">
      <c r="A35" s="38">
        <v>46052.535416666673</v>
      </c>
      <c r="B35" t="s">
        <v>944</v>
      </c>
      <c r="C35" t="s">
        <v>1042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1043</v>
      </c>
      <c r="G35" s="41"/>
      <c r="H35" t="s">
        <v>104</v>
      </c>
      <c r="I35" t="s">
        <v>1044</v>
      </c>
      <c r="J35" t="s">
        <v>948</v>
      </c>
    </row>
    <row r="36" spans="1:10">
      <c r="A36" s="38">
        <v>46052.540277777778</v>
      </c>
      <c r="B36" t="s">
        <v>944</v>
      </c>
      <c r="C36" t="s">
        <v>1045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1046</v>
      </c>
      <c r="G36" s="41"/>
      <c r="H36" t="s">
        <v>104</v>
      </c>
      <c r="I36" t="s">
        <v>1047</v>
      </c>
      <c r="J36" t="s">
        <v>948</v>
      </c>
    </row>
    <row r="37" spans="1:10">
      <c r="A37" s="38">
        <v>46052.541666666657</v>
      </c>
      <c r="B37" t="s">
        <v>1048</v>
      </c>
      <c r="C37" t="s">
        <v>964</v>
      </c>
      <c r="D37" t="str">
        <f ca="1">IF($C37="","",IFERROR(LOOKUP(2,1/($C$2:INDEX($C:$C,ROW()-1)=$C37),$E$2:INDEX($E:$E,ROW()-1)),IFERROR(VLOOKUP($C37,'01_Warehouse_Ledger'!$A$2:$C$2002,3,FALSE),"")))</f>
        <v>WH-Z1-A01-AISLE-FLOOR-05</v>
      </c>
      <c r="E37" t="s">
        <v>956</v>
      </c>
      <c r="G37" s="41"/>
      <c r="H37" t="s">
        <v>104</v>
      </c>
      <c r="I37" t="s">
        <v>1049</v>
      </c>
      <c r="J37" t="s">
        <v>1050</v>
      </c>
    </row>
    <row r="38" spans="1:10">
      <c r="A38" s="38">
        <v>46052.545138888891</v>
      </c>
      <c r="B38" t="s">
        <v>944</v>
      </c>
      <c r="C38" t="s">
        <v>1051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1052</v>
      </c>
      <c r="G38" s="41"/>
      <c r="H38" t="s">
        <v>104</v>
      </c>
      <c r="I38" t="s">
        <v>1053</v>
      </c>
      <c r="J38" t="s">
        <v>948</v>
      </c>
    </row>
    <row r="39" spans="1:10">
      <c r="A39" s="38">
        <v>46052.54791666667</v>
      </c>
      <c r="B39" t="s">
        <v>1048</v>
      </c>
      <c r="C39" t="s">
        <v>967</v>
      </c>
      <c r="D39" t="str">
        <f ca="1">IF($C39="","",IFERROR(LOOKUP(2,1/($C$2:INDEX($C:$C,ROW()-1)=$C39),$E$2:INDEX($E:$E,ROW()-1)),IFERROR(VLOOKUP($C39,'01_Warehouse_Ledger'!$A$2:$C$2002,3,FALSE),"")))</f>
        <v>WH-Z1-A01-AISLE-FLOOR-06</v>
      </c>
      <c r="E39" t="s">
        <v>959</v>
      </c>
      <c r="G39" s="41"/>
      <c r="H39" t="s">
        <v>104</v>
      </c>
      <c r="I39" t="s">
        <v>1054</v>
      </c>
      <c r="J39" t="s">
        <v>1050</v>
      </c>
    </row>
    <row r="40" spans="1:10">
      <c r="A40" s="38">
        <v>46052.55</v>
      </c>
      <c r="B40" t="s">
        <v>944</v>
      </c>
      <c r="C40" t="s">
        <v>1055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1056</v>
      </c>
      <c r="G40" s="41"/>
      <c r="H40" t="s">
        <v>104</v>
      </c>
      <c r="I40" t="s">
        <v>1057</v>
      </c>
      <c r="J40" t="s">
        <v>948</v>
      </c>
    </row>
    <row r="41" spans="1:10">
      <c r="A41" s="38">
        <v>46052.554166666669</v>
      </c>
      <c r="B41" t="s">
        <v>1048</v>
      </c>
      <c r="C41" t="s">
        <v>970</v>
      </c>
      <c r="D41" t="str">
        <f ca="1">IF($C41="","",IFERROR(LOOKUP(2,1/($C$2:INDEX($C:$C,ROW()-1)=$C41),$E$2:INDEX($E:$E,ROW()-1)),IFERROR(VLOOKUP($C41,'01_Warehouse_Ledger'!$A$2:$C$2002,3,FALSE),"")))</f>
        <v>WH-Z1-A01-AISLE-FLOOR-07</v>
      </c>
      <c r="E41" t="s">
        <v>962</v>
      </c>
      <c r="G41" s="41"/>
      <c r="H41" t="s">
        <v>104</v>
      </c>
      <c r="I41" t="s">
        <v>1058</v>
      </c>
      <c r="J41" t="s">
        <v>1050</v>
      </c>
    </row>
    <row r="42" spans="1:10">
      <c r="A42" s="38">
        <v>46052.554861111108</v>
      </c>
      <c r="B42" t="s">
        <v>944</v>
      </c>
      <c r="C42" t="s">
        <v>1059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1060</v>
      </c>
      <c r="G42" s="41"/>
      <c r="H42" t="s">
        <v>104</v>
      </c>
      <c r="I42" t="s">
        <v>1061</v>
      </c>
      <c r="J42" t="s">
        <v>948</v>
      </c>
    </row>
    <row r="43" spans="1:10">
      <c r="A43" s="38">
        <v>46052.55972222222</v>
      </c>
      <c r="B43" t="s">
        <v>944</v>
      </c>
      <c r="C43" t="s">
        <v>1062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1063</v>
      </c>
      <c r="G43" s="41"/>
      <c r="H43" t="s">
        <v>104</v>
      </c>
      <c r="I43" t="s">
        <v>1064</v>
      </c>
      <c r="J43" t="s">
        <v>948</v>
      </c>
    </row>
    <row r="44" spans="1:10">
      <c r="A44" s="38">
        <v>46052.560416666667</v>
      </c>
      <c r="B44" t="s">
        <v>1048</v>
      </c>
      <c r="C44" t="s">
        <v>973</v>
      </c>
      <c r="D44" t="str">
        <f ca="1">IF($C44="","",IFERROR(LOOKUP(2,1/($C$2:INDEX($C:$C,ROW()-1)=$C44),$E$2:INDEX($E:$E,ROW()-1)),IFERROR(VLOOKUP($C44,'01_Warehouse_Ledger'!$A$2:$C$2002,3,FALSE),"")))</f>
        <v>WH-Z1-A01-AISLE-FLOOR-08</v>
      </c>
      <c r="E44" t="s">
        <v>965</v>
      </c>
      <c r="G44" s="41"/>
      <c r="H44" t="s">
        <v>104</v>
      </c>
      <c r="I44" t="s">
        <v>1065</v>
      </c>
      <c r="J44" t="s">
        <v>1050</v>
      </c>
    </row>
    <row r="45" spans="1:10">
      <c r="A45" s="38">
        <v>46052.564583333333</v>
      </c>
      <c r="B45" t="s">
        <v>944</v>
      </c>
      <c r="C45" t="s">
        <v>1066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1067</v>
      </c>
      <c r="G45" s="41"/>
      <c r="H45" t="s">
        <v>104</v>
      </c>
      <c r="I45" t="s">
        <v>1068</v>
      </c>
      <c r="J45" t="s">
        <v>948</v>
      </c>
    </row>
    <row r="46" spans="1:10">
      <c r="A46" s="38">
        <v>46052.566666666673</v>
      </c>
      <c r="B46" t="s">
        <v>1048</v>
      </c>
      <c r="C46" t="s">
        <v>976</v>
      </c>
      <c r="D46" t="str">
        <f ca="1">IF($C46="","",IFERROR(LOOKUP(2,1/($C$2:INDEX($C:$C,ROW()-1)=$C46),$E$2:INDEX($E:$E,ROW()-1)),IFERROR(VLOOKUP($C46,'01_Warehouse_Ledger'!$A$2:$C$2002,3,FALSE),"")))</f>
        <v>WH-Z1-A01-AISLE-FLOOR-09</v>
      </c>
      <c r="E46" t="s">
        <v>968</v>
      </c>
      <c r="G46" s="41"/>
      <c r="H46" t="s">
        <v>104</v>
      </c>
      <c r="I46" t="s">
        <v>1069</v>
      </c>
      <c r="J46" t="s">
        <v>1050</v>
      </c>
    </row>
    <row r="47" spans="1:10">
      <c r="A47" s="38">
        <v>46052.569444444453</v>
      </c>
      <c r="B47" t="s">
        <v>944</v>
      </c>
      <c r="C47" t="s">
        <v>1070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1071</v>
      </c>
      <c r="G47" s="41"/>
      <c r="H47" t="s">
        <v>104</v>
      </c>
      <c r="I47" t="s">
        <v>1072</v>
      </c>
      <c r="J47" t="s">
        <v>948</v>
      </c>
    </row>
    <row r="48" spans="1:10">
      <c r="A48" s="38">
        <v>46052.572916666657</v>
      </c>
      <c r="B48" t="s">
        <v>1048</v>
      </c>
      <c r="C48" t="s">
        <v>979</v>
      </c>
      <c r="D48" t="str">
        <f ca="1">IF($C48="","",IFERROR(LOOKUP(2,1/($C$2:INDEX($C:$C,ROW()-1)=$C48),$E$2:INDEX($E:$E,ROW()-1)),IFERROR(VLOOKUP($C48,'01_Warehouse_Ledger'!$A$2:$C$2002,3,FALSE),"")))</f>
        <v>WH-Z1-A01-AISLE-FLOOR-10</v>
      </c>
      <c r="E48" t="s">
        <v>971</v>
      </c>
      <c r="G48" s="41"/>
      <c r="H48" t="s">
        <v>104</v>
      </c>
      <c r="I48" t="s">
        <v>1073</v>
      </c>
      <c r="J48" t="s">
        <v>1050</v>
      </c>
    </row>
    <row r="49" spans="1:10">
      <c r="A49" s="38">
        <v>46052.574305555558</v>
      </c>
      <c r="B49" t="s">
        <v>944</v>
      </c>
      <c r="C49" t="s">
        <v>1074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1075</v>
      </c>
      <c r="G49" s="41"/>
      <c r="H49" t="s">
        <v>104</v>
      </c>
      <c r="I49" t="s">
        <v>1076</v>
      </c>
      <c r="J49" t="s">
        <v>948</v>
      </c>
    </row>
    <row r="50" spans="1:10">
      <c r="A50" s="38">
        <v>46052.57916666667</v>
      </c>
      <c r="B50" t="s">
        <v>944</v>
      </c>
      <c r="C50" t="s">
        <v>1077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1078</v>
      </c>
      <c r="G50" s="41"/>
      <c r="H50" t="s">
        <v>104</v>
      </c>
      <c r="I50" t="s">
        <v>1079</v>
      </c>
      <c r="J50" t="s">
        <v>948</v>
      </c>
    </row>
    <row r="51" spans="1:10">
      <c r="A51" s="38">
        <v>46052.57916666667</v>
      </c>
      <c r="B51" t="s">
        <v>1048</v>
      </c>
      <c r="C51" t="s">
        <v>982</v>
      </c>
      <c r="D51" t="str">
        <f ca="1">IF($C51="","",IFERROR(LOOKUP(2,1/($C$2:INDEX($C:$C,ROW()-1)=$C51),$E$2:INDEX($E:$E,ROW()-1)),IFERROR(VLOOKUP($C51,'01_Warehouse_Ledger'!$A$2:$C$2002,3,FALSE),"")))</f>
        <v>WH-Z1-A01-AISLE-FLOOR-11</v>
      </c>
      <c r="E51" t="s">
        <v>974</v>
      </c>
      <c r="G51" s="41"/>
      <c r="H51" t="s">
        <v>104</v>
      </c>
      <c r="I51" t="s">
        <v>1080</v>
      </c>
      <c r="J51" t="s">
        <v>1050</v>
      </c>
    </row>
    <row r="52" spans="1:10">
      <c r="A52" s="38">
        <v>46052.584027777782</v>
      </c>
      <c r="B52" t="s">
        <v>944</v>
      </c>
      <c r="C52" t="s">
        <v>1081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1082</v>
      </c>
      <c r="G52" s="41"/>
      <c r="H52" t="s">
        <v>104</v>
      </c>
      <c r="I52" t="s">
        <v>1083</v>
      </c>
      <c r="J52" t="s">
        <v>948</v>
      </c>
    </row>
    <row r="53" spans="1:10">
      <c r="A53" s="38">
        <v>46052.585416666669</v>
      </c>
      <c r="B53" t="s">
        <v>1048</v>
      </c>
      <c r="C53" t="s">
        <v>985</v>
      </c>
      <c r="D53" t="str">
        <f ca="1">IF($C53="","",IFERROR(LOOKUP(2,1/($C$2:INDEX($C:$C,ROW()-1)=$C53),$E$2:INDEX($E:$E,ROW()-1)),IFERROR(VLOOKUP($C53,'01_Warehouse_Ledger'!$A$2:$C$2002,3,FALSE),"")))</f>
        <v>WH-Z1-A01-AISLE-FLOOR-12</v>
      </c>
      <c r="E53" t="s">
        <v>977</v>
      </c>
      <c r="G53" s="41"/>
      <c r="H53" t="s">
        <v>104</v>
      </c>
      <c r="I53" t="s">
        <v>1084</v>
      </c>
      <c r="J53" t="s">
        <v>1050</v>
      </c>
    </row>
    <row r="54" spans="1:10">
      <c r="A54" s="38">
        <v>46052.588888888888</v>
      </c>
      <c r="B54" t="s">
        <v>944</v>
      </c>
      <c r="C54" t="s">
        <v>1085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1086</v>
      </c>
      <c r="G54" s="41"/>
      <c r="H54" t="s">
        <v>104</v>
      </c>
      <c r="I54" t="s">
        <v>1087</v>
      </c>
      <c r="J54" t="s">
        <v>948</v>
      </c>
    </row>
    <row r="55" spans="1:10">
      <c r="A55" s="38">
        <v>46052.59375</v>
      </c>
      <c r="B55" t="s">
        <v>944</v>
      </c>
      <c r="C55" t="s">
        <v>1088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1089</v>
      </c>
      <c r="G55" s="41"/>
      <c r="H55" t="s">
        <v>104</v>
      </c>
      <c r="I55" t="s">
        <v>1090</v>
      </c>
      <c r="J55" t="s">
        <v>948</v>
      </c>
    </row>
    <row r="56" spans="1:10">
      <c r="A56" s="38">
        <v>46052.598611111112</v>
      </c>
      <c r="B56" t="s">
        <v>944</v>
      </c>
      <c r="C56" t="s">
        <v>1091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1092</v>
      </c>
      <c r="G56" s="41"/>
      <c r="H56" t="s">
        <v>104</v>
      </c>
      <c r="I56" t="s">
        <v>1093</v>
      </c>
      <c r="J56" t="s">
        <v>948</v>
      </c>
    </row>
    <row r="57" spans="1:10">
      <c r="A57" s="38">
        <v>46052.603472222218</v>
      </c>
      <c r="B57" t="s">
        <v>944</v>
      </c>
      <c r="C57" t="s">
        <v>1094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1095</v>
      </c>
      <c r="G57" s="41"/>
      <c r="H57" t="s">
        <v>104</v>
      </c>
      <c r="I57" t="s">
        <v>1096</v>
      </c>
      <c r="J57" t="s">
        <v>948</v>
      </c>
    </row>
    <row r="58" spans="1:10">
      <c r="A58" s="38">
        <v>46052.60833333333</v>
      </c>
      <c r="B58" t="s">
        <v>944</v>
      </c>
      <c r="C58" t="s">
        <v>1097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1098</v>
      </c>
      <c r="G58" s="41"/>
      <c r="H58" t="s">
        <v>104</v>
      </c>
      <c r="I58" t="s">
        <v>1099</v>
      </c>
      <c r="J58" t="s">
        <v>948</v>
      </c>
    </row>
    <row r="59" spans="1:10">
      <c r="A59" s="38">
        <v>46052.613194444442</v>
      </c>
      <c r="B59" t="s">
        <v>1100</v>
      </c>
      <c r="C59" t="s">
        <v>1101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926</v>
      </c>
      <c r="G59" s="41"/>
      <c r="H59" t="s">
        <v>104</v>
      </c>
      <c r="I59" t="s">
        <v>1102</v>
      </c>
      <c r="J59" t="s">
        <v>1103</v>
      </c>
    </row>
    <row r="60" spans="1:10">
      <c r="A60" s="38">
        <v>46052.618055555547</v>
      </c>
      <c r="B60" t="s">
        <v>1100</v>
      </c>
      <c r="C60" t="s">
        <v>1104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926</v>
      </c>
      <c r="G60" s="41"/>
      <c r="H60" t="s">
        <v>104</v>
      </c>
      <c r="I60" t="s">
        <v>1105</v>
      </c>
      <c r="J60" t="s">
        <v>1103</v>
      </c>
    </row>
    <row r="61" spans="1:10">
      <c r="A61" s="38">
        <v>46052.622916666667</v>
      </c>
      <c r="B61" t="s">
        <v>944</v>
      </c>
      <c r="C61" t="s">
        <v>1106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1107</v>
      </c>
      <c r="G61" s="41"/>
      <c r="H61" t="s">
        <v>104</v>
      </c>
      <c r="I61" t="s">
        <v>1108</v>
      </c>
      <c r="J61" t="s">
        <v>948</v>
      </c>
    </row>
    <row r="62" spans="1:10">
      <c r="A62" s="38">
        <v>46052.62777777778</v>
      </c>
      <c r="B62" t="s">
        <v>944</v>
      </c>
      <c r="C62" t="s">
        <v>1109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1110</v>
      </c>
      <c r="G62" s="41"/>
      <c r="H62" t="s">
        <v>104</v>
      </c>
      <c r="I62" t="s">
        <v>1111</v>
      </c>
      <c r="J62" t="s">
        <v>948</v>
      </c>
    </row>
    <row r="63" spans="1:10">
      <c r="A63" s="38">
        <v>46052.632638888892</v>
      </c>
      <c r="B63" t="s">
        <v>944</v>
      </c>
      <c r="C63" t="s">
        <v>1112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1113</v>
      </c>
      <c r="G63" s="41"/>
      <c r="H63" t="s">
        <v>104</v>
      </c>
      <c r="I63" t="s">
        <v>1114</v>
      </c>
      <c r="J63" t="s">
        <v>948</v>
      </c>
    </row>
    <row r="64" spans="1:10">
      <c r="A64" s="38">
        <v>46052.637499999997</v>
      </c>
      <c r="B64" t="s">
        <v>944</v>
      </c>
      <c r="C64" t="s">
        <v>1115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1116</v>
      </c>
      <c r="G64" s="41"/>
      <c r="H64" t="s">
        <v>104</v>
      </c>
      <c r="I64" t="s">
        <v>1117</v>
      </c>
      <c r="J64" t="s">
        <v>948</v>
      </c>
    </row>
    <row r="65" spans="1:10">
      <c r="A65" s="38">
        <v>46052.642361111109</v>
      </c>
      <c r="B65" t="s">
        <v>944</v>
      </c>
      <c r="C65" t="s">
        <v>1118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1119</v>
      </c>
      <c r="G65" s="41"/>
      <c r="H65" t="s">
        <v>104</v>
      </c>
      <c r="I65" t="s">
        <v>1120</v>
      </c>
      <c r="J65" t="s">
        <v>948</v>
      </c>
    </row>
    <row r="66" spans="1:10">
      <c r="A66" s="38">
        <v>46052.647222222222</v>
      </c>
      <c r="B66" t="s">
        <v>944</v>
      </c>
      <c r="C66" t="s">
        <v>1121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1122</v>
      </c>
      <c r="G66" s="41"/>
      <c r="H66" t="s">
        <v>104</v>
      </c>
      <c r="I66" t="s">
        <v>1123</v>
      </c>
      <c r="J66" t="s">
        <v>948</v>
      </c>
    </row>
    <row r="67" spans="1:10">
      <c r="A67" s="38">
        <v>46052.652083333327</v>
      </c>
      <c r="B67" t="s">
        <v>944</v>
      </c>
      <c r="C67" t="s">
        <v>1124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1125</v>
      </c>
      <c r="G67" s="41"/>
      <c r="H67" t="s">
        <v>104</v>
      </c>
      <c r="I67" t="s">
        <v>1126</v>
      </c>
      <c r="J67" t="s">
        <v>948</v>
      </c>
    </row>
    <row r="68" spans="1:10">
      <c r="A68" s="38">
        <v>46052.656944444447</v>
      </c>
      <c r="B68" t="s">
        <v>944</v>
      </c>
      <c r="C68" t="s">
        <v>1127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1128</v>
      </c>
      <c r="G68" s="41"/>
      <c r="H68" t="s">
        <v>104</v>
      </c>
      <c r="I68" t="s">
        <v>1129</v>
      </c>
      <c r="J68" t="s">
        <v>948</v>
      </c>
    </row>
    <row r="69" spans="1:10">
      <c r="A69" s="38">
        <v>46052.661805555559</v>
      </c>
      <c r="B69" t="s">
        <v>944</v>
      </c>
      <c r="C69" t="s">
        <v>1130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1131</v>
      </c>
      <c r="G69" s="41"/>
      <c r="H69" t="s">
        <v>104</v>
      </c>
      <c r="I69" t="s">
        <v>1132</v>
      </c>
      <c r="J69" t="s">
        <v>948</v>
      </c>
    </row>
    <row r="70" spans="1:10">
      <c r="A70" s="38"/>
      <c r="D70" t="str">
        <f>IF($C70="","",IFERROR(LOOKUP(2,1/($C$2:INDEX($C:$C,ROW()-1)=$C70),$E$2:INDEX($E:$E,ROW()-1)),IFERROR(VLOOKUP($C70,'01_Warehouse_Ledger'!$A$2:$C$2002,3,FALSE),"")))</f>
        <v/>
      </c>
      <c r="G70" s="41"/>
    </row>
    <row r="71" spans="1:10">
      <c r="A71" s="38"/>
      <c r="D71" t="str">
        <f>IF($C71="","",IFERROR(LOOKUP(2,1/($C$2:INDEX($C:$C,ROW()-1)=$C71),$E$2:INDEX($E:$E,ROW()-1)),IFERROR(VLOOKUP($C71,'01_Warehouse_Ledger'!$A$2:$C$2002,3,FALSE),"")))</f>
        <v/>
      </c>
      <c r="G71" s="41"/>
    </row>
    <row r="72" spans="1:10">
      <c r="A72" s="38"/>
      <c r="D72" t="str">
        <f>IF($C72="","",IFERROR(LOOKUP(2,1/($C$2:INDEX($C:$C,ROW()-1)=$C72),$E$2:INDEX($E:$E,ROW()-1)),IFERROR(VLOOKUP($C72,'01_Warehouse_Ledger'!$A$2:$C$2002,3,FALSE),"")))</f>
        <v/>
      </c>
      <c r="G72" s="41"/>
    </row>
    <row r="73" spans="1:10">
      <c r="A73" s="38"/>
      <c r="D73" t="str">
        <f>IF($C73="","",IFERROR(LOOKUP(2,1/($C$2:INDEX($C:$C,ROW()-1)=$C73),$E$2:INDEX($E:$E,ROW()-1)),IFERROR(VLOOKUP($C73,'01_Warehouse_Ledger'!$A$2:$C$2002,3,FALSE),"")))</f>
        <v/>
      </c>
      <c r="G73" s="41"/>
    </row>
    <row r="74" spans="1:10">
      <c r="A74" s="38"/>
      <c r="D74" t="str">
        <f>IF($C74="","",IFERROR(LOOKUP(2,1/($C$2:INDEX($C:$C,ROW()-1)=$C74),$E$2:INDEX($E:$E,ROW()-1)),IFERROR(VLOOKUP($C74,'01_Warehouse_Ledger'!$A$2:$C$2002,3,FALSE),"")))</f>
        <v/>
      </c>
      <c r="G74" s="41"/>
    </row>
    <row r="75" spans="1:10">
      <c r="A75" s="38"/>
      <c r="D75" t="str">
        <f>IF($C75="","",IFERROR(LOOKUP(2,1/($C$2:INDEX($C:$C,ROW()-1)=$C75),$E$2:INDEX($E:$E,ROW()-1)),IFERROR(VLOOKUP($C75,'01_Warehouse_Ledger'!$A$2:$C$2002,3,FALSE),"")))</f>
        <v/>
      </c>
      <c r="G75" s="41"/>
    </row>
    <row r="76" spans="1:10">
      <c r="A76" s="38"/>
      <c r="D76" t="str">
        <f>IF($C76="","",IFERROR(LOOKUP(2,1/($C$2:INDEX($C:$C,ROW()-1)=$C76),$E$2:INDEX($E:$E,ROW()-1)),IFERROR(VLOOKUP($C76,'01_Warehouse_Ledger'!$A$2:$C$2002,3,FALSE),"")))</f>
        <v/>
      </c>
      <c r="G76" s="41"/>
    </row>
    <row r="77" spans="1:10">
      <c r="A77" s="38"/>
      <c r="D77" t="str">
        <f>IF($C77="","",IFERROR(LOOKUP(2,1/($C$2:INDEX($C:$C,ROW()-1)=$C77),$E$2:INDEX($E:$E,ROW()-1)),IFERROR(VLOOKUP($C77,'01_Warehouse_Ledger'!$A$2:$C$2002,3,FALSE),"")))</f>
        <v/>
      </c>
      <c r="G77" s="41"/>
    </row>
    <row r="78" spans="1:10">
      <c r="A78" s="38"/>
      <c r="D78" t="str">
        <f>IF($C78="","",IFERROR(LOOKUP(2,1/($C$2:INDEX($C:$C,ROW()-1)=$C78),$E$2:INDEX($E:$E,ROW()-1)),IFERROR(VLOOKUP($C78,'01_Warehouse_Ledger'!$A$2:$C$2002,3,FALSE),"")))</f>
        <v/>
      </c>
      <c r="G78" s="41"/>
    </row>
    <row r="79" spans="1:10">
      <c r="A79" s="38"/>
      <c r="D79" t="str">
        <f>IF($C79="","",IFERROR(LOOKUP(2,1/($C$2:INDEX($C:$C,ROW()-1)=$C79),$E$2:INDEX($E:$E,ROW()-1)),IFERROR(VLOOKUP($C79,'01_Warehouse_Ledger'!$A$2:$C$2002,3,FALSE),"")))</f>
        <v/>
      </c>
      <c r="G79" s="41"/>
    </row>
    <row r="80" spans="1:10">
      <c r="A80" s="38"/>
      <c r="D80" t="str">
        <f>IF($C80="","",IFERROR(LOOKUP(2,1/($C$2:INDEX($C:$C,ROW()-1)=$C80),$E$2:INDEX($E:$E,ROW()-1)),IFERROR(VLOOKUP($C80,'01_Warehouse_Ledger'!$A$2:$C$2002,3,FALSE),"")))</f>
        <v/>
      </c>
      <c r="G80" s="41"/>
    </row>
    <row r="81" spans="1:7">
      <c r="A81" s="38"/>
      <c r="D81" t="str">
        <f>IF($C81="","",IFERROR(LOOKUP(2,1/($C$2:INDEX($C:$C,ROW()-1)=$C81),$E$2:INDEX($E:$E,ROW()-1)),IFERROR(VLOOKUP($C81,'01_Warehouse_Ledger'!$A$2:$C$2002,3,FALSE),"")))</f>
        <v/>
      </c>
      <c r="G81" s="41"/>
    </row>
    <row r="82" spans="1:7">
      <c r="A82" s="38"/>
      <c r="D82" t="str">
        <f>IF($C82="","",IFERROR(LOOKUP(2,1/($C$2:INDEX($C:$C,ROW()-1)=$C82),$E$2:INDEX($E:$E,ROW()-1)),IFERROR(VLOOKUP($C82,'01_Warehouse_Ledger'!$A$2:$C$2002,3,FALSE),"")))</f>
        <v/>
      </c>
      <c r="G82" s="41"/>
    </row>
    <row r="83" spans="1:7">
      <c r="A83" s="38"/>
      <c r="D83" t="str">
        <f>IF($C83="","",IFERROR(LOOKUP(2,1/($C$2:INDEX($C:$C,ROW()-1)=$C83),$E$2:INDEX($E:$E,ROW()-1)),IFERROR(VLOOKUP($C83,'01_Warehouse_Ledger'!$A$2:$C$2002,3,FALSE),"")))</f>
        <v/>
      </c>
      <c r="G83" s="41"/>
    </row>
    <row r="84" spans="1:7">
      <c r="A84" s="38"/>
      <c r="D84" t="str">
        <f>IF($C84="","",IFERROR(LOOKUP(2,1/($C$2:INDEX($C:$C,ROW()-1)=$C84),$E$2:INDEX($E:$E,ROW()-1)),IFERROR(VLOOKUP($C84,'01_Warehouse_Ledger'!$A$2:$C$2002,3,FALSE),"")))</f>
        <v/>
      </c>
      <c r="G84" s="41"/>
    </row>
    <row r="85" spans="1:7">
      <c r="A85" s="38"/>
      <c r="D85" t="str">
        <f>IF($C85="","",IFERROR(LOOKUP(2,1/($C$2:INDEX($C:$C,ROW()-1)=$C85),$E$2:INDEX($E:$E,ROW()-1)),IFERROR(VLOOKUP($C85,'01_Warehouse_Ledger'!$A$2:$C$2002,3,FALSE),"")))</f>
        <v/>
      </c>
      <c r="G85" s="41"/>
    </row>
    <row r="86" spans="1:7">
      <c r="A86" s="38"/>
      <c r="D86" t="str">
        <f>IF($C86="","",IFERROR(LOOKUP(2,1/($C$2:INDEX($C:$C,ROW()-1)=$C86),$E$2:INDEX($E:$E,ROW()-1)),IFERROR(VLOOKUP($C86,'01_Warehouse_Ledger'!$A$2:$C$2002,3,FALSE),"")))</f>
        <v/>
      </c>
      <c r="G86" s="41"/>
    </row>
    <row r="87" spans="1:7">
      <c r="A87" s="38"/>
      <c r="D87" t="str">
        <f>IF($C87="","",IFERROR(LOOKUP(2,1/($C$2:INDEX($C:$C,ROW()-1)=$C87),$E$2:INDEX($E:$E,ROW()-1)),IFERROR(VLOOKUP($C87,'01_Warehouse_Ledger'!$A$2:$C$2002,3,FALSE),"")))</f>
        <v/>
      </c>
      <c r="G87" s="41"/>
    </row>
    <row r="88" spans="1:7">
      <c r="A88" s="38"/>
      <c r="D88" t="str">
        <f>IF($C88="","",IFERROR(LOOKUP(2,1/($C$2:INDEX($C:$C,ROW()-1)=$C88),$E$2:INDEX($E:$E,ROW()-1)),IFERROR(VLOOKUP($C88,'01_Warehouse_Ledger'!$A$2:$C$2002,3,FALSE),"")))</f>
        <v/>
      </c>
      <c r="G88" s="41"/>
    </row>
    <row r="89" spans="1:7">
      <c r="A89" s="38"/>
      <c r="D89" t="str">
        <f>IF($C89="","",IFERROR(LOOKUP(2,1/($C$2:INDEX($C:$C,ROW()-1)=$C89),$E$2:INDEX($E:$E,ROW()-1)),IFERROR(VLOOKUP($C89,'01_Warehouse_Ledger'!$A$2:$C$2002,3,FALSE),"")))</f>
        <v/>
      </c>
      <c r="G89" s="41"/>
    </row>
    <row r="90" spans="1:7">
      <c r="A90" s="38"/>
      <c r="D90" t="str">
        <f>IF($C90="","",IFERROR(LOOKUP(2,1/($C$2:INDEX($C:$C,ROW()-1)=$C90),$E$2:INDEX($E:$E,ROW()-1)),IFERROR(VLOOKUP($C90,'01_Warehouse_Ledger'!$A$2:$C$2002,3,FALSE),"")))</f>
        <v/>
      </c>
      <c r="G90" s="41"/>
    </row>
    <row r="91" spans="1:7">
      <c r="A91" s="38"/>
      <c r="D91" t="str">
        <f>IF($C91="","",IFERROR(LOOKUP(2,1/($C$2:INDEX($C:$C,ROW()-1)=$C91),$E$2:INDEX($E:$E,ROW()-1)),IFERROR(VLOOKUP($C91,'01_Warehouse_Ledger'!$A$2:$C$2002,3,FALSE),"")))</f>
        <v/>
      </c>
      <c r="G91" s="41"/>
    </row>
    <row r="92" spans="1:7">
      <c r="A92" s="38"/>
      <c r="D92" t="str">
        <f>IF($C92="","",IFERROR(LOOKUP(2,1/($C$2:INDEX($C:$C,ROW()-1)=$C92),$E$2:INDEX($E:$E,ROW()-1)),IFERROR(VLOOKUP($C92,'01_Warehouse_Ledger'!$A$2:$C$2002,3,FALSE),"")))</f>
        <v/>
      </c>
      <c r="G92" s="41"/>
    </row>
    <row r="93" spans="1:7">
      <c r="A93" s="38"/>
      <c r="D93" t="str">
        <f>IF($C93="","",IFERROR(LOOKUP(2,1/($C$2:INDEX($C:$C,ROW()-1)=$C93),$E$2:INDEX($E:$E,ROW()-1)),IFERROR(VLOOKUP($C93,'01_Warehouse_Ledger'!$A$2:$C$2002,3,FALSE),"")))</f>
        <v/>
      </c>
      <c r="G93" s="41"/>
    </row>
    <row r="94" spans="1:7">
      <c r="A94" s="38"/>
      <c r="D94" t="str">
        <f>IF($C94="","",IFERROR(LOOKUP(2,1/($C$2:INDEX($C:$C,ROW()-1)=$C94),$E$2:INDEX($E:$E,ROW()-1)),IFERROR(VLOOKUP($C94,'01_Warehouse_Ledger'!$A$2:$C$2002,3,FALSE),"")))</f>
        <v/>
      </c>
      <c r="G94" s="41"/>
    </row>
    <row r="95" spans="1:7">
      <c r="A95" s="38"/>
      <c r="D95" t="str">
        <f>IF($C95="","",IFERROR(LOOKUP(2,1/($C$2:INDEX($C:$C,ROW()-1)=$C95),$E$2:INDEX($E:$E,ROW()-1)),IFERROR(VLOOKUP($C95,'01_Warehouse_Ledger'!$A$2:$C$2002,3,FALSE),"")))</f>
        <v/>
      </c>
      <c r="G95" s="41"/>
    </row>
    <row r="96" spans="1:7">
      <c r="A96" s="38"/>
      <c r="D96" t="str">
        <f>IF($C96="","",IFERROR(LOOKUP(2,1/($C$2:INDEX($C:$C,ROW()-1)=$C96),$E$2:INDEX($E:$E,ROW()-1)),IFERROR(VLOOKUP($C96,'01_Warehouse_Ledger'!$A$2:$C$2002,3,FALSE),"")))</f>
        <v/>
      </c>
      <c r="G96" s="41"/>
    </row>
    <row r="97" spans="1:7">
      <c r="A97" s="38"/>
      <c r="D97" t="str">
        <f>IF($C97="","",IFERROR(LOOKUP(2,1/($C$2:INDEX($C:$C,ROW()-1)=$C97),$E$2:INDEX($E:$E,ROW()-1)),IFERROR(VLOOKUP($C97,'01_Warehouse_Ledger'!$A$2:$C$2002,3,FALSE),"")))</f>
        <v/>
      </c>
      <c r="G97" s="41"/>
    </row>
    <row r="98" spans="1:7">
      <c r="A98" s="38"/>
      <c r="D98" t="str">
        <f>IF($C98="","",IFERROR(LOOKUP(2,1/($C$2:INDEX($C:$C,ROW()-1)=$C98),$E$2:INDEX($E:$E,ROW()-1)),IFERROR(VLOOKUP($C98,'01_Warehouse_Ledger'!$A$2:$C$2002,3,FALSE),"")))</f>
        <v/>
      </c>
      <c r="G98" s="41"/>
    </row>
    <row r="99" spans="1:7">
      <c r="A99" s="38"/>
      <c r="D99" t="str">
        <f>IF($C99="","",IFERROR(LOOKUP(2,1/($C$2:INDEX($C:$C,ROW()-1)=$C99),$E$2:INDEX($E:$E,ROW()-1)),IFERROR(VLOOKUP($C99,'01_Warehouse_Ledger'!$A$2:$C$2002,3,FALSE),"")))</f>
        <v/>
      </c>
      <c r="G99" s="41"/>
    </row>
    <row r="100" spans="1:7">
      <c r="A100" s="38"/>
      <c r="D100" t="str">
        <f>IF($C100="","",IFERROR(LOOKUP(2,1/($C$2:INDEX($C:$C,ROW()-1)=$C100),$E$2:INDEX($E:$E,ROW()-1)),IFERROR(VLOOKUP($C100,'01_Warehouse_Ledger'!$A$2:$C$2002,3,FALSE),"")))</f>
        <v/>
      </c>
      <c r="G100" s="41"/>
    </row>
    <row r="101" spans="1:7">
      <c r="A101" s="38"/>
      <c r="D101" t="str">
        <f>IF($C101="","",IFERROR(LOOKUP(2,1/($C$2:INDEX($C:$C,ROW()-1)=$C101),$E$2:INDEX($E:$E,ROW()-1)),IFERROR(VLOOKUP($C101,'01_Warehouse_Ledger'!$A$2:$C$2002,3,FALSE),"")))</f>
        <v/>
      </c>
      <c r="G101" s="41"/>
    </row>
    <row r="102" spans="1:7">
      <c r="A102" s="38"/>
      <c r="D102" t="str">
        <f>IF($C102="","",IFERROR(LOOKUP(2,1/($C$2:INDEX($C:$C,ROW()-1)=$C102),$E$2:INDEX($E:$E,ROW()-1)),IFERROR(VLOOKUP($C102,'01_Warehouse_Ledger'!$A$2:$C$2002,3,FALSE),"")))</f>
        <v/>
      </c>
      <c r="G102" s="41"/>
    </row>
    <row r="103" spans="1:7">
      <c r="A103" s="38"/>
      <c r="D103" t="str">
        <f>IF($C103="","",IFERROR(LOOKUP(2,1/($C$2:INDEX($C:$C,ROW()-1)=$C103),$E$2:INDEX($E:$E,ROW()-1)),IFERROR(VLOOKUP($C103,'01_Warehouse_Ledger'!$A$2:$C$2002,3,FALSE),"")))</f>
        <v/>
      </c>
      <c r="G103" s="41"/>
    </row>
    <row r="104" spans="1:7">
      <c r="A104" s="38"/>
      <c r="D104" t="str">
        <f>IF($C104="","",IFERROR(LOOKUP(2,1/($C$2:INDEX($C:$C,ROW()-1)=$C104),$E$2:INDEX($E:$E,ROW()-1)),IFERROR(VLOOKUP($C104,'01_Warehouse_Ledger'!$A$2:$C$2002,3,FALSE),"")))</f>
        <v/>
      </c>
      <c r="G104" s="41"/>
    </row>
    <row r="105" spans="1:7">
      <c r="A105" s="38"/>
      <c r="D105" t="str">
        <f>IF($C105="","",IFERROR(LOOKUP(2,1/($C$2:INDEX($C:$C,ROW()-1)=$C105),$E$2:INDEX($E:$E,ROW()-1)),IFERROR(VLOOKUP($C105,'01_Warehouse_Ledger'!$A$2:$C$2002,3,FALSE),"")))</f>
        <v/>
      </c>
      <c r="G105" s="41"/>
    </row>
    <row r="106" spans="1:7">
      <c r="A106" s="38"/>
      <c r="D106" t="str">
        <f>IF($C106="","",IFERROR(LOOKUP(2,1/($C$2:INDEX($C:$C,ROW()-1)=$C106),$E$2:INDEX($E:$E,ROW()-1)),IFERROR(VLOOKUP($C106,'01_Warehouse_Ledger'!$A$2:$C$2002,3,FALSE),"")))</f>
        <v/>
      </c>
      <c r="G106" s="41"/>
    </row>
    <row r="107" spans="1:7">
      <c r="A107" s="38"/>
      <c r="D107" t="str">
        <f>IF($C107="","",IFERROR(LOOKUP(2,1/($C$2:INDEX($C:$C,ROW()-1)=$C107),$E$2:INDEX($E:$E,ROW()-1)),IFERROR(VLOOKUP($C107,'01_Warehouse_Ledger'!$A$2:$C$2002,3,FALSE),"")))</f>
        <v/>
      </c>
      <c r="G107" s="41"/>
    </row>
    <row r="108" spans="1:7">
      <c r="A108" s="38"/>
      <c r="D108" t="str">
        <f>IF($C108="","",IFERROR(LOOKUP(2,1/($C$2:INDEX($C:$C,ROW()-1)=$C108),$E$2:INDEX($E:$E,ROW()-1)),IFERROR(VLOOKUP($C108,'01_Warehouse_Ledger'!$A$2:$C$2002,3,FALSE),"")))</f>
        <v/>
      </c>
      <c r="G108" s="41"/>
    </row>
    <row r="109" spans="1:7">
      <c r="A109" s="38"/>
      <c r="D109" t="str">
        <f>IF($C109="","",IFERROR(LOOKUP(2,1/($C$2:INDEX($C:$C,ROW()-1)=$C109),$E$2:INDEX($E:$E,ROW()-1)),IFERROR(VLOOKUP($C109,'01_Warehouse_Ledger'!$A$2:$C$2002,3,FALSE),"")))</f>
        <v/>
      </c>
      <c r="G109" s="41"/>
    </row>
    <row r="110" spans="1:7">
      <c r="A110" s="38"/>
      <c r="D110" t="str">
        <f>IF($C110="","",IFERROR(LOOKUP(2,1/($C$2:INDEX($C:$C,ROW()-1)=$C110),$E$2:INDEX($E:$E,ROW()-1)),IFERROR(VLOOKUP($C110,'01_Warehouse_Ledger'!$A$2:$C$2002,3,FALSE),"")))</f>
        <v/>
      </c>
      <c r="G110" s="41"/>
    </row>
    <row r="111" spans="1:7">
      <c r="A111" s="38"/>
      <c r="D111" t="str">
        <f>IF($C111="","",IFERROR(LOOKUP(2,1/($C$2:INDEX($C:$C,ROW()-1)=$C111),$E$2:INDEX($E:$E,ROW()-1)),IFERROR(VLOOKUP($C111,'01_Warehouse_Ledger'!$A$2:$C$2002,3,FALSE),"")))</f>
        <v/>
      </c>
      <c r="G111" s="41"/>
    </row>
    <row r="112" spans="1:7">
      <c r="A112" s="38"/>
      <c r="D112" t="str">
        <f>IF($C112="","",IFERROR(LOOKUP(2,1/($C$2:INDEX($C:$C,ROW()-1)=$C112),$E$2:INDEX($E:$E,ROW()-1)),IFERROR(VLOOKUP($C112,'01_Warehouse_Ledger'!$A$2:$C$2002,3,FALSE),"")))</f>
        <v/>
      </c>
      <c r="G112" s="41"/>
    </row>
    <row r="113" spans="1:7">
      <c r="A113" s="38"/>
      <c r="D113" t="str">
        <f>IF($C113="","",IFERROR(LOOKUP(2,1/($C$2:INDEX($C:$C,ROW()-1)=$C113),$E$2:INDEX($E:$E,ROW()-1)),IFERROR(VLOOKUP($C113,'01_Warehouse_Ledger'!$A$2:$C$2002,3,FALSE),"")))</f>
        <v/>
      </c>
      <c r="G113" s="41"/>
    </row>
    <row r="114" spans="1:7">
      <c r="A114" s="38"/>
      <c r="D114" t="str">
        <f>IF($C114="","",IFERROR(LOOKUP(2,1/($C$2:INDEX($C:$C,ROW()-1)=$C114),$E$2:INDEX($E:$E,ROW()-1)),IFERROR(VLOOKUP($C114,'01_Warehouse_Ledger'!$A$2:$C$2002,3,FALSE),"")))</f>
        <v/>
      </c>
      <c r="G114" s="41"/>
    </row>
    <row r="115" spans="1:7">
      <c r="A115" s="38"/>
      <c r="D115" t="str">
        <f>IF($C115="","",IFERROR(LOOKUP(2,1/($C$2:INDEX($C:$C,ROW()-1)=$C115),$E$2:INDEX($E:$E,ROW()-1)),IFERROR(VLOOKUP($C115,'01_Warehouse_Ledger'!$A$2:$C$2002,3,FALSE),"")))</f>
        <v/>
      </c>
      <c r="G115" s="41"/>
    </row>
    <row r="116" spans="1:7">
      <c r="A116" s="38"/>
      <c r="D116" t="str">
        <f>IF($C116="","",IFERROR(LOOKUP(2,1/($C$2:INDEX($C:$C,ROW()-1)=$C116),$E$2:INDEX($E:$E,ROW()-1)),IFERROR(VLOOKUP($C116,'01_Warehouse_Ledger'!$A$2:$C$2002,3,FALSE),"")))</f>
        <v/>
      </c>
      <c r="G116" s="41"/>
    </row>
    <row r="117" spans="1:7">
      <c r="A117" s="38"/>
      <c r="D117" t="str">
        <f>IF($C117="","",IFERROR(LOOKUP(2,1/($C$2:INDEX($C:$C,ROW()-1)=$C117),$E$2:INDEX($E:$E,ROW()-1)),IFERROR(VLOOKUP($C117,'01_Warehouse_Ledger'!$A$2:$C$2002,3,FALSE),"")))</f>
        <v/>
      </c>
      <c r="G117" s="41"/>
    </row>
    <row r="118" spans="1:7">
      <c r="A118" s="38"/>
      <c r="D118" t="str">
        <f>IF($C118="","",IFERROR(LOOKUP(2,1/($C$2:INDEX($C:$C,ROW()-1)=$C118),$E$2:INDEX($E:$E,ROW()-1)),IFERROR(VLOOKUP($C118,'01_Warehouse_Ledger'!$A$2:$C$2002,3,FALSE),"")))</f>
        <v/>
      </c>
      <c r="G118" s="41"/>
    </row>
    <row r="119" spans="1:7">
      <c r="A119" s="38"/>
      <c r="D119" t="str">
        <f>IF($C119="","",IFERROR(LOOKUP(2,1/($C$2:INDEX($C:$C,ROW()-1)=$C119),$E$2:INDEX($E:$E,ROW()-1)),IFERROR(VLOOKUP($C119,'01_Warehouse_Ledger'!$A$2:$C$2002,3,FALSE),"")))</f>
        <v/>
      </c>
      <c r="G119" s="41"/>
    </row>
    <row r="120" spans="1:7">
      <c r="A120" s="38"/>
      <c r="D120" t="str">
        <f>IF($C120="","",IFERROR(LOOKUP(2,1/($C$2:INDEX($C:$C,ROW()-1)=$C120),$E$2:INDEX($E:$E,ROW()-1)),IFERROR(VLOOKUP($C120,'01_Warehouse_Ledger'!$A$2:$C$2002,3,FALSE),"")))</f>
        <v/>
      </c>
      <c r="G120" s="41"/>
    </row>
    <row r="121" spans="1:7">
      <c r="A121" s="38"/>
      <c r="D121" t="str">
        <f>IF($C121="","",IFERROR(LOOKUP(2,1/($C$2:INDEX($C:$C,ROW()-1)=$C121),$E$2:INDEX($E:$E,ROW()-1)),IFERROR(VLOOKUP($C121,'01_Warehouse_Ledger'!$A$2:$C$2002,3,FALSE),"")))</f>
        <v/>
      </c>
      <c r="G121" s="41"/>
    </row>
    <row r="122" spans="1:7">
      <c r="A122" s="38"/>
      <c r="D122" t="str">
        <f>IF($C122="","",IFERROR(LOOKUP(2,1/($C$2:INDEX($C:$C,ROW()-1)=$C122),$E$2:INDEX($E:$E,ROW()-1)),IFERROR(VLOOKUP($C122,'01_Warehouse_Ledger'!$A$2:$C$2002,3,FALSE),"")))</f>
        <v/>
      </c>
      <c r="G122" s="41"/>
    </row>
    <row r="123" spans="1:7">
      <c r="A123" s="38"/>
      <c r="D123" t="str">
        <f>IF($C123="","",IFERROR(LOOKUP(2,1/($C$2:INDEX($C:$C,ROW()-1)=$C123),$E$2:INDEX($E:$E,ROW()-1)),IFERROR(VLOOKUP($C123,'01_Warehouse_Ledger'!$A$2:$C$2002,3,FALSE),"")))</f>
        <v/>
      </c>
      <c r="G123" s="41"/>
    </row>
    <row r="124" spans="1:7">
      <c r="A124" s="38"/>
      <c r="D124" t="str">
        <f>IF($C124="","",IFERROR(LOOKUP(2,1/($C$2:INDEX($C:$C,ROW()-1)=$C124),$E$2:INDEX($E:$E,ROW()-1)),IFERROR(VLOOKUP($C124,'01_Warehouse_Ledger'!$A$2:$C$2002,3,FALSE),"")))</f>
        <v/>
      </c>
      <c r="G124" s="41"/>
    </row>
    <row r="125" spans="1:7">
      <c r="A125" s="38"/>
      <c r="D125" t="str">
        <f>IF($C125="","",IFERROR(LOOKUP(2,1/($C$2:INDEX($C:$C,ROW()-1)=$C125),$E$2:INDEX($E:$E,ROW()-1)),IFERROR(VLOOKUP($C125,'01_Warehouse_Ledger'!$A$2:$C$2002,3,FALSE),"")))</f>
        <v/>
      </c>
      <c r="G125" s="41"/>
    </row>
    <row r="126" spans="1:7">
      <c r="A126" s="38"/>
      <c r="D126" t="str">
        <f>IF($C126="","",IFERROR(LOOKUP(2,1/($C$2:INDEX($C:$C,ROW()-1)=$C126),$E$2:INDEX($E:$E,ROW()-1)),IFERROR(VLOOKUP($C126,'01_Warehouse_Ledger'!$A$2:$C$2002,3,FALSE),"")))</f>
        <v/>
      </c>
      <c r="G126" s="41"/>
    </row>
    <row r="127" spans="1:7">
      <c r="A127" s="38"/>
      <c r="D127" t="str">
        <f>IF($C127="","",IFERROR(LOOKUP(2,1/($C$2:INDEX($C:$C,ROW()-1)=$C127),$E$2:INDEX($E:$E,ROW()-1)),IFERROR(VLOOKUP($C127,'01_Warehouse_Ledger'!$A$2:$C$2002,3,FALSE),"")))</f>
        <v/>
      </c>
      <c r="G127" s="41"/>
    </row>
    <row r="128" spans="1:7">
      <c r="A128" s="38"/>
      <c r="D128" t="str">
        <f>IF($C128="","",IFERROR(LOOKUP(2,1/($C$2:INDEX($C:$C,ROW()-1)=$C128),$E$2:INDEX($E:$E,ROW()-1)),IFERROR(VLOOKUP($C128,'01_Warehouse_Ledger'!$A$2:$C$2002,3,FALSE),"")))</f>
        <v/>
      </c>
      <c r="G128" s="41"/>
    </row>
    <row r="129" spans="1:7">
      <c r="A129" s="38"/>
      <c r="D129" t="str">
        <f>IF($C129="","",IFERROR(LOOKUP(2,1/($C$2:INDEX($C:$C,ROW()-1)=$C129),$E$2:INDEX($E:$E,ROW()-1)),IFERROR(VLOOKUP($C129,'01_Warehouse_Ledger'!$A$2:$C$2002,3,FALSE),"")))</f>
        <v/>
      </c>
      <c r="G129" s="41"/>
    </row>
    <row r="130" spans="1:7">
      <c r="A130" s="38"/>
      <c r="D130" t="str">
        <f>IF($C130="","",IFERROR(LOOKUP(2,1/($C$2:INDEX($C:$C,ROW()-1)=$C130),$E$2:INDEX($E:$E,ROW()-1)),IFERROR(VLOOKUP($C130,'01_Warehouse_Ledger'!$A$2:$C$2002,3,FALSE),"")))</f>
        <v/>
      </c>
      <c r="G130" s="41"/>
    </row>
    <row r="131" spans="1:7">
      <c r="A131" s="38"/>
      <c r="D131" t="str">
        <f>IF($C131="","",IFERROR(LOOKUP(2,1/($C$2:INDEX($C:$C,ROW()-1)=$C131),$E$2:INDEX($E:$E,ROW()-1)),IFERROR(VLOOKUP($C131,'01_Warehouse_Ledger'!$A$2:$C$2002,3,FALSE),"")))</f>
        <v/>
      </c>
      <c r="G131" s="41"/>
    </row>
    <row r="132" spans="1:7">
      <c r="A132" s="38"/>
      <c r="D132" t="str">
        <f>IF($C132="","",IFERROR(LOOKUP(2,1/($C$2:INDEX($C:$C,ROW()-1)=$C132),$E$2:INDEX($E:$E,ROW()-1)),IFERROR(VLOOKUP($C132,'01_Warehouse_Ledger'!$A$2:$C$2002,3,FALSE),"")))</f>
        <v/>
      </c>
      <c r="G132" s="41"/>
    </row>
    <row r="133" spans="1:7">
      <c r="A133" s="38"/>
      <c r="D133" t="str">
        <f>IF($C133="","",IFERROR(LOOKUP(2,1/($C$2:INDEX($C:$C,ROW()-1)=$C133),$E$2:INDEX($E:$E,ROW()-1)),IFERROR(VLOOKUP($C133,'01_Warehouse_Ledger'!$A$2:$C$2002,3,FALSE),"")))</f>
        <v/>
      </c>
      <c r="G133" s="41"/>
    </row>
    <row r="134" spans="1:7">
      <c r="A134" s="38"/>
      <c r="D134" t="str">
        <f>IF($C134="","",IFERROR(LOOKUP(2,1/($C$2:INDEX($C:$C,ROW()-1)=$C134),$E$2:INDEX($E:$E,ROW()-1)),IFERROR(VLOOKUP($C134,'01_Warehouse_Ledger'!$A$2:$C$2002,3,FALSE),"")))</f>
        <v/>
      </c>
      <c r="G134" s="41"/>
    </row>
    <row r="135" spans="1:7">
      <c r="A135" s="38"/>
      <c r="D135" t="str">
        <f>IF($C135="","",IFERROR(LOOKUP(2,1/($C$2:INDEX($C:$C,ROW()-1)=$C135),$E$2:INDEX($E:$E,ROW()-1)),IFERROR(VLOOKUP($C135,'01_Warehouse_Ledger'!$A$2:$C$2002,3,FALSE),"")))</f>
        <v/>
      </c>
      <c r="G135" s="41"/>
    </row>
    <row r="136" spans="1:7">
      <c r="A136" s="38"/>
      <c r="D136" t="str">
        <f>IF($C136="","",IFERROR(LOOKUP(2,1/($C$2:INDEX($C:$C,ROW()-1)=$C136),$E$2:INDEX($E:$E,ROW()-1)),IFERROR(VLOOKUP($C136,'01_Warehouse_Ledger'!$A$2:$C$2002,3,FALSE),"")))</f>
        <v/>
      </c>
      <c r="G136" s="41"/>
    </row>
    <row r="137" spans="1:7">
      <c r="A137" s="38"/>
      <c r="D137" t="str">
        <f>IF($C137="","",IFERROR(LOOKUP(2,1/($C$2:INDEX($C:$C,ROW()-1)=$C137),$E$2:INDEX($E:$E,ROW()-1)),IFERROR(VLOOKUP($C137,'01_Warehouse_Ledger'!$A$2:$C$2002,3,FALSE),"")))</f>
        <v/>
      </c>
      <c r="G137" s="41"/>
    </row>
    <row r="138" spans="1:7">
      <c r="A138" s="38"/>
      <c r="D138" t="str">
        <f>IF($C138="","",IFERROR(LOOKUP(2,1/($C$2:INDEX($C:$C,ROW()-1)=$C138),$E$2:INDEX($E:$E,ROW()-1)),IFERROR(VLOOKUP($C138,'01_Warehouse_Ledger'!$A$2:$C$2002,3,FALSE),"")))</f>
        <v/>
      </c>
      <c r="G138" s="41"/>
    </row>
    <row r="139" spans="1:7">
      <c r="A139" s="38"/>
      <c r="D139" t="str">
        <f>IF($C139="","",IFERROR(LOOKUP(2,1/($C$2:INDEX($C:$C,ROW()-1)=$C139),$E$2:INDEX($E:$E,ROW()-1)),IFERROR(VLOOKUP($C139,'01_Warehouse_Ledger'!$A$2:$C$2002,3,FALSE),"")))</f>
        <v/>
      </c>
      <c r="G139" s="41"/>
    </row>
    <row r="140" spans="1:7">
      <c r="A140" s="38"/>
      <c r="D140" t="str">
        <f>IF($C140="","",IFERROR(LOOKUP(2,1/($C$2:INDEX($C:$C,ROW()-1)=$C140),$E$2:INDEX($E:$E,ROW()-1)),IFERROR(VLOOKUP($C140,'01_Warehouse_Ledger'!$A$2:$C$2002,3,FALSE),"")))</f>
        <v/>
      </c>
      <c r="G140" s="41"/>
    </row>
    <row r="141" spans="1:7">
      <c r="A141" s="38"/>
      <c r="D141" t="str">
        <f>IF($C141="","",IFERROR(LOOKUP(2,1/($C$2:INDEX($C:$C,ROW()-1)=$C141),$E$2:INDEX($E:$E,ROW()-1)),IFERROR(VLOOKUP($C141,'01_Warehouse_Ledger'!$A$2:$C$2002,3,FALSE),"")))</f>
        <v/>
      </c>
      <c r="G141" s="41"/>
    </row>
    <row r="142" spans="1:7">
      <c r="A142" s="38"/>
      <c r="D142" t="str">
        <f>IF($C142="","",IFERROR(LOOKUP(2,1/($C$2:INDEX($C:$C,ROW()-1)=$C142),$E$2:INDEX($E:$E,ROW()-1)),IFERROR(VLOOKUP($C142,'01_Warehouse_Ledger'!$A$2:$C$2002,3,FALSE),"")))</f>
        <v/>
      </c>
      <c r="G142" s="41"/>
    </row>
    <row r="143" spans="1:7">
      <c r="A143" s="38"/>
      <c r="D143" t="str">
        <f>IF($C143="","",IFERROR(LOOKUP(2,1/($C$2:INDEX($C:$C,ROW()-1)=$C143),$E$2:INDEX($E:$E,ROW()-1)),IFERROR(VLOOKUP($C143,'01_Warehouse_Ledger'!$A$2:$C$2002,3,FALSE),"")))</f>
        <v/>
      </c>
      <c r="G143" s="41"/>
    </row>
    <row r="144" spans="1:7">
      <c r="A144" s="38"/>
      <c r="D144" t="str">
        <f>IF($C144="","",IFERROR(LOOKUP(2,1/($C$2:INDEX($C:$C,ROW()-1)=$C144),$E$2:INDEX($E:$E,ROW()-1)),IFERROR(VLOOKUP($C144,'01_Warehouse_Ledger'!$A$2:$C$2002,3,FALSE),"")))</f>
        <v/>
      </c>
      <c r="G144" s="41"/>
    </row>
    <row r="145" spans="1:7">
      <c r="A145" s="38"/>
      <c r="D145" t="str">
        <f>IF($C145="","",IFERROR(LOOKUP(2,1/($C$2:INDEX($C:$C,ROW()-1)=$C145),$E$2:INDEX($E:$E,ROW()-1)),IFERROR(VLOOKUP($C145,'01_Warehouse_Ledger'!$A$2:$C$2002,3,FALSE),"")))</f>
        <v/>
      </c>
      <c r="G145" s="41"/>
    </row>
    <row r="146" spans="1:7">
      <c r="A146" s="38"/>
      <c r="D146" t="str">
        <f>IF($C146="","",IFERROR(LOOKUP(2,1/($C$2:INDEX($C:$C,ROW()-1)=$C146),$E$2:INDEX($E:$E,ROW()-1)),IFERROR(VLOOKUP($C146,'01_Warehouse_Ledger'!$A$2:$C$2002,3,FALSE),"")))</f>
        <v/>
      </c>
      <c r="G146" s="41"/>
    </row>
    <row r="147" spans="1:7">
      <c r="A147" s="38"/>
      <c r="D147" t="str">
        <f>IF($C147="","",IFERROR(LOOKUP(2,1/($C$2:INDEX($C:$C,ROW()-1)=$C147),$E$2:INDEX($E:$E,ROW()-1)),IFERROR(VLOOKUP($C147,'01_Warehouse_Ledger'!$A$2:$C$2002,3,FALSE),"")))</f>
        <v/>
      </c>
      <c r="G147" s="41"/>
    </row>
    <row r="148" spans="1:7">
      <c r="A148" s="38"/>
      <c r="D148" t="str">
        <f>IF($C148="","",IFERROR(LOOKUP(2,1/($C$2:INDEX($C:$C,ROW()-1)=$C148),$E$2:INDEX($E:$E,ROW()-1)),IFERROR(VLOOKUP($C148,'01_Warehouse_Ledger'!$A$2:$C$2002,3,FALSE),"")))</f>
        <v/>
      </c>
      <c r="G148" s="41"/>
    </row>
    <row r="149" spans="1:7">
      <c r="A149" s="38"/>
      <c r="D149" t="str">
        <f>IF($C149="","",IFERROR(LOOKUP(2,1/($C$2:INDEX($C:$C,ROW()-1)=$C149),$E$2:INDEX($E:$E,ROW()-1)),IFERROR(VLOOKUP($C149,'01_Warehouse_Ledger'!$A$2:$C$2002,3,FALSE),"")))</f>
        <v/>
      </c>
      <c r="G149" s="41"/>
    </row>
    <row r="150" spans="1:7">
      <c r="A150" s="38"/>
      <c r="D150" t="str">
        <f>IF($C150="","",IFERROR(LOOKUP(2,1/($C$2:INDEX($C:$C,ROW()-1)=$C150),$E$2:INDEX($E:$E,ROW()-1)),IFERROR(VLOOKUP($C150,'01_Warehouse_Ledger'!$A$2:$C$2002,3,FALSE),"")))</f>
        <v/>
      </c>
      <c r="G150" s="41"/>
    </row>
    <row r="151" spans="1:7">
      <c r="A151" s="38"/>
      <c r="D151" t="str">
        <f>IF($C151="","",IFERROR(LOOKUP(2,1/($C$2:INDEX($C:$C,ROW()-1)=$C151),$E$2:INDEX($E:$E,ROW()-1)),IFERROR(VLOOKUP($C151,'01_Warehouse_Ledger'!$A$2:$C$2002,3,FALSE),"")))</f>
        <v/>
      </c>
      <c r="G151" s="41"/>
    </row>
    <row r="152" spans="1:7">
      <c r="A152" s="38"/>
      <c r="D152" t="str">
        <f>IF($C152="","",IFERROR(LOOKUP(2,1/($C$2:INDEX($C:$C,ROW()-1)=$C152),$E$2:INDEX($E:$E,ROW()-1)),IFERROR(VLOOKUP($C152,'01_Warehouse_Ledger'!$A$2:$C$2002,3,FALSE),"")))</f>
        <v/>
      </c>
      <c r="G152" s="41"/>
    </row>
    <row r="153" spans="1:7">
      <c r="A153" s="38"/>
      <c r="D153" t="str">
        <f>IF($C153="","",IFERROR(LOOKUP(2,1/($C$2:INDEX($C:$C,ROW()-1)=$C153),$E$2:INDEX($E:$E,ROW()-1)),IFERROR(VLOOKUP($C153,'01_Warehouse_Ledger'!$A$2:$C$2002,3,FALSE),"")))</f>
        <v/>
      </c>
      <c r="G153" s="41"/>
    </row>
    <row r="154" spans="1:7">
      <c r="A154" s="38"/>
      <c r="D154" t="str">
        <f>IF($C154="","",IFERROR(LOOKUP(2,1/($C$2:INDEX($C:$C,ROW()-1)=$C154),$E$2:INDEX($E:$E,ROW()-1)),IFERROR(VLOOKUP($C154,'01_Warehouse_Ledger'!$A$2:$C$2002,3,FALSE),"")))</f>
        <v/>
      </c>
      <c r="G154" s="41"/>
    </row>
    <row r="155" spans="1:7">
      <c r="A155" s="38"/>
      <c r="D155" t="str">
        <f>IF($C155="","",IFERROR(LOOKUP(2,1/($C$2:INDEX($C:$C,ROW()-1)=$C155),$E$2:INDEX($E:$E,ROW()-1)),IFERROR(VLOOKUP($C155,'01_Warehouse_Ledger'!$A$2:$C$2002,3,FALSE),"")))</f>
        <v/>
      </c>
      <c r="G155" s="41"/>
    </row>
    <row r="156" spans="1:7">
      <c r="A156" s="38"/>
      <c r="D156" t="str">
        <f>IF($C156="","",IFERROR(LOOKUP(2,1/($C$2:INDEX($C:$C,ROW()-1)=$C156),$E$2:INDEX($E:$E,ROW()-1)),IFERROR(VLOOKUP($C156,'01_Warehouse_Ledger'!$A$2:$C$2002,3,FALSE),"")))</f>
        <v/>
      </c>
      <c r="G156" s="41"/>
    </row>
    <row r="157" spans="1:7">
      <c r="A157" s="38"/>
      <c r="D157" t="str">
        <f>IF($C157="","",IFERROR(LOOKUP(2,1/($C$2:INDEX($C:$C,ROW()-1)=$C157),$E$2:INDEX($E:$E,ROW()-1)),IFERROR(VLOOKUP($C157,'01_Warehouse_Ledger'!$A$2:$C$2002,3,FALSE),"")))</f>
        <v/>
      </c>
      <c r="G157" s="41"/>
    </row>
    <row r="158" spans="1:7">
      <c r="A158" s="38"/>
      <c r="D158" t="str">
        <f>IF($C158="","",IFERROR(LOOKUP(2,1/($C$2:INDEX($C:$C,ROW()-1)=$C158),$E$2:INDEX($E:$E,ROW()-1)),IFERROR(VLOOKUP($C158,'01_Warehouse_Ledger'!$A$2:$C$2002,3,FALSE),"")))</f>
        <v/>
      </c>
      <c r="G158" s="41"/>
    </row>
    <row r="159" spans="1:7">
      <c r="A159" s="38"/>
      <c r="D159" t="str">
        <f>IF($C159="","",IFERROR(LOOKUP(2,1/($C$2:INDEX($C:$C,ROW()-1)=$C159),$E$2:INDEX($E:$E,ROW()-1)),IFERROR(VLOOKUP($C159,'01_Warehouse_Ledger'!$A$2:$C$2002,3,FALSE),"")))</f>
        <v/>
      </c>
      <c r="G159" s="41"/>
    </row>
    <row r="160" spans="1:7">
      <c r="A160" s="38"/>
      <c r="D160" t="str">
        <f>IF($C160="","",IFERROR(LOOKUP(2,1/($C$2:INDEX($C:$C,ROW()-1)=$C160),$E$2:INDEX($E:$E,ROW()-1)),IFERROR(VLOOKUP($C160,'01_Warehouse_Ledger'!$A$2:$C$2002,3,FALSE),"")))</f>
        <v/>
      </c>
      <c r="G160" s="41"/>
    </row>
    <row r="161" spans="1:7">
      <c r="A161" s="38"/>
      <c r="D161" t="str">
        <f>IF($C161="","",IFERROR(LOOKUP(2,1/($C$2:INDEX($C:$C,ROW()-1)=$C161),$E$2:INDEX($E:$E,ROW()-1)),IFERROR(VLOOKUP($C161,'01_Warehouse_Ledger'!$A$2:$C$2002,3,FALSE),"")))</f>
        <v/>
      </c>
      <c r="G161" s="41"/>
    </row>
    <row r="162" spans="1:7">
      <c r="A162" s="38"/>
      <c r="D162" t="str">
        <f>IF($C162="","",IFERROR(LOOKUP(2,1/($C$2:INDEX($C:$C,ROW()-1)=$C162),$E$2:INDEX($E:$E,ROW()-1)),IFERROR(VLOOKUP($C162,'01_Warehouse_Ledger'!$A$2:$C$2002,3,FALSE),"")))</f>
        <v/>
      </c>
      <c r="G162" s="41"/>
    </row>
    <row r="163" spans="1:7">
      <c r="A163" s="38"/>
      <c r="D163" t="str">
        <f>IF($C163="","",IFERROR(LOOKUP(2,1/($C$2:INDEX($C:$C,ROW()-1)=$C163),$E$2:INDEX($E:$E,ROW()-1)),IFERROR(VLOOKUP($C163,'01_Warehouse_Ledger'!$A$2:$C$2002,3,FALSE),"")))</f>
        <v/>
      </c>
      <c r="G163" s="41"/>
    </row>
    <row r="164" spans="1:7">
      <c r="A164" s="38"/>
      <c r="D164" t="str">
        <f>IF($C164="","",IFERROR(LOOKUP(2,1/($C$2:INDEX($C:$C,ROW()-1)=$C164),$E$2:INDEX($E:$E,ROW()-1)),IFERROR(VLOOKUP($C164,'01_Warehouse_Ledger'!$A$2:$C$2002,3,FALSE),"")))</f>
        <v/>
      </c>
      <c r="G164" s="41"/>
    </row>
    <row r="165" spans="1:7">
      <c r="A165" s="38"/>
      <c r="D165" t="str">
        <f>IF($C165="","",IFERROR(LOOKUP(2,1/($C$2:INDEX($C:$C,ROW()-1)=$C165),$E$2:INDEX($E:$E,ROW()-1)),IFERROR(VLOOKUP($C165,'01_Warehouse_Ledger'!$A$2:$C$2002,3,FALSE),"")))</f>
        <v/>
      </c>
      <c r="G165" s="41"/>
    </row>
    <row r="166" spans="1:7">
      <c r="A166" s="38"/>
      <c r="D166" t="str">
        <f>IF($C166="","",IFERROR(LOOKUP(2,1/($C$2:INDEX($C:$C,ROW()-1)=$C166),$E$2:INDEX($E:$E,ROW()-1)),IFERROR(VLOOKUP($C166,'01_Warehouse_Ledger'!$A$2:$C$2002,3,FALSE),"")))</f>
        <v/>
      </c>
      <c r="G166" s="41"/>
    </row>
    <row r="167" spans="1:7">
      <c r="A167" s="38"/>
      <c r="D167" t="str">
        <f>IF($C167="","",IFERROR(LOOKUP(2,1/($C$2:INDEX($C:$C,ROW()-1)=$C167),$E$2:INDEX($E:$E,ROW()-1)),IFERROR(VLOOKUP($C167,'01_Warehouse_Ledger'!$A$2:$C$2002,3,FALSE),"")))</f>
        <v/>
      </c>
      <c r="G167" s="41"/>
    </row>
    <row r="168" spans="1:7">
      <c r="A168" s="38"/>
      <c r="D168" t="str">
        <f>IF($C168="","",IFERROR(LOOKUP(2,1/($C$2:INDEX($C:$C,ROW()-1)=$C168),$E$2:INDEX($E:$E,ROW()-1)),IFERROR(VLOOKUP($C168,'01_Warehouse_Ledger'!$A$2:$C$2002,3,FALSE),"")))</f>
        <v/>
      </c>
      <c r="G168" s="41"/>
    </row>
    <row r="169" spans="1:7">
      <c r="A169" s="38"/>
      <c r="D169" t="str">
        <f>IF($C169="","",IFERROR(LOOKUP(2,1/($C$2:INDEX($C:$C,ROW()-1)=$C169),$E$2:INDEX($E:$E,ROW()-1)),IFERROR(VLOOKUP($C169,'01_Warehouse_Ledger'!$A$2:$C$2002,3,FALSE),"")))</f>
        <v/>
      </c>
      <c r="G169" s="41"/>
    </row>
    <row r="170" spans="1:7">
      <c r="A170" s="38"/>
      <c r="D170" t="str">
        <f>IF($C170="","",IFERROR(LOOKUP(2,1/($C$2:INDEX($C:$C,ROW()-1)=$C170),$E$2:INDEX($E:$E,ROW()-1)),IFERROR(VLOOKUP($C170,'01_Warehouse_Ledger'!$A$2:$C$2002,3,FALSE),"")))</f>
        <v/>
      </c>
      <c r="G170" s="41"/>
    </row>
    <row r="171" spans="1:7">
      <c r="A171" s="38"/>
      <c r="D171" t="str">
        <f>IF($C171="","",IFERROR(LOOKUP(2,1/($C$2:INDEX($C:$C,ROW()-1)=$C171),$E$2:INDEX($E:$E,ROW()-1)),IFERROR(VLOOKUP($C171,'01_Warehouse_Ledger'!$A$2:$C$2002,3,FALSE),"")))</f>
        <v/>
      </c>
      <c r="G171" s="41"/>
    </row>
    <row r="172" spans="1:7">
      <c r="A172" s="38"/>
      <c r="D172" t="str">
        <f>IF($C172="","",IFERROR(LOOKUP(2,1/($C$2:INDEX($C:$C,ROW()-1)=$C172),$E$2:INDEX($E:$E,ROW()-1)),IFERROR(VLOOKUP($C172,'01_Warehouse_Ledger'!$A$2:$C$2002,3,FALSE),"")))</f>
        <v/>
      </c>
      <c r="G172" s="41"/>
    </row>
    <row r="173" spans="1:7">
      <c r="A173" s="38"/>
      <c r="D173" t="str">
        <f>IF($C173="","",IFERROR(LOOKUP(2,1/($C$2:INDEX($C:$C,ROW()-1)=$C173),$E$2:INDEX($E:$E,ROW()-1)),IFERROR(VLOOKUP($C173,'01_Warehouse_Ledger'!$A$2:$C$2002,3,FALSE),"")))</f>
        <v/>
      </c>
      <c r="G173" s="41"/>
    </row>
    <row r="174" spans="1:7">
      <c r="A174" s="38"/>
      <c r="D174" t="str">
        <f>IF($C174="","",IFERROR(LOOKUP(2,1/($C$2:INDEX($C:$C,ROW()-1)=$C174),$E$2:INDEX($E:$E,ROW()-1)),IFERROR(VLOOKUP($C174,'01_Warehouse_Ledger'!$A$2:$C$2002,3,FALSE),"")))</f>
        <v/>
      </c>
      <c r="G174" s="41"/>
    </row>
    <row r="175" spans="1:7">
      <c r="A175" s="38"/>
      <c r="D175" t="str">
        <f>IF($C175="","",IFERROR(LOOKUP(2,1/($C$2:INDEX($C:$C,ROW()-1)=$C175),$E$2:INDEX($E:$E,ROW()-1)),IFERROR(VLOOKUP($C175,'01_Warehouse_Ledger'!$A$2:$C$2002,3,FALSE),"")))</f>
        <v/>
      </c>
      <c r="G175" s="41"/>
    </row>
    <row r="176" spans="1:7">
      <c r="A176" s="38"/>
      <c r="D176" t="str">
        <f>IF($C176="","",IFERROR(LOOKUP(2,1/($C$2:INDEX($C:$C,ROW()-1)=$C176),$E$2:INDEX($E:$E,ROW()-1)),IFERROR(VLOOKUP($C176,'01_Warehouse_Ledger'!$A$2:$C$2002,3,FALSE),"")))</f>
        <v/>
      </c>
      <c r="G176" s="41"/>
    </row>
    <row r="177" spans="1:7">
      <c r="A177" s="38"/>
      <c r="D177" t="str">
        <f>IF($C177="","",IFERROR(LOOKUP(2,1/($C$2:INDEX($C:$C,ROW()-1)=$C177),$E$2:INDEX($E:$E,ROW()-1)),IFERROR(VLOOKUP($C177,'01_Warehouse_Ledger'!$A$2:$C$2002,3,FALSE),"")))</f>
        <v/>
      </c>
      <c r="G177" s="41"/>
    </row>
    <row r="178" spans="1:7">
      <c r="A178" s="38"/>
      <c r="D178" t="str">
        <f>IF($C178="","",IFERROR(LOOKUP(2,1/($C$2:INDEX($C:$C,ROW()-1)=$C178),$E$2:INDEX($E:$E,ROW()-1)),IFERROR(VLOOKUP($C178,'01_Warehouse_Ledger'!$A$2:$C$2002,3,FALSE),"")))</f>
        <v/>
      </c>
      <c r="G178" s="41"/>
    </row>
    <row r="179" spans="1:7">
      <c r="A179" s="38"/>
      <c r="D179" t="str">
        <f>IF($C179="","",IFERROR(LOOKUP(2,1/($C$2:INDEX($C:$C,ROW()-1)=$C179),$E$2:INDEX($E:$E,ROW()-1)),IFERROR(VLOOKUP($C179,'01_Warehouse_Ledger'!$A$2:$C$2002,3,FALSE),"")))</f>
        <v/>
      </c>
      <c r="G179" s="41"/>
    </row>
    <row r="180" spans="1:7">
      <c r="A180" s="38"/>
      <c r="D180" t="str">
        <f>IF($C180="","",IFERROR(LOOKUP(2,1/($C$2:INDEX($C:$C,ROW()-1)=$C180),$E$2:INDEX($E:$E,ROW()-1)),IFERROR(VLOOKUP($C180,'01_Warehouse_Ledger'!$A$2:$C$2002,3,FALSE),"")))</f>
        <v/>
      </c>
      <c r="G180" s="41"/>
    </row>
    <row r="181" spans="1:7">
      <c r="A181" s="38"/>
      <c r="D181" t="str">
        <f>IF($C181="","",IFERROR(LOOKUP(2,1/($C$2:INDEX($C:$C,ROW()-1)=$C181),$E$2:INDEX($E:$E,ROW()-1)),IFERROR(VLOOKUP($C181,'01_Warehouse_Ledger'!$A$2:$C$2002,3,FALSE),"")))</f>
        <v/>
      </c>
      <c r="G181" s="41"/>
    </row>
    <row r="182" spans="1:7">
      <c r="A182" s="38"/>
      <c r="D182" t="str">
        <f>IF($C182="","",IFERROR(LOOKUP(2,1/($C$2:INDEX($C:$C,ROW()-1)=$C182),$E$2:INDEX($E:$E,ROW()-1)),IFERROR(VLOOKUP($C182,'01_Warehouse_Ledger'!$A$2:$C$2002,3,FALSE),"")))</f>
        <v/>
      </c>
      <c r="G182" s="41"/>
    </row>
    <row r="183" spans="1:7">
      <c r="A183" s="38"/>
      <c r="D183" t="str">
        <f>IF($C183="","",IFERROR(LOOKUP(2,1/($C$2:INDEX($C:$C,ROW()-1)=$C183),$E$2:INDEX($E:$E,ROW()-1)),IFERROR(VLOOKUP($C183,'01_Warehouse_Ledger'!$A$2:$C$2002,3,FALSE),"")))</f>
        <v/>
      </c>
      <c r="G183" s="41"/>
    </row>
    <row r="184" spans="1:7">
      <c r="A184" s="38"/>
      <c r="D184" t="str">
        <f>IF($C184="","",IFERROR(LOOKUP(2,1/($C$2:INDEX($C:$C,ROW()-1)=$C184),$E$2:INDEX($E:$E,ROW()-1)),IFERROR(VLOOKUP($C184,'01_Warehouse_Ledger'!$A$2:$C$2002,3,FALSE),"")))</f>
        <v/>
      </c>
      <c r="G184" s="41"/>
    </row>
    <row r="185" spans="1:7">
      <c r="A185" s="38"/>
      <c r="D185" t="str">
        <f>IF($C185="","",IFERROR(LOOKUP(2,1/($C$2:INDEX($C:$C,ROW()-1)=$C185),$E$2:INDEX($E:$E,ROW()-1)),IFERROR(VLOOKUP($C185,'01_Warehouse_Ledger'!$A$2:$C$2002,3,FALSE),"")))</f>
        <v/>
      </c>
      <c r="G185" s="41"/>
    </row>
    <row r="186" spans="1:7">
      <c r="A186" s="38"/>
      <c r="D186" t="str">
        <f>IF($C186="","",IFERROR(LOOKUP(2,1/($C$2:INDEX($C:$C,ROW()-1)=$C186),$E$2:INDEX($E:$E,ROW()-1)),IFERROR(VLOOKUP($C186,'01_Warehouse_Ledger'!$A$2:$C$2002,3,FALSE),"")))</f>
        <v/>
      </c>
      <c r="G186" s="41"/>
    </row>
    <row r="187" spans="1:7">
      <c r="A187" s="38"/>
      <c r="D187" t="str">
        <f>IF($C187="","",IFERROR(LOOKUP(2,1/($C$2:INDEX($C:$C,ROW()-1)=$C187),$E$2:INDEX($E:$E,ROW()-1)),IFERROR(VLOOKUP($C187,'01_Warehouse_Ledger'!$A$2:$C$2002,3,FALSE),"")))</f>
        <v/>
      </c>
      <c r="G187" s="41"/>
    </row>
    <row r="188" spans="1:7">
      <c r="A188" s="38"/>
      <c r="D188" t="str">
        <f>IF($C188="","",IFERROR(LOOKUP(2,1/($C$2:INDEX($C:$C,ROW()-1)=$C188),$E$2:INDEX($E:$E,ROW()-1)),IFERROR(VLOOKUP($C188,'01_Warehouse_Ledger'!$A$2:$C$2002,3,FALSE),"")))</f>
        <v/>
      </c>
      <c r="G188" s="41"/>
    </row>
    <row r="189" spans="1:7">
      <c r="A189" s="38"/>
      <c r="D189" t="str">
        <f>IF($C189="","",IFERROR(LOOKUP(2,1/($C$2:INDEX($C:$C,ROW()-1)=$C189),$E$2:INDEX($E:$E,ROW()-1)),IFERROR(VLOOKUP($C189,'01_Warehouse_Ledger'!$A$2:$C$2002,3,FALSE),"")))</f>
        <v/>
      </c>
      <c r="G189" s="41"/>
    </row>
    <row r="190" spans="1:7">
      <c r="A190" s="38"/>
      <c r="D190" t="str">
        <f>IF($C190="","",IFERROR(LOOKUP(2,1/($C$2:INDEX($C:$C,ROW()-1)=$C190),$E$2:INDEX($E:$E,ROW()-1)),IFERROR(VLOOKUP($C190,'01_Warehouse_Ledger'!$A$2:$C$2002,3,FALSE),"")))</f>
        <v/>
      </c>
      <c r="G190" s="41"/>
    </row>
    <row r="191" spans="1:7">
      <c r="A191" s="38"/>
      <c r="D191" t="str">
        <f>IF($C191="","",IFERROR(LOOKUP(2,1/($C$2:INDEX($C:$C,ROW()-1)=$C191),$E$2:INDEX($E:$E,ROW()-1)),IFERROR(VLOOKUP($C191,'01_Warehouse_Ledger'!$A$2:$C$2002,3,FALSE),"")))</f>
        <v/>
      </c>
      <c r="G191" s="41"/>
    </row>
    <row r="192" spans="1:7">
      <c r="A192" s="38"/>
      <c r="D192" t="str">
        <f>IF($C192="","",IFERROR(LOOKUP(2,1/($C$2:INDEX($C:$C,ROW()-1)=$C192),$E$2:INDEX($E:$E,ROW()-1)),IFERROR(VLOOKUP($C192,'01_Warehouse_Ledger'!$A$2:$C$2002,3,FALSE),"")))</f>
        <v/>
      </c>
      <c r="G192" s="41"/>
    </row>
    <row r="193" spans="1:7">
      <c r="A193" s="38"/>
      <c r="D193" t="str">
        <f>IF($C193="","",IFERROR(LOOKUP(2,1/($C$2:INDEX($C:$C,ROW()-1)=$C193),$E$2:INDEX($E:$E,ROW()-1)),IFERROR(VLOOKUP($C193,'01_Warehouse_Ledger'!$A$2:$C$2002,3,FALSE),"")))</f>
        <v/>
      </c>
      <c r="G193" s="41"/>
    </row>
    <row r="194" spans="1:7">
      <c r="A194" s="38"/>
      <c r="D194" t="str">
        <f>IF($C194="","",IFERROR(LOOKUP(2,1/($C$2:INDEX($C:$C,ROW()-1)=$C194),$E$2:INDEX($E:$E,ROW()-1)),IFERROR(VLOOKUP($C194,'01_Warehouse_Ledger'!$A$2:$C$2002,3,FALSE),"")))</f>
        <v/>
      </c>
      <c r="G194" s="41"/>
    </row>
    <row r="195" spans="1:7">
      <c r="A195" s="38"/>
      <c r="D195" t="str">
        <f>IF($C195="","",IFERROR(LOOKUP(2,1/($C$2:INDEX($C:$C,ROW()-1)=$C195),$E$2:INDEX($E:$E,ROW()-1)),IFERROR(VLOOKUP($C195,'01_Warehouse_Ledger'!$A$2:$C$2002,3,FALSE),"")))</f>
        <v/>
      </c>
      <c r="G195" s="41"/>
    </row>
    <row r="196" spans="1:7">
      <c r="A196" s="38"/>
      <c r="D196" t="str">
        <f>IF($C196="","",IFERROR(LOOKUP(2,1/($C$2:INDEX($C:$C,ROW()-1)=$C196),$E$2:INDEX($E:$E,ROW()-1)),IFERROR(VLOOKUP($C196,'01_Warehouse_Ledger'!$A$2:$C$2002,3,FALSE),"")))</f>
        <v/>
      </c>
      <c r="G196" s="41"/>
    </row>
    <row r="197" spans="1:7">
      <c r="A197" s="38"/>
      <c r="D197" t="str">
        <f>IF($C197="","",IFERROR(LOOKUP(2,1/($C$2:INDEX($C:$C,ROW()-1)=$C197),$E$2:INDEX($E:$E,ROW()-1)),IFERROR(VLOOKUP($C197,'01_Warehouse_Ledger'!$A$2:$C$2002,3,FALSE),"")))</f>
        <v/>
      </c>
      <c r="G197" s="41"/>
    </row>
    <row r="198" spans="1:7">
      <c r="A198" s="38"/>
      <c r="D198" t="str">
        <f>IF($C198="","",IFERROR(LOOKUP(2,1/($C$2:INDEX($C:$C,ROW()-1)=$C198),$E$2:INDEX($E:$E,ROW()-1)),IFERROR(VLOOKUP($C198,'01_Warehouse_Ledger'!$A$2:$C$2002,3,FALSE),"")))</f>
        <v/>
      </c>
      <c r="G198" s="41"/>
    </row>
    <row r="199" spans="1:7">
      <c r="A199" s="38"/>
      <c r="D199" t="str">
        <f>IF($C199="","",IFERROR(LOOKUP(2,1/($C$2:INDEX($C:$C,ROW()-1)=$C199),$E$2:INDEX($E:$E,ROW()-1)),IFERROR(VLOOKUP($C199,'01_Warehouse_Ledger'!$A$2:$C$2002,3,FALSE),"")))</f>
        <v/>
      </c>
      <c r="G199" s="41"/>
    </row>
    <row r="200" spans="1:7">
      <c r="A200" s="38"/>
      <c r="D200" t="str">
        <f>IF($C200="","",IFERROR(LOOKUP(2,1/($C$2:INDEX($C:$C,ROW()-1)=$C200),$E$2:INDEX($E:$E,ROW()-1)),IFERROR(VLOOKUP($C200,'01_Warehouse_Ledger'!$A$2:$C$2002,3,FALSE),"")))</f>
        <v/>
      </c>
      <c r="G200" s="41"/>
    </row>
    <row r="201" spans="1:7">
      <c r="A201" s="38"/>
      <c r="D201" t="str">
        <f>IF($C201="","",IFERROR(LOOKUP(2,1/($C$2:INDEX($C:$C,ROW()-1)=$C201),$E$2:INDEX($E:$E,ROW()-1)),IFERROR(VLOOKUP($C201,'01_Warehouse_Ledger'!$A$2:$C$2002,3,FALSE),"")))</f>
        <v/>
      </c>
      <c r="G201" s="41"/>
    </row>
    <row r="202" spans="1:7">
      <c r="A202" s="38"/>
      <c r="D202" t="str">
        <f>IF($C202="","",IFERROR(LOOKUP(2,1/($C$2:INDEX($C:$C,ROW()-1)=$C202),$E$2:INDEX($E:$E,ROW()-1)),IFERROR(VLOOKUP($C202,'01_Warehouse_Ledger'!$A$2:$C$2002,3,FALSE),"")))</f>
        <v/>
      </c>
      <c r="G202" s="41"/>
    </row>
    <row r="203" spans="1:7">
      <c r="A203" s="38"/>
      <c r="D203" t="str">
        <f>IF($C203="","",IFERROR(LOOKUP(2,1/($C$2:INDEX($C:$C,ROW()-1)=$C203),$E$2:INDEX($E:$E,ROW()-1)),IFERROR(VLOOKUP($C203,'01_Warehouse_Ledger'!$A$2:$C$2002,3,FALSE),"")))</f>
        <v/>
      </c>
      <c r="G203" s="41"/>
    </row>
    <row r="204" spans="1:7">
      <c r="A204" s="38"/>
      <c r="D204" t="str">
        <f>IF($C204="","",IFERROR(LOOKUP(2,1/($C$2:INDEX($C:$C,ROW()-1)=$C204),$E$2:INDEX($E:$E,ROW()-1)),IFERROR(VLOOKUP($C204,'01_Warehouse_Ledger'!$A$2:$C$2002,3,FALSE),"")))</f>
        <v/>
      </c>
      <c r="G204" s="41"/>
    </row>
    <row r="205" spans="1:7">
      <c r="A205" s="38"/>
      <c r="D205" t="str">
        <f>IF($C205="","",IFERROR(LOOKUP(2,1/($C$2:INDEX($C:$C,ROW()-1)=$C205),$E$2:INDEX($E:$E,ROW()-1)),IFERROR(VLOOKUP($C205,'01_Warehouse_Ledger'!$A$2:$C$2002,3,FALSE),"")))</f>
        <v/>
      </c>
      <c r="G205" s="41"/>
    </row>
    <row r="206" spans="1:7">
      <c r="A206" s="38"/>
      <c r="D206" t="str">
        <f>IF($C206="","",IFERROR(LOOKUP(2,1/($C$2:INDEX($C:$C,ROW()-1)=$C206),$E$2:INDEX($E:$E,ROW()-1)),IFERROR(VLOOKUP($C206,'01_Warehouse_Ledger'!$A$2:$C$2002,3,FALSE),"")))</f>
        <v/>
      </c>
      <c r="G206" s="41"/>
    </row>
    <row r="207" spans="1:7">
      <c r="A207" s="38"/>
      <c r="D207" t="str">
        <f>IF($C207="","",IFERROR(LOOKUP(2,1/($C$2:INDEX($C:$C,ROW()-1)=$C207),$E$2:INDEX($E:$E,ROW()-1)),IFERROR(VLOOKUP($C207,'01_Warehouse_Ledger'!$A$2:$C$2002,3,FALSE),"")))</f>
        <v/>
      </c>
      <c r="G207" s="41"/>
    </row>
    <row r="208" spans="1:7">
      <c r="A208" s="38"/>
      <c r="D208" t="str">
        <f>IF($C208="","",IFERROR(LOOKUP(2,1/($C$2:INDEX($C:$C,ROW()-1)=$C208),$E$2:INDEX($E:$E,ROW()-1)),IFERROR(VLOOKUP($C208,'01_Warehouse_Ledger'!$A$2:$C$2002,3,FALSE),"")))</f>
        <v/>
      </c>
      <c r="G208" s="41"/>
    </row>
    <row r="209" spans="1:7">
      <c r="A209" s="38"/>
      <c r="D209" t="str">
        <f>IF($C209="","",IFERROR(LOOKUP(2,1/($C$2:INDEX($C:$C,ROW()-1)=$C209),$E$2:INDEX($E:$E,ROW()-1)),IFERROR(VLOOKUP($C209,'01_Warehouse_Ledger'!$A$2:$C$2002,3,FALSE),"")))</f>
        <v/>
      </c>
      <c r="G209" s="41"/>
    </row>
    <row r="210" spans="1:7">
      <c r="A210" s="38"/>
      <c r="D210" t="str">
        <f>IF($C210="","",IFERROR(LOOKUP(2,1/($C$2:INDEX($C:$C,ROW()-1)=$C210),$E$2:INDEX($E:$E,ROW()-1)),IFERROR(VLOOKUP($C210,'01_Warehouse_Ledger'!$A$2:$C$2002,3,FALSE),"")))</f>
        <v/>
      </c>
      <c r="G210" s="41"/>
    </row>
    <row r="211" spans="1:7">
      <c r="A211" s="38"/>
      <c r="D211" t="str">
        <f>IF($C211="","",IFERROR(LOOKUP(2,1/($C$2:INDEX($C:$C,ROW()-1)=$C211),$E$2:INDEX($E:$E,ROW()-1)),IFERROR(VLOOKUP($C211,'01_Warehouse_Ledger'!$A$2:$C$2002,3,FALSE),"")))</f>
        <v/>
      </c>
      <c r="G211" s="41"/>
    </row>
    <row r="212" spans="1:7">
      <c r="A212" s="38"/>
      <c r="D212" t="str">
        <f>IF($C212="","",IFERROR(LOOKUP(2,1/($C$2:INDEX($C:$C,ROW()-1)=$C212),$E$2:INDEX($E:$E,ROW()-1)),IFERROR(VLOOKUP($C212,'01_Warehouse_Ledger'!$A$2:$C$2002,3,FALSE),"")))</f>
        <v/>
      </c>
      <c r="G212" s="41"/>
    </row>
    <row r="213" spans="1:7">
      <c r="A213" s="38"/>
      <c r="D213" t="str">
        <f>IF($C213="","",IFERROR(LOOKUP(2,1/($C$2:INDEX($C:$C,ROW()-1)=$C213),$E$2:INDEX($E:$E,ROW()-1)),IFERROR(VLOOKUP($C213,'01_Warehouse_Ledger'!$A$2:$C$2002,3,FALSE),"")))</f>
        <v/>
      </c>
      <c r="G213" s="41"/>
    </row>
    <row r="214" spans="1:7">
      <c r="A214" s="38"/>
      <c r="D214" t="str">
        <f>IF($C214="","",IFERROR(LOOKUP(2,1/($C$2:INDEX($C:$C,ROW()-1)=$C214),$E$2:INDEX($E:$E,ROW()-1)),IFERROR(VLOOKUP($C214,'01_Warehouse_Ledger'!$A$2:$C$2002,3,FALSE),"")))</f>
        <v/>
      </c>
      <c r="G214" s="41"/>
    </row>
    <row r="215" spans="1:7">
      <c r="A215" s="38"/>
      <c r="D215" t="str">
        <f>IF($C215="","",IFERROR(LOOKUP(2,1/($C$2:INDEX($C:$C,ROW()-1)=$C215),$E$2:INDEX($E:$E,ROW()-1)),IFERROR(VLOOKUP($C215,'01_Warehouse_Ledger'!$A$2:$C$2002,3,FALSE),"")))</f>
        <v/>
      </c>
      <c r="G215" s="41"/>
    </row>
    <row r="216" spans="1:7">
      <c r="A216" s="38"/>
      <c r="D216" t="str">
        <f>IF($C216="","",IFERROR(LOOKUP(2,1/($C$2:INDEX($C:$C,ROW()-1)=$C216),$E$2:INDEX($E:$E,ROW()-1)),IFERROR(VLOOKUP($C216,'01_Warehouse_Ledger'!$A$2:$C$2002,3,FALSE),"")))</f>
        <v/>
      </c>
      <c r="G216" s="41"/>
    </row>
    <row r="217" spans="1:7">
      <c r="A217" s="38"/>
      <c r="D217" t="str">
        <f>IF($C217="","",IFERROR(LOOKUP(2,1/($C$2:INDEX($C:$C,ROW()-1)=$C217),$E$2:INDEX($E:$E,ROW()-1)),IFERROR(VLOOKUP($C217,'01_Warehouse_Ledger'!$A$2:$C$2002,3,FALSE),"")))</f>
        <v/>
      </c>
      <c r="G217" s="41"/>
    </row>
    <row r="218" spans="1:7">
      <c r="A218" s="38"/>
      <c r="D218" t="str">
        <f>IF($C218="","",IFERROR(LOOKUP(2,1/($C$2:INDEX($C:$C,ROW()-1)=$C218),$E$2:INDEX($E:$E,ROW()-1)),IFERROR(VLOOKUP($C218,'01_Warehouse_Ledger'!$A$2:$C$2002,3,FALSE),"")))</f>
        <v/>
      </c>
      <c r="G218" s="41"/>
    </row>
    <row r="219" spans="1:7">
      <c r="A219" s="38"/>
      <c r="D219" t="str">
        <f>IF($C219="","",IFERROR(LOOKUP(2,1/($C$2:INDEX($C:$C,ROW()-1)=$C219),$E$2:INDEX($E:$E,ROW()-1)),IFERROR(VLOOKUP($C219,'01_Warehouse_Ledger'!$A$2:$C$2002,3,FALSE),"")))</f>
        <v/>
      </c>
      <c r="G219" s="41"/>
    </row>
    <row r="220" spans="1:7">
      <c r="A220" s="38"/>
      <c r="D220" t="str">
        <f>IF($C220="","",IFERROR(LOOKUP(2,1/($C$2:INDEX($C:$C,ROW()-1)=$C220),$E$2:INDEX($E:$E,ROW()-1)),IFERROR(VLOOKUP($C220,'01_Warehouse_Ledger'!$A$2:$C$2002,3,FALSE),"")))</f>
        <v/>
      </c>
      <c r="G220" s="41"/>
    </row>
    <row r="221" spans="1:7">
      <c r="A221" s="38"/>
      <c r="D221" t="str">
        <f>IF($C221="","",IFERROR(LOOKUP(2,1/($C$2:INDEX($C:$C,ROW()-1)=$C221),$E$2:INDEX($E:$E,ROW()-1)),IFERROR(VLOOKUP($C221,'01_Warehouse_Ledger'!$A$2:$C$2002,3,FALSE),"")))</f>
        <v/>
      </c>
      <c r="G221" s="41"/>
    </row>
    <row r="222" spans="1:7">
      <c r="A222" s="38"/>
      <c r="D222" t="str">
        <f>IF($C222="","",IFERROR(LOOKUP(2,1/($C$2:INDEX($C:$C,ROW()-1)=$C222),$E$2:INDEX($E:$E,ROW()-1)),IFERROR(VLOOKUP($C222,'01_Warehouse_Ledger'!$A$2:$C$2002,3,FALSE),"")))</f>
        <v/>
      </c>
      <c r="G222" s="41"/>
    </row>
    <row r="223" spans="1:7">
      <c r="A223" s="38"/>
      <c r="D223" t="str">
        <f>IF($C223="","",IFERROR(LOOKUP(2,1/($C$2:INDEX($C:$C,ROW()-1)=$C223),$E$2:INDEX($E:$E,ROW()-1)),IFERROR(VLOOKUP($C223,'01_Warehouse_Ledger'!$A$2:$C$2002,3,FALSE),"")))</f>
        <v/>
      </c>
      <c r="G223" s="41"/>
    </row>
    <row r="224" spans="1:7">
      <c r="A224" s="38"/>
      <c r="D224" t="str">
        <f>IF($C224="","",IFERROR(LOOKUP(2,1/($C$2:INDEX($C:$C,ROW()-1)=$C224),$E$2:INDEX($E:$E,ROW()-1)),IFERROR(VLOOKUP($C224,'01_Warehouse_Ledger'!$A$2:$C$2002,3,FALSE),"")))</f>
        <v/>
      </c>
      <c r="G224" s="41"/>
    </row>
    <row r="225" spans="1:7">
      <c r="A225" s="38"/>
      <c r="D225" t="str">
        <f>IF($C225="","",IFERROR(LOOKUP(2,1/($C$2:INDEX($C:$C,ROW()-1)=$C225),$E$2:INDEX($E:$E,ROW()-1)),IFERROR(VLOOKUP($C225,'01_Warehouse_Ledger'!$A$2:$C$2002,3,FALSE),"")))</f>
        <v/>
      </c>
      <c r="G225" s="41"/>
    </row>
    <row r="226" spans="1:7">
      <c r="A226" s="38"/>
      <c r="D226" t="str">
        <f>IF($C226="","",IFERROR(LOOKUP(2,1/($C$2:INDEX($C:$C,ROW()-1)=$C226),$E$2:INDEX($E:$E,ROW()-1)),IFERROR(VLOOKUP($C226,'01_Warehouse_Ledger'!$A$2:$C$2002,3,FALSE),"")))</f>
        <v/>
      </c>
      <c r="G226" s="41"/>
    </row>
    <row r="227" spans="1:7">
      <c r="A227" s="38"/>
      <c r="D227" t="str">
        <f>IF($C227="","",IFERROR(LOOKUP(2,1/($C$2:INDEX($C:$C,ROW()-1)=$C227),$E$2:INDEX($E:$E,ROW()-1)),IFERROR(VLOOKUP($C227,'01_Warehouse_Ledger'!$A$2:$C$2002,3,FALSE),"")))</f>
        <v/>
      </c>
      <c r="G227" s="41"/>
    </row>
    <row r="228" spans="1:7">
      <c r="A228" s="38"/>
      <c r="D228" t="str">
        <f>IF($C228="","",IFERROR(LOOKUP(2,1/($C$2:INDEX($C:$C,ROW()-1)=$C228),$E$2:INDEX($E:$E,ROW()-1)),IFERROR(VLOOKUP($C228,'01_Warehouse_Ledger'!$A$2:$C$2002,3,FALSE),"")))</f>
        <v/>
      </c>
      <c r="G228" s="41"/>
    </row>
    <row r="229" spans="1:7">
      <c r="A229" s="38"/>
      <c r="D229" t="str">
        <f>IF($C229="","",IFERROR(LOOKUP(2,1/($C$2:INDEX($C:$C,ROW()-1)=$C229),$E$2:INDEX($E:$E,ROW()-1)),IFERROR(VLOOKUP($C229,'01_Warehouse_Ledger'!$A$2:$C$2002,3,FALSE),"")))</f>
        <v/>
      </c>
      <c r="G229" s="41"/>
    </row>
    <row r="230" spans="1:7">
      <c r="A230" s="38"/>
      <c r="D230" t="str">
        <f>IF($C230="","",IFERROR(LOOKUP(2,1/($C$2:INDEX($C:$C,ROW()-1)=$C230),$E$2:INDEX($E:$E,ROW()-1)),IFERROR(VLOOKUP($C230,'01_Warehouse_Ledger'!$A$2:$C$2002,3,FALSE),"")))</f>
        <v/>
      </c>
      <c r="G230" s="41"/>
    </row>
    <row r="231" spans="1:7">
      <c r="A231" s="38"/>
      <c r="D231" t="str">
        <f>IF($C231="","",IFERROR(LOOKUP(2,1/($C$2:INDEX($C:$C,ROW()-1)=$C231),$E$2:INDEX($E:$E,ROW()-1)),IFERROR(VLOOKUP($C231,'01_Warehouse_Ledger'!$A$2:$C$2002,3,FALSE),"")))</f>
        <v/>
      </c>
      <c r="G231" s="41"/>
    </row>
    <row r="232" spans="1:7">
      <c r="A232" s="38"/>
      <c r="D232" t="str">
        <f>IF($C232="","",IFERROR(LOOKUP(2,1/($C$2:INDEX($C:$C,ROW()-1)=$C232),$E$2:INDEX($E:$E,ROW()-1)),IFERROR(VLOOKUP($C232,'01_Warehouse_Ledger'!$A$2:$C$2002,3,FALSE),"")))</f>
        <v/>
      </c>
      <c r="G232" s="41"/>
    </row>
    <row r="233" spans="1:7">
      <c r="A233" s="38"/>
      <c r="D233" t="str">
        <f>IF($C233="","",IFERROR(LOOKUP(2,1/($C$2:INDEX($C:$C,ROW()-1)=$C233),$E$2:INDEX($E:$E,ROW()-1)),IFERROR(VLOOKUP($C233,'01_Warehouse_Ledger'!$A$2:$C$2002,3,FALSE),"")))</f>
        <v/>
      </c>
      <c r="G233" s="41"/>
    </row>
    <row r="234" spans="1:7">
      <c r="A234" s="38"/>
      <c r="D234" t="str">
        <f>IF($C234="","",IFERROR(LOOKUP(2,1/($C$2:INDEX($C:$C,ROW()-1)=$C234),$E$2:INDEX($E:$E,ROW()-1)),IFERROR(VLOOKUP($C234,'01_Warehouse_Ledger'!$A$2:$C$2002,3,FALSE),"")))</f>
        <v/>
      </c>
      <c r="G234" s="41"/>
    </row>
    <row r="235" spans="1:7">
      <c r="A235" s="38"/>
      <c r="D235" t="str">
        <f>IF($C235="","",IFERROR(LOOKUP(2,1/($C$2:INDEX($C:$C,ROW()-1)=$C235),$E$2:INDEX($E:$E,ROW()-1)),IFERROR(VLOOKUP($C235,'01_Warehouse_Ledger'!$A$2:$C$2002,3,FALSE),"")))</f>
        <v/>
      </c>
      <c r="G235" s="41"/>
    </row>
    <row r="236" spans="1:7">
      <c r="A236" s="38"/>
      <c r="D236" t="str">
        <f>IF($C236="","",IFERROR(LOOKUP(2,1/($C$2:INDEX($C:$C,ROW()-1)=$C236),$E$2:INDEX($E:$E,ROW()-1)),IFERROR(VLOOKUP($C236,'01_Warehouse_Ledger'!$A$2:$C$2002,3,FALSE),"")))</f>
        <v/>
      </c>
      <c r="G236" s="41"/>
    </row>
    <row r="237" spans="1:7">
      <c r="A237" s="38"/>
      <c r="D237" t="str">
        <f>IF($C237="","",IFERROR(LOOKUP(2,1/($C$2:INDEX($C:$C,ROW()-1)=$C237),$E$2:INDEX($E:$E,ROW()-1)),IFERROR(VLOOKUP($C237,'01_Warehouse_Ledger'!$A$2:$C$2002,3,FALSE),"")))</f>
        <v/>
      </c>
      <c r="G237" s="41"/>
    </row>
    <row r="238" spans="1:7">
      <c r="A238" s="38"/>
      <c r="D238" t="str">
        <f>IF($C238="","",IFERROR(LOOKUP(2,1/($C$2:INDEX($C:$C,ROW()-1)=$C238),$E$2:INDEX($E:$E,ROW()-1)),IFERROR(VLOOKUP($C238,'01_Warehouse_Ledger'!$A$2:$C$2002,3,FALSE),"")))</f>
        <v/>
      </c>
      <c r="G238" s="41"/>
    </row>
    <row r="239" spans="1:7">
      <c r="A239" s="38"/>
      <c r="D239" t="str">
        <f>IF($C239="","",IFERROR(LOOKUP(2,1/($C$2:INDEX($C:$C,ROW()-1)=$C239),$E$2:INDEX($E:$E,ROW()-1)),IFERROR(VLOOKUP($C239,'01_Warehouse_Ledger'!$A$2:$C$2002,3,FALSE),"")))</f>
        <v/>
      </c>
      <c r="G239" s="41"/>
    </row>
    <row r="240" spans="1:7">
      <c r="A240" s="38"/>
      <c r="D240" t="str">
        <f>IF($C240="","",IFERROR(LOOKUP(2,1/($C$2:INDEX($C:$C,ROW()-1)=$C240),$E$2:INDEX($E:$E,ROW()-1)),IFERROR(VLOOKUP($C240,'01_Warehouse_Ledger'!$A$2:$C$2002,3,FALSE),"")))</f>
        <v/>
      </c>
      <c r="G240" s="41"/>
    </row>
    <row r="241" spans="1:7">
      <c r="A241" s="38"/>
      <c r="D241" t="str">
        <f>IF($C241="","",IFERROR(LOOKUP(2,1/($C$2:INDEX($C:$C,ROW()-1)=$C241),$E$2:INDEX($E:$E,ROW()-1)),IFERROR(VLOOKUP($C241,'01_Warehouse_Ledger'!$A$2:$C$2002,3,FALSE),"")))</f>
        <v/>
      </c>
      <c r="G241" s="41"/>
    </row>
    <row r="242" spans="1:7">
      <c r="A242" s="38"/>
      <c r="D242" t="str">
        <f>IF($C242="","",IFERROR(LOOKUP(2,1/($C$2:INDEX($C:$C,ROW()-1)=$C242),$E$2:INDEX($E:$E,ROW()-1)),IFERROR(VLOOKUP($C242,'01_Warehouse_Ledger'!$A$2:$C$2002,3,FALSE),"")))</f>
        <v/>
      </c>
      <c r="G242" s="41"/>
    </row>
    <row r="243" spans="1:7">
      <c r="A243" s="38"/>
      <c r="D243" t="str">
        <f>IF($C243="","",IFERROR(LOOKUP(2,1/($C$2:INDEX($C:$C,ROW()-1)=$C243),$E$2:INDEX($E:$E,ROW()-1)),IFERROR(VLOOKUP($C243,'01_Warehouse_Ledger'!$A$2:$C$2002,3,FALSE),"")))</f>
        <v/>
      </c>
      <c r="G243" s="41"/>
    </row>
    <row r="244" spans="1:7">
      <c r="A244" s="38"/>
      <c r="D244" t="str">
        <f>IF($C244="","",IFERROR(LOOKUP(2,1/($C$2:INDEX($C:$C,ROW()-1)=$C244),$E$2:INDEX($E:$E,ROW()-1)),IFERROR(VLOOKUP($C244,'01_Warehouse_Ledger'!$A$2:$C$2002,3,FALSE),"")))</f>
        <v/>
      </c>
      <c r="G244" s="41"/>
    </row>
    <row r="245" spans="1:7">
      <c r="A245" s="38"/>
      <c r="D245" t="str">
        <f>IF($C245="","",IFERROR(LOOKUP(2,1/($C$2:INDEX($C:$C,ROW()-1)=$C245),$E$2:INDEX($E:$E,ROW()-1)),IFERROR(VLOOKUP($C245,'01_Warehouse_Ledger'!$A$2:$C$2002,3,FALSE),"")))</f>
        <v/>
      </c>
      <c r="G245" s="41"/>
    </row>
    <row r="246" spans="1:7">
      <c r="A246" s="38"/>
      <c r="D246" t="str">
        <f>IF($C246="","",IFERROR(LOOKUP(2,1/($C$2:INDEX($C:$C,ROW()-1)=$C246),$E$2:INDEX($E:$E,ROW()-1)),IFERROR(VLOOKUP($C246,'01_Warehouse_Ledger'!$A$2:$C$2002,3,FALSE),"")))</f>
        <v/>
      </c>
      <c r="G246" s="41"/>
    </row>
    <row r="247" spans="1:7">
      <c r="A247" s="38"/>
      <c r="D247" t="str">
        <f>IF($C247="","",IFERROR(LOOKUP(2,1/($C$2:INDEX($C:$C,ROW()-1)=$C247),$E$2:INDEX($E:$E,ROW()-1)),IFERROR(VLOOKUP($C247,'01_Warehouse_Ledger'!$A$2:$C$2002,3,FALSE),"")))</f>
        <v/>
      </c>
      <c r="G247" s="41"/>
    </row>
    <row r="248" spans="1:7">
      <c r="A248" s="38"/>
      <c r="D248" t="str">
        <f>IF($C248="","",IFERROR(LOOKUP(2,1/($C$2:INDEX($C:$C,ROW()-1)=$C248),$E$2:INDEX($E:$E,ROW()-1)),IFERROR(VLOOKUP($C248,'01_Warehouse_Ledger'!$A$2:$C$2002,3,FALSE),"")))</f>
        <v/>
      </c>
      <c r="G248" s="41"/>
    </row>
    <row r="249" spans="1:7">
      <c r="A249" s="38"/>
      <c r="D249" t="str">
        <f>IF($C249="","",IFERROR(LOOKUP(2,1/($C$2:INDEX($C:$C,ROW()-1)=$C249),$E$2:INDEX($E:$E,ROW()-1)),IFERROR(VLOOKUP($C249,'01_Warehouse_Ledger'!$A$2:$C$2002,3,FALSE),"")))</f>
        <v/>
      </c>
      <c r="G249" s="41"/>
    </row>
    <row r="250" spans="1:7">
      <c r="A250" s="38"/>
      <c r="D250" t="str">
        <f>IF($C250="","",IFERROR(LOOKUP(2,1/($C$2:INDEX($C:$C,ROW()-1)=$C250),$E$2:INDEX($E:$E,ROW()-1)),IFERROR(VLOOKUP($C250,'01_Warehouse_Ledger'!$A$2:$C$2002,3,FALSE),"")))</f>
        <v/>
      </c>
      <c r="G250" s="41"/>
    </row>
    <row r="251" spans="1:7">
      <c r="A251" s="38"/>
      <c r="D251" t="str">
        <f>IF($C251="","",IFERROR(LOOKUP(2,1/($C$2:INDEX($C:$C,ROW()-1)=$C251),$E$2:INDEX($E:$E,ROW()-1)),IFERROR(VLOOKUP($C251,'01_Warehouse_Ledger'!$A$2:$C$2002,3,FALSE),"")))</f>
        <v/>
      </c>
      <c r="G251" s="41"/>
    </row>
    <row r="252" spans="1:7">
      <c r="A252" s="38"/>
      <c r="D252" t="str">
        <f>IF($C252="","",IFERROR(LOOKUP(2,1/($C$2:INDEX($C:$C,ROW()-1)=$C252),$E$2:INDEX($E:$E,ROW()-1)),IFERROR(VLOOKUP($C252,'01_Warehouse_Ledger'!$A$2:$C$2002,3,FALSE),"")))</f>
        <v/>
      </c>
      <c r="G252" s="41"/>
    </row>
    <row r="253" spans="1:7">
      <c r="A253" s="38"/>
      <c r="D253" t="str">
        <f>IF($C253="","",IFERROR(LOOKUP(2,1/($C$2:INDEX($C:$C,ROW()-1)=$C253),$E$2:INDEX($E:$E,ROW()-1)),IFERROR(VLOOKUP($C253,'01_Warehouse_Ledger'!$A$2:$C$2002,3,FALSE),"")))</f>
        <v/>
      </c>
      <c r="G253" s="41"/>
    </row>
    <row r="254" spans="1:7">
      <c r="A254" s="38"/>
      <c r="D254" t="str">
        <f>IF($C254="","",IFERROR(LOOKUP(2,1/($C$2:INDEX($C:$C,ROW()-1)=$C254),$E$2:INDEX($E:$E,ROW()-1)),IFERROR(VLOOKUP($C254,'01_Warehouse_Ledger'!$A$2:$C$2002,3,FALSE),"")))</f>
        <v/>
      </c>
      <c r="G254" s="41"/>
    </row>
    <row r="255" spans="1:7">
      <c r="A255" s="38"/>
      <c r="D255" t="str">
        <f>IF($C255="","",IFERROR(LOOKUP(2,1/($C$2:INDEX($C:$C,ROW()-1)=$C255),$E$2:INDEX($E:$E,ROW()-1)),IFERROR(VLOOKUP($C255,'01_Warehouse_Ledger'!$A$2:$C$2002,3,FALSE),"")))</f>
        <v/>
      </c>
      <c r="G255" s="41"/>
    </row>
    <row r="256" spans="1:7">
      <c r="A256" s="38"/>
      <c r="D256" t="str">
        <f>IF($C256="","",IFERROR(LOOKUP(2,1/($C$2:INDEX($C:$C,ROW()-1)=$C256),$E$2:INDEX($E:$E,ROW()-1)),IFERROR(VLOOKUP($C256,'01_Warehouse_Ledger'!$A$2:$C$2002,3,FALSE),"")))</f>
        <v/>
      </c>
      <c r="G256" s="41"/>
    </row>
    <row r="257" spans="1:7">
      <c r="A257" s="38"/>
      <c r="D257" t="str">
        <f>IF($C257="","",IFERROR(LOOKUP(2,1/($C$2:INDEX($C:$C,ROW()-1)=$C257),$E$2:INDEX($E:$E,ROW()-1)),IFERROR(VLOOKUP($C257,'01_Warehouse_Ledger'!$A$2:$C$2002,3,FALSE),"")))</f>
        <v/>
      </c>
      <c r="G257" s="41"/>
    </row>
    <row r="258" spans="1:7">
      <c r="A258" s="38"/>
      <c r="D258" t="str">
        <f>IF($C258="","",IFERROR(LOOKUP(2,1/($C$2:INDEX($C:$C,ROW()-1)=$C258),$E$2:INDEX($E:$E,ROW()-1)),IFERROR(VLOOKUP($C258,'01_Warehouse_Ledger'!$A$2:$C$2002,3,FALSE),"")))</f>
        <v/>
      </c>
      <c r="G258" s="41"/>
    </row>
    <row r="259" spans="1:7">
      <c r="A259" s="38"/>
      <c r="D259" t="str">
        <f>IF($C259="","",IFERROR(LOOKUP(2,1/($C$2:INDEX($C:$C,ROW()-1)=$C259),$E$2:INDEX($E:$E,ROW()-1)),IFERROR(VLOOKUP($C259,'01_Warehouse_Ledger'!$A$2:$C$2002,3,FALSE),"")))</f>
        <v/>
      </c>
      <c r="G259" s="41"/>
    </row>
    <row r="260" spans="1:7">
      <c r="A260" s="38"/>
      <c r="D260" t="str">
        <f>IF($C260="","",IFERROR(LOOKUP(2,1/($C$2:INDEX($C:$C,ROW()-1)=$C260),$E$2:INDEX($E:$E,ROW()-1)),IFERROR(VLOOKUP($C260,'01_Warehouse_Ledger'!$A$2:$C$2002,3,FALSE),"")))</f>
        <v/>
      </c>
      <c r="G260" s="41"/>
    </row>
    <row r="261" spans="1:7">
      <c r="A261" s="38"/>
      <c r="D261" t="str">
        <f>IF($C261="","",IFERROR(LOOKUP(2,1/($C$2:INDEX($C:$C,ROW()-1)=$C261),$E$2:INDEX($E:$E,ROW()-1)),IFERROR(VLOOKUP($C261,'01_Warehouse_Ledger'!$A$2:$C$2002,3,FALSE),"")))</f>
        <v/>
      </c>
      <c r="G261" s="41"/>
    </row>
    <row r="262" spans="1:7">
      <c r="A262" s="38"/>
      <c r="D262" t="str">
        <f>IF($C262="","",IFERROR(LOOKUP(2,1/($C$2:INDEX($C:$C,ROW()-1)=$C262),$E$2:INDEX($E:$E,ROW()-1)),IFERROR(VLOOKUP($C262,'01_Warehouse_Ledger'!$A$2:$C$2002,3,FALSE),"")))</f>
        <v/>
      </c>
      <c r="G262" s="41"/>
    </row>
    <row r="263" spans="1:7">
      <c r="A263" s="38"/>
      <c r="D263" t="str">
        <f>IF($C263="","",IFERROR(LOOKUP(2,1/($C$2:INDEX($C:$C,ROW()-1)=$C263),$E$2:INDEX($E:$E,ROW()-1)),IFERROR(VLOOKUP($C263,'01_Warehouse_Ledger'!$A$2:$C$2002,3,FALSE),"")))</f>
        <v/>
      </c>
      <c r="G263" s="41"/>
    </row>
    <row r="264" spans="1:7">
      <c r="A264" s="38"/>
      <c r="D264" t="str">
        <f>IF($C264="","",IFERROR(LOOKUP(2,1/($C$2:INDEX($C:$C,ROW()-1)=$C264),$E$2:INDEX($E:$E,ROW()-1)),IFERROR(VLOOKUP($C264,'01_Warehouse_Ledger'!$A$2:$C$2002,3,FALSE),"")))</f>
        <v/>
      </c>
      <c r="G264" s="41"/>
    </row>
    <row r="265" spans="1:7">
      <c r="A265" s="38"/>
      <c r="D265" t="str">
        <f>IF($C265="","",IFERROR(LOOKUP(2,1/($C$2:INDEX($C:$C,ROW()-1)=$C265),$E$2:INDEX($E:$E,ROW()-1)),IFERROR(VLOOKUP($C265,'01_Warehouse_Ledger'!$A$2:$C$2002,3,FALSE),"")))</f>
        <v/>
      </c>
      <c r="G265" s="41"/>
    </row>
    <row r="266" spans="1:7">
      <c r="A266" s="38"/>
      <c r="D266" t="str">
        <f>IF($C266="","",IFERROR(LOOKUP(2,1/($C$2:INDEX($C:$C,ROW()-1)=$C266),$E$2:INDEX($E:$E,ROW()-1)),IFERROR(VLOOKUP($C266,'01_Warehouse_Ledger'!$A$2:$C$2002,3,FALSE),"")))</f>
        <v/>
      </c>
      <c r="G266" s="41"/>
    </row>
    <row r="267" spans="1:7">
      <c r="A267" s="38"/>
      <c r="D267" t="str">
        <f>IF($C267="","",IFERROR(LOOKUP(2,1/($C$2:INDEX($C:$C,ROW()-1)=$C267),$E$2:INDEX($E:$E,ROW()-1)),IFERROR(VLOOKUP($C267,'01_Warehouse_Ledger'!$A$2:$C$2002,3,FALSE),"")))</f>
        <v/>
      </c>
      <c r="G267" s="41"/>
    </row>
    <row r="268" spans="1:7">
      <c r="A268" s="38"/>
      <c r="D268" t="str">
        <f>IF($C268="","",IFERROR(LOOKUP(2,1/($C$2:INDEX($C:$C,ROW()-1)=$C268),$E$2:INDEX($E:$E,ROW()-1)),IFERROR(VLOOKUP($C268,'01_Warehouse_Ledger'!$A$2:$C$2002,3,FALSE),"")))</f>
        <v/>
      </c>
      <c r="G268" s="41"/>
    </row>
    <row r="269" spans="1:7">
      <c r="A269" s="38"/>
      <c r="D269" t="str">
        <f>IF($C269="","",IFERROR(LOOKUP(2,1/($C$2:INDEX($C:$C,ROW()-1)=$C269),$E$2:INDEX($E:$E,ROW()-1)),IFERROR(VLOOKUP($C269,'01_Warehouse_Ledger'!$A$2:$C$2002,3,FALSE),"")))</f>
        <v/>
      </c>
      <c r="G269" s="41"/>
    </row>
    <row r="270" spans="1:7">
      <c r="A270" s="38"/>
      <c r="D270" t="str">
        <f>IF($C270="","",IFERROR(LOOKUP(2,1/($C$2:INDEX($C:$C,ROW()-1)=$C270),$E$2:INDEX($E:$E,ROW()-1)),IFERROR(VLOOKUP($C270,'01_Warehouse_Ledger'!$A$2:$C$2002,3,FALSE),"")))</f>
        <v/>
      </c>
      <c r="G270" s="41"/>
    </row>
    <row r="271" spans="1:7">
      <c r="A271" s="38"/>
      <c r="D271" t="str">
        <f>IF($C271="","",IFERROR(LOOKUP(2,1/($C$2:INDEX($C:$C,ROW()-1)=$C271),$E$2:INDEX($E:$E,ROW()-1)),IFERROR(VLOOKUP($C271,'01_Warehouse_Ledger'!$A$2:$C$2002,3,FALSE),"")))</f>
        <v/>
      </c>
      <c r="G271" s="41"/>
    </row>
    <row r="272" spans="1:7">
      <c r="A272" s="38"/>
      <c r="D272" t="str">
        <f>IF($C272="","",IFERROR(LOOKUP(2,1/($C$2:INDEX($C:$C,ROW()-1)=$C272),$E$2:INDEX($E:$E,ROW()-1)),IFERROR(VLOOKUP($C272,'01_Warehouse_Ledger'!$A$2:$C$2002,3,FALSE),"")))</f>
        <v/>
      </c>
      <c r="G272" s="41"/>
    </row>
    <row r="273" spans="1:7">
      <c r="A273" s="38"/>
      <c r="D273" t="str">
        <f>IF($C273="","",IFERROR(LOOKUP(2,1/($C$2:INDEX($C:$C,ROW()-1)=$C273),$E$2:INDEX($E:$E,ROW()-1)),IFERROR(VLOOKUP($C273,'01_Warehouse_Ledger'!$A$2:$C$2002,3,FALSE),"")))</f>
        <v/>
      </c>
      <c r="G273" s="41"/>
    </row>
    <row r="274" spans="1:7">
      <c r="A274" s="38"/>
      <c r="D274" t="str">
        <f>IF($C274="","",IFERROR(LOOKUP(2,1/($C$2:INDEX($C:$C,ROW()-1)=$C274),$E$2:INDEX($E:$E,ROW()-1)),IFERROR(VLOOKUP($C274,'01_Warehouse_Ledger'!$A$2:$C$2002,3,FALSE),"")))</f>
        <v/>
      </c>
      <c r="G274" s="41"/>
    </row>
    <row r="275" spans="1:7">
      <c r="A275" s="38"/>
      <c r="D275" t="str">
        <f>IF($C275="","",IFERROR(LOOKUP(2,1/($C$2:INDEX($C:$C,ROW()-1)=$C275),$E$2:INDEX($E:$E,ROW()-1)),IFERROR(VLOOKUP($C275,'01_Warehouse_Ledger'!$A$2:$C$2002,3,FALSE),"")))</f>
        <v/>
      </c>
      <c r="G275" s="41"/>
    </row>
    <row r="276" spans="1:7">
      <c r="A276" s="38"/>
      <c r="D276" t="str">
        <f>IF($C276="","",IFERROR(LOOKUP(2,1/($C$2:INDEX($C:$C,ROW()-1)=$C276),$E$2:INDEX($E:$E,ROW()-1)),IFERROR(VLOOKUP($C276,'01_Warehouse_Ledger'!$A$2:$C$2002,3,FALSE),"")))</f>
        <v/>
      </c>
      <c r="G276" s="41"/>
    </row>
    <row r="277" spans="1:7">
      <c r="A277" s="38"/>
      <c r="D277" t="str">
        <f>IF($C277="","",IFERROR(LOOKUP(2,1/($C$2:INDEX($C:$C,ROW()-1)=$C277),$E$2:INDEX($E:$E,ROW()-1)),IFERROR(VLOOKUP($C277,'01_Warehouse_Ledger'!$A$2:$C$2002,3,FALSE),"")))</f>
        <v/>
      </c>
      <c r="G277" s="41"/>
    </row>
    <row r="278" spans="1:7">
      <c r="A278" s="38"/>
      <c r="D278" t="str">
        <f>IF($C278="","",IFERROR(LOOKUP(2,1/($C$2:INDEX($C:$C,ROW()-1)=$C278),$E$2:INDEX($E:$E,ROW()-1)),IFERROR(VLOOKUP($C278,'01_Warehouse_Ledger'!$A$2:$C$2002,3,FALSE),"")))</f>
        <v/>
      </c>
      <c r="G278" s="41"/>
    </row>
    <row r="279" spans="1:7">
      <c r="A279" s="38"/>
      <c r="D279" t="str">
        <f>IF($C279="","",IFERROR(LOOKUP(2,1/($C$2:INDEX($C:$C,ROW()-1)=$C279),$E$2:INDEX($E:$E,ROW()-1)),IFERROR(VLOOKUP($C279,'01_Warehouse_Ledger'!$A$2:$C$2002,3,FALSE),"")))</f>
        <v/>
      </c>
      <c r="G279" s="41"/>
    </row>
    <row r="280" spans="1:7">
      <c r="A280" s="38"/>
      <c r="D280" t="str">
        <f>IF($C280="","",IFERROR(LOOKUP(2,1/($C$2:INDEX($C:$C,ROW()-1)=$C280),$E$2:INDEX($E:$E,ROW()-1)),IFERROR(VLOOKUP($C280,'01_Warehouse_Ledger'!$A$2:$C$2002,3,FALSE),"")))</f>
        <v/>
      </c>
      <c r="G280" s="41"/>
    </row>
    <row r="281" spans="1:7">
      <c r="A281" s="38"/>
      <c r="D281" t="str">
        <f>IF($C281="","",IFERROR(LOOKUP(2,1/($C$2:INDEX($C:$C,ROW()-1)=$C281),$E$2:INDEX($E:$E,ROW()-1)),IFERROR(VLOOKUP($C281,'01_Warehouse_Ledger'!$A$2:$C$2002,3,FALSE),"")))</f>
        <v/>
      </c>
      <c r="G281" s="41"/>
    </row>
    <row r="282" spans="1:7">
      <c r="A282" s="38"/>
      <c r="D282" t="str">
        <f>IF($C282="","",IFERROR(LOOKUP(2,1/($C$2:INDEX($C:$C,ROW()-1)=$C282),$E$2:INDEX($E:$E,ROW()-1)),IFERROR(VLOOKUP($C282,'01_Warehouse_Ledger'!$A$2:$C$2002,3,FALSE),"")))</f>
        <v/>
      </c>
      <c r="G282" s="41"/>
    </row>
    <row r="283" spans="1:7">
      <c r="A283" s="38"/>
      <c r="D283" t="str">
        <f>IF($C283="","",IFERROR(LOOKUP(2,1/($C$2:INDEX($C:$C,ROW()-1)=$C283),$E$2:INDEX($E:$E,ROW()-1)),IFERROR(VLOOKUP($C283,'01_Warehouse_Ledger'!$A$2:$C$2002,3,FALSE),"")))</f>
        <v/>
      </c>
      <c r="G283" s="41"/>
    </row>
    <row r="284" spans="1:7">
      <c r="A284" s="38"/>
      <c r="D284" t="str">
        <f>IF($C284="","",IFERROR(LOOKUP(2,1/($C$2:INDEX($C:$C,ROW()-1)=$C284),$E$2:INDEX($E:$E,ROW()-1)),IFERROR(VLOOKUP($C284,'01_Warehouse_Ledger'!$A$2:$C$2002,3,FALSE),"")))</f>
        <v/>
      </c>
      <c r="G284" s="41"/>
    </row>
    <row r="285" spans="1:7">
      <c r="A285" s="38"/>
      <c r="D285" t="str">
        <f>IF($C285="","",IFERROR(LOOKUP(2,1/($C$2:INDEX($C:$C,ROW()-1)=$C285),$E$2:INDEX($E:$E,ROW()-1)),IFERROR(VLOOKUP($C285,'01_Warehouse_Ledger'!$A$2:$C$2002,3,FALSE),"")))</f>
        <v/>
      </c>
      <c r="G285" s="41"/>
    </row>
    <row r="286" spans="1:7">
      <c r="A286" s="38"/>
      <c r="D286" t="str">
        <f>IF($C286="","",IFERROR(LOOKUP(2,1/($C$2:INDEX($C:$C,ROW()-1)=$C286),$E$2:INDEX($E:$E,ROW()-1)),IFERROR(VLOOKUP($C286,'01_Warehouse_Ledger'!$A$2:$C$2002,3,FALSE),"")))</f>
        <v/>
      </c>
      <c r="G286" s="41"/>
    </row>
    <row r="287" spans="1:7">
      <c r="A287" s="38"/>
      <c r="D287" t="str">
        <f>IF($C287="","",IFERROR(LOOKUP(2,1/($C$2:INDEX($C:$C,ROW()-1)=$C287),$E$2:INDEX($E:$E,ROW()-1)),IFERROR(VLOOKUP($C287,'01_Warehouse_Ledger'!$A$2:$C$2002,3,FALSE),"")))</f>
        <v/>
      </c>
      <c r="G287" s="41"/>
    </row>
    <row r="288" spans="1:7">
      <c r="A288" s="38"/>
      <c r="D288" t="str">
        <f>IF($C288="","",IFERROR(LOOKUP(2,1/($C$2:INDEX($C:$C,ROW()-1)=$C288),$E$2:INDEX($E:$E,ROW()-1)),IFERROR(VLOOKUP($C288,'01_Warehouse_Ledger'!$A$2:$C$2002,3,FALSE),"")))</f>
        <v/>
      </c>
      <c r="G288" s="41"/>
    </row>
    <row r="289" spans="1:7">
      <c r="A289" s="38"/>
      <c r="D289" t="str">
        <f>IF($C289="","",IFERROR(LOOKUP(2,1/($C$2:INDEX($C:$C,ROW()-1)=$C289),$E$2:INDEX($E:$E,ROW()-1)),IFERROR(VLOOKUP($C289,'01_Warehouse_Ledger'!$A$2:$C$2002,3,FALSE),"")))</f>
        <v/>
      </c>
      <c r="G289" s="41"/>
    </row>
    <row r="290" spans="1:7">
      <c r="A290" s="38"/>
      <c r="D290" t="str">
        <f>IF($C290="","",IFERROR(LOOKUP(2,1/($C$2:INDEX($C:$C,ROW()-1)=$C290),$E$2:INDEX($E:$E,ROW()-1)),IFERROR(VLOOKUP($C290,'01_Warehouse_Ledger'!$A$2:$C$2002,3,FALSE),"")))</f>
        <v/>
      </c>
      <c r="G290" s="41"/>
    </row>
    <row r="291" spans="1:7">
      <c r="A291" s="38"/>
      <c r="D291" t="str">
        <f>IF($C291="","",IFERROR(LOOKUP(2,1/($C$2:INDEX($C:$C,ROW()-1)=$C291),$E$2:INDEX($E:$E,ROW()-1)),IFERROR(VLOOKUP($C291,'01_Warehouse_Ledger'!$A$2:$C$2002,3,FALSE),"")))</f>
        <v/>
      </c>
      <c r="G291" s="41"/>
    </row>
    <row r="292" spans="1:7">
      <c r="A292" s="38"/>
      <c r="D292" t="str">
        <f>IF($C292="","",IFERROR(LOOKUP(2,1/($C$2:INDEX($C:$C,ROW()-1)=$C292),$E$2:INDEX($E:$E,ROW()-1)),IFERROR(VLOOKUP($C292,'01_Warehouse_Ledger'!$A$2:$C$2002,3,FALSE),"")))</f>
        <v/>
      </c>
      <c r="G292" s="41"/>
    </row>
    <row r="293" spans="1:7">
      <c r="A293" s="38"/>
      <c r="D293" t="str">
        <f>IF($C293="","",IFERROR(LOOKUP(2,1/($C$2:INDEX($C:$C,ROW()-1)=$C293),$E$2:INDEX($E:$E,ROW()-1)),IFERROR(VLOOKUP($C293,'01_Warehouse_Ledger'!$A$2:$C$2002,3,FALSE),"")))</f>
        <v/>
      </c>
      <c r="G293" s="41"/>
    </row>
    <row r="294" spans="1:7">
      <c r="A294" s="38"/>
      <c r="D294" t="str">
        <f>IF($C294="","",IFERROR(LOOKUP(2,1/($C$2:INDEX($C:$C,ROW()-1)=$C294),$E$2:INDEX($E:$E,ROW()-1)),IFERROR(VLOOKUP($C294,'01_Warehouse_Ledger'!$A$2:$C$2002,3,FALSE),"")))</f>
        <v/>
      </c>
      <c r="G294" s="41"/>
    </row>
    <row r="295" spans="1:7">
      <c r="A295" s="38"/>
      <c r="D295" t="str">
        <f>IF($C295="","",IFERROR(LOOKUP(2,1/($C$2:INDEX($C:$C,ROW()-1)=$C295),$E$2:INDEX($E:$E,ROW()-1)),IFERROR(VLOOKUP($C295,'01_Warehouse_Ledger'!$A$2:$C$2002,3,FALSE),"")))</f>
        <v/>
      </c>
      <c r="G295" s="41"/>
    </row>
    <row r="296" spans="1:7">
      <c r="A296" s="38"/>
      <c r="D296" t="str">
        <f>IF($C296="","",IFERROR(LOOKUP(2,1/($C$2:INDEX($C:$C,ROW()-1)=$C296),$E$2:INDEX($E:$E,ROW()-1)),IFERROR(VLOOKUP($C296,'01_Warehouse_Ledger'!$A$2:$C$2002,3,FALSE),"")))</f>
        <v/>
      </c>
      <c r="G296" s="41"/>
    </row>
    <row r="297" spans="1:7">
      <c r="A297" s="38"/>
      <c r="D297" t="str">
        <f>IF($C297="","",IFERROR(LOOKUP(2,1/($C$2:INDEX($C:$C,ROW()-1)=$C297),$E$2:INDEX($E:$E,ROW()-1)),IFERROR(VLOOKUP($C297,'01_Warehouse_Ledger'!$A$2:$C$2002,3,FALSE),"")))</f>
        <v/>
      </c>
      <c r="G297" s="41"/>
    </row>
    <row r="298" spans="1:7">
      <c r="A298" s="38"/>
      <c r="D298" t="str">
        <f>IF($C298="","",IFERROR(LOOKUP(2,1/($C$2:INDEX($C:$C,ROW()-1)=$C298),$E$2:INDEX($E:$E,ROW()-1)),IFERROR(VLOOKUP($C298,'01_Warehouse_Ledger'!$A$2:$C$2002,3,FALSE),"")))</f>
        <v/>
      </c>
      <c r="G298" s="41"/>
    </row>
    <row r="299" spans="1:7">
      <c r="A299" s="38"/>
      <c r="D299" t="str">
        <f>IF($C299="","",IFERROR(LOOKUP(2,1/($C$2:INDEX($C:$C,ROW()-1)=$C299),$E$2:INDEX($E:$E,ROW()-1)),IFERROR(VLOOKUP($C299,'01_Warehouse_Ledger'!$A$2:$C$2002,3,FALSE),"")))</f>
        <v/>
      </c>
      <c r="G299" s="41"/>
    </row>
    <row r="300" spans="1:7">
      <c r="A300" s="38"/>
      <c r="D300" t="str">
        <f>IF($C300="","",IFERROR(LOOKUP(2,1/($C$2:INDEX($C:$C,ROW()-1)=$C300),$E$2:INDEX($E:$E,ROW()-1)),IFERROR(VLOOKUP($C300,'01_Warehouse_Ledger'!$A$2:$C$2002,3,FALSE),"")))</f>
        <v/>
      </c>
      <c r="G300" s="41"/>
    </row>
    <row r="301" spans="1:7">
      <c r="A301" s="38"/>
      <c r="D301" t="str">
        <f>IF($C301="","",IFERROR(LOOKUP(2,1/($C$2:INDEX($C:$C,ROW()-1)=$C301),$E$2:INDEX($E:$E,ROW()-1)),IFERROR(VLOOKUP($C301,'01_Warehouse_Ledger'!$A$2:$C$2002,3,FALSE),"")))</f>
        <v/>
      </c>
      <c r="G301" s="41"/>
    </row>
    <row r="302" spans="1:7">
      <c r="A302" s="38"/>
      <c r="D302" t="str">
        <f>IF($C302="","",IFERROR(LOOKUP(2,1/($C$2:INDEX($C:$C,ROW()-1)=$C302),$E$2:INDEX($E:$E,ROW()-1)),IFERROR(VLOOKUP($C302,'01_Warehouse_Ledger'!$A$2:$C$2002,3,FALSE),"")))</f>
        <v/>
      </c>
      <c r="G302" s="41"/>
    </row>
    <row r="303" spans="1:7">
      <c r="A303" s="38"/>
      <c r="D303" t="str">
        <f>IF($C303="","",IFERROR(LOOKUP(2,1/($C$2:INDEX($C:$C,ROW()-1)=$C303),$E$2:INDEX($E:$E,ROW()-1)),IFERROR(VLOOKUP($C303,'01_Warehouse_Ledger'!$A$2:$C$2002,3,FALSE),"")))</f>
        <v/>
      </c>
      <c r="G303" s="41"/>
    </row>
    <row r="304" spans="1:7">
      <c r="A304" s="38"/>
      <c r="D304" t="str">
        <f>IF($C304="","",IFERROR(LOOKUP(2,1/($C$2:INDEX($C:$C,ROW()-1)=$C304),$E$2:INDEX($E:$E,ROW()-1)),IFERROR(VLOOKUP($C304,'01_Warehouse_Ledger'!$A$2:$C$2002,3,FALSE),"")))</f>
        <v/>
      </c>
      <c r="G304" s="41"/>
    </row>
    <row r="305" spans="1:7">
      <c r="A305" s="38"/>
      <c r="D305" t="str">
        <f>IF($C305="","",IFERROR(LOOKUP(2,1/($C$2:INDEX($C:$C,ROW()-1)=$C305),$E$2:INDEX($E:$E,ROW()-1)),IFERROR(VLOOKUP($C305,'01_Warehouse_Ledger'!$A$2:$C$2002,3,FALSE),"")))</f>
        <v/>
      </c>
      <c r="G305" s="41"/>
    </row>
    <row r="306" spans="1:7">
      <c r="A306" s="38"/>
      <c r="D306" t="str">
        <f>IF($C306="","",IFERROR(LOOKUP(2,1/($C$2:INDEX($C:$C,ROW()-1)=$C306),$E$2:INDEX($E:$E,ROW()-1)),IFERROR(VLOOKUP($C306,'01_Warehouse_Ledger'!$A$2:$C$2002,3,FALSE),"")))</f>
        <v/>
      </c>
      <c r="G306" s="41"/>
    </row>
    <row r="307" spans="1:7">
      <c r="A307" s="38"/>
      <c r="D307" t="str">
        <f>IF($C307="","",IFERROR(LOOKUP(2,1/($C$2:INDEX($C:$C,ROW()-1)=$C307),$E$2:INDEX($E:$E,ROW()-1)),IFERROR(VLOOKUP($C307,'01_Warehouse_Ledger'!$A$2:$C$2002,3,FALSE),"")))</f>
        <v/>
      </c>
      <c r="G307" s="41"/>
    </row>
    <row r="308" spans="1:7">
      <c r="A308" s="38"/>
      <c r="D308" t="str">
        <f>IF($C308="","",IFERROR(LOOKUP(2,1/($C$2:INDEX($C:$C,ROW()-1)=$C308),$E$2:INDEX($E:$E,ROW()-1)),IFERROR(VLOOKUP($C308,'01_Warehouse_Ledger'!$A$2:$C$2002,3,FALSE),"")))</f>
        <v/>
      </c>
      <c r="G308" s="41"/>
    </row>
    <row r="309" spans="1:7">
      <c r="A309" s="38"/>
      <c r="D309" t="str">
        <f>IF($C309="","",IFERROR(LOOKUP(2,1/($C$2:INDEX($C:$C,ROW()-1)=$C309),$E$2:INDEX($E:$E,ROW()-1)),IFERROR(VLOOKUP($C309,'01_Warehouse_Ledger'!$A$2:$C$2002,3,FALSE),"")))</f>
        <v/>
      </c>
      <c r="G309" s="41"/>
    </row>
    <row r="310" spans="1:7">
      <c r="A310" s="38"/>
      <c r="D310" t="str">
        <f>IF($C310="","",IFERROR(LOOKUP(2,1/($C$2:INDEX($C:$C,ROW()-1)=$C310),$E$2:INDEX($E:$E,ROW()-1)),IFERROR(VLOOKUP($C310,'01_Warehouse_Ledger'!$A$2:$C$2002,3,FALSE),"")))</f>
        <v/>
      </c>
      <c r="G310" s="41"/>
    </row>
    <row r="311" spans="1:7">
      <c r="A311" s="38"/>
      <c r="D311" t="str">
        <f>IF($C311="","",IFERROR(LOOKUP(2,1/($C$2:INDEX($C:$C,ROW()-1)=$C311),$E$2:INDEX($E:$E,ROW()-1)),IFERROR(VLOOKUP($C311,'01_Warehouse_Ledger'!$A$2:$C$2002,3,FALSE),"")))</f>
        <v/>
      </c>
      <c r="G311" s="41"/>
    </row>
    <row r="312" spans="1:7">
      <c r="A312" s="38"/>
      <c r="D312" t="str">
        <f>IF($C312="","",IFERROR(LOOKUP(2,1/($C$2:INDEX($C:$C,ROW()-1)=$C312),$E$2:INDEX($E:$E,ROW()-1)),IFERROR(VLOOKUP($C312,'01_Warehouse_Ledger'!$A$2:$C$2002,3,FALSE),"")))</f>
        <v/>
      </c>
      <c r="G312" s="41"/>
    </row>
    <row r="313" spans="1:7">
      <c r="A313" s="38"/>
      <c r="D313" t="str">
        <f>IF($C313="","",IFERROR(LOOKUP(2,1/($C$2:INDEX($C:$C,ROW()-1)=$C313),$E$2:INDEX($E:$E,ROW()-1)),IFERROR(VLOOKUP($C313,'01_Warehouse_Ledger'!$A$2:$C$2002,3,FALSE),"")))</f>
        <v/>
      </c>
      <c r="G313" s="41"/>
    </row>
    <row r="314" spans="1:7">
      <c r="A314" s="38"/>
      <c r="D314" t="str">
        <f>IF($C314="","",IFERROR(LOOKUP(2,1/($C$2:INDEX($C:$C,ROW()-1)=$C314),$E$2:INDEX($E:$E,ROW()-1)),IFERROR(VLOOKUP($C314,'01_Warehouse_Ledger'!$A$2:$C$2002,3,FALSE),"")))</f>
        <v/>
      </c>
      <c r="G314" s="41"/>
    </row>
    <row r="315" spans="1:7">
      <c r="A315" s="38"/>
      <c r="D315" t="str">
        <f>IF($C315="","",IFERROR(LOOKUP(2,1/($C$2:INDEX($C:$C,ROW()-1)=$C315),$E$2:INDEX($E:$E,ROW()-1)),IFERROR(VLOOKUP($C315,'01_Warehouse_Ledger'!$A$2:$C$2002,3,FALSE),"")))</f>
        <v/>
      </c>
      <c r="G315" s="41"/>
    </row>
    <row r="316" spans="1:7">
      <c r="A316" s="38"/>
      <c r="D316" t="str">
        <f>IF($C316="","",IFERROR(LOOKUP(2,1/($C$2:INDEX($C:$C,ROW()-1)=$C316),$E$2:INDEX($E:$E,ROW()-1)),IFERROR(VLOOKUP($C316,'01_Warehouse_Ledger'!$A$2:$C$2002,3,FALSE),"")))</f>
        <v/>
      </c>
      <c r="G316" s="41"/>
    </row>
    <row r="317" spans="1:7">
      <c r="A317" s="38"/>
      <c r="D317" t="str">
        <f>IF($C317="","",IFERROR(LOOKUP(2,1/($C$2:INDEX($C:$C,ROW()-1)=$C317),$E$2:INDEX($E:$E,ROW()-1)),IFERROR(VLOOKUP($C317,'01_Warehouse_Ledger'!$A$2:$C$2002,3,FALSE),"")))</f>
        <v/>
      </c>
      <c r="G317" s="41"/>
    </row>
    <row r="318" spans="1:7">
      <c r="A318" s="38"/>
      <c r="D318" t="str">
        <f>IF($C318="","",IFERROR(LOOKUP(2,1/($C$2:INDEX($C:$C,ROW()-1)=$C318),$E$2:INDEX($E:$E,ROW()-1)),IFERROR(VLOOKUP($C318,'01_Warehouse_Ledger'!$A$2:$C$2002,3,FALSE),"")))</f>
        <v/>
      </c>
      <c r="G318" s="41"/>
    </row>
    <row r="319" spans="1:7">
      <c r="A319" s="38"/>
      <c r="D319" t="str">
        <f>IF($C319="","",IFERROR(LOOKUP(2,1/($C$2:INDEX($C:$C,ROW()-1)=$C319),$E$2:INDEX($E:$E,ROW()-1)),IFERROR(VLOOKUP($C319,'01_Warehouse_Ledger'!$A$2:$C$2002,3,FALSE),"")))</f>
        <v/>
      </c>
      <c r="G319" s="41"/>
    </row>
    <row r="320" spans="1:7">
      <c r="A320" s="38"/>
      <c r="D320" t="str">
        <f>IF($C320="","",IFERROR(LOOKUP(2,1/($C$2:INDEX($C:$C,ROW()-1)=$C320),$E$2:INDEX($E:$E,ROW()-1)),IFERROR(VLOOKUP($C320,'01_Warehouse_Ledger'!$A$2:$C$2002,3,FALSE),"")))</f>
        <v/>
      </c>
      <c r="G320" s="41"/>
    </row>
    <row r="321" spans="1:7">
      <c r="A321" s="38"/>
      <c r="D321" t="str">
        <f>IF($C321="","",IFERROR(LOOKUP(2,1/($C$2:INDEX($C:$C,ROW()-1)=$C321),$E$2:INDEX($E:$E,ROW()-1)),IFERROR(VLOOKUP($C321,'01_Warehouse_Ledger'!$A$2:$C$2002,3,FALSE),"")))</f>
        <v/>
      </c>
      <c r="G321" s="41"/>
    </row>
    <row r="322" spans="1:7">
      <c r="A322" s="38"/>
      <c r="D322" t="str">
        <f>IF($C322="","",IFERROR(LOOKUP(2,1/($C$2:INDEX($C:$C,ROW()-1)=$C322),$E$2:INDEX($E:$E,ROW()-1)),IFERROR(VLOOKUP($C322,'01_Warehouse_Ledger'!$A$2:$C$2002,3,FALSE),"")))</f>
        <v/>
      </c>
      <c r="G322" s="41"/>
    </row>
    <row r="323" spans="1:7">
      <c r="A323" s="38"/>
      <c r="D323" t="str">
        <f>IF($C323="","",IFERROR(LOOKUP(2,1/($C$2:INDEX($C:$C,ROW()-1)=$C323),$E$2:INDEX($E:$E,ROW()-1)),IFERROR(VLOOKUP($C323,'01_Warehouse_Ledger'!$A$2:$C$2002,3,FALSE),"")))</f>
        <v/>
      </c>
      <c r="G323" s="41"/>
    </row>
    <row r="324" spans="1:7">
      <c r="A324" s="38"/>
      <c r="D324" t="str">
        <f>IF($C324="","",IFERROR(LOOKUP(2,1/($C$2:INDEX($C:$C,ROW()-1)=$C324),$E$2:INDEX($E:$E,ROW()-1)),IFERROR(VLOOKUP($C324,'01_Warehouse_Ledger'!$A$2:$C$2002,3,FALSE),"")))</f>
        <v/>
      </c>
      <c r="G324" s="41"/>
    </row>
    <row r="325" spans="1:7">
      <c r="A325" s="38"/>
      <c r="D325" t="str">
        <f>IF($C325="","",IFERROR(LOOKUP(2,1/($C$2:INDEX($C:$C,ROW()-1)=$C325),$E$2:INDEX($E:$E,ROW()-1)),IFERROR(VLOOKUP($C325,'01_Warehouse_Ledger'!$A$2:$C$2002,3,FALSE),"")))</f>
        <v/>
      </c>
      <c r="G325" s="41"/>
    </row>
    <row r="326" spans="1:7">
      <c r="A326" s="38"/>
      <c r="D326" t="str">
        <f>IF($C326="","",IFERROR(LOOKUP(2,1/($C$2:INDEX($C:$C,ROW()-1)=$C326),$E$2:INDEX($E:$E,ROW()-1)),IFERROR(VLOOKUP($C326,'01_Warehouse_Ledger'!$A$2:$C$2002,3,FALSE),"")))</f>
        <v/>
      </c>
      <c r="G326" s="41"/>
    </row>
    <row r="327" spans="1:7">
      <c r="A327" s="38"/>
      <c r="D327" t="str">
        <f>IF($C327="","",IFERROR(LOOKUP(2,1/($C$2:INDEX($C:$C,ROW()-1)=$C327),$E$2:INDEX($E:$E,ROW()-1)),IFERROR(VLOOKUP($C327,'01_Warehouse_Ledger'!$A$2:$C$2002,3,FALSE),"")))</f>
        <v/>
      </c>
      <c r="G327" s="41"/>
    </row>
    <row r="328" spans="1:7">
      <c r="A328" s="38"/>
      <c r="D328" t="str">
        <f>IF($C328="","",IFERROR(LOOKUP(2,1/($C$2:INDEX($C:$C,ROW()-1)=$C328),$E$2:INDEX($E:$E,ROW()-1)),IFERROR(VLOOKUP($C328,'01_Warehouse_Ledger'!$A$2:$C$2002,3,FALSE),"")))</f>
        <v/>
      </c>
      <c r="G328" s="41"/>
    </row>
    <row r="329" spans="1:7">
      <c r="A329" s="38"/>
      <c r="D329" t="str">
        <f>IF($C329="","",IFERROR(LOOKUP(2,1/($C$2:INDEX($C:$C,ROW()-1)=$C329),$E$2:INDEX($E:$E,ROW()-1)),IFERROR(VLOOKUP($C329,'01_Warehouse_Ledger'!$A$2:$C$2002,3,FALSE),"")))</f>
        <v/>
      </c>
      <c r="G329" s="41"/>
    </row>
    <row r="330" spans="1:7">
      <c r="A330" s="38"/>
      <c r="D330" t="str">
        <f>IF($C330="","",IFERROR(LOOKUP(2,1/($C$2:INDEX($C:$C,ROW()-1)=$C330),$E$2:INDEX($E:$E,ROW()-1)),IFERROR(VLOOKUP($C330,'01_Warehouse_Ledger'!$A$2:$C$2002,3,FALSE),"")))</f>
        <v/>
      </c>
      <c r="G330" s="41"/>
    </row>
    <row r="331" spans="1:7">
      <c r="A331" s="38"/>
      <c r="D331" t="str">
        <f>IF($C331="","",IFERROR(LOOKUP(2,1/($C$2:INDEX($C:$C,ROW()-1)=$C331),$E$2:INDEX($E:$E,ROW()-1)),IFERROR(VLOOKUP($C331,'01_Warehouse_Ledger'!$A$2:$C$2002,3,FALSE),"")))</f>
        <v/>
      </c>
      <c r="G331" s="41"/>
    </row>
    <row r="332" spans="1:7">
      <c r="A332" s="38"/>
      <c r="D332" t="str">
        <f>IF($C332="","",IFERROR(LOOKUP(2,1/($C$2:INDEX($C:$C,ROW()-1)=$C332),$E$2:INDEX($E:$E,ROW()-1)),IFERROR(VLOOKUP($C332,'01_Warehouse_Ledger'!$A$2:$C$2002,3,FALSE),"")))</f>
        <v/>
      </c>
      <c r="G332" s="41"/>
    </row>
    <row r="333" spans="1:7">
      <c r="A333" s="38"/>
      <c r="D333" t="str">
        <f>IF($C333="","",IFERROR(LOOKUP(2,1/($C$2:INDEX($C:$C,ROW()-1)=$C333),$E$2:INDEX($E:$E,ROW()-1)),IFERROR(VLOOKUP($C333,'01_Warehouse_Ledger'!$A$2:$C$2002,3,FALSE),"")))</f>
        <v/>
      </c>
      <c r="G333" s="41"/>
    </row>
    <row r="334" spans="1:7">
      <c r="A334" s="38"/>
      <c r="D334" t="str">
        <f>IF($C334="","",IFERROR(LOOKUP(2,1/($C$2:INDEX($C:$C,ROW()-1)=$C334),$E$2:INDEX($E:$E,ROW()-1)),IFERROR(VLOOKUP($C334,'01_Warehouse_Ledger'!$A$2:$C$2002,3,FALSE),"")))</f>
        <v/>
      </c>
      <c r="G334" s="41"/>
    </row>
    <row r="335" spans="1:7">
      <c r="A335" s="38"/>
      <c r="D335" t="str">
        <f>IF($C335="","",IFERROR(LOOKUP(2,1/($C$2:INDEX($C:$C,ROW()-1)=$C335),$E$2:INDEX($E:$E,ROW()-1)),IFERROR(VLOOKUP($C335,'01_Warehouse_Ledger'!$A$2:$C$2002,3,FALSE),"")))</f>
        <v/>
      </c>
      <c r="G335" s="41"/>
    </row>
    <row r="336" spans="1:7">
      <c r="A336" s="38"/>
      <c r="D336" t="str">
        <f>IF($C336="","",IFERROR(LOOKUP(2,1/($C$2:INDEX($C:$C,ROW()-1)=$C336),$E$2:INDEX($E:$E,ROW()-1)),IFERROR(VLOOKUP($C336,'01_Warehouse_Ledger'!$A$2:$C$2002,3,FALSE),"")))</f>
        <v/>
      </c>
      <c r="G336" s="41"/>
    </row>
    <row r="337" spans="1:7">
      <c r="A337" s="38"/>
      <c r="D337" t="str">
        <f>IF($C337="","",IFERROR(LOOKUP(2,1/($C$2:INDEX($C:$C,ROW()-1)=$C337),$E$2:INDEX($E:$E,ROW()-1)),IFERROR(VLOOKUP($C337,'01_Warehouse_Ledger'!$A$2:$C$2002,3,FALSE),"")))</f>
        <v/>
      </c>
      <c r="G337" s="41"/>
    </row>
    <row r="338" spans="1:7">
      <c r="A338" s="38"/>
      <c r="D338" t="str">
        <f>IF($C338="","",IFERROR(LOOKUP(2,1/($C$2:INDEX($C:$C,ROW()-1)=$C338),$E$2:INDEX($E:$E,ROW()-1)),IFERROR(VLOOKUP($C338,'01_Warehouse_Ledger'!$A$2:$C$2002,3,FALSE),"")))</f>
        <v/>
      </c>
      <c r="G338" s="41"/>
    </row>
    <row r="339" spans="1:7">
      <c r="A339" s="38"/>
      <c r="D339" t="str">
        <f>IF($C339="","",IFERROR(LOOKUP(2,1/($C$2:INDEX($C:$C,ROW()-1)=$C339),$E$2:INDEX($E:$E,ROW()-1)),IFERROR(VLOOKUP($C339,'01_Warehouse_Ledger'!$A$2:$C$2002,3,FALSE),"")))</f>
        <v/>
      </c>
      <c r="G339" s="41"/>
    </row>
    <row r="340" spans="1:7">
      <c r="A340" s="38"/>
      <c r="D340" t="str">
        <f>IF($C340="","",IFERROR(LOOKUP(2,1/($C$2:INDEX($C:$C,ROW()-1)=$C340),$E$2:INDEX($E:$E,ROW()-1)),IFERROR(VLOOKUP($C340,'01_Warehouse_Ledger'!$A$2:$C$2002,3,FALSE),"")))</f>
        <v/>
      </c>
      <c r="G340" s="41"/>
    </row>
    <row r="341" spans="1:7">
      <c r="A341" s="38"/>
      <c r="D341" t="str">
        <f>IF($C341="","",IFERROR(LOOKUP(2,1/($C$2:INDEX($C:$C,ROW()-1)=$C341),$E$2:INDEX($E:$E,ROW()-1)),IFERROR(VLOOKUP($C341,'01_Warehouse_Ledger'!$A$2:$C$2002,3,FALSE),"")))</f>
        <v/>
      </c>
      <c r="G341" s="41"/>
    </row>
    <row r="342" spans="1:7">
      <c r="A342" s="38"/>
      <c r="D342" t="str">
        <f>IF($C342="","",IFERROR(LOOKUP(2,1/($C$2:INDEX($C:$C,ROW()-1)=$C342),$E$2:INDEX($E:$E,ROW()-1)),IFERROR(VLOOKUP($C342,'01_Warehouse_Ledger'!$A$2:$C$2002,3,FALSE),"")))</f>
        <v/>
      </c>
      <c r="G342" s="41"/>
    </row>
    <row r="343" spans="1:7">
      <c r="A343" s="38"/>
      <c r="D343" t="str">
        <f>IF($C343="","",IFERROR(LOOKUP(2,1/($C$2:INDEX($C:$C,ROW()-1)=$C343),$E$2:INDEX($E:$E,ROW()-1)),IFERROR(VLOOKUP($C343,'01_Warehouse_Ledger'!$A$2:$C$2002,3,FALSE),"")))</f>
        <v/>
      </c>
      <c r="G343" s="41"/>
    </row>
    <row r="344" spans="1:7">
      <c r="A344" s="38"/>
      <c r="D344" t="str">
        <f>IF($C344="","",IFERROR(LOOKUP(2,1/($C$2:INDEX($C:$C,ROW()-1)=$C344),$E$2:INDEX($E:$E,ROW()-1)),IFERROR(VLOOKUP($C344,'01_Warehouse_Ledger'!$A$2:$C$2002,3,FALSE),"")))</f>
        <v/>
      </c>
      <c r="G344" s="41"/>
    </row>
    <row r="345" spans="1:7">
      <c r="A345" s="38"/>
      <c r="D345" t="str">
        <f>IF($C345="","",IFERROR(LOOKUP(2,1/($C$2:INDEX($C:$C,ROW()-1)=$C345),$E$2:INDEX($E:$E,ROW()-1)),IFERROR(VLOOKUP($C345,'01_Warehouse_Ledger'!$A$2:$C$2002,3,FALSE),"")))</f>
        <v/>
      </c>
      <c r="G345" s="41"/>
    </row>
    <row r="346" spans="1:7">
      <c r="A346" s="38"/>
      <c r="D346" t="str">
        <f>IF($C346="","",IFERROR(LOOKUP(2,1/($C$2:INDEX($C:$C,ROW()-1)=$C346),$E$2:INDEX($E:$E,ROW()-1)),IFERROR(VLOOKUP($C346,'01_Warehouse_Ledger'!$A$2:$C$2002,3,FALSE),"")))</f>
        <v/>
      </c>
      <c r="G346" s="41"/>
    </row>
    <row r="347" spans="1:7">
      <c r="A347" s="38"/>
      <c r="D347" t="str">
        <f>IF($C347="","",IFERROR(LOOKUP(2,1/($C$2:INDEX($C:$C,ROW()-1)=$C347),$E$2:INDEX($E:$E,ROW()-1)),IFERROR(VLOOKUP($C347,'01_Warehouse_Ledger'!$A$2:$C$2002,3,FALSE),"")))</f>
        <v/>
      </c>
      <c r="G347" s="41"/>
    </row>
    <row r="348" spans="1:7">
      <c r="A348" s="38"/>
      <c r="D348" t="str">
        <f>IF($C348="","",IFERROR(LOOKUP(2,1/($C$2:INDEX($C:$C,ROW()-1)=$C348),$E$2:INDEX($E:$E,ROW()-1)),IFERROR(VLOOKUP($C348,'01_Warehouse_Ledger'!$A$2:$C$2002,3,FALSE),"")))</f>
        <v/>
      </c>
      <c r="G348" s="41"/>
    </row>
    <row r="349" spans="1:7">
      <c r="A349" s="38"/>
      <c r="D349" t="str">
        <f>IF($C349="","",IFERROR(LOOKUP(2,1/($C$2:INDEX($C:$C,ROW()-1)=$C349),$E$2:INDEX($E:$E,ROW()-1)),IFERROR(VLOOKUP($C349,'01_Warehouse_Ledger'!$A$2:$C$2002,3,FALSE),"")))</f>
        <v/>
      </c>
      <c r="G349" s="41"/>
    </row>
    <row r="350" spans="1:7">
      <c r="A350" s="38"/>
      <c r="D350" t="str">
        <f>IF($C350="","",IFERROR(LOOKUP(2,1/($C$2:INDEX($C:$C,ROW()-1)=$C350),$E$2:INDEX($E:$E,ROW()-1)),IFERROR(VLOOKUP($C350,'01_Warehouse_Ledger'!$A$2:$C$2002,3,FALSE),"")))</f>
        <v/>
      </c>
      <c r="G350" s="41"/>
    </row>
    <row r="351" spans="1:7">
      <c r="A351" s="38"/>
      <c r="D351" t="str">
        <f>IF($C351="","",IFERROR(LOOKUP(2,1/($C$2:INDEX($C:$C,ROW()-1)=$C351),$E$2:INDEX($E:$E,ROW()-1)),IFERROR(VLOOKUP($C351,'01_Warehouse_Ledger'!$A$2:$C$2002,3,FALSE),"")))</f>
        <v/>
      </c>
      <c r="G351" s="41"/>
    </row>
    <row r="352" spans="1:7">
      <c r="A352" s="38"/>
      <c r="D352" t="str">
        <f>IF($C352="","",IFERROR(LOOKUP(2,1/($C$2:INDEX($C:$C,ROW()-1)=$C352),$E$2:INDEX($E:$E,ROW()-1)),IFERROR(VLOOKUP($C352,'01_Warehouse_Ledger'!$A$2:$C$2002,3,FALSE),"")))</f>
        <v/>
      </c>
      <c r="G352" s="41"/>
    </row>
    <row r="353" spans="1:7">
      <c r="A353" s="38"/>
      <c r="D353" t="str">
        <f>IF($C353="","",IFERROR(LOOKUP(2,1/($C$2:INDEX($C:$C,ROW()-1)=$C353),$E$2:INDEX($E:$E,ROW()-1)),IFERROR(VLOOKUP($C353,'01_Warehouse_Ledger'!$A$2:$C$2002,3,FALSE),"")))</f>
        <v/>
      </c>
      <c r="G353" s="41"/>
    </row>
    <row r="354" spans="1:7">
      <c r="A354" s="38"/>
      <c r="D354" t="str">
        <f>IF($C354="","",IFERROR(LOOKUP(2,1/($C$2:INDEX($C:$C,ROW()-1)=$C354),$E$2:INDEX($E:$E,ROW()-1)),IFERROR(VLOOKUP($C354,'01_Warehouse_Ledger'!$A$2:$C$2002,3,FALSE),"")))</f>
        <v/>
      </c>
      <c r="G354" s="41"/>
    </row>
    <row r="355" spans="1:7">
      <c r="A355" s="38"/>
      <c r="D355" t="str">
        <f>IF($C355="","",IFERROR(LOOKUP(2,1/($C$2:INDEX($C:$C,ROW()-1)=$C355),$E$2:INDEX($E:$E,ROW()-1)),IFERROR(VLOOKUP($C355,'01_Warehouse_Ledger'!$A$2:$C$2002,3,FALSE),"")))</f>
        <v/>
      </c>
      <c r="G355" s="41"/>
    </row>
    <row r="356" spans="1:7">
      <c r="A356" s="38"/>
      <c r="D356" t="str">
        <f>IF($C356="","",IFERROR(LOOKUP(2,1/($C$2:INDEX($C:$C,ROW()-1)=$C356),$E$2:INDEX($E:$E,ROW()-1)),IFERROR(VLOOKUP($C356,'01_Warehouse_Ledger'!$A$2:$C$2002,3,FALSE),"")))</f>
        <v/>
      </c>
      <c r="G356" s="41"/>
    </row>
    <row r="357" spans="1:7">
      <c r="A357" s="38"/>
      <c r="D357" t="str">
        <f>IF($C357="","",IFERROR(LOOKUP(2,1/($C$2:INDEX($C:$C,ROW()-1)=$C357),$E$2:INDEX($E:$E,ROW()-1)),IFERROR(VLOOKUP($C357,'01_Warehouse_Ledger'!$A$2:$C$2002,3,FALSE),"")))</f>
        <v/>
      </c>
      <c r="G357" s="41"/>
    </row>
    <row r="358" spans="1:7">
      <c r="A358" s="38"/>
      <c r="D358" t="str">
        <f>IF($C358="","",IFERROR(LOOKUP(2,1/($C$2:INDEX($C:$C,ROW()-1)=$C358),$E$2:INDEX($E:$E,ROW()-1)),IFERROR(VLOOKUP($C358,'01_Warehouse_Ledger'!$A$2:$C$2002,3,FALSE),"")))</f>
        <v/>
      </c>
      <c r="G358" s="41"/>
    </row>
    <row r="359" spans="1:7">
      <c r="A359" s="38"/>
      <c r="D359" t="str">
        <f>IF($C359="","",IFERROR(LOOKUP(2,1/($C$2:INDEX($C:$C,ROW()-1)=$C359),$E$2:INDEX($E:$E,ROW()-1)),IFERROR(VLOOKUP($C359,'01_Warehouse_Ledger'!$A$2:$C$2002,3,FALSE),"")))</f>
        <v/>
      </c>
      <c r="G359" s="41"/>
    </row>
    <row r="360" spans="1:7">
      <c r="A360" s="38"/>
      <c r="D360" t="str">
        <f>IF($C360="","",IFERROR(LOOKUP(2,1/($C$2:INDEX($C:$C,ROW()-1)=$C360),$E$2:INDEX($E:$E,ROW()-1)),IFERROR(VLOOKUP($C360,'01_Warehouse_Ledger'!$A$2:$C$2002,3,FALSE),"")))</f>
        <v/>
      </c>
      <c r="G360" s="41"/>
    </row>
    <row r="361" spans="1:7">
      <c r="A361" s="38"/>
      <c r="D361" t="str">
        <f>IF($C361="","",IFERROR(LOOKUP(2,1/($C$2:INDEX($C:$C,ROW()-1)=$C361),$E$2:INDEX($E:$E,ROW()-1)),IFERROR(VLOOKUP($C361,'01_Warehouse_Ledger'!$A$2:$C$2002,3,FALSE),"")))</f>
        <v/>
      </c>
      <c r="G361" s="41"/>
    </row>
    <row r="362" spans="1:7">
      <c r="A362" s="38"/>
      <c r="D362" t="str">
        <f>IF($C362="","",IFERROR(LOOKUP(2,1/($C$2:INDEX($C:$C,ROW()-1)=$C362),$E$2:INDEX($E:$E,ROW()-1)),IFERROR(VLOOKUP($C362,'01_Warehouse_Ledger'!$A$2:$C$2002,3,FALSE),"")))</f>
        <v/>
      </c>
      <c r="G362" s="41"/>
    </row>
    <row r="363" spans="1:7">
      <c r="A363" s="38"/>
      <c r="D363" t="str">
        <f>IF($C363="","",IFERROR(LOOKUP(2,1/($C$2:INDEX($C:$C,ROW()-1)=$C363),$E$2:INDEX($E:$E,ROW()-1)),IFERROR(VLOOKUP($C363,'01_Warehouse_Ledger'!$A$2:$C$2002,3,FALSE),"")))</f>
        <v/>
      </c>
      <c r="G363" s="41"/>
    </row>
    <row r="364" spans="1:7">
      <c r="A364" s="38"/>
      <c r="D364" t="str">
        <f>IF($C364="","",IFERROR(LOOKUP(2,1/($C$2:INDEX($C:$C,ROW()-1)=$C364),$E$2:INDEX($E:$E,ROW()-1)),IFERROR(VLOOKUP($C364,'01_Warehouse_Ledger'!$A$2:$C$2002,3,FALSE),"")))</f>
        <v/>
      </c>
      <c r="G364" s="41"/>
    </row>
    <row r="365" spans="1:7">
      <c r="A365" s="38"/>
      <c r="D365" t="str">
        <f>IF($C365="","",IFERROR(LOOKUP(2,1/($C$2:INDEX($C:$C,ROW()-1)=$C365),$E$2:INDEX($E:$E,ROW()-1)),IFERROR(VLOOKUP($C365,'01_Warehouse_Ledger'!$A$2:$C$2002,3,FALSE),"")))</f>
        <v/>
      </c>
      <c r="G365" s="41"/>
    </row>
    <row r="366" spans="1:7">
      <c r="A366" s="38"/>
      <c r="D366" t="str">
        <f>IF($C366="","",IFERROR(LOOKUP(2,1/($C$2:INDEX($C:$C,ROW()-1)=$C366),$E$2:INDEX($E:$E,ROW()-1)),IFERROR(VLOOKUP($C366,'01_Warehouse_Ledger'!$A$2:$C$2002,3,FALSE),"")))</f>
        <v/>
      </c>
      <c r="G366" s="41"/>
    </row>
    <row r="367" spans="1:7">
      <c r="A367" s="38"/>
      <c r="D367" t="str">
        <f>IF($C367="","",IFERROR(LOOKUP(2,1/($C$2:INDEX($C:$C,ROW()-1)=$C367),$E$2:INDEX($E:$E,ROW()-1)),IFERROR(VLOOKUP($C367,'01_Warehouse_Ledger'!$A$2:$C$2002,3,FALSE),"")))</f>
        <v/>
      </c>
      <c r="G367" s="41"/>
    </row>
    <row r="368" spans="1:7">
      <c r="A368" s="38"/>
      <c r="D368" t="str">
        <f>IF($C368="","",IFERROR(LOOKUP(2,1/($C$2:INDEX($C:$C,ROW()-1)=$C368),$E$2:INDEX($E:$E,ROW()-1)),IFERROR(VLOOKUP($C368,'01_Warehouse_Ledger'!$A$2:$C$2002,3,FALSE),"")))</f>
        <v/>
      </c>
      <c r="G368" s="41"/>
    </row>
    <row r="369" spans="1:7">
      <c r="A369" s="38"/>
      <c r="D369" t="str">
        <f>IF($C369="","",IFERROR(LOOKUP(2,1/($C$2:INDEX($C:$C,ROW()-1)=$C369),$E$2:INDEX($E:$E,ROW()-1)),IFERROR(VLOOKUP($C369,'01_Warehouse_Ledger'!$A$2:$C$2002,3,FALSE),"")))</f>
        <v/>
      </c>
      <c r="G369" s="41"/>
    </row>
    <row r="370" spans="1:7">
      <c r="A370" s="38"/>
      <c r="D370" t="str">
        <f>IF($C370="","",IFERROR(LOOKUP(2,1/($C$2:INDEX($C:$C,ROW()-1)=$C370),$E$2:INDEX($E:$E,ROW()-1)),IFERROR(VLOOKUP($C370,'01_Warehouse_Ledger'!$A$2:$C$2002,3,FALSE),"")))</f>
        <v/>
      </c>
      <c r="G370" s="41"/>
    </row>
    <row r="371" spans="1:7">
      <c r="A371" s="38"/>
      <c r="D371" t="str">
        <f>IF($C371="","",IFERROR(LOOKUP(2,1/($C$2:INDEX($C:$C,ROW()-1)=$C371),$E$2:INDEX($E:$E,ROW()-1)),IFERROR(VLOOKUP($C371,'01_Warehouse_Ledger'!$A$2:$C$2002,3,FALSE),"")))</f>
        <v/>
      </c>
      <c r="G371" s="41"/>
    </row>
    <row r="372" spans="1:7">
      <c r="A372" s="38"/>
      <c r="D372" t="str">
        <f>IF($C372="","",IFERROR(LOOKUP(2,1/($C$2:INDEX($C:$C,ROW()-1)=$C372),$E$2:INDEX($E:$E,ROW()-1)),IFERROR(VLOOKUP($C372,'01_Warehouse_Ledger'!$A$2:$C$2002,3,FALSE),"")))</f>
        <v/>
      </c>
      <c r="G372" s="41"/>
    </row>
    <row r="373" spans="1:7">
      <c r="A373" s="38"/>
      <c r="D373" t="str">
        <f>IF($C373="","",IFERROR(LOOKUP(2,1/($C$2:INDEX($C:$C,ROW()-1)=$C373),$E$2:INDEX($E:$E,ROW()-1)),IFERROR(VLOOKUP($C373,'01_Warehouse_Ledger'!$A$2:$C$2002,3,FALSE),"")))</f>
        <v/>
      </c>
      <c r="G373" s="41"/>
    </row>
    <row r="374" spans="1:7">
      <c r="A374" s="38"/>
      <c r="D374" t="str">
        <f>IF($C374="","",IFERROR(LOOKUP(2,1/($C$2:INDEX($C:$C,ROW()-1)=$C374),$E$2:INDEX($E:$E,ROW()-1)),IFERROR(VLOOKUP($C374,'01_Warehouse_Ledger'!$A$2:$C$2002,3,FALSE),"")))</f>
        <v/>
      </c>
      <c r="G374" s="41"/>
    </row>
    <row r="375" spans="1:7">
      <c r="A375" s="38"/>
      <c r="D375" t="str">
        <f>IF($C375="","",IFERROR(LOOKUP(2,1/($C$2:INDEX($C:$C,ROW()-1)=$C375),$E$2:INDEX($E:$E,ROW()-1)),IFERROR(VLOOKUP($C375,'01_Warehouse_Ledger'!$A$2:$C$2002,3,FALSE),"")))</f>
        <v/>
      </c>
      <c r="G375" s="41"/>
    </row>
    <row r="376" spans="1:7">
      <c r="A376" s="38"/>
      <c r="D376" t="str">
        <f>IF($C376="","",IFERROR(LOOKUP(2,1/($C$2:INDEX($C:$C,ROW()-1)=$C376),$E$2:INDEX($E:$E,ROW()-1)),IFERROR(VLOOKUP($C376,'01_Warehouse_Ledger'!$A$2:$C$2002,3,FALSE),"")))</f>
        <v/>
      </c>
      <c r="G376" s="41"/>
    </row>
    <row r="377" spans="1:7">
      <c r="A377" s="38"/>
      <c r="D377" t="str">
        <f>IF($C377="","",IFERROR(LOOKUP(2,1/($C$2:INDEX($C:$C,ROW()-1)=$C377),$E$2:INDEX($E:$E,ROW()-1)),IFERROR(VLOOKUP($C377,'01_Warehouse_Ledger'!$A$2:$C$2002,3,FALSE),"")))</f>
        <v/>
      </c>
      <c r="G377" s="41"/>
    </row>
    <row r="378" spans="1:7">
      <c r="A378" s="38"/>
      <c r="D378" t="str">
        <f>IF($C378="","",IFERROR(LOOKUP(2,1/($C$2:INDEX($C:$C,ROW()-1)=$C378),$E$2:INDEX($E:$E,ROW()-1)),IFERROR(VLOOKUP($C378,'01_Warehouse_Ledger'!$A$2:$C$2002,3,FALSE),"")))</f>
        <v/>
      </c>
      <c r="G378" s="41"/>
    </row>
    <row r="379" spans="1:7">
      <c r="A379" s="38"/>
      <c r="D379" t="str">
        <f>IF($C379="","",IFERROR(LOOKUP(2,1/($C$2:INDEX($C:$C,ROW()-1)=$C379),$E$2:INDEX($E:$E,ROW()-1)),IFERROR(VLOOKUP($C379,'01_Warehouse_Ledger'!$A$2:$C$2002,3,FALSE),"")))</f>
        <v/>
      </c>
      <c r="G379" s="41"/>
    </row>
    <row r="380" spans="1:7">
      <c r="A380" s="38"/>
      <c r="D380" t="str">
        <f>IF($C380="","",IFERROR(LOOKUP(2,1/($C$2:INDEX($C:$C,ROW()-1)=$C380),$E$2:INDEX($E:$E,ROW()-1)),IFERROR(VLOOKUP($C380,'01_Warehouse_Ledger'!$A$2:$C$2002,3,FALSE),"")))</f>
        <v/>
      </c>
      <c r="G380" s="41"/>
    </row>
    <row r="381" spans="1:7">
      <c r="A381" s="38"/>
      <c r="D381" t="str">
        <f>IF($C381="","",IFERROR(LOOKUP(2,1/($C$2:INDEX($C:$C,ROW()-1)=$C381),$E$2:INDEX($E:$E,ROW()-1)),IFERROR(VLOOKUP($C381,'01_Warehouse_Ledger'!$A$2:$C$2002,3,FALSE),"")))</f>
        <v/>
      </c>
      <c r="G381" s="41"/>
    </row>
    <row r="382" spans="1:7">
      <c r="A382" s="38"/>
      <c r="D382" t="str">
        <f>IF($C382="","",IFERROR(LOOKUP(2,1/($C$2:INDEX($C:$C,ROW()-1)=$C382),$E$2:INDEX($E:$E,ROW()-1)),IFERROR(VLOOKUP($C382,'01_Warehouse_Ledger'!$A$2:$C$2002,3,FALSE),"")))</f>
        <v/>
      </c>
      <c r="G382" s="41"/>
    </row>
    <row r="383" spans="1:7">
      <c r="A383" s="38"/>
      <c r="D383" t="str">
        <f>IF($C383="","",IFERROR(LOOKUP(2,1/($C$2:INDEX($C:$C,ROW()-1)=$C383),$E$2:INDEX($E:$E,ROW()-1)),IFERROR(VLOOKUP($C383,'01_Warehouse_Ledger'!$A$2:$C$2002,3,FALSE),"")))</f>
        <v/>
      </c>
      <c r="G383" s="41"/>
    </row>
    <row r="384" spans="1:7">
      <c r="A384" s="38"/>
      <c r="D384" t="str">
        <f>IF($C384="","",IFERROR(LOOKUP(2,1/($C$2:INDEX($C:$C,ROW()-1)=$C384),$E$2:INDEX($E:$E,ROW()-1)),IFERROR(VLOOKUP($C384,'01_Warehouse_Ledger'!$A$2:$C$2002,3,FALSE),"")))</f>
        <v/>
      </c>
      <c r="G384" s="41"/>
    </row>
    <row r="385" spans="1:7">
      <c r="A385" s="38"/>
      <c r="D385" t="str">
        <f>IF($C385="","",IFERROR(LOOKUP(2,1/($C$2:INDEX($C:$C,ROW()-1)=$C385),$E$2:INDEX($E:$E,ROW()-1)),IFERROR(VLOOKUP($C385,'01_Warehouse_Ledger'!$A$2:$C$2002,3,FALSE),"")))</f>
        <v/>
      </c>
      <c r="G385" s="41"/>
    </row>
    <row r="386" spans="1:7">
      <c r="A386" s="38"/>
      <c r="D386" t="str">
        <f>IF($C386="","",IFERROR(LOOKUP(2,1/($C$2:INDEX($C:$C,ROW()-1)=$C386),$E$2:INDEX($E:$E,ROW()-1)),IFERROR(VLOOKUP($C386,'01_Warehouse_Ledger'!$A$2:$C$2002,3,FALSE),"")))</f>
        <v/>
      </c>
      <c r="G386" s="41"/>
    </row>
    <row r="387" spans="1:7">
      <c r="A387" s="38"/>
      <c r="D387" t="str">
        <f>IF($C387="","",IFERROR(LOOKUP(2,1/($C$2:INDEX($C:$C,ROW()-1)=$C387),$E$2:INDEX($E:$E,ROW()-1)),IFERROR(VLOOKUP($C387,'01_Warehouse_Ledger'!$A$2:$C$2002,3,FALSE),"")))</f>
        <v/>
      </c>
      <c r="G387" s="41"/>
    </row>
    <row r="388" spans="1:7">
      <c r="A388" s="38"/>
      <c r="D388" t="str">
        <f>IF($C388="","",IFERROR(LOOKUP(2,1/($C$2:INDEX($C:$C,ROW()-1)=$C388),$E$2:INDEX($E:$E,ROW()-1)),IFERROR(VLOOKUP($C388,'01_Warehouse_Ledger'!$A$2:$C$2002,3,FALSE),"")))</f>
        <v/>
      </c>
      <c r="G388" s="41"/>
    </row>
    <row r="389" spans="1:7">
      <c r="A389" s="38"/>
      <c r="D389" t="str">
        <f>IF($C389="","",IFERROR(LOOKUP(2,1/($C$2:INDEX($C:$C,ROW()-1)=$C389),$E$2:INDEX($E:$E,ROW()-1)),IFERROR(VLOOKUP($C389,'01_Warehouse_Ledger'!$A$2:$C$2002,3,FALSE),"")))</f>
        <v/>
      </c>
      <c r="G389" s="41"/>
    </row>
    <row r="390" spans="1:7">
      <c r="A390" s="38"/>
      <c r="D390" t="str">
        <f>IF($C390="","",IFERROR(LOOKUP(2,1/($C$2:INDEX($C:$C,ROW()-1)=$C390),$E$2:INDEX($E:$E,ROW()-1)),IFERROR(VLOOKUP($C390,'01_Warehouse_Ledger'!$A$2:$C$2002,3,FALSE),"")))</f>
        <v/>
      </c>
      <c r="G390" s="41"/>
    </row>
    <row r="391" spans="1:7">
      <c r="A391" s="38"/>
      <c r="D391" t="str">
        <f>IF($C391="","",IFERROR(LOOKUP(2,1/($C$2:INDEX($C:$C,ROW()-1)=$C391),$E$2:INDEX($E:$E,ROW()-1)),IFERROR(VLOOKUP($C391,'01_Warehouse_Ledger'!$A$2:$C$2002,3,FALSE),"")))</f>
        <v/>
      </c>
      <c r="G391" s="41"/>
    </row>
    <row r="392" spans="1:7">
      <c r="A392" s="38"/>
      <c r="D392" t="str">
        <f>IF($C392="","",IFERROR(LOOKUP(2,1/($C$2:INDEX($C:$C,ROW()-1)=$C392),$E$2:INDEX($E:$E,ROW()-1)),IFERROR(VLOOKUP($C392,'01_Warehouse_Ledger'!$A$2:$C$2002,3,FALSE),"")))</f>
        <v/>
      </c>
      <c r="G392" s="41"/>
    </row>
    <row r="393" spans="1:7">
      <c r="A393" s="38"/>
      <c r="D393" t="str">
        <f>IF($C393="","",IFERROR(LOOKUP(2,1/($C$2:INDEX($C:$C,ROW()-1)=$C393),$E$2:INDEX($E:$E,ROW()-1)),IFERROR(VLOOKUP($C393,'01_Warehouse_Ledger'!$A$2:$C$2002,3,FALSE),"")))</f>
        <v/>
      </c>
      <c r="G393" s="41"/>
    </row>
    <row r="394" spans="1:7">
      <c r="A394" s="38"/>
      <c r="D394" t="str">
        <f>IF($C394="","",IFERROR(LOOKUP(2,1/($C$2:INDEX($C:$C,ROW()-1)=$C394),$E$2:INDEX($E:$E,ROW()-1)),IFERROR(VLOOKUP($C394,'01_Warehouse_Ledger'!$A$2:$C$2002,3,FALSE),"")))</f>
        <v/>
      </c>
      <c r="G394" s="41"/>
    </row>
    <row r="395" spans="1:7">
      <c r="A395" s="38"/>
      <c r="D395" t="str">
        <f>IF($C395="","",IFERROR(LOOKUP(2,1/($C$2:INDEX($C:$C,ROW()-1)=$C395),$E$2:INDEX($E:$E,ROW()-1)),IFERROR(VLOOKUP($C395,'01_Warehouse_Ledger'!$A$2:$C$2002,3,FALSE),"")))</f>
        <v/>
      </c>
      <c r="G395" s="41"/>
    </row>
    <row r="396" spans="1:7">
      <c r="A396" s="38"/>
      <c r="D396" t="str">
        <f>IF($C396="","",IFERROR(LOOKUP(2,1/($C$2:INDEX($C:$C,ROW()-1)=$C396),$E$2:INDEX($E:$E,ROW()-1)),IFERROR(VLOOKUP($C396,'01_Warehouse_Ledger'!$A$2:$C$2002,3,FALSE),"")))</f>
        <v/>
      </c>
      <c r="G396" s="41"/>
    </row>
    <row r="397" spans="1:7">
      <c r="A397" s="38"/>
      <c r="D397" t="str">
        <f>IF($C397="","",IFERROR(LOOKUP(2,1/($C$2:INDEX($C:$C,ROW()-1)=$C397),$E$2:INDEX($E:$E,ROW()-1)),IFERROR(VLOOKUP($C397,'01_Warehouse_Ledger'!$A$2:$C$2002,3,FALSE),"")))</f>
        <v/>
      </c>
      <c r="G397" s="41"/>
    </row>
    <row r="398" spans="1:7">
      <c r="A398" s="38"/>
      <c r="D398" t="str">
        <f>IF($C398="","",IFERROR(LOOKUP(2,1/($C$2:INDEX($C:$C,ROW()-1)=$C398),$E$2:INDEX($E:$E,ROW()-1)),IFERROR(VLOOKUP($C398,'01_Warehouse_Ledger'!$A$2:$C$2002,3,FALSE),"")))</f>
        <v/>
      </c>
      <c r="G398" s="41"/>
    </row>
    <row r="399" spans="1:7">
      <c r="A399" s="38"/>
      <c r="D399" t="str">
        <f>IF($C399="","",IFERROR(LOOKUP(2,1/($C$2:INDEX($C:$C,ROW()-1)=$C399),$E$2:INDEX($E:$E,ROW()-1)),IFERROR(VLOOKUP($C399,'01_Warehouse_Ledger'!$A$2:$C$2002,3,FALSE),"")))</f>
        <v/>
      </c>
      <c r="G399" s="41"/>
    </row>
    <row r="400" spans="1:7">
      <c r="A400" s="38"/>
      <c r="D400" t="str">
        <f>IF($C400="","",IFERROR(LOOKUP(2,1/($C$2:INDEX($C:$C,ROW()-1)=$C400),$E$2:INDEX($E:$E,ROW()-1)),IFERROR(VLOOKUP($C400,'01_Warehouse_Ledger'!$A$2:$C$2002,3,FALSE),"")))</f>
        <v/>
      </c>
      <c r="G400" s="41"/>
    </row>
    <row r="401" spans="1:7">
      <c r="A401" s="38"/>
      <c r="D401" t="str">
        <f>IF($C401="","",IFERROR(LOOKUP(2,1/($C$2:INDEX($C:$C,ROW()-1)=$C401),$E$2:INDEX($E:$E,ROW()-1)),IFERROR(VLOOKUP($C401,'01_Warehouse_Ledger'!$A$2:$C$2002,3,FALSE),"")))</f>
        <v/>
      </c>
      <c r="G401" s="41"/>
    </row>
    <row r="402" spans="1:7">
      <c r="A402" s="38"/>
      <c r="D402" t="str">
        <f>IF($C402="","",IFERROR(LOOKUP(2,1/($C$2:INDEX($C:$C,ROW()-1)=$C402),$E$2:INDEX($E:$E,ROW()-1)),IFERROR(VLOOKUP($C402,'01_Warehouse_Ledger'!$A$2:$C$2002,3,FALSE),"")))</f>
        <v/>
      </c>
      <c r="G402" s="41"/>
    </row>
    <row r="403" spans="1:7">
      <c r="A403" s="38"/>
      <c r="D403" t="str">
        <f>IF($C403="","",IFERROR(LOOKUP(2,1/($C$2:INDEX($C:$C,ROW()-1)=$C403),$E$2:INDEX($E:$E,ROW()-1)),IFERROR(VLOOKUP($C403,'01_Warehouse_Ledger'!$A$2:$C$2002,3,FALSE),"")))</f>
        <v/>
      </c>
      <c r="G403" s="41"/>
    </row>
    <row r="404" spans="1:7">
      <c r="A404" s="38"/>
      <c r="D404" t="str">
        <f>IF($C404="","",IFERROR(LOOKUP(2,1/($C$2:INDEX($C:$C,ROW()-1)=$C404),$E$2:INDEX($E:$E,ROW()-1)),IFERROR(VLOOKUP($C404,'01_Warehouse_Ledger'!$A$2:$C$2002,3,FALSE),"")))</f>
        <v/>
      </c>
      <c r="G404" s="41"/>
    </row>
    <row r="405" spans="1:7">
      <c r="A405" s="38"/>
      <c r="D405" t="str">
        <f>IF($C405="","",IFERROR(LOOKUP(2,1/($C$2:INDEX($C:$C,ROW()-1)=$C405),$E$2:INDEX($E:$E,ROW()-1)),IFERROR(VLOOKUP($C405,'01_Warehouse_Ledger'!$A$2:$C$2002,3,FALSE),"")))</f>
        <v/>
      </c>
      <c r="G405" s="41"/>
    </row>
    <row r="406" spans="1:7">
      <c r="A406" s="38"/>
      <c r="D406" t="str">
        <f>IF($C406="","",IFERROR(LOOKUP(2,1/($C$2:INDEX($C:$C,ROW()-1)=$C406),$E$2:INDEX($E:$E,ROW()-1)),IFERROR(VLOOKUP($C406,'01_Warehouse_Ledger'!$A$2:$C$2002,3,FALSE),"")))</f>
        <v/>
      </c>
      <c r="G406" s="41"/>
    </row>
    <row r="407" spans="1:7">
      <c r="A407" s="38"/>
      <c r="D407" t="str">
        <f>IF($C407="","",IFERROR(LOOKUP(2,1/($C$2:INDEX($C:$C,ROW()-1)=$C407),$E$2:INDEX($E:$E,ROW()-1)),IFERROR(VLOOKUP($C407,'01_Warehouse_Ledger'!$A$2:$C$2002,3,FALSE),"")))</f>
        <v/>
      </c>
      <c r="G407" s="41"/>
    </row>
    <row r="408" spans="1:7">
      <c r="A408" s="38"/>
      <c r="D408" t="str">
        <f>IF($C408="","",IFERROR(LOOKUP(2,1/($C$2:INDEX($C:$C,ROW()-1)=$C408),$E$2:INDEX($E:$E,ROW()-1)),IFERROR(VLOOKUP($C408,'01_Warehouse_Ledger'!$A$2:$C$2002,3,FALSE),"")))</f>
        <v/>
      </c>
      <c r="G408" s="41"/>
    </row>
    <row r="409" spans="1:7">
      <c r="A409" s="38"/>
      <c r="D409" t="str">
        <f>IF($C409="","",IFERROR(LOOKUP(2,1/($C$2:INDEX($C:$C,ROW()-1)=$C409),$E$2:INDEX($E:$E,ROW()-1)),IFERROR(VLOOKUP($C409,'01_Warehouse_Ledger'!$A$2:$C$2002,3,FALSE),"")))</f>
        <v/>
      </c>
      <c r="G409" s="41"/>
    </row>
    <row r="410" spans="1:7">
      <c r="A410" s="38"/>
      <c r="D410" t="str">
        <f>IF($C410="","",IFERROR(LOOKUP(2,1/($C$2:INDEX($C:$C,ROW()-1)=$C410),$E$2:INDEX($E:$E,ROW()-1)),IFERROR(VLOOKUP($C410,'01_Warehouse_Ledger'!$A$2:$C$2002,3,FALSE),"")))</f>
        <v/>
      </c>
      <c r="G410" s="41"/>
    </row>
    <row r="411" spans="1:7">
      <c r="A411" s="38"/>
      <c r="D411" t="str">
        <f>IF($C411="","",IFERROR(LOOKUP(2,1/($C$2:INDEX($C:$C,ROW()-1)=$C411),$E$2:INDEX($E:$E,ROW()-1)),IFERROR(VLOOKUP($C411,'01_Warehouse_Ledger'!$A$2:$C$2002,3,FALSE),"")))</f>
        <v/>
      </c>
      <c r="G411" s="41"/>
    </row>
    <row r="412" spans="1:7">
      <c r="A412" s="38"/>
      <c r="D412" t="str">
        <f>IF($C412="","",IFERROR(LOOKUP(2,1/($C$2:INDEX($C:$C,ROW()-1)=$C412),$E$2:INDEX($E:$E,ROW()-1)),IFERROR(VLOOKUP($C412,'01_Warehouse_Ledger'!$A$2:$C$2002,3,FALSE),"")))</f>
        <v/>
      </c>
      <c r="G412" s="41"/>
    </row>
    <row r="413" spans="1:7">
      <c r="A413" s="38"/>
      <c r="D413" t="str">
        <f>IF($C413="","",IFERROR(LOOKUP(2,1/($C$2:INDEX($C:$C,ROW()-1)=$C413),$E$2:INDEX($E:$E,ROW()-1)),IFERROR(VLOOKUP($C413,'01_Warehouse_Ledger'!$A$2:$C$2002,3,FALSE),"")))</f>
        <v/>
      </c>
      <c r="G413" s="41"/>
    </row>
    <row r="414" spans="1:7">
      <c r="A414" s="38"/>
      <c r="D414" t="str">
        <f>IF($C414="","",IFERROR(LOOKUP(2,1/($C$2:INDEX($C:$C,ROW()-1)=$C414),$E$2:INDEX($E:$E,ROW()-1)),IFERROR(VLOOKUP($C414,'01_Warehouse_Ledger'!$A$2:$C$2002,3,FALSE),"")))</f>
        <v/>
      </c>
      <c r="G414" s="41"/>
    </row>
    <row r="415" spans="1:7">
      <c r="A415" s="38"/>
      <c r="D415" t="str">
        <f>IF($C415="","",IFERROR(LOOKUP(2,1/($C$2:INDEX($C:$C,ROW()-1)=$C415),$E$2:INDEX($E:$E,ROW()-1)),IFERROR(VLOOKUP($C415,'01_Warehouse_Ledger'!$A$2:$C$2002,3,FALSE),"")))</f>
        <v/>
      </c>
      <c r="G415" s="41"/>
    </row>
    <row r="416" spans="1:7">
      <c r="A416" s="38"/>
      <c r="D416" t="str">
        <f>IF($C416="","",IFERROR(LOOKUP(2,1/($C$2:INDEX($C:$C,ROW()-1)=$C416),$E$2:INDEX($E:$E,ROW()-1)),IFERROR(VLOOKUP($C416,'01_Warehouse_Ledger'!$A$2:$C$2002,3,FALSE),"")))</f>
        <v/>
      </c>
      <c r="G416" s="41"/>
    </row>
    <row r="417" spans="1:7">
      <c r="A417" s="38"/>
      <c r="D417" t="str">
        <f>IF($C417="","",IFERROR(LOOKUP(2,1/($C$2:INDEX($C:$C,ROW()-1)=$C417),$E$2:INDEX($E:$E,ROW()-1)),IFERROR(VLOOKUP($C417,'01_Warehouse_Ledger'!$A$2:$C$2002,3,FALSE),"")))</f>
        <v/>
      </c>
      <c r="G417" s="41"/>
    </row>
    <row r="418" spans="1:7">
      <c r="A418" s="38"/>
      <c r="D418" t="str">
        <f>IF($C418="","",IFERROR(LOOKUP(2,1/($C$2:INDEX($C:$C,ROW()-1)=$C418),$E$2:INDEX($E:$E,ROW()-1)),IFERROR(VLOOKUP($C418,'01_Warehouse_Ledger'!$A$2:$C$2002,3,FALSE),"")))</f>
        <v/>
      </c>
      <c r="G418" s="41"/>
    </row>
    <row r="419" spans="1:7">
      <c r="A419" s="38"/>
      <c r="D419" t="str">
        <f>IF($C419="","",IFERROR(LOOKUP(2,1/($C$2:INDEX($C:$C,ROW()-1)=$C419),$E$2:INDEX($E:$E,ROW()-1)),IFERROR(VLOOKUP($C419,'01_Warehouse_Ledger'!$A$2:$C$2002,3,FALSE),"")))</f>
        <v/>
      </c>
      <c r="G419" s="41"/>
    </row>
    <row r="420" spans="1:7">
      <c r="A420" s="38"/>
      <c r="D420" t="str">
        <f>IF($C420="","",IFERROR(LOOKUP(2,1/($C$2:INDEX($C:$C,ROW()-1)=$C420),$E$2:INDEX($E:$E,ROW()-1)),IFERROR(VLOOKUP($C420,'01_Warehouse_Ledger'!$A$2:$C$2002,3,FALSE),"")))</f>
        <v/>
      </c>
      <c r="G420" s="41"/>
    </row>
    <row r="421" spans="1:7">
      <c r="A421" s="38"/>
      <c r="D421" t="str">
        <f>IF($C421="","",IFERROR(LOOKUP(2,1/($C$2:INDEX($C:$C,ROW()-1)=$C421),$E$2:INDEX($E:$E,ROW()-1)),IFERROR(VLOOKUP($C421,'01_Warehouse_Ledger'!$A$2:$C$2002,3,FALSE),"")))</f>
        <v/>
      </c>
      <c r="G421" s="41"/>
    </row>
    <row r="422" spans="1:7">
      <c r="A422" s="38"/>
      <c r="D422" t="str">
        <f>IF($C422="","",IFERROR(LOOKUP(2,1/($C$2:INDEX($C:$C,ROW()-1)=$C422),$E$2:INDEX($E:$E,ROW()-1)),IFERROR(VLOOKUP($C422,'01_Warehouse_Ledger'!$A$2:$C$2002,3,FALSE),"")))</f>
        <v/>
      </c>
      <c r="G422" s="41"/>
    </row>
    <row r="423" spans="1:7">
      <c r="A423" s="38"/>
      <c r="D423" t="str">
        <f>IF($C423="","",IFERROR(LOOKUP(2,1/($C$2:INDEX($C:$C,ROW()-1)=$C423),$E$2:INDEX($E:$E,ROW()-1)),IFERROR(VLOOKUP($C423,'01_Warehouse_Ledger'!$A$2:$C$2002,3,FALSE),"")))</f>
        <v/>
      </c>
      <c r="G423" s="41"/>
    </row>
    <row r="424" spans="1:7">
      <c r="A424" s="38"/>
      <c r="D424" t="str">
        <f>IF($C424="","",IFERROR(LOOKUP(2,1/($C$2:INDEX($C:$C,ROW()-1)=$C424),$E$2:INDEX($E:$E,ROW()-1)),IFERROR(VLOOKUP($C424,'01_Warehouse_Ledger'!$A$2:$C$2002,3,FALSE),"")))</f>
        <v/>
      </c>
      <c r="G424" s="41"/>
    </row>
    <row r="425" spans="1:7">
      <c r="A425" s="38"/>
      <c r="D425" t="str">
        <f>IF($C425="","",IFERROR(LOOKUP(2,1/($C$2:INDEX($C:$C,ROW()-1)=$C425),$E$2:INDEX($E:$E,ROW()-1)),IFERROR(VLOOKUP($C425,'01_Warehouse_Ledger'!$A$2:$C$2002,3,FALSE),"")))</f>
        <v/>
      </c>
      <c r="G425" s="41"/>
    </row>
    <row r="426" spans="1:7">
      <c r="A426" s="38"/>
      <c r="D426" t="str">
        <f>IF($C426="","",IFERROR(LOOKUP(2,1/($C$2:INDEX($C:$C,ROW()-1)=$C426),$E$2:INDEX($E:$E,ROW()-1)),IFERROR(VLOOKUP($C426,'01_Warehouse_Ledger'!$A$2:$C$2002,3,FALSE),"")))</f>
        <v/>
      </c>
      <c r="G426" s="41"/>
    </row>
    <row r="427" spans="1:7">
      <c r="A427" s="38"/>
      <c r="D427" t="str">
        <f>IF($C427="","",IFERROR(LOOKUP(2,1/($C$2:INDEX($C:$C,ROW()-1)=$C427),$E$2:INDEX($E:$E,ROW()-1)),IFERROR(VLOOKUP($C427,'01_Warehouse_Ledger'!$A$2:$C$2002,3,FALSE),"")))</f>
        <v/>
      </c>
      <c r="G427" s="41"/>
    </row>
    <row r="428" spans="1:7">
      <c r="A428" s="38"/>
      <c r="D428" t="str">
        <f>IF($C428="","",IFERROR(LOOKUP(2,1/($C$2:INDEX($C:$C,ROW()-1)=$C428),$E$2:INDEX($E:$E,ROW()-1)),IFERROR(VLOOKUP($C428,'01_Warehouse_Ledger'!$A$2:$C$2002,3,FALSE),"")))</f>
        <v/>
      </c>
      <c r="G428" s="41"/>
    </row>
    <row r="429" spans="1:7">
      <c r="A429" s="38"/>
      <c r="D429" t="str">
        <f>IF($C429="","",IFERROR(LOOKUP(2,1/($C$2:INDEX($C:$C,ROW()-1)=$C429),$E$2:INDEX($E:$E,ROW()-1)),IFERROR(VLOOKUP($C429,'01_Warehouse_Ledger'!$A$2:$C$2002,3,FALSE),"")))</f>
        <v/>
      </c>
      <c r="G429" s="41"/>
    </row>
    <row r="430" spans="1:7">
      <c r="A430" s="38"/>
      <c r="D430" t="str">
        <f>IF($C430="","",IFERROR(LOOKUP(2,1/($C$2:INDEX($C:$C,ROW()-1)=$C430),$E$2:INDEX($E:$E,ROW()-1)),IFERROR(VLOOKUP($C430,'01_Warehouse_Ledger'!$A$2:$C$2002,3,FALSE),"")))</f>
        <v/>
      </c>
      <c r="G430" s="41"/>
    </row>
    <row r="431" spans="1:7">
      <c r="A431" s="38"/>
      <c r="D431" t="str">
        <f>IF($C431="","",IFERROR(LOOKUP(2,1/($C$2:INDEX($C:$C,ROW()-1)=$C431),$E$2:INDEX($E:$E,ROW()-1)),IFERROR(VLOOKUP($C431,'01_Warehouse_Ledger'!$A$2:$C$2002,3,FALSE),"")))</f>
        <v/>
      </c>
      <c r="G431" s="41"/>
    </row>
    <row r="432" spans="1:7">
      <c r="A432" s="38"/>
      <c r="D432" t="str">
        <f>IF($C432="","",IFERROR(LOOKUP(2,1/($C$2:INDEX($C:$C,ROW()-1)=$C432),$E$2:INDEX($E:$E,ROW()-1)),IFERROR(VLOOKUP($C432,'01_Warehouse_Ledger'!$A$2:$C$2002,3,FALSE),"")))</f>
        <v/>
      </c>
      <c r="G432" s="41"/>
    </row>
    <row r="433" spans="1:7">
      <c r="A433" s="38"/>
      <c r="D433" t="str">
        <f>IF($C433="","",IFERROR(LOOKUP(2,1/($C$2:INDEX($C:$C,ROW()-1)=$C433),$E$2:INDEX($E:$E,ROW()-1)),IFERROR(VLOOKUP($C433,'01_Warehouse_Ledger'!$A$2:$C$2002,3,FALSE),"")))</f>
        <v/>
      </c>
      <c r="G433" s="41"/>
    </row>
    <row r="434" spans="1:7">
      <c r="A434" s="38"/>
      <c r="D434" t="str">
        <f>IF($C434="","",IFERROR(LOOKUP(2,1/($C$2:INDEX($C:$C,ROW()-1)=$C434),$E$2:INDEX($E:$E,ROW()-1)),IFERROR(VLOOKUP($C434,'01_Warehouse_Ledger'!$A$2:$C$2002,3,FALSE),"")))</f>
        <v/>
      </c>
      <c r="G434" s="41"/>
    </row>
    <row r="435" spans="1:7">
      <c r="A435" s="38"/>
      <c r="D435" t="str">
        <f>IF($C435="","",IFERROR(LOOKUP(2,1/($C$2:INDEX($C:$C,ROW()-1)=$C435),$E$2:INDEX($E:$E,ROW()-1)),IFERROR(VLOOKUP($C435,'01_Warehouse_Ledger'!$A$2:$C$2002,3,FALSE),"")))</f>
        <v/>
      </c>
      <c r="G435" s="41"/>
    </row>
    <row r="436" spans="1:7">
      <c r="A436" s="38"/>
      <c r="D436" t="str">
        <f>IF($C436="","",IFERROR(LOOKUP(2,1/($C$2:INDEX($C:$C,ROW()-1)=$C436),$E$2:INDEX($E:$E,ROW()-1)),IFERROR(VLOOKUP($C436,'01_Warehouse_Ledger'!$A$2:$C$2002,3,FALSE),"")))</f>
        <v/>
      </c>
      <c r="G436" s="41"/>
    </row>
    <row r="437" spans="1:7">
      <c r="A437" s="38"/>
      <c r="D437" t="str">
        <f>IF($C437="","",IFERROR(LOOKUP(2,1/($C$2:INDEX($C:$C,ROW()-1)=$C437),$E$2:INDEX($E:$E,ROW()-1)),IFERROR(VLOOKUP($C437,'01_Warehouse_Ledger'!$A$2:$C$2002,3,FALSE),"")))</f>
        <v/>
      </c>
      <c r="G437" s="41"/>
    </row>
    <row r="438" spans="1:7">
      <c r="A438" s="38"/>
      <c r="D438" t="str">
        <f>IF($C438="","",IFERROR(LOOKUP(2,1/($C$2:INDEX($C:$C,ROW()-1)=$C438),$E$2:INDEX($E:$E,ROW()-1)),IFERROR(VLOOKUP($C438,'01_Warehouse_Ledger'!$A$2:$C$2002,3,FALSE),"")))</f>
        <v/>
      </c>
      <c r="G438" s="41"/>
    </row>
    <row r="439" spans="1:7">
      <c r="A439" s="38"/>
      <c r="D439" t="str">
        <f>IF($C439="","",IFERROR(LOOKUP(2,1/($C$2:INDEX($C:$C,ROW()-1)=$C439),$E$2:INDEX($E:$E,ROW()-1)),IFERROR(VLOOKUP($C439,'01_Warehouse_Ledger'!$A$2:$C$2002,3,FALSE),"")))</f>
        <v/>
      </c>
      <c r="G439" s="41"/>
    </row>
    <row r="440" spans="1:7">
      <c r="A440" s="38"/>
      <c r="D440" t="str">
        <f>IF($C440="","",IFERROR(LOOKUP(2,1/($C$2:INDEX($C:$C,ROW()-1)=$C440),$E$2:INDEX($E:$E,ROW()-1)),IFERROR(VLOOKUP($C440,'01_Warehouse_Ledger'!$A$2:$C$2002,3,FALSE),"")))</f>
        <v/>
      </c>
      <c r="G440" s="41"/>
    </row>
    <row r="441" spans="1:7">
      <c r="A441" s="38"/>
      <c r="D441" t="str">
        <f>IF($C441="","",IFERROR(LOOKUP(2,1/($C$2:INDEX($C:$C,ROW()-1)=$C441),$E$2:INDEX($E:$E,ROW()-1)),IFERROR(VLOOKUP($C441,'01_Warehouse_Ledger'!$A$2:$C$2002,3,FALSE),"")))</f>
        <v/>
      </c>
      <c r="G441" s="41"/>
    </row>
    <row r="442" spans="1:7">
      <c r="A442" s="38"/>
      <c r="D442" t="str">
        <f>IF($C442="","",IFERROR(LOOKUP(2,1/($C$2:INDEX($C:$C,ROW()-1)=$C442),$E$2:INDEX($E:$E,ROW()-1)),IFERROR(VLOOKUP($C442,'01_Warehouse_Ledger'!$A$2:$C$2002,3,FALSE),"")))</f>
        <v/>
      </c>
      <c r="G442" s="41"/>
    </row>
    <row r="443" spans="1:7">
      <c r="A443" s="38"/>
      <c r="D443" t="str">
        <f>IF($C443="","",IFERROR(LOOKUP(2,1/($C$2:INDEX($C:$C,ROW()-1)=$C443),$E$2:INDEX($E:$E,ROW()-1)),IFERROR(VLOOKUP($C443,'01_Warehouse_Ledger'!$A$2:$C$2002,3,FALSE),"")))</f>
        <v/>
      </c>
      <c r="G443" s="41"/>
    </row>
    <row r="444" spans="1:7">
      <c r="A444" s="38"/>
      <c r="D444" t="str">
        <f>IF($C444="","",IFERROR(LOOKUP(2,1/($C$2:INDEX($C:$C,ROW()-1)=$C444),$E$2:INDEX($E:$E,ROW()-1)),IFERROR(VLOOKUP($C444,'01_Warehouse_Ledger'!$A$2:$C$2002,3,FALSE),"")))</f>
        <v/>
      </c>
      <c r="G444" s="41"/>
    </row>
    <row r="445" spans="1:7">
      <c r="A445" s="38"/>
      <c r="D445" t="str">
        <f>IF($C445="","",IFERROR(LOOKUP(2,1/($C$2:INDEX($C:$C,ROW()-1)=$C445),$E$2:INDEX($E:$E,ROW()-1)),IFERROR(VLOOKUP($C445,'01_Warehouse_Ledger'!$A$2:$C$2002,3,FALSE),"")))</f>
        <v/>
      </c>
      <c r="G445" s="41"/>
    </row>
    <row r="446" spans="1:7">
      <c r="A446" s="38"/>
      <c r="D446" t="str">
        <f>IF($C446="","",IFERROR(LOOKUP(2,1/($C$2:INDEX($C:$C,ROW()-1)=$C446),$E$2:INDEX($E:$E,ROW()-1)),IFERROR(VLOOKUP($C446,'01_Warehouse_Ledger'!$A$2:$C$2002,3,FALSE),"")))</f>
        <v/>
      </c>
      <c r="G446" s="41"/>
    </row>
    <row r="447" spans="1:7">
      <c r="A447" s="38"/>
      <c r="D447" t="str">
        <f>IF($C447="","",IFERROR(LOOKUP(2,1/($C$2:INDEX($C:$C,ROW()-1)=$C447),$E$2:INDEX($E:$E,ROW()-1)),IFERROR(VLOOKUP($C447,'01_Warehouse_Ledger'!$A$2:$C$2002,3,FALSE),"")))</f>
        <v/>
      </c>
      <c r="G447" s="41"/>
    </row>
    <row r="448" spans="1:7">
      <c r="A448" s="38"/>
      <c r="D448" t="str">
        <f>IF($C448="","",IFERROR(LOOKUP(2,1/($C$2:INDEX($C:$C,ROW()-1)=$C448),$E$2:INDEX($E:$E,ROW()-1)),IFERROR(VLOOKUP($C448,'01_Warehouse_Ledger'!$A$2:$C$2002,3,FALSE),"")))</f>
        <v/>
      </c>
      <c r="G448" s="41"/>
    </row>
    <row r="449" spans="1:7">
      <c r="A449" s="38"/>
      <c r="D449" t="str">
        <f>IF($C449="","",IFERROR(LOOKUP(2,1/($C$2:INDEX($C:$C,ROW()-1)=$C449),$E$2:INDEX($E:$E,ROW()-1)),IFERROR(VLOOKUP($C449,'01_Warehouse_Ledger'!$A$2:$C$2002,3,FALSE),"")))</f>
        <v/>
      </c>
      <c r="G449" s="41"/>
    </row>
    <row r="450" spans="1:7">
      <c r="A450" s="38"/>
      <c r="D450" t="str">
        <f>IF($C450="","",IFERROR(LOOKUP(2,1/($C$2:INDEX($C:$C,ROW()-1)=$C450),$E$2:INDEX($E:$E,ROW()-1)),IFERROR(VLOOKUP($C450,'01_Warehouse_Ledger'!$A$2:$C$2002,3,FALSE),"")))</f>
        <v/>
      </c>
      <c r="G450" s="41"/>
    </row>
    <row r="451" spans="1:7">
      <c r="A451" s="38"/>
      <c r="D451" t="str">
        <f>IF($C451="","",IFERROR(LOOKUP(2,1/($C$2:INDEX($C:$C,ROW()-1)=$C451),$E$2:INDEX($E:$E,ROW()-1)),IFERROR(VLOOKUP($C451,'01_Warehouse_Ledger'!$A$2:$C$2002,3,FALSE),"")))</f>
        <v/>
      </c>
      <c r="G451" s="41"/>
    </row>
    <row r="452" spans="1:7">
      <c r="A452" s="38"/>
      <c r="D452" t="str">
        <f>IF($C452="","",IFERROR(LOOKUP(2,1/($C$2:INDEX($C:$C,ROW()-1)=$C452),$E$2:INDEX($E:$E,ROW()-1)),IFERROR(VLOOKUP($C452,'01_Warehouse_Ledger'!$A$2:$C$2002,3,FALSE),"")))</f>
        <v/>
      </c>
      <c r="G452" s="41"/>
    </row>
    <row r="453" spans="1:7">
      <c r="A453" s="38"/>
      <c r="D453" t="str">
        <f>IF($C453="","",IFERROR(LOOKUP(2,1/($C$2:INDEX($C:$C,ROW()-1)=$C453),$E$2:INDEX($E:$E,ROW()-1)),IFERROR(VLOOKUP($C453,'01_Warehouse_Ledger'!$A$2:$C$2002,3,FALSE),"")))</f>
        <v/>
      </c>
      <c r="G453" s="41"/>
    </row>
    <row r="454" spans="1:7">
      <c r="A454" s="38"/>
      <c r="D454" t="str">
        <f>IF($C454="","",IFERROR(LOOKUP(2,1/($C$2:INDEX($C:$C,ROW()-1)=$C454),$E$2:INDEX($E:$E,ROW()-1)),IFERROR(VLOOKUP($C454,'01_Warehouse_Ledger'!$A$2:$C$2002,3,FALSE),"")))</f>
        <v/>
      </c>
      <c r="G454" s="41"/>
    </row>
    <row r="455" spans="1:7">
      <c r="A455" s="38"/>
      <c r="D455" t="str">
        <f>IF($C455="","",IFERROR(LOOKUP(2,1/($C$2:INDEX($C:$C,ROW()-1)=$C455),$E$2:INDEX($E:$E,ROW()-1)),IFERROR(VLOOKUP($C455,'01_Warehouse_Ledger'!$A$2:$C$2002,3,FALSE),"")))</f>
        <v/>
      </c>
      <c r="G455" s="41"/>
    </row>
    <row r="456" spans="1:7">
      <c r="A456" s="38"/>
      <c r="D456" t="str">
        <f>IF($C456="","",IFERROR(LOOKUP(2,1/($C$2:INDEX($C:$C,ROW()-1)=$C456),$E$2:INDEX($E:$E,ROW()-1)),IFERROR(VLOOKUP($C456,'01_Warehouse_Ledger'!$A$2:$C$2002,3,FALSE),"")))</f>
        <v/>
      </c>
      <c r="G456" s="41"/>
    </row>
    <row r="457" spans="1:7">
      <c r="A457" s="38"/>
      <c r="D457" t="str">
        <f>IF($C457="","",IFERROR(LOOKUP(2,1/($C$2:INDEX($C:$C,ROW()-1)=$C457),$E$2:INDEX($E:$E,ROW()-1)),IFERROR(VLOOKUP($C457,'01_Warehouse_Ledger'!$A$2:$C$2002,3,FALSE),"")))</f>
        <v/>
      </c>
      <c r="G457" s="41"/>
    </row>
    <row r="458" spans="1:7">
      <c r="A458" s="38"/>
      <c r="D458" t="str">
        <f>IF($C458="","",IFERROR(LOOKUP(2,1/($C$2:INDEX($C:$C,ROW()-1)=$C458),$E$2:INDEX($E:$E,ROW()-1)),IFERROR(VLOOKUP($C458,'01_Warehouse_Ledger'!$A$2:$C$2002,3,FALSE),"")))</f>
        <v/>
      </c>
      <c r="G458" s="41"/>
    </row>
    <row r="459" spans="1:7">
      <c r="A459" s="38"/>
      <c r="D459" t="str">
        <f>IF($C459="","",IFERROR(LOOKUP(2,1/($C$2:INDEX($C:$C,ROW()-1)=$C459),$E$2:INDEX($E:$E,ROW()-1)),IFERROR(VLOOKUP($C459,'01_Warehouse_Ledger'!$A$2:$C$2002,3,FALSE),"")))</f>
        <v/>
      </c>
      <c r="G459" s="41"/>
    </row>
    <row r="460" spans="1:7">
      <c r="A460" s="38"/>
      <c r="D460" t="str">
        <f>IF($C460="","",IFERROR(LOOKUP(2,1/($C$2:INDEX($C:$C,ROW()-1)=$C460),$E$2:INDEX($E:$E,ROW()-1)),IFERROR(VLOOKUP($C460,'01_Warehouse_Ledger'!$A$2:$C$2002,3,FALSE),"")))</f>
        <v/>
      </c>
      <c r="G460" s="41"/>
    </row>
    <row r="461" spans="1:7">
      <c r="A461" s="38"/>
      <c r="D461" t="str">
        <f>IF($C461="","",IFERROR(LOOKUP(2,1/($C$2:INDEX($C:$C,ROW()-1)=$C461),$E$2:INDEX($E:$E,ROW()-1)),IFERROR(VLOOKUP($C461,'01_Warehouse_Ledger'!$A$2:$C$2002,3,FALSE),"")))</f>
        <v/>
      </c>
      <c r="G461" s="41"/>
    </row>
    <row r="462" spans="1:7">
      <c r="A462" s="38"/>
      <c r="D462" t="str">
        <f>IF($C462="","",IFERROR(LOOKUP(2,1/($C$2:INDEX($C:$C,ROW()-1)=$C462),$E$2:INDEX($E:$E,ROW()-1)),IFERROR(VLOOKUP($C462,'01_Warehouse_Ledger'!$A$2:$C$2002,3,FALSE),"")))</f>
        <v/>
      </c>
      <c r="G462" s="41"/>
    </row>
    <row r="463" spans="1:7">
      <c r="A463" s="38"/>
      <c r="D463" t="str">
        <f>IF($C463="","",IFERROR(LOOKUP(2,1/($C$2:INDEX($C:$C,ROW()-1)=$C463),$E$2:INDEX($E:$E,ROW()-1)),IFERROR(VLOOKUP($C463,'01_Warehouse_Ledger'!$A$2:$C$2002,3,FALSE),"")))</f>
        <v/>
      </c>
      <c r="G463" s="41"/>
    </row>
    <row r="464" spans="1:7">
      <c r="A464" s="38"/>
      <c r="D464" t="str">
        <f>IF($C464="","",IFERROR(LOOKUP(2,1/($C$2:INDEX($C:$C,ROW()-1)=$C464),$E$2:INDEX($E:$E,ROW()-1)),IFERROR(VLOOKUP($C464,'01_Warehouse_Ledger'!$A$2:$C$2002,3,FALSE),"")))</f>
        <v/>
      </c>
      <c r="G464" s="41"/>
    </row>
    <row r="465" spans="1:7">
      <c r="A465" s="38"/>
      <c r="D465" t="str">
        <f>IF($C465="","",IFERROR(LOOKUP(2,1/($C$2:INDEX($C:$C,ROW()-1)=$C465),$E$2:INDEX($E:$E,ROW()-1)),IFERROR(VLOOKUP($C465,'01_Warehouse_Ledger'!$A$2:$C$2002,3,FALSE),"")))</f>
        <v/>
      </c>
      <c r="G465" s="41"/>
    </row>
    <row r="466" spans="1:7">
      <c r="A466" s="38"/>
      <c r="D466" t="str">
        <f>IF($C466="","",IFERROR(LOOKUP(2,1/($C$2:INDEX($C:$C,ROW()-1)=$C466),$E$2:INDEX($E:$E,ROW()-1)),IFERROR(VLOOKUP($C466,'01_Warehouse_Ledger'!$A$2:$C$2002,3,FALSE),"")))</f>
        <v/>
      </c>
      <c r="G466" s="41"/>
    </row>
    <row r="467" spans="1:7">
      <c r="A467" s="38"/>
      <c r="D467" t="str">
        <f>IF($C467="","",IFERROR(LOOKUP(2,1/($C$2:INDEX($C:$C,ROW()-1)=$C467),$E$2:INDEX($E:$E,ROW()-1)),IFERROR(VLOOKUP($C467,'01_Warehouse_Ledger'!$A$2:$C$2002,3,FALSE),"")))</f>
        <v/>
      </c>
      <c r="G467" s="41"/>
    </row>
    <row r="468" spans="1:7">
      <c r="A468" s="38"/>
      <c r="D468" t="str">
        <f>IF($C468="","",IFERROR(LOOKUP(2,1/($C$2:INDEX($C:$C,ROW()-1)=$C468),$E$2:INDEX($E:$E,ROW()-1)),IFERROR(VLOOKUP($C468,'01_Warehouse_Ledger'!$A$2:$C$2002,3,FALSE),"")))</f>
        <v/>
      </c>
      <c r="G468" s="41"/>
    </row>
    <row r="469" spans="1:7">
      <c r="A469" s="38"/>
      <c r="D469" t="str">
        <f>IF($C469="","",IFERROR(LOOKUP(2,1/($C$2:INDEX($C:$C,ROW()-1)=$C469),$E$2:INDEX($E:$E,ROW()-1)),IFERROR(VLOOKUP($C469,'01_Warehouse_Ledger'!$A$2:$C$2002,3,FALSE),"")))</f>
        <v/>
      </c>
      <c r="G469" s="41"/>
    </row>
    <row r="470" spans="1:7">
      <c r="A470" s="38"/>
      <c r="D470" t="str">
        <f>IF($C470="","",IFERROR(LOOKUP(2,1/($C$2:INDEX($C:$C,ROW()-1)=$C470),$E$2:INDEX($E:$E,ROW()-1)),IFERROR(VLOOKUP($C470,'01_Warehouse_Ledger'!$A$2:$C$2002,3,FALSE),"")))</f>
        <v/>
      </c>
      <c r="G470" s="41"/>
    </row>
    <row r="471" spans="1:7">
      <c r="A471" s="38"/>
      <c r="D471" t="str">
        <f>IF($C471="","",IFERROR(LOOKUP(2,1/($C$2:INDEX($C:$C,ROW()-1)=$C471),$E$2:INDEX($E:$E,ROW()-1)),IFERROR(VLOOKUP($C471,'01_Warehouse_Ledger'!$A$2:$C$2002,3,FALSE),"")))</f>
        <v/>
      </c>
      <c r="G471" s="41"/>
    </row>
    <row r="472" spans="1:7">
      <c r="A472" s="38"/>
      <c r="D472" t="str">
        <f>IF($C472="","",IFERROR(LOOKUP(2,1/($C$2:INDEX($C:$C,ROW()-1)=$C472),$E$2:INDEX($E:$E,ROW()-1)),IFERROR(VLOOKUP($C472,'01_Warehouse_Ledger'!$A$2:$C$2002,3,FALSE),"")))</f>
        <v/>
      </c>
      <c r="G472" s="41"/>
    </row>
    <row r="473" spans="1:7">
      <c r="A473" s="38"/>
      <c r="D473" t="str">
        <f>IF($C473="","",IFERROR(LOOKUP(2,1/($C$2:INDEX($C:$C,ROW()-1)=$C473),$E$2:INDEX($E:$E,ROW()-1)),IFERROR(VLOOKUP($C473,'01_Warehouse_Ledger'!$A$2:$C$2002,3,FALSE),"")))</f>
        <v/>
      </c>
      <c r="G473" s="41"/>
    </row>
    <row r="474" spans="1:7">
      <c r="A474" s="38"/>
      <c r="D474" t="str">
        <f>IF($C474="","",IFERROR(LOOKUP(2,1/($C$2:INDEX($C:$C,ROW()-1)=$C474),$E$2:INDEX($E:$E,ROW()-1)),IFERROR(VLOOKUP($C474,'01_Warehouse_Ledger'!$A$2:$C$2002,3,FALSE),"")))</f>
        <v/>
      </c>
      <c r="G474" s="41"/>
    </row>
    <row r="475" spans="1:7">
      <c r="A475" s="38"/>
      <c r="D475" t="str">
        <f>IF($C475="","",IFERROR(LOOKUP(2,1/($C$2:INDEX($C:$C,ROW()-1)=$C475),$E$2:INDEX($E:$E,ROW()-1)),IFERROR(VLOOKUP($C475,'01_Warehouse_Ledger'!$A$2:$C$2002,3,FALSE),"")))</f>
        <v/>
      </c>
      <c r="G475" s="41"/>
    </row>
    <row r="476" spans="1:7">
      <c r="A476" s="38"/>
      <c r="D476" t="str">
        <f>IF($C476="","",IFERROR(LOOKUP(2,1/($C$2:INDEX($C:$C,ROW()-1)=$C476),$E$2:INDEX($E:$E,ROW()-1)),IFERROR(VLOOKUP($C476,'01_Warehouse_Ledger'!$A$2:$C$2002,3,FALSE),"")))</f>
        <v/>
      </c>
      <c r="G476" s="41"/>
    </row>
    <row r="477" spans="1:7">
      <c r="A477" s="38"/>
      <c r="D477" t="str">
        <f>IF($C477="","",IFERROR(LOOKUP(2,1/($C$2:INDEX($C:$C,ROW()-1)=$C477),$E$2:INDEX($E:$E,ROW()-1)),IFERROR(VLOOKUP($C477,'01_Warehouse_Ledger'!$A$2:$C$2002,3,FALSE),"")))</f>
        <v/>
      </c>
      <c r="G477" s="41"/>
    </row>
    <row r="478" spans="1:7">
      <c r="A478" s="38"/>
      <c r="D478" t="str">
        <f>IF($C478="","",IFERROR(LOOKUP(2,1/($C$2:INDEX($C:$C,ROW()-1)=$C478),$E$2:INDEX($E:$E,ROW()-1)),IFERROR(VLOOKUP($C478,'01_Warehouse_Ledger'!$A$2:$C$2002,3,FALSE),"")))</f>
        <v/>
      </c>
      <c r="G478" s="41"/>
    </row>
    <row r="479" spans="1:7">
      <c r="A479" s="38"/>
      <c r="D479" t="str">
        <f>IF($C479="","",IFERROR(LOOKUP(2,1/($C$2:INDEX($C:$C,ROW()-1)=$C479),$E$2:INDEX($E:$E,ROW()-1)),IFERROR(VLOOKUP($C479,'01_Warehouse_Ledger'!$A$2:$C$2002,3,FALSE),"")))</f>
        <v/>
      </c>
      <c r="G479" s="41"/>
    </row>
    <row r="480" spans="1:7">
      <c r="A480" s="38"/>
      <c r="D480" t="str">
        <f>IF($C480="","",IFERROR(LOOKUP(2,1/($C$2:INDEX($C:$C,ROW()-1)=$C480),$E$2:INDEX($E:$E,ROW()-1)),IFERROR(VLOOKUP($C480,'01_Warehouse_Ledger'!$A$2:$C$2002,3,FALSE),"")))</f>
        <v/>
      </c>
      <c r="G480" s="41"/>
    </row>
    <row r="481" spans="1:7">
      <c r="A481" s="38"/>
      <c r="D481" t="str">
        <f>IF($C481="","",IFERROR(LOOKUP(2,1/($C$2:INDEX($C:$C,ROW()-1)=$C481),$E$2:INDEX($E:$E,ROW()-1)),IFERROR(VLOOKUP($C481,'01_Warehouse_Ledger'!$A$2:$C$2002,3,FALSE),"")))</f>
        <v/>
      </c>
      <c r="G481" s="41"/>
    </row>
    <row r="482" spans="1:7">
      <c r="A482" s="38"/>
      <c r="D482" t="str">
        <f>IF($C482="","",IFERROR(LOOKUP(2,1/($C$2:INDEX($C:$C,ROW()-1)=$C482),$E$2:INDEX($E:$E,ROW()-1)),IFERROR(VLOOKUP($C482,'01_Warehouse_Ledger'!$A$2:$C$2002,3,FALSE),"")))</f>
        <v/>
      </c>
      <c r="G482" s="41"/>
    </row>
    <row r="483" spans="1:7">
      <c r="A483" s="38"/>
      <c r="D483" t="str">
        <f>IF($C483="","",IFERROR(LOOKUP(2,1/($C$2:INDEX($C:$C,ROW()-1)=$C483),$E$2:INDEX($E:$E,ROW()-1)),IFERROR(VLOOKUP($C483,'01_Warehouse_Ledger'!$A$2:$C$2002,3,FALSE),"")))</f>
        <v/>
      </c>
      <c r="G483" s="41"/>
    </row>
    <row r="484" spans="1:7">
      <c r="A484" s="38"/>
      <c r="D484" t="str">
        <f>IF($C484="","",IFERROR(LOOKUP(2,1/($C$2:INDEX($C:$C,ROW()-1)=$C484),$E$2:INDEX($E:$E,ROW()-1)),IFERROR(VLOOKUP($C484,'01_Warehouse_Ledger'!$A$2:$C$2002,3,FALSE),"")))</f>
        <v/>
      </c>
      <c r="G484" s="41"/>
    </row>
    <row r="485" spans="1:7">
      <c r="A485" s="38"/>
      <c r="D485" t="str">
        <f>IF($C485="","",IFERROR(LOOKUP(2,1/($C$2:INDEX($C:$C,ROW()-1)=$C485),$E$2:INDEX($E:$E,ROW()-1)),IFERROR(VLOOKUP($C485,'01_Warehouse_Ledger'!$A$2:$C$2002,3,FALSE),"")))</f>
        <v/>
      </c>
      <c r="G485" s="41"/>
    </row>
    <row r="486" spans="1:7">
      <c r="A486" s="38"/>
      <c r="D486" t="str">
        <f>IF($C486="","",IFERROR(LOOKUP(2,1/($C$2:INDEX($C:$C,ROW()-1)=$C486),$E$2:INDEX($E:$E,ROW()-1)),IFERROR(VLOOKUP($C486,'01_Warehouse_Ledger'!$A$2:$C$2002,3,FALSE),"")))</f>
        <v/>
      </c>
      <c r="G486" s="41"/>
    </row>
    <row r="487" spans="1:7">
      <c r="A487" s="38"/>
      <c r="D487" t="str">
        <f>IF($C487="","",IFERROR(LOOKUP(2,1/($C$2:INDEX($C:$C,ROW()-1)=$C487),$E$2:INDEX($E:$E,ROW()-1)),IFERROR(VLOOKUP($C487,'01_Warehouse_Ledger'!$A$2:$C$2002,3,FALSE),"")))</f>
        <v/>
      </c>
      <c r="G487" s="41"/>
    </row>
    <row r="488" spans="1:7">
      <c r="A488" s="38"/>
      <c r="D488" t="str">
        <f>IF($C488="","",IFERROR(LOOKUP(2,1/($C$2:INDEX($C:$C,ROW()-1)=$C488),$E$2:INDEX($E:$E,ROW()-1)),IFERROR(VLOOKUP($C488,'01_Warehouse_Ledger'!$A$2:$C$2002,3,FALSE),"")))</f>
        <v/>
      </c>
      <c r="G488" s="41"/>
    </row>
    <row r="489" spans="1:7">
      <c r="A489" s="38"/>
      <c r="D489" t="str">
        <f>IF($C489="","",IFERROR(LOOKUP(2,1/($C$2:INDEX($C:$C,ROW()-1)=$C489),$E$2:INDEX($E:$E,ROW()-1)),IFERROR(VLOOKUP($C489,'01_Warehouse_Ledger'!$A$2:$C$2002,3,FALSE),"")))</f>
        <v/>
      </c>
      <c r="G489" s="41"/>
    </row>
    <row r="490" spans="1:7">
      <c r="A490" s="38"/>
      <c r="D490" t="str">
        <f>IF($C490="","",IFERROR(LOOKUP(2,1/($C$2:INDEX($C:$C,ROW()-1)=$C490),$E$2:INDEX($E:$E,ROW()-1)),IFERROR(VLOOKUP($C490,'01_Warehouse_Ledger'!$A$2:$C$2002,3,FALSE),"")))</f>
        <v/>
      </c>
      <c r="G490" s="41"/>
    </row>
    <row r="491" spans="1:7">
      <c r="A491" s="38"/>
      <c r="D491" t="str">
        <f>IF($C491="","",IFERROR(LOOKUP(2,1/($C$2:INDEX($C:$C,ROW()-1)=$C491),$E$2:INDEX($E:$E,ROW()-1)),IFERROR(VLOOKUP($C491,'01_Warehouse_Ledger'!$A$2:$C$2002,3,FALSE),"")))</f>
        <v/>
      </c>
      <c r="G491" s="41"/>
    </row>
    <row r="492" spans="1:7">
      <c r="A492" s="38"/>
      <c r="D492" t="str">
        <f>IF($C492="","",IFERROR(LOOKUP(2,1/($C$2:INDEX($C:$C,ROW()-1)=$C492),$E$2:INDEX($E:$E,ROW()-1)),IFERROR(VLOOKUP($C492,'01_Warehouse_Ledger'!$A$2:$C$2002,3,FALSE),"")))</f>
        <v/>
      </c>
      <c r="G492" s="41"/>
    </row>
    <row r="493" spans="1:7">
      <c r="A493" s="38"/>
      <c r="D493" t="str">
        <f>IF($C493="","",IFERROR(LOOKUP(2,1/($C$2:INDEX($C:$C,ROW()-1)=$C493),$E$2:INDEX($E:$E,ROW()-1)),IFERROR(VLOOKUP($C493,'01_Warehouse_Ledger'!$A$2:$C$2002,3,FALSE),"")))</f>
        <v/>
      </c>
      <c r="G493" s="41"/>
    </row>
    <row r="494" spans="1:7">
      <c r="A494" s="38"/>
      <c r="D494" t="str">
        <f>IF($C494="","",IFERROR(LOOKUP(2,1/($C$2:INDEX($C:$C,ROW()-1)=$C494),$E$2:INDEX($E:$E,ROW()-1)),IFERROR(VLOOKUP($C494,'01_Warehouse_Ledger'!$A$2:$C$2002,3,FALSE),"")))</f>
        <v/>
      </c>
      <c r="G494" s="41"/>
    </row>
    <row r="495" spans="1:7">
      <c r="A495" s="38"/>
      <c r="D495" t="str">
        <f>IF($C495="","",IFERROR(LOOKUP(2,1/($C$2:INDEX($C:$C,ROW()-1)=$C495),$E$2:INDEX($E:$E,ROW()-1)),IFERROR(VLOOKUP($C495,'01_Warehouse_Ledger'!$A$2:$C$2002,3,FALSE),"")))</f>
        <v/>
      </c>
      <c r="G495" s="41"/>
    </row>
    <row r="496" spans="1:7">
      <c r="A496" s="38"/>
      <c r="D496" t="str">
        <f>IF($C496="","",IFERROR(LOOKUP(2,1/($C$2:INDEX($C:$C,ROW()-1)=$C496),$E$2:INDEX($E:$E,ROW()-1)),IFERROR(VLOOKUP($C496,'01_Warehouse_Ledger'!$A$2:$C$2002,3,FALSE),"")))</f>
        <v/>
      </c>
      <c r="G496" s="41"/>
    </row>
    <row r="497" spans="1:7">
      <c r="A497" s="38"/>
      <c r="D497" t="str">
        <f>IF($C497="","",IFERROR(LOOKUP(2,1/($C$2:INDEX($C:$C,ROW()-1)=$C497),$E$2:INDEX($E:$E,ROW()-1)),IFERROR(VLOOKUP($C497,'01_Warehouse_Ledger'!$A$2:$C$2002,3,FALSE),"")))</f>
        <v/>
      </c>
      <c r="G497" s="41"/>
    </row>
    <row r="498" spans="1:7">
      <c r="A498" s="38"/>
      <c r="D498" t="str">
        <f>IF($C498="","",IFERROR(LOOKUP(2,1/($C$2:INDEX($C:$C,ROW()-1)=$C498),$E$2:INDEX($E:$E,ROW()-1)),IFERROR(VLOOKUP($C498,'01_Warehouse_Ledger'!$A$2:$C$2002,3,FALSE),"")))</f>
        <v/>
      </c>
      <c r="G498" s="41"/>
    </row>
    <row r="499" spans="1:7">
      <c r="A499" s="38"/>
      <c r="D499" t="str">
        <f>IF($C499="","",IFERROR(LOOKUP(2,1/($C$2:INDEX($C:$C,ROW()-1)=$C499),$E$2:INDEX($E:$E,ROW()-1)),IFERROR(VLOOKUP($C499,'01_Warehouse_Ledger'!$A$2:$C$2002,3,FALSE),"")))</f>
        <v/>
      </c>
      <c r="G499" s="41"/>
    </row>
    <row r="500" spans="1:7">
      <c r="A500" s="38"/>
      <c r="D500" t="str">
        <f>IF($C500="","",IFERROR(LOOKUP(2,1/($C$2:INDEX($C:$C,ROW()-1)=$C500),$E$2:INDEX($E:$E,ROW()-1)),IFERROR(VLOOKUP($C500,'01_Warehouse_Ledger'!$A$2:$C$2002,3,FALSE),"")))</f>
        <v/>
      </c>
      <c r="G500" s="41"/>
    </row>
    <row r="501" spans="1:7">
      <c r="A501" s="38"/>
      <c r="G501" s="41"/>
    </row>
  </sheetData>
  <conditionalFormatting sqref="A2:J500">
    <cfRule type="expression" dxfId="64" priority="1" stopIfTrue="1">
      <formula>AND($B2&lt;&gt;"",OR($A2="",TRIM($C2)="",TRIM($E2)=""))</formula>
    </cfRule>
    <cfRule type="expression" dxfId="63" priority="4">
      <formula>AND(TRIM($C2)&lt;&gt;"",TRIM($E2)&lt;&gt;"",$D2="")</formula>
    </cfRule>
  </conditionalFormatting>
  <dataValidations count="3">
    <dataValidation type="list" allowBlank="1" sqref="B2:B500" xr:uid="{63F66021-8515-42CF-B661-3FB8D7B6890A}">
      <formula1>"RECEIVE,MOVE,PICK,COUNT,ADJUST,SHIP,RETURN"</formula1>
    </dataValidation>
    <dataValidation type="custom" allowBlank="1" showInputMessage="1" showErrorMessage="1" sqref="D2:D1048576" xr:uid="{1DA45091-687A-496D-9F01-6E8006969B33}">
      <formula1>FALSE</formula1>
    </dataValidation>
    <dataValidation type="custom" allowBlank="1" showInputMessage="1" showErrorMessage="1" errorTitle="Automated field, foo 🤡" error="Skedaddle 💨. Don't overwrite formulas 😄" sqref="E2:E69 G70:G499" xr:uid="{B0D12F46-8B86-4E0F-ABCA-A85083D6B0CD}">
      <formula1>FALSE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Pallet ID" error="Pick a pallet ID from the ledger." xr:uid="{E51D3E49-E38A-4752-A817-DF243D6957CD}">
          <x14:formula1>
            <xm:f>'01_Warehouse_Ledger'!$A$2:$A$2002</xm:f>
          </x14:formula1>
          <xm:sqref>C2:C500</xm:sqref>
        </x14:dataValidation>
        <x14:dataValidation type="list" allowBlank="1" showInputMessage="1" showErrorMessage="1" errorTitle="Invalid Location Code" error="Pick a location code from the locations list." xr:uid="{97DBE7D7-BDE2-4BD6-89C9-D7D1949915D7}">
          <x14:formula1>
            <xm:f>'02_Warehouse_Locations'!$A$2:$A$500</xm:f>
          </x14:formula1>
          <xm:sqref>D2:E500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4" t="s">
        <v>1133</v>
      </c>
      <c r="B1" s="54" t="s">
        <v>1134</v>
      </c>
      <c r="C1" s="54" t="s">
        <v>1135</v>
      </c>
      <c r="D1" s="54" t="s">
        <v>72</v>
      </c>
    </row>
    <row r="2" spans="1:4">
      <c r="A2" s="43" t="s">
        <v>1136</v>
      </c>
    </row>
    <row r="3" spans="1:4">
      <c r="A3" t="s">
        <v>1137</v>
      </c>
      <c r="B3" t="str">
        <f>IF('02_Warehouse_Locations'!A2="","",'02_Warehouse_Locations'!A2)</f>
        <v>WH-STAGE-IN</v>
      </c>
      <c r="C3" t="str">
        <f t="shared" ref="C3:C66" si="0">IF(B3="","",B3)</f>
        <v>WH-STAGE-IN</v>
      </c>
      <c r="D3" t="s">
        <v>1138</v>
      </c>
    </row>
    <row r="4" spans="1:4">
      <c r="A4" t="s">
        <v>1137</v>
      </c>
      <c r="B4" t="str">
        <f>IF('02_Warehouse_Locations'!A3="","",'02_Warehouse_Locations'!A3)</f>
        <v>WH-STAGE-OUT</v>
      </c>
      <c r="C4" t="str">
        <f t="shared" si="0"/>
        <v>WH-STAGE-OUT</v>
      </c>
      <c r="D4" t="s">
        <v>1138</v>
      </c>
    </row>
    <row r="5" spans="1:4">
      <c r="A5" t="s">
        <v>1137</v>
      </c>
      <c r="B5" t="str">
        <f>IF('02_Warehouse_Locations'!A4="","",'02_Warehouse_Locations'!A4)</f>
        <v>WH-QUARANTINE</v>
      </c>
      <c r="C5" t="str">
        <f t="shared" si="0"/>
        <v>WH-QUARANTINE</v>
      </c>
      <c r="D5" t="s">
        <v>1138</v>
      </c>
    </row>
    <row r="6" spans="1:4">
      <c r="A6" t="s">
        <v>1137</v>
      </c>
      <c r="B6" t="str">
        <f>IF('02_Warehouse_Locations'!A5="","",'02_Warehouse_Locations'!A5)</f>
        <v>WH-Z1-A01-ENDCAP-L</v>
      </c>
      <c r="C6" t="str">
        <f t="shared" si="0"/>
        <v>WH-Z1-A01-ENDCAP-L</v>
      </c>
      <c r="D6" t="s">
        <v>1138</v>
      </c>
    </row>
    <row r="7" spans="1:4">
      <c r="A7" t="s">
        <v>1137</v>
      </c>
      <c r="B7" t="str">
        <f>IF('02_Warehouse_Locations'!A6="","",'02_Warehouse_Locations'!A6)</f>
        <v>WH-Z1-AisleA-Bay1-Level1</v>
      </c>
      <c r="C7" t="str">
        <f t="shared" si="0"/>
        <v>WH-Z1-AisleA-Bay1-Level1</v>
      </c>
      <c r="D7" t="s">
        <v>1138</v>
      </c>
    </row>
    <row r="8" spans="1:4">
      <c r="A8" t="s">
        <v>1137</v>
      </c>
      <c r="B8" t="str">
        <f>IF('02_Warehouse_Locations'!A7="","",'02_Warehouse_Locations'!A7)</f>
        <v>WH-Z1-AisleA-Bay1-Level2</v>
      </c>
      <c r="C8" t="str">
        <f t="shared" si="0"/>
        <v>WH-Z1-AisleA-Bay1-Level2</v>
      </c>
      <c r="D8" t="s">
        <v>1138</v>
      </c>
    </row>
    <row r="9" spans="1:4">
      <c r="A9" t="s">
        <v>1137</v>
      </c>
      <c r="B9" t="str">
        <f>IF('02_Warehouse_Locations'!A8="","",'02_Warehouse_Locations'!A8)</f>
        <v>WH-Z1-A01-OVERFLOW-01</v>
      </c>
      <c r="C9" t="str">
        <f t="shared" si="0"/>
        <v>WH-Z1-A01-OVERFLOW-01</v>
      </c>
      <c r="D9" t="s">
        <v>1138</v>
      </c>
    </row>
    <row r="10" spans="1:4">
      <c r="A10" t="s">
        <v>1137</v>
      </c>
      <c r="B10" t="str">
        <f>IF('02_Warehouse_Locations'!A9="","",'02_Warehouse_Locations'!A9)</f>
        <v>CHRIS_OVERFLOW_A_ZONE1</v>
      </c>
      <c r="C10" t="str">
        <f t="shared" si="0"/>
        <v>CHRIS_OVERFLOW_A_ZONE1</v>
      </c>
      <c r="D10" t="s">
        <v>1138</v>
      </c>
    </row>
    <row r="11" spans="1:4">
      <c r="A11" t="s">
        <v>1137</v>
      </c>
      <c r="B11" t="str">
        <f>IF('02_Warehouse_Locations'!A10="","",'02_Warehouse_Locations'!A10)</f>
        <v>WH-Z1-AisleA-Bay1-Level3</v>
      </c>
      <c r="C11" t="str">
        <f t="shared" si="0"/>
        <v>WH-Z1-AisleA-Bay1-Level3</v>
      </c>
      <c r="D11" t="s">
        <v>1138</v>
      </c>
    </row>
    <row r="12" spans="1:4">
      <c r="A12" t="s">
        <v>1137</v>
      </c>
      <c r="B12" t="str">
        <f>IF('02_Warehouse_Locations'!A11="","",'02_Warehouse_Locations'!A11)</f>
        <v>WH-Z1-AisleA-Bay1-Level4</v>
      </c>
      <c r="C12" t="str">
        <f t="shared" si="0"/>
        <v>WH-Z1-AisleA-Bay1-Level4</v>
      </c>
      <c r="D12" t="s">
        <v>1138</v>
      </c>
    </row>
    <row r="13" spans="1:4">
      <c r="A13" t="s">
        <v>1137</v>
      </c>
      <c r="B13" t="str">
        <f>IF('02_Warehouse_Locations'!A12="","",'02_Warehouse_Locations'!A12)</f>
        <v>WH-Z1-AisleA-Bay1-Level5</v>
      </c>
      <c r="C13" t="str">
        <f t="shared" si="0"/>
        <v>WH-Z1-AisleA-Bay1-Level5</v>
      </c>
      <c r="D13" t="s">
        <v>1138</v>
      </c>
    </row>
    <row r="14" spans="1:4">
      <c r="A14" t="s">
        <v>1137</v>
      </c>
      <c r="B14" t="str">
        <f>IF('02_Warehouse_Locations'!A13="","",'02_Warehouse_Locations'!A13)</f>
        <v>WH-Z1-AisleA-Bay1-Level6</v>
      </c>
      <c r="C14" t="str">
        <f t="shared" si="0"/>
        <v>WH-Z1-AisleA-Bay1-Level6</v>
      </c>
      <c r="D14" t="s">
        <v>1138</v>
      </c>
    </row>
    <row r="15" spans="1:4">
      <c r="A15" t="s">
        <v>1137</v>
      </c>
      <c r="B15" t="str">
        <f>IF('02_Warehouse_Locations'!A14="","",'02_Warehouse_Locations'!A14)</f>
        <v>WH-Z1-AisleA-Bay1-Level7</v>
      </c>
      <c r="C15" t="str">
        <f t="shared" si="0"/>
        <v>WH-Z1-AisleA-Bay1-Level7</v>
      </c>
      <c r="D15" t="s">
        <v>1138</v>
      </c>
    </row>
    <row r="16" spans="1:4">
      <c r="A16" t="s">
        <v>1137</v>
      </c>
      <c r="B16" t="str">
        <f>IF('02_Warehouse_Locations'!A15="","",'02_Warehouse_Locations'!A15)</f>
        <v>WH-Z1-AisleA-Bay1-Level8</v>
      </c>
      <c r="C16" t="str">
        <f t="shared" si="0"/>
        <v>WH-Z1-AisleA-Bay1-Level8</v>
      </c>
      <c r="D16" t="s">
        <v>1138</v>
      </c>
    </row>
    <row r="17" spans="1:4">
      <c r="A17" t="s">
        <v>1137</v>
      </c>
      <c r="B17" t="str">
        <f>IF('02_Warehouse_Locations'!A16="","",'02_Warehouse_Locations'!A16)</f>
        <v>WH-Z1-AisleA-Bay1-Level9</v>
      </c>
      <c r="C17" t="str">
        <f t="shared" si="0"/>
        <v>WH-Z1-AisleA-Bay1-Level9</v>
      </c>
      <c r="D17" t="s">
        <v>1138</v>
      </c>
    </row>
    <row r="18" spans="1:4">
      <c r="A18" t="s">
        <v>1137</v>
      </c>
      <c r="B18" t="str">
        <f>IF('02_Warehouse_Locations'!A17="","",'02_Warehouse_Locations'!A17)</f>
        <v>WH-Z1-AisleA-Bay1-Level10</v>
      </c>
      <c r="C18" t="str">
        <f t="shared" si="0"/>
        <v>WH-Z1-AisleA-Bay1-Level10</v>
      </c>
      <c r="D18" t="s">
        <v>1138</v>
      </c>
    </row>
    <row r="19" spans="1:4">
      <c r="A19" t="s">
        <v>1137</v>
      </c>
      <c r="B19" t="str">
        <f>IF('02_Warehouse_Locations'!A18="","",'02_Warehouse_Locations'!A18)</f>
        <v>WH-Z1-AisleA-Bay1-Level11</v>
      </c>
      <c r="C19" t="str">
        <f t="shared" si="0"/>
        <v>WH-Z1-AisleA-Bay1-Level11</v>
      </c>
      <c r="D19" t="s">
        <v>1138</v>
      </c>
    </row>
    <row r="20" spans="1:4">
      <c r="A20" t="s">
        <v>1137</v>
      </c>
      <c r="B20" t="str">
        <f>IF('02_Warehouse_Locations'!A19="","",'02_Warehouse_Locations'!A19)</f>
        <v>WH-Z1-AisleA-Bay1-Level12</v>
      </c>
      <c r="C20" t="str">
        <f t="shared" si="0"/>
        <v>WH-Z1-AisleA-Bay1-Level12</v>
      </c>
      <c r="D20" t="s">
        <v>1138</v>
      </c>
    </row>
    <row r="21" spans="1:4">
      <c r="A21" t="s">
        <v>1137</v>
      </c>
      <c r="B21" t="str">
        <f>IF('02_Warehouse_Locations'!A20="","",'02_Warehouse_Locations'!A20)</f>
        <v>WH-Z1-AisleA-Bay1-Level13</v>
      </c>
      <c r="C21" t="str">
        <f t="shared" si="0"/>
        <v>WH-Z1-AisleA-Bay1-Level13</v>
      </c>
      <c r="D21" t="s">
        <v>1138</v>
      </c>
    </row>
    <row r="22" spans="1:4">
      <c r="A22" t="s">
        <v>1137</v>
      </c>
      <c r="B22" t="str">
        <f>IF('02_Warehouse_Locations'!A21="","",'02_Warehouse_Locations'!A21)</f>
        <v>WH-Z1-AisleA-Bay1-Level14</v>
      </c>
      <c r="C22" t="str">
        <f t="shared" si="0"/>
        <v>WH-Z1-AisleA-Bay1-Level14</v>
      </c>
      <c r="D22" t="s">
        <v>1138</v>
      </c>
    </row>
    <row r="23" spans="1:4">
      <c r="A23" t="s">
        <v>1137</v>
      </c>
      <c r="B23" t="str">
        <f>IF('02_Warehouse_Locations'!A22="","",'02_Warehouse_Locations'!A22)</f>
        <v>WH-Z1-AisleA-Bay1-Level15</v>
      </c>
      <c r="C23" t="str">
        <f t="shared" si="0"/>
        <v>WH-Z1-AisleA-Bay1-Level15</v>
      </c>
      <c r="D23" t="s">
        <v>1138</v>
      </c>
    </row>
    <row r="24" spans="1:4">
      <c r="A24" t="s">
        <v>1137</v>
      </c>
      <c r="B24" t="str">
        <f>IF('02_Warehouse_Locations'!A23="","",'02_Warehouse_Locations'!A23)</f>
        <v>WH-Z1-AisleA-Bay1-Level16</v>
      </c>
      <c r="C24" t="str">
        <f t="shared" si="0"/>
        <v>WH-Z1-AisleA-Bay1-Level16</v>
      </c>
      <c r="D24" t="s">
        <v>1138</v>
      </c>
    </row>
    <row r="25" spans="1:4">
      <c r="A25" t="s">
        <v>1137</v>
      </c>
      <c r="B25" t="str">
        <f>IF('02_Warehouse_Locations'!A24="","",'02_Warehouse_Locations'!A24)</f>
        <v>WH-Z1-AisleA-Bay1-Level17</v>
      </c>
      <c r="C25" t="str">
        <f t="shared" si="0"/>
        <v>WH-Z1-AisleA-Bay1-Level17</v>
      </c>
      <c r="D25" t="s">
        <v>1138</v>
      </c>
    </row>
    <row r="26" spans="1:4">
      <c r="A26" t="s">
        <v>1137</v>
      </c>
      <c r="B26" t="str">
        <f>IF('02_Warehouse_Locations'!A25="","",'02_Warehouse_Locations'!A25)</f>
        <v>WH-Z1-AisleA-Bay1-Level18</v>
      </c>
      <c r="C26" t="str">
        <f t="shared" si="0"/>
        <v>WH-Z1-AisleA-Bay1-Level18</v>
      </c>
      <c r="D26" t="s">
        <v>1138</v>
      </c>
    </row>
    <row r="27" spans="1:4">
      <c r="A27" t="s">
        <v>1137</v>
      </c>
      <c r="B27" t="str">
        <f>IF('02_Warehouse_Locations'!A26="","",'02_Warehouse_Locations'!A26)</f>
        <v>WH-Z1-AisleA-Bay1-Level19</v>
      </c>
      <c r="C27" t="str">
        <f t="shared" si="0"/>
        <v>WH-Z1-AisleA-Bay1-Level19</v>
      </c>
      <c r="D27" t="s">
        <v>1138</v>
      </c>
    </row>
    <row r="28" spans="1:4">
      <c r="A28" t="s">
        <v>1137</v>
      </c>
      <c r="B28" t="str">
        <f>IF('02_Warehouse_Locations'!A27="","",'02_Warehouse_Locations'!A27)</f>
        <v>WH-Z1-AisleA-Bay1-Level20</v>
      </c>
      <c r="C28" t="str">
        <f t="shared" si="0"/>
        <v>WH-Z1-AisleA-Bay1-Level20</v>
      </c>
      <c r="D28" t="s">
        <v>1138</v>
      </c>
    </row>
    <row r="29" spans="1:4">
      <c r="A29" t="s">
        <v>1137</v>
      </c>
      <c r="B29" t="str">
        <f>IF('02_Warehouse_Locations'!A28="","",'02_Warehouse_Locations'!A28)</f>
        <v>WH-Z1-AisleB-Bay1-Level1</v>
      </c>
      <c r="C29" t="str">
        <f t="shared" si="0"/>
        <v>WH-Z1-AisleB-Bay1-Level1</v>
      </c>
      <c r="D29" t="s">
        <v>1138</v>
      </c>
    </row>
    <row r="30" spans="1:4">
      <c r="A30" t="s">
        <v>1137</v>
      </c>
      <c r="B30" t="str">
        <f>IF('02_Warehouse_Locations'!A29="","",'02_Warehouse_Locations'!A29)</f>
        <v>WH-Z1-AisleB-Bay1-Level2</v>
      </c>
      <c r="C30" t="str">
        <f t="shared" si="0"/>
        <v>WH-Z1-AisleB-Bay1-Level2</v>
      </c>
      <c r="D30" t="s">
        <v>1138</v>
      </c>
    </row>
    <row r="31" spans="1:4">
      <c r="A31" t="s">
        <v>1137</v>
      </c>
      <c r="B31" t="str">
        <f>IF('02_Warehouse_Locations'!A30="","",'02_Warehouse_Locations'!A30)</f>
        <v>WH-Z1-AisleB-Bay1-Level3</v>
      </c>
      <c r="C31" t="str">
        <f t="shared" si="0"/>
        <v>WH-Z1-AisleB-Bay1-Level3</v>
      </c>
      <c r="D31" t="s">
        <v>1138</v>
      </c>
    </row>
    <row r="32" spans="1:4">
      <c r="A32" t="s">
        <v>1137</v>
      </c>
      <c r="B32" t="str">
        <f>IF('02_Warehouse_Locations'!A31="","",'02_Warehouse_Locations'!A31)</f>
        <v>WH-Z1-AisleB-Bay1-Level4</v>
      </c>
      <c r="C32" t="str">
        <f t="shared" si="0"/>
        <v>WH-Z1-AisleB-Bay1-Level4</v>
      </c>
      <c r="D32" t="s">
        <v>1138</v>
      </c>
    </row>
    <row r="33" spans="1:4">
      <c r="A33" t="s">
        <v>1137</v>
      </c>
      <c r="B33" t="str">
        <f>IF('02_Warehouse_Locations'!A32="","",'02_Warehouse_Locations'!A32)</f>
        <v>WH-Z1-AisleB-Bay1-Level5</v>
      </c>
      <c r="C33" t="str">
        <f t="shared" si="0"/>
        <v>WH-Z1-AisleB-Bay1-Level5</v>
      </c>
      <c r="D33" t="s">
        <v>1138</v>
      </c>
    </row>
    <row r="34" spans="1:4">
      <c r="A34" t="s">
        <v>1137</v>
      </c>
      <c r="B34" t="str">
        <f>IF('02_Warehouse_Locations'!A33="","",'02_Warehouse_Locations'!A33)</f>
        <v>WH-Z1-AisleB-Bay1-Level6</v>
      </c>
      <c r="C34" t="str">
        <f t="shared" si="0"/>
        <v>WH-Z1-AisleB-Bay1-Level6</v>
      </c>
      <c r="D34" t="s">
        <v>1138</v>
      </c>
    </row>
    <row r="35" spans="1:4">
      <c r="A35" t="s">
        <v>1137</v>
      </c>
      <c r="B35" t="str">
        <f>IF('02_Warehouse_Locations'!A34="","",'02_Warehouse_Locations'!A34)</f>
        <v>WH-Z1-AisleB-Bay1-Level7</v>
      </c>
      <c r="C35" t="str">
        <f t="shared" si="0"/>
        <v>WH-Z1-AisleB-Bay1-Level7</v>
      </c>
      <c r="D35" t="s">
        <v>1138</v>
      </c>
    </row>
    <row r="36" spans="1:4">
      <c r="A36" t="s">
        <v>1137</v>
      </c>
      <c r="B36" t="str">
        <f>IF('02_Warehouse_Locations'!A35="","",'02_Warehouse_Locations'!A35)</f>
        <v>WH-Z1-AisleB-Bay1-Level8</v>
      </c>
      <c r="C36" t="str">
        <f t="shared" si="0"/>
        <v>WH-Z1-AisleB-Bay1-Level8</v>
      </c>
      <c r="D36" t="s">
        <v>1138</v>
      </c>
    </row>
    <row r="37" spans="1:4">
      <c r="A37" t="s">
        <v>1137</v>
      </c>
      <c r="B37" t="str">
        <f>IF('02_Warehouse_Locations'!A36="","",'02_Warehouse_Locations'!A36)</f>
        <v>WH-Z1-AisleB-Bay1-Level9</v>
      </c>
      <c r="C37" t="str">
        <f t="shared" si="0"/>
        <v>WH-Z1-AisleB-Bay1-Level9</v>
      </c>
      <c r="D37" t="s">
        <v>1138</v>
      </c>
    </row>
    <row r="38" spans="1:4">
      <c r="A38" t="s">
        <v>1137</v>
      </c>
      <c r="B38" t="str">
        <f>IF('02_Warehouse_Locations'!A37="","",'02_Warehouse_Locations'!A37)</f>
        <v>WH-Z1-AisleB-Bay1-Level10</v>
      </c>
      <c r="C38" t="str">
        <f t="shared" si="0"/>
        <v>WH-Z1-AisleB-Bay1-Level10</v>
      </c>
      <c r="D38" t="s">
        <v>1138</v>
      </c>
    </row>
    <row r="39" spans="1:4">
      <c r="A39" t="s">
        <v>1137</v>
      </c>
      <c r="B39" t="str">
        <f>IF('02_Warehouse_Locations'!A38="","",'02_Warehouse_Locations'!A38)</f>
        <v>WH-Z1-AisleB-Bay1-Level11</v>
      </c>
      <c r="C39" t="str">
        <f t="shared" si="0"/>
        <v>WH-Z1-AisleB-Bay1-Level11</v>
      </c>
      <c r="D39" t="s">
        <v>1138</v>
      </c>
    </row>
    <row r="40" spans="1:4">
      <c r="A40" t="s">
        <v>1137</v>
      </c>
      <c r="B40" t="str">
        <f>IF('02_Warehouse_Locations'!A39="","",'02_Warehouse_Locations'!A39)</f>
        <v>WH-Z1-AisleB-Bay1-Level12</v>
      </c>
      <c r="C40" t="str">
        <f t="shared" si="0"/>
        <v>WH-Z1-AisleB-Bay1-Level12</v>
      </c>
      <c r="D40" t="s">
        <v>1138</v>
      </c>
    </row>
    <row r="41" spans="1:4">
      <c r="A41" t="s">
        <v>1137</v>
      </c>
      <c r="B41" t="str">
        <f>IF('02_Warehouse_Locations'!A40="","",'02_Warehouse_Locations'!A40)</f>
        <v>WH-Z1-AisleB-Bay1-Level13</v>
      </c>
      <c r="C41" t="str">
        <f t="shared" si="0"/>
        <v>WH-Z1-AisleB-Bay1-Level13</v>
      </c>
      <c r="D41" t="s">
        <v>1138</v>
      </c>
    </row>
    <row r="42" spans="1:4">
      <c r="A42" t="s">
        <v>1137</v>
      </c>
      <c r="B42" t="str">
        <f>IF('02_Warehouse_Locations'!A41="","",'02_Warehouse_Locations'!A41)</f>
        <v>WH-Z1-AisleB-Bay1-Level14</v>
      </c>
      <c r="C42" t="str">
        <f t="shared" si="0"/>
        <v>WH-Z1-AisleB-Bay1-Level14</v>
      </c>
      <c r="D42" t="s">
        <v>1138</v>
      </c>
    </row>
    <row r="43" spans="1:4">
      <c r="A43" t="s">
        <v>1137</v>
      </c>
      <c r="B43" t="str">
        <f>IF('02_Warehouse_Locations'!A42="","",'02_Warehouse_Locations'!A42)</f>
        <v>WH-Z1-AisleB-Bay1-Level15</v>
      </c>
      <c r="C43" t="str">
        <f t="shared" si="0"/>
        <v>WH-Z1-AisleB-Bay1-Level15</v>
      </c>
      <c r="D43" t="s">
        <v>1138</v>
      </c>
    </row>
    <row r="44" spans="1:4">
      <c r="A44" t="s">
        <v>1137</v>
      </c>
      <c r="B44" t="str">
        <f>IF('02_Warehouse_Locations'!A43="","",'02_Warehouse_Locations'!A43)</f>
        <v>WH-Z1-AisleB-Bay1-Level16</v>
      </c>
      <c r="C44" t="str">
        <f t="shared" si="0"/>
        <v>WH-Z1-AisleB-Bay1-Level16</v>
      </c>
      <c r="D44" t="s">
        <v>1138</v>
      </c>
    </row>
    <row r="45" spans="1:4">
      <c r="A45" t="s">
        <v>1137</v>
      </c>
      <c r="B45" t="str">
        <f>IF('02_Warehouse_Locations'!A44="","",'02_Warehouse_Locations'!A44)</f>
        <v>WH-Z1-AisleB-Bay1-Level17</v>
      </c>
      <c r="C45" t="str">
        <f t="shared" si="0"/>
        <v>WH-Z1-AisleB-Bay1-Level17</v>
      </c>
      <c r="D45" t="s">
        <v>1138</v>
      </c>
    </row>
    <row r="46" spans="1:4">
      <c r="A46" t="s">
        <v>1137</v>
      </c>
      <c r="B46" t="str">
        <f>IF('02_Warehouse_Locations'!A45="","",'02_Warehouse_Locations'!A45)</f>
        <v>WH-Z1-AisleB-Bay1-Level18</v>
      </c>
      <c r="C46" t="str">
        <f t="shared" si="0"/>
        <v>WH-Z1-AisleB-Bay1-Level18</v>
      </c>
      <c r="D46" t="s">
        <v>1138</v>
      </c>
    </row>
    <row r="47" spans="1:4">
      <c r="A47" t="s">
        <v>1137</v>
      </c>
      <c r="B47" t="str">
        <f>IF('02_Warehouse_Locations'!A46="","",'02_Warehouse_Locations'!A46)</f>
        <v>WH-Z1-AisleB-Bay1-Level19</v>
      </c>
      <c r="C47" t="str">
        <f t="shared" si="0"/>
        <v>WH-Z1-AisleB-Bay1-Level19</v>
      </c>
      <c r="D47" t="s">
        <v>1138</v>
      </c>
    </row>
    <row r="48" spans="1:4">
      <c r="A48" t="s">
        <v>1137</v>
      </c>
      <c r="B48" t="str">
        <f>IF('02_Warehouse_Locations'!A47="","",'02_Warehouse_Locations'!A47)</f>
        <v>WH-Z1-AisleB-Bay1-Level20</v>
      </c>
      <c r="C48" t="str">
        <f t="shared" si="0"/>
        <v>WH-Z1-AisleB-Bay1-Level20</v>
      </c>
      <c r="D48" t="s">
        <v>1138</v>
      </c>
    </row>
    <row r="49" spans="1:4">
      <c r="A49" t="s">
        <v>1137</v>
      </c>
      <c r="B49" t="str">
        <f>IF('02_Warehouse_Locations'!A48="","",'02_Warehouse_Locations'!A48)</f>
        <v>WH-Z1-AisleC-Bay1-Level1</v>
      </c>
      <c r="C49" t="str">
        <f t="shared" si="0"/>
        <v>WH-Z1-AisleC-Bay1-Level1</v>
      </c>
      <c r="D49" t="s">
        <v>1138</v>
      </c>
    </row>
    <row r="50" spans="1:4">
      <c r="A50" t="s">
        <v>1137</v>
      </c>
      <c r="B50" t="str">
        <f>IF('02_Warehouse_Locations'!A49="","",'02_Warehouse_Locations'!A49)</f>
        <v>WH-Z1-AisleC-Bay1-Level2</v>
      </c>
      <c r="C50" t="str">
        <f t="shared" si="0"/>
        <v>WH-Z1-AisleC-Bay1-Level2</v>
      </c>
      <c r="D50" t="s">
        <v>1138</v>
      </c>
    </row>
    <row r="51" spans="1:4">
      <c r="A51" t="s">
        <v>1137</v>
      </c>
      <c r="B51" t="str">
        <f>IF('02_Warehouse_Locations'!A50="","",'02_Warehouse_Locations'!A50)</f>
        <v>WH-Z1-AisleC-Bay1-Level3</v>
      </c>
      <c r="C51" t="str">
        <f t="shared" si="0"/>
        <v>WH-Z1-AisleC-Bay1-Level3</v>
      </c>
      <c r="D51" t="s">
        <v>1138</v>
      </c>
    </row>
    <row r="52" spans="1:4">
      <c r="A52" t="s">
        <v>1137</v>
      </c>
      <c r="B52" t="str">
        <f>IF('02_Warehouse_Locations'!A51="","",'02_Warehouse_Locations'!A51)</f>
        <v>WH-Z1-AisleC-Bay1-Level4</v>
      </c>
      <c r="C52" t="str">
        <f t="shared" si="0"/>
        <v>WH-Z1-AisleC-Bay1-Level4</v>
      </c>
      <c r="D52" t="s">
        <v>1138</v>
      </c>
    </row>
    <row r="53" spans="1:4">
      <c r="A53" t="s">
        <v>1137</v>
      </c>
      <c r="B53" t="str">
        <f>IF('02_Warehouse_Locations'!A52="","",'02_Warehouse_Locations'!A52)</f>
        <v>WH-Z1-AisleC-Bay1-Level5</v>
      </c>
      <c r="C53" t="str">
        <f t="shared" si="0"/>
        <v>WH-Z1-AisleC-Bay1-Level5</v>
      </c>
      <c r="D53" t="s">
        <v>1138</v>
      </c>
    </row>
    <row r="54" spans="1:4">
      <c r="A54" t="s">
        <v>1137</v>
      </c>
      <c r="B54" t="str">
        <f>IF('02_Warehouse_Locations'!A53="","",'02_Warehouse_Locations'!A53)</f>
        <v>WH-Z1-AisleC-Bay1-Level6</v>
      </c>
      <c r="C54" t="str">
        <f t="shared" si="0"/>
        <v>WH-Z1-AisleC-Bay1-Level6</v>
      </c>
      <c r="D54" t="s">
        <v>1138</v>
      </c>
    </row>
    <row r="55" spans="1:4">
      <c r="A55" t="s">
        <v>1137</v>
      </c>
      <c r="B55" t="str">
        <f>IF('02_Warehouse_Locations'!A54="","",'02_Warehouse_Locations'!A54)</f>
        <v>WH-Z1-AisleC-Bay1-Level7</v>
      </c>
      <c r="C55" t="str">
        <f t="shared" si="0"/>
        <v>WH-Z1-AisleC-Bay1-Level7</v>
      </c>
      <c r="D55" t="s">
        <v>1138</v>
      </c>
    </row>
    <row r="56" spans="1:4">
      <c r="A56" t="s">
        <v>1137</v>
      </c>
      <c r="B56" t="str">
        <f>IF('02_Warehouse_Locations'!A55="","",'02_Warehouse_Locations'!A55)</f>
        <v>WH-Z1-AisleC-Bay1-Level8</v>
      </c>
      <c r="C56" t="str">
        <f t="shared" si="0"/>
        <v>WH-Z1-AisleC-Bay1-Level8</v>
      </c>
      <c r="D56" t="s">
        <v>1138</v>
      </c>
    </row>
    <row r="57" spans="1:4">
      <c r="A57" t="s">
        <v>1137</v>
      </c>
      <c r="B57" t="str">
        <f>IF('02_Warehouse_Locations'!A56="","",'02_Warehouse_Locations'!A56)</f>
        <v>WH-Z1-AisleC-Bay1-Level9</v>
      </c>
      <c r="C57" t="str">
        <f t="shared" si="0"/>
        <v>WH-Z1-AisleC-Bay1-Level9</v>
      </c>
      <c r="D57" t="s">
        <v>1138</v>
      </c>
    </row>
    <row r="58" spans="1:4">
      <c r="A58" t="s">
        <v>1137</v>
      </c>
      <c r="B58" t="str">
        <f>IF('02_Warehouse_Locations'!A57="","",'02_Warehouse_Locations'!A57)</f>
        <v>WH-Z1-AisleC-Bay1-Level10</v>
      </c>
      <c r="C58" t="str">
        <f t="shared" si="0"/>
        <v>WH-Z1-AisleC-Bay1-Level10</v>
      </c>
      <c r="D58" t="s">
        <v>1138</v>
      </c>
    </row>
    <row r="59" spans="1:4">
      <c r="A59" t="s">
        <v>1137</v>
      </c>
      <c r="B59" t="str">
        <f>IF('02_Warehouse_Locations'!A58="","",'02_Warehouse_Locations'!A58)</f>
        <v>WH-Z1-AisleC-Bay1-Level11</v>
      </c>
      <c r="C59" t="str">
        <f t="shared" si="0"/>
        <v>WH-Z1-AisleC-Bay1-Level11</v>
      </c>
      <c r="D59" t="s">
        <v>1138</v>
      </c>
    </row>
    <row r="60" spans="1:4">
      <c r="A60" t="s">
        <v>1137</v>
      </c>
      <c r="B60" t="str">
        <f>IF('02_Warehouse_Locations'!A59="","",'02_Warehouse_Locations'!A59)</f>
        <v>WH-Z1-AisleC-Bay1-Level12</v>
      </c>
      <c r="C60" t="str">
        <f t="shared" si="0"/>
        <v>WH-Z1-AisleC-Bay1-Level12</v>
      </c>
      <c r="D60" t="s">
        <v>1138</v>
      </c>
    </row>
    <row r="61" spans="1:4">
      <c r="A61" t="s">
        <v>1137</v>
      </c>
      <c r="B61" t="str">
        <f>IF('02_Warehouse_Locations'!A60="","",'02_Warehouse_Locations'!A60)</f>
        <v>WH-Z1-AisleC-Bay1-Level13</v>
      </c>
      <c r="C61" t="str">
        <f t="shared" si="0"/>
        <v>WH-Z1-AisleC-Bay1-Level13</v>
      </c>
      <c r="D61" t="s">
        <v>1138</v>
      </c>
    </row>
    <row r="62" spans="1:4">
      <c r="A62" t="s">
        <v>1137</v>
      </c>
      <c r="B62" t="str">
        <f>IF('02_Warehouse_Locations'!A61="","",'02_Warehouse_Locations'!A61)</f>
        <v>WH-Z1-AisleC-Bay1-Level14</v>
      </c>
      <c r="C62" t="str">
        <f t="shared" si="0"/>
        <v>WH-Z1-AisleC-Bay1-Level14</v>
      </c>
      <c r="D62" t="s">
        <v>1138</v>
      </c>
    </row>
    <row r="63" spans="1:4">
      <c r="A63" t="s">
        <v>1137</v>
      </c>
      <c r="B63" t="str">
        <f>IF('02_Warehouse_Locations'!A62="","",'02_Warehouse_Locations'!A62)</f>
        <v>WH-Z1-AisleC-Bay1-Level15</v>
      </c>
      <c r="C63" t="str">
        <f t="shared" si="0"/>
        <v>WH-Z1-AisleC-Bay1-Level15</v>
      </c>
      <c r="D63" t="s">
        <v>1138</v>
      </c>
    </row>
    <row r="64" spans="1:4">
      <c r="A64" t="s">
        <v>1137</v>
      </c>
      <c r="B64" t="str">
        <f>IF('02_Warehouse_Locations'!A63="","",'02_Warehouse_Locations'!A63)</f>
        <v>WH-Z1-AisleC-Bay1-Level16</v>
      </c>
      <c r="C64" t="str">
        <f t="shared" si="0"/>
        <v>WH-Z1-AisleC-Bay1-Level16</v>
      </c>
      <c r="D64" t="s">
        <v>1138</v>
      </c>
    </row>
    <row r="65" spans="1:4">
      <c r="A65" t="s">
        <v>1137</v>
      </c>
      <c r="B65" t="str">
        <f>IF('02_Warehouse_Locations'!A64="","",'02_Warehouse_Locations'!A64)</f>
        <v>WH-Z1-AisleC-Bay1-Level17</v>
      </c>
      <c r="C65" t="str">
        <f t="shared" si="0"/>
        <v>WH-Z1-AisleC-Bay1-Level17</v>
      </c>
      <c r="D65" t="s">
        <v>1138</v>
      </c>
    </row>
    <row r="66" spans="1:4">
      <c r="A66" t="s">
        <v>1137</v>
      </c>
      <c r="B66" t="str">
        <f>IF('02_Warehouse_Locations'!A65="","",'02_Warehouse_Locations'!A65)</f>
        <v>WH-Z1-AisleC-Bay1-Level18</v>
      </c>
      <c r="C66" t="str">
        <f t="shared" si="0"/>
        <v>WH-Z1-AisleC-Bay1-Level18</v>
      </c>
      <c r="D66" t="s">
        <v>1138</v>
      </c>
    </row>
    <row r="67" spans="1:4">
      <c r="A67" t="s">
        <v>1137</v>
      </c>
      <c r="B67" t="str">
        <f>IF('02_Warehouse_Locations'!A66="","",'02_Warehouse_Locations'!A66)</f>
        <v>WH-Z1-AisleC-Bay1-Level19</v>
      </c>
      <c r="C67" t="str">
        <f t="shared" ref="C67:C130" si="1">IF(B67="","",B67)</f>
        <v>WH-Z1-AisleC-Bay1-Level19</v>
      </c>
      <c r="D67" t="s">
        <v>1138</v>
      </c>
    </row>
    <row r="68" spans="1:4">
      <c r="A68" t="s">
        <v>1137</v>
      </c>
      <c r="B68" t="str">
        <f>IF('02_Warehouse_Locations'!A67="","",'02_Warehouse_Locations'!A67)</f>
        <v>WH-Z1-AisleC-Bay1-Level20</v>
      </c>
      <c r="C68" t="str">
        <f t="shared" si="1"/>
        <v>WH-Z1-AisleC-Bay1-Level20</v>
      </c>
      <c r="D68" t="s">
        <v>1138</v>
      </c>
    </row>
    <row r="69" spans="1:4">
      <c r="A69" t="s">
        <v>1137</v>
      </c>
      <c r="B69" t="str">
        <f>IF('02_Warehouse_Locations'!A68="","",'02_Warehouse_Locations'!A68)</f>
        <v>WH-Z1-AisleD-Bay1-Level1</v>
      </c>
      <c r="C69" t="str">
        <f t="shared" si="1"/>
        <v>WH-Z1-AisleD-Bay1-Level1</v>
      </c>
      <c r="D69" t="s">
        <v>1138</v>
      </c>
    </row>
    <row r="70" spans="1:4">
      <c r="A70" t="s">
        <v>1137</v>
      </c>
      <c r="B70" t="str">
        <f>IF('02_Warehouse_Locations'!A69="","",'02_Warehouse_Locations'!A69)</f>
        <v>WH-Z1-AisleD-Bay1-Level2</v>
      </c>
      <c r="C70" t="str">
        <f t="shared" si="1"/>
        <v>WH-Z1-AisleD-Bay1-Level2</v>
      </c>
      <c r="D70" t="s">
        <v>1138</v>
      </c>
    </row>
    <row r="71" spans="1:4">
      <c r="A71" t="s">
        <v>1137</v>
      </c>
      <c r="B71" t="str">
        <f>IF('02_Warehouse_Locations'!A70="","",'02_Warehouse_Locations'!A70)</f>
        <v>WH-Z1-AisleD-Bay1-Level3</v>
      </c>
      <c r="C71" t="str">
        <f t="shared" si="1"/>
        <v>WH-Z1-AisleD-Bay1-Level3</v>
      </c>
      <c r="D71" t="s">
        <v>1138</v>
      </c>
    </row>
    <row r="72" spans="1:4">
      <c r="A72" t="s">
        <v>1137</v>
      </c>
      <c r="B72" t="str">
        <f>IF('02_Warehouse_Locations'!A71="","",'02_Warehouse_Locations'!A71)</f>
        <v>WH-Z1-AisleD-Bay1-Level4</v>
      </c>
      <c r="C72" t="str">
        <f t="shared" si="1"/>
        <v>WH-Z1-AisleD-Bay1-Level4</v>
      </c>
      <c r="D72" t="s">
        <v>1138</v>
      </c>
    </row>
    <row r="73" spans="1:4">
      <c r="A73" t="s">
        <v>1137</v>
      </c>
      <c r="B73" t="str">
        <f>IF('02_Warehouse_Locations'!A72="","",'02_Warehouse_Locations'!A72)</f>
        <v>WH-Z1-AisleD-Bay1-Level5</v>
      </c>
      <c r="C73" t="str">
        <f t="shared" si="1"/>
        <v>WH-Z1-AisleD-Bay1-Level5</v>
      </c>
      <c r="D73" t="s">
        <v>1138</v>
      </c>
    </row>
    <row r="74" spans="1:4">
      <c r="A74" t="s">
        <v>1137</v>
      </c>
      <c r="B74" t="str">
        <f>IF('02_Warehouse_Locations'!A73="","",'02_Warehouse_Locations'!A73)</f>
        <v>WH-Z1-AisleD-Bay1-Level6</v>
      </c>
      <c r="C74" t="str">
        <f t="shared" si="1"/>
        <v>WH-Z1-AisleD-Bay1-Level6</v>
      </c>
      <c r="D74" t="s">
        <v>1138</v>
      </c>
    </row>
    <row r="75" spans="1:4">
      <c r="A75" t="s">
        <v>1137</v>
      </c>
      <c r="B75" t="str">
        <f>IF('02_Warehouse_Locations'!A74="","",'02_Warehouse_Locations'!A74)</f>
        <v>WH-Z1-AisleD-Bay1-Level7</v>
      </c>
      <c r="C75" t="str">
        <f t="shared" si="1"/>
        <v>WH-Z1-AisleD-Bay1-Level7</v>
      </c>
      <c r="D75" t="s">
        <v>1138</v>
      </c>
    </row>
    <row r="76" spans="1:4">
      <c r="A76" t="s">
        <v>1137</v>
      </c>
      <c r="B76" t="str">
        <f>IF('02_Warehouse_Locations'!A75="","",'02_Warehouse_Locations'!A75)</f>
        <v>WH-Z1-AisleD-Bay1-Level8</v>
      </c>
      <c r="C76" t="str">
        <f t="shared" si="1"/>
        <v>WH-Z1-AisleD-Bay1-Level8</v>
      </c>
      <c r="D76" t="s">
        <v>1138</v>
      </c>
    </row>
    <row r="77" spans="1:4">
      <c r="A77" t="s">
        <v>1137</v>
      </c>
      <c r="B77" t="str">
        <f>IF('02_Warehouse_Locations'!A76="","",'02_Warehouse_Locations'!A76)</f>
        <v>WH-Z1-AisleD-Bay1-Level9</v>
      </c>
      <c r="C77" t="str">
        <f t="shared" si="1"/>
        <v>WH-Z1-AisleD-Bay1-Level9</v>
      </c>
      <c r="D77" t="s">
        <v>1138</v>
      </c>
    </row>
    <row r="78" spans="1:4">
      <c r="A78" t="s">
        <v>1137</v>
      </c>
      <c r="B78" t="str">
        <f>IF('02_Warehouse_Locations'!A77="","",'02_Warehouse_Locations'!A77)</f>
        <v>WH-Z1-AisleD-Bay1-Level10</v>
      </c>
      <c r="C78" t="str">
        <f t="shared" si="1"/>
        <v>WH-Z1-AisleD-Bay1-Level10</v>
      </c>
      <c r="D78" t="s">
        <v>1138</v>
      </c>
    </row>
    <row r="79" spans="1:4">
      <c r="A79" t="s">
        <v>1137</v>
      </c>
      <c r="B79" t="str">
        <f>IF('02_Warehouse_Locations'!A78="","",'02_Warehouse_Locations'!A78)</f>
        <v>WH-Z1-AisleD-Bay1-Level11</v>
      </c>
      <c r="C79" t="str">
        <f t="shared" si="1"/>
        <v>WH-Z1-AisleD-Bay1-Level11</v>
      </c>
      <c r="D79" t="s">
        <v>1138</v>
      </c>
    </row>
    <row r="80" spans="1:4">
      <c r="A80" t="s">
        <v>1137</v>
      </c>
      <c r="B80" t="str">
        <f>IF('02_Warehouse_Locations'!A79="","",'02_Warehouse_Locations'!A79)</f>
        <v>WH-Z1-AisleD-Bay1-Level12</v>
      </c>
      <c r="C80" t="str">
        <f t="shared" si="1"/>
        <v>WH-Z1-AisleD-Bay1-Level12</v>
      </c>
      <c r="D80" t="s">
        <v>1138</v>
      </c>
    </row>
    <row r="81" spans="1:4">
      <c r="A81" t="s">
        <v>1137</v>
      </c>
      <c r="B81" t="str">
        <f>IF('02_Warehouse_Locations'!A80="","",'02_Warehouse_Locations'!A80)</f>
        <v>WH-Z1-AisleD-Bay1-Level13</v>
      </c>
      <c r="C81" t="str">
        <f t="shared" si="1"/>
        <v>WH-Z1-AisleD-Bay1-Level13</v>
      </c>
      <c r="D81" t="s">
        <v>1138</v>
      </c>
    </row>
    <row r="82" spans="1:4">
      <c r="A82" t="s">
        <v>1137</v>
      </c>
      <c r="B82" t="str">
        <f>IF('02_Warehouse_Locations'!A81="","",'02_Warehouse_Locations'!A81)</f>
        <v>WH-Z1-AisleD-Bay1-Level14</v>
      </c>
      <c r="C82" t="str">
        <f t="shared" si="1"/>
        <v>WH-Z1-AisleD-Bay1-Level14</v>
      </c>
      <c r="D82" t="s">
        <v>1138</v>
      </c>
    </row>
    <row r="83" spans="1:4">
      <c r="A83" t="s">
        <v>1137</v>
      </c>
      <c r="B83" t="str">
        <f>IF('02_Warehouse_Locations'!A82="","",'02_Warehouse_Locations'!A82)</f>
        <v>WH-Z1-AisleD-Bay1-Level15</v>
      </c>
      <c r="C83" t="str">
        <f t="shared" si="1"/>
        <v>WH-Z1-AisleD-Bay1-Level15</v>
      </c>
      <c r="D83" t="s">
        <v>1138</v>
      </c>
    </row>
    <row r="84" spans="1:4">
      <c r="A84" t="s">
        <v>1137</v>
      </c>
      <c r="B84" t="str">
        <f>IF('02_Warehouse_Locations'!A83="","",'02_Warehouse_Locations'!A83)</f>
        <v>WH-Z1-AisleD-Bay1-Level16</v>
      </c>
      <c r="C84" t="str">
        <f t="shared" si="1"/>
        <v>WH-Z1-AisleD-Bay1-Level16</v>
      </c>
      <c r="D84" t="s">
        <v>1138</v>
      </c>
    </row>
    <row r="85" spans="1:4">
      <c r="A85" t="s">
        <v>1137</v>
      </c>
      <c r="B85" t="str">
        <f>IF('02_Warehouse_Locations'!A84="","",'02_Warehouse_Locations'!A84)</f>
        <v>WH-Z1-AisleD-Bay1-Level17</v>
      </c>
      <c r="C85" t="str">
        <f t="shared" si="1"/>
        <v>WH-Z1-AisleD-Bay1-Level17</v>
      </c>
      <c r="D85" t="s">
        <v>1138</v>
      </c>
    </row>
    <row r="86" spans="1:4">
      <c r="A86" t="s">
        <v>1137</v>
      </c>
      <c r="B86" t="str">
        <f>IF('02_Warehouse_Locations'!A85="","",'02_Warehouse_Locations'!A85)</f>
        <v>WH-Z1-AisleD-Bay1-Level18</v>
      </c>
      <c r="C86" t="str">
        <f t="shared" si="1"/>
        <v>WH-Z1-AisleD-Bay1-Level18</v>
      </c>
      <c r="D86" t="s">
        <v>1138</v>
      </c>
    </row>
    <row r="87" spans="1:4">
      <c r="A87" t="s">
        <v>1137</v>
      </c>
      <c r="B87" t="str">
        <f>IF('02_Warehouse_Locations'!A86="","",'02_Warehouse_Locations'!A86)</f>
        <v>WH-Z1-AisleD-Bay1-Level19</v>
      </c>
      <c r="C87" t="str">
        <f t="shared" si="1"/>
        <v>WH-Z1-AisleD-Bay1-Level19</v>
      </c>
      <c r="D87" t="s">
        <v>1138</v>
      </c>
    </row>
    <row r="88" spans="1:4">
      <c r="A88" t="s">
        <v>1137</v>
      </c>
      <c r="B88" t="str">
        <f>IF('02_Warehouse_Locations'!A87="","",'02_Warehouse_Locations'!A87)</f>
        <v>WH-Z1-AisleD-Bay1-Level20</v>
      </c>
      <c r="C88" t="str">
        <f t="shared" si="1"/>
        <v>WH-Z1-AisleD-Bay1-Level20</v>
      </c>
      <c r="D88" t="s">
        <v>1138</v>
      </c>
    </row>
    <row r="89" spans="1:4">
      <c r="A89" t="s">
        <v>1137</v>
      </c>
      <c r="B89" t="str">
        <f>IF('02_Warehouse_Locations'!A88="","",'02_Warehouse_Locations'!A88)</f>
        <v>WH-Z1-AisleE-Bay1-Level1</v>
      </c>
      <c r="C89" t="str">
        <f t="shared" si="1"/>
        <v>WH-Z1-AisleE-Bay1-Level1</v>
      </c>
      <c r="D89" t="s">
        <v>1138</v>
      </c>
    </row>
    <row r="90" spans="1:4">
      <c r="A90" t="s">
        <v>1137</v>
      </c>
      <c r="B90" t="str">
        <f>IF('02_Warehouse_Locations'!A89="","",'02_Warehouse_Locations'!A89)</f>
        <v>WH-Z1-AisleE-Bay1-Level2</v>
      </c>
      <c r="C90" t="str">
        <f t="shared" si="1"/>
        <v>WH-Z1-AisleE-Bay1-Level2</v>
      </c>
      <c r="D90" t="s">
        <v>1138</v>
      </c>
    </row>
    <row r="91" spans="1:4">
      <c r="A91" t="s">
        <v>1137</v>
      </c>
      <c r="B91" t="str">
        <f>IF('02_Warehouse_Locations'!A90="","",'02_Warehouse_Locations'!A90)</f>
        <v>WH-Z1-AisleE-Bay1-Level3</v>
      </c>
      <c r="C91" t="str">
        <f t="shared" si="1"/>
        <v>WH-Z1-AisleE-Bay1-Level3</v>
      </c>
      <c r="D91" t="s">
        <v>1138</v>
      </c>
    </row>
    <row r="92" spans="1:4">
      <c r="A92" t="s">
        <v>1137</v>
      </c>
      <c r="B92" t="str">
        <f>IF('02_Warehouse_Locations'!A91="","",'02_Warehouse_Locations'!A91)</f>
        <v>WH-Z1-AisleE-Bay1-Level4</v>
      </c>
      <c r="C92" t="str">
        <f t="shared" si="1"/>
        <v>WH-Z1-AisleE-Bay1-Level4</v>
      </c>
      <c r="D92" t="s">
        <v>1138</v>
      </c>
    </row>
    <row r="93" spans="1:4">
      <c r="A93" t="s">
        <v>1137</v>
      </c>
      <c r="B93" t="str">
        <f>IF('02_Warehouse_Locations'!A92="","",'02_Warehouse_Locations'!A92)</f>
        <v>WH-Z1-AisleE-Bay1-Level5</v>
      </c>
      <c r="C93" t="str">
        <f t="shared" si="1"/>
        <v>WH-Z1-AisleE-Bay1-Level5</v>
      </c>
      <c r="D93" t="s">
        <v>1138</v>
      </c>
    </row>
    <row r="94" spans="1:4">
      <c r="A94" t="s">
        <v>1137</v>
      </c>
      <c r="B94" t="str">
        <f>IF('02_Warehouse_Locations'!A93="","",'02_Warehouse_Locations'!A93)</f>
        <v>WH-Z1-AisleE-Bay1-Level6</v>
      </c>
      <c r="C94" t="str">
        <f t="shared" si="1"/>
        <v>WH-Z1-AisleE-Bay1-Level6</v>
      </c>
      <c r="D94" t="s">
        <v>1138</v>
      </c>
    </row>
    <row r="95" spans="1:4">
      <c r="A95" t="s">
        <v>1137</v>
      </c>
      <c r="B95" t="str">
        <f>IF('02_Warehouse_Locations'!A94="","",'02_Warehouse_Locations'!A94)</f>
        <v>WH-Z1-AisleE-Bay1-Level7</v>
      </c>
      <c r="C95" t="str">
        <f t="shared" si="1"/>
        <v>WH-Z1-AisleE-Bay1-Level7</v>
      </c>
      <c r="D95" t="s">
        <v>1138</v>
      </c>
    </row>
    <row r="96" spans="1:4">
      <c r="A96" t="s">
        <v>1137</v>
      </c>
      <c r="B96" t="str">
        <f>IF('02_Warehouse_Locations'!A95="","",'02_Warehouse_Locations'!A95)</f>
        <v>WH-Z1-AisleE-Bay1-Level8</v>
      </c>
      <c r="C96" t="str">
        <f t="shared" si="1"/>
        <v>WH-Z1-AisleE-Bay1-Level8</v>
      </c>
      <c r="D96" t="s">
        <v>1138</v>
      </c>
    </row>
    <row r="97" spans="1:4">
      <c r="A97" t="s">
        <v>1137</v>
      </c>
      <c r="B97" t="str">
        <f>IF('02_Warehouse_Locations'!A96="","",'02_Warehouse_Locations'!A96)</f>
        <v>WH-Z1-AisleE-Bay1-Level9</v>
      </c>
      <c r="C97" t="str">
        <f t="shared" si="1"/>
        <v>WH-Z1-AisleE-Bay1-Level9</v>
      </c>
      <c r="D97" t="s">
        <v>1138</v>
      </c>
    </row>
    <row r="98" spans="1:4">
      <c r="A98" t="s">
        <v>1137</v>
      </c>
      <c r="B98" t="str">
        <f>IF('02_Warehouse_Locations'!A97="","",'02_Warehouse_Locations'!A97)</f>
        <v>WH-Z1-AisleE-Bay1-Level10</v>
      </c>
      <c r="C98" t="str">
        <f t="shared" si="1"/>
        <v>WH-Z1-AisleE-Bay1-Level10</v>
      </c>
      <c r="D98" t="s">
        <v>1138</v>
      </c>
    </row>
    <row r="99" spans="1:4">
      <c r="A99" t="s">
        <v>1137</v>
      </c>
      <c r="B99" t="str">
        <f>IF('02_Warehouse_Locations'!A98="","",'02_Warehouse_Locations'!A98)</f>
        <v>WH-Z1-AisleE-Bay1-Level11</v>
      </c>
      <c r="C99" t="str">
        <f t="shared" si="1"/>
        <v>WH-Z1-AisleE-Bay1-Level11</v>
      </c>
      <c r="D99" t="s">
        <v>1138</v>
      </c>
    </row>
    <row r="100" spans="1:4">
      <c r="A100" t="s">
        <v>1137</v>
      </c>
      <c r="B100" t="str">
        <f>IF('02_Warehouse_Locations'!A99="","",'02_Warehouse_Locations'!A99)</f>
        <v>WH-Z1-AisleE-Bay1-Level12</v>
      </c>
      <c r="C100" t="str">
        <f t="shared" si="1"/>
        <v>WH-Z1-AisleE-Bay1-Level12</v>
      </c>
      <c r="D100" t="s">
        <v>1138</v>
      </c>
    </row>
    <row r="101" spans="1:4">
      <c r="A101" t="s">
        <v>1137</v>
      </c>
      <c r="B101" t="str">
        <f>IF('02_Warehouse_Locations'!A100="","",'02_Warehouse_Locations'!A100)</f>
        <v>WH-Z1-AisleE-Bay1-Level13</v>
      </c>
      <c r="C101" t="str">
        <f t="shared" si="1"/>
        <v>WH-Z1-AisleE-Bay1-Level13</v>
      </c>
      <c r="D101" t="s">
        <v>1138</v>
      </c>
    </row>
    <row r="102" spans="1:4">
      <c r="A102" t="s">
        <v>1137</v>
      </c>
      <c r="B102" t="str">
        <f>IF('02_Warehouse_Locations'!A101="","",'02_Warehouse_Locations'!A101)</f>
        <v>WH-Z1-AisleE-Bay1-Level14</v>
      </c>
      <c r="C102" t="str">
        <f t="shared" si="1"/>
        <v>WH-Z1-AisleE-Bay1-Level14</v>
      </c>
      <c r="D102" t="s">
        <v>1138</v>
      </c>
    </row>
    <row r="103" spans="1:4">
      <c r="A103" t="s">
        <v>1137</v>
      </c>
      <c r="B103" t="str">
        <f>IF('02_Warehouse_Locations'!A102="","",'02_Warehouse_Locations'!A102)</f>
        <v>WH-Z1-AisleE-Bay1-Level15</v>
      </c>
      <c r="C103" t="str">
        <f t="shared" si="1"/>
        <v>WH-Z1-AisleE-Bay1-Level15</v>
      </c>
      <c r="D103" t="s">
        <v>1138</v>
      </c>
    </row>
    <row r="104" spans="1:4">
      <c r="A104" t="s">
        <v>1137</v>
      </c>
      <c r="B104" t="str">
        <f>IF('02_Warehouse_Locations'!A103="","",'02_Warehouse_Locations'!A103)</f>
        <v>WH-Z1-AisleE-Bay1-Level16</v>
      </c>
      <c r="C104" t="str">
        <f t="shared" si="1"/>
        <v>WH-Z1-AisleE-Bay1-Level16</v>
      </c>
      <c r="D104" t="s">
        <v>1138</v>
      </c>
    </row>
    <row r="105" spans="1:4">
      <c r="A105" t="s">
        <v>1137</v>
      </c>
      <c r="B105" t="str">
        <f>IF('02_Warehouse_Locations'!A104="","",'02_Warehouse_Locations'!A104)</f>
        <v>WH-Z1-AisleE-Bay1-Level17</v>
      </c>
      <c r="C105" t="str">
        <f t="shared" si="1"/>
        <v>WH-Z1-AisleE-Bay1-Level17</v>
      </c>
      <c r="D105" t="s">
        <v>1138</v>
      </c>
    </row>
    <row r="106" spans="1:4">
      <c r="A106" t="s">
        <v>1137</v>
      </c>
      <c r="B106" t="str">
        <f>IF('02_Warehouse_Locations'!A105="","",'02_Warehouse_Locations'!A105)</f>
        <v>WH-Z1-AisleE-Bay1-Level18</v>
      </c>
      <c r="C106" t="str">
        <f t="shared" si="1"/>
        <v>WH-Z1-AisleE-Bay1-Level18</v>
      </c>
      <c r="D106" t="s">
        <v>1138</v>
      </c>
    </row>
    <row r="107" spans="1:4">
      <c r="A107" t="s">
        <v>1137</v>
      </c>
      <c r="B107" t="str">
        <f>IF('02_Warehouse_Locations'!A106="","",'02_Warehouse_Locations'!A106)</f>
        <v>WH-Z1-AisleE-Bay1-Level19</v>
      </c>
      <c r="C107" t="str">
        <f t="shared" si="1"/>
        <v>WH-Z1-AisleE-Bay1-Level19</v>
      </c>
      <c r="D107" t="s">
        <v>1138</v>
      </c>
    </row>
    <row r="108" spans="1:4">
      <c r="A108" t="s">
        <v>1137</v>
      </c>
      <c r="B108" t="str">
        <f>IF('02_Warehouse_Locations'!A107="","",'02_Warehouse_Locations'!A107)</f>
        <v>WH-Z1-AisleE-Bay1-Level20</v>
      </c>
      <c r="C108" t="str">
        <f t="shared" si="1"/>
        <v>WH-Z1-AisleE-Bay1-Level20</v>
      </c>
      <c r="D108" t="s">
        <v>1138</v>
      </c>
    </row>
    <row r="109" spans="1:4">
      <c r="A109" t="s">
        <v>1137</v>
      </c>
      <c r="B109" t="str">
        <f>IF('02_Warehouse_Locations'!A108="","",'02_Warehouse_Locations'!A108)</f>
        <v>WH-Z1-AisleF-Bay1-Level1</v>
      </c>
      <c r="C109" t="str">
        <f t="shared" si="1"/>
        <v>WH-Z1-AisleF-Bay1-Level1</v>
      </c>
      <c r="D109" t="s">
        <v>1138</v>
      </c>
    </row>
    <row r="110" spans="1:4">
      <c r="A110" t="s">
        <v>1137</v>
      </c>
      <c r="B110" t="str">
        <f>IF('02_Warehouse_Locations'!A109="","",'02_Warehouse_Locations'!A109)</f>
        <v>WH-Z1-AisleF-Bay1-Level2</v>
      </c>
      <c r="C110" t="str">
        <f t="shared" si="1"/>
        <v>WH-Z1-AisleF-Bay1-Level2</v>
      </c>
      <c r="D110" t="s">
        <v>1138</v>
      </c>
    </row>
    <row r="111" spans="1:4">
      <c r="A111" t="s">
        <v>1137</v>
      </c>
      <c r="B111" t="str">
        <f>IF('02_Warehouse_Locations'!A110="","",'02_Warehouse_Locations'!A110)</f>
        <v>WH-Z1-AisleF-Bay1-Level3</v>
      </c>
      <c r="C111" t="str">
        <f t="shared" si="1"/>
        <v>WH-Z1-AisleF-Bay1-Level3</v>
      </c>
      <c r="D111" t="s">
        <v>1138</v>
      </c>
    </row>
    <row r="112" spans="1:4">
      <c r="A112" t="s">
        <v>1137</v>
      </c>
      <c r="B112" t="str">
        <f>IF('02_Warehouse_Locations'!A111="","",'02_Warehouse_Locations'!A111)</f>
        <v>WH-Z1-AisleF-Bay1-Level4</v>
      </c>
      <c r="C112" t="str">
        <f t="shared" si="1"/>
        <v>WH-Z1-AisleF-Bay1-Level4</v>
      </c>
      <c r="D112" t="s">
        <v>1138</v>
      </c>
    </row>
    <row r="113" spans="1:4">
      <c r="A113" t="s">
        <v>1137</v>
      </c>
      <c r="B113" t="str">
        <f>IF('02_Warehouse_Locations'!A112="","",'02_Warehouse_Locations'!A112)</f>
        <v>WH-Z1-AisleF-Bay1-Level5</v>
      </c>
      <c r="C113" t="str">
        <f t="shared" si="1"/>
        <v>WH-Z1-AisleF-Bay1-Level5</v>
      </c>
      <c r="D113" t="s">
        <v>1138</v>
      </c>
    </row>
    <row r="114" spans="1:4">
      <c r="A114" t="s">
        <v>1137</v>
      </c>
      <c r="B114" t="str">
        <f>IF('02_Warehouse_Locations'!A113="","",'02_Warehouse_Locations'!A113)</f>
        <v>WH-Z1-AisleF-Bay1-Level6</v>
      </c>
      <c r="C114" t="str">
        <f t="shared" si="1"/>
        <v>WH-Z1-AisleF-Bay1-Level6</v>
      </c>
      <c r="D114" t="s">
        <v>1138</v>
      </c>
    </row>
    <row r="115" spans="1:4">
      <c r="A115" t="s">
        <v>1137</v>
      </c>
      <c r="B115" t="str">
        <f>IF('02_Warehouse_Locations'!A114="","",'02_Warehouse_Locations'!A114)</f>
        <v>WH-Z1-AisleF-Bay1-Level7</v>
      </c>
      <c r="C115" t="str">
        <f t="shared" si="1"/>
        <v>WH-Z1-AisleF-Bay1-Level7</v>
      </c>
      <c r="D115" t="s">
        <v>1138</v>
      </c>
    </row>
    <row r="116" spans="1:4">
      <c r="A116" t="s">
        <v>1137</v>
      </c>
      <c r="B116" t="str">
        <f>IF('02_Warehouse_Locations'!A115="","",'02_Warehouse_Locations'!A115)</f>
        <v>WH-Z1-AisleF-Bay1-Level8</v>
      </c>
      <c r="C116" t="str">
        <f t="shared" si="1"/>
        <v>WH-Z1-AisleF-Bay1-Level8</v>
      </c>
      <c r="D116" t="s">
        <v>1138</v>
      </c>
    </row>
    <row r="117" spans="1:4">
      <c r="A117" t="s">
        <v>1137</v>
      </c>
      <c r="B117" t="str">
        <f>IF('02_Warehouse_Locations'!A116="","",'02_Warehouse_Locations'!A116)</f>
        <v>WH-Z1-AisleF-Bay1-Level9</v>
      </c>
      <c r="C117" t="str">
        <f t="shared" si="1"/>
        <v>WH-Z1-AisleF-Bay1-Level9</v>
      </c>
      <c r="D117" t="s">
        <v>1138</v>
      </c>
    </row>
    <row r="118" spans="1:4">
      <c r="A118" t="s">
        <v>1137</v>
      </c>
      <c r="B118" t="str">
        <f>IF('02_Warehouse_Locations'!A117="","",'02_Warehouse_Locations'!A117)</f>
        <v>WH-Z1-AisleF-Bay1-Level10</v>
      </c>
      <c r="C118" t="str">
        <f t="shared" si="1"/>
        <v>WH-Z1-AisleF-Bay1-Level10</v>
      </c>
      <c r="D118" t="s">
        <v>1138</v>
      </c>
    </row>
    <row r="119" spans="1:4">
      <c r="A119" t="s">
        <v>1137</v>
      </c>
      <c r="B119" t="str">
        <f>IF('02_Warehouse_Locations'!A118="","",'02_Warehouse_Locations'!A118)</f>
        <v>WH-Z1-AisleF-Bay1-Level11</v>
      </c>
      <c r="C119" t="str">
        <f t="shared" si="1"/>
        <v>WH-Z1-AisleF-Bay1-Level11</v>
      </c>
      <c r="D119" t="s">
        <v>1138</v>
      </c>
    </row>
    <row r="120" spans="1:4">
      <c r="A120" t="s">
        <v>1137</v>
      </c>
      <c r="B120" t="str">
        <f>IF('02_Warehouse_Locations'!A119="","",'02_Warehouse_Locations'!A119)</f>
        <v>WH-Z1-AisleF-Bay1-Level12</v>
      </c>
      <c r="C120" t="str">
        <f t="shared" si="1"/>
        <v>WH-Z1-AisleF-Bay1-Level12</v>
      </c>
      <c r="D120" t="s">
        <v>1138</v>
      </c>
    </row>
    <row r="121" spans="1:4">
      <c r="A121" t="s">
        <v>1137</v>
      </c>
      <c r="B121" t="str">
        <f>IF('02_Warehouse_Locations'!A120="","",'02_Warehouse_Locations'!A120)</f>
        <v>WH-Z1-AisleF-Bay1-Level13</v>
      </c>
      <c r="C121" t="str">
        <f t="shared" si="1"/>
        <v>WH-Z1-AisleF-Bay1-Level13</v>
      </c>
      <c r="D121" t="s">
        <v>1138</v>
      </c>
    </row>
    <row r="122" spans="1:4">
      <c r="A122" t="s">
        <v>1137</v>
      </c>
      <c r="B122" t="str">
        <f>IF('02_Warehouse_Locations'!A121="","",'02_Warehouse_Locations'!A121)</f>
        <v>WH-Z1-AisleF-Bay1-Level14</v>
      </c>
      <c r="C122" t="str">
        <f t="shared" si="1"/>
        <v>WH-Z1-AisleF-Bay1-Level14</v>
      </c>
      <c r="D122" t="s">
        <v>1138</v>
      </c>
    </row>
    <row r="123" spans="1:4">
      <c r="A123" t="s">
        <v>1137</v>
      </c>
      <c r="B123" t="str">
        <f>IF('02_Warehouse_Locations'!A122="","",'02_Warehouse_Locations'!A122)</f>
        <v>WH-Z1-AisleF-Bay1-Level15</v>
      </c>
      <c r="C123" t="str">
        <f t="shared" si="1"/>
        <v>WH-Z1-AisleF-Bay1-Level15</v>
      </c>
      <c r="D123" t="s">
        <v>1138</v>
      </c>
    </row>
    <row r="124" spans="1:4">
      <c r="A124" t="s">
        <v>1137</v>
      </c>
      <c r="B124" t="str">
        <f>IF('02_Warehouse_Locations'!A123="","",'02_Warehouse_Locations'!A123)</f>
        <v>WH-Z1-AisleF-Bay1-Level16</v>
      </c>
      <c r="C124" t="str">
        <f t="shared" si="1"/>
        <v>WH-Z1-AisleF-Bay1-Level16</v>
      </c>
      <c r="D124" t="s">
        <v>1138</v>
      </c>
    </row>
    <row r="125" spans="1:4">
      <c r="A125" t="s">
        <v>1137</v>
      </c>
      <c r="B125" t="str">
        <f>IF('02_Warehouse_Locations'!A124="","",'02_Warehouse_Locations'!A124)</f>
        <v>WH-Z1-AisleF-Bay1-Level17</v>
      </c>
      <c r="C125" t="str">
        <f t="shared" si="1"/>
        <v>WH-Z1-AisleF-Bay1-Level17</v>
      </c>
      <c r="D125" t="s">
        <v>1138</v>
      </c>
    </row>
    <row r="126" spans="1:4">
      <c r="A126" t="s">
        <v>1137</v>
      </c>
      <c r="B126" t="str">
        <f>IF('02_Warehouse_Locations'!A125="","",'02_Warehouse_Locations'!A125)</f>
        <v>WH-Z1-AisleF-Bay1-Level18</v>
      </c>
      <c r="C126" t="str">
        <f t="shared" si="1"/>
        <v>WH-Z1-AisleF-Bay1-Level18</v>
      </c>
      <c r="D126" t="s">
        <v>1138</v>
      </c>
    </row>
    <row r="127" spans="1:4">
      <c r="A127" t="s">
        <v>1137</v>
      </c>
      <c r="B127" t="str">
        <f>IF('02_Warehouse_Locations'!A126="","",'02_Warehouse_Locations'!A126)</f>
        <v>WH-Z1-AisleF-Bay1-Level19</v>
      </c>
      <c r="C127" t="str">
        <f t="shared" si="1"/>
        <v>WH-Z1-AisleF-Bay1-Level19</v>
      </c>
      <c r="D127" t="s">
        <v>1138</v>
      </c>
    </row>
    <row r="128" spans="1:4">
      <c r="A128" t="s">
        <v>1137</v>
      </c>
      <c r="B128" t="str">
        <f>IF('02_Warehouse_Locations'!A127="","",'02_Warehouse_Locations'!A127)</f>
        <v>WH-Z1-AisleF-Bay1-Level20</v>
      </c>
      <c r="C128" t="str">
        <f t="shared" si="1"/>
        <v>WH-Z1-AisleF-Bay1-Level20</v>
      </c>
      <c r="D128" t="s">
        <v>1138</v>
      </c>
    </row>
    <row r="129" spans="1:4">
      <c r="A129" t="s">
        <v>1137</v>
      </c>
      <c r="B129" t="str">
        <f>IF('02_Warehouse_Locations'!A128="","",'02_Warehouse_Locations'!A128)</f>
        <v>WH-DISPOSAL</v>
      </c>
      <c r="C129" t="str">
        <f t="shared" si="1"/>
        <v>WH-DISPOSAL</v>
      </c>
      <c r="D129" t="s">
        <v>1138</v>
      </c>
    </row>
    <row r="130" spans="1:4">
      <c r="A130" t="s">
        <v>1137</v>
      </c>
      <c r="B130" t="str">
        <f>IF('02_Warehouse_Locations'!A129="","",'02_Warehouse_Locations'!A129)</f>
        <v>WH-OUTBOUND</v>
      </c>
      <c r="C130" t="str">
        <f t="shared" si="1"/>
        <v>WH-OUTBOUND</v>
      </c>
      <c r="D130" t="s">
        <v>1138</v>
      </c>
    </row>
    <row r="131" spans="1:4">
      <c r="A131" t="s">
        <v>1137</v>
      </c>
      <c r="B131" t="str">
        <f>IF('02_Warehouse_Locations'!A130="","",'02_Warehouse_Locations'!A130)</f>
        <v>CHRIS_OVERFLOW_A_ZONE3</v>
      </c>
      <c r="C131" t="str">
        <f t="shared" ref="C131:C194" si="2">IF(B131="","",B131)</f>
        <v>CHRIS_OVERFLOW_A_ZONE3</v>
      </c>
      <c r="D131" t="s">
        <v>1138</v>
      </c>
    </row>
    <row r="132" spans="1:4">
      <c r="A132" t="s">
        <v>1137</v>
      </c>
      <c r="B132" t="str">
        <f>IF('02_Warehouse_Locations'!A131="","",'02_Warehouse_Locations'!A131)</f>
        <v>WH-Z1-AisleO-Bay3-Level2</v>
      </c>
      <c r="C132" t="str">
        <f t="shared" si="2"/>
        <v>WH-Z1-AisleO-Bay3-Level2</v>
      </c>
      <c r="D132" t="s">
        <v>1138</v>
      </c>
    </row>
    <row r="133" spans="1:4">
      <c r="A133" t="s">
        <v>1137</v>
      </c>
      <c r="B133" t="str">
        <f>IF('02_Warehouse_Locations'!A132="","",'02_Warehouse_Locations'!A132)</f>
        <v>WH-Z1-AisleO-Bay10-Level1</v>
      </c>
      <c r="C133" t="str">
        <f t="shared" si="2"/>
        <v>WH-Z1-AisleO-Bay10-Level1</v>
      </c>
      <c r="D133" t="s">
        <v>1138</v>
      </c>
    </row>
    <row r="134" spans="1:4">
      <c r="A134" t="s">
        <v>1137</v>
      </c>
      <c r="B134" t="e">
        <f>IF('02_Warehouse_Locations'!#REF!="","",'02_Warehouse_Locations'!#REF!)</f>
        <v>#REF!</v>
      </c>
      <c r="C134" t="e">
        <f t="shared" si="2"/>
        <v>#REF!</v>
      </c>
      <c r="D134" t="s">
        <v>1138</v>
      </c>
    </row>
    <row r="135" spans="1:4">
      <c r="A135" t="s">
        <v>1137</v>
      </c>
      <c r="B135" t="str">
        <f>IF('02_Warehouse_Locations'!A134="","",'02_Warehouse_Locations'!A134)</f>
        <v/>
      </c>
      <c r="C135" t="str">
        <f t="shared" si="2"/>
        <v/>
      </c>
      <c r="D135" t="s">
        <v>1138</v>
      </c>
    </row>
    <row r="136" spans="1:4">
      <c r="A136" t="s">
        <v>1137</v>
      </c>
      <c r="B136" t="str">
        <f>IF('02_Warehouse_Locations'!A135="","",'02_Warehouse_Locations'!A135)</f>
        <v/>
      </c>
      <c r="C136" t="str">
        <f t="shared" si="2"/>
        <v/>
      </c>
      <c r="D136" t="s">
        <v>1138</v>
      </c>
    </row>
    <row r="137" spans="1:4">
      <c r="A137" t="s">
        <v>1137</v>
      </c>
      <c r="B137" t="str">
        <f>IF('02_Warehouse_Locations'!A136="","",'02_Warehouse_Locations'!A136)</f>
        <v/>
      </c>
      <c r="C137" t="str">
        <f t="shared" si="2"/>
        <v/>
      </c>
      <c r="D137" t="s">
        <v>1138</v>
      </c>
    </row>
    <row r="138" spans="1:4">
      <c r="A138" t="s">
        <v>1137</v>
      </c>
      <c r="B138" t="str">
        <f>IF('02_Warehouse_Locations'!A137="","",'02_Warehouse_Locations'!A137)</f>
        <v/>
      </c>
      <c r="C138" t="str">
        <f t="shared" si="2"/>
        <v/>
      </c>
      <c r="D138" t="s">
        <v>1138</v>
      </c>
    </row>
    <row r="139" spans="1:4">
      <c r="A139" t="s">
        <v>1137</v>
      </c>
      <c r="B139" t="str">
        <f>IF('02_Warehouse_Locations'!A138="","",'02_Warehouse_Locations'!A138)</f>
        <v/>
      </c>
      <c r="C139" t="str">
        <f t="shared" si="2"/>
        <v/>
      </c>
      <c r="D139" t="s">
        <v>1138</v>
      </c>
    </row>
    <row r="140" spans="1:4">
      <c r="A140" t="s">
        <v>1137</v>
      </c>
      <c r="B140" t="str">
        <f>IF('02_Warehouse_Locations'!A139="","",'02_Warehouse_Locations'!A139)</f>
        <v/>
      </c>
      <c r="C140" t="str">
        <f t="shared" si="2"/>
        <v/>
      </c>
      <c r="D140" t="s">
        <v>1138</v>
      </c>
    </row>
    <row r="141" spans="1:4">
      <c r="A141" t="s">
        <v>1137</v>
      </c>
      <c r="B141" t="str">
        <f>IF('02_Warehouse_Locations'!A140="","",'02_Warehouse_Locations'!A140)</f>
        <v/>
      </c>
      <c r="C141" t="str">
        <f t="shared" si="2"/>
        <v/>
      </c>
      <c r="D141" t="s">
        <v>1138</v>
      </c>
    </row>
    <row r="142" spans="1:4">
      <c r="A142" t="s">
        <v>1137</v>
      </c>
      <c r="B142" t="str">
        <f>IF('02_Warehouse_Locations'!A141="","",'02_Warehouse_Locations'!A141)</f>
        <v/>
      </c>
      <c r="C142" t="str">
        <f t="shared" si="2"/>
        <v/>
      </c>
      <c r="D142" t="s">
        <v>1138</v>
      </c>
    </row>
    <row r="143" spans="1:4">
      <c r="A143" t="s">
        <v>1137</v>
      </c>
      <c r="B143" t="str">
        <f>IF('02_Warehouse_Locations'!A142="","",'02_Warehouse_Locations'!A142)</f>
        <v/>
      </c>
      <c r="C143" t="str">
        <f t="shared" si="2"/>
        <v/>
      </c>
      <c r="D143" t="s">
        <v>1138</v>
      </c>
    </row>
    <row r="144" spans="1:4">
      <c r="A144" t="s">
        <v>1137</v>
      </c>
      <c r="B144" t="str">
        <f>IF('02_Warehouse_Locations'!A143="","",'02_Warehouse_Locations'!A143)</f>
        <v/>
      </c>
      <c r="C144" t="str">
        <f t="shared" si="2"/>
        <v/>
      </c>
      <c r="D144" t="s">
        <v>1138</v>
      </c>
    </row>
    <row r="145" spans="1:4">
      <c r="A145" t="s">
        <v>1137</v>
      </c>
      <c r="B145" t="str">
        <f>IF('02_Warehouse_Locations'!A144="","",'02_Warehouse_Locations'!A144)</f>
        <v/>
      </c>
      <c r="C145" t="str">
        <f t="shared" si="2"/>
        <v/>
      </c>
      <c r="D145" t="s">
        <v>1138</v>
      </c>
    </row>
    <row r="146" spans="1:4">
      <c r="A146" t="s">
        <v>1137</v>
      </c>
      <c r="B146" t="str">
        <f>IF('02_Warehouse_Locations'!A145="","",'02_Warehouse_Locations'!A145)</f>
        <v/>
      </c>
      <c r="C146" t="str">
        <f t="shared" si="2"/>
        <v/>
      </c>
      <c r="D146" t="s">
        <v>1138</v>
      </c>
    </row>
    <row r="147" spans="1:4">
      <c r="A147" t="s">
        <v>1137</v>
      </c>
      <c r="B147" t="str">
        <f>IF('02_Warehouse_Locations'!A146="","",'02_Warehouse_Locations'!A146)</f>
        <v/>
      </c>
      <c r="C147" t="str">
        <f t="shared" si="2"/>
        <v/>
      </c>
      <c r="D147" t="s">
        <v>1138</v>
      </c>
    </row>
    <row r="148" spans="1:4">
      <c r="A148" t="s">
        <v>1137</v>
      </c>
      <c r="B148" t="str">
        <f>IF('02_Warehouse_Locations'!A147="","",'02_Warehouse_Locations'!A147)</f>
        <v/>
      </c>
      <c r="C148" t="str">
        <f t="shared" si="2"/>
        <v/>
      </c>
      <c r="D148" t="s">
        <v>1138</v>
      </c>
    </row>
    <row r="149" spans="1:4">
      <c r="A149" t="s">
        <v>1137</v>
      </c>
      <c r="B149" t="str">
        <f>IF('02_Warehouse_Locations'!A148="","",'02_Warehouse_Locations'!A148)</f>
        <v/>
      </c>
      <c r="C149" t="str">
        <f t="shared" si="2"/>
        <v/>
      </c>
      <c r="D149" t="s">
        <v>1138</v>
      </c>
    </row>
    <row r="150" spans="1:4">
      <c r="A150" t="s">
        <v>1137</v>
      </c>
      <c r="B150" t="str">
        <f>IF('02_Warehouse_Locations'!A149="","",'02_Warehouse_Locations'!A149)</f>
        <v/>
      </c>
      <c r="C150" t="str">
        <f t="shared" si="2"/>
        <v/>
      </c>
      <c r="D150" t="s">
        <v>1138</v>
      </c>
    </row>
    <row r="151" spans="1:4">
      <c r="A151" t="s">
        <v>1137</v>
      </c>
      <c r="B151" t="str">
        <f>IF('02_Warehouse_Locations'!A150="","",'02_Warehouse_Locations'!A150)</f>
        <v/>
      </c>
      <c r="C151" t="str">
        <f t="shared" si="2"/>
        <v/>
      </c>
      <c r="D151" t="s">
        <v>1138</v>
      </c>
    </row>
    <row r="152" spans="1:4">
      <c r="A152" t="s">
        <v>1137</v>
      </c>
      <c r="B152" t="str">
        <f>IF('02_Warehouse_Locations'!A151="","",'02_Warehouse_Locations'!A151)</f>
        <v/>
      </c>
      <c r="C152" t="str">
        <f t="shared" si="2"/>
        <v/>
      </c>
      <c r="D152" t="s">
        <v>1138</v>
      </c>
    </row>
    <row r="153" spans="1:4">
      <c r="A153" t="s">
        <v>1137</v>
      </c>
      <c r="B153" t="str">
        <f>IF('02_Warehouse_Locations'!A152="","",'02_Warehouse_Locations'!A152)</f>
        <v/>
      </c>
      <c r="C153" t="str">
        <f t="shared" si="2"/>
        <v/>
      </c>
      <c r="D153" t="s">
        <v>1138</v>
      </c>
    </row>
    <row r="154" spans="1:4">
      <c r="A154" t="s">
        <v>1137</v>
      </c>
      <c r="B154" t="str">
        <f>IF('02_Warehouse_Locations'!A153="","",'02_Warehouse_Locations'!A153)</f>
        <v/>
      </c>
      <c r="C154" t="str">
        <f t="shared" si="2"/>
        <v/>
      </c>
      <c r="D154" t="s">
        <v>1138</v>
      </c>
    </row>
    <row r="155" spans="1:4">
      <c r="A155" t="s">
        <v>1137</v>
      </c>
      <c r="B155" t="str">
        <f>IF('02_Warehouse_Locations'!A154="","",'02_Warehouse_Locations'!A154)</f>
        <v/>
      </c>
      <c r="C155" t="str">
        <f t="shared" si="2"/>
        <v/>
      </c>
      <c r="D155" t="s">
        <v>1138</v>
      </c>
    </row>
    <row r="156" spans="1:4">
      <c r="A156" t="s">
        <v>1137</v>
      </c>
      <c r="B156" t="str">
        <f>IF('02_Warehouse_Locations'!A155="","",'02_Warehouse_Locations'!A155)</f>
        <v/>
      </c>
      <c r="C156" t="str">
        <f t="shared" si="2"/>
        <v/>
      </c>
      <c r="D156" t="s">
        <v>1138</v>
      </c>
    </row>
    <row r="157" spans="1:4">
      <c r="A157" t="s">
        <v>1137</v>
      </c>
      <c r="B157" t="str">
        <f>IF('02_Warehouse_Locations'!A156="","",'02_Warehouse_Locations'!A156)</f>
        <v/>
      </c>
      <c r="C157" t="str">
        <f t="shared" si="2"/>
        <v/>
      </c>
      <c r="D157" t="s">
        <v>1138</v>
      </c>
    </row>
    <row r="158" spans="1:4">
      <c r="A158" t="s">
        <v>1137</v>
      </c>
      <c r="B158" t="str">
        <f>IF('02_Warehouse_Locations'!A157="","",'02_Warehouse_Locations'!A157)</f>
        <v/>
      </c>
      <c r="C158" t="str">
        <f t="shared" si="2"/>
        <v/>
      </c>
      <c r="D158" t="s">
        <v>1138</v>
      </c>
    </row>
    <row r="159" spans="1:4">
      <c r="A159" t="s">
        <v>1137</v>
      </c>
      <c r="B159" t="str">
        <f>IF('02_Warehouse_Locations'!A158="","",'02_Warehouse_Locations'!A158)</f>
        <v/>
      </c>
      <c r="C159" t="str">
        <f t="shared" si="2"/>
        <v/>
      </c>
      <c r="D159" t="s">
        <v>1138</v>
      </c>
    </row>
    <row r="160" spans="1:4">
      <c r="A160" t="s">
        <v>1137</v>
      </c>
      <c r="B160" t="str">
        <f>IF('02_Warehouse_Locations'!A159="","",'02_Warehouse_Locations'!A159)</f>
        <v/>
      </c>
      <c r="C160" t="str">
        <f t="shared" si="2"/>
        <v/>
      </c>
      <c r="D160" t="s">
        <v>1138</v>
      </c>
    </row>
    <row r="161" spans="1:4">
      <c r="A161" t="s">
        <v>1137</v>
      </c>
      <c r="B161" t="str">
        <f>IF('02_Warehouse_Locations'!A160="","",'02_Warehouse_Locations'!A160)</f>
        <v/>
      </c>
      <c r="C161" t="str">
        <f t="shared" si="2"/>
        <v/>
      </c>
      <c r="D161" t="s">
        <v>1138</v>
      </c>
    </row>
    <row r="162" spans="1:4">
      <c r="A162" t="s">
        <v>1137</v>
      </c>
      <c r="B162" t="str">
        <f>IF('02_Warehouse_Locations'!A161="","",'02_Warehouse_Locations'!A161)</f>
        <v/>
      </c>
      <c r="C162" t="str">
        <f t="shared" si="2"/>
        <v/>
      </c>
      <c r="D162" t="s">
        <v>1138</v>
      </c>
    </row>
    <row r="163" spans="1:4">
      <c r="A163" t="s">
        <v>1137</v>
      </c>
      <c r="B163" t="str">
        <f>IF('02_Warehouse_Locations'!A162="","",'02_Warehouse_Locations'!A162)</f>
        <v/>
      </c>
      <c r="C163" t="str">
        <f t="shared" si="2"/>
        <v/>
      </c>
      <c r="D163" t="s">
        <v>1138</v>
      </c>
    </row>
    <row r="164" spans="1:4">
      <c r="A164" t="s">
        <v>1137</v>
      </c>
      <c r="B164" t="str">
        <f>IF('02_Warehouse_Locations'!A163="","",'02_Warehouse_Locations'!A163)</f>
        <v/>
      </c>
      <c r="C164" t="str">
        <f t="shared" si="2"/>
        <v/>
      </c>
      <c r="D164" t="s">
        <v>1138</v>
      </c>
    </row>
    <row r="165" spans="1:4">
      <c r="A165" t="s">
        <v>1137</v>
      </c>
      <c r="B165" t="str">
        <f>IF('02_Warehouse_Locations'!A164="","",'02_Warehouse_Locations'!A164)</f>
        <v/>
      </c>
      <c r="C165" t="str">
        <f t="shared" si="2"/>
        <v/>
      </c>
      <c r="D165" t="s">
        <v>1138</v>
      </c>
    </row>
    <row r="166" spans="1:4">
      <c r="A166" t="s">
        <v>1137</v>
      </c>
      <c r="B166" t="str">
        <f>IF('02_Warehouse_Locations'!A165="","",'02_Warehouse_Locations'!A165)</f>
        <v/>
      </c>
      <c r="C166" t="str">
        <f t="shared" si="2"/>
        <v/>
      </c>
      <c r="D166" t="s">
        <v>1138</v>
      </c>
    </row>
    <row r="167" spans="1:4">
      <c r="A167" t="s">
        <v>1137</v>
      </c>
      <c r="B167" t="str">
        <f>IF('02_Warehouse_Locations'!A166="","",'02_Warehouse_Locations'!A166)</f>
        <v/>
      </c>
      <c r="C167" t="str">
        <f t="shared" si="2"/>
        <v/>
      </c>
      <c r="D167" t="s">
        <v>1138</v>
      </c>
    </row>
    <row r="168" spans="1:4">
      <c r="A168" t="s">
        <v>1137</v>
      </c>
      <c r="B168" t="str">
        <f>IF('02_Warehouse_Locations'!A167="","",'02_Warehouse_Locations'!A167)</f>
        <v/>
      </c>
      <c r="C168" t="str">
        <f t="shared" si="2"/>
        <v/>
      </c>
      <c r="D168" t="s">
        <v>1138</v>
      </c>
    </row>
    <row r="169" spans="1:4">
      <c r="A169" t="s">
        <v>1137</v>
      </c>
      <c r="B169" t="str">
        <f>IF('02_Warehouse_Locations'!A168="","",'02_Warehouse_Locations'!A168)</f>
        <v/>
      </c>
      <c r="C169" t="str">
        <f t="shared" si="2"/>
        <v/>
      </c>
      <c r="D169" t="s">
        <v>1138</v>
      </c>
    </row>
    <row r="170" spans="1:4">
      <c r="A170" t="s">
        <v>1137</v>
      </c>
      <c r="B170" t="str">
        <f>IF('02_Warehouse_Locations'!A169="","",'02_Warehouse_Locations'!A169)</f>
        <v/>
      </c>
      <c r="C170" t="str">
        <f t="shared" si="2"/>
        <v/>
      </c>
      <c r="D170" t="s">
        <v>1138</v>
      </c>
    </row>
    <row r="171" spans="1:4">
      <c r="A171" t="s">
        <v>1137</v>
      </c>
      <c r="B171" t="str">
        <f>IF('02_Warehouse_Locations'!A170="","",'02_Warehouse_Locations'!A170)</f>
        <v/>
      </c>
      <c r="C171" t="str">
        <f t="shared" si="2"/>
        <v/>
      </c>
      <c r="D171" t="s">
        <v>1138</v>
      </c>
    </row>
    <row r="172" spans="1:4">
      <c r="A172" t="s">
        <v>1137</v>
      </c>
      <c r="B172" t="str">
        <f>IF('02_Warehouse_Locations'!A171="","",'02_Warehouse_Locations'!A171)</f>
        <v/>
      </c>
      <c r="C172" t="str">
        <f t="shared" si="2"/>
        <v/>
      </c>
      <c r="D172" t="s">
        <v>1138</v>
      </c>
    </row>
    <row r="173" spans="1:4">
      <c r="A173" t="s">
        <v>1137</v>
      </c>
      <c r="B173" t="str">
        <f>IF('02_Warehouse_Locations'!A172="","",'02_Warehouse_Locations'!A172)</f>
        <v/>
      </c>
      <c r="C173" t="str">
        <f t="shared" si="2"/>
        <v/>
      </c>
      <c r="D173" t="s">
        <v>1138</v>
      </c>
    </row>
    <row r="174" spans="1:4">
      <c r="A174" t="s">
        <v>1137</v>
      </c>
      <c r="B174" t="str">
        <f>IF('02_Warehouse_Locations'!A173="","",'02_Warehouse_Locations'!A173)</f>
        <v/>
      </c>
      <c r="C174" t="str">
        <f t="shared" si="2"/>
        <v/>
      </c>
      <c r="D174" t="s">
        <v>1138</v>
      </c>
    </row>
    <row r="175" spans="1:4">
      <c r="A175" t="s">
        <v>1137</v>
      </c>
      <c r="B175" t="str">
        <f>IF('02_Warehouse_Locations'!A174="","",'02_Warehouse_Locations'!A174)</f>
        <v/>
      </c>
      <c r="C175" t="str">
        <f t="shared" si="2"/>
        <v/>
      </c>
      <c r="D175" t="s">
        <v>1138</v>
      </c>
    </row>
    <row r="176" spans="1:4">
      <c r="A176" t="s">
        <v>1137</v>
      </c>
      <c r="B176" t="str">
        <f>IF('02_Warehouse_Locations'!A175="","",'02_Warehouse_Locations'!A175)</f>
        <v/>
      </c>
      <c r="C176" t="str">
        <f t="shared" si="2"/>
        <v/>
      </c>
      <c r="D176" t="s">
        <v>1138</v>
      </c>
    </row>
    <row r="177" spans="1:4">
      <c r="A177" t="s">
        <v>1137</v>
      </c>
      <c r="B177" t="str">
        <f>IF('02_Warehouse_Locations'!A176="","",'02_Warehouse_Locations'!A176)</f>
        <v/>
      </c>
      <c r="C177" t="str">
        <f t="shared" si="2"/>
        <v/>
      </c>
      <c r="D177" t="s">
        <v>1138</v>
      </c>
    </row>
    <row r="178" spans="1:4">
      <c r="A178" t="s">
        <v>1137</v>
      </c>
      <c r="B178" t="str">
        <f>IF('02_Warehouse_Locations'!A177="","",'02_Warehouse_Locations'!A177)</f>
        <v/>
      </c>
      <c r="C178" t="str">
        <f t="shared" si="2"/>
        <v/>
      </c>
      <c r="D178" t="s">
        <v>1138</v>
      </c>
    </row>
    <row r="179" spans="1:4">
      <c r="A179" t="s">
        <v>1137</v>
      </c>
      <c r="B179" t="str">
        <f>IF('02_Warehouse_Locations'!A178="","",'02_Warehouse_Locations'!A178)</f>
        <v/>
      </c>
      <c r="C179" t="str">
        <f t="shared" si="2"/>
        <v/>
      </c>
      <c r="D179" t="s">
        <v>1138</v>
      </c>
    </row>
    <row r="180" spans="1:4">
      <c r="A180" t="s">
        <v>1137</v>
      </c>
      <c r="B180" t="str">
        <f>IF('02_Warehouse_Locations'!A179="","",'02_Warehouse_Locations'!A179)</f>
        <v/>
      </c>
      <c r="C180" t="str">
        <f t="shared" si="2"/>
        <v/>
      </c>
      <c r="D180" t="s">
        <v>1138</v>
      </c>
    </row>
    <row r="181" spans="1:4">
      <c r="A181" t="s">
        <v>1137</v>
      </c>
      <c r="B181" t="str">
        <f>IF('02_Warehouse_Locations'!A180="","",'02_Warehouse_Locations'!A180)</f>
        <v/>
      </c>
      <c r="C181" t="str">
        <f t="shared" si="2"/>
        <v/>
      </c>
      <c r="D181" t="s">
        <v>1138</v>
      </c>
    </row>
    <row r="182" spans="1:4">
      <c r="A182" t="s">
        <v>1137</v>
      </c>
      <c r="B182" t="str">
        <f>IF('02_Warehouse_Locations'!A181="","",'02_Warehouse_Locations'!A181)</f>
        <v/>
      </c>
      <c r="C182" t="str">
        <f t="shared" si="2"/>
        <v/>
      </c>
      <c r="D182" t="s">
        <v>1138</v>
      </c>
    </row>
    <row r="183" spans="1:4">
      <c r="A183" t="s">
        <v>1137</v>
      </c>
      <c r="B183" t="str">
        <f>IF('02_Warehouse_Locations'!A182="","",'02_Warehouse_Locations'!A182)</f>
        <v/>
      </c>
      <c r="C183" t="str">
        <f t="shared" si="2"/>
        <v/>
      </c>
      <c r="D183" t="s">
        <v>1138</v>
      </c>
    </row>
    <row r="184" spans="1:4">
      <c r="A184" t="s">
        <v>1137</v>
      </c>
      <c r="B184" t="str">
        <f>IF('02_Warehouse_Locations'!A183="","",'02_Warehouse_Locations'!A183)</f>
        <v/>
      </c>
      <c r="C184" t="str">
        <f t="shared" si="2"/>
        <v/>
      </c>
      <c r="D184" t="s">
        <v>1138</v>
      </c>
    </row>
    <row r="185" spans="1:4">
      <c r="A185" t="s">
        <v>1137</v>
      </c>
      <c r="B185" t="str">
        <f>IF('02_Warehouse_Locations'!A184="","",'02_Warehouse_Locations'!A184)</f>
        <v/>
      </c>
      <c r="C185" t="str">
        <f t="shared" si="2"/>
        <v/>
      </c>
      <c r="D185" t="s">
        <v>1138</v>
      </c>
    </row>
    <row r="186" spans="1:4">
      <c r="A186" t="s">
        <v>1137</v>
      </c>
      <c r="B186" t="str">
        <f>IF('02_Warehouse_Locations'!A185="","",'02_Warehouse_Locations'!A185)</f>
        <v/>
      </c>
      <c r="C186" t="str">
        <f t="shared" si="2"/>
        <v/>
      </c>
      <c r="D186" t="s">
        <v>1138</v>
      </c>
    </row>
    <row r="187" spans="1:4">
      <c r="A187" t="s">
        <v>1137</v>
      </c>
      <c r="B187" t="str">
        <f>IF('02_Warehouse_Locations'!A186="","",'02_Warehouse_Locations'!A186)</f>
        <v/>
      </c>
      <c r="C187" t="str">
        <f t="shared" si="2"/>
        <v/>
      </c>
      <c r="D187" t="s">
        <v>1138</v>
      </c>
    </row>
    <row r="188" spans="1:4">
      <c r="A188" t="s">
        <v>1137</v>
      </c>
      <c r="B188" t="str">
        <f>IF('02_Warehouse_Locations'!A187="","",'02_Warehouse_Locations'!A187)</f>
        <v/>
      </c>
      <c r="C188" t="str">
        <f t="shared" si="2"/>
        <v/>
      </c>
      <c r="D188" t="s">
        <v>1138</v>
      </c>
    </row>
    <row r="189" spans="1:4">
      <c r="A189" t="s">
        <v>1137</v>
      </c>
      <c r="B189" t="str">
        <f>IF('02_Warehouse_Locations'!A188="","",'02_Warehouse_Locations'!A188)</f>
        <v/>
      </c>
      <c r="C189" t="str">
        <f t="shared" si="2"/>
        <v/>
      </c>
      <c r="D189" t="s">
        <v>1138</v>
      </c>
    </row>
    <row r="190" spans="1:4">
      <c r="A190" t="s">
        <v>1137</v>
      </c>
      <c r="B190" t="str">
        <f>IF('02_Warehouse_Locations'!A189="","",'02_Warehouse_Locations'!A189)</f>
        <v/>
      </c>
      <c r="C190" t="str">
        <f t="shared" si="2"/>
        <v/>
      </c>
      <c r="D190" t="s">
        <v>1138</v>
      </c>
    </row>
    <row r="191" spans="1:4">
      <c r="A191" t="s">
        <v>1137</v>
      </c>
      <c r="B191" t="str">
        <f>IF('02_Warehouse_Locations'!A190="","",'02_Warehouse_Locations'!A190)</f>
        <v/>
      </c>
      <c r="C191" t="str">
        <f t="shared" si="2"/>
        <v/>
      </c>
      <c r="D191" t="s">
        <v>1138</v>
      </c>
    </row>
    <row r="192" spans="1:4">
      <c r="A192" t="s">
        <v>1137</v>
      </c>
      <c r="B192" t="str">
        <f>IF('02_Warehouse_Locations'!A191="","",'02_Warehouse_Locations'!A191)</f>
        <v/>
      </c>
      <c r="C192" t="str">
        <f t="shared" si="2"/>
        <v/>
      </c>
      <c r="D192" t="s">
        <v>1138</v>
      </c>
    </row>
    <row r="193" spans="1:4">
      <c r="A193" t="s">
        <v>1137</v>
      </c>
      <c r="B193" t="str">
        <f>IF('02_Warehouse_Locations'!A192="","",'02_Warehouse_Locations'!A192)</f>
        <v/>
      </c>
      <c r="C193" t="str">
        <f t="shared" si="2"/>
        <v/>
      </c>
      <c r="D193" t="s">
        <v>1138</v>
      </c>
    </row>
    <row r="194" spans="1:4">
      <c r="A194" t="s">
        <v>1137</v>
      </c>
      <c r="B194" t="str">
        <f>IF('02_Warehouse_Locations'!A193="","",'02_Warehouse_Locations'!A193)</f>
        <v/>
      </c>
      <c r="C194" t="str">
        <f t="shared" si="2"/>
        <v/>
      </c>
      <c r="D194" t="s">
        <v>1138</v>
      </c>
    </row>
    <row r="195" spans="1:4">
      <c r="A195" t="s">
        <v>1137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1138</v>
      </c>
    </row>
    <row r="196" spans="1:4">
      <c r="A196" t="s">
        <v>1137</v>
      </c>
      <c r="B196" t="str">
        <f>IF('02_Warehouse_Locations'!A195="","",'02_Warehouse_Locations'!A195)</f>
        <v/>
      </c>
      <c r="C196" t="str">
        <f t="shared" si="3"/>
        <v/>
      </c>
      <c r="D196" t="s">
        <v>1138</v>
      </c>
    </row>
    <row r="197" spans="1:4">
      <c r="A197" t="s">
        <v>1137</v>
      </c>
      <c r="B197" t="str">
        <f>IF('02_Warehouse_Locations'!A196="","",'02_Warehouse_Locations'!A196)</f>
        <v/>
      </c>
      <c r="C197" t="str">
        <f t="shared" si="3"/>
        <v/>
      </c>
      <c r="D197" t="s">
        <v>1138</v>
      </c>
    </row>
    <row r="198" spans="1:4">
      <c r="A198" t="s">
        <v>1137</v>
      </c>
      <c r="B198" t="str">
        <f>IF('02_Warehouse_Locations'!A197="","",'02_Warehouse_Locations'!A197)</f>
        <v/>
      </c>
      <c r="C198" t="str">
        <f t="shared" si="3"/>
        <v/>
      </c>
      <c r="D198" t="s">
        <v>1138</v>
      </c>
    </row>
    <row r="199" spans="1:4">
      <c r="A199" t="s">
        <v>1137</v>
      </c>
      <c r="B199" t="str">
        <f>IF('02_Warehouse_Locations'!A198="","",'02_Warehouse_Locations'!A198)</f>
        <v/>
      </c>
      <c r="C199" t="str">
        <f t="shared" si="3"/>
        <v/>
      </c>
      <c r="D199" t="s">
        <v>1138</v>
      </c>
    </row>
    <row r="200" spans="1:4">
      <c r="A200" t="s">
        <v>1137</v>
      </c>
      <c r="B200" t="str">
        <f>IF('02_Warehouse_Locations'!A199="","",'02_Warehouse_Locations'!A199)</f>
        <v/>
      </c>
      <c r="C200" t="str">
        <f t="shared" si="3"/>
        <v/>
      </c>
      <c r="D200" t="s">
        <v>1138</v>
      </c>
    </row>
    <row r="201" spans="1:4">
      <c r="A201" t="s">
        <v>1137</v>
      </c>
      <c r="B201" t="str">
        <f>IF('02_Warehouse_Locations'!A200="","",'02_Warehouse_Locations'!A200)</f>
        <v/>
      </c>
      <c r="C201" t="str">
        <f t="shared" si="3"/>
        <v/>
      </c>
      <c r="D201" t="s">
        <v>1138</v>
      </c>
    </row>
    <row r="202" spans="1:4">
      <c r="A202" t="s">
        <v>1137</v>
      </c>
      <c r="B202" t="str">
        <f>IF('02_Warehouse_Locations'!A201="","",'02_Warehouse_Locations'!A201)</f>
        <v/>
      </c>
      <c r="C202" t="str">
        <f t="shared" si="3"/>
        <v/>
      </c>
      <c r="D202" t="s">
        <v>1138</v>
      </c>
    </row>
    <row r="203" spans="1:4">
      <c r="A203" t="s">
        <v>1137</v>
      </c>
      <c r="B203" t="str">
        <f>IF('02_Warehouse_Locations'!A202="","",'02_Warehouse_Locations'!A202)</f>
        <v/>
      </c>
      <c r="C203" t="str">
        <f t="shared" si="3"/>
        <v/>
      </c>
      <c r="D203" t="s">
        <v>1138</v>
      </c>
    </row>
    <row r="204" spans="1:4">
      <c r="A204" t="s">
        <v>1137</v>
      </c>
      <c r="B204" t="str">
        <f>IF('02_Warehouse_Locations'!A203="","",'02_Warehouse_Locations'!A203)</f>
        <v/>
      </c>
      <c r="C204" t="str">
        <f t="shared" si="3"/>
        <v/>
      </c>
      <c r="D204" t="s">
        <v>1138</v>
      </c>
    </row>
    <row r="205" spans="1:4">
      <c r="A205" t="s">
        <v>1137</v>
      </c>
      <c r="B205" t="str">
        <f>IF('02_Warehouse_Locations'!A204="","",'02_Warehouse_Locations'!A204)</f>
        <v/>
      </c>
      <c r="C205" t="str">
        <f t="shared" si="3"/>
        <v/>
      </c>
      <c r="D205" t="s">
        <v>1138</v>
      </c>
    </row>
    <row r="206" spans="1:4">
      <c r="A206" t="s">
        <v>1137</v>
      </c>
      <c r="B206" t="str">
        <f>IF('02_Warehouse_Locations'!A205="","",'02_Warehouse_Locations'!A205)</f>
        <v/>
      </c>
      <c r="C206" t="str">
        <f t="shared" si="3"/>
        <v/>
      </c>
      <c r="D206" t="s">
        <v>1138</v>
      </c>
    </row>
    <row r="207" spans="1:4">
      <c r="A207" t="s">
        <v>1137</v>
      </c>
      <c r="B207" t="str">
        <f>IF('02_Warehouse_Locations'!A206="","",'02_Warehouse_Locations'!A206)</f>
        <v/>
      </c>
      <c r="C207" t="str">
        <f t="shared" si="3"/>
        <v/>
      </c>
      <c r="D207" t="s">
        <v>1138</v>
      </c>
    </row>
    <row r="208" spans="1:4">
      <c r="A208" t="s">
        <v>1137</v>
      </c>
      <c r="B208" t="str">
        <f>IF('02_Warehouse_Locations'!A207="","",'02_Warehouse_Locations'!A207)</f>
        <v/>
      </c>
      <c r="C208" t="str">
        <f t="shared" si="3"/>
        <v/>
      </c>
      <c r="D208" t="s">
        <v>1138</v>
      </c>
    </row>
    <row r="209" spans="1:4">
      <c r="A209" t="s">
        <v>1137</v>
      </c>
      <c r="B209" t="str">
        <f>IF('02_Warehouse_Locations'!A208="","",'02_Warehouse_Locations'!A208)</f>
        <v/>
      </c>
      <c r="C209" t="str">
        <f t="shared" si="3"/>
        <v/>
      </c>
      <c r="D209" t="s">
        <v>1138</v>
      </c>
    </row>
    <row r="210" spans="1:4">
      <c r="A210" t="s">
        <v>1137</v>
      </c>
      <c r="B210" t="str">
        <f>IF('02_Warehouse_Locations'!A209="","",'02_Warehouse_Locations'!A209)</f>
        <v/>
      </c>
      <c r="C210" t="str">
        <f t="shared" si="3"/>
        <v/>
      </c>
      <c r="D210" t="s">
        <v>1138</v>
      </c>
    </row>
    <row r="211" spans="1:4">
      <c r="A211" t="s">
        <v>1137</v>
      </c>
      <c r="B211" t="str">
        <f>IF('02_Warehouse_Locations'!A210="","",'02_Warehouse_Locations'!A210)</f>
        <v/>
      </c>
      <c r="C211" t="str">
        <f t="shared" si="3"/>
        <v/>
      </c>
      <c r="D211" t="s">
        <v>1138</v>
      </c>
    </row>
    <row r="212" spans="1:4">
      <c r="A212" t="s">
        <v>1137</v>
      </c>
      <c r="B212" t="str">
        <f>IF('02_Warehouse_Locations'!A211="","",'02_Warehouse_Locations'!A211)</f>
        <v/>
      </c>
      <c r="C212" t="str">
        <f t="shared" si="3"/>
        <v/>
      </c>
      <c r="D212" t="s">
        <v>1138</v>
      </c>
    </row>
    <row r="213" spans="1:4">
      <c r="A213" t="s">
        <v>1137</v>
      </c>
      <c r="B213" t="str">
        <f>IF('02_Warehouse_Locations'!A212="","",'02_Warehouse_Locations'!A212)</f>
        <v/>
      </c>
      <c r="C213" t="str">
        <f t="shared" si="3"/>
        <v/>
      </c>
      <c r="D213" t="s">
        <v>1138</v>
      </c>
    </row>
    <row r="214" spans="1:4">
      <c r="A214" t="s">
        <v>1137</v>
      </c>
      <c r="B214" t="str">
        <f>IF('02_Warehouse_Locations'!A213="","",'02_Warehouse_Locations'!A213)</f>
        <v/>
      </c>
      <c r="C214" t="str">
        <f t="shared" si="3"/>
        <v/>
      </c>
      <c r="D214" t="s">
        <v>1138</v>
      </c>
    </row>
    <row r="215" spans="1:4">
      <c r="A215" t="s">
        <v>1137</v>
      </c>
      <c r="B215" t="str">
        <f>IF('02_Warehouse_Locations'!A214="","",'02_Warehouse_Locations'!A214)</f>
        <v/>
      </c>
      <c r="C215" t="str">
        <f t="shared" si="3"/>
        <v/>
      </c>
      <c r="D215" t="s">
        <v>1138</v>
      </c>
    </row>
    <row r="216" spans="1:4">
      <c r="A216" t="s">
        <v>1137</v>
      </c>
      <c r="B216" t="str">
        <f>IF('02_Warehouse_Locations'!A215="","",'02_Warehouse_Locations'!A215)</f>
        <v/>
      </c>
      <c r="C216" t="str">
        <f t="shared" si="3"/>
        <v/>
      </c>
      <c r="D216" t="s">
        <v>1138</v>
      </c>
    </row>
    <row r="217" spans="1:4">
      <c r="A217" t="s">
        <v>1137</v>
      </c>
      <c r="B217" t="str">
        <f>IF('02_Warehouse_Locations'!A216="","",'02_Warehouse_Locations'!A216)</f>
        <v/>
      </c>
      <c r="C217" t="str">
        <f t="shared" si="3"/>
        <v/>
      </c>
      <c r="D217" t="s">
        <v>1138</v>
      </c>
    </row>
    <row r="218" spans="1:4">
      <c r="A218" t="s">
        <v>1137</v>
      </c>
      <c r="B218" t="str">
        <f>IF('02_Warehouse_Locations'!A217="","",'02_Warehouse_Locations'!A217)</f>
        <v/>
      </c>
      <c r="C218" t="str">
        <f t="shared" si="3"/>
        <v/>
      </c>
      <c r="D218" t="s">
        <v>1138</v>
      </c>
    </row>
    <row r="219" spans="1:4">
      <c r="A219" t="s">
        <v>1137</v>
      </c>
      <c r="B219" t="str">
        <f>IF('02_Warehouse_Locations'!A218="","",'02_Warehouse_Locations'!A218)</f>
        <v/>
      </c>
      <c r="C219" t="str">
        <f t="shared" si="3"/>
        <v/>
      </c>
      <c r="D219" t="s">
        <v>1138</v>
      </c>
    </row>
    <row r="220" spans="1:4">
      <c r="A220" t="s">
        <v>1137</v>
      </c>
      <c r="B220" t="str">
        <f>IF('02_Warehouse_Locations'!A219="","",'02_Warehouse_Locations'!A219)</f>
        <v/>
      </c>
      <c r="C220" t="str">
        <f t="shared" si="3"/>
        <v/>
      </c>
      <c r="D220" t="s">
        <v>1138</v>
      </c>
    </row>
    <row r="221" spans="1:4">
      <c r="A221" t="s">
        <v>1137</v>
      </c>
      <c r="B221" t="str">
        <f>IF('02_Warehouse_Locations'!A220="","",'02_Warehouse_Locations'!A220)</f>
        <v/>
      </c>
      <c r="C221" t="str">
        <f t="shared" si="3"/>
        <v/>
      </c>
      <c r="D221" t="s">
        <v>1138</v>
      </c>
    </row>
    <row r="222" spans="1:4">
      <c r="A222" t="s">
        <v>1137</v>
      </c>
      <c r="B222" t="str">
        <f>IF('02_Warehouse_Locations'!A221="","",'02_Warehouse_Locations'!A221)</f>
        <v/>
      </c>
      <c r="C222" t="str">
        <f t="shared" si="3"/>
        <v/>
      </c>
      <c r="D222" t="s">
        <v>1138</v>
      </c>
    </row>
    <row r="223" spans="1:4">
      <c r="A223" t="s">
        <v>1137</v>
      </c>
      <c r="B223" t="str">
        <f>IF('02_Warehouse_Locations'!A222="","",'02_Warehouse_Locations'!A222)</f>
        <v/>
      </c>
      <c r="C223" t="str">
        <f t="shared" si="3"/>
        <v/>
      </c>
      <c r="D223" t="s">
        <v>1138</v>
      </c>
    </row>
    <row r="224" spans="1:4">
      <c r="A224" t="s">
        <v>1137</v>
      </c>
      <c r="B224" t="str">
        <f>IF('02_Warehouse_Locations'!A223="","",'02_Warehouse_Locations'!A223)</f>
        <v/>
      </c>
      <c r="C224" t="str">
        <f t="shared" si="3"/>
        <v/>
      </c>
      <c r="D224" t="s">
        <v>1138</v>
      </c>
    </row>
    <row r="225" spans="1:4">
      <c r="A225" t="s">
        <v>1137</v>
      </c>
      <c r="B225" t="str">
        <f>IF('02_Warehouse_Locations'!A224="","",'02_Warehouse_Locations'!A224)</f>
        <v/>
      </c>
      <c r="C225" t="str">
        <f t="shared" si="3"/>
        <v/>
      </c>
      <c r="D225" t="s">
        <v>1138</v>
      </c>
    </row>
    <row r="226" spans="1:4">
      <c r="A226" t="s">
        <v>1137</v>
      </c>
      <c r="B226" t="str">
        <f>IF('02_Warehouse_Locations'!A225="","",'02_Warehouse_Locations'!A225)</f>
        <v/>
      </c>
      <c r="C226" t="str">
        <f t="shared" si="3"/>
        <v/>
      </c>
      <c r="D226" t="s">
        <v>1138</v>
      </c>
    </row>
    <row r="227" spans="1:4">
      <c r="A227" t="s">
        <v>1137</v>
      </c>
      <c r="B227" t="str">
        <f>IF('02_Warehouse_Locations'!A226="","",'02_Warehouse_Locations'!A226)</f>
        <v/>
      </c>
      <c r="C227" t="str">
        <f t="shared" si="3"/>
        <v/>
      </c>
      <c r="D227" t="s">
        <v>1138</v>
      </c>
    </row>
    <row r="228" spans="1:4">
      <c r="A228" t="s">
        <v>1137</v>
      </c>
      <c r="B228" t="str">
        <f>IF('02_Warehouse_Locations'!A227="","",'02_Warehouse_Locations'!A227)</f>
        <v/>
      </c>
      <c r="C228" t="str">
        <f t="shared" si="3"/>
        <v/>
      </c>
      <c r="D228" t="s">
        <v>1138</v>
      </c>
    </row>
    <row r="229" spans="1:4">
      <c r="A229" t="s">
        <v>1137</v>
      </c>
      <c r="B229" t="str">
        <f>IF('02_Warehouse_Locations'!A228="","",'02_Warehouse_Locations'!A228)</f>
        <v/>
      </c>
      <c r="C229" t="str">
        <f t="shared" si="3"/>
        <v/>
      </c>
      <c r="D229" t="s">
        <v>1138</v>
      </c>
    </row>
    <row r="230" spans="1:4">
      <c r="A230" t="s">
        <v>1137</v>
      </c>
      <c r="B230" t="str">
        <f>IF('02_Warehouse_Locations'!A229="","",'02_Warehouse_Locations'!A229)</f>
        <v/>
      </c>
      <c r="C230" t="str">
        <f t="shared" si="3"/>
        <v/>
      </c>
      <c r="D230" t="s">
        <v>1138</v>
      </c>
    </row>
    <row r="231" spans="1:4">
      <c r="A231" t="s">
        <v>1137</v>
      </c>
      <c r="B231" t="str">
        <f>IF('02_Warehouse_Locations'!A230="","",'02_Warehouse_Locations'!A230)</f>
        <v/>
      </c>
      <c r="C231" t="str">
        <f t="shared" si="3"/>
        <v/>
      </c>
      <c r="D231" t="s">
        <v>1138</v>
      </c>
    </row>
    <row r="232" spans="1:4">
      <c r="A232" t="s">
        <v>1137</v>
      </c>
      <c r="B232" t="str">
        <f>IF('02_Warehouse_Locations'!A231="","",'02_Warehouse_Locations'!A231)</f>
        <v/>
      </c>
      <c r="C232" t="str">
        <f t="shared" si="3"/>
        <v/>
      </c>
      <c r="D232" t="s">
        <v>1138</v>
      </c>
    </row>
    <row r="233" spans="1:4">
      <c r="A233" t="s">
        <v>1137</v>
      </c>
      <c r="B233" t="str">
        <f>IF('02_Warehouse_Locations'!A232="","",'02_Warehouse_Locations'!A232)</f>
        <v/>
      </c>
      <c r="C233" t="str">
        <f t="shared" si="3"/>
        <v/>
      </c>
      <c r="D233" t="s">
        <v>1138</v>
      </c>
    </row>
    <row r="234" spans="1:4">
      <c r="A234" t="s">
        <v>1137</v>
      </c>
      <c r="B234" t="str">
        <f>IF('02_Warehouse_Locations'!A233="","",'02_Warehouse_Locations'!A233)</f>
        <v/>
      </c>
      <c r="C234" t="str">
        <f t="shared" si="3"/>
        <v/>
      </c>
      <c r="D234" t="s">
        <v>1138</v>
      </c>
    </row>
    <row r="235" spans="1:4">
      <c r="A235" t="s">
        <v>1137</v>
      </c>
      <c r="B235" t="str">
        <f>IF('02_Warehouse_Locations'!A234="","",'02_Warehouse_Locations'!A234)</f>
        <v/>
      </c>
      <c r="C235" t="str">
        <f t="shared" si="3"/>
        <v/>
      </c>
      <c r="D235" t="s">
        <v>1138</v>
      </c>
    </row>
    <row r="236" spans="1:4">
      <c r="A236" t="s">
        <v>1137</v>
      </c>
      <c r="B236" t="str">
        <f>IF('02_Warehouse_Locations'!A235="","",'02_Warehouse_Locations'!A235)</f>
        <v/>
      </c>
      <c r="C236" t="str">
        <f t="shared" si="3"/>
        <v/>
      </c>
      <c r="D236" t="s">
        <v>1138</v>
      </c>
    </row>
    <row r="237" spans="1:4">
      <c r="A237" t="s">
        <v>1137</v>
      </c>
      <c r="B237" t="str">
        <f>IF('02_Warehouse_Locations'!A236="","",'02_Warehouse_Locations'!A236)</f>
        <v/>
      </c>
      <c r="C237" t="str">
        <f t="shared" si="3"/>
        <v/>
      </c>
      <c r="D237" t="s">
        <v>1138</v>
      </c>
    </row>
    <row r="238" spans="1:4">
      <c r="A238" t="s">
        <v>1137</v>
      </c>
      <c r="B238" t="str">
        <f>IF('02_Warehouse_Locations'!A237="","",'02_Warehouse_Locations'!A237)</f>
        <v/>
      </c>
      <c r="C238" t="str">
        <f t="shared" si="3"/>
        <v/>
      </c>
      <c r="D238" t="s">
        <v>1138</v>
      </c>
    </row>
    <row r="239" spans="1:4">
      <c r="A239" t="s">
        <v>1137</v>
      </c>
      <c r="B239" t="str">
        <f>IF('02_Warehouse_Locations'!A238="","",'02_Warehouse_Locations'!A238)</f>
        <v/>
      </c>
      <c r="C239" t="str">
        <f t="shared" si="3"/>
        <v/>
      </c>
      <c r="D239" t="s">
        <v>1138</v>
      </c>
    </row>
    <row r="240" spans="1:4">
      <c r="A240" t="s">
        <v>1137</v>
      </c>
      <c r="B240" t="str">
        <f>IF('02_Warehouse_Locations'!A239="","",'02_Warehouse_Locations'!A239)</f>
        <v/>
      </c>
      <c r="C240" t="str">
        <f t="shared" si="3"/>
        <v/>
      </c>
      <c r="D240" t="s">
        <v>1138</v>
      </c>
    </row>
    <row r="241" spans="1:4">
      <c r="A241" t="s">
        <v>1137</v>
      </c>
      <c r="B241" t="str">
        <f>IF('02_Warehouse_Locations'!A240="","",'02_Warehouse_Locations'!A240)</f>
        <v/>
      </c>
      <c r="C241" t="str">
        <f t="shared" si="3"/>
        <v/>
      </c>
      <c r="D241" t="s">
        <v>1138</v>
      </c>
    </row>
    <row r="242" spans="1:4">
      <c r="A242" t="s">
        <v>1137</v>
      </c>
      <c r="B242" t="str">
        <f>IF('02_Warehouse_Locations'!A241="","",'02_Warehouse_Locations'!A241)</f>
        <v/>
      </c>
      <c r="C242" t="str">
        <f t="shared" si="3"/>
        <v/>
      </c>
      <c r="D242" t="s">
        <v>1138</v>
      </c>
    </row>
    <row r="243" spans="1:4">
      <c r="A243" t="s">
        <v>1137</v>
      </c>
      <c r="B243" t="str">
        <f>IF('02_Warehouse_Locations'!A242="","",'02_Warehouse_Locations'!A242)</f>
        <v/>
      </c>
      <c r="C243" t="str">
        <f t="shared" si="3"/>
        <v/>
      </c>
      <c r="D243" t="s">
        <v>1138</v>
      </c>
    </row>
    <row r="244" spans="1:4">
      <c r="A244" t="s">
        <v>1137</v>
      </c>
      <c r="B244" t="str">
        <f>IF('02_Warehouse_Locations'!A243="","",'02_Warehouse_Locations'!A243)</f>
        <v/>
      </c>
      <c r="C244" t="str">
        <f t="shared" si="3"/>
        <v/>
      </c>
      <c r="D244" t="s">
        <v>1138</v>
      </c>
    </row>
    <row r="245" spans="1:4">
      <c r="A245" t="s">
        <v>1137</v>
      </c>
      <c r="B245" t="str">
        <f>IF('02_Warehouse_Locations'!A244="","",'02_Warehouse_Locations'!A244)</f>
        <v/>
      </c>
      <c r="C245" t="str">
        <f t="shared" si="3"/>
        <v/>
      </c>
      <c r="D245" t="s">
        <v>1138</v>
      </c>
    </row>
    <row r="246" spans="1:4">
      <c r="A246" t="s">
        <v>1137</v>
      </c>
      <c r="B246" t="str">
        <f>IF('02_Warehouse_Locations'!A245="","",'02_Warehouse_Locations'!A245)</f>
        <v/>
      </c>
      <c r="C246" t="str">
        <f t="shared" si="3"/>
        <v/>
      </c>
      <c r="D246" t="s">
        <v>1138</v>
      </c>
    </row>
    <row r="247" spans="1:4">
      <c r="A247" t="s">
        <v>1137</v>
      </c>
      <c r="B247" t="str">
        <f>IF('02_Warehouse_Locations'!A246="","",'02_Warehouse_Locations'!A246)</f>
        <v/>
      </c>
      <c r="C247" t="str">
        <f t="shared" si="3"/>
        <v/>
      </c>
      <c r="D247" t="s">
        <v>1138</v>
      </c>
    </row>
    <row r="248" spans="1:4">
      <c r="A248" t="s">
        <v>1137</v>
      </c>
      <c r="B248" t="str">
        <f>IF('02_Warehouse_Locations'!A247="","",'02_Warehouse_Locations'!A247)</f>
        <v/>
      </c>
      <c r="C248" t="str">
        <f t="shared" si="3"/>
        <v/>
      </c>
      <c r="D248" t="s">
        <v>1138</v>
      </c>
    </row>
    <row r="249" spans="1:4">
      <c r="A249" t="s">
        <v>1137</v>
      </c>
      <c r="B249" t="str">
        <f>IF('02_Warehouse_Locations'!A248="","",'02_Warehouse_Locations'!A248)</f>
        <v/>
      </c>
      <c r="C249" t="str">
        <f t="shared" si="3"/>
        <v/>
      </c>
      <c r="D249" t="s">
        <v>1138</v>
      </c>
    </row>
    <row r="250" spans="1:4">
      <c r="A250" t="s">
        <v>1137</v>
      </c>
      <c r="B250" t="str">
        <f>IF('02_Warehouse_Locations'!A249="","",'02_Warehouse_Locations'!A249)</f>
        <v/>
      </c>
      <c r="C250" t="str">
        <f t="shared" si="3"/>
        <v/>
      </c>
      <c r="D250" t="s">
        <v>1138</v>
      </c>
    </row>
    <row r="251" spans="1:4">
      <c r="A251" t="s">
        <v>1137</v>
      </c>
      <c r="B251" t="str">
        <f>IF('02_Warehouse_Locations'!A250="","",'02_Warehouse_Locations'!A250)</f>
        <v/>
      </c>
      <c r="C251" t="str">
        <f t="shared" si="3"/>
        <v/>
      </c>
      <c r="D251" t="s">
        <v>1138</v>
      </c>
    </row>
    <row r="252" spans="1:4">
      <c r="A252" t="s">
        <v>1137</v>
      </c>
      <c r="B252" t="str">
        <f>IF('02_Warehouse_Locations'!A251="","",'02_Warehouse_Locations'!A251)</f>
        <v/>
      </c>
      <c r="C252" t="str">
        <f t="shared" si="3"/>
        <v/>
      </c>
      <c r="D252" t="s">
        <v>1138</v>
      </c>
    </row>
    <row r="253" spans="1:4">
      <c r="A253" t="s">
        <v>1137</v>
      </c>
      <c r="B253" t="str">
        <f>IF('02_Warehouse_Locations'!A252="","",'02_Warehouse_Locations'!A252)</f>
        <v/>
      </c>
      <c r="C253" t="str">
        <f t="shared" si="3"/>
        <v/>
      </c>
      <c r="D253" t="s">
        <v>1138</v>
      </c>
    </row>
    <row r="254" spans="1:4">
      <c r="A254" t="s">
        <v>1137</v>
      </c>
      <c r="B254" t="str">
        <f>IF('02_Warehouse_Locations'!A253="","",'02_Warehouse_Locations'!A253)</f>
        <v/>
      </c>
      <c r="C254" t="str">
        <f t="shared" si="3"/>
        <v/>
      </c>
      <c r="D254" t="s">
        <v>1138</v>
      </c>
    </row>
    <row r="255" spans="1:4">
      <c r="A255" t="s">
        <v>1137</v>
      </c>
      <c r="B255" t="str">
        <f>IF('02_Warehouse_Locations'!A254="","",'02_Warehouse_Locations'!A254)</f>
        <v/>
      </c>
      <c r="C255" t="str">
        <f t="shared" si="3"/>
        <v/>
      </c>
      <c r="D255" t="s">
        <v>1138</v>
      </c>
    </row>
    <row r="256" spans="1:4">
      <c r="A256" t="s">
        <v>1137</v>
      </c>
      <c r="B256" t="str">
        <f>IF('02_Warehouse_Locations'!A255="","",'02_Warehouse_Locations'!A255)</f>
        <v/>
      </c>
      <c r="C256" t="str">
        <f t="shared" si="3"/>
        <v/>
      </c>
      <c r="D256" t="s">
        <v>1138</v>
      </c>
    </row>
    <row r="257" spans="1:4">
      <c r="A257" t="s">
        <v>1137</v>
      </c>
      <c r="B257" t="str">
        <f>IF('02_Warehouse_Locations'!A256="","",'02_Warehouse_Locations'!A256)</f>
        <v/>
      </c>
      <c r="C257" t="str">
        <f t="shared" si="3"/>
        <v/>
      </c>
      <c r="D257" t="s">
        <v>1138</v>
      </c>
    </row>
    <row r="258" spans="1:4">
      <c r="A258" t="s">
        <v>1137</v>
      </c>
      <c r="B258" t="str">
        <f>IF('02_Warehouse_Locations'!A257="","",'02_Warehouse_Locations'!A257)</f>
        <v/>
      </c>
      <c r="C258" t="str">
        <f t="shared" si="3"/>
        <v/>
      </c>
      <c r="D258" t="s">
        <v>1138</v>
      </c>
    </row>
    <row r="259" spans="1:4">
      <c r="A259" t="s">
        <v>1137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1138</v>
      </c>
    </row>
    <row r="260" spans="1:4">
      <c r="A260" t="s">
        <v>1137</v>
      </c>
      <c r="B260" t="str">
        <f>IF('02_Warehouse_Locations'!A259="","",'02_Warehouse_Locations'!A259)</f>
        <v/>
      </c>
      <c r="C260" t="str">
        <f t="shared" si="4"/>
        <v/>
      </c>
      <c r="D260" t="s">
        <v>1138</v>
      </c>
    </row>
    <row r="261" spans="1:4">
      <c r="A261" t="s">
        <v>1137</v>
      </c>
      <c r="B261" t="str">
        <f>IF('02_Warehouse_Locations'!A260="","",'02_Warehouse_Locations'!A260)</f>
        <v/>
      </c>
      <c r="C261" t="str">
        <f t="shared" si="4"/>
        <v/>
      </c>
      <c r="D261" t="s">
        <v>1138</v>
      </c>
    </row>
    <row r="262" spans="1:4">
      <c r="A262" t="s">
        <v>1137</v>
      </c>
      <c r="B262" t="str">
        <f>IF('02_Warehouse_Locations'!A261="","",'02_Warehouse_Locations'!A261)</f>
        <v/>
      </c>
      <c r="C262" t="str">
        <f t="shared" si="4"/>
        <v/>
      </c>
      <c r="D262" t="s">
        <v>1138</v>
      </c>
    </row>
    <row r="263" spans="1:4">
      <c r="A263" t="s">
        <v>1137</v>
      </c>
      <c r="B263" t="str">
        <f>IF('02_Warehouse_Locations'!A262="","",'02_Warehouse_Locations'!A262)</f>
        <v/>
      </c>
      <c r="C263" t="str">
        <f t="shared" si="4"/>
        <v/>
      </c>
      <c r="D263" t="s">
        <v>1138</v>
      </c>
    </row>
    <row r="264" spans="1:4">
      <c r="A264" t="s">
        <v>1137</v>
      </c>
      <c r="B264" t="str">
        <f>IF('02_Warehouse_Locations'!A263="","",'02_Warehouse_Locations'!A263)</f>
        <v/>
      </c>
      <c r="C264" t="str">
        <f t="shared" si="4"/>
        <v/>
      </c>
      <c r="D264" t="s">
        <v>1138</v>
      </c>
    </row>
    <row r="265" spans="1:4">
      <c r="A265" t="s">
        <v>1137</v>
      </c>
      <c r="B265" t="str">
        <f>IF('02_Warehouse_Locations'!A264="","",'02_Warehouse_Locations'!A264)</f>
        <v/>
      </c>
      <c r="C265" t="str">
        <f t="shared" si="4"/>
        <v/>
      </c>
      <c r="D265" t="s">
        <v>1138</v>
      </c>
    </row>
    <row r="266" spans="1:4">
      <c r="A266" t="s">
        <v>1137</v>
      </c>
      <c r="B266" t="str">
        <f>IF('02_Warehouse_Locations'!A265="","",'02_Warehouse_Locations'!A265)</f>
        <v/>
      </c>
      <c r="C266" t="str">
        <f t="shared" si="4"/>
        <v/>
      </c>
      <c r="D266" t="s">
        <v>1138</v>
      </c>
    </row>
    <row r="267" spans="1:4">
      <c r="A267" t="s">
        <v>1137</v>
      </c>
      <c r="B267" t="str">
        <f>IF('02_Warehouse_Locations'!A266="","",'02_Warehouse_Locations'!A266)</f>
        <v/>
      </c>
      <c r="C267" t="str">
        <f t="shared" si="4"/>
        <v/>
      </c>
      <c r="D267" t="s">
        <v>1138</v>
      </c>
    </row>
    <row r="268" spans="1:4">
      <c r="A268" t="s">
        <v>1137</v>
      </c>
      <c r="B268" t="str">
        <f>IF('02_Warehouse_Locations'!A267="","",'02_Warehouse_Locations'!A267)</f>
        <v/>
      </c>
      <c r="C268" t="str">
        <f t="shared" si="4"/>
        <v/>
      </c>
      <c r="D268" t="s">
        <v>1138</v>
      </c>
    </row>
    <row r="269" spans="1:4">
      <c r="A269" t="s">
        <v>1137</v>
      </c>
      <c r="B269" t="str">
        <f>IF('02_Warehouse_Locations'!A268="","",'02_Warehouse_Locations'!A268)</f>
        <v/>
      </c>
      <c r="C269" t="str">
        <f t="shared" si="4"/>
        <v/>
      </c>
      <c r="D269" t="s">
        <v>1138</v>
      </c>
    </row>
    <row r="270" spans="1:4">
      <c r="A270" t="s">
        <v>1137</v>
      </c>
      <c r="B270" t="str">
        <f>IF('02_Warehouse_Locations'!A269="","",'02_Warehouse_Locations'!A269)</f>
        <v/>
      </c>
      <c r="C270" t="str">
        <f t="shared" si="4"/>
        <v/>
      </c>
      <c r="D270" t="s">
        <v>1138</v>
      </c>
    </row>
    <row r="271" spans="1:4">
      <c r="A271" t="s">
        <v>1137</v>
      </c>
      <c r="B271" t="str">
        <f>IF('02_Warehouse_Locations'!A270="","",'02_Warehouse_Locations'!A270)</f>
        <v/>
      </c>
      <c r="C271" t="str">
        <f t="shared" si="4"/>
        <v/>
      </c>
      <c r="D271" t="s">
        <v>1138</v>
      </c>
    </row>
    <row r="272" spans="1:4">
      <c r="A272" t="s">
        <v>1137</v>
      </c>
      <c r="B272" t="str">
        <f>IF('02_Warehouse_Locations'!A271="","",'02_Warehouse_Locations'!A271)</f>
        <v/>
      </c>
      <c r="C272" t="str">
        <f t="shared" si="4"/>
        <v/>
      </c>
      <c r="D272" t="s">
        <v>1138</v>
      </c>
    </row>
    <row r="273" spans="1:4">
      <c r="A273" t="s">
        <v>1137</v>
      </c>
      <c r="B273" t="str">
        <f>IF('02_Warehouse_Locations'!A272="","",'02_Warehouse_Locations'!A272)</f>
        <v/>
      </c>
      <c r="C273" t="str">
        <f t="shared" si="4"/>
        <v/>
      </c>
      <c r="D273" t="s">
        <v>1138</v>
      </c>
    </row>
    <row r="274" spans="1:4">
      <c r="A274" t="s">
        <v>1137</v>
      </c>
      <c r="B274" t="str">
        <f>IF('02_Warehouse_Locations'!A273="","",'02_Warehouse_Locations'!A273)</f>
        <v/>
      </c>
      <c r="C274" t="str">
        <f t="shared" si="4"/>
        <v/>
      </c>
      <c r="D274" t="s">
        <v>1138</v>
      </c>
    </row>
    <row r="275" spans="1:4">
      <c r="A275" t="s">
        <v>1137</v>
      </c>
      <c r="B275" t="str">
        <f>IF('02_Warehouse_Locations'!A274="","",'02_Warehouse_Locations'!A274)</f>
        <v/>
      </c>
      <c r="C275" t="str">
        <f t="shared" si="4"/>
        <v/>
      </c>
      <c r="D275" t="s">
        <v>1138</v>
      </c>
    </row>
    <row r="276" spans="1:4">
      <c r="A276" t="s">
        <v>1137</v>
      </c>
      <c r="B276" t="str">
        <f>IF('02_Warehouse_Locations'!A275="","",'02_Warehouse_Locations'!A275)</f>
        <v/>
      </c>
      <c r="C276" t="str">
        <f t="shared" si="4"/>
        <v/>
      </c>
      <c r="D276" t="s">
        <v>1138</v>
      </c>
    </row>
    <row r="277" spans="1:4">
      <c r="A277" t="s">
        <v>1137</v>
      </c>
      <c r="B277" t="str">
        <f>IF('02_Warehouse_Locations'!A276="","",'02_Warehouse_Locations'!A276)</f>
        <v/>
      </c>
      <c r="C277" t="str">
        <f t="shared" si="4"/>
        <v/>
      </c>
      <c r="D277" t="s">
        <v>1138</v>
      </c>
    </row>
    <row r="278" spans="1:4">
      <c r="A278" t="s">
        <v>1137</v>
      </c>
      <c r="B278" t="str">
        <f>IF('02_Warehouse_Locations'!A277="","",'02_Warehouse_Locations'!A277)</f>
        <v/>
      </c>
      <c r="C278" t="str">
        <f t="shared" si="4"/>
        <v/>
      </c>
      <c r="D278" t="s">
        <v>1138</v>
      </c>
    </row>
    <row r="279" spans="1:4">
      <c r="A279" t="s">
        <v>1137</v>
      </c>
      <c r="B279" t="str">
        <f>IF('02_Warehouse_Locations'!A278="","",'02_Warehouse_Locations'!A278)</f>
        <v/>
      </c>
      <c r="C279" t="str">
        <f t="shared" si="4"/>
        <v/>
      </c>
      <c r="D279" t="s">
        <v>1138</v>
      </c>
    </row>
    <row r="280" spans="1:4">
      <c r="A280" t="s">
        <v>1137</v>
      </c>
      <c r="B280" t="str">
        <f>IF('02_Warehouse_Locations'!A279="","",'02_Warehouse_Locations'!A279)</f>
        <v/>
      </c>
      <c r="C280" t="str">
        <f t="shared" si="4"/>
        <v/>
      </c>
      <c r="D280" t="s">
        <v>1138</v>
      </c>
    </row>
    <row r="281" spans="1:4">
      <c r="A281" t="s">
        <v>1137</v>
      </c>
      <c r="B281" t="str">
        <f>IF('02_Warehouse_Locations'!A280="","",'02_Warehouse_Locations'!A280)</f>
        <v/>
      </c>
      <c r="C281" t="str">
        <f t="shared" si="4"/>
        <v/>
      </c>
      <c r="D281" t="s">
        <v>1138</v>
      </c>
    </row>
    <row r="282" spans="1:4">
      <c r="A282" t="s">
        <v>1137</v>
      </c>
      <c r="B282" t="str">
        <f>IF('02_Warehouse_Locations'!A281="","",'02_Warehouse_Locations'!A281)</f>
        <v/>
      </c>
      <c r="C282" t="str">
        <f t="shared" si="4"/>
        <v/>
      </c>
      <c r="D282" t="s">
        <v>1138</v>
      </c>
    </row>
    <row r="283" spans="1:4">
      <c r="A283" t="s">
        <v>1137</v>
      </c>
      <c r="B283" t="str">
        <f>IF('02_Warehouse_Locations'!A282="","",'02_Warehouse_Locations'!A282)</f>
        <v/>
      </c>
      <c r="C283" t="str">
        <f t="shared" si="4"/>
        <v/>
      </c>
      <c r="D283" t="s">
        <v>1138</v>
      </c>
    </row>
    <row r="284" spans="1:4">
      <c r="A284" t="s">
        <v>1137</v>
      </c>
      <c r="B284" t="str">
        <f>IF('02_Warehouse_Locations'!A283="","",'02_Warehouse_Locations'!A283)</f>
        <v/>
      </c>
      <c r="C284" t="str">
        <f t="shared" si="4"/>
        <v/>
      </c>
      <c r="D284" t="s">
        <v>1138</v>
      </c>
    </row>
    <row r="285" spans="1:4">
      <c r="A285" t="s">
        <v>1137</v>
      </c>
      <c r="B285" t="str">
        <f>IF('02_Warehouse_Locations'!A284="","",'02_Warehouse_Locations'!A284)</f>
        <v/>
      </c>
      <c r="C285" t="str">
        <f t="shared" si="4"/>
        <v/>
      </c>
      <c r="D285" t="s">
        <v>1138</v>
      </c>
    </row>
    <row r="286" spans="1:4">
      <c r="A286" t="s">
        <v>1137</v>
      </c>
      <c r="B286" t="str">
        <f>IF('02_Warehouse_Locations'!A285="","",'02_Warehouse_Locations'!A285)</f>
        <v/>
      </c>
      <c r="C286" t="str">
        <f t="shared" si="4"/>
        <v/>
      </c>
      <c r="D286" t="s">
        <v>1138</v>
      </c>
    </row>
    <row r="287" spans="1:4">
      <c r="A287" t="s">
        <v>1137</v>
      </c>
      <c r="B287" t="str">
        <f>IF('02_Warehouse_Locations'!A286="","",'02_Warehouse_Locations'!A286)</f>
        <v/>
      </c>
      <c r="C287" t="str">
        <f t="shared" si="4"/>
        <v/>
      </c>
      <c r="D287" t="s">
        <v>1138</v>
      </c>
    </row>
    <row r="288" spans="1:4">
      <c r="A288" t="s">
        <v>1137</v>
      </c>
      <c r="B288" t="str">
        <f>IF('02_Warehouse_Locations'!A287="","",'02_Warehouse_Locations'!A287)</f>
        <v/>
      </c>
      <c r="C288" t="str">
        <f t="shared" si="4"/>
        <v/>
      </c>
      <c r="D288" t="s">
        <v>1138</v>
      </c>
    </row>
    <row r="289" spans="1:4">
      <c r="A289" t="s">
        <v>1137</v>
      </c>
      <c r="B289" t="str">
        <f>IF('02_Warehouse_Locations'!A288="","",'02_Warehouse_Locations'!A288)</f>
        <v/>
      </c>
      <c r="C289" t="str">
        <f t="shared" si="4"/>
        <v/>
      </c>
      <c r="D289" t="s">
        <v>1138</v>
      </c>
    </row>
    <row r="290" spans="1:4">
      <c r="A290" t="s">
        <v>1137</v>
      </c>
      <c r="B290" t="str">
        <f>IF('02_Warehouse_Locations'!A289="","",'02_Warehouse_Locations'!A289)</f>
        <v/>
      </c>
      <c r="C290" t="str">
        <f t="shared" si="4"/>
        <v/>
      </c>
      <c r="D290" t="s">
        <v>1138</v>
      </c>
    </row>
    <row r="291" spans="1:4">
      <c r="A291" t="s">
        <v>1137</v>
      </c>
      <c r="B291" t="str">
        <f>IF('02_Warehouse_Locations'!A290="","",'02_Warehouse_Locations'!A290)</f>
        <v/>
      </c>
      <c r="C291" t="str">
        <f t="shared" si="4"/>
        <v/>
      </c>
      <c r="D291" t="s">
        <v>1138</v>
      </c>
    </row>
    <row r="292" spans="1:4">
      <c r="A292" t="s">
        <v>1137</v>
      </c>
      <c r="B292" t="str">
        <f>IF('02_Warehouse_Locations'!A291="","",'02_Warehouse_Locations'!A291)</f>
        <v/>
      </c>
      <c r="C292" t="str">
        <f t="shared" si="4"/>
        <v/>
      </c>
      <c r="D292" t="s">
        <v>1138</v>
      </c>
    </row>
    <row r="293" spans="1:4">
      <c r="A293" t="s">
        <v>1137</v>
      </c>
      <c r="B293" t="str">
        <f>IF('02_Warehouse_Locations'!A292="","",'02_Warehouse_Locations'!A292)</f>
        <v/>
      </c>
      <c r="C293" t="str">
        <f t="shared" si="4"/>
        <v/>
      </c>
      <c r="D293" t="s">
        <v>1138</v>
      </c>
    </row>
    <row r="294" spans="1:4">
      <c r="A294" t="s">
        <v>1137</v>
      </c>
      <c r="B294" t="str">
        <f>IF('02_Warehouse_Locations'!A293="","",'02_Warehouse_Locations'!A293)</f>
        <v/>
      </c>
      <c r="C294" t="str">
        <f t="shared" si="4"/>
        <v/>
      </c>
      <c r="D294" t="s">
        <v>1138</v>
      </c>
    </row>
    <row r="295" spans="1:4">
      <c r="A295" t="s">
        <v>1137</v>
      </c>
      <c r="B295" t="str">
        <f>IF('02_Warehouse_Locations'!A294="","",'02_Warehouse_Locations'!A294)</f>
        <v/>
      </c>
      <c r="C295" t="str">
        <f t="shared" si="4"/>
        <v/>
      </c>
      <c r="D295" t="s">
        <v>1138</v>
      </c>
    </row>
    <row r="296" spans="1:4">
      <c r="A296" t="s">
        <v>1137</v>
      </c>
      <c r="B296" t="str">
        <f>IF('02_Warehouse_Locations'!A295="","",'02_Warehouse_Locations'!A295)</f>
        <v/>
      </c>
      <c r="C296" t="str">
        <f t="shared" si="4"/>
        <v/>
      </c>
      <c r="D296" t="s">
        <v>1138</v>
      </c>
    </row>
    <row r="297" spans="1:4">
      <c r="A297" t="s">
        <v>1137</v>
      </c>
      <c r="B297" t="str">
        <f>IF('02_Warehouse_Locations'!A296="","",'02_Warehouse_Locations'!A296)</f>
        <v/>
      </c>
      <c r="C297" t="str">
        <f t="shared" si="4"/>
        <v/>
      </c>
      <c r="D297" t="s">
        <v>1138</v>
      </c>
    </row>
    <row r="298" spans="1:4">
      <c r="A298" t="s">
        <v>1137</v>
      </c>
      <c r="B298" t="str">
        <f>IF('02_Warehouse_Locations'!A297="","",'02_Warehouse_Locations'!A297)</f>
        <v/>
      </c>
      <c r="C298" t="str">
        <f t="shared" si="4"/>
        <v/>
      </c>
      <c r="D298" t="s">
        <v>1138</v>
      </c>
    </row>
    <row r="299" spans="1:4">
      <c r="A299" t="s">
        <v>1137</v>
      </c>
      <c r="B299" t="str">
        <f>IF('02_Warehouse_Locations'!A298="","",'02_Warehouse_Locations'!A298)</f>
        <v/>
      </c>
      <c r="C299" t="str">
        <f t="shared" si="4"/>
        <v/>
      </c>
      <c r="D299" t="s">
        <v>1138</v>
      </c>
    </row>
    <row r="300" spans="1:4">
      <c r="A300" t="s">
        <v>1137</v>
      </c>
      <c r="B300" t="str">
        <f>IF('02_Warehouse_Locations'!A299="","",'02_Warehouse_Locations'!A299)</f>
        <v/>
      </c>
      <c r="C300" t="str">
        <f t="shared" si="4"/>
        <v/>
      </c>
      <c r="D300" t="s">
        <v>1138</v>
      </c>
    </row>
    <row r="301" spans="1:4">
      <c r="A301" t="s">
        <v>1137</v>
      </c>
      <c r="B301" t="str">
        <f>IF('02_Warehouse_Locations'!A300="","",'02_Warehouse_Locations'!A300)</f>
        <v/>
      </c>
      <c r="C301" t="str">
        <f t="shared" si="4"/>
        <v/>
      </c>
      <c r="D301" t="s">
        <v>1138</v>
      </c>
    </row>
    <row r="302" spans="1:4">
      <c r="A302" t="s">
        <v>1137</v>
      </c>
      <c r="B302" t="str">
        <f>IF('02_Warehouse_Locations'!A301="","",'02_Warehouse_Locations'!A301)</f>
        <v/>
      </c>
      <c r="C302" t="str">
        <f t="shared" si="4"/>
        <v/>
      </c>
      <c r="D302" t="s">
        <v>1138</v>
      </c>
    </row>
    <row r="303" spans="1:4">
      <c r="A303" t="s">
        <v>1137</v>
      </c>
      <c r="B303" t="str">
        <f>IF('02_Warehouse_Locations'!A302="","",'02_Warehouse_Locations'!A302)</f>
        <v/>
      </c>
      <c r="C303" t="str">
        <f t="shared" si="4"/>
        <v/>
      </c>
      <c r="D303" t="s">
        <v>1138</v>
      </c>
    </row>
    <row r="304" spans="1:4">
      <c r="A304" t="s">
        <v>1137</v>
      </c>
      <c r="B304" t="str">
        <f>IF('02_Warehouse_Locations'!A303="","",'02_Warehouse_Locations'!A303)</f>
        <v/>
      </c>
      <c r="C304" t="str">
        <f t="shared" si="4"/>
        <v/>
      </c>
      <c r="D304" t="s">
        <v>1138</v>
      </c>
    </row>
    <row r="305" spans="1:4">
      <c r="A305" t="s">
        <v>1137</v>
      </c>
      <c r="B305" t="str">
        <f>IF('02_Warehouse_Locations'!A304="","",'02_Warehouse_Locations'!A304)</f>
        <v/>
      </c>
      <c r="C305" t="str">
        <f t="shared" si="4"/>
        <v/>
      </c>
      <c r="D305" t="s">
        <v>1138</v>
      </c>
    </row>
    <row r="306" spans="1:4">
      <c r="A306" t="s">
        <v>1137</v>
      </c>
      <c r="B306" t="str">
        <f>IF('02_Warehouse_Locations'!A305="","",'02_Warehouse_Locations'!A305)</f>
        <v/>
      </c>
      <c r="C306" t="str">
        <f t="shared" si="4"/>
        <v/>
      </c>
      <c r="D306" t="s">
        <v>1138</v>
      </c>
    </row>
    <row r="307" spans="1:4">
      <c r="A307" t="s">
        <v>1137</v>
      </c>
      <c r="B307" t="str">
        <f>IF('02_Warehouse_Locations'!A306="","",'02_Warehouse_Locations'!A306)</f>
        <v/>
      </c>
      <c r="C307" t="str">
        <f t="shared" si="4"/>
        <v/>
      </c>
      <c r="D307" t="s">
        <v>1138</v>
      </c>
    </row>
    <row r="308" spans="1:4">
      <c r="A308" t="s">
        <v>1137</v>
      </c>
      <c r="B308" t="str">
        <f>IF('02_Warehouse_Locations'!A307="","",'02_Warehouse_Locations'!A307)</f>
        <v/>
      </c>
      <c r="C308" t="str">
        <f t="shared" si="4"/>
        <v/>
      </c>
      <c r="D308" t="s">
        <v>1138</v>
      </c>
    </row>
    <row r="309" spans="1:4">
      <c r="A309" t="s">
        <v>1137</v>
      </c>
      <c r="B309" t="str">
        <f>IF('02_Warehouse_Locations'!A308="","",'02_Warehouse_Locations'!A308)</f>
        <v/>
      </c>
      <c r="C309" t="str">
        <f t="shared" si="4"/>
        <v/>
      </c>
      <c r="D309" t="s">
        <v>1138</v>
      </c>
    </row>
    <row r="310" spans="1:4">
      <c r="A310" t="s">
        <v>1137</v>
      </c>
      <c r="B310" t="str">
        <f>IF('02_Warehouse_Locations'!A309="","",'02_Warehouse_Locations'!A309)</f>
        <v/>
      </c>
      <c r="C310" t="str">
        <f t="shared" si="4"/>
        <v/>
      </c>
      <c r="D310" t="s">
        <v>1138</v>
      </c>
    </row>
    <row r="311" spans="1:4">
      <c r="A311" t="s">
        <v>1137</v>
      </c>
      <c r="B311" t="str">
        <f>IF('02_Warehouse_Locations'!A310="","",'02_Warehouse_Locations'!A310)</f>
        <v/>
      </c>
      <c r="C311" t="str">
        <f t="shared" si="4"/>
        <v/>
      </c>
      <c r="D311" t="s">
        <v>1138</v>
      </c>
    </row>
    <row r="312" spans="1:4">
      <c r="A312" t="s">
        <v>1137</v>
      </c>
      <c r="B312" t="str">
        <f>IF('02_Warehouse_Locations'!A311="","",'02_Warehouse_Locations'!A311)</f>
        <v/>
      </c>
      <c r="C312" t="str">
        <f t="shared" si="4"/>
        <v/>
      </c>
      <c r="D312" t="s">
        <v>1138</v>
      </c>
    </row>
    <row r="313" spans="1:4">
      <c r="A313" t="s">
        <v>1137</v>
      </c>
      <c r="B313" t="str">
        <f>IF('02_Warehouse_Locations'!A312="","",'02_Warehouse_Locations'!A312)</f>
        <v/>
      </c>
      <c r="C313" t="str">
        <f t="shared" si="4"/>
        <v/>
      </c>
      <c r="D313" t="s">
        <v>1138</v>
      </c>
    </row>
    <row r="314" spans="1:4">
      <c r="A314" t="s">
        <v>1137</v>
      </c>
      <c r="B314" t="str">
        <f>IF('02_Warehouse_Locations'!A313="","",'02_Warehouse_Locations'!A313)</f>
        <v/>
      </c>
      <c r="C314" t="str">
        <f t="shared" si="4"/>
        <v/>
      </c>
      <c r="D314" t="s">
        <v>1138</v>
      </c>
    </row>
    <row r="315" spans="1:4">
      <c r="A315" t="s">
        <v>1137</v>
      </c>
      <c r="B315" t="str">
        <f>IF('02_Warehouse_Locations'!A314="","",'02_Warehouse_Locations'!A314)</f>
        <v/>
      </c>
      <c r="C315" t="str">
        <f t="shared" si="4"/>
        <v/>
      </c>
      <c r="D315" t="s">
        <v>1138</v>
      </c>
    </row>
    <row r="316" spans="1:4">
      <c r="A316" t="s">
        <v>1137</v>
      </c>
      <c r="B316" t="str">
        <f>IF('02_Warehouse_Locations'!A315="","",'02_Warehouse_Locations'!A315)</f>
        <v/>
      </c>
      <c r="C316" t="str">
        <f t="shared" si="4"/>
        <v/>
      </c>
      <c r="D316" t="s">
        <v>1138</v>
      </c>
    </row>
    <row r="317" spans="1:4">
      <c r="A317" t="s">
        <v>1137</v>
      </c>
      <c r="B317" t="str">
        <f>IF('02_Warehouse_Locations'!A316="","",'02_Warehouse_Locations'!A316)</f>
        <v/>
      </c>
      <c r="C317" t="str">
        <f t="shared" si="4"/>
        <v/>
      </c>
      <c r="D317" t="s">
        <v>1138</v>
      </c>
    </row>
    <row r="318" spans="1:4">
      <c r="A318" t="s">
        <v>1137</v>
      </c>
      <c r="B318" t="str">
        <f>IF('02_Warehouse_Locations'!A317="","",'02_Warehouse_Locations'!A317)</f>
        <v/>
      </c>
      <c r="C318" t="str">
        <f t="shared" si="4"/>
        <v/>
      </c>
      <c r="D318" t="s">
        <v>1138</v>
      </c>
    </row>
    <row r="319" spans="1:4">
      <c r="A319" t="s">
        <v>1137</v>
      </c>
      <c r="B319" t="str">
        <f>IF('02_Warehouse_Locations'!A318="","",'02_Warehouse_Locations'!A318)</f>
        <v/>
      </c>
      <c r="C319" t="str">
        <f t="shared" si="4"/>
        <v/>
      </c>
      <c r="D319" t="s">
        <v>1138</v>
      </c>
    </row>
    <row r="320" spans="1:4">
      <c r="A320" t="s">
        <v>1137</v>
      </c>
      <c r="B320" t="str">
        <f>IF('02_Warehouse_Locations'!A319="","",'02_Warehouse_Locations'!A319)</f>
        <v/>
      </c>
      <c r="C320" t="str">
        <f t="shared" si="4"/>
        <v/>
      </c>
      <c r="D320" t="s">
        <v>1138</v>
      </c>
    </row>
    <row r="321" spans="1:4">
      <c r="A321" t="s">
        <v>1137</v>
      </c>
      <c r="B321" t="str">
        <f>IF('02_Warehouse_Locations'!A320="","",'02_Warehouse_Locations'!A320)</f>
        <v/>
      </c>
      <c r="C321" t="str">
        <f t="shared" si="4"/>
        <v/>
      </c>
      <c r="D321" t="s">
        <v>1138</v>
      </c>
    </row>
    <row r="322" spans="1:4">
      <c r="A322" t="s">
        <v>1137</v>
      </c>
      <c r="B322" t="str">
        <f>IF('02_Warehouse_Locations'!A321="","",'02_Warehouse_Locations'!A321)</f>
        <v/>
      </c>
      <c r="C322" t="str">
        <f t="shared" si="4"/>
        <v/>
      </c>
      <c r="D322" t="s">
        <v>1138</v>
      </c>
    </row>
    <row r="323" spans="1:4">
      <c r="A323" t="s">
        <v>1137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1138</v>
      </c>
    </row>
    <row r="324" spans="1:4">
      <c r="A324" t="s">
        <v>1137</v>
      </c>
      <c r="B324" t="str">
        <f>IF('02_Warehouse_Locations'!A323="","",'02_Warehouse_Locations'!A323)</f>
        <v/>
      </c>
      <c r="C324" t="str">
        <f t="shared" si="5"/>
        <v/>
      </c>
      <c r="D324" t="s">
        <v>1138</v>
      </c>
    </row>
    <row r="325" spans="1:4">
      <c r="A325" t="s">
        <v>1137</v>
      </c>
      <c r="B325" t="str">
        <f>IF('02_Warehouse_Locations'!A324="","",'02_Warehouse_Locations'!A324)</f>
        <v/>
      </c>
      <c r="C325" t="str">
        <f t="shared" si="5"/>
        <v/>
      </c>
      <c r="D325" t="s">
        <v>1138</v>
      </c>
    </row>
    <row r="326" spans="1:4">
      <c r="A326" t="s">
        <v>1137</v>
      </c>
      <c r="B326" t="str">
        <f>IF('02_Warehouse_Locations'!A325="","",'02_Warehouse_Locations'!A325)</f>
        <v/>
      </c>
      <c r="C326" t="str">
        <f t="shared" si="5"/>
        <v/>
      </c>
      <c r="D326" t="s">
        <v>1138</v>
      </c>
    </row>
    <row r="327" spans="1:4">
      <c r="A327" t="s">
        <v>1137</v>
      </c>
      <c r="B327" t="str">
        <f>IF('02_Warehouse_Locations'!A326="","",'02_Warehouse_Locations'!A326)</f>
        <v/>
      </c>
      <c r="C327" t="str">
        <f t="shared" si="5"/>
        <v/>
      </c>
      <c r="D327" t="s">
        <v>1138</v>
      </c>
    </row>
    <row r="328" spans="1:4">
      <c r="A328" t="s">
        <v>1137</v>
      </c>
      <c r="B328" t="str">
        <f>IF('02_Warehouse_Locations'!A327="","",'02_Warehouse_Locations'!A327)</f>
        <v/>
      </c>
      <c r="C328" t="str">
        <f t="shared" si="5"/>
        <v/>
      </c>
      <c r="D328" t="s">
        <v>1138</v>
      </c>
    </row>
    <row r="329" spans="1:4">
      <c r="A329" t="s">
        <v>1137</v>
      </c>
      <c r="B329" t="str">
        <f>IF('02_Warehouse_Locations'!A328="","",'02_Warehouse_Locations'!A328)</f>
        <v/>
      </c>
      <c r="C329" t="str">
        <f t="shared" si="5"/>
        <v/>
      </c>
      <c r="D329" t="s">
        <v>1138</v>
      </c>
    </row>
    <row r="330" spans="1:4">
      <c r="A330" t="s">
        <v>1137</v>
      </c>
      <c r="B330" t="str">
        <f>IF('02_Warehouse_Locations'!A329="","",'02_Warehouse_Locations'!A329)</f>
        <v/>
      </c>
      <c r="C330" t="str">
        <f t="shared" si="5"/>
        <v/>
      </c>
      <c r="D330" t="s">
        <v>1138</v>
      </c>
    </row>
    <row r="331" spans="1:4">
      <c r="A331" t="s">
        <v>1137</v>
      </c>
      <c r="B331" t="str">
        <f>IF('02_Warehouse_Locations'!A330="","",'02_Warehouse_Locations'!A330)</f>
        <v/>
      </c>
      <c r="C331" t="str">
        <f t="shared" si="5"/>
        <v/>
      </c>
      <c r="D331" t="s">
        <v>1138</v>
      </c>
    </row>
    <row r="332" spans="1:4">
      <c r="A332" t="s">
        <v>1137</v>
      </c>
      <c r="B332" t="str">
        <f>IF('02_Warehouse_Locations'!A331="","",'02_Warehouse_Locations'!A331)</f>
        <v/>
      </c>
      <c r="C332" t="str">
        <f t="shared" si="5"/>
        <v/>
      </c>
      <c r="D332" t="s">
        <v>1138</v>
      </c>
    </row>
    <row r="333" spans="1:4">
      <c r="A333" t="s">
        <v>1137</v>
      </c>
      <c r="B333" t="str">
        <f>IF('02_Warehouse_Locations'!A332="","",'02_Warehouse_Locations'!A332)</f>
        <v/>
      </c>
      <c r="C333" t="str">
        <f t="shared" si="5"/>
        <v/>
      </c>
      <c r="D333" t="s">
        <v>1138</v>
      </c>
    </row>
    <row r="334" spans="1:4">
      <c r="A334" t="s">
        <v>1137</v>
      </c>
      <c r="B334" t="str">
        <f>IF('02_Warehouse_Locations'!A333="","",'02_Warehouse_Locations'!A333)</f>
        <v/>
      </c>
      <c r="C334" t="str">
        <f t="shared" si="5"/>
        <v/>
      </c>
      <c r="D334" t="s">
        <v>1138</v>
      </c>
    </row>
    <row r="335" spans="1:4">
      <c r="A335" t="s">
        <v>1137</v>
      </c>
      <c r="B335" t="str">
        <f>IF('02_Warehouse_Locations'!A334="","",'02_Warehouse_Locations'!A334)</f>
        <v/>
      </c>
      <c r="C335" t="str">
        <f t="shared" si="5"/>
        <v/>
      </c>
      <c r="D335" t="s">
        <v>1138</v>
      </c>
    </row>
    <row r="336" spans="1:4">
      <c r="A336" t="s">
        <v>1137</v>
      </c>
      <c r="B336" t="str">
        <f>IF('02_Warehouse_Locations'!A335="","",'02_Warehouse_Locations'!A335)</f>
        <v/>
      </c>
      <c r="C336" t="str">
        <f t="shared" si="5"/>
        <v/>
      </c>
      <c r="D336" t="s">
        <v>1138</v>
      </c>
    </row>
    <row r="337" spans="1:4">
      <c r="A337" t="s">
        <v>1137</v>
      </c>
      <c r="B337" t="str">
        <f>IF('02_Warehouse_Locations'!A336="","",'02_Warehouse_Locations'!A336)</f>
        <v/>
      </c>
      <c r="C337" t="str">
        <f t="shared" si="5"/>
        <v/>
      </c>
      <c r="D337" t="s">
        <v>1138</v>
      </c>
    </row>
    <row r="338" spans="1:4">
      <c r="A338" t="s">
        <v>1137</v>
      </c>
      <c r="B338" t="str">
        <f>IF('02_Warehouse_Locations'!A337="","",'02_Warehouse_Locations'!A337)</f>
        <v/>
      </c>
      <c r="C338" t="str">
        <f t="shared" si="5"/>
        <v/>
      </c>
      <c r="D338" t="s">
        <v>1138</v>
      </c>
    </row>
    <row r="339" spans="1:4">
      <c r="A339" t="s">
        <v>1137</v>
      </c>
      <c r="B339" t="str">
        <f>IF('02_Warehouse_Locations'!A338="","",'02_Warehouse_Locations'!A338)</f>
        <v/>
      </c>
      <c r="C339" t="str">
        <f t="shared" si="5"/>
        <v/>
      </c>
      <c r="D339" t="s">
        <v>1138</v>
      </c>
    </row>
    <row r="340" spans="1:4">
      <c r="A340" t="s">
        <v>1137</v>
      </c>
      <c r="B340" t="str">
        <f>IF('02_Warehouse_Locations'!A339="","",'02_Warehouse_Locations'!A339)</f>
        <v/>
      </c>
      <c r="C340" t="str">
        <f t="shared" si="5"/>
        <v/>
      </c>
      <c r="D340" t="s">
        <v>1138</v>
      </c>
    </row>
    <row r="341" spans="1:4">
      <c r="A341" t="s">
        <v>1137</v>
      </c>
      <c r="B341" t="str">
        <f>IF('02_Warehouse_Locations'!A340="","",'02_Warehouse_Locations'!A340)</f>
        <v/>
      </c>
      <c r="C341" t="str">
        <f t="shared" si="5"/>
        <v/>
      </c>
      <c r="D341" t="s">
        <v>1138</v>
      </c>
    </row>
    <row r="342" spans="1:4">
      <c r="A342" t="s">
        <v>1137</v>
      </c>
      <c r="B342" t="str">
        <f>IF('02_Warehouse_Locations'!A341="","",'02_Warehouse_Locations'!A341)</f>
        <v/>
      </c>
      <c r="C342" t="str">
        <f t="shared" si="5"/>
        <v/>
      </c>
      <c r="D342" t="s">
        <v>1138</v>
      </c>
    </row>
    <row r="343" spans="1:4">
      <c r="A343" t="s">
        <v>1137</v>
      </c>
      <c r="B343" t="str">
        <f>IF('02_Warehouse_Locations'!A342="","",'02_Warehouse_Locations'!A342)</f>
        <v/>
      </c>
      <c r="C343" t="str">
        <f t="shared" si="5"/>
        <v/>
      </c>
      <c r="D343" t="s">
        <v>1138</v>
      </c>
    </row>
    <row r="344" spans="1:4">
      <c r="A344" t="s">
        <v>1137</v>
      </c>
      <c r="B344" t="str">
        <f>IF('02_Warehouse_Locations'!A343="","",'02_Warehouse_Locations'!A343)</f>
        <v/>
      </c>
      <c r="C344" t="str">
        <f t="shared" si="5"/>
        <v/>
      </c>
      <c r="D344" t="s">
        <v>1138</v>
      </c>
    </row>
    <row r="345" spans="1:4">
      <c r="A345" t="s">
        <v>1137</v>
      </c>
      <c r="B345" t="str">
        <f>IF('02_Warehouse_Locations'!A344="","",'02_Warehouse_Locations'!A344)</f>
        <v/>
      </c>
      <c r="C345" t="str">
        <f t="shared" si="5"/>
        <v/>
      </c>
      <c r="D345" t="s">
        <v>1138</v>
      </c>
    </row>
    <row r="346" spans="1:4">
      <c r="A346" t="s">
        <v>1137</v>
      </c>
      <c r="B346" t="str">
        <f>IF('02_Warehouse_Locations'!A345="","",'02_Warehouse_Locations'!A345)</f>
        <v/>
      </c>
      <c r="C346" t="str">
        <f t="shared" si="5"/>
        <v/>
      </c>
      <c r="D346" t="s">
        <v>1138</v>
      </c>
    </row>
    <row r="347" spans="1:4">
      <c r="A347" t="s">
        <v>1137</v>
      </c>
      <c r="B347" t="str">
        <f>IF('02_Warehouse_Locations'!A346="","",'02_Warehouse_Locations'!A346)</f>
        <v/>
      </c>
      <c r="C347" t="str">
        <f t="shared" si="5"/>
        <v/>
      </c>
      <c r="D347" t="s">
        <v>1138</v>
      </c>
    </row>
    <row r="348" spans="1:4">
      <c r="A348" t="s">
        <v>1137</v>
      </c>
      <c r="B348" t="str">
        <f>IF('02_Warehouse_Locations'!A347="","",'02_Warehouse_Locations'!A347)</f>
        <v/>
      </c>
      <c r="C348" t="str">
        <f t="shared" si="5"/>
        <v/>
      </c>
      <c r="D348" t="s">
        <v>1138</v>
      </c>
    </row>
    <row r="349" spans="1:4">
      <c r="A349" t="s">
        <v>1137</v>
      </c>
      <c r="B349" t="str">
        <f>IF('02_Warehouse_Locations'!A348="","",'02_Warehouse_Locations'!A348)</f>
        <v/>
      </c>
      <c r="C349" t="str">
        <f t="shared" si="5"/>
        <v/>
      </c>
      <c r="D349" t="s">
        <v>1138</v>
      </c>
    </row>
    <row r="350" spans="1:4">
      <c r="A350" t="s">
        <v>1137</v>
      </c>
      <c r="B350" t="str">
        <f>IF('02_Warehouse_Locations'!A349="","",'02_Warehouse_Locations'!A349)</f>
        <v/>
      </c>
      <c r="C350" t="str">
        <f t="shared" si="5"/>
        <v/>
      </c>
      <c r="D350" t="s">
        <v>1138</v>
      </c>
    </row>
    <row r="351" spans="1:4">
      <c r="A351" t="s">
        <v>1137</v>
      </c>
      <c r="B351" t="str">
        <f>IF('02_Warehouse_Locations'!A350="","",'02_Warehouse_Locations'!A350)</f>
        <v/>
      </c>
      <c r="C351" t="str">
        <f t="shared" si="5"/>
        <v/>
      </c>
      <c r="D351" t="s">
        <v>1138</v>
      </c>
    </row>
    <row r="352" spans="1:4">
      <c r="A352" t="s">
        <v>1137</v>
      </c>
      <c r="B352" t="str">
        <f>IF('02_Warehouse_Locations'!A351="","",'02_Warehouse_Locations'!A351)</f>
        <v/>
      </c>
      <c r="C352" t="str">
        <f t="shared" si="5"/>
        <v/>
      </c>
      <c r="D352" t="s">
        <v>1138</v>
      </c>
    </row>
    <row r="353" spans="1:4">
      <c r="A353" t="s">
        <v>1137</v>
      </c>
      <c r="B353" t="str">
        <f>IF('02_Warehouse_Locations'!A352="","",'02_Warehouse_Locations'!A352)</f>
        <v/>
      </c>
      <c r="C353" t="str">
        <f t="shared" si="5"/>
        <v/>
      </c>
      <c r="D353" t="s">
        <v>1138</v>
      </c>
    </row>
    <row r="354" spans="1:4">
      <c r="A354" t="s">
        <v>1137</v>
      </c>
      <c r="B354" t="str">
        <f>IF('02_Warehouse_Locations'!A353="","",'02_Warehouse_Locations'!A353)</f>
        <v/>
      </c>
      <c r="C354" t="str">
        <f t="shared" si="5"/>
        <v/>
      </c>
      <c r="D354" t="s">
        <v>1138</v>
      </c>
    </row>
    <row r="355" spans="1:4">
      <c r="A355" t="s">
        <v>1137</v>
      </c>
      <c r="B355" t="str">
        <f>IF('02_Warehouse_Locations'!A354="","",'02_Warehouse_Locations'!A354)</f>
        <v/>
      </c>
      <c r="C355" t="str">
        <f t="shared" si="5"/>
        <v/>
      </c>
      <c r="D355" t="s">
        <v>1138</v>
      </c>
    </row>
    <row r="356" spans="1:4">
      <c r="A356" t="s">
        <v>1137</v>
      </c>
      <c r="B356" t="str">
        <f>IF('02_Warehouse_Locations'!A355="","",'02_Warehouse_Locations'!A355)</f>
        <v/>
      </c>
      <c r="C356" t="str">
        <f t="shared" si="5"/>
        <v/>
      </c>
      <c r="D356" t="s">
        <v>1138</v>
      </c>
    </row>
    <row r="357" spans="1:4">
      <c r="A357" t="s">
        <v>1137</v>
      </c>
      <c r="B357" t="str">
        <f>IF('02_Warehouse_Locations'!A356="","",'02_Warehouse_Locations'!A356)</f>
        <v/>
      </c>
      <c r="C357" t="str">
        <f t="shared" si="5"/>
        <v/>
      </c>
      <c r="D357" t="s">
        <v>1138</v>
      </c>
    </row>
    <row r="358" spans="1:4">
      <c r="A358" t="s">
        <v>1137</v>
      </c>
      <c r="B358" t="str">
        <f>IF('02_Warehouse_Locations'!A357="","",'02_Warehouse_Locations'!A357)</f>
        <v/>
      </c>
      <c r="C358" t="str">
        <f t="shared" si="5"/>
        <v/>
      </c>
      <c r="D358" t="s">
        <v>1138</v>
      </c>
    </row>
    <row r="359" spans="1:4">
      <c r="A359" t="s">
        <v>1137</v>
      </c>
      <c r="B359" t="str">
        <f>IF('02_Warehouse_Locations'!A358="","",'02_Warehouse_Locations'!A358)</f>
        <v/>
      </c>
      <c r="C359" t="str">
        <f t="shared" si="5"/>
        <v/>
      </c>
      <c r="D359" t="s">
        <v>1138</v>
      </c>
    </row>
    <row r="360" spans="1:4">
      <c r="A360" t="s">
        <v>1137</v>
      </c>
      <c r="B360" t="str">
        <f>IF('02_Warehouse_Locations'!A359="","",'02_Warehouse_Locations'!A359)</f>
        <v/>
      </c>
      <c r="C360" t="str">
        <f t="shared" si="5"/>
        <v/>
      </c>
      <c r="D360" t="s">
        <v>1138</v>
      </c>
    </row>
    <row r="361" spans="1:4">
      <c r="A361" t="s">
        <v>1137</v>
      </c>
      <c r="B361" t="str">
        <f>IF('02_Warehouse_Locations'!A360="","",'02_Warehouse_Locations'!A360)</f>
        <v/>
      </c>
      <c r="C361" t="str">
        <f t="shared" si="5"/>
        <v/>
      </c>
      <c r="D361" t="s">
        <v>1138</v>
      </c>
    </row>
    <row r="362" spans="1:4">
      <c r="A362" t="s">
        <v>1137</v>
      </c>
      <c r="B362" t="str">
        <f>IF('02_Warehouse_Locations'!A361="","",'02_Warehouse_Locations'!A361)</f>
        <v/>
      </c>
      <c r="C362" t="str">
        <f t="shared" si="5"/>
        <v/>
      </c>
      <c r="D362" t="s">
        <v>1138</v>
      </c>
    </row>
    <row r="363" spans="1:4">
      <c r="A363" t="s">
        <v>1137</v>
      </c>
      <c r="B363" t="str">
        <f>IF('02_Warehouse_Locations'!A362="","",'02_Warehouse_Locations'!A362)</f>
        <v/>
      </c>
      <c r="C363" t="str">
        <f t="shared" si="5"/>
        <v/>
      </c>
      <c r="D363" t="s">
        <v>1138</v>
      </c>
    </row>
    <row r="364" spans="1:4">
      <c r="A364" t="s">
        <v>1137</v>
      </c>
      <c r="B364" t="str">
        <f>IF('02_Warehouse_Locations'!A363="","",'02_Warehouse_Locations'!A363)</f>
        <v/>
      </c>
      <c r="C364" t="str">
        <f t="shared" si="5"/>
        <v/>
      </c>
      <c r="D364" t="s">
        <v>1138</v>
      </c>
    </row>
    <row r="365" spans="1:4">
      <c r="A365" t="s">
        <v>1137</v>
      </c>
      <c r="B365" t="str">
        <f>IF('02_Warehouse_Locations'!A364="","",'02_Warehouse_Locations'!A364)</f>
        <v/>
      </c>
      <c r="C365" t="str">
        <f t="shared" si="5"/>
        <v/>
      </c>
      <c r="D365" t="s">
        <v>1138</v>
      </c>
    </row>
    <row r="366" spans="1:4">
      <c r="A366" t="s">
        <v>1137</v>
      </c>
      <c r="B366" t="str">
        <f>IF('02_Warehouse_Locations'!A365="","",'02_Warehouse_Locations'!A365)</f>
        <v/>
      </c>
      <c r="C366" t="str">
        <f t="shared" si="5"/>
        <v/>
      </c>
      <c r="D366" t="s">
        <v>1138</v>
      </c>
    </row>
    <row r="367" spans="1:4">
      <c r="A367" t="s">
        <v>1137</v>
      </c>
      <c r="B367" t="str">
        <f>IF('02_Warehouse_Locations'!A366="","",'02_Warehouse_Locations'!A366)</f>
        <v/>
      </c>
      <c r="C367" t="str">
        <f t="shared" si="5"/>
        <v/>
      </c>
      <c r="D367" t="s">
        <v>1138</v>
      </c>
    </row>
    <row r="368" spans="1:4">
      <c r="A368" t="s">
        <v>1137</v>
      </c>
      <c r="B368" t="str">
        <f>IF('02_Warehouse_Locations'!A367="","",'02_Warehouse_Locations'!A367)</f>
        <v/>
      </c>
      <c r="C368" t="str">
        <f t="shared" si="5"/>
        <v/>
      </c>
      <c r="D368" t="s">
        <v>1138</v>
      </c>
    </row>
    <row r="369" spans="1:4">
      <c r="A369" t="s">
        <v>1137</v>
      </c>
      <c r="B369" t="str">
        <f>IF('02_Warehouse_Locations'!A368="","",'02_Warehouse_Locations'!A368)</f>
        <v/>
      </c>
      <c r="C369" t="str">
        <f t="shared" si="5"/>
        <v/>
      </c>
      <c r="D369" t="s">
        <v>1138</v>
      </c>
    </row>
    <row r="370" spans="1:4">
      <c r="A370" t="s">
        <v>1137</v>
      </c>
      <c r="B370" t="str">
        <f>IF('02_Warehouse_Locations'!A369="","",'02_Warehouse_Locations'!A369)</f>
        <v/>
      </c>
      <c r="C370" t="str">
        <f t="shared" si="5"/>
        <v/>
      </c>
      <c r="D370" t="s">
        <v>1138</v>
      </c>
    </row>
    <row r="371" spans="1:4">
      <c r="A371" t="s">
        <v>1137</v>
      </c>
      <c r="B371" t="str">
        <f>IF('02_Warehouse_Locations'!A370="","",'02_Warehouse_Locations'!A370)</f>
        <v/>
      </c>
      <c r="C371" t="str">
        <f t="shared" si="5"/>
        <v/>
      </c>
      <c r="D371" t="s">
        <v>1138</v>
      </c>
    </row>
    <row r="372" spans="1:4">
      <c r="A372" t="s">
        <v>1137</v>
      </c>
      <c r="B372" t="str">
        <f>IF('02_Warehouse_Locations'!A371="","",'02_Warehouse_Locations'!A371)</f>
        <v/>
      </c>
      <c r="C372" t="str">
        <f t="shared" si="5"/>
        <v/>
      </c>
      <c r="D372" t="s">
        <v>1138</v>
      </c>
    </row>
    <row r="373" spans="1:4">
      <c r="A373" t="s">
        <v>1137</v>
      </c>
      <c r="B373" t="str">
        <f>IF('02_Warehouse_Locations'!A372="","",'02_Warehouse_Locations'!A372)</f>
        <v/>
      </c>
      <c r="C373" t="str">
        <f t="shared" si="5"/>
        <v/>
      </c>
      <c r="D373" t="s">
        <v>1138</v>
      </c>
    </row>
    <row r="374" spans="1:4">
      <c r="A374" t="s">
        <v>1137</v>
      </c>
      <c r="B374" t="str">
        <f>IF('02_Warehouse_Locations'!A373="","",'02_Warehouse_Locations'!A373)</f>
        <v/>
      </c>
      <c r="C374" t="str">
        <f t="shared" si="5"/>
        <v/>
      </c>
      <c r="D374" t="s">
        <v>1138</v>
      </c>
    </row>
    <row r="375" spans="1:4">
      <c r="A375" t="s">
        <v>1137</v>
      </c>
      <c r="B375" t="str">
        <f>IF('02_Warehouse_Locations'!A374="","",'02_Warehouse_Locations'!A374)</f>
        <v/>
      </c>
      <c r="C375" t="str">
        <f t="shared" si="5"/>
        <v/>
      </c>
      <c r="D375" t="s">
        <v>1138</v>
      </c>
    </row>
    <row r="376" spans="1:4">
      <c r="A376" t="s">
        <v>1137</v>
      </c>
      <c r="B376" t="str">
        <f>IF('02_Warehouse_Locations'!A375="","",'02_Warehouse_Locations'!A375)</f>
        <v/>
      </c>
      <c r="C376" t="str">
        <f t="shared" si="5"/>
        <v/>
      </c>
      <c r="D376" t="s">
        <v>1138</v>
      </c>
    </row>
    <row r="377" spans="1:4">
      <c r="A377" t="s">
        <v>1137</v>
      </c>
      <c r="B377" t="str">
        <f>IF('02_Warehouse_Locations'!A376="","",'02_Warehouse_Locations'!A376)</f>
        <v/>
      </c>
      <c r="C377" t="str">
        <f t="shared" si="5"/>
        <v/>
      </c>
      <c r="D377" t="s">
        <v>1138</v>
      </c>
    </row>
    <row r="378" spans="1:4">
      <c r="A378" t="s">
        <v>1137</v>
      </c>
      <c r="B378" t="str">
        <f>IF('02_Warehouse_Locations'!A377="","",'02_Warehouse_Locations'!A377)</f>
        <v/>
      </c>
      <c r="C378" t="str">
        <f t="shared" si="5"/>
        <v/>
      </c>
      <c r="D378" t="s">
        <v>1138</v>
      </c>
    </row>
    <row r="379" spans="1:4">
      <c r="A379" t="s">
        <v>1137</v>
      </c>
      <c r="B379" t="str">
        <f>IF('02_Warehouse_Locations'!A378="","",'02_Warehouse_Locations'!A378)</f>
        <v/>
      </c>
      <c r="C379" t="str">
        <f t="shared" si="5"/>
        <v/>
      </c>
      <c r="D379" t="s">
        <v>1138</v>
      </c>
    </row>
    <row r="380" spans="1:4">
      <c r="A380" t="s">
        <v>1137</v>
      </c>
      <c r="B380" t="str">
        <f>IF('02_Warehouse_Locations'!A379="","",'02_Warehouse_Locations'!A379)</f>
        <v/>
      </c>
      <c r="C380" t="str">
        <f t="shared" si="5"/>
        <v/>
      </c>
      <c r="D380" t="s">
        <v>1138</v>
      </c>
    </row>
    <row r="381" spans="1:4">
      <c r="A381" t="s">
        <v>1137</v>
      </c>
      <c r="B381" t="str">
        <f>IF('02_Warehouse_Locations'!A380="","",'02_Warehouse_Locations'!A380)</f>
        <v/>
      </c>
      <c r="C381" t="str">
        <f t="shared" si="5"/>
        <v/>
      </c>
      <c r="D381" t="s">
        <v>1138</v>
      </c>
    </row>
    <row r="382" spans="1:4">
      <c r="A382" t="s">
        <v>1137</v>
      </c>
      <c r="B382" t="str">
        <f>IF('02_Warehouse_Locations'!A381="","",'02_Warehouse_Locations'!A381)</f>
        <v/>
      </c>
      <c r="C382" t="str">
        <f t="shared" si="5"/>
        <v/>
      </c>
      <c r="D382" t="s">
        <v>1138</v>
      </c>
    </row>
    <row r="383" spans="1:4">
      <c r="A383" t="s">
        <v>1137</v>
      </c>
      <c r="B383" t="str">
        <f>IF('02_Warehouse_Locations'!A382="","",'02_Warehouse_Locations'!A382)</f>
        <v/>
      </c>
      <c r="C383" t="str">
        <f t="shared" si="5"/>
        <v/>
      </c>
      <c r="D383" t="s">
        <v>1138</v>
      </c>
    </row>
    <row r="384" spans="1:4">
      <c r="A384" t="s">
        <v>1137</v>
      </c>
      <c r="B384" t="str">
        <f>IF('02_Warehouse_Locations'!A383="","",'02_Warehouse_Locations'!A383)</f>
        <v/>
      </c>
      <c r="C384" t="str">
        <f t="shared" si="5"/>
        <v/>
      </c>
      <c r="D384" t="s">
        <v>1138</v>
      </c>
    </row>
    <row r="385" spans="1:4">
      <c r="A385" t="s">
        <v>1137</v>
      </c>
      <c r="B385" t="str">
        <f>IF('02_Warehouse_Locations'!A384="","",'02_Warehouse_Locations'!A384)</f>
        <v/>
      </c>
      <c r="C385" t="str">
        <f t="shared" si="5"/>
        <v/>
      </c>
      <c r="D385" t="s">
        <v>1138</v>
      </c>
    </row>
    <row r="386" spans="1:4">
      <c r="A386" t="s">
        <v>1137</v>
      </c>
      <c r="B386" t="str">
        <f>IF('02_Warehouse_Locations'!A385="","",'02_Warehouse_Locations'!A385)</f>
        <v/>
      </c>
      <c r="C386" t="str">
        <f t="shared" si="5"/>
        <v/>
      </c>
      <c r="D386" t="s">
        <v>1138</v>
      </c>
    </row>
    <row r="387" spans="1:4">
      <c r="A387" t="s">
        <v>1137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1138</v>
      </c>
    </row>
    <row r="388" spans="1:4">
      <c r="A388" t="s">
        <v>1137</v>
      </c>
      <c r="B388" t="str">
        <f>IF('02_Warehouse_Locations'!A387="","",'02_Warehouse_Locations'!A387)</f>
        <v/>
      </c>
      <c r="C388" t="str">
        <f t="shared" si="6"/>
        <v/>
      </c>
      <c r="D388" t="s">
        <v>1138</v>
      </c>
    </row>
    <row r="389" spans="1:4">
      <c r="A389" t="s">
        <v>1137</v>
      </c>
      <c r="B389" t="str">
        <f>IF('02_Warehouse_Locations'!A388="","",'02_Warehouse_Locations'!A388)</f>
        <v/>
      </c>
      <c r="C389" t="str">
        <f t="shared" si="6"/>
        <v/>
      </c>
      <c r="D389" t="s">
        <v>1138</v>
      </c>
    </row>
    <row r="390" spans="1:4">
      <c r="A390" t="s">
        <v>1137</v>
      </c>
      <c r="B390" t="str">
        <f>IF('02_Warehouse_Locations'!A389="","",'02_Warehouse_Locations'!A389)</f>
        <v/>
      </c>
      <c r="C390" t="str">
        <f t="shared" si="6"/>
        <v/>
      </c>
      <c r="D390" t="s">
        <v>1138</v>
      </c>
    </row>
    <row r="391" spans="1:4">
      <c r="A391" t="s">
        <v>1137</v>
      </c>
      <c r="B391" t="str">
        <f>IF('02_Warehouse_Locations'!A390="","",'02_Warehouse_Locations'!A390)</f>
        <v/>
      </c>
      <c r="C391" t="str">
        <f t="shared" si="6"/>
        <v/>
      </c>
      <c r="D391" t="s">
        <v>1138</v>
      </c>
    </row>
    <row r="392" spans="1:4">
      <c r="A392" t="s">
        <v>1137</v>
      </c>
      <c r="B392" t="str">
        <f>IF('02_Warehouse_Locations'!A391="","",'02_Warehouse_Locations'!A391)</f>
        <v/>
      </c>
      <c r="C392" t="str">
        <f t="shared" si="6"/>
        <v/>
      </c>
      <c r="D392" t="s">
        <v>1138</v>
      </c>
    </row>
    <row r="393" spans="1:4">
      <c r="A393" t="s">
        <v>1137</v>
      </c>
      <c r="B393" t="str">
        <f>IF('02_Warehouse_Locations'!A392="","",'02_Warehouse_Locations'!A392)</f>
        <v/>
      </c>
      <c r="C393" t="str">
        <f t="shared" si="6"/>
        <v/>
      </c>
      <c r="D393" t="s">
        <v>1138</v>
      </c>
    </row>
    <row r="394" spans="1:4">
      <c r="A394" t="s">
        <v>1137</v>
      </c>
      <c r="B394" t="str">
        <f>IF('02_Warehouse_Locations'!A393="","",'02_Warehouse_Locations'!A393)</f>
        <v/>
      </c>
      <c r="C394" t="str">
        <f t="shared" si="6"/>
        <v/>
      </c>
      <c r="D394" t="s">
        <v>1138</v>
      </c>
    </row>
    <row r="395" spans="1:4">
      <c r="A395" t="s">
        <v>1137</v>
      </c>
      <c r="B395" t="str">
        <f>IF('02_Warehouse_Locations'!A394="","",'02_Warehouse_Locations'!A394)</f>
        <v/>
      </c>
      <c r="C395" t="str">
        <f t="shared" si="6"/>
        <v/>
      </c>
      <c r="D395" t="s">
        <v>1138</v>
      </c>
    </row>
    <row r="396" spans="1:4">
      <c r="A396" t="s">
        <v>1137</v>
      </c>
      <c r="B396" t="str">
        <f>IF('02_Warehouse_Locations'!A395="","",'02_Warehouse_Locations'!A395)</f>
        <v/>
      </c>
      <c r="C396" t="str">
        <f t="shared" si="6"/>
        <v/>
      </c>
      <c r="D396" t="s">
        <v>1138</v>
      </c>
    </row>
    <row r="397" spans="1:4">
      <c r="A397" t="s">
        <v>1137</v>
      </c>
      <c r="B397" t="str">
        <f>IF('02_Warehouse_Locations'!A396="","",'02_Warehouse_Locations'!A396)</f>
        <v/>
      </c>
      <c r="C397" t="str">
        <f t="shared" si="6"/>
        <v/>
      </c>
      <c r="D397" t="s">
        <v>1138</v>
      </c>
    </row>
    <row r="398" spans="1:4">
      <c r="A398" t="s">
        <v>1137</v>
      </c>
      <c r="B398" t="str">
        <f>IF('02_Warehouse_Locations'!A397="","",'02_Warehouse_Locations'!A397)</f>
        <v/>
      </c>
      <c r="C398" t="str">
        <f t="shared" si="6"/>
        <v/>
      </c>
      <c r="D398" t="s">
        <v>1138</v>
      </c>
    </row>
    <row r="399" spans="1:4">
      <c r="A399" t="s">
        <v>1137</v>
      </c>
      <c r="B399" t="str">
        <f>IF('02_Warehouse_Locations'!A398="","",'02_Warehouse_Locations'!A398)</f>
        <v/>
      </c>
      <c r="C399" t="str">
        <f t="shared" si="6"/>
        <v/>
      </c>
      <c r="D399" t="s">
        <v>1138</v>
      </c>
    </row>
    <row r="400" spans="1:4">
      <c r="A400" t="s">
        <v>1137</v>
      </c>
      <c r="B400" t="str">
        <f>IF('02_Warehouse_Locations'!A399="","",'02_Warehouse_Locations'!A399)</f>
        <v/>
      </c>
      <c r="C400" t="str">
        <f t="shared" si="6"/>
        <v/>
      </c>
      <c r="D400" t="s">
        <v>1138</v>
      </c>
    </row>
    <row r="401" spans="1:4">
      <c r="A401" t="s">
        <v>1137</v>
      </c>
      <c r="B401" t="str">
        <f>IF('02_Warehouse_Locations'!A400="","",'02_Warehouse_Locations'!A400)</f>
        <v/>
      </c>
      <c r="C401" t="str">
        <f t="shared" si="6"/>
        <v/>
      </c>
      <c r="D401" t="s">
        <v>1138</v>
      </c>
    </row>
    <row r="402" spans="1:4">
      <c r="A402" t="s">
        <v>1137</v>
      </c>
      <c r="B402" t="str">
        <f>IF('02_Warehouse_Locations'!A401="","",'02_Warehouse_Locations'!A401)</f>
        <v/>
      </c>
      <c r="C402" t="str">
        <f t="shared" si="6"/>
        <v/>
      </c>
      <c r="D402" t="s">
        <v>1138</v>
      </c>
    </row>
    <row r="403" spans="1:4">
      <c r="A403" t="s">
        <v>1137</v>
      </c>
      <c r="B403" t="str">
        <f>IF('02_Warehouse_Locations'!A402="","",'02_Warehouse_Locations'!A402)</f>
        <v/>
      </c>
      <c r="C403" t="str">
        <f t="shared" si="6"/>
        <v/>
      </c>
      <c r="D403" t="s">
        <v>1138</v>
      </c>
    </row>
    <row r="404" spans="1:4">
      <c r="A404" t="s">
        <v>1137</v>
      </c>
      <c r="B404" t="str">
        <f>IF('02_Warehouse_Locations'!A403="","",'02_Warehouse_Locations'!A403)</f>
        <v/>
      </c>
      <c r="C404" t="str">
        <f t="shared" si="6"/>
        <v/>
      </c>
      <c r="D404" t="s">
        <v>1138</v>
      </c>
    </row>
    <row r="405" spans="1:4">
      <c r="A405" t="s">
        <v>1137</v>
      </c>
      <c r="B405" t="str">
        <f>IF('02_Warehouse_Locations'!A404="","",'02_Warehouse_Locations'!A404)</f>
        <v/>
      </c>
      <c r="C405" t="str">
        <f t="shared" si="6"/>
        <v/>
      </c>
      <c r="D405" t="s">
        <v>1138</v>
      </c>
    </row>
    <row r="406" spans="1:4">
      <c r="A406" t="s">
        <v>1137</v>
      </c>
      <c r="B406" t="str">
        <f>IF('02_Warehouse_Locations'!A405="","",'02_Warehouse_Locations'!A405)</f>
        <v/>
      </c>
      <c r="C406" t="str">
        <f t="shared" si="6"/>
        <v/>
      </c>
      <c r="D406" t="s">
        <v>1138</v>
      </c>
    </row>
    <row r="407" spans="1:4">
      <c r="A407" t="s">
        <v>1137</v>
      </c>
      <c r="B407" t="str">
        <f>IF('02_Warehouse_Locations'!A406="","",'02_Warehouse_Locations'!A406)</f>
        <v/>
      </c>
      <c r="C407" t="str">
        <f t="shared" si="6"/>
        <v/>
      </c>
      <c r="D407" t="s">
        <v>1138</v>
      </c>
    </row>
    <row r="408" spans="1:4">
      <c r="A408" t="s">
        <v>1137</v>
      </c>
      <c r="B408" t="str">
        <f>IF('02_Warehouse_Locations'!A407="","",'02_Warehouse_Locations'!A407)</f>
        <v/>
      </c>
      <c r="C408" t="str">
        <f t="shared" si="6"/>
        <v/>
      </c>
      <c r="D408" t="s">
        <v>1138</v>
      </c>
    </row>
    <row r="409" spans="1:4">
      <c r="A409" t="s">
        <v>1137</v>
      </c>
      <c r="B409" t="str">
        <f>IF('02_Warehouse_Locations'!A408="","",'02_Warehouse_Locations'!A408)</f>
        <v/>
      </c>
      <c r="C409" t="str">
        <f t="shared" si="6"/>
        <v/>
      </c>
      <c r="D409" t="s">
        <v>1138</v>
      </c>
    </row>
    <row r="410" spans="1:4">
      <c r="A410" t="s">
        <v>1137</v>
      </c>
      <c r="B410" t="str">
        <f>IF('02_Warehouse_Locations'!A409="","",'02_Warehouse_Locations'!A409)</f>
        <v/>
      </c>
      <c r="C410" t="str">
        <f t="shared" si="6"/>
        <v/>
      </c>
      <c r="D410" t="s">
        <v>1138</v>
      </c>
    </row>
    <row r="411" spans="1:4">
      <c r="A411" t="s">
        <v>1137</v>
      </c>
      <c r="B411" t="str">
        <f>IF('02_Warehouse_Locations'!A410="","",'02_Warehouse_Locations'!A410)</f>
        <v/>
      </c>
      <c r="C411" t="str">
        <f t="shared" si="6"/>
        <v/>
      </c>
      <c r="D411" t="s">
        <v>1138</v>
      </c>
    </row>
    <row r="412" spans="1:4">
      <c r="A412" t="s">
        <v>1137</v>
      </c>
      <c r="B412" t="str">
        <f>IF('02_Warehouse_Locations'!A411="","",'02_Warehouse_Locations'!A411)</f>
        <v/>
      </c>
      <c r="C412" t="str">
        <f t="shared" si="6"/>
        <v/>
      </c>
      <c r="D412" t="s">
        <v>1138</v>
      </c>
    </row>
    <row r="413" spans="1:4">
      <c r="A413" t="s">
        <v>1137</v>
      </c>
      <c r="B413" t="str">
        <f>IF('02_Warehouse_Locations'!A412="","",'02_Warehouse_Locations'!A412)</f>
        <v/>
      </c>
      <c r="C413" t="str">
        <f t="shared" si="6"/>
        <v/>
      </c>
      <c r="D413" t="s">
        <v>1138</v>
      </c>
    </row>
    <row r="414" spans="1:4">
      <c r="A414" t="s">
        <v>1137</v>
      </c>
      <c r="B414" t="str">
        <f>IF('02_Warehouse_Locations'!A413="","",'02_Warehouse_Locations'!A413)</f>
        <v/>
      </c>
      <c r="C414" t="str">
        <f t="shared" si="6"/>
        <v/>
      </c>
      <c r="D414" t="s">
        <v>1138</v>
      </c>
    </row>
    <row r="415" spans="1:4">
      <c r="A415" t="s">
        <v>1137</v>
      </c>
      <c r="B415" t="str">
        <f>IF('02_Warehouse_Locations'!A414="","",'02_Warehouse_Locations'!A414)</f>
        <v/>
      </c>
      <c r="C415" t="str">
        <f t="shared" si="6"/>
        <v/>
      </c>
      <c r="D415" t="s">
        <v>1138</v>
      </c>
    </row>
    <row r="416" spans="1:4">
      <c r="A416" t="s">
        <v>1137</v>
      </c>
      <c r="B416" t="str">
        <f>IF('02_Warehouse_Locations'!A415="","",'02_Warehouse_Locations'!A415)</f>
        <v/>
      </c>
      <c r="C416" t="str">
        <f t="shared" si="6"/>
        <v/>
      </c>
      <c r="D416" t="s">
        <v>1138</v>
      </c>
    </row>
    <row r="417" spans="1:4">
      <c r="A417" t="s">
        <v>1137</v>
      </c>
      <c r="B417" t="str">
        <f>IF('02_Warehouse_Locations'!A416="","",'02_Warehouse_Locations'!A416)</f>
        <v/>
      </c>
      <c r="C417" t="str">
        <f t="shared" si="6"/>
        <v/>
      </c>
      <c r="D417" t="s">
        <v>1138</v>
      </c>
    </row>
    <row r="418" spans="1:4">
      <c r="A418" t="s">
        <v>1137</v>
      </c>
      <c r="B418" t="str">
        <f>IF('02_Warehouse_Locations'!A417="","",'02_Warehouse_Locations'!A417)</f>
        <v/>
      </c>
      <c r="C418" t="str">
        <f t="shared" si="6"/>
        <v/>
      </c>
      <c r="D418" t="s">
        <v>1138</v>
      </c>
    </row>
    <row r="419" spans="1:4">
      <c r="A419" t="s">
        <v>1137</v>
      </c>
      <c r="B419" t="str">
        <f>IF('02_Warehouse_Locations'!A418="","",'02_Warehouse_Locations'!A418)</f>
        <v/>
      </c>
      <c r="C419" t="str">
        <f t="shared" si="6"/>
        <v/>
      </c>
      <c r="D419" t="s">
        <v>1138</v>
      </c>
    </row>
    <row r="420" spans="1:4">
      <c r="A420" t="s">
        <v>1137</v>
      </c>
      <c r="B420" t="str">
        <f>IF('02_Warehouse_Locations'!A419="","",'02_Warehouse_Locations'!A419)</f>
        <v/>
      </c>
      <c r="C420" t="str">
        <f t="shared" si="6"/>
        <v/>
      </c>
      <c r="D420" t="s">
        <v>1138</v>
      </c>
    </row>
    <row r="421" spans="1:4">
      <c r="A421" t="s">
        <v>1137</v>
      </c>
      <c r="B421" t="str">
        <f>IF('02_Warehouse_Locations'!A420="","",'02_Warehouse_Locations'!A420)</f>
        <v/>
      </c>
      <c r="C421" t="str">
        <f t="shared" si="6"/>
        <v/>
      </c>
      <c r="D421" t="s">
        <v>1138</v>
      </c>
    </row>
    <row r="422" spans="1:4">
      <c r="A422" t="s">
        <v>1137</v>
      </c>
      <c r="B422" t="str">
        <f>IF('02_Warehouse_Locations'!A421="","",'02_Warehouse_Locations'!A421)</f>
        <v/>
      </c>
      <c r="C422" t="str">
        <f t="shared" si="6"/>
        <v/>
      </c>
      <c r="D422" t="s">
        <v>1138</v>
      </c>
    </row>
    <row r="423" spans="1:4">
      <c r="A423" t="s">
        <v>1137</v>
      </c>
      <c r="B423" t="str">
        <f>IF('02_Warehouse_Locations'!A422="","",'02_Warehouse_Locations'!A422)</f>
        <v/>
      </c>
      <c r="C423" t="str">
        <f t="shared" si="6"/>
        <v/>
      </c>
      <c r="D423" t="s">
        <v>1138</v>
      </c>
    </row>
    <row r="424" spans="1:4">
      <c r="A424" t="s">
        <v>1137</v>
      </c>
      <c r="B424" t="str">
        <f>IF('02_Warehouse_Locations'!A423="","",'02_Warehouse_Locations'!A423)</f>
        <v/>
      </c>
      <c r="C424" t="str">
        <f t="shared" si="6"/>
        <v/>
      </c>
      <c r="D424" t="s">
        <v>1138</v>
      </c>
    </row>
    <row r="425" spans="1:4">
      <c r="A425" t="s">
        <v>1137</v>
      </c>
      <c r="B425" t="str">
        <f>IF('02_Warehouse_Locations'!A424="","",'02_Warehouse_Locations'!A424)</f>
        <v/>
      </c>
      <c r="C425" t="str">
        <f t="shared" si="6"/>
        <v/>
      </c>
      <c r="D425" t="s">
        <v>1138</v>
      </c>
    </row>
    <row r="426" spans="1:4">
      <c r="A426" t="s">
        <v>1137</v>
      </c>
      <c r="B426" t="str">
        <f>IF('02_Warehouse_Locations'!A425="","",'02_Warehouse_Locations'!A425)</f>
        <v/>
      </c>
      <c r="C426" t="str">
        <f t="shared" si="6"/>
        <v/>
      </c>
      <c r="D426" t="s">
        <v>1138</v>
      </c>
    </row>
    <row r="427" spans="1:4">
      <c r="A427" t="s">
        <v>1137</v>
      </c>
      <c r="B427" t="str">
        <f>IF('02_Warehouse_Locations'!A426="","",'02_Warehouse_Locations'!A426)</f>
        <v/>
      </c>
      <c r="C427" t="str">
        <f t="shared" si="6"/>
        <v/>
      </c>
      <c r="D427" t="s">
        <v>1138</v>
      </c>
    </row>
    <row r="428" spans="1:4">
      <c r="A428" t="s">
        <v>1137</v>
      </c>
      <c r="B428" t="str">
        <f>IF('02_Warehouse_Locations'!A427="","",'02_Warehouse_Locations'!A427)</f>
        <v/>
      </c>
      <c r="C428" t="str">
        <f t="shared" si="6"/>
        <v/>
      </c>
      <c r="D428" t="s">
        <v>1138</v>
      </c>
    </row>
    <row r="429" spans="1:4">
      <c r="A429" t="s">
        <v>1137</v>
      </c>
      <c r="B429" t="str">
        <f>IF('02_Warehouse_Locations'!A428="","",'02_Warehouse_Locations'!A428)</f>
        <v/>
      </c>
      <c r="C429" t="str">
        <f t="shared" si="6"/>
        <v/>
      </c>
      <c r="D429" t="s">
        <v>1138</v>
      </c>
    </row>
    <row r="430" spans="1:4">
      <c r="A430" t="s">
        <v>1137</v>
      </c>
      <c r="B430" t="str">
        <f>IF('02_Warehouse_Locations'!A429="","",'02_Warehouse_Locations'!A429)</f>
        <v/>
      </c>
      <c r="C430" t="str">
        <f t="shared" si="6"/>
        <v/>
      </c>
      <c r="D430" t="s">
        <v>1138</v>
      </c>
    </row>
    <row r="431" spans="1:4">
      <c r="A431" t="s">
        <v>1137</v>
      </c>
      <c r="B431" t="str">
        <f>IF('02_Warehouse_Locations'!A430="","",'02_Warehouse_Locations'!A430)</f>
        <v/>
      </c>
      <c r="C431" t="str">
        <f t="shared" si="6"/>
        <v/>
      </c>
      <c r="D431" t="s">
        <v>1138</v>
      </c>
    </row>
    <row r="432" spans="1:4">
      <c r="A432" t="s">
        <v>1137</v>
      </c>
      <c r="B432" t="str">
        <f>IF('02_Warehouse_Locations'!A431="","",'02_Warehouse_Locations'!A431)</f>
        <v/>
      </c>
      <c r="C432" t="str">
        <f t="shared" si="6"/>
        <v/>
      </c>
      <c r="D432" t="s">
        <v>1138</v>
      </c>
    </row>
    <row r="433" spans="1:4">
      <c r="A433" t="s">
        <v>1137</v>
      </c>
      <c r="B433" t="str">
        <f>IF('02_Warehouse_Locations'!A432="","",'02_Warehouse_Locations'!A432)</f>
        <v/>
      </c>
      <c r="C433" t="str">
        <f t="shared" si="6"/>
        <v/>
      </c>
      <c r="D433" t="s">
        <v>1138</v>
      </c>
    </row>
    <row r="434" spans="1:4">
      <c r="A434" t="s">
        <v>1137</v>
      </c>
      <c r="B434" t="str">
        <f>IF('02_Warehouse_Locations'!A433="","",'02_Warehouse_Locations'!A433)</f>
        <v/>
      </c>
      <c r="C434" t="str">
        <f t="shared" si="6"/>
        <v/>
      </c>
      <c r="D434" t="s">
        <v>1138</v>
      </c>
    </row>
    <row r="435" spans="1:4">
      <c r="A435" t="s">
        <v>1137</v>
      </c>
      <c r="B435" t="str">
        <f>IF('02_Warehouse_Locations'!A434="","",'02_Warehouse_Locations'!A434)</f>
        <v/>
      </c>
      <c r="C435" t="str">
        <f t="shared" si="6"/>
        <v/>
      </c>
      <c r="D435" t="s">
        <v>1138</v>
      </c>
    </row>
    <row r="436" spans="1:4">
      <c r="A436" t="s">
        <v>1137</v>
      </c>
      <c r="B436" t="str">
        <f>IF('02_Warehouse_Locations'!A435="","",'02_Warehouse_Locations'!A435)</f>
        <v/>
      </c>
      <c r="C436" t="str">
        <f t="shared" si="6"/>
        <v/>
      </c>
      <c r="D436" t="s">
        <v>1138</v>
      </c>
    </row>
    <row r="437" spans="1:4">
      <c r="A437" t="s">
        <v>1137</v>
      </c>
      <c r="B437" t="str">
        <f>IF('02_Warehouse_Locations'!A436="","",'02_Warehouse_Locations'!A436)</f>
        <v/>
      </c>
      <c r="C437" t="str">
        <f t="shared" si="6"/>
        <v/>
      </c>
      <c r="D437" t="s">
        <v>1138</v>
      </c>
    </row>
    <row r="438" spans="1:4">
      <c r="A438" t="s">
        <v>1137</v>
      </c>
      <c r="B438" t="str">
        <f>IF('02_Warehouse_Locations'!A437="","",'02_Warehouse_Locations'!A437)</f>
        <v/>
      </c>
      <c r="C438" t="str">
        <f t="shared" si="6"/>
        <v/>
      </c>
      <c r="D438" t="s">
        <v>1138</v>
      </c>
    </row>
    <row r="439" spans="1:4">
      <c r="A439" t="s">
        <v>1137</v>
      </c>
      <c r="B439" t="str">
        <f>IF('02_Warehouse_Locations'!A438="","",'02_Warehouse_Locations'!A438)</f>
        <v/>
      </c>
      <c r="C439" t="str">
        <f t="shared" si="6"/>
        <v/>
      </c>
      <c r="D439" t="s">
        <v>1138</v>
      </c>
    </row>
    <row r="440" spans="1:4">
      <c r="A440" t="s">
        <v>1137</v>
      </c>
      <c r="B440" t="str">
        <f>IF('02_Warehouse_Locations'!A439="","",'02_Warehouse_Locations'!A439)</f>
        <v/>
      </c>
      <c r="C440" t="str">
        <f t="shared" si="6"/>
        <v/>
      </c>
      <c r="D440" t="s">
        <v>1138</v>
      </c>
    </row>
    <row r="441" spans="1:4">
      <c r="A441" t="s">
        <v>1137</v>
      </c>
      <c r="B441" t="str">
        <f>IF('02_Warehouse_Locations'!A440="","",'02_Warehouse_Locations'!A440)</f>
        <v/>
      </c>
      <c r="C441" t="str">
        <f t="shared" si="6"/>
        <v/>
      </c>
      <c r="D441" t="s">
        <v>1138</v>
      </c>
    </row>
    <row r="442" spans="1:4">
      <c r="A442" t="s">
        <v>1137</v>
      </c>
      <c r="B442" t="str">
        <f>IF('02_Warehouse_Locations'!A441="","",'02_Warehouse_Locations'!A441)</f>
        <v/>
      </c>
      <c r="C442" t="str">
        <f t="shared" si="6"/>
        <v/>
      </c>
      <c r="D442" t="s">
        <v>1138</v>
      </c>
    </row>
    <row r="443" spans="1:4">
      <c r="A443" t="s">
        <v>1137</v>
      </c>
      <c r="B443" t="str">
        <f>IF('02_Warehouse_Locations'!A442="","",'02_Warehouse_Locations'!A442)</f>
        <v/>
      </c>
      <c r="C443" t="str">
        <f t="shared" si="6"/>
        <v/>
      </c>
      <c r="D443" t="s">
        <v>1138</v>
      </c>
    </row>
    <row r="444" spans="1:4">
      <c r="A444" t="s">
        <v>1137</v>
      </c>
      <c r="B444" t="str">
        <f>IF('02_Warehouse_Locations'!A443="","",'02_Warehouse_Locations'!A443)</f>
        <v/>
      </c>
      <c r="C444" t="str">
        <f t="shared" si="6"/>
        <v/>
      </c>
      <c r="D444" t="s">
        <v>1138</v>
      </c>
    </row>
    <row r="445" spans="1:4">
      <c r="A445" t="s">
        <v>1137</v>
      </c>
      <c r="B445" t="str">
        <f>IF('02_Warehouse_Locations'!A444="","",'02_Warehouse_Locations'!A444)</f>
        <v/>
      </c>
      <c r="C445" t="str">
        <f t="shared" si="6"/>
        <v/>
      </c>
      <c r="D445" t="s">
        <v>1138</v>
      </c>
    </row>
    <row r="446" spans="1:4">
      <c r="A446" t="s">
        <v>1137</v>
      </c>
      <c r="B446" t="str">
        <f>IF('02_Warehouse_Locations'!A445="","",'02_Warehouse_Locations'!A445)</f>
        <v/>
      </c>
      <c r="C446" t="str">
        <f t="shared" si="6"/>
        <v/>
      </c>
      <c r="D446" t="s">
        <v>1138</v>
      </c>
    </row>
    <row r="447" spans="1:4">
      <c r="A447" t="s">
        <v>1137</v>
      </c>
      <c r="B447" t="str">
        <f>IF('02_Warehouse_Locations'!A446="","",'02_Warehouse_Locations'!A446)</f>
        <v/>
      </c>
      <c r="C447" t="str">
        <f t="shared" si="6"/>
        <v/>
      </c>
      <c r="D447" t="s">
        <v>1138</v>
      </c>
    </row>
    <row r="448" spans="1:4">
      <c r="A448" t="s">
        <v>1137</v>
      </c>
      <c r="B448" t="str">
        <f>IF('02_Warehouse_Locations'!A447="","",'02_Warehouse_Locations'!A447)</f>
        <v/>
      </c>
      <c r="C448" t="str">
        <f t="shared" si="6"/>
        <v/>
      </c>
      <c r="D448" t="s">
        <v>1138</v>
      </c>
    </row>
    <row r="449" spans="1:4">
      <c r="A449" t="s">
        <v>1137</v>
      </c>
      <c r="B449" t="str">
        <f>IF('02_Warehouse_Locations'!A448="","",'02_Warehouse_Locations'!A448)</f>
        <v/>
      </c>
      <c r="C449" t="str">
        <f t="shared" si="6"/>
        <v/>
      </c>
      <c r="D449" t="s">
        <v>1138</v>
      </c>
    </row>
    <row r="450" spans="1:4">
      <c r="A450" t="s">
        <v>1137</v>
      </c>
      <c r="B450" t="str">
        <f>IF('02_Warehouse_Locations'!A449="","",'02_Warehouse_Locations'!A449)</f>
        <v/>
      </c>
      <c r="C450" t="str">
        <f t="shared" si="6"/>
        <v/>
      </c>
      <c r="D450" t="s">
        <v>1138</v>
      </c>
    </row>
    <row r="451" spans="1:4">
      <c r="A451" t="s">
        <v>1137</v>
      </c>
      <c r="B451" t="str">
        <f>IF('02_Warehouse_Locations'!A450="","",'02_Warehouse_Locations'!A450)</f>
        <v/>
      </c>
      <c r="C451" t="str">
        <f t="shared" ref="C451:C514" si="7">IF(B451="","",B451)</f>
        <v/>
      </c>
      <c r="D451" t="s">
        <v>1138</v>
      </c>
    </row>
    <row r="452" spans="1:4">
      <c r="A452" t="s">
        <v>1137</v>
      </c>
      <c r="B452" t="str">
        <f>IF('02_Warehouse_Locations'!A451="","",'02_Warehouse_Locations'!A451)</f>
        <v/>
      </c>
      <c r="C452" t="str">
        <f t="shared" si="7"/>
        <v/>
      </c>
      <c r="D452" t="s">
        <v>1138</v>
      </c>
    </row>
    <row r="453" spans="1:4">
      <c r="A453" t="s">
        <v>1137</v>
      </c>
      <c r="B453" t="str">
        <f>IF('02_Warehouse_Locations'!A452="","",'02_Warehouse_Locations'!A452)</f>
        <v/>
      </c>
      <c r="C453" t="str">
        <f t="shared" si="7"/>
        <v/>
      </c>
      <c r="D453" t="s">
        <v>1138</v>
      </c>
    </row>
    <row r="454" spans="1:4">
      <c r="A454" t="s">
        <v>1137</v>
      </c>
      <c r="B454" t="str">
        <f>IF('02_Warehouse_Locations'!A453="","",'02_Warehouse_Locations'!A453)</f>
        <v/>
      </c>
      <c r="C454" t="str">
        <f t="shared" si="7"/>
        <v/>
      </c>
      <c r="D454" t="s">
        <v>1138</v>
      </c>
    </row>
    <row r="455" spans="1:4">
      <c r="A455" t="s">
        <v>1137</v>
      </c>
      <c r="B455" t="str">
        <f>IF('02_Warehouse_Locations'!A454="","",'02_Warehouse_Locations'!A454)</f>
        <v/>
      </c>
      <c r="C455" t="str">
        <f t="shared" si="7"/>
        <v/>
      </c>
      <c r="D455" t="s">
        <v>1138</v>
      </c>
    </row>
    <row r="456" spans="1:4">
      <c r="A456" t="s">
        <v>1137</v>
      </c>
      <c r="B456" t="str">
        <f>IF('02_Warehouse_Locations'!A455="","",'02_Warehouse_Locations'!A455)</f>
        <v/>
      </c>
      <c r="C456" t="str">
        <f t="shared" si="7"/>
        <v/>
      </c>
      <c r="D456" t="s">
        <v>1138</v>
      </c>
    </row>
    <row r="457" spans="1:4">
      <c r="A457" t="s">
        <v>1137</v>
      </c>
      <c r="B457" t="str">
        <f>IF('02_Warehouse_Locations'!A456="","",'02_Warehouse_Locations'!A456)</f>
        <v/>
      </c>
      <c r="C457" t="str">
        <f t="shared" si="7"/>
        <v/>
      </c>
      <c r="D457" t="s">
        <v>1138</v>
      </c>
    </row>
    <row r="458" spans="1:4">
      <c r="A458" t="s">
        <v>1137</v>
      </c>
      <c r="B458" t="str">
        <f>IF('02_Warehouse_Locations'!A457="","",'02_Warehouse_Locations'!A457)</f>
        <v/>
      </c>
      <c r="C458" t="str">
        <f t="shared" si="7"/>
        <v/>
      </c>
      <c r="D458" t="s">
        <v>1138</v>
      </c>
    </row>
    <row r="459" spans="1:4">
      <c r="A459" t="s">
        <v>1137</v>
      </c>
      <c r="B459" t="str">
        <f>IF('02_Warehouse_Locations'!A458="","",'02_Warehouse_Locations'!A458)</f>
        <v/>
      </c>
      <c r="C459" t="str">
        <f t="shared" si="7"/>
        <v/>
      </c>
      <c r="D459" t="s">
        <v>1138</v>
      </c>
    </row>
    <row r="460" spans="1:4">
      <c r="A460" t="s">
        <v>1137</v>
      </c>
      <c r="B460" t="str">
        <f>IF('02_Warehouse_Locations'!A459="","",'02_Warehouse_Locations'!A459)</f>
        <v/>
      </c>
      <c r="C460" t="str">
        <f t="shared" si="7"/>
        <v/>
      </c>
      <c r="D460" t="s">
        <v>1138</v>
      </c>
    </row>
    <row r="461" spans="1:4">
      <c r="A461" t="s">
        <v>1137</v>
      </c>
      <c r="B461" t="str">
        <f>IF('02_Warehouse_Locations'!A460="","",'02_Warehouse_Locations'!A460)</f>
        <v/>
      </c>
      <c r="C461" t="str">
        <f t="shared" si="7"/>
        <v/>
      </c>
      <c r="D461" t="s">
        <v>1138</v>
      </c>
    </row>
    <row r="462" spans="1:4">
      <c r="A462" t="s">
        <v>1137</v>
      </c>
      <c r="B462" t="str">
        <f>IF('02_Warehouse_Locations'!A461="","",'02_Warehouse_Locations'!A461)</f>
        <v/>
      </c>
      <c r="C462" t="str">
        <f t="shared" si="7"/>
        <v/>
      </c>
      <c r="D462" t="s">
        <v>1138</v>
      </c>
    </row>
    <row r="463" spans="1:4">
      <c r="A463" t="s">
        <v>1137</v>
      </c>
      <c r="B463" t="str">
        <f>IF('02_Warehouse_Locations'!A462="","",'02_Warehouse_Locations'!A462)</f>
        <v/>
      </c>
      <c r="C463" t="str">
        <f t="shared" si="7"/>
        <v/>
      </c>
      <c r="D463" t="s">
        <v>1138</v>
      </c>
    </row>
    <row r="464" spans="1:4">
      <c r="A464" t="s">
        <v>1137</v>
      </c>
      <c r="B464" t="str">
        <f>IF('02_Warehouse_Locations'!A463="","",'02_Warehouse_Locations'!A463)</f>
        <v/>
      </c>
      <c r="C464" t="str">
        <f t="shared" si="7"/>
        <v/>
      </c>
      <c r="D464" t="s">
        <v>1138</v>
      </c>
    </row>
    <row r="465" spans="1:4">
      <c r="A465" t="s">
        <v>1137</v>
      </c>
      <c r="B465" t="str">
        <f>IF('02_Warehouse_Locations'!A464="","",'02_Warehouse_Locations'!A464)</f>
        <v/>
      </c>
      <c r="C465" t="str">
        <f t="shared" si="7"/>
        <v/>
      </c>
      <c r="D465" t="s">
        <v>1138</v>
      </c>
    </row>
    <row r="466" spans="1:4">
      <c r="A466" t="s">
        <v>1137</v>
      </c>
      <c r="B466" t="str">
        <f>IF('02_Warehouse_Locations'!A465="","",'02_Warehouse_Locations'!A465)</f>
        <v/>
      </c>
      <c r="C466" t="str">
        <f t="shared" si="7"/>
        <v/>
      </c>
      <c r="D466" t="s">
        <v>1138</v>
      </c>
    </row>
    <row r="467" spans="1:4">
      <c r="A467" t="s">
        <v>1137</v>
      </c>
      <c r="B467" t="str">
        <f>IF('02_Warehouse_Locations'!A466="","",'02_Warehouse_Locations'!A466)</f>
        <v/>
      </c>
      <c r="C467" t="str">
        <f t="shared" si="7"/>
        <v/>
      </c>
      <c r="D467" t="s">
        <v>1138</v>
      </c>
    </row>
    <row r="468" spans="1:4">
      <c r="A468" t="s">
        <v>1137</v>
      </c>
      <c r="B468" t="str">
        <f>IF('02_Warehouse_Locations'!A467="","",'02_Warehouse_Locations'!A467)</f>
        <v/>
      </c>
      <c r="C468" t="str">
        <f t="shared" si="7"/>
        <v/>
      </c>
      <c r="D468" t="s">
        <v>1138</v>
      </c>
    </row>
    <row r="469" spans="1:4">
      <c r="A469" t="s">
        <v>1137</v>
      </c>
      <c r="B469" t="str">
        <f>IF('02_Warehouse_Locations'!A468="","",'02_Warehouse_Locations'!A468)</f>
        <v/>
      </c>
      <c r="C469" t="str">
        <f t="shared" si="7"/>
        <v/>
      </c>
      <c r="D469" t="s">
        <v>1138</v>
      </c>
    </row>
    <row r="470" spans="1:4">
      <c r="A470" t="s">
        <v>1137</v>
      </c>
      <c r="B470" t="str">
        <f>IF('02_Warehouse_Locations'!A469="","",'02_Warehouse_Locations'!A469)</f>
        <v/>
      </c>
      <c r="C470" t="str">
        <f t="shared" si="7"/>
        <v/>
      </c>
      <c r="D470" t="s">
        <v>1138</v>
      </c>
    </row>
    <row r="471" spans="1:4">
      <c r="A471" t="s">
        <v>1137</v>
      </c>
      <c r="B471" t="str">
        <f>IF('02_Warehouse_Locations'!A470="","",'02_Warehouse_Locations'!A470)</f>
        <v/>
      </c>
      <c r="C471" t="str">
        <f t="shared" si="7"/>
        <v/>
      </c>
      <c r="D471" t="s">
        <v>1138</v>
      </c>
    </row>
    <row r="472" spans="1:4">
      <c r="A472" t="s">
        <v>1137</v>
      </c>
      <c r="B472" t="str">
        <f>IF('02_Warehouse_Locations'!A471="","",'02_Warehouse_Locations'!A471)</f>
        <v/>
      </c>
      <c r="C472" t="str">
        <f t="shared" si="7"/>
        <v/>
      </c>
      <c r="D472" t="s">
        <v>1138</v>
      </c>
    </row>
    <row r="473" spans="1:4">
      <c r="A473" t="s">
        <v>1137</v>
      </c>
      <c r="B473" t="str">
        <f>IF('02_Warehouse_Locations'!A472="","",'02_Warehouse_Locations'!A472)</f>
        <v/>
      </c>
      <c r="C473" t="str">
        <f t="shared" si="7"/>
        <v/>
      </c>
      <c r="D473" t="s">
        <v>1138</v>
      </c>
    </row>
    <row r="474" spans="1:4">
      <c r="A474" t="s">
        <v>1137</v>
      </c>
      <c r="B474" t="str">
        <f>IF('02_Warehouse_Locations'!A473="","",'02_Warehouse_Locations'!A473)</f>
        <v/>
      </c>
      <c r="C474" t="str">
        <f t="shared" si="7"/>
        <v/>
      </c>
      <c r="D474" t="s">
        <v>1138</v>
      </c>
    </row>
    <row r="475" spans="1:4">
      <c r="A475" t="s">
        <v>1137</v>
      </c>
      <c r="B475" t="str">
        <f>IF('02_Warehouse_Locations'!A474="","",'02_Warehouse_Locations'!A474)</f>
        <v/>
      </c>
      <c r="C475" t="str">
        <f t="shared" si="7"/>
        <v/>
      </c>
      <c r="D475" t="s">
        <v>1138</v>
      </c>
    </row>
    <row r="476" spans="1:4">
      <c r="A476" t="s">
        <v>1137</v>
      </c>
      <c r="B476" t="str">
        <f>IF('02_Warehouse_Locations'!A475="","",'02_Warehouse_Locations'!A475)</f>
        <v/>
      </c>
      <c r="C476" t="str">
        <f t="shared" si="7"/>
        <v/>
      </c>
      <c r="D476" t="s">
        <v>1138</v>
      </c>
    </row>
    <row r="477" spans="1:4">
      <c r="A477" t="s">
        <v>1137</v>
      </c>
      <c r="B477" t="str">
        <f>IF('02_Warehouse_Locations'!A476="","",'02_Warehouse_Locations'!A476)</f>
        <v/>
      </c>
      <c r="C477" t="str">
        <f t="shared" si="7"/>
        <v/>
      </c>
      <c r="D477" t="s">
        <v>1138</v>
      </c>
    </row>
    <row r="478" spans="1:4">
      <c r="A478" t="s">
        <v>1137</v>
      </c>
      <c r="B478" t="str">
        <f>IF('02_Warehouse_Locations'!A477="","",'02_Warehouse_Locations'!A477)</f>
        <v/>
      </c>
      <c r="C478" t="str">
        <f t="shared" si="7"/>
        <v/>
      </c>
      <c r="D478" t="s">
        <v>1138</v>
      </c>
    </row>
    <row r="479" spans="1:4">
      <c r="A479" t="s">
        <v>1137</v>
      </c>
      <c r="B479" t="str">
        <f>IF('02_Warehouse_Locations'!A478="","",'02_Warehouse_Locations'!A478)</f>
        <v/>
      </c>
      <c r="C479" t="str">
        <f t="shared" si="7"/>
        <v/>
      </c>
      <c r="D479" t="s">
        <v>1138</v>
      </c>
    </row>
    <row r="480" spans="1:4">
      <c r="A480" t="s">
        <v>1137</v>
      </c>
      <c r="B480" t="str">
        <f>IF('02_Warehouse_Locations'!A479="","",'02_Warehouse_Locations'!A479)</f>
        <v/>
      </c>
      <c r="C480" t="str">
        <f t="shared" si="7"/>
        <v/>
      </c>
      <c r="D480" t="s">
        <v>1138</v>
      </c>
    </row>
    <row r="481" spans="1:4">
      <c r="A481" t="s">
        <v>1137</v>
      </c>
      <c r="B481" t="str">
        <f>IF('02_Warehouse_Locations'!A480="","",'02_Warehouse_Locations'!A480)</f>
        <v/>
      </c>
      <c r="C481" t="str">
        <f t="shared" si="7"/>
        <v/>
      </c>
      <c r="D481" t="s">
        <v>1138</v>
      </c>
    </row>
    <row r="482" spans="1:4">
      <c r="A482" t="s">
        <v>1137</v>
      </c>
      <c r="B482" t="str">
        <f>IF('02_Warehouse_Locations'!A481="","",'02_Warehouse_Locations'!A481)</f>
        <v/>
      </c>
      <c r="C482" t="str">
        <f t="shared" si="7"/>
        <v/>
      </c>
      <c r="D482" t="s">
        <v>1138</v>
      </c>
    </row>
    <row r="483" spans="1:4">
      <c r="A483" t="s">
        <v>1137</v>
      </c>
      <c r="B483" t="str">
        <f>IF('02_Warehouse_Locations'!A482="","",'02_Warehouse_Locations'!A482)</f>
        <v/>
      </c>
      <c r="C483" t="str">
        <f t="shared" si="7"/>
        <v/>
      </c>
      <c r="D483" t="s">
        <v>1138</v>
      </c>
    </row>
    <row r="484" spans="1:4">
      <c r="A484" t="s">
        <v>1137</v>
      </c>
      <c r="B484" t="str">
        <f>IF('02_Warehouse_Locations'!A483="","",'02_Warehouse_Locations'!A483)</f>
        <v/>
      </c>
      <c r="C484" t="str">
        <f t="shared" si="7"/>
        <v/>
      </c>
      <c r="D484" t="s">
        <v>1138</v>
      </c>
    </row>
    <row r="485" spans="1:4">
      <c r="A485" t="s">
        <v>1137</v>
      </c>
      <c r="B485" t="str">
        <f>IF('02_Warehouse_Locations'!A484="","",'02_Warehouse_Locations'!A484)</f>
        <v/>
      </c>
      <c r="C485" t="str">
        <f t="shared" si="7"/>
        <v/>
      </c>
      <c r="D485" t="s">
        <v>1138</v>
      </c>
    </row>
    <row r="486" spans="1:4">
      <c r="A486" t="s">
        <v>1137</v>
      </c>
      <c r="B486" t="str">
        <f>IF('02_Warehouse_Locations'!A485="","",'02_Warehouse_Locations'!A485)</f>
        <v/>
      </c>
      <c r="C486" t="str">
        <f t="shared" si="7"/>
        <v/>
      </c>
      <c r="D486" t="s">
        <v>1138</v>
      </c>
    </row>
    <row r="487" spans="1:4">
      <c r="A487" t="s">
        <v>1137</v>
      </c>
      <c r="B487" t="str">
        <f>IF('02_Warehouse_Locations'!A486="","",'02_Warehouse_Locations'!A486)</f>
        <v/>
      </c>
      <c r="C487" t="str">
        <f t="shared" si="7"/>
        <v/>
      </c>
      <c r="D487" t="s">
        <v>1138</v>
      </c>
    </row>
    <row r="488" spans="1:4">
      <c r="A488" t="s">
        <v>1137</v>
      </c>
      <c r="B488" t="str">
        <f>IF('02_Warehouse_Locations'!A487="","",'02_Warehouse_Locations'!A487)</f>
        <v/>
      </c>
      <c r="C488" t="str">
        <f t="shared" si="7"/>
        <v/>
      </c>
      <c r="D488" t="s">
        <v>1138</v>
      </c>
    </row>
    <row r="489" spans="1:4">
      <c r="A489" t="s">
        <v>1137</v>
      </c>
      <c r="B489" t="str">
        <f>IF('02_Warehouse_Locations'!A488="","",'02_Warehouse_Locations'!A488)</f>
        <v/>
      </c>
      <c r="C489" t="str">
        <f t="shared" si="7"/>
        <v/>
      </c>
      <c r="D489" t="s">
        <v>1138</v>
      </c>
    </row>
    <row r="490" spans="1:4">
      <c r="A490" t="s">
        <v>1137</v>
      </c>
      <c r="B490" t="str">
        <f>IF('02_Warehouse_Locations'!A489="","",'02_Warehouse_Locations'!A489)</f>
        <v/>
      </c>
      <c r="C490" t="str">
        <f t="shared" si="7"/>
        <v/>
      </c>
      <c r="D490" t="s">
        <v>1138</v>
      </c>
    </row>
    <row r="491" spans="1:4">
      <c r="A491" t="s">
        <v>1137</v>
      </c>
      <c r="B491" t="str">
        <f>IF('02_Warehouse_Locations'!A490="","",'02_Warehouse_Locations'!A490)</f>
        <v/>
      </c>
      <c r="C491" t="str">
        <f t="shared" si="7"/>
        <v/>
      </c>
      <c r="D491" t="s">
        <v>1138</v>
      </c>
    </row>
    <row r="492" spans="1:4">
      <c r="A492" t="s">
        <v>1137</v>
      </c>
      <c r="B492" t="str">
        <f>IF('02_Warehouse_Locations'!A491="","",'02_Warehouse_Locations'!A491)</f>
        <v/>
      </c>
      <c r="C492" t="str">
        <f t="shared" si="7"/>
        <v/>
      </c>
      <c r="D492" t="s">
        <v>1138</v>
      </c>
    </row>
    <row r="493" spans="1:4">
      <c r="A493" t="s">
        <v>1137</v>
      </c>
      <c r="B493" t="str">
        <f>IF('02_Warehouse_Locations'!A492="","",'02_Warehouse_Locations'!A492)</f>
        <v/>
      </c>
      <c r="C493" t="str">
        <f t="shared" si="7"/>
        <v/>
      </c>
      <c r="D493" t="s">
        <v>1138</v>
      </c>
    </row>
    <row r="494" spans="1:4">
      <c r="A494" t="s">
        <v>1137</v>
      </c>
      <c r="B494" t="str">
        <f>IF('02_Warehouse_Locations'!A493="","",'02_Warehouse_Locations'!A493)</f>
        <v/>
      </c>
      <c r="C494" t="str">
        <f t="shared" si="7"/>
        <v/>
      </c>
      <c r="D494" t="s">
        <v>1138</v>
      </c>
    </row>
    <row r="495" spans="1:4">
      <c r="A495" t="s">
        <v>1137</v>
      </c>
      <c r="B495" t="str">
        <f>IF('02_Warehouse_Locations'!A494="","",'02_Warehouse_Locations'!A494)</f>
        <v/>
      </c>
      <c r="C495" t="str">
        <f t="shared" si="7"/>
        <v/>
      </c>
      <c r="D495" t="s">
        <v>1138</v>
      </c>
    </row>
    <row r="496" spans="1:4">
      <c r="A496" t="s">
        <v>1137</v>
      </c>
      <c r="B496" t="str">
        <f>IF('02_Warehouse_Locations'!A495="","",'02_Warehouse_Locations'!A495)</f>
        <v/>
      </c>
      <c r="C496" t="str">
        <f t="shared" si="7"/>
        <v/>
      </c>
      <c r="D496" t="s">
        <v>1138</v>
      </c>
    </row>
    <row r="497" spans="1:4">
      <c r="A497" t="s">
        <v>1137</v>
      </c>
      <c r="B497" t="str">
        <f>IF('02_Warehouse_Locations'!A496="","",'02_Warehouse_Locations'!A496)</f>
        <v/>
      </c>
      <c r="C497" t="str">
        <f t="shared" si="7"/>
        <v/>
      </c>
      <c r="D497" t="s">
        <v>1138</v>
      </c>
    </row>
    <row r="498" spans="1:4">
      <c r="A498" t="s">
        <v>1137</v>
      </c>
      <c r="B498" t="str">
        <f>IF('02_Warehouse_Locations'!A497="","",'02_Warehouse_Locations'!A497)</f>
        <v/>
      </c>
      <c r="C498" t="str">
        <f t="shared" si="7"/>
        <v/>
      </c>
      <c r="D498" t="s">
        <v>1138</v>
      </c>
    </row>
    <row r="499" spans="1:4">
      <c r="A499" t="s">
        <v>1137</v>
      </c>
      <c r="B499" t="str">
        <f>IF('02_Warehouse_Locations'!A498="","",'02_Warehouse_Locations'!A498)</f>
        <v/>
      </c>
      <c r="C499" t="str">
        <f t="shared" si="7"/>
        <v/>
      </c>
      <c r="D499" t="s">
        <v>1138</v>
      </c>
    </row>
    <row r="500" spans="1:4">
      <c r="A500" t="s">
        <v>1137</v>
      </c>
      <c r="B500" t="str">
        <f>IF('02_Warehouse_Locations'!A499="","",'02_Warehouse_Locations'!A499)</f>
        <v/>
      </c>
      <c r="C500" t="str">
        <f t="shared" si="7"/>
        <v/>
      </c>
      <c r="D500" t="s">
        <v>1138</v>
      </c>
    </row>
    <row r="501" spans="1:4">
      <c r="A501" t="s">
        <v>1137</v>
      </c>
      <c r="B501" t="str">
        <f>IF('02_Warehouse_Locations'!A500="","",'02_Warehouse_Locations'!A500)</f>
        <v/>
      </c>
      <c r="C501" t="str">
        <f t="shared" si="7"/>
        <v/>
      </c>
      <c r="D501" t="s">
        <v>1138</v>
      </c>
    </row>
    <row r="502" spans="1:4">
      <c r="A502" t="s">
        <v>1137</v>
      </c>
      <c r="B502" t="str">
        <f>IF('02_Warehouse_Locations'!A501="","",'02_Warehouse_Locations'!A501)</f>
        <v/>
      </c>
      <c r="C502" t="str">
        <f t="shared" si="7"/>
        <v/>
      </c>
      <c r="D502" t="s">
        <v>1138</v>
      </c>
    </row>
    <row r="505" spans="1:4">
      <c r="A505" s="43" t="s">
        <v>1139</v>
      </c>
    </row>
    <row r="506" spans="1:4">
      <c r="A506" t="s">
        <v>1140</v>
      </c>
      <c r="B506" t="str">
        <f>IF('01_Warehouse_Ledger'!$A$2="","",'01_Warehouse_Ledger'!$A$2&amp;IF('01_Warehouse_Ledger'!$B$2&lt;&gt;""," | "&amp;'01_Warehouse_Ledger'!$B$2,""))</f>
        <v>PAL-0000001 | OVERFLOW-RICH-CYBERNETS-CFAM-CCMC</v>
      </c>
      <c r="C506" t="str">
        <f>IF('01_Warehouse_Ledger'!$A$2="","",'01_Warehouse_Ledger'!$A$2)</f>
        <v>PAL-0000001</v>
      </c>
      <c r="D506" t="s">
        <v>1141</v>
      </c>
    </row>
    <row r="507" spans="1:4">
      <c r="A507" t="s">
        <v>1140</v>
      </c>
      <c r="B507" t="str">
        <f>IF('01_Warehouse_Ledger'!$A$3="","",'01_Warehouse_Ledger'!$A$3&amp;IF('01_Warehouse_Ledger'!$B$3&lt;&gt;""," | "&amp;'01_Warehouse_Ledger'!$B$3,""))</f>
        <v>PAL-0000002</v>
      </c>
      <c r="C507" t="str">
        <f>IF('01_Warehouse_Ledger'!$A$3="","",'01_Warehouse_Ledger'!$A$3)</f>
        <v>PAL-0000002</v>
      </c>
      <c r="D507" t="s">
        <v>1141</v>
      </c>
    </row>
    <row r="508" spans="1:4">
      <c r="A508" t="s">
        <v>1140</v>
      </c>
      <c r="B508" t="str">
        <f>IF('01_Warehouse_Ledger'!$A$4="","",'01_Warehouse_Ledger'!$A$4&amp;IF('01_Warehouse_Ledger'!$B$4&lt;&gt;""," | "&amp;'01_Warehouse_Ledger'!$B$4,""))</f>
        <v>PAL-0000003 | OVERFLOW-CHRIS-UMAIR_TICKETS-</v>
      </c>
      <c r="C508" t="str">
        <f>IF('01_Warehouse_Ledger'!$A$4="","",'01_Warehouse_Ledger'!$A$4)</f>
        <v>PAL-0000003</v>
      </c>
      <c r="D508" t="s">
        <v>1141</v>
      </c>
    </row>
    <row r="509" spans="1:4">
      <c r="A509" t="s">
        <v>1140</v>
      </c>
      <c r="B509" t="str">
        <f>IF('01_Warehouse_Ledger'!$A$5="","",'01_Warehouse_Ledger'!$A$5&amp;IF('01_Warehouse_Ledger'!$B$5&lt;&gt;""," | "&amp;'01_Warehouse_Ledger'!$B$5,""))</f>
        <v>PAL-0000004 | WH-Z1-AisleO-Bay10-Level1</v>
      </c>
      <c r="C509" t="str">
        <f>IF('01_Warehouse_Ledger'!$A$5="","",'01_Warehouse_Ledger'!$A$5)</f>
        <v>PAL-0000004</v>
      </c>
      <c r="D509" t="s">
        <v>1141</v>
      </c>
    </row>
    <row r="510" spans="1:4">
      <c r="A510" t="s">
        <v>1140</v>
      </c>
      <c r="B510" t="str">
        <f>IF('01_Warehouse_Ledger'!$A$6="","",'01_Warehouse_Ledger'!$A$6&amp;IF('01_Warehouse_Ledger'!$B$6&lt;&gt;""," | "&amp;'01_Warehouse_Ledger'!$B$6,""))</f>
        <v>PAL-0000005 | Northwell Capsule &amp; GCX</v>
      </c>
      <c r="C510" t="str">
        <f>IF('01_Warehouse_Ledger'!$A$6="","",'01_Warehouse_Ledger'!$A$6)</f>
        <v>PAL-0000005</v>
      </c>
      <c r="D510" t="s">
        <v>1141</v>
      </c>
    </row>
    <row r="511" spans="1:4">
      <c r="A511" t="s">
        <v>1140</v>
      </c>
      <c r="B511" t="str">
        <f>IF('01_Warehouse_Ledger'!$A$7="","",'01_Warehouse_Ledger'!$A$7&amp;IF('01_Warehouse_Ledger'!$B$7&lt;&gt;""," | "&amp;'01_Warehouse_Ledger'!$B$7,""))</f>
        <v>PAL-0000006</v>
      </c>
      <c r="C511" t="str">
        <f>IF('01_Warehouse_Ledger'!$A$7="","",'01_Warehouse_Ledger'!$A$7)</f>
        <v>PAL-0000006</v>
      </c>
      <c r="D511" t="s">
        <v>1141</v>
      </c>
    </row>
    <row r="512" spans="1:4">
      <c r="A512" t="s">
        <v>1140</v>
      </c>
      <c r="B512" t="str">
        <f>IF('01_Warehouse_Ledger'!$A$8="","",'01_Warehouse_Ledger'!$A$8&amp;IF('01_Warehouse_Ledger'!$B$8&lt;&gt;""," | "&amp;'01_Warehouse_Ledger'!$B$8,""))</f>
        <v>PAL-0000007</v>
      </c>
      <c r="C512" t="str">
        <f>IF('01_Warehouse_Ledger'!$A$8="","",'01_Warehouse_Ledger'!$A$8)</f>
        <v>PAL-0000007</v>
      </c>
      <c r="D512" t="s">
        <v>1141</v>
      </c>
    </row>
    <row r="513" spans="1:4">
      <c r="A513" t="s">
        <v>1140</v>
      </c>
      <c r="B513" t="str">
        <f>IF('01_Warehouse_Ledger'!$A$9="","",'01_Warehouse_Ledger'!$A$9&amp;IF('01_Warehouse_Ledger'!$B$9&lt;&gt;""," | "&amp;'01_Warehouse_Ledger'!$B$9,""))</f>
        <v>PAL-0000008 | OVERFLOW-SAMPLE-PO1007-CAT3-PAL008</v>
      </c>
      <c r="C513" t="str">
        <f>IF('01_Warehouse_Ledger'!$A$9="","",'01_Warehouse_Ledger'!$A$9)</f>
        <v>PAL-0000008</v>
      </c>
      <c r="D513" t="s">
        <v>1141</v>
      </c>
    </row>
    <row r="514" spans="1:4">
      <c r="A514" t="s">
        <v>1140</v>
      </c>
      <c r="B514" t="str">
        <f>IF('01_Warehouse_Ledger'!$A$10="","",'01_Warehouse_Ledger'!$A$10&amp;IF('01_Warehouse_Ledger'!$B$10&lt;&gt;""," | "&amp;'01_Warehouse_Ledger'!$B$10,""))</f>
        <v>PAL-0000009</v>
      </c>
      <c r="C514" t="str">
        <f>IF('01_Warehouse_Ledger'!$A$10="","",'01_Warehouse_Ledger'!$A$10)</f>
        <v>PAL-0000009</v>
      </c>
      <c r="D514" t="s">
        <v>1141</v>
      </c>
    </row>
    <row r="515" spans="1:4">
      <c r="A515" t="s">
        <v>1140</v>
      </c>
      <c r="B515" t="str">
        <f>IF('01_Warehouse_Ledger'!$A$11="","",'01_Warehouse_Ledger'!$A$11&amp;IF('01_Warehouse_Ledger'!$B$11&lt;&gt;""," | "&amp;'01_Warehouse_Ledger'!$B$11,""))</f>
        <v>PAL-0000010</v>
      </c>
      <c r="C515" t="str">
        <f>IF('01_Warehouse_Ledger'!$A$11="","",'01_Warehouse_Ledger'!$A$11)</f>
        <v>PAL-0000010</v>
      </c>
      <c r="D515" t="s">
        <v>1141</v>
      </c>
    </row>
    <row r="516" spans="1:4">
      <c r="A516" t="s">
        <v>1140</v>
      </c>
      <c r="B516" t="str">
        <f>IF('01_Warehouse_Ledger'!$A$12="","",'01_Warehouse_Ledger'!$A$12&amp;IF('01_Warehouse_Ledger'!$B$12&lt;&gt;""," | "&amp;'01_Warehouse_Ledger'!$B$12,""))</f>
        <v>PAL-0000011</v>
      </c>
      <c r="C516" t="str">
        <f>IF('01_Warehouse_Ledger'!$A$12="","",'01_Warehouse_Ledger'!$A$12)</f>
        <v>PAL-0000011</v>
      </c>
      <c r="D516" t="s">
        <v>1141</v>
      </c>
    </row>
    <row r="517" spans="1:4">
      <c r="A517" t="s">
        <v>1140</v>
      </c>
      <c r="B517" t="str">
        <f>IF('01_Warehouse_Ledger'!$A$13="","",'01_Warehouse_Ledger'!$A$13&amp;IF('01_Warehouse_Ledger'!$B$13&lt;&gt;""," | "&amp;'01_Warehouse_Ledger'!$B$13,""))</f>
        <v>PAL-0000012</v>
      </c>
      <c r="C517" t="str">
        <f>IF('01_Warehouse_Ledger'!$A$13="","",'01_Warehouse_Ledger'!$A$13)</f>
        <v>PAL-0000012</v>
      </c>
      <c r="D517" t="s">
        <v>1141</v>
      </c>
    </row>
    <row r="518" spans="1:4">
      <c r="A518" t="s">
        <v>1140</v>
      </c>
      <c r="B518" t="str">
        <f>IF('01_Warehouse_Ledger'!$A$14="","",'01_Warehouse_Ledger'!$A$14&amp;IF('01_Warehouse_Ledger'!$B$14&lt;&gt;""," | "&amp;'01_Warehouse_Ledger'!$B$14,""))</f>
        <v>PAL-0000013</v>
      </c>
      <c r="C518" t="str">
        <f>IF('01_Warehouse_Ledger'!$A$14="","",'01_Warehouse_Ledger'!$A$14)</f>
        <v>PAL-0000013</v>
      </c>
      <c r="D518" t="s">
        <v>1141</v>
      </c>
    </row>
    <row r="519" spans="1:4">
      <c r="A519" t="s">
        <v>1140</v>
      </c>
      <c r="B519" t="str">
        <f>IF('01_Warehouse_Ledger'!$A$15="","",'01_Warehouse_Ledger'!$A$15&amp;IF('01_Warehouse_Ledger'!$B$15&lt;&gt;""," | "&amp;'01_Warehouse_Ledger'!$B$15,""))</f>
        <v>PAL-0000014</v>
      </c>
      <c r="C519" t="str">
        <f>IF('01_Warehouse_Ledger'!$A$15="","",'01_Warehouse_Ledger'!$A$15)</f>
        <v>PAL-0000014</v>
      </c>
      <c r="D519" t="s">
        <v>1141</v>
      </c>
    </row>
    <row r="520" spans="1:4">
      <c r="A520" t="s">
        <v>1140</v>
      </c>
      <c r="B520" t="str">
        <f>IF('01_Warehouse_Ledger'!$A$16="","",'01_Warehouse_Ledger'!$A$16&amp;IF('01_Warehouse_Ledger'!$B$16&lt;&gt;""," | "&amp;'01_Warehouse_Ledger'!$B$16,""))</f>
        <v>PAL-0000015 | OVERFLOW-SAMPLE-PO1014-CAT5-PAL015</v>
      </c>
      <c r="C520" t="str">
        <f>IF('01_Warehouse_Ledger'!$A$16="","",'01_Warehouse_Ledger'!$A$16)</f>
        <v>PAL-0000015</v>
      </c>
      <c r="D520" t="s">
        <v>1141</v>
      </c>
    </row>
    <row r="521" spans="1:4">
      <c r="A521" t="s">
        <v>1140</v>
      </c>
      <c r="B521" t="str">
        <f>IF('01_Warehouse_Ledger'!$A$17="","",'01_Warehouse_Ledger'!$A$17&amp;IF('01_Warehouse_Ledger'!$B$17&lt;&gt;""," | "&amp;'01_Warehouse_Ledger'!$B$17,""))</f>
        <v>PAL-0000016</v>
      </c>
      <c r="C521" t="str">
        <f>IF('01_Warehouse_Ledger'!$A$17="","",'01_Warehouse_Ledger'!$A$17)</f>
        <v>PAL-0000016</v>
      </c>
      <c r="D521" t="s">
        <v>1141</v>
      </c>
    </row>
    <row r="522" spans="1:4">
      <c r="A522" t="s">
        <v>1140</v>
      </c>
      <c r="B522" t="str">
        <f>IF('01_Warehouse_Ledger'!$A$18="","",'01_Warehouse_Ledger'!$A$18&amp;IF('01_Warehouse_Ledger'!$B$18&lt;&gt;""," | "&amp;'01_Warehouse_Ledger'!$B$18,""))</f>
        <v>PAL-0000017</v>
      </c>
      <c r="C522" t="str">
        <f>IF('01_Warehouse_Ledger'!$A$18="","",'01_Warehouse_Ledger'!$A$18)</f>
        <v>PAL-0000017</v>
      </c>
      <c r="D522" t="s">
        <v>1141</v>
      </c>
    </row>
    <row r="523" spans="1:4">
      <c r="A523" t="s">
        <v>1140</v>
      </c>
      <c r="B523" t="str">
        <f>IF('01_Warehouse_Ledger'!$A$19="","",'01_Warehouse_Ledger'!$A$19&amp;IF('01_Warehouse_Ledger'!$B$19&lt;&gt;""," | "&amp;'01_Warehouse_Ledger'!$B$19,""))</f>
        <v>PAL-0000018</v>
      </c>
      <c r="C523" t="str">
        <f>IF('01_Warehouse_Ledger'!$A$19="","",'01_Warehouse_Ledger'!$A$19)</f>
        <v>PAL-0000018</v>
      </c>
      <c r="D523" t="s">
        <v>1141</v>
      </c>
    </row>
    <row r="524" spans="1:4">
      <c r="A524" t="s">
        <v>1140</v>
      </c>
      <c r="B524" t="str">
        <f>IF('01_Warehouse_Ledger'!$A$20="","",'01_Warehouse_Ledger'!$A$20&amp;IF('01_Warehouse_Ledger'!$B$20&lt;&gt;""," | "&amp;'01_Warehouse_Ledger'!$B$20,""))</f>
        <v>PAL-0000019</v>
      </c>
      <c r="C524" t="str">
        <f>IF('01_Warehouse_Ledger'!$A$20="","",'01_Warehouse_Ledger'!$A$20)</f>
        <v>PAL-0000019</v>
      </c>
      <c r="D524" t="s">
        <v>1141</v>
      </c>
    </row>
    <row r="525" spans="1:4">
      <c r="A525" t="s">
        <v>1140</v>
      </c>
      <c r="B525" t="str">
        <f>IF('01_Warehouse_Ledger'!$A$21="","",'01_Warehouse_Ledger'!$A$21&amp;IF('01_Warehouse_Ledger'!$B$21&lt;&gt;""," | "&amp;'01_Warehouse_Ledger'!$B$21,""))</f>
        <v>PAL-0000020</v>
      </c>
      <c r="C525" t="str">
        <f>IF('01_Warehouse_Ledger'!$A$21="","",'01_Warehouse_Ledger'!$A$21)</f>
        <v>PAL-0000020</v>
      </c>
      <c r="D525" t="s">
        <v>1141</v>
      </c>
    </row>
    <row r="526" spans="1:4">
      <c r="A526" t="s">
        <v>1140</v>
      </c>
      <c r="B526" t="str">
        <f>IF('01_Warehouse_Ledger'!$A$22="","",'01_Warehouse_Ledger'!$A$22&amp;IF('01_Warehouse_Ledger'!$B$22&lt;&gt;""," | "&amp;'01_Warehouse_Ledger'!$B$22,""))</f>
        <v>PAL-0000021</v>
      </c>
      <c r="C526" t="str">
        <f>IF('01_Warehouse_Ledger'!$A$22="","",'01_Warehouse_Ledger'!$A$22)</f>
        <v>PAL-0000021</v>
      </c>
      <c r="D526" t="s">
        <v>1141</v>
      </c>
    </row>
    <row r="527" spans="1:4">
      <c r="A527" t="s">
        <v>1140</v>
      </c>
      <c r="B527" t="str">
        <f>IF('01_Warehouse_Ledger'!$A$23="","",'01_Warehouse_Ledger'!$A$23&amp;IF('01_Warehouse_Ledger'!$B$23&lt;&gt;""," | "&amp;'01_Warehouse_Ledger'!$B$23,""))</f>
        <v>PAL-0000022 | OVERFLOW-SAMPLE-PO1021-CAT2-PAL022</v>
      </c>
      <c r="C527" t="str">
        <f>IF('01_Warehouse_Ledger'!$A$23="","",'01_Warehouse_Ledger'!$A$23)</f>
        <v>PAL-0000022</v>
      </c>
      <c r="D527" t="s">
        <v>1141</v>
      </c>
    </row>
    <row r="528" spans="1:4">
      <c r="A528" t="s">
        <v>1140</v>
      </c>
      <c r="B528" t="str">
        <f>IF('01_Warehouse_Ledger'!$A$24="","",'01_Warehouse_Ledger'!$A$24&amp;IF('01_Warehouse_Ledger'!$B$24&lt;&gt;""," | "&amp;'01_Warehouse_Ledger'!$B$24,""))</f>
        <v>PAL-0000023</v>
      </c>
      <c r="C528" t="str">
        <f>IF('01_Warehouse_Ledger'!$A$24="","",'01_Warehouse_Ledger'!$A$24)</f>
        <v>PAL-0000023</v>
      </c>
      <c r="D528" t="s">
        <v>1141</v>
      </c>
    </row>
    <row r="529" spans="1:4">
      <c r="A529" t="s">
        <v>1140</v>
      </c>
      <c r="B529" t="str">
        <f>IF('01_Warehouse_Ledger'!$A$25="","",'01_Warehouse_Ledger'!$A$25&amp;IF('01_Warehouse_Ledger'!$B$25&lt;&gt;""," | "&amp;'01_Warehouse_Ledger'!$B$25,""))</f>
        <v>PAL-0000024</v>
      </c>
      <c r="C529" t="str">
        <f>IF('01_Warehouse_Ledger'!$A$25="","",'01_Warehouse_Ledger'!$A$25)</f>
        <v>PAL-0000024</v>
      </c>
      <c r="D529" t="s">
        <v>1141</v>
      </c>
    </row>
    <row r="530" spans="1:4">
      <c r="A530" t="s">
        <v>1140</v>
      </c>
      <c r="B530" t="str">
        <f>IF('01_Warehouse_Ledger'!$A$26="","",'01_Warehouse_Ledger'!$A$26&amp;IF('01_Warehouse_Ledger'!$B$26&lt;&gt;""," | "&amp;'01_Warehouse_Ledger'!$B$26,""))</f>
        <v>PAL-0000025</v>
      </c>
      <c r="C530" t="str">
        <f>IF('01_Warehouse_Ledger'!$A$26="","",'01_Warehouse_Ledger'!$A$26)</f>
        <v>PAL-0000025</v>
      </c>
      <c r="D530" t="s">
        <v>1141</v>
      </c>
    </row>
    <row r="531" spans="1:4">
      <c r="A531" t="s">
        <v>1140</v>
      </c>
      <c r="B531" t="str">
        <f>IF('01_Warehouse_Ledger'!$A$27="","",'01_Warehouse_Ledger'!$A$27&amp;IF('01_Warehouse_Ledger'!$B$27&lt;&gt;""," | "&amp;'01_Warehouse_Ledger'!$B$27,""))</f>
        <v>PAL-0000026</v>
      </c>
      <c r="C531" t="str">
        <f>IF('01_Warehouse_Ledger'!$A$27="","",'01_Warehouse_Ledger'!$A$27)</f>
        <v>PAL-0000026</v>
      </c>
      <c r="D531" t="s">
        <v>1141</v>
      </c>
    </row>
    <row r="532" spans="1:4">
      <c r="A532" t="s">
        <v>1140</v>
      </c>
      <c r="B532" t="str">
        <f>IF('01_Warehouse_Ledger'!$A$28="","",'01_Warehouse_Ledger'!$A$28&amp;IF('01_Warehouse_Ledger'!$B$28&lt;&gt;""," | "&amp;'01_Warehouse_Ledger'!$B$28,""))</f>
        <v>PAL-0000027</v>
      </c>
      <c r="C532" t="str">
        <f>IF('01_Warehouse_Ledger'!$A$28="","",'01_Warehouse_Ledger'!$A$28)</f>
        <v>PAL-0000027</v>
      </c>
      <c r="D532" t="s">
        <v>1141</v>
      </c>
    </row>
    <row r="533" spans="1:4">
      <c r="A533" t="s">
        <v>1140</v>
      </c>
      <c r="B533" t="str">
        <f>IF('01_Warehouse_Ledger'!$A$29="","",'01_Warehouse_Ledger'!$A$29&amp;IF('01_Warehouse_Ledger'!$B$29&lt;&gt;""," | "&amp;'01_Warehouse_Ledger'!$B$29,""))</f>
        <v>PAL-0000028</v>
      </c>
      <c r="C533" t="str">
        <f>IF('01_Warehouse_Ledger'!$A$29="","",'01_Warehouse_Ledger'!$A$29)</f>
        <v>PAL-0000028</v>
      </c>
      <c r="D533" t="s">
        <v>1141</v>
      </c>
    </row>
    <row r="534" spans="1:4">
      <c r="A534" t="s">
        <v>1140</v>
      </c>
      <c r="B534" t="str">
        <f>IF('01_Warehouse_Ledger'!$A$30="","",'01_Warehouse_Ledger'!$A$30&amp;IF('01_Warehouse_Ledger'!$B$30&lt;&gt;""," | "&amp;'01_Warehouse_Ledger'!$B$30,""))</f>
        <v>PAL-0000029 | OVERFLOW-SAMPLE-PO1028-CAT4-PAL029</v>
      </c>
      <c r="C534" t="str">
        <f>IF('01_Warehouse_Ledger'!$A$30="","",'01_Warehouse_Ledger'!$A$30)</f>
        <v>PAL-0000029</v>
      </c>
      <c r="D534" t="s">
        <v>1141</v>
      </c>
    </row>
    <row r="535" spans="1:4">
      <c r="A535" t="s">
        <v>1140</v>
      </c>
      <c r="B535" t="str">
        <f>IF('01_Warehouse_Ledger'!$A$31="","",'01_Warehouse_Ledger'!$A$31&amp;IF('01_Warehouse_Ledger'!$B$31&lt;&gt;""," | "&amp;'01_Warehouse_Ledger'!$B$31,""))</f>
        <v>PAL-0000030</v>
      </c>
      <c r="C535" t="str">
        <f>IF('01_Warehouse_Ledger'!$A$31="","",'01_Warehouse_Ledger'!$A$31)</f>
        <v>PAL-0000030</v>
      </c>
      <c r="D535" t="s">
        <v>1141</v>
      </c>
    </row>
    <row r="536" spans="1:4">
      <c r="A536" t="s">
        <v>1140</v>
      </c>
      <c r="B536" t="str">
        <f>IF('01_Warehouse_Ledger'!$A$32="","",'01_Warehouse_Ledger'!$A$32&amp;IF('01_Warehouse_Ledger'!$B$32&lt;&gt;""," | "&amp;'01_Warehouse_Ledger'!$B$32,""))</f>
        <v>PAL-0000031</v>
      </c>
      <c r="C536" t="str">
        <f>IF('01_Warehouse_Ledger'!$A$32="","",'01_Warehouse_Ledger'!$A$32)</f>
        <v>PAL-0000031</v>
      </c>
      <c r="D536" t="s">
        <v>1141</v>
      </c>
    </row>
    <row r="537" spans="1:4">
      <c r="A537" t="s">
        <v>1140</v>
      </c>
      <c r="B537" t="str">
        <f>IF('01_Warehouse_Ledger'!$A$33="","",'01_Warehouse_Ledger'!$A$33&amp;IF('01_Warehouse_Ledger'!$B$33&lt;&gt;""," | "&amp;'01_Warehouse_Ledger'!$B$33,""))</f>
        <v>PAL-0000032</v>
      </c>
      <c r="C537" t="str">
        <f>IF('01_Warehouse_Ledger'!$A$33="","",'01_Warehouse_Ledger'!$A$33)</f>
        <v>PAL-0000032</v>
      </c>
      <c r="D537" t="s">
        <v>1141</v>
      </c>
    </row>
    <row r="538" spans="1:4">
      <c r="A538" t="s">
        <v>1140</v>
      </c>
      <c r="B538" t="str">
        <f>IF('01_Warehouse_Ledger'!$A$34="","",'01_Warehouse_Ledger'!$A$34&amp;IF('01_Warehouse_Ledger'!$B$34&lt;&gt;""," | "&amp;'01_Warehouse_Ledger'!$B$34,""))</f>
        <v>PAL-0000033</v>
      </c>
      <c r="C538" t="str">
        <f>IF('01_Warehouse_Ledger'!$A$34="","",'01_Warehouse_Ledger'!$A$34)</f>
        <v>PAL-0000033</v>
      </c>
      <c r="D538" t="s">
        <v>1141</v>
      </c>
    </row>
    <row r="539" spans="1:4">
      <c r="A539" t="s">
        <v>1140</v>
      </c>
      <c r="B539" t="str">
        <f>IF('01_Warehouse_Ledger'!$A$35="","",'01_Warehouse_Ledger'!$A$35&amp;IF('01_Warehouse_Ledger'!$B$35&lt;&gt;""," | "&amp;'01_Warehouse_Ledger'!$B$35,""))</f>
        <v>PAL-0000034</v>
      </c>
      <c r="C539" t="str">
        <f>IF('01_Warehouse_Ledger'!$A$35="","",'01_Warehouse_Ledger'!$A$35)</f>
        <v>PAL-0000034</v>
      </c>
      <c r="D539" t="s">
        <v>1141</v>
      </c>
    </row>
    <row r="540" spans="1:4">
      <c r="A540" t="s">
        <v>1140</v>
      </c>
      <c r="B540" t="str">
        <f>IF('01_Warehouse_Ledger'!$A$36="","",'01_Warehouse_Ledger'!$A$36&amp;IF('01_Warehouse_Ledger'!$B$36&lt;&gt;""," | "&amp;'01_Warehouse_Ledger'!$B$36,""))</f>
        <v>PAL-0000035</v>
      </c>
      <c r="C540" t="str">
        <f>IF('01_Warehouse_Ledger'!$A$36="","",'01_Warehouse_Ledger'!$A$36)</f>
        <v>PAL-0000035</v>
      </c>
      <c r="D540" t="s">
        <v>1141</v>
      </c>
    </row>
    <row r="541" spans="1:4">
      <c r="A541" t="s">
        <v>1140</v>
      </c>
      <c r="B541" t="str">
        <f>IF('01_Warehouse_Ledger'!$A$37="","",'01_Warehouse_Ledger'!$A$37&amp;IF('01_Warehouse_Ledger'!$B$37&lt;&gt;""," | "&amp;'01_Warehouse_Ledger'!$B$37,""))</f>
        <v>PAL-0000036 | OVERFLOW-SAMPLE-PO1035-CAT1-PAL036</v>
      </c>
      <c r="C541" t="str">
        <f>IF('01_Warehouse_Ledger'!$A$37="","",'01_Warehouse_Ledger'!$A$37)</f>
        <v>PAL-0000036</v>
      </c>
      <c r="D541" t="s">
        <v>1141</v>
      </c>
    </row>
    <row r="542" spans="1:4">
      <c r="A542" t="s">
        <v>1140</v>
      </c>
      <c r="B542" t="str">
        <f>IF('01_Warehouse_Ledger'!$A$38="","",'01_Warehouse_Ledger'!$A$38&amp;IF('01_Warehouse_Ledger'!$B$38&lt;&gt;""," | "&amp;'01_Warehouse_Ledger'!$B$38,""))</f>
        <v>PAL-0000037</v>
      </c>
      <c r="C542" t="str">
        <f>IF('01_Warehouse_Ledger'!$A$38="","",'01_Warehouse_Ledger'!$A$38)</f>
        <v>PAL-0000037</v>
      </c>
      <c r="D542" t="s">
        <v>1141</v>
      </c>
    </row>
    <row r="543" spans="1:4">
      <c r="A543" t="s">
        <v>1140</v>
      </c>
      <c r="B543" t="str">
        <f>IF('01_Warehouse_Ledger'!$A$39="","",'01_Warehouse_Ledger'!$A$39&amp;IF('01_Warehouse_Ledger'!$B$39&lt;&gt;""," | "&amp;'01_Warehouse_Ledger'!$B$39,""))</f>
        <v>PAL-0000038</v>
      </c>
      <c r="C543" t="str">
        <f>IF('01_Warehouse_Ledger'!$A$39="","",'01_Warehouse_Ledger'!$A$39)</f>
        <v>PAL-0000038</v>
      </c>
      <c r="D543" t="s">
        <v>1141</v>
      </c>
    </row>
    <row r="544" spans="1:4">
      <c r="A544" t="s">
        <v>1140</v>
      </c>
      <c r="B544" t="str">
        <f>IF('01_Warehouse_Ledger'!$A$40="","",'01_Warehouse_Ledger'!$A$40&amp;IF('01_Warehouse_Ledger'!$B$40&lt;&gt;""," | "&amp;'01_Warehouse_Ledger'!$B$40,""))</f>
        <v>PAL-0000039</v>
      </c>
      <c r="C544" t="str">
        <f>IF('01_Warehouse_Ledger'!$A$40="","",'01_Warehouse_Ledger'!$A$40)</f>
        <v>PAL-0000039</v>
      </c>
      <c r="D544" t="s">
        <v>1141</v>
      </c>
    </row>
    <row r="545" spans="1:4">
      <c r="A545" t="s">
        <v>1140</v>
      </c>
      <c r="B545" t="str">
        <f>IF('01_Warehouse_Ledger'!$A$41="","",'01_Warehouse_Ledger'!$A$41&amp;IF('01_Warehouse_Ledger'!$B$41&lt;&gt;""," | "&amp;'01_Warehouse_Ledger'!$B$41,""))</f>
        <v>PAL-0000040</v>
      </c>
      <c r="C545" t="str">
        <f>IF('01_Warehouse_Ledger'!$A$41="","",'01_Warehouse_Ledger'!$A$41)</f>
        <v>PAL-0000040</v>
      </c>
      <c r="D545" t="s">
        <v>1141</v>
      </c>
    </row>
    <row r="546" spans="1:4">
      <c r="A546" t="s">
        <v>1140</v>
      </c>
      <c r="B546" t="str">
        <f>IF('01_Warehouse_Ledger'!$A$42="","",'01_Warehouse_Ledger'!$A$42&amp;IF('01_Warehouse_Ledger'!$B$42&lt;&gt;""," | "&amp;'01_Warehouse_Ledger'!$B$42,""))</f>
        <v>PAL-0000041</v>
      </c>
      <c r="C546" t="str">
        <f>IF('01_Warehouse_Ledger'!$A$42="","",'01_Warehouse_Ledger'!$A$42)</f>
        <v>PAL-0000041</v>
      </c>
      <c r="D546" t="s">
        <v>1141</v>
      </c>
    </row>
    <row r="547" spans="1:4">
      <c r="A547" t="s">
        <v>1140</v>
      </c>
      <c r="B547" t="str">
        <f>IF('01_Warehouse_Ledger'!$A$43="","",'01_Warehouse_Ledger'!$A$43&amp;IF('01_Warehouse_Ledger'!$B$43&lt;&gt;""," | "&amp;'01_Warehouse_Ledger'!$B$43,""))</f>
        <v>PAL-0000042</v>
      </c>
      <c r="C547" t="str">
        <f>IF('01_Warehouse_Ledger'!$A$43="","",'01_Warehouse_Ledger'!$A$43)</f>
        <v>PAL-0000042</v>
      </c>
      <c r="D547" t="s">
        <v>1141</v>
      </c>
    </row>
    <row r="548" spans="1:4">
      <c r="A548" t="s">
        <v>1140</v>
      </c>
      <c r="B548" t="str">
        <f>IF('01_Warehouse_Ledger'!$A$44="","",'01_Warehouse_Ledger'!$A$44&amp;IF('01_Warehouse_Ledger'!$B$44&lt;&gt;""," | "&amp;'01_Warehouse_Ledger'!$B$44,""))</f>
        <v>PAL-0000043 | OVERFLOW-SAMPLE-PO1042-CAT3-PAL043</v>
      </c>
      <c r="C548" t="str">
        <f>IF('01_Warehouse_Ledger'!$A$44="","",'01_Warehouse_Ledger'!$A$44)</f>
        <v>PAL-0000043</v>
      </c>
      <c r="D548" t="s">
        <v>1141</v>
      </c>
    </row>
    <row r="549" spans="1:4">
      <c r="A549" t="s">
        <v>1140</v>
      </c>
      <c r="B549" t="str">
        <f>IF('01_Warehouse_Ledger'!$A$45="","",'01_Warehouse_Ledger'!$A$45&amp;IF('01_Warehouse_Ledger'!$B$45&lt;&gt;""," | "&amp;'01_Warehouse_Ledger'!$B$45,""))</f>
        <v>PAL-0000044</v>
      </c>
      <c r="C549" t="str">
        <f>IF('01_Warehouse_Ledger'!$A$45="","",'01_Warehouse_Ledger'!$A$45)</f>
        <v>PAL-0000044</v>
      </c>
      <c r="D549" t="s">
        <v>1141</v>
      </c>
    </row>
    <row r="550" spans="1:4">
      <c r="A550" t="s">
        <v>1140</v>
      </c>
      <c r="B550" t="str">
        <f>IF('01_Warehouse_Ledger'!$A$46="","",'01_Warehouse_Ledger'!$A$46&amp;IF('01_Warehouse_Ledger'!$B$46&lt;&gt;""," | "&amp;'01_Warehouse_Ledger'!$B$46,""))</f>
        <v>PAL-0000045</v>
      </c>
      <c r="C550" t="str">
        <f>IF('01_Warehouse_Ledger'!$A$46="","",'01_Warehouse_Ledger'!$A$46)</f>
        <v>PAL-0000045</v>
      </c>
      <c r="D550" t="s">
        <v>1141</v>
      </c>
    </row>
    <row r="551" spans="1:4">
      <c r="A551" t="s">
        <v>1140</v>
      </c>
      <c r="B551" t="str">
        <f>IF('01_Warehouse_Ledger'!$A$47="","",'01_Warehouse_Ledger'!$A$47&amp;IF('01_Warehouse_Ledger'!$B$47&lt;&gt;""," | "&amp;'01_Warehouse_Ledger'!$B$47,""))</f>
        <v>PAL-0000046</v>
      </c>
      <c r="C551" t="str">
        <f>IF('01_Warehouse_Ledger'!$A$47="","",'01_Warehouse_Ledger'!$A$47)</f>
        <v>PAL-0000046</v>
      </c>
      <c r="D551" t="s">
        <v>1141</v>
      </c>
    </row>
    <row r="552" spans="1:4">
      <c r="A552" t="s">
        <v>1140</v>
      </c>
      <c r="B552" t="str">
        <f>IF('01_Warehouse_Ledger'!$A$48="","",'01_Warehouse_Ledger'!$A$48&amp;IF('01_Warehouse_Ledger'!$B$48&lt;&gt;""," | "&amp;'01_Warehouse_Ledger'!$B$48,""))</f>
        <v>PAL-0000047</v>
      </c>
      <c r="C552" t="str">
        <f>IF('01_Warehouse_Ledger'!$A$48="","",'01_Warehouse_Ledger'!$A$48)</f>
        <v>PAL-0000047</v>
      </c>
      <c r="D552" t="s">
        <v>1141</v>
      </c>
    </row>
    <row r="553" spans="1:4">
      <c r="A553" t="s">
        <v>1140</v>
      </c>
      <c r="B553" t="str">
        <f>IF('01_Warehouse_Ledger'!$A$49="","",'01_Warehouse_Ledger'!$A$49&amp;IF('01_Warehouse_Ledger'!$B$49&lt;&gt;""," | "&amp;'01_Warehouse_Ledger'!$B$49,""))</f>
        <v>PAL-0000048</v>
      </c>
      <c r="C553" t="str">
        <f>IF('01_Warehouse_Ledger'!$A$49="","",'01_Warehouse_Ledger'!$A$49)</f>
        <v>PAL-0000048</v>
      </c>
      <c r="D553" t="s">
        <v>1141</v>
      </c>
    </row>
    <row r="554" spans="1:4">
      <c r="A554" t="s">
        <v>1140</v>
      </c>
      <c r="B554" t="str">
        <f>IF('01_Warehouse_Ledger'!$A$50="","",'01_Warehouse_Ledger'!$A$50&amp;IF('01_Warehouse_Ledger'!$B$50&lt;&gt;""," | "&amp;'01_Warehouse_Ledger'!$B$50,""))</f>
        <v>PAL-0000049</v>
      </c>
      <c r="C554" t="str">
        <f>IF('01_Warehouse_Ledger'!$A$50="","",'01_Warehouse_Ledger'!$A$50)</f>
        <v>PAL-0000049</v>
      </c>
      <c r="D554" t="s">
        <v>1141</v>
      </c>
    </row>
    <row r="555" spans="1:4">
      <c r="A555" t="s">
        <v>1140</v>
      </c>
      <c r="B555" t="str">
        <f>IF('01_Warehouse_Ledger'!$A$51="","",'01_Warehouse_Ledger'!$A$51&amp;IF('01_Warehouse_Ledger'!$B$51&lt;&gt;""," | "&amp;'01_Warehouse_Ledger'!$B$51,""))</f>
        <v>PAL-0000050 | OVERFLOW-SAMPLE-PO1049-CAT5-PAL050</v>
      </c>
      <c r="C555" t="str">
        <f>IF('01_Warehouse_Ledger'!$A$51="","",'01_Warehouse_Ledger'!$A$51)</f>
        <v>PAL-0000050</v>
      </c>
      <c r="D555" t="s">
        <v>1141</v>
      </c>
    </row>
    <row r="556" spans="1:4">
      <c r="A556" t="s">
        <v>1140</v>
      </c>
      <c r="B556" t="str">
        <f>IF('01_Warehouse_Ledger'!$A$52="","",'01_Warehouse_Ledger'!$A$52&amp;IF('01_Warehouse_Ledger'!$B$52&lt;&gt;""," | "&amp;'01_Warehouse_Ledger'!$B$52,""))</f>
        <v>PAL-0000051</v>
      </c>
      <c r="C556" t="str">
        <f>IF('01_Warehouse_Ledger'!$A$52="","",'01_Warehouse_Ledger'!$A$52)</f>
        <v>PAL-0000051</v>
      </c>
      <c r="D556" t="s">
        <v>1141</v>
      </c>
    </row>
    <row r="557" spans="1:4">
      <c r="A557" t="s">
        <v>1140</v>
      </c>
      <c r="B557" t="str">
        <f>IF('01_Warehouse_Ledger'!$A$53="","",'01_Warehouse_Ledger'!$A$53&amp;IF('01_Warehouse_Ledger'!$B$53&lt;&gt;""," | "&amp;'01_Warehouse_Ledger'!$B$53,""))</f>
        <v>PAL-0000052</v>
      </c>
      <c r="C557" t="str">
        <f>IF('01_Warehouse_Ledger'!$A$53="","",'01_Warehouse_Ledger'!$A$53)</f>
        <v>PAL-0000052</v>
      </c>
      <c r="D557" t="s">
        <v>1141</v>
      </c>
    </row>
    <row r="558" spans="1:4">
      <c r="A558" t="s">
        <v>1140</v>
      </c>
      <c r="B558" t="str">
        <f>IF('01_Warehouse_Ledger'!$A$54="","",'01_Warehouse_Ledger'!$A$54&amp;IF('01_Warehouse_Ledger'!$B$54&lt;&gt;""," | "&amp;'01_Warehouse_Ledger'!$B$54,""))</f>
        <v>PAL-0000053</v>
      </c>
      <c r="C558" t="str">
        <f>IF('01_Warehouse_Ledger'!$A$54="","",'01_Warehouse_Ledger'!$A$54)</f>
        <v>PAL-0000053</v>
      </c>
      <c r="D558" t="s">
        <v>1141</v>
      </c>
    </row>
    <row r="559" spans="1:4">
      <c r="A559" t="s">
        <v>1140</v>
      </c>
      <c r="B559" t="str">
        <f>IF('01_Warehouse_Ledger'!$A$55="","",'01_Warehouse_Ledger'!$A$55&amp;IF('01_Warehouse_Ledger'!$B$55&lt;&gt;""," | "&amp;'01_Warehouse_Ledger'!$B$55,""))</f>
        <v>PAL-0000054</v>
      </c>
      <c r="C559" t="str">
        <f>IF('01_Warehouse_Ledger'!$A$55="","",'01_Warehouse_Ledger'!$A$55)</f>
        <v>PAL-0000054</v>
      </c>
      <c r="D559" t="s">
        <v>1141</v>
      </c>
    </row>
    <row r="560" spans="1:4">
      <c r="A560" t="s">
        <v>1140</v>
      </c>
      <c r="B560" t="str">
        <f>IF('01_Warehouse_Ledger'!$A$56="","",'01_Warehouse_Ledger'!$A$56&amp;IF('01_Warehouse_Ledger'!$B$56&lt;&gt;""," | "&amp;'01_Warehouse_Ledger'!$B$56,""))</f>
        <v>PAL-0000055</v>
      </c>
      <c r="C560" t="str">
        <f>IF('01_Warehouse_Ledger'!$A$56="","",'01_Warehouse_Ledger'!$A$56)</f>
        <v>PAL-0000055</v>
      </c>
      <c r="D560" t="s">
        <v>1141</v>
      </c>
    </row>
    <row r="561" spans="1:4">
      <c r="A561" t="s">
        <v>1140</v>
      </c>
      <c r="B561" t="str">
        <f>IF('01_Warehouse_Ledger'!$A$57="","",'01_Warehouse_Ledger'!$A$57&amp;IF('01_Warehouse_Ledger'!$B$57&lt;&gt;""," | "&amp;'01_Warehouse_Ledger'!$B$57,""))</f>
        <v>PAL-0000056</v>
      </c>
      <c r="C561" t="str">
        <f>IF('01_Warehouse_Ledger'!$A$57="","",'01_Warehouse_Ledger'!$A$57)</f>
        <v>PAL-0000056</v>
      </c>
      <c r="D561" t="s">
        <v>1141</v>
      </c>
    </row>
    <row r="562" spans="1:4">
      <c r="A562" t="s">
        <v>1140</v>
      </c>
      <c r="B562" t="str">
        <f>IF('01_Warehouse_Ledger'!$A$58="","",'01_Warehouse_Ledger'!$A$58&amp;IF('01_Warehouse_Ledger'!$B$58&lt;&gt;""," | "&amp;'01_Warehouse_Ledger'!$B$58,""))</f>
        <v>PAL-0000057 | OVERFLOW-SAMPLE-PO1056-CAT2-PAL057</v>
      </c>
      <c r="C562" t="str">
        <f>IF('01_Warehouse_Ledger'!$A$58="","",'01_Warehouse_Ledger'!$A$58)</f>
        <v>PAL-0000057</v>
      </c>
      <c r="D562" t="s">
        <v>1141</v>
      </c>
    </row>
    <row r="563" spans="1:4">
      <c r="A563" t="s">
        <v>1140</v>
      </c>
      <c r="B563" t="str">
        <f>IF('01_Warehouse_Ledger'!$A$59="","",'01_Warehouse_Ledger'!$A$59&amp;IF('01_Warehouse_Ledger'!$B$59&lt;&gt;""," | "&amp;'01_Warehouse_Ledger'!$B$59,""))</f>
        <v>PAL-0000058</v>
      </c>
      <c r="C563" t="str">
        <f>IF('01_Warehouse_Ledger'!$A$59="","",'01_Warehouse_Ledger'!$A$59)</f>
        <v>PAL-0000058</v>
      </c>
      <c r="D563" t="s">
        <v>1141</v>
      </c>
    </row>
    <row r="564" spans="1:4">
      <c r="A564" t="s">
        <v>1140</v>
      </c>
      <c r="B564" t="str">
        <f>IF('01_Warehouse_Ledger'!$A$60="","",'01_Warehouse_Ledger'!$A$60&amp;IF('01_Warehouse_Ledger'!$B$60&lt;&gt;""," | "&amp;'01_Warehouse_Ledger'!$B$60,""))</f>
        <v>PAL-0000059</v>
      </c>
      <c r="C564" t="str">
        <f>IF('01_Warehouse_Ledger'!$A$60="","",'01_Warehouse_Ledger'!$A$60)</f>
        <v>PAL-0000059</v>
      </c>
      <c r="D564" t="s">
        <v>1141</v>
      </c>
    </row>
    <row r="565" spans="1:4">
      <c r="A565" t="s">
        <v>1140</v>
      </c>
      <c r="B565" t="str">
        <f>IF('01_Warehouse_Ledger'!$A$61="","",'01_Warehouse_Ledger'!$A$61&amp;IF('01_Warehouse_Ledger'!$B$61&lt;&gt;""," | "&amp;'01_Warehouse_Ledger'!$B$61,""))</f>
        <v>PAL-0000060</v>
      </c>
      <c r="C565" t="str">
        <f>IF('01_Warehouse_Ledger'!$A$61="","",'01_Warehouse_Ledger'!$A$61)</f>
        <v>PAL-0000060</v>
      </c>
      <c r="D565" t="s">
        <v>1141</v>
      </c>
    </row>
    <row r="566" spans="1:4">
      <c r="A566" t="s">
        <v>1140</v>
      </c>
      <c r="B566" t="str">
        <f>IF('01_Warehouse_Ledger'!$A$62="","",'01_Warehouse_Ledger'!$A$62&amp;IF('01_Warehouse_Ledger'!$B$62&lt;&gt;""," | "&amp;'01_Warehouse_Ledger'!$B$62,""))</f>
        <v>PAL-0000061</v>
      </c>
      <c r="C566" t="str">
        <f>IF('01_Warehouse_Ledger'!$A$62="","",'01_Warehouse_Ledger'!$A$62)</f>
        <v>PAL-0000061</v>
      </c>
      <c r="D566" t="s">
        <v>1141</v>
      </c>
    </row>
    <row r="567" spans="1:4">
      <c r="A567" t="s">
        <v>1140</v>
      </c>
      <c r="B567" t="str">
        <f>IF('01_Warehouse_Ledger'!$A$63="","",'01_Warehouse_Ledger'!$A$63&amp;IF('01_Warehouse_Ledger'!$B$63&lt;&gt;""," | "&amp;'01_Warehouse_Ledger'!$B$63,""))</f>
        <v>PAL-0000062</v>
      </c>
      <c r="C567" t="str">
        <f>IF('01_Warehouse_Ledger'!$A$63="","",'01_Warehouse_Ledger'!$A$63)</f>
        <v>PAL-0000062</v>
      </c>
      <c r="D567" t="s">
        <v>1141</v>
      </c>
    </row>
    <row r="568" spans="1:4">
      <c r="A568" t="s">
        <v>1140</v>
      </c>
      <c r="B568" t="str">
        <f>IF('01_Warehouse_Ledger'!$A$64="","",'01_Warehouse_Ledger'!$A$64&amp;IF('01_Warehouse_Ledger'!$B$64&lt;&gt;""," | "&amp;'01_Warehouse_Ledger'!$B$64,""))</f>
        <v>PAL-0000063</v>
      </c>
      <c r="C568" t="str">
        <f>IF('01_Warehouse_Ledger'!$A$64="","",'01_Warehouse_Ledger'!$A$64)</f>
        <v>PAL-0000063</v>
      </c>
      <c r="D568" t="s">
        <v>1141</v>
      </c>
    </row>
    <row r="569" spans="1:4">
      <c r="A569" t="s">
        <v>1140</v>
      </c>
      <c r="B569" t="str">
        <f>IF('01_Warehouse_Ledger'!$A$65="","",'01_Warehouse_Ledger'!$A$65&amp;IF('01_Warehouse_Ledger'!$B$65&lt;&gt;""," | "&amp;'01_Warehouse_Ledger'!$B$65,""))</f>
        <v>PAL-0000064</v>
      </c>
      <c r="C569" t="str">
        <f>IF('01_Warehouse_Ledger'!$A$65="","",'01_Warehouse_Ledger'!$A$65)</f>
        <v>PAL-0000064</v>
      </c>
      <c r="D569" t="s">
        <v>1141</v>
      </c>
    </row>
    <row r="570" spans="1:4">
      <c r="A570" t="s">
        <v>1140</v>
      </c>
      <c r="B570" t="str">
        <f>IF('01_Warehouse_Ledger'!$A$66="","",'01_Warehouse_Ledger'!$A$66&amp;IF('01_Warehouse_Ledger'!$B$66&lt;&gt;""," | "&amp;'01_Warehouse_Ledger'!$B$66,""))</f>
        <v>PAL-0000065</v>
      </c>
      <c r="C570" t="str">
        <f>IF('01_Warehouse_Ledger'!$A$66="","",'01_Warehouse_Ledger'!$A$66)</f>
        <v>PAL-0000065</v>
      </c>
      <c r="D570" t="s">
        <v>1141</v>
      </c>
    </row>
    <row r="571" spans="1:4">
      <c r="A571" t="s">
        <v>1140</v>
      </c>
      <c r="B571" t="str">
        <f>IF('01_Warehouse_Ledger'!$A$67="","",'01_Warehouse_Ledger'!$A$67&amp;IF('01_Warehouse_Ledger'!$B$67&lt;&gt;""," | "&amp;'01_Warehouse_Ledger'!$B$67,""))</f>
        <v>PAL-0000066</v>
      </c>
      <c r="C571" t="str">
        <f>IF('01_Warehouse_Ledger'!$A$67="","",'01_Warehouse_Ledger'!$A$67)</f>
        <v>PAL-0000066</v>
      </c>
      <c r="D571" t="s">
        <v>1141</v>
      </c>
    </row>
    <row r="572" spans="1:4">
      <c r="A572" t="s">
        <v>1140</v>
      </c>
      <c r="B572" t="str">
        <f>IF('01_Warehouse_Ledger'!$A$68="","",'01_Warehouse_Ledger'!$A$68&amp;IF('01_Warehouse_Ledger'!$B$68&lt;&gt;""," | "&amp;'01_Warehouse_Ledger'!$B$68,""))</f>
        <v>PAL-0000067</v>
      </c>
      <c r="C572" t="str">
        <f>IF('01_Warehouse_Ledger'!$A$68="","",'01_Warehouse_Ledger'!$A$68)</f>
        <v>PAL-0000067</v>
      </c>
      <c r="D572" t="s">
        <v>1141</v>
      </c>
    </row>
    <row r="573" spans="1:4">
      <c r="A573" t="s">
        <v>1140</v>
      </c>
      <c r="B573" t="str">
        <f>IF('01_Warehouse_Ledger'!$A$69="","",'01_Warehouse_Ledger'!$A$69&amp;IF('01_Warehouse_Ledger'!$B$69&lt;&gt;""," | "&amp;'01_Warehouse_Ledger'!$B$69,""))</f>
        <v>PAL-0000068</v>
      </c>
      <c r="C573" t="str">
        <f>IF('01_Warehouse_Ledger'!$A$69="","",'01_Warehouse_Ledger'!$A$69)</f>
        <v>PAL-0000068</v>
      </c>
      <c r="D573" t="s">
        <v>1141</v>
      </c>
    </row>
    <row r="574" spans="1:4">
      <c r="A574" t="s">
        <v>1140</v>
      </c>
      <c r="B574" t="str">
        <f>IF('01_Warehouse_Ledger'!$A$70="","",'01_Warehouse_Ledger'!$A$70&amp;IF('01_Warehouse_Ledger'!$B$70&lt;&gt;""," | "&amp;'01_Warehouse_Ledger'!$B$70,""))</f>
        <v>PAL-0000069</v>
      </c>
      <c r="C574" t="str">
        <f>IF('01_Warehouse_Ledger'!$A$70="","",'01_Warehouse_Ledger'!$A$70)</f>
        <v>PAL-0000069</v>
      </c>
      <c r="D574" t="s">
        <v>1141</v>
      </c>
    </row>
    <row r="575" spans="1:4">
      <c r="A575" t="s">
        <v>1140</v>
      </c>
      <c r="B575" t="str">
        <f>IF('01_Warehouse_Ledger'!$A$71="","",'01_Warehouse_Ledger'!$A$71&amp;IF('01_Warehouse_Ledger'!$B$71&lt;&gt;""," | "&amp;'01_Warehouse_Ledger'!$B$71,""))</f>
        <v>PAL-0000070</v>
      </c>
      <c r="C575" t="str">
        <f>IF('01_Warehouse_Ledger'!$A$71="","",'01_Warehouse_Ledger'!$A$71)</f>
        <v>PAL-0000070</v>
      </c>
      <c r="D575" t="s">
        <v>1141</v>
      </c>
    </row>
    <row r="576" spans="1:4">
      <c r="A576" t="s">
        <v>1140</v>
      </c>
      <c r="B576" t="str">
        <f>IF('01_Warehouse_Ledger'!$A$72="","",'01_Warehouse_Ledger'!$A$72&amp;IF('01_Warehouse_Ledger'!$B$72&lt;&gt;""," | "&amp;'01_Warehouse_Ledger'!$B$72,""))</f>
        <v>PAL-0000071</v>
      </c>
      <c r="C576" t="str">
        <f>IF('01_Warehouse_Ledger'!$A$72="","",'01_Warehouse_Ledger'!$A$72)</f>
        <v>PAL-0000071</v>
      </c>
      <c r="D576" t="s">
        <v>1141</v>
      </c>
    </row>
    <row r="577" spans="1:4">
      <c r="A577" t="s">
        <v>1140</v>
      </c>
      <c r="B577" t="str">
        <f>IF('01_Warehouse_Ledger'!$A$73="","",'01_Warehouse_Ledger'!$A$73&amp;IF('01_Warehouse_Ledger'!$B$73&lt;&gt;""," | "&amp;'01_Warehouse_Ledger'!$B$73,""))</f>
        <v>PAL-0000072</v>
      </c>
      <c r="C577" t="str">
        <f>IF('01_Warehouse_Ledger'!$A$73="","",'01_Warehouse_Ledger'!$A$73)</f>
        <v>PAL-0000072</v>
      </c>
      <c r="D577" t="s">
        <v>1141</v>
      </c>
    </row>
    <row r="578" spans="1:4">
      <c r="A578" t="s">
        <v>1140</v>
      </c>
      <c r="B578" t="str">
        <f>IF('01_Warehouse_Ledger'!$A$74="","",'01_Warehouse_Ledger'!$A$74&amp;IF('01_Warehouse_Ledger'!$B$74&lt;&gt;""," | "&amp;'01_Warehouse_Ledger'!$B$74,""))</f>
        <v>PAL-0000073</v>
      </c>
      <c r="C578" t="str">
        <f>IF('01_Warehouse_Ledger'!$A$74="","",'01_Warehouse_Ledger'!$A$74)</f>
        <v>PAL-0000073</v>
      </c>
      <c r="D578" t="s">
        <v>1141</v>
      </c>
    </row>
    <row r="579" spans="1:4">
      <c r="A579" t="s">
        <v>1140</v>
      </c>
      <c r="B579" t="str">
        <f>IF('01_Warehouse_Ledger'!$A$75="","",'01_Warehouse_Ledger'!$A$75&amp;IF('01_Warehouse_Ledger'!$B$75&lt;&gt;""," | "&amp;'01_Warehouse_Ledger'!$B$75,""))</f>
        <v>PAL-0000074</v>
      </c>
      <c r="C579" t="str">
        <f>IF('01_Warehouse_Ledger'!$A$75="","",'01_Warehouse_Ledger'!$A$75)</f>
        <v>PAL-0000074</v>
      </c>
      <c r="D579" t="s">
        <v>1141</v>
      </c>
    </row>
    <row r="580" spans="1:4">
      <c r="A580" t="s">
        <v>1140</v>
      </c>
      <c r="B580" t="str">
        <f>IF('01_Warehouse_Ledger'!$A$76="","",'01_Warehouse_Ledger'!$A$76&amp;IF('01_Warehouse_Ledger'!$B$76&lt;&gt;""," | "&amp;'01_Warehouse_Ledger'!$B$76,""))</f>
        <v>PAL-0000075</v>
      </c>
      <c r="C580" t="str">
        <f>IF('01_Warehouse_Ledger'!$A$76="","",'01_Warehouse_Ledger'!$A$76)</f>
        <v>PAL-0000075</v>
      </c>
      <c r="D580" t="s">
        <v>1141</v>
      </c>
    </row>
    <row r="581" spans="1:4">
      <c r="A581" t="s">
        <v>1140</v>
      </c>
      <c r="B581" t="str">
        <f>IF('01_Warehouse_Ledger'!$A$77="","",'01_Warehouse_Ledger'!$A$77&amp;IF('01_Warehouse_Ledger'!$B$77&lt;&gt;""," | "&amp;'01_Warehouse_Ledger'!$B$77,""))</f>
        <v>PAL-0000076</v>
      </c>
      <c r="C581" t="str">
        <f>IF('01_Warehouse_Ledger'!$A$77="","",'01_Warehouse_Ledger'!$A$77)</f>
        <v>PAL-0000076</v>
      </c>
      <c r="D581" t="s">
        <v>1141</v>
      </c>
    </row>
    <row r="582" spans="1:4">
      <c r="A582" t="s">
        <v>1140</v>
      </c>
      <c r="B582" t="str">
        <f>IF('01_Warehouse_Ledger'!$A$78="","",'01_Warehouse_Ledger'!$A$78&amp;IF('01_Warehouse_Ledger'!$B$78&lt;&gt;""," | "&amp;'01_Warehouse_Ledger'!$B$78,""))</f>
        <v>PAL-0000077</v>
      </c>
      <c r="C582" t="str">
        <f>IF('01_Warehouse_Ledger'!$A$78="","",'01_Warehouse_Ledger'!$A$78)</f>
        <v>PAL-0000077</v>
      </c>
      <c r="D582" t="s">
        <v>1141</v>
      </c>
    </row>
    <row r="583" spans="1:4">
      <c r="A583" t="s">
        <v>1140</v>
      </c>
      <c r="B583" t="str">
        <f>IF('01_Warehouse_Ledger'!$A$79="","",'01_Warehouse_Ledger'!$A$79&amp;IF('01_Warehouse_Ledger'!$B$79&lt;&gt;""," | "&amp;'01_Warehouse_Ledger'!$B$79,""))</f>
        <v>PAL-0000078</v>
      </c>
      <c r="C583" t="str">
        <f>IF('01_Warehouse_Ledger'!$A$79="","",'01_Warehouse_Ledger'!$A$79)</f>
        <v>PAL-0000078</v>
      </c>
      <c r="D583" t="s">
        <v>1141</v>
      </c>
    </row>
    <row r="584" spans="1:4">
      <c r="A584" t="s">
        <v>1140</v>
      </c>
      <c r="B584" t="str">
        <f>IF('01_Warehouse_Ledger'!$A$80="","",'01_Warehouse_Ledger'!$A$80&amp;IF('01_Warehouse_Ledger'!$B$80&lt;&gt;""," | "&amp;'01_Warehouse_Ledger'!$B$80,""))</f>
        <v>PAL-0000079</v>
      </c>
      <c r="C584" t="str">
        <f>IF('01_Warehouse_Ledger'!$A$80="","",'01_Warehouse_Ledger'!$A$80)</f>
        <v>PAL-0000079</v>
      </c>
      <c r="D584" t="s">
        <v>1141</v>
      </c>
    </row>
    <row r="585" spans="1:4">
      <c r="A585" t="s">
        <v>1140</v>
      </c>
      <c r="B585" t="str">
        <f>IF('01_Warehouse_Ledger'!$A$81="","",'01_Warehouse_Ledger'!$A$81&amp;IF('01_Warehouse_Ledger'!$B$81&lt;&gt;""," | "&amp;'01_Warehouse_Ledger'!$B$81,""))</f>
        <v>PAL-0000080</v>
      </c>
      <c r="C585" t="str">
        <f>IF('01_Warehouse_Ledger'!$A$81="","",'01_Warehouse_Ledger'!$A$81)</f>
        <v>PAL-0000080</v>
      </c>
      <c r="D585" t="s">
        <v>1141</v>
      </c>
    </row>
    <row r="586" spans="1:4">
      <c r="A586" t="s">
        <v>1140</v>
      </c>
      <c r="B586" t="str">
        <f>IF('01_Warehouse_Ledger'!$A$82="","",'01_Warehouse_Ledger'!$A$82&amp;IF('01_Warehouse_Ledger'!$B$82&lt;&gt;""," | "&amp;'01_Warehouse_Ledger'!$B$82,""))</f>
        <v>PAL-0000081</v>
      </c>
      <c r="C586" t="str">
        <f>IF('01_Warehouse_Ledger'!$A$82="","",'01_Warehouse_Ledger'!$A$82)</f>
        <v>PAL-0000081</v>
      </c>
      <c r="D586" t="s">
        <v>1141</v>
      </c>
    </row>
    <row r="587" spans="1:4">
      <c r="A587" t="s">
        <v>1140</v>
      </c>
      <c r="B587" t="str">
        <f>IF('01_Warehouse_Ledger'!$A$83="","",'01_Warehouse_Ledger'!$A$83&amp;IF('01_Warehouse_Ledger'!$B$83&lt;&gt;""," | "&amp;'01_Warehouse_Ledger'!$B$83,""))</f>
        <v>PAL-0000082</v>
      </c>
      <c r="C587" t="str">
        <f>IF('01_Warehouse_Ledger'!$A$83="","",'01_Warehouse_Ledger'!$A$83)</f>
        <v>PAL-0000082</v>
      </c>
      <c r="D587" t="s">
        <v>1141</v>
      </c>
    </row>
    <row r="588" spans="1:4">
      <c r="A588" t="s">
        <v>1140</v>
      </c>
      <c r="B588" t="str">
        <f>IF('01_Warehouse_Ledger'!$A$84="","",'01_Warehouse_Ledger'!$A$84&amp;IF('01_Warehouse_Ledger'!$B$84&lt;&gt;""," | "&amp;'01_Warehouse_Ledger'!$B$84,""))</f>
        <v>PAL-0000083</v>
      </c>
      <c r="C588" t="str">
        <f>IF('01_Warehouse_Ledger'!$A$84="","",'01_Warehouse_Ledger'!$A$84)</f>
        <v>PAL-0000083</v>
      </c>
      <c r="D588" t="s">
        <v>1141</v>
      </c>
    </row>
    <row r="589" spans="1:4">
      <c r="A589" t="s">
        <v>1140</v>
      </c>
      <c r="B589" t="str">
        <f>IF('01_Warehouse_Ledger'!$A$85="","",'01_Warehouse_Ledger'!$A$85&amp;IF('01_Warehouse_Ledger'!$B$85&lt;&gt;""," | "&amp;'01_Warehouse_Ledger'!$B$85,""))</f>
        <v>PAL-0000084</v>
      </c>
      <c r="C589" t="str">
        <f>IF('01_Warehouse_Ledger'!$A$85="","",'01_Warehouse_Ledger'!$A$85)</f>
        <v>PAL-0000084</v>
      </c>
      <c r="D589" t="s">
        <v>1141</v>
      </c>
    </row>
    <row r="590" spans="1:4">
      <c r="A590" t="s">
        <v>1140</v>
      </c>
      <c r="B590" t="str">
        <f>IF('01_Warehouse_Ledger'!$A$86="","",'01_Warehouse_Ledger'!$A$86&amp;IF('01_Warehouse_Ledger'!$B$86&lt;&gt;""," | "&amp;'01_Warehouse_Ledger'!$B$86,""))</f>
        <v>PAL-0000085</v>
      </c>
      <c r="C590" t="str">
        <f>IF('01_Warehouse_Ledger'!$A$86="","",'01_Warehouse_Ledger'!$A$86)</f>
        <v>PAL-0000085</v>
      </c>
      <c r="D590" t="s">
        <v>1141</v>
      </c>
    </row>
    <row r="591" spans="1:4">
      <c r="A591" t="s">
        <v>1140</v>
      </c>
      <c r="B591" t="str">
        <f>IF('01_Warehouse_Ledger'!$A$87="","",'01_Warehouse_Ledger'!$A$87&amp;IF('01_Warehouse_Ledger'!$B$87&lt;&gt;""," | "&amp;'01_Warehouse_Ledger'!$B$87,""))</f>
        <v>PAL-0000086</v>
      </c>
      <c r="C591" t="str">
        <f>IF('01_Warehouse_Ledger'!$A$87="","",'01_Warehouse_Ledger'!$A$87)</f>
        <v>PAL-0000086</v>
      </c>
      <c r="D591" t="s">
        <v>1141</v>
      </c>
    </row>
    <row r="592" spans="1:4">
      <c r="A592" t="s">
        <v>1140</v>
      </c>
      <c r="B592" t="str">
        <f>IF('01_Warehouse_Ledger'!$A$88="","",'01_Warehouse_Ledger'!$A$88&amp;IF('01_Warehouse_Ledger'!$B$88&lt;&gt;""," | "&amp;'01_Warehouse_Ledger'!$B$88,""))</f>
        <v>PAL-0000087</v>
      </c>
      <c r="C592" t="str">
        <f>IF('01_Warehouse_Ledger'!$A$88="","",'01_Warehouse_Ledger'!$A$88)</f>
        <v>PAL-0000087</v>
      </c>
      <c r="D592" t="s">
        <v>1141</v>
      </c>
    </row>
    <row r="593" spans="1:4">
      <c r="A593" t="s">
        <v>1140</v>
      </c>
      <c r="B593" t="str">
        <f>IF('01_Warehouse_Ledger'!$A$89="","",'01_Warehouse_Ledger'!$A$89&amp;IF('01_Warehouse_Ledger'!$B$89&lt;&gt;""," | "&amp;'01_Warehouse_Ledger'!$B$89,""))</f>
        <v>PAL-0000088</v>
      </c>
      <c r="C593" t="str">
        <f>IF('01_Warehouse_Ledger'!$A$89="","",'01_Warehouse_Ledger'!$A$89)</f>
        <v>PAL-0000088</v>
      </c>
      <c r="D593" t="s">
        <v>1141</v>
      </c>
    </row>
    <row r="594" spans="1:4">
      <c r="A594" t="s">
        <v>1140</v>
      </c>
      <c r="B594" t="str">
        <f>IF('01_Warehouse_Ledger'!$A$90="","",'01_Warehouse_Ledger'!$A$90&amp;IF('01_Warehouse_Ledger'!$B$90&lt;&gt;""," | "&amp;'01_Warehouse_Ledger'!$B$90,""))</f>
        <v>PAL-0000089</v>
      </c>
      <c r="C594" t="str">
        <f>IF('01_Warehouse_Ledger'!$A$90="","",'01_Warehouse_Ledger'!$A$90)</f>
        <v>PAL-0000089</v>
      </c>
      <c r="D594" t="s">
        <v>1141</v>
      </c>
    </row>
    <row r="595" spans="1:4">
      <c r="A595" t="s">
        <v>1140</v>
      </c>
      <c r="B595" t="str">
        <f>IF('01_Warehouse_Ledger'!$A$91="","",'01_Warehouse_Ledger'!$A$91&amp;IF('01_Warehouse_Ledger'!$B$91&lt;&gt;""," | "&amp;'01_Warehouse_Ledger'!$B$91,""))</f>
        <v>PAL-0000090</v>
      </c>
      <c r="C595" t="str">
        <f>IF('01_Warehouse_Ledger'!$A$91="","",'01_Warehouse_Ledger'!$A$91)</f>
        <v>PAL-0000090</v>
      </c>
      <c r="D595" t="s">
        <v>1141</v>
      </c>
    </row>
    <row r="596" spans="1:4">
      <c r="A596" t="s">
        <v>1140</v>
      </c>
      <c r="B596" t="str">
        <f>IF('01_Warehouse_Ledger'!$A$92="","",'01_Warehouse_Ledger'!$A$92&amp;IF('01_Warehouse_Ledger'!$B$92&lt;&gt;""," | "&amp;'01_Warehouse_Ledger'!$B$92,""))</f>
        <v>PAL-0000091</v>
      </c>
      <c r="C596" t="str">
        <f>IF('01_Warehouse_Ledger'!$A$92="","",'01_Warehouse_Ledger'!$A$92)</f>
        <v>PAL-0000091</v>
      </c>
      <c r="D596" t="s">
        <v>1141</v>
      </c>
    </row>
    <row r="597" spans="1:4">
      <c r="A597" t="s">
        <v>1140</v>
      </c>
      <c r="B597" t="str">
        <f>IF('01_Warehouse_Ledger'!$A$93="","",'01_Warehouse_Ledger'!$A$93&amp;IF('01_Warehouse_Ledger'!$B$93&lt;&gt;""," | "&amp;'01_Warehouse_Ledger'!$B$93,""))</f>
        <v>PAL-0000092</v>
      </c>
      <c r="C597" t="str">
        <f>IF('01_Warehouse_Ledger'!$A$93="","",'01_Warehouse_Ledger'!$A$93)</f>
        <v>PAL-0000092</v>
      </c>
      <c r="D597" t="s">
        <v>1141</v>
      </c>
    </row>
    <row r="598" spans="1:4">
      <c r="A598" t="s">
        <v>1140</v>
      </c>
      <c r="B598" t="str">
        <f>IF('01_Warehouse_Ledger'!$A$94="","",'01_Warehouse_Ledger'!$A$94&amp;IF('01_Warehouse_Ledger'!$B$94&lt;&gt;""," | "&amp;'01_Warehouse_Ledger'!$B$94,""))</f>
        <v>PAL-0000093</v>
      </c>
      <c r="C598" t="str">
        <f>IF('01_Warehouse_Ledger'!$A$94="","",'01_Warehouse_Ledger'!$A$94)</f>
        <v>PAL-0000093</v>
      </c>
      <c r="D598" t="s">
        <v>1141</v>
      </c>
    </row>
    <row r="599" spans="1:4">
      <c r="A599" t="s">
        <v>1140</v>
      </c>
      <c r="B599" t="str">
        <f>IF('01_Warehouse_Ledger'!$A$95="","",'01_Warehouse_Ledger'!$A$95&amp;IF('01_Warehouse_Ledger'!$B$95&lt;&gt;""," | "&amp;'01_Warehouse_Ledger'!$B$95,""))</f>
        <v>PAL-0000094</v>
      </c>
      <c r="C599" t="str">
        <f>IF('01_Warehouse_Ledger'!$A$95="","",'01_Warehouse_Ledger'!$A$95)</f>
        <v>PAL-0000094</v>
      </c>
      <c r="D599" t="s">
        <v>1141</v>
      </c>
    </row>
    <row r="600" spans="1:4">
      <c r="A600" t="s">
        <v>1140</v>
      </c>
      <c r="B600" t="str">
        <f>IF('01_Warehouse_Ledger'!$A$96="","",'01_Warehouse_Ledger'!$A$96&amp;IF('01_Warehouse_Ledger'!$B$96&lt;&gt;""," | "&amp;'01_Warehouse_Ledger'!$B$96,""))</f>
        <v>PAL-0000095</v>
      </c>
      <c r="C600" t="str">
        <f>IF('01_Warehouse_Ledger'!$A$96="","",'01_Warehouse_Ledger'!$A$96)</f>
        <v>PAL-0000095</v>
      </c>
      <c r="D600" t="s">
        <v>1141</v>
      </c>
    </row>
    <row r="601" spans="1:4">
      <c r="A601" t="s">
        <v>1140</v>
      </c>
      <c r="B601" t="str">
        <f>IF('01_Warehouse_Ledger'!$A$97="","",'01_Warehouse_Ledger'!$A$97&amp;IF('01_Warehouse_Ledger'!$B$97&lt;&gt;""," | "&amp;'01_Warehouse_Ledger'!$B$97,""))</f>
        <v>PAL-0000096</v>
      </c>
      <c r="C601" t="str">
        <f>IF('01_Warehouse_Ledger'!$A$97="","",'01_Warehouse_Ledger'!$A$97)</f>
        <v>PAL-0000096</v>
      </c>
      <c r="D601" t="s">
        <v>1141</v>
      </c>
    </row>
    <row r="602" spans="1:4">
      <c r="A602" t="s">
        <v>1140</v>
      </c>
      <c r="B602" t="str">
        <f>IF('01_Warehouse_Ledger'!$A$98="","",'01_Warehouse_Ledger'!$A$98&amp;IF('01_Warehouse_Ledger'!$B$98&lt;&gt;""," | "&amp;'01_Warehouse_Ledger'!$B$98,""))</f>
        <v>PAL-0000097</v>
      </c>
      <c r="C602" t="str">
        <f>IF('01_Warehouse_Ledger'!$A$98="","",'01_Warehouse_Ledger'!$A$98)</f>
        <v>PAL-0000097</v>
      </c>
      <c r="D602" t="s">
        <v>1141</v>
      </c>
    </row>
    <row r="603" spans="1:4">
      <c r="A603" t="s">
        <v>1140</v>
      </c>
      <c r="B603" t="str">
        <f>IF('01_Warehouse_Ledger'!$A$99="","",'01_Warehouse_Ledger'!$A$99&amp;IF('01_Warehouse_Ledger'!$B$99&lt;&gt;""," | "&amp;'01_Warehouse_Ledger'!$B$99,""))</f>
        <v>PAL-0000098</v>
      </c>
      <c r="C603" t="str">
        <f>IF('01_Warehouse_Ledger'!$A$99="","",'01_Warehouse_Ledger'!$A$99)</f>
        <v>PAL-0000098</v>
      </c>
      <c r="D603" t="s">
        <v>1141</v>
      </c>
    </row>
    <row r="604" spans="1:4">
      <c r="A604" t="s">
        <v>1140</v>
      </c>
      <c r="B604" t="str">
        <f>IF('01_Warehouse_Ledger'!$A$100="","",'01_Warehouse_Ledger'!$A$100&amp;IF('01_Warehouse_Ledger'!$B$100&lt;&gt;""," | "&amp;'01_Warehouse_Ledger'!$B$100,""))</f>
        <v>PAL-0000099</v>
      </c>
      <c r="C604" t="str">
        <f>IF('01_Warehouse_Ledger'!$A$100="","",'01_Warehouse_Ledger'!$A$100)</f>
        <v>PAL-0000099</v>
      </c>
      <c r="D604" t="s">
        <v>1141</v>
      </c>
    </row>
    <row r="605" spans="1:4">
      <c r="A605" t="s">
        <v>1140</v>
      </c>
      <c r="B605" t="str">
        <f>IF('01_Warehouse_Ledger'!$A$101="","",'01_Warehouse_Ledger'!$A$101&amp;IF('01_Warehouse_Ledger'!$B$101&lt;&gt;""," | "&amp;'01_Warehouse_Ledger'!$B$101,""))</f>
        <v>PAL-0000100</v>
      </c>
      <c r="C605" t="str">
        <f>IF('01_Warehouse_Ledger'!$A$101="","",'01_Warehouse_Ledger'!$A$101)</f>
        <v>PAL-0000100</v>
      </c>
      <c r="D605" t="s">
        <v>1141</v>
      </c>
    </row>
    <row r="606" spans="1:4">
      <c r="A606" t="s">
        <v>1140</v>
      </c>
      <c r="B606" t="str">
        <f>IF('01_Warehouse_Ledger'!$A$102="","",'01_Warehouse_Ledger'!$A$102&amp;IF('01_Warehouse_Ledger'!$B$102&lt;&gt;""," | "&amp;'01_Warehouse_Ledger'!$B$102,""))</f>
        <v>PAL-0000101</v>
      </c>
      <c r="C606" t="str">
        <f>IF('01_Warehouse_Ledger'!$A$102="","",'01_Warehouse_Ledger'!$A$102)</f>
        <v>PAL-0000101</v>
      </c>
      <c r="D606" t="s">
        <v>1141</v>
      </c>
    </row>
    <row r="607" spans="1:4">
      <c r="A607" t="s">
        <v>1140</v>
      </c>
      <c r="B607" t="str">
        <f>IF('01_Warehouse_Ledger'!$A$103="","",'01_Warehouse_Ledger'!$A$103&amp;IF('01_Warehouse_Ledger'!$B$103&lt;&gt;""," | "&amp;'01_Warehouse_Ledger'!$B$103,""))</f>
        <v>PAL-0000102</v>
      </c>
      <c r="C607" t="str">
        <f>IF('01_Warehouse_Ledger'!$A$103="","",'01_Warehouse_Ledger'!$A$103)</f>
        <v>PAL-0000102</v>
      </c>
      <c r="D607" t="s">
        <v>1141</v>
      </c>
    </row>
    <row r="608" spans="1:4">
      <c r="A608" t="s">
        <v>1140</v>
      </c>
      <c r="B608" t="str">
        <f>IF('01_Warehouse_Ledger'!$A$104="","",'01_Warehouse_Ledger'!$A$104&amp;IF('01_Warehouse_Ledger'!$B$104&lt;&gt;""," | "&amp;'01_Warehouse_Ledger'!$B$104,""))</f>
        <v>PAL-0000103</v>
      </c>
      <c r="C608" t="str">
        <f>IF('01_Warehouse_Ledger'!$A$104="","",'01_Warehouse_Ledger'!$A$104)</f>
        <v>PAL-0000103</v>
      </c>
      <c r="D608" t="s">
        <v>1141</v>
      </c>
    </row>
    <row r="609" spans="1:4">
      <c r="A609" t="s">
        <v>1140</v>
      </c>
      <c r="B609" t="str">
        <f>IF('01_Warehouse_Ledger'!$A$105="","",'01_Warehouse_Ledger'!$A$105&amp;IF('01_Warehouse_Ledger'!$B$105&lt;&gt;""," | "&amp;'01_Warehouse_Ledger'!$B$105,""))</f>
        <v>PAL-0000104</v>
      </c>
      <c r="C609" t="str">
        <f>IF('01_Warehouse_Ledger'!$A$105="","",'01_Warehouse_Ledger'!$A$105)</f>
        <v>PAL-0000104</v>
      </c>
      <c r="D609" t="s">
        <v>1141</v>
      </c>
    </row>
    <row r="610" spans="1:4">
      <c r="A610" t="s">
        <v>1140</v>
      </c>
      <c r="B610" t="str">
        <f>IF('01_Warehouse_Ledger'!$A$106="","",'01_Warehouse_Ledger'!$A$106&amp;IF('01_Warehouse_Ledger'!$B$106&lt;&gt;""," | "&amp;'01_Warehouse_Ledger'!$B$106,""))</f>
        <v>PAL-0000105</v>
      </c>
      <c r="C610" t="str">
        <f>IF('01_Warehouse_Ledger'!$A$106="","",'01_Warehouse_Ledger'!$A$106)</f>
        <v>PAL-0000105</v>
      </c>
      <c r="D610" t="s">
        <v>1141</v>
      </c>
    </row>
    <row r="611" spans="1:4">
      <c r="A611" t="s">
        <v>1140</v>
      </c>
      <c r="B611" t="str">
        <f>IF('01_Warehouse_Ledger'!$A$107="","",'01_Warehouse_Ledger'!$A$107&amp;IF('01_Warehouse_Ledger'!$B$107&lt;&gt;""," | "&amp;'01_Warehouse_Ledger'!$B$107,""))</f>
        <v>PAL-0000106</v>
      </c>
      <c r="C611" t="str">
        <f>IF('01_Warehouse_Ledger'!$A$107="","",'01_Warehouse_Ledger'!$A$107)</f>
        <v>PAL-0000106</v>
      </c>
      <c r="D611" t="s">
        <v>1141</v>
      </c>
    </row>
    <row r="612" spans="1:4">
      <c r="A612" t="s">
        <v>1140</v>
      </c>
      <c r="B612" t="str">
        <f>IF('01_Warehouse_Ledger'!$A$108="","",'01_Warehouse_Ledger'!$A$108&amp;IF('01_Warehouse_Ledger'!$B$108&lt;&gt;""," | "&amp;'01_Warehouse_Ledger'!$B$108,""))</f>
        <v>PAL-0000107</v>
      </c>
      <c r="C612" t="str">
        <f>IF('01_Warehouse_Ledger'!$A$108="","",'01_Warehouse_Ledger'!$A$108)</f>
        <v>PAL-0000107</v>
      </c>
      <c r="D612" t="s">
        <v>1141</v>
      </c>
    </row>
    <row r="613" spans="1:4">
      <c r="A613" t="s">
        <v>1140</v>
      </c>
      <c r="B613" t="str">
        <f>IF('01_Warehouse_Ledger'!$A$109="","",'01_Warehouse_Ledger'!$A$109&amp;IF('01_Warehouse_Ledger'!$B$109&lt;&gt;""," | "&amp;'01_Warehouse_Ledger'!$B$109,""))</f>
        <v>PAL-0000108</v>
      </c>
      <c r="C613" t="str">
        <f>IF('01_Warehouse_Ledger'!$A$109="","",'01_Warehouse_Ledger'!$A$109)</f>
        <v>PAL-0000108</v>
      </c>
      <c r="D613" t="s">
        <v>1141</v>
      </c>
    </row>
    <row r="614" spans="1:4">
      <c r="A614" t="s">
        <v>1140</v>
      </c>
      <c r="B614" t="str">
        <f>IF('01_Warehouse_Ledger'!$A$110="","",'01_Warehouse_Ledger'!$A$110&amp;IF('01_Warehouse_Ledger'!$B$110&lt;&gt;""," | "&amp;'01_Warehouse_Ledger'!$B$110,""))</f>
        <v>PAL-0000109</v>
      </c>
      <c r="C614" t="str">
        <f>IF('01_Warehouse_Ledger'!$A$110="","",'01_Warehouse_Ledger'!$A$110)</f>
        <v>PAL-0000109</v>
      </c>
      <c r="D614" t="s">
        <v>1141</v>
      </c>
    </row>
    <row r="615" spans="1:4">
      <c r="A615" t="s">
        <v>1140</v>
      </c>
      <c r="B615" t="str">
        <f>IF('01_Warehouse_Ledger'!$A$111="","",'01_Warehouse_Ledger'!$A$111&amp;IF('01_Warehouse_Ledger'!$B$111&lt;&gt;""," | "&amp;'01_Warehouse_Ledger'!$B$111,""))</f>
        <v>PAL-0000110</v>
      </c>
      <c r="C615" t="str">
        <f>IF('01_Warehouse_Ledger'!$A$111="","",'01_Warehouse_Ledger'!$A$111)</f>
        <v>PAL-0000110</v>
      </c>
      <c r="D615" t="s">
        <v>1141</v>
      </c>
    </row>
    <row r="616" spans="1:4">
      <c r="A616" t="s">
        <v>1140</v>
      </c>
      <c r="B616" t="str">
        <f>IF('01_Warehouse_Ledger'!$A$112="","",'01_Warehouse_Ledger'!$A$112&amp;IF('01_Warehouse_Ledger'!$B$112&lt;&gt;""," | "&amp;'01_Warehouse_Ledger'!$B$112,""))</f>
        <v>PAL-0000111</v>
      </c>
      <c r="C616" t="str">
        <f>IF('01_Warehouse_Ledger'!$A$112="","",'01_Warehouse_Ledger'!$A$112)</f>
        <v>PAL-0000111</v>
      </c>
      <c r="D616" t="s">
        <v>1141</v>
      </c>
    </row>
    <row r="617" spans="1:4">
      <c r="A617" t="s">
        <v>1140</v>
      </c>
      <c r="B617" t="str">
        <f>IF('01_Warehouse_Ledger'!$A$113="","",'01_Warehouse_Ledger'!$A$113&amp;IF('01_Warehouse_Ledger'!$B$113&lt;&gt;""," | "&amp;'01_Warehouse_Ledger'!$B$113,""))</f>
        <v>PAL-0000112</v>
      </c>
      <c r="C617" t="str">
        <f>IF('01_Warehouse_Ledger'!$A$113="","",'01_Warehouse_Ledger'!$A$113)</f>
        <v>PAL-0000112</v>
      </c>
      <c r="D617" t="s">
        <v>1141</v>
      </c>
    </row>
    <row r="618" spans="1:4">
      <c r="A618" t="s">
        <v>1140</v>
      </c>
      <c r="B618" t="str">
        <f>IF('01_Warehouse_Ledger'!$A$114="","",'01_Warehouse_Ledger'!$A$114&amp;IF('01_Warehouse_Ledger'!$B$114&lt;&gt;""," | "&amp;'01_Warehouse_Ledger'!$B$114,""))</f>
        <v>PAL-0000113</v>
      </c>
      <c r="C618" t="str">
        <f>IF('01_Warehouse_Ledger'!$A$114="","",'01_Warehouse_Ledger'!$A$114)</f>
        <v>PAL-0000113</v>
      </c>
      <c r="D618" t="s">
        <v>1141</v>
      </c>
    </row>
    <row r="619" spans="1:4">
      <c r="A619" t="s">
        <v>1140</v>
      </c>
      <c r="B619" t="str">
        <f>IF('01_Warehouse_Ledger'!$A$115="","",'01_Warehouse_Ledger'!$A$115&amp;IF('01_Warehouse_Ledger'!$B$115&lt;&gt;""," | "&amp;'01_Warehouse_Ledger'!$B$115,""))</f>
        <v>PAL-0000114</v>
      </c>
      <c r="C619" t="str">
        <f>IF('01_Warehouse_Ledger'!$A$115="","",'01_Warehouse_Ledger'!$A$115)</f>
        <v>PAL-0000114</v>
      </c>
      <c r="D619" t="s">
        <v>1141</v>
      </c>
    </row>
    <row r="620" spans="1:4">
      <c r="A620" t="s">
        <v>1140</v>
      </c>
      <c r="B620" t="str">
        <f>IF('01_Warehouse_Ledger'!$A$116="","",'01_Warehouse_Ledger'!$A$116&amp;IF('01_Warehouse_Ledger'!$B$116&lt;&gt;""," | "&amp;'01_Warehouse_Ledger'!$B$116,""))</f>
        <v>PAL-0000115</v>
      </c>
      <c r="C620" t="str">
        <f>IF('01_Warehouse_Ledger'!$A$116="","",'01_Warehouse_Ledger'!$A$116)</f>
        <v>PAL-0000115</v>
      </c>
      <c r="D620" t="s">
        <v>1141</v>
      </c>
    </row>
    <row r="621" spans="1:4">
      <c r="A621" t="s">
        <v>1140</v>
      </c>
      <c r="B621" t="str">
        <f>IF('01_Warehouse_Ledger'!$A$117="","",'01_Warehouse_Ledger'!$A$117&amp;IF('01_Warehouse_Ledger'!$B$117&lt;&gt;""," | "&amp;'01_Warehouse_Ledger'!$B$117,""))</f>
        <v>PAL-0000116</v>
      </c>
      <c r="C621" t="str">
        <f>IF('01_Warehouse_Ledger'!$A$117="","",'01_Warehouse_Ledger'!$A$117)</f>
        <v>PAL-0000116</v>
      </c>
      <c r="D621" t="s">
        <v>1141</v>
      </c>
    </row>
    <row r="622" spans="1:4">
      <c r="A622" t="s">
        <v>1140</v>
      </c>
      <c r="B622" t="str">
        <f>IF('01_Warehouse_Ledger'!$A$118="","",'01_Warehouse_Ledger'!$A$118&amp;IF('01_Warehouse_Ledger'!$B$118&lt;&gt;""," | "&amp;'01_Warehouse_Ledger'!$B$118,""))</f>
        <v>PAL-0000117</v>
      </c>
      <c r="C622" t="str">
        <f>IF('01_Warehouse_Ledger'!$A$118="","",'01_Warehouse_Ledger'!$A$118)</f>
        <v>PAL-0000117</v>
      </c>
      <c r="D622" t="s">
        <v>1141</v>
      </c>
    </row>
    <row r="623" spans="1:4">
      <c r="A623" t="s">
        <v>1140</v>
      </c>
      <c r="B623" t="str">
        <f>IF('01_Warehouse_Ledger'!$A$119="","",'01_Warehouse_Ledger'!$A$119&amp;IF('01_Warehouse_Ledger'!$B$119&lt;&gt;""," | "&amp;'01_Warehouse_Ledger'!$B$119,""))</f>
        <v>PAL-0000118</v>
      </c>
      <c r="C623" t="str">
        <f>IF('01_Warehouse_Ledger'!$A$119="","",'01_Warehouse_Ledger'!$A$119)</f>
        <v>PAL-0000118</v>
      </c>
      <c r="D623" t="s">
        <v>1141</v>
      </c>
    </row>
    <row r="624" spans="1:4">
      <c r="A624" t="s">
        <v>1140</v>
      </c>
      <c r="B624" t="str">
        <f>IF('01_Warehouse_Ledger'!$A$120="","",'01_Warehouse_Ledger'!$A$120&amp;IF('01_Warehouse_Ledger'!$B$120&lt;&gt;""," | "&amp;'01_Warehouse_Ledger'!$B$120,""))</f>
        <v>PAL-0000119</v>
      </c>
      <c r="C624" t="str">
        <f>IF('01_Warehouse_Ledger'!$A$120="","",'01_Warehouse_Ledger'!$A$120)</f>
        <v>PAL-0000119</v>
      </c>
      <c r="D624" t="s">
        <v>1141</v>
      </c>
    </row>
    <row r="625" spans="1:4">
      <c r="A625" t="s">
        <v>1140</v>
      </c>
      <c r="B625" t="str">
        <f>IF('01_Warehouse_Ledger'!$A$121="","",'01_Warehouse_Ledger'!$A$121&amp;IF('01_Warehouse_Ledger'!$B$121&lt;&gt;""," | "&amp;'01_Warehouse_Ledger'!$B$121,""))</f>
        <v>PAL-0000120</v>
      </c>
      <c r="C625" t="str">
        <f>IF('01_Warehouse_Ledger'!$A$121="","",'01_Warehouse_Ledger'!$A$121)</f>
        <v>PAL-0000120</v>
      </c>
      <c r="D625" t="s">
        <v>1141</v>
      </c>
    </row>
    <row r="626" spans="1:4">
      <c r="A626" t="s">
        <v>1140</v>
      </c>
      <c r="B626" t="str">
        <f>IF('01_Warehouse_Ledger'!$A$122="","",'01_Warehouse_Ledger'!$A$122&amp;IF('01_Warehouse_Ledger'!$B$122&lt;&gt;""," | "&amp;'01_Warehouse_Ledger'!$B$122,""))</f>
        <v>PAL-0000121</v>
      </c>
      <c r="C626" t="str">
        <f>IF('01_Warehouse_Ledger'!$A$122="","",'01_Warehouse_Ledger'!$A$122)</f>
        <v>PAL-0000121</v>
      </c>
      <c r="D626" t="s">
        <v>1141</v>
      </c>
    </row>
    <row r="627" spans="1:4">
      <c r="A627" t="s">
        <v>1140</v>
      </c>
      <c r="B627" t="str">
        <f>IF('01_Warehouse_Ledger'!$A$123="","",'01_Warehouse_Ledger'!$A$123&amp;IF('01_Warehouse_Ledger'!$B$123&lt;&gt;""," | "&amp;'01_Warehouse_Ledger'!$B$123,""))</f>
        <v>PAL-0000122</v>
      </c>
      <c r="C627" t="str">
        <f>IF('01_Warehouse_Ledger'!$A$123="","",'01_Warehouse_Ledger'!$A$123)</f>
        <v>PAL-0000122</v>
      </c>
      <c r="D627" t="s">
        <v>1141</v>
      </c>
    </row>
    <row r="628" spans="1:4">
      <c r="A628" t="s">
        <v>1140</v>
      </c>
      <c r="B628" t="str">
        <f>IF('01_Warehouse_Ledger'!$A$124="","",'01_Warehouse_Ledger'!$A$124&amp;IF('01_Warehouse_Ledger'!$B$124&lt;&gt;""," | "&amp;'01_Warehouse_Ledger'!$B$124,""))</f>
        <v>PAL-0000123</v>
      </c>
      <c r="C628" t="str">
        <f>IF('01_Warehouse_Ledger'!$A$124="","",'01_Warehouse_Ledger'!$A$124)</f>
        <v>PAL-0000123</v>
      </c>
      <c r="D628" t="s">
        <v>1141</v>
      </c>
    </row>
    <row r="629" spans="1:4">
      <c r="A629" t="s">
        <v>1140</v>
      </c>
      <c r="B629" t="str">
        <f>IF('01_Warehouse_Ledger'!$A$125="","",'01_Warehouse_Ledger'!$A$125&amp;IF('01_Warehouse_Ledger'!$B$125&lt;&gt;""," | "&amp;'01_Warehouse_Ledger'!$B$125,""))</f>
        <v>PAL-0000124</v>
      </c>
      <c r="C629" t="str">
        <f>IF('01_Warehouse_Ledger'!$A$125="","",'01_Warehouse_Ledger'!$A$125)</f>
        <v>PAL-0000124</v>
      </c>
      <c r="D629" t="s">
        <v>1141</v>
      </c>
    </row>
    <row r="630" spans="1:4">
      <c r="A630" t="s">
        <v>1140</v>
      </c>
      <c r="B630" t="str">
        <f>IF('01_Warehouse_Ledger'!$A$126="","",'01_Warehouse_Ledger'!$A$126&amp;IF('01_Warehouse_Ledger'!$B$126&lt;&gt;""," | "&amp;'01_Warehouse_Ledger'!$B$126,""))</f>
        <v>PAL-0000125</v>
      </c>
      <c r="C630" t="str">
        <f>IF('01_Warehouse_Ledger'!$A$126="","",'01_Warehouse_Ledger'!$A$126)</f>
        <v>PAL-0000125</v>
      </c>
      <c r="D630" t="s">
        <v>1141</v>
      </c>
    </row>
    <row r="631" spans="1:4">
      <c r="A631" t="s">
        <v>1140</v>
      </c>
      <c r="B631" t="str">
        <f>IF('01_Warehouse_Ledger'!$A$127="","",'01_Warehouse_Ledger'!$A$127&amp;IF('01_Warehouse_Ledger'!$B$127&lt;&gt;""," | "&amp;'01_Warehouse_Ledger'!$B$127,""))</f>
        <v>PAL-0000126</v>
      </c>
      <c r="C631" t="str">
        <f>IF('01_Warehouse_Ledger'!$A$127="","",'01_Warehouse_Ledger'!$A$127)</f>
        <v>PAL-0000126</v>
      </c>
      <c r="D631" t="s">
        <v>1141</v>
      </c>
    </row>
    <row r="632" spans="1:4">
      <c r="A632" t="s">
        <v>1140</v>
      </c>
      <c r="B632" t="str">
        <f>IF('01_Warehouse_Ledger'!$A$128="","",'01_Warehouse_Ledger'!$A$128&amp;IF('01_Warehouse_Ledger'!$B$128&lt;&gt;""," | "&amp;'01_Warehouse_Ledger'!$B$128,""))</f>
        <v>PAL-0000127</v>
      </c>
      <c r="C632" t="str">
        <f>IF('01_Warehouse_Ledger'!$A$128="","",'01_Warehouse_Ledger'!$A$128)</f>
        <v>PAL-0000127</v>
      </c>
      <c r="D632" t="s">
        <v>1141</v>
      </c>
    </row>
    <row r="633" spans="1:4">
      <c r="A633" t="s">
        <v>1140</v>
      </c>
      <c r="B633" t="str">
        <f>IF('01_Warehouse_Ledger'!$A$129="","",'01_Warehouse_Ledger'!$A$129&amp;IF('01_Warehouse_Ledger'!$B$129&lt;&gt;""," | "&amp;'01_Warehouse_Ledger'!$B$129,""))</f>
        <v>PAL-0000128</v>
      </c>
      <c r="C633" t="str">
        <f>IF('01_Warehouse_Ledger'!$A$129="","",'01_Warehouse_Ledger'!$A$129)</f>
        <v>PAL-0000128</v>
      </c>
      <c r="D633" t="s">
        <v>1141</v>
      </c>
    </row>
    <row r="634" spans="1:4">
      <c r="A634" t="s">
        <v>1140</v>
      </c>
      <c r="B634" t="str">
        <f>IF('01_Warehouse_Ledger'!$A$130="","",'01_Warehouse_Ledger'!$A$130&amp;IF('01_Warehouse_Ledger'!$B$130&lt;&gt;""," | "&amp;'01_Warehouse_Ledger'!$B$130,""))</f>
        <v>PAL-0000129</v>
      </c>
      <c r="C634" t="str">
        <f>IF('01_Warehouse_Ledger'!$A$130="","",'01_Warehouse_Ledger'!$A$130)</f>
        <v>PAL-0000129</v>
      </c>
      <c r="D634" t="s">
        <v>1141</v>
      </c>
    </row>
    <row r="635" spans="1:4">
      <c r="A635" t="s">
        <v>1140</v>
      </c>
      <c r="B635" t="str">
        <f>IF('01_Warehouse_Ledger'!$A$131="","",'01_Warehouse_Ledger'!$A$131&amp;IF('01_Warehouse_Ledger'!$B$131&lt;&gt;""," | "&amp;'01_Warehouse_Ledger'!$B$131,""))</f>
        <v>PAL-0000130</v>
      </c>
      <c r="C635" t="str">
        <f>IF('01_Warehouse_Ledger'!$A$131="","",'01_Warehouse_Ledger'!$A$131)</f>
        <v>PAL-0000130</v>
      </c>
      <c r="D635" t="s">
        <v>1141</v>
      </c>
    </row>
    <row r="636" spans="1:4">
      <c r="A636" t="s">
        <v>1140</v>
      </c>
      <c r="B636" t="str">
        <f>IF('01_Warehouse_Ledger'!$A$132="","",'01_Warehouse_Ledger'!$A$132&amp;IF('01_Warehouse_Ledger'!$B$132&lt;&gt;""," | "&amp;'01_Warehouse_Ledger'!$B$132,""))</f>
        <v>PAL-0000131</v>
      </c>
      <c r="C636" t="str">
        <f>IF('01_Warehouse_Ledger'!$A$132="","",'01_Warehouse_Ledger'!$A$132)</f>
        <v>PAL-0000131</v>
      </c>
      <c r="D636" t="s">
        <v>1141</v>
      </c>
    </row>
    <row r="637" spans="1:4">
      <c r="A637" t="s">
        <v>1140</v>
      </c>
      <c r="B637" t="str">
        <f>IF('01_Warehouse_Ledger'!$A$133="","",'01_Warehouse_Ledger'!$A$133&amp;IF('01_Warehouse_Ledger'!$B$133&lt;&gt;""," | "&amp;'01_Warehouse_Ledger'!$B$133,""))</f>
        <v>PAL-0000132</v>
      </c>
      <c r="C637" t="str">
        <f>IF('01_Warehouse_Ledger'!$A$133="","",'01_Warehouse_Ledger'!$A$133)</f>
        <v>PAL-0000132</v>
      </c>
      <c r="D637" t="s">
        <v>1141</v>
      </c>
    </row>
    <row r="638" spans="1:4">
      <c r="A638" t="s">
        <v>1140</v>
      </c>
      <c r="B638" t="str">
        <f>IF('01_Warehouse_Ledger'!$A$134="","",'01_Warehouse_Ledger'!$A$134&amp;IF('01_Warehouse_Ledger'!$B$134&lt;&gt;""," | "&amp;'01_Warehouse_Ledger'!$B$134,""))</f>
        <v>PAL-0000133</v>
      </c>
      <c r="C638" t="str">
        <f>IF('01_Warehouse_Ledger'!$A$134="","",'01_Warehouse_Ledger'!$A$134)</f>
        <v>PAL-0000133</v>
      </c>
      <c r="D638" t="s">
        <v>1141</v>
      </c>
    </row>
    <row r="639" spans="1:4">
      <c r="A639" t="s">
        <v>1140</v>
      </c>
      <c r="B639" t="str">
        <f>IF('01_Warehouse_Ledger'!$A$135="","",'01_Warehouse_Ledger'!$A$135&amp;IF('01_Warehouse_Ledger'!$B$135&lt;&gt;""," | "&amp;'01_Warehouse_Ledger'!$B$135,""))</f>
        <v>PAL-0000134</v>
      </c>
      <c r="C639" t="str">
        <f>IF('01_Warehouse_Ledger'!$A$135="","",'01_Warehouse_Ledger'!$A$135)</f>
        <v>PAL-0000134</v>
      </c>
      <c r="D639" t="s">
        <v>1141</v>
      </c>
    </row>
    <row r="640" spans="1:4">
      <c r="A640" t="s">
        <v>1140</v>
      </c>
      <c r="B640" t="str">
        <f>IF('01_Warehouse_Ledger'!$A$136="","",'01_Warehouse_Ledger'!$A$136&amp;IF('01_Warehouse_Ledger'!$B$136&lt;&gt;""," | "&amp;'01_Warehouse_Ledger'!$B$136,""))</f>
        <v>PAL-0000135</v>
      </c>
      <c r="C640" t="str">
        <f>IF('01_Warehouse_Ledger'!$A$136="","",'01_Warehouse_Ledger'!$A$136)</f>
        <v>PAL-0000135</v>
      </c>
      <c r="D640" t="s">
        <v>1141</v>
      </c>
    </row>
    <row r="641" spans="1:4">
      <c r="A641" t="s">
        <v>1140</v>
      </c>
      <c r="B641" t="str">
        <f>IF('01_Warehouse_Ledger'!$A$137="","",'01_Warehouse_Ledger'!$A$137&amp;IF('01_Warehouse_Ledger'!$B$137&lt;&gt;""," | "&amp;'01_Warehouse_Ledger'!$B$137,""))</f>
        <v>PAL-0000136</v>
      </c>
      <c r="C641" t="str">
        <f>IF('01_Warehouse_Ledger'!$A$137="","",'01_Warehouse_Ledger'!$A$137)</f>
        <v>PAL-0000136</v>
      </c>
      <c r="D641" t="s">
        <v>1141</v>
      </c>
    </row>
    <row r="642" spans="1:4">
      <c r="A642" t="s">
        <v>1140</v>
      </c>
      <c r="B642" t="str">
        <f>IF('01_Warehouse_Ledger'!$A$138="","",'01_Warehouse_Ledger'!$A$138&amp;IF('01_Warehouse_Ledger'!$B$138&lt;&gt;""," | "&amp;'01_Warehouse_Ledger'!$B$138,""))</f>
        <v>PAL-0000137</v>
      </c>
      <c r="C642" t="str">
        <f>IF('01_Warehouse_Ledger'!$A$138="","",'01_Warehouse_Ledger'!$A$138)</f>
        <v>PAL-0000137</v>
      </c>
      <c r="D642" t="s">
        <v>1141</v>
      </c>
    </row>
    <row r="643" spans="1:4">
      <c r="A643" t="s">
        <v>1140</v>
      </c>
      <c r="B643" t="str">
        <f>IF('01_Warehouse_Ledger'!$A$139="","",'01_Warehouse_Ledger'!$A$139&amp;IF('01_Warehouse_Ledger'!$B$139&lt;&gt;""," | "&amp;'01_Warehouse_Ledger'!$B$139,""))</f>
        <v>PAL-0000138</v>
      </c>
      <c r="C643" t="str">
        <f>IF('01_Warehouse_Ledger'!$A$139="","",'01_Warehouse_Ledger'!$A$139)</f>
        <v>PAL-0000138</v>
      </c>
      <c r="D643" t="s">
        <v>1141</v>
      </c>
    </row>
    <row r="644" spans="1:4">
      <c r="A644" t="s">
        <v>1140</v>
      </c>
      <c r="B644" t="str">
        <f>IF('01_Warehouse_Ledger'!$A$140="","",'01_Warehouse_Ledger'!$A$140&amp;IF('01_Warehouse_Ledger'!$B$140&lt;&gt;""," | "&amp;'01_Warehouse_Ledger'!$B$140,""))</f>
        <v>PAL-0000139</v>
      </c>
      <c r="C644" t="str">
        <f>IF('01_Warehouse_Ledger'!$A$140="","",'01_Warehouse_Ledger'!$A$140)</f>
        <v>PAL-0000139</v>
      </c>
      <c r="D644" t="s">
        <v>1141</v>
      </c>
    </row>
    <row r="645" spans="1:4">
      <c r="A645" t="s">
        <v>1140</v>
      </c>
      <c r="B645" t="str">
        <f>IF('01_Warehouse_Ledger'!$A$141="","",'01_Warehouse_Ledger'!$A$141&amp;IF('01_Warehouse_Ledger'!$B$141&lt;&gt;""," | "&amp;'01_Warehouse_Ledger'!$B$141,""))</f>
        <v>PAL-0000140</v>
      </c>
      <c r="C645" t="str">
        <f>IF('01_Warehouse_Ledger'!$A$141="","",'01_Warehouse_Ledger'!$A$141)</f>
        <v>PAL-0000140</v>
      </c>
      <c r="D645" t="s">
        <v>1141</v>
      </c>
    </row>
    <row r="646" spans="1:4">
      <c r="A646" t="s">
        <v>1140</v>
      </c>
      <c r="B646" t="str">
        <f>IF('01_Warehouse_Ledger'!$A$142="","",'01_Warehouse_Ledger'!$A$142&amp;IF('01_Warehouse_Ledger'!$B$142&lt;&gt;""," | "&amp;'01_Warehouse_Ledger'!$B$142,""))</f>
        <v>PAL-0000141</v>
      </c>
      <c r="C646" t="str">
        <f>IF('01_Warehouse_Ledger'!$A$142="","",'01_Warehouse_Ledger'!$A$142)</f>
        <v>PAL-0000141</v>
      </c>
      <c r="D646" t="s">
        <v>1141</v>
      </c>
    </row>
    <row r="647" spans="1:4">
      <c r="A647" t="s">
        <v>1140</v>
      </c>
      <c r="B647" t="str">
        <f>IF('01_Warehouse_Ledger'!$A$143="","",'01_Warehouse_Ledger'!$A$143&amp;IF('01_Warehouse_Ledger'!$B$143&lt;&gt;""," | "&amp;'01_Warehouse_Ledger'!$B$143,""))</f>
        <v>PAL-0000142</v>
      </c>
      <c r="C647" t="str">
        <f>IF('01_Warehouse_Ledger'!$A$143="","",'01_Warehouse_Ledger'!$A$143)</f>
        <v>PAL-0000142</v>
      </c>
      <c r="D647" t="s">
        <v>1141</v>
      </c>
    </row>
    <row r="648" spans="1:4">
      <c r="A648" t="s">
        <v>1140</v>
      </c>
      <c r="B648" t="str">
        <f>IF('01_Warehouse_Ledger'!$A$144="","",'01_Warehouse_Ledger'!$A$144&amp;IF('01_Warehouse_Ledger'!$B$144&lt;&gt;""," | "&amp;'01_Warehouse_Ledger'!$B$144,""))</f>
        <v>PAL-0000143</v>
      </c>
      <c r="C648" t="str">
        <f>IF('01_Warehouse_Ledger'!$A$144="","",'01_Warehouse_Ledger'!$A$144)</f>
        <v>PAL-0000143</v>
      </c>
      <c r="D648" t="s">
        <v>1141</v>
      </c>
    </row>
    <row r="649" spans="1:4">
      <c r="A649" t="s">
        <v>1140</v>
      </c>
      <c r="B649" t="str">
        <f>IF('01_Warehouse_Ledger'!$A$145="","",'01_Warehouse_Ledger'!$A$145&amp;IF('01_Warehouse_Ledger'!$B$145&lt;&gt;""," | "&amp;'01_Warehouse_Ledger'!$B$145,""))</f>
        <v>PAL-0000144</v>
      </c>
      <c r="C649" t="str">
        <f>IF('01_Warehouse_Ledger'!$A$145="","",'01_Warehouse_Ledger'!$A$145)</f>
        <v>PAL-0000144</v>
      </c>
      <c r="D649" t="s">
        <v>1141</v>
      </c>
    </row>
    <row r="650" spans="1:4">
      <c r="A650" t="s">
        <v>1140</v>
      </c>
      <c r="B650" t="str">
        <f>IF('01_Warehouse_Ledger'!$A$146="","",'01_Warehouse_Ledger'!$A$146&amp;IF('01_Warehouse_Ledger'!$B$146&lt;&gt;""," | "&amp;'01_Warehouse_Ledger'!$B$146,""))</f>
        <v>PAL-0000145</v>
      </c>
      <c r="C650" t="str">
        <f>IF('01_Warehouse_Ledger'!$A$146="","",'01_Warehouse_Ledger'!$A$146)</f>
        <v>PAL-0000145</v>
      </c>
      <c r="D650" t="s">
        <v>1141</v>
      </c>
    </row>
    <row r="651" spans="1:4">
      <c r="A651" t="s">
        <v>1140</v>
      </c>
      <c r="B651" t="str">
        <f>IF('01_Warehouse_Ledger'!$A$147="","",'01_Warehouse_Ledger'!$A$147&amp;IF('01_Warehouse_Ledger'!$B$147&lt;&gt;""," | "&amp;'01_Warehouse_Ledger'!$B$147,""))</f>
        <v>PAL-0000146</v>
      </c>
      <c r="C651" t="str">
        <f>IF('01_Warehouse_Ledger'!$A$147="","",'01_Warehouse_Ledger'!$A$147)</f>
        <v>PAL-0000146</v>
      </c>
      <c r="D651" t="s">
        <v>1141</v>
      </c>
    </row>
    <row r="652" spans="1:4">
      <c r="A652" t="s">
        <v>1140</v>
      </c>
      <c r="B652" t="str">
        <f>IF('01_Warehouse_Ledger'!$A$148="","",'01_Warehouse_Ledger'!$A$148&amp;IF('01_Warehouse_Ledger'!$B$148&lt;&gt;""," | "&amp;'01_Warehouse_Ledger'!$B$148,""))</f>
        <v>PAL-0000147</v>
      </c>
      <c r="C652" t="str">
        <f>IF('01_Warehouse_Ledger'!$A$148="","",'01_Warehouse_Ledger'!$A$148)</f>
        <v>PAL-0000147</v>
      </c>
      <c r="D652" t="s">
        <v>1141</v>
      </c>
    </row>
    <row r="653" spans="1:4">
      <c r="A653" t="s">
        <v>1140</v>
      </c>
      <c r="B653" t="str">
        <f>IF('01_Warehouse_Ledger'!$A$149="","",'01_Warehouse_Ledger'!$A$149&amp;IF('01_Warehouse_Ledger'!$B$149&lt;&gt;""," | "&amp;'01_Warehouse_Ledger'!$B$149,""))</f>
        <v>PAL-0000148</v>
      </c>
      <c r="C653" t="str">
        <f>IF('01_Warehouse_Ledger'!$A$149="","",'01_Warehouse_Ledger'!$A$149)</f>
        <v>PAL-0000148</v>
      </c>
      <c r="D653" t="s">
        <v>1141</v>
      </c>
    </row>
    <row r="654" spans="1:4">
      <c r="A654" t="s">
        <v>1140</v>
      </c>
      <c r="B654" t="str">
        <f>IF('01_Warehouse_Ledger'!$A$150="","",'01_Warehouse_Ledger'!$A$150&amp;IF('01_Warehouse_Ledger'!$B$150&lt;&gt;""," | "&amp;'01_Warehouse_Ledger'!$B$150,""))</f>
        <v>PAL-0000149</v>
      </c>
      <c r="C654" t="str">
        <f>IF('01_Warehouse_Ledger'!$A$150="","",'01_Warehouse_Ledger'!$A$150)</f>
        <v>PAL-0000149</v>
      </c>
      <c r="D654" t="s">
        <v>1141</v>
      </c>
    </row>
    <row r="655" spans="1:4">
      <c r="A655" t="s">
        <v>1140</v>
      </c>
      <c r="B655" t="str">
        <f>IF('01_Warehouse_Ledger'!$A$151="","",'01_Warehouse_Ledger'!$A$151&amp;IF('01_Warehouse_Ledger'!$B$151&lt;&gt;""," | "&amp;'01_Warehouse_Ledger'!$B$151,""))</f>
        <v>PAL-0000150</v>
      </c>
      <c r="C655" t="str">
        <f>IF('01_Warehouse_Ledger'!$A$151="","",'01_Warehouse_Ledger'!$A$151)</f>
        <v>PAL-0000150</v>
      </c>
      <c r="D655" t="s">
        <v>1141</v>
      </c>
    </row>
    <row r="656" spans="1:4">
      <c r="A656" t="s">
        <v>1140</v>
      </c>
      <c r="B656" t="str">
        <f>IF('01_Warehouse_Ledger'!$A$152="","",'01_Warehouse_Ledger'!$A$152&amp;IF('01_Warehouse_Ledger'!$B$152&lt;&gt;""," | "&amp;'01_Warehouse_Ledger'!$B$152,""))</f>
        <v>PAL-0000151</v>
      </c>
      <c r="C656" t="str">
        <f>IF('01_Warehouse_Ledger'!$A$152="","",'01_Warehouse_Ledger'!$A$152)</f>
        <v>PAL-0000151</v>
      </c>
      <c r="D656" t="s">
        <v>1141</v>
      </c>
    </row>
    <row r="657" spans="1:4">
      <c r="A657" t="s">
        <v>1140</v>
      </c>
      <c r="B657" t="str">
        <f>IF('01_Warehouse_Ledger'!$A$153="","",'01_Warehouse_Ledger'!$A$153&amp;IF('01_Warehouse_Ledger'!$B$153&lt;&gt;""," | "&amp;'01_Warehouse_Ledger'!$B$153,""))</f>
        <v>PAL-0000152</v>
      </c>
      <c r="C657" t="str">
        <f>IF('01_Warehouse_Ledger'!$A$153="","",'01_Warehouse_Ledger'!$A$153)</f>
        <v>PAL-0000152</v>
      </c>
      <c r="D657" t="s">
        <v>1141</v>
      </c>
    </row>
    <row r="658" spans="1:4">
      <c r="A658" t="s">
        <v>1140</v>
      </c>
      <c r="B658" t="str">
        <f>IF('01_Warehouse_Ledger'!$A$154="","",'01_Warehouse_Ledger'!$A$154&amp;IF('01_Warehouse_Ledger'!$B$154&lt;&gt;""," | "&amp;'01_Warehouse_Ledger'!$B$154,""))</f>
        <v>PAL-0000153</v>
      </c>
      <c r="C658" t="str">
        <f>IF('01_Warehouse_Ledger'!$A$154="","",'01_Warehouse_Ledger'!$A$154)</f>
        <v>PAL-0000153</v>
      </c>
      <c r="D658" t="s">
        <v>1141</v>
      </c>
    </row>
    <row r="659" spans="1:4">
      <c r="A659" t="s">
        <v>1140</v>
      </c>
      <c r="B659" t="str">
        <f>IF('01_Warehouse_Ledger'!$A$155="","",'01_Warehouse_Ledger'!$A$155&amp;IF('01_Warehouse_Ledger'!$B$155&lt;&gt;""," | "&amp;'01_Warehouse_Ledger'!$B$155,""))</f>
        <v>PAL-0000154</v>
      </c>
      <c r="C659" t="str">
        <f>IF('01_Warehouse_Ledger'!$A$155="","",'01_Warehouse_Ledger'!$A$155)</f>
        <v>PAL-0000154</v>
      </c>
      <c r="D659" t="s">
        <v>1141</v>
      </c>
    </row>
    <row r="660" spans="1:4">
      <c r="A660" t="s">
        <v>1140</v>
      </c>
      <c r="B660" t="str">
        <f>IF('01_Warehouse_Ledger'!$A$156="","",'01_Warehouse_Ledger'!$A$156&amp;IF('01_Warehouse_Ledger'!$B$156&lt;&gt;""," | "&amp;'01_Warehouse_Ledger'!$B$156,""))</f>
        <v>PAL-0000155</v>
      </c>
      <c r="C660" t="str">
        <f>IF('01_Warehouse_Ledger'!$A$156="","",'01_Warehouse_Ledger'!$A$156)</f>
        <v>PAL-0000155</v>
      </c>
      <c r="D660" t="s">
        <v>1141</v>
      </c>
    </row>
    <row r="661" spans="1:4">
      <c r="A661" t="s">
        <v>1140</v>
      </c>
      <c r="B661" t="str">
        <f>IF('01_Warehouse_Ledger'!$A$157="","",'01_Warehouse_Ledger'!$A$157&amp;IF('01_Warehouse_Ledger'!$B$157&lt;&gt;""," | "&amp;'01_Warehouse_Ledger'!$B$157,""))</f>
        <v>PAL-0000156</v>
      </c>
      <c r="C661" t="str">
        <f>IF('01_Warehouse_Ledger'!$A$157="","",'01_Warehouse_Ledger'!$A$157)</f>
        <v>PAL-0000156</v>
      </c>
      <c r="D661" t="s">
        <v>1141</v>
      </c>
    </row>
    <row r="662" spans="1:4">
      <c r="A662" t="s">
        <v>1140</v>
      </c>
      <c r="B662" t="str">
        <f>IF('01_Warehouse_Ledger'!$A$158="","",'01_Warehouse_Ledger'!$A$158&amp;IF('01_Warehouse_Ledger'!$B$158&lt;&gt;""," | "&amp;'01_Warehouse_Ledger'!$B$158,""))</f>
        <v>PAL-0000157</v>
      </c>
      <c r="C662" t="str">
        <f>IF('01_Warehouse_Ledger'!$A$158="","",'01_Warehouse_Ledger'!$A$158)</f>
        <v>PAL-0000157</v>
      </c>
      <c r="D662" t="s">
        <v>1141</v>
      </c>
    </row>
    <row r="663" spans="1:4">
      <c r="A663" t="s">
        <v>1140</v>
      </c>
      <c r="B663" t="str">
        <f>IF('01_Warehouse_Ledger'!$A$159="","",'01_Warehouse_Ledger'!$A$159&amp;IF('01_Warehouse_Ledger'!$B$159&lt;&gt;""," | "&amp;'01_Warehouse_Ledger'!$B$159,""))</f>
        <v>PAL-0000158</v>
      </c>
      <c r="C663" t="str">
        <f>IF('01_Warehouse_Ledger'!$A$159="","",'01_Warehouse_Ledger'!$A$159)</f>
        <v>PAL-0000158</v>
      </c>
      <c r="D663" t="s">
        <v>1141</v>
      </c>
    </row>
    <row r="664" spans="1:4">
      <c r="A664" t="s">
        <v>1140</v>
      </c>
      <c r="B664" t="str">
        <f>IF('01_Warehouse_Ledger'!$A$160="","",'01_Warehouse_Ledger'!$A$160&amp;IF('01_Warehouse_Ledger'!$B$160&lt;&gt;""," | "&amp;'01_Warehouse_Ledger'!$B$160,""))</f>
        <v>PAL-0000159</v>
      </c>
      <c r="C664" t="str">
        <f>IF('01_Warehouse_Ledger'!$A$160="","",'01_Warehouse_Ledger'!$A$160)</f>
        <v>PAL-0000159</v>
      </c>
      <c r="D664" t="s">
        <v>1141</v>
      </c>
    </row>
    <row r="665" spans="1:4">
      <c r="A665" t="s">
        <v>1140</v>
      </c>
      <c r="B665" t="str">
        <f>IF('01_Warehouse_Ledger'!$A$161="","",'01_Warehouse_Ledger'!$A$161&amp;IF('01_Warehouse_Ledger'!$B$161&lt;&gt;""," | "&amp;'01_Warehouse_Ledger'!$B$161,""))</f>
        <v>PAL-0000160</v>
      </c>
      <c r="C665" t="str">
        <f>IF('01_Warehouse_Ledger'!$A$161="","",'01_Warehouse_Ledger'!$A$161)</f>
        <v>PAL-0000160</v>
      </c>
      <c r="D665" t="s">
        <v>1141</v>
      </c>
    </row>
    <row r="666" spans="1:4">
      <c r="A666" t="s">
        <v>1140</v>
      </c>
      <c r="B666" t="str">
        <f>IF('01_Warehouse_Ledger'!$A$162="","",'01_Warehouse_Ledger'!$A$162&amp;IF('01_Warehouse_Ledger'!$B$162&lt;&gt;""," | "&amp;'01_Warehouse_Ledger'!$B$162,""))</f>
        <v>PAL-0000161</v>
      </c>
      <c r="C666" t="str">
        <f>IF('01_Warehouse_Ledger'!$A$162="","",'01_Warehouse_Ledger'!$A$162)</f>
        <v>PAL-0000161</v>
      </c>
      <c r="D666" t="s">
        <v>1141</v>
      </c>
    </row>
    <row r="667" spans="1:4">
      <c r="A667" t="s">
        <v>1140</v>
      </c>
      <c r="B667" t="str">
        <f>IF('01_Warehouse_Ledger'!$A$163="","",'01_Warehouse_Ledger'!$A$163&amp;IF('01_Warehouse_Ledger'!$B$163&lt;&gt;""," | "&amp;'01_Warehouse_Ledger'!$B$163,""))</f>
        <v>PAL-0000162</v>
      </c>
      <c r="C667" t="str">
        <f>IF('01_Warehouse_Ledger'!$A$163="","",'01_Warehouse_Ledger'!$A$163)</f>
        <v>PAL-0000162</v>
      </c>
      <c r="D667" t="s">
        <v>1141</v>
      </c>
    </row>
    <row r="668" spans="1:4">
      <c r="A668" t="s">
        <v>1140</v>
      </c>
      <c r="B668" t="str">
        <f>IF('01_Warehouse_Ledger'!$A$164="","",'01_Warehouse_Ledger'!$A$164&amp;IF('01_Warehouse_Ledger'!$B$164&lt;&gt;""," | "&amp;'01_Warehouse_Ledger'!$B$164,""))</f>
        <v>PAL-0000163</v>
      </c>
      <c r="C668" t="str">
        <f>IF('01_Warehouse_Ledger'!$A$164="","",'01_Warehouse_Ledger'!$A$164)</f>
        <v>PAL-0000163</v>
      </c>
      <c r="D668" t="s">
        <v>1141</v>
      </c>
    </row>
    <row r="669" spans="1:4">
      <c r="A669" t="s">
        <v>1140</v>
      </c>
      <c r="B669" t="str">
        <f>IF('01_Warehouse_Ledger'!$A$165="","",'01_Warehouse_Ledger'!$A$165&amp;IF('01_Warehouse_Ledger'!$B$165&lt;&gt;""," | "&amp;'01_Warehouse_Ledger'!$B$165,""))</f>
        <v>PAL-0000164</v>
      </c>
      <c r="C669" t="str">
        <f>IF('01_Warehouse_Ledger'!$A$165="","",'01_Warehouse_Ledger'!$A$165)</f>
        <v>PAL-0000164</v>
      </c>
      <c r="D669" t="s">
        <v>1141</v>
      </c>
    </row>
    <row r="670" spans="1:4">
      <c r="A670" t="s">
        <v>1140</v>
      </c>
      <c r="B670" t="str">
        <f>IF('01_Warehouse_Ledger'!$A$166="","",'01_Warehouse_Ledger'!$A$166&amp;IF('01_Warehouse_Ledger'!$B$166&lt;&gt;""," | "&amp;'01_Warehouse_Ledger'!$B$166,""))</f>
        <v>PAL-0000165</v>
      </c>
      <c r="C670" t="str">
        <f>IF('01_Warehouse_Ledger'!$A$166="","",'01_Warehouse_Ledger'!$A$166)</f>
        <v>PAL-0000165</v>
      </c>
      <c r="D670" t="s">
        <v>1141</v>
      </c>
    </row>
    <row r="671" spans="1:4">
      <c r="A671" t="s">
        <v>1140</v>
      </c>
      <c r="B671" t="str">
        <f>IF('01_Warehouse_Ledger'!$A$167="","",'01_Warehouse_Ledger'!$A$167&amp;IF('01_Warehouse_Ledger'!$B$167&lt;&gt;""," | "&amp;'01_Warehouse_Ledger'!$B$167,""))</f>
        <v>PAL-0000166</v>
      </c>
      <c r="C671" t="str">
        <f>IF('01_Warehouse_Ledger'!$A$167="","",'01_Warehouse_Ledger'!$A$167)</f>
        <v>PAL-0000166</v>
      </c>
      <c r="D671" t="s">
        <v>1141</v>
      </c>
    </row>
    <row r="672" spans="1:4">
      <c r="A672" t="s">
        <v>1140</v>
      </c>
      <c r="B672" t="str">
        <f>IF('01_Warehouse_Ledger'!$A$168="","",'01_Warehouse_Ledger'!$A$168&amp;IF('01_Warehouse_Ledger'!$B$168&lt;&gt;""," | "&amp;'01_Warehouse_Ledger'!$B$168,""))</f>
        <v>PAL-0000167</v>
      </c>
      <c r="C672" t="str">
        <f>IF('01_Warehouse_Ledger'!$A$168="","",'01_Warehouse_Ledger'!$A$168)</f>
        <v>PAL-0000167</v>
      </c>
      <c r="D672" t="s">
        <v>1141</v>
      </c>
    </row>
    <row r="673" spans="1:4">
      <c r="A673" t="s">
        <v>1140</v>
      </c>
      <c r="B673" t="str">
        <f>IF('01_Warehouse_Ledger'!$A$169="","",'01_Warehouse_Ledger'!$A$169&amp;IF('01_Warehouse_Ledger'!$B$169&lt;&gt;""," | "&amp;'01_Warehouse_Ledger'!$B$169,""))</f>
        <v>PAL-0000168</v>
      </c>
      <c r="C673" t="str">
        <f>IF('01_Warehouse_Ledger'!$A$169="","",'01_Warehouse_Ledger'!$A$169)</f>
        <v>PAL-0000168</v>
      </c>
      <c r="D673" t="s">
        <v>1141</v>
      </c>
    </row>
    <row r="674" spans="1:4">
      <c r="A674" t="s">
        <v>1140</v>
      </c>
      <c r="B674" t="str">
        <f>IF('01_Warehouse_Ledger'!$A$170="","",'01_Warehouse_Ledger'!$A$170&amp;IF('01_Warehouse_Ledger'!$B$170&lt;&gt;""," | "&amp;'01_Warehouse_Ledger'!$B$170,""))</f>
        <v>PAL-0000169</v>
      </c>
      <c r="C674" t="str">
        <f>IF('01_Warehouse_Ledger'!$A$170="","",'01_Warehouse_Ledger'!$A$170)</f>
        <v>PAL-0000169</v>
      </c>
      <c r="D674" t="s">
        <v>1141</v>
      </c>
    </row>
    <row r="675" spans="1:4">
      <c r="A675" t="s">
        <v>1140</v>
      </c>
      <c r="B675" t="str">
        <f>IF('01_Warehouse_Ledger'!$A$171="","",'01_Warehouse_Ledger'!$A$171&amp;IF('01_Warehouse_Ledger'!$B$171&lt;&gt;""," | "&amp;'01_Warehouse_Ledger'!$B$171,""))</f>
        <v>PAL-0000170</v>
      </c>
      <c r="C675" t="str">
        <f>IF('01_Warehouse_Ledger'!$A$171="","",'01_Warehouse_Ledger'!$A$171)</f>
        <v>PAL-0000170</v>
      </c>
      <c r="D675" t="s">
        <v>1141</v>
      </c>
    </row>
    <row r="676" spans="1:4">
      <c r="A676" t="s">
        <v>1140</v>
      </c>
      <c r="B676" t="str">
        <f>IF('01_Warehouse_Ledger'!$A$172="","",'01_Warehouse_Ledger'!$A$172&amp;IF('01_Warehouse_Ledger'!$B$172&lt;&gt;""," | "&amp;'01_Warehouse_Ledger'!$B$172,""))</f>
        <v>PAL-0000171</v>
      </c>
      <c r="C676" t="str">
        <f>IF('01_Warehouse_Ledger'!$A$172="","",'01_Warehouse_Ledger'!$A$172)</f>
        <v>PAL-0000171</v>
      </c>
      <c r="D676" t="s">
        <v>1141</v>
      </c>
    </row>
    <row r="677" spans="1:4">
      <c r="A677" t="s">
        <v>1140</v>
      </c>
      <c r="B677" t="str">
        <f>IF('01_Warehouse_Ledger'!$A$173="","",'01_Warehouse_Ledger'!$A$173&amp;IF('01_Warehouse_Ledger'!$B$173&lt;&gt;""," | "&amp;'01_Warehouse_Ledger'!$B$173,""))</f>
        <v>PAL-0000172</v>
      </c>
      <c r="C677" t="str">
        <f>IF('01_Warehouse_Ledger'!$A$173="","",'01_Warehouse_Ledger'!$A$173)</f>
        <v>PAL-0000172</v>
      </c>
      <c r="D677" t="s">
        <v>1141</v>
      </c>
    </row>
    <row r="678" spans="1:4">
      <c r="A678" t="s">
        <v>1140</v>
      </c>
      <c r="B678" t="str">
        <f>IF('01_Warehouse_Ledger'!$A$174="","",'01_Warehouse_Ledger'!$A$174&amp;IF('01_Warehouse_Ledger'!$B$174&lt;&gt;""," | "&amp;'01_Warehouse_Ledger'!$B$174,""))</f>
        <v>PAL-0000173</v>
      </c>
      <c r="C678" t="str">
        <f>IF('01_Warehouse_Ledger'!$A$174="","",'01_Warehouse_Ledger'!$A$174)</f>
        <v>PAL-0000173</v>
      </c>
      <c r="D678" t="s">
        <v>1141</v>
      </c>
    </row>
    <row r="679" spans="1:4">
      <c r="A679" t="s">
        <v>1140</v>
      </c>
      <c r="B679" t="str">
        <f>IF('01_Warehouse_Ledger'!$A$175="","",'01_Warehouse_Ledger'!$A$175&amp;IF('01_Warehouse_Ledger'!$B$175&lt;&gt;""," | "&amp;'01_Warehouse_Ledger'!$B$175,""))</f>
        <v>PAL-0000174</v>
      </c>
      <c r="C679" t="str">
        <f>IF('01_Warehouse_Ledger'!$A$175="","",'01_Warehouse_Ledger'!$A$175)</f>
        <v>PAL-0000174</v>
      </c>
      <c r="D679" t="s">
        <v>1141</v>
      </c>
    </row>
    <row r="680" spans="1:4">
      <c r="A680" t="s">
        <v>1140</v>
      </c>
      <c r="B680" t="str">
        <f>IF('01_Warehouse_Ledger'!$A$176="","",'01_Warehouse_Ledger'!$A$176&amp;IF('01_Warehouse_Ledger'!$B$176&lt;&gt;""," | "&amp;'01_Warehouse_Ledger'!$B$176,""))</f>
        <v>PAL-0000175</v>
      </c>
      <c r="C680" t="str">
        <f>IF('01_Warehouse_Ledger'!$A$176="","",'01_Warehouse_Ledger'!$A$176)</f>
        <v>PAL-0000175</v>
      </c>
      <c r="D680" t="s">
        <v>1141</v>
      </c>
    </row>
    <row r="681" spans="1:4">
      <c r="A681" t="s">
        <v>1140</v>
      </c>
      <c r="B681" t="str">
        <f>IF('01_Warehouse_Ledger'!$A$177="","",'01_Warehouse_Ledger'!$A$177&amp;IF('01_Warehouse_Ledger'!$B$177&lt;&gt;""," | "&amp;'01_Warehouse_Ledger'!$B$177,""))</f>
        <v>PAL-0000176</v>
      </c>
      <c r="C681" t="str">
        <f>IF('01_Warehouse_Ledger'!$A$177="","",'01_Warehouse_Ledger'!$A$177)</f>
        <v>PAL-0000176</v>
      </c>
      <c r="D681" t="s">
        <v>1141</v>
      </c>
    </row>
    <row r="682" spans="1:4">
      <c r="A682" t="s">
        <v>1140</v>
      </c>
      <c r="B682" t="str">
        <f>IF('01_Warehouse_Ledger'!$A$178="","",'01_Warehouse_Ledger'!$A$178&amp;IF('01_Warehouse_Ledger'!$B$178&lt;&gt;""," | "&amp;'01_Warehouse_Ledger'!$B$178,""))</f>
        <v>PAL-0000177</v>
      </c>
      <c r="C682" t="str">
        <f>IF('01_Warehouse_Ledger'!$A$178="","",'01_Warehouse_Ledger'!$A$178)</f>
        <v>PAL-0000177</v>
      </c>
      <c r="D682" t="s">
        <v>1141</v>
      </c>
    </row>
    <row r="683" spans="1:4">
      <c r="A683" t="s">
        <v>1140</v>
      </c>
      <c r="B683" t="str">
        <f>IF('01_Warehouse_Ledger'!$A$179="","",'01_Warehouse_Ledger'!$A$179&amp;IF('01_Warehouse_Ledger'!$B$179&lt;&gt;""," | "&amp;'01_Warehouse_Ledger'!$B$179,""))</f>
        <v>PAL-0000178</v>
      </c>
      <c r="C683" t="str">
        <f>IF('01_Warehouse_Ledger'!$A$179="","",'01_Warehouse_Ledger'!$A$179)</f>
        <v>PAL-0000178</v>
      </c>
      <c r="D683" t="s">
        <v>1141</v>
      </c>
    </row>
    <row r="684" spans="1:4">
      <c r="A684" t="s">
        <v>1140</v>
      </c>
      <c r="B684" t="str">
        <f>IF('01_Warehouse_Ledger'!$A$180="","",'01_Warehouse_Ledger'!$A$180&amp;IF('01_Warehouse_Ledger'!$B$180&lt;&gt;""," | "&amp;'01_Warehouse_Ledger'!$B$180,""))</f>
        <v>PAL-0000179</v>
      </c>
      <c r="C684" t="str">
        <f>IF('01_Warehouse_Ledger'!$A$180="","",'01_Warehouse_Ledger'!$A$180)</f>
        <v>PAL-0000179</v>
      </c>
      <c r="D684" t="s">
        <v>1141</v>
      </c>
    </row>
    <row r="685" spans="1:4">
      <c r="A685" t="s">
        <v>1140</v>
      </c>
      <c r="B685" t="str">
        <f>IF('01_Warehouse_Ledger'!$A$181="","",'01_Warehouse_Ledger'!$A$181&amp;IF('01_Warehouse_Ledger'!$B$181&lt;&gt;""," | "&amp;'01_Warehouse_Ledger'!$B$181,""))</f>
        <v>PAL-0000180</v>
      </c>
      <c r="C685" t="str">
        <f>IF('01_Warehouse_Ledger'!$A$181="","",'01_Warehouse_Ledger'!$A$181)</f>
        <v>PAL-0000180</v>
      </c>
      <c r="D685" t="s">
        <v>1141</v>
      </c>
    </row>
    <row r="686" spans="1:4">
      <c r="A686" t="s">
        <v>1140</v>
      </c>
      <c r="B686" t="str">
        <f>IF('01_Warehouse_Ledger'!$A$182="","",'01_Warehouse_Ledger'!$A$182&amp;IF('01_Warehouse_Ledger'!$B$182&lt;&gt;""," | "&amp;'01_Warehouse_Ledger'!$B$182,""))</f>
        <v>PAL-0000181</v>
      </c>
      <c r="C686" t="str">
        <f>IF('01_Warehouse_Ledger'!$A$182="","",'01_Warehouse_Ledger'!$A$182)</f>
        <v>PAL-0000181</v>
      </c>
      <c r="D686" t="s">
        <v>1141</v>
      </c>
    </row>
    <row r="687" spans="1:4">
      <c r="A687" t="s">
        <v>1140</v>
      </c>
      <c r="B687" t="str">
        <f>IF('01_Warehouse_Ledger'!$A$183="","",'01_Warehouse_Ledger'!$A$183&amp;IF('01_Warehouse_Ledger'!$B$183&lt;&gt;""," | "&amp;'01_Warehouse_Ledger'!$B$183,""))</f>
        <v>PAL-0000182</v>
      </c>
      <c r="C687" t="str">
        <f>IF('01_Warehouse_Ledger'!$A$183="","",'01_Warehouse_Ledger'!$A$183)</f>
        <v>PAL-0000182</v>
      </c>
      <c r="D687" t="s">
        <v>1141</v>
      </c>
    </row>
    <row r="688" spans="1:4">
      <c r="A688" t="s">
        <v>1140</v>
      </c>
      <c r="B688" t="str">
        <f>IF('01_Warehouse_Ledger'!$A$184="","",'01_Warehouse_Ledger'!$A$184&amp;IF('01_Warehouse_Ledger'!$B$184&lt;&gt;""," | "&amp;'01_Warehouse_Ledger'!$B$184,""))</f>
        <v>PAL-0000183</v>
      </c>
      <c r="C688" t="str">
        <f>IF('01_Warehouse_Ledger'!$A$184="","",'01_Warehouse_Ledger'!$A$184)</f>
        <v>PAL-0000183</v>
      </c>
      <c r="D688" t="s">
        <v>1141</v>
      </c>
    </row>
    <row r="689" spans="1:4">
      <c r="A689" t="s">
        <v>1140</v>
      </c>
      <c r="B689" t="str">
        <f>IF('01_Warehouse_Ledger'!$A$185="","",'01_Warehouse_Ledger'!$A$185&amp;IF('01_Warehouse_Ledger'!$B$185&lt;&gt;""," | "&amp;'01_Warehouse_Ledger'!$B$185,""))</f>
        <v>PAL-0000184</v>
      </c>
      <c r="C689" t="str">
        <f>IF('01_Warehouse_Ledger'!$A$185="","",'01_Warehouse_Ledger'!$A$185)</f>
        <v>PAL-0000184</v>
      </c>
      <c r="D689" t="s">
        <v>1141</v>
      </c>
    </row>
    <row r="690" spans="1:4">
      <c r="A690" t="s">
        <v>1140</v>
      </c>
      <c r="B690" t="str">
        <f>IF('01_Warehouse_Ledger'!$A$186="","",'01_Warehouse_Ledger'!$A$186&amp;IF('01_Warehouse_Ledger'!$B$186&lt;&gt;""," | "&amp;'01_Warehouse_Ledger'!$B$186,""))</f>
        <v>PAL-0000185</v>
      </c>
      <c r="C690" t="str">
        <f>IF('01_Warehouse_Ledger'!$A$186="","",'01_Warehouse_Ledger'!$A$186)</f>
        <v>PAL-0000185</v>
      </c>
      <c r="D690" t="s">
        <v>1141</v>
      </c>
    </row>
    <row r="691" spans="1:4">
      <c r="A691" t="s">
        <v>1140</v>
      </c>
      <c r="B691" t="str">
        <f>IF('01_Warehouse_Ledger'!$A$187="","",'01_Warehouse_Ledger'!$A$187&amp;IF('01_Warehouse_Ledger'!$B$187&lt;&gt;""," | "&amp;'01_Warehouse_Ledger'!$B$187,""))</f>
        <v>PAL-0000186</v>
      </c>
      <c r="C691" t="str">
        <f>IF('01_Warehouse_Ledger'!$A$187="","",'01_Warehouse_Ledger'!$A$187)</f>
        <v>PAL-0000186</v>
      </c>
      <c r="D691" t="s">
        <v>1141</v>
      </c>
    </row>
    <row r="692" spans="1:4">
      <c r="A692" t="s">
        <v>1140</v>
      </c>
      <c r="B692" t="str">
        <f>IF('01_Warehouse_Ledger'!$A$188="","",'01_Warehouse_Ledger'!$A$188&amp;IF('01_Warehouse_Ledger'!$B$188&lt;&gt;""," | "&amp;'01_Warehouse_Ledger'!$B$188,""))</f>
        <v>PAL-0000187</v>
      </c>
      <c r="C692" t="str">
        <f>IF('01_Warehouse_Ledger'!$A$188="","",'01_Warehouse_Ledger'!$A$188)</f>
        <v>PAL-0000187</v>
      </c>
      <c r="D692" t="s">
        <v>1141</v>
      </c>
    </row>
    <row r="693" spans="1:4">
      <c r="A693" t="s">
        <v>1140</v>
      </c>
      <c r="B693" t="str">
        <f>IF('01_Warehouse_Ledger'!$A$189="","",'01_Warehouse_Ledger'!$A$189&amp;IF('01_Warehouse_Ledger'!$B$189&lt;&gt;""," | "&amp;'01_Warehouse_Ledger'!$B$189,""))</f>
        <v>PAL-0000188</v>
      </c>
      <c r="C693" t="str">
        <f>IF('01_Warehouse_Ledger'!$A$189="","",'01_Warehouse_Ledger'!$A$189)</f>
        <v>PAL-0000188</v>
      </c>
      <c r="D693" t="s">
        <v>1141</v>
      </c>
    </row>
    <row r="694" spans="1:4">
      <c r="A694" t="s">
        <v>1140</v>
      </c>
      <c r="B694" t="str">
        <f>IF('01_Warehouse_Ledger'!$A$190="","",'01_Warehouse_Ledger'!$A$190&amp;IF('01_Warehouse_Ledger'!$B$190&lt;&gt;""," | "&amp;'01_Warehouse_Ledger'!$B$190,""))</f>
        <v>PAL-0000189</v>
      </c>
      <c r="C694" t="str">
        <f>IF('01_Warehouse_Ledger'!$A$190="","",'01_Warehouse_Ledger'!$A$190)</f>
        <v>PAL-0000189</v>
      </c>
      <c r="D694" t="s">
        <v>1141</v>
      </c>
    </row>
    <row r="695" spans="1:4">
      <c r="A695" t="s">
        <v>1140</v>
      </c>
      <c r="B695" t="str">
        <f>IF('01_Warehouse_Ledger'!$A$191="","",'01_Warehouse_Ledger'!$A$191&amp;IF('01_Warehouse_Ledger'!$B$191&lt;&gt;""," | "&amp;'01_Warehouse_Ledger'!$B$191,""))</f>
        <v>PAL-0000190</v>
      </c>
      <c r="C695" t="str">
        <f>IF('01_Warehouse_Ledger'!$A$191="","",'01_Warehouse_Ledger'!$A$191)</f>
        <v>PAL-0000190</v>
      </c>
      <c r="D695" t="s">
        <v>1141</v>
      </c>
    </row>
    <row r="696" spans="1:4">
      <c r="A696" t="s">
        <v>1140</v>
      </c>
      <c r="B696" t="str">
        <f>IF('01_Warehouse_Ledger'!$A$192="","",'01_Warehouse_Ledger'!$A$192&amp;IF('01_Warehouse_Ledger'!$B$192&lt;&gt;""," | "&amp;'01_Warehouse_Ledger'!$B$192,""))</f>
        <v>PAL-0000191</v>
      </c>
      <c r="C696" t="str">
        <f>IF('01_Warehouse_Ledger'!$A$192="","",'01_Warehouse_Ledger'!$A$192)</f>
        <v>PAL-0000191</v>
      </c>
      <c r="D696" t="s">
        <v>1141</v>
      </c>
    </row>
    <row r="697" spans="1:4">
      <c r="A697" t="s">
        <v>1140</v>
      </c>
      <c r="B697" t="str">
        <f>IF('01_Warehouse_Ledger'!$A$193="","",'01_Warehouse_Ledger'!$A$193&amp;IF('01_Warehouse_Ledger'!$B$193&lt;&gt;""," | "&amp;'01_Warehouse_Ledger'!$B$193,""))</f>
        <v>PAL-0000192</v>
      </c>
      <c r="C697" t="str">
        <f>IF('01_Warehouse_Ledger'!$A$193="","",'01_Warehouse_Ledger'!$A$193)</f>
        <v>PAL-0000192</v>
      </c>
      <c r="D697" t="s">
        <v>1141</v>
      </c>
    </row>
    <row r="698" spans="1:4">
      <c r="A698" t="s">
        <v>1140</v>
      </c>
      <c r="B698" t="str">
        <f>IF('01_Warehouse_Ledger'!$A$194="","",'01_Warehouse_Ledger'!$A$194&amp;IF('01_Warehouse_Ledger'!$B$194&lt;&gt;""," | "&amp;'01_Warehouse_Ledger'!$B$194,""))</f>
        <v>PAL-0000193</v>
      </c>
      <c r="C698" t="str">
        <f>IF('01_Warehouse_Ledger'!$A$194="","",'01_Warehouse_Ledger'!$A$194)</f>
        <v>PAL-0000193</v>
      </c>
      <c r="D698" t="s">
        <v>1141</v>
      </c>
    </row>
    <row r="699" spans="1:4">
      <c r="A699" t="s">
        <v>1140</v>
      </c>
      <c r="B699" t="str">
        <f>IF('01_Warehouse_Ledger'!$A$195="","",'01_Warehouse_Ledger'!$A$195&amp;IF('01_Warehouse_Ledger'!$B$195&lt;&gt;""," | "&amp;'01_Warehouse_Ledger'!$B$195,""))</f>
        <v>PAL-0000194</v>
      </c>
      <c r="C699" t="str">
        <f>IF('01_Warehouse_Ledger'!$A$195="","",'01_Warehouse_Ledger'!$A$195)</f>
        <v>PAL-0000194</v>
      </c>
      <c r="D699" t="s">
        <v>1141</v>
      </c>
    </row>
    <row r="700" spans="1:4">
      <c r="A700" t="s">
        <v>1140</v>
      </c>
      <c r="B700" t="str">
        <f>IF('01_Warehouse_Ledger'!$A$196="","",'01_Warehouse_Ledger'!$A$196&amp;IF('01_Warehouse_Ledger'!$B$196&lt;&gt;""," | "&amp;'01_Warehouse_Ledger'!$B$196,""))</f>
        <v>PAL-0000195</v>
      </c>
      <c r="C700" t="str">
        <f>IF('01_Warehouse_Ledger'!$A$196="","",'01_Warehouse_Ledger'!$A$196)</f>
        <v>PAL-0000195</v>
      </c>
      <c r="D700" t="s">
        <v>1141</v>
      </c>
    </row>
    <row r="701" spans="1:4">
      <c r="A701" t="s">
        <v>1140</v>
      </c>
      <c r="B701" t="str">
        <f>IF('01_Warehouse_Ledger'!$A$197="","",'01_Warehouse_Ledger'!$A$197&amp;IF('01_Warehouse_Ledger'!$B$197&lt;&gt;""," | "&amp;'01_Warehouse_Ledger'!$B$197,""))</f>
        <v>PAL-0000196</v>
      </c>
      <c r="C701" t="str">
        <f>IF('01_Warehouse_Ledger'!$A$197="","",'01_Warehouse_Ledger'!$A$197)</f>
        <v>PAL-0000196</v>
      </c>
      <c r="D701" t="s">
        <v>1141</v>
      </c>
    </row>
    <row r="702" spans="1:4">
      <c r="A702" t="s">
        <v>1140</v>
      </c>
      <c r="B702" t="str">
        <f>IF('01_Warehouse_Ledger'!$A$198="","",'01_Warehouse_Ledger'!$A$198&amp;IF('01_Warehouse_Ledger'!$B$198&lt;&gt;""," | "&amp;'01_Warehouse_Ledger'!$B$198,""))</f>
        <v>PAL-0000197</v>
      </c>
      <c r="C702" t="str">
        <f>IF('01_Warehouse_Ledger'!$A$198="","",'01_Warehouse_Ledger'!$A$198)</f>
        <v>PAL-0000197</v>
      </c>
      <c r="D702" t="s">
        <v>1141</v>
      </c>
    </row>
    <row r="703" spans="1:4">
      <c r="A703" t="s">
        <v>1140</v>
      </c>
      <c r="B703" t="str">
        <f>IF('01_Warehouse_Ledger'!$A$199="","",'01_Warehouse_Ledger'!$A$199&amp;IF('01_Warehouse_Ledger'!$B$199&lt;&gt;""," | "&amp;'01_Warehouse_Ledger'!$B$199,""))</f>
        <v>PAL-0000198</v>
      </c>
      <c r="C703" t="str">
        <f>IF('01_Warehouse_Ledger'!$A$199="","",'01_Warehouse_Ledger'!$A$199)</f>
        <v>PAL-0000198</v>
      </c>
      <c r="D703" t="s">
        <v>1141</v>
      </c>
    </row>
    <row r="704" spans="1:4">
      <c r="A704" t="s">
        <v>1140</v>
      </c>
      <c r="B704" t="str">
        <f>IF('01_Warehouse_Ledger'!$A$200="","",'01_Warehouse_Ledger'!$A$200&amp;IF('01_Warehouse_Ledger'!$B$200&lt;&gt;""," | "&amp;'01_Warehouse_Ledger'!$B$200,""))</f>
        <v>PAL-0000199</v>
      </c>
      <c r="C704" t="str">
        <f>IF('01_Warehouse_Ledger'!$A$200="","",'01_Warehouse_Ledger'!$A$200)</f>
        <v>PAL-0000199</v>
      </c>
      <c r="D704" t="s">
        <v>1141</v>
      </c>
    </row>
    <row r="705" spans="1:4">
      <c r="A705" t="s">
        <v>1140</v>
      </c>
      <c r="B705" t="str">
        <f>IF('01_Warehouse_Ledger'!$A$201="","",'01_Warehouse_Ledger'!$A$201&amp;IF('01_Warehouse_Ledger'!$B$201&lt;&gt;""," | "&amp;'01_Warehouse_Ledger'!$B$201,""))</f>
        <v>PAL-0000200</v>
      </c>
      <c r="C705" t="str">
        <f>IF('01_Warehouse_Ledger'!$A$201="","",'01_Warehouse_Ledger'!$A$201)</f>
        <v>PAL-0000200</v>
      </c>
      <c r="D705" t="s">
        <v>1141</v>
      </c>
    </row>
    <row r="706" spans="1:4">
      <c r="A706" t="s">
        <v>1140</v>
      </c>
      <c r="B706" t="str">
        <f>IF('01_Warehouse_Ledger'!$A$202="","",'01_Warehouse_Ledger'!$A$202&amp;IF('01_Warehouse_Ledger'!$B$202&lt;&gt;""," | "&amp;'01_Warehouse_Ledger'!$B$202,""))</f>
        <v>PAL-0000201</v>
      </c>
      <c r="C706" t="str">
        <f>IF('01_Warehouse_Ledger'!$A$202="","",'01_Warehouse_Ledger'!$A$202)</f>
        <v>PAL-0000201</v>
      </c>
      <c r="D706" t="s">
        <v>1141</v>
      </c>
    </row>
    <row r="707" spans="1:4">
      <c r="A707" t="s">
        <v>1140</v>
      </c>
      <c r="B707" t="str">
        <f>IF('01_Warehouse_Ledger'!$A$203="","",'01_Warehouse_Ledger'!$A$203&amp;IF('01_Warehouse_Ledger'!$B$203&lt;&gt;""," | "&amp;'01_Warehouse_Ledger'!$B$203,""))</f>
        <v>PAL-0000202</v>
      </c>
      <c r="C707" t="str">
        <f>IF('01_Warehouse_Ledger'!$A$203="","",'01_Warehouse_Ledger'!$A$203)</f>
        <v>PAL-0000202</v>
      </c>
      <c r="D707" t="s">
        <v>1141</v>
      </c>
    </row>
    <row r="708" spans="1:4">
      <c r="A708" t="s">
        <v>1140</v>
      </c>
      <c r="B708" t="str">
        <f>IF('01_Warehouse_Ledger'!$A$204="","",'01_Warehouse_Ledger'!$A$204&amp;IF('01_Warehouse_Ledger'!$B$204&lt;&gt;""," | "&amp;'01_Warehouse_Ledger'!$B$204,""))</f>
        <v>PAL-0000203</v>
      </c>
      <c r="C708" t="str">
        <f>IF('01_Warehouse_Ledger'!$A$204="","",'01_Warehouse_Ledger'!$A$204)</f>
        <v>PAL-0000203</v>
      </c>
      <c r="D708" t="s">
        <v>1141</v>
      </c>
    </row>
    <row r="709" spans="1:4">
      <c r="A709" t="s">
        <v>1140</v>
      </c>
      <c r="B709" t="str">
        <f>IF('01_Warehouse_Ledger'!$A$205="","",'01_Warehouse_Ledger'!$A$205&amp;IF('01_Warehouse_Ledger'!$B$205&lt;&gt;""," | "&amp;'01_Warehouse_Ledger'!$B$205,""))</f>
        <v>PAL-0000204</v>
      </c>
      <c r="C709" t="str">
        <f>IF('01_Warehouse_Ledger'!$A$205="","",'01_Warehouse_Ledger'!$A$205)</f>
        <v>PAL-0000204</v>
      </c>
      <c r="D709" t="s">
        <v>1141</v>
      </c>
    </row>
    <row r="710" spans="1:4">
      <c r="A710" t="s">
        <v>1140</v>
      </c>
      <c r="B710" t="str">
        <f>IF('01_Warehouse_Ledger'!$A$206="","",'01_Warehouse_Ledger'!$A$206&amp;IF('01_Warehouse_Ledger'!$B$206&lt;&gt;""," | "&amp;'01_Warehouse_Ledger'!$B$206,""))</f>
        <v>PAL-0000205</v>
      </c>
      <c r="C710" t="str">
        <f>IF('01_Warehouse_Ledger'!$A$206="","",'01_Warehouse_Ledger'!$A$206)</f>
        <v>PAL-0000205</v>
      </c>
      <c r="D710" t="s">
        <v>1141</v>
      </c>
    </row>
    <row r="711" spans="1:4">
      <c r="A711" t="s">
        <v>1140</v>
      </c>
      <c r="B711" t="str">
        <f>IF('01_Warehouse_Ledger'!$A$207="","",'01_Warehouse_Ledger'!$A$207&amp;IF('01_Warehouse_Ledger'!$B$207&lt;&gt;""," | "&amp;'01_Warehouse_Ledger'!$B$207,""))</f>
        <v>PAL-0000206</v>
      </c>
      <c r="C711" t="str">
        <f>IF('01_Warehouse_Ledger'!$A$207="","",'01_Warehouse_Ledger'!$A$207)</f>
        <v>PAL-0000206</v>
      </c>
      <c r="D711" t="s">
        <v>1141</v>
      </c>
    </row>
    <row r="712" spans="1:4">
      <c r="A712" t="s">
        <v>1140</v>
      </c>
      <c r="B712" t="str">
        <f>IF('01_Warehouse_Ledger'!$A$208="","",'01_Warehouse_Ledger'!$A$208&amp;IF('01_Warehouse_Ledger'!$B$208&lt;&gt;""," | "&amp;'01_Warehouse_Ledger'!$B$208,""))</f>
        <v>PAL-0000207</v>
      </c>
      <c r="C712" t="str">
        <f>IF('01_Warehouse_Ledger'!$A$208="","",'01_Warehouse_Ledger'!$A$208)</f>
        <v>PAL-0000207</v>
      </c>
      <c r="D712" t="s">
        <v>1141</v>
      </c>
    </row>
    <row r="713" spans="1:4">
      <c r="A713" t="s">
        <v>1140</v>
      </c>
      <c r="B713" t="str">
        <f>IF('01_Warehouse_Ledger'!$A$209="","",'01_Warehouse_Ledger'!$A$209&amp;IF('01_Warehouse_Ledger'!$B$209&lt;&gt;""," | "&amp;'01_Warehouse_Ledger'!$B$209,""))</f>
        <v>PAL-0000208</v>
      </c>
      <c r="C713" t="str">
        <f>IF('01_Warehouse_Ledger'!$A$209="","",'01_Warehouse_Ledger'!$A$209)</f>
        <v>PAL-0000208</v>
      </c>
      <c r="D713" t="s">
        <v>1141</v>
      </c>
    </row>
    <row r="714" spans="1:4">
      <c r="A714" t="s">
        <v>1140</v>
      </c>
      <c r="B714" t="str">
        <f>IF('01_Warehouse_Ledger'!$A$210="","",'01_Warehouse_Ledger'!$A$210&amp;IF('01_Warehouse_Ledger'!$B$210&lt;&gt;""," | "&amp;'01_Warehouse_Ledger'!$B$210,""))</f>
        <v>PAL-0000209</v>
      </c>
      <c r="C714" t="str">
        <f>IF('01_Warehouse_Ledger'!$A$210="","",'01_Warehouse_Ledger'!$A$210)</f>
        <v>PAL-0000209</v>
      </c>
      <c r="D714" t="s">
        <v>1141</v>
      </c>
    </row>
    <row r="715" spans="1:4">
      <c r="A715" t="s">
        <v>1140</v>
      </c>
      <c r="B715" t="str">
        <f>IF('01_Warehouse_Ledger'!$A$211="","",'01_Warehouse_Ledger'!$A$211&amp;IF('01_Warehouse_Ledger'!$B$211&lt;&gt;""," | "&amp;'01_Warehouse_Ledger'!$B$211,""))</f>
        <v>PAL-0000210</v>
      </c>
      <c r="C715" t="str">
        <f>IF('01_Warehouse_Ledger'!$A$211="","",'01_Warehouse_Ledger'!$A$211)</f>
        <v>PAL-0000210</v>
      </c>
      <c r="D715" t="s">
        <v>1141</v>
      </c>
    </row>
    <row r="716" spans="1:4">
      <c r="A716" t="s">
        <v>1140</v>
      </c>
      <c r="B716" t="str">
        <f>IF('01_Warehouse_Ledger'!$A$212="","",'01_Warehouse_Ledger'!$A$212&amp;IF('01_Warehouse_Ledger'!$B$212&lt;&gt;""," | "&amp;'01_Warehouse_Ledger'!$B$212,""))</f>
        <v>PAL-0000211</v>
      </c>
      <c r="C716" t="str">
        <f>IF('01_Warehouse_Ledger'!$A$212="","",'01_Warehouse_Ledger'!$A$212)</f>
        <v>PAL-0000211</v>
      </c>
      <c r="D716" t="s">
        <v>1141</v>
      </c>
    </row>
    <row r="717" spans="1:4">
      <c r="A717" t="s">
        <v>1140</v>
      </c>
      <c r="B717" t="str">
        <f>IF('01_Warehouse_Ledger'!$A$213="","",'01_Warehouse_Ledger'!$A$213&amp;IF('01_Warehouse_Ledger'!$B$213&lt;&gt;""," | "&amp;'01_Warehouse_Ledger'!$B$213,""))</f>
        <v>PAL-0000212</v>
      </c>
      <c r="C717" t="str">
        <f>IF('01_Warehouse_Ledger'!$A$213="","",'01_Warehouse_Ledger'!$A$213)</f>
        <v>PAL-0000212</v>
      </c>
      <c r="D717" t="s">
        <v>1141</v>
      </c>
    </row>
    <row r="718" spans="1:4">
      <c r="A718" t="s">
        <v>1140</v>
      </c>
      <c r="B718" t="str">
        <f>IF('01_Warehouse_Ledger'!$A$214="","",'01_Warehouse_Ledger'!$A$214&amp;IF('01_Warehouse_Ledger'!$B$214&lt;&gt;""," | "&amp;'01_Warehouse_Ledger'!$B$214,""))</f>
        <v>PAL-0000213</v>
      </c>
      <c r="C718" t="str">
        <f>IF('01_Warehouse_Ledger'!$A$214="","",'01_Warehouse_Ledger'!$A$214)</f>
        <v>PAL-0000213</v>
      </c>
      <c r="D718" t="s">
        <v>1141</v>
      </c>
    </row>
    <row r="719" spans="1:4">
      <c r="A719" t="s">
        <v>1140</v>
      </c>
      <c r="B719" t="str">
        <f>IF('01_Warehouse_Ledger'!$A$215="","",'01_Warehouse_Ledger'!$A$215&amp;IF('01_Warehouse_Ledger'!$B$215&lt;&gt;""," | "&amp;'01_Warehouse_Ledger'!$B$215,""))</f>
        <v>PAL-0000214</v>
      </c>
      <c r="C719" t="str">
        <f>IF('01_Warehouse_Ledger'!$A$215="","",'01_Warehouse_Ledger'!$A$215)</f>
        <v>PAL-0000214</v>
      </c>
      <c r="D719" t="s">
        <v>1141</v>
      </c>
    </row>
    <row r="720" spans="1:4">
      <c r="A720" t="s">
        <v>1140</v>
      </c>
      <c r="B720" t="str">
        <f>IF('01_Warehouse_Ledger'!$A$216="","",'01_Warehouse_Ledger'!$A$216&amp;IF('01_Warehouse_Ledger'!$B$216&lt;&gt;""," | "&amp;'01_Warehouse_Ledger'!$B$216,""))</f>
        <v>PAL-0000215</v>
      </c>
      <c r="C720" t="str">
        <f>IF('01_Warehouse_Ledger'!$A$216="","",'01_Warehouse_Ledger'!$A$216)</f>
        <v>PAL-0000215</v>
      </c>
      <c r="D720" t="s">
        <v>1141</v>
      </c>
    </row>
    <row r="721" spans="1:4">
      <c r="A721" t="s">
        <v>1140</v>
      </c>
      <c r="B721" t="str">
        <f>IF('01_Warehouse_Ledger'!$A$217="","",'01_Warehouse_Ledger'!$A$217&amp;IF('01_Warehouse_Ledger'!$B$217&lt;&gt;""," | "&amp;'01_Warehouse_Ledger'!$B$217,""))</f>
        <v>PAL-0000216</v>
      </c>
      <c r="C721" t="str">
        <f>IF('01_Warehouse_Ledger'!$A$217="","",'01_Warehouse_Ledger'!$A$217)</f>
        <v>PAL-0000216</v>
      </c>
      <c r="D721" t="s">
        <v>1141</v>
      </c>
    </row>
    <row r="722" spans="1:4">
      <c r="A722" t="s">
        <v>1140</v>
      </c>
      <c r="B722" t="str">
        <f>IF('01_Warehouse_Ledger'!$A$218="","",'01_Warehouse_Ledger'!$A$218&amp;IF('01_Warehouse_Ledger'!$B$218&lt;&gt;""," | "&amp;'01_Warehouse_Ledger'!$B$218,""))</f>
        <v>PAL-0000217</v>
      </c>
      <c r="C722" t="str">
        <f>IF('01_Warehouse_Ledger'!$A$218="","",'01_Warehouse_Ledger'!$A$218)</f>
        <v>PAL-0000217</v>
      </c>
      <c r="D722" t="s">
        <v>1141</v>
      </c>
    </row>
    <row r="723" spans="1:4">
      <c r="A723" t="s">
        <v>1140</v>
      </c>
      <c r="B723" t="str">
        <f>IF('01_Warehouse_Ledger'!$A$219="","",'01_Warehouse_Ledger'!$A$219&amp;IF('01_Warehouse_Ledger'!$B$219&lt;&gt;""," | "&amp;'01_Warehouse_Ledger'!$B$219,""))</f>
        <v>PAL-0000218</v>
      </c>
      <c r="C723" t="str">
        <f>IF('01_Warehouse_Ledger'!$A$219="","",'01_Warehouse_Ledger'!$A$219)</f>
        <v>PAL-0000218</v>
      </c>
      <c r="D723" t="s">
        <v>1141</v>
      </c>
    </row>
    <row r="724" spans="1:4">
      <c r="A724" t="s">
        <v>1140</v>
      </c>
      <c r="B724" t="str">
        <f>IF('01_Warehouse_Ledger'!$A$220="","",'01_Warehouse_Ledger'!$A$220&amp;IF('01_Warehouse_Ledger'!$B$220&lt;&gt;""," | "&amp;'01_Warehouse_Ledger'!$B$220,""))</f>
        <v>PAL-0000219</v>
      </c>
      <c r="C724" t="str">
        <f>IF('01_Warehouse_Ledger'!$A$220="","",'01_Warehouse_Ledger'!$A$220)</f>
        <v>PAL-0000219</v>
      </c>
      <c r="D724" t="s">
        <v>1141</v>
      </c>
    </row>
    <row r="725" spans="1:4">
      <c r="A725" t="s">
        <v>1140</v>
      </c>
      <c r="B725" t="str">
        <f>IF('01_Warehouse_Ledger'!$A$221="","",'01_Warehouse_Ledger'!$A$221&amp;IF('01_Warehouse_Ledger'!$B$221&lt;&gt;""," | "&amp;'01_Warehouse_Ledger'!$B$221,""))</f>
        <v>PAL-0000220</v>
      </c>
      <c r="C725" t="str">
        <f>IF('01_Warehouse_Ledger'!$A$221="","",'01_Warehouse_Ledger'!$A$221)</f>
        <v>PAL-0000220</v>
      </c>
      <c r="D725" t="s">
        <v>1141</v>
      </c>
    </row>
    <row r="726" spans="1:4">
      <c r="A726" t="s">
        <v>1140</v>
      </c>
      <c r="B726" t="str">
        <f>IF('01_Warehouse_Ledger'!$A$222="","",'01_Warehouse_Ledger'!$A$222&amp;IF('01_Warehouse_Ledger'!$B$222&lt;&gt;""," | "&amp;'01_Warehouse_Ledger'!$B$222,""))</f>
        <v>PAL-0000221</v>
      </c>
      <c r="C726" t="str">
        <f>IF('01_Warehouse_Ledger'!$A$222="","",'01_Warehouse_Ledger'!$A$222)</f>
        <v>PAL-0000221</v>
      </c>
      <c r="D726" t="s">
        <v>1141</v>
      </c>
    </row>
    <row r="727" spans="1:4">
      <c r="A727" t="s">
        <v>1140</v>
      </c>
      <c r="B727" t="str">
        <f>IF('01_Warehouse_Ledger'!$A$223="","",'01_Warehouse_Ledger'!$A$223&amp;IF('01_Warehouse_Ledger'!$B$223&lt;&gt;""," | "&amp;'01_Warehouse_Ledger'!$B$223,""))</f>
        <v>PAL-0000222</v>
      </c>
      <c r="C727" t="str">
        <f>IF('01_Warehouse_Ledger'!$A$223="","",'01_Warehouse_Ledger'!$A$223)</f>
        <v>PAL-0000222</v>
      </c>
      <c r="D727" t="s">
        <v>1141</v>
      </c>
    </row>
    <row r="728" spans="1:4">
      <c r="A728" t="s">
        <v>1140</v>
      </c>
      <c r="B728" t="str">
        <f>IF('01_Warehouse_Ledger'!$A$224="","",'01_Warehouse_Ledger'!$A$224&amp;IF('01_Warehouse_Ledger'!$B$224&lt;&gt;""," | "&amp;'01_Warehouse_Ledger'!$B$224,""))</f>
        <v>PAL-0000223</v>
      </c>
      <c r="C728" t="str">
        <f>IF('01_Warehouse_Ledger'!$A$224="","",'01_Warehouse_Ledger'!$A$224)</f>
        <v>PAL-0000223</v>
      </c>
      <c r="D728" t="s">
        <v>1141</v>
      </c>
    </row>
    <row r="729" spans="1:4">
      <c r="A729" t="s">
        <v>1140</v>
      </c>
      <c r="B729" t="str">
        <f>IF('01_Warehouse_Ledger'!$A$225="","",'01_Warehouse_Ledger'!$A$225&amp;IF('01_Warehouse_Ledger'!$B$225&lt;&gt;""," | "&amp;'01_Warehouse_Ledger'!$B$225,""))</f>
        <v>PAL-0000224</v>
      </c>
      <c r="C729" t="str">
        <f>IF('01_Warehouse_Ledger'!$A$225="","",'01_Warehouse_Ledger'!$A$225)</f>
        <v>PAL-0000224</v>
      </c>
      <c r="D729" t="s">
        <v>1141</v>
      </c>
    </row>
    <row r="730" spans="1:4">
      <c r="A730" t="s">
        <v>1140</v>
      </c>
      <c r="B730" t="str">
        <f>IF('01_Warehouse_Ledger'!$A$226="","",'01_Warehouse_Ledger'!$A$226&amp;IF('01_Warehouse_Ledger'!$B$226&lt;&gt;""," | "&amp;'01_Warehouse_Ledger'!$B$226,""))</f>
        <v>PAL-0000225</v>
      </c>
      <c r="C730" t="str">
        <f>IF('01_Warehouse_Ledger'!$A$226="","",'01_Warehouse_Ledger'!$A$226)</f>
        <v>PAL-0000225</v>
      </c>
      <c r="D730" t="s">
        <v>1141</v>
      </c>
    </row>
    <row r="731" spans="1:4">
      <c r="A731" t="s">
        <v>1140</v>
      </c>
      <c r="B731" t="str">
        <f>IF('01_Warehouse_Ledger'!$A$227="","",'01_Warehouse_Ledger'!$A$227&amp;IF('01_Warehouse_Ledger'!$B$227&lt;&gt;""," | "&amp;'01_Warehouse_Ledger'!$B$227,""))</f>
        <v>PAL-0000226</v>
      </c>
      <c r="C731" t="str">
        <f>IF('01_Warehouse_Ledger'!$A$227="","",'01_Warehouse_Ledger'!$A$227)</f>
        <v>PAL-0000226</v>
      </c>
      <c r="D731" t="s">
        <v>1141</v>
      </c>
    </row>
    <row r="732" spans="1:4">
      <c r="A732" t="s">
        <v>1140</v>
      </c>
      <c r="B732" t="str">
        <f>IF('01_Warehouse_Ledger'!$A$228="","",'01_Warehouse_Ledger'!$A$228&amp;IF('01_Warehouse_Ledger'!$B$228&lt;&gt;""," | "&amp;'01_Warehouse_Ledger'!$B$228,""))</f>
        <v>PAL-0000227</v>
      </c>
      <c r="C732" t="str">
        <f>IF('01_Warehouse_Ledger'!$A$228="","",'01_Warehouse_Ledger'!$A$228)</f>
        <v>PAL-0000227</v>
      </c>
      <c r="D732" t="s">
        <v>1141</v>
      </c>
    </row>
    <row r="733" spans="1:4">
      <c r="A733" t="s">
        <v>1140</v>
      </c>
      <c r="B733" t="str">
        <f>IF('01_Warehouse_Ledger'!$A$229="","",'01_Warehouse_Ledger'!$A$229&amp;IF('01_Warehouse_Ledger'!$B$229&lt;&gt;""," | "&amp;'01_Warehouse_Ledger'!$B$229,""))</f>
        <v>PAL-0000228</v>
      </c>
      <c r="C733" t="str">
        <f>IF('01_Warehouse_Ledger'!$A$229="","",'01_Warehouse_Ledger'!$A$229)</f>
        <v>PAL-0000228</v>
      </c>
      <c r="D733" t="s">
        <v>1141</v>
      </c>
    </row>
    <row r="734" spans="1:4">
      <c r="A734" t="s">
        <v>1140</v>
      </c>
      <c r="B734" t="str">
        <f>IF('01_Warehouse_Ledger'!$A$230="","",'01_Warehouse_Ledger'!$A$230&amp;IF('01_Warehouse_Ledger'!$B$230&lt;&gt;""," | "&amp;'01_Warehouse_Ledger'!$B$230,""))</f>
        <v>PAL-0000229</v>
      </c>
      <c r="C734" t="str">
        <f>IF('01_Warehouse_Ledger'!$A$230="","",'01_Warehouse_Ledger'!$A$230)</f>
        <v>PAL-0000229</v>
      </c>
      <c r="D734" t="s">
        <v>1141</v>
      </c>
    </row>
    <row r="735" spans="1:4">
      <c r="A735" t="s">
        <v>1140</v>
      </c>
      <c r="B735" t="str">
        <f>IF('01_Warehouse_Ledger'!$A$231="","",'01_Warehouse_Ledger'!$A$231&amp;IF('01_Warehouse_Ledger'!$B$231&lt;&gt;""," | "&amp;'01_Warehouse_Ledger'!$B$231,""))</f>
        <v>PAL-0000230</v>
      </c>
      <c r="C735" t="str">
        <f>IF('01_Warehouse_Ledger'!$A$231="","",'01_Warehouse_Ledger'!$A$231)</f>
        <v>PAL-0000230</v>
      </c>
      <c r="D735" t="s">
        <v>1141</v>
      </c>
    </row>
    <row r="736" spans="1:4">
      <c r="A736" t="s">
        <v>1140</v>
      </c>
      <c r="B736" t="str">
        <f>IF('01_Warehouse_Ledger'!$A$232="","",'01_Warehouse_Ledger'!$A$232&amp;IF('01_Warehouse_Ledger'!$B$232&lt;&gt;""," | "&amp;'01_Warehouse_Ledger'!$B$232,""))</f>
        <v>PAL-0000231</v>
      </c>
      <c r="C736" t="str">
        <f>IF('01_Warehouse_Ledger'!$A$232="","",'01_Warehouse_Ledger'!$A$232)</f>
        <v>PAL-0000231</v>
      </c>
      <c r="D736" t="s">
        <v>1141</v>
      </c>
    </row>
    <row r="737" spans="1:4">
      <c r="A737" t="s">
        <v>1140</v>
      </c>
      <c r="B737" t="str">
        <f>IF('01_Warehouse_Ledger'!$A$233="","",'01_Warehouse_Ledger'!$A$233&amp;IF('01_Warehouse_Ledger'!$B$233&lt;&gt;""," | "&amp;'01_Warehouse_Ledger'!$B$233,""))</f>
        <v>PAL-0000232</v>
      </c>
      <c r="C737" t="str">
        <f>IF('01_Warehouse_Ledger'!$A$233="","",'01_Warehouse_Ledger'!$A$233)</f>
        <v>PAL-0000232</v>
      </c>
      <c r="D737" t="s">
        <v>1141</v>
      </c>
    </row>
    <row r="738" spans="1:4">
      <c r="A738" t="s">
        <v>1140</v>
      </c>
      <c r="B738" t="str">
        <f>IF('01_Warehouse_Ledger'!$A$234="","",'01_Warehouse_Ledger'!$A$234&amp;IF('01_Warehouse_Ledger'!$B$234&lt;&gt;""," | "&amp;'01_Warehouse_Ledger'!$B$234,""))</f>
        <v>PAL-0000233</v>
      </c>
      <c r="C738" t="str">
        <f>IF('01_Warehouse_Ledger'!$A$234="","",'01_Warehouse_Ledger'!$A$234)</f>
        <v>PAL-0000233</v>
      </c>
      <c r="D738" t="s">
        <v>1141</v>
      </c>
    </row>
    <row r="739" spans="1:4">
      <c r="A739" t="s">
        <v>1140</v>
      </c>
      <c r="B739" t="str">
        <f>IF('01_Warehouse_Ledger'!$A$235="","",'01_Warehouse_Ledger'!$A$235&amp;IF('01_Warehouse_Ledger'!$B$235&lt;&gt;""," | "&amp;'01_Warehouse_Ledger'!$B$235,""))</f>
        <v>PAL-0000234</v>
      </c>
      <c r="C739" t="str">
        <f>IF('01_Warehouse_Ledger'!$A$235="","",'01_Warehouse_Ledger'!$A$235)</f>
        <v>PAL-0000234</v>
      </c>
      <c r="D739" t="s">
        <v>1141</v>
      </c>
    </row>
    <row r="740" spans="1:4">
      <c r="A740" t="s">
        <v>1140</v>
      </c>
      <c r="B740" t="str">
        <f>IF('01_Warehouse_Ledger'!$A$236="","",'01_Warehouse_Ledger'!$A$236&amp;IF('01_Warehouse_Ledger'!$B$236&lt;&gt;""," | "&amp;'01_Warehouse_Ledger'!$B$236,""))</f>
        <v>PAL-0000235</v>
      </c>
      <c r="C740" t="str">
        <f>IF('01_Warehouse_Ledger'!$A$236="","",'01_Warehouse_Ledger'!$A$236)</f>
        <v>PAL-0000235</v>
      </c>
      <c r="D740" t="s">
        <v>1141</v>
      </c>
    </row>
    <row r="741" spans="1:4">
      <c r="A741" t="s">
        <v>1140</v>
      </c>
      <c r="B741" t="str">
        <f>IF('01_Warehouse_Ledger'!$A$237="","",'01_Warehouse_Ledger'!$A$237&amp;IF('01_Warehouse_Ledger'!$B$237&lt;&gt;""," | "&amp;'01_Warehouse_Ledger'!$B$237,""))</f>
        <v>PAL-0000236</v>
      </c>
      <c r="C741" t="str">
        <f>IF('01_Warehouse_Ledger'!$A$237="","",'01_Warehouse_Ledger'!$A$237)</f>
        <v>PAL-0000236</v>
      </c>
      <c r="D741" t="s">
        <v>1141</v>
      </c>
    </row>
    <row r="742" spans="1:4">
      <c r="A742" t="s">
        <v>1140</v>
      </c>
      <c r="B742" t="str">
        <f>IF('01_Warehouse_Ledger'!$A$238="","",'01_Warehouse_Ledger'!$A$238&amp;IF('01_Warehouse_Ledger'!$B$238&lt;&gt;""," | "&amp;'01_Warehouse_Ledger'!$B$238,""))</f>
        <v>PAL-0000237</v>
      </c>
      <c r="C742" t="str">
        <f>IF('01_Warehouse_Ledger'!$A$238="","",'01_Warehouse_Ledger'!$A$238)</f>
        <v>PAL-0000237</v>
      </c>
      <c r="D742" t="s">
        <v>1141</v>
      </c>
    </row>
    <row r="743" spans="1:4">
      <c r="A743" t="s">
        <v>1140</v>
      </c>
      <c r="B743" t="str">
        <f>IF('01_Warehouse_Ledger'!$A$239="","",'01_Warehouse_Ledger'!$A$239&amp;IF('01_Warehouse_Ledger'!$B$239&lt;&gt;""," | "&amp;'01_Warehouse_Ledger'!$B$239,""))</f>
        <v>PAL-0000238</v>
      </c>
      <c r="C743" t="str">
        <f>IF('01_Warehouse_Ledger'!$A$239="","",'01_Warehouse_Ledger'!$A$239)</f>
        <v>PAL-0000238</v>
      </c>
      <c r="D743" t="s">
        <v>1141</v>
      </c>
    </row>
    <row r="744" spans="1:4">
      <c r="A744" t="s">
        <v>1140</v>
      </c>
      <c r="B744" t="str">
        <f>IF('01_Warehouse_Ledger'!$A$240="","",'01_Warehouse_Ledger'!$A$240&amp;IF('01_Warehouse_Ledger'!$B$240&lt;&gt;""," | "&amp;'01_Warehouse_Ledger'!$B$240,""))</f>
        <v>PAL-0000239</v>
      </c>
      <c r="C744" t="str">
        <f>IF('01_Warehouse_Ledger'!$A$240="","",'01_Warehouse_Ledger'!$A$240)</f>
        <v>PAL-0000239</v>
      </c>
      <c r="D744" t="s">
        <v>1141</v>
      </c>
    </row>
    <row r="745" spans="1:4">
      <c r="A745" t="s">
        <v>1140</v>
      </c>
      <c r="B745" t="str">
        <f>IF('01_Warehouse_Ledger'!$A$241="","",'01_Warehouse_Ledger'!$A$241&amp;IF('01_Warehouse_Ledger'!$B$241&lt;&gt;""," | "&amp;'01_Warehouse_Ledger'!$B$241,""))</f>
        <v>PAL-0000240</v>
      </c>
      <c r="C745" t="str">
        <f>IF('01_Warehouse_Ledger'!$A$241="","",'01_Warehouse_Ledger'!$A$241)</f>
        <v>PAL-0000240</v>
      </c>
      <c r="D745" t="s">
        <v>1141</v>
      </c>
    </row>
    <row r="746" spans="1:4">
      <c r="A746" t="s">
        <v>1140</v>
      </c>
      <c r="B746" t="str">
        <f>IF('01_Warehouse_Ledger'!$A$242="","",'01_Warehouse_Ledger'!$A$242&amp;IF('01_Warehouse_Ledger'!$B$242&lt;&gt;""," | "&amp;'01_Warehouse_Ledger'!$B$242,""))</f>
        <v>PAL-0000241</v>
      </c>
      <c r="C746" t="str">
        <f>IF('01_Warehouse_Ledger'!$A$242="","",'01_Warehouse_Ledger'!$A$242)</f>
        <v>PAL-0000241</v>
      </c>
      <c r="D746" t="s">
        <v>1141</v>
      </c>
    </row>
    <row r="747" spans="1:4">
      <c r="A747" t="s">
        <v>1140</v>
      </c>
      <c r="B747" t="str">
        <f>IF('01_Warehouse_Ledger'!$A$243="","",'01_Warehouse_Ledger'!$A$243&amp;IF('01_Warehouse_Ledger'!$B$243&lt;&gt;""," | "&amp;'01_Warehouse_Ledger'!$B$243,""))</f>
        <v>PAL-0000242</v>
      </c>
      <c r="C747" t="str">
        <f>IF('01_Warehouse_Ledger'!$A$243="","",'01_Warehouse_Ledger'!$A$243)</f>
        <v>PAL-0000242</v>
      </c>
      <c r="D747" t="s">
        <v>1141</v>
      </c>
    </row>
    <row r="748" spans="1:4">
      <c r="A748" t="s">
        <v>1140</v>
      </c>
      <c r="B748" t="str">
        <f>IF('01_Warehouse_Ledger'!$A$244="","",'01_Warehouse_Ledger'!$A$244&amp;IF('01_Warehouse_Ledger'!$B$244&lt;&gt;""," | "&amp;'01_Warehouse_Ledger'!$B$244,""))</f>
        <v>PAL-0000243</v>
      </c>
      <c r="C748" t="str">
        <f>IF('01_Warehouse_Ledger'!$A$244="","",'01_Warehouse_Ledger'!$A$244)</f>
        <v>PAL-0000243</v>
      </c>
      <c r="D748" t="s">
        <v>1141</v>
      </c>
    </row>
    <row r="749" spans="1:4">
      <c r="A749" t="s">
        <v>1140</v>
      </c>
      <c r="B749" t="str">
        <f>IF('01_Warehouse_Ledger'!$A$245="","",'01_Warehouse_Ledger'!$A$245&amp;IF('01_Warehouse_Ledger'!$B$245&lt;&gt;""," | "&amp;'01_Warehouse_Ledger'!$B$245,""))</f>
        <v>PAL-0000244</v>
      </c>
      <c r="C749" t="str">
        <f>IF('01_Warehouse_Ledger'!$A$245="","",'01_Warehouse_Ledger'!$A$245)</f>
        <v>PAL-0000244</v>
      </c>
      <c r="D749" t="s">
        <v>1141</v>
      </c>
    </row>
    <row r="750" spans="1:4">
      <c r="A750" t="s">
        <v>1140</v>
      </c>
      <c r="B750" t="str">
        <f>IF('01_Warehouse_Ledger'!$A$246="","",'01_Warehouse_Ledger'!$A$246&amp;IF('01_Warehouse_Ledger'!$B$246&lt;&gt;""," | "&amp;'01_Warehouse_Ledger'!$B$246,""))</f>
        <v>PAL-0000245</v>
      </c>
      <c r="C750" t="str">
        <f>IF('01_Warehouse_Ledger'!$A$246="","",'01_Warehouse_Ledger'!$A$246)</f>
        <v>PAL-0000245</v>
      </c>
      <c r="D750" t="s">
        <v>1141</v>
      </c>
    </row>
    <row r="751" spans="1:4">
      <c r="A751" t="s">
        <v>1140</v>
      </c>
      <c r="B751" t="str">
        <f>IF('01_Warehouse_Ledger'!$A$247="","",'01_Warehouse_Ledger'!$A$247&amp;IF('01_Warehouse_Ledger'!$B$247&lt;&gt;""," | "&amp;'01_Warehouse_Ledger'!$B$247,""))</f>
        <v>PAL-0000246</v>
      </c>
      <c r="C751" t="str">
        <f>IF('01_Warehouse_Ledger'!$A$247="","",'01_Warehouse_Ledger'!$A$247)</f>
        <v>PAL-0000246</v>
      </c>
      <c r="D751" t="s">
        <v>1141</v>
      </c>
    </row>
    <row r="752" spans="1:4">
      <c r="A752" t="s">
        <v>1140</v>
      </c>
      <c r="B752" t="str">
        <f>IF('01_Warehouse_Ledger'!$A$248="","",'01_Warehouse_Ledger'!$A$248&amp;IF('01_Warehouse_Ledger'!$B$248&lt;&gt;""," | "&amp;'01_Warehouse_Ledger'!$B$248,""))</f>
        <v>PAL-0000247</v>
      </c>
      <c r="C752" t="str">
        <f>IF('01_Warehouse_Ledger'!$A$248="","",'01_Warehouse_Ledger'!$A$248)</f>
        <v>PAL-0000247</v>
      </c>
      <c r="D752" t="s">
        <v>1141</v>
      </c>
    </row>
    <row r="753" spans="1:4">
      <c r="A753" t="s">
        <v>1140</v>
      </c>
      <c r="B753" t="str">
        <f>IF('01_Warehouse_Ledger'!$A$249="","",'01_Warehouse_Ledger'!$A$249&amp;IF('01_Warehouse_Ledger'!$B$249&lt;&gt;""," | "&amp;'01_Warehouse_Ledger'!$B$249,""))</f>
        <v>PAL-0000248</v>
      </c>
      <c r="C753" t="str">
        <f>IF('01_Warehouse_Ledger'!$A$249="","",'01_Warehouse_Ledger'!$A$249)</f>
        <v>PAL-0000248</v>
      </c>
      <c r="D753" t="s">
        <v>1141</v>
      </c>
    </row>
    <row r="754" spans="1:4">
      <c r="A754" t="s">
        <v>1140</v>
      </c>
      <c r="B754" t="str">
        <f>IF('01_Warehouse_Ledger'!$A$250="","",'01_Warehouse_Ledger'!$A$250&amp;IF('01_Warehouse_Ledger'!$B$250&lt;&gt;""," | "&amp;'01_Warehouse_Ledger'!$B$250,""))</f>
        <v>PAL-0000249</v>
      </c>
      <c r="C754" t="str">
        <f>IF('01_Warehouse_Ledger'!$A$250="","",'01_Warehouse_Ledger'!$A$250)</f>
        <v>PAL-0000249</v>
      </c>
      <c r="D754" t="s">
        <v>1141</v>
      </c>
    </row>
    <row r="755" spans="1:4">
      <c r="A755" t="s">
        <v>1140</v>
      </c>
      <c r="B755" t="str">
        <f>IF('01_Warehouse_Ledger'!$A$251="","",'01_Warehouse_Ledger'!$A$251&amp;IF('01_Warehouse_Ledger'!$B$251&lt;&gt;""," | "&amp;'01_Warehouse_Ledger'!$B$251,""))</f>
        <v>PAL-0000250</v>
      </c>
      <c r="C755" t="str">
        <f>IF('01_Warehouse_Ledger'!$A$251="","",'01_Warehouse_Ledger'!$A$251)</f>
        <v>PAL-0000250</v>
      </c>
      <c r="D755" t="s">
        <v>1141</v>
      </c>
    </row>
    <row r="756" spans="1:4">
      <c r="A756" t="s">
        <v>1140</v>
      </c>
      <c r="B756" t="str">
        <f>IF('01_Warehouse_Ledger'!$A$252="","",'01_Warehouse_Ledger'!$A$252&amp;IF('01_Warehouse_Ledger'!$B$252&lt;&gt;""," | "&amp;'01_Warehouse_Ledger'!$B$252,""))</f>
        <v>PAL-0000251</v>
      </c>
      <c r="C756" t="str">
        <f>IF('01_Warehouse_Ledger'!$A$252="","",'01_Warehouse_Ledger'!$A$252)</f>
        <v>PAL-0000251</v>
      </c>
      <c r="D756" t="s">
        <v>1141</v>
      </c>
    </row>
    <row r="757" spans="1:4">
      <c r="A757" t="s">
        <v>1140</v>
      </c>
      <c r="B757" t="str">
        <f>IF('01_Warehouse_Ledger'!$A$253="","",'01_Warehouse_Ledger'!$A$253&amp;IF('01_Warehouse_Ledger'!$B$253&lt;&gt;""," | "&amp;'01_Warehouse_Ledger'!$B$253,""))</f>
        <v>PAL-0000252</v>
      </c>
      <c r="C757" t="str">
        <f>IF('01_Warehouse_Ledger'!$A$253="","",'01_Warehouse_Ledger'!$A$253)</f>
        <v>PAL-0000252</v>
      </c>
      <c r="D757" t="s">
        <v>1141</v>
      </c>
    </row>
    <row r="758" spans="1:4">
      <c r="A758" t="s">
        <v>1140</v>
      </c>
      <c r="B758" t="str">
        <f>IF('01_Warehouse_Ledger'!$A$254="","",'01_Warehouse_Ledger'!$A$254&amp;IF('01_Warehouse_Ledger'!$B$254&lt;&gt;""," | "&amp;'01_Warehouse_Ledger'!$B$254,""))</f>
        <v>PAL-0000253</v>
      </c>
      <c r="C758" t="str">
        <f>IF('01_Warehouse_Ledger'!$A$254="","",'01_Warehouse_Ledger'!$A$254)</f>
        <v>PAL-0000253</v>
      </c>
      <c r="D758" t="s">
        <v>1141</v>
      </c>
    </row>
    <row r="759" spans="1:4">
      <c r="A759" t="s">
        <v>1140</v>
      </c>
      <c r="B759" t="str">
        <f>IF('01_Warehouse_Ledger'!$A$255="","",'01_Warehouse_Ledger'!$A$255&amp;IF('01_Warehouse_Ledger'!$B$255&lt;&gt;""," | "&amp;'01_Warehouse_Ledger'!$B$255,""))</f>
        <v>PAL-0000254</v>
      </c>
      <c r="C759" t="str">
        <f>IF('01_Warehouse_Ledger'!$A$255="","",'01_Warehouse_Ledger'!$A$255)</f>
        <v>PAL-0000254</v>
      </c>
      <c r="D759" t="s">
        <v>1141</v>
      </c>
    </row>
    <row r="760" spans="1:4">
      <c r="A760" t="s">
        <v>1140</v>
      </c>
      <c r="B760" t="str">
        <f>IF('01_Warehouse_Ledger'!$A$256="","",'01_Warehouse_Ledger'!$A$256&amp;IF('01_Warehouse_Ledger'!$B$256&lt;&gt;""," | "&amp;'01_Warehouse_Ledger'!$B$256,""))</f>
        <v>PAL-0000255</v>
      </c>
      <c r="C760" t="str">
        <f>IF('01_Warehouse_Ledger'!$A$256="","",'01_Warehouse_Ledger'!$A$256)</f>
        <v>PAL-0000255</v>
      </c>
      <c r="D760" t="s">
        <v>1141</v>
      </c>
    </row>
    <row r="761" spans="1:4">
      <c r="A761" t="s">
        <v>1140</v>
      </c>
      <c r="B761" t="str">
        <f>IF('01_Warehouse_Ledger'!$A$257="","",'01_Warehouse_Ledger'!$A$257&amp;IF('01_Warehouse_Ledger'!$B$257&lt;&gt;""," | "&amp;'01_Warehouse_Ledger'!$B$257,""))</f>
        <v>PAL-0000256</v>
      </c>
      <c r="C761" t="str">
        <f>IF('01_Warehouse_Ledger'!$A$257="","",'01_Warehouse_Ledger'!$A$257)</f>
        <v>PAL-0000256</v>
      </c>
      <c r="D761" t="s">
        <v>1141</v>
      </c>
    </row>
    <row r="762" spans="1:4">
      <c r="A762" t="s">
        <v>1140</v>
      </c>
      <c r="B762" t="str">
        <f>IF('01_Warehouse_Ledger'!$A$258="","",'01_Warehouse_Ledger'!$A$258&amp;IF('01_Warehouse_Ledger'!$B$258&lt;&gt;""," | "&amp;'01_Warehouse_Ledger'!$B$258,""))</f>
        <v>PAL-0000257</v>
      </c>
      <c r="C762" t="str">
        <f>IF('01_Warehouse_Ledger'!$A$258="","",'01_Warehouse_Ledger'!$A$258)</f>
        <v>PAL-0000257</v>
      </c>
      <c r="D762" t="s">
        <v>1141</v>
      </c>
    </row>
    <row r="763" spans="1:4">
      <c r="A763" t="s">
        <v>1140</v>
      </c>
      <c r="B763" t="str">
        <f>IF('01_Warehouse_Ledger'!$A$259="","",'01_Warehouse_Ledger'!$A$259&amp;IF('01_Warehouse_Ledger'!$B$259&lt;&gt;""," | "&amp;'01_Warehouse_Ledger'!$B$259,""))</f>
        <v>PAL-0000258</v>
      </c>
      <c r="C763" t="str">
        <f>IF('01_Warehouse_Ledger'!$A$259="","",'01_Warehouse_Ledger'!$A$259)</f>
        <v>PAL-0000258</v>
      </c>
      <c r="D763" t="s">
        <v>1141</v>
      </c>
    </row>
    <row r="764" spans="1:4">
      <c r="A764" t="s">
        <v>1140</v>
      </c>
      <c r="B764" t="str">
        <f>IF('01_Warehouse_Ledger'!$A$260="","",'01_Warehouse_Ledger'!$A$260&amp;IF('01_Warehouse_Ledger'!$B$260&lt;&gt;""," | "&amp;'01_Warehouse_Ledger'!$B$260,""))</f>
        <v>PAL-0000259</v>
      </c>
      <c r="C764" t="str">
        <f>IF('01_Warehouse_Ledger'!$A$260="","",'01_Warehouse_Ledger'!$A$260)</f>
        <v>PAL-0000259</v>
      </c>
      <c r="D764" t="s">
        <v>1141</v>
      </c>
    </row>
    <row r="765" spans="1:4">
      <c r="A765" t="s">
        <v>1140</v>
      </c>
      <c r="B765" t="str">
        <f>IF('01_Warehouse_Ledger'!$A$261="","",'01_Warehouse_Ledger'!$A$261&amp;IF('01_Warehouse_Ledger'!$B$261&lt;&gt;""," | "&amp;'01_Warehouse_Ledger'!$B$261,""))</f>
        <v>PAL-0000260</v>
      </c>
      <c r="C765" t="str">
        <f>IF('01_Warehouse_Ledger'!$A$261="","",'01_Warehouse_Ledger'!$A$261)</f>
        <v>PAL-0000260</v>
      </c>
      <c r="D765" t="s">
        <v>1141</v>
      </c>
    </row>
    <row r="766" spans="1:4">
      <c r="A766" t="s">
        <v>1140</v>
      </c>
      <c r="B766" t="str">
        <f>IF('01_Warehouse_Ledger'!$A$262="","",'01_Warehouse_Ledger'!$A$262&amp;IF('01_Warehouse_Ledger'!$B$262&lt;&gt;""," | "&amp;'01_Warehouse_Ledger'!$B$262,""))</f>
        <v>PAL-0000261</v>
      </c>
      <c r="C766" t="str">
        <f>IF('01_Warehouse_Ledger'!$A$262="","",'01_Warehouse_Ledger'!$A$262)</f>
        <v>PAL-0000261</v>
      </c>
      <c r="D766" t="s">
        <v>1141</v>
      </c>
    </row>
    <row r="767" spans="1:4">
      <c r="A767" t="s">
        <v>1140</v>
      </c>
      <c r="B767" t="str">
        <f>IF('01_Warehouse_Ledger'!$A$263="","",'01_Warehouse_Ledger'!$A$263&amp;IF('01_Warehouse_Ledger'!$B$263&lt;&gt;""," | "&amp;'01_Warehouse_Ledger'!$B$263,""))</f>
        <v>PAL-0000262</v>
      </c>
      <c r="C767" t="str">
        <f>IF('01_Warehouse_Ledger'!$A$263="","",'01_Warehouse_Ledger'!$A$263)</f>
        <v>PAL-0000262</v>
      </c>
      <c r="D767" t="s">
        <v>1141</v>
      </c>
    </row>
    <row r="768" spans="1:4">
      <c r="A768" t="s">
        <v>1140</v>
      </c>
      <c r="B768" t="str">
        <f>IF('01_Warehouse_Ledger'!$A$264="","",'01_Warehouse_Ledger'!$A$264&amp;IF('01_Warehouse_Ledger'!$B$264&lt;&gt;""," | "&amp;'01_Warehouse_Ledger'!$B$264,""))</f>
        <v>PAL-0000263</v>
      </c>
      <c r="C768" t="str">
        <f>IF('01_Warehouse_Ledger'!$A$264="","",'01_Warehouse_Ledger'!$A$264)</f>
        <v>PAL-0000263</v>
      </c>
      <c r="D768" t="s">
        <v>1141</v>
      </c>
    </row>
    <row r="769" spans="1:4">
      <c r="A769" t="s">
        <v>1140</v>
      </c>
      <c r="B769" t="str">
        <f>IF('01_Warehouse_Ledger'!$A$265="","",'01_Warehouse_Ledger'!$A$265&amp;IF('01_Warehouse_Ledger'!$B$265&lt;&gt;""," | "&amp;'01_Warehouse_Ledger'!$B$265,""))</f>
        <v>PAL-0000264</v>
      </c>
      <c r="C769" t="str">
        <f>IF('01_Warehouse_Ledger'!$A$265="","",'01_Warehouse_Ledger'!$A$265)</f>
        <v>PAL-0000264</v>
      </c>
      <c r="D769" t="s">
        <v>1141</v>
      </c>
    </row>
    <row r="770" spans="1:4">
      <c r="A770" t="s">
        <v>1140</v>
      </c>
      <c r="B770" t="str">
        <f>IF('01_Warehouse_Ledger'!$A$266="","",'01_Warehouse_Ledger'!$A$266&amp;IF('01_Warehouse_Ledger'!$B$266&lt;&gt;""," | "&amp;'01_Warehouse_Ledger'!$B$266,""))</f>
        <v>PAL-0000265</v>
      </c>
      <c r="C770" t="str">
        <f>IF('01_Warehouse_Ledger'!$A$266="","",'01_Warehouse_Ledger'!$A$266)</f>
        <v>PAL-0000265</v>
      </c>
      <c r="D770" t="s">
        <v>1141</v>
      </c>
    </row>
    <row r="771" spans="1:4">
      <c r="A771" t="s">
        <v>1140</v>
      </c>
      <c r="B771" t="str">
        <f>IF('01_Warehouse_Ledger'!$A$267="","",'01_Warehouse_Ledger'!$A$267&amp;IF('01_Warehouse_Ledger'!$B$267&lt;&gt;""," | "&amp;'01_Warehouse_Ledger'!$B$267,""))</f>
        <v>PAL-0000266</v>
      </c>
      <c r="C771" t="str">
        <f>IF('01_Warehouse_Ledger'!$A$267="","",'01_Warehouse_Ledger'!$A$267)</f>
        <v>PAL-0000266</v>
      </c>
      <c r="D771" t="s">
        <v>1141</v>
      </c>
    </row>
    <row r="772" spans="1:4">
      <c r="A772" t="s">
        <v>1140</v>
      </c>
      <c r="B772" t="str">
        <f>IF('01_Warehouse_Ledger'!$A$268="","",'01_Warehouse_Ledger'!$A$268&amp;IF('01_Warehouse_Ledger'!$B$268&lt;&gt;""," | "&amp;'01_Warehouse_Ledger'!$B$268,""))</f>
        <v>PAL-0000267</v>
      </c>
      <c r="C772" t="str">
        <f>IF('01_Warehouse_Ledger'!$A$268="","",'01_Warehouse_Ledger'!$A$268)</f>
        <v>PAL-0000267</v>
      </c>
      <c r="D772" t="s">
        <v>1141</v>
      </c>
    </row>
    <row r="773" spans="1:4">
      <c r="A773" t="s">
        <v>1140</v>
      </c>
      <c r="B773" t="str">
        <f>IF('01_Warehouse_Ledger'!$A$269="","",'01_Warehouse_Ledger'!$A$269&amp;IF('01_Warehouse_Ledger'!$B$269&lt;&gt;""," | "&amp;'01_Warehouse_Ledger'!$B$269,""))</f>
        <v>PAL-0000268</v>
      </c>
      <c r="C773" t="str">
        <f>IF('01_Warehouse_Ledger'!$A$269="","",'01_Warehouse_Ledger'!$A$269)</f>
        <v>PAL-0000268</v>
      </c>
      <c r="D773" t="s">
        <v>1141</v>
      </c>
    </row>
    <row r="774" spans="1:4">
      <c r="A774" t="s">
        <v>1140</v>
      </c>
      <c r="B774" t="str">
        <f>IF('01_Warehouse_Ledger'!$A$270="","",'01_Warehouse_Ledger'!$A$270&amp;IF('01_Warehouse_Ledger'!$B$270&lt;&gt;""," | "&amp;'01_Warehouse_Ledger'!$B$270,""))</f>
        <v>PAL-0000269</v>
      </c>
      <c r="C774" t="str">
        <f>IF('01_Warehouse_Ledger'!$A$270="","",'01_Warehouse_Ledger'!$A$270)</f>
        <v>PAL-0000269</v>
      </c>
      <c r="D774" t="s">
        <v>1141</v>
      </c>
    </row>
    <row r="775" spans="1:4">
      <c r="A775" t="s">
        <v>1140</v>
      </c>
      <c r="B775" t="str">
        <f>IF('01_Warehouse_Ledger'!$A$271="","",'01_Warehouse_Ledger'!$A$271&amp;IF('01_Warehouse_Ledger'!$B$271&lt;&gt;""," | "&amp;'01_Warehouse_Ledger'!$B$271,""))</f>
        <v>PAL-0000270</v>
      </c>
      <c r="C775" t="str">
        <f>IF('01_Warehouse_Ledger'!$A$271="","",'01_Warehouse_Ledger'!$A$271)</f>
        <v>PAL-0000270</v>
      </c>
      <c r="D775" t="s">
        <v>1141</v>
      </c>
    </row>
    <row r="776" spans="1:4">
      <c r="A776" t="s">
        <v>1140</v>
      </c>
      <c r="B776" t="str">
        <f>IF('01_Warehouse_Ledger'!$A$272="","",'01_Warehouse_Ledger'!$A$272&amp;IF('01_Warehouse_Ledger'!$B$272&lt;&gt;""," | "&amp;'01_Warehouse_Ledger'!$B$272,""))</f>
        <v>PAL-0000271</v>
      </c>
      <c r="C776" t="str">
        <f>IF('01_Warehouse_Ledger'!$A$272="","",'01_Warehouse_Ledger'!$A$272)</f>
        <v>PAL-0000271</v>
      </c>
      <c r="D776" t="s">
        <v>1141</v>
      </c>
    </row>
    <row r="777" spans="1:4">
      <c r="A777" t="s">
        <v>1140</v>
      </c>
      <c r="B777" t="str">
        <f>IF('01_Warehouse_Ledger'!$A$273="","",'01_Warehouse_Ledger'!$A$273&amp;IF('01_Warehouse_Ledger'!$B$273&lt;&gt;""," | "&amp;'01_Warehouse_Ledger'!$B$273,""))</f>
        <v>PAL-0000272</v>
      </c>
      <c r="C777" t="str">
        <f>IF('01_Warehouse_Ledger'!$A$273="","",'01_Warehouse_Ledger'!$A$273)</f>
        <v>PAL-0000272</v>
      </c>
      <c r="D777" t="s">
        <v>1141</v>
      </c>
    </row>
    <row r="778" spans="1:4">
      <c r="A778" t="s">
        <v>1140</v>
      </c>
      <c r="B778" t="str">
        <f>IF('01_Warehouse_Ledger'!$A$274="","",'01_Warehouse_Ledger'!$A$274&amp;IF('01_Warehouse_Ledger'!$B$274&lt;&gt;""," | "&amp;'01_Warehouse_Ledger'!$B$274,""))</f>
        <v>PAL-0000273</v>
      </c>
      <c r="C778" t="str">
        <f>IF('01_Warehouse_Ledger'!$A$274="","",'01_Warehouse_Ledger'!$A$274)</f>
        <v>PAL-0000273</v>
      </c>
      <c r="D778" t="s">
        <v>1141</v>
      </c>
    </row>
    <row r="779" spans="1:4">
      <c r="A779" t="s">
        <v>1140</v>
      </c>
      <c r="B779" t="str">
        <f>IF('01_Warehouse_Ledger'!$A$275="","",'01_Warehouse_Ledger'!$A$275&amp;IF('01_Warehouse_Ledger'!$B$275&lt;&gt;""," | "&amp;'01_Warehouse_Ledger'!$B$275,""))</f>
        <v>PAL-0000274</v>
      </c>
      <c r="C779" t="str">
        <f>IF('01_Warehouse_Ledger'!$A$275="","",'01_Warehouse_Ledger'!$A$275)</f>
        <v>PAL-0000274</v>
      </c>
      <c r="D779" t="s">
        <v>1141</v>
      </c>
    </row>
    <row r="780" spans="1:4">
      <c r="A780" t="s">
        <v>1140</v>
      </c>
      <c r="B780" t="str">
        <f>IF('01_Warehouse_Ledger'!$A$276="","",'01_Warehouse_Ledger'!$A$276&amp;IF('01_Warehouse_Ledger'!$B$276&lt;&gt;""," | "&amp;'01_Warehouse_Ledger'!$B$276,""))</f>
        <v>PAL-0000275</v>
      </c>
      <c r="C780" t="str">
        <f>IF('01_Warehouse_Ledger'!$A$276="","",'01_Warehouse_Ledger'!$A$276)</f>
        <v>PAL-0000275</v>
      </c>
      <c r="D780" t="s">
        <v>1141</v>
      </c>
    </row>
    <row r="781" spans="1:4">
      <c r="A781" t="s">
        <v>1140</v>
      </c>
      <c r="B781" t="str">
        <f>IF('01_Warehouse_Ledger'!$A$277="","",'01_Warehouse_Ledger'!$A$277&amp;IF('01_Warehouse_Ledger'!$B$277&lt;&gt;""," | "&amp;'01_Warehouse_Ledger'!$B$277,""))</f>
        <v>PAL-0000276</v>
      </c>
      <c r="C781" t="str">
        <f>IF('01_Warehouse_Ledger'!$A$277="","",'01_Warehouse_Ledger'!$A$277)</f>
        <v>PAL-0000276</v>
      </c>
      <c r="D781" t="s">
        <v>1141</v>
      </c>
    </row>
    <row r="782" spans="1:4">
      <c r="A782" t="s">
        <v>1140</v>
      </c>
      <c r="B782" t="str">
        <f>IF('01_Warehouse_Ledger'!$A$278="","",'01_Warehouse_Ledger'!$A$278&amp;IF('01_Warehouse_Ledger'!$B$278&lt;&gt;""," | "&amp;'01_Warehouse_Ledger'!$B$278,""))</f>
        <v>PAL-0000277</v>
      </c>
      <c r="C782" t="str">
        <f>IF('01_Warehouse_Ledger'!$A$278="","",'01_Warehouse_Ledger'!$A$278)</f>
        <v>PAL-0000277</v>
      </c>
      <c r="D782" t="s">
        <v>1141</v>
      </c>
    </row>
    <row r="783" spans="1:4">
      <c r="A783" t="s">
        <v>1140</v>
      </c>
      <c r="B783" t="str">
        <f>IF('01_Warehouse_Ledger'!$A$279="","",'01_Warehouse_Ledger'!$A$279&amp;IF('01_Warehouse_Ledger'!$B$279&lt;&gt;""," | "&amp;'01_Warehouse_Ledger'!$B$279,""))</f>
        <v>PAL-0000278</v>
      </c>
      <c r="C783" t="str">
        <f>IF('01_Warehouse_Ledger'!$A$279="","",'01_Warehouse_Ledger'!$A$279)</f>
        <v>PAL-0000278</v>
      </c>
      <c r="D783" t="s">
        <v>1141</v>
      </c>
    </row>
    <row r="784" spans="1:4">
      <c r="A784" t="s">
        <v>1140</v>
      </c>
      <c r="B784" t="str">
        <f>IF('01_Warehouse_Ledger'!$A$280="","",'01_Warehouse_Ledger'!$A$280&amp;IF('01_Warehouse_Ledger'!$B$280&lt;&gt;""," | "&amp;'01_Warehouse_Ledger'!$B$280,""))</f>
        <v>PAL-0000279</v>
      </c>
      <c r="C784" t="str">
        <f>IF('01_Warehouse_Ledger'!$A$280="","",'01_Warehouse_Ledger'!$A$280)</f>
        <v>PAL-0000279</v>
      </c>
      <c r="D784" t="s">
        <v>1141</v>
      </c>
    </row>
    <row r="785" spans="1:4">
      <c r="A785" t="s">
        <v>1140</v>
      </c>
      <c r="B785" t="str">
        <f>IF('01_Warehouse_Ledger'!$A$281="","",'01_Warehouse_Ledger'!$A$281&amp;IF('01_Warehouse_Ledger'!$B$281&lt;&gt;""," | "&amp;'01_Warehouse_Ledger'!$B$281,""))</f>
        <v>PAL-0000280</v>
      </c>
      <c r="C785" t="str">
        <f>IF('01_Warehouse_Ledger'!$A$281="","",'01_Warehouse_Ledger'!$A$281)</f>
        <v>PAL-0000280</v>
      </c>
      <c r="D785" t="s">
        <v>1141</v>
      </c>
    </row>
    <row r="786" spans="1:4">
      <c r="A786" t="s">
        <v>1140</v>
      </c>
      <c r="B786" t="str">
        <f>IF('01_Warehouse_Ledger'!$A$282="","",'01_Warehouse_Ledger'!$A$282&amp;IF('01_Warehouse_Ledger'!$B$282&lt;&gt;""," | "&amp;'01_Warehouse_Ledger'!$B$282,""))</f>
        <v>PAL-0000281</v>
      </c>
      <c r="C786" t="str">
        <f>IF('01_Warehouse_Ledger'!$A$282="","",'01_Warehouse_Ledger'!$A$282)</f>
        <v>PAL-0000281</v>
      </c>
      <c r="D786" t="s">
        <v>1141</v>
      </c>
    </row>
    <row r="787" spans="1:4">
      <c r="A787" t="s">
        <v>1140</v>
      </c>
      <c r="B787" t="str">
        <f>IF('01_Warehouse_Ledger'!$A$283="","",'01_Warehouse_Ledger'!$A$283&amp;IF('01_Warehouse_Ledger'!$B$283&lt;&gt;""," | "&amp;'01_Warehouse_Ledger'!$B$283,""))</f>
        <v>PAL-0000282</v>
      </c>
      <c r="C787" t="str">
        <f>IF('01_Warehouse_Ledger'!$A$283="","",'01_Warehouse_Ledger'!$A$283)</f>
        <v>PAL-0000282</v>
      </c>
      <c r="D787" t="s">
        <v>1141</v>
      </c>
    </row>
    <row r="788" spans="1:4">
      <c r="A788" t="s">
        <v>1140</v>
      </c>
      <c r="B788" t="str">
        <f>IF('01_Warehouse_Ledger'!$A$284="","",'01_Warehouse_Ledger'!$A$284&amp;IF('01_Warehouse_Ledger'!$B$284&lt;&gt;""," | "&amp;'01_Warehouse_Ledger'!$B$284,""))</f>
        <v>PAL-0000283</v>
      </c>
      <c r="C788" t="str">
        <f>IF('01_Warehouse_Ledger'!$A$284="","",'01_Warehouse_Ledger'!$A$284)</f>
        <v>PAL-0000283</v>
      </c>
      <c r="D788" t="s">
        <v>1141</v>
      </c>
    </row>
    <row r="789" spans="1:4">
      <c r="A789" t="s">
        <v>1140</v>
      </c>
      <c r="B789" t="str">
        <f>IF('01_Warehouse_Ledger'!$A$285="","",'01_Warehouse_Ledger'!$A$285&amp;IF('01_Warehouse_Ledger'!$B$285&lt;&gt;""," | "&amp;'01_Warehouse_Ledger'!$B$285,""))</f>
        <v>PAL-0000284</v>
      </c>
      <c r="C789" t="str">
        <f>IF('01_Warehouse_Ledger'!$A$285="","",'01_Warehouse_Ledger'!$A$285)</f>
        <v>PAL-0000284</v>
      </c>
      <c r="D789" t="s">
        <v>1141</v>
      </c>
    </row>
    <row r="790" spans="1:4">
      <c r="A790" t="s">
        <v>1140</v>
      </c>
      <c r="B790" t="str">
        <f>IF('01_Warehouse_Ledger'!$A$286="","",'01_Warehouse_Ledger'!$A$286&amp;IF('01_Warehouse_Ledger'!$B$286&lt;&gt;""," | "&amp;'01_Warehouse_Ledger'!$B$286,""))</f>
        <v>PAL-0000285</v>
      </c>
      <c r="C790" t="str">
        <f>IF('01_Warehouse_Ledger'!$A$286="","",'01_Warehouse_Ledger'!$A$286)</f>
        <v>PAL-0000285</v>
      </c>
      <c r="D790" t="s">
        <v>1141</v>
      </c>
    </row>
    <row r="791" spans="1:4">
      <c r="A791" t="s">
        <v>1140</v>
      </c>
      <c r="B791" t="str">
        <f>IF('01_Warehouse_Ledger'!$A$287="","",'01_Warehouse_Ledger'!$A$287&amp;IF('01_Warehouse_Ledger'!$B$287&lt;&gt;""," | "&amp;'01_Warehouse_Ledger'!$B$287,""))</f>
        <v>PAL-0000286</v>
      </c>
      <c r="C791" t="str">
        <f>IF('01_Warehouse_Ledger'!$A$287="","",'01_Warehouse_Ledger'!$A$287)</f>
        <v>PAL-0000286</v>
      </c>
      <c r="D791" t="s">
        <v>1141</v>
      </c>
    </row>
    <row r="792" spans="1:4">
      <c r="A792" t="s">
        <v>1140</v>
      </c>
      <c r="B792" t="str">
        <f>IF('01_Warehouse_Ledger'!$A$288="","",'01_Warehouse_Ledger'!$A$288&amp;IF('01_Warehouse_Ledger'!$B$288&lt;&gt;""," | "&amp;'01_Warehouse_Ledger'!$B$288,""))</f>
        <v>PAL-0000287</v>
      </c>
      <c r="C792" t="str">
        <f>IF('01_Warehouse_Ledger'!$A$288="","",'01_Warehouse_Ledger'!$A$288)</f>
        <v>PAL-0000287</v>
      </c>
      <c r="D792" t="s">
        <v>1141</v>
      </c>
    </row>
    <row r="793" spans="1:4">
      <c r="A793" t="s">
        <v>1140</v>
      </c>
      <c r="B793" t="str">
        <f>IF('01_Warehouse_Ledger'!$A$289="","",'01_Warehouse_Ledger'!$A$289&amp;IF('01_Warehouse_Ledger'!$B$289&lt;&gt;""," | "&amp;'01_Warehouse_Ledger'!$B$289,""))</f>
        <v>PAL-0000288</v>
      </c>
      <c r="C793" t="str">
        <f>IF('01_Warehouse_Ledger'!$A$289="","",'01_Warehouse_Ledger'!$A$289)</f>
        <v>PAL-0000288</v>
      </c>
      <c r="D793" t="s">
        <v>1141</v>
      </c>
    </row>
    <row r="794" spans="1:4">
      <c r="A794" t="s">
        <v>1140</v>
      </c>
      <c r="B794" t="str">
        <f>IF('01_Warehouse_Ledger'!$A$290="","",'01_Warehouse_Ledger'!$A$290&amp;IF('01_Warehouse_Ledger'!$B$290&lt;&gt;""," | "&amp;'01_Warehouse_Ledger'!$B$290,""))</f>
        <v>PAL-0000289</v>
      </c>
      <c r="C794" t="str">
        <f>IF('01_Warehouse_Ledger'!$A$290="","",'01_Warehouse_Ledger'!$A$290)</f>
        <v>PAL-0000289</v>
      </c>
      <c r="D794" t="s">
        <v>1141</v>
      </c>
    </row>
    <row r="795" spans="1:4">
      <c r="A795" t="s">
        <v>1140</v>
      </c>
      <c r="B795" t="str">
        <f>IF('01_Warehouse_Ledger'!$A$291="","",'01_Warehouse_Ledger'!$A$291&amp;IF('01_Warehouse_Ledger'!$B$291&lt;&gt;""," | "&amp;'01_Warehouse_Ledger'!$B$291,""))</f>
        <v>PAL-0000290</v>
      </c>
      <c r="C795" t="str">
        <f>IF('01_Warehouse_Ledger'!$A$291="","",'01_Warehouse_Ledger'!$A$291)</f>
        <v>PAL-0000290</v>
      </c>
      <c r="D795" t="s">
        <v>1141</v>
      </c>
    </row>
    <row r="796" spans="1:4">
      <c r="A796" t="s">
        <v>1140</v>
      </c>
      <c r="B796" t="str">
        <f>IF('01_Warehouse_Ledger'!$A$292="","",'01_Warehouse_Ledger'!$A$292&amp;IF('01_Warehouse_Ledger'!$B$292&lt;&gt;""," | "&amp;'01_Warehouse_Ledger'!$B$292,""))</f>
        <v>PAL-0000291</v>
      </c>
      <c r="C796" t="str">
        <f>IF('01_Warehouse_Ledger'!$A$292="","",'01_Warehouse_Ledger'!$A$292)</f>
        <v>PAL-0000291</v>
      </c>
      <c r="D796" t="s">
        <v>1141</v>
      </c>
    </row>
    <row r="797" spans="1:4">
      <c r="A797" t="s">
        <v>1140</v>
      </c>
      <c r="B797" t="str">
        <f>IF('01_Warehouse_Ledger'!$A$293="","",'01_Warehouse_Ledger'!$A$293&amp;IF('01_Warehouse_Ledger'!$B$293&lt;&gt;""," | "&amp;'01_Warehouse_Ledger'!$B$293,""))</f>
        <v>PAL-0000292</v>
      </c>
      <c r="C797" t="str">
        <f>IF('01_Warehouse_Ledger'!$A$293="","",'01_Warehouse_Ledger'!$A$293)</f>
        <v>PAL-0000292</v>
      </c>
      <c r="D797" t="s">
        <v>1141</v>
      </c>
    </row>
    <row r="798" spans="1:4">
      <c r="A798" t="s">
        <v>1140</v>
      </c>
      <c r="B798" t="str">
        <f>IF('01_Warehouse_Ledger'!$A$294="","",'01_Warehouse_Ledger'!$A$294&amp;IF('01_Warehouse_Ledger'!$B$294&lt;&gt;""," | "&amp;'01_Warehouse_Ledger'!$B$294,""))</f>
        <v>PAL-0000293</v>
      </c>
      <c r="C798" t="str">
        <f>IF('01_Warehouse_Ledger'!$A$294="","",'01_Warehouse_Ledger'!$A$294)</f>
        <v>PAL-0000293</v>
      </c>
      <c r="D798" t="s">
        <v>1141</v>
      </c>
    </row>
    <row r="799" spans="1:4">
      <c r="A799" t="s">
        <v>1140</v>
      </c>
      <c r="B799" t="str">
        <f>IF('01_Warehouse_Ledger'!$A$295="","",'01_Warehouse_Ledger'!$A$295&amp;IF('01_Warehouse_Ledger'!$B$295&lt;&gt;""," | "&amp;'01_Warehouse_Ledger'!$B$295,""))</f>
        <v>PAL-0000294</v>
      </c>
      <c r="C799" t="str">
        <f>IF('01_Warehouse_Ledger'!$A$295="","",'01_Warehouse_Ledger'!$A$295)</f>
        <v>PAL-0000294</v>
      </c>
      <c r="D799" t="s">
        <v>1141</v>
      </c>
    </row>
    <row r="800" spans="1:4">
      <c r="A800" t="s">
        <v>1140</v>
      </c>
      <c r="B800" t="str">
        <f>IF('01_Warehouse_Ledger'!$A$296="","",'01_Warehouse_Ledger'!$A$296&amp;IF('01_Warehouse_Ledger'!$B$296&lt;&gt;""," | "&amp;'01_Warehouse_Ledger'!$B$296,""))</f>
        <v>PAL-0000295</v>
      </c>
      <c r="C800" t="str">
        <f>IF('01_Warehouse_Ledger'!$A$296="","",'01_Warehouse_Ledger'!$A$296)</f>
        <v>PAL-0000295</v>
      </c>
      <c r="D800" t="s">
        <v>1141</v>
      </c>
    </row>
    <row r="801" spans="1:4">
      <c r="A801" t="s">
        <v>1140</v>
      </c>
      <c r="B801" t="str">
        <f>IF('01_Warehouse_Ledger'!$A$297="","",'01_Warehouse_Ledger'!$A$297&amp;IF('01_Warehouse_Ledger'!$B$297&lt;&gt;""," | "&amp;'01_Warehouse_Ledger'!$B$297,""))</f>
        <v>PAL-0000296</v>
      </c>
      <c r="C801" t="str">
        <f>IF('01_Warehouse_Ledger'!$A$297="","",'01_Warehouse_Ledger'!$A$297)</f>
        <v>PAL-0000296</v>
      </c>
      <c r="D801" t="s">
        <v>1141</v>
      </c>
    </row>
    <row r="802" spans="1:4">
      <c r="A802" t="s">
        <v>1140</v>
      </c>
      <c r="B802" t="str">
        <f>IF('01_Warehouse_Ledger'!$A$298="","",'01_Warehouse_Ledger'!$A$298&amp;IF('01_Warehouse_Ledger'!$B$298&lt;&gt;""," | "&amp;'01_Warehouse_Ledger'!$B$298,""))</f>
        <v>PAL-0000297</v>
      </c>
      <c r="C802" t="str">
        <f>IF('01_Warehouse_Ledger'!$A$298="","",'01_Warehouse_Ledger'!$A$298)</f>
        <v>PAL-0000297</v>
      </c>
      <c r="D802" t="s">
        <v>1141</v>
      </c>
    </row>
    <row r="803" spans="1:4">
      <c r="A803" t="s">
        <v>1140</v>
      </c>
      <c r="B803" t="str">
        <f>IF('01_Warehouse_Ledger'!$A$299="","",'01_Warehouse_Ledger'!$A$299&amp;IF('01_Warehouse_Ledger'!$B$299&lt;&gt;""," | "&amp;'01_Warehouse_Ledger'!$B$299,""))</f>
        <v>PAL-0000298</v>
      </c>
      <c r="C803" t="str">
        <f>IF('01_Warehouse_Ledger'!$A$299="","",'01_Warehouse_Ledger'!$A$299)</f>
        <v>PAL-0000298</v>
      </c>
      <c r="D803" t="s">
        <v>1141</v>
      </c>
    </row>
    <row r="804" spans="1:4">
      <c r="A804" t="s">
        <v>1140</v>
      </c>
      <c r="B804" t="str">
        <f>IF('01_Warehouse_Ledger'!$A$300="","",'01_Warehouse_Ledger'!$A$300&amp;IF('01_Warehouse_Ledger'!$B$300&lt;&gt;""," | "&amp;'01_Warehouse_Ledger'!$B$300,""))</f>
        <v>PAL-0000299</v>
      </c>
      <c r="C804" t="str">
        <f>IF('01_Warehouse_Ledger'!$A$300="","",'01_Warehouse_Ledger'!$A$300)</f>
        <v>PAL-0000299</v>
      </c>
      <c r="D804" t="s">
        <v>1141</v>
      </c>
    </row>
    <row r="805" spans="1:4">
      <c r="A805" t="s">
        <v>1140</v>
      </c>
      <c r="B805" t="str">
        <f>IF('01_Warehouse_Ledger'!$A$301="","",'01_Warehouse_Ledger'!$A$301&amp;IF('01_Warehouse_Ledger'!$B$301&lt;&gt;""," | "&amp;'01_Warehouse_Ledger'!$B$301,""))</f>
        <v>PAL-0000300</v>
      </c>
      <c r="C805" t="str">
        <f>IF('01_Warehouse_Ledger'!$A$301="","",'01_Warehouse_Ledger'!$A$301)</f>
        <v>PAL-0000300</v>
      </c>
      <c r="D805" t="s">
        <v>1141</v>
      </c>
    </row>
    <row r="806" spans="1:4">
      <c r="A806" t="s">
        <v>1140</v>
      </c>
      <c r="B806" t="str">
        <f>IF('01_Warehouse_Ledger'!$A$302="","",'01_Warehouse_Ledger'!$A$302&amp;IF('01_Warehouse_Ledger'!$B$302&lt;&gt;""," | "&amp;'01_Warehouse_Ledger'!$B$302,""))</f>
        <v>PAL-0000301</v>
      </c>
      <c r="C806" t="str">
        <f>IF('01_Warehouse_Ledger'!$A$302="","",'01_Warehouse_Ledger'!$A$302)</f>
        <v>PAL-0000301</v>
      </c>
      <c r="D806" t="s">
        <v>1141</v>
      </c>
    </row>
    <row r="807" spans="1:4">
      <c r="A807" t="s">
        <v>1140</v>
      </c>
      <c r="B807" t="str">
        <f>IF('01_Warehouse_Ledger'!$A$303="","",'01_Warehouse_Ledger'!$A$303&amp;IF('01_Warehouse_Ledger'!$B$303&lt;&gt;""," | "&amp;'01_Warehouse_Ledger'!$B$303,""))</f>
        <v>PAL-0000302</v>
      </c>
      <c r="C807" t="str">
        <f>IF('01_Warehouse_Ledger'!$A$303="","",'01_Warehouse_Ledger'!$A$303)</f>
        <v>PAL-0000302</v>
      </c>
      <c r="D807" t="s">
        <v>1141</v>
      </c>
    </row>
    <row r="808" spans="1:4">
      <c r="A808" t="s">
        <v>1140</v>
      </c>
      <c r="B808" t="str">
        <f>IF('01_Warehouse_Ledger'!$A$304="","",'01_Warehouse_Ledger'!$A$304&amp;IF('01_Warehouse_Ledger'!$B$304&lt;&gt;""," | "&amp;'01_Warehouse_Ledger'!$B$304,""))</f>
        <v>PAL-0000303</v>
      </c>
      <c r="C808" t="str">
        <f>IF('01_Warehouse_Ledger'!$A$304="","",'01_Warehouse_Ledger'!$A$304)</f>
        <v>PAL-0000303</v>
      </c>
      <c r="D808" t="s">
        <v>1141</v>
      </c>
    </row>
    <row r="809" spans="1:4">
      <c r="A809" t="s">
        <v>1140</v>
      </c>
      <c r="B809" t="str">
        <f>IF('01_Warehouse_Ledger'!$A$305="","",'01_Warehouse_Ledger'!$A$305&amp;IF('01_Warehouse_Ledger'!$B$305&lt;&gt;""," | "&amp;'01_Warehouse_Ledger'!$B$305,""))</f>
        <v>PAL-0000304</v>
      </c>
      <c r="C809" t="str">
        <f>IF('01_Warehouse_Ledger'!$A$305="","",'01_Warehouse_Ledger'!$A$305)</f>
        <v>PAL-0000304</v>
      </c>
      <c r="D809" t="s">
        <v>1141</v>
      </c>
    </row>
    <row r="810" spans="1:4">
      <c r="A810" t="s">
        <v>1140</v>
      </c>
      <c r="B810" t="str">
        <f>IF('01_Warehouse_Ledger'!$A$306="","",'01_Warehouse_Ledger'!$A$306&amp;IF('01_Warehouse_Ledger'!$B$306&lt;&gt;""," | "&amp;'01_Warehouse_Ledger'!$B$306,""))</f>
        <v>PAL-0000305</v>
      </c>
      <c r="C810" t="str">
        <f>IF('01_Warehouse_Ledger'!$A$306="","",'01_Warehouse_Ledger'!$A$306)</f>
        <v>PAL-0000305</v>
      </c>
      <c r="D810" t="s">
        <v>1141</v>
      </c>
    </row>
    <row r="811" spans="1:4">
      <c r="A811" t="s">
        <v>1140</v>
      </c>
      <c r="B811" t="str">
        <f>IF('01_Warehouse_Ledger'!$A$307="","",'01_Warehouse_Ledger'!$A$307&amp;IF('01_Warehouse_Ledger'!$B$307&lt;&gt;""," | "&amp;'01_Warehouse_Ledger'!$B$307,""))</f>
        <v>PAL-0000306</v>
      </c>
      <c r="C811" t="str">
        <f>IF('01_Warehouse_Ledger'!$A$307="","",'01_Warehouse_Ledger'!$A$307)</f>
        <v>PAL-0000306</v>
      </c>
      <c r="D811" t="s">
        <v>1141</v>
      </c>
    </row>
    <row r="812" spans="1:4">
      <c r="A812" t="s">
        <v>1140</v>
      </c>
      <c r="B812" t="str">
        <f>IF('01_Warehouse_Ledger'!$A$308="","",'01_Warehouse_Ledger'!$A$308&amp;IF('01_Warehouse_Ledger'!$B$308&lt;&gt;""," | "&amp;'01_Warehouse_Ledger'!$B$308,""))</f>
        <v>PAL-0000307</v>
      </c>
      <c r="C812" t="str">
        <f>IF('01_Warehouse_Ledger'!$A$308="","",'01_Warehouse_Ledger'!$A$308)</f>
        <v>PAL-0000307</v>
      </c>
      <c r="D812" t="s">
        <v>1141</v>
      </c>
    </row>
    <row r="813" spans="1:4">
      <c r="A813" t="s">
        <v>1140</v>
      </c>
      <c r="B813" t="str">
        <f>IF('01_Warehouse_Ledger'!$A$309="","",'01_Warehouse_Ledger'!$A$309&amp;IF('01_Warehouse_Ledger'!$B$309&lt;&gt;""," | "&amp;'01_Warehouse_Ledger'!$B$309,""))</f>
        <v>PAL-0000308</v>
      </c>
      <c r="C813" t="str">
        <f>IF('01_Warehouse_Ledger'!$A$309="","",'01_Warehouse_Ledger'!$A$309)</f>
        <v>PAL-0000308</v>
      </c>
      <c r="D813" t="s">
        <v>1141</v>
      </c>
    </row>
    <row r="814" spans="1:4">
      <c r="A814" t="s">
        <v>1140</v>
      </c>
      <c r="B814" t="str">
        <f>IF('01_Warehouse_Ledger'!$A$310="","",'01_Warehouse_Ledger'!$A$310&amp;IF('01_Warehouse_Ledger'!$B$310&lt;&gt;""," | "&amp;'01_Warehouse_Ledger'!$B$310,""))</f>
        <v>PAL-0000309</v>
      </c>
      <c r="C814" t="str">
        <f>IF('01_Warehouse_Ledger'!$A$310="","",'01_Warehouse_Ledger'!$A$310)</f>
        <v>PAL-0000309</v>
      </c>
      <c r="D814" t="s">
        <v>1141</v>
      </c>
    </row>
    <row r="815" spans="1:4">
      <c r="A815" t="s">
        <v>1140</v>
      </c>
      <c r="B815" t="str">
        <f>IF('01_Warehouse_Ledger'!$A$311="","",'01_Warehouse_Ledger'!$A$311&amp;IF('01_Warehouse_Ledger'!$B$311&lt;&gt;""," | "&amp;'01_Warehouse_Ledger'!$B$311,""))</f>
        <v>PAL-0000310</v>
      </c>
      <c r="C815" t="str">
        <f>IF('01_Warehouse_Ledger'!$A$311="","",'01_Warehouse_Ledger'!$A$311)</f>
        <v>PAL-0000310</v>
      </c>
      <c r="D815" t="s">
        <v>1141</v>
      </c>
    </row>
    <row r="816" spans="1:4">
      <c r="A816" t="s">
        <v>1140</v>
      </c>
      <c r="B816" t="str">
        <f>IF('01_Warehouse_Ledger'!$A$312="","",'01_Warehouse_Ledger'!$A$312&amp;IF('01_Warehouse_Ledger'!$B$312&lt;&gt;""," | "&amp;'01_Warehouse_Ledger'!$B$312,""))</f>
        <v>PAL-0000311</v>
      </c>
      <c r="C816" t="str">
        <f>IF('01_Warehouse_Ledger'!$A$312="","",'01_Warehouse_Ledger'!$A$312)</f>
        <v>PAL-0000311</v>
      </c>
      <c r="D816" t="s">
        <v>1141</v>
      </c>
    </row>
    <row r="817" spans="1:4">
      <c r="A817" t="s">
        <v>1140</v>
      </c>
      <c r="B817" t="str">
        <f>IF('01_Warehouse_Ledger'!$A$313="","",'01_Warehouse_Ledger'!$A$313&amp;IF('01_Warehouse_Ledger'!$B$313&lt;&gt;""," | "&amp;'01_Warehouse_Ledger'!$B$313,""))</f>
        <v>PAL-0000312</v>
      </c>
      <c r="C817" t="str">
        <f>IF('01_Warehouse_Ledger'!$A$313="","",'01_Warehouse_Ledger'!$A$313)</f>
        <v>PAL-0000312</v>
      </c>
      <c r="D817" t="s">
        <v>1141</v>
      </c>
    </row>
    <row r="818" spans="1:4">
      <c r="A818" t="s">
        <v>1140</v>
      </c>
      <c r="B818" t="str">
        <f>IF('01_Warehouse_Ledger'!$A$314="","",'01_Warehouse_Ledger'!$A$314&amp;IF('01_Warehouse_Ledger'!$B$314&lt;&gt;""," | "&amp;'01_Warehouse_Ledger'!$B$314,""))</f>
        <v>PAL-0000313</v>
      </c>
      <c r="C818" t="str">
        <f>IF('01_Warehouse_Ledger'!$A$314="","",'01_Warehouse_Ledger'!$A$314)</f>
        <v>PAL-0000313</v>
      </c>
      <c r="D818" t="s">
        <v>1141</v>
      </c>
    </row>
    <row r="819" spans="1:4">
      <c r="A819" t="s">
        <v>1140</v>
      </c>
      <c r="B819" t="str">
        <f>IF('01_Warehouse_Ledger'!$A$315="","",'01_Warehouse_Ledger'!$A$315&amp;IF('01_Warehouse_Ledger'!$B$315&lt;&gt;""," | "&amp;'01_Warehouse_Ledger'!$B$315,""))</f>
        <v>PAL-0000314</v>
      </c>
      <c r="C819" t="str">
        <f>IF('01_Warehouse_Ledger'!$A$315="","",'01_Warehouse_Ledger'!$A$315)</f>
        <v>PAL-0000314</v>
      </c>
      <c r="D819" t="s">
        <v>1141</v>
      </c>
    </row>
    <row r="820" spans="1:4">
      <c r="A820" t="s">
        <v>1140</v>
      </c>
      <c r="B820" t="str">
        <f>IF('01_Warehouse_Ledger'!$A$316="","",'01_Warehouse_Ledger'!$A$316&amp;IF('01_Warehouse_Ledger'!$B$316&lt;&gt;""," | "&amp;'01_Warehouse_Ledger'!$B$316,""))</f>
        <v>PAL-0000315</v>
      </c>
      <c r="C820" t="str">
        <f>IF('01_Warehouse_Ledger'!$A$316="","",'01_Warehouse_Ledger'!$A$316)</f>
        <v>PAL-0000315</v>
      </c>
      <c r="D820" t="s">
        <v>1141</v>
      </c>
    </row>
    <row r="821" spans="1:4">
      <c r="A821" t="s">
        <v>1140</v>
      </c>
      <c r="B821" t="str">
        <f>IF('01_Warehouse_Ledger'!$A$317="","",'01_Warehouse_Ledger'!$A$317&amp;IF('01_Warehouse_Ledger'!$B$317&lt;&gt;""," | "&amp;'01_Warehouse_Ledger'!$B$317,""))</f>
        <v>PAL-0000316</v>
      </c>
      <c r="C821" t="str">
        <f>IF('01_Warehouse_Ledger'!$A$317="","",'01_Warehouse_Ledger'!$A$317)</f>
        <v>PAL-0000316</v>
      </c>
      <c r="D821" t="s">
        <v>1141</v>
      </c>
    </row>
    <row r="822" spans="1:4">
      <c r="A822" t="s">
        <v>1140</v>
      </c>
      <c r="B822" t="str">
        <f>IF('01_Warehouse_Ledger'!$A$318="","",'01_Warehouse_Ledger'!$A$318&amp;IF('01_Warehouse_Ledger'!$B$318&lt;&gt;""," | "&amp;'01_Warehouse_Ledger'!$B$318,""))</f>
        <v>PAL-0000317</v>
      </c>
      <c r="C822" t="str">
        <f>IF('01_Warehouse_Ledger'!$A$318="","",'01_Warehouse_Ledger'!$A$318)</f>
        <v>PAL-0000317</v>
      </c>
      <c r="D822" t="s">
        <v>1141</v>
      </c>
    </row>
    <row r="823" spans="1:4">
      <c r="A823" t="s">
        <v>1140</v>
      </c>
      <c r="B823" t="str">
        <f>IF('01_Warehouse_Ledger'!$A$319="","",'01_Warehouse_Ledger'!$A$319&amp;IF('01_Warehouse_Ledger'!$B$319&lt;&gt;""," | "&amp;'01_Warehouse_Ledger'!$B$319,""))</f>
        <v>PAL-0000318</v>
      </c>
      <c r="C823" t="str">
        <f>IF('01_Warehouse_Ledger'!$A$319="","",'01_Warehouse_Ledger'!$A$319)</f>
        <v>PAL-0000318</v>
      </c>
      <c r="D823" t="s">
        <v>1141</v>
      </c>
    </row>
    <row r="824" spans="1:4">
      <c r="A824" t="s">
        <v>1140</v>
      </c>
      <c r="B824" t="str">
        <f>IF('01_Warehouse_Ledger'!$A$320="","",'01_Warehouse_Ledger'!$A$320&amp;IF('01_Warehouse_Ledger'!$B$320&lt;&gt;""," | "&amp;'01_Warehouse_Ledger'!$B$320,""))</f>
        <v>PAL-0000319</v>
      </c>
      <c r="C824" t="str">
        <f>IF('01_Warehouse_Ledger'!$A$320="","",'01_Warehouse_Ledger'!$A$320)</f>
        <v>PAL-0000319</v>
      </c>
      <c r="D824" t="s">
        <v>1141</v>
      </c>
    </row>
    <row r="825" spans="1:4">
      <c r="A825" t="s">
        <v>1140</v>
      </c>
      <c r="B825" t="str">
        <f>IF('01_Warehouse_Ledger'!$A$321="","",'01_Warehouse_Ledger'!$A$321&amp;IF('01_Warehouse_Ledger'!$B$321&lt;&gt;""," | "&amp;'01_Warehouse_Ledger'!$B$321,""))</f>
        <v>PAL-0000320</v>
      </c>
      <c r="C825" t="str">
        <f>IF('01_Warehouse_Ledger'!$A$321="","",'01_Warehouse_Ledger'!$A$321)</f>
        <v>PAL-0000320</v>
      </c>
      <c r="D825" t="s">
        <v>1141</v>
      </c>
    </row>
    <row r="826" spans="1:4">
      <c r="A826" t="s">
        <v>1140</v>
      </c>
      <c r="B826" t="str">
        <f>IF('01_Warehouse_Ledger'!$A$322="","",'01_Warehouse_Ledger'!$A$322&amp;IF('01_Warehouse_Ledger'!$B$322&lt;&gt;""," | "&amp;'01_Warehouse_Ledger'!$B$322,""))</f>
        <v>PAL-0000321</v>
      </c>
      <c r="C826" t="str">
        <f>IF('01_Warehouse_Ledger'!$A$322="","",'01_Warehouse_Ledger'!$A$322)</f>
        <v>PAL-0000321</v>
      </c>
      <c r="D826" t="s">
        <v>1141</v>
      </c>
    </row>
    <row r="827" spans="1:4">
      <c r="A827" t="s">
        <v>1140</v>
      </c>
      <c r="B827" t="str">
        <f>IF('01_Warehouse_Ledger'!$A$323="","",'01_Warehouse_Ledger'!$A$323&amp;IF('01_Warehouse_Ledger'!$B$323&lt;&gt;""," | "&amp;'01_Warehouse_Ledger'!$B$323,""))</f>
        <v>PAL-0000322</v>
      </c>
      <c r="C827" t="str">
        <f>IF('01_Warehouse_Ledger'!$A$323="","",'01_Warehouse_Ledger'!$A$323)</f>
        <v>PAL-0000322</v>
      </c>
      <c r="D827" t="s">
        <v>1141</v>
      </c>
    </row>
    <row r="828" spans="1:4">
      <c r="A828" t="s">
        <v>1140</v>
      </c>
      <c r="B828" t="str">
        <f>IF('01_Warehouse_Ledger'!$A$324="","",'01_Warehouse_Ledger'!$A$324&amp;IF('01_Warehouse_Ledger'!$B$324&lt;&gt;""," | "&amp;'01_Warehouse_Ledger'!$B$324,""))</f>
        <v>PAL-0000323</v>
      </c>
      <c r="C828" t="str">
        <f>IF('01_Warehouse_Ledger'!$A$324="","",'01_Warehouse_Ledger'!$A$324)</f>
        <v>PAL-0000323</v>
      </c>
      <c r="D828" t="s">
        <v>1141</v>
      </c>
    </row>
    <row r="829" spans="1:4">
      <c r="A829" t="s">
        <v>1140</v>
      </c>
      <c r="B829" t="str">
        <f>IF('01_Warehouse_Ledger'!$A$325="","",'01_Warehouse_Ledger'!$A$325&amp;IF('01_Warehouse_Ledger'!$B$325&lt;&gt;""," | "&amp;'01_Warehouse_Ledger'!$B$325,""))</f>
        <v>PAL-0000324</v>
      </c>
      <c r="C829" t="str">
        <f>IF('01_Warehouse_Ledger'!$A$325="","",'01_Warehouse_Ledger'!$A$325)</f>
        <v>PAL-0000324</v>
      </c>
      <c r="D829" t="s">
        <v>1141</v>
      </c>
    </row>
    <row r="830" spans="1:4">
      <c r="A830" t="s">
        <v>1140</v>
      </c>
      <c r="B830" t="str">
        <f>IF('01_Warehouse_Ledger'!$A$326="","",'01_Warehouse_Ledger'!$A$326&amp;IF('01_Warehouse_Ledger'!$B$326&lt;&gt;""," | "&amp;'01_Warehouse_Ledger'!$B$326,""))</f>
        <v>PAL-0000325</v>
      </c>
      <c r="C830" t="str">
        <f>IF('01_Warehouse_Ledger'!$A$326="","",'01_Warehouse_Ledger'!$A$326)</f>
        <v>PAL-0000325</v>
      </c>
      <c r="D830" t="s">
        <v>1141</v>
      </c>
    </row>
    <row r="831" spans="1:4">
      <c r="A831" t="s">
        <v>1140</v>
      </c>
      <c r="B831" t="str">
        <f>IF('01_Warehouse_Ledger'!$A$327="","",'01_Warehouse_Ledger'!$A$327&amp;IF('01_Warehouse_Ledger'!$B$327&lt;&gt;""," | "&amp;'01_Warehouse_Ledger'!$B$327,""))</f>
        <v>PAL-0000326</v>
      </c>
      <c r="C831" t="str">
        <f>IF('01_Warehouse_Ledger'!$A$327="","",'01_Warehouse_Ledger'!$A$327)</f>
        <v>PAL-0000326</v>
      </c>
      <c r="D831" t="s">
        <v>1141</v>
      </c>
    </row>
    <row r="832" spans="1:4">
      <c r="A832" t="s">
        <v>1140</v>
      </c>
      <c r="B832" t="str">
        <f>IF('01_Warehouse_Ledger'!$A$328="","",'01_Warehouse_Ledger'!$A$328&amp;IF('01_Warehouse_Ledger'!$B$328&lt;&gt;""," | "&amp;'01_Warehouse_Ledger'!$B$328,""))</f>
        <v>PAL-0000327</v>
      </c>
      <c r="C832" t="str">
        <f>IF('01_Warehouse_Ledger'!$A$328="","",'01_Warehouse_Ledger'!$A$328)</f>
        <v>PAL-0000327</v>
      </c>
      <c r="D832" t="s">
        <v>1141</v>
      </c>
    </row>
    <row r="833" spans="1:4">
      <c r="A833" t="s">
        <v>1140</v>
      </c>
      <c r="B833" t="str">
        <f>IF('01_Warehouse_Ledger'!$A$329="","",'01_Warehouse_Ledger'!$A$329&amp;IF('01_Warehouse_Ledger'!$B$329&lt;&gt;""," | "&amp;'01_Warehouse_Ledger'!$B$329,""))</f>
        <v>PAL-0000328</v>
      </c>
      <c r="C833" t="str">
        <f>IF('01_Warehouse_Ledger'!$A$329="","",'01_Warehouse_Ledger'!$A$329)</f>
        <v>PAL-0000328</v>
      </c>
      <c r="D833" t="s">
        <v>1141</v>
      </c>
    </row>
    <row r="834" spans="1:4">
      <c r="A834" t="s">
        <v>1140</v>
      </c>
      <c r="B834" t="str">
        <f>IF('01_Warehouse_Ledger'!$A$330="","",'01_Warehouse_Ledger'!$A$330&amp;IF('01_Warehouse_Ledger'!$B$330&lt;&gt;""," | "&amp;'01_Warehouse_Ledger'!$B$330,""))</f>
        <v>PAL-0000329</v>
      </c>
      <c r="C834" t="str">
        <f>IF('01_Warehouse_Ledger'!$A$330="","",'01_Warehouse_Ledger'!$A$330)</f>
        <v>PAL-0000329</v>
      </c>
      <c r="D834" t="s">
        <v>1141</v>
      </c>
    </row>
    <row r="835" spans="1:4">
      <c r="A835" t="s">
        <v>1140</v>
      </c>
      <c r="B835" t="str">
        <f>IF('01_Warehouse_Ledger'!$A$331="","",'01_Warehouse_Ledger'!$A$331&amp;IF('01_Warehouse_Ledger'!$B$331&lt;&gt;""," | "&amp;'01_Warehouse_Ledger'!$B$331,""))</f>
        <v>PAL-0000330</v>
      </c>
      <c r="C835" t="str">
        <f>IF('01_Warehouse_Ledger'!$A$331="","",'01_Warehouse_Ledger'!$A$331)</f>
        <v>PAL-0000330</v>
      </c>
      <c r="D835" t="s">
        <v>1141</v>
      </c>
    </row>
    <row r="836" spans="1:4">
      <c r="A836" t="s">
        <v>1140</v>
      </c>
      <c r="B836" t="str">
        <f>IF('01_Warehouse_Ledger'!$A$332="","",'01_Warehouse_Ledger'!$A$332&amp;IF('01_Warehouse_Ledger'!$B$332&lt;&gt;""," | "&amp;'01_Warehouse_Ledger'!$B$332,""))</f>
        <v>PAL-0000331</v>
      </c>
      <c r="C836" t="str">
        <f>IF('01_Warehouse_Ledger'!$A$332="","",'01_Warehouse_Ledger'!$A$332)</f>
        <v>PAL-0000331</v>
      </c>
      <c r="D836" t="s">
        <v>1141</v>
      </c>
    </row>
    <row r="837" spans="1:4">
      <c r="A837" t="s">
        <v>1140</v>
      </c>
      <c r="B837" t="str">
        <f>IF('01_Warehouse_Ledger'!$A$333="","",'01_Warehouse_Ledger'!$A$333&amp;IF('01_Warehouse_Ledger'!$B$333&lt;&gt;""," | "&amp;'01_Warehouse_Ledger'!$B$333,""))</f>
        <v>PAL-0000332</v>
      </c>
      <c r="C837" t="str">
        <f>IF('01_Warehouse_Ledger'!$A$333="","",'01_Warehouse_Ledger'!$A$333)</f>
        <v>PAL-0000332</v>
      </c>
      <c r="D837" t="s">
        <v>1141</v>
      </c>
    </row>
    <row r="838" spans="1:4">
      <c r="A838" t="s">
        <v>1140</v>
      </c>
      <c r="B838" t="str">
        <f>IF('01_Warehouse_Ledger'!$A$334="","",'01_Warehouse_Ledger'!$A$334&amp;IF('01_Warehouse_Ledger'!$B$334&lt;&gt;""," | "&amp;'01_Warehouse_Ledger'!$B$334,""))</f>
        <v>PAL-0000333</v>
      </c>
      <c r="C838" t="str">
        <f>IF('01_Warehouse_Ledger'!$A$334="","",'01_Warehouse_Ledger'!$A$334)</f>
        <v>PAL-0000333</v>
      </c>
      <c r="D838" t="s">
        <v>1141</v>
      </c>
    </row>
    <row r="839" spans="1:4">
      <c r="A839" t="s">
        <v>1140</v>
      </c>
      <c r="B839" t="str">
        <f>IF('01_Warehouse_Ledger'!$A$335="","",'01_Warehouse_Ledger'!$A$335&amp;IF('01_Warehouse_Ledger'!$B$335&lt;&gt;""," | "&amp;'01_Warehouse_Ledger'!$B$335,""))</f>
        <v>PAL-0000334</v>
      </c>
      <c r="C839" t="str">
        <f>IF('01_Warehouse_Ledger'!$A$335="","",'01_Warehouse_Ledger'!$A$335)</f>
        <v>PAL-0000334</v>
      </c>
      <c r="D839" t="s">
        <v>1141</v>
      </c>
    </row>
    <row r="840" spans="1:4">
      <c r="A840" t="s">
        <v>1140</v>
      </c>
      <c r="B840" t="str">
        <f>IF('01_Warehouse_Ledger'!$A$336="","",'01_Warehouse_Ledger'!$A$336&amp;IF('01_Warehouse_Ledger'!$B$336&lt;&gt;""," | "&amp;'01_Warehouse_Ledger'!$B$336,""))</f>
        <v>PAL-0000335</v>
      </c>
      <c r="C840" t="str">
        <f>IF('01_Warehouse_Ledger'!$A$336="","",'01_Warehouse_Ledger'!$A$336)</f>
        <v>PAL-0000335</v>
      </c>
      <c r="D840" t="s">
        <v>1141</v>
      </c>
    </row>
    <row r="841" spans="1:4">
      <c r="A841" t="s">
        <v>1140</v>
      </c>
      <c r="B841" t="str">
        <f>IF('01_Warehouse_Ledger'!$A$337="","",'01_Warehouse_Ledger'!$A$337&amp;IF('01_Warehouse_Ledger'!$B$337&lt;&gt;""," | "&amp;'01_Warehouse_Ledger'!$B$337,""))</f>
        <v>PAL-0000336</v>
      </c>
      <c r="C841" t="str">
        <f>IF('01_Warehouse_Ledger'!$A$337="","",'01_Warehouse_Ledger'!$A$337)</f>
        <v>PAL-0000336</v>
      </c>
      <c r="D841" t="s">
        <v>1141</v>
      </c>
    </row>
    <row r="842" spans="1:4">
      <c r="A842" t="s">
        <v>1140</v>
      </c>
      <c r="B842" t="str">
        <f>IF('01_Warehouse_Ledger'!$A$338="","",'01_Warehouse_Ledger'!$A$338&amp;IF('01_Warehouse_Ledger'!$B$338&lt;&gt;""," | "&amp;'01_Warehouse_Ledger'!$B$338,""))</f>
        <v>PAL-0000337</v>
      </c>
      <c r="C842" t="str">
        <f>IF('01_Warehouse_Ledger'!$A$338="","",'01_Warehouse_Ledger'!$A$338)</f>
        <v>PAL-0000337</v>
      </c>
      <c r="D842" t="s">
        <v>1141</v>
      </c>
    </row>
    <row r="843" spans="1:4">
      <c r="A843" t="s">
        <v>1140</v>
      </c>
      <c r="B843" t="str">
        <f>IF('01_Warehouse_Ledger'!$A$339="","",'01_Warehouse_Ledger'!$A$339&amp;IF('01_Warehouse_Ledger'!$B$339&lt;&gt;""," | "&amp;'01_Warehouse_Ledger'!$B$339,""))</f>
        <v>PAL-0000338</v>
      </c>
      <c r="C843" t="str">
        <f>IF('01_Warehouse_Ledger'!$A$339="","",'01_Warehouse_Ledger'!$A$339)</f>
        <v>PAL-0000338</v>
      </c>
      <c r="D843" t="s">
        <v>1141</v>
      </c>
    </row>
    <row r="844" spans="1:4">
      <c r="A844" t="s">
        <v>1140</v>
      </c>
      <c r="B844" t="str">
        <f>IF('01_Warehouse_Ledger'!$A$340="","",'01_Warehouse_Ledger'!$A$340&amp;IF('01_Warehouse_Ledger'!$B$340&lt;&gt;""," | "&amp;'01_Warehouse_Ledger'!$B$340,""))</f>
        <v>PAL-0000339</v>
      </c>
      <c r="C844" t="str">
        <f>IF('01_Warehouse_Ledger'!$A$340="","",'01_Warehouse_Ledger'!$A$340)</f>
        <v>PAL-0000339</v>
      </c>
      <c r="D844" t="s">
        <v>1141</v>
      </c>
    </row>
    <row r="845" spans="1:4">
      <c r="A845" t="s">
        <v>1140</v>
      </c>
      <c r="B845" t="str">
        <f>IF('01_Warehouse_Ledger'!$A$341="","",'01_Warehouse_Ledger'!$A$341&amp;IF('01_Warehouse_Ledger'!$B$341&lt;&gt;""," | "&amp;'01_Warehouse_Ledger'!$B$341,""))</f>
        <v>PAL-0000340</v>
      </c>
      <c r="C845" t="str">
        <f>IF('01_Warehouse_Ledger'!$A$341="","",'01_Warehouse_Ledger'!$A$341)</f>
        <v>PAL-0000340</v>
      </c>
      <c r="D845" t="s">
        <v>1141</v>
      </c>
    </row>
    <row r="846" spans="1:4">
      <c r="A846" t="s">
        <v>1140</v>
      </c>
      <c r="B846" t="str">
        <f>IF('01_Warehouse_Ledger'!$A$342="","",'01_Warehouse_Ledger'!$A$342&amp;IF('01_Warehouse_Ledger'!$B$342&lt;&gt;""," | "&amp;'01_Warehouse_Ledger'!$B$342,""))</f>
        <v>PAL-0000341</v>
      </c>
      <c r="C846" t="str">
        <f>IF('01_Warehouse_Ledger'!$A$342="","",'01_Warehouse_Ledger'!$A$342)</f>
        <v>PAL-0000341</v>
      </c>
      <c r="D846" t="s">
        <v>1141</v>
      </c>
    </row>
    <row r="847" spans="1:4">
      <c r="A847" t="s">
        <v>1140</v>
      </c>
      <c r="B847" t="str">
        <f>IF('01_Warehouse_Ledger'!$A$343="","",'01_Warehouse_Ledger'!$A$343&amp;IF('01_Warehouse_Ledger'!$B$343&lt;&gt;""," | "&amp;'01_Warehouse_Ledger'!$B$343,""))</f>
        <v>PAL-0000342</v>
      </c>
      <c r="C847" t="str">
        <f>IF('01_Warehouse_Ledger'!$A$343="","",'01_Warehouse_Ledger'!$A$343)</f>
        <v>PAL-0000342</v>
      </c>
      <c r="D847" t="s">
        <v>1141</v>
      </c>
    </row>
    <row r="848" spans="1:4">
      <c r="A848" t="s">
        <v>1140</v>
      </c>
      <c r="B848" t="str">
        <f>IF('01_Warehouse_Ledger'!$A$344="","",'01_Warehouse_Ledger'!$A$344&amp;IF('01_Warehouse_Ledger'!$B$344&lt;&gt;""," | "&amp;'01_Warehouse_Ledger'!$B$344,""))</f>
        <v>PAL-0000343</v>
      </c>
      <c r="C848" t="str">
        <f>IF('01_Warehouse_Ledger'!$A$344="","",'01_Warehouse_Ledger'!$A$344)</f>
        <v>PAL-0000343</v>
      </c>
      <c r="D848" t="s">
        <v>1141</v>
      </c>
    </row>
    <row r="849" spans="1:4">
      <c r="A849" t="s">
        <v>1140</v>
      </c>
      <c r="B849" t="str">
        <f>IF('01_Warehouse_Ledger'!$A$345="","",'01_Warehouse_Ledger'!$A$345&amp;IF('01_Warehouse_Ledger'!$B$345&lt;&gt;""," | "&amp;'01_Warehouse_Ledger'!$B$345,""))</f>
        <v>PAL-0000344</v>
      </c>
      <c r="C849" t="str">
        <f>IF('01_Warehouse_Ledger'!$A$345="","",'01_Warehouse_Ledger'!$A$345)</f>
        <v>PAL-0000344</v>
      </c>
      <c r="D849" t="s">
        <v>1141</v>
      </c>
    </row>
    <row r="850" spans="1:4">
      <c r="A850" t="s">
        <v>1140</v>
      </c>
      <c r="B850" t="str">
        <f>IF('01_Warehouse_Ledger'!$A$346="","",'01_Warehouse_Ledger'!$A$346&amp;IF('01_Warehouse_Ledger'!$B$346&lt;&gt;""," | "&amp;'01_Warehouse_Ledger'!$B$346,""))</f>
        <v>PAL-0000345</v>
      </c>
      <c r="C850" t="str">
        <f>IF('01_Warehouse_Ledger'!$A$346="","",'01_Warehouse_Ledger'!$A$346)</f>
        <v>PAL-0000345</v>
      </c>
      <c r="D850" t="s">
        <v>1141</v>
      </c>
    </row>
    <row r="851" spans="1:4">
      <c r="A851" t="s">
        <v>1140</v>
      </c>
      <c r="B851" t="str">
        <f>IF('01_Warehouse_Ledger'!$A$347="","",'01_Warehouse_Ledger'!$A$347&amp;IF('01_Warehouse_Ledger'!$B$347&lt;&gt;""," | "&amp;'01_Warehouse_Ledger'!$B$347,""))</f>
        <v>PAL-0000346</v>
      </c>
      <c r="C851" t="str">
        <f>IF('01_Warehouse_Ledger'!$A$347="","",'01_Warehouse_Ledger'!$A$347)</f>
        <v>PAL-0000346</v>
      </c>
      <c r="D851" t="s">
        <v>1141</v>
      </c>
    </row>
    <row r="852" spans="1:4">
      <c r="A852" t="s">
        <v>1140</v>
      </c>
      <c r="B852" t="str">
        <f>IF('01_Warehouse_Ledger'!$A$348="","",'01_Warehouse_Ledger'!$A$348&amp;IF('01_Warehouse_Ledger'!$B$348&lt;&gt;""," | "&amp;'01_Warehouse_Ledger'!$B$348,""))</f>
        <v>PAL-0000347</v>
      </c>
      <c r="C852" t="str">
        <f>IF('01_Warehouse_Ledger'!$A$348="","",'01_Warehouse_Ledger'!$A$348)</f>
        <v>PAL-0000347</v>
      </c>
      <c r="D852" t="s">
        <v>1141</v>
      </c>
    </row>
    <row r="853" spans="1:4">
      <c r="A853" t="s">
        <v>1140</v>
      </c>
      <c r="B853" t="str">
        <f>IF('01_Warehouse_Ledger'!$A$349="","",'01_Warehouse_Ledger'!$A$349&amp;IF('01_Warehouse_Ledger'!$B$349&lt;&gt;""," | "&amp;'01_Warehouse_Ledger'!$B$349,""))</f>
        <v>PAL-0000348</v>
      </c>
      <c r="C853" t="str">
        <f>IF('01_Warehouse_Ledger'!$A$349="","",'01_Warehouse_Ledger'!$A$349)</f>
        <v>PAL-0000348</v>
      </c>
      <c r="D853" t="s">
        <v>1141</v>
      </c>
    </row>
    <row r="854" spans="1:4">
      <c r="A854" t="s">
        <v>1140</v>
      </c>
      <c r="B854" t="str">
        <f>IF('01_Warehouse_Ledger'!$A$350="","",'01_Warehouse_Ledger'!$A$350&amp;IF('01_Warehouse_Ledger'!$B$350&lt;&gt;""," | "&amp;'01_Warehouse_Ledger'!$B$350,""))</f>
        <v>PAL-0000349</v>
      </c>
      <c r="C854" t="str">
        <f>IF('01_Warehouse_Ledger'!$A$350="","",'01_Warehouse_Ledger'!$A$350)</f>
        <v>PAL-0000349</v>
      </c>
      <c r="D854" t="s">
        <v>1141</v>
      </c>
    </row>
    <row r="855" spans="1:4">
      <c r="A855" t="s">
        <v>1140</v>
      </c>
      <c r="B855" t="str">
        <f>IF('01_Warehouse_Ledger'!$A$351="","",'01_Warehouse_Ledger'!$A$351&amp;IF('01_Warehouse_Ledger'!$B$351&lt;&gt;""," | "&amp;'01_Warehouse_Ledger'!$B$351,""))</f>
        <v>PAL-0000350</v>
      </c>
      <c r="C855" t="str">
        <f>IF('01_Warehouse_Ledger'!$A$351="","",'01_Warehouse_Ledger'!$A$351)</f>
        <v>PAL-0000350</v>
      </c>
      <c r="D855" t="s">
        <v>1141</v>
      </c>
    </row>
    <row r="856" spans="1:4">
      <c r="A856" t="s">
        <v>1140</v>
      </c>
      <c r="B856" t="str">
        <f>IF('01_Warehouse_Ledger'!$A$352="","",'01_Warehouse_Ledger'!$A$352&amp;IF('01_Warehouse_Ledger'!$B$352&lt;&gt;""," | "&amp;'01_Warehouse_Ledger'!$B$352,""))</f>
        <v>PAL-0000351</v>
      </c>
      <c r="C856" t="str">
        <f>IF('01_Warehouse_Ledger'!$A$352="","",'01_Warehouse_Ledger'!$A$352)</f>
        <v>PAL-0000351</v>
      </c>
      <c r="D856" t="s">
        <v>1141</v>
      </c>
    </row>
    <row r="857" spans="1:4">
      <c r="A857" t="s">
        <v>1140</v>
      </c>
      <c r="B857" t="str">
        <f>IF('01_Warehouse_Ledger'!$A$353="","",'01_Warehouse_Ledger'!$A$353&amp;IF('01_Warehouse_Ledger'!$B$353&lt;&gt;""," | "&amp;'01_Warehouse_Ledger'!$B$353,""))</f>
        <v>PAL-0000352</v>
      </c>
      <c r="C857" t="str">
        <f>IF('01_Warehouse_Ledger'!$A$353="","",'01_Warehouse_Ledger'!$A$353)</f>
        <v>PAL-0000352</v>
      </c>
      <c r="D857" t="s">
        <v>1141</v>
      </c>
    </row>
    <row r="858" spans="1:4">
      <c r="A858" t="s">
        <v>1140</v>
      </c>
      <c r="B858" t="str">
        <f>IF('01_Warehouse_Ledger'!$A$354="","",'01_Warehouse_Ledger'!$A$354&amp;IF('01_Warehouse_Ledger'!$B$354&lt;&gt;""," | "&amp;'01_Warehouse_Ledger'!$B$354,""))</f>
        <v>PAL-0000353</v>
      </c>
      <c r="C858" t="str">
        <f>IF('01_Warehouse_Ledger'!$A$354="","",'01_Warehouse_Ledger'!$A$354)</f>
        <v>PAL-0000353</v>
      </c>
      <c r="D858" t="s">
        <v>1141</v>
      </c>
    </row>
    <row r="859" spans="1:4">
      <c r="A859" t="s">
        <v>1140</v>
      </c>
      <c r="B859" t="str">
        <f>IF('01_Warehouse_Ledger'!$A$355="","",'01_Warehouse_Ledger'!$A$355&amp;IF('01_Warehouse_Ledger'!$B$355&lt;&gt;""," | "&amp;'01_Warehouse_Ledger'!$B$355,""))</f>
        <v>PAL-0000354</v>
      </c>
      <c r="C859" t="str">
        <f>IF('01_Warehouse_Ledger'!$A$355="","",'01_Warehouse_Ledger'!$A$355)</f>
        <v>PAL-0000354</v>
      </c>
      <c r="D859" t="s">
        <v>1141</v>
      </c>
    </row>
    <row r="860" spans="1:4">
      <c r="A860" t="s">
        <v>1140</v>
      </c>
      <c r="B860" t="str">
        <f>IF('01_Warehouse_Ledger'!$A$356="","",'01_Warehouse_Ledger'!$A$356&amp;IF('01_Warehouse_Ledger'!$B$356&lt;&gt;""," | "&amp;'01_Warehouse_Ledger'!$B$356,""))</f>
        <v>PAL-0000355</v>
      </c>
      <c r="C860" t="str">
        <f>IF('01_Warehouse_Ledger'!$A$356="","",'01_Warehouse_Ledger'!$A$356)</f>
        <v>PAL-0000355</v>
      </c>
      <c r="D860" t="s">
        <v>1141</v>
      </c>
    </row>
    <row r="861" spans="1:4">
      <c r="A861" t="s">
        <v>1140</v>
      </c>
      <c r="B861" t="str">
        <f>IF('01_Warehouse_Ledger'!$A$357="","",'01_Warehouse_Ledger'!$A$357&amp;IF('01_Warehouse_Ledger'!$B$357&lt;&gt;""," | "&amp;'01_Warehouse_Ledger'!$B$357,""))</f>
        <v>PAL-0000356</v>
      </c>
      <c r="C861" t="str">
        <f>IF('01_Warehouse_Ledger'!$A$357="","",'01_Warehouse_Ledger'!$A$357)</f>
        <v>PAL-0000356</v>
      </c>
      <c r="D861" t="s">
        <v>1141</v>
      </c>
    </row>
    <row r="862" spans="1:4">
      <c r="A862" t="s">
        <v>1140</v>
      </c>
      <c r="B862" t="str">
        <f>IF('01_Warehouse_Ledger'!$A$358="","",'01_Warehouse_Ledger'!$A$358&amp;IF('01_Warehouse_Ledger'!$B$358&lt;&gt;""," | "&amp;'01_Warehouse_Ledger'!$B$358,""))</f>
        <v>PAL-0000357</v>
      </c>
      <c r="C862" t="str">
        <f>IF('01_Warehouse_Ledger'!$A$358="","",'01_Warehouse_Ledger'!$A$358)</f>
        <v>PAL-0000357</v>
      </c>
      <c r="D862" t="s">
        <v>1141</v>
      </c>
    </row>
    <row r="863" spans="1:4">
      <c r="A863" t="s">
        <v>1140</v>
      </c>
      <c r="B863" t="str">
        <f>IF('01_Warehouse_Ledger'!$A$359="","",'01_Warehouse_Ledger'!$A$359&amp;IF('01_Warehouse_Ledger'!$B$359&lt;&gt;""," | "&amp;'01_Warehouse_Ledger'!$B$359,""))</f>
        <v>PAL-0000358</v>
      </c>
      <c r="C863" t="str">
        <f>IF('01_Warehouse_Ledger'!$A$359="","",'01_Warehouse_Ledger'!$A$359)</f>
        <v>PAL-0000358</v>
      </c>
      <c r="D863" t="s">
        <v>1141</v>
      </c>
    </row>
    <row r="864" spans="1:4">
      <c r="A864" t="s">
        <v>1140</v>
      </c>
      <c r="B864" t="str">
        <f>IF('01_Warehouse_Ledger'!$A$360="","",'01_Warehouse_Ledger'!$A$360&amp;IF('01_Warehouse_Ledger'!$B$360&lt;&gt;""," | "&amp;'01_Warehouse_Ledger'!$B$360,""))</f>
        <v>PAL-0000359</v>
      </c>
      <c r="C864" t="str">
        <f>IF('01_Warehouse_Ledger'!$A$360="","",'01_Warehouse_Ledger'!$A$360)</f>
        <v>PAL-0000359</v>
      </c>
      <c r="D864" t="s">
        <v>1141</v>
      </c>
    </row>
    <row r="865" spans="1:4">
      <c r="A865" t="s">
        <v>1140</v>
      </c>
      <c r="B865" t="str">
        <f>IF('01_Warehouse_Ledger'!$A$361="","",'01_Warehouse_Ledger'!$A$361&amp;IF('01_Warehouse_Ledger'!$B$361&lt;&gt;""," | "&amp;'01_Warehouse_Ledger'!$B$361,""))</f>
        <v>PAL-0000360</v>
      </c>
      <c r="C865" t="str">
        <f>IF('01_Warehouse_Ledger'!$A$361="","",'01_Warehouse_Ledger'!$A$361)</f>
        <v>PAL-0000360</v>
      </c>
      <c r="D865" t="s">
        <v>1141</v>
      </c>
    </row>
    <row r="866" spans="1:4">
      <c r="A866" t="s">
        <v>1140</v>
      </c>
      <c r="B866" t="str">
        <f>IF('01_Warehouse_Ledger'!$A$362="","",'01_Warehouse_Ledger'!$A$362&amp;IF('01_Warehouse_Ledger'!$B$362&lt;&gt;""," | "&amp;'01_Warehouse_Ledger'!$B$362,""))</f>
        <v>PAL-0000361</v>
      </c>
      <c r="C866" t="str">
        <f>IF('01_Warehouse_Ledger'!$A$362="","",'01_Warehouse_Ledger'!$A$362)</f>
        <v>PAL-0000361</v>
      </c>
      <c r="D866" t="s">
        <v>1141</v>
      </c>
    </row>
    <row r="867" spans="1:4">
      <c r="A867" t="s">
        <v>1140</v>
      </c>
      <c r="B867" t="str">
        <f>IF('01_Warehouse_Ledger'!$A$363="","",'01_Warehouse_Ledger'!$A$363&amp;IF('01_Warehouse_Ledger'!$B$363&lt;&gt;""," | "&amp;'01_Warehouse_Ledger'!$B$363,""))</f>
        <v>PAL-0000362</v>
      </c>
      <c r="C867" t="str">
        <f>IF('01_Warehouse_Ledger'!$A$363="","",'01_Warehouse_Ledger'!$A$363)</f>
        <v>PAL-0000362</v>
      </c>
      <c r="D867" t="s">
        <v>1141</v>
      </c>
    </row>
    <row r="868" spans="1:4">
      <c r="A868" t="s">
        <v>1140</v>
      </c>
      <c r="B868" t="str">
        <f>IF('01_Warehouse_Ledger'!$A$364="","",'01_Warehouse_Ledger'!$A$364&amp;IF('01_Warehouse_Ledger'!$B$364&lt;&gt;""," | "&amp;'01_Warehouse_Ledger'!$B$364,""))</f>
        <v>PAL-0000363</v>
      </c>
      <c r="C868" t="str">
        <f>IF('01_Warehouse_Ledger'!$A$364="","",'01_Warehouse_Ledger'!$A$364)</f>
        <v>PAL-0000363</v>
      </c>
      <c r="D868" t="s">
        <v>1141</v>
      </c>
    </row>
    <row r="869" spans="1:4">
      <c r="A869" t="s">
        <v>1140</v>
      </c>
      <c r="B869" t="str">
        <f>IF('01_Warehouse_Ledger'!$A$365="","",'01_Warehouse_Ledger'!$A$365&amp;IF('01_Warehouse_Ledger'!$B$365&lt;&gt;""," | "&amp;'01_Warehouse_Ledger'!$B$365,""))</f>
        <v>PAL-0000364</v>
      </c>
      <c r="C869" t="str">
        <f>IF('01_Warehouse_Ledger'!$A$365="","",'01_Warehouse_Ledger'!$A$365)</f>
        <v>PAL-0000364</v>
      </c>
      <c r="D869" t="s">
        <v>1141</v>
      </c>
    </row>
    <row r="870" spans="1:4">
      <c r="A870" t="s">
        <v>1140</v>
      </c>
      <c r="B870" t="str">
        <f>IF('01_Warehouse_Ledger'!$A$366="","",'01_Warehouse_Ledger'!$A$366&amp;IF('01_Warehouse_Ledger'!$B$366&lt;&gt;""," | "&amp;'01_Warehouse_Ledger'!$B$366,""))</f>
        <v>PAL-0000365</v>
      </c>
      <c r="C870" t="str">
        <f>IF('01_Warehouse_Ledger'!$A$366="","",'01_Warehouse_Ledger'!$A$366)</f>
        <v>PAL-0000365</v>
      </c>
      <c r="D870" t="s">
        <v>1141</v>
      </c>
    </row>
    <row r="871" spans="1:4">
      <c r="A871" t="s">
        <v>1140</v>
      </c>
      <c r="B871" t="str">
        <f>IF('01_Warehouse_Ledger'!$A$367="","",'01_Warehouse_Ledger'!$A$367&amp;IF('01_Warehouse_Ledger'!$B$367&lt;&gt;""," | "&amp;'01_Warehouse_Ledger'!$B$367,""))</f>
        <v>PAL-0000366</v>
      </c>
      <c r="C871" t="str">
        <f>IF('01_Warehouse_Ledger'!$A$367="","",'01_Warehouse_Ledger'!$A$367)</f>
        <v>PAL-0000366</v>
      </c>
      <c r="D871" t="s">
        <v>1141</v>
      </c>
    </row>
    <row r="872" spans="1:4">
      <c r="A872" t="s">
        <v>1140</v>
      </c>
      <c r="B872" t="str">
        <f>IF('01_Warehouse_Ledger'!$A$368="","",'01_Warehouse_Ledger'!$A$368&amp;IF('01_Warehouse_Ledger'!$B$368&lt;&gt;""," | "&amp;'01_Warehouse_Ledger'!$B$368,""))</f>
        <v>PAL-0000367</v>
      </c>
      <c r="C872" t="str">
        <f>IF('01_Warehouse_Ledger'!$A$368="","",'01_Warehouse_Ledger'!$A$368)</f>
        <v>PAL-0000367</v>
      </c>
      <c r="D872" t="s">
        <v>1141</v>
      </c>
    </row>
    <row r="873" spans="1:4">
      <c r="A873" t="s">
        <v>1140</v>
      </c>
      <c r="B873" t="str">
        <f>IF('01_Warehouse_Ledger'!$A$369="","",'01_Warehouse_Ledger'!$A$369&amp;IF('01_Warehouse_Ledger'!$B$369&lt;&gt;""," | "&amp;'01_Warehouse_Ledger'!$B$369,""))</f>
        <v>PAL-0000368</v>
      </c>
      <c r="C873" t="str">
        <f>IF('01_Warehouse_Ledger'!$A$369="","",'01_Warehouse_Ledger'!$A$369)</f>
        <v>PAL-0000368</v>
      </c>
      <c r="D873" t="s">
        <v>1141</v>
      </c>
    </row>
    <row r="874" spans="1:4">
      <c r="A874" t="s">
        <v>1140</v>
      </c>
      <c r="B874" t="str">
        <f>IF('01_Warehouse_Ledger'!$A$370="","",'01_Warehouse_Ledger'!$A$370&amp;IF('01_Warehouse_Ledger'!$B$370&lt;&gt;""," | "&amp;'01_Warehouse_Ledger'!$B$370,""))</f>
        <v>PAL-0000369</v>
      </c>
      <c r="C874" t="str">
        <f>IF('01_Warehouse_Ledger'!$A$370="","",'01_Warehouse_Ledger'!$A$370)</f>
        <v>PAL-0000369</v>
      </c>
      <c r="D874" t="s">
        <v>1141</v>
      </c>
    </row>
    <row r="875" spans="1:4">
      <c r="A875" t="s">
        <v>1140</v>
      </c>
      <c r="B875" t="str">
        <f>IF('01_Warehouse_Ledger'!$A$371="","",'01_Warehouse_Ledger'!$A$371&amp;IF('01_Warehouse_Ledger'!$B$371&lt;&gt;""," | "&amp;'01_Warehouse_Ledger'!$B$371,""))</f>
        <v>PAL-0000370</v>
      </c>
      <c r="C875" t="str">
        <f>IF('01_Warehouse_Ledger'!$A$371="","",'01_Warehouse_Ledger'!$A$371)</f>
        <v>PAL-0000370</v>
      </c>
      <c r="D875" t="s">
        <v>1141</v>
      </c>
    </row>
    <row r="876" spans="1:4">
      <c r="A876" t="s">
        <v>1140</v>
      </c>
      <c r="B876" t="str">
        <f>IF('01_Warehouse_Ledger'!$A$372="","",'01_Warehouse_Ledger'!$A$372&amp;IF('01_Warehouse_Ledger'!$B$372&lt;&gt;""," | "&amp;'01_Warehouse_Ledger'!$B$372,""))</f>
        <v>PAL-0000371</v>
      </c>
      <c r="C876" t="str">
        <f>IF('01_Warehouse_Ledger'!$A$372="","",'01_Warehouse_Ledger'!$A$372)</f>
        <v>PAL-0000371</v>
      </c>
      <c r="D876" t="s">
        <v>1141</v>
      </c>
    </row>
    <row r="877" spans="1:4">
      <c r="A877" t="s">
        <v>1140</v>
      </c>
      <c r="B877" t="str">
        <f>IF('01_Warehouse_Ledger'!$A$373="","",'01_Warehouse_Ledger'!$A$373&amp;IF('01_Warehouse_Ledger'!$B$373&lt;&gt;""," | "&amp;'01_Warehouse_Ledger'!$B$373,""))</f>
        <v>PAL-0000372</v>
      </c>
      <c r="C877" t="str">
        <f>IF('01_Warehouse_Ledger'!$A$373="","",'01_Warehouse_Ledger'!$A$373)</f>
        <v>PAL-0000372</v>
      </c>
      <c r="D877" t="s">
        <v>1141</v>
      </c>
    </row>
    <row r="878" spans="1:4">
      <c r="A878" t="s">
        <v>1140</v>
      </c>
      <c r="B878" t="str">
        <f>IF('01_Warehouse_Ledger'!$A$374="","",'01_Warehouse_Ledger'!$A$374&amp;IF('01_Warehouse_Ledger'!$B$374&lt;&gt;""," | "&amp;'01_Warehouse_Ledger'!$B$374,""))</f>
        <v>PAL-0000373</v>
      </c>
      <c r="C878" t="str">
        <f>IF('01_Warehouse_Ledger'!$A$374="","",'01_Warehouse_Ledger'!$A$374)</f>
        <v>PAL-0000373</v>
      </c>
      <c r="D878" t="s">
        <v>1141</v>
      </c>
    </row>
    <row r="879" spans="1:4">
      <c r="A879" t="s">
        <v>1140</v>
      </c>
      <c r="B879" t="str">
        <f>IF('01_Warehouse_Ledger'!$A$375="","",'01_Warehouse_Ledger'!$A$375&amp;IF('01_Warehouse_Ledger'!$B$375&lt;&gt;""," | "&amp;'01_Warehouse_Ledger'!$B$375,""))</f>
        <v>PAL-0000374</v>
      </c>
      <c r="C879" t="str">
        <f>IF('01_Warehouse_Ledger'!$A$375="","",'01_Warehouse_Ledger'!$A$375)</f>
        <v>PAL-0000374</v>
      </c>
      <c r="D879" t="s">
        <v>1141</v>
      </c>
    </row>
    <row r="880" spans="1:4">
      <c r="A880" t="s">
        <v>1140</v>
      </c>
      <c r="B880" t="str">
        <f>IF('01_Warehouse_Ledger'!$A$376="","",'01_Warehouse_Ledger'!$A$376&amp;IF('01_Warehouse_Ledger'!$B$376&lt;&gt;""," | "&amp;'01_Warehouse_Ledger'!$B$376,""))</f>
        <v>PAL-0000375</v>
      </c>
      <c r="C880" t="str">
        <f>IF('01_Warehouse_Ledger'!$A$376="","",'01_Warehouse_Ledger'!$A$376)</f>
        <v>PAL-0000375</v>
      </c>
      <c r="D880" t="s">
        <v>1141</v>
      </c>
    </row>
    <row r="881" spans="1:4">
      <c r="A881" t="s">
        <v>1140</v>
      </c>
      <c r="B881" t="str">
        <f>IF('01_Warehouse_Ledger'!$A$377="","",'01_Warehouse_Ledger'!$A$377&amp;IF('01_Warehouse_Ledger'!$B$377&lt;&gt;""," | "&amp;'01_Warehouse_Ledger'!$B$377,""))</f>
        <v>PAL-0000376</v>
      </c>
      <c r="C881" t="str">
        <f>IF('01_Warehouse_Ledger'!$A$377="","",'01_Warehouse_Ledger'!$A$377)</f>
        <v>PAL-0000376</v>
      </c>
      <c r="D881" t="s">
        <v>1141</v>
      </c>
    </row>
    <row r="882" spans="1:4">
      <c r="A882" t="s">
        <v>1140</v>
      </c>
      <c r="B882" t="str">
        <f>IF('01_Warehouse_Ledger'!$A$378="","",'01_Warehouse_Ledger'!$A$378&amp;IF('01_Warehouse_Ledger'!$B$378&lt;&gt;""," | "&amp;'01_Warehouse_Ledger'!$B$378,""))</f>
        <v>PAL-0000377</v>
      </c>
      <c r="C882" t="str">
        <f>IF('01_Warehouse_Ledger'!$A$378="","",'01_Warehouse_Ledger'!$A$378)</f>
        <v>PAL-0000377</v>
      </c>
      <c r="D882" t="s">
        <v>1141</v>
      </c>
    </row>
    <row r="883" spans="1:4">
      <c r="A883" t="s">
        <v>1140</v>
      </c>
      <c r="B883" t="str">
        <f>IF('01_Warehouse_Ledger'!$A$379="","",'01_Warehouse_Ledger'!$A$379&amp;IF('01_Warehouse_Ledger'!$B$379&lt;&gt;""," | "&amp;'01_Warehouse_Ledger'!$B$379,""))</f>
        <v>PAL-0000378</v>
      </c>
      <c r="C883" t="str">
        <f>IF('01_Warehouse_Ledger'!$A$379="","",'01_Warehouse_Ledger'!$A$379)</f>
        <v>PAL-0000378</v>
      </c>
      <c r="D883" t="s">
        <v>1141</v>
      </c>
    </row>
    <row r="884" spans="1:4">
      <c r="A884" t="s">
        <v>1140</v>
      </c>
      <c r="B884" t="str">
        <f>IF('01_Warehouse_Ledger'!$A$380="","",'01_Warehouse_Ledger'!$A$380&amp;IF('01_Warehouse_Ledger'!$B$380&lt;&gt;""," | "&amp;'01_Warehouse_Ledger'!$B$380,""))</f>
        <v>PAL-0000379</v>
      </c>
      <c r="C884" t="str">
        <f>IF('01_Warehouse_Ledger'!$A$380="","",'01_Warehouse_Ledger'!$A$380)</f>
        <v>PAL-0000379</v>
      </c>
      <c r="D884" t="s">
        <v>1141</v>
      </c>
    </row>
    <row r="885" spans="1:4">
      <c r="A885" t="s">
        <v>1140</v>
      </c>
      <c r="B885" t="str">
        <f>IF('01_Warehouse_Ledger'!$A$381="","",'01_Warehouse_Ledger'!$A$381&amp;IF('01_Warehouse_Ledger'!$B$381&lt;&gt;""," | "&amp;'01_Warehouse_Ledger'!$B$381,""))</f>
        <v>PAL-0000380</v>
      </c>
      <c r="C885" t="str">
        <f>IF('01_Warehouse_Ledger'!$A$381="","",'01_Warehouse_Ledger'!$A$381)</f>
        <v>PAL-0000380</v>
      </c>
      <c r="D885" t="s">
        <v>1141</v>
      </c>
    </row>
    <row r="886" spans="1:4">
      <c r="A886" t="s">
        <v>1140</v>
      </c>
      <c r="B886" t="str">
        <f>IF('01_Warehouse_Ledger'!$A$382="","",'01_Warehouse_Ledger'!$A$382&amp;IF('01_Warehouse_Ledger'!$B$382&lt;&gt;""," | "&amp;'01_Warehouse_Ledger'!$B$382,""))</f>
        <v>PAL-0000381</v>
      </c>
      <c r="C886" t="str">
        <f>IF('01_Warehouse_Ledger'!$A$382="","",'01_Warehouse_Ledger'!$A$382)</f>
        <v>PAL-0000381</v>
      </c>
      <c r="D886" t="s">
        <v>1141</v>
      </c>
    </row>
    <row r="887" spans="1:4">
      <c r="A887" t="s">
        <v>1140</v>
      </c>
      <c r="B887" t="str">
        <f>IF('01_Warehouse_Ledger'!$A$383="","",'01_Warehouse_Ledger'!$A$383&amp;IF('01_Warehouse_Ledger'!$B$383&lt;&gt;""," | "&amp;'01_Warehouse_Ledger'!$B$383,""))</f>
        <v>PAL-0000382</v>
      </c>
      <c r="C887" t="str">
        <f>IF('01_Warehouse_Ledger'!$A$383="","",'01_Warehouse_Ledger'!$A$383)</f>
        <v>PAL-0000382</v>
      </c>
      <c r="D887" t="s">
        <v>1141</v>
      </c>
    </row>
    <row r="888" spans="1:4">
      <c r="A888" t="s">
        <v>1140</v>
      </c>
      <c r="B888" t="str">
        <f>IF('01_Warehouse_Ledger'!$A$384="","",'01_Warehouse_Ledger'!$A$384&amp;IF('01_Warehouse_Ledger'!$B$384&lt;&gt;""," | "&amp;'01_Warehouse_Ledger'!$B$384,""))</f>
        <v>PAL-0000383</v>
      </c>
      <c r="C888" t="str">
        <f>IF('01_Warehouse_Ledger'!$A$384="","",'01_Warehouse_Ledger'!$A$384)</f>
        <v>PAL-0000383</v>
      </c>
      <c r="D888" t="s">
        <v>1141</v>
      </c>
    </row>
    <row r="889" spans="1:4">
      <c r="A889" t="s">
        <v>1140</v>
      </c>
      <c r="B889" t="str">
        <f>IF('01_Warehouse_Ledger'!$A$385="","",'01_Warehouse_Ledger'!$A$385&amp;IF('01_Warehouse_Ledger'!$B$385&lt;&gt;""," | "&amp;'01_Warehouse_Ledger'!$B$385,""))</f>
        <v>PAL-0000384</v>
      </c>
      <c r="C889" t="str">
        <f>IF('01_Warehouse_Ledger'!$A$385="","",'01_Warehouse_Ledger'!$A$385)</f>
        <v>PAL-0000384</v>
      </c>
      <c r="D889" t="s">
        <v>1141</v>
      </c>
    </row>
    <row r="890" spans="1:4">
      <c r="A890" t="s">
        <v>1140</v>
      </c>
      <c r="B890" t="str">
        <f>IF('01_Warehouse_Ledger'!$A$386="","",'01_Warehouse_Ledger'!$A$386&amp;IF('01_Warehouse_Ledger'!$B$386&lt;&gt;""," | "&amp;'01_Warehouse_Ledger'!$B$386,""))</f>
        <v>PAL-0000385</v>
      </c>
      <c r="C890" t="str">
        <f>IF('01_Warehouse_Ledger'!$A$386="","",'01_Warehouse_Ledger'!$A$386)</f>
        <v>PAL-0000385</v>
      </c>
      <c r="D890" t="s">
        <v>1141</v>
      </c>
    </row>
    <row r="891" spans="1:4">
      <c r="A891" t="s">
        <v>1140</v>
      </c>
      <c r="B891" t="str">
        <f>IF('01_Warehouse_Ledger'!$A$387="","",'01_Warehouse_Ledger'!$A$387&amp;IF('01_Warehouse_Ledger'!$B$387&lt;&gt;""," | "&amp;'01_Warehouse_Ledger'!$B$387,""))</f>
        <v>PAL-0000386</v>
      </c>
      <c r="C891" t="str">
        <f>IF('01_Warehouse_Ledger'!$A$387="","",'01_Warehouse_Ledger'!$A$387)</f>
        <v>PAL-0000386</v>
      </c>
      <c r="D891" t="s">
        <v>1141</v>
      </c>
    </row>
    <row r="892" spans="1:4">
      <c r="A892" t="s">
        <v>1140</v>
      </c>
      <c r="B892" t="str">
        <f>IF('01_Warehouse_Ledger'!$A$388="","",'01_Warehouse_Ledger'!$A$388&amp;IF('01_Warehouse_Ledger'!$B$388&lt;&gt;""," | "&amp;'01_Warehouse_Ledger'!$B$388,""))</f>
        <v>PAL-0000387</v>
      </c>
      <c r="C892" t="str">
        <f>IF('01_Warehouse_Ledger'!$A$388="","",'01_Warehouse_Ledger'!$A$388)</f>
        <v>PAL-0000387</v>
      </c>
      <c r="D892" t="s">
        <v>1141</v>
      </c>
    </row>
    <row r="893" spans="1:4">
      <c r="A893" t="s">
        <v>1140</v>
      </c>
      <c r="B893" t="str">
        <f>IF('01_Warehouse_Ledger'!$A$389="","",'01_Warehouse_Ledger'!$A$389&amp;IF('01_Warehouse_Ledger'!$B$389&lt;&gt;""," | "&amp;'01_Warehouse_Ledger'!$B$389,""))</f>
        <v>PAL-0000388</v>
      </c>
      <c r="C893" t="str">
        <f>IF('01_Warehouse_Ledger'!$A$389="","",'01_Warehouse_Ledger'!$A$389)</f>
        <v>PAL-0000388</v>
      </c>
      <c r="D893" t="s">
        <v>1141</v>
      </c>
    </row>
    <row r="894" spans="1:4">
      <c r="A894" t="s">
        <v>1140</v>
      </c>
      <c r="B894" t="str">
        <f>IF('01_Warehouse_Ledger'!$A$390="","",'01_Warehouse_Ledger'!$A$390&amp;IF('01_Warehouse_Ledger'!$B$390&lt;&gt;""," | "&amp;'01_Warehouse_Ledger'!$B$390,""))</f>
        <v>PAL-0000389</v>
      </c>
      <c r="C894" t="str">
        <f>IF('01_Warehouse_Ledger'!$A$390="","",'01_Warehouse_Ledger'!$A$390)</f>
        <v>PAL-0000389</v>
      </c>
      <c r="D894" t="s">
        <v>1141</v>
      </c>
    </row>
    <row r="895" spans="1:4">
      <c r="A895" t="s">
        <v>1140</v>
      </c>
      <c r="B895" t="str">
        <f>IF('01_Warehouse_Ledger'!$A$391="","",'01_Warehouse_Ledger'!$A$391&amp;IF('01_Warehouse_Ledger'!$B$391&lt;&gt;""," | "&amp;'01_Warehouse_Ledger'!$B$391,""))</f>
        <v>PAL-0000390</v>
      </c>
      <c r="C895" t="str">
        <f>IF('01_Warehouse_Ledger'!$A$391="","",'01_Warehouse_Ledger'!$A$391)</f>
        <v>PAL-0000390</v>
      </c>
      <c r="D895" t="s">
        <v>1141</v>
      </c>
    </row>
    <row r="896" spans="1:4">
      <c r="A896" t="s">
        <v>1140</v>
      </c>
      <c r="B896" t="str">
        <f>IF('01_Warehouse_Ledger'!$A$392="","",'01_Warehouse_Ledger'!$A$392&amp;IF('01_Warehouse_Ledger'!$B$392&lt;&gt;""," | "&amp;'01_Warehouse_Ledger'!$B$392,""))</f>
        <v>PAL-0000391</v>
      </c>
      <c r="C896" t="str">
        <f>IF('01_Warehouse_Ledger'!$A$392="","",'01_Warehouse_Ledger'!$A$392)</f>
        <v>PAL-0000391</v>
      </c>
      <c r="D896" t="s">
        <v>1141</v>
      </c>
    </row>
    <row r="897" spans="1:4">
      <c r="A897" t="s">
        <v>1140</v>
      </c>
      <c r="B897" t="str">
        <f>IF('01_Warehouse_Ledger'!$A$393="","",'01_Warehouse_Ledger'!$A$393&amp;IF('01_Warehouse_Ledger'!$B$393&lt;&gt;""," | "&amp;'01_Warehouse_Ledger'!$B$393,""))</f>
        <v>PAL-0000392</v>
      </c>
      <c r="C897" t="str">
        <f>IF('01_Warehouse_Ledger'!$A$393="","",'01_Warehouse_Ledger'!$A$393)</f>
        <v>PAL-0000392</v>
      </c>
      <c r="D897" t="s">
        <v>1141</v>
      </c>
    </row>
    <row r="898" spans="1:4">
      <c r="A898" t="s">
        <v>1140</v>
      </c>
      <c r="B898" t="str">
        <f>IF('01_Warehouse_Ledger'!$A$394="","",'01_Warehouse_Ledger'!$A$394&amp;IF('01_Warehouse_Ledger'!$B$394&lt;&gt;""," | "&amp;'01_Warehouse_Ledger'!$B$394,""))</f>
        <v>PAL-0000393</v>
      </c>
      <c r="C898" t="str">
        <f>IF('01_Warehouse_Ledger'!$A$394="","",'01_Warehouse_Ledger'!$A$394)</f>
        <v>PAL-0000393</v>
      </c>
      <c r="D898" t="s">
        <v>1141</v>
      </c>
    </row>
    <row r="899" spans="1:4">
      <c r="A899" t="s">
        <v>1140</v>
      </c>
      <c r="B899" t="str">
        <f>IF('01_Warehouse_Ledger'!$A$395="","",'01_Warehouse_Ledger'!$A$395&amp;IF('01_Warehouse_Ledger'!$B$395&lt;&gt;""," | "&amp;'01_Warehouse_Ledger'!$B$395,""))</f>
        <v>PAL-0000394</v>
      </c>
      <c r="C899" t="str">
        <f>IF('01_Warehouse_Ledger'!$A$395="","",'01_Warehouse_Ledger'!$A$395)</f>
        <v>PAL-0000394</v>
      </c>
      <c r="D899" t="s">
        <v>1141</v>
      </c>
    </row>
    <row r="900" spans="1:4">
      <c r="A900" t="s">
        <v>1140</v>
      </c>
      <c r="B900" t="str">
        <f>IF('01_Warehouse_Ledger'!$A$396="","",'01_Warehouse_Ledger'!$A$396&amp;IF('01_Warehouse_Ledger'!$B$396&lt;&gt;""," | "&amp;'01_Warehouse_Ledger'!$B$396,""))</f>
        <v>PAL-0000395</v>
      </c>
      <c r="C900" t="str">
        <f>IF('01_Warehouse_Ledger'!$A$396="","",'01_Warehouse_Ledger'!$A$396)</f>
        <v>PAL-0000395</v>
      </c>
      <c r="D900" t="s">
        <v>1141</v>
      </c>
    </row>
    <row r="901" spans="1:4">
      <c r="A901" t="s">
        <v>1140</v>
      </c>
      <c r="B901" t="str">
        <f>IF('01_Warehouse_Ledger'!$A$397="","",'01_Warehouse_Ledger'!$A$397&amp;IF('01_Warehouse_Ledger'!$B$397&lt;&gt;""," | "&amp;'01_Warehouse_Ledger'!$B$397,""))</f>
        <v>PAL-0000396</v>
      </c>
      <c r="C901" t="str">
        <f>IF('01_Warehouse_Ledger'!$A$397="","",'01_Warehouse_Ledger'!$A$397)</f>
        <v>PAL-0000396</v>
      </c>
      <c r="D901" t="s">
        <v>1141</v>
      </c>
    </row>
    <row r="902" spans="1:4">
      <c r="A902" t="s">
        <v>1140</v>
      </c>
      <c r="B902" t="str">
        <f>IF('01_Warehouse_Ledger'!$A$398="","",'01_Warehouse_Ledger'!$A$398&amp;IF('01_Warehouse_Ledger'!$B$398&lt;&gt;""," | "&amp;'01_Warehouse_Ledger'!$B$398,""))</f>
        <v>PAL-0000397</v>
      </c>
      <c r="C902" t="str">
        <f>IF('01_Warehouse_Ledger'!$A$398="","",'01_Warehouse_Ledger'!$A$398)</f>
        <v>PAL-0000397</v>
      </c>
      <c r="D902" t="s">
        <v>1141</v>
      </c>
    </row>
    <row r="903" spans="1:4">
      <c r="A903" t="s">
        <v>1140</v>
      </c>
      <c r="B903" t="str">
        <f>IF('01_Warehouse_Ledger'!$A$399="","",'01_Warehouse_Ledger'!$A$399&amp;IF('01_Warehouse_Ledger'!$B$399&lt;&gt;""," | "&amp;'01_Warehouse_Ledger'!$B$399,""))</f>
        <v>PAL-0000398</v>
      </c>
      <c r="C903" t="str">
        <f>IF('01_Warehouse_Ledger'!$A$399="","",'01_Warehouse_Ledger'!$A$399)</f>
        <v>PAL-0000398</v>
      </c>
      <c r="D903" t="s">
        <v>1141</v>
      </c>
    </row>
    <row r="904" spans="1:4">
      <c r="A904" t="s">
        <v>1140</v>
      </c>
      <c r="B904" t="str">
        <f>IF('01_Warehouse_Ledger'!$A$400="","",'01_Warehouse_Ledger'!$A$400&amp;IF('01_Warehouse_Ledger'!$B$400&lt;&gt;""," | "&amp;'01_Warehouse_Ledger'!$B$400,""))</f>
        <v>PAL-0000399</v>
      </c>
      <c r="C904" t="str">
        <f>IF('01_Warehouse_Ledger'!$A$400="","",'01_Warehouse_Ledger'!$A$400)</f>
        <v>PAL-0000399</v>
      </c>
      <c r="D904" t="s">
        <v>1141</v>
      </c>
    </row>
    <row r="905" spans="1:4">
      <c r="A905" t="s">
        <v>1140</v>
      </c>
      <c r="B905" t="str">
        <f>IF('01_Warehouse_Ledger'!$A$401="","",'01_Warehouse_Ledger'!$A$401&amp;IF('01_Warehouse_Ledger'!$B$401&lt;&gt;""," | "&amp;'01_Warehouse_Ledger'!$B$401,""))</f>
        <v>PAL-0000400</v>
      </c>
      <c r="C905" t="str">
        <f>IF('01_Warehouse_Ledger'!$A$401="","",'01_Warehouse_Ledger'!$A$401)</f>
        <v>PAL-0000400</v>
      </c>
      <c r="D905" t="s">
        <v>1141</v>
      </c>
    </row>
    <row r="906" spans="1:4">
      <c r="A906" t="s">
        <v>1140</v>
      </c>
      <c r="B906" t="str">
        <f>IF('01_Warehouse_Ledger'!$A$402="","",'01_Warehouse_Ledger'!$A$402&amp;IF('01_Warehouse_Ledger'!$B$402&lt;&gt;""," | "&amp;'01_Warehouse_Ledger'!$B$402,""))</f>
        <v>PAL-0000401</v>
      </c>
      <c r="C906" t="str">
        <f>IF('01_Warehouse_Ledger'!$A$402="","",'01_Warehouse_Ledger'!$A$402)</f>
        <v>PAL-0000401</v>
      </c>
      <c r="D906" t="s">
        <v>1141</v>
      </c>
    </row>
    <row r="907" spans="1:4">
      <c r="A907" t="s">
        <v>1140</v>
      </c>
      <c r="B907" t="str">
        <f>IF('01_Warehouse_Ledger'!$A$403="","",'01_Warehouse_Ledger'!$A$403&amp;IF('01_Warehouse_Ledger'!$B$403&lt;&gt;""," | "&amp;'01_Warehouse_Ledger'!$B$403,""))</f>
        <v>PAL-0000402</v>
      </c>
      <c r="C907" t="str">
        <f>IF('01_Warehouse_Ledger'!$A$403="","",'01_Warehouse_Ledger'!$A$403)</f>
        <v>PAL-0000402</v>
      </c>
      <c r="D907" t="s">
        <v>1141</v>
      </c>
    </row>
    <row r="908" spans="1:4">
      <c r="A908" t="s">
        <v>1140</v>
      </c>
      <c r="B908" t="str">
        <f>IF('01_Warehouse_Ledger'!$A$404="","",'01_Warehouse_Ledger'!$A$404&amp;IF('01_Warehouse_Ledger'!$B$404&lt;&gt;""," | "&amp;'01_Warehouse_Ledger'!$B$404,""))</f>
        <v>PAL-0000403</v>
      </c>
      <c r="C908" t="str">
        <f>IF('01_Warehouse_Ledger'!$A$404="","",'01_Warehouse_Ledger'!$A$404)</f>
        <v>PAL-0000403</v>
      </c>
      <c r="D908" t="s">
        <v>1141</v>
      </c>
    </row>
    <row r="909" spans="1:4">
      <c r="A909" t="s">
        <v>1140</v>
      </c>
      <c r="B909" t="str">
        <f>IF('01_Warehouse_Ledger'!$A$405="","",'01_Warehouse_Ledger'!$A$405&amp;IF('01_Warehouse_Ledger'!$B$405&lt;&gt;""," | "&amp;'01_Warehouse_Ledger'!$B$405,""))</f>
        <v>PAL-0000404</v>
      </c>
      <c r="C909" t="str">
        <f>IF('01_Warehouse_Ledger'!$A$405="","",'01_Warehouse_Ledger'!$A$405)</f>
        <v>PAL-0000404</v>
      </c>
      <c r="D909" t="s">
        <v>1141</v>
      </c>
    </row>
    <row r="910" spans="1:4">
      <c r="A910" t="s">
        <v>1140</v>
      </c>
      <c r="B910" t="str">
        <f>IF('01_Warehouse_Ledger'!$A$406="","",'01_Warehouse_Ledger'!$A$406&amp;IF('01_Warehouse_Ledger'!$B$406&lt;&gt;""," | "&amp;'01_Warehouse_Ledger'!$B$406,""))</f>
        <v>PAL-0000405</v>
      </c>
      <c r="C910" t="str">
        <f>IF('01_Warehouse_Ledger'!$A$406="","",'01_Warehouse_Ledger'!$A$406)</f>
        <v>PAL-0000405</v>
      </c>
      <c r="D910" t="s">
        <v>1141</v>
      </c>
    </row>
    <row r="911" spans="1:4">
      <c r="A911" t="s">
        <v>1140</v>
      </c>
      <c r="B911" t="str">
        <f>IF('01_Warehouse_Ledger'!$A$407="","",'01_Warehouse_Ledger'!$A$407&amp;IF('01_Warehouse_Ledger'!$B$407&lt;&gt;""," | "&amp;'01_Warehouse_Ledger'!$B$407,""))</f>
        <v>PAL-0000406</v>
      </c>
      <c r="C911" t="str">
        <f>IF('01_Warehouse_Ledger'!$A$407="","",'01_Warehouse_Ledger'!$A$407)</f>
        <v>PAL-0000406</v>
      </c>
      <c r="D911" t="s">
        <v>1141</v>
      </c>
    </row>
    <row r="912" spans="1:4">
      <c r="A912" t="s">
        <v>1140</v>
      </c>
      <c r="B912" t="str">
        <f>IF('01_Warehouse_Ledger'!$A$408="","",'01_Warehouse_Ledger'!$A$408&amp;IF('01_Warehouse_Ledger'!$B$408&lt;&gt;""," | "&amp;'01_Warehouse_Ledger'!$B$408,""))</f>
        <v>PAL-0000407</v>
      </c>
      <c r="C912" t="str">
        <f>IF('01_Warehouse_Ledger'!$A$408="","",'01_Warehouse_Ledger'!$A$408)</f>
        <v>PAL-0000407</v>
      </c>
      <c r="D912" t="s">
        <v>1141</v>
      </c>
    </row>
    <row r="913" spans="1:4">
      <c r="A913" t="s">
        <v>1140</v>
      </c>
      <c r="B913" t="str">
        <f>IF('01_Warehouse_Ledger'!$A$409="","",'01_Warehouse_Ledger'!$A$409&amp;IF('01_Warehouse_Ledger'!$B$409&lt;&gt;""," | "&amp;'01_Warehouse_Ledger'!$B$409,""))</f>
        <v>PAL-0000408</v>
      </c>
      <c r="C913" t="str">
        <f>IF('01_Warehouse_Ledger'!$A$409="","",'01_Warehouse_Ledger'!$A$409)</f>
        <v>PAL-0000408</v>
      </c>
      <c r="D913" t="s">
        <v>1141</v>
      </c>
    </row>
    <row r="914" spans="1:4">
      <c r="A914" t="s">
        <v>1140</v>
      </c>
      <c r="B914" t="str">
        <f>IF('01_Warehouse_Ledger'!$A$410="","",'01_Warehouse_Ledger'!$A$410&amp;IF('01_Warehouse_Ledger'!$B$410&lt;&gt;""," | "&amp;'01_Warehouse_Ledger'!$B$410,""))</f>
        <v>PAL-0000409</v>
      </c>
      <c r="C914" t="str">
        <f>IF('01_Warehouse_Ledger'!$A$410="","",'01_Warehouse_Ledger'!$A$410)</f>
        <v>PAL-0000409</v>
      </c>
      <c r="D914" t="s">
        <v>1141</v>
      </c>
    </row>
    <row r="915" spans="1:4">
      <c r="A915" t="s">
        <v>1140</v>
      </c>
      <c r="B915" t="str">
        <f>IF('01_Warehouse_Ledger'!$A$411="","",'01_Warehouse_Ledger'!$A$411&amp;IF('01_Warehouse_Ledger'!$B$411&lt;&gt;""," | "&amp;'01_Warehouse_Ledger'!$B$411,""))</f>
        <v>PAL-0000410</v>
      </c>
      <c r="C915" t="str">
        <f>IF('01_Warehouse_Ledger'!$A$411="","",'01_Warehouse_Ledger'!$A$411)</f>
        <v>PAL-0000410</v>
      </c>
      <c r="D915" t="s">
        <v>1141</v>
      </c>
    </row>
    <row r="916" spans="1:4">
      <c r="A916" t="s">
        <v>1140</v>
      </c>
      <c r="B916" t="str">
        <f>IF('01_Warehouse_Ledger'!$A$412="","",'01_Warehouse_Ledger'!$A$412&amp;IF('01_Warehouse_Ledger'!$B$412&lt;&gt;""," | "&amp;'01_Warehouse_Ledger'!$B$412,""))</f>
        <v>PAL-0000411</v>
      </c>
      <c r="C916" t="str">
        <f>IF('01_Warehouse_Ledger'!$A$412="","",'01_Warehouse_Ledger'!$A$412)</f>
        <v>PAL-0000411</v>
      </c>
      <c r="D916" t="s">
        <v>1141</v>
      </c>
    </row>
    <row r="917" spans="1:4">
      <c r="A917" t="s">
        <v>1140</v>
      </c>
      <c r="B917" t="str">
        <f>IF('01_Warehouse_Ledger'!$A$413="","",'01_Warehouse_Ledger'!$A$413&amp;IF('01_Warehouse_Ledger'!$B$413&lt;&gt;""," | "&amp;'01_Warehouse_Ledger'!$B$413,""))</f>
        <v>PAL-0000412</v>
      </c>
      <c r="C917" t="str">
        <f>IF('01_Warehouse_Ledger'!$A$413="","",'01_Warehouse_Ledger'!$A$413)</f>
        <v>PAL-0000412</v>
      </c>
      <c r="D917" t="s">
        <v>1141</v>
      </c>
    </row>
    <row r="918" spans="1:4">
      <c r="A918" t="s">
        <v>1140</v>
      </c>
      <c r="B918" t="str">
        <f>IF('01_Warehouse_Ledger'!$A$414="","",'01_Warehouse_Ledger'!$A$414&amp;IF('01_Warehouse_Ledger'!$B$414&lt;&gt;""," | "&amp;'01_Warehouse_Ledger'!$B$414,""))</f>
        <v>PAL-0000413</v>
      </c>
      <c r="C918" t="str">
        <f>IF('01_Warehouse_Ledger'!$A$414="","",'01_Warehouse_Ledger'!$A$414)</f>
        <v>PAL-0000413</v>
      </c>
      <c r="D918" t="s">
        <v>1141</v>
      </c>
    </row>
    <row r="919" spans="1:4">
      <c r="A919" t="s">
        <v>1140</v>
      </c>
      <c r="B919" t="str">
        <f>IF('01_Warehouse_Ledger'!$A$415="","",'01_Warehouse_Ledger'!$A$415&amp;IF('01_Warehouse_Ledger'!$B$415&lt;&gt;""," | "&amp;'01_Warehouse_Ledger'!$B$415,""))</f>
        <v>PAL-0000414</v>
      </c>
      <c r="C919" t="str">
        <f>IF('01_Warehouse_Ledger'!$A$415="","",'01_Warehouse_Ledger'!$A$415)</f>
        <v>PAL-0000414</v>
      </c>
      <c r="D919" t="s">
        <v>1141</v>
      </c>
    </row>
    <row r="920" spans="1:4">
      <c r="A920" t="s">
        <v>1140</v>
      </c>
      <c r="B920" t="str">
        <f>IF('01_Warehouse_Ledger'!$A$416="","",'01_Warehouse_Ledger'!$A$416&amp;IF('01_Warehouse_Ledger'!$B$416&lt;&gt;""," | "&amp;'01_Warehouse_Ledger'!$B$416,""))</f>
        <v>PAL-0000415</v>
      </c>
      <c r="C920" t="str">
        <f>IF('01_Warehouse_Ledger'!$A$416="","",'01_Warehouse_Ledger'!$A$416)</f>
        <v>PAL-0000415</v>
      </c>
      <c r="D920" t="s">
        <v>1141</v>
      </c>
    </row>
    <row r="921" spans="1:4">
      <c r="A921" t="s">
        <v>1140</v>
      </c>
      <c r="B921" t="str">
        <f>IF('01_Warehouse_Ledger'!$A$417="","",'01_Warehouse_Ledger'!$A$417&amp;IF('01_Warehouse_Ledger'!$B$417&lt;&gt;""," | "&amp;'01_Warehouse_Ledger'!$B$417,""))</f>
        <v>PAL-0000416</v>
      </c>
      <c r="C921" t="str">
        <f>IF('01_Warehouse_Ledger'!$A$417="","",'01_Warehouse_Ledger'!$A$417)</f>
        <v>PAL-0000416</v>
      </c>
      <c r="D921" t="s">
        <v>1141</v>
      </c>
    </row>
    <row r="922" spans="1:4">
      <c r="A922" t="s">
        <v>1140</v>
      </c>
      <c r="B922" t="str">
        <f>IF('01_Warehouse_Ledger'!$A$418="","",'01_Warehouse_Ledger'!$A$418&amp;IF('01_Warehouse_Ledger'!$B$418&lt;&gt;""," | "&amp;'01_Warehouse_Ledger'!$B$418,""))</f>
        <v>PAL-0000417</v>
      </c>
      <c r="C922" t="str">
        <f>IF('01_Warehouse_Ledger'!$A$418="","",'01_Warehouse_Ledger'!$A$418)</f>
        <v>PAL-0000417</v>
      </c>
      <c r="D922" t="s">
        <v>1141</v>
      </c>
    </row>
    <row r="923" spans="1:4">
      <c r="A923" t="s">
        <v>1140</v>
      </c>
      <c r="B923" t="str">
        <f>IF('01_Warehouse_Ledger'!$A$419="","",'01_Warehouse_Ledger'!$A$419&amp;IF('01_Warehouse_Ledger'!$B$419&lt;&gt;""," | "&amp;'01_Warehouse_Ledger'!$B$419,""))</f>
        <v>PAL-0000418</v>
      </c>
      <c r="C923" t="str">
        <f>IF('01_Warehouse_Ledger'!$A$419="","",'01_Warehouse_Ledger'!$A$419)</f>
        <v>PAL-0000418</v>
      </c>
      <c r="D923" t="s">
        <v>1141</v>
      </c>
    </row>
    <row r="924" spans="1:4">
      <c r="A924" t="s">
        <v>1140</v>
      </c>
      <c r="B924" t="str">
        <f>IF('01_Warehouse_Ledger'!$A$420="","",'01_Warehouse_Ledger'!$A$420&amp;IF('01_Warehouse_Ledger'!$B$420&lt;&gt;""," | "&amp;'01_Warehouse_Ledger'!$B$420,""))</f>
        <v>PAL-0000419</v>
      </c>
      <c r="C924" t="str">
        <f>IF('01_Warehouse_Ledger'!$A$420="","",'01_Warehouse_Ledger'!$A$420)</f>
        <v>PAL-0000419</v>
      </c>
      <c r="D924" t="s">
        <v>1141</v>
      </c>
    </row>
    <row r="925" spans="1:4">
      <c r="A925" t="s">
        <v>1140</v>
      </c>
      <c r="B925" t="str">
        <f>IF('01_Warehouse_Ledger'!$A$421="","",'01_Warehouse_Ledger'!$A$421&amp;IF('01_Warehouse_Ledger'!$B$421&lt;&gt;""," | "&amp;'01_Warehouse_Ledger'!$B$421,""))</f>
        <v>PAL-0000420</v>
      </c>
      <c r="C925" t="str">
        <f>IF('01_Warehouse_Ledger'!$A$421="","",'01_Warehouse_Ledger'!$A$421)</f>
        <v>PAL-0000420</v>
      </c>
      <c r="D925" t="s">
        <v>1141</v>
      </c>
    </row>
    <row r="926" spans="1:4">
      <c r="A926" t="s">
        <v>1140</v>
      </c>
      <c r="B926" t="str">
        <f>IF('01_Warehouse_Ledger'!$A$422="","",'01_Warehouse_Ledger'!$A$422&amp;IF('01_Warehouse_Ledger'!$B$422&lt;&gt;""," | "&amp;'01_Warehouse_Ledger'!$B$422,""))</f>
        <v>PAL-0000421</v>
      </c>
      <c r="C926" t="str">
        <f>IF('01_Warehouse_Ledger'!$A$422="","",'01_Warehouse_Ledger'!$A$422)</f>
        <v>PAL-0000421</v>
      </c>
      <c r="D926" t="s">
        <v>1141</v>
      </c>
    </row>
    <row r="927" spans="1:4">
      <c r="A927" t="s">
        <v>1140</v>
      </c>
      <c r="B927" t="str">
        <f>IF('01_Warehouse_Ledger'!$A$423="","",'01_Warehouse_Ledger'!$A$423&amp;IF('01_Warehouse_Ledger'!$B$423&lt;&gt;""," | "&amp;'01_Warehouse_Ledger'!$B$423,""))</f>
        <v>PAL-0000422</v>
      </c>
      <c r="C927" t="str">
        <f>IF('01_Warehouse_Ledger'!$A$423="","",'01_Warehouse_Ledger'!$A$423)</f>
        <v>PAL-0000422</v>
      </c>
      <c r="D927" t="s">
        <v>1141</v>
      </c>
    </row>
    <row r="928" spans="1:4">
      <c r="A928" t="s">
        <v>1140</v>
      </c>
      <c r="B928" t="str">
        <f>IF('01_Warehouse_Ledger'!$A$424="","",'01_Warehouse_Ledger'!$A$424&amp;IF('01_Warehouse_Ledger'!$B$424&lt;&gt;""," | "&amp;'01_Warehouse_Ledger'!$B$424,""))</f>
        <v>PAL-0000423</v>
      </c>
      <c r="C928" t="str">
        <f>IF('01_Warehouse_Ledger'!$A$424="","",'01_Warehouse_Ledger'!$A$424)</f>
        <v>PAL-0000423</v>
      </c>
      <c r="D928" t="s">
        <v>1141</v>
      </c>
    </row>
    <row r="929" spans="1:4">
      <c r="A929" t="s">
        <v>1140</v>
      </c>
      <c r="B929" t="str">
        <f>IF('01_Warehouse_Ledger'!$A$425="","",'01_Warehouse_Ledger'!$A$425&amp;IF('01_Warehouse_Ledger'!$B$425&lt;&gt;""," | "&amp;'01_Warehouse_Ledger'!$B$425,""))</f>
        <v>PAL-0000424</v>
      </c>
      <c r="C929" t="str">
        <f>IF('01_Warehouse_Ledger'!$A$425="","",'01_Warehouse_Ledger'!$A$425)</f>
        <v>PAL-0000424</v>
      </c>
      <c r="D929" t="s">
        <v>1141</v>
      </c>
    </row>
    <row r="930" spans="1:4">
      <c r="A930" t="s">
        <v>1140</v>
      </c>
      <c r="B930" t="str">
        <f>IF('01_Warehouse_Ledger'!$A$426="","",'01_Warehouse_Ledger'!$A$426&amp;IF('01_Warehouse_Ledger'!$B$426&lt;&gt;""," | "&amp;'01_Warehouse_Ledger'!$B$426,""))</f>
        <v>PAL-0000425</v>
      </c>
      <c r="C930" t="str">
        <f>IF('01_Warehouse_Ledger'!$A$426="","",'01_Warehouse_Ledger'!$A$426)</f>
        <v>PAL-0000425</v>
      </c>
      <c r="D930" t="s">
        <v>1141</v>
      </c>
    </row>
    <row r="931" spans="1:4">
      <c r="A931" t="s">
        <v>1140</v>
      </c>
      <c r="B931" t="str">
        <f>IF('01_Warehouse_Ledger'!$A$427="","",'01_Warehouse_Ledger'!$A$427&amp;IF('01_Warehouse_Ledger'!$B$427&lt;&gt;""," | "&amp;'01_Warehouse_Ledger'!$B$427,""))</f>
        <v>PAL-0000426</v>
      </c>
      <c r="C931" t="str">
        <f>IF('01_Warehouse_Ledger'!$A$427="","",'01_Warehouse_Ledger'!$A$427)</f>
        <v>PAL-0000426</v>
      </c>
      <c r="D931" t="s">
        <v>1141</v>
      </c>
    </row>
    <row r="932" spans="1:4">
      <c r="A932" t="s">
        <v>1140</v>
      </c>
      <c r="B932" t="str">
        <f>IF('01_Warehouse_Ledger'!$A$428="","",'01_Warehouse_Ledger'!$A$428&amp;IF('01_Warehouse_Ledger'!$B$428&lt;&gt;""," | "&amp;'01_Warehouse_Ledger'!$B$428,""))</f>
        <v>PAL-0000427</v>
      </c>
      <c r="C932" t="str">
        <f>IF('01_Warehouse_Ledger'!$A$428="","",'01_Warehouse_Ledger'!$A$428)</f>
        <v>PAL-0000427</v>
      </c>
      <c r="D932" t="s">
        <v>1141</v>
      </c>
    </row>
    <row r="933" spans="1:4">
      <c r="A933" t="s">
        <v>1140</v>
      </c>
      <c r="B933" t="str">
        <f>IF('01_Warehouse_Ledger'!$A$429="","",'01_Warehouse_Ledger'!$A$429&amp;IF('01_Warehouse_Ledger'!$B$429&lt;&gt;""," | "&amp;'01_Warehouse_Ledger'!$B$429,""))</f>
        <v>PAL-0000428</v>
      </c>
      <c r="C933" t="str">
        <f>IF('01_Warehouse_Ledger'!$A$429="","",'01_Warehouse_Ledger'!$A$429)</f>
        <v>PAL-0000428</v>
      </c>
      <c r="D933" t="s">
        <v>1141</v>
      </c>
    </row>
    <row r="934" spans="1:4">
      <c r="A934" t="s">
        <v>1140</v>
      </c>
      <c r="B934" t="str">
        <f>IF('01_Warehouse_Ledger'!$A$430="","",'01_Warehouse_Ledger'!$A$430&amp;IF('01_Warehouse_Ledger'!$B$430&lt;&gt;""," | "&amp;'01_Warehouse_Ledger'!$B$430,""))</f>
        <v>PAL-0000429</v>
      </c>
      <c r="C934" t="str">
        <f>IF('01_Warehouse_Ledger'!$A$430="","",'01_Warehouse_Ledger'!$A$430)</f>
        <v>PAL-0000429</v>
      </c>
      <c r="D934" t="s">
        <v>1141</v>
      </c>
    </row>
    <row r="935" spans="1:4">
      <c r="A935" t="s">
        <v>1140</v>
      </c>
      <c r="B935" t="str">
        <f>IF('01_Warehouse_Ledger'!$A$431="","",'01_Warehouse_Ledger'!$A$431&amp;IF('01_Warehouse_Ledger'!$B$431&lt;&gt;""," | "&amp;'01_Warehouse_Ledger'!$B$431,""))</f>
        <v>PAL-0000430</v>
      </c>
      <c r="C935" t="str">
        <f>IF('01_Warehouse_Ledger'!$A$431="","",'01_Warehouse_Ledger'!$A$431)</f>
        <v>PAL-0000430</v>
      </c>
      <c r="D935" t="s">
        <v>1141</v>
      </c>
    </row>
    <row r="936" spans="1:4">
      <c r="A936" t="s">
        <v>1140</v>
      </c>
      <c r="B936" t="str">
        <f>IF('01_Warehouse_Ledger'!$A$432="","",'01_Warehouse_Ledger'!$A$432&amp;IF('01_Warehouse_Ledger'!$B$432&lt;&gt;""," | "&amp;'01_Warehouse_Ledger'!$B$432,""))</f>
        <v>PAL-0000431</v>
      </c>
      <c r="C936" t="str">
        <f>IF('01_Warehouse_Ledger'!$A$432="","",'01_Warehouse_Ledger'!$A$432)</f>
        <v>PAL-0000431</v>
      </c>
      <c r="D936" t="s">
        <v>1141</v>
      </c>
    </row>
    <row r="937" spans="1:4">
      <c r="A937" t="s">
        <v>1140</v>
      </c>
      <c r="B937" t="str">
        <f>IF('01_Warehouse_Ledger'!$A$433="","",'01_Warehouse_Ledger'!$A$433&amp;IF('01_Warehouse_Ledger'!$B$433&lt;&gt;""," | "&amp;'01_Warehouse_Ledger'!$B$433,""))</f>
        <v>PAL-0000432</v>
      </c>
      <c r="C937" t="str">
        <f>IF('01_Warehouse_Ledger'!$A$433="","",'01_Warehouse_Ledger'!$A$433)</f>
        <v>PAL-0000432</v>
      </c>
      <c r="D937" t="s">
        <v>1141</v>
      </c>
    </row>
    <row r="938" spans="1:4">
      <c r="A938" t="s">
        <v>1140</v>
      </c>
      <c r="B938" t="str">
        <f>IF('01_Warehouse_Ledger'!$A$434="","",'01_Warehouse_Ledger'!$A$434&amp;IF('01_Warehouse_Ledger'!$B$434&lt;&gt;""," | "&amp;'01_Warehouse_Ledger'!$B$434,""))</f>
        <v>PAL-0000433</v>
      </c>
      <c r="C938" t="str">
        <f>IF('01_Warehouse_Ledger'!$A$434="","",'01_Warehouse_Ledger'!$A$434)</f>
        <v>PAL-0000433</v>
      </c>
      <c r="D938" t="s">
        <v>1141</v>
      </c>
    </row>
    <row r="939" spans="1:4">
      <c r="A939" t="s">
        <v>1140</v>
      </c>
      <c r="B939" t="str">
        <f>IF('01_Warehouse_Ledger'!$A$435="","",'01_Warehouse_Ledger'!$A$435&amp;IF('01_Warehouse_Ledger'!$B$435&lt;&gt;""," | "&amp;'01_Warehouse_Ledger'!$B$435,""))</f>
        <v>PAL-0000434</v>
      </c>
      <c r="C939" t="str">
        <f>IF('01_Warehouse_Ledger'!$A$435="","",'01_Warehouse_Ledger'!$A$435)</f>
        <v>PAL-0000434</v>
      </c>
      <c r="D939" t="s">
        <v>1141</v>
      </c>
    </row>
    <row r="940" spans="1:4">
      <c r="A940" t="s">
        <v>1140</v>
      </c>
      <c r="B940" t="str">
        <f>IF('01_Warehouse_Ledger'!$A$436="","",'01_Warehouse_Ledger'!$A$436&amp;IF('01_Warehouse_Ledger'!$B$436&lt;&gt;""," | "&amp;'01_Warehouse_Ledger'!$B$436,""))</f>
        <v>PAL-0000435</v>
      </c>
      <c r="C940" t="str">
        <f>IF('01_Warehouse_Ledger'!$A$436="","",'01_Warehouse_Ledger'!$A$436)</f>
        <v>PAL-0000435</v>
      </c>
      <c r="D940" t="s">
        <v>1141</v>
      </c>
    </row>
    <row r="941" spans="1:4">
      <c r="A941" t="s">
        <v>1140</v>
      </c>
      <c r="B941" t="str">
        <f>IF('01_Warehouse_Ledger'!$A$437="","",'01_Warehouse_Ledger'!$A$437&amp;IF('01_Warehouse_Ledger'!$B$437&lt;&gt;""," | "&amp;'01_Warehouse_Ledger'!$B$437,""))</f>
        <v>PAL-0000436</v>
      </c>
      <c r="C941" t="str">
        <f>IF('01_Warehouse_Ledger'!$A$437="","",'01_Warehouse_Ledger'!$A$437)</f>
        <v>PAL-0000436</v>
      </c>
      <c r="D941" t="s">
        <v>1141</v>
      </c>
    </row>
    <row r="942" spans="1:4">
      <c r="A942" t="s">
        <v>1140</v>
      </c>
      <c r="B942" t="str">
        <f>IF('01_Warehouse_Ledger'!$A$438="","",'01_Warehouse_Ledger'!$A$438&amp;IF('01_Warehouse_Ledger'!$B$438&lt;&gt;""," | "&amp;'01_Warehouse_Ledger'!$B$438,""))</f>
        <v>PAL-0000437</v>
      </c>
      <c r="C942" t="str">
        <f>IF('01_Warehouse_Ledger'!$A$438="","",'01_Warehouse_Ledger'!$A$438)</f>
        <v>PAL-0000437</v>
      </c>
      <c r="D942" t="s">
        <v>1141</v>
      </c>
    </row>
    <row r="943" spans="1:4">
      <c r="A943" t="s">
        <v>1140</v>
      </c>
      <c r="B943" t="str">
        <f>IF('01_Warehouse_Ledger'!$A$439="","",'01_Warehouse_Ledger'!$A$439&amp;IF('01_Warehouse_Ledger'!$B$439&lt;&gt;""," | "&amp;'01_Warehouse_Ledger'!$B$439,""))</f>
        <v>PAL-0000438</v>
      </c>
      <c r="C943" t="str">
        <f>IF('01_Warehouse_Ledger'!$A$439="","",'01_Warehouse_Ledger'!$A$439)</f>
        <v>PAL-0000438</v>
      </c>
      <c r="D943" t="s">
        <v>1141</v>
      </c>
    </row>
    <row r="944" spans="1:4">
      <c r="A944" t="s">
        <v>1140</v>
      </c>
      <c r="B944" t="str">
        <f>IF('01_Warehouse_Ledger'!$A$440="","",'01_Warehouse_Ledger'!$A$440&amp;IF('01_Warehouse_Ledger'!$B$440&lt;&gt;""," | "&amp;'01_Warehouse_Ledger'!$B$440,""))</f>
        <v>PAL-0000439</v>
      </c>
      <c r="C944" t="str">
        <f>IF('01_Warehouse_Ledger'!$A$440="","",'01_Warehouse_Ledger'!$A$440)</f>
        <v>PAL-0000439</v>
      </c>
      <c r="D944" t="s">
        <v>1141</v>
      </c>
    </row>
    <row r="945" spans="1:4">
      <c r="A945" t="s">
        <v>1140</v>
      </c>
      <c r="B945" t="str">
        <f>IF('01_Warehouse_Ledger'!$A$441="","",'01_Warehouse_Ledger'!$A$441&amp;IF('01_Warehouse_Ledger'!$B$441&lt;&gt;""," | "&amp;'01_Warehouse_Ledger'!$B$441,""))</f>
        <v>PAL-0000440</v>
      </c>
      <c r="C945" t="str">
        <f>IF('01_Warehouse_Ledger'!$A$441="","",'01_Warehouse_Ledger'!$A$441)</f>
        <v>PAL-0000440</v>
      </c>
      <c r="D945" t="s">
        <v>1141</v>
      </c>
    </row>
    <row r="946" spans="1:4">
      <c r="A946" t="s">
        <v>1140</v>
      </c>
      <c r="B946" t="str">
        <f>IF('01_Warehouse_Ledger'!$A$442="","",'01_Warehouse_Ledger'!$A$442&amp;IF('01_Warehouse_Ledger'!$B$442&lt;&gt;""," | "&amp;'01_Warehouse_Ledger'!$B$442,""))</f>
        <v>PAL-0000441</v>
      </c>
      <c r="C946" t="str">
        <f>IF('01_Warehouse_Ledger'!$A$442="","",'01_Warehouse_Ledger'!$A$442)</f>
        <v>PAL-0000441</v>
      </c>
      <c r="D946" t="s">
        <v>1141</v>
      </c>
    </row>
    <row r="947" spans="1:4">
      <c r="A947" t="s">
        <v>1140</v>
      </c>
      <c r="B947" t="str">
        <f>IF('01_Warehouse_Ledger'!$A$443="","",'01_Warehouse_Ledger'!$A$443&amp;IF('01_Warehouse_Ledger'!$B$443&lt;&gt;""," | "&amp;'01_Warehouse_Ledger'!$B$443,""))</f>
        <v>PAL-0000442</v>
      </c>
      <c r="C947" t="str">
        <f>IF('01_Warehouse_Ledger'!$A$443="","",'01_Warehouse_Ledger'!$A$443)</f>
        <v>PAL-0000442</v>
      </c>
      <c r="D947" t="s">
        <v>1141</v>
      </c>
    </row>
    <row r="948" spans="1:4">
      <c r="A948" t="s">
        <v>1140</v>
      </c>
      <c r="B948" t="str">
        <f>IF('01_Warehouse_Ledger'!$A$444="","",'01_Warehouse_Ledger'!$A$444&amp;IF('01_Warehouse_Ledger'!$B$444&lt;&gt;""," | "&amp;'01_Warehouse_Ledger'!$B$444,""))</f>
        <v>PAL-0000443</v>
      </c>
      <c r="C948" t="str">
        <f>IF('01_Warehouse_Ledger'!$A$444="","",'01_Warehouse_Ledger'!$A$444)</f>
        <v>PAL-0000443</v>
      </c>
      <c r="D948" t="s">
        <v>1141</v>
      </c>
    </row>
    <row r="949" spans="1:4">
      <c r="A949" t="s">
        <v>1140</v>
      </c>
      <c r="B949" t="str">
        <f>IF('01_Warehouse_Ledger'!$A$445="","",'01_Warehouse_Ledger'!$A$445&amp;IF('01_Warehouse_Ledger'!$B$445&lt;&gt;""," | "&amp;'01_Warehouse_Ledger'!$B$445,""))</f>
        <v>PAL-0000444</v>
      </c>
      <c r="C949" t="str">
        <f>IF('01_Warehouse_Ledger'!$A$445="","",'01_Warehouse_Ledger'!$A$445)</f>
        <v>PAL-0000444</v>
      </c>
      <c r="D949" t="s">
        <v>1141</v>
      </c>
    </row>
    <row r="950" spans="1:4">
      <c r="A950" t="s">
        <v>1140</v>
      </c>
      <c r="B950" t="str">
        <f>IF('01_Warehouse_Ledger'!$A$446="","",'01_Warehouse_Ledger'!$A$446&amp;IF('01_Warehouse_Ledger'!$B$446&lt;&gt;""," | "&amp;'01_Warehouse_Ledger'!$B$446,""))</f>
        <v>PAL-0000445</v>
      </c>
      <c r="C950" t="str">
        <f>IF('01_Warehouse_Ledger'!$A$446="","",'01_Warehouse_Ledger'!$A$446)</f>
        <v>PAL-0000445</v>
      </c>
      <c r="D950" t="s">
        <v>1141</v>
      </c>
    </row>
    <row r="951" spans="1:4">
      <c r="A951" t="s">
        <v>1140</v>
      </c>
      <c r="B951" t="str">
        <f>IF('01_Warehouse_Ledger'!$A$447="","",'01_Warehouse_Ledger'!$A$447&amp;IF('01_Warehouse_Ledger'!$B$447&lt;&gt;""," | "&amp;'01_Warehouse_Ledger'!$B$447,""))</f>
        <v>PAL-0000446</v>
      </c>
      <c r="C951" t="str">
        <f>IF('01_Warehouse_Ledger'!$A$447="","",'01_Warehouse_Ledger'!$A$447)</f>
        <v>PAL-0000446</v>
      </c>
      <c r="D951" t="s">
        <v>1141</v>
      </c>
    </row>
    <row r="952" spans="1:4">
      <c r="A952" t="s">
        <v>1140</v>
      </c>
      <c r="B952" t="str">
        <f>IF('01_Warehouse_Ledger'!$A$448="","",'01_Warehouse_Ledger'!$A$448&amp;IF('01_Warehouse_Ledger'!$B$448&lt;&gt;""," | "&amp;'01_Warehouse_Ledger'!$B$448,""))</f>
        <v>PAL-0000447</v>
      </c>
      <c r="C952" t="str">
        <f>IF('01_Warehouse_Ledger'!$A$448="","",'01_Warehouse_Ledger'!$A$448)</f>
        <v>PAL-0000447</v>
      </c>
      <c r="D952" t="s">
        <v>1141</v>
      </c>
    </row>
    <row r="953" spans="1:4">
      <c r="A953" t="s">
        <v>1140</v>
      </c>
      <c r="B953" t="str">
        <f>IF('01_Warehouse_Ledger'!$A$449="","",'01_Warehouse_Ledger'!$A$449&amp;IF('01_Warehouse_Ledger'!$B$449&lt;&gt;""," | "&amp;'01_Warehouse_Ledger'!$B$449,""))</f>
        <v>PAL-0000448</v>
      </c>
      <c r="C953" t="str">
        <f>IF('01_Warehouse_Ledger'!$A$449="","",'01_Warehouse_Ledger'!$A$449)</f>
        <v>PAL-0000448</v>
      </c>
      <c r="D953" t="s">
        <v>1141</v>
      </c>
    </row>
    <row r="954" spans="1:4">
      <c r="A954" t="s">
        <v>1140</v>
      </c>
      <c r="B954" t="str">
        <f>IF('01_Warehouse_Ledger'!$A$450="","",'01_Warehouse_Ledger'!$A$450&amp;IF('01_Warehouse_Ledger'!$B$450&lt;&gt;""," | "&amp;'01_Warehouse_Ledger'!$B$450,""))</f>
        <v>PAL-0000449</v>
      </c>
      <c r="C954" t="str">
        <f>IF('01_Warehouse_Ledger'!$A$450="","",'01_Warehouse_Ledger'!$A$450)</f>
        <v>PAL-0000449</v>
      </c>
      <c r="D954" t="s">
        <v>1141</v>
      </c>
    </row>
    <row r="955" spans="1:4">
      <c r="A955" t="s">
        <v>1140</v>
      </c>
      <c r="B955" t="str">
        <f>IF('01_Warehouse_Ledger'!$A$451="","",'01_Warehouse_Ledger'!$A$451&amp;IF('01_Warehouse_Ledger'!$B$451&lt;&gt;""," | "&amp;'01_Warehouse_Ledger'!$B$451,""))</f>
        <v>PAL-0000450</v>
      </c>
      <c r="C955" t="str">
        <f>IF('01_Warehouse_Ledger'!$A$451="","",'01_Warehouse_Ledger'!$A$451)</f>
        <v>PAL-0000450</v>
      </c>
      <c r="D955" t="s">
        <v>1141</v>
      </c>
    </row>
    <row r="956" spans="1:4">
      <c r="A956" t="s">
        <v>1140</v>
      </c>
      <c r="B956" t="str">
        <f>IF('01_Warehouse_Ledger'!$A$452="","",'01_Warehouse_Ledger'!$A$452&amp;IF('01_Warehouse_Ledger'!$B$452&lt;&gt;""," | "&amp;'01_Warehouse_Ledger'!$B$452,""))</f>
        <v>PAL-0000451</v>
      </c>
      <c r="C956" t="str">
        <f>IF('01_Warehouse_Ledger'!$A$452="","",'01_Warehouse_Ledger'!$A$452)</f>
        <v>PAL-0000451</v>
      </c>
      <c r="D956" t="s">
        <v>1141</v>
      </c>
    </row>
    <row r="957" spans="1:4">
      <c r="A957" t="s">
        <v>1140</v>
      </c>
      <c r="B957" t="str">
        <f>IF('01_Warehouse_Ledger'!$A$453="","",'01_Warehouse_Ledger'!$A$453&amp;IF('01_Warehouse_Ledger'!$B$453&lt;&gt;""," | "&amp;'01_Warehouse_Ledger'!$B$453,""))</f>
        <v>PAL-0000452</v>
      </c>
      <c r="C957" t="str">
        <f>IF('01_Warehouse_Ledger'!$A$453="","",'01_Warehouse_Ledger'!$A$453)</f>
        <v>PAL-0000452</v>
      </c>
      <c r="D957" t="s">
        <v>1141</v>
      </c>
    </row>
    <row r="958" spans="1:4">
      <c r="A958" t="s">
        <v>1140</v>
      </c>
      <c r="B958" t="str">
        <f>IF('01_Warehouse_Ledger'!$A$454="","",'01_Warehouse_Ledger'!$A$454&amp;IF('01_Warehouse_Ledger'!$B$454&lt;&gt;""," | "&amp;'01_Warehouse_Ledger'!$B$454,""))</f>
        <v>PAL-0000453</v>
      </c>
      <c r="C958" t="str">
        <f>IF('01_Warehouse_Ledger'!$A$454="","",'01_Warehouse_Ledger'!$A$454)</f>
        <v>PAL-0000453</v>
      </c>
      <c r="D958" t="s">
        <v>1141</v>
      </c>
    </row>
    <row r="959" spans="1:4">
      <c r="A959" t="s">
        <v>1140</v>
      </c>
      <c r="B959" t="str">
        <f>IF('01_Warehouse_Ledger'!$A$455="","",'01_Warehouse_Ledger'!$A$455&amp;IF('01_Warehouse_Ledger'!$B$455&lt;&gt;""," | "&amp;'01_Warehouse_Ledger'!$B$455,""))</f>
        <v>PAL-0000454</v>
      </c>
      <c r="C959" t="str">
        <f>IF('01_Warehouse_Ledger'!$A$455="","",'01_Warehouse_Ledger'!$A$455)</f>
        <v>PAL-0000454</v>
      </c>
      <c r="D959" t="s">
        <v>1141</v>
      </c>
    </row>
    <row r="960" spans="1:4">
      <c r="A960" t="s">
        <v>1140</v>
      </c>
      <c r="B960" t="str">
        <f>IF('01_Warehouse_Ledger'!$A$456="","",'01_Warehouse_Ledger'!$A$456&amp;IF('01_Warehouse_Ledger'!$B$456&lt;&gt;""," | "&amp;'01_Warehouse_Ledger'!$B$456,""))</f>
        <v>PAL-0000455</v>
      </c>
      <c r="C960" t="str">
        <f>IF('01_Warehouse_Ledger'!$A$456="","",'01_Warehouse_Ledger'!$A$456)</f>
        <v>PAL-0000455</v>
      </c>
      <c r="D960" t="s">
        <v>1141</v>
      </c>
    </row>
    <row r="961" spans="1:4">
      <c r="A961" t="s">
        <v>1140</v>
      </c>
      <c r="B961" t="str">
        <f>IF('01_Warehouse_Ledger'!$A$457="","",'01_Warehouse_Ledger'!$A$457&amp;IF('01_Warehouse_Ledger'!$B$457&lt;&gt;""," | "&amp;'01_Warehouse_Ledger'!$B$457,""))</f>
        <v>PAL-0000456</v>
      </c>
      <c r="C961" t="str">
        <f>IF('01_Warehouse_Ledger'!$A$457="","",'01_Warehouse_Ledger'!$A$457)</f>
        <v>PAL-0000456</v>
      </c>
      <c r="D961" t="s">
        <v>1141</v>
      </c>
    </row>
    <row r="962" spans="1:4">
      <c r="A962" t="s">
        <v>1140</v>
      </c>
      <c r="B962" t="str">
        <f>IF('01_Warehouse_Ledger'!$A$458="","",'01_Warehouse_Ledger'!$A$458&amp;IF('01_Warehouse_Ledger'!$B$458&lt;&gt;""," | "&amp;'01_Warehouse_Ledger'!$B$458,""))</f>
        <v>PAL-0000457</v>
      </c>
      <c r="C962" t="str">
        <f>IF('01_Warehouse_Ledger'!$A$458="","",'01_Warehouse_Ledger'!$A$458)</f>
        <v>PAL-0000457</v>
      </c>
      <c r="D962" t="s">
        <v>1141</v>
      </c>
    </row>
    <row r="963" spans="1:4">
      <c r="A963" t="s">
        <v>1140</v>
      </c>
      <c r="B963" t="str">
        <f>IF('01_Warehouse_Ledger'!$A$459="","",'01_Warehouse_Ledger'!$A$459&amp;IF('01_Warehouse_Ledger'!$B$459&lt;&gt;""," | "&amp;'01_Warehouse_Ledger'!$B$459,""))</f>
        <v>PAL-0000458</v>
      </c>
      <c r="C963" t="str">
        <f>IF('01_Warehouse_Ledger'!$A$459="","",'01_Warehouse_Ledger'!$A$459)</f>
        <v>PAL-0000458</v>
      </c>
      <c r="D963" t="s">
        <v>1141</v>
      </c>
    </row>
    <row r="964" spans="1:4">
      <c r="A964" t="s">
        <v>1140</v>
      </c>
      <c r="B964" t="str">
        <f>IF('01_Warehouse_Ledger'!$A$460="","",'01_Warehouse_Ledger'!$A$460&amp;IF('01_Warehouse_Ledger'!$B$460&lt;&gt;""," | "&amp;'01_Warehouse_Ledger'!$B$460,""))</f>
        <v>PAL-0000459</v>
      </c>
      <c r="C964" t="str">
        <f>IF('01_Warehouse_Ledger'!$A$460="","",'01_Warehouse_Ledger'!$A$460)</f>
        <v>PAL-0000459</v>
      </c>
      <c r="D964" t="s">
        <v>1141</v>
      </c>
    </row>
    <row r="965" spans="1:4">
      <c r="A965" t="s">
        <v>1140</v>
      </c>
      <c r="B965" t="str">
        <f>IF('01_Warehouse_Ledger'!$A$461="","",'01_Warehouse_Ledger'!$A$461&amp;IF('01_Warehouse_Ledger'!$B$461&lt;&gt;""," | "&amp;'01_Warehouse_Ledger'!$B$461,""))</f>
        <v>PAL-0000460</v>
      </c>
      <c r="C965" t="str">
        <f>IF('01_Warehouse_Ledger'!$A$461="","",'01_Warehouse_Ledger'!$A$461)</f>
        <v>PAL-0000460</v>
      </c>
      <c r="D965" t="s">
        <v>1141</v>
      </c>
    </row>
    <row r="966" spans="1:4">
      <c r="A966" t="s">
        <v>1140</v>
      </c>
      <c r="B966" t="str">
        <f>IF('01_Warehouse_Ledger'!$A$462="","",'01_Warehouse_Ledger'!$A$462&amp;IF('01_Warehouse_Ledger'!$B$462&lt;&gt;""," | "&amp;'01_Warehouse_Ledger'!$B$462,""))</f>
        <v>PAL-0000461</v>
      </c>
      <c r="C966" t="str">
        <f>IF('01_Warehouse_Ledger'!$A$462="","",'01_Warehouse_Ledger'!$A$462)</f>
        <v>PAL-0000461</v>
      </c>
      <c r="D966" t="s">
        <v>1141</v>
      </c>
    </row>
    <row r="967" spans="1:4">
      <c r="A967" t="s">
        <v>1140</v>
      </c>
      <c r="B967" t="str">
        <f>IF('01_Warehouse_Ledger'!$A$463="","",'01_Warehouse_Ledger'!$A$463&amp;IF('01_Warehouse_Ledger'!$B$463&lt;&gt;""," | "&amp;'01_Warehouse_Ledger'!$B$463,""))</f>
        <v>PAL-0000462</v>
      </c>
      <c r="C967" t="str">
        <f>IF('01_Warehouse_Ledger'!$A$463="","",'01_Warehouse_Ledger'!$A$463)</f>
        <v>PAL-0000462</v>
      </c>
      <c r="D967" t="s">
        <v>1141</v>
      </c>
    </row>
    <row r="968" spans="1:4">
      <c r="A968" t="s">
        <v>1140</v>
      </c>
      <c r="B968" t="str">
        <f>IF('01_Warehouse_Ledger'!$A$464="","",'01_Warehouse_Ledger'!$A$464&amp;IF('01_Warehouse_Ledger'!$B$464&lt;&gt;""," | "&amp;'01_Warehouse_Ledger'!$B$464,""))</f>
        <v>PAL-0000463</v>
      </c>
      <c r="C968" t="str">
        <f>IF('01_Warehouse_Ledger'!$A$464="","",'01_Warehouse_Ledger'!$A$464)</f>
        <v>PAL-0000463</v>
      </c>
      <c r="D968" t="s">
        <v>1141</v>
      </c>
    </row>
    <row r="969" spans="1:4">
      <c r="A969" t="s">
        <v>1140</v>
      </c>
      <c r="B969" t="str">
        <f>IF('01_Warehouse_Ledger'!$A$465="","",'01_Warehouse_Ledger'!$A$465&amp;IF('01_Warehouse_Ledger'!$B$465&lt;&gt;""," | "&amp;'01_Warehouse_Ledger'!$B$465,""))</f>
        <v>PAL-0000464</v>
      </c>
      <c r="C969" t="str">
        <f>IF('01_Warehouse_Ledger'!$A$465="","",'01_Warehouse_Ledger'!$A$465)</f>
        <v>PAL-0000464</v>
      </c>
      <c r="D969" t="s">
        <v>1141</v>
      </c>
    </row>
    <row r="970" spans="1:4">
      <c r="A970" t="s">
        <v>1140</v>
      </c>
      <c r="B970" t="str">
        <f>IF('01_Warehouse_Ledger'!$A$466="","",'01_Warehouse_Ledger'!$A$466&amp;IF('01_Warehouse_Ledger'!$B$466&lt;&gt;""," | "&amp;'01_Warehouse_Ledger'!$B$466,""))</f>
        <v>PAL-0000465</v>
      </c>
      <c r="C970" t="str">
        <f>IF('01_Warehouse_Ledger'!$A$466="","",'01_Warehouse_Ledger'!$A$466)</f>
        <v>PAL-0000465</v>
      </c>
      <c r="D970" t="s">
        <v>1141</v>
      </c>
    </row>
    <row r="971" spans="1:4">
      <c r="A971" t="s">
        <v>1140</v>
      </c>
      <c r="B971" t="str">
        <f>IF('01_Warehouse_Ledger'!$A$467="","",'01_Warehouse_Ledger'!$A$467&amp;IF('01_Warehouse_Ledger'!$B$467&lt;&gt;""," | "&amp;'01_Warehouse_Ledger'!$B$467,""))</f>
        <v>PAL-0000466</v>
      </c>
      <c r="C971" t="str">
        <f>IF('01_Warehouse_Ledger'!$A$467="","",'01_Warehouse_Ledger'!$A$467)</f>
        <v>PAL-0000466</v>
      </c>
      <c r="D971" t="s">
        <v>1141</v>
      </c>
    </row>
    <row r="972" spans="1:4">
      <c r="A972" t="s">
        <v>1140</v>
      </c>
      <c r="B972" t="str">
        <f>IF('01_Warehouse_Ledger'!$A$468="","",'01_Warehouse_Ledger'!$A$468&amp;IF('01_Warehouse_Ledger'!$B$468&lt;&gt;""," | "&amp;'01_Warehouse_Ledger'!$B$468,""))</f>
        <v>PAL-0000467</v>
      </c>
      <c r="C972" t="str">
        <f>IF('01_Warehouse_Ledger'!$A$468="","",'01_Warehouse_Ledger'!$A$468)</f>
        <v>PAL-0000467</v>
      </c>
      <c r="D972" t="s">
        <v>1141</v>
      </c>
    </row>
    <row r="973" spans="1:4">
      <c r="A973" t="s">
        <v>1140</v>
      </c>
      <c r="B973" t="str">
        <f>IF('01_Warehouse_Ledger'!$A$469="","",'01_Warehouse_Ledger'!$A$469&amp;IF('01_Warehouse_Ledger'!$B$469&lt;&gt;""," | "&amp;'01_Warehouse_Ledger'!$B$469,""))</f>
        <v>PAL-0000468</v>
      </c>
      <c r="C973" t="str">
        <f>IF('01_Warehouse_Ledger'!$A$469="","",'01_Warehouse_Ledger'!$A$469)</f>
        <v>PAL-0000468</v>
      </c>
      <c r="D973" t="s">
        <v>1141</v>
      </c>
    </row>
    <row r="974" spans="1:4">
      <c r="A974" t="s">
        <v>1140</v>
      </c>
      <c r="B974" t="str">
        <f>IF('01_Warehouse_Ledger'!$A$470="","",'01_Warehouse_Ledger'!$A$470&amp;IF('01_Warehouse_Ledger'!$B$470&lt;&gt;""," | "&amp;'01_Warehouse_Ledger'!$B$470,""))</f>
        <v>PAL-0000469</v>
      </c>
      <c r="C974" t="str">
        <f>IF('01_Warehouse_Ledger'!$A$470="","",'01_Warehouse_Ledger'!$A$470)</f>
        <v>PAL-0000469</v>
      </c>
      <c r="D974" t="s">
        <v>1141</v>
      </c>
    </row>
    <row r="975" spans="1:4">
      <c r="A975" t="s">
        <v>1140</v>
      </c>
      <c r="B975" t="str">
        <f>IF('01_Warehouse_Ledger'!$A$471="","",'01_Warehouse_Ledger'!$A$471&amp;IF('01_Warehouse_Ledger'!$B$471&lt;&gt;""," | "&amp;'01_Warehouse_Ledger'!$B$471,""))</f>
        <v>PAL-0000470</v>
      </c>
      <c r="C975" t="str">
        <f>IF('01_Warehouse_Ledger'!$A$471="","",'01_Warehouse_Ledger'!$A$471)</f>
        <v>PAL-0000470</v>
      </c>
      <c r="D975" t="s">
        <v>1141</v>
      </c>
    </row>
    <row r="976" spans="1:4">
      <c r="A976" t="s">
        <v>1140</v>
      </c>
      <c r="B976" t="str">
        <f>IF('01_Warehouse_Ledger'!$A$472="","",'01_Warehouse_Ledger'!$A$472&amp;IF('01_Warehouse_Ledger'!$B$472&lt;&gt;""," | "&amp;'01_Warehouse_Ledger'!$B$472,""))</f>
        <v>PAL-0000471</v>
      </c>
      <c r="C976" t="str">
        <f>IF('01_Warehouse_Ledger'!$A$472="","",'01_Warehouse_Ledger'!$A$472)</f>
        <v>PAL-0000471</v>
      </c>
      <c r="D976" t="s">
        <v>1141</v>
      </c>
    </row>
    <row r="977" spans="1:4">
      <c r="A977" t="s">
        <v>1140</v>
      </c>
      <c r="B977" t="str">
        <f>IF('01_Warehouse_Ledger'!$A$473="","",'01_Warehouse_Ledger'!$A$473&amp;IF('01_Warehouse_Ledger'!$B$473&lt;&gt;""," | "&amp;'01_Warehouse_Ledger'!$B$473,""))</f>
        <v>PAL-0000472</v>
      </c>
      <c r="C977" t="str">
        <f>IF('01_Warehouse_Ledger'!$A$473="","",'01_Warehouse_Ledger'!$A$473)</f>
        <v>PAL-0000472</v>
      </c>
      <c r="D977" t="s">
        <v>1141</v>
      </c>
    </row>
    <row r="978" spans="1:4">
      <c r="A978" t="s">
        <v>1140</v>
      </c>
      <c r="B978" t="str">
        <f>IF('01_Warehouse_Ledger'!$A$474="","",'01_Warehouse_Ledger'!$A$474&amp;IF('01_Warehouse_Ledger'!$B$474&lt;&gt;""," | "&amp;'01_Warehouse_Ledger'!$B$474,""))</f>
        <v>PAL-0000473</v>
      </c>
      <c r="C978" t="str">
        <f>IF('01_Warehouse_Ledger'!$A$474="","",'01_Warehouse_Ledger'!$A$474)</f>
        <v>PAL-0000473</v>
      </c>
      <c r="D978" t="s">
        <v>1141</v>
      </c>
    </row>
    <row r="979" spans="1:4">
      <c r="A979" t="s">
        <v>1140</v>
      </c>
      <c r="B979" t="str">
        <f>IF('01_Warehouse_Ledger'!$A$475="","",'01_Warehouse_Ledger'!$A$475&amp;IF('01_Warehouse_Ledger'!$B$475&lt;&gt;""," | "&amp;'01_Warehouse_Ledger'!$B$475,""))</f>
        <v>PAL-0000474</v>
      </c>
      <c r="C979" t="str">
        <f>IF('01_Warehouse_Ledger'!$A$475="","",'01_Warehouse_Ledger'!$A$475)</f>
        <v>PAL-0000474</v>
      </c>
      <c r="D979" t="s">
        <v>1141</v>
      </c>
    </row>
    <row r="980" spans="1:4">
      <c r="A980" t="s">
        <v>1140</v>
      </c>
      <c r="B980" t="str">
        <f>IF('01_Warehouse_Ledger'!$A$476="","",'01_Warehouse_Ledger'!$A$476&amp;IF('01_Warehouse_Ledger'!$B$476&lt;&gt;""," | "&amp;'01_Warehouse_Ledger'!$B$476,""))</f>
        <v>PAL-0000475</v>
      </c>
      <c r="C980" t="str">
        <f>IF('01_Warehouse_Ledger'!$A$476="","",'01_Warehouse_Ledger'!$A$476)</f>
        <v>PAL-0000475</v>
      </c>
      <c r="D980" t="s">
        <v>1141</v>
      </c>
    </row>
    <row r="981" spans="1:4">
      <c r="A981" t="s">
        <v>1140</v>
      </c>
      <c r="B981" t="str">
        <f>IF('01_Warehouse_Ledger'!$A$477="","",'01_Warehouse_Ledger'!$A$477&amp;IF('01_Warehouse_Ledger'!$B$477&lt;&gt;""," | "&amp;'01_Warehouse_Ledger'!$B$477,""))</f>
        <v>PAL-0000476</v>
      </c>
      <c r="C981" t="str">
        <f>IF('01_Warehouse_Ledger'!$A$477="","",'01_Warehouse_Ledger'!$A$477)</f>
        <v>PAL-0000476</v>
      </c>
      <c r="D981" t="s">
        <v>1141</v>
      </c>
    </row>
    <row r="982" spans="1:4">
      <c r="A982" t="s">
        <v>1140</v>
      </c>
      <c r="B982" t="str">
        <f>IF('01_Warehouse_Ledger'!$A$478="","",'01_Warehouse_Ledger'!$A$478&amp;IF('01_Warehouse_Ledger'!$B$478&lt;&gt;""," | "&amp;'01_Warehouse_Ledger'!$B$478,""))</f>
        <v>PAL-0000477</v>
      </c>
      <c r="C982" t="str">
        <f>IF('01_Warehouse_Ledger'!$A$478="","",'01_Warehouse_Ledger'!$A$478)</f>
        <v>PAL-0000477</v>
      </c>
      <c r="D982" t="s">
        <v>1141</v>
      </c>
    </row>
    <row r="983" spans="1:4">
      <c r="A983" t="s">
        <v>1140</v>
      </c>
      <c r="B983" t="str">
        <f>IF('01_Warehouse_Ledger'!$A$479="","",'01_Warehouse_Ledger'!$A$479&amp;IF('01_Warehouse_Ledger'!$B$479&lt;&gt;""," | "&amp;'01_Warehouse_Ledger'!$B$479,""))</f>
        <v>PAL-0000478</v>
      </c>
      <c r="C983" t="str">
        <f>IF('01_Warehouse_Ledger'!$A$479="","",'01_Warehouse_Ledger'!$A$479)</f>
        <v>PAL-0000478</v>
      </c>
      <c r="D983" t="s">
        <v>1141</v>
      </c>
    </row>
    <row r="984" spans="1:4">
      <c r="A984" t="s">
        <v>1140</v>
      </c>
      <c r="B984" t="str">
        <f>IF('01_Warehouse_Ledger'!$A$480="","",'01_Warehouse_Ledger'!$A$480&amp;IF('01_Warehouse_Ledger'!$B$480&lt;&gt;""," | "&amp;'01_Warehouse_Ledger'!$B$480,""))</f>
        <v>PAL-0000479</v>
      </c>
      <c r="C984" t="str">
        <f>IF('01_Warehouse_Ledger'!$A$480="","",'01_Warehouse_Ledger'!$A$480)</f>
        <v>PAL-0000479</v>
      </c>
      <c r="D984" t="s">
        <v>1141</v>
      </c>
    </row>
    <row r="985" spans="1:4">
      <c r="A985" t="s">
        <v>1140</v>
      </c>
      <c r="B985" t="str">
        <f>IF('01_Warehouse_Ledger'!$A$481="","",'01_Warehouse_Ledger'!$A$481&amp;IF('01_Warehouse_Ledger'!$B$481&lt;&gt;""," | "&amp;'01_Warehouse_Ledger'!$B$481,""))</f>
        <v>PAL-0000480</v>
      </c>
      <c r="C985" t="str">
        <f>IF('01_Warehouse_Ledger'!$A$481="","",'01_Warehouse_Ledger'!$A$481)</f>
        <v>PAL-0000480</v>
      </c>
      <c r="D985" t="s">
        <v>1141</v>
      </c>
    </row>
    <row r="986" spans="1:4">
      <c r="A986" t="s">
        <v>1140</v>
      </c>
      <c r="B986" t="str">
        <f>IF('01_Warehouse_Ledger'!$A$482="","",'01_Warehouse_Ledger'!$A$482&amp;IF('01_Warehouse_Ledger'!$B$482&lt;&gt;""," | "&amp;'01_Warehouse_Ledger'!$B$482,""))</f>
        <v>PAL-0000481</v>
      </c>
      <c r="C986" t="str">
        <f>IF('01_Warehouse_Ledger'!$A$482="","",'01_Warehouse_Ledger'!$A$482)</f>
        <v>PAL-0000481</v>
      </c>
      <c r="D986" t="s">
        <v>1141</v>
      </c>
    </row>
    <row r="987" spans="1:4">
      <c r="A987" t="s">
        <v>1140</v>
      </c>
      <c r="B987" t="str">
        <f>IF('01_Warehouse_Ledger'!$A$483="","",'01_Warehouse_Ledger'!$A$483&amp;IF('01_Warehouse_Ledger'!$B$483&lt;&gt;""," | "&amp;'01_Warehouse_Ledger'!$B$483,""))</f>
        <v>PAL-0000482</v>
      </c>
      <c r="C987" t="str">
        <f>IF('01_Warehouse_Ledger'!$A$483="","",'01_Warehouse_Ledger'!$A$483)</f>
        <v>PAL-0000482</v>
      </c>
      <c r="D987" t="s">
        <v>1141</v>
      </c>
    </row>
    <row r="988" spans="1:4">
      <c r="A988" t="s">
        <v>1140</v>
      </c>
      <c r="B988" t="str">
        <f>IF('01_Warehouse_Ledger'!$A$484="","",'01_Warehouse_Ledger'!$A$484&amp;IF('01_Warehouse_Ledger'!$B$484&lt;&gt;""," | "&amp;'01_Warehouse_Ledger'!$B$484,""))</f>
        <v>PAL-0000483</v>
      </c>
      <c r="C988" t="str">
        <f>IF('01_Warehouse_Ledger'!$A$484="","",'01_Warehouse_Ledger'!$A$484)</f>
        <v>PAL-0000483</v>
      </c>
      <c r="D988" t="s">
        <v>1141</v>
      </c>
    </row>
    <row r="989" spans="1:4">
      <c r="A989" t="s">
        <v>1140</v>
      </c>
      <c r="B989" t="str">
        <f>IF('01_Warehouse_Ledger'!$A$485="","",'01_Warehouse_Ledger'!$A$485&amp;IF('01_Warehouse_Ledger'!$B$485&lt;&gt;""," | "&amp;'01_Warehouse_Ledger'!$B$485,""))</f>
        <v>PAL-0000484</v>
      </c>
      <c r="C989" t="str">
        <f>IF('01_Warehouse_Ledger'!$A$485="","",'01_Warehouse_Ledger'!$A$485)</f>
        <v>PAL-0000484</v>
      </c>
      <c r="D989" t="s">
        <v>1141</v>
      </c>
    </row>
    <row r="990" spans="1:4">
      <c r="A990" t="s">
        <v>1140</v>
      </c>
      <c r="B990" t="str">
        <f>IF('01_Warehouse_Ledger'!$A$486="","",'01_Warehouse_Ledger'!$A$486&amp;IF('01_Warehouse_Ledger'!$B$486&lt;&gt;""," | "&amp;'01_Warehouse_Ledger'!$B$486,""))</f>
        <v>PAL-0000485</v>
      </c>
      <c r="C990" t="str">
        <f>IF('01_Warehouse_Ledger'!$A$486="","",'01_Warehouse_Ledger'!$A$486)</f>
        <v>PAL-0000485</v>
      </c>
      <c r="D990" t="s">
        <v>1141</v>
      </c>
    </row>
    <row r="991" spans="1:4">
      <c r="A991" t="s">
        <v>1140</v>
      </c>
      <c r="B991" t="str">
        <f>IF('01_Warehouse_Ledger'!$A$487="","",'01_Warehouse_Ledger'!$A$487&amp;IF('01_Warehouse_Ledger'!$B$487&lt;&gt;""," | "&amp;'01_Warehouse_Ledger'!$B$487,""))</f>
        <v>PAL-0000486</v>
      </c>
      <c r="C991" t="str">
        <f>IF('01_Warehouse_Ledger'!$A$487="","",'01_Warehouse_Ledger'!$A$487)</f>
        <v>PAL-0000486</v>
      </c>
      <c r="D991" t="s">
        <v>1141</v>
      </c>
    </row>
    <row r="992" spans="1:4">
      <c r="A992" t="s">
        <v>1140</v>
      </c>
      <c r="B992" t="str">
        <f>IF('01_Warehouse_Ledger'!$A$488="","",'01_Warehouse_Ledger'!$A$488&amp;IF('01_Warehouse_Ledger'!$B$488&lt;&gt;""," | "&amp;'01_Warehouse_Ledger'!$B$488,""))</f>
        <v>PAL-0000487</v>
      </c>
      <c r="C992" t="str">
        <f>IF('01_Warehouse_Ledger'!$A$488="","",'01_Warehouse_Ledger'!$A$488)</f>
        <v>PAL-0000487</v>
      </c>
      <c r="D992" t="s">
        <v>1141</v>
      </c>
    </row>
    <row r="993" spans="1:4">
      <c r="A993" t="s">
        <v>1140</v>
      </c>
      <c r="B993" t="str">
        <f>IF('01_Warehouse_Ledger'!$A$489="","",'01_Warehouse_Ledger'!$A$489&amp;IF('01_Warehouse_Ledger'!$B$489&lt;&gt;""," | "&amp;'01_Warehouse_Ledger'!$B$489,""))</f>
        <v>PAL-0000488</v>
      </c>
      <c r="C993" t="str">
        <f>IF('01_Warehouse_Ledger'!$A$489="","",'01_Warehouse_Ledger'!$A$489)</f>
        <v>PAL-0000488</v>
      </c>
      <c r="D993" t="s">
        <v>1141</v>
      </c>
    </row>
    <row r="994" spans="1:4">
      <c r="A994" t="s">
        <v>1140</v>
      </c>
      <c r="B994" t="str">
        <f>IF('01_Warehouse_Ledger'!$A$490="","",'01_Warehouse_Ledger'!$A$490&amp;IF('01_Warehouse_Ledger'!$B$490&lt;&gt;""," | "&amp;'01_Warehouse_Ledger'!$B$490,""))</f>
        <v>PAL-0000489</v>
      </c>
      <c r="C994" t="str">
        <f>IF('01_Warehouse_Ledger'!$A$490="","",'01_Warehouse_Ledger'!$A$490)</f>
        <v>PAL-0000489</v>
      </c>
      <c r="D994" t="s">
        <v>1141</v>
      </c>
    </row>
    <row r="995" spans="1:4">
      <c r="A995" t="s">
        <v>1140</v>
      </c>
      <c r="B995" t="str">
        <f>IF('01_Warehouse_Ledger'!$A$491="","",'01_Warehouse_Ledger'!$A$491&amp;IF('01_Warehouse_Ledger'!$B$491&lt;&gt;""," | "&amp;'01_Warehouse_Ledger'!$B$491,""))</f>
        <v>PAL-0000490</v>
      </c>
      <c r="C995" t="str">
        <f>IF('01_Warehouse_Ledger'!$A$491="","",'01_Warehouse_Ledger'!$A$491)</f>
        <v>PAL-0000490</v>
      </c>
      <c r="D995" t="s">
        <v>1141</v>
      </c>
    </row>
    <row r="996" spans="1:4">
      <c r="A996" t="s">
        <v>1140</v>
      </c>
      <c r="B996" t="str">
        <f>IF('01_Warehouse_Ledger'!$A$492="","",'01_Warehouse_Ledger'!$A$492&amp;IF('01_Warehouse_Ledger'!$B$492&lt;&gt;""," | "&amp;'01_Warehouse_Ledger'!$B$492,""))</f>
        <v>PAL-0000491</v>
      </c>
      <c r="C996" t="str">
        <f>IF('01_Warehouse_Ledger'!$A$492="","",'01_Warehouse_Ledger'!$A$492)</f>
        <v>PAL-0000491</v>
      </c>
      <c r="D996" t="s">
        <v>1141</v>
      </c>
    </row>
    <row r="997" spans="1:4">
      <c r="A997" t="s">
        <v>1140</v>
      </c>
      <c r="B997" t="str">
        <f>IF('01_Warehouse_Ledger'!$A$493="","",'01_Warehouse_Ledger'!$A$493&amp;IF('01_Warehouse_Ledger'!$B$493&lt;&gt;""," | "&amp;'01_Warehouse_Ledger'!$B$493,""))</f>
        <v>PAL-0000492</v>
      </c>
      <c r="C997" t="str">
        <f>IF('01_Warehouse_Ledger'!$A$493="","",'01_Warehouse_Ledger'!$A$493)</f>
        <v>PAL-0000492</v>
      </c>
      <c r="D997" t="s">
        <v>1141</v>
      </c>
    </row>
    <row r="998" spans="1:4">
      <c r="A998" t="s">
        <v>1140</v>
      </c>
      <c r="B998" t="str">
        <f>IF('01_Warehouse_Ledger'!$A$494="","",'01_Warehouse_Ledger'!$A$494&amp;IF('01_Warehouse_Ledger'!$B$494&lt;&gt;""," | "&amp;'01_Warehouse_Ledger'!$B$494,""))</f>
        <v>PAL-0000493</v>
      </c>
      <c r="C998" t="str">
        <f>IF('01_Warehouse_Ledger'!$A$494="","",'01_Warehouse_Ledger'!$A$494)</f>
        <v>PAL-0000493</v>
      </c>
      <c r="D998" t="s">
        <v>1141</v>
      </c>
    </row>
    <row r="999" spans="1:4">
      <c r="A999" t="s">
        <v>1140</v>
      </c>
      <c r="B999" t="str">
        <f>IF('01_Warehouse_Ledger'!$A$495="","",'01_Warehouse_Ledger'!$A$495&amp;IF('01_Warehouse_Ledger'!$B$495&lt;&gt;""," | "&amp;'01_Warehouse_Ledger'!$B$495,""))</f>
        <v>PAL-0000494</v>
      </c>
      <c r="C999" t="str">
        <f>IF('01_Warehouse_Ledger'!$A$495="","",'01_Warehouse_Ledger'!$A$495)</f>
        <v>PAL-0000494</v>
      </c>
      <c r="D999" t="s">
        <v>1141</v>
      </c>
    </row>
    <row r="1000" spans="1:4">
      <c r="A1000" t="s">
        <v>1140</v>
      </c>
      <c r="B1000" t="str">
        <f>IF('01_Warehouse_Ledger'!$A$496="","",'01_Warehouse_Ledger'!$A$496&amp;IF('01_Warehouse_Ledger'!$B$496&lt;&gt;""," | "&amp;'01_Warehouse_Ledger'!$B$496,""))</f>
        <v>PAL-0000495</v>
      </c>
      <c r="C1000" t="str">
        <f>IF('01_Warehouse_Ledger'!$A$496="","",'01_Warehouse_Ledger'!$A$496)</f>
        <v>PAL-0000495</v>
      </c>
      <c r="D1000" t="s">
        <v>1141</v>
      </c>
    </row>
    <row r="1001" spans="1:4">
      <c r="A1001" t="s">
        <v>1140</v>
      </c>
      <c r="B1001" t="str">
        <f>IF('01_Warehouse_Ledger'!$A$497="","",'01_Warehouse_Ledger'!$A$497&amp;IF('01_Warehouse_Ledger'!$B$497&lt;&gt;""," | "&amp;'01_Warehouse_Ledger'!$B$497,""))</f>
        <v>PAL-0000496</v>
      </c>
      <c r="C1001" t="str">
        <f>IF('01_Warehouse_Ledger'!$A$497="","",'01_Warehouse_Ledger'!$A$497)</f>
        <v>PAL-0000496</v>
      </c>
      <c r="D1001" t="s">
        <v>1141</v>
      </c>
    </row>
    <row r="1002" spans="1:4">
      <c r="A1002" t="s">
        <v>1140</v>
      </c>
      <c r="B1002" t="str">
        <f>IF('01_Warehouse_Ledger'!$A$498="","",'01_Warehouse_Ledger'!$A$498&amp;IF('01_Warehouse_Ledger'!$B$498&lt;&gt;""," | "&amp;'01_Warehouse_Ledger'!$B$498,""))</f>
        <v>PAL-0000497</v>
      </c>
      <c r="C1002" t="str">
        <f>IF('01_Warehouse_Ledger'!$A$498="","",'01_Warehouse_Ledger'!$A$498)</f>
        <v>PAL-0000497</v>
      </c>
      <c r="D1002" t="s">
        <v>1141</v>
      </c>
    </row>
    <row r="1003" spans="1:4">
      <c r="A1003" t="s">
        <v>1140</v>
      </c>
      <c r="B1003" t="str">
        <f>IF('01_Warehouse_Ledger'!$A$499="","",'01_Warehouse_Ledger'!$A$499&amp;IF('01_Warehouse_Ledger'!$B$499&lt;&gt;""," | "&amp;'01_Warehouse_Ledger'!$B$499,""))</f>
        <v>PAL-0000498</v>
      </c>
      <c r="C1003" t="str">
        <f>IF('01_Warehouse_Ledger'!$A$499="","",'01_Warehouse_Ledger'!$A$499)</f>
        <v>PAL-0000498</v>
      </c>
      <c r="D1003" t="s">
        <v>1141</v>
      </c>
    </row>
    <row r="1004" spans="1:4">
      <c r="A1004" t="s">
        <v>1140</v>
      </c>
      <c r="B1004" t="str">
        <f>IF('01_Warehouse_Ledger'!$A$500="","",'01_Warehouse_Ledger'!$A$500&amp;IF('01_Warehouse_Ledger'!$B$500&lt;&gt;""," | "&amp;'01_Warehouse_Ledger'!$B$500,""))</f>
        <v>PAL-0000499</v>
      </c>
      <c r="C1004" t="str">
        <f>IF('01_Warehouse_Ledger'!$A$500="","",'01_Warehouse_Ledger'!$A$500)</f>
        <v>PAL-0000499</v>
      </c>
      <c r="D1004" t="s">
        <v>1141</v>
      </c>
    </row>
    <row r="1005" spans="1:4">
      <c r="A1005" t="s">
        <v>1140</v>
      </c>
      <c r="B1005" t="str">
        <f>IF('01_Warehouse_Ledger'!$A$501="","",'01_Warehouse_Ledger'!$A$501&amp;IF('01_Warehouse_Ledger'!$B$501&lt;&gt;""," | "&amp;'01_Warehouse_Ledger'!$B$501,""))</f>
        <v>PAL-0000500</v>
      </c>
      <c r="C1005" t="str">
        <f>IF('01_Warehouse_Ledger'!$A$501="","",'01_Warehouse_Ledger'!$A$501)</f>
        <v>PAL-0000500</v>
      </c>
      <c r="D1005" t="s">
        <v>1141</v>
      </c>
    </row>
  </sheetData>
  <conditionalFormatting sqref="A3:D1005">
    <cfRule type="expression" dxfId="6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4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400-000001000000}">
      <formula1>FALSE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>
      <c r="A1" s="44" t="s">
        <v>1142</v>
      </c>
    </row>
    <row r="3" spans="1:4">
      <c r="A3" s="45" t="s">
        <v>1143</v>
      </c>
      <c r="B3" s="4"/>
      <c r="D3" s="46" t="s">
        <v>1144</v>
      </c>
    </row>
    <row r="4" spans="1:4">
      <c r="A4" s="5"/>
      <c r="B4" s="5"/>
    </row>
    <row r="5" spans="1:4">
      <c r="A5" s="47" t="s">
        <v>64</v>
      </c>
      <c r="B5" s="48" t="str">
        <f>IFERROR(INDEX('01_Warehouse_Ledger'!$B$2:$B$2002,MATCH($B$3,'01_Warehouse_Ledger'!$A$2:$A$2002,0)),"")</f>
        <v/>
      </c>
    </row>
    <row r="6" spans="1:4">
      <c r="A6" s="47" t="s">
        <v>1145</v>
      </c>
      <c r="B6" s="48" t="str">
        <f>IFERROR(INDEX('01_Warehouse_Ledger'!$D$2:$D$2002,MATCH($B$3,'01_Warehouse_Ledger'!$A$2:$A$2002,0)),"")</f>
        <v/>
      </c>
    </row>
    <row r="7" spans="1:4">
      <c r="A7" s="47" t="s">
        <v>1146</v>
      </c>
      <c r="B7" s="48" t="str">
        <f>IFERROR(INDEX('02_Warehouse_Locations'!$J$2:$J$501,MATCH($B$6,'02_Warehouse_Locations'!$A$2:$A$501,0)),"")</f>
        <v/>
      </c>
    </row>
    <row r="8" spans="1:4">
      <c r="A8" s="47" t="s">
        <v>698</v>
      </c>
      <c r="B8" s="48" t="str">
        <f>IFERROR(INDEX('02_Warehouse_Locations'!$B$2:$B$501,MATCH($B$6,'02_Warehouse_Locations'!$A$2:$A$501,0)),"")</f>
        <v/>
      </c>
    </row>
    <row r="9" spans="1:4">
      <c r="A9" s="47" t="s">
        <v>699</v>
      </c>
      <c r="B9" s="48" t="str">
        <f>IFERROR(INDEX('02_Warehouse_Locations'!$C$2:$C$501,MATCH($B$6,'02_Warehouse_Locations'!$A$2:$A$501,0)),"")</f>
        <v/>
      </c>
    </row>
    <row r="10" spans="1:4">
      <c r="A10" s="47" t="s">
        <v>1147</v>
      </c>
      <c r="B10" s="48" t="str">
        <f>IFERROR(INDEX('02_Warehouse_Locations'!$D$2:$D$501,MATCH($B$6,'02_Warehouse_Locations'!$A$2:$A$501,0)),"")</f>
        <v/>
      </c>
    </row>
    <row r="11" spans="1:4">
      <c r="A11" s="47" t="s">
        <v>701</v>
      </c>
      <c r="B11" s="48" t="str">
        <f>IFERROR(INDEX('02_Warehouse_Locations'!$E$2:$E$501,MATCH($B$6,'02_Warehouse_Locations'!$A$2:$A$501,0)),"")</f>
        <v/>
      </c>
    </row>
    <row r="12" spans="1:4">
      <c r="A12" s="47" t="s">
        <v>1148</v>
      </c>
      <c r="B12" s="48" t="str">
        <f>IFERROR(INDEX('02_Warehouse_Locations'!$N$2:$N$501,MATCH($B$6,'02_Warehouse_Locations'!$A$2:$A$501,0)),"")</f>
        <v/>
      </c>
    </row>
    <row r="13" spans="1:4">
      <c r="A13" s="47" t="s">
        <v>709</v>
      </c>
      <c r="B13" s="48" t="str">
        <f>IFERROR(INDEX('02_Warehouse_Locations'!$O$2:$O$501,MATCH($B$6,'02_Warehouse_Locations'!$A$2:$A$501,0)),"")</f>
        <v/>
      </c>
    </row>
    <row r="14" spans="1:4">
      <c r="A14" s="47" t="s">
        <v>710</v>
      </c>
      <c r="B14" s="48" t="str">
        <f>IFERROR(INDEX('02_Warehouse_Locations'!$P$2:$P$501,MATCH($B$6,'02_Warehouse_Locations'!$A$2:$A$501,0)),"")</f>
        <v/>
      </c>
    </row>
    <row r="15" spans="1:4">
      <c r="A15" t="s">
        <v>711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61" priority="1" stopIfTrue="1">
      <formula>AND(TRIM($A3)="",OR($B3&lt;&gt;"",$C3&lt;&gt;"",$D3&lt;&gt;"",$E3&lt;&gt;"",$I3&lt;&gt;"",$J3&lt;&gt;""))</formula>
    </cfRule>
    <cfRule type="expression" dxfId="60" priority="2">
      <formula>AND(TRIM($A3)&lt;&gt;"",NOT(AND(LEFT($A3,4)="PAL-",LEN($A3)=11,ISNUMBER(--MID($A3,5,7)))))</formula>
    </cfRule>
    <cfRule type="expression" dxfId="59" priority="3">
      <formula>AND(TRIM($A3)&lt;&gt;"",COUNTIF($A$2:$A$2002,$A3)&gt;1)</formula>
    </cfRule>
    <cfRule type="expression" dxfId="5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500-000000000000}">
      <formula1>FALSE</formula1>
    </dataValidation>
    <dataValidation type="custom" allowBlank="1" showInputMessage="1" showErrorMessage="1" errorTitle="Invalid Pallet ID" error="Expected format: PAL-#######" sqref="B3" xr:uid="{3E3B67BD-4C0B-4D8F-A5AC-2D43246AD226}">
      <formula1>AND(LEFT($A3,4)="PAL-",LEN($A3)=11)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>
      <c r="A1" s="49" t="s">
        <v>1149</v>
      </c>
    </row>
    <row r="2" spans="1:21">
      <c r="A2" s="50" t="s">
        <v>1150</v>
      </c>
      <c r="B2" s="51" t="str">
        <f>IFERROR('05_Scan_Lookup'!$B$13,"")</f>
        <v/>
      </c>
    </row>
    <row r="3" spans="1:21">
      <c r="A3" s="50" t="s">
        <v>1151</v>
      </c>
      <c r="B3" s="51" t="str">
        <f>IFERROR('05_Scan_Lookup'!$B$14,"")</f>
        <v/>
      </c>
    </row>
    <row r="4" spans="1:21">
      <c r="A4" s="50" t="s">
        <v>1152</v>
      </c>
      <c r="B4" s="51" t="str">
        <f>IFERROR(INDEX('02_Warehouse_Locations'!$M$2:$M$501,MATCH('05_Scan_Lookup'!$B$6,'02_Warehouse_Locations'!$A$2:$A$501,0)),"")</f>
        <v/>
      </c>
    </row>
    <row r="5" spans="1:21">
      <c r="A5" s="50" t="s">
        <v>1153</v>
      </c>
      <c r="B5" s="51" t="s">
        <v>1154</v>
      </c>
    </row>
    <row r="6" spans="1:21" ht="20.100000000000001" customHeight="1">
      <c r="A6" s="55" t="s">
        <v>1155</v>
      </c>
      <c r="B6" s="55" t="s">
        <v>728</v>
      </c>
      <c r="C6" s="55" t="s">
        <v>140</v>
      </c>
      <c r="D6" s="55" t="s">
        <v>779</v>
      </c>
      <c r="E6" s="55" t="s">
        <v>804</v>
      </c>
      <c r="F6" s="55" t="s">
        <v>845</v>
      </c>
      <c r="G6" s="55" t="s">
        <v>886</v>
      </c>
      <c r="H6" s="55" t="s">
        <v>1156</v>
      </c>
      <c r="I6" s="55" t="s">
        <v>1157</v>
      </c>
      <c r="J6" s="55" t="s">
        <v>1158</v>
      </c>
      <c r="K6" s="55" t="s">
        <v>1159</v>
      </c>
      <c r="L6" s="55" t="s">
        <v>1160</v>
      </c>
      <c r="M6" s="55" t="s">
        <v>724</v>
      </c>
      <c r="N6" s="55">
        <v>13</v>
      </c>
      <c r="O6" s="55">
        <v>14</v>
      </c>
      <c r="P6" s="55">
        <v>15</v>
      </c>
      <c r="Q6" s="55">
        <v>16</v>
      </c>
      <c r="R6" s="55">
        <v>17</v>
      </c>
      <c r="S6" s="55">
        <v>18</v>
      </c>
      <c r="T6" s="55">
        <v>19</v>
      </c>
      <c r="U6" s="55">
        <v>20</v>
      </c>
    </row>
    <row r="7" spans="1:21">
      <c r="A7" s="52">
        <v>1</v>
      </c>
      <c r="B7" s="53" t="str">
        <f>IF(AND(B6=$B$2,A7=$B$3),"●","")</f>
        <v/>
      </c>
      <c r="C7" s="53" t="str">
        <f>IF(AND(C6=$B$2,A7=$B$3),"●","")</f>
        <v/>
      </c>
      <c r="D7" s="53" t="str">
        <f>IF(AND(D6=$B$2,A7=$B$3),"●","")</f>
        <v/>
      </c>
      <c r="E7" s="53" t="str">
        <f>IF(AND(E6=$B$2,A7=$B$3),"●","")</f>
        <v/>
      </c>
      <c r="F7" s="53" t="str">
        <f>IF(AND(F6=$B$2,A7=$B$3),"●","")</f>
        <v/>
      </c>
      <c r="G7" s="53" t="str">
        <f>IF(AND(G6=$B$2,A7=$B$3),"●","")</f>
        <v/>
      </c>
      <c r="H7" s="53" t="str">
        <f>IF(AND(H6=$B$2,A7=$B$3),"●","")</f>
        <v/>
      </c>
      <c r="I7" s="53" t="str">
        <f>IF(AND(I6=$B$2,A7=$B$3),"●","")</f>
        <v/>
      </c>
      <c r="J7" s="53" t="str">
        <f>IF(AND(J6=$B$2,A7=$B$3),"●","")</f>
        <v/>
      </c>
      <c r="K7" s="53" t="str">
        <f>IF(AND(K6=$B$2,A7=$B$3),"●","")</f>
        <v/>
      </c>
      <c r="L7" s="53" t="str">
        <f>IF(AND(L6=$B$2,A7=$B$3),"●","")</f>
        <v/>
      </c>
      <c r="M7" s="53" t="str">
        <f>IF(AND(M6=$B$2,A7=$B$3),"●","")</f>
        <v/>
      </c>
      <c r="N7" s="53" t="str">
        <f t="shared" ref="N7:U16" si="0">IF(AND($A7=$B$2,N$6=$B$3),"●","")</f>
        <v/>
      </c>
      <c r="O7" s="53" t="str">
        <f t="shared" si="0"/>
        <v/>
      </c>
      <c r="P7" s="53" t="str">
        <f t="shared" si="0"/>
        <v/>
      </c>
      <c r="Q7" s="53" t="str">
        <f t="shared" si="0"/>
        <v/>
      </c>
      <c r="R7" s="53" t="str">
        <f t="shared" si="0"/>
        <v/>
      </c>
      <c r="S7" s="53" t="str">
        <f t="shared" si="0"/>
        <v/>
      </c>
      <c r="T7" s="53" t="str">
        <f t="shared" si="0"/>
        <v/>
      </c>
      <c r="U7" s="53" t="str">
        <f t="shared" si="0"/>
        <v/>
      </c>
    </row>
    <row r="8" spans="1:21">
      <c r="A8" s="52">
        <v>2</v>
      </c>
      <c r="B8" s="53" t="str">
        <f>IF(AND(B6=$B$2,A8=$B$3),"●","")</f>
        <v/>
      </c>
      <c r="C8" s="53" t="str">
        <f>IF(AND(C6=$B$2,A8=$B$3),"●","")</f>
        <v/>
      </c>
      <c r="D8" s="53" t="str">
        <f>IF(AND(D6=$B$2,A8=$B$3),"●","")</f>
        <v/>
      </c>
      <c r="E8" s="53" t="str">
        <f>IF(AND(E6=$B$2,A8=$B$3),"●","")</f>
        <v/>
      </c>
      <c r="F8" s="53" t="str">
        <f>IF(AND(F6=$B$2,A8=$B$3),"●","")</f>
        <v/>
      </c>
      <c r="G8" s="53" t="str">
        <f>IF(AND(G6=$B$2,A8=$B$3),"●","")</f>
        <v/>
      </c>
      <c r="H8" s="53" t="str">
        <f>IF(AND(H6=$B$2,A8=$B$3),"●","")</f>
        <v/>
      </c>
      <c r="I8" s="53" t="str">
        <f>IF(AND(I6=$B$2,A8=$B$3),"●","")</f>
        <v/>
      </c>
      <c r="J8" s="53" t="str">
        <f>IF(AND(J6=$B$2,A8=$B$3),"●","")</f>
        <v/>
      </c>
      <c r="K8" s="53" t="str">
        <f>IF(AND(K6=$B$2,A8=$B$3),"●","")</f>
        <v/>
      </c>
      <c r="L8" s="53" t="str">
        <f>IF(AND(L6=$B$2,A8=$B$3),"●","")</f>
        <v/>
      </c>
      <c r="M8" s="53" t="str">
        <f>IF(AND(M6=$B$2,A8=$B$3),"●","")</f>
        <v/>
      </c>
      <c r="N8" s="53" t="str">
        <f t="shared" si="0"/>
        <v/>
      </c>
      <c r="O8" s="53" t="str">
        <f t="shared" si="0"/>
        <v/>
      </c>
      <c r="P8" s="53" t="str">
        <f t="shared" si="0"/>
        <v/>
      </c>
      <c r="Q8" s="53" t="str">
        <f t="shared" si="0"/>
        <v/>
      </c>
      <c r="R8" s="53" t="str">
        <f t="shared" si="0"/>
        <v/>
      </c>
      <c r="S8" s="53" t="str">
        <f t="shared" si="0"/>
        <v/>
      </c>
      <c r="T8" s="53" t="str">
        <f t="shared" si="0"/>
        <v/>
      </c>
      <c r="U8" s="53" t="str">
        <f t="shared" si="0"/>
        <v/>
      </c>
    </row>
    <row r="9" spans="1:21">
      <c r="A9" s="52">
        <v>3</v>
      </c>
      <c r="B9" s="53" t="str">
        <f>IF(AND(B6=$B$2,A9=$B$3),"●","")</f>
        <v/>
      </c>
      <c r="C9" s="53" t="str">
        <f>IF(AND(C6=$B$2,A9=$B$3),"●","")</f>
        <v/>
      </c>
      <c r="D9" s="53" t="str">
        <f>IF(AND(D6=$B$2,A9=$B$3),"●","")</f>
        <v/>
      </c>
      <c r="E9" s="53" t="str">
        <f>IF(AND(E6=$B$2,A9=$B$3),"●","")</f>
        <v/>
      </c>
      <c r="F9" s="53" t="str">
        <f>IF(AND(F6=$B$2,A9=$B$3),"●","")</f>
        <v/>
      </c>
      <c r="G9" s="53" t="str">
        <f>IF(AND(G6=$B$2,A9=$B$3),"●","")</f>
        <v/>
      </c>
      <c r="H9" s="53" t="str">
        <f>IF(AND(H6=$B$2,A9=$B$3),"●","")</f>
        <v/>
      </c>
      <c r="I9" s="53" t="str">
        <f>IF(AND(I6=$B$2,A9=$B$3),"●","")</f>
        <v/>
      </c>
      <c r="J9" s="53" t="str">
        <f>IF(AND(J6=$B$2,A9=$B$3),"●","")</f>
        <v/>
      </c>
      <c r="K9" s="53" t="str">
        <f>IF(AND(K6=$B$2,A9=$B$3),"●","")</f>
        <v/>
      </c>
      <c r="L9" s="53" t="str">
        <f>IF(AND(L6=$B$2,A9=$B$3),"●","")</f>
        <v/>
      </c>
      <c r="M9" s="53" t="str">
        <f>IF(AND(M6=$B$2,A9=$B$3),"●","")</f>
        <v/>
      </c>
      <c r="N9" s="53" t="str">
        <f t="shared" si="0"/>
        <v/>
      </c>
      <c r="O9" s="53" t="str">
        <f t="shared" si="0"/>
        <v/>
      </c>
      <c r="P9" s="53" t="str">
        <f t="shared" si="0"/>
        <v/>
      </c>
      <c r="Q9" s="53" t="str">
        <f t="shared" si="0"/>
        <v/>
      </c>
      <c r="R9" s="53" t="str">
        <f t="shared" si="0"/>
        <v/>
      </c>
      <c r="S9" s="53" t="str">
        <f t="shared" si="0"/>
        <v/>
      </c>
      <c r="T9" s="53" t="str">
        <f t="shared" si="0"/>
        <v/>
      </c>
      <c r="U9" s="53" t="str">
        <f t="shared" si="0"/>
        <v/>
      </c>
    </row>
    <row r="10" spans="1:21">
      <c r="A10" s="52">
        <v>4</v>
      </c>
      <c r="B10" s="53" t="str">
        <f>IF(AND(B6=$B$2,A10=$B$3),"●","")</f>
        <v/>
      </c>
      <c r="C10" s="53" t="str">
        <f>IF(AND(C6=$B$2,A10=$B$3),"●","")</f>
        <v/>
      </c>
      <c r="D10" s="53" t="str">
        <f>IF(AND(D6=$B$2,A10=$B$3),"●","")</f>
        <v/>
      </c>
      <c r="E10" s="53" t="str">
        <f>IF(AND(E6=$B$2,A10=$B$3),"●","")</f>
        <v/>
      </c>
      <c r="F10" s="53" t="str">
        <f>IF(AND(F6=$B$2,A10=$B$3),"●","")</f>
        <v/>
      </c>
      <c r="G10" s="53" t="str">
        <f>IF(AND(G6=$B$2,A10=$B$3),"●","")</f>
        <v/>
      </c>
      <c r="H10" s="53" t="str">
        <f>IF(AND(H6=$B$2,A10=$B$3),"●","")</f>
        <v/>
      </c>
      <c r="I10" s="53" t="str">
        <f>IF(AND(I6=$B$2,A10=$B$3),"●","")</f>
        <v/>
      </c>
      <c r="J10" s="53" t="str">
        <f>IF(AND(J6=$B$2,A10=$B$3),"●","")</f>
        <v/>
      </c>
      <c r="K10" s="53" t="str">
        <f>IF(AND(K6=$B$2,A10=$B$3),"●","")</f>
        <v/>
      </c>
      <c r="L10" s="53" t="str">
        <f>IF(AND(L6=$B$2,A10=$B$3),"●","")</f>
        <v/>
      </c>
      <c r="M10" s="53" t="str">
        <f>IF(AND(M6=$B$2,A10=$B$3),"●","")</f>
        <v/>
      </c>
      <c r="N10" s="53" t="str">
        <f t="shared" si="0"/>
        <v/>
      </c>
      <c r="O10" s="53" t="str">
        <f t="shared" si="0"/>
        <v/>
      </c>
      <c r="P10" s="53" t="str">
        <f t="shared" si="0"/>
        <v/>
      </c>
      <c r="Q10" s="53" t="str">
        <f t="shared" si="0"/>
        <v/>
      </c>
      <c r="R10" s="53" t="str">
        <f t="shared" si="0"/>
        <v/>
      </c>
      <c r="S10" s="53" t="str">
        <f t="shared" si="0"/>
        <v/>
      </c>
      <c r="T10" s="53" t="str">
        <f t="shared" si="0"/>
        <v/>
      </c>
      <c r="U10" s="53" t="str">
        <f t="shared" si="0"/>
        <v/>
      </c>
    </row>
    <row r="11" spans="1:21">
      <c r="A11" s="52">
        <v>5</v>
      </c>
      <c r="B11" s="53" t="str">
        <f>IF(AND(B6=$B$2,A11=$B$3),"●","")</f>
        <v/>
      </c>
      <c r="C11" s="53" t="str">
        <f>IF(AND(C6=$B$2,A11=$B$3),"●","")</f>
        <v/>
      </c>
      <c r="D11" s="53" t="str">
        <f>IF(AND(D6=$B$2,A11=$B$3),"●","")</f>
        <v/>
      </c>
      <c r="E11" s="53" t="str">
        <f>IF(AND(E6=$B$2,A11=$B$3),"●","")</f>
        <v/>
      </c>
      <c r="F11" s="53" t="str">
        <f>IF(AND(F6=$B$2,A11=$B$3),"●","")</f>
        <v/>
      </c>
      <c r="G11" s="53" t="str">
        <f>IF(AND(G6=$B$2,A11=$B$3),"●","")</f>
        <v/>
      </c>
      <c r="H11" s="53" t="str">
        <f>IF(AND(H6=$B$2,A11=$B$3),"●","")</f>
        <v/>
      </c>
      <c r="I11" s="53" t="str">
        <f>IF(AND(I6=$B$2,A11=$B$3),"●","")</f>
        <v/>
      </c>
      <c r="J11" s="53" t="str">
        <f>IF(AND(J6=$B$2,A11=$B$3),"●","")</f>
        <v/>
      </c>
      <c r="K11" s="53" t="str">
        <f>IF(AND(K6=$B$2,A11=$B$3),"●","")</f>
        <v/>
      </c>
      <c r="L11" s="53" t="str">
        <f>IF(AND(L6=$B$2,A11=$B$3),"●","")</f>
        <v/>
      </c>
      <c r="M11" s="53" t="str">
        <f>IF(AND(M6=$B$2,A11=$B$3),"●","")</f>
        <v/>
      </c>
      <c r="N11" s="53" t="str">
        <f t="shared" si="0"/>
        <v/>
      </c>
      <c r="O11" s="53" t="str">
        <f t="shared" si="0"/>
        <v/>
      </c>
      <c r="P11" s="53" t="str">
        <f t="shared" si="0"/>
        <v/>
      </c>
      <c r="Q11" s="53" t="str">
        <f t="shared" si="0"/>
        <v/>
      </c>
      <c r="R11" s="53" t="str">
        <f t="shared" si="0"/>
        <v/>
      </c>
      <c r="S11" s="53" t="str">
        <f t="shared" si="0"/>
        <v/>
      </c>
      <c r="T11" s="53" t="str">
        <f t="shared" si="0"/>
        <v/>
      </c>
      <c r="U11" s="53" t="str">
        <f t="shared" si="0"/>
        <v/>
      </c>
    </row>
    <row r="12" spans="1:21">
      <c r="A12" s="52">
        <v>6</v>
      </c>
      <c r="B12" s="53" t="str">
        <f>IF(AND(B6=$B$2,A12=$B$3),"●","")</f>
        <v/>
      </c>
      <c r="C12" s="53" t="str">
        <f>IF(AND(C6=$B$2,A12=$B$3),"●","")</f>
        <v/>
      </c>
      <c r="D12" s="53" t="str">
        <f>IF(AND(D6=$B$2,A12=$B$3),"●","")</f>
        <v/>
      </c>
      <c r="E12" s="53" t="str">
        <f>IF(AND(E6=$B$2,A12=$B$3),"●","")</f>
        <v/>
      </c>
      <c r="F12" s="53" t="str">
        <f>IF(AND(F6=$B$2,A12=$B$3),"●","")</f>
        <v/>
      </c>
      <c r="G12" s="53" t="str">
        <f>IF(AND(G6=$B$2,A12=$B$3),"●","")</f>
        <v/>
      </c>
      <c r="H12" s="53" t="str">
        <f>IF(AND(H6=$B$2,A12=$B$3),"●","")</f>
        <v/>
      </c>
      <c r="I12" s="53" t="str">
        <f>IF(AND(I6=$B$2,A12=$B$3),"●","")</f>
        <v/>
      </c>
      <c r="J12" s="53" t="str">
        <f>IF(AND(J6=$B$2,A12=$B$3),"●","")</f>
        <v/>
      </c>
      <c r="K12" s="53" t="str">
        <f>IF(AND(K6=$B$2,A12=$B$3),"●","")</f>
        <v/>
      </c>
      <c r="L12" s="53" t="str">
        <f>IF(AND(L6=$B$2,A12=$B$3),"●","")</f>
        <v/>
      </c>
      <c r="M12" s="53" t="str">
        <f>IF(AND(M6=$B$2,A12=$B$3),"●","")</f>
        <v/>
      </c>
      <c r="N12" s="53" t="str">
        <f t="shared" si="0"/>
        <v/>
      </c>
      <c r="O12" s="53" t="str">
        <f t="shared" si="0"/>
        <v/>
      </c>
      <c r="P12" s="53" t="str">
        <f t="shared" si="0"/>
        <v/>
      </c>
      <c r="Q12" s="53" t="str">
        <f t="shared" si="0"/>
        <v/>
      </c>
      <c r="R12" s="53" t="str">
        <f t="shared" si="0"/>
        <v/>
      </c>
      <c r="S12" s="53" t="str">
        <f t="shared" si="0"/>
        <v/>
      </c>
      <c r="T12" s="53" t="str">
        <f t="shared" si="0"/>
        <v/>
      </c>
      <c r="U12" s="53" t="str">
        <f t="shared" si="0"/>
        <v/>
      </c>
    </row>
    <row r="13" spans="1:21">
      <c r="A13" s="52">
        <v>7</v>
      </c>
      <c r="B13" s="53" t="str">
        <f>IF(AND(B6=$B$2,A13=$B$3),"●","")</f>
        <v/>
      </c>
      <c r="C13" s="53" t="str">
        <f>IF(AND(C6=$B$2,A13=$B$3),"●","")</f>
        <v/>
      </c>
      <c r="D13" s="53" t="str">
        <f>IF(AND(D6=$B$2,A13=$B$3),"●","")</f>
        <v/>
      </c>
      <c r="E13" s="53" t="str">
        <f>IF(AND(E6=$B$2,A13=$B$3),"●","")</f>
        <v/>
      </c>
      <c r="F13" s="53" t="str">
        <f>IF(AND(F6=$B$2,A13=$B$3),"●","")</f>
        <v/>
      </c>
      <c r="G13" s="53" t="str">
        <f>IF(AND(G6=$B$2,A13=$B$3),"●","")</f>
        <v/>
      </c>
      <c r="H13" s="53" t="str">
        <f>IF(AND(H6=$B$2,A13=$B$3),"●","")</f>
        <v/>
      </c>
      <c r="I13" s="53" t="str">
        <f>IF(AND(I6=$B$2,A13=$B$3),"●","")</f>
        <v/>
      </c>
      <c r="J13" s="53" t="str">
        <f>IF(AND(J6=$B$2,A13=$B$3),"●","")</f>
        <v/>
      </c>
      <c r="K13" s="53" t="str">
        <f>IF(AND(K6=$B$2,A13=$B$3),"●","")</f>
        <v/>
      </c>
      <c r="L13" s="53" t="str">
        <f>IF(AND(L6=$B$2,A13=$B$3),"●","")</f>
        <v/>
      </c>
      <c r="M13" s="53" t="str">
        <f>IF(AND(M6=$B$2,A13=$B$3),"●","")</f>
        <v/>
      </c>
      <c r="N13" s="53" t="str">
        <f t="shared" si="0"/>
        <v/>
      </c>
      <c r="O13" s="53" t="str">
        <f t="shared" si="0"/>
        <v/>
      </c>
      <c r="P13" s="53" t="str">
        <f t="shared" si="0"/>
        <v/>
      </c>
      <c r="Q13" s="53" t="str">
        <f t="shared" si="0"/>
        <v/>
      </c>
      <c r="R13" s="53" t="str">
        <f t="shared" si="0"/>
        <v/>
      </c>
      <c r="S13" s="53" t="str">
        <f t="shared" si="0"/>
        <v/>
      </c>
      <c r="T13" s="53" t="str">
        <f t="shared" si="0"/>
        <v/>
      </c>
      <c r="U13" s="53" t="str">
        <f t="shared" si="0"/>
        <v/>
      </c>
    </row>
    <row r="14" spans="1:21">
      <c r="A14" s="52">
        <v>8</v>
      </c>
      <c r="B14" s="53" t="str">
        <f>IF(AND(B6=$B$2,A14=$B$3),"●","")</f>
        <v/>
      </c>
      <c r="C14" s="53" t="str">
        <f>IF(AND(C6=$B$2,A14=$B$3),"●","")</f>
        <v/>
      </c>
      <c r="D14" s="53" t="str">
        <f>IF(AND(D6=$B$2,A14=$B$3),"●","")</f>
        <v/>
      </c>
      <c r="E14" s="53" t="str">
        <f>IF(AND(E6=$B$2,A14=$B$3),"●","")</f>
        <v/>
      </c>
      <c r="F14" s="53" t="str">
        <f>IF(AND(F6=$B$2,A14=$B$3),"●","")</f>
        <v/>
      </c>
      <c r="G14" s="53" t="str">
        <f>IF(AND(G6=$B$2,A14=$B$3),"●","")</f>
        <v/>
      </c>
      <c r="H14" s="53" t="str">
        <f>IF(AND(H6=$B$2,A14=$B$3),"●","")</f>
        <v/>
      </c>
      <c r="I14" s="53" t="str">
        <f>IF(AND(I6=$B$2,A14=$B$3),"●","")</f>
        <v/>
      </c>
      <c r="J14" s="53" t="str">
        <f>IF(AND(J6=$B$2,A14=$B$3),"●","")</f>
        <v/>
      </c>
      <c r="K14" s="53" t="str">
        <f>IF(AND(K6=$B$2,A14=$B$3),"●","")</f>
        <v/>
      </c>
      <c r="L14" s="53" t="str">
        <f>IF(AND(L6=$B$2,A14=$B$3),"●","")</f>
        <v/>
      </c>
      <c r="M14" s="53" t="str">
        <f>IF(AND(M6=$B$2,A14=$B$3),"●","")</f>
        <v/>
      </c>
      <c r="N14" s="53" t="str">
        <f t="shared" si="0"/>
        <v/>
      </c>
      <c r="O14" s="53" t="str">
        <f t="shared" si="0"/>
        <v/>
      </c>
      <c r="P14" s="53" t="str">
        <f t="shared" si="0"/>
        <v/>
      </c>
      <c r="Q14" s="53" t="str">
        <f t="shared" si="0"/>
        <v/>
      </c>
      <c r="R14" s="53" t="str">
        <f t="shared" si="0"/>
        <v/>
      </c>
      <c r="S14" s="53" t="str">
        <f t="shared" si="0"/>
        <v/>
      </c>
      <c r="T14" s="53" t="str">
        <f t="shared" si="0"/>
        <v/>
      </c>
      <c r="U14" s="53" t="str">
        <f t="shared" si="0"/>
        <v/>
      </c>
    </row>
    <row r="15" spans="1:21">
      <c r="A15" s="52">
        <v>9</v>
      </c>
      <c r="B15" s="53" t="str">
        <f>IF(AND(B6=$B$2,A15=$B$3),"●","")</f>
        <v/>
      </c>
      <c r="C15" s="53" t="str">
        <f>IF(AND(C6=$B$2,A15=$B$3),"●","")</f>
        <v/>
      </c>
      <c r="D15" s="53" t="str">
        <f>IF(AND(D6=$B$2,A15=$B$3),"●","")</f>
        <v/>
      </c>
      <c r="E15" s="53" t="str">
        <f>IF(AND(E6=$B$2,A15=$B$3),"●","")</f>
        <v/>
      </c>
      <c r="F15" s="53" t="str">
        <f>IF(AND(F6=$B$2,A15=$B$3),"●","")</f>
        <v/>
      </c>
      <c r="G15" s="53" t="str">
        <f>IF(AND(G6=$B$2,A15=$B$3),"●","")</f>
        <v/>
      </c>
      <c r="H15" s="53" t="str">
        <f>IF(AND(H6=$B$2,A15=$B$3),"●","")</f>
        <v/>
      </c>
      <c r="I15" s="53" t="str">
        <f>IF(AND(I6=$B$2,A15=$B$3),"●","")</f>
        <v/>
      </c>
      <c r="J15" s="53" t="str">
        <f>IF(AND(J6=$B$2,A15=$B$3),"●","")</f>
        <v/>
      </c>
      <c r="K15" s="53" t="str">
        <f>IF(AND(K6=$B$2,A15=$B$3),"●","")</f>
        <v/>
      </c>
      <c r="L15" s="53" t="str">
        <f>IF(AND(L6=$B$2,A15=$B$3),"●","")</f>
        <v/>
      </c>
      <c r="M15" s="53" t="str">
        <f>IF(AND(M6=$B$2,A15=$B$3),"●","")</f>
        <v/>
      </c>
      <c r="N15" s="53" t="str">
        <f t="shared" si="0"/>
        <v/>
      </c>
      <c r="O15" s="53" t="str">
        <f t="shared" si="0"/>
        <v/>
      </c>
      <c r="P15" s="53" t="str">
        <f t="shared" si="0"/>
        <v/>
      </c>
      <c r="Q15" s="53" t="str">
        <f t="shared" si="0"/>
        <v/>
      </c>
      <c r="R15" s="53" t="str">
        <f t="shared" si="0"/>
        <v/>
      </c>
      <c r="S15" s="53" t="str">
        <f t="shared" si="0"/>
        <v/>
      </c>
      <c r="T15" s="53" t="str">
        <f t="shared" si="0"/>
        <v/>
      </c>
      <c r="U15" s="53" t="str">
        <f t="shared" si="0"/>
        <v/>
      </c>
    </row>
    <row r="16" spans="1:21">
      <c r="A16" s="52">
        <v>10</v>
      </c>
      <c r="B16" s="53" t="str">
        <f>IF(AND(B6=$B$2,A16=$B$3),"●","")</f>
        <v/>
      </c>
      <c r="C16" s="53" t="str">
        <f>IF(AND(C6=$B$2,A16=$B$3),"●","")</f>
        <v/>
      </c>
      <c r="D16" s="53" t="str">
        <f>IF(AND(D6=$B$2,A16=$B$3),"●","")</f>
        <v/>
      </c>
      <c r="E16" s="53" t="str">
        <f>IF(AND(E6=$B$2,A16=$B$3),"●","")</f>
        <v/>
      </c>
      <c r="F16" s="53" t="str">
        <f>IF(AND(F6=$B$2,A16=$B$3),"●","")</f>
        <v/>
      </c>
      <c r="G16" s="53" t="str">
        <f>IF(AND(G6=$B$2,A16=$B$3),"●","")</f>
        <v/>
      </c>
      <c r="H16" s="53" t="str">
        <f>IF(AND(H6=$B$2,A16=$B$3),"●","")</f>
        <v/>
      </c>
      <c r="I16" s="53" t="str">
        <f>IF(AND(I6=$B$2,A16=$B$3),"●","")</f>
        <v/>
      </c>
      <c r="J16" s="53" t="str">
        <f>IF(AND(J6=$B$2,A16=$B$3),"●","")</f>
        <v/>
      </c>
      <c r="K16" s="53" t="str">
        <f>IF(AND(K6=$B$2,A16=$B$3),"●","")</f>
        <v/>
      </c>
      <c r="L16" s="53" t="str">
        <f>IF(AND(L6=$B$2,A16=$B$3),"●","")</f>
        <v/>
      </c>
      <c r="M16" s="53" t="str">
        <f>IF(AND(M6=$B$2,A16=$B$3),"●","")</f>
        <v/>
      </c>
      <c r="N16" s="53" t="str">
        <f t="shared" si="0"/>
        <v/>
      </c>
      <c r="O16" s="53" t="str">
        <f t="shared" si="0"/>
        <v/>
      </c>
      <c r="P16" s="53" t="str">
        <f t="shared" si="0"/>
        <v/>
      </c>
      <c r="Q16" s="53" t="str">
        <f t="shared" si="0"/>
        <v/>
      </c>
      <c r="R16" s="53" t="str">
        <f t="shared" si="0"/>
        <v/>
      </c>
      <c r="S16" s="53" t="str">
        <f t="shared" si="0"/>
        <v/>
      </c>
      <c r="T16" s="53" t="str">
        <f t="shared" si="0"/>
        <v/>
      </c>
      <c r="U16" s="53" t="str">
        <f t="shared" si="0"/>
        <v/>
      </c>
    </row>
    <row r="17" spans="1:21">
      <c r="A17" s="52">
        <v>11</v>
      </c>
      <c r="B17" s="53" t="str">
        <f>IF(AND(B6=$B$2,A17=$B$3),"●","")</f>
        <v/>
      </c>
      <c r="C17" s="53" t="str">
        <f>IF(AND(C6=$B$2,A17=$B$3),"●","")</f>
        <v/>
      </c>
      <c r="D17" s="53" t="str">
        <f>IF(AND(D6=$B$2,A17=$B$3),"●","")</f>
        <v/>
      </c>
      <c r="E17" s="53" t="str">
        <f>IF(AND(E6=$B$2,A17=$B$3),"●","")</f>
        <v/>
      </c>
      <c r="F17" s="53" t="str">
        <f>IF(AND(F6=$B$2,A17=$B$3),"●","")</f>
        <v/>
      </c>
      <c r="G17" s="53" t="str">
        <f>IF(AND(G6=$B$2,A17=$B$3),"●","")</f>
        <v/>
      </c>
      <c r="H17" s="53" t="str">
        <f>IF(AND(H6=$B$2,A17=$B$3),"●","")</f>
        <v/>
      </c>
      <c r="I17" s="53" t="str">
        <f>IF(AND(I6=$B$2,A17=$B$3),"●","")</f>
        <v/>
      </c>
      <c r="J17" s="53" t="str">
        <f>IF(AND(J6=$B$2,A17=$B$3),"●","")</f>
        <v/>
      </c>
      <c r="K17" s="53" t="str">
        <f>IF(AND(K6=$B$2,A17=$B$3),"●","")</f>
        <v/>
      </c>
      <c r="L17" s="53" t="str">
        <f>IF(AND(L6=$B$2,A17=$B$3),"●","")</f>
        <v/>
      </c>
      <c r="M17" s="53" t="str">
        <f>IF(AND(M6=$B$2,A17=$B$3),"●","")</f>
        <v/>
      </c>
      <c r="N17" s="53" t="str">
        <f t="shared" ref="N17:U26" si="1">IF(AND($A17=$B$2,N$6=$B$3),"●","")</f>
        <v/>
      </c>
      <c r="O17" s="53" t="str">
        <f t="shared" si="1"/>
        <v/>
      </c>
      <c r="P17" s="53" t="str">
        <f t="shared" si="1"/>
        <v/>
      </c>
      <c r="Q17" s="53" t="str">
        <f t="shared" si="1"/>
        <v/>
      </c>
      <c r="R17" s="53" t="str">
        <f t="shared" si="1"/>
        <v/>
      </c>
      <c r="S17" s="53" t="str">
        <f t="shared" si="1"/>
        <v/>
      </c>
      <c r="T17" s="53" t="str">
        <f t="shared" si="1"/>
        <v/>
      </c>
      <c r="U17" s="53" t="str">
        <f t="shared" si="1"/>
        <v/>
      </c>
    </row>
    <row r="18" spans="1:21">
      <c r="A18" s="52">
        <v>12</v>
      </c>
      <c r="B18" s="53" t="str">
        <f>IF(AND(B6=$B$2,A18=$B$3),"●","")</f>
        <v/>
      </c>
      <c r="C18" s="53" t="str">
        <f>IF(AND(C6=$B$2,A18=$B$3),"●","")</f>
        <v/>
      </c>
      <c r="D18" s="53" t="str">
        <f>IF(AND(D6=$B$2,A18=$B$3),"●","")</f>
        <v/>
      </c>
      <c r="E18" s="53" t="str">
        <f>IF(AND(E6=$B$2,A18=$B$3),"●","")</f>
        <v/>
      </c>
      <c r="F18" s="53" t="str">
        <f>IF(AND(F6=$B$2,A18=$B$3),"●","")</f>
        <v/>
      </c>
      <c r="G18" s="53" t="str">
        <f>IF(AND(G6=$B$2,A18=$B$3),"●","")</f>
        <v/>
      </c>
      <c r="H18" s="53" t="str">
        <f>IF(AND(H6=$B$2,A18=$B$3),"●","")</f>
        <v/>
      </c>
      <c r="I18" s="53" t="str">
        <f>IF(AND(I6=$B$2,A18=$B$3),"●","")</f>
        <v/>
      </c>
      <c r="J18" s="53" t="str">
        <f>IF(AND(J6=$B$2,A18=$B$3),"●","")</f>
        <v/>
      </c>
      <c r="K18" s="53" t="str">
        <f>IF(AND(K6=$B$2,A18=$B$3),"●","")</f>
        <v/>
      </c>
      <c r="L18" s="53" t="str">
        <f>IF(AND(L6=$B$2,A18=$B$3),"●","")</f>
        <v/>
      </c>
      <c r="M18" s="53" t="str">
        <f>IF(AND(M6=$B$2,A18=$B$3),"●","")</f>
        <v/>
      </c>
      <c r="N18" s="53" t="str">
        <f t="shared" si="1"/>
        <v/>
      </c>
      <c r="O18" s="53" t="str">
        <f t="shared" si="1"/>
        <v/>
      </c>
      <c r="P18" s="53" t="str">
        <f t="shared" si="1"/>
        <v/>
      </c>
      <c r="Q18" s="53" t="str">
        <f t="shared" si="1"/>
        <v/>
      </c>
      <c r="R18" s="53" t="str">
        <f t="shared" si="1"/>
        <v/>
      </c>
      <c r="S18" s="53" t="str">
        <f t="shared" si="1"/>
        <v/>
      </c>
      <c r="T18" s="53" t="str">
        <f t="shared" si="1"/>
        <v/>
      </c>
      <c r="U18" s="53" t="str">
        <f t="shared" si="1"/>
        <v/>
      </c>
    </row>
    <row r="19" spans="1:21">
      <c r="A19" s="52">
        <v>13</v>
      </c>
      <c r="B19" s="53" t="str">
        <f>IF(AND(B6=$B$2,A19=$B$3),"●","")</f>
        <v/>
      </c>
      <c r="C19" s="53" t="str">
        <f>IF(AND(C6=$B$2,A19=$B$3),"●","")</f>
        <v/>
      </c>
      <c r="D19" s="53" t="str">
        <f>IF(AND(D6=$B$2,A19=$B$3),"●","")</f>
        <v/>
      </c>
      <c r="E19" s="53" t="str">
        <f>IF(AND(E6=$B$2,A19=$B$3),"●","")</f>
        <v/>
      </c>
      <c r="F19" s="53" t="str">
        <f>IF(AND(F6=$B$2,A19=$B$3),"●","")</f>
        <v/>
      </c>
      <c r="G19" s="53" t="str">
        <f>IF(AND(G6=$B$2,A19=$B$3),"●","")</f>
        <v/>
      </c>
      <c r="H19" s="53" t="str">
        <f>IF(AND(H6=$B$2,A19=$B$3),"●","")</f>
        <v/>
      </c>
      <c r="I19" s="53" t="str">
        <f>IF(AND(I6=$B$2,A19=$B$3),"●","")</f>
        <v/>
      </c>
      <c r="J19" s="53" t="str">
        <f>IF(AND(J6=$B$2,A19=$B$3),"●","")</f>
        <v/>
      </c>
      <c r="K19" s="53" t="str">
        <f>IF(AND(K6=$B$2,A19=$B$3),"●","")</f>
        <v/>
      </c>
      <c r="L19" s="53" t="str">
        <f>IF(AND(L6=$B$2,A19=$B$3),"●","")</f>
        <v/>
      </c>
      <c r="M19" s="53" t="str">
        <f>IF(AND(M6=$B$2,A19=$B$3),"●","")</f>
        <v/>
      </c>
      <c r="N19" s="53" t="str">
        <f t="shared" si="1"/>
        <v/>
      </c>
      <c r="O19" s="53" t="str">
        <f t="shared" si="1"/>
        <v/>
      </c>
      <c r="P19" s="53" t="str">
        <f t="shared" si="1"/>
        <v/>
      </c>
      <c r="Q19" s="53" t="str">
        <f t="shared" si="1"/>
        <v/>
      </c>
      <c r="R19" s="53" t="str">
        <f t="shared" si="1"/>
        <v/>
      </c>
      <c r="S19" s="53" t="str">
        <f t="shared" si="1"/>
        <v/>
      </c>
      <c r="T19" s="53" t="str">
        <f t="shared" si="1"/>
        <v/>
      </c>
      <c r="U19" s="53" t="str">
        <f t="shared" si="1"/>
        <v/>
      </c>
    </row>
    <row r="20" spans="1:21">
      <c r="A20" s="52">
        <v>14</v>
      </c>
      <c r="B20" s="53" t="str">
        <f>IF(AND(B6=$B$2,A20=$B$3),"●","")</f>
        <v/>
      </c>
      <c r="C20" s="53" t="str">
        <f>IF(AND(C6=$B$2,A20=$B$3),"●","")</f>
        <v/>
      </c>
      <c r="D20" s="53" t="str">
        <f>IF(AND(D6=$B$2,A20=$B$3),"●","")</f>
        <v/>
      </c>
      <c r="E20" s="53" t="str">
        <f>IF(AND(E6=$B$2,A20=$B$3),"●","")</f>
        <v/>
      </c>
      <c r="F20" s="53" t="str">
        <f>IF(AND(F6=$B$2,A20=$B$3),"●","")</f>
        <v/>
      </c>
      <c r="G20" s="53" t="str">
        <f>IF(AND(G6=$B$2,A20=$B$3),"●","")</f>
        <v/>
      </c>
      <c r="H20" s="53" t="str">
        <f>IF(AND(H6=$B$2,A20=$B$3),"●","")</f>
        <v/>
      </c>
      <c r="I20" s="53" t="str">
        <f>IF(AND(I6=$B$2,A20=$B$3),"●","")</f>
        <v/>
      </c>
      <c r="J20" s="53" t="str">
        <f>IF(AND(J6=$B$2,A20=$B$3),"●","")</f>
        <v/>
      </c>
      <c r="K20" s="53" t="str">
        <f>IF(AND(K6=$B$2,A20=$B$3),"●","")</f>
        <v/>
      </c>
      <c r="L20" s="53" t="str">
        <f>IF(AND(L6=$B$2,A20=$B$3),"●","")</f>
        <v/>
      </c>
      <c r="M20" s="53" t="str">
        <f>IF(AND(M6=$B$2,A20=$B$3),"●","")</f>
        <v/>
      </c>
      <c r="N20" s="53" t="str">
        <f t="shared" si="1"/>
        <v/>
      </c>
      <c r="O20" s="53" t="str">
        <f t="shared" si="1"/>
        <v/>
      </c>
      <c r="P20" s="53" t="str">
        <f t="shared" si="1"/>
        <v/>
      </c>
      <c r="Q20" s="53" t="str">
        <f t="shared" si="1"/>
        <v/>
      </c>
      <c r="R20" s="53" t="str">
        <f t="shared" si="1"/>
        <v/>
      </c>
      <c r="S20" s="53" t="str">
        <f t="shared" si="1"/>
        <v/>
      </c>
      <c r="T20" s="53" t="str">
        <f t="shared" si="1"/>
        <v/>
      </c>
      <c r="U20" s="53" t="str">
        <f t="shared" si="1"/>
        <v/>
      </c>
    </row>
    <row r="21" spans="1:21">
      <c r="A21" s="52">
        <v>15</v>
      </c>
      <c r="B21" s="53" t="str">
        <f>IF(AND(B6=$B$2,A21=$B$3),"●","")</f>
        <v/>
      </c>
      <c r="C21" s="53" t="str">
        <f>IF(AND(C6=$B$2,A21=$B$3),"●","")</f>
        <v/>
      </c>
      <c r="D21" s="53" t="str">
        <f>IF(AND(D6=$B$2,A21=$B$3),"●","")</f>
        <v/>
      </c>
      <c r="E21" s="53" t="str">
        <f>IF(AND(E6=$B$2,A21=$B$3),"●","")</f>
        <v/>
      </c>
      <c r="F21" s="53" t="str">
        <f>IF(AND(F6=$B$2,A21=$B$3),"●","")</f>
        <v/>
      </c>
      <c r="G21" s="53" t="str">
        <f>IF(AND(G6=$B$2,A21=$B$3),"●","")</f>
        <v/>
      </c>
      <c r="H21" s="53" t="str">
        <f>IF(AND(H6=$B$2,A21=$B$3),"●","")</f>
        <v/>
      </c>
      <c r="I21" s="53" t="str">
        <f>IF(AND(I6=$B$2,A21=$B$3),"●","")</f>
        <v/>
      </c>
      <c r="J21" s="53" t="str">
        <f>IF(AND(J6=$B$2,A21=$B$3),"●","")</f>
        <v/>
      </c>
      <c r="K21" s="53" t="str">
        <f>IF(AND(K6=$B$2,A21=$B$3),"●","")</f>
        <v/>
      </c>
      <c r="L21" s="53" t="str">
        <f>IF(AND(L6=$B$2,A21=$B$3),"●","")</f>
        <v/>
      </c>
      <c r="M21" s="53" t="str">
        <f>IF(AND(M6=$B$2,A21=$B$3),"●","")</f>
        <v/>
      </c>
      <c r="N21" s="53" t="str">
        <f t="shared" si="1"/>
        <v/>
      </c>
      <c r="O21" s="53" t="str">
        <f t="shared" si="1"/>
        <v/>
      </c>
      <c r="P21" s="53" t="str">
        <f t="shared" si="1"/>
        <v/>
      </c>
      <c r="Q21" s="53" t="str">
        <f t="shared" si="1"/>
        <v/>
      </c>
      <c r="R21" s="53" t="str">
        <f t="shared" si="1"/>
        <v/>
      </c>
      <c r="S21" s="53" t="str">
        <f t="shared" si="1"/>
        <v/>
      </c>
      <c r="T21" s="53" t="str">
        <f t="shared" si="1"/>
        <v/>
      </c>
      <c r="U21" s="53" t="str">
        <f t="shared" si="1"/>
        <v/>
      </c>
    </row>
    <row r="22" spans="1:21">
      <c r="A22" s="52">
        <v>16</v>
      </c>
      <c r="B22" s="53" t="str">
        <f>IF(AND(B6=$B$2,A22=$B$3),"●","")</f>
        <v/>
      </c>
      <c r="C22" s="53" t="str">
        <f>IF(AND(C6=$B$2,A22=$B$3),"●","")</f>
        <v/>
      </c>
      <c r="D22" s="53" t="str">
        <f>IF(AND(D6=$B$2,A22=$B$3),"●","")</f>
        <v/>
      </c>
      <c r="E22" s="53" t="str">
        <f>IF(AND(E6=$B$2,A22=$B$3),"●","")</f>
        <v/>
      </c>
      <c r="F22" s="53" t="str">
        <f>IF(AND(F6=$B$2,A22=$B$3),"●","")</f>
        <v/>
      </c>
      <c r="G22" s="53" t="str">
        <f>IF(AND(G6=$B$2,A22=$B$3),"●","")</f>
        <v/>
      </c>
      <c r="H22" s="53" t="str">
        <f>IF(AND(H6=$B$2,A22=$B$3),"●","")</f>
        <v/>
      </c>
      <c r="I22" s="53" t="str">
        <f>IF(AND(I6=$B$2,A22=$B$3),"●","")</f>
        <v/>
      </c>
      <c r="J22" s="53" t="str">
        <f>IF(AND(J6=$B$2,A22=$B$3),"●","")</f>
        <v/>
      </c>
      <c r="K22" s="53" t="str">
        <f>IF(AND(K6=$B$2,A22=$B$3),"●","")</f>
        <v/>
      </c>
      <c r="L22" s="53" t="str">
        <f>IF(AND(L6=$B$2,A22=$B$3),"●","")</f>
        <v/>
      </c>
      <c r="M22" s="53" t="str">
        <f>IF(AND(M6=$B$2,A22=$B$3),"●","")</f>
        <v/>
      </c>
      <c r="N22" s="53" t="str">
        <f t="shared" si="1"/>
        <v/>
      </c>
      <c r="O22" s="53" t="str">
        <f t="shared" si="1"/>
        <v/>
      </c>
      <c r="P22" s="53" t="str">
        <f t="shared" si="1"/>
        <v/>
      </c>
      <c r="Q22" s="53" t="str">
        <f t="shared" si="1"/>
        <v/>
      </c>
      <c r="R22" s="53" t="str">
        <f t="shared" si="1"/>
        <v/>
      </c>
      <c r="S22" s="53" t="str">
        <f t="shared" si="1"/>
        <v/>
      </c>
      <c r="T22" s="53" t="str">
        <f t="shared" si="1"/>
        <v/>
      </c>
      <c r="U22" s="53" t="str">
        <f t="shared" si="1"/>
        <v/>
      </c>
    </row>
    <row r="23" spans="1:21">
      <c r="A23" s="52">
        <v>17</v>
      </c>
      <c r="B23" s="53" t="str">
        <f>IF(AND(B6=$B$2,A23=$B$3),"●","")</f>
        <v/>
      </c>
      <c r="C23" s="53" t="str">
        <f>IF(AND(C6=$B$2,A23=$B$3),"●","")</f>
        <v/>
      </c>
      <c r="D23" s="53" t="str">
        <f>IF(AND(D6=$B$2,A23=$B$3),"●","")</f>
        <v/>
      </c>
      <c r="E23" s="53" t="str">
        <f>IF(AND(E6=$B$2,A23=$B$3),"●","")</f>
        <v/>
      </c>
      <c r="F23" s="53" t="str">
        <f>IF(AND(F6=$B$2,A23=$B$3),"●","")</f>
        <v/>
      </c>
      <c r="G23" s="53" t="str">
        <f>IF(AND(G6=$B$2,A23=$B$3),"●","")</f>
        <v/>
      </c>
      <c r="H23" s="53" t="str">
        <f>IF(AND(H6=$B$2,A23=$B$3),"●","")</f>
        <v/>
      </c>
      <c r="I23" s="53" t="str">
        <f>IF(AND(I6=$B$2,A23=$B$3),"●","")</f>
        <v/>
      </c>
      <c r="J23" s="53" t="str">
        <f>IF(AND(J6=$B$2,A23=$B$3),"●","")</f>
        <v/>
      </c>
      <c r="K23" s="53" t="str">
        <f>IF(AND(K6=$B$2,A23=$B$3),"●","")</f>
        <v/>
      </c>
      <c r="L23" s="53" t="str">
        <f>IF(AND(L6=$B$2,A23=$B$3),"●","")</f>
        <v/>
      </c>
      <c r="M23" s="53" t="str">
        <f>IF(AND(M6=$B$2,A23=$B$3),"●","")</f>
        <v/>
      </c>
      <c r="N23" s="53" t="str">
        <f t="shared" si="1"/>
        <v/>
      </c>
      <c r="O23" s="53" t="str">
        <f t="shared" si="1"/>
        <v/>
      </c>
      <c r="P23" s="53" t="str">
        <f t="shared" si="1"/>
        <v/>
      </c>
      <c r="Q23" s="53" t="str">
        <f t="shared" si="1"/>
        <v/>
      </c>
      <c r="R23" s="53" t="str">
        <f t="shared" si="1"/>
        <v/>
      </c>
      <c r="S23" s="53" t="str">
        <f t="shared" si="1"/>
        <v/>
      </c>
      <c r="T23" s="53" t="str">
        <f t="shared" si="1"/>
        <v/>
      </c>
      <c r="U23" s="53" t="str">
        <f t="shared" si="1"/>
        <v/>
      </c>
    </row>
    <row r="24" spans="1:21">
      <c r="A24" s="52">
        <v>18</v>
      </c>
      <c r="B24" s="53" t="str">
        <f>IF(AND(B6=$B$2,A24=$B$3),"●","")</f>
        <v/>
      </c>
      <c r="C24" s="53" t="str">
        <f>IF(AND(C6=$B$2,A24=$B$3),"●","")</f>
        <v/>
      </c>
      <c r="D24" s="53" t="str">
        <f>IF(AND(D6=$B$2,A24=$B$3),"●","")</f>
        <v/>
      </c>
      <c r="E24" s="53" t="str">
        <f>IF(AND(E6=$B$2,A24=$B$3),"●","")</f>
        <v/>
      </c>
      <c r="F24" s="53" t="str">
        <f>IF(AND(F6=$B$2,A24=$B$3),"●","")</f>
        <v/>
      </c>
      <c r="G24" s="53" t="str">
        <f>IF(AND(G6=$B$2,A24=$B$3),"●","")</f>
        <v/>
      </c>
      <c r="H24" s="53" t="str">
        <f>IF(AND(H6=$B$2,A24=$B$3),"●","")</f>
        <v/>
      </c>
      <c r="I24" s="53" t="str">
        <f>IF(AND(I6=$B$2,A24=$B$3),"●","")</f>
        <v/>
      </c>
      <c r="J24" s="53" t="str">
        <f>IF(AND(J6=$B$2,A24=$B$3),"●","")</f>
        <v/>
      </c>
      <c r="K24" s="53" t="str">
        <f>IF(AND(K6=$B$2,A24=$B$3),"●","")</f>
        <v/>
      </c>
      <c r="L24" s="53" t="str">
        <f>IF(AND(L6=$B$2,A24=$B$3),"●","")</f>
        <v/>
      </c>
      <c r="M24" s="53" t="str">
        <f>IF(AND(M6=$B$2,A24=$B$3),"●","")</f>
        <v/>
      </c>
      <c r="N24" s="53" t="str">
        <f t="shared" si="1"/>
        <v/>
      </c>
      <c r="O24" s="53" t="str">
        <f t="shared" si="1"/>
        <v/>
      </c>
      <c r="P24" s="53" t="str">
        <f t="shared" si="1"/>
        <v/>
      </c>
      <c r="Q24" s="53" t="str">
        <f t="shared" si="1"/>
        <v/>
      </c>
      <c r="R24" s="53" t="str">
        <f t="shared" si="1"/>
        <v/>
      </c>
      <c r="S24" s="53" t="str">
        <f t="shared" si="1"/>
        <v/>
      </c>
      <c r="T24" s="53" t="str">
        <f t="shared" si="1"/>
        <v/>
      </c>
      <c r="U24" s="53" t="str">
        <f t="shared" si="1"/>
        <v/>
      </c>
    </row>
    <row r="25" spans="1:21">
      <c r="A25" s="52">
        <v>19</v>
      </c>
      <c r="B25" s="53" t="str">
        <f>IF(AND(B6=$B$2,A25=$B$3),"●","")</f>
        <v/>
      </c>
      <c r="C25" s="53" t="str">
        <f>IF(AND(C6=$B$2,A25=$B$3),"●","")</f>
        <v/>
      </c>
      <c r="D25" s="53" t="str">
        <f>IF(AND(D6=$B$2,A25=$B$3),"●","")</f>
        <v/>
      </c>
      <c r="E25" s="53" t="str">
        <f>IF(AND(E6=$B$2,A25=$B$3),"●","")</f>
        <v/>
      </c>
      <c r="F25" s="53" t="str">
        <f>IF(AND(F6=$B$2,A25=$B$3),"●","")</f>
        <v/>
      </c>
      <c r="G25" s="53" t="str">
        <f>IF(AND(G6=$B$2,A25=$B$3),"●","")</f>
        <v/>
      </c>
      <c r="H25" s="53" t="str">
        <f>IF(AND(H6=$B$2,A25=$B$3),"●","")</f>
        <v/>
      </c>
      <c r="I25" s="53" t="str">
        <f>IF(AND(I6=$B$2,A25=$B$3),"●","")</f>
        <v/>
      </c>
      <c r="J25" s="53" t="str">
        <f>IF(AND(J6=$B$2,A25=$B$3),"●","")</f>
        <v/>
      </c>
      <c r="K25" s="53" t="str">
        <f>IF(AND(K6=$B$2,A25=$B$3),"●","")</f>
        <v/>
      </c>
      <c r="L25" s="53" t="str">
        <f>IF(AND(L6=$B$2,A25=$B$3),"●","")</f>
        <v/>
      </c>
      <c r="M25" s="53" t="str">
        <f>IF(AND(M6=$B$2,A25=$B$3),"●","")</f>
        <v/>
      </c>
      <c r="N25" s="53" t="str">
        <f t="shared" si="1"/>
        <v/>
      </c>
      <c r="O25" s="53" t="str">
        <f t="shared" si="1"/>
        <v/>
      </c>
      <c r="P25" s="53" t="str">
        <f t="shared" si="1"/>
        <v/>
      </c>
      <c r="Q25" s="53" t="str">
        <f t="shared" si="1"/>
        <v/>
      </c>
      <c r="R25" s="53" t="str">
        <f t="shared" si="1"/>
        <v/>
      </c>
      <c r="S25" s="53" t="str">
        <f t="shared" si="1"/>
        <v/>
      </c>
      <c r="T25" s="53" t="str">
        <f t="shared" si="1"/>
        <v/>
      </c>
      <c r="U25" s="53" t="str">
        <f t="shared" si="1"/>
        <v/>
      </c>
    </row>
    <row r="26" spans="1:21">
      <c r="A26" s="52">
        <v>20</v>
      </c>
      <c r="B26" s="53" t="str">
        <f>IF(AND(B6=$B$2,A26=$B$3),"●","")</f>
        <v/>
      </c>
      <c r="C26" s="53" t="str">
        <f>IF(AND(C6=$B$2,A26=$B$3),"●","")</f>
        <v/>
      </c>
      <c r="D26" s="53" t="str">
        <f>IF(AND(D6=$B$2,A26=$B$3),"●","")</f>
        <v/>
      </c>
      <c r="E26" s="53" t="str">
        <f>IF(AND(E6=$B$2,A26=$B$3),"●","")</f>
        <v/>
      </c>
      <c r="F26" s="53" t="str">
        <f>IF(AND(F6=$B$2,A26=$B$3),"●","")</f>
        <v/>
      </c>
      <c r="G26" s="53" t="str">
        <f>IF(AND(G6=$B$2,A26=$B$3),"●","")</f>
        <v/>
      </c>
      <c r="H26" s="53" t="str">
        <f>IF(AND(H6=$B$2,A26=$B$3),"●","")</f>
        <v/>
      </c>
      <c r="I26" s="53" t="str">
        <f>IF(AND(I6=$B$2,A26=$B$3),"●","")</f>
        <v/>
      </c>
      <c r="J26" s="53" t="str">
        <f>IF(AND(J6=$B$2,A26=$B$3),"●","")</f>
        <v/>
      </c>
      <c r="K26" s="53" t="str">
        <f>IF(AND(K6=$B$2,A26=$B$3),"●","")</f>
        <v/>
      </c>
      <c r="L26" s="53" t="str">
        <f>IF(AND(L6=$B$2,A26=$B$3),"●","")</f>
        <v/>
      </c>
      <c r="M26" s="53" t="str">
        <f>IF(AND(M6=$B$2,A26=$B$3),"●","")</f>
        <v/>
      </c>
      <c r="N26" s="53" t="str">
        <f t="shared" si="1"/>
        <v/>
      </c>
      <c r="O26" s="53" t="str">
        <f t="shared" si="1"/>
        <v/>
      </c>
      <c r="P26" s="53" t="str">
        <f t="shared" si="1"/>
        <v/>
      </c>
      <c r="Q26" s="53" t="str">
        <f t="shared" si="1"/>
        <v/>
      </c>
      <c r="R26" s="53" t="str">
        <f t="shared" si="1"/>
        <v/>
      </c>
      <c r="S26" s="53" t="str">
        <f t="shared" si="1"/>
        <v/>
      </c>
      <c r="T26" s="53" t="str">
        <f t="shared" si="1"/>
        <v/>
      </c>
      <c r="U26" s="53" t="str">
        <f t="shared" si="1"/>
        <v/>
      </c>
    </row>
    <row r="27" spans="1:21">
      <c r="A27" s="52">
        <v>21</v>
      </c>
      <c r="B27" s="53" t="str">
        <f t="shared" ref="B27:M36" si="2">IF(AND($A27=$B$2,B$6=$B$3),"●","")</f>
        <v/>
      </c>
      <c r="C27" s="53" t="str">
        <f t="shared" si="2"/>
        <v/>
      </c>
      <c r="D27" s="53" t="str">
        <f t="shared" si="2"/>
        <v/>
      </c>
      <c r="E27" s="53" t="str">
        <f t="shared" si="2"/>
        <v/>
      </c>
      <c r="F27" s="53" t="str">
        <f t="shared" si="2"/>
        <v/>
      </c>
      <c r="G27" s="53" t="str">
        <f t="shared" si="2"/>
        <v/>
      </c>
      <c r="H27" s="53" t="str">
        <f t="shared" si="2"/>
        <v/>
      </c>
      <c r="I27" s="53" t="str">
        <f t="shared" si="2"/>
        <v/>
      </c>
      <c r="J27" s="53" t="str">
        <f t="shared" si="2"/>
        <v/>
      </c>
      <c r="K27" s="53" t="str">
        <f t="shared" si="2"/>
        <v/>
      </c>
      <c r="L27" s="53" t="str">
        <f t="shared" si="2"/>
        <v/>
      </c>
      <c r="M27" s="53" t="str">
        <f t="shared" si="2"/>
        <v/>
      </c>
      <c r="N27" s="53" t="str">
        <f t="shared" ref="N27:U36" si="3">IF(AND($A27=$B$2,N$6=$B$3),"●","")</f>
        <v/>
      </c>
      <c r="O27" s="53" t="str">
        <f t="shared" si="3"/>
        <v/>
      </c>
      <c r="P27" s="53" t="str">
        <f t="shared" si="3"/>
        <v/>
      </c>
      <c r="Q27" s="53" t="str">
        <f t="shared" si="3"/>
        <v/>
      </c>
      <c r="R27" s="53" t="str">
        <f t="shared" si="3"/>
        <v/>
      </c>
      <c r="S27" s="53" t="str">
        <f t="shared" si="3"/>
        <v/>
      </c>
      <c r="T27" s="53" t="str">
        <f t="shared" si="3"/>
        <v/>
      </c>
      <c r="U27" s="53" t="str">
        <f t="shared" si="3"/>
        <v/>
      </c>
    </row>
    <row r="28" spans="1:21">
      <c r="A28" s="52" t="s">
        <v>1161</v>
      </c>
      <c r="B28" s="53" t="str">
        <f t="shared" si="2"/>
        <v/>
      </c>
      <c r="C28" s="53" t="str">
        <f t="shared" si="2"/>
        <v/>
      </c>
      <c r="D28" s="53" t="str">
        <f t="shared" si="2"/>
        <v/>
      </c>
      <c r="E28" s="53" t="str">
        <f t="shared" si="2"/>
        <v/>
      </c>
      <c r="F28" s="53" t="str">
        <f t="shared" si="2"/>
        <v/>
      </c>
      <c r="G28" s="53" t="str">
        <f t="shared" si="2"/>
        <v/>
      </c>
      <c r="H28" s="53" t="str">
        <f t="shared" si="2"/>
        <v/>
      </c>
      <c r="I28" s="53" t="str">
        <f t="shared" si="2"/>
        <v/>
      </c>
      <c r="J28" s="53" t="str">
        <f t="shared" si="2"/>
        <v/>
      </c>
      <c r="K28" s="53" t="str">
        <f t="shared" si="2"/>
        <v/>
      </c>
      <c r="L28" s="53" t="str">
        <f t="shared" si="2"/>
        <v/>
      </c>
      <c r="M28" s="53" t="str">
        <f t="shared" si="2"/>
        <v/>
      </c>
      <c r="N28" s="53" t="str">
        <f t="shared" si="3"/>
        <v/>
      </c>
      <c r="O28" s="53" t="str">
        <f t="shared" si="3"/>
        <v/>
      </c>
      <c r="P28" s="53" t="str">
        <f t="shared" si="3"/>
        <v/>
      </c>
      <c r="Q28" s="53" t="str">
        <f t="shared" si="3"/>
        <v/>
      </c>
      <c r="R28" s="53" t="str">
        <f t="shared" si="3"/>
        <v/>
      </c>
      <c r="S28" s="53" t="str">
        <f t="shared" si="3"/>
        <v/>
      </c>
      <c r="T28" s="53" t="str">
        <f t="shared" si="3"/>
        <v/>
      </c>
      <c r="U28" s="53" t="str">
        <f t="shared" si="3"/>
        <v/>
      </c>
    </row>
    <row r="29" spans="1:21">
      <c r="A29" s="52">
        <v>23</v>
      </c>
      <c r="B29" s="53" t="str">
        <f t="shared" si="2"/>
        <v/>
      </c>
      <c r="C29" s="53" t="str">
        <f t="shared" si="2"/>
        <v/>
      </c>
      <c r="D29" s="53" t="str">
        <f t="shared" si="2"/>
        <v/>
      </c>
      <c r="E29" s="53" t="str">
        <f t="shared" si="2"/>
        <v/>
      </c>
      <c r="F29" s="53" t="str">
        <f t="shared" si="2"/>
        <v/>
      </c>
      <c r="G29" s="53" t="str">
        <f t="shared" si="2"/>
        <v/>
      </c>
      <c r="H29" s="53" t="str">
        <f t="shared" si="2"/>
        <v/>
      </c>
      <c r="I29" s="53" t="str">
        <f t="shared" si="2"/>
        <v/>
      </c>
      <c r="J29" s="53" t="str">
        <f t="shared" si="2"/>
        <v/>
      </c>
      <c r="K29" s="53" t="str">
        <f t="shared" si="2"/>
        <v/>
      </c>
      <c r="L29" s="53" t="str">
        <f t="shared" si="2"/>
        <v/>
      </c>
      <c r="M29" s="53" t="str">
        <f t="shared" si="2"/>
        <v/>
      </c>
      <c r="N29" s="53" t="str">
        <f t="shared" si="3"/>
        <v/>
      </c>
      <c r="O29" s="53" t="str">
        <f t="shared" si="3"/>
        <v/>
      </c>
      <c r="P29" s="53" t="str">
        <f t="shared" si="3"/>
        <v/>
      </c>
      <c r="Q29" s="53" t="str">
        <f t="shared" si="3"/>
        <v/>
      </c>
      <c r="R29" s="53" t="str">
        <f t="shared" si="3"/>
        <v/>
      </c>
      <c r="S29" s="53" t="str">
        <f t="shared" si="3"/>
        <v/>
      </c>
      <c r="T29" s="53" t="str">
        <f t="shared" si="3"/>
        <v/>
      </c>
      <c r="U29" s="53" t="str">
        <f t="shared" si="3"/>
        <v/>
      </c>
    </row>
    <row r="30" spans="1:21">
      <c r="A30" s="52">
        <v>24</v>
      </c>
      <c r="B30" s="53" t="str">
        <f t="shared" si="2"/>
        <v/>
      </c>
      <c r="C30" s="53" t="str">
        <f t="shared" si="2"/>
        <v/>
      </c>
      <c r="D30" s="53" t="str">
        <f t="shared" si="2"/>
        <v/>
      </c>
      <c r="E30" s="53" t="str">
        <f t="shared" si="2"/>
        <v/>
      </c>
      <c r="F30" s="53" t="str">
        <f t="shared" si="2"/>
        <v/>
      </c>
      <c r="G30" s="53" t="str">
        <f t="shared" si="2"/>
        <v/>
      </c>
      <c r="H30" s="53" t="str">
        <f t="shared" si="2"/>
        <v/>
      </c>
      <c r="I30" s="53" t="str">
        <f t="shared" si="2"/>
        <v/>
      </c>
      <c r="J30" s="53" t="str">
        <f t="shared" si="2"/>
        <v/>
      </c>
      <c r="K30" s="53" t="str">
        <f t="shared" si="2"/>
        <v/>
      </c>
      <c r="L30" s="53" t="str">
        <f t="shared" si="2"/>
        <v/>
      </c>
      <c r="M30" s="53" t="str">
        <f t="shared" si="2"/>
        <v/>
      </c>
      <c r="N30" s="53" t="str">
        <f t="shared" si="3"/>
        <v/>
      </c>
      <c r="O30" s="53" t="str">
        <f t="shared" si="3"/>
        <v/>
      </c>
      <c r="P30" s="53" t="str">
        <f t="shared" si="3"/>
        <v/>
      </c>
      <c r="Q30" s="53" t="str">
        <f t="shared" si="3"/>
        <v/>
      </c>
      <c r="R30" s="53" t="str">
        <f t="shared" si="3"/>
        <v/>
      </c>
      <c r="S30" s="53" t="str">
        <f t="shared" si="3"/>
        <v/>
      </c>
      <c r="T30" s="53" t="str">
        <f t="shared" si="3"/>
        <v/>
      </c>
      <c r="U30" s="53" t="str">
        <f t="shared" si="3"/>
        <v/>
      </c>
    </row>
    <row r="31" spans="1:21">
      <c r="A31" s="52">
        <v>25</v>
      </c>
      <c r="B31" s="53" t="str">
        <f t="shared" si="2"/>
        <v/>
      </c>
      <c r="C31" s="53" t="str">
        <f t="shared" si="2"/>
        <v/>
      </c>
      <c r="D31" s="53" t="str">
        <f t="shared" si="2"/>
        <v/>
      </c>
      <c r="E31" s="53" t="str">
        <f t="shared" si="2"/>
        <v/>
      </c>
      <c r="F31" s="53" t="str">
        <f t="shared" si="2"/>
        <v/>
      </c>
      <c r="G31" s="53" t="str">
        <f t="shared" si="2"/>
        <v/>
      </c>
      <c r="H31" s="53" t="str">
        <f t="shared" si="2"/>
        <v/>
      </c>
      <c r="I31" s="53" t="str">
        <f t="shared" si="2"/>
        <v/>
      </c>
      <c r="J31" s="53" t="str">
        <f t="shared" si="2"/>
        <v/>
      </c>
      <c r="K31" s="53" t="str">
        <f t="shared" si="2"/>
        <v/>
      </c>
      <c r="L31" s="53" t="str">
        <f t="shared" si="2"/>
        <v/>
      </c>
      <c r="M31" s="53" t="str">
        <f t="shared" si="2"/>
        <v/>
      </c>
      <c r="N31" s="53" t="str">
        <f t="shared" si="3"/>
        <v/>
      </c>
      <c r="O31" s="53" t="str">
        <f t="shared" si="3"/>
        <v/>
      </c>
      <c r="P31" s="53" t="str">
        <f t="shared" si="3"/>
        <v/>
      </c>
      <c r="Q31" s="53" t="str">
        <f t="shared" si="3"/>
        <v/>
      </c>
      <c r="R31" s="53" t="str">
        <f t="shared" si="3"/>
        <v/>
      </c>
      <c r="S31" s="53" t="str">
        <f t="shared" si="3"/>
        <v/>
      </c>
      <c r="T31" s="53" t="str">
        <f t="shared" si="3"/>
        <v/>
      </c>
      <c r="U31" s="53" t="str">
        <f t="shared" si="3"/>
        <v/>
      </c>
    </row>
    <row r="32" spans="1:21">
      <c r="A32" s="52">
        <v>26</v>
      </c>
      <c r="B32" s="53" t="str">
        <f t="shared" si="2"/>
        <v/>
      </c>
      <c r="C32" s="53" t="str">
        <f t="shared" si="2"/>
        <v/>
      </c>
      <c r="D32" s="53" t="str">
        <f t="shared" si="2"/>
        <v/>
      </c>
      <c r="E32" s="53" t="str">
        <f t="shared" si="2"/>
        <v/>
      </c>
      <c r="F32" s="53" t="str">
        <f t="shared" si="2"/>
        <v/>
      </c>
      <c r="G32" s="53" t="str">
        <f t="shared" si="2"/>
        <v/>
      </c>
      <c r="H32" s="53" t="str">
        <f t="shared" si="2"/>
        <v/>
      </c>
      <c r="I32" s="53" t="str">
        <f t="shared" si="2"/>
        <v/>
      </c>
      <c r="J32" s="53" t="str">
        <f t="shared" si="2"/>
        <v/>
      </c>
      <c r="K32" s="53" t="str">
        <f t="shared" si="2"/>
        <v/>
      </c>
      <c r="L32" s="53" t="str">
        <f t="shared" si="2"/>
        <v/>
      </c>
      <c r="M32" s="53" t="str">
        <f t="shared" si="2"/>
        <v/>
      </c>
      <c r="N32" s="53" t="str">
        <f t="shared" si="3"/>
        <v/>
      </c>
      <c r="O32" s="53" t="str">
        <f t="shared" si="3"/>
        <v/>
      </c>
      <c r="P32" s="53" t="str">
        <f t="shared" si="3"/>
        <v/>
      </c>
      <c r="Q32" s="53" t="str">
        <f t="shared" si="3"/>
        <v/>
      </c>
      <c r="R32" s="53" t="str">
        <f t="shared" si="3"/>
        <v/>
      </c>
      <c r="S32" s="53" t="str">
        <f t="shared" si="3"/>
        <v/>
      </c>
      <c r="T32" s="53" t="str">
        <f t="shared" si="3"/>
        <v/>
      </c>
      <c r="U32" s="53" t="str">
        <f t="shared" si="3"/>
        <v/>
      </c>
    </row>
    <row r="33" spans="1:21">
      <c r="A33" s="52">
        <v>27</v>
      </c>
      <c r="B33" s="53" t="str">
        <f t="shared" si="2"/>
        <v/>
      </c>
      <c r="C33" s="53" t="str">
        <f t="shared" si="2"/>
        <v/>
      </c>
      <c r="D33" s="53" t="str">
        <f t="shared" si="2"/>
        <v/>
      </c>
      <c r="E33" s="53" t="str">
        <f t="shared" si="2"/>
        <v/>
      </c>
      <c r="F33" s="53" t="str">
        <f t="shared" si="2"/>
        <v/>
      </c>
      <c r="G33" s="53" t="str">
        <f t="shared" si="2"/>
        <v/>
      </c>
      <c r="H33" s="53" t="str">
        <f t="shared" si="2"/>
        <v/>
      </c>
      <c r="I33" s="53" t="str">
        <f t="shared" si="2"/>
        <v/>
      </c>
      <c r="J33" s="53" t="str">
        <f t="shared" si="2"/>
        <v/>
      </c>
      <c r="K33" s="53" t="str">
        <f t="shared" si="2"/>
        <v/>
      </c>
      <c r="L33" s="53" t="str">
        <f t="shared" si="2"/>
        <v/>
      </c>
      <c r="M33" s="53" t="str">
        <f t="shared" si="2"/>
        <v/>
      </c>
      <c r="N33" s="53" t="str">
        <f t="shared" si="3"/>
        <v/>
      </c>
      <c r="O33" s="53" t="str">
        <f t="shared" si="3"/>
        <v/>
      </c>
      <c r="P33" s="53" t="str">
        <f t="shared" si="3"/>
        <v/>
      </c>
      <c r="Q33" s="53" t="str">
        <f t="shared" si="3"/>
        <v/>
      </c>
      <c r="R33" s="53" t="str">
        <f t="shared" si="3"/>
        <v/>
      </c>
      <c r="S33" s="53" t="str">
        <f t="shared" si="3"/>
        <v/>
      </c>
      <c r="T33" s="53" t="str">
        <f t="shared" si="3"/>
        <v/>
      </c>
      <c r="U33" s="53" t="str">
        <f t="shared" si="3"/>
        <v/>
      </c>
    </row>
    <row r="34" spans="1:21">
      <c r="A34" s="52">
        <v>28</v>
      </c>
      <c r="B34" s="53" t="str">
        <f t="shared" si="2"/>
        <v/>
      </c>
      <c r="C34" s="53" t="str">
        <f t="shared" si="2"/>
        <v/>
      </c>
      <c r="D34" s="53" t="str">
        <f t="shared" si="2"/>
        <v/>
      </c>
      <c r="E34" s="53" t="str">
        <f t="shared" si="2"/>
        <v/>
      </c>
      <c r="F34" s="53" t="str">
        <f t="shared" si="2"/>
        <v/>
      </c>
      <c r="G34" s="53" t="str">
        <f t="shared" si="2"/>
        <v/>
      </c>
      <c r="H34" s="53" t="str">
        <f t="shared" si="2"/>
        <v/>
      </c>
      <c r="I34" s="53" t="str">
        <f t="shared" si="2"/>
        <v/>
      </c>
      <c r="J34" s="53" t="str">
        <f t="shared" si="2"/>
        <v/>
      </c>
      <c r="K34" s="53" t="str">
        <f t="shared" si="2"/>
        <v/>
      </c>
      <c r="L34" s="53" t="str">
        <f t="shared" si="2"/>
        <v/>
      </c>
      <c r="M34" s="53" t="str">
        <f t="shared" si="2"/>
        <v/>
      </c>
      <c r="N34" s="53" t="str">
        <f t="shared" si="3"/>
        <v/>
      </c>
      <c r="O34" s="53" t="str">
        <f t="shared" si="3"/>
        <v/>
      </c>
      <c r="P34" s="53" t="str">
        <f t="shared" si="3"/>
        <v/>
      </c>
      <c r="Q34" s="53" t="str">
        <f t="shared" si="3"/>
        <v/>
      </c>
      <c r="R34" s="53" t="str">
        <f t="shared" si="3"/>
        <v/>
      </c>
      <c r="S34" s="53" t="str">
        <f t="shared" si="3"/>
        <v/>
      </c>
      <c r="T34" s="53" t="str">
        <f t="shared" si="3"/>
        <v/>
      </c>
      <c r="U34" s="53" t="str">
        <f t="shared" si="3"/>
        <v/>
      </c>
    </row>
    <row r="35" spans="1:21">
      <c r="A35" s="52">
        <v>29</v>
      </c>
      <c r="B35" s="53" t="str">
        <f t="shared" si="2"/>
        <v/>
      </c>
      <c r="C35" s="53" t="str">
        <f t="shared" si="2"/>
        <v/>
      </c>
      <c r="D35" s="53" t="str">
        <f t="shared" si="2"/>
        <v/>
      </c>
      <c r="E35" s="53" t="str">
        <f t="shared" si="2"/>
        <v/>
      </c>
      <c r="F35" s="53" t="str">
        <f t="shared" si="2"/>
        <v/>
      </c>
      <c r="G35" s="53" t="str">
        <f t="shared" si="2"/>
        <v/>
      </c>
      <c r="H35" s="53" t="str">
        <f t="shared" si="2"/>
        <v/>
      </c>
      <c r="I35" s="53" t="str">
        <f t="shared" si="2"/>
        <v/>
      </c>
      <c r="J35" s="53" t="str">
        <f t="shared" si="2"/>
        <v/>
      </c>
      <c r="K35" s="53" t="str">
        <f t="shared" si="2"/>
        <v/>
      </c>
      <c r="L35" s="53" t="str">
        <f t="shared" si="2"/>
        <v/>
      </c>
      <c r="M35" s="53" t="str">
        <f t="shared" si="2"/>
        <v/>
      </c>
      <c r="N35" s="53" t="str">
        <f t="shared" si="3"/>
        <v/>
      </c>
      <c r="O35" s="53" t="str">
        <f t="shared" si="3"/>
        <v/>
      </c>
      <c r="P35" s="53" t="str">
        <f t="shared" si="3"/>
        <v/>
      </c>
      <c r="Q35" s="53" t="str">
        <f t="shared" si="3"/>
        <v/>
      </c>
      <c r="R35" s="53" t="str">
        <f t="shared" si="3"/>
        <v/>
      </c>
      <c r="S35" s="53" t="str">
        <f t="shared" si="3"/>
        <v/>
      </c>
      <c r="T35" s="53" t="str">
        <f t="shared" si="3"/>
        <v/>
      </c>
      <c r="U35" s="53" t="str">
        <f t="shared" si="3"/>
        <v/>
      </c>
    </row>
    <row r="36" spans="1:21">
      <c r="A36" s="52">
        <v>30</v>
      </c>
      <c r="B36" s="53" t="str">
        <f t="shared" si="2"/>
        <v/>
      </c>
      <c r="C36" s="53" t="str">
        <f t="shared" si="2"/>
        <v/>
      </c>
      <c r="D36" s="53" t="str">
        <f t="shared" si="2"/>
        <v/>
      </c>
      <c r="E36" s="53" t="str">
        <f t="shared" si="2"/>
        <v/>
      </c>
      <c r="F36" s="53" t="str">
        <f t="shared" si="2"/>
        <v/>
      </c>
      <c r="G36" s="53" t="str">
        <f t="shared" si="2"/>
        <v/>
      </c>
      <c r="H36" s="53" t="str">
        <f t="shared" si="2"/>
        <v/>
      </c>
      <c r="I36" s="53" t="str">
        <f t="shared" si="2"/>
        <v/>
      </c>
      <c r="J36" s="53" t="str">
        <f t="shared" si="2"/>
        <v/>
      </c>
      <c r="K36" s="53" t="str">
        <f t="shared" si="2"/>
        <v/>
      </c>
      <c r="L36" s="53" t="str">
        <f t="shared" si="2"/>
        <v/>
      </c>
      <c r="M36" s="53" t="str">
        <f t="shared" si="2"/>
        <v/>
      </c>
      <c r="N36" s="53" t="str">
        <f t="shared" si="3"/>
        <v/>
      </c>
      <c r="O36" s="53" t="str">
        <f t="shared" si="3"/>
        <v/>
      </c>
      <c r="P36" s="53" t="str">
        <f t="shared" si="3"/>
        <v/>
      </c>
      <c r="Q36" s="53" t="str">
        <f t="shared" si="3"/>
        <v/>
      </c>
      <c r="R36" s="53" t="str">
        <f t="shared" si="3"/>
        <v/>
      </c>
      <c r="S36" s="53" t="str">
        <f t="shared" si="3"/>
        <v/>
      </c>
      <c r="T36" s="53" t="str">
        <f t="shared" si="3"/>
        <v/>
      </c>
      <c r="U36" s="53" t="str">
        <f t="shared" si="3"/>
        <v/>
      </c>
    </row>
    <row r="38" spans="1:21">
      <c r="A38" s="10" t="s">
        <v>1162</v>
      </c>
    </row>
    <row r="39" spans="1:21">
      <c r="A39" s="46" t="s">
        <v>1163</v>
      </c>
    </row>
    <row r="40" spans="1:21">
      <c r="A40" s="46" t="s">
        <v>1164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600-000000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>
      <c r="A1" s="54" t="s">
        <v>63</v>
      </c>
      <c r="B1" s="54" t="s">
        <v>1165</v>
      </c>
      <c r="C1" s="54" t="s">
        <v>1166</v>
      </c>
      <c r="D1" s="54" t="s">
        <v>941</v>
      </c>
      <c r="E1" s="54" t="s">
        <v>1167</v>
      </c>
      <c r="F1" s="54" t="s">
        <v>1168</v>
      </c>
      <c r="G1" s="54" t="s">
        <v>1169</v>
      </c>
      <c r="H1" s="54" t="s">
        <v>72</v>
      </c>
      <c r="I1" s="54" t="s">
        <v>1170</v>
      </c>
      <c r="J1" s="54" t="s">
        <v>1171</v>
      </c>
      <c r="L1" s="54" t="s">
        <v>1172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PAL-0000001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PAL-0000002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PAL-0000003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PAL-0000004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PAL-0000005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PAL-0000006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PAL-0000007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PAL-0000008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PAL-0000009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PAL-0000010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PAL-0000011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PAL-0000012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PAL-0000013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PAL-0000014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PAL-0000015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PAL-0000016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PAL-0000017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PAL-0000018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PAL-0000019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PAL-0000020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PAL-0000021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PAL-0000022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PAL-0000023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PAL-0000024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PAL-0000025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PAL-0000026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PAL-0000027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PAL-0000028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PAL-0000029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PAL-0000030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PAL-0000031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PAL-0000032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PAL-0000033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PAL-0000034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PAL-0000035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PAL-0000036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PAL-0000037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PAL-0000038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PAL-0000039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PAL-0000040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PAL-0000041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PAL-0000042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PAL-0000043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PAL-0000044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PAL-0000045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PAL-0000046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PAL-0000047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PAL-0000048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PAL-0000049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PAL-0000050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PAL-0000051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PAL-0000052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PAL-0000053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PAL-0000054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PAL-0000055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PAL-0000056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PAL-0000057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PAL-0000058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PAL-0000059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PAL-0000060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PAL-0000061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PAL-0000062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PAL-0000063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PAL-0000064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PAL-0000065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PAL-0000066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PAL-0000067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PAL-0000068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PAL-0000069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PAL-0000070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PAL-0000071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PAL-0000072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PAL-0000073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PAL-0000074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PAL-0000075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PAL-0000076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PAL-0000077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PAL-0000078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PAL-0000079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PAL-0000080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PAL-0000081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PAL-0000082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PAL-0000083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PAL-0000084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PAL-0000085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PAL-0000086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PAL-0000087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PAL-0000088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PAL-0000089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PAL-0000090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PAL-0000091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PAL-0000092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PAL-0000093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PAL-0000094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PAL-0000095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PAL-0000096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PAL-0000097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PAL-0000098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PAL-0000099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PAL-0000100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PAL-0000101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PAL-0000102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PAL-0000103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PAL-0000104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PAL-0000105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PAL-0000106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PAL-0000107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PAL-0000108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PAL-0000109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PAL-0000110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PAL-0000111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PAL-0000112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PAL-0000113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PAL-0000114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PAL-0000115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PAL-0000116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PAL-0000117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PAL-0000118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PAL-0000119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PAL-0000120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PAL-0000121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PAL-0000122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PAL-0000123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PAL-0000124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PAL-0000125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PAL-0000126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PAL-0000127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PAL-0000128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PAL-0000129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PAL-0000130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PAL-0000131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PAL-0000132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PAL-0000133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PAL-0000134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PAL-0000135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PAL-0000136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PAL-0000137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PAL-0000138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PAL-0000139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PAL-0000140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PAL-0000141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PAL-0000142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PAL-0000143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PAL-0000144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PAL-0000145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PAL-0000146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PAL-0000147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PAL-0000148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PAL-0000149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PAL-0000150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PAL-0000151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PAL-0000152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PAL-0000153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PAL-0000154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PAL-0000155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PAL-0000156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PAL-0000157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PAL-0000158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PAL-0000159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PAL-0000160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PAL-0000161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PAL-0000162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PAL-0000163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PAL-0000164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PAL-0000165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PAL-0000166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PAL-0000167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PAL-0000168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PAL-0000169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PAL-0000170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PAL-0000171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PAL-0000172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PAL-0000173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PAL-0000174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PAL-0000175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PAL-0000176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PAL-0000177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PAL-0000178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PAL-0000179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PAL-0000180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PAL-0000181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PAL-0000182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PAL-0000183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PAL-0000184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PAL-0000185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PAL-0000186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PAL-0000187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PAL-0000188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PAL-0000189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PAL-0000190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PAL-0000191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PAL-0000192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PAL-0000193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PAL-0000194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PAL-0000195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PAL-0000196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PAL-0000197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PAL-0000198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PAL-0000199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PAL-0000200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PAL-0000201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PAL-0000202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PAL-0000203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PAL-0000204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PAL-0000205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PAL-0000206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PAL-0000207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PAL-0000208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PAL-0000209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PAL-0000210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PAL-0000211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PAL-0000212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PAL-0000213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PAL-0000214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PAL-0000215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PAL-0000216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PAL-0000217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PAL-0000218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PAL-0000219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PAL-0000220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PAL-0000221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PAL-0000222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PAL-0000223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PAL-0000224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PAL-0000225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PAL-0000226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PAL-0000227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PAL-0000228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PAL-0000229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PAL-0000230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PAL-0000231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PAL-0000232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PAL-0000233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PAL-0000234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PAL-0000235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PAL-0000236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PAL-0000237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PAL-0000238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PAL-0000239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PAL-0000240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PAL-0000241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PAL-0000242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PAL-0000243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PAL-0000244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PAL-0000245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PAL-0000246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PAL-0000247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PAL-0000248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PAL-0000249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PAL-0000250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PAL-0000251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PAL-0000252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PAL-0000253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PAL-0000254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PAL-0000255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PAL-0000256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PAL-0000257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PAL-0000258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PAL-0000259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PAL-0000260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PAL-0000261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PAL-0000262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PAL-0000263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PAL-0000264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PAL-0000265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PAL-0000266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PAL-0000267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PAL-0000268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PAL-0000269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PAL-0000270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PAL-0000271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PAL-0000272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PAL-0000273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PAL-0000274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PAL-0000275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PAL-0000276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PAL-0000277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PAL-0000278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PAL-0000279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PAL-0000280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PAL-0000281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PAL-0000282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PAL-0000283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PAL-0000284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PAL-0000285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PAL-0000286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PAL-0000287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PAL-0000288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PAL-0000289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PAL-0000290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PAL-0000291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PAL-0000292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PAL-0000293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PAL-0000294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PAL-0000295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PAL-0000296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PAL-0000297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PAL-0000298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PAL-0000299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PAL-0000300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PAL-0000301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PAL-0000302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PAL-0000303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PAL-0000304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PAL-0000305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PAL-0000306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PAL-0000307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PAL-0000308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PAL-0000309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PAL-0000310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PAL-0000311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PAL-0000312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PAL-0000313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PAL-0000314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PAL-0000315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PAL-0000316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PAL-0000317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PAL-0000318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PAL-0000319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PAL-0000320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PAL-0000321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PAL-0000322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PAL-0000323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PAL-0000324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PAL-0000325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PAL-0000326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PAL-0000327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PAL-0000328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PAL-0000329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PAL-0000330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PAL-0000331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PAL-0000332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PAL-0000333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PAL-0000334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PAL-0000335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PAL-0000336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PAL-0000337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PAL-0000338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PAL-0000339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PAL-0000340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PAL-0000341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PAL-0000342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PAL-0000343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PAL-0000344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PAL-0000345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PAL-0000346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PAL-0000347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PAL-0000348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PAL-0000349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PAL-0000350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PAL-0000351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PAL-0000352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PAL-0000353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PAL-0000354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PAL-0000355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PAL-0000356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PAL-0000357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PAL-0000358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PAL-0000359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PAL-0000360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PAL-0000361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PAL-0000362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PAL-0000363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PAL-0000364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PAL-0000365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PAL-0000366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PAL-0000367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PAL-0000368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PAL-0000369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PAL-0000370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PAL-0000371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PAL-0000372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PAL-0000373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PAL-0000374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PAL-0000375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PAL-0000376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PAL-0000377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PAL-0000378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PAL-0000379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PAL-0000380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PAL-0000381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PAL-0000382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PAL-0000383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PAL-0000384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PAL-0000385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PAL-0000386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PAL-0000387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PAL-0000388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PAL-0000389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PAL-0000390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PAL-0000391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PAL-0000392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PAL-0000393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PAL-0000394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PAL-0000395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PAL-0000396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PAL-0000397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PAL-0000398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PAL-0000399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PAL-0000400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PAL-0000401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PAL-0000402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PAL-0000403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PAL-0000404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PAL-0000405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PAL-0000406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PAL-0000407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PAL-0000408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PAL-0000409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PAL-0000410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PAL-0000411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PAL-0000412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PAL-0000413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PAL-0000414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PAL-0000415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PAL-0000416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PAL-0000417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PAL-0000418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PAL-0000419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PAL-0000420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PAL-0000421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PAL-0000422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PAL-0000423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PAL-0000424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PAL-0000425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PAL-0000426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PAL-0000427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PAL-0000428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PAL-0000429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PAL-0000430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PAL-0000431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PAL-0000432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PAL-0000433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PAL-0000434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PAL-0000435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PAL-0000436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PAL-0000437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PAL-0000438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PAL-0000439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PAL-0000440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PAL-0000441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PAL-0000442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PAL-0000443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PAL-0000444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PAL-0000445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PAL-0000446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PAL-0000447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PAL-0000448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PAL-0000449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PAL-0000450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PAL-0000451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PAL-0000452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PAL-0000453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PAL-0000454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PAL-0000455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PAL-0000456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PAL-0000457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PAL-0000458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PAL-0000459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PAL-0000460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PAL-0000461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PAL-0000462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PAL-0000463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PAL-0000464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PAL-0000465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PAL-0000466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PAL-0000467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PAL-0000468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PAL-0000469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PAL-0000470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PAL-0000471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PAL-0000472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PAL-0000473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PAL-0000474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PAL-0000475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PAL-0000476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PAL-0000477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PAL-0000478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PAL-0000479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PAL-0000480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PAL-0000481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PAL-0000482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PAL-0000483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PAL-0000484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PAL-0000485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PAL-0000486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PAL-0000487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PAL-0000488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PAL-0000489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PAL-0000490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PAL-0000491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PAL-0000492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PAL-0000493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PAL-0000494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PAL-0000495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PAL-0000496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PAL-0000497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PAL-0000498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PAL-0000499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PAL-0000500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7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700-000001000000}">
      <formula1>FALSE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200"/>
  <sheetViews>
    <sheetView topLeftCell="A3"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8" customFormat="1" ht="20.25" customHeight="1">
      <c r="A1" s="18" t="s">
        <v>1173</v>
      </c>
      <c r="B1" s="18" t="s">
        <v>1174</v>
      </c>
      <c r="C1" s="18" t="s">
        <v>1175</v>
      </c>
      <c r="D1" s="18" t="s">
        <v>1176</v>
      </c>
      <c r="E1" s="18" t="s">
        <v>1177</v>
      </c>
      <c r="F1" s="18" t="s">
        <v>1178</v>
      </c>
      <c r="G1" s="18" t="s">
        <v>1179</v>
      </c>
      <c r="H1" s="18" t="s">
        <v>72</v>
      </c>
    </row>
    <row r="2" spans="1:8" ht="20.25" customHeight="1">
      <c r="B2" t="s">
        <v>1180</v>
      </c>
      <c r="C2" t="s">
        <v>1181</v>
      </c>
      <c r="D2" s="15">
        <v>56</v>
      </c>
      <c r="E2" s="15" t="s">
        <v>1182</v>
      </c>
      <c r="F2" s="15" t="s">
        <v>1183</v>
      </c>
      <c r="G2" s="15" t="s">
        <v>1184</v>
      </c>
    </row>
    <row r="3" spans="1:8" ht="20.25" customHeight="1">
      <c r="B3" t="s">
        <v>1180</v>
      </c>
      <c r="C3" t="s">
        <v>1185</v>
      </c>
      <c r="D3" s="15">
        <v>35</v>
      </c>
      <c r="E3" s="15" t="s">
        <v>1182</v>
      </c>
      <c r="F3" s="15" t="s">
        <v>1183</v>
      </c>
      <c r="G3" s="15" t="s">
        <v>1184</v>
      </c>
    </row>
    <row r="4" spans="1:8" s="75" customFormat="1" ht="20.25" customHeight="1">
      <c r="B4" s="75" t="s">
        <v>1180</v>
      </c>
      <c r="C4" s="75" t="s">
        <v>1186</v>
      </c>
      <c r="D4" s="76">
        <v>28</v>
      </c>
      <c r="E4" s="76" t="s">
        <v>1182</v>
      </c>
      <c r="F4" s="76" t="s">
        <v>1183</v>
      </c>
      <c r="G4" s="76" t="s">
        <v>1184</v>
      </c>
    </row>
    <row r="5" spans="1:8" s="75" customFormat="1" ht="20.25" customHeight="1">
      <c r="B5" s="75" t="s">
        <v>1180</v>
      </c>
      <c r="C5" s="75" t="s">
        <v>1187</v>
      </c>
      <c r="D5" s="76">
        <v>52</v>
      </c>
      <c r="E5" s="76" t="s">
        <v>1182</v>
      </c>
      <c r="F5" s="76" t="s">
        <v>1183</v>
      </c>
      <c r="G5" s="76" t="s">
        <v>1184</v>
      </c>
    </row>
    <row r="6" spans="1:8" s="75" customFormat="1" ht="20.25" customHeight="1">
      <c r="B6" s="75" t="s">
        <v>1180</v>
      </c>
      <c r="C6" s="75" t="s">
        <v>1188</v>
      </c>
      <c r="D6" s="76">
        <v>50</v>
      </c>
      <c r="E6" s="76" t="s">
        <v>1182</v>
      </c>
      <c r="F6" s="76" t="s">
        <v>1183</v>
      </c>
      <c r="G6" s="76" t="s">
        <v>1184</v>
      </c>
    </row>
    <row r="7" spans="1:8" ht="20.25" customHeight="1">
      <c r="B7" t="s">
        <v>1180</v>
      </c>
      <c r="C7" t="s">
        <v>1189</v>
      </c>
      <c r="D7" s="15">
        <v>29</v>
      </c>
      <c r="E7" s="15" t="s">
        <v>1182</v>
      </c>
      <c r="F7" s="15" t="s">
        <v>1183</v>
      </c>
      <c r="G7" s="15" t="s">
        <v>1184</v>
      </c>
    </row>
    <row r="8" spans="1:8" s="75" customFormat="1" ht="20.25" customHeight="1">
      <c r="B8" s="75" t="s">
        <v>1180</v>
      </c>
      <c r="C8" s="75" t="s">
        <v>1190</v>
      </c>
      <c r="D8" s="76">
        <v>13</v>
      </c>
      <c r="E8" s="76" t="s">
        <v>1182</v>
      </c>
      <c r="F8" s="76" t="s">
        <v>1183</v>
      </c>
      <c r="G8" s="76" t="s">
        <v>1184</v>
      </c>
    </row>
    <row r="9" spans="1:8" s="77" customFormat="1" ht="20.25" customHeight="1">
      <c r="B9" s="77" t="s">
        <v>1180</v>
      </c>
      <c r="C9" s="77" t="s">
        <v>1191</v>
      </c>
      <c r="D9" s="78">
        <v>4</v>
      </c>
      <c r="E9" s="78" t="s">
        <v>1182</v>
      </c>
      <c r="F9" s="78" t="s">
        <v>1183</v>
      </c>
      <c r="G9" s="78" t="s">
        <v>1184</v>
      </c>
    </row>
    <row r="10" spans="1:8" ht="20.25" customHeight="1">
      <c r="B10" t="s">
        <v>1180</v>
      </c>
      <c r="C10" t="s">
        <v>1192</v>
      </c>
      <c r="D10" s="15">
        <v>2</v>
      </c>
      <c r="E10" s="15" t="s">
        <v>1182</v>
      </c>
      <c r="F10" s="15" t="s">
        <v>1183</v>
      </c>
      <c r="G10" s="15" t="s">
        <v>1184</v>
      </c>
    </row>
    <row r="11" spans="1:8" s="75" customFormat="1" ht="20.25" customHeight="1">
      <c r="B11" s="75" t="s">
        <v>1180</v>
      </c>
      <c r="C11" s="75" t="s">
        <v>1193</v>
      </c>
      <c r="D11" s="76">
        <v>2</v>
      </c>
      <c r="E11" s="76" t="s">
        <v>1182</v>
      </c>
      <c r="F11" s="76" t="s">
        <v>1183</v>
      </c>
      <c r="G11" s="76" t="s">
        <v>1184</v>
      </c>
    </row>
    <row r="12" spans="1:8" ht="20.25" customHeight="1">
      <c r="B12" t="s">
        <v>1180</v>
      </c>
      <c r="C12" t="s">
        <v>1194</v>
      </c>
      <c r="D12" s="15">
        <v>117</v>
      </c>
      <c r="E12" s="15" t="s">
        <v>1182</v>
      </c>
      <c r="F12" s="15" t="s">
        <v>1183</v>
      </c>
      <c r="G12" s="15" t="s">
        <v>1184</v>
      </c>
    </row>
    <row r="13" spans="1:8" s="75" customFormat="1" ht="20.25" customHeight="1">
      <c r="B13" s="75" t="s">
        <v>1180</v>
      </c>
      <c r="C13" s="75" t="s">
        <v>1195</v>
      </c>
      <c r="D13" s="76">
        <v>73</v>
      </c>
      <c r="E13" s="76" t="s">
        <v>1182</v>
      </c>
      <c r="F13" s="76" t="s">
        <v>1183</v>
      </c>
      <c r="G13" s="76" t="s">
        <v>1184</v>
      </c>
    </row>
    <row r="14" spans="1:8" ht="20.25" customHeight="1">
      <c r="B14" t="s">
        <v>1180</v>
      </c>
      <c r="C14" t="s">
        <v>1196</v>
      </c>
      <c r="D14" s="15">
        <v>35</v>
      </c>
      <c r="E14" s="15" t="s">
        <v>1182</v>
      </c>
      <c r="F14" s="15" t="s">
        <v>1183</v>
      </c>
      <c r="G14" s="15" t="s">
        <v>1184</v>
      </c>
    </row>
    <row r="15" spans="1:8" ht="20.25" customHeight="1">
      <c r="B15" t="s">
        <v>1180</v>
      </c>
      <c r="C15" t="s">
        <v>1197</v>
      </c>
      <c r="D15" s="15">
        <v>16</v>
      </c>
      <c r="E15" s="15" t="s">
        <v>1182</v>
      </c>
      <c r="F15" s="15" t="s">
        <v>1183</v>
      </c>
      <c r="G15" s="15" t="s">
        <v>1184</v>
      </c>
    </row>
    <row r="16" spans="1:8" ht="20.25" customHeight="1">
      <c r="B16" t="s">
        <v>1180</v>
      </c>
      <c r="C16" t="s">
        <v>1198</v>
      </c>
      <c r="D16" s="15">
        <v>122</v>
      </c>
      <c r="E16" s="15" t="s">
        <v>1182</v>
      </c>
      <c r="F16" s="15" t="s">
        <v>1199</v>
      </c>
      <c r="G16" s="15" t="s">
        <v>1199</v>
      </c>
    </row>
    <row r="17" spans="2:8" ht="20.25" customHeight="1">
      <c r="B17" t="s">
        <v>1180</v>
      </c>
      <c r="C17" t="s">
        <v>1200</v>
      </c>
      <c r="D17" s="15">
        <v>26</v>
      </c>
      <c r="E17" s="15" t="s">
        <v>1201</v>
      </c>
      <c r="F17" s="15" t="s">
        <v>1202</v>
      </c>
      <c r="G17" s="15" t="s">
        <v>1203</v>
      </c>
      <c r="H17" t="s">
        <v>1204</v>
      </c>
    </row>
    <row r="18" spans="2:8" ht="20.25" customHeight="1">
      <c r="B18" t="s">
        <v>1205</v>
      </c>
      <c r="C18" t="s">
        <v>1206</v>
      </c>
      <c r="D18" s="15">
        <v>55</v>
      </c>
      <c r="E18" s="15" t="s">
        <v>1201</v>
      </c>
      <c r="F18" s="15" t="s">
        <v>1202</v>
      </c>
      <c r="G18" s="15" t="s">
        <v>1203</v>
      </c>
      <c r="H18" t="s">
        <v>1204</v>
      </c>
    </row>
    <row r="19" spans="2:8" ht="20.25" customHeight="1">
      <c r="B19" t="s">
        <v>1205</v>
      </c>
      <c r="C19" t="s">
        <v>1207</v>
      </c>
      <c r="D19" s="15">
        <v>98</v>
      </c>
      <c r="E19" s="15" t="s">
        <v>1201</v>
      </c>
      <c r="F19" s="15" t="s">
        <v>1202</v>
      </c>
      <c r="G19" s="15" t="s">
        <v>1203</v>
      </c>
      <c r="H19" t="s">
        <v>1204</v>
      </c>
    </row>
    <row r="20" spans="2:8" ht="20.25" customHeight="1">
      <c r="B20" t="s">
        <v>1205</v>
      </c>
      <c r="C20" t="s">
        <v>1208</v>
      </c>
      <c r="D20" s="15">
        <v>45</v>
      </c>
      <c r="E20" s="15" t="s">
        <v>1201</v>
      </c>
      <c r="F20" s="15" t="s">
        <v>1202</v>
      </c>
      <c r="G20" s="15" t="s">
        <v>1209</v>
      </c>
      <c r="H20" t="s">
        <v>1210</v>
      </c>
    </row>
    <row r="21" spans="2:8" ht="20.25" customHeight="1">
      <c r="B21" t="s">
        <v>1211</v>
      </c>
      <c r="C21" t="s">
        <v>1211</v>
      </c>
      <c r="D21" s="15">
        <v>53</v>
      </c>
      <c r="E21" s="15" t="s">
        <v>1201</v>
      </c>
      <c r="F21" s="15" t="s">
        <v>1202</v>
      </c>
      <c r="G21" s="15" t="s">
        <v>1203</v>
      </c>
      <c r="H21" t="s">
        <v>1204</v>
      </c>
    </row>
    <row r="22" spans="2:8" ht="20.25" customHeight="1">
      <c r="B22" t="s">
        <v>1212</v>
      </c>
      <c r="C22" t="s">
        <v>1213</v>
      </c>
      <c r="D22" s="15">
        <v>25</v>
      </c>
      <c r="E22" s="15" t="s">
        <v>1201</v>
      </c>
      <c r="F22" s="15" t="s">
        <v>1202</v>
      </c>
      <c r="G22" s="15" t="s">
        <v>1203</v>
      </c>
      <c r="H22" t="s">
        <v>1204</v>
      </c>
    </row>
    <row r="23" spans="2:8" ht="20.25" customHeight="1">
      <c r="B23" t="s">
        <v>1214</v>
      </c>
      <c r="C23" t="s">
        <v>1214</v>
      </c>
      <c r="D23" s="15">
        <v>25</v>
      </c>
      <c r="E23" s="15" t="s">
        <v>1201</v>
      </c>
      <c r="F23" s="15" t="s">
        <v>1202</v>
      </c>
      <c r="G23" s="15" t="s">
        <v>1203</v>
      </c>
      <c r="H23" t="s">
        <v>1204</v>
      </c>
    </row>
    <row r="24" spans="2:8" ht="20.25" customHeight="1">
      <c r="B24" t="s">
        <v>1215</v>
      </c>
      <c r="C24" t="s">
        <v>1216</v>
      </c>
      <c r="D24" s="15">
        <v>45</v>
      </c>
      <c r="E24" s="15" t="s">
        <v>1201</v>
      </c>
      <c r="F24" s="15" t="s">
        <v>1202</v>
      </c>
      <c r="G24" s="15" t="s">
        <v>1217</v>
      </c>
      <c r="H24" t="s">
        <v>1210</v>
      </c>
    </row>
    <row r="25" spans="2:8" ht="20.25" customHeight="1">
      <c r="B25" t="s">
        <v>1218</v>
      </c>
      <c r="C25" t="s">
        <v>1219</v>
      </c>
      <c r="D25" s="15">
        <v>28</v>
      </c>
      <c r="E25" s="15" t="s">
        <v>1201</v>
      </c>
      <c r="F25" s="15" t="s">
        <v>1202</v>
      </c>
      <c r="G25" s="15" t="s">
        <v>1203</v>
      </c>
    </row>
    <row r="26" spans="2:8" ht="20.25" customHeight="1">
      <c r="B26" t="s">
        <v>1220</v>
      </c>
      <c r="C26" t="s">
        <v>1221</v>
      </c>
      <c r="D26" s="15">
        <v>25</v>
      </c>
      <c r="E26" s="15" t="s">
        <v>1182</v>
      </c>
      <c r="F26" s="15" t="s">
        <v>1183</v>
      </c>
      <c r="G26" s="15" t="s">
        <v>1222</v>
      </c>
    </row>
    <row r="27" spans="2:8" ht="20.25" customHeight="1">
      <c r="B27" t="s">
        <v>1205</v>
      </c>
      <c r="C27" t="s">
        <v>1223</v>
      </c>
      <c r="D27" s="15">
        <v>25</v>
      </c>
      <c r="E27" s="15" t="s">
        <v>1182</v>
      </c>
      <c r="F27" s="15" t="s">
        <v>1183</v>
      </c>
      <c r="G27" s="15" t="s">
        <v>1222</v>
      </c>
      <c r="H27" t="s">
        <v>1224</v>
      </c>
    </row>
    <row r="28" spans="2:8" ht="20.25" customHeight="1">
      <c r="B28" t="s">
        <v>1205</v>
      </c>
      <c r="C28" t="s">
        <v>1225</v>
      </c>
      <c r="D28" s="15">
        <v>4</v>
      </c>
      <c r="E28" s="15" t="s">
        <v>1182</v>
      </c>
      <c r="F28" s="15" t="s">
        <v>1183</v>
      </c>
      <c r="G28" s="15" t="s">
        <v>1203</v>
      </c>
    </row>
    <row r="29" spans="2:8" ht="20.25" customHeight="1">
      <c r="B29" t="s">
        <v>1218</v>
      </c>
      <c r="C29" s="19" t="s">
        <v>1226</v>
      </c>
      <c r="D29" s="15">
        <v>0</v>
      </c>
      <c r="E29" s="15" t="s">
        <v>1227</v>
      </c>
    </row>
    <row r="30" spans="2:8" ht="20.25" customHeight="1">
      <c r="C30" t="s">
        <v>1228</v>
      </c>
      <c r="D30" s="15">
        <v>1</v>
      </c>
    </row>
    <row r="31" spans="2:8" s="75" customFormat="1" ht="20.25" customHeight="1">
      <c r="B31" s="75" t="s">
        <v>1214</v>
      </c>
      <c r="C31" s="75" t="s">
        <v>1229</v>
      </c>
      <c r="D31" s="76">
        <v>69</v>
      </c>
      <c r="E31" s="76" t="s">
        <v>1182</v>
      </c>
      <c r="F31" s="76" t="s">
        <v>1230</v>
      </c>
      <c r="G31" s="76" t="s">
        <v>1231</v>
      </c>
      <c r="H31" s="75" t="s">
        <v>1232</v>
      </c>
    </row>
    <row r="32" spans="2:8" s="75" customFormat="1" ht="20.25" customHeight="1">
      <c r="B32" s="75" t="s">
        <v>1212</v>
      </c>
      <c r="C32" s="75" t="s">
        <v>1233</v>
      </c>
      <c r="D32" s="76">
        <v>60</v>
      </c>
      <c r="E32" s="76" t="s">
        <v>1182</v>
      </c>
      <c r="F32" s="76" t="s">
        <v>1230</v>
      </c>
      <c r="G32" s="76" t="s">
        <v>1231</v>
      </c>
      <c r="H32" s="75" t="s">
        <v>1232</v>
      </c>
    </row>
    <row r="33" spans="2:8" ht="20.25" customHeight="1">
      <c r="B33" t="s">
        <v>1205</v>
      </c>
      <c r="C33" s="75" t="s">
        <v>1234</v>
      </c>
      <c r="D33" s="15">
        <v>211</v>
      </c>
      <c r="E33" s="15" t="s">
        <v>1182</v>
      </c>
      <c r="F33" s="15" t="s">
        <v>1235</v>
      </c>
      <c r="G33" s="15" t="s">
        <v>1231</v>
      </c>
      <c r="H33" t="s">
        <v>1236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phoneticPr fontId="19" alignment="center"/>
  <dataValidations count="2">
    <dataValidation type="list" allowBlank="1" showInputMessage="1" showErrorMessage="1" sqref="E2:E1048576" xr:uid="{00000000-0002-0000-0800-000000000000}">
      <formula1>"Plainview HQ, 1 Marcus, Other"</formula1>
    </dataValidation>
    <dataValidation type="list" allowBlank="1" showInputMessage="1" showErrorMessage="1" sqref="B2:B1048576" xr:uid="{00000000-0002-0000-08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CC532"/>
  <sheetViews>
    <sheetView topLeftCell="E152" workbookViewId="0">
      <selection activeCell="H166" sqref="H166"/>
    </sheetView>
  </sheetViews>
  <sheetFormatPr defaultColWidth="9.140625" defaultRowHeight="20.25" customHeight="1"/>
  <cols>
    <col min="1" max="2" width="18" customWidth="1"/>
    <col min="3" max="4" width="18" style="15" customWidth="1"/>
    <col min="5" max="5" width="24.7109375" style="15" customWidth="1"/>
    <col min="6" max="8" width="20.140625" customWidth="1"/>
    <col min="9" max="16" width="27.7109375" customWidth="1"/>
    <col min="17" max="17" width="25.28515625" style="15" customWidth="1"/>
    <col min="18" max="18" width="42.85546875" style="15" customWidth="1"/>
    <col min="19" max="19" width="35.42578125" customWidth="1"/>
    <col min="20" max="26" width="31.7109375" customWidth="1"/>
    <col min="27" max="33" width="28.28515625" customWidth="1"/>
    <col min="34" max="34" width="28.28515625" style="15" customWidth="1"/>
    <col min="35" max="43" width="28.28515625" customWidth="1"/>
    <col min="44" max="48" width="28.28515625" style="93" customWidth="1"/>
    <col min="49" max="78" width="28.28515625" customWidth="1"/>
    <col min="79" max="80" width="20" customWidth="1"/>
    <col min="81" max="81" width="28.28515625" customWidth="1"/>
  </cols>
  <sheetData>
    <row r="1" spans="1:81" ht="39" customHeight="1">
      <c r="A1" s="54" t="s">
        <v>1237</v>
      </c>
      <c r="B1" s="54" t="s">
        <v>1238</v>
      </c>
      <c r="C1" s="54" t="s">
        <v>1239</v>
      </c>
      <c r="D1" s="54" t="s">
        <v>1240</v>
      </c>
      <c r="E1" s="54" t="s">
        <v>1241</v>
      </c>
      <c r="F1" s="54" t="s">
        <v>1242</v>
      </c>
      <c r="G1" s="54" t="s">
        <v>1243</v>
      </c>
      <c r="H1" s="54" t="s">
        <v>1244</v>
      </c>
      <c r="I1" s="54" t="s">
        <v>1245</v>
      </c>
      <c r="J1" s="54" t="s">
        <v>1246</v>
      </c>
      <c r="K1" s="54" t="s">
        <v>1247</v>
      </c>
      <c r="L1" s="54" t="s">
        <v>1248</v>
      </c>
      <c r="M1" s="54" t="s">
        <v>1249</v>
      </c>
      <c r="N1" s="54" t="s">
        <v>1250</v>
      </c>
      <c r="O1" s="54" t="s">
        <v>1251</v>
      </c>
      <c r="P1" s="54" t="s">
        <v>1252</v>
      </c>
      <c r="Q1" s="54" t="s">
        <v>1253</v>
      </c>
      <c r="R1" s="54" t="s">
        <v>1254</v>
      </c>
      <c r="S1" s="54" t="s">
        <v>1255</v>
      </c>
      <c r="T1" s="54" t="s">
        <v>1256</v>
      </c>
      <c r="U1" s="54" t="s">
        <v>1257</v>
      </c>
      <c r="V1" s="54" t="s">
        <v>1258</v>
      </c>
      <c r="W1" s="54" t="s">
        <v>1259</v>
      </c>
      <c r="X1" s="54" t="s">
        <v>1260</v>
      </c>
      <c r="Y1" s="54" t="s">
        <v>1261</v>
      </c>
      <c r="Z1" s="54" t="s">
        <v>1262</v>
      </c>
      <c r="AA1" s="54" t="s">
        <v>1263</v>
      </c>
      <c r="AB1" s="54" t="s">
        <v>1264</v>
      </c>
      <c r="AC1" s="54" t="s">
        <v>1265</v>
      </c>
      <c r="AD1" s="54" t="s">
        <v>1266</v>
      </c>
      <c r="AE1" s="54" t="s">
        <v>1267</v>
      </c>
      <c r="AF1" s="54" t="s">
        <v>1268</v>
      </c>
      <c r="AG1" s="54" t="s">
        <v>1269</v>
      </c>
      <c r="AH1" s="54" t="s">
        <v>1270</v>
      </c>
      <c r="AI1" s="54" t="s">
        <v>1271</v>
      </c>
      <c r="AJ1" s="54" t="s">
        <v>1272</v>
      </c>
      <c r="AK1" s="54" t="s">
        <v>1273</v>
      </c>
      <c r="AL1" s="54" t="s">
        <v>1274</v>
      </c>
      <c r="AM1" s="54" t="s">
        <v>1275</v>
      </c>
      <c r="AN1" s="54" t="s">
        <v>1276</v>
      </c>
      <c r="AO1" s="54" t="s">
        <v>1277</v>
      </c>
      <c r="AP1" s="54" t="s">
        <v>1278</v>
      </c>
      <c r="AQ1" s="54" t="s">
        <v>1279</v>
      </c>
      <c r="AR1" s="91" t="s">
        <v>1280</v>
      </c>
      <c r="AS1" s="91" t="s">
        <v>1281</v>
      </c>
      <c r="AT1" s="91" t="s">
        <v>1282</v>
      </c>
      <c r="AU1" s="91" t="s">
        <v>1283</v>
      </c>
      <c r="AV1" s="91" t="s">
        <v>1284</v>
      </c>
      <c r="AW1" s="54" t="s">
        <v>1285</v>
      </c>
      <c r="AX1" s="54" t="s">
        <v>1286</v>
      </c>
      <c r="AY1" s="54" t="s">
        <v>1287</v>
      </c>
      <c r="AZ1" s="54" t="s">
        <v>1288</v>
      </c>
      <c r="BA1" s="54" t="s">
        <v>1289</v>
      </c>
      <c r="BB1" s="54" t="s">
        <v>1290</v>
      </c>
      <c r="BC1" s="54" t="s">
        <v>72</v>
      </c>
      <c r="BD1" s="54" t="s">
        <v>1291</v>
      </c>
      <c r="BE1" s="54" t="s">
        <v>1292</v>
      </c>
      <c r="BF1" s="54" t="s">
        <v>1293</v>
      </c>
      <c r="BG1" s="54" t="s">
        <v>1294</v>
      </c>
      <c r="BH1" s="54" t="s">
        <v>1295</v>
      </c>
      <c r="BI1" s="54" t="s">
        <v>1296</v>
      </c>
      <c r="BJ1" s="54" t="s">
        <v>1297</v>
      </c>
      <c r="BK1" s="54" t="s">
        <v>1298</v>
      </c>
      <c r="BL1" s="54" t="s">
        <v>1299</v>
      </c>
      <c r="BM1" s="54" t="s">
        <v>1300</v>
      </c>
      <c r="BN1" s="54" t="s">
        <v>1301</v>
      </c>
      <c r="BO1" s="54" t="s">
        <v>1302</v>
      </c>
      <c r="BP1" s="54" t="s">
        <v>1303</v>
      </c>
      <c r="BQ1" s="54" t="s">
        <v>1304</v>
      </c>
      <c r="BR1" s="54" t="s">
        <v>1305</v>
      </c>
      <c r="BS1" s="55" t="s">
        <v>1306</v>
      </c>
      <c r="BT1" s="55" t="s">
        <v>1307</v>
      </c>
      <c r="BU1" s="55" t="s">
        <v>1308</v>
      </c>
      <c r="BV1" s="55" t="s">
        <v>1309</v>
      </c>
      <c r="BW1" s="55" t="s">
        <v>1310</v>
      </c>
      <c r="BX1" s="55" t="s">
        <v>1311</v>
      </c>
      <c r="BY1" s="55" t="s">
        <v>1312</v>
      </c>
      <c r="BZ1" s="55" t="s">
        <v>1313</v>
      </c>
      <c r="CA1" s="55" t="s">
        <v>1314</v>
      </c>
      <c r="CB1" s="55" t="s">
        <v>1315</v>
      </c>
      <c r="CC1" s="55" t="s">
        <v>1316</v>
      </c>
    </row>
    <row r="2" spans="1:81" ht="20.25" customHeight="1">
      <c r="A2" s="8" t="s">
        <v>1215</v>
      </c>
      <c r="B2" s="8" t="s">
        <v>1317</v>
      </c>
      <c r="C2" s="15" t="s">
        <v>1317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s="4" t="s">
        <v>1318</v>
      </c>
      <c r="H2" s="4" t="s">
        <v>1318</v>
      </c>
      <c r="I2" s="4"/>
      <c r="J2" s="4" t="s">
        <v>1319</v>
      </c>
      <c r="K2" s="4" t="s">
        <v>1319</v>
      </c>
      <c r="L2" s="4" t="s">
        <v>1319</v>
      </c>
      <c r="M2" s="4"/>
      <c r="N2" s="4"/>
      <c r="O2" s="4"/>
      <c r="P2" s="4"/>
      <c r="Q2" s="4"/>
      <c r="R2" s="4"/>
      <c r="S2" s="4" t="s">
        <v>1320</v>
      </c>
      <c r="T2" s="4" t="s">
        <v>1321</v>
      </c>
      <c r="U2" s="4" t="s">
        <v>1322</v>
      </c>
      <c r="V2" s="4" t="s">
        <v>1317</v>
      </c>
      <c r="W2" s="4" t="s">
        <v>1323</v>
      </c>
      <c r="X2" s="4" t="s">
        <v>1324</v>
      </c>
      <c r="Y2" s="4" t="s">
        <v>1325</v>
      </c>
      <c r="Z2" s="4"/>
      <c r="AA2" s="4" t="s">
        <v>1326</v>
      </c>
      <c r="AB2" s="4"/>
      <c r="AC2" s="4" t="s">
        <v>1327</v>
      </c>
      <c r="AD2" s="4" t="s">
        <v>1325</v>
      </c>
      <c r="AE2" s="8"/>
      <c r="AF2" s="4" t="s">
        <v>1328</v>
      </c>
      <c r="AG2" s="4" t="s">
        <v>1329</v>
      </c>
      <c r="AH2" s="14">
        <v>1</v>
      </c>
      <c r="AI2" s="16" t="s">
        <v>1330</v>
      </c>
      <c r="AJ2" s="4" t="s">
        <v>1331</v>
      </c>
      <c r="AK2" s="4" t="s">
        <v>1332</v>
      </c>
      <c r="AL2" s="4" t="s">
        <v>1327</v>
      </c>
      <c r="AM2" t="s">
        <v>1219</v>
      </c>
      <c r="AN2" s="4"/>
      <c r="AO2" s="4"/>
      <c r="AP2" s="4"/>
      <c r="AQ2" s="4"/>
      <c r="AR2" s="92" t="s">
        <v>1325</v>
      </c>
      <c r="AS2" s="92" t="s">
        <v>1333</v>
      </c>
      <c r="AT2" s="92" t="s">
        <v>1325</v>
      </c>
      <c r="AU2" s="92" t="s">
        <v>1325</v>
      </c>
      <c r="AV2" s="92" t="s">
        <v>1325</v>
      </c>
      <c r="AW2" s="8" t="s">
        <v>1317</v>
      </c>
      <c r="AX2" s="8" t="s">
        <v>1317</v>
      </c>
      <c r="AY2" s="8"/>
      <c r="AZ2" s="8"/>
      <c r="BA2" s="12">
        <v>46027</v>
      </c>
      <c r="BB2" s="8" t="s">
        <v>1317</v>
      </c>
      <c r="BC2" s="4"/>
      <c r="BD2" s="4" t="s">
        <v>1293</v>
      </c>
      <c r="BE2" s="8" t="s">
        <v>1317</v>
      </c>
      <c r="BF2" s="8" t="s">
        <v>1317</v>
      </c>
      <c r="BG2" s="8" t="s">
        <v>1317</v>
      </c>
      <c r="BH2" s="8" t="s">
        <v>1317</v>
      </c>
      <c r="BI2" s="8" t="s">
        <v>1334</v>
      </c>
      <c r="BJ2" s="8" t="s">
        <v>1317</v>
      </c>
      <c r="BK2" s="8" t="s">
        <v>1335</v>
      </c>
      <c r="BL2" s="4" t="str">
        <f t="shared" ref="BL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 ht="20.25" customHeight="1">
      <c r="A3" s="8" t="s">
        <v>1215</v>
      </c>
      <c r="B3" s="8" t="s">
        <v>1317</v>
      </c>
      <c r="C3" s="15" t="s">
        <v>1317</v>
      </c>
      <c r="D3" s="15" t="str">
        <f t="shared" si="0"/>
        <v>No</v>
      </c>
      <c r="E3" s="15" t="str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  <v>No</v>
      </c>
      <c r="F3" t="str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  <v>No</v>
      </c>
      <c r="G3" s="4" t="s">
        <v>1318</v>
      </c>
      <c r="H3" s="4" t="s">
        <v>1318</v>
      </c>
      <c r="I3" s="4"/>
      <c r="J3" s="4" t="s">
        <v>1319</v>
      </c>
      <c r="K3" s="4" t="s">
        <v>1319</v>
      </c>
      <c r="L3" s="4" t="s">
        <v>1319</v>
      </c>
      <c r="M3" s="4"/>
      <c r="N3" s="4"/>
      <c r="O3" s="4"/>
      <c r="P3" s="4"/>
      <c r="Q3" s="4"/>
      <c r="R3" s="4"/>
      <c r="S3" s="4" t="s">
        <v>1336</v>
      </c>
      <c r="T3" s="4" t="s">
        <v>1337</v>
      </c>
      <c r="U3" s="4" t="s">
        <v>1338</v>
      </c>
      <c r="V3" s="4" t="s">
        <v>1317</v>
      </c>
      <c r="W3" s="4" t="s">
        <v>1339</v>
      </c>
      <c r="X3" s="4" t="s">
        <v>1324</v>
      </c>
      <c r="Y3" s="4" t="s">
        <v>1325</v>
      </c>
      <c r="Z3" s="4"/>
      <c r="AA3" s="4" t="s">
        <v>1326</v>
      </c>
      <c r="AB3" s="4"/>
      <c r="AC3" s="4" t="s">
        <v>1340</v>
      </c>
      <c r="AD3" s="4" t="s">
        <v>1325</v>
      </c>
      <c r="AE3" s="8"/>
      <c r="AF3" s="4" t="s">
        <v>1328</v>
      </c>
      <c r="AG3" s="4" t="s">
        <v>1329</v>
      </c>
      <c r="AH3" s="14">
        <v>2</v>
      </c>
      <c r="AI3" s="16" t="s">
        <v>1341</v>
      </c>
      <c r="AJ3" s="4" t="s">
        <v>1331</v>
      </c>
      <c r="AK3" s="4" t="s">
        <v>1332</v>
      </c>
      <c r="AL3" s="4" t="s">
        <v>1340</v>
      </c>
      <c r="AM3" s="4" t="s">
        <v>1219</v>
      </c>
      <c r="AN3" s="4"/>
      <c r="AO3" s="4"/>
      <c r="AP3" s="4"/>
      <c r="AQ3" s="4"/>
      <c r="AR3" s="92" t="s">
        <v>1325</v>
      </c>
      <c r="AS3" s="92" t="s">
        <v>1333</v>
      </c>
      <c r="AT3" s="92" t="s">
        <v>1325</v>
      </c>
      <c r="AU3" s="92" t="s">
        <v>1325</v>
      </c>
      <c r="AV3" s="92" t="s">
        <v>1325</v>
      </c>
      <c r="AW3" s="8" t="s">
        <v>1317</v>
      </c>
      <c r="AX3" s="8" t="s">
        <v>1317</v>
      </c>
      <c r="AY3" s="8"/>
      <c r="AZ3" s="8"/>
      <c r="BA3" s="12">
        <v>46027</v>
      </c>
      <c r="BB3" s="8" t="s">
        <v>1317</v>
      </c>
      <c r="BC3" s="4"/>
      <c r="BD3" s="4" t="s">
        <v>1293</v>
      </c>
      <c r="BE3" s="8" t="s">
        <v>1317</v>
      </c>
      <c r="BF3" s="8" t="s">
        <v>1317</v>
      </c>
      <c r="BG3" s="8" t="s">
        <v>1317</v>
      </c>
      <c r="BH3" s="8" t="s">
        <v>1317</v>
      </c>
      <c r="BI3" s="8"/>
      <c r="BJ3" s="8" t="s">
        <v>1317</v>
      </c>
      <c r="BK3" s="8" t="s">
        <v>1335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 ht="20.25" customHeight="1">
      <c r="A4" s="8" t="s">
        <v>1215</v>
      </c>
      <c r="B4" s="8" t="s">
        <v>1317</v>
      </c>
      <c r="C4" s="15" t="s">
        <v>1317</v>
      </c>
      <c r="D4" s="15" t="str">
        <f t="shared" si="0"/>
        <v>No</v>
      </c>
      <c r="E4" s="15" t="str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  <v>No</v>
      </c>
      <c r="F4" t="str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  <v>No</v>
      </c>
      <c r="G4" s="4" t="s">
        <v>1318</v>
      </c>
      <c r="H4" s="4" t="s">
        <v>1318</v>
      </c>
      <c r="I4" s="4"/>
      <c r="J4" s="4" t="s">
        <v>1319</v>
      </c>
      <c r="K4" s="4" t="s">
        <v>1319</v>
      </c>
      <c r="L4" s="4" t="s">
        <v>1319</v>
      </c>
      <c r="M4" s="4"/>
      <c r="N4" s="4"/>
      <c r="O4" s="4"/>
      <c r="P4" s="4"/>
      <c r="Q4" s="4"/>
      <c r="R4" s="4"/>
      <c r="S4" s="4" t="s">
        <v>1342</v>
      </c>
      <c r="T4" s="4" t="s">
        <v>1343</v>
      </c>
      <c r="U4" s="4" t="s">
        <v>1344</v>
      </c>
      <c r="V4" s="4" t="s">
        <v>1317</v>
      </c>
      <c r="W4" s="4" t="s">
        <v>1345</v>
      </c>
      <c r="X4" s="4" t="s">
        <v>1324</v>
      </c>
      <c r="Y4" s="4" t="s">
        <v>1325</v>
      </c>
      <c r="Z4" s="4"/>
      <c r="AA4" s="4" t="s">
        <v>1326</v>
      </c>
      <c r="AB4" s="4"/>
      <c r="AC4" s="4" t="s">
        <v>1346</v>
      </c>
      <c r="AD4" s="4" t="s">
        <v>1325</v>
      </c>
      <c r="AE4" s="8"/>
      <c r="AF4" s="4" t="s">
        <v>1328</v>
      </c>
      <c r="AG4" s="4" t="s">
        <v>1329</v>
      </c>
      <c r="AH4" s="14">
        <v>3</v>
      </c>
      <c r="AI4" s="16" t="s">
        <v>1347</v>
      </c>
      <c r="AJ4" s="4" t="s">
        <v>1331</v>
      </c>
      <c r="AK4" s="4" t="s">
        <v>1332</v>
      </c>
      <c r="AL4" s="4" t="s">
        <v>1346</v>
      </c>
      <c r="AM4" s="4" t="s">
        <v>1219</v>
      </c>
      <c r="AN4" s="4"/>
      <c r="AO4" s="4"/>
      <c r="AP4" s="4"/>
      <c r="AQ4" s="4"/>
      <c r="AR4" s="92" t="s">
        <v>1325</v>
      </c>
      <c r="AS4" s="92" t="s">
        <v>1333</v>
      </c>
      <c r="AT4" s="92" t="s">
        <v>1325</v>
      </c>
      <c r="AU4" s="92" t="s">
        <v>1325</v>
      </c>
      <c r="AV4" s="92" t="s">
        <v>1325</v>
      </c>
      <c r="AW4" s="8" t="s">
        <v>1317</v>
      </c>
      <c r="AX4" s="8" t="s">
        <v>1317</v>
      </c>
      <c r="AY4" s="8"/>
      <c r="AZ4" s="8"/>
      <c r="BA4" s="12">
        <v>46027</v>
      </c>
      <c r="BB4" s="8" t="s">
        <v>1317</v>
      </c>
      <c r="BC4" s="4"/>
      <c r="BD4" s="4" t="s">
        <v>1293</v>
      </c>
      <c r="BE4" s="8" t="s">
        <v>1317</v>
      </c>
      <c r="BF4" s="8" t="s">
        <v>1317</v>
      </c>
      <c r="BG4" s="8" t="s">
        <v>1317</v>
      </c>
      <c r="BH4" s="8" t="s">
        <v>1317</v>
      </c>
      <c r="BI4" s="8"/>
      <c r="BJ4" s="8" t="s">
        <v>1317</v>
      </c>
      <c r="BK4" s="8" t="s">
        <v>1335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 ht="20.25" customHeight="1">
      <c r="A5" s="8" t="s">
        <v>1215</v>
      </c>
      <c r="B5" s="8" t="s">
        <v>1317</v>
      </c>
      <c r="C5" s="15" t="s">
        <v>1317</v>
      </c>
      <c r="D5" s="15" t="str">
        <f t="shared" si="0"/>
        <v>No</v>
      </c>
      <c r="E5" s="15" t="str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  <v>No</v>
      </c>
      <c r="F5" t="str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  <v>No</v>
      </c>
      <c r="G5" s="4" t="s">
        <v>1318</v>
      </c>
      <c r="H5" s="4" t="s">
        <v>1318</v>
      </c>
      <c r="I5" s="4"/>
      <c r="J5" s="4" t="s">
        <v>1319</v>
      </c>
      <c r="K5" s="4" t="s">
        <v>1319</v>
      </c>
      <c r="L5" s="4" t="s">
        <v>1319</v>
      </c>
      <c r="M5" s="4"/>
      <c r="N5" s="4"/>
      <c r="O5" s="4"/>
      <c r="P5" s="4"/>
      <c r="Q5" s="4"/>
      <c r="R5" s="4"/>
      <c r="S5" s="4" t="s">
        <v>1348</v>
      </c>
      <c r="T5" s="4" t="s">
        <v>1349</v>
      </c>
      <c r="U5" s="4" t="s">
        <v>1350</v>
      </c>
      <c r="V5" s="4" t="s">
        <v>1317</v>
      </c>
      <c r="W5" s="4" t="s">
        <v>1351</v>
      </c>
      <c r="X5" s="4" t="s">
        <v>1324</v>
      </c>
      <c r="Y5" s="4" t="s">
        <v>1325</v>
      </c>
      <c r="Z5" s="4"/>
      <c r="AA5" s="4" t="s">
        <v>1326</v>
      </c>
      <c r="AB5" s="4"/>
      <c r="AC5" s="4" t="s">
        <v>1352</v>
      </c>
      <c r="AD5" s="4" t="s">
        <v>1325</v>
      </c>
      <c r="AE5" s="8"/>
      <c r="AF5" s="4" t="s">
        <v>1328</v>
      </c>
      <c r="AG5" s="4" t="s">
        <v>1329</v>
      </c>
      <c r="AH5" s="14">
        <v>4</v>
      </c>
      <c r="AI5" s="16" t="s">
        <v>1353</v>
      </c>
      <c r="AJ5" s="4" t="s">
        <v>1331</v>
      </c>
      <c r="AK5" s="4" t="s">
        <v>1332</v>
      </c>
      <c r="AL5" s="4" t="s">
        <v>1352</v>
      </c>
      <c r="AM5" s="4" t="s">
        <v>1219</v>
      </c>
      <c r="AN5" s="4"/>
      <c r="AO5" s="4"/>
      <c r="AP5" s="4"/>
      <c r="AQ5" s="4"/>
      <c r="AR5" s="92" t="s">
        <v>1325</v>
      </c>
      <c r="AS5" s="92" t="s">
        <v>1333</v>
      </c>
      <c r="AT5" s="92" t="s">
        <v>1325</v>
      </c>
      <c r="AU5" s="92" t="s">
        <v>1325</v>
      </c>
      <c r="AV5" s="92" t="s">
        <v>1325</v>
      </c>
      <c r="AW5" s="8" t="s">
        <v>1317</v>
      </c>
      <c r="AX5" s="8" t="s">
        <v>1317</v>
      </c>
      <c r="AY5" s="8"/>
      <c r="AZ5" s="8"/>
      <c r="BA5" s="12">
        <v>46027</v>
      </c>
      <c r="BB5" s="8" t="s">
        <v>1317</v>
      </c>
      <c r="BC5" s="4"/>
      <c r="BD5" s="4" t="s">
        <v>1293</v>
      </c>
      <c r="BE5" s="8" t="s">
        <v>1317</v>
      </c>
      <c r="BF5" s="8" t="s">
        <v>1317</v>
      </c>
      <c r="BG5" s="8" t="s">
        <v>1317</v>
      </c>
      <c r="BH5" s="8" t="s">
        <v>1317</v>
      </c>
      <c r="BI5" s="8"/>
      <c r="BJ5" s="8" t="s">
        <v>1317</v>
      </c>
      <c r="BK5" s="8" t="s">
        <v>1335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 ht="20.25" customHeight="1">
      <c r="A6" s="8" t="s">
        <v>1215</v>
      </c>
      <c r="B6" s="8" t="s">
        <v>1317</v>
      </c>
      <c r="C6" s="15" t="s">
        <v>1317</v>
      </c>
      <c r="D6" s="15" t="str">
        <f t="shared" si="0"/>
        <v>No</v>
      </c>
      <c r="E6" s="15" t="str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  <v>No</v>
      </c>
      <c r="F6" t="str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  <v>No</v>
      </c>
      <c r="G6" s="4" t="s">
        <v>1318</v>
      </c>
      <c r="H6" s="4" t="s">
        <v>1318</v>
      </c>
      <c r="I6" s="4"/>
      <c r="J6" s="4" t="s">
        <v>1319</v>
      </c>
      <c r="K6" s="4" t="s">
        <v>1319</v>
      </c>
      <c r="L6" s="4" t="s">
        <v>1319</v>
      </c>
      <c r="M6" s="4"/>
      <c r="N6" s="4"/>
      <c r="O6" s="4"/>
      <c r="P6" s="4"/>
      <c r="Q6" s="4"/>
      <c r="R6" s="4"/>
      <c r="S6" s="4" t="s">
        <v>1354</v>
      </c>
      <c r="T6" s="4" t="s">
        <v>1355</v>
      </c>
      <c r="U6" s="4" t="s">
        <v>1356</v>
      </c>
      <c r="V6" s="4" t="s">
        <v>1317</v>
      </c>
      <c r="W6" s="4" t="s">
        <v>1357</v>
      </c>
      <c r="X6" s="4" t="s">
        <v>1324</v>
      </c>
      <c r="Y6" s="4" t="s">
        <v>1325</v>
      </c>
      <c r="Z6" s="4"/>
      <c r="AA6" s="4" t="s">
        <v>1326</v>
      </c>
      <c r="AB6" s="4"/>
      <c r="AC6" s="4" t="s">
        <v>1358</v>
      </c>
      <c r="AD6" s="4" t="s">
        <v>1325</v>
      </c>
      <c r="AE6" s="8"/>
      <c r="AF6" s="4" t="s">
        <v>1328</v>
      </c>
      <c r="AG6" s="4" t="s">
        <v>1329</v>
      </c>
      <c r="AH6" s="14">
        <v>5</v>
      </c>
      <c r="AI6" s="16" t="s">
        <v>1359</v>
      </c>
      <c r="AJ6" s="4" t="s">
        <v>1331</v>
      </c>
      <c r="AK6" s="4" t="s">
        <v>1332</v>
      </c>
      <c r="AL6" s="4" t="s">
        <v>1358</v>
      </c>
      <c r="AM6" s="4" t="s">
        <v>1219</v>
      </c>
      <c r="AN6" s="4"/>
      <c r="AO6" s="4"/>
      <c r="AP6" s="4"/>
      <c r="AQ6" s="4"/>
      <c r="AR6" s="92" t="s">
        <v>1325</v>
      </c>
      <c r="AS6" s="92" t="s">
        <v>1333</v>
      </c>
      <c r="AT6" s="92" t="s">
        <v>1325</v>
      </c>
      <c r="AU6" s="92" t="s">
        <v>1325</v>
      </c>
      <c r="AV6" s="92" t="s">
        <v>1325</v>
      </c>
      <c r="AW6" s="8" t="s">
        <v>1317</v>
      </c>
      <c r="AX6" s="8" t="s">
        <v>1317</v>
      </c>
      <c r="AY6" s="8"/>
      <c r="AZ6" s="8"/>
      <c r="BA6" s="12">
        <v>46027</v>
      </c>
      <c r="BB6" s="8" t="s">
        <v>1317</v>
      </c>
      <c r="BC6" s="4"/>
      <c r="BD6" s="4" t="s">
        <v>1293</v>
      </c>
      <c r="BE6" s="8" t="s">
        <v>1317</v>
      </c>
      <c r="BF6" s="8" t="s">
        <v>1317</v>
      </c>
      <c r="BG6" s="8" t="s">
        <v>1317</v>
      </c>
      <c r="BH6" s="8" t="s">
        <v>1317</v>
      </c>
      <c r="BI6" s="8"/>
      <c r="BJ6" s="8" t="s">
        <v>1317</v>
      </c>
      <c r="BK6" s="8" t="s">
        <v>1335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 ht="20.25" customHeight="1">
      <c r="A7" s="8" t="s">
        <v>1215</v>
      </c>
      <c r="B7" s="8" t="s">
        <v>1317</v>
      </c>
      <c r="C7" s="15" t="s">
        <v>1317</v>
      </c>
      <c r="D7" s="15" t="str">
        <f t="shared" si="0"/>
        <v>No</v>
      </c>
      <c r="E7" s="15" t="str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  <v>No</v>
      </c>
      <c r="F7" t="str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  <v>No</v>
      </c>
      <c r="G7" s="4" t="s">
        <v>1318</v>
      </c>
      <c r="H7" s="4" t="s">
        <v>1318</v>
      </c>
      <c r="I7" s="4"/>
      <c r="J7" s="4" t="s">
        <v>1319</v>
      </c>
      <c r="K7" s="4" t="s">
        <v>1319</v>
      </c>
      <c r="L7" s="4" t="s">
        <v>1319</v>
      </c>
      <c r="M7" s="4"/>
      <c r="N7" s="4"/>
      <c r="O7" s="4"/>
      <c r="P7" s="4"/>
      <c r="Q7" s="4"/>
      <c r="R7" s="4"/>
      <c r="S7" s="4" t="s">
        <v>1360</v>
      </c>
      <c r="T7" s="4" t="s">
        <v>1361</v>
      </c>
      <c r="U7" s="4" t="s">
        <v>1362</v>
      </c>
      <c r="V7" s="4" t="s">
        <v>1317</v>
      </c>
      <c r="W7" s="4" t="s">
        <v>1363</v>
      </c>
      <c r="X7" s="4" t="s">
        <v>1324</v>
      </c>
      <c r="Y7" s="4" t="s">
        <v>1325</v>
      </c>
      <c r="Z7" s="4"/>
      <c r="AA7" s="4" t="s">
        <v>1326</v>
      </c>
      <c r="AB7" s="4"/>
      <c r="AC7" s="4" t="s">
        <v>1364</v>
      </c>
      <c r="AD7" s="4" t="s">
        <v>1325</v>
      </c>
      <c r="AE7" s="8"/>
      <c r="AF7" s="4" t="s">
        <v>1328</v>
      </c>
      <c r="AG7" s="4" t="s">
        <v>1329</v>
      </c>
      <c r="AH7" s="14">
        <v>6</v>
      </c>
      <c r="AI7" s="16" t="s">
        <v>1365</v>
      </c>
      <c r="AJ7" s="4" t="s">
        <v>1331</v>
      </c>
      <c r="AK7" s="4" t="s">
        <v>1332</v>
      </c>
      <c r="AL7" s="4" t="s">
        <v>1364</v>
      </c>
      <c r="AM7" s="4" t="s">
        <v>1219</v>
      </c>
      <c r="AN7" s="4"/>
      <c r="AO7" s="4"/>
      <c r="AP7" s="4"/>
      <c r="AQ7" s="4"/>
      <c r="AR7" s="92" t="s">
        <v>1325</v>
      </c>
      <c r="AS7" s="92" t="s">
        <v>1333</v>
      </c>
      <c r="AT7" s="92" t="s">
        <v>1325</v>
      </c>
      <c r="AU7" s="92" t="s">
        <v>1325</v>
      </c>
      <c r="AV7" s="92" t="s">
        <v>1325</v>
      </c>
      <c r="AW7" s="8" t="s">
        <v>1317</v>
      </c>
      <c r="AX7" s="8" t="s">
        <v>1317</v>
      </c>
      <c r="AY7" s="8"/>
      <c r="AZ7" s="8"/>
      <c r="BA7" s="12">
        <v>46027</v>
      </c>
      <c r="BB7" s="8" t="s">
        <v>1317</v>
      </c>
      <c r="BC7" s="4"/>
      <c r="BD7" s="4" t="s">
        <v>1293</v>
      </c>
      <c r="BE7" s="8" t="s">
        <v>1317</v>
      </c>
      <c r="BF7" s="8" t="s">
        <v>1317</v>
      </c>
      <c r="BG7" s="8" t="s">
        <v>1317</v>
      </c>
      <c r="BH7" s="8" t="s">
        <v>1317</v>
      </c>
      <c r="BI7" s="8"/>
      <c r="BJ7" s="8" t="s">
        <v>1317</v>
      </c>
      <c r="BK7" s="8" t="s">
        <v>1335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 ht="20.25" customHeight="1">
      <c r="A8" s="8" t="s">
        <v>1215</v>
      </c>
      <c r="B8" s="8" t="s">
        <v>1317</v>
      </c>
      <c r="C8" s="15" t="s">
        <v>1317</v>
      </c>
      <c r="D8" s="15" t="str">
        <f t="shared" si="0"/>
        <v>No</v>
      </c>
      <c r="E8" s="15" t="str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  <v>No</v>
      </c>
      <c r="F8" t="str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  <v>No</v>
      </c>
      <c r="G8" s="4" t="s">
        <v>1318</v>
      </c>
      <c r="H8" s="4" t="s">
        <v>1318</v>
      </c>
      <c r="I8" s="4"/>
      <c r="J8" s="4" t="s">
        <v>1319</v>
      </c>
      <c r="K8" s="4" t="s">
        <v>1319</v>
      </c>
      <c r="L8" s="4" t="s">
        <v>1319</v>
      </c>
      <c r="M8" s="4"/>
      <c r="N8" s="4"/>
      <c r="O8" s="4"/>
      <c r="P8" s="4"/>
      <c r="Q8" s="4"/>
      <c r="R8" s="4"/>
      <c r="S8" s="4" t="s">
        <v>1366</v>
      </c>
      <c r="T8" s="4" t="s">
        <v>1367</v>
      </c>
      <c r="U8" s="4" t="s">
        <v>1368</v>
      </c>
      <c r="V8" s="4" t="s">
        <v>1317</v>
      </c>
      <c r="W8" s="4" t="s">
        <v>1369</v>
      </c>
      <c r="X8" s="4" t="s">
        <v>1324</v>
      </c>
      <c r="Y8" s="4" t="s">
        <v>1325</v>
      </c>
      <c r="Z8" s="4"/>
      <c r="AA8" s="4" t="s">
        <v>1326</v>
      </c>
      <c r="AB8" s="4"/>
      <c r="AC8" s="4" t="s">
        <v>1370</v>
      </c>
      <c r="AD8" s="4" t="s">
        <v>1325</v>
      </c>
      <c r="AE8" s="8"/>
      <c r="AF8" s="4" t="s">
        <v>1328</v>
      </c>
      <c r="AG8" s="4" t="s">
        <v>1329</v>
      </c>
      <c r="AH8" s="14">
        <v>7</v>
      </c>
      <c r="AI8" s="16" t="s">
        <v>1371</v>
      </c>
      <c r="AJ8" s="4" t="s">
        <v>1331</v>
      </c>
      <c r="AK8" s="4" t="s">
        <v>1332</v>
      </c>
      <c r="AL8" s="4" t="s">
        <v>1370</v>
      </c>
      <c r="AM8" s="4" t="s">
        <v>1219</v>
      </c>
      <c r="AN8" s="4"/>
      <c r="AO8" s="4"/>
      <c r="AP8" s="4"/>
      <c r="AQ8" s="4"/>
      <c r="AR8" s="92" t="s">
        <v>1325</v>
      </c>
      <c r="AS8" s="92" t="s">
        <v>1333</v>
      </c>
      <c r="AT8" s="92" t="s">
        <v>1325</v>
      </c>
      <c r="AU8" s="92" t="s">
        <v>1325</v>
      </c>
      <c r="AV8" s="92" t="s">
        <v>1325</v>
      </c>
      <c r="AW8" s="8" t="s">
        <v>1317</v>
      </c>
      <c r="AX8" s="8" t="s">
        <v>1317</v>
      </c>
      <c r="AY8" s="8"/>
      <c r="AZ8" s="8"/>
      <c r="BA8" s="12">
        <v>46027</v>
      </c>
      <c r="BB8" s="8" t="s">
        <v>1317</v>
      </c>
      <c r="BC8" s="4"/>
      <c r="BD8" s="4" t="s">
        <v>1293</v>
      </c>
      <c r="BE8" s="8" t="s">
        <v>1317</v>
      </c>
      <c r="BF8" s="8" t="s">
        <v>1317</v>
      </c>
      <c r="BG8" s="8" t="s">
        <v>1317</v>
      </c>
      <c r="BH8" s="8" t="s">
        <v>1317</v>
      </c>
      <c r="BI8" s="8"/>
      <c r="BJ8" s="8" t="s">
        <v>1317</v>
      </c>
      <c r="BK8" s="8" t="s">
        <v>1335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 ht="20.25" customHeight="1">
      <c r="A9" s="8" t="s">
        <v>1215</v>
      </c>
      <c r="B9" s="8" t="s">
        <v>1317</v>
      </c>
      <c r="C9" s="15" t="s">
        <v>1317</v>
      </c>
      <c r="D9" s="15" t="str">
        <f t="shared" si="0"/>
        <v>No</v>
      </c>
      <c r="E9" s="15" t="str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  <v>No</v>
      </c>
      <c r="F9" t="str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  <v>No</v>
      </c>
      <c r="G9" s="4" t="s">
        <v>1318</v>
      </c>
      <c r="H9" s="4" t="s">
        <v>1318</v>
      </c>
      <c r="I9" s="4"/>
      <c r="J9" s="4" t="s">
        <v>1319</v>
      </c>
      <c r="K9" s="4" t="s">
        <v>1319</v>
      </c>
      <c r="L9" s="4" t="s">
        <v>1319</v>
      </c>
      <c r="M9" s="4"/>
      <c r="N9" s="4"/>
      <c r="O9" s="4"/>
      <c r="P9" s="4"/>
      <c r="Q9" s="4"/>
      <c r="R9" s="4"/>
      <c r="S9" s="4" t="s">
        <v>1372</v>
      </c>
      <c r="T9" s="4" t="s">
        <v>1373</v>
      </c>
      <c r="U9" s="4" t="s">
        <v>1374</v>
      </c>
      <c r="V9" s="4" t="s">
        <v>1317</v>
      </c>
      <c r="W9" s="4" t="s">
        <v>1375</v>
      </c>
      <c r="X9" s="4" t="s">
        <v>1324</v>
      </c>
      <c r="Y9" s="4" t="s">
        <v>1325</v>
      </c>
      <c r="Z9" s="4"/>
      <c r="AA9" s="4" t="s">
        <v>1326</v>
      </c>
      <c r="AB9" s="4"/>
      <c r="AC9" s="4" t="s">
        <v>1376</v>
      </c>
      <c r="AD9" s="4" t="s">
        <v>1325</v>
      </c>
      <c r="AE9" s="8"/>
      <c r="AF9" s="4" t="s">
        <v>1328</v>
      </c>
      <c r="AG9" s="4" t="s">
        <v>1329</v>
      </c>
      <c r="AH9" s="14">
        <v>8</v>
      </c>
      <c r="AI9" s="16" t="s">
        <v>1377</v>
      </c>
      <c r="AJ9" s="4" t="s">
        <v>1331</v>
      </c>
      <c r="AK9" s="4" t="s">
        <v>1332</v>
      </c>
      <c r="AL9" s="4" t="s">
        <v>1376</v>
      </c>
      <c r="AM9" s="4" t="s">
        <v>1219</v>
      </c>
      <c r="AN9" s="4"/>
      <c r="AO9" s="4"/>
      <c r="AP9" s="4"/>
      <c r="AQ9" s="4"/>
      <c r="AR9" s="92" t="s">
        <v>1325</v>
      </c>
      <c r="AS9" s="92" t="s">
        <v>1333</v>
      </c>
      <c r="AT9" s="92" t="s">
        <v>1325</v>
      </c>
      <c r="AU9" s="92" t="s">
        <v>1325</v>
      </c>
      <c r="AV9" s="92" t="s">
        <v>1325</v>
      </c>
      <c r="AW9" s="8" t="s">
        <v>1317</v>
      </c>
      <c r="AX9" s="8" t="s">
        <v>1317</v>
      </c>
      <c r="AY9" s="8"/>
      <c r="AZ9" s="8"/>
      <c r="BA9" s="12">
        <v>46027</v>
      </c>
      <c r="BB9" s="8" t="s">
        <v>1317</v>
      </c>
      <c r="BC9" s="4"/>
      <c r="BD9" s="4" t="s">
        <v>1293</v>
      </c>
      <c r="BE9" s="8" t="s">
        <v>1317</v>
      </c>
      <c r="BF9" s="8" t="s">
        <v>1317</v>
      </c>
      <c r="BG9" s="8" t="s">
        <v>1317</v>
      </c>
      <c r="BH9" s="8" t="s">
        <v>1317</v>
      </c>
      <c r="BI9" s="8"/>
      <c r="BJ9" s="8" t="s">
        <v>1317</v>
      </c>
      <c r="BK9" s="8" t="s">
        <v>1335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 ht="20.25" customHeight="1">
      <c r="A10" s="8" t="s">
        <v>1215</v>
      </c>
      <c r="B10" s="8" t="s">
        <v>1317</v>
      </c>
      <c r="C10" s="15" t="s">
        <v>1317</v>
      </c>
      <c r="D10" s="15" t="str">
        <f t="shared" si="0"/>
        <v>No</v>
      </c>
      <c r="E10" s="15" t="str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  <v>No</v>
      </c>
      <c r="F10" t="str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  <v>No</v>
      </c>
      <c r="G10" s="4" t="s">
        <v>1318</v>
      </c>
      <c r="H10" s="4" t="s">
        <v>1318</v>
      </c>
      <c r="I10" s="4"/>
      <c r="J10" s="4" t="s">
        <v>1319</v>
      </c>
      <c r="K10" s="4" t="s">
        <v>1319</v>
      </c>
      <c r="L10" s="4" t="s">
        <v>1319</v>
      </c>
      <c r="M10" s="4"/>
      <c r="N10" s="4"/>
      <c r="O10" s="4"/>
      <c r="P10" s="4"/>
      <c r="Q10" s="4"/>
      <c r="R10" s="4"/>
      <c r="S10" s="4" t="s">
        <v>1378</v>
      </c>
      <c r="T10" s="4" t="s">
        <v>1379</v>
      </c>
      <c r="U10" s="4" t="s">
        <v>1380</v>
      </c>
      <c r="V10" s="4" t="s">
        <v>1317</v>
      </c>
      <c r="W10" s="4" t="s">
        <v>1381</v>
      </c>
      <c r="X10" s="4" t="s">
        <v>1324</v>
      </c>
      <c r="Y10" s="4" t="s">
        <v>1325</v>
      </c>
      <c r="Z10" s="4"/>
      <c r="AA10" s="4" t="s">
        <v>1326</v>
      </c>
      <c r="AB10" s="4"/>
      <c r="AC10" s="4" t="s">
        <v>1382</v>
      </c>
      <c r="AD10" s="4" t="s">
        <v>1325</v>
      </c>
      <c r="AE10" s="8"/>
      <c r="AF10" s="4" t="s">
        <v>1328</v>
      </c>
      <c r="AG10" s="4" t="s">
        <v>1329</v>
      </c>
      <c r="AH10" s="14">
        <v>9</v>
      </c>
      <c r="AI10" s="16" t="s">
        <v>1383</v>
      </c>
      <c r="AJ10" s="4" t="s">
        <v>1331</v>
      </c>
      <c r="AK10" s="4" t="s">
        <v>1332</v>
      </c>
      <c r="AL10" s="4" t="s">
        <v>1382</v>
      </c>
      <c r="AM10" s="4" t="s">
        <v>1219</v>
      </c>
      <c r="AN10" s="4"/>
      <c r="AO10" s="4"/>
      <c r="AP10" s="4"/>
      <c r="AQ10" s="4"/>
      <c r="AR10" s="92" t="s">
        <v>1325</v>
      </c>
      <c r="AS10" s="92" t="s">
        <v>1333</v>
      </c>
      <c r="AT10" s="92" t="s">
        <v>1325</v>
      </c>
      <c r="AU10" s="92" t="s">
        <v>1325</v>
      </c>
      <c r="AV10" s="92" t="s">
        <v>1325</v>
      </c>
      <c r="AW10" s="8" t="s">
        <v>1317</v>
      </c>
      <c r="AX10" s="8" t="s">
        <v>1317</v>
      </c>
      <c r="AY10" s="8"/>
      <c r="AZ10" s="8"/>
      <c r="BA10" s="12">
        <v>46027</v>
      </c>
      <c r="BB10" s="8" t="s">
        <v>1317</v>
      </c>
      <c r="BC10" s="4"/>
      <c r="BD10" s="4" t="s">
        <v>1293</v>
      </c>
      <c r="BE10" s="8" t="s">
        <v>1317</v>
      </c>
      <c r="BF10" s="8" t="s">
        <v>1317</v>
      </c>
      <c r="BG10" s="8" t="s">
        <v>1317</v>
      </c>
      <c r="BH10" s="8" t="s">
        <v>1317</v>
      </c>
      <c r="BI10" s="8"/>
      <c r="BJ10" s="8" t="s">
        <v>1317</v>
      </c>
      <c r="BK10" s="8" t="s">
        <v>1335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 ht="20.25" customHeight="1">
      <c r="A11" s="8" t="s">
        <v>1215</v>
      </c>
      <c r="B11" s="8" t="s">
        <v>1317</v>
      </c>
      <c r="C11" s="15" t="s">
        <v>1317</v>
      </c>
      <c r="D11" s="15" t="str">
        <f t="shared" si="0"/>
        <v>No</v>
      </c>
      <c r="E11" s="15" t="str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  <v>No</v>
      </c>
      <c r="F11" t="str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  <v>No</v>
      </c>
      <c r="G11" s="4" t="s">
        <v>1318</v>
      </c>
      <c r="H11" s="4" t="s">
        <v>1318</v>
      </c>
      <c r="I11" s="4"/>
      <c r="J11" s="4" t="s">
        <v>1319</v>
      </c>
      <c r="K11" s="4" t="s">
        <v>1319</v>
      </c>
      <c r="L11" s="4" t="s">
        <v>1319</v>
      </c>
      <c r="M11" s="4"/>
      <c r="N11" s="4"/>
      <c r="O11" s="4"/>
      <c r="P11" s="4"/>
      <c r="Q11" s="4"/>
      <c r="R11" s="4"/>
      <c r="S11" s="4" t="s">
        <v>1384</v>
      </c>
      <c r="T11" s="4" t="s">
        <v>1385</v>
      </c>
      <c r="U11" s="4" t="s">
        <v>1386</v>
      </c>
      <c r="V11" s="4" t="s">
        <v>1317</v>
      </c>
      <c r="W11" s="4" t="s">
        <v>1387</v>
      </c>
      <c r="X11" s="4" t="s">
        <v>1324</v>
      </c>
      <c r="Y11" s="4" t="s">
        <v>1325</v>
      </c>
      <c r="Z11" s="4"/>
      <c r="AA11" s="4" t="s">
        <v>1326</v>
      </c>
      <c r="AB11" s="4"/>
      <c r="AC11" s="4" t="s">
        <v>1388</v>
      </c>
      <c r="AD11" s="4" t="s">
        <v>1325</v>
      </c>
      <c r="AE11" s="8"/>
      <c r="AF11" s="4" t="s">
        <v>1328</v>
      </c>
      <c r="AG11" s="4" t="s">
        <v>1329</v>
      </c>
      <c r="AH11" s="14">
        <v>10</v>
      </c>
      <c r="AI11" s="16" t="s">
        <v>1389</v>
      </c>
      <c r="AJ11" s="4" t="s">
        <v>1331</v>
      </c>
      <c r="AK11" s="4" t="s">
        <v>1332</v>
      </c>
      <c r="AL11" s="4" t="s">
        <v>1388</v>
      </c>
      <c r="AM11" s="4" t="s">
        <v>1219</v>
      </c>
      <c r="AN11" s="4"/>
      <c r="AO11" s="4"/>
      <c r="AP11" s="4"/>
      <c r="AQ11" s="4"/>
      <c r="AR11" s="92" t="s">
        <v>1325</v>
      </c>
      <c r="AS11" s="92" t="s">
        <v>1333</v>
      </c>
      <c r="AT11" s="92" t="s">
        <v>1325</v>
      </c>
      <c r="AU11" s="92" t="s">
        <v>1325</v>
      </c>
      <c r="AV11" s="92" t="s">
        <v>1325</v>
      </c>
      <c r="AW11" s="8" t="s">
        <v>1317</v>
      </c>
      <c r="AX11" s="8" t="s">
        <v>1317</v>
      </c>
      <c r="AY11" s="8"/>
      <c r="AZ11" s="8"/>
      <c r="BA11" s="12">
        <v>46027</v>
      </c>
      <c r="BB11" s="8" t="s">
        <v>1317</v>
      </c>
      <c r="BC11" s="4"/>
      <c r="BD11" s="4" t="s">
        <v>1293</v>
      </c>
      <c r="BE11" s="8" t="s">
        <v>1317</v>
      </c>
      <c r="BF11" s="8" t="s">
        <v>1317</v>
      </c>
      <c r="BG11" s="8" t="s">
        <v>1317</v>
      </c>
      <c r="BH11" s="8" t="s">
        <v>1317</v>
      </c>
      <c r="BI11" s="8"/>
      <c r="BJ11" s="8" t="s">
        <v>1317</v>
      </c>
      <c r="BK11" s="8" t="s">
        <v>1335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 ht="20.25" customHeight="1">
      <c r="A12" s="8" t="s">
        <v>1215</v>
      </c>
      <c r="B12" s="8" t="s">
        <v>1317</v>
      </c>
      <c r="C12" s="15" t="s">
        <v>1317</v>
      </c>
      <c r="D12" s="15" t="str">
        <f t="shared" si="0"/>
        <v>No</v>
      </c>
      <c r="E12" s="15" t="str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  <v>No</v>
      </c>
      <c r="F12" t="str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  <v>No</v>
      </c>
      <c r="G12" s="4" t="s">
        <v>1318</v>
      </c>
      <c r="H12" s="4" t="s">
        <v>1318</v>
      </c>
      <c r="I12" s="4"/>
      <c r="J12" s="4" t="s">
        <v>1319</v>
      </c>
      <c r="K12" s="4" t="s">
        <v>1319</v>
      </c>
      <c r="L12" s="4" t="s">
        <v>1319</v>
      </c>
      <c r="M12" s="4"/>
      <c r="N12" s="4"/>
      <c r="O12" s="4"/>
      <c r="P12" s="4"/>
      <c r="Q12" s="4"/>
      <c r="R12" s="4"/>
      <c r="S12" s="4" t="s">
        <v>1390</v>
      </c>
      <c r="T12" s="4" t="s">
        <v>1391</v>
      </c>
      <c r="U12" s="4" t="s">
        <v>1392</v>
      </c>
      <c r="V12" s="4" t="s">
        <v>1317</v>
      </c>
      <c r="W12" s="4" t="s">
        <v>1393</v>
      </c>
      <c r="X12" s="4" t="s">
        <v>1324</v>
      </c>
      <c r="Y12" s="4" t="s">
        <v>1325</v>
      </c>
      <c r="Z12" s="4"/>
      <c r="AA12" s="4" t="s">
        <v>1326</v>
      </c>
      <c r="AB12" s="4"/>
      <c r="AC12" s="4" t="s">
        <v>1394</v>
      </c>
      <c r="AD12" s="4" t="s">
        <v>1325</v>
      </c>
      <c r="AE12" s="8"/>
      <c r="AF12" s="4" t="s">
        <v>1328</v>
      </c>
      <c r="AG12" s="4" t="s">
        <v>1329</v>
      </c>
      <c r="AH12" s="14">
        <v>11</v>
      </c>
      <c r="AI12" s="4" t="s">
        <v>1395</v>
      </c>
      <c r="AJ12" s="4" t="s">
        <v>1331</v>
      </c>
      <c r="AK12" s="4" t="s">
        <v>1332</v>
      </c>
      <c r="AL12" s="4" t="s">
        <v>1394</v>
      </c>
      <c r="AM12" s="4" t="s">
        <v>1219</v>
      </c>
      <c r="AN12" s="4"/>
      <c r="AO12" s="4"/>
      <c r="AP12" s="4"/>
      <c r="AQ12" s="4"/>
      <c r="AR12" s="92" t="s">
        <v>1325</v>
      </c>
      <c r="AS12" s="92" t="s">
        <v>1333</v>
      </c>
      <c r="AT12" s="92" t="s">
        <v>1325</v>
      </c>
      <c r="AU12" s="92" t="s">
        <v>1325</v>
      </c>
      <c r="AV12" s="92" t="s">
        <v>1325</v>
      </c>
      <c r="AW12" s="8" t="s">
        <v>1317</v>
      </c>
      <c r="AX12" s="8" t="s">
        <v>1317</v>
      </c>
      <c r="AY12" s="8"/>
      <c r="AZ12" s="8"/>
      <c r="BA12" s="12">
        <v>46027</v>
      </c>
      <c r="BB12" s="8" t="s">
        <v>1317</v>
      </c>
      <c r="BC12" s="4" t="s">
        <v>1396</v>
      </c>
      <c r="BD12" s="4" t="s">
        <v>1293</v>
      </c>
      <c r="BE12" s="8" t="s">
        <v>1317</v>
      </c>
      <c r="BF12" s="8" t="s">
        <v>1317</v>
      </c>
      <c r="BG12" s="8" t="s">
        <v>1317</v>
      </c>
      <c r="BH12" s="8" t="s">
        <v>1317</v>
      </c>
      <c r="BI12" s="8"/>
      <c r="BJ12" s="8" t="s">
        <v>1317</v>
      </c>
      <c r="BK12" s="8" t="s">
        <v>1335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 ht="20.25" customHeight="1">
      <c r="A13" s="8" t="s">
        <v>1215</v>
      </c>
      <c r="B13" s="8" t="s">
        <v>1317</v>
      </c>
      <c r="C13" s="15" t="s">
        <v>1317</v>
      </c>
      <c r="D13" s="15" t="str">
        <f t="shared" si="0"/>
        <v>No</v>
      </c>
      <c r="E13" s="15" t="str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  <v>No</v>
      </c>
      <c r="F13" t="str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  <v>No</v>
      </c>
      <c r="G13" s="4" t="s">
        <v>1318</v>
      </c>
      <c r="H13" s="4" t="s">
        <v>1318</v>
      </c>
      <c r="I13" s="4"/>
      <c r="J13" s="4" t="s">
        <v>1319</v>
      </c>
      <c r="K13" s="4" t="s">
        <v>1319</v>
      </c>
      <c r="L13" s="4" t="s">
        <v>1319</v>
      </c>
      <c r="M13" s="4"/>
      <c r="N13" s="4"/>
      <c r="O13" s="4"/>
      <c r="P13" s="4"/>
      <c r="Q13" s="4"/>
      <c r="R13" s="4"/>
      <c r="S13" s="4" t="s">
        <v>1397</v>
      </c>
      <c r="T13" s="4" t="s">
        <v>1398</v>
      </c>
      <c r="U13" s="4" t="s">
        <v>1399</v>
      </c>
      <c r="V13" s="4" t="s">
        <v>1317</v>
      </c>
      <c r="W13" s="4" t="s">
        <v>1400</v>
      </c>
      <c r="X13" s="4" t="s">
        <v>1324</v>
      </c>
      <c r="Y13" s="4" t="s">
        <v>1325</v>
      </c>
      <c r="Z13" s="4"/>
      <c r="AA13" s="4" t="s">
        <v>1326</v>
      </c>
      <c r="AB13" s="4"/>
      <c r="AC13" s="4" t="s">
        <v>1401</v>
      </c>
      <c r="AD13" s="4" t="s">
        <v>1325</v>
      </c>
      <c r="AE13" s="8"/>
      <c r="AF13" s="4" t="s">
        <v>1328</v>
      </c>
      <c r="AG13" s="4" t="s">
        <v>1329</v>
      </c>
      <c r="AH13" s="14">
        <v>12</v>
      </c>
      <c r="AI13" s="4" t="s">
        <v>1402</v>
      </c>
      <c r="AJ13" s="4" t="s">
        <v>1331</v>
      </c>
      <c r="AK13" s="4" t="s">
        <v>1332</v>
      </c>
      <c r="AL13" s="4" t="s">
        <v>1401</v>
      </c>
      <c r="AM13" s="4" t="s">
        <v>1219</v>
      </c>
      <c r="AN13" s="4"/>
      <c r="AO13" s="4"/>
      <c r="AP13" s="4"/>
      <c r="AQ13" s="4"/>
      <c r="AR13" s="92" t="s">
        <v>1325</v>
      </c>
      <c r="AS13" s="92" t="s">
        <v>1333</v>
      </c>
      <c r="AT13" s="92" t="s">
        <v>1325</v>
      </c>
      <c r="AU13" s="92" t="s">
        <v>1325</v>
      </c>
      <c r="AV13" s="92" t="s">
        <v>1325</v>
      </c>
      <c r="AW13" s="8" t="s">
        <v>1317</v>
      </c>
      <c r="AX13" s="8" t="s">
        <v>1317</v>
      </c>
      <c r="AY13" s="8"/>
      <c r="AZ13" s="8"/>
      <c r="BA13" s="12">
        <v>46027</v>
      </c>
      <c r="BB13" s="8" t="s">
        <v>1317</v>
      </c>
      <c r="BC13" s="4"/>
      <c r="BD13" s="4" t="s">
        <v>1293</v>
      </c>
      <c r="BE13" s="8" t="s">
        <v>1317</v>
      </c>
      <c r="BF13" s="8" t="s">
        <v>1317</v>
      </c>
      <c r="BG13" s="8" t="s">
        <v>1317</v>
      </c>
      <c r="BH13" s="8" t="s">
        <v>1317</v>
      </c>
      <c r="BI13" s="8"/>
      <c r="BJ13" s="8" t="s">
        <v>1317</v>
      </c>
      <c r="BK13" s="8" t="s">
        <v>1335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 ht="20.25" customHeight="1">
      <c r="A14" s="8" t="s">
        <v>1215</v>
      </c>
      <c r="B14" s="8" t="s">
        <v>1317</v>
      </c>
      <c r="C14" s="15" t="s">
        <v>1317</v>
      </c>
      <c r="D14" s="15" t="str">
        <f t="shared" si="0"/>
        <v>No</v>
      </c>
      <c r="E14" s="15" t="str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  <v>No</v>
      </c>
      <c r="F14" t="str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  <v>No</v>
      </c>
      <c r="G14" s="4" t="s">
        <v>1318</v>
      </c>
      <c r="H14" s="4" t="s">
        <v>1318</v>
      </c>
      <c r="I14" s="4"/>
      <c r="J14" s="4" t="s">
        <v>1319</v>
      </c>
      <c r="K14" s="4" t="s">
        <v>1319</v>
      </c>
      <c r="L14" s="4" t="s">
        <v>1319</v>
      </c>
      <c r="M14" s="4"/>
      <c r="N14" s="4"/>
      <c r="O14" s="4"/>
      <c r="P14" s="4"/>
      <c r="Q14" s="4"/>
      <c r="R14" s="4"/>
      <c r="S14" s="4" t="s">
        <v>1403</v>
      </c>
      <c r="T14" s="4" t="s">
        <v>1404</v>
      </c>
      <c r="U14" s="4" t="s">
        <v>1405</v>
      </c>
      <c r="V14" s="4" t="s">
        <v>1317</v>
      </c>
      <c r="W14" s="4" t="s">
        <v>1406</v>
      </c>
      <c r="X14" s="4" t="s">
        <v>1324</v>
      </c>
      <c r="Y14" s="4" t="s">
        <v>1325</v>
      </c>
      <c r="Z14" s="4"/>
      <c r="AA14" s="4" t="s">
        <v>1326</v>
      </c>
      <c r="AB14" s="4"/>
      <c r="AC14" s="4" t="s">
        <v>1407</v>
      </c>
      <c r="AD14" s="4" t="s">
        <v>1325</v>
      </c>
      <c r="AE14" s="8"/>
      <c r="AF14" s="4" t="s">
        <v>1328</v>
      </c>
      <c r="AG14" s="4" t="s">
        <v>1329</v>
      </c>
      <c r="AH14" s="14">
        <v>13</v>
      </c>
      <c r="AI14" s="4" t="s">
        <v>1408</v>
      </c>
      <c r="AJ14" s="4" t="s">
        <v>1331</v>
      </c>
      <c r="AK14" s="4" t="s">
        <v>1332</v>
      </c>
      <c r="AL14" s="4" t="s">
        <v>1407</v>
      </c>
      <c r="AM14" s="4" t="s">
        <v>1219</v>
      </c>
      <c r="AN14" s="4"/>
      <c r="AO14" s="4"/>
      <c r="AP14" s="4"/>
      <c r="AQ14" s="4"/>
      <c r="AR14" s="92" t="s">
        <v>1325</v>
      </c>
      <c r="AS14" s="92" t="s">
        <v>1333</v>
      </c>
      <c r="AT14" s="92" t="s">
        <v>1325</v>
      </c>
      <c r="AU14" s="92" t="s">
        <v>1325</v>
      </c>
      <c r="AV14" s="92" t="s">
        <v>1325</v>
      </c>
      <c r="AW14" s="8" t="s">
        <v>1317</v>
      </c>
      <c r="AX14" s="8" t="s">
        <v>1317</v>
      </c>
      <c r="AY14" s="8"/>
      <c r="AZ14" s="8"/>
      <c r="BA14" s="12">
        <v>46027</v>
      </c>
      <c r="BB14" s="8" t="s">
        <v>1317</v>
      </c>
      <c r="BC14" s="4"/>
      <c r="BD14" s="4" t="s">
        <v>1293</v>
      </c>
      <c r="BE14" s="8" t="s">
        <v>1317</v>
      </c>
      <c r="BF14" s="8" t="s">
        <v>1317</v>
      </c>
      <c r="BG14" s="8" t="s">
        <v>1317</v>
      </c>
      <c r="BH14" s="8" t="s">
        <v>1317</v>
      </c>
      <c r="BI14" s="8"/>
      <c r="BJ14" s="8" t="s">
        <v>1317</v>
      </c>
      <c r="BK14" s="8" t="s">
        <v>1335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 ht="20.25" customHeight="1">
      <c r="A15" s="8" t="s">
        <v>1215</v>
      </c>
      <c r="B15" s="8" t="s">
        <v>1317</v>
      </c>
      <c r="C15" s="15" t="s">
        <v>1317</v>
      </c>
      <c r="D15" s="15" t="str">
        <f t="shared" si="0"/>
        <v>No</v>
      </c>
      <c r="E15" s="15" t="str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  <v>No</v>
      </c>
      <c r="F15" t="str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  <v>No</v>
      </c>
      <c r="G15" s="4" t="s">
        <v>1318</v>
      </c>
      <c r="H15" s="4" t="s">
        <v>1318</v>
      </c>
      <c r="I15" s="4"/>
      <c r="J15" s="4" t="s">
        <v>1319</v>
      </c>
      <c r="K15" s="4" t="s">
        <v>1319</v>
      </c>
      <c r="L15" s="4" t="s">
        <v>1319</v>
      </c>
      <c r="M15" s="4"/>
      <c r="N15" s="4"/>
      <c r="O15" s="4"/>
      <c r="P15" s="4"/>
      <c r="Q15" s="4"/>
      <c r="R15" s="4"/>
      <c r="S15" s="4" t="s">
        <v>1409</v>
      </c>
      <c r="T15" s="4" t="s">
        <v>1410</v>
      </c>
      <c r="U15" s="4" t="s">
        <v>1411</v>
      </c>
      <c r="V15" s="4" t="s">
        <v>1317</v>
      </c>
      <c r="W15" s="4" t="s">
        <v>1412</v>
      </c>
      <c r="X15" s="4" t="s">
        <v>1324</v>
      </c>
      <c r="Y15" s="4" t="s">
        <v>1325</v>
      </c>
      <c r="Z15" s="4"/>
      <c r="AA15" s="4" t="s">
        <v>1326</v>
      </c>
      <c r="AB15" s="4"/>
      <c r="AC15" s="4" t="s">
        <v>1413</v>
      </c>
      <c r="AD15" s="4" t="s">
        <v>1325</v>
      </c>
      <c r="AE15" s="8"/>
      <c r="AF15" s="4" t="s">
        <v>1328</v>
      </c>
      <c r="AG15" s="4" t="s">
        <v>1329</v>
      </c>
      <c r="AH15" s="14">
        <v>14</v>
      </c>
      <c r="AI15" s="4" t="s">
        <v>1414</v>
      </c>
      <c r="AJ15" s="4" t="s">
        <v>1331</v>
      </c>
      <c r="AK15" s="2" t="s">
        <v>1332</v>
      </c>
      <c r="AL15" t="s">
        <v>1413</v>
      </c>
      <c r="AM15" t="s">
        <v>1219</v>
      </c>
      <c r="AR15" s="93" t="s">
        <v>1325</v>
      </c>
      <c r="AS15" s="93" t="s">
        <v>1333</v>
      </c>
      <c r="AT15" s="93" t="s">
        <v>1325</v>
      </c>
      <c r="AU15" s="93" t="s">
        <v>1325</v>
      </c>
      <c r="AV15" s="93" t="s">
        <v>1325</v>
      </c>
      <c r="AW15" s="8" t="s">
        <v>1317</v>
      </c>
      <c r="AX15" s="8" t="s">
        <v>1317</v>
      </c>
      <c r="AY15" s="8"/>
      <c r="AZ15" s="8"/>
      <c r="BA15" s="12">
        <v>46027</v>
      </c>
      <c r="BB15" s="8" t="s">
        <v>1317</v>
      </c>
      <c r="BC15" s="4"/>
      <c r="BD15" s="4" t="s">
        <v>1293</v>
      </c>
      <c r="BE15" s="8" t="s">
        <v>1317</v>
      </c>
      <c r="BF15" s="8" t="s">
        <v>1317</v>
      </c>
      <c r="BG15" s="8" t="s">
        <v>1317</v>
      </c>
      <c r="BH15" s="8" t="s">
        <v>1317</v>
      </c>
      <c r="BI15" s="8"/>
      <c r="BJ15" s="8" t="s">
        <v>1317</v>
      </c>
      <c r="BK15" s="8" t="s">
        <v>1335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 ht="20.25" customHeight="1">
      <c r="A16" s="8" t="s">
        <v>1215</v>
      </c>
      <c r="B16" s="8" t="s">
        <v>1317</v>
      </c>
      <c r="C16" s="15" t="s">
        <v>1317</v>
      </c>
      <c r="D16" s="15" t="str">
        <f t="shared" si="0"/>
        <v>No</v>
      </c>
      <c r="E16" s="15" t="str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  <v>No</v>
      </c>
      <c r="F16" t="str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  <v>No</v>
      </c>
      <c r="G16" s="4" t="s">
        <v>1318</v>
      </c>
      <c r="H16" s="4" t="s">
        <v>1318</v>
      </c>
      <c r="I16" s="4"/>
      <c r="J16" s="4" t="s">
        <v>1319</v>
      </c>
      <c r="K16" s="4" t="s">
        <v>1319</v>
      </c>
      <c r="L16" s="4" t="s">
        <v>1319</v>
      </c>
      <c r="M16" s="4"/>
      <c r="N16" s="4"/>
      <c r="O16" s="4"/>
      <c r="P16" s="4"/>
      <c r="Q16" s="4"/>
      <c r="R16" s="4"/>
      <c r="S16" s="4" t="s">
        <v>1415</v>
      </c>
      <c r="T16" s="4" t="s">
        <v>1416</v>
      </c>
      <c r="U16" s="4" t="s">
        <v>1417</v>
      </c>
      <c r="V16" s="4" t="s">
        <v>1317</v>
      </c>
      <c r="W16" s="4" t="s">
        <v>1418</v>
      </c>
      <c r="X16" s="4" t="s">
        <v>1324</v>
      </c>
      <c r="Y16" s="4" t="s">
        <v>1325</v>
      </c>
      <c r="Z16" s="4"/>
      <c r="AA16" s="4" t="s">
        <v>1326</v>
      </c>
      <c r="AB16" s="4"/>
      <c r="AC16" s="4" t="s">
        <v>1419</v>
      </c>
      <c r="AD16" s="4" t="s">
        <v>1325</v>
      </c>
      <c r="AE16" s="8"/>
      <c r="AF16" s="4" t="s">
        <v>1328</v>
      </c>
      <c r="AG16" s="4" t="s">
        <v>1329</v>
      </c>
      <c r="AH16" s="14">
        <v>15</v>
      </c>
      <c r="AI16" s="4" t="s">
        <v>1420</v>
      </c>
      <c r="AJ16" s="4" t="s">
        <v>1331</v>
      </c>
      <c r="AK16" s="4" t="s">
        <v>1332</v>
      </c>
      <c r="AL16" s="4" t="s">
        <v>1419</v>
      </c>
      <c r="AM16" s="4" t="s">
        <v>1219</v>
      </c>
      <c r="AN16" s="4"/>
      <c r="AO16" s="4"/>
      <c r="AP16" s="4"/>
      <c r="AQ16" s="4"/>
      <c r="AR16" s="92" t="s">
        <v>1325</v>
      </c>
      <c r="AS16" s="92" t="s">
        <v>1333</v>
      </c>
      <c r="AT16" s="92" t="s">
        <v>1325</v>
      </c>
      <c r="AU16" s="92" t="s">
        <v>1325</v>
      </c>
      <c r="AV16" s="92" t="s">
        <v>1325</v>
      </c>
      <c r="AW16" s="8" t="s">
        <v>1317</v>
      </c>
      <c r="AX16" s="8" t="s">
        <v>1317</v>
      </c>
      <c r="AY16" s="8"/>
      <c r="AZ16" s="8"/>
      <c r="BA16" s="12">
        <v>46027</v>
      </c>
      <c r="BB16" s="8" t="s">
        <v>1317</v>
      </c>
      <c r="BC16" s="4"/>
      <c r="BD16" s="4" t="s">
        <v>1293</v>
      </c>
      <c r="BE16" s="8" t="s">
        <v>1317</v>
      </c>
      <c r="BF16" s="8" t="s">
        <v>1317</v>
      </c>
      <c r="BG16" s="8" t="s">
        <v>1317</v>
      </c>
      <c r="BH16" s="8" t="s">
        <v>1317</v>
      </c>
      <c r="BI16" s="8"/>
      <c r="BJ16" s="8" t="s">
        <v>1317</v>
      </c>
      <c r="BK16" s="8" t="s">
        <v>1335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 ht="20.25" customHeight="1">
      <c r="A17" s="8" t="s">
        <v>1215</v>
      </c>
      <c r="B17" s="8" t="s">
        <v>1317</v>
      </c>
      <c r="C17" s="15" t="s">
        <v>1317</v>
      </c>
      <c r="D17" s="15" t="str">
        <f t="shared" si="0"/>
        <v>No</v>
      </c>
      <c r="E17" s="15" t="str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  <v>No</v>
      </c>
      <c r="F17" t="str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  <v>No</v>
      </c>
      <c r="G17" s="4" t="s">
        <v>1318</v>
      </c>
      <c r="H17" s="4" t="s">
        <v>1318</v>
      </c>
      <c r="I17" s="4"/>
      <c r="J17" s="4" t="s">
        <v>1319</v>
      </c>
      <c r="K17" s="4" t="s">
        <v>1319</v>
      </c>
      <c r="L17" s="4" t="s">
        <v>1319</v>
      </c>
      <c r="M17" s="4"/>
      <c r="N17" s="4"/>
      <c r="O17" s="4"/>
      <c r="P17" s="4"/>
      <c r="Q17" s="4"/>
      <c r="R17" s="4"/>
      <c r="S17" s="4" t="s">
        <v>1421</v>
      </c>
      <c r="T17" s="4" t="s">
        <v>1422</v>
      </c>
      <c r="U17" s="4" t="s">
        <v>1423</v>
      </c>
      <c r="V17" s="4" t="s">
        <v>1317</v>
      </c>
      <c r="W17" s="4" t="s">
        <v>1424</v>
      </c>
      <c r="X17" s="4" t="s">
        <v>1324</v>
      </c>
      <c r="Y17" s="4" t="s">
        <v>1325</v>
      </c>
      <c r="Z17" s="4"/>
      <c r="AA17" s="4" t="s">
        <v>1326</v>
      </c>
      <c r="AB17" s="4"/>
      <c r="AC17" s="4" t="s">
        <v>1425</v>
      </c>
      <c r="AD17" s="4" t="s">
        <v>1325</v>
      </c>
      <c r="AE17" s="8"/>
      <c r="AF17" s="4" t="s">
        <v>1328</v>
      </c>
      <c r="AG17" s="4" t="s">
        <v>1329</v>
      </c>
      <c r="AH17" s="14">
        <v>16</v>
      </c>
      <c r="AI17" s="4" t="s">
        <v>1426</v>
      </c>
      <c r="AJ17" s="4" t="s">
        <v>1331</v>
      </c>
      <c r="AK17" s="4" t="s">
        <v>1332</v>
      </c>
      <c r="AL17" s="4" t="s">
        <v>1425</v>
      </c>
      <c r="AM17" s="4" t="s">
        <v>1219</v>
      </c>
      <c r="AN17" s="4"/>
      <c r="AO17" s="4"/>
      <c r="AP17" s="4"/>
      <c r="AQ17" s="4"/>
      <c r="AR17" s="92" t="s">
        <v>1325</v>
      </c>
      <c r="AS17" s="92" t="s">
        <v>1333</v>
      </c>
      <c r="AT17" s="92" t="s">
        <v>1325</v>
      </c>
      <c r="AU17" s="92" t="s">
        <v>1325</v>
      </c>
      <c r="AV17" s="92" t="s">
        <v>1325</v>
      </c>
      <c r="AW17" s="8" t="s">
        <v>1317</v>
      </c>
      <c r="AX17" s="8" t="s">
        <v>1317</v>
      </c>
      <c r="AY17" s="8"/>
      <c r="AZ17" s="8"/>
      <c r="BA17" s="12">
        <v>46027</v>
      </c>
      <c r="BB17" s="8" t="s">
        <v>1317</v>
      </c>
      <c r="BC17" s="4"/>
      <c r="BD17" s="4" t="s">
        <v>1293</v>
      </c>
      <c r="BE17" s="8" t="s">
        <v>1317</v>
      </c>
      <c r="BF17" s="8" t="s">
        <v>1317</v>
      </c>
      <c r="BG17" s="8" t="s">
        <v>1317</v>
      </c>
      <c r="BH17" s="8" t="s">
        <v>1317</v>
      </c>
      <c r="BI17" s="8"/>
      <c r="BJ17" s="8" t="s">
        <v>1317</v>
      </c>
      <c r="BK17" s="8" t="s">
        <v>1335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 ht="20.25" customHeight="1">
      <c r="A18" s="8" t="s">
        <v>1215</v>
      </c>
      <c r="B18" s="8" t="s">
        <v>1317</v>
      </c>
      <c r="C18" s="15" t="s">
        <v>1317</v>
      </c>
      <c r="D18" s="15" t="str">
        <f t="shared" si="0"/>
        <v>No</v>
      </c>
      <c r="E18" s="15" t="str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  <v>No</v>
      </c>
      <c r="F18" t="str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  <v>No</v>
      </c>
      <c r="G18" s="4" t="s">
        <v>1318</v>
      </c>
      <c r="H18" s="4" t="s">
        <v>1318</v>
      </c>
      <c r="I18" s="4"/>
      <c r="J18" s="4" t="s">
        <v>1319</v>
      </c>
      <c r="K18" s="4" t="s">
        <v>1319</v>
      </c>
      <c r="L18" s="4" t="s">
        <v>1319</v>
      </c>
      <c r="M18" s="4"/>
      <c r="N18" s="4"/>
      <c r="O18" s="4"/>
      <c r="P18" s="4"/>
      <c r="Q18" s="4"/>
      <c r="R18" s="4"/>
      <c r="S18" s="4" t="s">
        <v>1427</v>
      </c>
      <c r="T18" s="4" t="s">
        <v>1428</v>
      </c>
      <c r="U18" s="4" t="s">
        <v>1429</v>
      </c>
      <c r="V18" s="4" t="s">
        <v>1317</v>
      </c>
      <c r="W18" s="4" t="s">
        <v>1430</v>
      </c>
      <c r="X18" s="4" t="s">
        <v>1324</v>
      </c>
      <c r="Y18" s="4" t="s">
        <v>1325</v>
      </c>
      <c r="Z18" s="4"/>
      <c r="AA18" s="4" t="s">
        <v>1326</v>
      </c>
      <c r="AB18" s="4"/>
      <c r="AC18" s="4" t="s">
        <v>1431</v>
      </c>
      <c r="AD18" s="4" t="s">
        <v>1325</v>
      </c>
      <c r="AE18" s="8"/>
      <c r="AF18" s="4" t="s">
        <v>1328</v>
      </c>
      <c r="AG18" s="4" t="s">
        <v>1329</v>
      </c>
      <c r="AH18" s="14">
        <v>17</v>
      </c>
      <c r="AI18" s="4" t="s">
        <v>1432</v>
      </c>
      <c r="AJ18" s="4" t="s">
        <v>1331</v>
      </c>
      <c r="AK18" s="4" t="s">
        <v>1332</v>
      </c>
      <c r="AL18" s="4" t="s">
        <v>1431</v>
      </c>
      <c r="AM18" s="4" t="s">
        <v>1219</v>
      </c>
      <c r="AN18" s="4"/>
      <c r="AO18" s="4"/>
      <c r="AP18" s="4"/>
      <c r="AQ18" s="4"/>
      <c r="AR18" s="92" t="s">
        <v>1325</v>
      </c>
      <c r="AS18" s="92" t="s">
        <v>1333</v>
      </c>
      <c r="AT18" s="92" t="s">
        <v>1325</v>
      </c>
      <c r="AU18" s="92" t="s">
        <v>1325</v>
      </c>
      <c r="AV18" s="92" t="s">
        <v>1325</v>
      </c>
      <c r="AW18" s="8" t="s">
        <v>1317</v>
      </c>
      <c r="AX18" s="8" t="s">
        <v>1317</v>
      </c>
      <c r="AY18" s="8"/>
      <c r="AZ18" s="8"/>
      <c r="BA18" s="12">
        <v>46027</v>
      </c>
      <c r="BB18" s="8" t="s">
        <v>1317</v>
      </c>
      <c r="BC18" s="4"/>
      <c r="BD18" s="4" t="s">
        <v>1293</v>
      </c>
      <c r="BE18" s="8" t="s">
        <v>1317</v>
      </c>
      <c r="BF18" s="8" t="s">
        <v>1317</v>
      </c>
      <c r="BG18" s="8" t="s">
        <v>1317</v>
      </c>
      <c r="BH18" s="8" t="s">
        <v>1317</v>
      </c>
      <c r="BI18" s="8"/>
      <c r="BJ18" s="8" t="s">
        <v>1317</v>
      </c>
      <c r="BK18" s="8" t="s">
        <v>1335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 ht="20.25" customHeight="1">
      <c r="A19" s="8" t="s">
        <v>1215</v>
      </c>
      <c r="B19" s="8" t="s">
        <v>1317</v>
      </c>
      <c r="C19" s="15" t="s">
        <v>1317</v>
      </c>
      <c r="D19" s="15" t="str">
        <f t="shared" si="0"/>
        <v>No</v>
      </c>
      <c r="E19" s="15" t="str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  <v>No</v>
      </c>
      <c r="F19" t="str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  <v>No</v>
      </c>
      <c r="G19" s="4" t="s">
        <v>1318</v>
      </c>
      <c r="H19" s="4" t="s">
        <v>1318</v>
      </c>
      <c r="I19" s="4"/>
      <c r="J19" s="4" t="s">
        <v>1319</v>
      </c>
      <c r="K19" s="4" t="s">
        <v>1319</v>
      </c>
      <c r="L19" s="4" t="s">
        <v>1319</v>
      </c>
      <c r="M19" s="4"/>
      <c r="N19" s="4"/>
      <c r="O19" s="4"/>
      <c r="P19" s="4"/>
      <c r="Q19" s="4"/>
      <c r="R19" s="4"/>
      <c r="S19" s="4" t="s">
        <v>1433</v>
      </c>
      <c r="T19" s="4" t="s">
        <v>1434</v>
      </c>
      <c r="U19" s="4" t="s">
        <v>1435</v>
      </c>
      <c r="V19" s="4" t="s">
        <v>1317</v>
      </c>
      <c r="W19" s="4" t="s">
        <v>1436</v>
      </c>
      <c r="X19" s="4" t="s">
        <v>1324</v>
      </c>
      <c r="Y19" s="4" t="s">
        <v>1325</v>
      </c>
      <c r="Z19" s="4"/>
      <c r="AA19" s="4" t="s">
        <v>1326</v>
      </c>
      <c r="AB19" s="4"/>
      <c r="AC19" s="4" t="s">
        <v>1437</v>
      </c>
      <c r="AD19" s="4" t="s">
        <v>1325</v>
      </c>
      <c r="AE19" s="8"/>
      <c r="AF19" s="4" t="s">
        <v>1328</v>
      </c>
      <c r="AG19" s="4" t="s">
        <v>1329</v>
      </c>
      <c r="AH19" s="14">
        <v>18</v>
      </c>
      <c r="AI19" s="4" t="s">
        <v>1438</v>
      </c>
      <c r="AJ19" s="4" t="s">
        <v>1331</v>
      </c>
      <c r="AK19" s="4" t="s">
        <v>1332</v>
      </c>
      <c r="AL19" s="4" t="s">
        <v>1437</v>
      </c>
      <c r="AM19" s="4" t="s">
        <v>1219</v>
      </c>
      <c r="AN19" s="4"/>
      <c r="AO19" s="4"/>
      <c r="AP19" s="4"/>
      <c r="AQ19" s="4"/>
      <c r="AR19" s="92" t="s">
        <v>1325</v>
      </c>
      <c r="AS19" s="92" t="s">
        <v>1333</v>
      </c>
      <c r="AT19" s="92" t="s">
        <v>1325</v>
      </c>
      <c r="AU19" s="92" t="s">
        <v>1325</v>
      </c>
      <c r="AV19" s="92" t="s">
        <v>1325</v>
      </c>
      <c r="AW19" s="8" t="s">
        <v>1317</v>
      </c>
      <c r="AX19" s="8" t="s">
        <v>1317</v>
      </c>
      <c r="AY19" s="8"/>
      <c r="AZ19" s="8"/>
      <c r="BA19" s="12">
        <v>46027</v>
      </c>
      <c r="BB19" s="8" t="s">
        <v>1317</v>
      </c>
      <c r="BC19" s="4"/>
      <c r="BD19" s="4" t="s">
        <v>1293</v>
      </c>
      <c r="BE19" s="8" t="s">
        <v>1317</v>
      </c>
      <c r="BF19" s="8" t="s">
        <v>1317</v>
      </c>
      <c r="BG19" s="8" t="s">
        <v>1317</v>
      </c>
      <c r="BH19" s="8" t="s">
        <v>1317</v>
      </c>
      <c r="BI19" s="8"/>
      <c r="BJ19" s="8" t="s">
        <v>1317</v>
      </c>
      <c r="BK19" s="8" t="s">
        <v>1335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 ht="20.25" customHeight="1">
      <c r="A20" s="8" t="s">
        <v>1215</v>
      </c>
      <c r="B20" s="8" t="s">
        <v>1317</v>
      </c>
      <c r="C20" s="15" t="s">
        <v>1317</v>
      </c>
      <c r="D20" s="15" t="str">
        <f t="shared" si="0"/>
        <v>No</v>
      </c>
      <c r="E20" s="15" t="str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  <v>No</v>
      </c>
      <c r="F20" t="str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  <v>No</v>
      </c>
      <c r="G20" s="4" t="s">
        <v>1318</v>
      </c>
      <c r="H20" s="4" t="s">
        <v>1318</v>
      </c>
      <c r="I20" s="4"/>
      <c r="J20" s="4" t="s">
        <v>1319</v>
      </c>
      <c r="K20" s="4" t="s">
        <v>1319</v>
      </c>
      <c r="L20" s="4" t="s">
        <v>1319</v>
      </c>
      <c r="M20" s="4"/>
      <c r="N20" s="4"/>
      <c r="O20" s="4"/>
      <c r="P20" s="4"/>
      <c r="Q20" s="4"/>
      <c r="R20" s="4"/>
      <c r="S20" s="4" t="s">
        <v>1439</v>
      </c>
      <c r="T20" s="4" t="s">
        <v>1440</v>
      </c>
      <c r="U20" s="4" t="s">
        <v>1441</v>
      </c>
      <c r="V20" s="4" t="s">
        <v>1317</v>
      </c>
      <c r="W20" s="4" t="s">
        <v>1442</v>
      </c>
      <c r="X20" s="4" t="s">
        <v>1324</v>
      </c>
      <c r="Y20" s="4" t="s">
        <v>1325</v>
      </c>
      <c r="Z20" s="4"/>
      <c r="AA20" s="4" t="s">
        <v>1326</v>
      </c>
      <c r="AB20" s="4"/>
      <c r="AC20" s="4" t="s">
        <v>1443</v>
      </c>
      <c r="AD20" s="4" t="s">
        <v>1325</v>
      </c>
      <c r="AE20" s="8"/>
      <c r="AF20" s="4" t="s">
        <v>1328</v>
      </c>
      <c r="AG20" s="4" t="s">
        <v>1329</v>
      </c>
      <c r="AH20" s="14">
        <v>19</v>
      </c>
      <c r="AI20" s="4" t="s">
        <v>1444</v>
      </c>
      <c r="AJ20" s="4" t="s">
        <v>1331</v>
      </c>
      <c r="AK20" s="4" t="s">
        <v>1332</v>
      </c>
      <c r="AL20" s="4" t="s">
        <v>1443</v>
      </c>
      <c r="AM20" s="4" t="s">
        <v>1219</v>
      </c>
      <c r="AN20" s="4"/>
      <c r="AO20" s="4"/>
      <c r="AP20" s="4"/>
      <c r="AQ20" s="4"/>
      <c r="AR20" s="92" t="s">
        <v>1325</v>
      </c>
      <c r="AS20" s="92" t="s">
        <v>1333</v>
      </c>
      <c r="AT20" s="92" t="s">
        <v>1325</v>
      </c>
      <c r="AU20" s="92" t="s">
        <v>1325</v>
      </c>
      <c r="AV20" s="92" t="s">
        <v>1325</v>
      </c>
      <c r="AW20" s="8" t="s">
        <v>1317</v>
      </c>
      <c r="AX20" s="8" t="s">
        <v>1317</v>
      </c>
      <c r="AY20" s="8"/>
      <c r="AZ20" s="8"/>
      <c r="BA20" s="12">
        <v>46027</v>
      </c>
      <c r="BB20" s="8" t="s">
        <v>1317</v>
      </c>
      <c r="BC20" s="4"/>
      <c r="BD20" s="4" t="s">
        <v>1293</v>
      </c>
      <c r="BE20" s="8" t="s">
        <v>1317</v>
      </c>
      <c r="BF20" s="8" t="s">
        <v>1317</v>
      </c>
      <c r="BG20" s="8" t="s">
        <v>1317</v>
      </c>
      <c r="BH20" s="8" t="s">
        <v>1317</v>
      </c>
      <c r="BI20" s="8"/>
      <c r="BJ20" s="8" t="s">
        <v>1317</v>
      </c>
      <c r="BK20" s="8" t="s">
        <v>1335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 ht="20.25" customHeight="1">
      <c r="A21" s="8" t="s">
        <v>1215</v>
      </c>
      <c r="B21" s="8" t="s">
        <v>1317</v>
      </c>
      <c r="C21" s="15" t="s">
        <v>1317</v>
      </c>
      <c r="D21" s="15" t="str">
        <f t="shared" si="0"/>
        <v>No</v>
      </c>
      <c r="E21" s="15" t="str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  <v>No</v>
      </c>
      <c r="F21" t="str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  <v>No</v>
      </c>
      <c r="G21" s="4" t="s">
        <v>1318</v>
      </c>
      <c r="H21" s="4" t="s">
        <v>1318</v>
      </c>
      <c r="I21" s="4"/>
      <c r="J21" s="4" t="s">
        <v>1319</v>
      </c>
      <c r="K21" s="4" t="s">
        <v>1319</v>
      </c>
      <c r="L21" s="4" t="s">
        <v>1319</v>
      </c>
      <c r="M21" s="4"/>
      <c r="N21" s="4"/>
      <c r="O21" s="4"/>
      <c r="P21" s="4"/>
      <c r="Q21" s="4"/>
      <c r="R21" s="4"/>
      <c r="S21" s="4" t="s">
        <v>1445</v>
      </c>
      <c r="T21" s="4" t="s">
        <v>1446</v>
      </c>
      <c r="U21" s="4" t="s">
        <v>1447</v>
      </c>
      <c r="V21" s="4" t="s">
        <v>1317</v>
      </c>
      <c r="W21" s="4" t="s">
        <v>1448</v>
      </c>
      <c r="X21" s="4" t="s">
        <v>1324</v>
      </c>
      <c r="Y21" s="4" t="s">
        <v>1325</v>
      </c>
      <c r="Z21" s="4"/>
      <c r="AA21" s="4" t="s">
        <v>1326</v>
      </c>
      <c r="AB21" s="4"/>
      <c r="AC21" s="4" t="s">
        <v>1449</v>
      </c>
      <c r="AD21" s="4" t="s">
        <v>1325</v>
      </c>
      <c r="AE21" s="8"/>
      <c r="AF21" s="4" t="s">
        <v>1328</v>
      </c>
      <c r="AG21" s="4" t="s">
        <v>1329</v>
      </c>
      <c r="AH21" s="14">
        <v>20</v>
      </c>
      <c r="AI21" s="4" t="s">
        <v>1450</v>
      </c>
      <c r="AJ21" s="4" t="s">
        <v>1331</v>
      </c>
      <c r="AK21" s="4" t="s">
        <v>1332</v>
      </c>
      <c r="AL21" s="4" t="s">
        <v>1449</v>
      </c>
      <c r="AM21" s="4" t="s">
        <v>1219</v>
      </c>
      <c r="AN21" s="4"/>
      <c r="AO21" s="4"/>
      <c r="AP21" s="4"/>
      <c r="AQ21" s="4"/>
      <c r="AR21" s="92" t="s">
        <v>1325</v>
      </c>
      <c r="AS21" s="92" t="s">
        <v>1333</v>
      </c>
      <c r="AT21" s="92" t="s">
        <v>1325</v>
      </c>
      <c r="AU21" s="92" t="s">
        <v>1325</v>
      </c>
      <c r="AV21" s="92" t="s">
        <v>1325</v>
      </c>
      <c r="AW21" s="8" t="s">
        <v>1317</v>
      </c>
      <c r="AX21" s="8" t="s">
        <v>1317</v>
      </c>
      <c r="AY21" s="8"/>
      <c r="AZ21" s="8"/>
      <c r="BA21" s="12">
        <v>46027</v>
      </c>
      <c r="BB21" s="8" t="s">
        <v>1317</v>
      </c>
      <c r="BC21" s="4"/>
      <c r="BD21" s="4" t="s">
        <v>1293</v>
      </c>
      <c r="BE21" s="8" t="s">
        <v>1317</v>
      </c>
      <c r="BF21" s="8" t="s">
        <v>1317</v>
      </c>
      <c r="BG21" s="8" t="s">
        <v>1317</v>
      </c>
      <c r="BH21" s="8" t="s">
        <v>1317</v>
      </c>
      <c r="BI21" s="8"/>
      <c r="BJ21" s="8" t="s">
        <v>1317</v>
      </c>
      <c r="BK21" s="8" t="s">
        <v>1335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 ht="20.25" customHeight="1">
      <c r="A22" s="8" t="s">
        <v>1215</v>
      </c>
      <c r="B22" s="8" t="s">
        <v>1317</v>
      </c>
      <c r="C22" s="15" t="s">
        <v>1317</v>
      </c>
      <c r="D22" s="15" t="str">
        <f t="shared" si="0"/>
        <v>No</v>
      </c>
      <c r="E22" s="15" t="str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  <v>No</v>
      </c>
      <c r="F22" t="str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  <v>No</v>
      </c>
      <c r="G22" s="4" t="s">
        <v>1318</v>
      </c>
      <c r="H22" s="4" t="s">
        <v>1318</v>
      </c>
      <c r="I22" s="4"/>
      <c r="J22" s="4" t="s">
        <v>1319</v>
      </c>
      <c r="K22" s="4" t="s">
        <v>1319</v>
      </c>
      <c r="L22" s="4" t="s">
        <v>1319</v>
      </c>
      <c r="M22" s="4"/>
      <c r="N22" s="4"/>
      <c r="O22" s="4"/>
      <c r="P22" s="4"/>
      <c r="Q22" s="4"/>
      <c r="R22" s="4"/>
      <c r="S22" s="4" t="s">
        <v>1451</v>
      </c>
      <c r="T22" s="4" t="s">
        <v>1452</v>
      </c>
      <c r="U22" s="4" t="s">
        <v>1453</v>
      </c>
      <c r="V22" s="4" t="s">
        <v>1317</v>
      </c>
      <c r="W22" s="4" t="s">
        <v>1454</v>
      </c>
      <c r="X22" s="4" t="s">
        <v>1324</v>
      </c>
      <c r="Y22" s="4" t="s">
        <v>1325</v>
      </c>
      <c r="Z22" s="4"/>
      <c r="AA22" s="4" t="s">
        <v>1326</v>
      </c>
      <c r="AB22" s="4"/>
      <c r="AC22" s="4" t="s">
        <v>1455</v>
      </c>
      <c r="AD22" s="4" t="s">
        <v>1325</v>
      </c>
      <c r="AE22" s="8"/>
      <c r="AF22" s="4" t="s">
        <v>1328</v>
      </c>
      <c r="AG22" s="4" t="s">
        <v>1329</v>
      </c>
      <c r="AH22" s="14">
        <v>21</v>
      </c>
      <c r="AI22" s="4" t="s">
        <v>1456</v>
      </c>
      <c r="AJ22" s="4" t="s">
        <v>1331</v>
      </c>
      <c r="AK22" s="4" t="s">
        <v>1332</v>
      </c>
      <c r="AL22" s="4" t="s">
        <v>1455</v>
      </c>
      <c r="AM22" s="4" t="s">
        <v>1219</v>
      </c>
      <c r="AN22" s="4"/>
      <c r="AO22" s="4"/>
      <c r="AP22" s="4"/>
      <c r="AQ22" s="4"/>
      <c r="AR22" s="92" t="s">
        <v>1325</v>
      </c>
      <c r="AS22" s="92" t="s">
        <v>1333</v>
      </c>
      <c r="AT22" s="92" t="s">
        <v>1325</v>
      </c>
      <c r="AU22" s="92" t="s">
        <v>1325</v>
      </c>
      <c r="AV22" s="92" t="s">
        <v>1325</v>
      </c>
      <c r="AW22" s="8" t="s">
        <v>1317</v>
      </c>
      <c r="AX22" s="8" t="s">
        <v>1317</v>
      </c>
      <c r="AY22" s="8"/>
      <c r="AZ22" s="8"/>
      <c r="BA22" s="12">
        <v>46027</v>
      </c>
      <c r="BB22" s="8" t="s">
        <v>1317</v>
      </c>
      <c r="BC22" s="4"/>
      <c r="BD22" s="4" t="s">
        <v>1293</v>
      </c>
      <c r="BE22" s="8" t="s">
        <v>1317</v>
      </c>
      <c r="BF22" s="8" t="s">
        <v>1317</v>
      </c>
      <c r="BG22" s="8" t="s">
        <v>1317</v>
      </c>
      <c r="BH22" s="8" t="s">
        <v>1317</v>
      </c>
      <c r="BI22" s="8"/>
      <c r="BJ22" s="8" t="s">
        <v>1317</v>
      </c>
      <c r="BK22" s="8" t="s">
        <v>1335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 ht="20.25" customHeight="1">
      <c r="A23" s="8" t="s">
        <v>1215</v>
      </c>
      <c r="B23" s="8" t="s">
        <v>1317</v>
      </c>
      <c r="C23" s="15" t="s">
        <v>1317</v>
      </c>
      <c r="D23" s="15" t="str">
        <f t="shared" si="0"/>
        <v>No</v>
      </c>
      <c r="E23" s="15" t="str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  <v>No</v>
      </c>
      <c r="F23" t="str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  <v>No</v>
      </c>
      <c r="G23" s="4" t="s">
        <v>1318</v>
      </c>
      <c r="H23" s="4" t="s">
        <v>1318</v>
      </c>
      <c r="I23" s="4"/>
      <c r="J23" s="4" t="s">
        <v>1319</v>
      </c>
      <c r="K23" s="4" t="s">
        <v>1319</v>
      </c>
      <c r="L23" s="4" t="s">
        <v>1319</v>
      </c>
      <c r="M23" s="4"/>
      <c r="N23" s="4"/>
      <c r="O23" s="4"/>
      <c r="P23" s="4"/>
      <c r="Q23" s="4"/>
      <c r="R23" s="4"/>
      <c r="S23" s="4" t="s">
        <v>1457</v>
      </c>
      <c r="T23" s="4" t="s">
        <v>1458</v>
      </c>
      <c r="U23" s="4" t="s">
        <v>1459</v>
      </c>
      <c r="V23" s="4" t="s">
        <v>1317</v>
      </c>
      <c r="W23" s="4" t="s">
        <v>1460</v>
      </c>
      <c r="X23" s="4" t="s">
        <v>1324</v>
      </c>
      <c r="Y23" s="4" t="s">
        <v>1325</v>
      </c>
      <c r="Z23" s="4"/>
      <c r="AA23" s="4" t="s">
        <v>1326</v>
      </c>
      <c r="AB23" s="4"/>
      <c r="AC23" s="4" t="s">
        <v>1461</v>
      </c>
      <c r="AD23" s="4" t="s">
        <v>1325</v>
      </c>
      <c r="AE23" s="8"/>
      <c r="AF23" s="4" t="s">
        <v>1328</v>
      </c>
      <c r="AG23" s="4" t="s">
        <v>1329</v>
      </c>
      <c r="AH23" s="14">
        <v>22</v>
      </c>
      <c r="AI23" s="4" t="s">
        <v>1462</v>
      </c>
      <c r="AJ23" s="4" t="s">
        <v>1331</v>
      </c>
      <c r="AK23" s="4" t="s">
        <v>1332</v>
      </c>
      <c r="AL23" s="4" t="s">
        <v>1461</v>
      </c>
      <c r="AM23" s="4" t="s">
        <v>1219</v>
      </c>
      <c r="AN23" s="4"/>
      <c r="AO23" s="4"/>
      <c r="AP23" s="4"/>
      <c r="AQ23" s="4"/>
      <c r="AR23" s="92" t="s">
        <v>1325</v>
      </c>
      <c r="AS23" s="92" t="s">
        <v>1333</v>
      </c>
      <c r="AT23" s="92" t="s">
        <v>1325</v>
      </c>
      <c r="AU23" s="92" t="s">
        <v>1325</v>
      </c>
      <c r="AV23" s="92" t="s">
        <v>1325</v>
      </c>
      <c r="AW23" s="8" t="s">
        <v>1317</v>
      </c>
      <c r="AX23" s="8" t="s">
        <v>1317</v>
      </c>
      <c r="AY23" s="8"/>
      <c r="AZ23" s="8"/>
      <c r="BA23" s="12">
        <v>46027</v>
      </c>
      <c r="BB23" s="8" t="s">
        <v>1317</v>
      </c>
      <c r="BC23" s="4"/>
      <c r="BD23" s="4" t="s">
        <v>1293</v>
      </c>
      <c r="BE23" s="8" t="s">
        <v>1317</v>
      </c>
      <c r="BF23" s="8" t="s">
        <v>1317</v>
      </c>
      <c r="BG23" s="8" t="s">
        <v>1317</v>
      </c>
      <c r="BH23" s="8" t="s">
        <v>1317</v>
      </c>
      <c r="BI23" s="8"/>
      <c r="BJ23" s="8" t="s">
        <v>1317</v>
      </c>
      <c r="BK23" s="8" t="s">
        <v>1335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 ht="20.25" customHeight="1">
      <c r="A24" s="8" t="s">
        <v>1215</v>
      </c>
      <c r="B24" s="8" t="s">
        <v>1317</v>
      </c>
      <c r="C24" s="15" t="s">
        <v>1317</v>
      </c>
      <c r="D24" s="15" t="str">
        <f t="shared" si="0"/>
        <v>No</v>
      </c>
      <c r="E24" s="15" t="str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  <v>No</v>
      </c>
      <c r="F24" t="str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  <v>No</v>
      </c>
      <c r="G24" s="4" t="s">
        <v>1318</v>
      </c>
      <c r="H24" s="4" t="s">
        <v>1318</v>
      </c>
      <c r="I24" s="4"/>
      <c r="J24" s="4" t="s">
        <v>1319</v>
      </c>
      <c r="K24" s="4" t="s">
        <v>1319</v>
      </c>
      <c r="L24" s="4" t="s">
        <v>1319</v>
      </c>
      <c r="M24" s="4"/>
      <c r="N24" s="4"/>
      <c r="O24" s="4"/>
      <c r="P24" s="4"/>
      <c r="Q24" s="4"/>
      <c r="R24" s="4"/>
      <c r="S24" s="4" t="s">
        <v>1463</v>
      </c>
      <c r="T24" s="4" t="s">
        <v>1464</v>
      </c>
      <c r="U24" s="4" t="s">
        <v>1465</v>
      </c>
      <c r="V24" s="4" t="s">
        <v>1317</v>
      </c>
      <c r="W24" s="4" t="s">
        <v>1466</v>
      </c>
      <c r="X24" s="4" t="s">
        <v>1324</v>
      </c>
      <c r="Y24" s="4" t="s">
        <v>1325</v>
      </c>
      <c r="Z24" s="4"/>
      <c r="AA24" s="4" t="s">
        <v>1326</v>
      </c>
      <c r="AB24" s="4"/>
      <c r="AC24" s="4" t="s">
        <v>1467</v>
      </c>
      <c r="AD24" s="4" t="s">
        <v>1325</v>
      </c>
      <c r="AE24" s="8"/>
      <c r="AF24" s="4" t="s">
        <v>1328</v>
      </c>
      <c r="AG24" s="4" t="s">
        <v>1329</v>
      </c>
      <c r="AH24" s="14">
        <v>23</v>
      </c>
      <c r="AI24" s="4" t="s">
        <v>1468</v>
      </c>
      <c r="AJ24" s="4" t="s">
        <v>1331</v>
      </c>
      <c r="AK24" s="4" t="s">
        <v>1332</v>
      </c>
      <c r="AL24" s="4" t="s">
        <v>1467</v>
      </c>
      <c r="AM24" s="4" t="s">
        <v>1219</v>
      </c>
      <c r="AN24" s="4"/>
      <c r="AO24" s="4"/>
      <c r="AP24" s="4"/>
      <c r="AQ24" s="4"/>
      <c r="AR24" s="92" t="s">
        <v>1325</v>
      </c>
      <c r="AS24" s="92" t="s">
        <v>1333</v>
      </c>
      <c r="AT24" s="92" t="s">
        <v>1325</v>
      </c>
      <c r="AU24" s="92" t="s">
        <v>1325</v>
      </c>
      <c r="AV24" s="92" t="s">
        <v>1325</v>
      </c>
      <c r="AW24" s="8" t="s">
        <v>1317</v>
      </c>
      <c r="AX24" s="8" t="s">
        <v>1317</v>
      </c>
      <c r="AY24" s="8"/>
      <c r="AZ24" s="8"/>
      <c r="BA24" s="12">
        <v>46027</v>
      </c>
      <c r="BB24" s="8" t="s">
        <v>1317</v>
      </c>
      <c r="BC24" s="4"/>
      <c r="BD24" s="4" t="s">
        <v>1293</v>
      </c>
      <c r="BE24" s="8" t="s">
        <v>1317</v>
      </c>
      <c r="BF24" s="8" t="s">
        <v>1317</v>
      </c>
      <c r="BG24" s="8" t="s">
        <v>1317</v>
      </c>
      <c r="BH24" s="8" t="s">
        <v>1317</v>
      </c>
      <c r="BI24" s="8"/>
      <c r="BJ24" s="8" t="s">
        <v>1317</v>
      </c>
      <c r="BK24" s="8" t="s">
        <v>1335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 ht="20.25" customHeight="1">
      <c r="A25" s="8" t="s">
        <v>1215</v>
      </c>
      <c r="B25" s="8" t="s">
        <v>1317</v>
      </c>
      <c r="C25" s="15" t="s">
        <v>1317</v>
      </c>
      <c r="D25" s="15" t="str">
        <f t="shared" si="0"/>
        <v>No</v>
      </c>
      <c r="E25" s="15" t="str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  <v>No</v>
      </c>
      <c r="F25" t="str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  <v>No</v>
      </c>
      <c r="G25" s="4" t="s">
        <v>1318</v>
      </c>
      <c r="H25" s="4" t="s">
        <v>1318</v>
      </c>
      <c r="I25" s="4"/>
      <c r="J25" s="4" t="s">
        <v>1319</v>
      </c>
      <c r="K25" s="4" t="s">
        <v>1319</v>
      </c>
      <c r="L25" s="4" t="s">
        <v>1319</v>
      </c>
      <c r="M25" s="4"/>
      <c r="N25" s="4"/>
      <c r="O25" s="4"/>
      <c r="P25" s="4"/>
      <c r="Q25" s="4"/>
      <c r="R25" s="4"/>
      <c r="S25" s="4" t="s">
        <v>1469</v>
      </c>
      <c r="T25" s="4" t="s">
        <v>1470</v>
      </c>
      <c r="U25" s="4" t="s">
        <v>1471</v>
      </c>
      <c r="V25" s="4" t="s">
        <v>1317</v>
      </c>
      <c r="W25" s="4" t="s">
        <v>1472</v>
      </c>
      <c r="X25" s="4" t="s">
        <v>1324</v>
      </c>
      <c r="Y25" s="4" t="s">
        <v>1325</v>
      </c>
      <c r="Z25" s="4"/>
      <c r="AA25" s="4" t="s">
        <v>1326</v>
      </c>
      <c r="AB25" s="4"/>
      <c r="AC25" s="4" t="s">
        <v>1473</v>
      </c>
      <c r="AD25" s="4" t="s">
        <v>1325</v>
      </c>
      <c r="AE25" s="8"/>
      <c r="AF25" s="4" t="s">
        <v>1328</v>
      </c>
      <c r="AG25" s="4" t="s">
        <v>1329</v>
      </c>
      <c r="AH25" s="14">
        <v>24</v>
      </c>
      <c r="AI25" s="4" t="s">
        <v>1474</v>
      </c>
      <c r="AJ25" s="4" t="s">
        <v>1331</v>
      </c>
      <c r="AK25" s="4" t="s">
        <v>1332</v>
      </c>
      <c r="AL25" s="4" t="s">
        <v>1473</v>
      </c>
      <c r="AM25" s="4" t="s">
        <v>1219</v>
      </c>
      <c r="AN25" s="4"/>
      <c r="AO25" s="4"/>
      <c r="AP25" s="4"/>
      <c r="AQ25" s="4"/>
      <c r="AR25" s="92" t="s">
        <v>1325</v>
      </c>
      <c r="AS25" s="92" t="s">
        <v>1333</v>
      </c>
      <c r="AT25" s="92" t="s">
        <v>1325</v>
      </c>
      <c r="AU25" s="92" t="s">
        <v>1325</v>
      </c>
      <c r="AV25" s="92" t="s">
        <v>1325</v>
      </c>
      <c r="AW25" s="8" t="s">
        <v>1317</v>
      </c>
      <c r="AX25" s="8" t="s">
        <v>1317</v>
      </c>
      <c r="AY25" s="8"/>
      <c r="AZ25" s="8"/>
      <c r="BA25" s="12">
        <v>46027</v>
      </c>
      <c r="BB25" s="8" t="s">
        <v>1317</v>
      </c>
      <c r="BC25" s="4"/>
      <c r="BD25" s="4" t="s">
        <v>1293</v>
      </c>
      <c r="BE25" s="8" t="s">
        <v>1317</v>
      </c>
      <c r="BF25" s="8" t="s">
        <v>1317</v>
      </c>
      <c r="BG25" s="8" t="s">
        <v>1317</v>
      </c>
      <c r="BH25" s="8" t="s">
        <v>1317</v>
      </c>
      <c r="BI25" s="8"/>
      <c r="BJ25" s="8" t="s">
        <v>1317</v>
      </c>
      <c r="BK25" s="8" t="s">
        <v>1335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 ht="20.25" customHeight="1">
      <c r="A26" s="8" t="s">
        <v>1215</v>
      </c>
      <c r="B26" s="8" t="s">
        <v>1317</v>
      </c>
      <c r="C26" s="15" t="s">
        <v>1317</v>
      </c>
      <c r="D26" s="15" t="str">
        <f t="shared" si="0"/>
        <v>No</v>
      </c>
      <c r="E26" s="15" t="str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  <v>No</v>
      </c>
      <c r="F26" t="str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  <v>No</v>
      </c>
      <c r="G26" s="4" t="s">
        <v>1318</v>
      </c>
      <c r="H26" s="4" t="s">
        <v>1318</v>
      </c>
      <c r="I26" s="4"/>
      <c r="J26" s="4" t="s">
        <v>1319</v>
      </c>
      <c r="K26" s="4" t="s">
        <v>1319</v>
      </c>
      <c r="L26" s="4" t="s">
        <v>1319</v>
      </c>
      <c r="M26" s="4"/>
      <c r="N26" s="4"/>
      <c r="O26" s="4"/>
      <c r="P26" s="4"/>
      <c r="Q26" s="4"/>
      <c r="R26" s="4"/>
      <c r="S26" s="4" t="s">
        <v>1475</v>
      </c>
      <c r="T26" s="4" t="s">
        <v>1476</v>
      </c>
      <c r="U26" s="4" t="s">
        <v>1477</v>
      </c>
      <c r="V26" s="4" t="s">
        <v>1317</v>
      </c>
      <c r="W26" s="4" t="s">
        <v>1478</v>
      </c>
      <c r="X26" s="4" t="s">
        <v>1324</v>
      </c>
      <c r="Y26" s="4" t="s">
        <v>1325</v>
      </c>
      <c r="Z26" s="4"/>
      <c r="AA26" s="4" t="s">
        <v>1326</v>
      </c>
      <c r="AB26" s="4"/>
      <c r="AC26" s="4" t="s">
        <v>1479</v>
      </c>
      <c r="AD26" s="4" t="s">
        <v>1325</v>
      </c>
      <c r="AE26" s="8"/>
      <c r="AF26" s="4" t="s">
        <v>1328</v>
      </c>
      <c r="AG26" s="4" t="s">
        <v>1329</v>
      </c>
      <c r="AH26" s="14">
        <v>25</v>
      </c>
      <c r="AI26" s="4" t="s">
        <v>1480</v>
      </c>
      <c r="AJ26" s="4" t="s">
        <v>1331</v>
      </c>
      <c r="AK26" s="4" t="s">
        <v>1332</v>
      </c>
      <c r="AL26" s="4" t="s">
        <v>1479</v>
      </c>
      <c r="AM26" s="4" t="s">
        <v>1219</v>
      </c>
      <c r="AN26" s="4"/>
      <c r="AO26" s="4"/>
      <c r="AP26" s="4"/>
      <c r="AQ26" s="4"/>
      <c r="AR26" s="92" t="s">
        <v>1325</v>
      </c>
      <c r="AS26" s="92" t="s">
        <v>1333</v>
      </c>
      <c r="AT26" s="92" t="s">
        <v>1325</v>
      </c>
      <c r="AU26" s="92" t="s">
        <v>1325</v>
      </c>
      <c r="AV26" s="92" t="s">
        <v>1325</v>
      </c>
      <c r="AW26" s="8" t="s">
        <v>1317</v>
      </c>
      <c r="AX26" s="8" t="s">
        <v>1317</v>
      </c>
      <c r="AY26" s="8"/>
      <c r="AZ26" s="8"/>
      <c r="BA26" s="12">
        <v>46027</v>
      </c>
      <c r="BB26" s="8" t="s">
        <v>1317</v>
      </c>
      <c r="BC26" s="4"/>
      <c r="BD26" s="4" t="s">
        <v>1293</v>
      </c>
      <c r="BE26" s="8" t="s">
        <v>1317</v>
      </c>
      <c r="BF26" s="8" t="s">
        <v>1317</v>
      </c>
      <c r="BG26" s="8" t="s">
        <v>1317</v>
      </c>
      <c r="BH26" s="8" t="s">
        <v>1317</v>
      </c>
      <c r="BI26" s="8"/>
      <c r="BJ26" s="8" t="s">
        <v>1317</v>
      </c>
      <c r="BK26" s="8" t="s">
        <v>1335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 ht="20.25" customHeight="1">
      <c r="A27" s="8" t="s">
        <v>1215</v>
      </c>
      <c r="B27" s="8" t="s">
        <v>1317</v>
      </c>
      <c r="C27" s="15" t="s">
        <v>1335</v>
      </c>
      <c r="D27" s="15" t="str">
        <f t="shared" si="0"/>
        <v>Yes</v>
      </c>
      <c r="E27" s="15" t="str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  <v>No</v>
      </c>
      <c r="F27" t="str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  <v>No</v>
      </c>
      <c r="G27" s="4" t="s">
        <v>1318</v>
      </c>
      <c r="H27" s="4" t="s">
        <v>1318</v>
      </c>
      <c r="I27" s="4"/>
      <c r="J27" s="4" t="s">
        <v>1319</v>
      </c>
      <c r="K27" s="4" t="s">
        <v>1319</v>
      </c>
      <c r="L27" s="4" t="s">
        <v>1319</v>
      </c>
      <c r="M27" s="4"/>
      <c r="N27" s="4"/>
      <c r="O27" s="4"/>
      <c r="P27" s="4"/>
      <c r="Q27" s="4"/>
      <c r="R27" s="4"/>
      <c r="S27" s="4" t="s">
        <v>1481</v>
      </c>
      <c r="T27" s="4" t="s">
        <v>1482</v>
      </c>
      <c r="U27" s="4" t="s">
        <v>1483</v>
      </c>
      <c r="V27" s="4" t="s">
        <v>1317</v>
      </c>
      <c r="W27" s="4" t="s">
        <v>1484</v>
      </c>
      <c r="X27" s="4" t="s">
        <v>1324</v>
      </c>
      <c r="Y27" s="4" t="s">
        <v>1325</v>
      </c>
      <c r="Z27" s="4"/>
      <c r="AA27" s="4" t="s">
        <v>1326</v>
      </c>
      <c r="AB27" s="4"/>
      <c r="AC27" s="4"/>
      <c r="AD27" s="4" t="s">
        <v>1325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92"/>
      <c r="AS27" s="92"/>
      <c r="AT27" s="92"/>
      <c r="AU27" s="92"/>
      <c r="AV27" s="92"/>
      <c r="AW27" s="8" t="s">
        <v>1317</v>
      </c>
      <c r="AX27" s="8" t="s">
        <v>1317</v>
      </c>
      <c r="AY27" s="8"/>
      <c r="AZ27" s="8"/>
      <c r="BA27" s="12">
        <v>46027</v>
      </c>
      <c r="BB27" s="8" t="s">
        <v>1317</v>
      </c>
      <c r="BC27" s="4"/>
      <c r="BD27" s="4" t="s">
        <v>1293</v>
      </c>
      <c r="BE27" s="8" t="s">
        <v>1317</v>
      </c>
      <c r="BF27" s="8" t="s">
        <v>1317</v>
      </c>
      <c r="BG27" s="8" t="s">
        <v>1317</v>
      </c>
      <c r="BH27" s="8" t="s">
        <v>1317</v>
      </c>
      <c r="BI27" s="8"/>
      <c r="BJ27" s="8" t="s">
        <v>1317</v>
      </c>
      <c r="BK27" s="8" t="s">
        <v>1335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 ht="20.25" customHeight="1">
      <c r="A28" s="8" t="s">
        <v>1215</v>
      </c>
      <c r="B28" s="8" t="s">
        <v>1317</v>
      </c>
      <c r="C28" s="15" t="s">
        <v>1335</v>
      </c>
      <c r="D28" s="15" t="str">
        <f t="shared" si="0"/>
        <v>Yes</v>
      </c>
      <c r="E28" s="15" t="str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  <v>No</v>
      </c>
      <c r="F28" t="str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  <v>No</v>
      </c>
      <c r="G28" s="4" t="s">
        <v>1318</v>
      </c>
      <c r="H28" s="4" t="s">
        <v>1318</v>
      </c>
      <c r="I28" s="4"/>
      <c r="J28" s="4" t="s">
        <v>1319</v>
      </c>
      <c r="K28" s="4" t="s">
        <v>1319</v>
      </c>
      <c r="L28" s="4" t="s">
        <v>1319</v>
      </c>
      <c r="M28" s="4"/>
      <c r="N28" s="4"/>
      <c r="O28" s="4"/>
      <c r="P28" s="4"/>
      <c r="Q28" s="4"/>
      <c r="R28" s="4"/>
      <c r="S28" s="4" t="s">
        <v>1485</v>
      </c>
      <c r="T28" s="4" t="s">
        <v>1486</v>
      </c>
      <c r="U28" s="4" t="s">
        <v>1487</v>
      </c>
      <c r="V28" s="4" t="s">
        <v>1317</v>
      </c>
      <c r="W28" s="4" t="s">
        <v>1488</v>
      </c>
      <c r="X28" s="4" t="s">
        <v>1324</v>
      </c>
      <c r="Y28" s="4" t="s">
        <v>1325</v>
      </c>
      <c r="Z28" s="4"/>
      <c r="AA28" s="4" t="s">
        <v>1326</v>
      </c>
      <c r="AB28" s="4"/>
      <c r="AC28" s="4"/>
      <c r="AD28" s="4" t="s">
        <v>1325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92"/>
      <c r="AS28" s="92"/>
      <c r="AT28" s="92"/>
      <c r="AU28" s="92"/>
      <c r="AV28" s="92"/>
      <c r="AW28" s="8" t="s">
        <v>1317</v>
      </c>
      <c r="AX28" s="8" t="s">
        <v>1317</v>
      </c>
      <c r="AY28" s="8"/>
      <c r="AZ28" s="8"/>
      <c r="BA28" s="12">
        <v>46027</v>
      </c>
      <c r="BB28" s="8" t="s">
        <v>1317</v>
      </c>
      <c r="BC28" s="4"/>
      <c r="BD28" s="4" t="s">
        <v>1293</v>
      </c>
      <c r="BE28" s="8" t="s">
        <v>1317</v>
      </c>
      <c r="BF28" s="8" t="s">
        <v>1317</v>
      </c>
      <c r="BG28" s="8" t="s">
        <v>1317</v>
      </c>
      <c r="BH28" s="8" t="s">
        <v>1317</v>
      </c>
      <c r="BI28" s="8"/>
      <c r="BJ28" s="8" t="s">
        <v>1317</v>
      </c>
      <c r="BK28" s="8" t="s">
        <v>1335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 ht="20.25" customHeight="1">
      <c r="A29" s="8" t="s">
        <v>1215</v>
      </c>
      <c r="B29" s="8" t="s">
        <v>1317</v>
      </c>
      <c r="C29" s="15" t="s">
        <v>1335</v>
      </c>
      <c r="D29" s="15" t="str">
        <f t="shared" si="0"/>
        <v>Yes</v>
      </c>
      <c r="E29" s="15" t="str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  <v>No</v>
      </c>
      <c r="F29" t="str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  <v>No</v>
      </c>
      <c r="G29" s="4" t="s">
        <v>1318</v>
      </c>
      <c r="H29" s="4" t="s">
        <v>1318</v>
      </c>
      <c r="I29" s="4"/>
      <c r="J29" s="4" t="s">
        <v>1319</v>
      </c>
      <c r="K29" s="4" t="s">
        <v>1319</v>
      </c>
      <c r="L29" s="4" t="s">
        <v>1319</v>
      </c>
      <c r="M29" s="4"/>
      <c r="N29" s="4"/>
      <c r="O29" s="4"/>
      <c r="P29" s="4"/>
      <c r="Q29" s="4"/>
      <c r="R29" s="4"/>
      <c r="S29" s="4" t="s">
        <v>1489</v>
      </c>
      <c r="T29" s="4" t="s">
        <v>1490</v>
      </c>
      <c r="U29" s="4" t="s">
        <v>1491</v>
      </c>
      <c r="V29" s="4" t="s">
        <v>1317</v>
      </c>
      <c r="W29" s="4" t="s">
        <v>1492</v>
      </c>
      <c r="X29" s="4" t="s">
        <v>1324</v>
      </c>
      <c r="Y29" s="4" t="s">
        <v>1325</v>
      </c>
      <c r="Z29" s="4"/>
      <c r="AA29" s="4" t="s">
        <v>1326</v>
      </c>
      <c r="AB29" s="4"/>
      <c r="AC29" s="4"/>
      <c r="AD29" s="4" t="s">
        <v>1325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92"/>
      <c r="AS29" s="92"/>
      <c r="AT29" s="92"/>
      <c r="AU29" s="92"/>
      <c r="AV29" s="92"/>
      <c r="AW29" s="8" t="s">
        <v>1317</v>
      </c>
      <c r="AX29" s="8" t="s">
        <v>1317</v>
      </c>
      <c r="AY29" s="8"/>
      <c r="AZ29" s="8"/>
      <c r="BA29" s="12">
        <v>46027</v>
      </c>
      <c r="BB29" s="8" t="s">
        <v>1317</v>
      </c>
      <c r="BC29" s="4"/>
      <c r="BD29" s="4" t="s">
        <v>1293</v>
      </c>
      <c r="BE29" s="8" t="s">
        <v>1317</v>
      </c>
      <c r="BF29" s="8" t="s">
        <v>1317</v>
      </c>
      <c r="BG29" s="8" t="s">
        <v>1317</v>
      </c>
      <c r="BH29" s="8" t="s">
        <v>1317</v>
      </c>
      <c r="BI29" s="8"/>
      <c r="BJ29" s="8" t="s">
        <v>1317</v>
      </c>
      <c r="BK29" s="8" t="s">
        <v>1335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0.25" customHeight="1">
      <c r="A30" s="70" t="s">
        <v>1215</v>
      </c>
      <c r="B30" s="70" t="s">
        <v>1335</v>
      </c>
      <c r="C30" s="15" t="s">
        <v>1335</v>
      </c>
      <c r="D30" s="15" t="str">
        <f t="shared" si="0"/>
        <v/>
      </c>
      <c r="E30" s="15" t="str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  <v>Yes</v>
      </c>
      <c r="F30" t="str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  <v/>
      </c>
      <c r="G30" s="71" t="s">
        <v>1201</v>
      </c>
      <c r="H30" s="71" t="s">
        <v>1318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1493</v>
      </c>
      <c r="T30" s="71" t="s">
        <v>1494</v>
      </c>
      <c r="U30" s="71" t="s">
        <v>1495</v>
      </c>
      <c r="V30" s="71" t="s">
        <v>1317</v>
      </c>
      <c r="W30" s="71" t="s">
        <v>1496</v>
      </c>
      <c r="X30" s="71" t="s">
        <v>1324</v>
      </c>
      <c r="Y30" s="71" t="s">
        <v>1325</v>
      </c>
      <c r="Z30" s="71"/>
      <c r="AA30" s="71"/>
      <c r="AB30" s="71"/>
      <c r="AC30" s="71"/>
      <c r="AD30" s="71" t="s">
        <v>1325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94"/>
      <c r="AS30" s="94"/>
      <c r="AT30" s="94"/>
      <c r="AU30" s="94"/>
      <c r="AV30" s="94"/>
      <c r="AW30" s="70" t="s">
        <v>1317</v>
      </c>
      <c r="AX30" s="70" t="s">
        <v>1317</v>
      </c>
      <c r="AY30" s="70"/>
      <c r="AZ30" s="70"/>
      <c r="BA30" s="73">
        <v>46027</v>
      </c>
      <c r="BB30" s="70" t="s">
        <v>1317</v>
      </c>
      <c r="BC30" s="71" t="s">
        <v>1497</v>
      </c>
      <c r="BD30" s="71" t="s">
        <v>1293</v>
      </c>
      <c r="BE30" s="70" t="s">
        <v>1317</v>
      </c>
      <c r="BF30" s="70" t="s">
        <v>1317</v>
      </c>
      <c r="BG30" s="70" t="s">
        <v>1317</v>
      </c>
      <c r="BH30" s="70" t="s">
        <v>1317</v>
      </c>
      <c r="BI30" s="70"/>
      <c r="BJ30" s="70" t="s">
        <v>1317</v>
      </c>
      <c r="BK30" s="70" t="s">
        <v>1335</v>
      </c>
      <c r="BL30" s="71" t="str">
        <f t="shared" si="1"/>
        <v>Epic Beans Relay</v>
      </c>
      <c r="BM30" s="70" t="str">
        <f t="shared" si="2"/>
        <v>Blocked</v>
      </c>
      <c r="BN30" s="69" t="s">
        <v>1498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0.25" customHeight="1">
      <c r="A31" s="70" t="s">
        <v>1215</v>
      </c>
      <c r="B31" s="70" t="s">
        <v>1335</v>
      </c>
      <c r="C31" s="15" t="s">
        <v>1335</v>
      </c>
      <c r="D31" s="15" t="str">
        <f t="shared" si="0"/>
        <v/>
      </c>
      <c r="E31" s="15" t="str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  <v>Yes</v>
      </c>
      <c r="F31" t="str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  <v/>
      </c>
      <c r="G31" s="71" t="s">
        <v>1201</v>
      </c>
      <c r="H31" s="71" t="s">
        <v>1318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1499</v>
      </c>
      <c r="T31" s="71" t="s">
        <v>1500</v>
      </c>
      <c r="U31" s="71" t="s">
        <v>1501</v>
      </c>
      <c r="V31" s="71" t="s">
        <v>1317</v>
      </c>
      <c r="W31" s="71" t="s">
        <v>1502</v>
      </c>
      <c r="X31" s="71" t="s">
        <v>1324</v>
      </c>
      <c r="Y31" s="71" t="s">
        <v>1325</v>
      </c>
      <c r="Z31" s="71"/>
      <c r="AA31" s="71"/>
      <c r="AB31" s="71"/>
      <c r="AC31" s="71"/>
      <c r="AD31" s="71" t="s">
        <v>1325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94"/>
      <c r="AS31" s="94"/>
      <c r="AT31" s="94"/>
      <c r="AU31" s="94"/>
      <c r="AV31" s="94"/>
      <c r="AW31" s="70" t="s">
        <v>1317</v>
      </c>
      <c r="AX31" s="70" t="s">
        <v>1317</v>
      </c>
      <c r="AY31" s="70"/>
      <c r="AZ31" s="70"/>
      <c r="BA31" s="73">
        <v>46027</v>
      </c>
      <c r="BB31" s="70" t="s">
        <v>1317</v>
      </c>
      <c r="BC31" s="71" t="s">
        <v>1497</v>
      </c>
      <c r="BD31" s="71" t="s">
        <v>1293</v>
      </c>
      <c r="BE31" s="70" t="s">
        <v>1317</v>
      </c>
      <c r="BF31" s="70" t="s">
        <v>1317</v>
      </c>
      <c r="BG31" s="70" t="s">
        <v>1317</v>
      </c>
      <c r="BH31" s="70" t="s">
        <v>1317</v>
      </c>
      <c r="BI31" s="70"/>
      <c r="BJ31" s="70" t="s">
        <v>1317</v>
      </c>
      <c r="BK31" s="70" t="s">
        <v>1335</v>
      </c>
      <c r="BL31" s="71" t="str">
        <f t="shared" si="1"/>
        <v>Epic Beans Relay</v>
      </c>
      <c r="BM31" s="70" t="str">
        <f t="shared" si="2"/>
        <v>Blocked</v>
      </c>
      <c r="BN31" s="69" t="s">
        <v>1503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0.25" customHeight="1">
      <c r="A32" s="70" t="s">
        <v>1215</v>
      </c>
      <c r="B32" s="70" t="s">
        <v>1335</v>
      </c>
      <c r="C32" s="15" t="s">
        <v>1335</v>
      </c>
      <c r="D32" s="15" t="str">
        <f t="shared" si="0"/>
        <v/>
      </c>
      <c r="E32" s="15" t="str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  <v>No</v>
      </c>
      <c r="F32" t="str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  <v/>
      </c>
      <c r="G32" s="71" t="s">
        <v>1201</v>
      </c>
      <c r="H32" s="71" t="s">
        <v>1318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1504</v>
      </c>
      <c r="T32" s="71" t="s">
        <v>1505</v>
      </c>
      <c r="U32" s="71" t="s">
        <v>1506</v>
      </c>
      <c r="V32" s="71" t="s">
        <v>1317</v>
      </c>
      <c r="W32" s="71" t="s">
        <v>1507</v>
      </c>
      <c r="X32" s="71" t="s">
        <v>1324</v>
      </c>
      <c r="Y32" s="71" t="s">
        <v>1325</v>
      </c>
      <c r="Z32" s="71"/>
      <c r="AA32" s="71"/>
      <c r="AB32" s="71"/>
      <c r="AC32" s="71"/>
      <c r="AD32" s="71" t="s">
        <v>1325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94"/>
      <c r="AS32" s="94"/>
      <c r="AT32" s="94"/>
      <c r="AU32" s="94"/>
      <c r="AV32" s="94"/>
      <c r="AW32" s="70" t="s">
        <v>1317</v>
      </c>
      <c r="AX32" s="70" t="s">
        <v>1317</v>
      </c>
      <c r="AY32" s="70"/>
      <c r="AZ32" s="70"/>
      <c r="BA32" s="73">
        <v>46027</v>
      </c>
      <c r="BB32" s="70" t="s">
        <v>1317</v>
      </c>
      <c r="BC32" s="71" t="s">
        <v>1497</v>
      </c>
      <c r="BD32" s="71" t="s">
        <v>1293</v>
      </c>
      <c r="BE32" s="70" t="s">
        <v>1317</v>
      </c>
      <c r="BF32" s="70" t="s">
        <v>1317</v>
      </c>
      <c r="BG32" s="70" t="s">
        <v>1317</v>
      </c>
      <c r="BH32" s="70" t="s">
        <v>1317</v>
      </c>
      <c r="BI32" s="70"/>
      <c r="BJ32" s="70" t="s">
        <v>1317</v>
      </c>
      <c r="BK32" s="70" t="s">
        <v>1335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0.25" customHeight="1">
      <c r="A33" s="70" t="s">
        <v>1215</v>
      </c>
      <c r="B33" s="70" t="s">
        <v>1335</v>
      </c>
      <c r="C33" s="15" t="s">
        <v>1335</v>
      </c>
      <c r="D33" s="15" t="str">
        <f t="shared" si="0"/>
        <v/>
      </c>
      <c r="E33" s="15" t="str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  <v>No</v>
      </c>
      <c r="F33" t="str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  <v/>
      </c>
      <c r="G33" s="71" t="s">
        <v>1201</v>
      </c>
      <c r="H33" s="71" t="s">
        <v>1318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1508</v>
      </c>
      <c r="T33" s="71" t="s">
        <v>1509</v>
      </c>
      <c r="U33" s="71" t="s">
        <v>1510</v>
      </c>
      <c r="V33" s="71" t="s">
        <v>1317</v>
      </c>
      <c r="W33" s="71" t="s">
        <v>1511</v>
      </c>
      <c r="X33" s="71" t="s">
        <v>1324</v>
      </c>
      <c r="Y33" s="71" t="s">
        <v>1325</v>
      </c>
      <c r="Z33" s="71"/>
      <c r="AA33" s="71"/>
      <c r="AB33" s="71"/>
      <c r="AC33" s="71"/>
      <c r="AD33" s="71" t="s">
        <v>1325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94"/>
      <c r="AS33" s="94"/>
      <c r="AT33" s="94"/>
      <c r="AU33" s="94"/>
      <c r="AV33" s="94"/>
      <c r="AW33" s="70" t="s">
        <v>1317</v>
      </c>
      <c r="AX33" s="70" t="s">
        <v>1317</v>
      </c>
      <c r="AY33" s="70"/>
      <c r="AZ33" s="70"/>
      <c r="BA33" s="73">
        <v>46027</v>
      </c>
      <c r="BB33" s="70" t="s">
        <v>1317</v>
      </c>
      <c r="BC33" s="71" t="s">
        <v>1497</v>
      </c>
      <c r="BD33" s="71" t="s">
        <v>1293</v>
      </c>
      <c r="BE33" s="70" t="s">
        <v>1317</v>
      </c>
      <c r="BF33" s="70" t="s">
        <v>1317</v>
      </c>
      <c r="BG33" s="70" t="s">
        <v>1317</v>
      </c>
      <c r="BH33" s="70" t="s">
        <v>1317</v>
      </c>
      <c r="BI33" s="70"/>
      <c r="BJ33" s="70" t="s">
        <v>1317</v>
      </c>
      <c r="BK33" s="70" t="s">
        <v>1335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20.25" customHeight="1">
      <c r="A34" s="8" t="s">
        <v>1215</v>
      </c>
      <c r="B34" s="8" t="s">
        <v>1317</v>
      </c>
      <c r="C34" s="15" t="s">
        <v>1335</v>
      </c>
      <c r="D34" s="15" t="str">
        <f t="shared" si="0"/>
        <v>Yes</v>
      </c>
      <c r="E34" s="15" t="str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  <v>No</v>
      </c>
      <c r="F34" t="str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  <v>No</v>
      </c>
      <c r="G34" s="4" t="s">
        <v>1512</v>
      </c>
      <c r="H34" s="4" t="s">
        <v>1512</v>
      </c>
      <c r="I34" s="4"/>
      <c r="J34" s="4" t="s">
        <v>1319</v>
      </c>
      <c r="K34" s="4" t="s">
        <v>1319</v>
      </c>
      <c r="L34" s="4" t="s">
        <v>1319</v>
      </c>
      <c r="M34" s="4"/>
      <c r="N34" s="4"/>
      <c r="O34" s="4"/>
      <c r="P34" s="4"/>
      <c r="Q34" s="4"/>
      <c r="R34" s="4"/>
      <c r="S34" s="4" t="s">
        <v>1513</v>
      </c>
      <c r="T34" s="4" t="s">
        <v>1514</v>
      </c>
      <c r="U34" s="4" t="s">
        <v>1515</v>
      </c>
      <c r="V34" s="4" t="s">
        <v>1317</v>
      </c>
      <c r="W34" s="4" t="s">
        <v>1516</v>
      </c>
      <c r="X34" s="4" t="s">
        <v>1324</v>
      </c>
      <c r="Y34" s="4" t="s">
        <v>1325</v>
      </c>
      <c r="Z34" s="4" t="s">
        <v>1325</v>
      </c>
      <c r="AA34" s="4" t="s">
        <v>1517</v>
      </c>
      <c r="AB34" s="4"/>
      <c r="AC34" s="4" t="s">
        <v>1325</v>
      </c>
      <c r="AD34" s="4" t="s">
        <v>1518</v>
      </c>
      <c r="AE34" s="8"/>
      <c r="AF34" s="4" t="s">
        <v>1519</v>
      </c>
      <c r="AG34" s="4" t="s">
        <v>1520</v>
      </c>
      <c r="AH34" s="14" t="s">
        <v>1521</v>
      </c>
      <c r="AI34" s="4"/>
      <c r="AJ34" s="4" t="s">
        <v>1522</v>
      </c>
      <c r="AK34" s="4" t="s">
        <v>1523</v>
      </c>
      <c r="AL34" s="4" t="s">
        <v>1518</v>
      </c>
      <c r="AM34" t="s">
        <v>1219</v>
      </c>
      <c r="AN34" s="4" t="s">
        <v>1191</v>
      </c>
      <c r="AO34" s="4"/>
      <c r="AP34" s="4"/>
      <c r="AQ34" s="4"/>
      <c r="AR34" s="92" t="s">
        <v>1524</v>
      </c>
      <c r="AS34" s="92" t="s">
        <v>1525</v>
      </c>
      <c r="AT34" s="92"/>
      <c r="AU34" s="92"/>
      <c r="AV34" s="92"/>
      <c r="AW34" s="8" t="s">
        <v>1317</v>
      </c>
      <c r="AX34" s="8" t="s">
        <v>1317</v>
      </c>
      <c r="AY34" s="8"/>
      <c r="AZ34" s="8"/>
      <c r="BA34" s="12">
        <v>46030</v>
      </c>
      <c r="BB34" s="8" t="s">
        <v>1317</v>
      </c>
      <c r="BC34" s="4" t="s">
        <v>1512</v>
      </c>
      <c r="BD34" s="4" t="s">
        <v>1293</v>
      </c>
      <c r="BE34" s="8" t="s">
        <v>1317</v>
      </c>
      <c r="BF34" s="8" t="s">
        <v>1317</v>
      </c>
      <c r="BG34" s="8" t="s">
        <v>1317</v>
      </c>
      <c r="BH34" s="8" t="s">
        <v>1317</v>
      </c>
      <c r="BI34" s="8"/>
      <c r="BJ34" s="8" t="s">
        <v>1317</v>
      </c>
      <c r="BK34" s="8" t="s">
        <v>1335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 ht="20.25" customHeight="1">
      <c r="A35" s="8" t="s">
        <v>1526</v>
      </c>
      <c r="B35" s="8" t="s">
        <v>1317</v>
      </c>
      <c r="C35" s="15" t="s">
        <v>1335</v>
      </c>
      <c r="D35" s="15" t="str">
        <f t="shared" si="0"/>
        <v>Yes</v>
      </c>
      <c r="E35" s="15" t="str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  <v>No</v>
      </c>
      <c r="F35" t="str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  <v>No</v>
      </c>
      <c r="G35" s="4" t="s">
        <v>1512</v>
      </c>
      <c r="H35" s="4" t="s">
        <v>1512</v>
      </c>
      <c r="I35" s="4" t="s">
        <v>1527</v>
      </c>
      <c r="J35" s="4"/>
      <c r="K35" s="4"/>
      <c r="L35" s="4"/>
      <c r="M35" s="4"/>
      <c r="N35" s="4"/>
      <c r="O35" s="4"/>
      <c r="P35" s="4"/>
      <c r="Q35" s="4"/>
      <c r="R35" s="4" t="s">
        <v>1528</v>
      </c>
      <c r="S35" s="4" t="s">
        <v>1325</v>
      </c>
      <c r="T35" s="4" t="s">
        <v>1325</v>
      </c>
      <c r="U35" s="4" t="s">
        <v>1325</v>
      </c>
      <c r="V35" s="4" t="s">
        <v>1325</v>
      </c>
      <c r="W35" s="4" t="s">
        <v>1325</v>
      </c>
      <c r="X35" s="4" t="s">
        <v>1325</v>
      </c>
      <c r="Y35" s="4" t="s">
        <v>1529</v>
      </c>
      <c r="Z35" s="4" t="s">
        <v>1530</v>
      </c>
      <c r="AA35" s="4" t="s">
        <v>1517</v>
      </c>
      <c r="AB35" s="4"/>
      <c r="AC35" s="4" t="s">
        <v>1325</v>
      </c>
      <c r="AD35" s="4" t="s">
        <v>1531</v>
      </c>
      <c r="AE35" s="8"/>
      <c r="AF35" s="4" t="s">
        <v>1519</v>
      </c>
      <c r="AG35" s="4" t="s">
        <v>1520</v>
      </c>
      <c r="AH35" s="14" t="s">
        <v>1521</v>
      </c>
      <c r="AI35" s="4"/>
      <c r="AJ35" s="4" t="s">
        <v>1522</v>
      </c>
      <c r="AK35" s="4" t="s">
        <v>1523</v>
      </c>
      <c r="AL35" s="4" t="s">
        <v>1531</v>
      </c>
      <c r="AM35" s="4"/>
      <c r="AN35" s="4"/>
      <c r="AO35" s="4"/>
      <c r="AP35" s="4"/>
      <c r="AQ35" s="4"/>
      <c r="AR35" s="92"/>
      <c r="AS35" s="92"/>
      <c r="AT35" s="92"/>
      <c r="AU35" s="92"/>
      <c r="AV35" s="92"/>
      <c r="AW35" s="8" t="s">
        <v>1317</v>
      </c>
      <c r="AX35" s="8" t="s">
        <v>1317</v>
      </c>
      <c r="AY35" s="8" t="s">
        <v>1317</v>
      </c>
      <c r="AZ35" s="8"/>
      <c r="BA35" s="12">
        <v>46030</v>
      </c>
      <c r="BB35" s="8" t="s">
        <v>1317</v>
      </c>
      <c r="BC35" s="4" t="s">
        <v>1512</v>
      </c>
      <c r="BD35" s="4" t="s">
        <v>1293</v>
      </c>
      <c r="BE35" s="8" t="s">
        <v>1317</v>
      </c>
      <c r="BF35" s="8" t="s">
        <v>1317</v>
      </c>
      <c r="BG35" s="8" t="s">
        <v>1317</v>
      </c>
      <c r="BH35" s="8" t="s">
        <v>1317</v>
      </c>
      <c r="BI35" s="8"/>
      <c r="BJ35" s="8" t="s">
        <v>1317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20.25" customHeight="1">
      <c r="A36" s="8" t="s">
        <v>1215</v>
      </c>
      <c r="B36" s="8" t="s">
        <v>1335</v>
      </c>
      <c r="C36" s="15" t="s">
        <v>1335</v>
      </c>
      <c r="D36" s="15" t="str">
        <f t="shared" si="0"/>
        <v/>
      </c>
      <c r="E36" s="15" t="str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  <v>Yes</v>
      </c>
      <c r="F36" t="str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  <v/>
      </c>
      <c r="G36" s="4" t="s">
        <v>1201</v>
      </c>
      <c r="H36" s="4" t="s">
        <v>1532</v>
      </c>
      <c r="I36" s="4"/>
      <c r="J36" s="4" t="s">
        <v>1319</v>
      </c>
      <c r="K36" s="4" t="s">
        <v>1319</v>
      </c>
      <c r="L36" s="4" t="s">
        <v>1319</v>
      </c>
      <c r="M36" s="4"/>
      <c r="N36" s="4"/>
      <c r="O36" s="4"/>
      <c r="P36" s="4"/>
      <c r="Q36" s="4"/>
      <c r="R36" s="4"/>
      <c r="S36" s="4" t="s">
        <v>1533</v>
      </c>
      <c r="T36" s="4" t="s">
        <v>1500</v>
      </c>
      <c r="U36" s="4"/>
      <c r="V36" s="4"/>
      <c r="W36" s="4" t="s">
        <v>1502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92"/>
      <c r="AS36" s="92"/>
      <c r="AT36" s="92"/>
      <c r="AU36" s="92"/>
      <c r="AV36" s="92"/>
      <c r="AW36" s="8"/>
      <c r="AX36" s="8"/>
      <c r="AY36" s="8"/>
      <c r="AZ36" s="8"/>
      <c r="BA36" s="12"/>
      <c r="BB36" s="8"/>
      <c r="BC36" s="4"/>
      <c r="BD36" s="4" t="s">
        <v>1534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20.25" customHeight="1">
      <c r="A37" s="8" t="s">
        <v>1215</v>
      </c>
      <c r="B37" s="8" t="s">
        <v>1335</v>
      </c>
      <c r="C37" s="15" t="s">
        <v>1335</v>
      </c>
      <c r="D37" s="15" t="str">
        <f t="shared" si="0"/>
        <v/>
      </c>
      <c r="E37" s="15" t="str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  <v>No</v>
      </c>
      <c r="F37" t="str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  <v/>
      </c>
      <c r="G37" s="4" t="s">
        <v>1201</v>
      </c>
      <c r="H37" s="4" t="s">
        <v>1532</v>
      </c>
      <c r="I37" s="4"/>
      <c r="J37" s="4" t="s">
        <v>1319</v>
      </c>
      <c r="K37" s="4" t="s">
        <v>1319</v>
      </c>
      <c r="L37" s="4" t="s">
        <v>1319</v>
      </c>
      <c r="M37" s="4"/>
      <c r="N37" s="4"/>
      <c r="O37" s="4"/>
      <c r="P37" s="4"/>
      <c r="Q37" s="4"/>
      <c r="R37" s="4"/>
      <c r="S37" s="4" t="s">
        <v>1535</v>
      </c>
      <c r="T37" s="4" t="s">
        <v>1536</v>
      </c>
      <c r="U37" s="4"/>
      <c r="V37" s="4"/>
      <c r="W37" s="4" t="s">
        <v>1537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92"/>
      <c r="AS37" s="92"/>
      <c r="AT37" s="92"/>
      <c r="AU37" s="92"/>
      <c r="AV37" s="92"/>
      <c r="AW37" s="8"/>
      <c r="AX37" s="8"/>
      <c r="AY37" s="8"/>
      <c r="AZ37" s="8"/>
      <c r="BA37" s="12"/>
      <c r="BB37" s="8"/>
      <c r="BC37" s="4"/>
      <c r="BD37" s="4" t="s">
        <v>1534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20.25" customHeight="1">
      <c r="A38" s="8" t="s">
        <v>1215</v>
      </c>
      <c r="B38" s="8" t="s">
        <v>1335</v>
      </c>
      <c r="C38" s="15" t="s">
        <v>1335</v>
      </c>
      <c r="D38" s="15" t="str">
        <f t="shared" si="0"/>
        <v/>
      </c>
      <c r="E38" s="15" t="str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  <v>No</v>
      </c>
      <c r="F38" t="str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  <v/>
      </c>
      <c r="G38" s="4" t="s">
        <v>1201</v>
      </c>
      <c r="H38" s="4" t="s">
        <v>1532</v>
      </c>
      <c r="I38" s="4"/>
      <c r="J38" s="4" t="s">
        <v>1319</v>
      </c>
      <c r="K38" s="4" t="s">
        <v>1319</v>
      </c>
      <c r="L38" s="4" t="s">
        <v>1319</v>
      </c>
      <c r="M38" s="4"/>
      <c r="N38" s="4"/>
      <c r="O38" s="4"/>
      <c r="P38" s="4"/>
      <c r="Q38" s="4"/>
      <c r="R38" s="4"/>
      <c r="S38" s="4" t="s">
        <v>1538</v>
      </c>
      <c r="T38" s="4" t="s">
        <v>1539</v>
      </c>
      <c r="U38" s="4"/>
      <c r="V38" s="4"/>
      <c r="W38" s="4" t="s">
        <v>1540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92"/>
      <c r="AS38" s="92"/>
      <c r="AT38" s="92"/>
      <c r="AU38" s="92"/>
      <c r="AV38" s="92"/>
      <c r="AW38" s="8"/>
      <c r="AX38" s="8"/>
      <c r="AY38" s="8"/>
      <c r="AZ38" s="8"/>
      <c r="BA38" s="12"/>
      <c r="BB38" s="8"/>
      <c r="BC38" s="4"/>
      <c r="BD38" s="4" t="s">
        <v>1534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20.25" customHeight="1">
      <c r="A39" s="8" t="s">
        <v>1215</v>
      </c>
      <c r="B39" s="8" t="s">
        <v>1335</v>
      </c>
      <c r="C39" s="15" t="s">
        <v>1335</v>
      </c>
      <c r="D39" s="15" t="str">
        <f t="shared" si="0"/>
        <v/>
      </c>
      <c r="E39" s="15" t="str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  <v>No</v>
      </c>
      <c r="F39" t="str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  <v/>
      </c>
      <c r="G39" s="4" t="s">
        <v>1201</v>
      </c>
      <c r="H39" s="4" t="s">
        <v>1541</v>
      </c>
      <c r="I39" s="4"/>
      <c r="J39" s="4" t="s">
        <v>1319</v>
      </c>
      <c r="K39" s="4" t="s">
        <v>1319</v>
      </c>
      <c r="L39" s="4" t="s">
        <v>1319</v>
      </c>
      <c r="M39" s="4"/>
      <c r="N39" s="4"/>
      <c r="O39" s="4"/>
      <c r="P39" s="4"/>
      <c r="Q39" s="4"/>
      <c r="R39" s="20"/>
      <c r="S39" s="20" t="s">
        <v>1542</v>
      </c>
      <c r="T39" s="4" t="s">
        <v>1543</v>
      </c>
      <c r="U39" s="4"/>
      <c r="V39" s="4"/>
      <c r="W39" s="4" t="s">
        <v>1544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92"/>
      <c r="AS39" s="92"/>
      <c r="AT39" s="92"/>
      <c r="AU39" s="92"/>
      <c r="AV39" s="92"/>
      <c r="AW39" s="8"/>
      <c r="AX39" s="8"/>
      <c r="AY39" s="8"/>
      <c r="AZ39" s="8"/>
      <c r="BA39" s="12"/>
      <c r="BB39" s="8"/>
      <c r="BC39" s="4"/>
      <c r="BD39" s="4" t="s">
        <v>1534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20.25" customHeight="1">
      <c r="A40" s="8" t="s">
        <v>1215</v>
      </c>
      <c r="B40" s="8" t="s">
        <v>1335</v>
      </c>
      <c r="C40" s="15" t="s">
        <v>1335</v>
      </c>
      <c r="D40" s="15" t="str">
        <f t="shared" si="0"/>
        <v/>
      </c>
      <c r="E40" s="15" t="str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  <v>No</v>
      </c>
      <c r="F40" t="str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  <v/>
      </c>
      <c r="G40" s="4" t="s">
        <v>1201</v>
      </c>
      <c r="H40" s="4" t="s">
        <v>1541</v>
      </c>
      <c r="I40" s="4"/>
      <c r="J40" s="4" t="s">
        <v>1319</v>
      </c>
      <c r="K40" s="4" t="s">
        <v>1319</v>
      </c>
      <c r="L40" s="4" t="s">
        <v>1319</v>
      </c>
      <c r="M40" s="4"/>
      <c r="N40" s="4"/>
      <c r="O40" s="4"/>
      <c r="P40" s="4"/>
      <c r="Q40" s="4"/>
      <c r="R40" s="20"/>
      <c r="S40" s="20" t="s">
        <v>1545</v>
      </c>
      <c r="T40" s="4" t="s">
        <v>1546</v>
      </c>
      <c r="U40" s="4"/>
      <c r="V40" s="4"/>
      <c r="W40" s="4" t="s">
        <v>1547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92"/>
      <c r="AS40" s="92"/>
      <c r="AT40" s="92"/>
      <c r="AU40" s="92"/>
      <c r="AV40" s="92"/>
      <c r="AW40" s="8"/>
      <c r="AX40" s="8"/>
      <c r="AY40" s="8"/>
      <c r="AZ40" s="8"/>
      <c r="BA40" s="12"/>
      <c r="BB40" s="8"/>
      <c r="BC40" s="4"/>
      <c r="BD40" s="4" t="s">
        <v>1534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20.25" customHeight="1">
      <c r="A41" s="8" t="s">
        <v>1215</v>
      </c>
      <c r="B41" s="8" t="s">
        <v>1335</v>
      </c>
      <c r="C41" s="15" t="s">
        <v>1335</v>
      </c>
      <c r="D41" s="15" t="str">
        <f t="shared" si="0"/>
        <v/>
      </c>
      <c r="E41" s="15" t="str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  <v>No</v>
      </c>
      <c r="F41" t="str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  <v/>
      </c>
      <c r="G41" s="4" t="s">
        <v>1201</v>
      </c>
      <c r="H41" s="4" t="s">
        <v>1541</v>
      </c>
      <c r="I41" s="4"/>
      <c r="J41" s="4" t="s">
        <v>1319</v>
      </c>
      <c r="K41" s="4" t="s">
        <v>1319</v>
      </c>
      <c r="L41" s="4" t="s">
        <v>1319</v>
      </c>
      <c r="M41" s="4"/>
      <c r="N41" s="4"/>
      <c r="O41" s="4"/>
      <c r="P41" s="4"/>
      <c r="Q41" s="4"/>
      <c r="R41" s="4"/>
      <c r="S41" s="4" t="s">
        <v>1548</v>
      </c>
      <c r="T41" s="4" t="s">
        <v>1549</v>
      </c>
      <c r="U41" s="4"/>
      <c r="V41" s="4"/>
      <c r="W41" s="4" t="s">
        <v>1550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92"/>
      <c r="AS41" s="92"/>
      <c r="AT41" s="92"/>
      <c r="AU41" s="92"/>
      <c r="AV41" s="92"/>
      <c r="AW41" s="8"/>
      <c r="AX41" s="8"/>
      <c r="AY41" s="8"/>
      <c r="AZ41" s="8"/>
      <c r="BA41" s="12"/>
      <c r="BB41" s="8"/>
      <c r="BC41" s="4"/>
      <c r="BD41" s="4" t="s">
        <v>1534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20.25" customHeight="1">
      <c r="A42" s="8" t="s">
        <v>1215</v>
      </c>
      <c r="B42" s="8" t="s">
        <v>1335</v>
      </c>
      <c r="C42" s="15" t="s">
        <v>1335</v>
      </c>
      <c r="D42" s="15" t="str">
        <f t="shared" si="0"/>
        <v/>
      </c>
      <c r="E42" s="15" t="str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  <v>No</v>
      </c>
      <c r="F42" t="str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  <v/>
      </c>
      <c r="G42" s="4" t="s">
        <v>1201</v>
      </c>
      <c r="H42" s="4" t="s">
        <v>1551</v>
      </c>
      <c r="I42" s="4"/>
      <c r="J42" s="4" t="s">
        <v>1319</v>
      </c>
      <c r="K42" s="4" t="s">
        <v>1319</v>
      </c>
      <c r="L42" s="4" t="s">
        <v>1319</v>
      </c>
      <c r="M42" s="4"/>
      <c r="N42" s="4"/>
      <c r="O42" s="4"/>
      <c r="P42" s="4"/>
      <c r="Q42" s="4"/>
      <c r="R42" s="4"/>
      <c r="S42" s="4" t="s">
        <v>1552</v>
      </c>
      <c r="T42" s="4" t="s">
        <v>1553</v>
      </c>
      <c r="U42" s="4"/>
      <c r="V42" s="4"/>
      <c r="W42" s="4" t="s">
        <v>1554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92"/>
      <c r="AS42" s="92"/>
      <c r="AT42" s="92"/>
      <c r="AU42" s="92"/>
      <c r="AV42" s="92"/>
      <c r="AW42" s="8"/>
      <c r="AX42" s="8"/>
      <c r="AY42" s="8"/>
      <c r="AZ42" s="8"/>
      <c r="BA42" s="12"/>
      <c r="BB42" s="8"/>
      <c r="BC42" s="4"/>
      <c r="BD42" s="4" t="s">
        <v>1534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20.25" customHeight="1">
      <c r="A43" s="8" t="s">
        <v>1215</v>
      </c>
      <c r="B43" s="8" t="s">
        <v>1335</v>
      </c>
      <c r="C43" s="15" t="s">
        <v>1335</v>
      </c>
      <c r="D43" s="15" t="str">
        <f t="shared" si="0"/>
        <v/>
      </c>
      <c r="E43" s="15" t="str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  <v>No</v>
      </c>
      <c r="F43" t="str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  <v/>
      </c>
      <c r="G43" s="4" t="s">
        <v>1201</v>
      </c>
      <c r="H43" s="4" t="s">
        <v>1555</v>
      </c>
      <c r="I43" s="4"/>
      <c r="J43" s="4" t="s">
        <v>1319</v>
      </c>
      <c r="K43" s="4" t="s">
        <v>1319</v>
      </c>
      <c r="L43" s="4" t="s">
        <v>1319</v>
      </c>
      <c r="M43" s="4"/>
      <c r="N43" s="4"/>
      <c r="O43" s="4"/>
      <c r="P43" s="4"/>
      <c r="Q43" s="4"/>
      <c r="R43" s="4"/>
      <c r="S43" s="4" t="s">
        <v>1556</v>
      </c>
      <c r="T43" s="4" t="s">
        <v>1557</v>
      </c>
      <c r="U43" s="4"/>
      <c r="V43" s="4"/>
      <c r="W43" s="4" t="s">
        <v>1558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92"/>
      <c r="AS43" s="92"/>
      <c r="AT43" s="92"/>
      <c r="AU43" s="92"/>
      <c r="AV43" s="92"/>
      <c r="AW43" s="8"/>
      <c r="AX43" s="8"/>
      <c r="AY43" s="8"/>
      <c r="AZ43" s="8"/>
      <c r="BA43" s="12"/>
      <c r="BB43" s="8"/>
      <c r="BC43" s="4"/>
      <c r="BD43" s="4" t="s">
        <v>1534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20.25" customHeight="1">
      <c r="A44" s="8" t="s">
        <v>1215</v>
      </c>
      <c r="B44" s="8" t="s">
        <v>1335</v>
      </c>
      <c r="C44" s="15" t="s">
        <v>1335</v>
      </c>
      <c r="D44" s="15" t="str">
        <f t="shared" si="0"/>
        <v/>
      </c>
      <c r="E44" s="15" t="str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  <v>No</v>
      </c>
      <c r="F44" t="str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  <v/>
      </c>
      <c r="G44" s="4" t="s">
        <v>1201</v>
      </c>
      <c r="H44" s="4" t="s">
        <v>1555</v>
      </c>
      <c r="I44" s="4"/>
      <c r="J44" s="4" t="s">
        <v>1319</v>
      </c>
      <c r="K44" s="4" t="s">
        <v>1319</v>
      </c>
      <c r="L44" s="4" t="s">
        <v>1319</v>
      </c>
      <c r="M44" s="4"/>
      <c r="N44" s="4"/>
      <c r="O44" s="4"/>
      <c r="P44" s="4"/>
      <c r="Q44" s="4"/>
      <c r="R44" s="4"/>
      <c r="S44" s="4" t="s">
        <v>1559</v>
      </c>
      <c r="T44" s="4" t="s">
        <v>1560</v>
      </c>
      <c r="U44" s="4"/>
      <c r="V44" s="4"/>
      <c r="W44" s="4" t="s">
        <v>1561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92"/>
      <c r="AS44" s="92"/>
      <c r="AT44" s="92"/>
      <c r="AU44" s="92"/>
      <c r="AV44" s="92"/>
      <c r="AW44" s="8"/>
      <c r="AX44" s="8"/>
      <c r="AY44" s="8"/>
      <c r="AZ44" s="8"/>
      <c r="BA44" s="12"/>
      <c r="BB44" s="8"/>
      <c r="BC44" s="4"/>
      <c r="BD44" s="4" t="s">
        <v>1534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20.25" customHeight="1">
      <c r="A45" s="8" t="s">
        <v>1215</v>
      </c>
      <c r="B45" s="8" t="s">
        <v>1335</v>
      </c>
      <c r="C45" s="15" t="s">
        <v>1335</v>
      </c>
      <c r="D45" s="15" t="str">
        <f t="shared" si="0"/>
        <v/>
      </c>
      <c r="E45" s="15" t="str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  <v>No</v>
      </c>
      <c r="F45" t="str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  <v/>
      </c>
      <c r="G45" s="4" t="s">
        <v>1201</v>
      </c>
      <c r="H45" s="4" t="s">
        <v>1555</v>
      </c>
      <c r="I45" s="4"/>
      <c r="J45" s="4" t="s">
        <v>1319</v>
      </c>
      <c r="K45" s="4" t="s">
        <v>1319</v>
      </c>
      <c r="L45" s="4" t="s">
        <v>1319</v>
      </c>
      <c r="M45" s="4"/>
      <c r="N45" s="4"/>
      <c r="O45" s="4"/>
      <c r="P45" s="4"/>
      <c r="Q45" s="4"/>
      <c r="R45" s="4"/>
      <c r="S45" s="4" t="s">
        <v>1562</v>
      </c>
      <c r="T45" s="4" t="s">
        <v>1563</v>
      </c>
      <c r="U45" s="4"/>
      <c r="V45" s="4"/>
      <c r="W45" s="4" t="s">
        <v>1564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92"/>
      <c r="AS45" s="92"/>
      <c r="AT45" s="92"/>
      <c r="AU45" s="92"/>
      <c r="AV45" s="92"/>
      <c r="AW45" s="8"/>
      <c r="AX45" s="8"/>
      <c r="AY45" s="8"/>
      <c r="AZ45" s="8"/>
      <c r="BA45" s="12"/>
      <c r="BB45" s="8"/>
      <c r="BC45" s="4"/>
      <c r="BD45" s="4" t="s">
        <v>1534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20.25" customHeight="1">
      <c r="A46" s="8" t="s">
        <v>1215</v>
      </c>
      <c r="B46" s="8" t="s">
        <v>1335</v>
      </c>
      <c r="C46" s="15" t="s">
        <v>1335</v>
      </c>
      <c r="D46" s="15" t="str">
        <f t="shared" si="0"/>
        <v/>
      </c>
      <c r="E46" s="15" t="str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  <v>No</v>
      </c>
      <c r="F46" t="str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  <v/>
      </c>
      <c r="G46" s="4" t="s">
        <v>1201</v>
      </c>
      <c r="H46" s="4" t="s">
        <v>1555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1565</v>
      </c>
      <c r="T46" s="4" t="s">
        <v>1566</v>
      </c>
      <c r="U46" s="4"/>
      <c r="V46" s="4"/>
      <c r="W46" s="4" t="s">
        <v>1567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92"/>
      <c r="AS46" s="92"/>
      <c r="AT46" s="92"/>
      <c r="AU46" s="92"/>
      <c r="AV46" s="92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20.25" customHeight="1">
      <c r="A47" s="8" t="s">
        <v>1215</v>
      </c>
      <c r="B47" s="8" t="s">
        <v>1335</v>
      </c>
      <c r="C47" s="15" t="s">
        <v>1335</v>
      </c>
      <c r="D47" s="15" t="str">
        <f t="shared" si="0"/>
        <v/>
      </c>
      <c r="E47" s="15" t="str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  <v>No</v>
      </c>
      <c r="F47" t="str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  <v/>
      </c>
      <c r="G47" s="4" t="s">
        <v>1201</v>
      </c>
      <c r="H47" s="4" t="s">
        <v>1555</v>
      </c>
      <c r="I47" s="4"/>
      <c r="J47" s="4" t="s">
        <v>1319</v>
      </c>
      <c r="K47" s="4" t="s">
        <v>1319</v>
      </c>
      <c r="L47" s="4" t="s">
        <v>1319</v>
      </c>
      <c r="M47" s="4"/>
      <c r="N47" s="4"/>
      <c r="O47" s="4"/>
      <c r="P47" s="4"/>
      <c r="Q47" s="4"/>
      <c r="R47" s="4"/>
      <c r="S47" s="4" t="s">
        <v>1568</v>
      </c>
      <c r="T47" s="4" t="s">
        <v>1569</v>
      </c>
      <c r="U47" s="4"/>
      <c r="V47" s="4"/>
      <c r="W47" s="4" t="s">
        <v>1570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92"/>
      <c r="AS47" s="92"/>
      <c r="AT47" s="92"/>
      <c r="AU47" s="92"/>
      <c r="AV47" s="92"/>
      <c r="AW47" s="8"/>
      <c r="AX47" s="8"/>
      <c r="AY47" s="8"/>
      <c r="AZ47" s="8"/>
      <c r="BA47" s="12"/>
      <c r="BB47" s="8"/>
      <c r="BC47" s="4"/>
      <c r="BD47" s="4" t="s">
        <v>1534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20.25" customHeight="1">
      <c r="A48" s="8" t="s">
        <v>1215</v>
      </c>
      <c r="B48" s="8" t="s">
        <v>1335</v>
      </c>
      <c r="C48" s="15" t="s">
        <v>1335</v>
      </c>
      <c r="D48" s="15" t="str">
        <f t="shared" si="0"/>
        <v/>
      </c>
      <c r="E48" s="15" t="str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  <v>No</v>
      </c>
      <c r="F48" t="str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  <v/>
      </c>
      <c r="G48" s="4" t="s">
        <v>1201</v>
      </c>
      <c r="H48" s="4" t="s">
        <v>1555</v>
      </c>
      <c r="I48" s="4"/>
      <c r="J48" s="4" t="s">
        <v>1319</v>
      </c>
      <c r="K48" s="4" t="s">
        <v>1319</v>
      </c>
      <c r="L48" s="4" t="s">
        <v>1319</v>
      </c>
      <c r="M48" s="4"/>
      <c r="N48" s="4"/>
      <c r="O48" s="4"/>
      <c r="P48" s="4"/>
      <c r="Q48" s="4"/>
      <c r="R48" s="4"/>
      <c r="S48" s="4" t="s">
        <v>1571</v>
      </c>
      <c r="T48" s="4" t="s">
        <v>1572</v>
      </c>
      <c r="U48" s="4"/>
      <c r="V48" s="4"/>
      <c r="W48" s="4" t="s">
        <v>1573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92"/>
      <c r="AS48" s="92"/>
      <c r="AT48" s="92"/>
      <c r="AU48" s="92"/>
      <c r="AV48" s="92"/>
      <c r="AW48" s="8"/>
      <c r="AX48" s="8"/>
      <c r="AY48" s="8"/>
      <c r="AZ48" s="8"/>
      <c r="BA48" s="12"/>
      <c r="BB48" s="8"/>
      <c r="BC48" s="4"/>
      <c r="BD48" s="4" t="s">
        <v>1534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20.25" customHeight="1">
      <c r="A49" s="8" t="s">
        <v>1215</v>
      </c>
      <c r="B49" s="8" t="s">
        <v>1335</v>
      </c>
      <c r="C49" s="15" t="s">
        <v>1335</v>
      </c>
      <c r="D49" s="15" t="str">
        <f t="shared" si="0"/>
        <v/>
      </c>
      <c r="E49" s="15" t="str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  <v>Yes</v>
      </c>
      <c r="F49" t="str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  <v/>
      </c>
      <c r="G49" s="4" t="s">
        <v>1201</v>
      </c>
      <c r="H49" s="4" t="s">
        <v>1555</v>
      </c>
      <c r="I49" s="4"/>
      <c r="J49" s="4" t="s">
        <v>1319</v>
      </c>
      <c r="K49" s="4" t="s">
        <v>1319</v>
      </c>
      <c r="L49" s="4" t="s">
        <v>1319</v>
      </c>
      <c r="M49" s="4"/>
      <c r="N49" s="4"/>
      <c r="O49" s="4"/>
      <c r="P49" s="4"/>
      <c r="Q49" s="4"/>
      <c r="R49" s="2"/>
      <c r="S49" s="4" t="s">
        <v>1574</v>
      </c>
      <c r="T49" t="s">
        <v>1494</v>
      </c>
      <c r="W49" t="s">
        <v>1496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92"/>
      <c r="AS49" s="92"/>
      <c r="AT49" s="92"/>
      <c r="AU49" s="92"/>
      <c r="AV49" s="92"/>
      <c r="AW49" s="8"/>
      <c r="AX49" s="8"/>
      <c r="AY49" s="8"/>
      <c r="AZ49" s="8"/>
      <c r="BA49" s="12"/>
      <c r="BB49" s="8"/>
      <c r="BC49" s="4"/>
      <c r="BD49" s="4" t="s">
        <v>1534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20.25" customHeight="1">
      <c r="A50" s="8" t="s">
        <v>1526</v>
      </c>
      <c r="B50" s="8" t="s">
        <v>1335</v>
      </c>
      <c r="C50" s="15" t="s">
        <v>1335</v>
      </c>
      <c r="D50" s="15" t="str">
        <f t="shared" si="0"/>
        <v/>
      </c>
      <c r="E50" s="15" t="str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s="21" t="s">
        <v>1575</v>
      </c>
      <c r="H50" s="4" t="s">
        <v>1576</v>
      </c>
      <c r="I50" s="2" t="s">
        <v>1577</v>
      </c>
      <c r="J50" s="2" t="s">
        <v>1317</v>
      </c>
      <c r="K50" s="2" t="s">
        <v>1335</v>
      </c>
      <c r="L50" s="2" t="s">
        <v>1335</v>
      </c>
      <c r="M50" s="2"/>
      <c r="N50" s="2"/>
      <c r="O50" s="2"/>
      <c r="P50" s="2"/>
      <c r="Q50" s="21"/>
      <c r="R50" s="4" t="s">
        <v>1578</v>
      </c>
      <c r="T50" s="4"/>
      <c r="U50" s="4"/>
      <c r="V50" s="4"/>
      <c r="W50" s="4"/>
      <c r="X50" s="4"/>
      <c r="Y50" s="22" t="s">
        <v>1579</v>
      </c>
      <c r="Z50" s="24" t="s">
        <v>1580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1581</v>
      </c>
      <c r="AK50" s="4" t="s">
        <v>1582</v>
      </c>
      <c r="AL50" s="4"/>
      <c r="AM50" s="4"/>
      <c r="AN50" s="4"/>
      <c r="AO50" s="4"/>
      <c r="AP50" s="4"/>
      <c r="AQ50" s="4"/>
      <c r="AR50" s="92"/>
      <c r="AS50" s="92"/>
      <c r="AT50" s="92"/>
      <c r="AU50" s="92"/>
      <c r="AV50" s="92"/>
      <c r="AW50" s="8"/>
      <c r="AX50" s="8"/>
      <c r="AY50" s="8"/>
      <c r="AZ50" s="8"/>
      <c r="BA50" s="12"/>
      <c r="BB50" s="8"/>
      <c r="BC50" s="4" t="s">
        <v>1583</v>
      </c>
      <c r="BD50" s="4" t="s">
        <v>1534</v>
      </c>
      <c r="BE50" s="8"/>
      <c r="BF50" s="8"/>
      <c r="BG50" s="8"/>
      <c r="BH50" s="8"/>
      <c r="BI50" s="8" t="s">
        <v>1334</v>
      </c>
      <c r="BJ50" s="8"/>
      <c r="BK50" s="8"/>
      <c r="BL50" s="4" t="str">
        <f t="shared" ref="BL50:BL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20.25" customHeight="1">
      <c r="A51" s="8" t="s">
        <v>1526</v>
      </c>
      <c r="B51" s="8" t="s">
        <v>1335</v>
      </c>
      <c r="C51" s="15" t="s">
        <v>1335</v>
      </c>
      <c r="D51" s="15" t="str">
        <f t="shared" si="0"/>
        <v/>
      </c>
      <c r="E51" s="15" t="str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  <v>No</v>
      </c>
      <c r="F51" t="str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  <v/>
      </c>
      <c r="G51" s="21" t="s">
        <v>1575</v>
      </c>
      <c r="H51" s="4" t="s">
        <v>1576</v>
      </c>
      <c r="I51" s="2" t="s">
        <v>1577</v>
      </c>
      <c r="J51" s="2" t="s">
        <v>1317</v>
      </c>
      <c r="K51" s="2" t="s">
        <v>1335</v>
      </c>
      <c r="L51" s="2" t="s">
        <v>1335</v>
      </c>
      <c r="M51" s="2"/>
      <c r="N51" s="2"/>
      <c r="O51" s="2"/>
      <c r="P51" s="2"/>
      <c r="Q51" s="21"/>
      <c r="R51" s="4" t="s">
        <v>1584</v>
      </c>
      <c r="T51" s="4"/>
      <c r="U51" s="4"/>
      <c r="V51" s="4"/>
      <c r="W51" s="4"/>
      <c r="X51" s="4"/>
      <c r="Y51" s="23" t="s">
        <v>1585</v>
      </c>
      <c r="Z51" s="24" t="s">
        <v>1586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1581</v>
      </c>
      <c r="AK51" s="4" t="s">
        <v>1582</v>
      </c>
      <c r="AL51" s="4"/>
      <c r="AM51" s="4"/>
      <c r="AN51" s="4"/>
      <c r="AO51" s="4"/>
      <c r="AP51" s="4"/>
      <c r="AQ51" s="4"/>
      <c r="AR51" s="92"/>
      <c r="AS51" s="92"/>
      <c r="AT51" s="92"/>
      <c r="AU51" s="92"/>
      <c r="AV51" s="92"/>
      <c r="AW51" s="8"/>
      <c r="AX51" s="8"/>
      <c r="AY51" s="8"/>
      <c r="AZ51" s="8"/>
      <c r="BA51" s="12"/>
      <c r="BB51" s="8"/>
      <c r="BC51" s="25" t="s">
        <v>1583</v>
      </c>
      <c r="BD51" s="4" t="s">
        <v>1534</v>
      </c>
      <c r="BE51" s="8"/>
      <c r="BF51" s="8"/>
      <c r="BG51" s="8"/>
      <c r="BH51" s="8"/>
      <c r="BI51" s="8" t="s">
        <v>1334</v>
      </c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 ht="20.25" customHeight="1">
      <c r="A52" s="8" t="s">
        <v>1526</v>
      </c>
      <c r="B52" s="8" t="s">
        <v>1335</v>
      </c>
      <c r="C52" s="15" t="s">
        <v>1335</v>
      </c>
      <c r="D52" s="15" t="str">
        <f t="shared" si="0"/>
        <v/>
      </c>
      <c r="E52" s="15" t="str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  <v>No</v>
      </c>
      <c r="F52" t="str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  <v/>
      </c>
      <c r="G52" s="21" t="s">
        <v>1575</v>
      </c>
      <c r="H52" s="4" t="s">
        <v>1532</v>
      </c>
      <c r="I52" s="2" t="s">
        <v>1577</v>
      </c>
      <c r="J52" s="2" t="s">
        <v>1317</v>
      </c>
      <c r="K52" s="2" t="s">
        <v>1335</v>
      </c>
      <c r="L52" s="2" t="s">
        <v>1335</v>
      </c>
      <c r="M52" s="2"/>
      <c r="N52" s="2"/>
      <c r="O52" s="2"/>
      <c r="P52" s="2"/>
      <c r="Q52" s="21"/>
      <c r="R52" s="21" t="s">
        <v>1587</v>
      </c>
      <c r="T52" s="4"/>
      <c r="U52" s="4"/>
      <c r="V52" s="4"/>
      <c r="W52" s="4"/>
      <c r="X52" s="4"/>
      <c r="Y52" s="26" t="s">
        <v>1588</v>
      </c>
      <c r="Z52" s="24" t="s">
        <v>1589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92"/>
      <c r="AS52" s="92"/>
      <c r="AT52" s="92"/>
      <c r="AU52" s="92"/>
      <c r="AV52" s="92"/>
      <c r="AW52" s="8"/>
      <c r="AX52" s="8"/>
      <c r="AY52" s="8"/>
      <c r="AZ52" s="8"/>
      <c r="BA52" s="12"/>
      <c r="BB52" s="8"/>
      <c r="BC52" s="21" t="s">
        <v>1590</v>
      </c>
      <c r="BD52" s="4"/>
      <c r="BE52" s="8"/>
      <c r="BF52" s="8"/>
      <c r="BG52" s="8"/>
      <c r="BH52" s="8"/>
      <c r="BI52" s="8" t="s">
        <v>1334</v>
      </c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 ht="20.25" customHeight="1">
      <c r="A53" s="8" t="s">
        <v>1526</v>
      </c>
      <c r="B53" s="8" t="s">
        <v>1335</v>
      </c>
      <c r="C53" s="15" t="s">
        <v>1335</v>
      </c>
      <c r="D53" s="15" t="str">
        <f t="shared" si="0"/>
        <v/>
      </c>
      <c r="E53" s="15" t="str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  <v>No</v>
      </c>
      <c r="F53" t="str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  <v/>
      </c>
      <c r="G53" s="21" t="s">
        <v>1575</v>
      </c>
      <c r="H53" s="4" t="s">
        <v>1532</v>
      </c>
      <c r="I53" s="2" t="s">
        <v>1577</v>
      </c>
      <c r="J53" s="2" t="s">
        <v>1317</v>
      </c>
      <c r="K53" s="2" t="s">
        <v>1335</v>
      </c>
      <c r="L53" s="2" t="s">
        <v>1335</v>
      </c>
      <c r="M53" s="2"/>
      <c r="N53" s="2"/>
      <c r="O53" s="2"/>
      <c r="P53" s="2"/>
      <c r="Q53" s="21"/>
      <c r="R53" s="21" t="s">
        <v>1591</v>
      </c>
      <c r="T53" s="4"/>
      <c r="U53" s="4"/>
      <c r="V53" s="4"/>
      <c r="W53" s="4"/>
      <c r="X53" s="4"/>
      <c r="Y53" s="26" t="s">
        <v>1592</v>
      </c>
      <c r="Z53" s="24" t="s">
        <v>1593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92"/>
      <c r="AS53" s="92"/>
      <c r="AT53" s="92"/>
      <c r="AU53" s="92"/>
      <c r="AV53" s="92"/>
      <c r="AW53" s="8"/>
      <c r="AX53" s="8"/>
      <c r="AY53" s="8"/>
      <c r="AZ53" s="8"/>
      <c r="BA53" s="12"/>
      <c r="BB53" s="8"/>
      <c r="BC53" s="21" t="s">
        <v>1594</v>
      </c>
      <c r="BD53" s="4"/>
      <c r="BE53" s="8"/>
      <c r="BF53" s="8"/>
      <c r="BG53" s="8"/>
      <c r="BH53" s="8"/>
      <c r="BI53" s="8" t="s">
        <v>1334</v>
      </c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20.25" customHeight="1">
      <c r="A54" s="8" t="s">
        <v>1526</v>
      </c>
      <c r="B54" s="8" t="s">
        <v>1335</v>
      </c>
      <c r="C54" s="15" t="s">
        <v>1335</v>
      </c>
      <c r="D54" s="15" t="str">
        <f t="shared" si="0"/>
        <v/>
      </c>
      <c r="E54" s="15" t="str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  <v>No</v>
      </c>
      <c r="F54" t="str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  <v/>
      </c>
      <c r="G54" s="21" t="s">
        <v>1575</v>
      </c>
      <c r="H54" s="4" t="s">
        <v>1595</v>
      </c>
      <c r="I54" s="2" t="s">
        <v>1577</v>
      </c>
      <c r="J54" s="2" t="s">
        <v>1317</v>
      </c>
      <c r="K54" s="2" t="s">
        <v>1335</v>
      </c>
      <c r="L54" s="2" t="s">
        <v>1335</v>
      </c>
      <c r="M54" s="2"/>
      <c r="N54" s="2"/>
      <c r="O54" s="2"/>
      <c r="P54" s="2"/>
      <c r="Q54" s="21"/>
      <c r="R54" s="4" t="s">
        <v>1596</v>
      </c>
      <c r="T54" s="4"/>
      <c r="U54" s="4"/>
      <c r="V54" s="4"/>
      <c r="W54" s="4"/>
      <c r="X54" s="4"/>
      <c r="Y54" s="4" t="s">
        <v>1597</v>
      </c>
      <c r="Z54" s="4" t="s">
        <v>1598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1581</v>
      </c>
      <c r="AK54" s="4" t="s">
        <v>1582</v>
      </c>
      <c r="AL54" s="4"/>
      <c r="AM54" s="4"/>
      <c r="AN54" s="4"/>
      <c r="AO54" s="4"/>
      <c r="AP54" s="4"/>
      <c r="AQ54" s="4"/>
      <c r="AR54" s="92"/>
      <c r="AS54" s="92"/>
      <c r="AT54" s="92"/>
      <c r="AU54" s="92"/>
      <c r="AV54" s="92"/>
      <c r="AW54" s="8"/>
      <c r="AX54" s="8"/>
      <c r="AY54" s="8"/>
      <c r="AZ54" s="8"/>
      <c r="BA54" s="12"/>
      <c r="BB54" s="8"/>
      <c r="BC54" s="4" t="s">
        <v>1599</v>
      </c>
      <c r="BD54" s="4" t="s">
        <v>1534</v>
      </c>
      <c r="BE54" s="8"/>
      <c r="BF54" s="8"/>
      <c r="BG54" s="8"/>
      <c r="BH54" s="8"/>
      <c r="BI54" s="8" t="s">
        <v>1334</v>
      </c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20.25" customHeight="1">
      <c r="A55" s="8" t="s">
        <v>1526</v>
      </c>
      <c r="B55" s="8" t="s">
        <v>1335</v>
      </c>
      <c r="C55" s="15" t="s">
        <v>1335</v>
      </c>
      <c r="D55" s="15" t="str">
        <f t="shared" si="0"/>
        <v/>
      </c>
      <c r="E55" s="15" t="str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  <v>No</v>
      </c>
      <c r="F55" t="str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  <v/>
      </c>
      <c r="G55" s="21" t="s">
        <v>1575</v>
      </c>
      <c r="H55" s="4" t="s">
        <v>1595</v>
      </c>
      <c r="I55" s="2" t="s">
        <v>1577</v>
      </c>
      <c r="J55" s="2" t="s">
        <v>1317</v>
      </c>
      <c r="K55" s="2" t="s">
        <v>1335</v>
      </c>
      <c r="L55" s="2" t="s">
        <v>1335</v>
      </c>
      <c r="M55" s="2"/>
      <c r="N55" s="2"/>
      <c r="O55" s="2"/>
      <c r="P55" s="2"/>
      <c r="Q55" s="21"/>
      <c r="R55" s="4" t="s">
        <v>1600</v>
      </c>
      <c r="T55" s="4"/>
      <c r="U55" s="4"/>
      <c r="V55" s="4"/>
      <c r="W55" s="4"/>
      <c r="X55" s="4"/>
      <c r="Y55" s="4" t="s">
        <v>1601</v>
      </c>
      <c r="Z55" s="4" t="s">
        <v>1602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1581</v>
      </c>
      <c r="AK55" s="4" t="s">
        <v>1582</v>
      </c>
      <c r="AL55" s="4"/>
      <c r="AM55" s="4"/>
      <c r="AN55" s="4"/>
      <c r="AO55" s="4"/>
      <c r="AP55" s="4"/>
      <c r="AQ55" s="4"/>
      <c r="AR55" s="92"/>
      <c r="AS55" s="92"/>
      <c r="AT55" s="92"/>
      <c r="AU55" s="92"/>
      <c r="AV55" s="92"/>
      <c r="AW55" s="8"/>
      <c r="AX55" s="8"/>
      <c r="AY55" s="8"/>
      <c r="AZ55" s="8"/>
      <c r="BA55" s="12"/>
      <c r="BB55" s="8"/>
      <c r="BC55" s="4" t="s">
        <v>1599</v>
      </c>
      <c r="BD55" s="4" t="s">
        <v>1534</v>
      </c>
      <c r="BE55" s="8"/>
      <c r="BF55" s="8"/>
      <c r="BG55" s="8"/>
      <c r="BH55" s="8"/>
      <c r="BI55" s="8" t="s">
        <v>1334</v>
      </c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 ht="20.25" customHeight="1">
      <c r="A56" s="8" t="s">
        <v>1526</v>
      </c>
      <c r="B56" s="8" t="s">
        <v>1335</v>
      </c>
      <c r="C56" s="15" t="s">
        <v>1335</v>
      </c>
      <c r="D56" s="15" t="str">
        <f t="shared" si="0"/>
        <v/>
      </c>
      <c r="E56" s="15" t="str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  <v>No</v>
      </c>
      <c r="F56" t="str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  <v/>
      </c>
      <c r="G56" s="4" t="s">
        <v>1575</v>
      </c>
      <c r="H56" s="4" t="s">
        <v>1595</v>
      </c>
      <c r="I56" s="4" t="s">
        <v>1577</v>
      </c>
      <c r="J56" s="2" t="s">
        <v>1317</v>
      </c>
      <c r="K56" s="2" t="s">
        <v>1335</v>
      </c>
      <c r="L56" s="2" t="s">
        <v>1335</v>
      </c>
      <c r="M56" s="2"/>
      <c r="N56" s="4"/>
      <c r="O56" s="4"/>
      <c r="P56" s="4"/>
      <c r="Q56" s="4"/>
      <c r="R56" s="4" t="s">
        <v>1603</v>
      </c>
      <c r="T56" s="4"/>
      <c r="U56" s="4"/>
      <c r="V56" s="4"/>
      <c r="W56" s="4"/>
      <c r="X56" s="4" t="s">
        <v>1604</v>
      </c>
      <c r="Y56" s="4" t="s">
        <v>1605</v>
      </c>
      <c r="Z56" s="4" t="s">
        <v>1606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92"/>
      <c r="AS56" s="92"/>
      <c r="AT56" s="92"/>
      <c r="AU56" s="92"/>
      <c r="AV56" s="92"/>
      <c r="AW56" s="8"/>
      <c r="AX56" s="8"/>
      <c r="AY56" s="8"/>
      <c r="AZ56" s="8"/>
      <c r="BA56" s="12"/>
      <c r="BB56" s="8"/>
      <c r="BC56" s="4"/>
      <c r="BD56" s="4" t="s">
        <v>1534</v>
      </c>
      <c r="BE56" s="8"/>
      <c r="BF56" s="8"/>
      <c r="BG56" s="8"/>
      <c r="BH56" s="8"/>
      <c r="BI56" s="8" t="s">
        <v>1334</v>
      </c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 ht="20.25" customHeight="1">
      <c r="A57" s="8" t="s">
        <v>1526</v>
      </c>
      <c r="B57" s="8" t="s">
        <v>1335</v>
      </c>
      <c r="C57" s="15" t="s">
        <v>1335</v>
      </c>
      <c r="D57" s="15" t="str">
        <f t="shared" si="0"/>
        <v/>
      </c>
      <c r="E57" s="15" t="str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  <v>No</v>
      </c>
      <c r="F57" t="str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  <v/>
      </c>
      <c r="G57" s="4" t="s">
        <v>1575</v>
      </c>
      <c r="H57" s="4" t="s">
        <v>1595</v>
      </c>
      <c r="I57" s="4" t="s">
        <v>1577</v>
      </c>
      <c r="J57" s="2" t="s">
        <v>1317</v>
      </c>
      <c r="K57" s="2" t="s">
        <v>1335</v>
      </c>
      <c r="L57" s="2" t="s">
        <v>1335</v>
      </c>
      <c r="M57" s="2"/>
      <c r="N57" s="4"/>
      <c r="O57" s="4"/>
      <c r="P57" s="4"/>
      <c r="Q57" s="4"/>
      <c r="R57" s="4" t="s">
        <v>1607</v>
      </c>
      <c r="T57" s="4"/>
      <c r="U57" s="4"/>
      <c r="V57" s="4"/>
      <c r="W57" s="4"/>
      <c r="X57" s="4"/>
      <c r="Y57" s="4" t="s">
        <v>1608</v>
      </c>
      <c r="Z57" s="4" t="s">
        <v>1609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92"/>
      <c r="AS57" s="92"/>
      <c r="AT57" s="92"/>
      <c r="AU57" s="92"/>
      <c r="AV57" s="92"/>
      <c r="AW57" s="8"/>
      <c r="AX57" s="8"/>
      <c r="AY57" s="8"/>
      <c r="AZ57" s="8"/>
      <c r="BA57" s="12"/>
      <c r="BB57" s="8"/>
      <c r="BC57" s="4"/>
      <c r="BD57" s="4" t="s">
        <v>1534</v>
      </c>
      <c r="BE57" s="8"/>
      <c r="BF57" s="8"/>
      <c r="BG57" s="8"/>
      <c r="BH57" s="8"/>
      <c r="BI57" s="8" t="s">
        <v>1334</v>
      </c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 ht="20.25" customHeight="1">
      <c r="A58" s="8" t="s">
        <v>1526</v>
      </c>
      <c r="B58" s="8" t="s">
        <v>1335</v>
      </c>
      <c r="C58" s="15" t="s">
        <v>1335</v>
      </c>
      <c r="D58" s="15" t="str">
        <f t="shared" si="0"/>
        <v/>
      </c>
      <c r="E58" s="15" t="str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  <v>No</v>
      </c>
      <c r="F58" t="str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  <v/>
      </c>
      <c r="G58" s="4" t="s">
        <v>1575</v>
      </c>
      <c r="H58" s="4" t="s">
        <v>1595</v>
      </c>
      <c r="I58" s="4" t="s">
        <v>1577</v>
      </c>
      <c r="J58" s="2" t="s">
        <v>1317</v>
      </c>
      <c r="K58" s="2" t="s">
        <v>1335</v>
      </c>
      <c r="L58" s="2" t="s">
        <v>1335</v>
      </c>
      <c r="M58" s="2"/>
      <c r="N58" s="4"/>
      <c r="O58" s="4"/>
      <c r="P58" s="4"/>
      <c r="Q58" s="4"/>
      <c r="R58" s="4" t="s">
        <v>1610</v>
      </c>
      <c r="T58" s="4"/>
      <c r="U58" s="4"/>
      <c r="V58" s="4"/>
      <c r="W58" s="4"/>
      <c r="X58" s="4"/>
      <c r="Y58" s="4" t="s">
        <v>1611</v>
      </c>
      <c r="Z58" s="4" t="s">
        <v>1612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92"/>
      <c r="AS58" s="92"/>
      <c r="AT58" s="92"/>
      <c r="AU58" s="92"/>
      <c r="AV58" s="92"/>
      <c r="AW58" s="8"/>
      <c r="AX58" s="8"/>
      <c r="AY58" s="8"/>
      <c r="AZ58" s="8"/>
      <c r="BA58" s="12"/>
      <c r="BB58" s="8"/>
      <c r="BC58" s="4"/>
      <c r="BD58" s="4" t="s">
        <v>1534</v>
      </c>
      <c r="BE58" s="8"/>
      <c r="BF58" s="8"/>
      <c r="BG58" s="8"/>
      <c r="BH58" s="8"/>
      <c r="BI58" s="8" t="s">
        <v>1334</v>
      </c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 ht="20.25" customHeight="1">
      <c r="A59" s="8" t="s">
        <v>1526</v>
      </c>
      <c r="B59" s="8" t="s">
        <v>1335</v>
      </c>
      <c r="C59" s="15" t="s">
        <v>1335</v>
      </c>
      <c r="D59" s="15" t="str">
        <f t="shared" si="0"/>
        <v/>
      </c>
      <c r="E59" s="15" t="str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  <v>No</v>
      </c>
      <c r="F59" t="str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  <v/>
      </c>
      <c r="G59" s="4" t="s">
        <v>1575</v>
      </c>
      <c r="H59" s="4" t="s">
        <v>1595</v>
      </c>
      <c r="I59" s="4" t="s">
        <v>1577</v>
      </c>
      <c r="J59" s="2" t="s">
        <v>1317</v>
      </c>
      <c r="K59" s="2" t="s">
        <v>1335</v>
      </c>
      <c r="L59" s="2" t="s">
        <v>1335</v>
      </c>
      <c r="M59" s="2"/>
      <c r="N59" s="4"/>
      <c r="O59" s="4"/>
      <c r="P59" s="4"/>
      <c r="Q59" s="4"/>
      <c r="R59" s="4" t="s">
        <v>1613</v>
      </c>
      <c r="T59" s="4"/>
      <c r="U59" s="4"/>
      <c r="V59" s="4"/>
      <c r="W59" s="4"/>
      <c r="X59" s="4"/>
      <c r="Y59" s="4" t="s">
        <v>1614</v>
      </c>
      <c r="Z59" s="4" t="s">
        <v>1615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92"/>
      <c r="AS59" s="92"/>
      <c r="AT59" s="92"/>
      <c r="AU59" s="92"/>
      <c r="AV59" s="92"/>
      <c r="AW59" s="8"/>
      <c r="AX59" s="8"/>
      <c r="AY59" s="8"/>
      <c r="AZ59" s="8"/>
      <c r="BA59" s="12"/>
      <c r="BB59" s="8"/>
      <c r="BC59" s="4"/>
      <c r="BD59" s="4" t="s">
        <v>1534</v>
      </c>
      <c r="BE59" s="8"/>
      <c r="BF59" s="8"/>
      <c r="BG59" s="8"/>
      <c r="BH59" s="8"/>
      <c r="BI59" s="8" t="s">
        <v>1334</v>
      </c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 ht="20.25" customHeight="1">
      <c r="A60" s="8" t="s">
        <v>1526</v>
      </c>
      <c r="B60" s="8" t="s">
        <v>1335</v>
      </c>
      <c r="C60" s="15" t="s">
        <v>1335</v>
      </c>
      <c r="D60" s="15" t="str">
        <f t="shared" si="0"/>
        <v/>
      </c>
      <c r="E60" s="15" t="str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  <v>No</v>
      </c>
      <c r="F60" t="str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  <v/>
      </c>
      <c r="G60" s="4" t="s">
        <v>1575</v>
      </c>
      <c r="H60" s="4" t="s">
        <v>1595</v>
      </c>
      <c r="I60" s="4" t="s">
        <v>1577</v>
      </c>
      <c r="J60" s="2" t="s">
        <v>1317</v>
      </c>
      <c r="K60" s="2" t="s">
        <v>1335</v>
      </c>
      <c r="L60" s="2" t="s">
        <v>1335</v>
      </c>
      <c r="M60" s="2"/>
      <c r="N60" s="4"/>
      <c r="O60" s="4"/>
      <c r="P60" s="4"/>
      <c r="Q60" s="4"/>
      <c r="R60" s="4" t="s">
        <v>1616</v>
      </c>
      <c r="T60" s="4"/>
      <c r="U60" s="4"/>
      <c r="V60" s="4"/>
      <c r="W60" s="4"/>
      <c r="X60" s="4"/>
      <c r="Y60" s="4" t="s">
        <v>1617</v>
      </c>
      <c r="Z60" s="4" t="s">
        <v>1618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92"/>
      <c r="AS60" s="92"/>
      <c r="AT60" s="92"/>
      <c r="AU60" s="92"/>
      <c r="AV60" s="92"/>
      <c r="AW60" s="8"/>
      <c r="AX60" s="8"/>
      <c r="AY60" s="8"/>
      <c r="AZ60" s="8"/>
      <c r="BA60" s="12"/>
      <c r="BB60" s="8"/>
      <c r="BC60" s="4"/>
      <c r="BD60" s="4" t="s">
        <v>1534</v>
      </c>
      <c r="BE60" s="8"/>
      <c r="BF60" s="8"/>
      <c r="BG60" s="8"/>
      <c r="BH60" s="8"/>
      <c r="BI60" s="8" t="s">
        <v>1334</v>
      </c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 ht="20.25" customHeight="1">
      <c r="A61" s="8" t="s">
        <v>1526</v>
      </c>
      <c r="B61" s="8" t="s">
        <v>1335</v>
      </c>
      <c r="C61" s="15" t="s">
        <v>1335</v>
      </c>
      <c r="D61" s="15" t="str">
        <f t="shared" si="0"/>
        <v/>
      </c>
      <c r="E61" s="15" t="str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  <v>No</v>
      </c>
      <c r="F61" t="str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  <v/>
      </c>
      <c r="G61" s="4" t="s">
        <v>1575</v>
      </c>
      <c r="H61" s="4" t="s">
        <v>1595</v>
      </c>
      <c r="I61" s="4" t="s">
        <v>1577</v>
      </c>
      <c r="J61" s="2" t="s">
        <v>1317</v>
      </c>
      <c r="K61" s="2" t="s">
        <v>1335</v>
      </c>
      <c r="L61" s="2" t="s">
        <v>1335</v>
      </c>
      <c r="M61" s="2"/>
      <c r="N61" s="4"/>
      <c r="O61" s="4"/>
      <c r="P61" s="4"/>
      <c r="Q61" s="4"/>
      <c r="R61" s="4" t="s">
        <v>1619</v>
      </c>
      <c r="T61" s="4"/>
      <c r="U61" s="4"/>
      <c r="V61" s="4"/>
      <c r="W61" s="4"/>
      <c r="X61" s="4"/>
      <c r="Y61" s="4" t="s">
        <v>1620</v>
      </c>
      <c r="Z61" s="4" t="s">
        <v>1621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92"/>
      <c r="AS61" s="92"/>
      <c r="AT61" s="92"/>
      <c r="AU61" s="92"/>
      <c r="AV61" s="92"/>
      <c r="AW61" s="8"/>
      <c r="AX61" s="8"/>
      <c r="AY61" s="8"/>
      <c r="AZ61" s="8"/>
      <c r="BA61" s="12"/>
      <c r="BB61" s="8"/>
      <c r="BC61" s="4"/>
      <c r="BD61" s="4" t="s">
        <v>1534</v>
      </c>
      <c r="BE61" s="8"/>
      <c r="BF61" s="8"/>
      <c r="BG61" s="8"/>
      <c r="BH61" s="8"/>
      <c r="BI61" s="8" t="s">
        <v>1334</v>
      </c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 ht="20.25" customHeight="1">
      <c r="A62" s="8" t="s">
        <v>1526</v>
      </c>
      <c r="B62" s="8" t="s">
        <v>1335</v>
      </c>
      <c r="C62" s="15" t="s">
        <v>1335</v>
      </c>
      <c r="D62" s="15" t="str">
        <f t="shared" si="0"/>
        <v/>
      </c>
      <c r="E62" s="15" t="str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  <v>No</v>
      </c>
      <c r="F62" t="str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  <v/>
      </c>
      <c r="G62" s="4" t="s">
        <v>1575</v>
      </c>
      <c r="H62" s="4" t="s">
        <v>1595</v>
      </c>
      <c r="I62" s="4" t="s">
        <v>1577</v>
      </c>
      <c r="J62" s="2" t="s">
        <v>1317</v>
      </c>
      <c r="K62" s="2" t="s">
        <v>1335</v>
      </c>
      <c r="L62" s="2" t="s">
        <v>1335</v>
      </c>
      <c r="M62" s="2"/>
      <c r="N62" s="4"/>
      <c r="O62" s="4"/>
      <c r="P62" s="4"/>
      <c r="Q62" s="4"/>
      <c r="R62" s="4" t="s">
        <v>1622</v>
      </c>
      <c r="T62" s="4"/>
      <c r="U62" s="4"/>
      <c r="V62" s="4"/>
      <c r="W62" s="4"/>
      <c r="X62" s="4"/>
      <c r="Y62" s="4" t="s">
        <v>1623</v>
      </c>
      <c r="Z62" s="4" t="s">
        <v>1624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92"/>
      <c r="AS62" s="92"/>
      <c r="AT62" s="92"/>
      <c r="AU62" s="92"/>
      <c r="AV62" s="92"/>
      <c r="AW62" s="8"/>
      <c r="AX62" s="8"/>
      <c r="AY62" s="8"/>
      <c r="AZ62" s="8"/>
      <c r="BA62" s="12"/>
      <c r="BB62" s="8"/>
      <c r="BC62" s="4"/>
      <c r="BD62" s="4" t="s">
        <v>1534</v>
      </c>
      <c r="BE62" s="8"/>
      <c r="BF62" s="8"/>
      <c r="BG62" s="8"/>
      <c r="BH62" s="8"/>
      <c r="BI62" s="8" t="s">
        <v>1334</v>
      </c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 ht="20.25" customHeight="1">
      <c r="A63" s="8" t="s">
        <v>1526</v>
      </c>
      <c r="B63" s="8" t="s">
        <v>1335</v>
      </c>
      <c r="C63" s="15" t="s">
        <v>1335</v>
      </c>
      <c r="D63" s="15" t="str">
        <f t="shared" si="0"/>
        <v/>
      </c>
      <c r="E63" s="15" t="str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  <v>No</v>
      </c>
      <c r="F63" t="str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  <v/>
      </c>
      <c r="G63" s="4" t="s">
        <v>1575</v>
      </c>
      <c r="H63" s="4" t="s">
        <v>1595</v>
      </c>
      <c r="I63" s="4" t="s">
        <v>1577</v>
      </c>
      <c r="J63" s="2" t="s">
        <v>1317</v>
      </c>
      <c r="K63" s="2" t="s">
        <v>1335</v>
      </c>
      <c r="L63" s="2" t="s">
        <v>1335</v>
      </c>
      <c r="M63" s="2"/>
      <c r="N63" s="4"/>
      <c r="O63" s="4"/>
      <c r="P63" s="4"/>
      <c r="Q63" s="4"/>
      <c r="R63" s="4" t="s">
        <v>1625</v>
      </c>
      <c r="T63" s="4"/>
      <c r="U63" s="4"/>
      <c r="V63" s="4"/>
      <c r="W63" s="4"/>
      <c r="X63" s="4"/>
      <c r="Y63" s="4" t="s">
        <v>1626</v>
      </c>
      <c r="Z63" s="4" t="s">
        <v>1627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92"/>
      <c r="AS63" s="92"/>
      <c r="AT63" s="92"/>
      <c r="AU63" s="92"/>
      <c r="AV63" s="92"/>
      <c r="AW63" s="8"/>
      <c r="AX63" s="8"/>
      <c r="AY63" s="8"/>
      <c r="AZ63" s="8"/>
      <c r="BA63" s="12"/>
      <c r="BB63" s="8"/>
      <c r="BC63" s="4"/>
      <c r="BD63" s="4" t="s">
        <v>1534</v>
      </c>
      <c r="BE63" s="8"/>
      <c r="BF63" s="8"/>
      <c r="BG63" s="8"/>
      <c r="BH63" s="8"/>
      <c r="BI63" s="8" t="s">
        <v>1334</v>
      </c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 ht="20.25" customHeight="1">
      <c r="A64" s="8" t="s">
        <v>1526</v>
      </c>
      <c r="B64" s="8" t="s">
        <v>1335</v>
      </c>
      <c r="C64" s="15" t="s">
        <v>1335</v>
      </c>
      <c r="D64" s="15" t="str">
        <f t="shared" si="0"/>
        <v/>
      </c>
      <c r="E64" s="15" t="str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  <v>No</v>
      </c>
      <c r="F64" t="str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  <v/>
      </c>
      <c r="G64" s="4" t="s">
        <v>1575</v>
      </c>
      <c r="H64" s="4" t="s">
        <v>1595</v>
      </c>
      <c r="I64" s="4" t="s">
        <v>1577</v>
      </c>
      <c r="J64" s="2" t="s">
        <v>1317</v>
      </c>
      <c r="K64" s="2" t="s">
        <v>1335</v>
      </c>
      <c r="L64" s="2" t="s">
        <v>1335</v>
      </c>
      <c r="M64" s="2"/>
      <c r="N64" s="4"/>
      <c r="O64" s="4"/>
      <c r="P64" s="4"/>
      <c r="Q64" s="4"/>
      <c r="R64" s="4" t="s">
        <v>1628</v>
      </c>
      <c r="T64" s="4"/>
      <c r="U64" s="4"/>
      <c r="V64" s="4"/>
      <c r="W64" s="4"/>
      <c r="X64" s="4"/>
      <c r="Y64" s="4" t="s">
        <v>1629</v>
      </c>
      <c r="Z64" s="4" t="s">
        <v>1630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92"/>
      <c r="AS64" s="92"/>
      <c r="AT64" s="92"/>
      <c r="AU64" s="92"/>
      <c r="AV64" s="92"/>
      <c r="AW64" s="8"/>
      <c r="AX64" s="8"/>
      <c r="AY64" s="8"/>
      <c r="AZ64" s="8"/>
      <c r="BA64" s="12"/>
      <c r="BB64" s="8"/>
      <c r="BC64" s="4"/>
      <c r="BD64" s="4" t="s">
        <v>1534</v>
      </c>
      <c r="BE64" s="8"/>
      <c r="BF64" s="8"/>
      <c r="BG64" s="8"/>
      <c r="BH64" s="8"/>
      <c r="BI64" s="8" t="s">
        <v>1334</v>
      </c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 ht="20.25" customHeight="1">
      <c r="A65" s="8" t="s">
        <v>1526</v>
      </c>
      <c r="B65" s="8" t="s">
        <v>1335</v>
      </c>
      <c r="C65" s="15" t="s">
        <v>1335</v>
      </c>
      <c r="D65" s="15" t="str">
        <f t="shared" si="0"/>
        <v/>
      </c>
      <c r="E65" s="15" t="str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  <v>No</v>
      </c>
      <c r="F65" t="str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  <v/>
      </c>
      <c r="G65" s="4" t="s">
        <v>1575</v>
      </c>
      <c r="H65" s="4" t="s">
        <v>1595</v>
      </c>
      <c r="I65" s="4" t="s">
        <v>1577</v>
      </c>
      <c r="J65" s="2" t="s">
        <v>1317</v>
      </c>
      <c r="K65" s="2" t="s">
        <v>1335</v>
      </c>
      <c r="L65" s="2" t="s">
        <v>1335</v>
      </c>
      <c r="M65" s="2"/>
      <c r="N65" s="4"/>
      <c r="O65" s="4"/>
      <c r="P65" s="4"/>
      <c r="Q65" s="4"/>
      <c r="R65" s="4" t="s">
        <v>1631</v>
      </c>
      <c r="T65" s="4"/>
      <c r="U65" s="4"/>
      <c r="V65" s="4"/>
      <c r="W65" s="4"/>
      <c r="X65" s="4"/>
      <c r="Y65" s="4" t="s">
        <v>1632</v>
      </c>
      <c r="Z65" s="20" t="s">
        <v>1633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92"/>
      <c r="AS65" s="92"/>
      <c r="AT65" s="92"/>
      <c r="AU65" s="92"/>
      <c r="AV65" s="92"/>
      <c r="AW65" s="8"/>
      <c r="AX65" s="8"/>
      <c r="AY65" s="8"/>
      <c r="AZ65" s="8"/>
      <c r="BA65" s="12"/>
      <c r="BB65" s="8"/>
      <c r="BC65" s="4"/>
      <c r="BD65" s="4" t="s">
        <v>1534</v>
      </c>
      <c r="BE65" s="8"/>
      <c r="BF65" s="8"/>
      <c r="BG65" s="8"/>
      <c r="BH65" s="8"/>
      <c r="BI65" s="8" t="s">
        <v>1334</v>
      </c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 ht="20.25" customHeight="1">
      <c r="A66" s="8" t="s">
        <v>1526</v>
      </c>
      <c r="B66" s="8" t="s">
        <v>1335</v>
      </c>
      <c r="C66" s="15" t="s">
        <v>1335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  <v>No</v>
      </c>
      <c r="F66" t="str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  <v/>
      </c>
      <c r="G66" s="4" t="s">
        <v>1575</v>
      </c>
      <c r="H66" s="4" t="s">
        <v>1595</v>
      </c>
      <c r="I66" s="4" t="s">
        <v>1577</v>
      </c>
      <c r="J66" s="2" t="s">
        <v>1317</v>
      </c>
      <c r="K66" s="2" t="s">
        <v>1335</v>
      </c>
      <c r="L66" s="2" t="s">
        <v>1335</v>
      </c>
      <c r="M66" s="2"/>
      <c r="N66" s="4"/>
      <c r="O66" s="4"/>
      <c r="P66" s="4"/>
      <c r="Q66" s="4"/>
      <c r="R66" s="4" t="s">
        <v>1634</v>
      </c>
      <c r="T66" s="4"/>
      <c r="U66" s="4"/>
      <c r="V66" s="4"/>
      <c r="W66" s="4"/>
      <c r="X66" s="4"/>
      <c r="Y66" t="s">
        <v>1635</v>
      </c>
      <c r="Z66" s="4" t="s">
        <v>1636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92"/>
      <c r="AS66" s="92"/>
      <c r="AT66" s="92"/>
      <c r="AU66" s="92"/>
      <c r="AV66" s="92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 t="s">
        <v>1334</v>
      </c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 ht="20.25" customHeight="1">
      <c r="A67" s="8" t="s">
        <v>1526</v>
      </c>
      <c r="B67" s="8" t="s">
        <v>1335</v>
      </c>
      <c r="C67" s="15" t="s">
        <v>1335</v>
      </c>
      <c r="D67" s="15" t="str">
        <f t="shared" si="5"/>
        <v/>
      </c>
      <c r="E67" s="15" t="str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  <v>No</v>
      </c>
      <c r="F67" t="str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  <v/>
      </c>
      <c r="G67" s="4" t="s">
        <v>1575</v>
      </c>
      <c r="H67" s="4" t="s">
        <v>1595</v>
      </c>
      <c r="I67" s="4" t="s">
        <v>1577</v>
      </c>
      <c r="J67" s="2" t="s">
        <v>1317</v>
      </c>
      <c r="K67" s="2" t="s">
        <v>1335</v>
      </c>
      <c r="L67" s="2" t="s">
        <v>1335</v>
      </c>
      <c r="M67" s="2"/>
      <c r="N67" s="4"/>
      <c r="O67" s="4"/>
      <c r="P67" s="4"/>
      <c r="Q67" s="4"/>
      <c r="R67" s="4" t="s">
        <v>1637</v>
      </c>
      <c r="T67" s="4"/>
      <c r="U67" s="4"/>
      <c r="V67" s="4"/>
      <c r="W67" s="4"/>
      <c r="X67" s="4"/>
      <c r="Y67" s="4" t="s">
        <v>1638</v>
      </c>
      <c r="Z67" s="4" t="s">
        <v>1639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92"/>
      <c r="AS67" s="92"/>
      <c r="AT67" s="92"/>
      <c r="AU67" s="92"/>
      <c r="AV67" s="92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 t="s">
        <v>1334</v>
      </c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 ht="20.25" customHeight="1">
      <c r="A68" s="8" t="s">
        <v>1526</v>
      </c>
      <c r="B68" s="8" t="s">
        <v>1335</v>
      </c>
      <c r="C68" s="15" t="s">
        <v>1335</v>
      </c>
      <c r="D68" s="15" t="str">
        <f t="shared" si="5"/>
        <v/>
      </c>
      <c r="E68" s="15" t="str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  <v>No</v>
      </c>
      <c r="F68" t="str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  <v/>
      </c>
      <c r="G68" s="4" t="s">
        <v>1575</v>
      </c>
      <c r="H68" s="4" t="s">
        <v>1595</v>
      </c>
      <c r="I68" s="4" t="s">
        <v>1577</v>
      </c>
      <c r="J68" s="2" t="s">
        <v>1317</v>
      </c>
      <c r="K68" s="2" t="s">
        <v>1335</v>
      </c>
      <c r="L68" s="2" t="s">
        <v>1335</v>
      </c>
      <c r="M68" s="2"/>
      <c r="N68" s="4"/>
      <c r="O68" s="4"/>
      <c r="P68" s="4"/>
      <c r="Q68" s="4"/>
      <c r="R68" s="4" t="s">
        <v>1640</v>
      </c>
      <c r="T68" s="4"/>
      <c r="U68" s="4"/>
      <c r="V68" s="4"/>
      <c r="W68" s="4"/>
      <c r="X68" s="4"/>
      <c r="Y68" s="4" t="s">
        <v>1641</v>
      </c>
      <c r="Z68" s="4" t="s">
        <v>1642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92"/>
      <c r="AS68" s="92"/>
      <c r="AT68" s="92"/>
      <c r="AU68" s="92"/>
      <c r="AV68" s="92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 t="s">
        <v>1334</v>
      </c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 ht="20.25" customHeight="1">
      <c r="A69" s="8" t="s">
        <v>1526</v>
      </c>
      <c r="B69" s="8" t="s">
        <v>1335</v>
      </c>
      <c r="C69" s="15" t="s">
        <v>1335</v>
      </c>
      <c r="D69" s="15" t="str">
        <f t="shared" si="5"/>
        <v/>
      </c>
      <c r="E69" s="15" t="str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  <v>No</v>
      </c>
      <c r="F69" t="str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  <v/>
      </c>
      <c r="G69" s="4" t="s">
        <v>1575</v>
      </c>
      <c r="H69" s="4" t="s">
        <v>1643</v>
      </c>
      <c r="I69" s="4" t="s">
        <v>1577</v>
      </c>
      <c r="J69" s="2" t="s">
        <v>1317</v>
      </c>
      <c r="K69" s="2" t="s">
        <v>1335</v>
      </c>
      <c r="L69" s="2" t="s">
        <v>1335</v>
      </c>
      <c r="M69" s="2"/>
      <c r="N69" s="4"/>
      <c r="O69" s="4"/>
      <c r="P69" s="4"/>
      <c r="Q69" s="4"/>
      <c r="R69" s="4" t="s">
        <v>1644</v>
      </c>
      <c r="T69" s="4"/>
      <c r="U69" s="4"/>
      <c r="V69" s="4"/>
      <c r="W69" s="4"/>
      <c r="X69" s="4"/>
      <c r="Y69" s="4" t="s">
        <v>1645</v>
      </c>
      <c r="Z69" s="4" t="s">
        <v>1646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92"/>
      <c r="AS69" s="92"/>
      <c r="AT69" s="92"/>
      <c r="AU69" s="92"/>
      <c r="AV69" s="92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 t="s">
        <v>1334</v>
      </c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 ht="20.25" customHeight="1">
      <c r="A70" s="8" t="s">
        <v>1526</v>
      </c>
      <c r="B70" s="8" t="s">
        <v>1335</v>
      </c>
      <c r="C70" s="15" t="s">
        <v>1335</v>
      </c>
      <c r="D70" s="15" t="str">
        <f t="shared" si="5"/>
        <v/>
      </c>
      <c r="E70" s="15" t="str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  <v>No</v>
      </c>
      <c r="F70" t="str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  <v/>
      </c>
      <c r="G70" s="4" t="s">
        <v>1575</v>
      </c>
      <c r="H70" s="4" t="s">
        <v>1643</v>
      </c>
      <c r="I70" s="4" t="s">
        <v>1577</v>
      </c>
      <c r="J70" s="2" t="s">
        <v>1317</v>
      </c>
      <c r="K70" s="2" t="s">
        <v>1335</v>
      </c>
      <c r="L70" s="2" t="s">
        <v>1335</v>
      </c>
      <c r="M70" s="2"/>
      <c r="N70" s="4"/>
      <c r="O70" s="4"/>
      <c r="P70" s="4"/>
      <c r="Q70" s="4"/>
      <c r="R70" s="4" t="s">
        <v>1647</v>
      </c>
      <c r="T70" s="4"/>
      <c r="U70" s="4"/>
      <c r="V70" s="4"/>
      <c r="W70" s="4"/>
      <c r="X70" s="4"/>
      <c r="Y70" s="4" t="s">
        <v>1648</v>
      </c>
      <c r="Z70" s="4" t="s">
        <v>1649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92"/>
      <c r="AS70" s="92"/>
      <c r="AT70" s="92"/>
      <c r="AU70" s="92"/>
      <c r="AV70" s="92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 t="s">
        <v>1334</v>
      </c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 ht="20.25" customHeight="1">
      <c r="A71" s="8" t="s">
        <v>1526</v>
      </c>
      <c r="B71" s="8" t="s">
        <v>1335</v>
      </c>
      <c r="C71" s="15" t="s">
        <v>1335</v>
      </c>
      <c r="D71" s="15" t="str">
        <f t="shared" si="5"/>
        <v/>
      </c>
      <c r="E71" s="15" t="str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  <v>No</v>
      </c>
      <c r="F71" t="str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  <v/>
      </c>
      <c r="G71" s="4" t="s">
        <v>1575</v>
      </c>
      <c r="H71" s="4" t="s">
        <v>1643</v>
      </c>
      <c r="I71" s="4" t="s">
        <v>1577</v>
      </c>
      <c r="J71" s="2" t="s">
        <v>1317</v>
      </c>
      <c r="K71" s="2" t="s">
        <v>1335</v>
      </c>
      <c r="L71" s="2" t="s">
        <v>1335</v>
      </c>
      <c r="M71" s="2"/>
      <c r="N71" s="4"/>
      <c r="O71" s="4"/>
      <c r="P71" s="4"/>
      <c r="Q71" s="4"/>
      <c r="R71" s="4" t="s">
        <v>1650</v>
      </c>
      <c r="T71" s="4"/>
      <c r="U71" s="4"/>
      <c r="V71" s="4"/>
      <c r="W71" s="4"/>
      <c r="X71" s="4"/>
      <c r="Y71" s="4" t="s">
        <v>1651</v>
      </c>
      <c r="Z71" s="4" t="s">
        <v>1652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92"/>
      <c r="AS71" s="92"/>
      <c r="AT71" s="92"/>
      <c r="AU71" s="92"/>
      <c r="AV71" s="92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 t="s">
        <v>1334</v>
      </c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 ht="20.25" customHeight="1">
      <c r="A72" s="8" t="s">
        <v>1526</v>
      </c>
      <c r="B72" s="8" t="s">
        <v>1335</v>
      </c>
      <c r="C72" s="15" t="s">
        <v>1335</v>
      </c>
      <c r="D72" s="15" t="str">
        <f t="shared" si="5"/>
        <v/>
      </c>
      <c r="E72" s="15" t="str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  <v>No</v>
      </c>
      <c r="F72" t="str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  <v/>
      </c>
      <c r="G72" s="4" t="s">
        <v>1575</v>
      </c>
      <c r="H72" s="4" t="s">
        <v>1643</v>
      </c>
      <c r="I72" s="4" t="s">
        <v>1577</v>
      </c>
      <c r="J72" s="2" t="s">
        <v>1317</v>
      </c>
      <c r="K72" s="2" t="s">
        <v>1335</v>
      </c>
      <c r="L72" s="2" t="s">
        <v>1335</v>
      </c>
      <c r="M72" s="2"/>
      <c r="N72" s="4"/>
      <c r="O72" s="4"/>
      <c r="P72" s="4"/>
      <c r="Q72" s="4"/>
      <c r="R72" s="4" t="s">
        <v>1653</v>
      </c>
      <c r="T72" s="4"/>
      <c r="U72" s="4"/>
      <c r="V72" s="4"/>
      <c r="W72" s="4"/>
      <c r="X72" s="4"/>
      <c r="Y72" s="4" t="s">
        <v>1654</v>
      </c>
      <c r="Z72" s="4" t="s">
        <v>1655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92"/>
      <c r="AS72" s="92"/>
      <c r="AT72" s="92"/>
      <c r="AU72" s="92"/>
      <c r="AV72" s="92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 t="s">
        <v>1334</v>
      </c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 ht="20.25" customHeight="1">
      <c r="A73" s="8" t="s">
        <v>1526</v>
      </c>
      <c r="B73" s="8" t="s">
        <v>1335</v>
      </c>
      <c r="C73" s="15" t="s">
        <v>1335</v>
      </c>
      <c r="D73" s="15" t="str">
        <f t="shared" si="5"/>
        <v/>
      </c>
      <c r="E73" s="15" t="str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  <v>No</v>
      </c>
      <c r="F73" t="str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  <v/>
      </c>
      <c r="G73" s="4" t="s">
        <v>1575</v>
      </c>
      <c r="H73" s="4" t="s">
        <v>1643</v>
      </c>
      <c r="I73" s="4" t="s">
        <v>1577</v>
      </c>
      <c r="J73" s="2" t="s">
        <v>1317</v>
      </c>
      <c r="K73" s="2" t="s">
        <v>1335</v>
      </c>
      <c r="L73" s="2" t="s">
        <v>1335</v>
      </c>
      <c r="M73" s="2"/>
      <c r="N73" s="4"/>
      <c r="O73" s="4"/>
      <c r="P73" s="4"/>
      <c r="Q73" s="4"/>
      <c r="R73" s="4" t="s">
        <v>1656</v>
      </c>
      <c r="T73" s="4"/>
      <c r="U73" s="4"/>
      <c r="V73" s="4"/>
      <c r="W73" s="4"/>
      <c r="X73" s="4"/>
      <c r="Y73" s="4" t="s">
        <v>1657</v>
      </c>
      <c r="Z73" s="4" t="s">
        <v>1658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92"/>
      <c r="AS73" s="92"/>
      <c r="AT73" s="92"/>
      <c r="AU73" s="92"/>
      <c r="AV73" s="92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 t="s">
        <v>1334</v>
      </c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 ht="20.25" customHeight="1">
      <c r="A74" s="8" t="s">
        <v>1526</v>
      </c>
      <c r="B74" s="8" t="s">
        <v>1335</v>
      </c>
      <c r="C74" s="15" t="s">
        <v>1335</v>
      </c>
      <c r="D74" s="15" t="str">
        <f t="shared" si="5"/>
        <v/>
      </c>
      <c r="E74" s="15" t="str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  <v>No</v>
      </c>
      <c r="F74" t="str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  <v/>
      </c>
      <c r="G74" s="4" t="s">
        <v>1575</v>
      </c>
      <c r="H74" s="4" t="s">
        <v>1643</v>
      </c>
      <c r="I74" s="4" t="s">
        <v>1577</v>
      </c>
      <c r="J74" s="2" t="s">
        <v>1317</v>
      </c>
      <c r="K74" s="2" t="s">
        <v>1335</v>
      </c>
      <c r="L74" s="2" t="s">
        <v>1335</v>
      </c>
      <c r="M74" s="2"/>
      <c r="N74" s="4"/>
      <c r="O74" s="4"/>
      <c r="P74" s="4"/>
      <c r="Q74" s="4"/>
      <c r="R74" s="4" t="s">
        <v>1659</v>
      </c>
      <c r="T74" s="4"/>
      <c r="U74" s="4"/>
      <c r="V74" s="4"/>
      <c r="W74" s="4"/>
      <c r="X74" s="4"/>
      <c r="Y74" s="4" t="s">
        <v>1660</v>
      </c>
      <c r="Z74" s="4" t="s">
        <v>1661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92"/>
      <c r="AS74" s="92"/>
      <c r="AT74" s="92"/>
      <c r="AU74" s="92"/>
      <c r="AV74" s="92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 t="s">
        <v>1334</v>
      </c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 ht="20.25" customHeight="1">
      <c r="A75" s="8" t="s">
        <v>1526</v>
      </c>
      <c r="B75" s="8" t="s">
        <v>1335</v>
      </c>
      <c r="C75" s="15" t="s">
        <v>1335</v>
      </c>
      <c r="D75" s="15" t="str">
        <f t="shared" si="5"/>
        <v/>
      </c>
      <c r="E75" s="15" t="str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  <v>No</v>
      </c>
      <c r="F75" t="str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  <v/>
      </c>
      <c r="G75" s="4" t="s">
        <v>1575</v>
      </c>
      <c r="H75" s="4" t="s">
        <v>1643</v>
      </c>
      <c r="I75" s="4" t="s">
        <v>1577</v>
      </c>
      <c r="J75" s="2" t="s">
        <v>1317</v>
      </c>
      <c r="K75" s="2" t="s">
        <v>1335</v>
      </c>
      <c r="L75" s="2" t="s">
        <v>1335</v>
      </c>
      <c r="M75" s="2"/>
      <c r="N75" s="4"/>
      <c r="O75" s="4"/>
      <c r="P75" s="4"/>
      <c r="Q75" s="4"/>
      <c r="R75" s="4" t="s">
        <v>1662</v>
      </c>
      <c r="T75" s="4"/>
      <c r="U75" s="4"/>
      <c r="V75" s="4"/>
      <c r="W75" s="4"/>
      <c r="X75" s="4"/>
      <c r="Y75" s="4" t="s">
        <v>1663</v>
      </c>
      <c r="Z75" s="4" t="s">
        <v>1664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92"/>
      <c r="AS75" s="92"/>
      <c r="AT75" s="92"/>
      <c r="AU75" s="92"/>
      <c r="AV75" s="92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 t="s">
        <v>1334</v>
      </c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 ht="20.25" customHeight="1">
      <c r="A76" s="8" t="s">
        <v>1526</v>
      </c>
      <c r="B76" s="8" t="s">
        <v>1335</v>
      </c>
      <c r="C76" s="15" t="s">
        <v>1335</v>
      </c>
      <c r="D76" s="15" t="str">
        <f t="shared" si="5"/>
        <v/>
      </c>
      <c r="E76" s="15" t="str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  <v>No</v>
      </c>
      <c r="F76" t="str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  <v/>
      </c>
      <c r="G76" s="4" t="s">
        <v>1575</v>
      </c>
      <c r="H76" s="4" t="s">
        <v>1643</v>
      </c>
      <c r="I76" s="4" t="s">
        <v>1577</v>
      </c>
      <c r="J76" s="2" t="s">
        <v>1317</v>
      </c>
      <c r="K76" s="2" t="s">
        <v>1335</v>
      </c>
      <c r="L76" s="2" t="s">
        <v>1335</v>
      </c>
      <c r="M76" s="2"/>
      <c r="N76" s="4"/>
      <c r="O76" s="4"/>
      <c r="P76" s="4"/>
      <c r="Q76" s="4"/>
      <c r="R76" s="4" t="s">
        <v>1665</v>
      </c>
      <c r="T76" s="4"/>
      <c r="U76" s="4"/>
      <c r="V76" s="4"/>
      <c r="W76" s="4"/>
      <c r="X76" s="4"/>
      <c r="Y76" s="4" t="s">
        <v>1666</v>
      </c>
      <c r="Z76" s="4" t="s">
        <v>1667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92"/>
      <c r="AS76" s="92"/>
      <c r="AT76" s="92"/>
      <c r="AU76" s="92"/>
      <c r="AV76" s="92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 t="s">
        <v>1334</v>
      </c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 ht="20.25" customHeight="1">
      <c r="A77" s="8" t="s">
        <v>1526</v>
      </c>
      <c r="B77" s="8" t="s">
        <v>1335</v>
      </c>
      <c r="C77" s="15" t="s">
        <v>1335</v>
      </c>
      <c r="D77" s="15" t="str">
        <f t="shared" si="5"/>
        <v/>
      </c>
      <c r="E77" s="15" t="str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  <v>No</v>
      </c>
      <c r="F77" t="str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  <v/>
      </c>
      <c r="G77" s="4" t="s">
        <v>1575</v>
      </c>
      <c r="H77" s="4" t="s">
        <v>1643</v>
      </c>
      <c r="I77" s="4" t="s">
        <v>1577</v>
      </c>
      <c r="J77" s="2" t="s">
        <v>1317</v>
      </c>
      <c r="K77" s="2" t="s">
        <v>1335</v>
      </c>
      <c r="L77" s="2" t="s">
        <v>1335</v>
      </c>
      <c r="M77" s="2"/>
      <c r="N77" s="4"/>
      <c r="O77" s="4"/>
      <c r="P77" s="4"/>
      <c r="Q77" s="4"/>
      <c r="R77" s="4" t="s">
        <v>1668</v>
      </c>
      <c r="T77" s="4"/>
      <c r="U77" s="4"/>
      <c r="V77" s="4"/>
      <c r="W77" s="4"/>
      <c r="X77" s="4"/>
      <c r="Y77" s="4" t="s">
        <v>1669</v>
      </c>
      <c r="Z77" s="4" t="s">
        <v>1670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92"/>
      <c r="AS77" s="92"/>
      <c r="AT77" s="92"/>
      <c r="AU77" s="92"/>
      <c r="AV77" s="92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 t="s">
        <v>1334</v>
      </c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 ht="20.25" customHeight="1">
      <c r="A78" s="8" t="s">
        <v>1526</v>
      </c>
      <c r="B78" s="8"/>
      <c r="C78" s="15" t="s">
        <v>1335</v>
      </c>
      <c r="D78" s="15" t="str">
        <f t="shared" si="5"/>
        <v/>
      </c>
      <c r="E78" s="15" t="str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  <v>No</v>
      </c>
      <c r="F78" t="str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  <v/>
      </c>
      <c r="G78" s="4" t="s">
        <v>1575</v>
      </c>
      <c r="H78" s="4" t="s">
        <v>1671</v>
      </c>
      <c r="I78" s="4" t="s">
        <v>1577</v>
      </c>
      <c r="J78" s="2" t="s">
        <v>1317</v>
      </c>
      <c r="K78" s="2" t="s">
        <v>1335</v>
      </c>
      <c r="L78" s="2" t="s">
        <v>1335</v>
      </c>
      <c r="M78" s="2"/>
      <c r="N78" s="4"/>
      <c r="O78" s="4"/>
      <c r="P78" s="4"/>
      <c r="Q78" s="4"/>
      <c r="R78" s="4" t="s">
        <v>1672</v>
      </c>
      <c r="T78" s="4"/>
      <c r="U78" s="4"/>
      <c r="V78" s="4"/>
      <c r="W78" s="4"/>
      <c r="X78" s="4"/>
      <c r="Y78" s="4" t="s">
        <v>1673</v>
      </c>
      <c r="Z78" s="4" t="s">
        <v>1674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92"/>
      <c r="AS78" s="92"/>
      <c r="AT78" s="92"/>
      <c r="AU78" s="92"/>
      <c r="AV78" s="92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 t="s">
        <v>1334</v>
      </c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 ht="20.25" customHeight="1">
      <c r="A79" s="8" t="s">
        <v>1526</v>
      </c>
      <c r="B79" s="8"/>
      <c r="C79" s="15" t="s">
        <v>1335</v>
      </c>
      <c r="D79" s="15" t="str">
        <f t="shared" si="5"/>
        <v/>
      </c>
      <c r="E79" s="15" t="str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  <v>No</v>
      </c>
      <c r="F79" t="str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  <v/>
      </c>
      <c r="G79" s="4" t="s">
        <v>1575</v>
      </c>
      <c r="H79" s="4" t="s">
        <v>1671</v>
      </c>
      <c r="I79" s="4" t="s">
        <v>1577</v>
      </c>
      <c r="J79" s="2" t="s">
        <v>1317</v>
      </c>
      <c r="K79" s="2" t="s">
        <v>1335</v>
      </c>
      <c r="L79" s="2" t="s">
        <v>1335</v>
      </c>
      <c r="M79" s="2"/>
      <c r="N79" s="4"/>
      <c r="O79" s="4"/>
      <c r="P79" s="4"/>
      <c r="Q79" s="4"/>
      <c r="R79" s="4" t="s">
        <v>1675</v>
      </c>
      <c r="T79" s="4"/>
      <c r="U79" s="4"/>
      <c r="V79" s="4"/>
      <c r="W79" s="4"/>
      <c r="X79" s="4"/>
      <c r="Y79" s="4" t="s">
        <v>1676</v>
      </c>
      <c r="Z79" s="4" t="s">
        <v>1677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92"/>
      <c r="AS79" s="92"/>
      <c r="AT79" s="92"/>
      <c r="AU79" s="92"/>
      <c r="AV79" s="92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 t="s">
        <v>1334</v>
      </c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 ht="20.25" customHeight="1">
      <c r="A80" s="8" t="s">
        <v>1526</v>
      </c>
      <c r="B80" s="8"/>
      <c r="C80" s="15" t="s">
        <v>1335</v>
      </c>
      <c r="D80" s="15" t="str">
        <f t="shared" si="5"/>
        <v/>
      </c>
      <c r="E80" s="15" t="str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  <v>No</v>
      </c>
      <c r="F80" t="str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  <v/>
      </c>
      <c r="G80" s="4" t="s">
        <v>1575</v>
      </c>
      <c r="H80" s="4" t="s">
        <v>1671</v>
      </c>
      <c r="I80" s="4" t="s">
        <v>1577</v>
      </c>
      <c r="J80" s="2" t="s">
        <v>1317</v>
      </c>
      <c r="K80" s="2" t="s">
        <v>1335</v>
      </c>
      <c r="L80" s="2" t="s">
        <v>1335</v>
      </c>
      <c r="M80" s="2"/>
      <c r="N80" s="4"/>
      <c r="O80" s="4"/>
      <c r="P80" s="4"/>
      <c r="Q80" s="4"/>
      <c r="R80" s="4" t="s">
        <v>1678</v>
      </c>
      <c r="T80" s="4"/>
      <c r="U80" s="4"/>
      <c r="V80" s="4"/>
      <c r="W80" s="4"/>
      <c r="X80" s="4"/>
      <c r="Y80" s="4" t="s">
        <v>1679</v>
      </c>
      <c r="Z80" s="4" t="s">
        <v>1680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92"/>
      <c r="AS80" s="92"/>
      <c r="AT80" s="92"/>
      <c r="AU80" s="92"/>
      <c r="AV80" s="92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 t="s">
        <v>1334</v>
      </c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 ht="20.25" customHeight="1">
      <c r="A81" s="8" t="s">
        <v>1526</v>
      </c>
      <c r="B81" s="8"/>
      <c r="C81" s="15" t="s">
        <v>1335</v>
      </c>
      <c r="D81" s="15" t="str">
        <f t="shared" si="5"/>
        <v/>
      </c>
      <c r="E81" s="15" t="str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  <v>No</v>
      </c>
      <c r="F81" t="str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  <v/>
      </c>
      <c r="G81" s="4" t="s">
        <v>1575</v>
      </c>
      <c r="H81" s="4" t="s">
        <v>1671</v>
      </c>
      <c r="I81" s="4" t="s">
        <v>1577</v>
      </c>
      <c r="J81" s="2" t="s">
        <v>1317</v>
      </c>
      <c r="K81" s="2" t="s">
        <v>1335</v>
      </c>
      <c r="L81" s="2" t="s">
        <v>1335</v>
      </c>
      <c r="M81" s="2"/>
      <c r="N81" s="4"/>
      <c r="O81" s="4"/>
      <c r="P81" s="4"/>
      <c r="Q81" s="4"/>
      <c r="R81" s="4" t="s">
        <v>1681</v>
      </c>
      <c r="T81" s="4"/>
      <c r="U81" s="4"/>
      <c r="V81" s="4"/>
      <c r="W81" s="4"/>
      <c r="X81" s="4"/>
      <c r="Y81" s="4" t="s">
        <v>1682</v>
      </c>
      <c r="Z81" s="4" t="s">
        <v>1683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92"/>
      <c r="AS81" s="92"/>
      <c r="AT81" s="92"/>
      <c r="AU81" s="92"/>
      <c r="AV81" s="92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 t="s">
        <v>1334</v>
      </c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 ht="20.25" customHeight="1">
      <c r="A82" s="8" t="s">
        <v>1526</v>
      </c>
      <c r="B82" s="8"/>
      <c r="C82" s="15" t="s">
        <v>1335</v>
      </c>
      <c r="D82" s="15" t="str">
        <f t="shared" si="5"/>
        <v/>
      </c>
      <c r="E82" s="15" t="str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s="4" t="s">
        <v>1575</v>
      </c>
      <c r="H82" s="4" t="s">
        <v>1671</v>
      </c>
      <c r="I82" s="4" t="s">
        <v>1577</v>
      </c>
      <c r="J82" s="2" t="s">
        <v>1317</v>
      </c>
      <c r="K82" s="2" t="s">
        <v>1335</v>
      </c>
      <c r="L82" s="2" t="s">
        <v>1335</v>
      </c>
      <c r="M82" s="2"/>
      <c r="N82" s="4"/>
      <c r="O82" s="4"/>
      <c r="P82" s="4"/>
      <c r="Q82" s="4"/>
      <c r="R82" s="4" t="s">
        <v>1684</v>
      </c>
      <c r="T82" s="4"/>
      <c r="U82" s="4"/>
      <c r="V82" s="4"/>
      <c r="W82" s="4"/>
      <c r="X82" s="4"/>
      <c r="Y82" s="4" t="s">
        <v>1685</v>
      </c>
      <c r="Z82" s="4" t="s">
        <v>1686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92"/>
      <c r="AS82" s="92"/>
      <c r="AT82" s="92"/>
      <c r="AU82" s="92"/>
      <c r="AV82" s="92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 t="s">
        <v>1334</v>
      </c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 ht="20.25" customHeight="1">
      <c r="A83" s="8" t="s">
        <v>1526</v>
      </c>
      <c r="B83" s="8"/>
      <c r="C83" s="15" t="s">
        <v>1335</v>
      </c>
      <c r="D83" s="15" t="str">
        <f t="shared" si="5"/>
        <v/>
      </c>
      <c r="E83" s="15" t="str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  <v>No</v>
      </c>
      <c r="F83" t="str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  <v/>
      </c>
      <c r="G83" s="4" t="s">
        <v>1575</v>
      </c>
      <c r="H83" s="4" t="s">
        <v>1671</v>
      </c>
      <c r="I83" s="4" t="s">
        <v>1577</v>
      </c>
      <c r="J83" s="2" t="s">
        <v>1317</v>
      </c>
      <c r="K83" s="2" t="s">
        <v>1335</v>
      </c>
      <c r="L83" s="2" t="s">
        <v>1335</v>
      </c>
      <c r="M83" s="2"/>
      <c r="N83" s="4"/>
      <c r="O83" s="4"/>
      <c r="P83" s="4"/>
      <c r="Q83" s="4"/>
      <c r="R83" s="4" t="s">
        <v>1687</v>
      </c>
      <c r="T83" s="4"/>
      <c r="U83" s="4"/>
      <c r="V83" s="4"/>
      <c r="W83" s="4"/>
      <c r="X83" s="4"/>
      <c r="Y83" s="4" t="s">
        <v>1688</v>
      </c>
      <c r="Z83" s="4" t="s">
        <v>1689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92"/>
      <c r="AS83" s="92"/>
      <c r="AT83" s="92"/>
      <c r="AU83" s="92"/>
      <c r="AV83" s="92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 t="s">
        <v>1334</v>
      </c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 ht="20.25" customHeight="1">
      <c r="A84" s="8" t="s">
        <v>1526</v>
      </c>
      <c r="B84" s="8"/>
      <c r="C84" s="15" t="s">
        <v>1335</v>
      </c>
      <c r="D84" s="15" t="str">
        <f t="shared" si="5"/>
        <v/>
      </c>
      <c r="E84" s="15" t="str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  <v>No</v>
      </c>
      <c r="F84" t="str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  <v/>
      </c>
      <c r="G84" s="4" t="s">
        <v>1575</v>
      </c>
      <c r="H84" s="4" t="s">
        <v>1671</v>
      </c>
      <c r="I84" s="4" t="s">
        <v>1577</v>
      </c>
      <c r="J84" s="2" t="s">
        <v>1317</v>
      </c>
      <c r="K84" s="2" t="s">
        <v>1335</v>
      </c>
      <c r="L84" s="2" t="s">
        <v>1335</v>
      </c>
      <c r="M84" s="2"/>
      <c r="N84" s="4"/>
      <c r="O84" s="4"/>
      <c r="P84" s="4"/>
      <c r="Q84" s="4"/>
      <c r="R84" s="4" t="s">
        <v>1690</v>
      </c>
      <c r="T84" s="4"/>
      <c r="U84" s="4"/>
      <c r="V84" s="4"/>
      <c r="W84" s="4"/>
      <c r="X84" s="4"/>
      <c r="Y84" s="4" t="s">
        <v>1691</v>
      </c>
      <c r="Z84" s="4" t="s">
        <v>1692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92"/>
      <c r="AS84" s="92"/>
      <c r="AT84" s="92"/>
      <c r="AU84" s="92"/>
      <c r="AV84" s="92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 t="s">
        <v>1334</v>
      </c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 ht="20.25" customHeight="1">
      <c r="A85" s="8" t="s">
        <v>1526</v>
      </c>
      <c r="B85" s="8" t="s">
        <v>1335</v>
      </c>
      <c r="C85" s="15" t="s">
        <v>1335</v>
      </c>
      <c r="D85" s="15" t="str">
        <f t="shared" si="5"/>
        <v/>
      </c>
      <c r="E85" s="15" t="str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  <v>No</v>
      </c>
      <c r="F85" t="str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  <v/>
      </c>
      <c r="G85" s="4" t="s">
        <v>1575</v>
      </c>
      <c r="H85" s="4" t="s">
        <v>1643</v>
      </c>
      <c r="I85" s="4" t="s">
        <v>1577</v>
      </c>
      <c r="J85" s="2" t="s">
        <v>1317</v>
      </c>
      <c r="K85" s="2" t="s">
        <v>1335</v>
      </c>
      <c r="L85" s="2" t="s">
        <v>1335</v>
      </c>
      <c r="M85" s="2"/>
      <c r="N85" s="4"/>
      <c r="O85" s="4"/>
      <c r="P85" s="4"/>
      <c r="Q85" s="4"/>
      <c r="R85" s="4" t="s">
        <v>1693</v>
      </c>
      <c r="T85" s="4"/>
      <c r="U85" s="4"/>
      <c r="V85" s="4"/>
      <c r="W85" s="4"/>
      <c r="X85" s="4"/>
      <c r="Y85" s="4" t="s">
        <v>1694</v>
      </c>
      <c r="Z85" s="4" t="s">
        <v>1695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92"/>
      <c r="AS85" s="92"/>
      <c r="AT85" s="92"/>
      <c r="AU85" s="92"/>
      <c r="AV85" s="92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 t="s">
        <v>1334</v>
      </c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 ht="20.25" customHeight="1">
      <c r="A86" s="8" t="s">
        <v>1526</v>
      </c>
      <c r="B86" s="8" t="s">
        <v>1335</v>
      </c>
      <c r="C86" s="15" t="s">
        <v>1335</v>
      </c>
      <c r="D86" s="15" t="str">
        <f t="shared" si="5"/>
        <v/>
      </c>
      <c r="E86" s="15" t="str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  <v>No</v>
      </c>
      <c r="F86" t="str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  <v/>
      </c>
      <c r="G86" s="4" t="s">
        <v>1575</v>
      </c>
      <c r="H86" s="4" t="s">
        <v>1643</v>
      </c>
      <c r="I86" s="4" t="s">
        <v>1577</v>
      </c>
      <c r="J86" s="2" t="s">
        <v>1317</v>
      </c>
      <c r="K86" s="2" t="s">
        <v>1335</v>
      </c>
      <c r="L86" s="2" t="s">
        <v>1335</v>
      </c>
      <c r="M86" s="2"/>
      <c r="N86" s="4"/>
      <c r="O86" s="4"/>
      <c r="P86" s="4"/>
      <c r="Q86" s="4"/>
      <c r="R86" s="4" t="s">
        <v>1696</v>
      </c>
      <c r="T86" s="4"/>
      <c r="U86" s="4"/>
      <c r="V86" s="4"/>
      <c r="W86" s="4"/>
      <c r="X86" s="4"/>
      <c r="Y86" s="20" t="s">
        <v>1697</v>
      </c>
      <c r="Z86" s="4" t="s">
        <v>1698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92"/>
      <c r="AS86" s="92"/>
      <c r="AT86" s="92"/>
      <c r="AU86" s="92"/>
      <c r="AV86" s="92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 t="s">
        <v>1334</v>
      </c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 ht="20.25" customHeight="1">
      <c r="A87" s="58" t="s">
        <v>1526</v>
      </c>
      <c r="B87" s="58" t="s">
        <v>1335</v>
      </c>
      <c r="C87" s="15" t="s">
        <v>1335</v>
      </c>
      <c r="D87" s="15" t="str">
        <f t="shared" si="5"/>
        <v/>
      </c>
      <c r="E87" s="15" t="str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  <v>No</v>
      </c>
      <c r="F87" t="str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  <v/>
      </c>
      <c r="G87" s="59" t="s">
        <v>1575</v>
      </c>
      <c r="H87" s="59" t="s">
        <v>1643</v>
      </c>
      <c r="I87" s="59" t="s">
        <v>1577</v>
      </c>
      <c r="J87" s="2" t="s">
        <v>1317</v>
      </c>
      <c r="K87" s="2" t="s">
        <v>1335</v>
      </c>
      <c r="L87" s="2" t="s">
        <v>1335</v>
      </c>
      <c r="M87" s="2"/>
      <c r="N87" s="59"/>
      <c r="O87" s="59"/>
      <c r="P87" s="59"/>
      <c r="Q87" s="59"/>
      <c r="R87" s="59" t="s">
        <v>1699</v>
      </c>
      <c r="T87" s="59"/>
      <c r="U87" s="59"/>
      <c r="V87" s="59"/>
      <c r="W87" s="59"/>
      <c r="X87" s="59"/>
      <c r="Y87" s="60" t="s">
        <v>1700</v>
      </c>
      <c r="Z87" s="59" t="s">
        <v>1701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92"/>
      <c r="AS87" s="92"/>
      <c r="AT87" s="92"/>
      <c r="AU87" s="92"/>
      <c r="AV87" s="92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 t="s">
        <v>1334</v>
      </c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 ht="20.25" customHeight="1">
      <c r="A88" s="61" t="s">
        <v>1526</v>
      </c>
      <c r="B88" s="61" t="s">
        <v>1335</v>
      </c>
      <c r="C88" s="15" t="s">
        <v>1335</v>
      </c>
      <c r="D88" s="15" t="str">
        <f t="shared" si="5"/>
        <v/>
      </c>
      <c r="E88" s="15" t="str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  <v>No</v>
      </c>
      <c r="F88" t="str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  <v/>
      </c>
      <c r="G88" s="62" t="s">
        <v>1575</v>
      </c>
      <c r="H88" s="62" t="s">
        <v>1643</v>
      </c>
      <c r="I88" s="62" t="s">
        <v>1577</v>
      </c>
      <c r="J88" s="2" t="s">
        <v>1317</v>
      </c>
      <c r="K88" s="2" t="s">
        <v>1335</v>
      </c>
      <c r="L88" s="2" t="s">
        <v>1335</v>
      </c>
      <c r="M88" s="2"/>
      <c r="N88" s="62"/>
      <c r="O88" s="62"/>
      <c r="P88" s="62"/>
      <c r="Q88" s="62"/>
      <c r="R88" s="62" t="s">
        <v>1702</v>
      </c>
      <c r="T88" s="62"/>
      <c r="U88" s="62"/>
      <c r="V88" s="62"/>
      <c r="W88" s="62"/>
      <c r="X88" s="62"/>
      <c r="Y88" s="63" t="s">
        <v>1703</v>
      </c>
      <c r="Z88" s="62" t="s">
        <v>1704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92"/>
      <c r="AS88" s="92"/>
      <c r="AT88" s="92"/>
      <c r="AU88" s="92"/>
      <c r="AV88" s="92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 t="s">
        <v>1334</v>
      </c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 ht="20.25" customHeight="1">
      <c r="A89" s="58" t="s">
        <v>1526</v>
      </c>
      <c r="B89" s="58" t="s">
        <v>1335</v>
      </c>
      <c r="C89" s="15" t="s">
        <v>1335</v>
      </c>
      <c r="D89" s="15" t="str">
        <f t="shared" si="5"/>
        <v/>
      </c>
      <c r="E89" s="15" t="str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  <v>No</v>
      </c>
      <c r="F89" t="str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  <v/>
      </c>
      <c r="G89" s="59" t="s">
        <v>1575</v>
      </c>
      <c r="H89" s="59" t="s">
        <v>1643</v>
      </c>
      <c r="I89" s="59" t="s">
        <v>1577</v>
      </c>
      <c r="J89" s="2" t="s">
        <v>1317</v>
      </c>
      <c r="K89" s="2" t="s">
        <v>1335</v>
      </c>
      <c r="L89" s="2" t="s">
        <v>1335</v>
      </c>
      <c r="M89" s="2"/>
      <c r="N89" s="59"/>
      <c r="O89" s="59"/>
      <c r="P89" s="59"/>
      <c r="Q89" s="59"/>
      <c r="R89" s="59" t="s">
        <v>1705</v>
      </c>
      <c r="T89" s="59"/>
      <c r="U89" s="59"/>
      <c r="V89" s="59"/>
      <c r="W89" s="59"/>
      <c r="X89" s="59"/>
      <c r="Y89" s="59" t="s">
        <v>1706</v>
      </c>
      <c r="Z89" s="60" t="s">
        <v>1707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92"/>
      <c r="AS89" s="92"/>
      <c r="AT89" s="92"/>
      <c r="AU89" s="92"/>
      <c r="AV89" s="92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 t="s">
        <v>1334</v>
      </c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 ht="20.25" customHeight="1">
      <c r="A90" s="61" t="s">
        <v>1526</v>
      </c>
      <c r="B90" s="61"/>
      <c r="C90" s="15" t="s">
        <v>1335</v>
      </c>
      <c r="D90" s="15" t="str">
        <f t="shared" si="5"/>
        <v/>
      </c>
      <c r="E90" s="15" t="str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  <v>No</v>
      </c>
      <c r="F90" t="str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  <v/>
      </c>
      <c r="G90" s="62" t="s">
        <v>1575</v>
      </c>
      <c r="H90" s="62" t="s">
        <v>1708</v>
      </c>
      <c r="I90" s="62" t="s">
        <v>1577</v>
      </c>
      <c r="J90" s="2" t="s">
        <v>1317</v>
      </c>
      <c r="K90" s="2" t="s">
        <v>1335</v>
      </c>
      <c r="L90" s="2" t="s">
        <v>1335</v>
      </c>
      <c r="M90" s="2"/>
      <c r="N90" s="62"/>
      <c r="O90" s="62"/>
      <c r="P90" s="62"/>
      <c r="Q90" s="62"/>
      <c r="R90" s="64" t="s">
        <v>1709</v>
      </c>
      <c r="T90" s="62"/>
      <c r="U90" s="62"/>
      <c r="V90" s="62"/>
      <c r="W90" s="62"/>
      <c r="X90" s="62"/>
      <c r="Y90" s="62" t="s">
        <v>1710</v>
      </c>
      <c r="Z90" s="63" t="s">
        <v>1711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92"/>
      <c r="AS90" s="92"/>
      <c r="AT90" s="92"/>
      <c r="AU90" s="92"/>
      <c r="AV90" s="92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 t="s">
        <v>1334</v>
      </c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 ht="20.25" customHeight="1">
      <c r="A91" s="58" t="s">
        <v>1526</v>
      </c>
      <c r="B91" s="58"/>
      <c r="C91" s="15" t="s">
        <v>1335</v>
      </c>
      <c r="D91" s="15" t="str">
        <f t="shared" si="5"/>
        <v/>
      </c>
      <c r="E91" s="15" t="str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  <v>No</v>
      </c>
      <c r="F91" t="str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  <v/>
      </c>
      <c r="G91" s="59" t="s">
        <v>1575</v>
      </c>
      <c r="H91" s="59" t="s">
        <v>1708</v>
      </c>
      <c r="I91" s="59" t="s">
        <v>1577</v>
      </c>
      <c r="J91" s="2" t="s">
        <v>1317</v>
      </c>
      <c r="K91" s="2" t="s">
        <v>1335</v>
      </c>
      <c r="L91" s="2" t="s">
        <v>1335</v>
      </c>
      <c r="M91" s="2"/>
      <c r="N91" s="59"/>
      <c r="O91" s="59"/>
      <c r="P91" s="59"/>
      <c r="Q91" s="59"/>
      <c r="R91" s="65" t="s">
        <v>1712</v>
      </c>
      <c r="T91" s="59"/>
      <c r="U91" s="59"/>
      <c r="V91" s="59"/>
      <c r="W91" s="59"/>
      <c r="X91" s="59"/>
      <c r="Y91" s="59" t="s">
        <v>1713</v>
      </c>
      <c r="Z91" s="59" t="s">
        <v>1714</v>
      </c>
      <c r="AA91" s="59"/>
      <c r="AB91" s="59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92"/>
      <c r="AS91" s="92"/>
      <c r="AT91" s="92"/>
      <c r="AU91" s="92"/>
      <c r="AV91" s="92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 t="s">
        <v>1334</v>
      </c>
      <c r="BJ91" s="8"/>
      <c r="BK91" s="8"/>
      <c r="BL91" s="4" t="str">
        <f t="shared" si="3"/>
        <v/>
      </c>
      <c r="BM91" s="8" t="str">
        <f t="shared" si="4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 ht="20.25" customHeight="1">
      <c r="A92" s="61" t="s">
        <v>1526</v>
      </c>
      <c r="B92" s="61"/>
      <c r="C92" s="15" t="s">
        <v>1335</v>
      </c>
      <c r="D92" s="15" t="str">
        <f t="shared" si="5"/>
        <v/>
      </c>
      <c r="E92" s="15" t="str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  <v>No</v>
      </c>
      <c r="F92" t="str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  <v/>
      </c>
      <c r="G92" s="62" t="s">
        <v>1575</v>
      </c>
      <c r="H92" s="62" t="s">
        <v>1708</v>
      </c>
      <c r="I92" s="62" t="s">
        <v>1577</v>
      </c>
      <c r="J92" s="2" t="s">
        <v>1317</v>
      </c>
      <c r="K92" s="2" t="s">
        <v>1335</v>
      </c>
      <c r="L92" s="2" t="s">
        <v>1335</v>
      </c>
      <c r="M92" s="2"/>
      <c r="N92" s="62"/>
      <c r="O92" s="62"/>
      <c r="P92" s="62"/>
      <c r="Q92" s="62"/>
      <c r="R92" s="64" t="s">
        <v>1715</v>
      </c>
      <c r="T92" s="62"/>
      <c r="U92" s="62"/>
      <c r="V92" s="62"/>
      <c r="W92" s="62"/>
      <c r="X92" s="62"/>
      <c r="Y92" s="62" t="s">
        <v>1716</v>
      </c>
      <c r="Z92" s="62" t="s">
        <v>1717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92"/>
      <c r="AS92" s="92"/>
      <c r="AT92" s="92"/>
      <c r="AU92" s="92"/>
      <c r="AV92" s="92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 t="s">
        <v>1334</v>
      </c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 ht="20.25" customHeight="1">
      <c r="A93" s="58" t="s">
        <v>1526</v>
      </c>
      <c r="B93" s="58"/>
      <c r="C93" s="15" t="s">
        <v>1335</v>
      </c>
      <c r="D93" s="15" t="str">
        <f t="shared" si="5"/>
        <v/>
      </c>
      <c r="E93" s="15" t="str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  <v>No</v>
      </c>
      <c r="F93" t="str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  <v/>
      </c>
      <c r="G93" s="59" t="s">
        <v>1575</v>
      </c>
      <c r="H93" s="59" t="s">
        <v>1708</v>
      </c>
      <c r="I93" s="59" t="s">
        <v>1577</v>
      </c>
      <c r="J93" s="2" t="s">
        <v>1317</v>
      </c>
      <c r="K93" s="2" t="s">
        <v>1335</v>
      </c>
      <c r="L93" s="2" t="s">
        <v>1335</v>
      </c>
      <c r="M93" s="2"/>
      <c r="N93" s="59"/>
      <c r="O93" s="59"/>
      <c r="P93" s="59"/>
      <c r="Q93" s="59"/>
      <c r="R93" s="65" t="s">
        <v>1718</v>
      </c>
      <c r="T93" s="59"/>
      <c r="U93" s="59"/>
      <c r="V93" s="59"/>
      <c r="W93" s="59"/>
      <c r="X93" s="59"/>
      <c r="Y93" s="59" t="s">
        <v>1719</v>
      </c>
      <c r="Z93" s="59" t="s">
        <v>1720</v>
      </c>
      <c r="AA93" s="59"/>
      <c r="AB93" s="59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92"/>
      <c r="AS93" s="92"/>
      <c r="AT93" s="92"/>
      <c r="AU93" s="92"/>
      <c r="AV93" s="92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 t="s">
        <v>1334</v>
      </c>
      <c r="BJ93" s="8"/>
      <c r="BK93" s="8"/>
      <c r="BL93" s="4" t="str">
        <f t="shared" si="3"/>
        <v/>
      </c>
      <c r="BM93" s="8" t="str">
        <f t="shared" si="4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 ht="20.25" customHeight="1">
      <c r="A94" s="61" t="s">
        <v>1526</v>
      </c>
      <c r="B94" s="61"/>
      <c r="C94" s="15" t="s">
        <v>1335</v>
      </c>
      <c r="D94" s="15" t="str">
        <f t="shared" si="5"/>
        <v/>
      </c>
      <c r="E94" s="15" t="str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  <v>No</v>
      </c>
      <c r="F94" t="str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  <v/>
      </c>
      <c r="G94" s="62" t="s">
        <v>1575</v>
      </c>
      <c r="H94" s="62" t="s">
        <v>1708</v>
      </c>
      <c r="I94" s="62" t="s">
        <v>1577</v>
      </c>
      <c r="J94" s="2" t="s">
        <v>1317</v>
      </c>
      <c r="K94" s="2" t="s">
        <v>1335</v>
      </c>
      <c r="L94" s="2" t="s">
        <v>1335</v>
      </c>
      <c r="M94" s="2"/>
      <c r="N94" s="62"/>
      <c r="O94" s="62"/>
      <c r="P94" s="62"/>
      <c r="Q94" s="62"/>
      <c r="R94" s="62" t="s">
        <v>1721</v>
      </c>
      <c r="T94" s="62"/>
      <c r="U94" s="62"/>
      <c r="V94" s="62"/>
      <c r="W94" s="62"/>
      <c r="X94" s="62"/>
      <c r="Y94" s="62" t="s">
        <v>1722</v>
      </c>
      <c r="Z94" s="62" t="s">
        <v>1723</v>
      </c>
      <c r="AA94" s="62"/>
      <c r="AB94" s="62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92"/>
      <c r="AS94" s="92"/>
      <c r="AT94" s="92"/>
      <c r="AU94" s="92"/>
      <c r="AV94" s="92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 t="s">
        <v>1334</v>
      </c>
      <c r="BJ94" s="8"/>
      <c r="BK94" s="8"/>
      <c r="BL94" s="4" t="str">
        <f t="shared" si="3"/>
        <v/>
      </c>
      <c r="BM94" s="8" t="str">
        <f t="shared" si="4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 ht="20.25" customHeight="1">
      <c r="A95" s="58" t="s">
        <v>1526</v>
      </c>
      <c r="B95" s="58"/>
      <c r="C95" s="15" t="s">
        <v>1335</v>
      </c>
      <c r="D95" s="15" t="str">
        <f t="shared" si="5"/>
        <v/>
      </c>
      <c r="E95" s="15" t="str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  <v>No</v>
      </c>
      <c r="F95" t="str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  <v/>
      </c>
      <c r="G95" s="59" t="s">
        <v>1575</v>
      </c>
      <c r="H95" s="59" t="s">
        <v>1708</v>
      </c>
      <c r="I95" s="59" t="s">
        <v>1577</v>
      </c>
      <c r="J95" s="2" t="s">
        <v>1317</v>
      </c>
      <c r="K95" s="2" t="s">
        <v>1335</v>
      </c>
      <c r="L95" s="2" t="s">
        <v>1335</v>
      </c>
      <c r="M95" s="2"/>
      <c r="N95" s="59"/>
      <c r="O95" s="59"/>
      <c r="P95" s="59"/>
      <c r="Q95" s="59"/>
      <c r="R95" s="59" t="s">
        <v>1724</v>
      </c>
      <c r="T95" s="59"/>
      <c r="U95" s="59"/>
      <c r="V95" s="59"/>
      <c r="W95" s="59"/>
      <c r="X95" s="59"/>
      <c r="Y95" s="59" t="s">
        <v>1725</v>
      </c>
      <c r="Z95" s="59" t="s">
        <v>1726</v>
      </c>
      <c r="AA95" s="59"/>
      <c r="AB95" s="59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92"/>
      <c r="AS95" s="92"/>
      <c r="AT95" s="92"/>
      <c r="AU95" s="92"/>
      <c r="AV95" s="92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 t="s">
        <v>1334</v>
      </c>
      <c r="BJ95" s="8"/>
      <c r="BK95" s="8"/>
      <c r="BL95" s="4" t="str">
        <f t="shared" si="3"/>
        <v/>
      </c>
      <c r="BM95" s="8" t="str">
        <f t="shared" si="4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 ht="20.25" customHeight="1">
      <c r="A96" s="61" t="s">
        <v>1526</v>
      </c>
      <c r="B96" s="61"/>
      <c r="C96" s="15" t="s">
        <v>1335</v>
      </c>
      <c r="D96" s="15" t="str">
        <f t="shared" si="5"/>
        <v/>
      </c>
      <c r="E96" s="15" t="str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  <v>No</v>
      </c>
      <c r="F96" t="str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  <v/>
      </c>
      <c r="G96" s="62" t="s">
        <v>1575</v>
      </c>
      <c r="H96" s="62" t="s">
        <v>1708</v>
      </c>
      <c r="I96" s="62" t="s">
        <v>1577</v>
      </c>
      <c r="J96" s="2" t="s">
        <v>1317</v>
      </c>
      <c r="K96" s="2" t="s">
        <v>1335</v>
      </c>
      <c r="L96" s="2" t="s">
        <v>1335</v>
      </c>
      <c r="M96" s="2"/>
      <c r="N96" s="62"/>
      <c r="O96" s="62"/>
      <c r="P96" s="62"/>
      <c r="Q96" s="62"/>
      <c r="R96" s="62" t="s">
        <v>1727</v>
      </c>
      <c r="T96" s="62"/>
      <c r="U96" s="62"/>
      <c r="V96" s="62"/>
      <c r="W96" s="62"/>
      <c r="X96" s="62"/>
      <c r="Y96" s="62" t="s">
        <v>1728</v>
      </c>
      <c r="Z96" s="62" t="s">
        <v>1729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92"/>
      <c r="AS96" s="92"/>
      <c r="AT96" s="92"/>
      <c r="AU96" s="92"/>
      <c r="AV96" s="92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 t="s">
        <v>1334</v>
      </c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 ht="20.25" customHeight="1">
      <c r="A97" s="58" t="s">
        <v>1526</v>
      </c>
      <c r="B97" s="58"/>
      <c r="C97" s="15" t="s">
        <v>1335</v>
      </c>
      <c r="D97" s="15" t="str">
        <f t="shared" si="5"/>
        <v/>
      </c>
      <c r="E97" s="15" t="str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  <v>No</v>
      </c>
      <c r="F97" t="str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  <v/>
      </c>
      <c r="G97" s="59" t="s">
        <v>1575</v>
      </c>
      <c r="H97" s="59" t="s">
        <v>1708</v>
      </c>
      <c r="I97" s="59" t="s">
        <v>1577</v>
      </c>
      <c r="J97" s="2" t="s">
        <v>1317</v>
      </c>
      <c r="K97" s="2" t="s">
        <v>1335</v>
      </c>
      <c r="L97" s="2" t="s">
        <v>1335</v>
      </c>
      <c r="M97" s="2"/>
      <c r="N97" s="59"/>
      <c r="O97" s="59"/>
      <c r="P97" s="59"/>
      <c r="Q97" s="59"/>
      <c r="R97" s="59" t="s">
        <v>1730</v>
      </c>
      <c r="T97" s="59"/>
      <c r="U97" s="59"/>
      <c r="V97" s="59"/>
      <c r="W97" s="59"/>
      <c r="X97" s="59"/>
      <c r="Y97" s="59" t="s">
        <v>1731</v>
      </c>
      <c r="Z97" s="59" t="s">
        <v>1732</v>
      </c>
      <c r="AA97" s="59"/>
      <c r="AB97" s="59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92"/>
      <c r="AS97" s="92"/>
      <c r="AT97" s="92"/>
      <c r="AU97" s="92"/>
      <c r="AV97" s="92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 t="s">
        <v>1334</v>
      </c>
      <c r="BJ97" s="8"/>
      <c r="BK97" s="8"/>
      <c r="BL97" s="4" t="str">
        <f t="shared" si="3"/>
        <v/>
      </c>
      <c r="BM97" s="8" t="str">
        <f t="shared" si="4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 ht="20.25" customHeight="1">
      <c r="A98" s="61" t="s">
        <v>1526</v>
      </c>
      <c r="B98" s="61"/>
      <c r="C98" s="15" t="s">
        <v>1335</v>
      </c>
      <c r="D98" s="15" t="str">
        <f t="shared" si="5"/>
        <v/>
      </c>
      <c r="E98" s="15" t="str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  <v>No</v>
      </c>
      <c r="F98" t="str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  <v/>
      </c>
      <c r="G98" s="62" t="s">
        <v>1575</v>
      </c>
      <c r="H98" s="62" t="s">
        <v>1708</v>
      </c>
      <c r="I98" s="62" t="s">
        <v>1577</v>
      </c>
      <c r="J98" s="2" t="s">
        <v>1317</v>
      </c>
      <c r="K98" s="2" t="s">
        <v>1335</v>
      </c>
      <c r="L98" s="2" t="s">
        <v>1335</v>
      </c>
      <c r="M98" s="2"/>
      <c r="N98" s="62"/>
      <c r="O98" s="62"/>
      <c r="P98" s="62"/>
      <c r="Q98" s="62"/>
      <c r="R98" s="62" t="s">
        <v>1733</v>
      </c>
      <c r="T98" s="62"/>
      <c r="U98" s="62"/>
      <c r="V98" s="62"/>
      <c r="W98" s="62"/>
      <c r="X98" s="62"/>
      <c r="Y98" s="62" t="s">
        <v>1734</v>
      </c>
      <c r="Z98" s="62" t="s">
        <v>1735</v>
      </c>
      <c r="AA98" s="62"/>
      <c r="AB98" s="62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92"/>
      <c r="AS98" s="92"/>
      <c r="AT98" s="92"/>
      <c r="AU98" s="92"/>
      <c r="AV98" s="92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 t="s">
        <v>1334</v>
      </c>
      <c r="BJ98" s="8"/>
      <c r="BK98" s="8"/>
      <c r="BL98" s="4" t="str">
        <f t="shared" si="3"/>
        <v/>
      </c>
      <c r="BM98" s="8" t="str">
        <f t="shared" si="4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 ht="20.25" customHeight="1">
      <c r="A99" s="8" t="s">
        <v>1526</v>
      </c>
      <c r="B99" s="8"/>
      <c r="C99" s="15" t="s">
        <v>1335</v>
      </c>
      <c r="D99" s="15" t="str">
        <f t="shared" si="5"/>
        <v/>
      </c>
      <c r="E99" s="15" t="str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  <v>No</v>
      </c>
      <c r="F99" t="str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  <v/>
      </c>
      <c r="G99" s="59" t="s">
        <v>1575</v>
      </c>
      <c r="H99" s="59" t="s">
        <v>1708</v>
      </c>
      <c r="I99" s="4" t="s">
        <v>1577</v>
      </c>
      <c r="J99" s="2" t="s">
        <v>1317</v>
      </c>
      <c r="K99" s="2" t="s">
        <v>1335</v>
      </c>
      <c r="L99" s="2" t="s">
        <v>1335</v>
      </c>
      <c r="M99" s="2"/>
      <c r="N99" s="4"/>
      <c r="O99" s="4"/>
      <c r="P99" s="4"/>
      <c r="Q99" s="4"/>
      <c r="R99" s="4" t="s">
        <v>1736</v>
      </c>
      <c r="T99" s="4"/>
      <c r="U99" s="4"/>
      <c r="V99" s="4"/>
      <c r="W99" s="4"/>
      <c r="X99" s="4"/>
      <c r="Y99" s="4" t="s">
        <v>1737</v>
      </c>
      <c r="Z99" s="4" t="s">
        <v>1738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92"/>
      <c r="AS99" s="92"/>
      <c r="AT99" s="92"/>
      <c r="AU99" s="92"/>
      <c r="AV99" s="92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 t="s">
        <v>1334</v>
      </c>
      <c r="BJ99" s="8"/>
      <c r="BK99" s="8"/>
      <c r="BL99" s="4" t="str">
        <f t="shared" si="3"/>
        <v/>
      </c>
      <c r="BM99" s="8" t="str">
        <f t="shared" si="4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 ht="20.25" customHeight="1">
      <c r="A100" s="8" t="s">
        <v>1526</v>
      </c>
      <c r="B100" s="8"/>
      <c r="C100" s="15" t="s">
        <v>1335</v>
      </c>
      <c r="D100" s="15" t="str">
        <f t="shared" si="5"/>
        <v/>
      </c>
      <c r="E100" s="15" t="str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  <v>No</v>
      </c>
      <c r="F100" t="str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  <v/>
      </c>
      <c r="G100" s="62" t="s">
        <v>1575</v>
      </c>
      <c r="H100" s="62" t="s">
        <v>1708</v>
      </c>
      <c r="I100" s="4" t="s">
        <v>1577</v>
      </c>
      <c r="J100" s="2" t="s">
        <v>1317</v>
      </c>
      <c r="K100" s="2" t="s">
        <v>1335</v>
      </c>
      <c r="L100" s="2" t="s">
        <v>1335</v>
      </c>
      <c r="M100" s="2"/>
      <c r="N100" s="4"/>
      <c r="O100" s="4"/>
      <c r="P100" s="4"/>
      <c r="Q100" s="4"/>
      <c r="R100" s="74" t="s">
        <v>1739</v>
      </c>
      <c r="T100" s="4"/>
      <c r="U100" s="4"/>
      <c r="V100" s="4"/>
      <c r="W100" s="4"/>
      <c r="X100" s="4"/>
      <c r="Y100" s="4" t="s">
        <v>1740</v>
      </c>
      <c r="Z100" s="4" t="s">
        <v>1741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92"/>
      <c r="AS100" s="92"/>
      <c r="AT100" s="92"/>
      <c r="AU100" s="92"/>
      <c r="AV100" s="92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 t="s">
        <v>1334</v>
      </c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 ht="20.25" customHeight="1">
      <c r="A101" s="8" t="s">
        <v>1526</v>
      </c>
      <c r="B101" s="8" t="s">
        <v>1317</v>
      </c>
      <c r="C101" s="15" t="s">
        <v>1317</v>
      </c>
      <c r="D101" s="15" t="str">
        <f t="shared" si="5"/>
        <v>No</v>
      </c>
      <c r="E101" s="15" t="str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  <v>No</v>
      </c>
      <c r="F101" t="str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  <v>No</v>
      </c>
      <c r="G101" s="59" t="s">
        <v>1742</v>
      </c>
      <c r="H101" s="59" t="s">
        <v>1742</v>
      </c>
      <c r="I101" s="4" t="s">
        <v>1577</v>
      </c>
      <c r="J101" s="2" t="s">
        <v>1317</v>
      </c>
      <c r="K101" s="2" t="s">
        <v>1317</v>
      </c>
      <c r="L101" s="2" t="s">
        <v>1317</v>
      </c>
      <c r="M101" s="2" t="s">
        <v>1743</v>
      </c>
      <c r="N101" s="4" t="s">
        <v>1744</v>
      </c>
      <c r="O101" s="4" t="s">
        <v>1325</v>
      </c>
      <c r="P101" s="4" t="s">
        <v>1745</v>
      </c>
      <c r="Q101" s="96">
        <v>46075</v>
      </c>
      <c r="R101" s="14" t="s">
        <v>1746</v>
      </c>
      <c r="S101" t="s">
        <v>1747</v>
      </c>
      <c r="T101" s="4" t="s">
        <v>1748</v>
      </c>
      <c r="U101" s="4" t="s">
        <v>1325</v>
      </c>
      <c r="V101" s="4"/>
      <c r="W101" s="4"/>
      <c r="X101" s="4"/>
      <c r="Y101" s="4" t="s">
        <v>1749</v>
      </c>
      <c r="Z101" s="4" t="s">
        <v>1750</v>
      </c>
      <c r="AA101" s="4" t="s">
        <v>1517</v>
      </c>
      <c r="AB101" s="4"/>
      <c r="AC101" s="4"/>
      <c r="AD101" s="4" t="s">
        <v>1751</v>
      </c>
      <c r="AE101" s="8">
        <v>2</v>
      </c>
      <c r="AF101" s="4" t="s">
        <v>1752</v>
      </c>
      <c r="AG101" s="4" t="s">
        <v>1753</v>
      </c>
      <c r="AH101" s="14"/>
      <c r="AI101" s="20" t="s">
        <v>1754</v>
      </c>
      <c r="AJ101" s="4" t="s">
        <v>1522</v>
      </c>
      <c r="AK101" s="4" t="s">
        <v>1755</v>
      </c>
      <c r="AL101" s="4" t="s">
        <v>1751</v>
      </c>
      <c r="AM101" s="4" t="s">
        <v>1191</v>
      </c>
      <c r="AN101" s="4"/>
      <c r="AO101" s="4"/>
      <c r="AP101" s="4"/>
      <c r="AQ101" s="4"/>
      <c r="AR101" s="92" t="s">
        <v>1756</v>
      </c>
      <c r="AS101" s="92"/>
      <c r="AT101" s="92"/>
      <c r="AU101" s="92"/>
      <c r="AV101" s="92"/>
      <c r="AW101" s="8" t="s">
        <v>1317</v>
      </c>
      <c r="AX101" s="8" t="s">
        <v>1317</v>
      </c>
      <c r="AY101" s="8" t="s">
        <v>1317</v>
      </c>
      <c r="AZ101" s="8" t="s">
        <v>1317</v>
      </c>
      <c r="BA101" s="12"/>
      <c r="BB101" s="8"/>
      <c r="BC101" s="4"/>
      <c r="BD101" s="4"/>
      <c r="BE101" s="8"/>
      <c r="BF101" s="8"/>
      <c r="BG101" s="8"/>
      <c r="BH101" s="8"/>
      <c r="BI101" s="8" t="s">
        <v>1334</v>
      </c>
      <c r="BJ101" s="8"/>
      <c r="BK101" s="8"/>
      <c r="BL101" s="4" t="str">
        <f t="shared" si="3"/>
        <v>Firmware Download, Device ID, Epic Beans Relay</v>
      </c>
      <c r="BM101" s="8" t="str">
        <f t="shared" si="4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1317</v>
      </c>
      <c r="BT101" t="s">
        <v>1317</v>
      </c>
      <c r="BU101" t="s">
        <v>1317</v>
      </c>
      <c r="BV101" t="s">
        <v>1317</v>
      </c>
      <c r="BW101" t="s">
        <v>1317</v>
      </c>
      <c r="BX101">
        <v>19200</v>
      </c>
    </row>
    <row r="102" spans="1:76" ht="20.25" customHeight="1">
      <c r="A102" s="8" t="s">
        <v>1526</v>
      </c>
      <c r="B102" s="8" t="s">
        <v>1317</v>
      </c>
      <c r="C102" s="15" t="s">
        <v>1317</v>
      </c>
      <c r="D102" s="15" t="str">
        <f t="shared" si="5"/>
        <v>No</v>
      </c>
      <c r="E102" s="15" t="str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  <v>No</v>
      </c>
      <c r="F102" t="str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  <v>No</v>
      </c>
      <c r="G102" s="62" t="s">
        <v>1742</v>
      </c>
      <c r="H102" s="4" t="s">
        <v>1742</v>
      </c>
      <c r="I102" s="4" t="s">
        <v>1577</v>
      </c>
      <c r="J102" s="2" t="s">
        <v>1317</v>
      </c>
      <c r="K102" s="2" t="s">
        <v>1317</v>
      </c>
      <c r="L102" s="2" t="s">
        <v>1317</v>
      </c>
      <c r="M102" s="2" t="s">
        <v>1743</v>
      </c>
      <c r="N102" s="4" t="s">
        <v>1744</v>
      </c>
      <c r="O102" s="4" t="s">
        <v>1325</v>
      </c>
      <c r="P102" s="4" t="s">
        <v>1745</v>
      </c>
      <c r="Q102" s="96">
        <v>46075</v>
      </c>
      <c r="R102" s="14" t="s">
        <v>1757</v>
      </c>
      <c r="S102" t="s">
        <v>1758</v>
      </c>
      <c r="T102" s="22" t="s">
        <v>1759</v>
      </c>
      <c r="U102" s="4" t="s">
        <v>1325</v>
      </c>
      <c r="V102" s="4"/>
      <c r="W102" s="4"/>
      <c r="X102" s="4"/>
      <c r="Y102" s="4" t="s">
        <v>1760</v>
      </c>
      <c r="Z102" s="4" t="s">
        <v>1761</v>
      </c>
      <c r="AA102" s="4" t="s">
        <v>1517</v>
      </c>
      <c r="AB102" s="4"/>
      <c r="AC102" s="4"/>
      <c r="AD102" s="4" t="s">
        <v>1762</v>
      </c>
      <c r="AE102" s="8">
        <v>2</v>
      </c>
      <c r="AF102" s="4" t="s">
        <v>1752</v>
      </c>
      <c r="AG102" s="4" t="s">
        <v>1763</v>
      </c>
      <c r="AH102" s="14"/>
      <c r="AI102" s="20"/>
      <c r="AJ102" s="4" t="s">
        <v>1522</v>
      </c>
      <c r="AK102" s="4" t="s">
        <v>1755</v>
      </c>
      <c r="AL102" s="4" t="s">
        <v>1762</v>
      </c>
      <c r="AM102" s="4" t="s">
        <v>1191</v>
      </c>
      <c r="AN102" s="4"/>
      <c r="AO102" s="4"/>
      <c r="AP102" s="4"/>
      <c r="AQ102" s="4"/>
      <c r="AR102" s="92" t="s">
        <v>1764</v>
      </c>
      <c r="AS102" s="92"/>
      <c r="AT102" s="92"/>
      <c r="AU102" s="92"/>
      <c r="AV102" s="92"/>
      <c r="AW102" s="8" t="s">
        <v>1317</v>
      </c>
      <c r="AX102" s="8" t="s">
        <v>1317</v>
      </c>
      <c r="AY102" s="8" t="s">
        <v>1317</v>
      </c>
      <c r="AZ102" s="8" t="s">
        <v>1317</v>
      </c>
      <c r="BA102" s="12"/>
      <c r="BB102" s="8"/>
      <c r="BC102" s="4"/>
      <c r="BD102" s="4"/>
      <c r="BE102" s="8"/>
      <c r="BF102" s="8"/>
      <c r="BG102" s="8"/>
      <c r="BH102" s="8"/>
      <c r="BI102" s="8" t="s">
        <v>1334</v>
      </c>
      <c r="BJ102" s="8"/>
      <c r="BK102" s="8"/>
      <c r="BL102" s="4" t="str">
        <f t="shared" si="3"/>
        <v>Firmware Download, Device ID, Epic Beans Relay</v>
      </c>
      <c r="BM102" s="8" t="str">
        <f t="shared" si="4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1317</v>
      </c>
      <c r="BT102" t="s">
        <v>1317</v>
      </c>
      <c r="BU102" t="s">
        <v>1317</v>
      </c>
      <c r="BV102" t="s">
        <v>1317</v>
      </c>
      <c r="BW102" t="s">
        <v>1317</v>
      </c>
      <c r="BX102">
        <v>19200</v>
      </c>
    </row>
    <row r="103" spans="1:76" ht="20.25" customHeight="1">
      <c r="A103" s="8" t="s">
        <v>1526</v>
      </c>
      <c r="B103" s="8" t="s">
        <v>1317</v>
      </c>
      <c r="C103" s="15" t="s">
        <v>1317</v>
      </c>
      <c r="D103" s="15" t="str">
        <f t="shared" si="5"/>
        <v>No</v>
      </c>
      <c r="E103" s="15" t="str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  <v>No</v>
      </c>
      <c r="F103" t="str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  <v>No</v>
      </c>
      <c r="G103" s="59" t="s">
        <v>1742</v>
      </c>
      <c r="H103" s="4" t="s">
        <v>1742</v>
      </c>
      <c r="I103" s="4" t="s">
        <v>1577</v>
      </c>
      <c r="J103" s="2" t="s">
        <v>1317</v>
      </c>
      <c r="K103" s="2" t="s">
        <v>1317</v>
      </c>
      <c r="L103" s="2" t="s">
        <v>1317</v>
      </c>
      <c r="M103" s="2" t="s">
        <v>1743</v>
      </c>
      <c r="N103" s="4" t="s">
        <v>1744</v>
      </c>
      <c r="O103" s="4" t="s">
        <v>1325</v>
      </c>
      <c r="P103" s="4" t="s">
        <v>1745</v>
      </c>
      <c r="Q103" s="96">
        <v>46075</v>
      </c>
      <c r="R103" s="14" t="s">
        <v>1765</v>
      </c>
      <c r="S103" t="s">
        <v>1766</v>
      </c>
      <c r="T103" s="4" t="s">
        <v>1767</v>
      </c>
      <c r="U103" s="4" t="s">
        <v>1325</v>
      </c>
      <c r="V103" s="4"/>
      <c r="W103" s="4"/>
      <c r="X103" s="4"/>
      <c r="Y103" s="4" t="s">
        <v>1768</v>
      </c>
      <c r="Z103" s="4" t="s">
        <v>1769</v>
      </c>
      <c r="AA103" s="4" t="s">
        <v>1517</v>
      </c>
      <c r="AB103" s="4"/>
      <c r="AC103" s="4"/>
      <c r="AD103" s="4" t="s">
        <v>1770</v>
      </c>
      <c r="AE103" s="8">
        <v>2</v>
      </c>
      <c r="AF103" s="4" t="s">
        <v>1752</v>
      </c>
      <c r="AG103" s="4" t="s">
        <v>1771</v>
      </c>
      <c r="AH103" s="14"/>
      <c r="AI103" s="20"/>
      <c r="AJ103" s="4" t="s">
        <v>1522</v>
      </c>
      <c r="AK103" s="4" t="s">
        <v>1755</v>
      </c>
      <c r="AL103" s="4" t="s">
        <v>1770</v>
      </c>
      <c r="AM103" s="4" t="s">
        <v>1191</v>
      </c>
      <c r="AN103" s="4"/>
      <c r="AO103" s="4"/>
      <c r="AP103" s="4"/>
      <c r="AQ103" s="4"/>
      <c r="AR103" s="92" t="s">
        <v>1772</v>
      </c>
      <c r="AS103" s="92"/>
      <c r="AT103" s="92"/>
      <c r="AU103" s="92"/>
      <c r="AV103" s="92"/>
      <c r="AW103" s="8" t="s">
        <v>1317</v>
      </c>
      <c r="AX103" s="8" t="s">
        <v>1317</v>
      </c>
      <c r="AY103" s="8" t="s">
        <v>1317</v>
      </c>
      <c r="AZ103" s="8" t="s">
        <v>1317</v>
      </c>
      <c r="BA103" s="12"/>
      <c r="BB103" s="8"/>
      <c r="BC103" s="4"/>
      <c r="BD103" s="4"/>
      <c r="BE103" s="8"/>
      <c r="BF103" s="8"/>
      <c r="BG103" s="8"/>
      <c r="BH103" s="8"/>
      <c r="BI103" s="8" t="s">
        <v>1334</v>
      </c>
      <c r="BJ103" s="8"/>
      <c r="BK103" s="8"/>
      <c r="BL103" s="4" t="str">
        <f t="shared" si="3"/>
        <v>Firmware Download, Device ID, Epic Beans Relay</v>
      </c>
      <c r="BM103" s="8" t="str">
        <f t="shared" si="4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1317</v>
      </c>
      <c r="BT103" t="s">
        <v>1317</v>
      </c>
      <c r="BU103" t="s">
        <v>1317</v>
      </c>
      <c r="BV103" t="s">
        <v>1317</v>
      </c>
      <c r="BW103" t="s">
        <v>1317</v>
      </c>
      <c r="BX103">
        <v>19200</v>
      </c>
    </row>
    <row r="104" spans="1:76" ht="20.25" customHeight="1">
      <c r="A104" s="8" t="s">
        <v>1526</v>
      </c>
      <c r="B104" s="8" t="s">
        <v>1317</v>
      </c>
      <c r="C104" s="15" t="s">
        <v>1317</v>
      </c>
      <c r="D104" s="15" t="str">
        <f t="shared" si="5"/>
        <v>No</v>
      </c>
      <c r="E104" s="15" t="str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  <v>No</v>
      </c>
      <c r="F104" t="str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  <v>No</v>
      </c>
      <c r="G104" s="62" t="s">
        <v>1742</v>
      </c>
      <c r="H104" s="4" t="s">
        <v>1742</v>
      </c>
      <c r="I104" s="4" t="s">
        <v>1577</v>
      </c>
      <c r="J104" s="2" t="s">
        <v>1317</v>
      </c>
      <c r="K104" s="2" t="s">
        <v>1317</v>
      </c>
      <c r="L104" s="2" t="s">
        <v>1317</v>
      </c>
      <c r="M104" s="2" t="s">
        <v>1743</v>
      </c>
      <c r="N104" s="4" t="s">
        <v>1744</v>
      </c>
      <c r="O104" s="4" t="s">
        <v>1325</v>
      </c>
      <c r="P104" s="4" t="s">
        <v>1745</v>
      </c>
      <c r="Q104" s="96">
        <v>46075</v>
      </c>
      <c r="R104" s="14" t="s">
        <v>1773</v>
      </c>
      <c r="S104" t="s">
        <v>1774</v>
      </c>
      <c r="T104" s="4" t="s">
        <v>1775</v>
      </c>
      <c r="U104" s="4" t="s">
        <v>1325</v>
      </c>
      <c r="V104" s="4"/>
      <c r="W104" s="4"/>
      <c r="X104" s="4"/>
      <c r="Y104" s="4" t="s">
        <v>1776</v>
      </c>
      <c r="Z104" s="4" t="s">
        <v>1777</v>
      </c>
      <c r="AA104" s="4" t="s">
        <v>1517</v>
      </c>
      <c r="AB104" s="4"/>
      <c r="AC104" s="4"/>
      <c r="AD104" s="4" t="s">
        <v>1778</v>
      </c>
      <c r="AE104" s="8">
        <v>2</v>
      </c>
      <c r="AF104" s="4" t="s">
        <v>1752</v>
      </c>
      <c r="AG104" s="4" t="s">
        <v>1779</v>
      </c>
      <c r="AH104" s="14"/>
      <c r="AI104" s="20" t="s">
        <v>1780</v>
      </c>
      <c r="AJ104" s="4" t="s">
        <v>1522</v>
      </c>
      <c r="AK104" s="4" t="s">
        <v>1755</v>
      </c>
      <c r="AL104" s="4" t="s">
        <v>1778</v>
      </c>
      <c r="AM104" s="4" t="s">
        <v>1191</v>
      </c>
      <c r="AN104" s="4"/>
      <c r="AO104" s="4"/>
      <c r="AP104" s="4"/>
      <c r="AQ104" s="4"/>
      <c r="AR104" s="93" t="s">
        <v>1781</v>
      </c>
      <c r="AS104" s="92"/>
      <c r="AT104" s="92"/>
      <c r="AU104" s="92"/>
      <c r="AV104" s="92"/>
      <c r="AW104" s="95" t="s">
        <v>1317</v>
      </c>
      <c r="AX104" s="8" t="s">
        <v>1317</v>
      </c>
      <c r="AY104" s="8" t="s">
        <v>1317</v>
      </c>
      <c r="AZ104" s="8" t="s">
        <v>1317</v>
      </c>
      <c r="BA104" s="12"/>
      <c r="BB104" s="8"/>
      <c r="BC104" s="4"/>
      <c r="BD104" s="4"/>
      <c r="BE104" s="8"/>
      <c r="BF104" s="8"/>
      <c r="BG104" s="8"/>
      <c r="BH104" s="8"/>
      <c r="BI104" s="8" t="s">
        <v>1334</v>
      </c>
      <c r="BJ104" s="8"/>
      <c r="BK104" s="8"/>
      <c r="BL104" s="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s="8" t="e">
        <f t="shared" si="4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1317</v>
      </c>
      <c r="BT104" t="s">
        <v>1317</v>
      </c>
      <c r="BU104" t="s">
        <v>1317</v>
      </c>
      <c r="BV104" t="s">
        <v>1317</v>
      </c>
      <c r="BW104" t="s">
        <v>1317</v>
      </c>
      <c r="BX104">
        <v>19200</v>
      </c>
    </row>
    <row r="105" spans="1:76" ht="20.25" customHeight="1">
      <c r="A105" s="8" t="s">
        <v>1526</v>
      </c>
      <c r="B105" s="8" t="s">
        <v>1317</v>
      </c>
      <c r="C105" s="15" t="s">
        <v>1317</v>
      </c>
      <c r="D105" s="15" t="str">
        <f t="shared" si="5"/>
        <v>No</v>
      </c>
      <c r="E105" s="15" t="str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  <v>No</v>
      </c>
      <c r="F105" t="str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  <v>No</v>
      </c>
      <c r="G105" s="59" t="s">
        <v>1742</v>
      </c>
      <c r="H105" s="4" t="s">
        <v>1742</v>
      </c>
      <c r="I105" s="4" t="s">
        <v>1577</v>
      </c>
      <c r="J105" s="2" t="s">
        <v>1317</v>
      </c>
      <c r="K105" s="2" t="s">
        <v>1317</v>
      </c>
      <c r="L105" s="2" t="s">
        <v>1317</v>
      </c>
      <c r="M105" s="2" t="s">
        <v>1743</v>
      </c>
      <c r="N105" s="4" t="s">
        <v>1744</v>
      </c>
      <c r="O105" s="4" t="s">
        <v>1325</v>
      </c>
      <c r="P105" s="4" t="s">
        <v>1745</v>
      </c>
      <c r="Q105" s="96">
        <v>46075</v>
      </c>
      <c r="R105" s="14" t="s">
        <v>1782</v>
      </c>
      <c r="S105" t="s">
        <v>1783</v>
      </c>
      <c r="T105" s="4" t="s">
        <v>1784</v>
      </c>
      <c r="U105" s="4" t="s">
        <v>1325</v>
      </c>
      <c r="V105" s="4"/>
      <c r="W105" s="4"/>
      <c r="X105" s="4"/>
      <c r="Y105" s="4" t="s">
        <v>1785</v>
      </c>
      <c r="Z105" s="4" t="s">
        <v>1786</v>
      </c>
      <c r="AA105" s="4" t="s">
        <v>1517</v>
      </c>
      <c r="AB105" s="4"/>
      <c r="AC105" s="4"/>
      <c r="AD105" s="4" t="s">
        <v>1787</v>
      </c>
      <c r="AE105" s="8">
        <v>2</v>
      </c>
      <c r="AF105" s="4" t="s">
        <v>1752</v>
      </c>
      <c r="AG105" s="4" t="s">
        <v>1788</v>
      </c>
      <c r="AH105" s="14"/>
      <c r="AI105" s="4" t="s">
        <v>1789</v>
      </c>
      <c r="AJ105" s="4" t="s">
        <v>1522</v>
      </c>
      <c r="AK105" s="4" t="s">
        <v>1755</v>
      </c>
      <c r="AL105" s="4" t="s">
        <v>1787</v>
      </c>
      <c r="AM105" s="4" t="s">
        <v>1191</v>
      </c>
      <c r="AN105" s="4"/>
      <c r="AO105" s="4"/>
      <c r="AP105" s="4"/>
      <c r="AQ105" s="4"/>
      <c r="AR105" s="93" t="s">
        <v>1790</v>
      </c>
      <c r="AS105" s="92"/>
      <c r="AT105" s="92"/>
      <c r="AU105" s="92"/>
      <c r="AV105" s="92"/>
      <c r="AW105" s="8" t="s">
        <v>1317</v>
      </c>
      <c r="AX105" s="8" t="s">
        <v>1317</v>
      </c>
      <c r="AY105" s="8" t="s">
        <v>1317</v>
      </c>
      <c r="AZ105" s="8" t="s">
        <v>1317</v>
      </c>
      <c r="BA105" s="12"/>
      <c r="BB105" s="8"/>
      <c r="BC105" s="4"/>
      <c r="BD105" s="4"/>
      <c r="BE105" s="8"/>
      <c r="BF105" s="8"/>
      <c r="BG105" s="8"/>
      <c r="BH105" s="8"/>
      <c r="BI105" s="8" t="s">
        <v>1334</v>
      </c>
      <c r="BJ105" s="8"/>
      <c r="BK105" s="8"/>
      <c r="BL105" s="4" t="str">
        <f t="shared" si="3"/>
        <v>Firmware Download, Device ID, Epic Beans Relay</v>
      </c>
      <c r="BM105" s="8" t="str">
        <f t="shared" si="4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1317</v>
      </c>
      <c r="BT105" t="s">
        <v>1317</v>
      </c>
      <c r="BU105" t="s">
        <v>1317</v>
      </c>
      <c r="BV105" t="s">
        <v>1317</v>
      </c>
      <c r="BW105" t="s">
        <v>1317</v>
      </c>
      <c r="BX105">
        <v>19200</v>
      </c>
    </row>
    <row r="106" spans="1:76" ht="20.25" customHeight="1">
      <c r="A106" s="8" t="s">
        <v>1526</v>
      </c>
      <c r="B106" s="8" t="s">
        <v>1317</v>
      </c>
      <c r="C106" s="15" t="s">
        <v>1317</v>
      </c>
      <c r="D106" s="15" t="str">
        <f t="shared" si="5"/>
        <v>No</v>
      </c>
      <c r="E106" s="15" t="str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  <v>No</v>
      </c>
      <c r="F106" t="str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  <v>No</v>
      </c>
      <c r="G106" s="62" t="s">
        <v>1742</v>
      </c>
      <c r="H106" s="4" t="s">
        <v>1742</v>
      </c>
      <c r="I106" s="4" t="s">
        <v>1577</v>
      </c>
      <c r="J106" s="2" t="s">
        <v>1317</v>
      </c>
      <c r="K106" s="2" t="s">
        <v>1317</v>
      </c>
      <c r="L106" s="2" t="s">
        <v>1317</v>
      </c>
      <c r="M106" s="2" t="s">
        <v>1743</v>
      </c>
      <c r="N106" s="4" t="s">
        <v>1744</v>
      </c>
      <c r="O106" s="4" t="s">
        <v>1325</v>
      </c>
      <c r="P106" s="4" t="s">
        <v>1745</v>
      </c>
      <c r="Q106" s="96">
        <v>46075</v>
      </c>
      <c r="R106" s="14" t="s">
        <v>1791</v>
      </c>
      <c r="S106" t="s">
        <v>1792</v>
      </c>
      <c r="T106" s="4"/>
      <c r="U106" s="4" t="s">
        <v>1325</v>
      </c>
      <c r="V106" s="4"/>
      <c r="W106" s="4"/>
      <c r="X106" s="4"/>
      <c r="Y106" s="4" t="s">
        <v>1793</v>
      </c>
      <c r="Z106" s="4" t="s">
        <v>1794</v>
      </c>
      <c r="AA106" s="4" t="s">
        <v>1517</v>
      </c>
      <c r="AB106" s="4"/>
      <c r="AC106" s="4"/>
      <c r="AD106" s="4" t="s">
        <v>1795</v>
      </c>
      <c r="AE106" s="8">
        <v>2</v>
      </c>
      <c r="AF106" s="4" t="s">
        <v>1752</v>
      </c>
      <c r="AG106" s="4" t="s">
        <v>1796</v>
      </c>
      <c r="AH106" s="14"/>
      <c r="AI106" s="4"/>
      <c r="AJ106" s="4" t="s">
        <v>1522</v>
      </c>
      <c r="AK106" s="4" t="s">
        <v>1755</v>
      </c>
      <c r="AL106" s="4" t="s">
        <v>1795</v>
      </c>
      <c r="AM106" s="4" t="s">
        <v>1191</v>
      </c>
      <c r="AN106" s="4"/>
      <c r="AO106" s="4"/>
      <c r="AP106" s="4"/>
      <c r="AQ106" s="4"/>
      <c r="AR106" s="92" t="s">
        <v>1797</v>
      </c>
      <c r="AS106" s="92"/>
      <c r="AT106" s="92"/>
      <c r="AU106" s="92"/>
      <c r="AV106" s="92"/>
      <c r="AW106" s="8" t="s">
        <v>1317</v>
      </c>
      <c r="AX106" s="8" t="s">
        <v>1317</v>
      </c>
      <c r="AY106" s="8" t="s">
        <v>1317</v>
      </c>
      <c r="AZ106" s="8" t="s">
        <v>1317</v>
      </c>
      <c r="BA106" s="12"/>
      <c r="BB106" s="8"/>
      <c r="BC106" s="4"/>
      <c r="BD106" s="4"/>
      <c r="BE106" s="8"/>
      <c r="BF106" s="8"/>
      <c r="BG106" s="8"/>
      <c r="BH106" s="8"/>
      <c r="BI106" s="8" t="s">
        <v>1334</v>
      </c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1317</v>
      </c>
      <c r="BT106" t="s">
        <v>1317</v>
      </c>
      <c r="BU106" t="s">
        <v>1317</v>
      </c>
      <c r="BV106" t="s">
        <v>1317</v>
      </c>
      <c r="BW106" t="s">
        <v>1317</v>
      </c>
      <c r="BX106">
        <v>19200</v>
      </c>
    </row>
    <row r="107" spans="1:76" ht="20.25" customHeight="1">
      <c r="A107" s="8" t="s">
        <v>1526</v>
      </c>
      <c r="B107" s="8" t="s">
        <v>1317</v>
      </c>
      <c r="C107" s="15" t="s">
        <v>1317</v>
      </c>
      <c r="D107" s="15" t="str">
        <f t="shared" si="5"/>
        <v>No</v>
      </c>
      <c r="E107" s="15" t="str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  <v>No</v>
      </c>
      <c r="F107" t="str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  <v>No</v>
      </c>
      <c r="G107" s="59" t="s">
        <v>1742</v>
      </c>
      <c r="H107" s="4" t="s">
        <v>1742</v>
      </c>
      <c r="I107" s="4" t="s">
        <v>1577</v>
      </c>
      <c r="J107" s="2" t="s">
        <v>1317</v>
      </c>
      <c r="K107" s="2" t="s">
        <v>1317</v>
      </c>
      <c r="L107" s="2" t="s">
        <v>1317</v>
      </c>
      <c r="M107" s="2" t="s">
        <v>1743</v>
      </c>
      <c r="N107" s="4" t="s">
        <v>1744</v>
      </c>
      <c r="O107" s="4" t="s">
        <v>1325</v>
      </c>
      <c r="P107" s="4" t="s">
        <v>1745</v>
      </c>
      <c r="Q107" s="96">
        <v>46075</v>
      </c>
      <c r="R107" s="14" t="s">
        <v>1798</v>
      </c>
      <c r="S107" t="s">
        <v>1799</v>
      </c>
      <c r="T107" s="4" t="s">
        <v>1800</v>
      </c>
      <c r="U107" s="4" t="s">
        <v>1325</v>
      </c>
      <c r="V107" s="4"/>
      <c r="W107" s="4"/>
      <c r="X107" s="4"/>
      <c r="Y107" s="4" t="s">
        <v>1801</v>
      </c>
      <c r="Z107" s="4" t="s">
        <v>1802</v>
      </c>
      <c r="AA107" s="4" t="s">
        <v>1517</v>
      </c>
      <c r="AB107" s="4"/>
      <c r="AC107" s="4"/>
      <c r="AD107" s="4" t="s">
        <v>1803</v>
      </c>
      <c r="AE107" s="8">
        <v>2</v>
      </c>
      <c r="AF107" s="4" t="s">
        <v>1752</v>
      </c>
      <c r="AG107" s="4" t="s">
        <v>1804</v>
      </c>
      <c r="AH107" s="14"/>
      <c r="AI107" s="4" t="s">
        <v>1805</v>
      </c>
      <c r="AJ107" s="4" t="s">
        <v>1522</v>
      </c>
      <c r="AK107" s="4" t="s">
        <v>1755</v>
      </c>
      <c r="AL107" s="4" t="s">
        <v>1803</v>
      </c>
      <c r="AM107" s="4" t="s">
        <v>1191</v>
      </c>
      <c r="AN107" s="4"/>
      <c r="AO107" s="4"/>
      <c r="AP107" s="4"/>
      <c r="AQ107" s="4"/>
      <c r="AR107" s="92" t="s">
        <v>1806</v>
      </c>
      <c r="AS107" s="92"/>
      <c r="AT107" s="92"/>
      <c r="AU107" s="92"/>
      <c r="AV107" s="92"/>
      <c r="AW107" s="8" t="s">
        <v>1317</v>
      </c>
      <c r="AX107" s="8" t="s">
        <v>1317</v>
      </c>
      <c r="AY107" s="8" t="s">
        <v>1317</v>
      </c>
      <c r="AZ107" s="8" t="s">
        <v>1317</v>
      </c>
      <c r="BA107" s="12"/>
      <c r="BB107" s="8"/>
      <c r="BC107" s="4"/>
      <c r="BD107" s="4"/>
      <c r="BE107" s="8"/>
      <c r="BF107" s="8"/>
      <c r="BG107" s="8"/>
      <c r="BH107" s="8"/>
      <c r="BI107" s="8" t="s">
        <v>1334</v>
      </c>
      <c r="BJ107" s="8"/>
      <c r="BK107" s="8"/>
      <c r="BL107" s="4" t="str">
        <f t="shared" si="3"/>
        <v>Firmware Download, Device ID, Epic Beans Relay</v>
      </c>
      <c r="BM107" s="8" t="str">
        <f t="shared" si="4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1317</v>
      </c>
      <c r="BT107" t="s">
        <v>1317</v>
      </c>
      <c r="BU107" t="s">
        <v>1317</v>
      </c>
      <c r="BV107" t="s">
        <v>1317</v>
      </c>
      <c r="BW107" t="s">
        <v>1317</v>
      </c>
      <c r="BX107">
        <v>19200</v>
      </c>
    </row>
    <row r="108" spans="1:76" ht="20.25" customHeight="1">
      <c r="A108" s="8" t="s">
        <v>1526</v>
      </c>
      <c r="B108" s="8" t="s">
        <v>1317</v>
      </c>
      <c r="C108" s="15" t="s">
        <v>1317</v>
      </c>
      <c r="D108" s="15" t="str">
        <f t="shared" si="5"/>
        <v>No</v>
      </c>
      <c r="E108" s="15" t="str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  <v>No</v>
      </c>
      <c r="F108" t="str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  <v>No</v>
      </c>
      <c r="G108" s="62" t="s">
        <v>1742</v>
      </c>
      <c r="H108" s="4" t="s">
        <v>1742</v>
      </c>
      <c r="I108" s="4" t="s">
        <v>1577</v>
      </c>
      <c r="J108" s="2" t="s">
        <v>1317</v>
      </c>
      <c r="K108" s="2" t="s">
        <v>1317</v>
      </c>
      <c r="L108" s="2" t="s">
        <v>1317</v>
      </c>
      <c r="M108" s="2" t="s">
        <v>1743</v>
      </c>
      <c r="N108" s="4" t="s">
        <v>1744</v>
      </c>
      <c r="O108" s="4" t="s">
        <v>1325</v>
      </c>
      <c r="P108" s="4" t="s">
        <v>1745</v>
      </c>
      <c r="Q108" s="96">
        <v>46075</v>
      </c>
      <c r="R108" s="14" t="s">
        <v>1807</v>
      </c>
      <c r="S108" t="s">
        <v>1808</v>
      </c>
      <c r="T108" s="4" t="s">
        <v>1809</v>
      </c>
      <c r="U108" s="4" t="s">
        <v>1325</v>
      </c>
      <c r="V108" s="4"/>
      <c r="W108" s="4"/>
      <c r="X108" s="4"/>
      <c r="Y108" s="4" t="s">
        <v>1810</v>
      </c>
      <c r="Z108" s="4" t="s">
        <v>1811</v>
      </c>
      <c r="AA108" s="4" t="s">
        <v>1517</v>
      </c>
      <c r="AB108" s="4"/>
      <c r="AC108" s="4"/>
      <c r="AD108" s="4" t="s">
        <v>1812</v>
      </c>
      <c r="AE108" s="8">
        <v>2</v>
      </c>
      <c r="AF108" s="4" t="s">
        <v>1752</v>
      </c>
      <c r="AG108" s="4" t="s">
        <v>1813</v>
      </c>
      <c r="AH108" s="14"/>
      <c r="AI108" s="4"/>
      <c r="AJ108" s="4" t="s">
        <v>1522</v>
      </c>
      <c r="AK108" s="4" t="s">
        <v>1755</v>
      </c>
      <c r="AL108" s="4" t="s">
        <v>1812</v>
      </c>
      <c r="AM108" s="4" t="s">
        <v>1191</v>
      </c>
      <c r="AN108" s="4"/>
      <c r="AO108" s="4"/>
      <c r="AP108" s="4"/>
      <c r="AQ108" s="4"/>
      <c r="AR108" s="92" t="s">
        <v>1814</v>
      </c>
      <c r="AS108" s="92"/>
      <c r="AT108" s="92"/>
      <c r="AU108" s="92"/>
      <c r="AV108" s="92"/>
      <c r="AW108" s="8" t="s">
        <v>1317</v>
      </c>
      <c r="AX108" s="8" t="s">
        <v>1317</v>
      </c>
      <c r="AY108" s="8" t="s">
        <v>1317</v>
      </c>
      <c r="AZ108" s="8" t="s">
        <v>1317</v>
      </c>
      <c r="BA108" s="12"/>
      <c r="BB108" s="8"/>
      <c r="BC108" s="4"/>
      <c r="BD108" s="4"/>
      <c r="BE108" s="8"/>
      <c r="BF108" s="8"/>
      <c r="BG108" s="8"/>
      <c r="BH108" s="8"/>
      <c r="BI108" s="8" t="s">
        <v>1334</v>
      </c>
      <c r="BJ108" s="8"/>
      <c r="BK108" s="8"/>
      <c r="BL108" s="4" t="str">
        <f t="shared" si="3"/>
        <v>Firmware Download, Device ID, Epic Beans Relay</v>
      </c>
      <c r="BM108" s="8" t="str">
        <f t="shared" si="4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1317</v>
      </c>
      <c r="BT108" t="s">
        <v>1317</v>
      </c>
      <c r="BU108" t="s">
        <v>1317</v>
      </c>
      <c r="BV108" t="s">
        <v>1317</v>
      </c>
      <c r="BW108" t="s">
        <v>1317</v>
      </c>
      <c r="BX108">
        <v>19200</v>
      </c>
    </row>
    <row r="109" spans="1:76" ht="20.25" customHeight="1">
      <c r="A109" s="8" t="s">
        <v>1526</v>
      </c>
      <c r="B109" s="8" t="s">
        <v>1317</v>
      </c>
      <c r="C109" s="15" t="s">
        <v>1317</v>
      </c>
      <c r="D109" s="15" t="str">
        <f t="shared" si="5"/>
        <v>No</v>
      </c>
      <c r="E109" s="15" t="str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  <v>No</v>
      </c>
      <c r="F109" t="str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  <v>No</v>
      </c>
      <c r="G109" s="59" t="s">
        <v>1742</v>
      </c>
      <c r="H109" s="4" t="s">
        <v>1742</v>
      </c>
      <c r="I109" s="4" t="s">
        <v>1577</v>
      </c>
      <c r="J109" s="2" t="s">
        <v>1317</v>
      </c>
      <c r="K109" s="2" t="s">
        <v>1317</v>
      </c>
      <c r="L109" s="2" t="s">
        <v>1317</v>
      </c>
      <c r="M109" s="2" t="s">
        <v>1743</v>
      </c>
      <c r="N109" s="4" t="s">
        <v>1744</v>
      </c>
      <c r="O109" s="4" t="s">
        <v>1325</v>
      </c>
      <c r="P109" s="4" t="s">
        <v>1745</v>
      </c>
      <c r="Q109" s="96">
        <v>46075</v>
      </c>
      <c r="R109" s="14" t="s">
        <v>1815</v>
      </c>
      <c r="S109" t="s">
        <v>1816</v>
      </c>
      <c r="T109" s="4" t="s">
        <v>1817</v>
      </c>
      <c r="U109" s="4" t="s">
        <v>1325</v>
      </c>
      <c r="V109" s="4"/>
      <c r="W109" s="4"/>
      <c r="X109" s="4"/>
      <c r="Y109" s="4" t="s">
        <v>1818</v>
      </c>
      <c r="Z109" s="4" t="s">
        <v>1819</v>
      </c>
      <c r="AA109" s="4" t="s">
        <v>1517</v>
      </c>
      <c r="AB109" s="4"/>
      <c r="AC109" s="4"/>
      <c r="AD109" s="4" t="s">
        <v>1820</v>
      </c>
      <c r="AE109" s="8">
        <v>2</v>
      </c>
      <c r="AF109" s="4" t="s">
        <v>1752</v>
      </c>
      <c r="AG109" s="4" t="s">
        <v>1821</v>
      </c>
      <c r="AH109" s="14"/>
      <c r="AI109" s="4"/>
      <c r="AJ109" s="4" t="s">
        <v>1522</v>
      </c>
      <c r="AK109" s="4" t="s">
        <v>1755</v>
      </c>
      <c r="AL109" s="4" t="s">
        <v>1820</v>
      </c>
      <c r="AM109" s="4" t="s">
        <v>1191</v>
      </c>
      <c r="AN109" s="4"/>
      <c r="AO109" s="4"/>
      <c r="AP109" s="4"/>
      <c r="AQ109" s="4"/>
      <c r="AR109" s="92" t="s">
        <v>1822</v>
      </c>
      <c r="AS109" s="92"/>
      <c r="AT109" s="92"/>
      <c r="AU109" s="92"/>
      <c r="AV109" s="92"/>
      <c r="AW109" s="8" t="s">
        <v>1317</v>
      </c>
      <c r="AX109" s="8" t="s">
        <v>1317</v>
      </c>
      <c r="AY109" s="8" t="s">
        <v>1317</v>
      </c>
      <c r="AZ109" s="8" t="s">
        <v>1317</v>
      </c>
      <c r="BA109" s="12"/>
      <c r="BB109" s="8"/>
      <c r="BC109" s="4"/>
      <c r="BD109" s="4"/>
      <c r="BE109" s="8"/>
      <c r="BF109" s="8"/>
      <c r="BG109" s="8"/>
      <c r="BH109" s="8"/>
      <c r="BI109" s="8" t="s">
        <v>1334</v>
      </c>
      <c r="BJ109" s="8"/>
      <c r="BK109" s="8"/>
      <c r="BL109" s="4" t="str">
        <f t="shared" si="3"/>
        <v>Firmware Download, Device ID, Epic Beans Relay</v>
      </c>
      <c r="BM109" s="8" t="str">
        <f t="shared" si="4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1317</v>
      </c>
      <c r="BT109" t="s">
        <v>1317</v>
      </c>
      <c r="BU109" t="s">
        <v>1317</v>
      </c>
      <c r="BV109" t="s">
        <v>1317</v>
      </c>
      <c r="BW109" t="s">
        <v>1317</v>
      </c>
      <c r="BX109">
        <v>19200</v>
      </c>
    </row>
    <row r="110" spans="1:76" ht="20.25" customHeight="1">
      <c r="A110" s="8" t="s">
        <v>1526</v>
      </c>
      <c r="B110" s="8" t="s">
        <v>1317</v>
      </c>
      <c r="C110" s="15" t="s">
        <v>1317</v>
      </c>
      <c r="D110" s="15" t="str">
        <f t="shared" si="5"/>
        <v>No</v>
      </c>
      <c r="E110" s="15" t="str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  <v>No</v>
      </c>
      <c r="F110" t="str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  <v>No</v>
      </c>
      <c r="G110" s="62" t="s">
        <v>1742</v>
      </c>
      <c r="H110" s="4" t="s">
        <v>1742</v>
      </c>
      <c r="I110" s="4" t="s">
        <v>1577</v>
      </c>
      <c r="J110" s="2" t="s">
        <v>1317</v>
      </c>
      <c r="K110" s="2" t="s">
        <v>1317</v>
      </c>
      <c r="L110" s="2" t="s">
        <v>1317</v>
      </c>
      <c r="M110" s="2" t="s">
        <v>1743</v>
      </c>
      <c r="N110" s="4" t="s">
        <v>1744</v>
      </c>
      <c r="O110" s="4" t="s">
        <v>1325</v>
      </c>
      <c r="P110" s="4" t="s">
        <v>1745</v>
      </c>
      <c r="Q110" s="96">
        <v>46075</v>
      </c>
      <c r="R110" s="14" t="s">
        <v>1823</v>
      </c>
      <c r="S110" t="s">
        <v>1824</v>
      </c>
      <c r="T110" s="4" t="s">
        <v>1825</v>
      </c>
      <c r="U110" s="4" t="s">
        <v>1325</v>
      </c>
      <c r="V110" s="4"/>
      <c r="W110" s="4"/>
      <c r="X110" s="4"/>
      <c r="Y110" s="4" t="s">
        <v>1826</v>
      </c>
      <c r="Z110" s="4" t="s">
        <v>1827</v>
      </c>
      <c r="AA110" s="4" t="s">
        <v>1517</v>
      </c>
      <c r="AB110" s="4"/>
      <c r="AC110" s="4"/>
      <c r="AD110" s="4" t="s">
        <v>1828</v>
      </c>
      <c r="AE110" s="8">
        <v>2</v>
      </c>
      <c r="AF110" s="4" t="s">
        <v>1752</v>
      </c>
      <c r="AG110" s="4" t="s">
        <v>1829</v>
      </c>
      <c r="AH110" s="14"/>
      <c r="AI110" s="4" t="s">
        <v>1830</v>
      </c>
      <c r="AJ110" s="4" t="s">
        <v>1522</v>
      </c>
      <c r="AK110" s="4" t="s">
        <v>1755</v>
      </c>
      <c r="AL110" s="4" t="s">
        <v>1828</v>
      </c>
      <c r="AM110" s="4" t="s">
        <v>1191</v>
      </c>
      <c r="AN110" s="4"/>
      <c r="AO110" s="4"/>
      <c r="AP110" s="4"/>
      <c r="AQ110" s="4"/>
      <c r="AR110" s="92" t="s">
        <v>1831</v>
      </c>
      <c r="AS110" s="92"/>
      <c r="AT110" s="92"/>
      <c r="AU110" s="92"/>
      <c r="AV110" s="92"/>
      <c r="AW110" s="8" t="s">
        <v>1317</v>
      </c>
      <c r="AX110" s="8" t="s">
        <v>1317</v>
      </c>
      <c r="AY110" s="8" t="s">
        <v>1317</v>
      </c>
      <c r="AZ110" s="8" t="s">
        <v>1317</v>
      </c>
      <c r="BA110" s="12"/>
      <c r="BB110" s="8"/>
      <c r="BC110" s="4"/>
      <c r="BD110" s="4"/>
      <c r="BE110" s="8"/>
      <c r="BF110" s="8"/>
      <c r="BG110" s="8"/>
      <c r="BH110" s="8"/>
      <c r="BI110" s="8" t="s">
        <v>1334</v>
      </c>
      <c r="BJ110" s="8"/>
      <c r="BK110" s="8"/>
      <c r="BL110" s="4" t="str">
        <f t="shared" si="3"/>
        <v>Firmware Download, Device ID, Epic Beans Relay</v>
      </c>
      <c r="BM110" s="8" t="str">
        <f t="shared" si="4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1317</v>
      </c>
      <c r="BT110" t="s">
        <v>1317</v>
      </c>
      <c r="BU110" t="s">
        <v>1317</v>
      </c>
      <c r="BV110" t="s">
        <v>1317</v>
      </c>
      <c r="BW110" t="s">
        <v>1317</v>
      </c>
      <c r="BX110">
        <v>19200</v>
      </c>
    </row>
    <row r="111" spans="1:76" ht="20.25" customHeight="1">
      <c r="A111" s="8" t="s">
        <v>1526</v>
      </c>
      <c r="B111" s="8" t="s">
        <v>1317</v>
      </c>
      <c r="C111" s="15" t="s">
        <v>1317</v>
      </c>
      <c r="D111" s="15" t="str">
        <f t="shared" si="5"/>
        <v>No</v>
      </c>
      <c r="E111" s="15" t="str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  <v>No</v>
      </c>
      <c r="F111" t="str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  <v>No</v>
      </c>
      <c r="G111" t="s">
        <v>1742</v>
      </c>
      <c r="H111" s="4" t="s">
        <v>1742</v>
      </c>
      <c r="I111" s="4" t="s">
        <v>1577</v>
      </c>
      <c r="J111" s="2" t="s">
        <v>1317</v>
      </c>
      <c r="K111" s="2" t="s">
        <v>1317</v>
      </c>
      <c r="L111" s="2" t="s">
        <v>1317</v>
      </c>
      <c r="M111" s="2" t="s">
        <v>1743</v>
      </c>
      <c r="N111" s="4" t="s">
        <v>1744</v>
      </c>
      <c r="O111" s="4" t="s">
        <v>1325</v>
      </c>
      <c r="P111" s="4" t="s">
        <v>1745</v>
      </c>
      <c r="Q111" s="96">
        <v>46075</v>
      </c>
      <c r="R111" s="14" t="s">
        <v>1832</v>
      </c>
      <c r="S111" t="s">
        <v>1833</v>
      </c>
      <c r="T111" s="4" t="s">
        <v>1834</v>
      </c>
      <c r="U111" s="4" t="s">
        <v>1325</v>
      </c>
      <c r="V111" s="4"/>
      <c r="W111" s="4"/>
      <c r="X111" s="4"/>
      <c r="Y111" s="4" t="s">
        <v>1835</v>
      </c>
      <c r="Z111" s="4" t="s">
        <v>1836</v>
      </c>
      <c r="AA111" s="4" t="s">
        <v>1517</v>
      </c>
      <c r="AB111" s="4"/>
      <c r="AC111" s="4"/>
      <c r="AD111" s="4" t="s">
        <v>1837</v>
      </c>
      <c r="AE111" s="8">
        <v>2</v>
      </c>
      <c r="AF111" s="4" t="s">
        <v>1752</v>
      </c>
      <c r="AG111" s="4" t="s">
        <v>1838</v>
      </c>
      <c r="AH111" s="14"/>
      <c r="AI111" s="4"/>
      <c r="AJ111" s="4" t="s">
        <v>1522</v>
      </c>
      <c r="AK111" s="4" t="s">
        <v>1755</v>
      </c>
      <c r="AL111" s="4" t="s">
        <v>1837</v>
      </c>
      <c r="AM111" s="4" t="s">
        <v>1191</v>
      </c>
      <c r="AN111" s="4"/>
      <c r="AO111" s="4"/>
      <c r="AP111" s="4"/>
      <c r="AQ111" s="4"/>
      <c r="AR111" s="92" t="s">
        <v>1839</v>
      </c>
      <c r="AS111" s="92"/>
      <c r="AT111" s="92"/>
      <c r="AU111" s="92"/>
      <c r="AV111" s="92"/>
      <c r="AW111" s="8" t="s">
        <v>1317</v>
      </c>
      <c r="AX111" s="8" t="s">
        <v>1317</v>
      </c>
      <c r="AY111" s="8" t="s">
        <v>1317</v>
      </c>
      <c r="AZ111" s="8" t="s">
        <v>1317</v>
      </c>
      <c r="BA111" s="12"/>
      <c r="BB111" s="8"/>
      <c r="BC111" s="4"/>
      <c r="BD111" s="4"/>
      <c r="BE111" s="8"/>
      <c r="BF111" s="8"/>
      <c r="BG111" s="8"/>
      <c r="BH111" s="8"/>
      <c r="BI111" s="8" t="s">
        <v>1334</v>
      </c>
      <c r="BJ111" s="8"/>
      <c r="BK111" s="8"/>
      <c r="BL111" s="4" t="str">
        <f t="shared" si="3"/>
        <v>Firmware Download, Device ID, Epic Beans Relay</v>
      </c>
      <c r="BM111" s="8" t="str">
        <f t="shared" si="4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1317</v>
      </c>
      <c r="BT111" t="s">
        <v>1317</v>
      </c>
      <c r="BU111" t="s">
        <v>1317</v>
      </c>
      <c r="BV111" t="s">
        <v>1317</v>
      </c>
      <c r="BW111" t="s">
        <v>1317</v>
      </c>
      <c r="BX111">
        <v>19200</v>
      </c>
    </row>
    <row r="112" spans="1:76" ht="20.25" customHeight="1">
      <c r="A112" s="8" t="s">
        <v>1526</v>
      </c>
      <c r="B112" s="8" t="s">
        <v>1317</v>
      </c>
      <c r="C112" s="15" t="s">
        <v>1317</v>
      </c>
      <c r="D112" s="15" t="str">
        <f t="shared" si="5"/>
        <v>No</v>
      </c>
      <c r="E112" s="15" t="str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  <v>No</v>
      </c>
      <c r="F112" t="str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  <v>No</v>
      </c>
      <c r="G112" s="62" t="s">
        <v>1742</v>
      </c>
      <c r="H112" s="4" t="s">
        <v>1742</v>
      </c>
      <c r="I112" s="4" t="s">
        <v>1577</v>
      </c>
      <c r="J112" s="2" t="s">
        <v>1317</v>
      </c>
      <c r="K112" s="2" t="s">
        <v>1317</v>
      </c>
      <c r="L112" s="2" t="s">
        <v>1317</v>
      </c>
      <c r="M112" s="2" t="s">
        <v>1743</v>
      </c>
      <c r="N112" s="4" t="s">
        <v>1744</v>
      </c>
      <c r="O112" s="4" t="s">
        <v>1325</v>
      </c>
      <c r="P112" s="4" t="s">
        <v>1745</v>
      </c>
      <c r="Q112" s="96">
        <v>46075</v>
      </c>
      <c r="R112" s="14" t="s">
        <v>1840</v>
      </c>
      <c r="S112" t="s">
        <v>1841</v>
      </c>
      <c r="T112" s="4" t="s">
        <v>1842</v>
      </c>
      <c r="U112" s="4" t="s">
        <v>1325</v>
      </c>
      <c r="V112" s="4"/>
      <c r="W112" s="4"/>
      <c r="X112" s="4"/>
      <c r="Y112" s="4" t="s">
        <v>1843</v>
      </c>
      <c r="Z112" s="4" t="s">
        <v>1844</v>
      </c>
      <c r="AA112" s="4" t="s">
        <v>1517</v>
      </c>
      <c r="AB112" s="4"/>
      <c r="AC112" s="4"/>
      <c r="AD112" s="4" t="s">
        <v>1845</v>
      </c>
      <c r="AE112" s="8">
        <v>2</v>
      </c>
      <c r="AF112" s="4" t="s">
        <v>1752</v>
      </c>
      <c r="AG112" s="4" t="s">
        <v>1846</v>
      </c>
      <c r="AH112" s="14"/>
      <c r="AI112" s="4"/>
      <c r="AJ112" s="4" t="s">
        <v>1522</v>
      </c>
      <c r="AK112" s="4" t="s">
        <v>1755</v>
      </c>
      <c r="AL112" s="4" t="s">
        <v>1845</v>
      </c>
      <c r="AM112" s="4" t="s">
        <v>1191</v>
      </c>
      <c r="AN112" s="4"/>
      <c r="AO112" s="4"/>
      <c r="AP112" s="4"/>
      <c r="AQ112" s="4"/>
      <c r="AR112" s="92" t="s">
        <v>1847</v>
      </c>
      <c r="AS112" s="92"/>
      <c r="AT112" s="92"/>
      <c r="AU112" s="92"/>
      <c r="AV112" s="92"/>
      <c r="AW112" s="8" t="s">
        <v>1317</v>
      </c>
      <c r="AX112" s="8" t="s">
        <v>1317</v>
      </c>
      <c r="AY112" s="8" t="s">
        <v>1317</v>
      </c>
      <c r="AZ112" s="8" t="s">
        <v>1317</v>
      </c>
      <c r="BA112" s="12"/>
      <c r="BB112" s="8"/>
      <c r="BC112" s="4"/>
      <c r="BD112" s="4"/>
      <c r="BE112" s="8"/>
      <c r="BF112" s="8"/>
      <c r="BG112" s="8"/>
      <c r="BH112" s="8"/>
      <c r="BI112" s="8" t="s">
        <v>1334</v>
      </c>
      <c r="BJ112" s="8"/>
      <c r="BK112" s="8"/>
      <c r="BL112" s="4" t="str">
        <f t="shared" si="3"/>
        <v>Firmware Download, Device ID, Epic Beans Relay</v>
      </c>
      <c r="BM112" s="8" t="str">
        <f t="shared" si="4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1317</v>
      </c>
      <c r="BT112" t="s">
        <v>1317</v>
      </c>
      <c r="BU112" t="s">
        <v>1317</v>
      </c>
      <c r="BV112" t="s">
        <v>1317</v>
      </c>
      <c r="BW112" t="s">
        <v>1317</v>
      </c>
      <c r="BX112">
        <v>19200</v>
      </c>
    </row>
    <row r="113" spans="1:76" ht="20.25" customHeight="1">
      <c r="A113" s="8" t="s">
        <v>1526</v>
      </c>
      <c r="B113" s="8"/>
      <c r="C113" s="15" t="s">
        <v>1335</v>
      </c>
      <c r="D113" s="15" t="str">
        <f t="shared" si="5"/>
        <v/>
      </c>
      <c r="E113" s="15" t="str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  <v>No</v>
      </c>
      <c r="F113" t="str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  <v/>
      </c>
      <c r="G113" s="59" t="s">
        <v>1575</v>
      </c>
      <c r="H113" s="4" t="s">
        <v>1742</v>
      </c>
      <c r="I113" s="4" t="s">
        <v>1577</v>
      </c>
      <c r="J113" s="2" t="s">
        <v>1317</v>
      </c>
      <c r="K113" s="2" t="s">
        <v>1335</v>
      </c>
      <c r="L113" s="2" t="s">
        <v>1335</v>
      </c>
      <c r="M113" s="2"/>
      <c r="N113" s="4"/>
      <c r="O113" s="4"/>
      <c r="P113" s="4"/>
      <c r="Q113" s="4"/>
      <c r="R113" s="4" t="s">
        <v>1848</v>
      </c>
      <c r="T113" s="4"/>
      <c r="U113" s="4"/>
      <c r="V113" s="4"/>
      <c r="W113" s="4"/>
      <c r="X113" s="4"/>
      <c r="Y113" s="4" t="s">
        <v>1849</v>
      </c>
      <c r="Z113" s="4" t="s">
        <v>1850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92"/>
      <c r="AS113" s="92"/>
      <c r="AT113" s="92"/>
      <c r="AU113" s="92"/>
      <c r="AV113" s="92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 t="s">
        <v>1334</v>
      </c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 ht="20.25" customHeight="1">
      <c r="A114" s="8" t="s">
        <v>1526</v>
      </c>
      <c r="B114" s="8"/>
      <c r="C114" s="15" t="s">
        <v>1335</v>
      </c>
      <c r="D114" s="15" t="str">
        <f t="shared" si="5"/>
        <v/>
      </c>
      <c r="E114" s="15" t="str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s="62" t="s">
        <v>1575</v>
      </c>
      <c r="H114" s="4" t="s">
        <v>1742</v>
      </c>
      <c r="I114" s="4" t="s">
        <v>1577</v>
      </c>
      <c r="J114" s="2" t="s">
        <v>1317</v>
      </c>
      <c r="K114" s="2" t="s">
        <v>1335</v>
      </c>
      <c r="L114" s="2" t="s">
        <v>1335</v>
      </c>
      <c r="M114" s="2"/>
      <c r="N114" s="4"/>
      <c r="O114" s="4"/>
      <c r="P114" s="4"/>
      <c r="Q114" s="4"/>
      <c r="R114" s="4" t="s">
        <v>1851</v>
      </c>
      <c r="T114" s="4"/>
      <c r="U114" s="4"/>
      <c r="V114" s="4"/>
      <c r="W114" s="4"/>
      <c r="X114" s="4"/>
      <c r="Y114" s="4" t="s">
        <v>1852</v>
      </c>
      <c r="Z114" s="4" t="s">
        <v>1853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92"/>
      <c r="AS114" s="92"/>
      <c r="AT114" s="92"/>
      <c r="AU114" s="92"/>
      <c r="AV114" s="92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 t="s">
        <v>1334</v>
      </c>
      <c r="BJ114" s="8"/>
      <c r="BK114" s="8"/>
      <c r="BL114" s="4" t="str">
        <f t="shared" ref="BL114:BL182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82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 ht="20.25" customHeight="1">
      <c r="A115" s="8" t="s">
        <v>1526</v>
      </c>
      <c r="B115" s="8"/>
      <c r="C115" s="15" t="s">
        <v>1335</v>
      </c>
      <c r="D115" s="15" t="str">
        <f t="shared" si="5"/>
        <v/>
      </c>
      <c r="E115" s="15" t="str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  <v>No</v>
      </c>
      <c r="F115" t="str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  <v/>
      </c>
      <c r="G115" t="s">
        <v>1575</v>
      </c>
      <c r="H115" s="4" t="s">
        <v>1742</v>
      </c>
      <c r="I115" s="4" t="s">
        <v>1577</v>
      </c>
      <c r="J115" s="2" t="s">
        <v>1317</v>
      </c>
      <c r="K115" s="2" t="s">
        <v>1335</v>
      </c>
      <c r="L115" s="2" t="s">
        <v>1335</v>
      </c>
      <c r="M115" s="2"/>
      <c r="N115" s="4"/>
      <c r="O115" s="4"/>
      <c r="P115" s="4"/>
      <c r="Q115" s="4"/>
      <c r="R115" s="4" t="s">
        <v>1854</v>
      </c>
      <c r="T115" s="4"/>
      <c r="U115" s="4"/>
      <c r="V115" s="4"/>
      <c r="W115" s="4"/>
      <c r="X115" s="4"/>
      <c r="Y115" s="4" t="s">
        <v>1855</v>
      </c>
      <c r="Z115" s="4" t="s">
        <v>1856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92"/>
      <c r="AS115" s="92"/>
      <c r="AT115" s="92"/>
      <c r="AU115" s="92"/>
      <c r="AV115" s="92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 t="s">
        <v>1334</v>
      </c>
      <c r="BJ115" s="8"/>
      <c r="BK115" s="8"/>
      <c r="BL115" s="4" t="str">
        <f t="shared" si="6"/>
        <v/>
      </c>
      <c r="BM115" s="8" t="str">
        <f t="shared" si="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 ht="20.25" customHeight="1">
      <c r="A116" s="8" t="s">
        <v>1526</v>
      </c>
      <c r="B116" s="8"/>
      <c r="C116" s="15" t="s">
        <v>1335</v>
      </c>
      <c r="D116" s="15" t="str">
        <f t="shared" si="5"/>
        <v/>
      </c>
      <c r="E116" s="15" t="str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  <v>No</v>
      </c>
      <c r="F116" t="str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  <v/>
      </c>
      <c r="G116" s="62" t="s">
        <v>1575</v>
      </c>
      <c r="H116" s="4" t="s">
        <v>1742</v>
      </c>
      <c r="I116" s="4" t="s">
        <v>1577</v>
      </c>
      <c r="J116" s="2" t="s">
        <v>1317</v>
      </c>
      <c r="K116" s="2" t="s">
        <v>1335</v>
      </c>
      <c r="L116" s="2" t="s">
        <v>1335</v>
      </c>
      <c r="M116" s="2"/>
      <c r="N116" s="4"/>
      <c r="O116" s="4"/>
      <c r="P116" s="4"/>
      <c r="Q116" s="4"/>
      <c r="R116" s="4" t="s">
        <v>1857</v>
      </c>
      <c r="T116" s="4"/>
      <c r="U116" s="4"/>
      <c r="V116" s="4"/>
      <c r="W116" s="4"/>
      <c r="X116" s="4"/>
      <c r="Y116" s="4" t="s">
        <v>1858</v>
      </c>
      <c r="Z116" s="20" t="s">
        <v>1859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92"/>
      <c r="AS116" s="92"/>
      <c r="AT116" s="92"/>
      <c r="AU116" s="92"/>
      <c r="AV116" s="92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 t="s">
        <v>1334</v>
      </c>
      <c r="BJ116" s="8"/>
      <c r="BK116" s="8"/>
      <c r="BL116" s="4" t="str">
        <f t="shared" si="6"/>
        <v/>
      </c>
      <c r="BM116" s="8" t="str">
        <f t="shared" si="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 ht="20.25" customHeight="1">
      <c r="A117" s="8" t="s">
        <v>1526</v>
      </c>
      <c r="B117" s="8" t="s">
        <v>1317</v>
      </c>
      <c r="C117" s="15" t="s">
        <v>1317</v>
      </c>
      <c r="D117" s="15" t="str">
        <f t="shared" si="5"/>
        <v>No</v>
      </c>
      <c r="E117" s="15" t="str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  <v>No</v>
      </c>
      <c r="F117" t="str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  <v>No</v>
      </c>
      <c r="G117" s="59" t="s">
        <v>1742</v>
      </c>
      <c r="H117" s="4" t="s">
        <v>1742</v>
      </c>
      <c r="I117" s="4" t="s">
        <v>1577</v>
      </c>
      <c r="J117" s="2" t="s">
        <v>1317</v>
      </c>
      <c r="K117" s="2" t="s">
        <v>1317</v>
      </c>
      <c r="L117" s="2" t="s">
        <v>1317</v>
      </c>
      <c r="M117" s="2" t="s">
        <v>1743</v>
      </c>
      <c r="N117" s="4" t="s">
        <v>1744</v>
      </c>
      <c r="O117" s="4" t="s">
        <v>1325</v>
      </c>
      <c r="P117" s="4" t="s">
        <v>1745</v>
      </c>
      <c r="Q117" s="96">
        <v>46075</v>
      </c>
      <c r="R117" s="14" t="s">
        <v>1860</v>
      </c>
      <c r="S117" t="s">
        <v>1861</v>
      </c>
      <c r="T117" s="4" t="s">
        <v>1862</v>
      </c>
      <c r="U117" s="4" t="s">
        <v>1325</v>
      </c>
      <c r="V117" s="4"/>
      <c r="W117" s="4"/>
      <c r="X117" s="4"/>
      <c r="Y117" s="4" t="s">
        <v>1863</v>
      </c>
      <c r="Z117" s="20" t="s">
        <v>1864</v>
      </c>
      <c r="AA117" s="4" t="s">
        <v>1517</v>
      </c>
      <c r="AB117" s="4"/>
      <c r="AC117" s="4"/>
      <c r="AD117" s="4" t="s">
        <v>1865</v>
      </c>
      <c r="AE117" s="8">
        <v>2</v>
      </c>
      <c r="AF117" s="4" t="s">
        <v>1752</v>
      </c>
      <c r="AG117" s="4" t="s">
        <v>1866</v>
      </c>
      <c r="AH117" s="14"/>
      <c r="AI117" s="4"/>
      <c r="AJ117" s="4" t="s">
        <v>1522</v>
      </c>
      <c r="AK117" s="4" t="s">
        <v>1755</v>
      </c>
      <c r="AL117" s="4" t="s">
        <v>1865</v>
      </c>
      <c r="AM117" s="4" t="s">
        <v>1191</v>
      </c>
      <c r="AN117" s="4"/>
      <c r="AO117" s="4"/>
      <c r="AP117" s="4"/>
      <c r="AQ117" s="4"/>
      <c r="AR117" s="92" t="s">
        <v>1867</v>
      </c>
      <c r="AS117" s="92"/>
      <c r="AT117" s="92"/>
      <c r="AU117" s="92"/>
      <c r="AV117" s="92"/>
      <c r="AW117" s="8" t="s">
        <v>1317</v>
      </c>
      <c r="AX117" s="8" t="s">
        <v>1317</v>
      </c>
      <c r="AY117" s="8" t="s">
        <v>1317</v>
      </c>
      <c r="AZ117" s="8" t="s">
        <v>1317</v>
      </c>
      <c r="BA117" s="12"/>
      <c r="BB117" s="8"/>
      <c r="BC117" s="4"/>
      <c r="BD117" s="4"/>
      <c r="BE117" s="8"/>
      <c r="BF117" s="8"/>
      <c r="BG117" s="8"/>
      <c r="BH117" s="8"/>
      <c r="BI117" s="8" t="s">
        <v>1334</v>
      </c>
      <c r="BJ117" s="8"/>
      <c r="BK117" s="8"/>
      <c r="BL117" s="4" t="str">
        <f t="shared" si="6"/>
        <v>Firmware Download, Device ID, Epic Beans Relay</v>
      </c>
      <c r="BM117" s="8" t="str">
        <f t="shared" si="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1317</v>
      </c>
      <c r="BT117" t="s">
        <v>1317</v>
      </c>
      <c r="BU117" t="s">
        <v>1317</v>
      </c>
      <c r="BV117" t="s">
        <v>1317</v>
      </c>
      <c r="BW117" t="s">
        <v>1317</v>
      </c>
      <c r="BX117">
        <v>19200</v>
      </c>
    </row>
    <row r="118" spans="1:76" ht="20.25" customHeight="1">
      <c r="A118" s="8" t="s">
        <v>1526</v>
      </c>
      <c r="B118" s="8" t="s">
        <v>1317</v>
      </c>
      <c r="C118" s="15" t="s">
        <v>1317</v>
      </c>
      <c r="D118" s="15" t="str">
        <f t="shared" si="5"/>
        <v>No</v>
      </c>
      <c r="E118" s="15" t="str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  <v>No</v>
      </c>
      <c r="F118" t="str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  <v>No</v>
      </c>
      <c r="G118" s="62" t="s">
        <v>1742</v>
      </c>
      <c r="H118" s="4" t="s">
        <v>1742</v>
      </c>
      <c r="I118" s="4" t="s">
        <v>1577</v>
      </c>
      <c r="J118" s="2" t="s">
        <v>1317</v>
      </c>
      <c r="K118" s="2" t="s">
        <v>1317</v>
      </c>
      <c r="L118" s="2" t="s">
        <v>1317</v>
      </c>
      <c r="M118" s="2" t="s">
        <v>1743</v>
      </c>
      <c r="N118" s="4" t="s">
        <v>1744</v>
      </c>
      <c r="O118" s="4" t="s">
        <v>1325</v>
      </c>
      <c r="P118" s="4" t="s">
        <v>1745</v>
      </c>
      <c r="Q118" s="96">
        <v>46075</v>
      </c>
      <c r="R118" s="14" t="s">
        <v>1868</v>
      </c>
      <c r="S118" t="s">
        <v>1869</v>
      </c>
      <c r="T118" s="4" t="s">
        <v>1870</v>
      </c>
      <c r="U118" s="4" t="s">
        <v>1325</v>
      </c>
      <c r="V118" s="4"/>
      <c r="W118" s="4"/>
      <c r="X118" s="4"/>
      <c r="Y118" s="4" t="s">
        <v>1871</v>
      </c>
      <c r="Z118" s="20" t="s">
        <v>1872</v>
      </c>
      <c r="AA118" s="4" t="s">
        <v>1517</v>
      </c>
      <c r="AB118" s="4"/>
      <c r="AC118" s="4"/>
      <c r="AD118" s="4" t="s">
        <v>1873</v>
      </c>
      <c r="AE118" s="8">
        <v>2</v>
      </c>
      <c r="AF118" s="4" t="s">
        <v>1752</v>
      </c>
      <c r="AG118" s="4" t="s">
        <v>1874</v>
      </c>
      <c r="AH118" s="14"/>
      <c r="AI118" s="4"/>
      <c r="AJ118" s="4" t="s">
        <v>1522</v>
      </c>
      <c r="AK118" s="4" t="s">
        <v>1755</v>
      </c>
      <c r="AL118" s="4" t="s">
        <v>1873</v>
      </c>
      <c r="AM118" s="4" t="s">
        <v>1191</v>
      </c>
      <c r="AN118" s="4"/>
      <c r="AO118" s="4"/>
      <c r="AP118" s="4"/>
      <c r="AQ118" s="4"/>
      <c r="AR118" s="92" t="s">
        <v>1875</v>
      </c>
      <c r="AS118" s="92"/>
      <c r="AT118" s="92"/>
      <c r="AU118" s="92"/>
      <c r="AV118" s="92"/>
      <c r="AW118" s="8" t="s">
        <v>1317</v>
      </c>
      <c r="AX118" s="8" t="s">
        <v>1317</v>
      </c>
      <c r="AY118" s="8" t="s">
        <v>1317</v>
      </c>
      <c r="AZ118" s="8" t="s">
        <v>1317</v>
      </c>
      <c r="BA118" s="12"/>
      <c r="BB118" s="8"/>
      <c r="BC118" s="4"/>
      <c r="BD118" s="4"/>
      <c r="BE118" s="8"/>
      <c r="BF118" s="8"/>
      <c r="BG118" s="8"/>
      <c r="BH118" s="8"/>
      <c r="BI118" s="8" t="s">
        <v>1334</v>
      </c>
      <c r="BJ118" s="8"/>
      <c r="BK118" s="8"/>
      <c r="BL118" s="4" t="str">
        <f t="shared" si="6"/>
        <v>Firmware Download, Device ID, Epic Beans Relay</v>
      </c>
      <c r="BM118" s="8" t="str">
        <f t="shared" si="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1317</v>
      </c>
      <c r="BT118" t="s">
        <v>1317</v>
      </c>
      <c r="BU118" t="s">
        <v>1317</v>
      </c>
      <c r="BV118" t="s">
        <v>1317</v>
      </c>
      <c r="BW118" t="s">
        <v>1317</v>
      </c>
      <c r="BX118">
        <v>19200</v>
      </c>
    </row>
    <row r="119" spans="1:76" ht="20.25" customHeight="1">
      <c r="A119" s="8" t="s">
        <v>1526</v>
      </c>
      <c r="B119" s="8"/>
      <c r="C119" s="15" t="s">
        <v>1335</v>
      </c>
      <c r="D119" s="15" t="str">
        <f t="shared" si="5"/>
        <v/>
      </c>
      <c r="E119" s="15" t="str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  <v>No</v>
      </c>
      <c r="F119" t="str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  <v/>
      </c>
      <c r="G119" s="59" t="s">
        <v>1575</v>
      </c>
      <c r="H119" s="4" t="s">
        <v>1643</v>
      </c>
      <c r="I119" s="4" t="s">
        <v>1577</v>
      </c>
      <c r="J119" s="2" t="s">
        <v>1317</v>
      </c>
      <c r="K119" s="2" t="s">
        <v>1335</v>
      </c>
      <c r="L119" s="2" t="s">
        <v>1335</v>
      </c>
      <c r="M119" s="2"/>
      <c r="N119" s="4"/>
      <c r="O119" s="4"/>
      <c r="P119" s="4"/>
      <c r="Q119" s="4"/>
      <c r="R119" s="4" t="s">
        <v>1876</v>
      </c>
      <c r="T119" s="4"/>
      <c r="U119" s="4"/>
      <c r="V119" s="4"/>
      <c r="W119" s="4"/>
      <c r="X119" s="4"/>
      <c r="Y119" s="4" t="s">
        <v>1877</v>
      </c>
      <c r="Z119" s="20" t="s">
        <v>1878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92"/>
      <c r="AS119" s="92"/>
      <c r="AT119" s="92"/>
      <c r="AU119" s="92"/>
      <c r="AV119" s="92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 t="s">
        <v>1334</v>
      </c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 ht="20.25" customHeight="1">
      <c r="A120" s="8" t="s">
        <v>1526</v>
      </c>
      <c r="B120" s="8" t="s">
        <v>1317</v>
      </c>
      <c r="C120" s="15" t="s">
        <v>1317</v>
      </c>
      <c r="D120" s="15" t="str">
        <f t="shared" si="5"/>
        <v>No</v>
      </c>
      <c r="E120" s="15" t="str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  <v>No</v>
      </c>
      <c r="F120" t="str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  <v>No</v>
      </c>
      <c r="G120" s="62" t="s">
        <v>1742</v>
      </c>
      <c r="H120" s="4" t="s">
        <v>1742</v>
      </c>
      <c r="I120" s="4" t="s">
        <v>1577</v>
      </c>
      <c r="J120" s="2" t="s">
        <v>1317</v>
      </c>
      <c r="K120" s="2" t="s">
        <v>1317</v>
      </c>
      <c r="L120" s="2" t="s">
        <v>1317</v>
      </c>
      <c r="M120" s="2" t="s">
        <v>1743</v>
      </c>
      <c r="N120" s="4" t="s">
        <v>1744</v>
      </c>
      <c r="O120" s="4" t="s">
        <v>1325</v>
      </c>
      <c r="P120" s="4" t="s">
        <v>1745</v>
      </c>
      <c r="Q120" s="96">
        <v>46075</v>
      </c>
      <c r="R120" s="14" t="s">
        <v>1879</v>
      </c>
      <c r="S120" t="s">
        <v>1880</v>
      </c>
      <c r="T120" s="4" t="s">
        <v>1881</v>
      </c>
      <c r="U120" s="4" t="s">
        <v>1325</v>
      </c>
      <c r="V120" s="4"/>
      <c r="W120" s="4"/>
      <c r="X120" s="4"/>
      <c r="Y120" s="4" t="s">
        <v>1882</v>
      </c>
      <c r="Z120" s="4" t="s">
        <v>1883</v>
      </c>
      <c r="AA120" s="4" t="s">
        <v>1517</v>
      </c>
      <c r="AB120" s="4"/>
      <c r="AC120" s="4"/>
      <c r="AD120" s="4" t="s">
        <v>1884</v>
      </c>
      <c r="AE120" s="8">
        <v>2</v>
      </c>
      <c r="AF120" s="4" t="s">
        <v>1752</v>
      </c>
      <c r="AG120" s="4" t="s">
        <v>1885</v>
      </c>
      <c r="AH120" s="14"/>
      <c r="AI120" s="4"/>
      <c r="AJ120" s="4" t="s">
        <v>1522</v>
      </c>
      <c r="AK120" s="4" t="s">
        <v>1755</v>
      </c>
      <c r="AL120" s="4" t="s">
        <v>1884</v>
      </c>
      <c r="AM120" s="4" t="s">
        <v>1191</v>
      </c>
      <c r="AN120" s="4"/>
      <c r="AO120" s="4"/>
      <c r="AP120" s="4"/>
      <c r="AQ120" s="4"/>
      <c r="AR120" s="92" t="s">
        <v>1772</v>
      </c>
      <c r="AS120" s="92"/>
      <c r="AT120" s="92"/>
      <c r="AU120" s="92"/>
      <c r="AV120" s="92"/>
      <c r="AW120" s="8" t="s">
        <v>1317</v>
      </c>
      <c r="AX120" s="8" t="s">
        <v>1317</v>
      </c>
      <c r="AY120" s="8" t="s">
        <v>1317</v>
      </c>
      <c r="AZ120" s="8" t="s">
        <v>1317</v>
      </c>
      <c r="BA120" s="12"/>
      <c r="BB120" s="8"/>
      <c r="BC120" s="4"/>
      <c r="BD120" s="4"/>
      <c r="BE120" s="8"/>
      <c r="BF120" s="8"/>
      <c r="BG120" s="8"/>
      <c r="BH120" s="8"/>
      <c r="BI120" s="8" t="s">
        <v>1334</v>
      </c>
      <c r="BJ120" s="8"/>
      <c r="BK120" s="8"/>
      <c r="BL120" s="4" t="str">
        <f t="shared" si="6"/>
        <v>Firmware Download, Device ID, Epic Beans Relay</v>
      </c>
      <c r="BM120" s="8" t="str">
        <f t="shared" si="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1317</v>
      </c>
      <c r="BT120" t="s">
        <v>1317</v>
      </c>
      <c r="BU120" t="s">
        <v>1317</v>
      </c>
      <c r="BV120" t="s">
        <v>1317</v>
      </c>
      <c r="BW120" t="s">
        <v>1317</v>
      </c>
      <c r="BX120">
        <v>19200</v>
      </c>
    </row>
    <row r="121" spans="1:76" ht="20.25" customHeight="1">
      <c r="A121" s="8" t="s">
        <v>1526</v>
      </c>
      <c r="B121" s="8"/>
      <c r="C121" s="15" t="s">
        <v>1335</v>
      </c>
      <c r="D121" s="15" t="str">
        <f t="shared" si="5"/>
        <v/>
      </c>
      <c r="E121" s="15" t="str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  <v>No</v>
      </c>
      <c r="F121" t="str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  <v/>
      </c>
      <c r="G121" s="59" t="s">
        <v>1575</v>
      </c>
      <c r="H121" s="4" t="s">
        <v>1742</v>
      </c>
      <c r="I121" s="4" t="s">
        <v>1577</v>
      </c>
      <c r="J121" s="2" t="s">
        <v>1317</v>
      </c>
      <c r="K121" s="2" t="s">
        <v>1335</v>
      </c>
      <c r="L121" s="2" t="s">
        <v>1335</v>
      </c>
      <c r="M121" s="2"/>
      <c r="N121" s="4"/>
      <c r="O121" s="4"/>
      <c r="P121" s="4"/>
      <c r="Q121" s="4"/>
      <c r="R121" s="4" t="s">
        <v>1886</v>
      </c>
      <c r="T121" s="4"/>
      <c r="U121" s="4"/>
      <c r="V121" s="4"/>
      <c r="W121" s="4"/>
      <c r="X121" s="4"/>
      <c r="Y121" s="4" t="s">
        <v>1887</v>
      </c>
      <c r="Z121" s="4" t="s">
        <v>1888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92"/>
      <c r="AS121" s="92"/>
      <c r="AT121" s="92"/>
      <c r="AU121" s="92"/>
      <c r="AV121" s="92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 t="s">
        <v>1334</v>
      </c>
      <c r="BJ121" s="8"/>
      <c r="BK121" s="8"/>
      <c r="BL121" s="4" t="str">
        <f t="shared" si="6"/>
        <v/>
      </c>
      <c r="BM121" s="8" t="str">
        <f t="shared" si="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 ht="20.25" customHeight="1">
      <c r="A122" s="8" t="s">
        <v>1526</v>
      </c>
      <c r="B122" s="8"/>
      <c r="C122" s="15" t="s">
        <v>1335</v>
      </c>
      <c r="D122" s="15" t="str">
        <f t="shared" si="5"/>
        <v/>
      </c>
      <c r="E122" s="15" t="str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  <v>No</v>
      </c>
      <c r="F122" t="str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  <v/>
      </c>
      <c r="G122" s="62" t="s">
        <v>1575</v>
      </c>
      <c r="H122" s="4" t="s">
        <v>1742</v>
      </c>
      <c r="I122" s="4" t="s">
        <v>1577</v>
      </c>
      <c r="J122" s="2" t="s">
        <v>1317</v>
      </c>
      <c r="K122" s="2" t="s">
        <v>1335</v>
      </c>
      <c r="L122" s="2" t="s">
        <v>1335</v>
      </c>
      <c r="M122" s="2"/>
      <c r="N122" s="4"/>
      <c r="O122" s="4"/>
      <c r="P122" s="4"/>
      <c r="Q122" s="4"/>
      <c r="R122" s="4" t="s">
        <v>1889</v>
      </c>
      <c r="T122" s="4"/>
      <c r="U122" s="4"/>
      <c r="V122" s="4"/>
      <c r="W122" s="4"/>
      <c r="X122" s="4"/>
      <c r="Y122" s="4" t="s">
        <v>1890</v>
      </c>
      <c r="Z122" s="4" t="s">
        <v>1891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92"/>
      <c r="AS122" s="92"/>
      <c r="AT122" s="92"/>
      <c r="AU122" s="92"/>
      <c r="AV122" s="92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 t="s">
        <v>1334</v>
      </c>
      <c r="BJ122" s="8"/>
      <c r="BK122" s="8"/>
      <c r="BL122" s="4" t="str">
        <f t="shared" si="6"/>
        <v/>
      </c>
      <c r="BM122" s="8" t="str">
        <f t="shared" si="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 ht="20.25" customHeight="1">
      <c r="A123" s="8" t="s">
        <v>1526</v>
      </c>
      <c r="B123" s="8" t="s">
        <v>1317</v>
      </c>
      <c r="C123" s="15" t="s">
        <v>1317</v>
      </c>
      <c r="D123" s="15" t="str">
        <f t="shared" si="5"/>
        <v>No</v>
      </c>
      <c r="E123" s="15" t="str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  <v>No</v>
      </c>
      <c r="F123" t="str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  <v>No</v>
      </c>
      <c r="G123" s="59" t="s">
        <v>1742</v>
      </c>
      <c r="H123" s="4" t="s">
        <v>1742</v>
      </c>
      <c r="I123" s="4" t="s">
        <v>1577</v>
      </c>
      <c r="J123" s="2" t="s">
        <v>1317</v>
      </c>
      <c r="K123" s="2" t="s">
        <v>1317</v>
      </c>
      <c r="L123" s="2" t="s">
        <v>1317</v>
      </c>
      <c r="M123" s="2" t="s">
        <v>1743</v>
      </c>
      <c r="N123" s="4" t="s">
        <v>1744</v>
      </c>
      <c r="O123" s="4" t="s">
        <v>1325</v>
      </c>
      <c r="P123" s="4" t="s">
        <v>1745</v>
      </c>
      <c r="Q123" s="96">
        <v>46075</v>
      </c>
      <c r="R123" s="14" t="s">
        <v>1892</v>
      </c>
      <c r="S123" t="s">
        <v>1893</v>
      </c>
      <c r="T123" s="4" t="s">
        <v>1894</v>
      </c>
      <c r="U123" s="4" t="s">
        <v>1325</v>
      </c>
      <c r="V123" s="4"/>
      <c r="W123" s="4"/>
      <c r="X123" s="4"/>
      <c r="Y123" s="4" t="s">
        <v>1895</v>
      </c>
      <c r="Z123" s="4" t="s">
        <v>1896</v>
      </c>
      <c r="AA123" s="4" t="s">
        <v>1517</v>
      </c>
      <c r="AB123" s="4"/>
      <c r="AC123" s="4"/>
      <c r="AD123" s="4" t="s">
        <v>1897</v>
      </c>
      <c r="AE123" s="8">
        <v>2</v>
      </c>
      <c r="AF123" s="4" t="s">
        <v>1752</v>
      </c>
      <c r="AG123" s="4" t="s">
        <v>1898</v>
      </c>
      <c r="AH123" s="14"/>
      <c r="AI123" s="4"/>
      <c r="AJ123" s="4" t="s">
        <v>1522</v>
      </c>
      <c r="AK123" s="4" t="s">
        <v>1755</v>
      </c>
      <c r="AL123" s="4" t="s">
        <v>1897</v>
      </c>
      <c r="AM123" s="4" t="s">
        <v>1191</v>
      </c>
      <c r="AN123" s="4"/>
      <c r="AO123" s="4"/>
      <c r="AP123" s="4"/>
      <c r="AQ123" s="4"/>
      <c r="AR123" s="92" t="s">
        <v>1899</v>
      </c>
      <c r="AS123" s="92"/>
      <c r="AT123" s="92"/>
      <c r="AU123" s="92"/>
      <c r="AV123" s="92"/>
      <c r="AW123" s="8" t="s">
        <v>1317</v>
      </c>
      <c r="AX123" s="8" t="s">
        <v>1317</v>
      </c>
      <c r="AY123" s="8" t="s">
        <v>1317</v>
      </c>
      <c r="AZ123" s="8" t="s">
        <v>1317</v>
      </c>
      <c r="BA123" s="12"/>
      <c r="BB123" s="8"/>
      <c r="BC123" s="4"/>
      <c r="BD123" s="4"/>
      <c r="BE123" s="8"/>
      <c r="BF123" s="8"/>
      <c r="BG123" s="8"/>
      <c r="BH123" s="8"/>
      <c r="BI123" s="8" t="s">
        <v>1334</v>
      </c>
      <c r="BJ123" s="8"/>
      <c r="BK123" s="8"/>
      <c r="BL123" s="4" t="str">
        <f t="shared" si="6"/>
        <v>Firmware Download, Device ID, Epic Beans Relay</v>
      </c>
      <c r="BM123" s="8" t="str">
        <f t="shared" si="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1317</v>
      </c>
      <c r="BT123" t="s">
        <v>1317</v>
      </c>
      <c r="BU123" t="s">
        <v>1317</v>
      </c>
      <c r="BV123" t="s">
        <v>1317</v>
      </c>
      <c r="BW123" t="s">
        <v>1317</v>
      </c>
      <c r="BX123">
        <v>19200</v>
      </c>
    </row>
    <row r="124" spans="1:76" ht="20.25" customHeight="1">
      <c r="A124" s="8" t="s">
        <v>1526</v>
      </c>
      <c r="B124" s="8" t="s">
        <v>1317</v>
      </c>
      <c r="C124" s="15" t="s">
        <v>1317</v>
      </c>
      <c r="D124" s="15" t="str">
        <f t="shared" si="5"/>
        <v>No</v>
      </c>
      <c r="E124" s="15" t="str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  <v>No</v>
      </c>
      <c r="F124" t="str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  <v>No</v>
      </c>
      <c r="G124" s="62" t="s">
        <v>1742</v>
      </c>
      <c r="H124" s="4" t="s">
        <v>1742</v>
      </c>
      <c r="I124" s="4" t="s">
        <v>1577</v>
      </c>
      <c r="J124" s="2" t="s">
        <v>1317</v>
      </c>
      <c r="K124" s="2" t="s">
        <v>1317</v>
      </c>
      <c r="L124" s="2" t="s">
        <v>1317</v>
      </c>
      <c r="M124" s="2" t="s">
        <v>1743</v>
      </c>
      <c r="N124" s="4" t="s">
        <v>1744</v>
      </c>
      <c r="O124" s="4" t="s">
        <v>1325</v>
      </c>
      <c r="P124" s="4" t="s">
        <v>1745</v>
      </c>
      <c r="Q124" s="96">
        <v>46075</v>
      </c>
      <c r="R124" s="14" t="s">
        <v>1900</v>
      </c>
      <c r="S124" t="s">
        <v>1901</v>
      </c>
      <c r="T124" s="4" t="s">
        <v>1902</v>
      </c>
      <c r="U124" s="4" t="s">
        <v>1325</v>
      </c>
      <c r="V124" s="4"/>
      <c r="W124" s="4"/>
      <c r="X124" s="4"/>
      <c r="Y124" s="4" t="s">
        <v>1903</v>
      </c>
      <c r="Z124" s="4" t="s">
        <v>1904</v>
      </c>
      <c r="AA124" s="4" t="s">
        <v>1517</v>
      </c>
      <c r="AB124" s="4"/>
      <c r="AC124" s="4"/>
      <c r="AD124" s="4" t="s">
        <v>1905</v>
      </c>
      <c r="AE124" s="8">
        <v>2</v>
      </c>
      <c r="AF124" s="4" t="s">
        <v>1752</v>
      </c>
      <c r="AG124" s="4" t="s">
        <v>1906</v>
      </c>
      <c r="AH124" s="14"/>
      <c r="AI124" s="4"/>
      <c r="AJ124" s="4" t="s">
        <v>1522</v>
      </c>
      <c r="AK124" s="4" t="s">
        <v>1755</v>
      </c>
      <c r="AL124" s="4" t="s">
        <v>1905</v>
      </c>
      <c r="AM124" s="4" t="s">
        <v>1191</v>
      </c>
      <c r="AN124" s="4"/>
      <c r="AO124" s="4"/>
      <c r="AP124" s="4"/>
      <c r="AQ124" s="4"/>
      <c r="AR124" s="92" t="s">
        <v>1907</v>
      </c>
      <c r="AS124" s="92"/>
      <c r="AT124" s="92"/>
      <c r="AU124" s="92"/>
      <c r="AV124" s="92"/>
      <c r="AW124" s="8" t="s">
        <v>1317</v>
      </c>
      <c r="AX124" s="8" t="s">
        <v>1317</v>
      </c>
      <c r="AY124" s="8" t="s">
        <v>1317</v>
      </c>
      <c r="AZ124" s="8" t="s">
        <v>1317</v>
      </c>
      <c r="BA124" s="12"/>
      <c r="BB124" s="8"/>
      <c r="BC124" s="4"/>
      <c r="BD124" s="4"/>
      <c r="BE124" s="8"/>
      <c r="BF124" s="8"/>
      <c r="BG124" s="8"/>
      <c r="BH124" s="8"/>
      <c r="BI124" s="8" t="s">
        <v>1334</v>
      </c>
      <c r="BJ124" s="8"/>
      <c r="BK124" s="8"/>
      <c r="BL124" s="4" t="str">
        <f t="shared" si="6"/>
        <v>Firmware Download, Device ID, Epic Beans Relay</v>
      </c>
      <c r="BM124" s="8" t="str">
        <f t="shared" si="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1317</v>
      </c>
      <c r="BT124" t="s">
        <v>1317</v>
      </c>
      <c r="BU124" t="s">
        <v>1317</v>
      </c>
      <c r="BV124" t="s">
        <v>1317</v>
      </c>
      <c r="BW124" t="s">
        <v>1317</v>
      </c>
      <c r="BX124">
        <v>19200</v>
      </c>
    </row>
    <row r="125" spans="1:76" ht="20.25" customHeight="1">
      <c r="A125" s="8" t="s">
        <v>1526</v>
      </c>
      <c r="B125" s="8" t="s">
        <v>1317</v>
      </c>
      <c r="C125" s="15" t="s">
        <v>1317</v>
      </c>
      <c r="D125" s="15" t="str">
        <f t="shared" si="5"/>
        <v>No</v>
      </c>
      <c r="E125" s="15" t="str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  <v>No</v>
      </c>
      <c r="F125" t="str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  <v>No</v>
      </c>
      <c r="G125" s="59" t="s">
        <v>1742</v>
      </c>
      <c r="H125" s="4" t="s">
        <v>1742</v>
      </c>
      <c r="I125" s="4" t="s">
        <v>1577</v>
      </c>
      <c r="J125" s="2" t="s">
        <v>1317</v>
      </c>
      <c r="K125" s="2" t="s">
        <v>1317</v>
      </c>
      <c r="L125" s="2" t="s">
        <v>1317</v>
      </c>
      <c r="M125" s="2" t="s">
        <v>1743</v>
      </c>
      <c r="N125" s="4" t="s">
        <v>1744</v>
      </c>
      <c r="O125" s="4" t="s">
        <v>1325</v>
      </c>
      <c r="P125" s="4" t="s">
        <v>1745</v>
      </c>
      <c r="Q125" s="96">
        <v>46075</v>
      </c>
      <c r="R125" s="14" t="s">
        <v>1908</v>
      </c>
      <c r="S125" t="s">
        <v>1909</v>
      </c>
      <c r="T125" s="4" t="s">
        <v>1910</v>
      </c>
      <c r="U125" s="4" t="s">
        <v>1325</v>
      </c>
      <c r="V125" s="4"/>
      <c r="W125" s="4"/>
      <c r="X125" s="4"/>
      <c r="Y125" s="4" t="s">
        <v>1911</v>
      </c>
      <c r="Z125" s="4" t="s">
        <v>1912</v>
      </c>
      <c r="AA125" s="4" t="s">
        <v>1517</v>
      </c>
      <c r="AB125" s="4"/>
      <c r="AC125" s="4"/>
      <c r="AD125" s="4" t="s">
        <v>1913</v>
      </c>
      <c r="AE125" s="8">
        <v>2</v>
      </c>
      <c r="AF125" s="4" t="s">
        <v>1752</v>
      </c>
      <c r="AG125" s="4" t="s">
        <v>1914</v>
      </c>
      <c r="AH125" s="14"/>
      <c r="AI125" s="4"/>
      <c r="AJ125" s="4" t="s">
        <v>1522</v>
      </c>
      <c r="AK125" s="4" t="s">
        <v>1755</v>
      </c>
      <c r="AL125" s="4" t="s">
        <v>1913</v>
      </c>
      <c r="AM125" s="4" t="s">
        <v>1191</v>
      </c>
      <c r="AN125" s="4"/>
      <c r="AO125" s="4"/>
      <c r="AP125" s="4"/>
      <c r="AQ125" s="4"/>
      <c r="AR125" s="92" t="s">
        <v>1915</v>
      </c>
      <c r="AS125" s="92"/>
      <c r="AT125" s="92"/>
      <c r="AU125" s="92"/>
      <c r="AV125" s="92"/>
      <c r="AW125" s="8" t="s">
        <v>1317</v>
      </c>
      <c r="AX125" s="8" t="s">
        <v>1317</v>
      </c>
      <c r="AY125" s="8" t="s">
        <v>1317</v>
      </c>
      <c r="AZ125" s="8" t="s">
        <v>1317</v>
      </c>
      <c r="BA125" s="12"/>
      <c r="BB125" s="8"/>
      <c r="BC125" s="4"/>
      <c r="BD125" s="4"/>
      <c r="BE125" s="8"/>
      <c r="BF125" s="8"/>
      <c r="BG125" s="8"/>
      <c r="BH125" s="8"/>
      <c r="BI125" s="8" t="s">
        <v>1334</v>
      </c>
      <c r="BJ125" s="8"/>
      <c r="BK125" s="8"/>
      <c r="BL125" s="4" t="str">
        <f t="shared" si="6"/>
        <v>Firmware Download, Device ID, Epic Beans Relay</v>
      </c>
      <c r="BM125" s="8" t="str">
        <f t="shared" si="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1317</v>
      </c>
      <c r="BT125" t="s">
        <v>1317</v>
      </c>
      <c r="BU125" t="s">
        <v>1317</v>
      </c>
      <c r="BV125" t="s">
        <v>1317</v>
      </c>
      <c r="BW125" t="s">
        <v>1317</v>
      </c>
      <c r="BX125">
        <v>19200</v>
      </c>
    </row>
    <row r="126" spans="1:76" ht="20.25" customHeight="1">
      <c r="A126" s="8" t="s">
        <v>1526</v>
      </c>
      <c r="B126" s="8" t="s">
        <v>1317</v>
      </c>
      <c r="C126" s="15" t="s">
        <v>1317</v>
      </c>
      <c r="D126" s="15" t="str">
        <f t="shared" si="5"/>
        <v>No</v>
      </c>
      <c r="E126" s="15" t="str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  <v>No</v>
      </c>
      <c r="F126" t="str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  <v>No</v>
      </c>
      <c r="G126" s="62" t="s">
        <v>1742</v>
      </c>
      <c r="H126" s="4" t="s">
        <v>1742</v>
      </c>
      <c r="I126" s="4" t="s">
        <v>1577</v>
      </c>
      <c r="J126" s="2" t="s">
        <v>1317</v>
      </c>
      <c r="K126" s="2" t="s">
        <v>1317</v>
      </c>
      <c r="L126" s="2" t="s">
        <v>1317</v>
      </c>
      <c r="M126" s="2" t="s">
        <v>1743</v>
      </c>
      <c r="N126" s="4" t="s">
        <v>1744</v>
      </c>
      <c r="O126" s="4" t="s">
        <v>1325</v>
      </c>
      <c r="P126" s="4" t="s">
        <v>1745</v>
      </c>
      <c r="Q126" s="96">
        <v>46075</v>
      </c>
      <c r="R126" s="14" t="s">
        <v>1916</v>
      </c>
      <c r="S126" t="s">
        <v>1917</v>
      </c>
      <c r="T126" s="4" t="s">
        <v>1918</v>
      </c>
      <c r="U126" s="4" t="s">
        <v>1325</v>
      </c>
      <c r="V126" s="4"/>
      <c r="W126" s="4"/>
      <c r="X126" s="4"/>
      <c r="Y126" s="4" t="s">
        <v>1919</v>
      </c>
      <c r="Z126" s="4" t="s">
        <v>1920</v>
      </c>
      <c r="AA126" s="4" t="s">
        <v>1517</v>
      </c>
      <c r="AB126" s="4"/>
      <c r="AC126" s="4"/>
      <c r="AD126" s="4" t="s">
        <v>1921</v>
      </c>
      <c r="AE126" s="8">
        <v>2</v>
      </c>
      <c r="AF126" s="4" t="s">
        <v>1752</v>
      </c>
      <c r="AG126" s="4" t="s">
        <v>1922</v>
      </c>
      <c r="AH126" s="14"/>
      <c r="AI126" s="4"/>
      <c r="AJ126" s="4" t="s">
        <v>1522</v>
      </c>
      <c r="AK126" s="4" t="s">
        <v>1755</v>
      </c>
      <c r="AL126" s="4" t="s">
        <v>1921</v>
      </c>
      <c r="AM126" s="4" t="s">
        <v>1191</v>
      </c>
      <c r="AN126" s="4"/>
      <c r="AO126" s="4"/>
      <c r="AP126" s="4"/>
      <c r="AQ126" s="4"/>
      <c r="AR126" s="92" t="s">
        <v>1923</v>
      </c>
      <c r="AS126" s="92"/>
      <c r="AT126" s="92"/>
      <c r="AU126" s="92"/>
      <c r="AV126" s="92"/>
      <c r="AW126" s="8" t="s">
        <v>1317</v>
      </c>
      <c r="AX126" s="8" t="s">
        <v>1317</v>
      </c>
      <c r="AY126" s="8" t="s">
        <v>1317</v>
      </c>
      <c r="AZ126" s="8" t="s">
        <v>1317</v>
      </c>
      <c r="BA126" s="12"/>
      <c r="BB126" s="8"/>
      <c r="BC126" s="4"/>
      <c r="BD126" s="4"/>
      <c r="BE126" s="8"/>
      <c r="BF126" s="8"/>
      <c r="BG126" s="8"/>
      <c r="BH126" s="8"/>
      <c r="BI126" s="8" t="s">
        <v>1334</v>
      </c>
      <c r="BJ126" s="8"/>
      <c r="BK126" s="8"/>
      <c r="BL126" s="4" t="str">
        <f t="shared" si="6"/>
        <v>Firmware Download, Device ID, Epic Beans Relay</v>
      </c>
      <c r="BM126" s="8" t="str">
        <f t="shared" si="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1317</v>
      </c>
      <c r="BT126" t="s">
        <v>1317</v>
      </c>
      <c r="BU126" t="s">
        <v>1317</v>
      </c>
      <c r="BV126" t="s">
        <v>1317</v>
      </c>
      <c r="BW126" t="s">
        <v>1317</v>
      </c>
      <c r="BX126">
        <v>19200</v>
      </c>
    </row>
    <row r="127" spans="1:76" ht="20.25" customHeight="1">
      <c r="A127" s="8" t="s">
        <v>1526</v>
      </c>
      <c r="B127" s="8" t="s">
        <v>1317</v>
      </c>
      <c r="C127" s="15" t="s">
        <v>1317</v>
      </c>
      <c r="D127" s="15" t="str">
        <f t="shared" si="5"/>
        <v>No</v>
      </c>
      <c r="E127" s="15" t="str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  <v>No</v>
      </c>
      <c r="F127" t="str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  <v>No</v>
      </c>
      <c r="G127" s="59" t="s">
        <v>1742</v>
      </c>
      <c r="H127" s="4" t="s">
        <v>1742</v>
      </c>
      <c r="I127" s="4" t="s">
        <v>1577</v>
      </c>
      <c r="J127" s="2" t="s">
        <v>1317</v>
      </c>
      <c r="K127" s="2" t="s">
        <v>1317</v>
      </c>
      <c r="L127" s="2" t="s">
        <v>1317</v>
      </c>
      <c r="M127" s="2" t="s">
        <v>1743</v>
      </c>
      <c r="N127" s="4" t="s">
        <v>1744</v>
      </c>
      <c r="O127" s="4" t="s">
        <v>1325</v>
      </c>
      <c r="P127" s="4" t="s">
        <v>1745</v>
      </c>
      <c r="Q127" s="96">
        <v>46075</v>
      </c>
      <c r="R127" s="14" t="s">
        <v>1924</v>
      </c>
      <c r="S127" t="s">
        <v>1925</v>
      </c>
      <c r="T127" s="4" t="s">
        <v>1926</v>
      </c>
      <c r="U127" s="4" t="s">
        <v>1325</v>
      </c>
      <c r="V127" s="4"/>
      <c r="W127" s="4"/>
      <c r="X127" s="4"/>
      <c r="Y127" s="4"/>
      <c r="Z127" s="4"/>
      <c r="AA127" s="4" t="s">
        <v>1517</v>
      </c>
      <c r="AB127" s="4"/>
      <c r="AC127" s="4"/>
      <c r="AD127" s="4" t="s">
        <v>1927</v>
      </c>
      <c r="AE127" s="8">
        <v>2</v>
      </c>
      <c r="AF127" s="4" t="s">
        <v>1752</v>
      </c>
      <c r="AG127" s="4" t="s">
        <v>1928</v>
      </c>
      <c r="AH127" s="14"/>
      <c r="AI127" s="4"/>
      <c r="AJ127" s="4" t="s">
        <v>1522</v>
      </c>
      <c r="AK127" s="4" t="s">
        <v>1755</v>
      </c>
      <c r="AL127" s="4" t="s">
        <v>1927</v>
      </c>
      <c r="AM127" s="4" t="s">
        <v>1191</v>
      </c>
      <c r="AN127" s="4"/>
      <c r="AO127" s="4"/>
      <c r="AP127" s="4"/>
      <c r="AQ127" s="4"/>
      <c r="AR127" s="92" t="s">
        <v>1929</v>
      </c>
      <c r="AS127" s="92"/>
      <c r="AT127" s="92"/>
      <c r="AU127" s="92"/>
      <c r="AV127" s="92"/>
      <c r="AW127" s="8" t="s">
        <v>1317</v>
      </c>
      <c r="AX127" s="8" t="s">
        <v>1317</v>
      </c>
      <c r="AY127" s="8" t="s">
        <v>1317</v>
      </c>
      <c r="AZ127" s="8" t="s">
        <v>1317</v>
      </c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/>
      <c r="BM127" s="8"/>
      <c r="BS127" t="s">
        <v>1317</v>
      </c>
      <c r="BT127" t="s">
        <v>1317</v>
      </c>
      <c r="BU127" t="s">
        <v>1317</v>
      </c>
      <c r="BV127" t="s">
        <v>1317</v>
      </c>
      <c r="BW127" t="s">
        <v>1317</v>
      </c>
      <c r="BX127">
        <v>19200</v>
      </c>
    </row>
    <row r="128" spans="1:76" ht="20.25" customHeight="1">
      <c r="A128" s="8" t="s">
        <v>1526</v>
      </c>
      <c r="B128" s="8" t="s">
        <v>1317</v>
      </c>
      <c r="C128" s="15" t="s">
        <v>1317</v>
      </c>
      <c r="D128" s="15" t="str">
        <f t="shared" si="5"/>
        <v>No</v>
      </c>
      <c r="E128" s="15" t="str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  <v>No</v>
      </c>
      <c r="F128" t="str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  <v>No</v>
      </c>
      <c r="G128" s="62" t="s">
        <v>1742</v>
      </c>
      <c r="H128" s="4" t="s">
        <v>1742</v>
      </c>
      <c r="I128" s="4" t="s">
        <v>1577</v>
      </c>
      <c r="J128" s="2" t="s">
        <v>1317</v>
      </c>
      <c r="K128" s="2" t="s">
        <v>1317</v>
      </c>
      <c r="L128" s="2" t="s">
        <v>1317</v>
      </c>
      <c r="M128" s="2" t="s">
        <v>1743</v>
      </c>
      <c r="N128" s="4" t="s">
        <v>1744</v>
      </c>
      <c r="O128" s="4" t="s">
        <v>1325</v>
      </c>
      <c r="P128" s="4" t="s">
        <v>1745</v>
      </c>
      <c r="Q128" s="96">
        <v>46075</v>
      </c>
      <c r="R128" s="14" t="s">
        <v>1930</v>
      </c>
      <c r="S128" t="s">
        <v>1931</v>
      </c>
      <c r="T128" s="4" t="s">
        <v>1932</v>
      </c>
      <c r="U128" s="4" t="s">
        <v>1325</v>
      </c>
      <c r="V128" s="4"/>
      <c r="W128" s="4"/>
      <c r="X128" s="4"/>
      <c r="Y128" s="4" t="s">
        <v>1933</v>
      </c>
      <c r="Z128" s="4" t="s">
        <v>1934</v>
      </c>
      <c r="AA128" s="4" t="s">
        <v>1517</v>
      </c>
      <c r="AB128" s="4"/>
      <c r="AC128" s="4"/>
      <c r="AD128" s="4" t="s">
        <v>1935</v>
      </c>
      <c r="AE128" s="8">
        <v>2</v>
      </c>
      <c r="AF128" s="4" t="s">
        <v>1752</v>
      </c>
      <c r="AG128" s="4" t="s">
        <v>1936</v>
      </c>
      <c r="AH128" s="14"/>
      <c r="AI128" s="4"/>
      <c r="AJ128" s="4" t="s">
        <v>1522</v>
      </c>
      <c r="AK128" s="4" t="s">
        <v>1755</v>
      </c>
      <c r="AL128" s="4" t="s">
        <v>1935</v>
      </c>
      <c r="AM128" s="4" t="s">
        <v>1191</v>
      </c>
      <c r="AN128" s="4"/>
      <c r="AO128" s="4"/>
      <c r="AP128" s="4"/>
      <c r="AQ128" s="4"/>
      <c r="AR128" s="92" t="s">
        <v>1937</v>
      </c>
      <c r="AS128" s="92"/>
      <c r="AT128" s="92"/>
      <c r="AU128" s="92"/>
      <c r="AV128" s="92"/>
      <c r="AW128" s="8" t="s">
        <v>1317</v>
      </c>
      <c r="AX128" s="8" t="s">
        <v>1317</v>
      </c>
      <c r="AY128" s="8" t="s">
        <v>1317</v>
      </c>
      <c r="AZ128" s="8" t="s">
        <v>1317</v>
      </c>
      <c r="BA128" s="12"/>
      <c r="BB128" s="8"/>
      <c r="BC128" s="4"/>
      <c r="BD128" s="4"/>
      <c r="BE128" s="8"/>
      <c r="BF128" s="8"/>
      <c r="BG128" s="8"/>
      <c r="BH128" s="8"/>
      <c r="BI128" s="8" t="s">
        <v>1334</v>
      </c>
      <c r="BJ128" s="8"/>
      <c r="BK128" s="8"/>
      <c r="BL128" s="4" t="str">
        <f t="shared" si="6"/>
        <v>Firmware Download, Device ID, Epic Beans Relay</v>
      </c>
      <c r="BM128" s="8" t="str">
        <f t="shared" si="7"/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1317</v>
      </c>
      <c r="BT128" t="s">
        <v>1317</v>
      </c>
      <c r="BU128" t="s">
        <v>1317</v>
      </c>
      <c r="BV128" t="s">
        <v>1317</v>
      </c>
      <c r="BW128" t="s">
        <v>1317</v>
      </c>
      <c r="BX128">
        <v>19200</v>
      </c>
    </row>
    <row r="129" spans="1:76" ht="20.25" customHeight="1">
      <c r="A129" s="8" t="s">
        <v>1526</v>
      </c>
      <c r="B129" s="8" t="s">
        <v>1317</v>
      </c>
      <c r="C129" s="15" t="s">
        <v>1317</v>
      </c>
      <c r="D129" s="15" t="str">
        <f t="shared" si="5"/>
        <v>No</v>
      </c>
      <c r="E129" s="15" t="str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  <v>No</v>
      </c>
      <c r="F129" t="str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  <v>No</v>
      </c>
      <c r="G129" t="s">
        <v>1742</v>
      </c>
      <c r="H129" s="4" t="s">
        <v>1742</v>
      </c>
      <c r="I129" s="4" t="s">
        <v>1577</v>
      </c>
      <c r="J129" s="2" t="s">
        <v>1317</v>
      </c>
      <c r="K129" s="2" t="s">
        <v>1317</v>
      </c>
      <c r="L129" s="2" t="s">
        <v>1317</v>
      </c>
      <c r="M129" s="2" t="s">
        <v>1743</v>
      </c>
      <c r="N129" s="4" t="s">
        <v>1744</v>
      </c>
      <c r="O129" s="4" t="s">
        <v>1325</v>
      </c>
      <c r="P129" s="4" t="s">
        <v>1745</v>
      </c>
      <c r="Q129" s="96">
        <v>46075</v>
      </c>
      <c r="R129" s="14" t="s">
        <v>1938</v>
      </c>
      <c r="S129" t="s">
        <v>1939</v>
      </c>
      <c r="T129" s="4" t="s">
        <v>1940</v>
      </c>
      <c r="U129" s="4" t="s">
        <v>1325</v>
      </c>
      <c r="V129" s="4"/>
      <c r="W129" s="4"/>
      <c r="X129" s="4"/>
      <c r="Y129" s="4" t="s">
        <v>1941</v>
      </c>
      <c r="Z129" s="4" t="s">
        <v>1942</v>
      </c>
      <c r="AA129" s="4" t="s">
        <v>1517</v>
      </c>
      <c r="AB129" s="4"/>
      <c r="AC129" s="4"/>
      <c r="AD129" s="4" t="s">
        <v>1943</v>
      </c>
      <c r="AE129" s="8">
        <v>2</v>
      </c>
      <c r="AF129" s="4" t="s">
        <v>1752</v>
      </c>
      <c r="AG129" s="4" t="s">
        <v>1944</v>
      </c>
      <c r="AH129" s="14"/>
      <c r="AI129" s="4"/>
      <c r="AJ129" s="4" t="s">
        <v>1522</v>
      </c>
      <c r="AK129" s="4" t="s">
        <v>1755</v>
      </c>
      <c r="AL129" s="4" t="s">
        <v>1943</v>
      </c>
      <c r="AM129" s="4" t="s">
        <v>1191</v>
      </c>
      <c r="AN129" s="4"/>
      <c r="AO129" s="4"/>
      <c r="AP129" s="4"/>
      <c r="AQ129" s="4"/>
      <c r="AR129" s="92" t="s">
        <v>1945</v>
      </c>
      <c r="AS129" s="92"/>
      <c r="AT129" s="92"/>
      <c r="AU129" s="92"/>
      <c r="AV129" s="92"/>
      <c r="AW129" s="8" t="s">
        <v>1317</v>
      </c>
      <c r="AX129" s="8" t="s">
        <v>1317</v>
      </c>
      <c r="AY129" s="8" t="s">
        <v>1317</v>
      </c>
      <c r="AZ129" s="8" t="s">
        <v>1317</v>
      </c>
      <c r="BA129" s="12"/>
      <c r="BB129" s="8"/>
      <c r="BC129" s="4"/>
      <c r="BD129" s="4"/>
      <c r="BE129" s="8"/>
      <c r="BF129" s="8"/>
      <c r="BG129" s="8"/>
      <c r="BH129" s="8"/>
      <c r="BI129" s="8" t="s">
        <v>1334</v>
      </c>
      <c r="BJ129" s="8"/>
      <c r="BK129" s="8"/>
      <c r="BL129" s="4" t="str">
        <f t="shared" si="6"/>
        <v>Firmware Download, Device ID, Epic Beans Relay</v>
      </c>
      <c r="BM129" s="8" t="str">
        <f t="shared" si="7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1317</v>
      </c>
      <c r="BT129" t="s">
        <v>1317</v>
      </c>
      <c r="BU129" t="s">
        <v>1317</v>
      </c>
      <c r="BV129" t="s">
        <v>1317</v>
      </c>
      <c r="BW129" t="s">
        <v>1317</v>
      </c>
      <c r="BX129">
        <v>19200</v>
      </c>
    </row>
    <row r="130" spans="1:76" ht="20.25" customHeight="1">
      <c r="A130" s="8" t="s">
        <v>1526</v>
      </c>
      <c r="B130" s="8" t="s">
        <v>1317</v>
      </c>
      <c r="C130" s="15" t="s">
        <v>1317</v>
      </c>
      <c r="D130" s="15" t="str">
        <f t="shared" ref="D130:D137" si="8">IF($B130&lt;&gt;"Yes","",IF($C130="No","Yes",IF($C130="Yes","No","")))</f>
        <v>No</v>
      </c>
      <c r="E130" s="15" t="str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  <v>No</v>
      </c>
      <c r="F130" t="str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  <v>No</v>
      </c>
      <c r="G130" s="62" t="s">
        <v>1742</v>
      </c>
      <c r="H130" s="4" t="s">
        <v>1742</v>
      </c>
      <c r="I130" s="4" t="s">
        <v>1577</v>
      </c>
      <c r="J130" s="2" t="s">
        <v>1317</v>
      </c>
      <c r="K130" s="2" t="s">
        <v>1317</v>
      </c>
      <c r="L130" s="2" t="s">
        <v>1317</v>
      </c>
      <c r="M130" s="2" t="s">
        <v>1743</v>
      </c>
      <c r="N130" s="4" t="s">
        <v>1744</v>
      </c>
      <c r="O130" s="4" t="s">
        <v>1325</v>
      </c>
      <c r="P130" s="4" t="s">
        <v>1745</v>
      </c>
      <c r="Q130" s="96">
        <v>46075</v>
      </c>
      <c r="R130" s="14" t="s">
        <v>1946</v>
      </c>
      <c r="S130" t="s">
        <v>1947</v>
      </c>
      <c r="T130" s="4" t="s">
        <v>1948</v>
      </c>
      <c r="U130" s="4" t="s">
        <v>1325</v>
      </c>
      <c r="V130" s="4"/>
      <c r="W130" s="4"/>
      <c r="X130" s="4"/>
      <c r="Y130" s="4" t="s">
        <v>1949</v>
      </c>
      <c r="Z130" s="4" t="s">
        <v>1950</v>
      </c>
      <c r="AA130" s="4" t="s">
        <v>1517</v>
      </c>
      <c r="AB130" s="4"/>
      <c r="AC130" s="4"/>
      <c r="AD130" s="4" t="s">
        <v>1951</v>
      </c>
      <c r="AE130" s="8">
        <v>2</v>
      </c>
      <c r="AF130" s="4" t="s">
        <v>1752</v>
      </c>
      <c r="AG130" s="4" t="s">
        <v>1952</v>
      </c>
      <c r="AH130" s="14"/>
      <c r="AI130" s="4"/>
      <c r="AJ130" s="4" t="s">
        <v>1522</v>
      </c>
      <c r="AK130" s="4" t="s">
        <v>1755</v>
      </c>
      <c r="AL130" s="4" t="s">
        <v>1951</v>
      </c>
      <c r="AM130" s="4" t="s">
        <v>1191</v>
      </c>
      <c r="AN130" s="4"/>
      <c r="AO130" s="4"/>
      <c r="AP130" s="4"/>
      <c r="AQ130" s="4"/>
      <c r="AR130" s="92" t="s">
        <v>1953</v>
      </c>
      <c r="AS130" s="92"/>
      <c r="AT130" s="92"/>
      <c r="AU130" s="92"/>
      <c r="AV130" s="92"/>
      <c r="AW130" s="8" t="s">
        <v>1317</v>
      </c>
      <c r="AX130" s="8" t="s">
        <v>1317</v>
      </c>
      <c r="AY130" s="8" t="s">
        <v>1317</v>
      </c>
      <c r="AZ130" s="8" t="s">
        <v>1317</v>
      </c>
      <c r="BA130" s="12"/>
      <c r="BB130" s="8"/>
      <c r="BC130" s="4"/>
      <c r="BD130" s="4"/>
      <c r="BE130" s="8"/>
      <c r="BF130" s="8"/>
      <c r="BG130" s="8"/>
      <c r="BH130" s="8"/>
      <c r="BI130" s="8" t="s">
        <v>1334</v>
      </c>
      <c r="BJ130" s="8"/>
      <c r="BK130" s="8"/>
      <c r="BL130" s="4" t="str">
        <f t="shared" si="6"/>
        <v>Firmware Download, Device ID, Epic Beans Relay</v>
      </c>
      <c r="BM130" s="8" t="str">
        <f t="shared" si="7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1317</v>
      </c>
      <c r="BT130" t="s">
        <v>1317</v>
      </c>
      <c r="BU130" t="s">
        <v>1317</v>
      </c>
      <c r="BV130" t="s">
        <v>1317</v>
      </c>
      <c r="BW130" t="s">
        <v>1317</v>
      </c>
      <c r="BX130">
        <v>19200</v>
      </c>
    </row>
    <row r="131" spans="1:76" ht="20.25" customHeight="1">
      <c r="A131" s="8" t="s">
        <v>1526</v>
      </c>
      <c r="B131" s="8"/>
      <c r="C131" s="15" t="s">
        <v>1335</v>
      </c>
      <c r="D131" s="15" t="str">
        <f t="shared" si="8"/>
        <v/>
      </c>
      <c r="E131" s="15" t="str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  <v>No</v>
      </c>
      <c r="F131" t="str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  <v/>
      </c>
      <c r="G131" s="59" t="s">
        <v>1575</v>
      </c>
      <c r="H131" s="4" t="s">
        <v>1742</v>
      </c>
      <c r="I131" s="4" t="s">
        <v>1577</v>
      </c>
      <c r="J131" s="2" t="s">
        <v>1317</v>
      </c>
      <c r="K131" s="2" t="s">
        <v>1335</v>
      </c>
      <c r="L131" s="2" t="s">
        <v>1335</v>
      </c>
      <c r="M131" s="2"/>
      <c r="N131" s="4"/>
      <c r="O131" s="4"/>
      <c r="P131" s="4"/>
      <c r="Q131" s="4"/>
      <c r="R131" s="4" t="s">
        <v>1954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92"/>
      <c r="AS131" s="92"/>
      <c r="AT131" s="92"/>
      <c r="AU131" s="92"/>
      <c r="AV131" s="92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 t="s">
        <v>1334</v>
      </c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 ht="20.25" customHeight="1">
      <c r="A132" s="8" t="s">
        <v>1526</v>
      </c>
      <c r="B132" s="8"/>
      <c r="C132" s="15" t="s">
        <v>1335</v>
      </c>
      <c r="D132" s="15" t="str">
        <f t="shared" si="8"/>
        <v/>
      </c>
      <c r="E132" s="15" t="str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  <v>No</v>
      </c>
      <c r="F132" t="str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  <v/>
      </c>
      <c r="G132" s="62" t="s">
        <v>1575</v>
      </c>
      <c r="H132" s="4" t="s">
        <v>1742</v>
      </c>
      <c r="I132" s="4" t="s">
        <v>1577</v>
      </c>
      <c r="J132" s="2" t="s">
        <v>1317</v>
      </c>
      <c r="K132" s="2" t="s">
        <v>1335</v>
      </c>
      <c r="L132" s="2" t="s">
        <v>1335</v>
      </c>
      <c r="M132" s="2"/>
      <c r="N132" s="4"/>
      <c r="O132" s="4"/>
      <c r="P132" s="4"/>
      <c r="Q132" s="4"/>
      <c r="R132" s="4" t="s">
        <v>1955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92"/>
      <c r="AS132" s="92"/>
      <c r="AT132" s="92"/>
      <c r="AU132" s="92"/>
      <c r="AV132" s="92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 t="s">
        <v>1334</v>
      </c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 ht="20.25" customHeight="1">
      <c r="A133" s="8" t="s">
        <v>1526</v>
      </c>
      <c r="B133" s="8"/>
      <c r="C133" s="15" t="s">
        <v>1335</v>
      </c>
      <c r="D133" s="15" t="str">
        <f t="shared" si="8"/>
        <v/>
      </c>
      <c r="E133" s="15" t="str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  <v>No</v>
      </c>
      <c r="F133" t="str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  <v/>
      </c>
      <c r="G133" t="s">
        <v>1575</v>
      </c>
      <c r="H133" s="4" t="s">
        <v>1742</v>
      </c>
      <c r="I133" s="4" t="s">
        <v>1577</v>
      </c>
      <c r="J133" s="2" t="s">
        <v>1317</v>
      </c>
      <c r="K133" s="2" t="s">
        <v>1335</v>
      </c>
      <c r="L133" s="2" t="s">
        <v>1335</v>
      </c>
      <c r="M133" s="2"/>
      <c r="N133" s="4"/>
      <c r="O133" s="4"/>
      <c r="P133" s="4"/>
      <c r="Q133" s="4"/>
      <c r="R133" s="4" t="s">
        <v>1956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92"/>
      <c r="AS133" s="92"/>
      <c r="AT133" s="92"/>
      <c r="AU133" s="92"/>
      <c r="AV133" s="92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 t="s">
        <v>1334</v>
      </c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 ht="20.25" customHeight="1">
      <c r="A134" s="8" t="s">
        <v>1526</v>
      </c>
      <c r="B134" s="8"/>
      <c r="C134" s="15" t="s">
        <v>1335</v>
      </c>
      <c r="D134" s="15" t="str">
        <f t="shared" si="8"/>
        <v/>
      </c>
      <c r="E134" s="15" t="str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  <v>No</v>
      </c>
      <c r="F134" t="str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  <v/>
      </c>
      <c r="G134" s="62" t="s">
        <v>1575</v>
      </c>
      <c r="H134" s="4" t="s">
        <v>1742</v>
      </c>
      <c r="I134" s="4" t="s">
        <v>1577</v>
      </c>
      <c r="J134" s="2" t="s">
        <v>1317</v>
      </c>
      <c r="K134" s="2" t="s">
        <v>1335</v>
      </c>
      <c r="L134" s="2" t="s">
        <v>1335</v>
      </c>
      <c r="M134" s="2"/>
      <c r="N134" s="4"/>
      <c r="O134" s="4"/>
      <c r="P134" s="4"/>
      <c r="Q134" s="4"/>
      <c r="R134" s="4" t="s">
        <v>1957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92"/>
      <c r="AS134" s="92"/>
      <c r="AT134" s="92"/>
      <c r="AU134" s="92"/>
      <c r="AV134" s="92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 t="s">
        <v>1334</v>
      </c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 ht="20.25" customHeight="1">
      <c r="A135" s="8" t="s">
        <v>1526</v>
      </c>
      <c r="B135" s="8"/>
      <c r="C135" s="15" t="s">
        <v>1335</v>
      </c>
      <c r="D135" s="15" t="str">
        <f t="shared" si="8"/>
        <v/>
      </c>
      <c r="E135" s="15" t="str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  <v>No</v>
      </c>
      <c r="F135" t="str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  <v/>
      </c>
      <c r="G135" s="59" t="s">
        <v>1575</v>
      </c>
      <c r="H135" s="4" t="s">
        <v>1742</v>
      </c>
      <c r="I135" s="4" t="s">
        <v>1577</v>
      </c>
      <c r="J135" s="2" t="s">
        <v>1317</v>
      </c>
      <c r="K135" s="2" t="s">
        <v>1335</v>
      </c>
      <c r="L135" s="2" t="s">
        <v>1335</v>
      </c>
      <c r="M135" s="2"/>
      <c r="N135" s="4"/>
      <c r="O135" s="4"/>
      <c r="P135" s="4"/>
      <c r="Q135" s="4"/>
      <c r="R135" s="4" t="s">
        <v>1958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92"/>
      <c r="AS135" s="92"/>
      <c r="AT135" s="92"/>
      <c r="AU135" s="92"/>
      <c r="AV135" s="92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 t="s">
        <v>1334</v>
      </c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 ht="20.25" customHeight="1">
      <c r="A136" s="8" t="s">
        <v>1526</v>
      </c>
      <c r="B136" s="8"/>
      <c r="C136" s="15" t="s">
        <v>1335</v>
      </c>
      <c r="D136" s="15" t="str">
        <f t="shared" si="8"/>
        <v/>
      </c>
      <c r="E136" s="15" t="str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  <v>No</v>
      </c>
      <c r="F136" t="str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  <v/>
      </c>
      <c r="G136" s="62" t="s">
        <v>1575</v>
      </c>
      <c r="H136" s="4" t="s">
        <v>1742</v>
      </c>
      <c r="I136" s="4" t="s">
        <v>1577</v>
      </c>
      <c r="J136" s="2" t="s">
        <v>1317</v>
      </c>
      <c r="K136" s="2" t="s">
        <v>1335</v>
      </c>
      <c r="L136" s="2" t="s">
        <v>1335</v>
      </c>
      <c r="M136" s="2"/>
      <c r="N136" s="4"/>
      <c r="O136" s="4"/>
      <c r="P136" s="4"/>
      <c r="Q136" s="4"/>
      <c r="R136" s="4" t="s">
        <v>1959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92"/>
      <c r="AS136" s="92"/>
      <c r="AT136" s="92"/>
      <c r="AU136" s="92"/>
      <c r="AV136" s="92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 t="s">
        <v>1334</v>
      </c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 ht="20.25" customHeight="1">
      <c r="A137" s="8" t="s">
        <v>1526</v>
      </c>
      <c r="B137" s="8"/>
      <c r="C137" s="15" t="s">
        <v>1335</v>
      </c>
      <c r="D137" s="15" t="str">
        <f t="shared" si="8"/>
        <v/>
      </c>
      <c r="E137" s="15" t="str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  <v>No</v>
      </c>
      <c r="F137" t="str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  <v/>
      </c>
      <c r="G137" t="s">
        <v>1575</v>
      </c>
      <c r="H137" s="4" t="s">
        <v>1742</v>
      </c>
      <c r="I137" s="4" t="s">
        <v>1577</v>
      </c>
      <c r="J137" s="2" t="s">
        <v>1317</v>
      </c>
      <c r="K137" s="2" t="s">
        <v>1335</v>
      </c>
      <c r="L137" s="2" t="s">
        <v>1335</v>
      </c>
      <c r="M137" s="2"/>
      <c r="N137" s="4"/>
      <c r="O137" s="4"/>
      <c r="P137" s="4"/>
      <c r="Q137" s="4"/>
      <c r="R137" s="4" t="s">
        <v>1960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92"/>
      <c r="AS137" s="92"/>
      <c r="AT137" s="92"/>
      <c r="AU137" s="92"/>
      <c r="AV137" s="92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 t="s">
        <v>1334</v>
      </c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 ht="20.25" customHeight="1">
      <c r="A138" s="8" t="s">
        <v>1526</v>
      </c>
      <c r="B138" s="8"/>
      <c r="C138" s="15" t="s">
        <v>1335</v>
      </c>
      <c r="E138" s="15" t="str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1961</v>
      </c>
      <c r="H138" s="4" t="s">
        <v>1742</v>
      </c>
      <c r="I138" s="4" t="s">
        <v>1577</v>
      </c>
      <c r="J138" s="2"/>
      <c r="K138" s="2"/>
      <c r="L138" s="2"/>
      <c r="M138" s="2"/>
      <c r="N138" s="4"/>
      <c r="O138" s="4"/>
      <c r="P138" s="4"/>
      <c r="Q138" s="4"/>
      <c r="R138" s="4" t="s">
        <v>1962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92"/>
      <c r="AS138" s="92"/>
      <c r="AT138" s="92"/>
      <c r="AU138" s="92"/>
      <c r="AV138" s="92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 t="s">
        <v>1334</v>
      </c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6" ht="20.25" customHeight="1">
      <c r="A139" s="8" t="s">
        <v>1526</v>
      </c>
      <c r="B139" s="8"/>
      <c r="C139" s="15" t="s">
        <v>1335</v>
      </c>
      <c r="E139" s="15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1961</v>
      </c>
      <c r="H139" s="4" t="s">
        <v>1742</v>
      </c>
      <c r="I139" s="4" t="s">
        <v>1577</v>
      </c>
      <c r="J139" s="2"/>
      <c r="K139" s="2"/>
      <c r="L139" s="2"/>
      <c r="M139" s="2"/>
      <c r="N139" s="4"/>
      <c r="O139" s="4"/>
      <c r="P139" s="4"/>
      <c r="Q139" s="4"/>
      <c r="R139" s="4" t="s">
        <v>1963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4"/>
      <c r="AG139" s="4"/>
      <c r="AH139" s="14"/>
      <c r="AI139" s="4"/>
      <c r="AJ139" s="4"/>
      <c r="AK139" s="4"/>
      <c r="AL139" s="4"/>
      <c r="AM139" s="4"/>
      <c r="AN139" s="4"/>
      <c r="AO139" s="4"/>
      <c r="AP139" s="4"/>
      <c r="AQ139" s="4"/>
      <c r="AR139" s="92"/>
      <c r="AS139" s="92"/>
      <c r="AT139" s="92"/>
      <c r="AU139" s="92"/>
      <c r="AV139" s="92"/>
      <c r="AW139" s="8"/>
      <c r="AX139" s="8"/>
      <c r="AY139" s="8"/>
      <c r="AZ139" s="8"/>
      <c r="BA139" s="12"/>
      <c r="BB139" s="8"/>
      <c r="BC139" s="4"/>
      <c r="BD139" s="4"/>
      <c r="BE139" s="8"/>
      <c r="BF139" s="8"/>
      <c r="BG139" s="8"/>
      <c r="BH139" s="8"/>
      <c r="BI139" s="8" t="s">
        <v>1334</v>
      </c>
      <c r="BJ139" s="8"/>
      <c r="BK139" s="8"/>
      <c r="BL139" s="4" t="str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  <v/>
      </c>
      <c r="BM139" s="8" t="str">
        <f>IF($T139="","",IF($BL139="","Yes","Blocked"))</f>
        <v/>
      </c>
    </row>
    <row r="140" spans="1:76" ht="20.25" customHeight="1">
      <c r="A140" s="8" t="s">
        <v>1526</v>
      </c>
      <c r="B140" s="8"/>
      <c r="C140" s="15" t="s">
        <v>1335</v>
      </c>
      <c r="E140" s="15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1961</v>
      </c>
      <c r="H140" s="4" t="s">
        <v>1964</v>
      </c>
      <c r="I140" s="4" t="s">
        <v>1577</v>
      </c>
      <c r="J140" s="2"/>
      <c r="K140" s="2"/>
      <c r="L140" s="2"/>
      <c r="M140" s="2"/>
      <c r="N140" s="4"/>
      <c r="O140" s="4"/>
      <c r="P140" s="4"/>
      <c r="Q140" s="4"/>
      <c r="R140" s="4" t="s">
        <v>1965</v>
      </c>
      <c r="T140" s="4"/>
      <c r="U140" s="4"/>
      <c r="V140" s="4"/>
      <c r="W140" s="4"/>
      <c r="X140" s="4"/>
      <c r="Y140" s="4" t="s">
        <v>1966</v>
      </c>
      <c r="Z140" s="4" t="s">
        <v>1967</v>
      </c>
      <c r="AA140" s="4"/>
      <c r="AB140" s="4"/>
      <c r="AC140" s="4"/>
      <c r="AD140" s="4"/>
      <c r="AE140" s="8"/>
      <c r="AF140" s="4"/>
      <c r="AG140" s="4"/>
      <c r="AH140" s="14"/>
      <c r="AI140" s="4"/>
      <c r="AJ140" s="4"/>
      <c r="AK140" s="4"/>
      <c r="AL140" s="4"/>
      <c r="AM140" s="4"/>
      <c r="AN140" s="4"/>
      <c r="AO140" s="4"/>
      <c r="AP140" s="4"/>
      <c r="AQ140" s="4"/>
      <c r="AR140" s="92"/>
      <c r="AS140" s="92"/>
      <c r="AT140" s="92"/>
      <c r="AU140" s="92"/>
      <c r="AV140" s="92"/>
      <c r="AW140" s="8"/>
      <c r="AX140" s="8"/>
      <c r="AY140" s="8"/>
      <c r="AZ140" s="8"/>
      <c r="BA140" s="12"/>
      <c r="BB140" s="8"/>
      <c r="BC140" s="4"/>
      <c r="BD140" s="4"/>
      <c r="BE140" s="8"/>
      <c r="BF140" s="8"/>
      <c r="BG140" s="8"/>
      <c r="BH140" s="8"/>
      <c r="BI140" s="8" t="s">
        <v>1334</v>
      </c>
      <c r="BJ140" s="8"/>
      <c r="BK140" s="8"/>
      <c r="BL140" s="4" t="str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  <v/>
      </c>
      <c r="BM140" s="8" t="str">
        <f>IF($T140="","",IF($BL140="","Yes","Blocked"))</f>
        <v/>
      </c>
    </row>
    <row r="141" spans="1:76" ht="20.25" customHeight="1">
      <c r="A141" s="8" t="s">
        <v>1526</v>
      </c>
      <c r="B141" s="8"/>
      <c r="C141" s="15" t="s">
        <v>1335</v>
      </c>
      <c r="E141" s="15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/>
      </c>
      <c r="G141" t="s">
        <v>1961</v>
      </c>
      <c r="H141" s="4" t="s">
        <v>1964</v>
      </c>
      <c r="I141" s="4" t="s">
        <v>1577</v>
      </c>
      <c r="J141" s="2"/>
      <c r="K141" s="2"/>
      <c r="L141" s="2"/>
      <c r="M141" s="2"/>
      <c r="N141" s="4"/>
      <c r="O141" s="4"/>
      <c r="P141" s="4"/>
      <c r="Q141" s="4"/>
      <c r="R141" s="4" t="s">
        <v>1968</v>
      </c>
      <c r="T141" s="4"/>
      <c r="U141" s="4"/>
      <c r="V141" s="4"/>
      <c r="W141" s="4"/>
      <c r="X141" s="4"/>
      <c r="Y141" s="4" t="s">
        <v>1969</v>
      </c>
      <c r="Z141" s="4" t="s">
        <v>1970</v>
      </c>
      <c r="AA141" s="4"/>
      <c r="AB141" s="4"/>
      <c r="AC141" s="4"/>
      <c r="AD141" s="4"/>
      <c r="AE141" s="8"/>
      <c r="AF141" s="4"/>
      <c r="AG141" s="4"/>
      <c r="AH141" s="14"/>
      <c r="AI141" s="4"/>
      <c r="AJ141" s="4"/>
      <c r="AK141" s="4"/>
      <c r="AL141" s="4"/>
      <c r="AM141" s="4"/>
      <c r="AN141" s="4"/>
      <c r="AO141" s="4"/>
      <c r="AP141" s="4"/>
      <c r="AQ141" s="4"/>
      <c r="AR141" s="92"/>
      <c r="AS141" s="92"/>
      <c r="AT141" s="92"/>
      <c r="AU141" s="92"/>
      <c r="AV141" s="92"/>
      <c r="AW141" s="8"/>
      <c r="AX141" s="8"/>
      <c r="AY141" s="8"/>
      <c r="AZ141" s="8"/>
      <c r="BA141" s="12"/>
      <c r="BB141" s="8"/>
      <c r="BC141" s="4"/>
      <c r="BD141" s="4"/>
      <c r="BE141" s="8"/>
      <c r="BF141" s="8"/>
      <c r="BG141" s="8"/>
      <c r="BH141" s="8"/>
      <c r="BI141" s="8" t="s">
        <v>1334</v>
      </c>
      <c r="BJ141" s="8"/>
      <c r="BK141" s="8"/>
      <c r="BL141" s="4" t="str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  <v/>
      </c>
      <c r="BM141" s="8" t="str">
        <f>IF($T141="","",IF($BL141="","Yes","Blocked"))</f>
        <v/>
      </c>
    </row>
    <row r="142" spans="1:76" ht="20.25" customHeight="1">
      <c r="A142" s="8" t="s">
        <v>1526</v>
      </c>
      <c r="B142" s="8"/>
      <c r="C142" s="15" t="s">
        <v>1335</v>
      </c>
      <c r="E142" s="15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1961</v>
      </c>
      <c r="H142" s="4" t="s">
        <v>1964</v>
      </c>
      <c r="I142" s="4" t="s">
        <v>1577</v>
      </c>
      <c r="J142" s="2"/>
      <c r="K142" s="2"/>
      <c r="L142" s="2"/>
      <c r="M142" s="2"/>
      <c r="N142" s="4"/>
      <c r="O142" s="4"/>
      <c r="P142" s="4"/>
      <c r="Q142" s="4"/>
      <c r="R142" s="4" t="s">
        <v>1971</v>
      </c>
      <c r="T142" s="4"/>
      <c r="U142" s="4"/>
      <c r="V142" s="4"/>
      <c r="W142" s="4"/>
      <c r="X142" s="4"/>
      <c r="Y142" s="4" t="s">
        <v>1972</v>
      </c>
      <c r="Z142" s="4" t="s">
        <v>1973</v>
      </c>
      <c r="AA142" s="4"/>
      <c r="AB142" s="4"/>
      <c r="AC142" s="4"/>
      <c r="AD142" s="4"/>
      <c r="AE142" s="8"/>
      <c r="AF142" s="4"/>
      <c r="AG142" s="4"/>
      <c r="AH142" s="14"/>
      <c r="AI142" s="4"/>
      <c r="AJ142" s="4"/>
      <c r="AK142" s="4"/>
      <c r="AL142" s="4"/>
      <c r="AM142" s="4"/>
      <c r="AN142" s="4"/>
      <c r="AO142" s="4"/>
      <c r="AP142" s="4"/>
      <c r="AQ142" s="4"/>
      <c r="AR142" s="92"/>
      <c r="AS142" s="92"/>
      <c r="AT142" s="92"/>
      <c r="AU142" s="92"/>
      <c r="AV142" s="92"/>
      <c r="AW142" s="8"/>
      <c r="AX142" s="8"/>
      <c r="AY142" s="8"/>
      <c r="AZ142" s="8"/>
      <c r="BA142" s="12"/>
      <c r="BB142" s="8"/>
      <c r="BC142" s="4"/>
      <c r="BD142" s="4"/>
      <c r="BE142" s="8"/>
      <c r="BF142" s="8"/>
      <c r="BG142" s="8"/>
      <c r="BH142" s="8"/>
      <c r="BI142" s="8" t="s">
        <v>1334</v>
      </c>
      <c r="BJ142" s="8"/>
      <c r="BK142" s="8"/>
      <c r="BL142" s="4" t="str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  <v/>
      </c>
      <c r="BM142" s="8" t="str">
        <f>IF($T142="","",IF($BL142="","Yes","Blocked"))</f>
        <v/>
      </c>
    </row>
    <row r="143" spans="1:76" ht="20.25" customHeight="1">
      <c r="A143" s="8" t="s">
        <v>1974</v>
      </c>
      <c r="B143" s="8" t="s">
        <v>1317</v>
      </c>
      <c r="C143" s="15" t="s">
        <v>1317</v>
      </c>
      <c r="D143" s="15" t="str">
        <f t="shared" ref="D143:D206" si="9">IF($B143&lt;&gt;"Yes","",IF($C143="No","Yes",IF($C143="Yes","No","")))</f>
        <v>No</v>
      </c>
      <c r="E143" s="15" t="str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s="4" t="s">
        <v>1975</v>
      </c>
      <c r="H143" s="4" t="s">
        <v>1975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1976</v>
      </c>
      <c r="T143" s="4" t="s">
        <v>1977</v>
      </c>
      <c r="U143" s="4"/>
      <c r="V143" s="4"/>
      <c r="W143" s="4" t="s">
        <v>1978</v>
      </c>
      <c r="X143" s="4" t="s">
        <v>1975</v>
      </c>
      <c r="Y143" s="4" t="s">
        <v>1979</v>
      </c>
      <c r="Z143" s="4" t="s">
        <v>1980</v>
      </c>
      <c r="AA143" s="4" t="s">
        <v>1517</v>
      </c>
      <c r="AB143" s="4"/>
      <c r="AC143" s="4"/>
      <c r="AD143" s="4" t="s">
        <v>1981</v>
      </c>
      <c r="AE143" s="8">
        <v>1</v>
      </c>
      <c r="AF143" s="4" t="s">
        <v>1982</v>
      </c>
      <c r="AG143" s="4" t="s">
        <v>1983</v>
      </c>
      <c r="AH143" s="14"/>
      <c r="AI143" s="4"/>
      <c r="AJ143" s="4" t="s">
        <v>1984</v>
      </c>
      <c r="AK143" s="4"/>
      <c r="AL143" s="4"/>
      <c r="AM143" s="4" t="s">
        <v>1181</v>
      </c>
      <c r="AN143" s="4"/>
      <c r="AO143" s="4"/>
      <c r="AP143" s="4"/>
      <c r="AQ143" s="4"/>
      <c r="AR143" s="92" t="s">
        <v>1985</v>
      </c>
      <c r="AS143" s="92" t="s">
        <v>1986</v>
      </c>
      <c r="AT143" s="92"/>
      <c r="AU143" s="92"/>
      <c r="AV143" s="92"/>
      <c r="AW143" s="8"/>
      <c r="AX143" s="8"/>
      <c r="AY143" s="8" t="s">
        <v>1317</v>
      </c>
      <c r="AZ143" s="8" t="s">
        <v>1317</v>
      </c>
      <c r="BA143" s="12"/>
      <c r="BB143" s="8" t="s">
        <v>1317</v>
      </c>
      <c r="BC143" s="4" t="s">
        <v>1987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1317</v>
      </c>
      <c r="BT143" t="s">
        <v>1317</v>
      </c>
      <c r="BU143" t="s">
        <v>1317</v>
      </c>
      <c r="BV143" t="s">
        <v>1317</v>
      </c>
    </row>
    <row r="144" spans="1:76" ht="20.25" customHeight="1">
      <c r="A144" s="8" t="s">
        <v>1974</v>
      </c>
      <c r="B144" s="8" t="s">
        <v>1317</v>
      </c>
      <c r="C144" s="15" t="s">
        <v>1317</v>
      </c>
      <c r="D144" s="15" t="str">
        <f t="shared" si="9"/>
        <v>No</v>
      </c>
      <c r="E144" s="15" t="str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  <v>No</v>
      </c>
      <c r="F144" t="str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  <v>No</v>
      </c>
      <c r="G144" s="4" t="s">
        <v>1975</v>
      </c>
      <c r="H144" s="4" t="s">
        <v>1975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1988</v>
      </c>
      <c r="T144" s="4" t="s">
        <v>1989</v>
      </c>
      <c r="U144" s="4"/>
      <c r="V144" s="4"/>
      <c r="W144" s="4" t="s">
        <v>1990</v>
      </c>
      <c r="X144" s="4"/>
      <c r="Y144" s="4" t="s">
        <v>1991</v>
      </c>
      <c r="Z144" s="4" t="s">
        <v>1325</v>
      </c>
      <c r="AA144" s="4" t="s">
        <v>1517</v>
      </c>
      <c r="AB144" s="4"/>
      <c r="AC144" s="4"/>
      <c r="AD144" s="4" t="s">
        <v>1981</v>
      </c>
      <c r="AE144" s="8">
        <v>1</v>
      </c>
      <c r="AF144" s="4" t="s">
        <v>1992</v>
      </c>
      <c r="AG144" s="4" t="s">
        <v>1829</v>
      </c>
      <c r="AH144" s="14"/>
      <c r="AI144" s="4"/>
      <c r="AJ144" s="4" t="s">
        <v>1993</v>
      </c>
      <c r="AK144" s="4"/>
      <c r="AL144" s="4"/>
      <c r="AM144" s="4"/>
      <c r="AN144" s="4"/>
      <c r="AO144" s="4"/>
      <c r="AP144" s="4"/>
      <c r="AQ144" s="4"/>
      <c r="AR144" s="92" t="s">
        <v>1215</v>
      </c>
      <c r="AS144" s="92" t="s">
        <v>1994</v>
      </c>
      <c r="AT144" s="92"/>
      <c r="AU144" s="92"/>
      <c r="AV144" s="92"/>
      <c r="AW144" s="8"/>
      <c r="AX144" s="8"/>
      <c r="AY144" s="8" t="s">
        <v>1317</v>
      </c>
      <c r="AZ144" s="8" t="s">
        <v>1317</v>
      </c>
      <c r="BA144" s="12"/>
      <c r="BB144" s="8" t="s">
        <v>1317</v>
      </c>
      <c r="BC144" s="4" t="s">
        <v>1987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1317</v>
      </c>
      <c r="BT144" t="s">
        <v>1317</v>
      </c>
      <c r="BU144" t="s">
        <v>1317</v>
      </c>
      <c r="BV144" t="s">
        <v>1317</v>
      </c>
    </row>
    <row r="145" spans="1:75" ht="20.25" customHeight="1">
      <c r="A145" s="8" t="s">
        <v>1974</v>
      </c>
      <c r="B145" s="8" t="s">
        <v>1317</v>
      </c>
      <c r="C145" s="15" t="s">
        <v>1317</v>
      </c>
      <c r="D145" s="15" t="str">
        <f t="shared" si="9"/>
        <v>No</v>
      </c>
      <c r="E145" s="15" t="str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  <v>No</v>
      </c>
      <c r="F145" t="str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  <v>No</v>
      </c>
      <c r="G145" s="4" t="s">
        <v>1975</v>
      </c>
      <c r="H145" s="4" t="s">
        <v>1975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1995</v>
      </c>
      <c r="T145" s="4" t="s">
        <v>1996</v>
      </c>
      <c r="U145" s="4"/>
      <c r="V145" s="4"/>
      <c r="W145" s="4" t="s">
        <v>1997</v>
      </c>
      <c r="X145" s="4"/>
      <c r="Y145" s="4" t="s">
        <v>1998</v>
      </c>
      <c r="Z145" s="4" t="s">
        <v>1521</v>
      </c>
      <c r="AA145" s="4" t="s">
        <v>1517</v>
      </c>
      <c r="AB145" s="4"/>
      <c r="AC145" s="4"/>
      <c r="AD145" s="4" t="s">
        <v>1981</v>
      </c>
      <c r="AE145" s="8">
        <v>1</v>
      </c>
      <c r="AF145" s="4" t="s">
        <v>1992</v>
      </c>
      <c r="AG145" s="4" t="s">
        <v>1753</v>
      </c>
      <c r="AH145" s="14"/>
      <c r="AI145" s="4"/>
      <c r="AJ145" s="4" t="s">
        <v>1993</v>
      </c>
      <c r="AK145" s="4"/>
      <c r="AL145" s="4"/>
      <c r="AM145" s="4"/>
      <c r="AN145" s="4"/>
      <c r="AO145" s="4"/>
      <c r="AP145" s="4"/>
      <c r="AQ145" s="4"/>
      <c r="AR145" s="92" t="s">
        <v>1215</v>
      </c>
      <c r="AS145" s="92" t="s">
        <v>1999</v>
      </c>
      <c r="AT145" s="92"/>
      <c r="AU145" s="92"/>
      <c r="AV145" s="92"/>
      <c r="AW145" s="8"/>
      <c r="AX145" s="8"/>
      <c r="AY145" s="8" t="s">
        <v>1317</v>
      </c>
      <c r="AZ145" s="8" t="s">
        <v>1335</v>
      </c>
      <c r="BA145" s="12"/>
      <c r="BB145" s="8" t="s">
        <v>1317</v>
      </c>
      <c r="BC145" s="4" t="s">
        <v>2000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1317</v>
      </c>
      <c r="BT145" t="s">
        <v>1317</v>
      </c>
      <c r="BU145" t="s">
        <v>1317</v>
      </c>
      <c r="BV145" t="s">
        <v>1317</v>
      </c>
    </row>
    <row r="146" spans="1:75" ht="20.25" customHeight="1">
      <c r="A146" s="8" t="s">
        <v>1974</v>
      </c>
      <c r="B146" s="8" t="s">
        <v>1317</v>
      </c>
      <c r="C146" s="15" t="s">
        <v>1317</v>
      </c>
      <c r="D146" s="15" t="str">
        <f t="shared" si="9"/>
        <v>No</v>
      </c>
      <c r="E146" s="15" t="str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  <v>No</v>
      </c>
      <c r="F146" t="str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  <v>No</v>
      </c>
      <c r="G146" s="4" t="s">
        <v>1975</v>
      </c>
      <c r="H146" s="4" t="s">
        <v>1975</v>
      </c>
      <c r="I146" s="4"/>
      <c r="J146" s="4"/>
      <c r="K146" s="4"/>
      <c r="L146" s="4"/>
      <c r="M146" s="4"/>
      <c r="N146" s="4"/>
      <c r="O146" s="4"/>
      <c r="P146" s="4"/>
      <c r="Q146" s="4"/>
      <c r="R146" s="4" t="s">
        <v>2001</v>
      </c>
      <c r="T146" s="4" t="s">
        <v>2002</v>
      </c>
      <c r="U146" s="4"/>
      <c r="V146" s="4"/>
      <c r="W146" s="4" t="s">
        <v>2003</v>
      </c>
      <c r="X146" s="4"/>
      <c r="Y146" s="4" t="s">
        <v>2004</v>
      </c>
      <c r="Z146" s="4" t="s">
        <v>1521</v>
      </c>
      <c r="AA146" s="4" t="s">
        <v>1517</v>
      </c>
      <c r="AB146" s="4"/>
      <c r="AC146" s="4"/>
      <c r="AD146" s="4" t="s">
        <v>1981</v>
      </c>
      <c r="AE146" s="8">
        <v>1</v>
      </c>
      <c r="AF146" s="4" t="s">
        <v>1992</v>
      </c>
      <c r="AG146" s="4" t="s">
        <v>1763</v>
      </c>
      <c r="AH146" s="14"/>
      <c r="AI146" s="4"/>
      <c r="AJ146" s="4" t="s">
        <v>2005</v>
      </c>
      <c r="AK146" s="4"/>
      <c r="AL146" s="4"/>
      <c r="AM146" s="4"/>
      <c r="AN146" s="4"/>
      <c r="AO146" s="4"/>
      <c r="AP146" s="4"/>
      <c r="AQ146" s="4"/>
      <c r="AR146" s="92" t="s">
        <v>1215</v>
      </c>
      <c r="AS146" s="92" t="s">
        <v>2006</v>
      </c>
      <c r="AT146" s="92"/>
      <c r="AU146" s="92"/>
      <c r="AV146" s="92"/>
      <c r="AW146" s="8"/>
      <c r="AX146" s="8"/>
      <c r="AY146" s="8" t="s">
        <v>1317</v>
      </c>
      <c r="AZ146" s="8" t="s">
        <v>1335</v>
      </c>
      <c r="BA146" s="12"/>
      <c r="BB146" s="8" t="s">
        <v>1317</v>
      </c>
      <c r="BC146" s="4" t="s">
        <v>2007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>Power Cable, Battery, Firmware Download, Device ID, Epic Beans Relay</v>
      </c>
      <c r="BM146" s="8" t="str">
        <f t="shared" si="7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1317</v>
      </c>
      <c r="BT146" t="s">
        <v>1317</v>
      </c>
      <c r="BU146" t="s">
        <v>1317</v>
      </c>
      <c r="BV146" t="s">
        <v>1317</v>
      </c>
    </row>
    <row r="147" spans="1:75" ht="20.25" customHeight="1">
      <c r="A147" s="8" t="s">
        <v>1974</v>
      </c>
      <c r="B147" s="8" t="s">
        <v>1317</v>
      </c>
      <c r="C147" s="15" t="s">
        <v>1317</v>
      </c>
      <c r="D147" s="15" t="str">
        <f t="shared" si="9"/>
        <v>No</v>
      </c>
      <c r="E147" s="15" t="str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  <v>No</v>
      </c>
      <c r="F147" t="str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  <v>No</v>
      </c>
      <c r="G147" s="4" t="s">
        <v>1975</v>
      </c>
      <c r="H147" s="4" t="s">
        <v>1975</v>
      </c>
      <c r="I147" s="4"/>
      <c r="J147" s="4"/>
      <c r="K147" s="4"/>
      <c r="L147" s="4"/>
      <c r="M147" s="4"/>
      <c r="N147" s="4"/>
      <c r="O147" s="4"/>
      <c r="P147" s="4"/>
      <c r="Q147" s="4"/>
      <c r="R147" s="4" t="s">
        <v>2008</v>
      </c>
      <c r="T147" s="4" t="s">
        <v>2009</v>
      </c>
      <c r="U147" s="4"/>
      <c r="V147" s="4"/>
      <c r="W147" s="4" t="s">
        <v>2010</v>
      </c>
      <c r="X147" s="4"/>
      <c r="Y147" s="4" t="s">
        <v>2011</v>
      </c>
      <c r="Z147" s="4"/>
      <c r="AA147" s="4" t="s">
        <v>1517</v>
      </c>
      <c r="AB147" s="4"/>
      <c r="AC147" s="4"/>
      <c r="AD147" s="4" t="s">
        <v>1981</v>
      </c>
      <c r="AE147" s="8">
        <v>1</v>
      </c>
      <c r="AF147" s="4" t="s">
        <v>1992</v>
      </c>
      <c r="AG147" s="4" t="s">
        <v>1788</v>
      </c>
      <c r="AH147" s="14"/>
      <c r="AI147" s="4"/>
      <c r="AJ147" s="4" t="s">
        <v>2005</v>
      </c>
      <c r="AK147" s="4"/>
      <c r="AL147" s="4"/>
      <c r="AM147" s="4"/>
      <c r="AN147" s="4"/>
      <c r="AO147" s="4"/>
      <c r="AP147" s="4"/>
      <c r="AQ147" s="4"/>
      <c r="AR147" s="92" t="s">
        <v>1215</v>
      </c>
      <c r="AS147" s="92" t="s">
        <v>1994</v>
      </c>
      <c r="AT147" s="92"/>
      <c r="AU147" s="92"/>
      <c r="AV147" s="92"/>
      <c r="AW147" s="8"/>
      <c r="AX147" s="8"/>
      <c r="AY147" s="8" t="s">
        <v>1317</v>
      </c>
      <c r="AZ147" s="8" t="s">
        <v>1317</v>
      </c>
      <c r="BA147" s="12"/>
      <c r="BB147" s="8" t="s">
        <v>1317</v>
      </c>
      <c r="BC147" s="4" t="s">
        <v>2012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>Power Cable, Battery, Firmware Download, Device ID, Epic Beans Relay</v>
      </c>
      <c r="BM147" s="8" t="str">
        <f t="shared" si="7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1317</v>
      </c>
      <c r="BT147" t="s">
        <v>1317</v>
      </c>
      <c r="BU147" t="s">
        <v>1317</v>
      </c>
      <c r="BV147" t="s">
        <v>1317</v>
      </c>
    </row>
    <row r="148" spans="1:75" ht="20.25" customHeight="1">
      <c r="A148" s="8" t="s">
        <v>1974</v>
      </c>
      <c r="B148" s="8" t="s">
        <v>1317</v>
      </c>
      <c r="C148" s="15" t="s">
        <v>1317</v>
      </c>
      <c r="D148" s="15" t="str">
        <f t="shared" si="9"/>
        <v>No</v>
      </c>
      <c r="E148" s="15" t="str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  <v>No</v>
      </c>
      <c r="F148" t="str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  <v>No</v>
      </c>
      <c r="G148" s="4" t="s">
        <v>1975</v>
      </c>
      <c r="H148" s="4" t="s">
        <v>1975</v>
      </c>
      <c r="I148" s="4"/>
      <c r="J148" s="4"/>
      <c r="K148" s="4"/>
      <c r="L148" s="4"/>
      <c r="M148" s="4"/>
      <c r="N148" s="4"/>
      <c r="O148" s="4"/>
      <c r="P148" s="4"/>
      <c r="Q148" s="4"/>
      <c r="R148" s="4" t="s">
        <v>2013</v>
      </c>
      <c r="T148" s="4" t="s">
        <v>2014</v>
      </c>
      <c r="U148" s="4"/>
      <c r="V148" s="4"/>
      <c r="W148" s="4" t="s">
        <v>2015</v>
      </c>
      <c r="X148" s="4"/>
      <c r="Y148" s="4" t="s">
        <v>2016</v>
      </c>
      <c r="Z148" s="4"/>
      <c r="AA148" s="4" t="s">
        <v>1517</v>
      </c>
      <c r="AB148" s="4"/>
      <c r="AC148" s="4"/>
      <c r="AD148" s="4" t="s">
        <v>1981</v>
      </c>
      <c r="AE148" s="8">
        <v>1</v>
      </c>
      <c r="AF148" s="4" t="s">
        <v>1992</v>
      </c>
      <c r="AG148" s="4" t="s">
        <v>1804</v>
      </c>
      <c r="AH148" s="14"/>
      <c r="AI148" s="4"/>
      <c r="AJ148" s="4" t="s">
        <v>2017</v>
      </c>
      <c r="AK148" s="4"/>
      <c r="AL148" s="4"/>
      <c r="AM148" s="4"/>
      <c r="AN148" s="4"/>
      <c r="AO148" s="4"/>
      <c r="AP148" s="4"/>
      <c r="AQ148" s="4"/>
      <c r="AR148" s="92" t="s">
        <v>2018</v>
      </c>
      <c r="AS148" s="92" t="s">
        <v>1994</v>
      </c>
      <c r="AT148" s="92"/>
      <c r="AU148" s="92"/>
      <c r="AV148" s="92"/>
      <c r="AW148" s="8"/>
      <c r="AX148" s="8"/>
      <c r="AY148" s="8" t="s">
        <v>1317</v>
      </c>
      <c r="AZ148" s="8" t="s">
        <v>1317</v>
      </c>
      <c r="BA148" s="12"/>
      <c r="BB148" s="8" t="s">
        <v>1317</v>
      </c>
      <c r="BC148" s="4" t="s">
        <v>2019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>Power Cable, Battery, Firmware Download, Device ID, Epic Beans Relay</v>
      </c>
      <c r="BM148" s="8" t="str">
        <f t="shared" si="7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1317</v>
      </c>
      <c r="BT148" t="s">
        <v>1317</v>
      </c>
      <c r="BU148" t="s">
        <v>1317</v>
      </c>
      <c r="BV148" t="s">
        <v>1317</v>
      </c>
    </row>
    <row r="149" spans="1:75" ht="20.25" customHeight="1">
      <c r="A149" s="8" t="s">
        <v>1974</v>
      </c>
      <c r="B149" s="8" t="s">
        <v>1317</v>
      </c>
      <c r="C149" s="15" t="s">
        <v>1317</v>
      </c>
      <c r="D149" s="15" t="str">
        <f t="shared" si="9"/>
        <v>No</v>
      </c>
      <c r="E149" s="15" t="str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  <v>No</v>
      </c>
      <c r="F149" t="str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  <v>No</v>
      </c>
      <c r="G149" s="4" t="s">
        <v>1975</v>
      </c>
      <c r="H149" s="4" t="s">
        <v>1975</v>
      </c>
      <c r="I149" s="4"/>
      <c r="J149" s="4"/>
      <c r="K149" s="4"/>
      <c r="L149" s="4"/>
      <c r="M149" s="4"/>
      <c r="N149" s="4"/>
      <c r="O149" s="4"/>
      <c r="P149" s="4"/>
      <c r="Q149" s="4"/>
      <c r="R149" s="4" t="s">
        <v>2020</v>
      </c>
      <c r="T149" s="4" t="s">
        <v>2021</v>
      </c>
      <c r="U149" s="4"/>
      <c r="V149" s="4"/>
      <c r="W149" s="4" t="s">
        <v>2022</v>
      </c>
      <c r="X149" s="4"/>
      <c r="Y149" s="4" t="s">
        <v>2023</v>
      </c>
      <c r="Z149" s="4"/>
      <c r="AA149" s="4" t="s">
        <v>1517</v>
      </c>
      <c r="AB149" s="4"/>
      <c r="AC149" s="4"/>
      <c r="AD149" s="4" t="s">
        <v>1981</v>
      </c>
      <c r="AE149" s="8">
        <v>1</v>
      </c>
      <c r="AF149" s="4" t="s">
        <v>1992</v>
      </c>
      <c r="AG149" s="4" t="s">
        <v>1771</v>
      </c>
      <c r="AH149" s="14"/>
      <c r="AI149" s="4"/>
      <c r="AJ149" s="4" t="s">
        <v>1993</v>
      </c>
      <c r="AK149" s="4"/>
      <c r="AL149" s="4"/>
      <c r="AM149" s="4"/>
      <c r="AN149" s="4"/>
      <c r="AO149" s="4"/>
      <c r="AP149" s="4"/>
      <c r="AQ149" s="4"/>
      <c r="AR149" s="92" t="s">
        <v>2018</v>
      </c>
      <c r="AS149" s="92" t="s">
        <v>2024</v>
      </c>
      <c r="AT149" s="92"/>
      <c r="AU149" s="92"/>
      <c r="AV149" s="92"/>
      <c r="AW149" s="8"/>
      <c r="AX149" s="8"/>
      <c r="AY149" s="8" t="s">
        <v>1317</v>
      </c>
      <c r="AZ149" s="8" t="s">
        <v>1317</v>
      </c>
      <c r="BA149" s="12"/>
      <c r="BB149" s="8" t="s">
        <v>1317</v>
      </c>
      <c r="BC149" s="4" t="s">
        <v>2012</v>
      </c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>Power Cable, Battery, Firmware Download, Device ID, Epic Beans Relay</v>
      </c>
      <c r="BM149" s="8" t="str">
        <f t="shared" si="7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1317</v>
      </c>
      <c r="BT149" t="s">
        <v>1317</v>
      </c>
      <c r="BU149" t="s">
        <v>1317</v>
      </c>
      <c r="BV149" t="s">
        <v>1317</v>
      </c>
    </row>
    <row r="150" spans="1:75" ht="20.25" customHeight="1">
      <c r="A150" s="8" t="s">
        <v>1974</v>
      </c>
      <c r="B150" s="8" t="s">
        <v>1335</v>
      </c>
      <c r="C150" s="15" t="s">
        <v>1335</v>
      </c>
      <c r="D150" s="15" t="str">
        <f t="shared" si="9"/>
        <v/>
      </c>
      <c r="E150" s="15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s="4" t="s">
        <v>1975</v>
      </c>
      <c r="H150" s="4" t="s">
        <v>1975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 t="s">
        <v>1517</v>
      </c>
      <c r="AB150" s="4"/>
      <c r="AC150" s="4"/>
      <c r="AD150" s="4" t="s">
        <v>1981</v>
      </c>
      <c r="AE150" s="8">
        <v>1</v>
      </c>
      <c r="AF150" s="4"/>
      <c r="AG150" s="4"/>
      <c r="AH150" s="14"/>
      <c r="AI150" s="4"/>
      <c r="AJ150" s="4"/>
      <c r="AK150" s="4"/>
      <c r="AL150" s="4"/>
      <c r="AM150" s="4"/>
      <c r="AN150" s="4"/>
      <c r="AO150" s="4"/>
      <c r="AP150" s="4"/>
      <c r="AQ150" s="4"/>
      <c r="AR150" s="92"/>
      <c r="AS150" s="92"/>
      <c r="AT150" s="92"/>
      <c r="AU150" s="92"/>
      <c r="AV150" s="92"/>
      <c r="AW150" s="8"/>
      <c r="AX150" s="8"/>
      <c r="AY150" s="8" t="s">
        <v>1335</v>
      </c>
      <c r="AZ150" s="8" t="s">
        <v>1317</v>
      </c>
      <c r="BA150" s="12"/>
      <c r="BB150" s="8" t="s">
        <v>1317</v>
      </c>
      <c r="BC150" s="4" t="s">
        <v>2025</v>
      </c>
      <c r="BD150" s="4"/>
      <c r="BE150" s="8"/>
      <c r="BF150" s="8"/>
      <c r="BG150" s="8"/>
      <c r="BH150" s="8"/>
      <c r="BI150" s="8"/>
      <c r="BJ150" s="8"/>
      <c r="BK150" s="8"/>
      <c r="BL150" s="4" t="str">
        <f t="shared" si="6"/>
        <v/>
      </c>
      <c r="BM150" s="8" t="str">
        <f t="shared" si="7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1317</v>
      </c>
      <c r="BT150" t="s">
        <v>1317</v>
      </c>
      <c r="BU150" t="s">
        <v>1317</v>
      </c>
      <c r="BV150" t="s">
        <v>1317</v>
      </c>
    </row>
    <row r="151" spans="1:75" ht="20.25" customHeight="1">
      <c r="A151" s="8" t="s">
        <v>1974</v>
      </c>
      <c r="B151" s="8" t="s">
        <v>1335</v>
      </c>
      <c r="C151" s="15" t="s">
        <v>1335</v>
      </c>
      <c r="D151" s="15" t="str">
        <f t="shared" si="9"/>
        <v/>
      </c>
      <c r="E151" s="15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s="4" t="s">
        <v>1975</v>
      </c>
      <c r="H151" s="4" t="s">
        <v>1975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 t="s">
        <v>1517</v>
      </c>
      <c r="AB151" s="4"/>
      <c r="AC151" s="4"/>
      <c r="AD151" s="4" t="s">
        <v>1981</v>
      </c>
      <c r="AE151" s="8">
        <v>1</v>
      </c>
      <c r="AF151" s="4"/>
      <c r="AG151" s="4"/>
      <c r="AH151" s="14"/>
      <c r="AI151" s="4"/>
      <c r="AJ151" s="4"/>
      <c r="AK151" s="4"/>
      <c r="AL151" s="4"/>
      <c r="AM151" s="4"/>
      <c r="AN151" s="4"/>
      <c r="AO151" s="4"/>
      <c r="AP151" s="4"/>
      <c r="AQ151" s="4"/>
      <c r="AR151" s="92"/>
      <c r="AS151" s="92"/>
      <c r="AT151" s="92"/>
      <c r="AU151" s="92"/>
      <c r="AV151" s="92"/>
      <c r="AW151" s="8"/>
      <c r="AX151" s="8"/>
      <c r="AY151" s="8" t="s">
        <v>1335</v>
      </c>
      <c r="AZ151" s="8" t="s">
        <v>1317</v>
      </c>
      <c r="BA151" s="12"/>
      <c r="BB151" s="8" t="s">
        <v>1317</v>
      </c>
      <c r="BC151" s="4" t="s">
        <v>2025</v>
      </c>
      <c r="BD151" s="4"/>
      <c r="BE151" s="8"/>
      <c r="BF151" s="8"/>
      <c r="BG151" s="8"/>
      <c r="BH151" s="8"/>
      <c r="BI151" s="8"/>
      <c r="BJ151" s="8"/>
      <c r="BK151" s="8"/>
      <c r="BL151" s="4" t="str">
        <f t="shared" si="6"/>
        <v/>
      </c>
      <c r="BM151" s="8" t="str">
        <f t="shared" si="7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1317</v>
      </c>
      <c r="BT151" t="s">
        <v>1317</v>
      </c>
      <c r="BU151" t="s">
        <v>1317</v>
      </c>
      <c r="BV151" t="s">
        <v>1317</v>
      </c>
    </row>
    <row r="152" spans="1:75" ht="20.25" customHeight="1">
      <c r="A152" s="8" t="s">
        <v>1974</v>
      </c>
      <c r="B152" s="8" t="s">
        <v>1335</v>
      </c>
      <c r="C152" s="15" t="s">
        <v>1335</v>
      </c>
      <c r="D152" s="15" t="str">
        <f t="shared" si="9"/>
        <v/>
      </c>
      <c r="E152" s="15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s="4" t="s">
        <v>1975</v>
      </c>
      <c r="H152" s="4" t="s">
        <v>1975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 t="s">
        <v>1517</v>
      </c>
      <c r="AB152" s="4"/>
      <c r="AC152" s="4"/>
      <c r="AD152" s="4" t="s">
        <v>1981</v>
      </c>
      <c r="AE152" s="8">
        <v>1</v>
      </c>
      <c r="AF152" s="4"/>
      <c r="AG152" s="4"/>
      <c r="AH152" s="14"/>
      <c r="AI152" s="4"/>
      <c r="AJ152" s="4"/>
      <c r="AK152" s="4"/>
      <c r="AL152" s="4"/>
      <c r="AM152" s="4"/>
      <c r="AN152" s="4"/>
      <c r="AO152" s="4"/>
      <c r="AP152" s="4"/>
      <c r="AQ152" s="4"/>
      <c r="AR152" s="92"/>
      <c r="AS152" s="92"/>
      <c r="AT152" s="92"/>
      <c r="AU152" s="92"/>
      <c r="AV152" s="92"/>
      <c r="AW152" s="8"/>
      <c r="AX152" s="8"/>
      <c r="AY152" s="8" t="s">
        <v>1335</v>
      </c>
      <c r="AZ152" s="8" t="s">
        <v>1317</v>
      </c>
      <c r="BA152" s="12"/>
      <c r="BB152" s="8" t="s">
        <v>1317</v>
      </c>
      <c r="BC152" s="4" t="s">
        <v>2025</v>
      </c>
      <c r="BD152" s="4"/>
      <c r="BE152" s="8"/>
      <c r="BF152" s="8"/>
      <c r="BG152" s="8"/>
      <c r="BH152" s="8"/>
      <c r="BI152" s="8"/>
      <c r="BJ152" s="8"/>
      <c r="BK152" s="8"/>
      <c r="BL152" s="4" t="str">
        <f t="shared" si="6"/>
        <v/>
      </c>
      <c r="BM152" s="8" t="str">
        <f t="shared" si="7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1317</v>
      </c>
      <c r="BT152" t="s">
        <v>1317</v>
      </c>
      <c r="BU152" t="s">
        <v>1317</v>
      </c>
      <c r="BV152" t="s">
        <v>1317</v>
      </c>
    </row>
    <row r="153" spans="1:75" ht="20.25" customHeight="1">
      <c r="A153" s="8" t="s">
        <v>1526</v>
      </c>
      <c r="B153" s="8" t="s">
        <v>1317</v>
      </c>
      <c r="C153" s="15" t="s">
        <v>1317</v>
      </c>
      <c r="D153" s="15" t="str">
        <f t="shared" si="9"/>
        <v>No</v>
      </c>
      <c r="E153" s="15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s="4" t="s">
        <v>1551</v>
      </c>
      <c r="H153" s="4" t="s">
        <v>1551</v>
      </c>
      <c r="I153" s="4" t="s">
        <v>2026</v>
      </c>
      <c r="J153" s="4" t="s">
        <v>2027</v>
      </c>
      <c r="K153" s="4" t="s">
        <v>2028</v>
      </c>
      <c r="L153" s="4" t="s">
        <v>2028</v>
      </c>
      <c r="M153" s="4" t="s">
        <v>2029</v>
      </c>
      <c r="N153" s="4" t="s">
        <v>2030</v>
      </c>
      <c r="O153" s="4" t="s">
        <v>1325</v>
      </c>
      <c r="P153" s="4" t="s">
        <v>2031</v>
      </c>
      <c r="Q153" s="42">
        <v>46067</v>
      </c>
      <c r="R153" s="4" t="s">
        <v>1665</v>
      </c>
      <c r="S153" s="4"/>
      <c r="T153" s="4"/>
      <c r="U153" s="4" t="s">
        <v>2032</v>
      </c>
      <c r="V153" s="4"/>
      <c r="W153" s="4"/>
      <c r="X153" s="4"/>
      <c r="Y153" s="4" t="s">
        <v>2033</v>
      </c>
      <c r="Z153" s="4"/>
      <c r="AA153" s="4" t="s">
        <v>1517</v>
      </c>
      <c r="AB153" s="4"/>
      <c r="AC153" s="4"/>
      <c r="AD153" s="4" t="s">
        <v>2034</v>
      </c>
      <c r="AE153" s="8">
        <v>2</v>
      </c>
      <c r="AF153" s="4" t="s">
        <v>2035</v>
      </c>
      <c r="AG153" s="4" t="s">
        <v>1779</v>
      </c>
      <c r="AH153" s="14"/>
      <c r="AI153" s="4">
        <v>5601483</v>
      </c>
      <c r="AJ153" s="4" t="s">
        <v>1993</v>
      </c>
      <c r="AK153" s="4" t="s">
        <v>2036</v>
      </c>
      <c r="AL153" s="4" t="s">
        <v>2037</v>
      </c>
      <c r="AM153" s="4" t="s">
        <v>1325</v>
      </c>
      <c r="AN153" s="4" t="s">
        <v>1325</v>
      </c>
      <c r="AO153" s="4" t="s">
        <v>1325</v>
      </c>
      <c r="AP153" s="4" t="s">
        <v>1325</v>
      </c>
      <c r="AQ153" s="4" t="s">
        <v>1325</v>
      </c>
      <c r="AR153" s="92" t="s">
        <v>1215</v>
      </c>
      <c r="AS153" s="92" t="s">
        <v>2038</v>
      </c>
      <c r="AT153" s="92"/>
      <c r="AU153" s="92"/>
      <c r="AV153" s="92"/>
      <c r="AW153" s="8"/>
      <c r="AX153" s="8"/>
      <c r="AY153" s="8" t="s">
        <v>1335</v>
      </c>
      <c r="AZ153" s="8" t="s">
        <v>1317</v>
      </c>
      <c r="BA153" s="12"/>
      <c r="BB153" s="8" t="s">
        <v>1317</v>
      </c>
      <c r="BC153" s="4"/>
      <c r="BD153" s="4"/>
      <c r="BE153" s="8"/>
      <c r="BF153" s="8"/>
      <c r="BG153" s="8"/>
      <c r="BH153" s="8"/>
      <c r="BI153" s="8" t="s">
        <v>1334</v>
      </c>
      <c r="BJ153" s="8"/>
      <c r="BK153" s="8"/>
      <c r="BL153" s="4" t="str">
        <f t="shared" si="6"/>
        <v/>
      </c>
      <c r="BM153" s="8" t="str">
        <f t="shared" si="7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1335</v>
      </c>
      <c r="BT153" t="s">
        <v>1317</v>
      </c>
      <c r="BU153" t="s">
        <v>1317</v>
      </c>
      <c r="BV153" t="s">
        <v>1335</v>
      </c>
      <c r="BW153" t="s">
        <v>1317</v>
      </c>
    </row>
    <row r="154" spans="1:75" ht="20.25" customHeight="1">
      <c r="A154" s="8" t="s">
        <v>1526</v>
      </c>
      <c r="B154" s="8" t="s">
        <v>1317</v>
      </c>
      <c r="C154" s="15" t="s">
        <v>1317</v>
      </c>
      <c r="D154" s="15" t="str">
        <f t="shared" si="9"/>
        <v>No</v>
      </c>
      <c r="E154" s="15" t="s">
        <v>1335</v>
      </c>
      <c r="F154" t="s">
        <v>1335</v>
      </c>
      <c r="G154" s="4" t="s">
        <v>1551</v>
      </c>
      <c r="H154" s="4" t="s">
        <v>1551</v>
      </c>
      <c r="I154" s="4" t="s">
        <v>2026</v>
      </c>
      <c r="J154" s="4" t="s">
        <v>2027</v>
      </c>
      <c r="K154" s="4" t="s">
        <v>2028</v>
      </c>
      <c r="L154" s="4" t="s">
        <v>2028</v>
      </c>
      <c r="M154" s="4" t="s">
        <v>2029</v>
      </c>
      <c r="N154" s="4" t="s">
        <v>2030</v>
      </c>
      <c r="O154" s="4" t="s">
        <v>1325</v>
      </c>
      <c r="P154" s="4" t="s">
        <v>2031</v>
      </c>
      <c r="Q154" s="42">
        <v>46067</v>
      </c>
      <c r="R154" s="4" t="s">
        <v>1668</v>
      </c>
      <c r="S154" s="4"/>
      <c r="T154" s="4"/>
      <c r="U154" s="4"/>
      <c r="V154" s="4"/>
      <c r="W154" s="4"/>
      <c r="X154" s="4"/>
      <c r="Y154" s="4" t="s">
        <v>2039</v>
      </c>
      <c r="Z154" s="4"/>
      <c r="AA154" s="4" t="s">
        <v>1517</v>
      </c>
      <c r="AB154" s="4"/>
      <c r="AC154" s="4"/>
      <c r="AD154" s="4" t="s">
        <v>2040</v>
      </c>
      <c r="AE154" s="8">
        <v>2</v>
      </c>
      <c r="AF154" s="4" t="s">
        <v>2035</v>
      </c>
      <c r="AG154" s="4" t="s">
        <v>1763</v>
      </c>
      <c r="AH154" s="14"/>
      <c r="AI154" s="4">
        <v>5601483</v>
      </c>
      <c r="AJ154" s="4" t="s">
        <v>1993</v>
      </c>
      <c r="AK154" s="4" t="s">
        <v>2036</v>
      </c>
      <c r="AL154" s="4" t="s">
        <v>2037</v>
      </c>
      <c r="AM154" s="4" t="s">
        <v>1325</v>
      </c>
      <c r="AN154" s="4" t="s">
        <v>1325</v>
      </c>
      <c r="AO154" s="4" t="s">
        <v>1325</v>
      </c>
      <c r="AP154" s="4" t="s">
        <v>1325</v>
      </c>
      <c r="AQ154" s="4" t="s">
        <v>1325</v>
      </c>
      <c r="AR154" s="92" t="s">
        <v>1215</v>
      </c>
      <c r="AS154" s="92" t="s">
        <v>2038</v>
      </c>
      <c r="AT154" s="92"/>
      <c r="AU154" s="92"/>
      <c r="AV154" s="92"/>
      <c r="AW154" s="8"/>
      <c r="AX154" s="8"/>
      <c r="AY154" s="8" t="s">
        <v>1335</v>
      </c>
      <c r="AZ154" s="8" t="s">
        <v>1317</v>
      </c>
      <c r="BA154" s="12"/>
      <c r="BB154" s="8" t="s">
        <v>1317</v>
      </c>
      <c r="BC154" s="4"/>
      <c r="BD154" s="4"/>
      <c r="BE154" s="8"/>
      <c r="BF154" s="8"/>
      <c r="BG154" s="8"/>
      <c r="BH154" s="8"/>
      <c r="BI154" s="8" t="s">
        <v>1334</v>
      </c>
      <c r="BJ154" s="8"/>
      <c r="BK154" s="8"/>
      <c r="BL154" s="4" t="s">
        <v>2041</v>
      </c>
      <c r="BM154" s="8" t="s">
        <v>2041</v>
      </c>
      <c r="BP154" t="s">
        <v>2041</v>
      </c>
      <c r="BQ154" t="s">
        <v>2041</v>
      </c>
      <c r="BR154" t="s">
        <v>2041</v>
      </c>
      <c r="BS154" t="s">
        <v>1335</v>
      </c>
      <c r="BT154" t="s">
        <v>1317</v>
      </c>
      <c r="BU154" t="s">
        <v>1317</v>
      </c>
      <c r="BV154" t="s">
        <v>1335</v>
      </c>
      <c r="BW154" t="s">
        <v>1317</v>
      </c>
    </row>
    <row r="155" spans="1:75" ht="20.25" customHeight="1">
      <c r="A155" s="8" t="s">
        <v>1526</v>
      </c>
      <c r="B155" s="8" t="s">
        <v>1317</v>
      </c>
      <c r="C155" s="15" t="s">
        <v>1317</v>
      </c>
      <c r="D155" s="15" t="str">
        <f t="shared" si="9"/>
        <v>No</v>
      </c>
      <c r="E155" s="15" t="s">
        <v>1335</v>
      </c>
      <c r="F155" t="s">
        <v>1335</v>
      </c>
      <c r="G155" s="4" t="s">
        <v>1551</v>
      </c>
      <c r="H155" s="4" t="s">
        <v>1551</v>
      </c>
      <c r="I155" s="4" t="s">
        <v>2026</v>
      </c>
      <c r="J155" s="4" t="s">
        <v>2027</v>
      </c>
      <c r="K155" s="4" t="s">
        <v>2028</v>
      </c>
      <c r="L155" s="4" t="s">
        <v>2028</v>
      </c>
      <c r="M155" s="4" t="s">
        <v>2029</v>
      </c>
      <c r="N155" s="4" t="s">
        <v>2030</v>
      </c>
      <c r="O155" s="4" t="s">
        <v>1325</v>
      </c>
      <c r="P155" s="4" t="s">
        <v>2031</v>
      </c>
      <c r="Q155" s="42">
        <v>46067</v>
      </c>
      <c r="R155" s="4" t="s">
        <v>1656</v>
      </c>
      <c r="S155" s="4"/>
      <c r="T155" s="4"/>
      <c r="U155" s="4"/>
      <c r="V155" s="4"/>
      <c r="W155" s="4"/>
      <c r="X155" s="4"/>
      <c r="Y155" s="4" t="s">
        <v>2042</v>
      </c>
      <c r="Z155" s="4"/>
      <c r="AA155" s="4" t="s">
        <v>1517</v>
      </c>
      <c r="AB155" s="4"/>
      <c r="AC155" s="4"/>
      <c r="AD155" s="4" t="s">
        <v>2043</v>
      </c>
      <c r="AE155" s="8">
        <v>2</v>
      </c>
      <c r="AF155" s="4" t="s">
        <v>2035</v>
      </c>
      <c r="AG155" s="4" t="s">
        <v>1788</v>
      </c>
      <c r="AH155" s="14"/>
      <c r="AI155" s="4">
        <v>5601483</v>
      </c>
      <c r="AJ155" s="4" t="s">
        <v>1993</v>
      </c>
      <c r="AK155" s="4" t="s">
        <v>2036</v>
      </c>
      <c r="AL155" s="4" t="s">
        <v>2037</v>
      </c>
      <c r="AM155" s="4" t="s">
        <v>1325</v>
      </c>
      <c r="AN155" s="4" t="s">
        <v>1325</v>
      </c>
      <c r="AO155" s="4" t="s">
        <v>1325</v>
      </c>
      <c r="AP155" s="4" t="s">
        <v>1325</v>
      </c>
      <c r="AQ155" s="4" t="s">
        <v>1325</v>
      </c>
      <c r="AR155" s="92" t="s">
        <v>1215</v>
      </c>
      <c r="AS155" s="92" t="s">
        <v>2038</v>
      </c>
      <c r="AT155" s="92"/>
      <c r="AU155" s="92"/>
      <c r="AV155" s="92"/>
      <c r="AW155" s="8"/>
      <c r="AX155" s="8"/>
      <c r="AY155" s="8" t="s">
        <v>1335</v>
      </c>
      <c r="AZ155" s="8" t="s">
        <v>1317</v>
      </c>
      <c r="BA155" s="12"/>
      <c r="BB155" s="8" t="s">
        <v>1317</v>
      </c>
      <c r="BC155" s="4"/>
      <c r="BD155" s="4"/>
      <c r="BE155" s="8"/>
      <c r="BF155" s="8"/>
      <c r="BG155" s="8"/>
      <c r="BH155" s="8"/>
      <c r="BI155" s="8" t="s">
        <v>1334</v>
      </c>
      <c r="BJ155" s="8"/>
      <c r="BK155" s="8"/>
      <c r="BL155" s="4" t="s">
        <v>2041</v>
      </c>
      <c r="BM155" s="8" t="s">
        <v>2041</v>
      </c>
      <c r="BP155" t="s">
        <v>2041</v>
      </c>
      <c r="BQ155" t="s">
        <v>2041</v>
      </c>
      <c r="BR155" t="s">
        <v>2041</v>
      </c>
      <c r="BS155" t="s">
        <v>1335</v>
      </c>
      <c r="BT155" t="s">
        <v>1317</v>
      </c>
      <c r="BU155" t="s">
        <v>1317</v>
      </c>
      <c r="BV155" t="s">
        <v>1335</v>
      </c>
      <c r="BW155" t="s">
        <v>1317</v>
      </c>
    </row>
    <row r="156" spans="1:75" ht="20.25" customHeight="1">
      <c r="A156" s="8" t="s">
        <v>1526</v>
      </c>
      <c r="B156" s="8" t="s">
        <v>1317</v>
      </c>
      <c r="C156" s="15" t="s">
        <v>1317</v>
      </c>
      <c r="D156" s="15" t="str">
        <f t="shared" si="9"/>
        <v>No</v>
      </c>
      <c r="E156" s="15" t="s">
        <v>1335</v>
      </c>
      <c r="F156" t="s">
        <v>1335</v>
      </c>
      <c r="G156" s="4" t="s">
        <v>1551</v>
      </c>
      <c r="H156" s="4" t="s">
        <v>1551</v>
      </c>
      <c r="I156" s="4" t="s">
        <v>2026</v>
      </c>
      <c r="J156" s="4" t="s">
        <v>2027</v>
      </c>
      <c r="K156" s="4" t="s">
        <v>2028</v>
      </c>
      <c r="L156" s="4" t="s">
        <v>2028</v>
      </c>
      <c r="M156" s="4" t="s">
        <v>2029</v>
      </c>
      <c r="N156" s="4" t="s">
        <v>2030</v>
      </c>
      <c r="O156" s="4" t="s">
        <v>1325</v>
      </c>
      <c r="P156" s="4" t="s">
        <v>2031</v>
      </c>
      <c r="Q156" s="42">
        <v>46067</v>
      </c>
      <c r="R156" s="4" t="s">
        <v>1659</v>
      </c>
      <c r="S156" s="4"/>
      <c r="T156" s="4"/>
      <c r="U156" s="4"/>
      <c r="V156" s="4"/>
      <c r="W156" s="4"/>
      <c r="X156" s="4"/>
      <c r="Y156" s="4" t="s">
        <v>2044</v>
      </c>
      <c r="Z156" s="4"/>
      <c r="AA156" s="4" t="s">
        <v>1517</v>
      </c>
      <c r="AB156" s="4"/>
      <c r="AC156" s="4"/>
      <c r="AD156" s="4" t="s">
        <v>2045</v>
      </c>
      <c r="AE156" s="8">
        <v>2</v>
      </c>
      <c r="AF156" s="4" t="s">
        <v>2035</v>
      </c>
      <c r="AG156" s="4" t="s">
        <v>1804</v>
      </c>
      <c r="AH156" s="14"/>
      <c r="AI156" s="4">
        <v>5601483</v>
      </c>
      <c r="AJ156" s="4" t="s">
        <v>1993</v>
      </c>
      <c r="AK156" s="4" t="s">
        <v>2036</v>
      </c>
      <c r="AL156" s="4" t="s">
        <v>2037</v>
      </c>
      <c r="AM156" s="4" t="s">
        <v>1325</v>
      </c>
      <c r="AN156" s="4" t="s">
        <v>1325</v>
      </c>
      <c r="AO156" s="4" t="s">
        <v>1325</v>
      </c>
      <c r="AP156" s="4" t="s">
        <v>1325</v>
      </c>
      <c r="AQ156" s="4" t="s">
        <v>1325</v>
      </c>
      <c r="AR156" s="92" t="s">
        <v>1215</v>
      </c>
      <c r="AS156" s="92" t="s">
        <v>2038</v>
      </c>
      <c r="AT156" s="92"/>
      <c r="AU156" s="92"/>
      <c r="AV156" s="92"/>
      <c r="AW156" s="8"/>
      <c r="AX156" s="8"/>
      <c r="AY156" s="8" t="s">
        <v>1335</v>
      </c>
      <c r="AZ156" s="8" t="s">
        <v>1317</v>
      </c>
      <c r="BA156" s="12"/>
      <c r="BB156" s="8" t="s">
        <v>1317</v>
      </c>
      <c r="BC156" s="4"/>
      <c r="BD156" s="4"/>
      <c r="BE156" s="8"/>
      <c r="BF156" s="8"/>
      <c r="BG156" s="8"/>
      <c r="BH156" s="8"/>
      <c r="BI156" s="8" t="s">
        <v>1334</v>
      </c>
      <c r="BJ156" s="8"/>
      <c r="BK156" s="8"/>
      <c r="BL156" s="4" t="s">
        <v>2041</v>
      </c>
      <c r="BM156" s="8" t="s">
        <v>2041</v>
      </c>
      <c r="BP156" t="s">
        <v>2041</v>
      </c>
      <c r="BQ156" t="s">
        <v>2041</v>
      </c>
      <c r="BR156" t="s">
        <v>2041</v>
      </c>
      <c r="BS156" t="s">
        <v>1335</v>
      </c>
      <c r="BT156" t="s">
        <v>1317</v>
      </c>
      <c r="BU156" t="s">
        <v>1317</v>
      </c>
      <c r="BV156" t="s">
        <v>1335</v>
      </c>
      <c r="BW156" t="s">
        <v>1317</v>
      </c>
    </row>
    <row r="157" spans="1:75" ht="20.25" customHeight="1">
      <c r="A157" s="8" t="s">
        <v>1526</v>
      </c>
      <c r="B157" s="8" t="s">
        <v>1317</v>
      </c>
      <c r="C157" s="15" t="s">
        <v>1317</v>
      </c>
      <c r="D157" s="15" t="str">
        <f t="shared" si="9"/>
        <v>No</v>
      </c>
      <c r="E157" s="15" t="s">
        <v>1335</v>
      </c>
      <c r="F157" t="s">
        <v>1335</v>
      </c>
      <c r="G157" s="4" t="s">
        <v>1551</v>
      </c>
      <c r="H157" s="4" t="s">
        <v>1551</v>
      </c>
      <c r="I157" s="4" t="s">
        <v>2026</v>
      </c>
      <c r="J157" s="4" t="s">
        <v>2027</v>
      </c>
      <c r="K157" s="4" t="s">
        <v>2028</v>
      </c>
      <c r="L157" s="4" t="s">
        <v>2028</v>
      </c>
      <c r="M157" s="4" t="s">
        <v>2029</v>
      </c>
      <c r="N157" s="4" t="s">
        <v>2030</v>
      </c>
      <c r="O157" s="4" t="s">
        <v>1325</v>
      </c>
      <c r="P157" s="4" t="s">
        <v>2031</v>
      </c>
      <c r="Q157" s="42">
        <v>46067</v>
      </c>
      <c r="R157" s="4" t="s">
        <v>1662</v>
      </c>
      <c r="S157" s="4"/>
      <c r="T157" s="4"/>
      <c r="U157" s="4"/>
      <c r="V157" s="4"/>
      <c r="W157" s="4"/>
      <c r="X157" s="4"/>
      <c r="Y157" s="4" t="s">
        <v>2046</v>
      </c>
      <c r="Z157" s="4"/>
      <c r="AA157" s="4" t="s">
        <v>1517</v>
      </c>
      <c r="AB157" s="4"/>
      <c r="AC157" s="4"/>
      <c r="AD157" s="4" t="s">
        <v>2047</v>
      </c>
      <c r="AE157" s="8">
        <v>2</v>
      </c>
      <c r="AF157" s="4" t="s">
        <v>2035</v>
      </c>
      <c r="AG157" s="4" t="s">
        <v>1829</v>
      </c>
      <c r="AH157" s="14"/>
      <c r="AI157" s="4">
        <v>5601483</v>
      </c>
      <c r="AJ157" s="4" t="s">
        <v>1993</v>
      </c>
      <c r="AK157" s="4" t="s">
        <v>2036</v>
      </c>
      <c r="AL157" s="4" t="s">
        <v>2037</v>
      </c>
      <c r="AM157" s="4" t="s">
        <v>1325</v>
      </c>
      <c r="AN157" s="4" t="s">
        <v>1325</v>
      </c>
      <c r="AO157" s="4" t="s">
        <v>1325</v>
      </c>
      <c r="AP157" s="4" t="s">
        <v>1325</v>
      </c>
      <c r="AQ157" s="4" t="s">
        <v>1325</v>
      </c>
      <c r="AR157" s="92" t="s">
        <v>1215</v>
      </c>
      <c r="AS157" s="92" t="s">
        <v>2038</v>
      </c>
      <c r="AT157" s="92"/>
      <c r="AU157" s="92"/>
      <c r="AV157" s="92"/>
      <c r="AW157" s="8"/>
      <c r="AX157" s="8"/>
      <c r="AY157" s="8" t="s">
        <v>1335</v>
      </c>
      <c r="AZ157" s="8" t="s">
        <v>1317</v>
      </c>
      <c r="BA157" s="12"/>
      <c r="BB157" s="8" t="s">
        <v>1317</v>
      </c>
      <c r="BC157" s="4"/>
      <c r="BD157" s="4"/>
      <c r="BE157" s="8"/>
      <c r="BF157" s="8"/>
      <c r="BG157" s="8"/>
      <c r="BH157" s="8"/>
      <c r="BI157" s="8" t="s">
        <v>1334</v>
      </c>
      <c r="BJ157" s="8"/>
      <c r="BK157" s="8"/>
      <c r="BL157" s="4" t="s">
        <v>2041</v>
      </c>
      <c r="BM157" s="8" t="s">
        <v>2041</v>
      </c>
      <c r="BP157" t="s">
        <v>2041</v>
      </c>
      <c r="BQ157" t="s">
        <v>2041</v>
      </c>
      <c r="BR157" t="s">
        <v>2041</v>
      </c>
      <c r="BS157" t="s">
        <v>1335</v>
      </c>
      <c r="BT157" t="s">
        <v>1317</v>
      </c>
      <c r="BU157" t="s">
        <v>1317</v>
      </c>
      <c r="BV157" t="s">
        <v>1335</v>
      </c>
      <c r="BW157" t="s">
        <v>1317</v>
      </c>
    </row>
    <row r="158" spans="1:75" ht="20.25" customHeight="1">
      <c r="A158" s="8" t="s">
        <v>1526</v>
      </c>
      <c r="B158" s="8" t="s">
        <v>1317</v>
      </c>
      <c r="C158" s="15" t="s">
        <v>1317</v>
      </c>
      <c r="D158" s="15" t="str">
        <f t="shared" si="9"/>
        <v>No</v>
      </c>
      <c r="E158" s="15" t="s">
        <v>1335</v>
      </c>
      <c r="F158" t="s">
        <v>1335</v>
      </c>
      <c r="G158" s="4" t="s">
        <v>1551</v>
      </c>
      <c r="H158" s="4" t="s">
        <v>1551</v>
      </c>
      <c r="I158" s="4" t="s">
        <v>2026</v>
      </c>
      <c r="J158" s="4" t="s">
        <v>2027</v>
      </c>
      <c r="K158" s="4" t="s">
        <v>2028</v>
      </c>
      <c r="L158" s="4" t="s">
        <v>2028</v>
      </c>
      <c r="M158" s="4" t="s">
        <v>2029</v>
      </c>
      <c r="N158" s="4" t="s">
        <v>2030</v>
      </c>
      <c r="O158" s="4" t="s">
        <v>1325</v>
      </c>
      <c r="P158" s="4" t="s">
        <v>2031</v>
      </c>
      <c r="Q158" s="42">
        <v>46067</v>
      </c>
      <c r="R158" s="4" t="s">
        <v>1650</v>
      </c>
      <c r="S158" s="4"/>
      <c r="T158" s="4"/>
      <c r="U158" s="4"/>
      <c r="V158" s="4"/>
      <c r="W158" s="4"/>
      <c r="X158" s="4"/>
      <c r="Y158" s="4" t="s">
        <v>2048</v>
      </c>
      <c r="Z158" s="4"/>
      <c r="AA158" s="4" t="s">
        <v>1517</v>
      </c>
      <c r="AB158" s="4"/>
      <c r="AC158" s="4"/>
      <c r="AD158" s="4" t="s">
        <v>2049</v>
      </c>
      <c r="AE158" s="8">
        <v>2</v>
      </c>
      <c r="AF158" s="4" t="s">
        <v>2035</v>
      </c>
      <c r="AG158" s="4" t="s">
        <v>1753</v>
      </c>
      <c r="AH158" s="14"/>
      <c r="AI158" s="4">
        <v>5601483</v>
      </c>
      <c r="AJ158" s="4" t="s">
        <v>1993</v>
      </c>
      <c r="AK158" s="4" t="s">
        <v>2036</v>
      </c>
      <c r="AL158" s="4" t="s">
        <v>2037</v>
      </c>
      <c r="AM158" s="4" t="s">
        <v>1325</v>
      </c>
      <c r="AN158" s="4" t="s">
        <v>1325</v>
      </c>
      <c r="AO158" s="4" t="s">
        <v>1325</v>
      </c>
      <c r="AP158" s="4" t="s">
        <v>1325</v>
      </c>
      <c r="AQ158" s="4" t="s">
        <v>1325</v>
      </c>
      <c r="AR158" s="92" t="s">
        <v>1215</v>
      </c>
      <c r="AS158" s="92" t="s">
        <v>2038</v>
      </c>
      <c r="AT158" s="92"/>
      <c r="AU158" s="92"/>
      <c r="AV158" s="92"/>
      <c r="AW158" s="8"/>
      <c r="AX158" s="8"/>
      <c r="AY158" s="8" t="s">
        <v>1335</v>
      </c>
      <c r="AZ158" s="8" t="s">
        <v>1317</v>
      </c>
      <c r="BA158" s="12"/>
      <c r="BB158" s="8" t="s">
        <v>1317</v>
      </c>
      <c r="BC158" s="4"/>
      <c r="BD158" s="4"/>
      <c r="BE158" s="8"/>
      <c r="BF158" s="8"/>
      <c r="BG158" s="8"/>
      <c r="BH158" s="8"/>
      <c r="BI158" s="8" t="s">
        <v>1334</v>
      </c>
      <c r="BJ158" s="8"/>
      <c r="BK158" s="8"/>
      <c r="BL158" s="4" t="s">
        <v>2041</v>
      </c>
      <c r="BM158" s="8" t="s">
        <v>2041</v>
      </c>
      <c r="BP158" t="s">
        <v>2041</v>
      </c>
      <c r="BQ158" t="s">
        <v>2041</v>
      </c>
      <c r="BR158" t="s">
        <v>2041</v>
      </c>
      <c r="BS158" t="s">
        <v>1335</v>
      </c>
      <c r="BT158" t="s">
        <v>1317</v>
      </c>
      <c r="BU158" t="s">
        <v>1317</v>
      </c>
      <c r="BV158" t="s">
        <v>1335</v>
      </c>
      <c r="BW158" t="s">
        <v>1317</v>
      </c>
    </row>
    <row r="159" spans="1:75" ht="20.25" customHeight="1">
      <c r="A159" s="8" t="s">
        <v>1526</v>
      </c>
      <c r="B159" s="8" t="s">
        <v>1317</v>
      </c>
      <c r="C159" s="15" t="s">
        <v>1317</v>
      </c>
      <c r="D159" s="15" t="str">
        <f t="shared" si="9"/>
        <v>No</v>
      </c>
      <c r="E159" s="15" t="s">
        <v>1335</v>
      </c>
      <c r="F159" t="s">
        <v>1335</v>
      </c>
      <c r="G159" s="4" t="s">
        <v>1551</v>
      </c>
      <c r="H159" s="4" t="s">
        <v>1551</v>
      </c>
      <c r="I159" s="4" t="s">
        <v>2026</v>
      </c>
      <c r="J159" s="4" t="s">
        <v>2027</v>
      </c>
      <c r="K159" s="4" t="s">
        <v>2028</v>
      </c>
      <c r="L159" s="4" t="s">
        <v>2028</v>
      </c>
      <c r="M159" s="4" t="s">
        <v>2029</v>
      </c>
      <c r="N159" s="4" t="s">
        <v>2030</v>
      </c>
      <c r="O159" s="4" t="s">
        <v>1325</v>
      </c>
      <c r="P159" s="4" t="s">
        <v>2031</v>
      </c>
      <c r="Q159" s="42">
        <v>46067</v>
      </c>
      <c r="R159" s="4" t="s">
        <v>1653</v>
      </c>
      <c r="S159" s="4"/>
      <c r="T159" s="4"/>
      <c r="U159" s="4"/>
      <c r="V159" s="4"/>
      <c r="W159" s="4"/>
      <c r="X159" s="4"/>
      <c r="Y159" s="4" t="s">
        <v>2050</v>
      </c>
      <c r="Z159" s="4"/>
      <c r="AA159" s="4" t="s">
        <v>1517</v>
      </c>
      <c r="AB159" s="4"/>
      <c r="AC159" s="4"/>
      <c r="AD159" s="4" t="s">
        <v>2051</v>
      </c>
      <c r="AE159" s="8">
        <v>2</v>
      </c>
      <c r="AF159" s="4" t="s">
        <v>2035</v>
      </c>
      <c r="AG159" s="4" t="s">
        <v>1838</v>
      </c>
      <c r="AH159" s="14"/>
      <c r="AI159" s="4">
        <v>5601483</v>
      </c>
      <c r="AJ159" s="4" t="s">
        <v>1993</v>
      </c>
      <c r="AK159" s="4" t="s">
        <v>2036</v>
      </c>
      <c r="AL159" s="4" t="s">
        <v>2037</v>
      </c>
      <c r="AM159" s="4" t="s">
        <v>1325</v>
      </c>
      <c r="AN159" s="4" t="s">
        <v>1325</v>
      </c>
      <c r="AO159" s="4" t="s">
        <v>1325</v>
      </c>
      <c r="AP159" s="4" t="s">
        <v>1325</v>
      </c>
      <c r="AQ159" s="4" t="s">
        <v>1325</v>
      </c>
      <c r="AR159" s="92" t="s">
        <v>1215</v>
      </c>
      <c r="AS159" s="92" t="s">
        <v>2038</v>
      </c>
      <c r="AT159" s="92"/>
      <c r="AU159" s="92"/>
      <c r="AV159" s="92"/>
      <c r="AW159" s="8"/>
      <c r="AX159" s="8"/>
      <c r="AY159" s="8" t="s">
        <v>1335</v>
      </c>
      <c r="AZ159" s="8" t="s">
        <v>1317</v>
      </c>
      <c r="BA159" s="12"/>
      <c r="BB159" s="8" t="s">
        <v>1317</v>
      </c>
      <c r="BC159" s="4"/>
      <c r="BD159" s="4"/>
      <c r="BE159" s="8"/>
      <c r="BF159" s="8"/>
      <c r="BG159" s="8"/>
      <c r="BH159" s="8"/>
      <c r="BI159" s="8" t="s">
        <v>1334</v>
      </c>
      <c r="BJ159" s="8"/>
      <c r="BK159" s="8"/>
      <c r="BL159" s="4" t="s">
        <v>2041</v>
      </c>
      <c r="BM159" s="8" t="s">
        <v>2041</v>
      </c>
      <c r="BP159" t="s">
        <v>2041</v>
      </c>
      <c r="BQ159" t="s">
        <v>2041</v>
      </c>
      <c r="BR159" t="s">
        <v>2041</v>
      </c>
      <c r="BS159" t="s">
        <v>1335</v>
      </c>
      <c r="BT159" t="s">
        <v>1317</v>
      </c>
      <c r="BU159" t="s">
        <v>1317</v>
      </c>
      <c r="BV159" t="s">
        <v>1335</v>
      </c>
      <c r="BW159" t="s">
        <v>1317</v>
      </c>
    </row>
    <row r="160" spans="1:75" ht="20.25" customHeight="1">
      <c r="A160" s="8" t="s">
        <v>1526</v>
      </c>
      <c r="B160" s="8" t="s">
        <v>1317</v>
      </c>
      <c r="C160" s="15" t="s">
        <v>1317</v>
      </c>
      <c r="D160" s="15" t="str">
        <f t="shared" si="9"/>
        <v>No</v>
      </c>
      <c r="E160" s="15" t="s">
        <v>1335</v>
      </c>
      <c r="F160" t="s">
        <v>1335</v>
      </c>
      <c r="G160" s="4" t="s">
        <v>1551</v>
      </c>
      <c r="H160" s="4" t="s">
        <v>1551</v>
      </c>
      <c r="I160" s="4" t="s">
        <v>2026</v>
      </c>
      <c r="J160" s="4" t="s">
        <v>2027</v>
      </c>
      <c r="K160" s="4" t="s">
        <v>2028</v>
      </c>
      <c r="L160" s="4" t="s">
        <v>2028</v>
      </c>
      <c r="M160" s="4" t="s">
        <v>2029</v>
      </c>
      <c r="N160" s="4" t="s">
        <v>2030</v>
      </c>
      <c r="O160" s="4" t="s">
        <v>1325</v>
      </c>
      <c r="P160" s="4" t="s">
        <v>2031</v>
      </c>
      <c r="Q160" s="42">
        <v>46067</v>
      </c>
      <c r="R160" s="4" t="s">
        <v>1647</v>
      </c>
      <c r="S160" s="4"/>
      <c r="T160" s="4"/>
      <c r="U160" s="4"/>
      <c r="V160" s="4"/>
      <c r="W160" s="4"/>
      <c r="X160" s="4"/>
      <c r="Y160" s="4" t="s">
        <v>2052</v>
      </c>
      <c r="Z160" s="4"/>
      <c r="AA160" s="4" t="s">
        <v>1517</v>
      </c>
      <c r="AB160" s="4"/>
      <c r="AC160" s="4"/>
      <c r="AD160" s="4" t="s">
        <v>2053</v>
      </c>
      <c r="AE160" s="8">
        <v>2</v>
      </c>
      <c r="AF160" s="4" t="s">
        <v>2035</v>
      </c>
      <c r="AG160" s="4" t="s">
        <v>1771</v>
      </c>
      <c r="AH160" s="14"/>
      <c r="AI160" s="4">
        <v>5601483</v>
      </c>
      <c r="AJ160" s="4" t="s">
        <v>1993</v>
      </c>
      <c r="AK160" s="4" t="s">
        <v>2036</v>
      </c>
      <c r="AL160" s="4" t="s">
        <v>2037</v>
      </c>
      <c r="AM160" s="4" t="s">
        <v>1325</v>
      </c>
      <c r="AN160" s="4" t="s">
        <v>1325</v>
      </c>
      <c r="AO160" s="4" t="s">
        <v>1325</v>
      </c>
      <c r="AP160" s="4" t="s">
        <v>1325</v>
      </c>
      <c r="AQ160" s="4" t="s">
        <v>1325</v>
      </c>
      <c r="AR160" s="92" t="s">
        <v>1215</v>
      </c>
      <c r="AS160" s="92" t="s">
        <v>2038</v>
      </c>
      <c r="AT160" s="92"/>
      <c r="AU160" s="92"/>
      <c r="AV160" s="92"/>
      <c r="AW160" s="8"/>
      <c r="AX160" s="8"/>
      <c r="AY160" s="8" t="s">
        <v>1335</v>
      </c>
      <c r="AZ160" s="8" t="s">
        <v>1317</v>
      </c>
      <c r="BA160" s="12"/>
      <c r="BB160" s="8" t="s">
        <v>1317</v>
      </c>
      <c r="BC160" s="4"/>
      <c r="BD160" s="4"/>
      <c r="BE160" s="8"/>
      <c r="BF160" s="8"/>
      <c r="BG160" s="8"/>
      <c r="BH160" s="8"/>
      <c r="BI160" s="8" t="s">
        <v>1334</v>
      </c>
      <c r="BJ160" s="8"/>
      <c r="BK160" s="8"/>
      <c r="BL160" s="4" t="s">
        <v>2041</v>
      </c>
      <c r="BM160" s="8" t="s">
        <v>2041</v>
      </c>
      <c r="BP160" t="s">
        <v>2041</v>
      </c>
      <c r="BQ160" t="s">
        <v>2041</v>
      </c>
      <c r="BR160" t="s">
        <v>2041</v>
      </c>
      <c r="BS160" t="s">
        <v>1335</v>
      </c>
      <c r="BT160" t="s">
        <v>1317</v>
      </c>
      <c r="BU160" t="s">
        <v>1317</v>
      </c>
      <c r="BV160" t="s">
        <v>1335</v>
      </c>
      <c r="BW160" t="s">
        <v>1317</v>
      </c>
    </row>
    <row r="161" spans="1:75" ht="20.25" customHeight="1">
      <c r="A161" s="8" t="s">
        <v>1526</v>
      </c>
      <c r="B161" s="8" t="s">
        <v>1317</v>
      </c>
      <c r="C161" s="15" t="s">
        <v>1317</v>
      </c>
      <c r="D161" s="15" t="str">
        <f t="shared" si="9"/>
        <v>No</v>
      </c>
      <c r="E161" s="15" t="s">
        <v>1335</v>
      </c>
      <c r="F161" t="s">
        <v>1335</v>
      </c>
      <c r="G161" s="4" t="s">
        <v>1551</v>
      </c>
      <c r="H161" s="4" t="s">
        <v>1551</v>
      </c>
      <c r="I161" s="4" t="s">
        <v>2026</v>
      </c>
      <c r="J161" s="4" t="s">
        <v>2027</v>
      </c>
      <c r="K161" s="4" t="s">
        <v>2028</v>
      </c>
      <c r="L161" s="4" t="s">
        <v>2028</v>
      </c>
      <c r="M161" s="4" t="s">
        <v>2029</v>
      </c>
      <c r="N161" s="4" t="s">
        <v>2030</v>
      </c>
      <c r="O161" s="4" t="s">
        <v>1325</v>
      </c>
      <c r="P161" s="4" t="s">
        <v>2031</v>
      </c>
      <c r="Q161" s="42">
        <v>46067</v>
      </c>
      <c r="R161" s="4" t="s">
        <v>1693</v>
      </c>
      <c r="S161" s="4"/>
      <c r="T161" s="4"/>
      <c r="U161" s="4"/>
      <c r="V161" s="4"/>
      <c r="W161" s="4"/>
      <c r="X161" s="4"/>
      <c r="Y161" s="4" t="s">
        <v>2054</v>
      </c>
      <c r="Z161" s="4"/>
      <c r="AA161" s="4" t="s">
        <v>1517</v>
      </c>
      <c r="AB161" s="4"/>
      <c r="AC161" s="4"/>
      <c r="AD161" s="4" t="s">
        <v>2055</v>
      </c>
      <c r="AE161" s="8">
        <v>2</v>
      </c>
      <c r="AF161" s="4" t="s">
        <v>2035</v>
      </c>
      <c r="AG161" s="4" t="s">
        <v>2056</v>
      </c>
      <c r="AH161" s="14"/>
      <c r="AI161" s="4">
        <v>5601483</v>
      </c>
      <c r="AJ161" s="4" t="s">
        <v>1993</v>
      </c>
      <c r="AK161" s="4" t="s">
        <v>2036</v>
      </c>
      <c r="AL161" s="4" t="s">
        <v>2037</v>
      </c>
      <c r="AM161" s="4" t="s">
        <v>1325</v>
      </c>
      <c r="AN161" s="4" t="s">
        <v>1325</v>
      </c>
      <c r="AO161" s="4" t="s">
        <v>1325</v>
      </c>
      <c r="AP161" s="4" t="s">
        <v>1325</v>
      </c>
      <c r="AQ161" s="4" t="s">
        <v>1325</v>
      </c>
      <c r="AR161" s="92" t="s">
        <v>1215</v>
      </c>
      <c r="AS161" s="92" t="s">
        <v>2038</v>
      </c>
      <c r="AT161" s="92"/>
      <c r="AU161" s="92"/>
      <c r="AV161" s="92"/>
      <c r="AW161" s="8"/>
      <c r="AX161" s="8"/>
      <c r="AY161" s="8" t="s">
        <v>1335</v>
      </c>
      <c r="AZ161" s="8" t="s">
        <v>1317</v>
      </c>
      <c r="BA161" s="12"/>
      <c r="BB161" s="8" t="s">
        <v>1317</v>
      </c>
      <c r="BC161" s="4"/>
      <c r="BD161" s="4"/>
      <c r="BE161" s="8"/>
      <c r="BF161" s="8"/>
      <c r="BG161" s="8"/>
      <c r="BH161" s="8"/>
      <c r="BI161" s="8" t="s">
        <v>1334</v>
      </c>
      <c r="BJ161" s="8"/>
      <c r="BK161" s="8"/>
      <c r="BL161" s="4" t="s">
        <v>2041</v>
      </c>
      <c r="BM161" s="8" t="s">
        <v>2041</v>
      </c>
      <c r="BP161" t="s">
        <v>2041</v>
      </c>
      <c r="BQ161" t="s">
        <v>2041</v>
      </c>
      <c r="BR161" t="s">
        <v>2041</v>
      </c>
      <c r="BS161" t="s">
        <v>1335</v>
      </c>
      <c r="BT161" t="s">
        <v>1317</v>
      </c>
      <c r="BU161" t="s">
        <v>1317</v>
      </c>
      <c r="BV161" t="s">
        <v>1335</v>
      </c>
      <c r="BW161" t="s">
        <v>1317</v>
      </c>
    </row>
    <row r="162" spans="1:75" ht="20.25" customHeight="1">
      <c r="A162" s="8" t="s">
        <v>1526</v>
      </c>
      <c r="B162" s="8" t="s">
        <v>1335</v>
      </c>
      <c r="C162" s="15" t="s">
        <v>2057</v>
      </c>
      <c r="D162" s="15" t="str">
        <f t="shared" si="9"/>
        <v/>
      </c>
      <c r="G162" s="4" t="s">
        <v>1575</v>
      </c>
      <c r="H162" s="4" t="s">
        <v>1708</v>
      </c>
      <c r="I162" s="4" t="s">
        <v>1577</v>
      </c>
      <c r="J162" s="4"/>
      <c r="K162" s="4"/>
      <c r="L162" s="4"/>
      <c r="M162" s="4" t="s">
        <v>2029</v>
      </c>
      <c r="N162" s="4"/>
      <c r="O162" s="4"/>
      <c r="P162" s="4"/>
      <c r="Q162" s="42"/>
      <c r="R162" s="4" t="s">
        <v>2058</v>
      </c>
      <c r="S162" s="4"/>
      <c r="T162" s="4"/>
      <c r="U162" s="4"/>
      <c r="V162" s="4"/>
      <c r="W162" s="4"/>
      <c r="X162" s="4"/>
      <c r="Y162" s="4" t="s">
        <v>2059</v>
      </c>
      <c r="Z162" s="4" t="s">
        <v>2060</v>
      </c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92"/>
      <c r="AS162" s="92"/>
      <c r="AT162" s="92"/>
      <c r="AU162" s="92"/>
      <c r="AV162" s="92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 t="s">
        <v>1334</v>
      </c>
      <c r="BJ162" s="8"/>
      <c r="BK162" s="8"/>
      <c r="BL162" s="4"/>
      <c r="BM162" s="8"/>
    </row>
    <row r="163" spans="1:75" ht="20.25" customHeight="1">
      <c r="A163" s="8"/>
      <c r="B163" s="8"/>
      <c r="D163" s="15" t="str">
        <f t="shared" si="9"/>
        <v/>
      </c>
      <c r="G163" s="4" t="s">
        <v>1575</v>
      </c>
      <c r="H163" s="4" t="s">
        <v>1708</v>
      </c>
      <c r="I163" s="4" t="s">
        <v>1577</v>
      </c>
      <c r="J163" s="4"/>
      <c r="K163" s="4"/>
      <c r="L163" s="4"/>
      <c r="M163" s="4"/>
      <c r="N163" s="4"/>
      <c r="O163" s="4"/>
      <c r="P163" s="4"/>
      <c r="Q163" s="42"/>
      <c r="R163" s="4" t="s">
        <v>2061</v>
      </c>
      <c r="S163" s="4"/>
      <c r="T163" s="4"/>
      <c r="U163" s="4"/>
      <c r="V163" s="4"/>
      <c r="W163" s="4"/>
      <c r="X163" s="4"/>
      <c r="Y163" s="4" t="s">
        <v>2062</v>
      </c>
      <c r="Z163" s="4" t="s">
        <v>2063</v>
      </c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92"/>
      <c r="AS163" s="92"/>
      <c r="AT163" s="92"/>
      <c r="AU163" s="92"/>
      <c r="AV163" s="92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/>
      <c r="BM163" s="8"/>
    </row>
    <row r="164" spans="1:75" ht="20.25" customHeight="1">
      <c r="A164" s="8"/>
      <c r="B164" s="8"/>
      <c r="D164" s="15" t="str">
        <f t="shared" si="9"/>
        <v/>
      </c>
      <c r="G164" s="4" t="s">
        <v>1575</v>
      </c>
      <c r="H164" s="4" t="s">
        <v>1708</v>
      </c>
      <c r="I164" s="4" t="s">
        <v>1577</v>
      </c>
      <c r="J164" s="4"/>
      <c r="K164" s="4"/>
      <c r="L164" s="4"/>
      <c r="M164" s="4"/>
      <c r="N164" s="4"/>
      <c r="O164" s="4"/>
      <c r="P164" s="4"/>
      <c r="Q164" s="42"/>
      <c r="R164" s="4" t="s">
        <v>2064</v>
      </c>
      <c r="S164" s="4"/>
      <c r="T164" s="4"/>
      <c r="U164" s="4"/>
      <c r="V164" s="4"/>
      <c r="W164" s="4"/>
      <c r="X164" s="4"/>
      <c r="Y164" s="4" t="s">
        <v>2065</v>
      </c>
      <c r="Z164" s="4" t="s">
        <v>2066</v>
      </c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92"/>
      <c r="AS164" s="92"/>
      <c r="AT164" s="92"/>
      <c r="AU164" s="92"/>
      <c r="AV164" s="92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/>
      <c r="BM164" s="8"/>
    </row>
    <row r="165" spans="1:75" ht="20.25" customHeight="1">
      <c r="A165" s="8"/>
      <c r="B165" s="8"/>
      <c r="D165" s="15" t="str">
        <f t="shared" si="9"/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2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92"/>
      <c r="AS165" s="92"/>
      <c r="AT165" s="92"/>
      <c r="AU165" s="92"/>
      <c r="AV165" s="92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/>
      <c r="BM165" s="8"/>
    </row>
    <row r="166" spans="1:75" ht="20.25" customHeight="1">
      <c r="A166" s="8"/>
      <c r="B166" s="8"/>
      <c r="D166" s="15" t="str">
        <f t="shared" si="9"/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2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92"/>
      <c r="AS166" s="92"/>
      <c r="AT166" s="92"/>
      <c r="AU166" s="92"/>
      <c r="AV166" s="92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/>
      <c r="BM166" s="8"/>
    </row>
    <row r="167" spans="1:75" ht="20.25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92"/>
      <c r="AS167" s="92"/>
      <c r="AT167" s="92"/>
      <c r="AU167" s="92"/>
      <c r="AV167" s="92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 ht="20.25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  <v/>
      </c>
      <c r="F168" t="str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92"/>
      <c r="AS168" s="92"/>
      <c r="AT168" s="92"/>
      <c r="AU168" s="92"/>
      <c r="AV168" s="92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 ht="20.25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  <v/>
      </c>
      <c r="F169" t="str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92"/>
      <c r="AS169" s="92"/>
      <c r="AT169" s="92"/>
      <c r="AU169" s="92"/>
      <c r="AV169" s="92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 ht="20.25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  <v/>
      </c>
      <c r="F170" t="str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92"/>
      <c r="AS170" s="92"/>
      <c r="AT170" s="92"/>
      <c r="AU170" s="92"/>
      <c r="AV170" s="92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 ht="20.25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  <v/>
      </c>
      <c r="F171" t="str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92"/>
      <c r="AS171" s="92"/>
      <c r="AT171" s="92"/>
      <c r="AU171" s="92"/>
      <c r="AV171" s="92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 ht="20.25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  <v/>
      </c>
      <c r="F172" t="str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92"/>
      <c r="AS172" s="92"/>
      <c r="AT172" s="92"/>
      <c r="AU172" s="92"/>
      <c r="AV172" s="92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 ht="20.25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  <v/>
      </c>
      <c r="F173" t="str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92"/>
      <c r="AS173" s="92"/>
      <c r="AT173" s="92"/>
      <c r="AU173" s="92"/>
      <c r="AV173" s="92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 ht="20.25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  <v/>
      </c>
      <c r="F174" t="str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92"/>
      <c r="AS174" s="92"/>
      <c r="AT174" s="92"/>
      <c r="AU174" s="92"/>
      <c r="AV174" s="92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 ht="20.25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  <v/>
      </c>
      <c r="F175" t="str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92"/>
      <c r="AS175" s="92"/>
      <c r="AT175" s="92"/>
      <c r="AU175" s="92"/>
      <c r="AV175" s="92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 ht="20.25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  <v/>
      </c>
      <c r="F176" t="str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92"/>
      <c r="AS176" s="92"/>
      <c r="AT176" s="92"/>
      <c r="AU176" s="92"/>
      <c r="AV176" s="92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20.25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  <v/>
      </c>
      <c r="F177" t="str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92"/>
      <c r="AS177" s="92"/>
      <c r="AT177" s="92"/>
      <c r="AU177" s="92"/>
      <c r="AV177" s="92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20.25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  <v/>
      </c>
      <c r="F178" t="str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92"/>
      <c r="AS178" s="92"/>
      <c r="AT178" s="92"/>
      <c r="AU178" s="92"/>
      <c r="AV178" s="92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20.25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  <v/>
      </c>
      <c r="F179" t="str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92"/>
      <c r="AS179" s="92"/>
      <c r="AT179" s="92"/>
      <c r="AU179" s="92"/>
      <c r="AV179" s="92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si="6"/>
        <v/>
      </c>
      <c r="BM179" s="8" t="str">
        <f t="shared" si="7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20.25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  <v/>
      </c>
      <c r="F180" t="str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92"/>
      <c r="AS180" s="92"/>
      <c r="AT180" s="92"/>
      <c r="AU180" s="92"/>
      <c r="AV180" s="92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6"/>
        <v/>
      </c>
      <c r="BM180" s="8" t="str">
        <f t="shared" si="7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20.25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  <v/>
      </c>
      <c r="F181" t="str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92"/>
      <c r="AS181" s="92"/>
      <c r="AT181" s="92"/>
      <c r="AU181" s="92"/>
      <c r="AV181" s="92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6"/>
        <v/>
      </c>
      <c r="BM181" s="8" t="str">
        <f t="shared" si="7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20.25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  <v/>
      </c>
      <c r="F182" t="str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92"/>
      <c r="AS182" s="92"/>
      <c r="AT182" s="92"/>
      <c r="AU182" s="92"/>
      <c r="AV182" s="92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6"/>
        <v/>
      </c>
      <c r="BM182" s="8" t="str">
        <f t="shared" si="7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20.25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  <v/>
      </c>
      <c r="F183" t="str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92"/>
      <c r="AS183" s="92"/>
      <c r="AT183" s="92"/>
      <c r="AU183" s="92"/>
      <c r="AV183" s="92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ref="BL183:BL246" si="10"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  <v/>
      </c>
      <c r="BM183" s="8" t="str">
        <f t="shared" ref="BM183:BM246" si="11">IF($T183="","",IF($BL183="","Yes","Blocked"))</f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20.25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  <v/>
      </c>
      <c r="F184" t="str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92"/>
      <c r="AS184" s="92"/>
      <c r="AT184" s="92"/>
      <c r="AU184" s="92"/>
      <c r="AV184" s="92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20.25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  <v/>
      </c>
      <c r="F185" t="str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92"/>
      <c r="AS185" s="92"/>
      <c r="AT185" s="92"/>
      <c r="AU185" s="92"/>
      <c r="AV185" s="92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20.25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  <v/>
      </c>
      <c r="F186" t="str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92"/>
      <c r="AS186" s="92"/>
      <c r="AT186" s="92"/>
      <c r="AU186" s="92"/>
      <c r="AV186" s="92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20.25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  <v/>
      </c>
      <c r="F187" t="str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92"/>
      <c r="AS187" s="92"/>
      <c r="AT187" s="92"/>
      <c r="AU187" s="92"/>
      <c r="AV187" s="92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20.25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  <v/>
      </c>
      <c r="F188" t="str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92"/>
      <c r="AS188" s="92"/>
      <c r="AT188" s="92"/>
      <c r="AU188" s="92"/>
      <c r="AV188" s="92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20.25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  <v/>
      </c>
      <c r="F189" t="str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92"/>
      <c r="AS189" s="92"/>
      <c r="AT189" s="92"/>
      <c r="AU189" s="92"/>
      <c r="AV189" s="92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20.25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  <v/>
      </c>
      <c r="F190" t="str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92"/>
      <c r="AS190" s="92"/>
      <c r="AT190" s="92"/>
      <c r="AU190" s="92"/>
      <c r="AV190" s="92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20.25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  <v/>
      </c>
      <c r="F191" t="str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92"/>
      <c r="AS191" s="92"/>
      <c r="AT191" s="92"/>
      <c r="AU191" s="92"/>
      <c r="AV191" s="92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20.25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  <v/>
      </c>
      <c r="F192" t="str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92"/>
      <c r="AS192" s="92"/>
      <c r="AT192" s="92"/>
      <c r="AU192" s="92"/>
      <c r="AV192" s="92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20.25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  <v/>
      </c>
      <c r="F193" t="str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92"/>
      <c r="AS193" s="92"/>
      <c r="AT193" s="92"/>
      <c r="AU193" s="92"/>
      <c r="AV193" s="92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20.25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  <v/>
      </c>
      <c r="F194" t="str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92"/>
      <c r="AS194" s="92"/>
      <c r="AT194" s="92"/>
      <c r="AU194" s="92"/>
      <c r="AV194" s="92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20.25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  <v/>
      </c>
      <c r="F195" t="str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92"/>
      <c r="AS195" s="92"/>
      <c r="AT195" s="92"/>
      <c r="AU195" s="92"/>
      <c r="AV195" s="92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20.25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  <v/>
      </c>
      <c r="F196" t="str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92"/>
      <c r="AS196" s="92"/>
      <c r="AT196" s="92"/>
      <c r="AU196" s="92"/>
      <c r="AV196" s="92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20.25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  <v/>
      </c>
      <c r="F197" t="str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92"/>
      <c r="AS197" s="92"/>
      <c r="AT197" s="92"/>
      <c r="AU197" s="92"/>
      <c r="AV197" s="92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20.25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  <v/>
      </c>
      <c r="F198" t="str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92"/>
      <c r="AS198" s="92"/>
      <c r="AT198" s="92"/>
      <c r="AU198" s="92"/>
      <c r="AV198" s="92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20.25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  <v/>
      </c>
      <c r="F199" t="str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92"/>
      <c r="AS199" s="92"/>
      <c r="AT199" s="92"/>
      <c r="AU199" s="92"/>
      <c r="AV199" s="92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20.25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  <v/>
      </c>
      <c r="F200" t="str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92"/>
      <c r="AS200" s="92"/>
      <c r="AT200" s="92"/>
      <c r="AU200" s="92"/>
      <c r="AV200" s="92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20.25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  <v/>
      </c>
      <c r="F201" t="str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92"/>
      <c r="AS201" s="92"/>
      <c r="AT201" s="92"/>
      <c r="AU201" s="92"/>
      <c r="AV201" s="92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20.25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  <v/>
      </c>
      <c r="F202" t="str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92"/>
      <c r="AS202" s="92"/>
      <c r="AT202" s="92"/>
      <c r="AU202" s="92"/>
      <c r="AV202" s="92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20.25" customHeight="1">
      <c r="A203" s="8"/>
      <c r="B203" s="8"/>
      <c r="D203" s="15" t="str">
        <f t="shared" si="9"/>
        <v/>
      </c>
      <c r="E203" s="15" t="str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  <v/>
      </c>
      <c r="F203" t="str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92"/>
      <c r="AS203" s="92"/>
      <c r="AT203" s="92"/>
      <c r="AU203" s="92"/>
      <c r="AV203" s="92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20.25" customHeight="1">
      <c r="A204" s="8"/>
      <c r="B204" s="8"/>
      <c r="D204" s="15" t="str">
        <f t="shared" si="9"/>
        <v/>
      </c>
      <c r="E204" s="15" t="str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  <v/>
      </c>
      <c r="F204" t="str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92"/>
      <c r="AS204" s="92"/>
      <c r="AT204" s="92"/>
      <c r="AU204" s="92"/>
      <c r="AV204" s="92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20.25" customHeight="1">
      <c r="A205" s="8"/>
      <c r="B205" s="8"/>
      <c r="D205" s="15" t="str">
        <f t="shared" si="9"/>
        <v/>
      </c>
      <c r="E205" s="15" t="str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  <v/>
      </c>
      <c r="F205" t="str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92"/>
      <c r="AS205" s="92"/>
      <c r="AT205" s="92"/>
      <c r="AU205" s="92"/>
      <c r="AV205" s="92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20.25" customHeight="1">
      <c r="A206" s="8"/>
      <c r="B206" s="8"/>
      <c r="D206" s="15" t="str">
        <f t="shared" si="9"/>
        <v/>
      </c>
      <c r="E206" s="15" t="str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  <v/>
      </c>
      <c r="F206" t="str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92"/>
      <c r="AS206" s="92"/>
      <c r="AT206" s="92"/>
      <c r="AU206" s="92"/>
      <c r="AV206" s="92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20.25" customHeight="1">
      <c r="A207" s="8"/>
      <c r="B207" s="8"/>
      <c r="D207" s="15" t="str">
        <f t="shared" ref="D207:D270" si="12">IF($B207&lt;&gt;"Yes","",IF($C207="No","Yes",IF($C207="Yes","No","")))</f>
        <v/>
      </c>
      <c r="E207" s="15" t="str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  <v/>
      </c>
      <c r="F207" t="str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92"/>
      <c r="AS207" s="92"/>
      <c r="AT207" s="92"/>
      <c r="AU207" s="92"/>
      <c r="AV207" s="92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20.25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  <v/>
      </c>
      <c r="F208" t="str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92"/>
      <c r="AS208" s="92"/>
      <c r="AT208" s="92"/>
      <c r="AU208" s="92"/>
      <c r="AV208" s="92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20.25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  <v/>
      </c>
      <c r="F209" t="str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92"/>
      <c r="AS209" s="92"/>
      <c r="AT209" s="92"/>
      <c r="AU209" s="92"/>
      <c r="AV209" s="92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20.25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  <v/>
      </c>
      <c r="F210" t="str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92"/>
      <c r="AS210" s="92"/>
      <c r="AT210" s="92"/>
      <c r="AU210" s="92"/>
      <c r="AV210" s="92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20.25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  <v/>
      </c>
      <c r="F211" t="str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92"/>
      <c r="AS211" s="92"/>
      <c r="AT211" s="92"/>
      <c r="AU211" s="92"/>
      <c r="AV211" s="92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20.25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  <v/>
      </c>
      <c r="F212" t="str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92"/>
      <c r="AS212" s="92"/>
      <c r="AT212" s="92"/>
      <c r="AU212" s="92"/>
      <c r="AV212" s="92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20.25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  <v/>
      </c>
      <c r="F213" t="str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92"/>
      <c r="AS213" s="92"/>
      <c r="AT213" s="92"/>
      <c r="AU213" s="92"/>
      <c r="AV213" s="92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20.25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  <v/>
      </c>
      <c r="F214" t="str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92"/>
      <c r="AS214" s="92"/>
      <c r="AT214" s="92"/>
      <c r="AU214" s="92"/>
      <c r="AV214" s="92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20.25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  <v/>
      </c>
      <c r="F215" t="str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92"/>
      <c r="AS215" s="92"/>
      <c r="AT215" s="92"/>
      <c r="AU215" s="92"/>
      <c r="AV215" s="92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20.25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  <v/>
      </c>
      <c r="F216" t="str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92"/>
      <c r="AS216" s="92"/>
      <c r="AT216" s="92"/>
      <c r="AU216" s="92"/>
      <c r="AV216" s="92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20.25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  <v/>
      </c>
      <c r="F217" t="str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92"/>
      <c r="AS217" s="92"/>
      <c r="AT217" s="92"/>
      <c r="AU217" s="92"/>
      <c r="AV217" s="92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20.25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  <v/>
      </c>
      <c r="F218" t="str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92"/>
      <c r="AS218" s="92"/>
      <c r="AT218" s="92"/>
      <c r="AU218" s="92"/>
      <c r="AV218" s="92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20.25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  <v/>
      </c>
      <c r="F219" t="str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92"/>
      <c r="AS219" s="92"/>
      <c r="AT219" s="92"/>
      <c r="AU219" s="92"/>
      <c r="AV219" s="92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20.25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  <v/>
      </c>
      <c r="F220" t="str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92"/>
      <c r="AS220" s="92"/>
      <c r="AT220" s="92"/>
      <c r="AU220" s="92"/>
      <c r="AV220" s="92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20.25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  <v/>
      </c>
      <c r="F221" t="str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92"/>
      <c r="AS221" s="92"/>
      <c r="AT221" s="92"/>
      <c r="AU221" s="92"/>
      <c r="AV221" s="92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20.25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  <v/>
      </c>
      <c r="F222" t="str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92"/>
      <c r="AS222" s="92"/>
      <c r="AT222" s="92"/>
      <c r="AU222" s="92"/>
      <c r="AV222" s="92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20.25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  <v/>
      </c>
      <c r="F223" t="str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92"/>
      <c r="AS223" s="92"/>
      <c r="AT223" s="92"/>
      <c r="AU223" s="92"/>
      <c r="AV223" s="92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20.25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  <v/>
      </c>
      <c r="F224" t="str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92"/>
      <c r="AS224" s="92"/>
      <c r="AT224" s="92"/>
      <c r="AU224" s="92"/>
      <c r="AV224" s="92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20.25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  <v/>
      </c>
      <c r="F225" t="str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92"/>
      <c r="AS225" s="92"/>
      <c r="AT225" s="92"/>
      <c r="AU225" s="92"/>
      <c r="AV225" s="92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20.25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  <v/>
      </c>
      <c r="F226" t="str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92"/>
      <c r="AS226" s="92"/>
      <c r="AT226" s="92"/>
      <c r="AU226" s="92"/>
      <c r="AV226" s="92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20.25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  <v/>
      </c>
      <c r="F227" t="str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92"/>
      <c r="AS227" s="92"/>
      <c r="AT227" s="92"/>
      <c r="AU227" s="92"/>
      <c r="AV227" s="92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20.25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  <v/>
      </c>
      <c r="F228" t="str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92"/>
      <c r="AS228" s="92"/>
      <c r="AT228" s="92"/>
      <c r="AU228" s="92"/>
      <c r="AV228" s="92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20.25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  <v/>
      </c>
      <c r="F229" t="str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92"/>
      <c r="AS229" s="92"/>
      <c r="AT229" s="92"/>
      <c r="AU229" s="92"/>
      <c r="AV229" s="92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20.25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  <v/>
      </c>
      <c r="F230" t="str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92"/>
      <c r="AS230" s="92"/>
      <c r="AT230" s="92"/>
      <c r="AU230" s="92"/>
      <c r="AV230" s="92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20.25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92"/>
      <c r="AS231" s="92"/>
      <c r="AT231" s="92"/>
      <c r="AU231" s="92"/>
      <c r="AV231" s="92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20.25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  <v/>
      </c>
      <c r="F232" t="str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92"/>
      <c r="AS232" s="92"/>
      <c r="AT232" s="92"/>
      <c r="AU232" s="92"/>
      <c r="AV232" s="92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20.25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  <v/>
      </c>
      <c r="F233" t="str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92"/>
      <c r="AS233" s="92"/>
      <c r="AT233" s="92"/>
      <c r="AU233" s="92"/>
      <c r="AV233" s="92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20.25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  <v/>
      </c>
      <c r="F234" t="str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92"/>
      <c r="AS234" s="92"/>
      <c r="AT234" s="92"/>
      <c r="AU234" s="92"/>
      <c r="AV234" s="92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20.25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  <v/>
      </c>
      <c r="F235" t="str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92"/>
      <c r="AS235" s="92"/>
      <c r="AT235" s="92"/>
      <c r="AU235" s="92"/>
      <c r="AV235" s="92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20.25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  <v/>
      </c>
      <c r="F236" t="str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92"/>
      <c r="AS236" s="92"/>
      <c r="AT236" s="92"/>
      <c r="AU236" s="92"/>
      <c r="AV236" s="92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20.25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  <v/>
      </c>
      <c r="F237" t="str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92"/>
      <c r="AS237" s="92"/>
      <c r="AT237" s="92"/>
      <c r="AU237" s="92"/>
      <c r="AV237" s="92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20.25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  <v/>
      </c>
      <c r="F238" t="str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92"/>
      <c r="AS238" s="92"/>
      <c r="AT238" s="92"/>
      <c r="AU238" s="92"/>
      <c r="AV238" s="92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20.25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  <v/>
      </c>
      <c r="F239" t="str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92"/>
      <c r="AS239" s="92"/>
      <c r="AT239" s="92"/>
      <c r="AU239" s="92"/>
      <c r="AV239" s="92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20.25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  <v/>
      </c>
      <c r="F240" t="str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92"/>
      <c r="AS240" s="92"/>
      <c r="AT240" s="92"/>
      <c r="AU240" s="92"/>
      <c r="AV240" s="92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20.25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  <v/>
      </c>
      <c r="F241" t="str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92"/>
      <c r="AS241" s="92"/>
      <c r="AT241" s="92"/>
      <c r="AU241" s="92"/>
      <c r="AV241" s="92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20.25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  <v/>
      </c>
      <c r="F242" t="str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92"/>
      <c r="AS242" s="92"/>
      <c r="AT242" s="92"/>
      <c r="AU242" s="92"/>
      <c r="AV242" s="92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20.25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  <v/>
      </c>
      <c r="F243" t="str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92"/>
      <c r="AS243" s="92"/>
      <c r="AT243" s="92"/>
      <c r="AU243" s="92"/>
      <c r="AV243" s="92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si="10"/>
        <v/>
      </c>
      <c r="BM243" s="8" t="str">
        <f t="shared" si="11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20.25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  <v/>
      </c>
      <c r="F244" t="str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92"/>
      <c r="AS244" s="92"/>
      <c r="AT244" s="92"/>
      <c r="AU244" s="92"/>
      <c r="AV244" s="92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0"/>
        <v/>
      </c>
      <c r="BM244" s="8" t="str">
        <f t="shared" si="11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20.25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  <v/>
      </c>
      <c r="F245" t="str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92"/>
      <c r="AS245" s="92"/>
      <c r="AT245" s="92"/>
      <c r="AU245" s="92"/>
      <c r="AV245" s="92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0"/>
        <v/>
      </c>
      <c r="BM245" s="8" t="str">
        <f t="shared" si="11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20.25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  <v/>
      </c>
      <c r="F246" t="str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92"/>
      <c r="AS246" s="92"/>
      <c r="AT246" s="92"/>
      <c r="AU246" s="92"/>
      <c r="AV246" s="92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0"/>
        <v/>
      </c>
      <c r="BM246" s="8" t="str">
        <f t="shared" si="11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20.25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  <v/>
      </c>
      <c r="F247" t="str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92"/>
      <c r="AS247" s="92"/>
      <c r="AT247" s="92"/>
      <c r="AU247" s="92"/>
      <c r="AV247" s="92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ref="BL247:BL310" si="13"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  <v/>
      </c>
      <c r="BM247" s="8" t="str">
        <f t="shared" ref="BM247:BM310" si="14">IF($T247="","",IF($BL247="","Yes","Blocked"))</f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20.25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  <v/>
      </c>
      <c r="F248" t="str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92"/>
      <c r="AS248" s="92"/>
      <c r="AT248" s="92"/>
      <c r="AU248" s="92"/>
      <c r="AV248" s="92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20.25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  <v/>
      </c>
      <c r="F249" t="str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92"/>
      <c r="AS249" s="92"/>
      <c r="AT249" s="92"/>
      <c r="AU249" s="92"/>
      <c r="AV249" s="92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20.25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  <v/>
      </c>
      <c r="F250" t="str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92"/>
      <c r="AS250" s="92"/>
      <c r="AT250" s="92"/>
      <c r="AU250" s="92"/>
      <c r="AV250" s="92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20.25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  <v/>
      </c>
      <c r="F251" t="str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92"/>
      <c r="AS251" s="92"/>
      <c r="AT251" s="92"/>
      <c r="AU251" s="92"/>
      <c r="AV251" s="92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20.25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  <v/>
      </c>
      <c r="F252" t="str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92"/>
      <c r="AS252" s="92"/>
      <c r="AT252" s="92"/>
      <c r="AU252" s="92"/>
      <c r="AV252" s="92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20.25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  <v/>
      </c>
      <c r="F253" t="str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92"/>
      <c r="AS253" s="92"/>
      <c r="AT253" s="92"/>
      <c r="AU253" s="92"/>
      <c r="AV253" s="92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20.25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  <v/>
      </c>
      <c r="F254" t="str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92"/>
      <c r="AS254" s="92"/>
      <c r="AT254" s="92"/>
      <c r="AU254" s="92"/>
      <c r="AV254" s="92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20.25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  <v/>
      </c>
      <c r="F255" t="str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92"/>
      <c r="AS255" s="92"/>
      <c r="AT255" s="92"/>
      <c r="AU255" s="92"/>
      <c r="AV255" s="92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20.25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  <v/>
      </c>
      <c r="F256" t="str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92"/>
      <c r="AS256" s="92"/>
      <c r="AT256" s="92"/>
      <c r="AU256" s="92"/>
      <c r="AV256" s="92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20.25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  <v/>
      </c>
      <c r="F257" t="str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92"/>
      <c r="AS257" s="92"/>
      <c r="AT257" s="92"/>
      <c r="AU257" s="92"/>
      <c r="AV257" s="92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20.25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  <v/>
      </c>
      <c r="F258" t="str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92"/>
      <c r="AS258" s="92"/>
      <c r="AT258" s="92"/>
      <c r="AU258" s="92"/>
      <c r="AV258" s="92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20.25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  <v/>
      </c>
      <c r="F259" t="str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92"/>
      <c r="AS259" s="92"/>
      <c r="AT259" s="92"/>
      <c r="AU259" s="92"/>
      <c r="AV259" s="92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20.25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  <v/>
      </c>
      <c r="F260" t="str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92"/>
      <c r="AS260" s="92"/>
      <c r="AT260" s="92"/>
      <c r="AU260" s="92"/>
      <c r="AV260" s="92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20.25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  <v/>
      </c>
      <c r="F261" t="str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92"/>
      <c r="AS261" s="92"/>
      <c r="AT261" s="92"/>
      <c r="AU261" s="92"/>
      <c r="AV261" s="92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20.25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  <v/>
      </c>
      <c r="F262" t="str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92"/>
      <c r="AS262" s="92"/>
      <c r="AT262" s="92"/>
      <c r="AU262" s="92"/>
      <c r="AV262" s="92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20.25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  <v/>
      </c>
      <c r="F263" t="str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92"/>
      <c r="AS263" s="92"/>
      <c r="AT263" s="92"/>
      <c r="AU263" s="92"/>
      <c r="AV263" s="92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20.25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  <v/>
      </c>
      <c r="F264" t="str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92"/>
      <c r="AS264" s="92"/>
      <c r="AT264" s="92"/>
      <c r="AU264" s="92"/>
      <c r="AV264" s="92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20.25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  <v/>
      </c>
      <c r="F265" t="str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92"/>
      <c r="AS265" s="92"/>
      <c r="AT265" s="92"/>
      <c r="AU265" s="92"/>
      <c r="AV265" s="92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20.25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  <v/>
      </c>
      <c r="F266" t="str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92"/>
      <c r="AS266" s="92"/>
      <c r="AT266" s="92"/>
      <c r="AU266" s="92"/>
      <c r="AV266" s="92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20.25" customHeight="1">
      <c r="A267" s="8"/>
      <c r="B267" s="8"/>
      <c r="D267" s="15" t="str">
        <f t="shared" si="12"/>
        <v/>
      </c>
      <c r="E267" s="15" t="str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  <v/>
      </c>
      <c r="F267" t="str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92"/>
      <c r="AS267" s="92"/>
      <c r="AT267" s="92"/>
      <c r="AU267" s="92"/>
      <c r="AV267" s="92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20.25" customHeight="1">
      <c r="A268" s="8"/>
      <c r="B268" s="8"/>
      <c r="D268" s="15" t="str">
        <f t="shared" si="12"/>
        <v/>
      </c>
      <c r="E268" s="15" t="str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  <v/>
      </c>
      <c r="F268" t="str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92"/>
      <c r="AS268" s="92"/>
      <c r="AT268" s="92"/>
      <c r="AU268" s="92"/>
      <c r="AV268" s="92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20.25" customHeight="1">
      <c r="A269" s="8"/>
      <c r="B269" s="8"/>
      <c r="D269" s="15" t="str">
        <f t="shared" si="12"/>
        <v/>
      </c>
      <c r="E269" s="15" t="str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  <v/>
      </c>
      <c r="F269" t="str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92"/>
      <c r="AS269" s="92"/>
      <c r="AT269" s="92"/>
      <c r="AU269" s="92"/>
      <c r="AV269" s="92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20.25" customHeight="1">
      <c r="A270" s="8"/>
      <c r="B270" s="8"/>
      <c r="D270" s="15" t="str">
        <f t="shared" si="12"/>
        <v/>
      </c>
      <c r="E270" s="15" t="str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  <v/>
      </c>
      <c r="F270" t="str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92"/>
      <c r="AS270" s="92"/>
      <c r="AT270" s="92"/>
      <c r="AU270" s="92"/>
      <c r="AV270" s="92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20.25" customHeight="1">
      <c r="A271" s="8"/>
      <c r="B271" s="8"/>
      <c r="D271" s="15" t="str">
        <f t="shared" ref="D271:D334" si="15">IF($B271&lt;&gt;"Yes","",IF($C271="No","Yes",IF($C271="Yes","No","")))</f>
        <v/>
      </c>
      <c r="E271" s="15" t="str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  <v/>
      </c>
      <c r="F271" t="str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92"/>
      <c r="AS271" s="92"/>
      <c r="AT271" s="92"/>
      <c r="AU271" s="92"/>
      <c r="AV271" s="92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20.25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  <v/>
      </c>
      <c r="F272" t="str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92"/>
      <c r="AS272" s="92"/>
      <c r="AT272" s="92"/>
      <c r="AU272" s="92"/>
      <c r="AV272" s="92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20.25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  <v/>
      </c>
      <c r="F273" t="str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92"/>
      <c r="AS273" s="92"/>
      <c r="AT273" s="92"/>
      <c r="AU273" s="92"/>
      <c r="AV273" s="92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20.25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  <v/>
      </c>
      <c r="F274" t="str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92"/>
      <c r="AS274" s="92"/>
      <c r="AT274" s="92"/>
      <c r="AU274" s="92"/>
      <c r="AV274" s="92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20.25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  <v/>
      </c>
      <c r="F275" t="str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92"/>
      <c r="AS275" s="92"/>
      <c r="AT275" s="92"/>
      <c r="AU275" s="92"/>
      <c r="AV275" s="92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20.25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  <v/>
      </c>
      <c r="F276" t="str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92"/>
      <c r="AS276" s="92"/>
      <c r="AT276" s="92"/>
      <c r="AU276" s="92"/>
      <c r="AV276" s="92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20.25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  <v/>
      </c>
      <c r="F277" t="str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92"/>
      <c r="AS277" s="92"/>
      <c r="AT277" s="92"/>
      <c r="AU277" s="92"/>
      <c r="AV277" s="92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20.25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  <v/>
      </c>
      <c r="F278" t="str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92"/>
      <c r="AS278" s="92"/>
      <c r="AT278" s="92"/>
      <c r="AU278" s="92"/>
      <c r="AV278" s="92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20.25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  <v/>
      </c>
      <c r="F279" t="str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92"/>
      <c r="AS279" s="92"/>
      <c r="AT279" s="92"/>
      <c r="AU279" s="92"/>
      <c r="AV279" s="92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20.25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  <v/>
      </c>
      <c r="F280" t="str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92"/>
      <c r="AS280" s="92"/>
      <c r="AT280" s="92"/>
      <c r="AU280" s="92"/>
      <c r="AV280" s="92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20.25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  <v/>
      </c>
      <c r="F281" t="str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92"/>
      <c r="AS281" s="92"/>
      <c r="AT281" s="92"/>
      <c r="AU281" s="92"/>
      <c r="AV281" s="92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20.25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  <v/>
      </c>
      <c r="F282" t="str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92"/>
      <c r="AS282" s="92"/>
      <c r="AT282" s="92"/>
      <c r="AU282" s="92"/>
      <c r="AV282" s="92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20.25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  <v/>
      </c>
      <c r="F283" t="str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92"/>
      <c r="AS283" s="92"/>
      <c r="AT283" s="92"/>
      <c r="AU283" s="92"/>
      <c r="AV283" s="92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20.25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  <v/>
      </c>
      <c r="F284" t="str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92"/>
      <c r="AS284" s="92"/>
      <c r="AT284" s="92"/>
      <c r="AU284" s="92"/>
      <c r="AV284" s="92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20.25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  <v/>
      </c>
      <c r="F285" t="str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92"/>
      <c r="AS285" s="92"/>
      <c r="AT285" s="92"/>
      <c r="AU285" s="92"/>
      <c r="AV285" s="92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20.25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  <v/>
      </c>
      <c r="F286" t="str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92"/>
      <c r="AS286" s="92"/>
      <c r="AT286" s="92"/>
      <c r="AU286" s="92"/>
      <c r="AV286" s="92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20.25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  <v/>
      </c>
      <c r="F287" t="str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92"/>
      <c r="AS287" s="92"/>
      <c r="AT287" s="92"/>
      <c r="AU287" s="92"/>
      <c r="AV287" s="92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20.25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  <v/>
      </c>
      <c r="F288" t="str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92"/>
      <c r="AS288" s="92"/>
      <c r="AT288" s="92"/>
      <c r="AU288" s="92"/>
      <c r="AV288" s="92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20.25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  <v/>
      </c>
      <c r="F289" t="str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92"/>
      <c r="AS289" s="92"/>
      <c r="AT289" s="92"/>
      <c r="AU289" s="92"/>
      <c r="AV289" s="92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20.25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  <v/>
      </c>
      <c r="F290" t="str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92"/>
      <c r="AS290" s="92"/>
      <c r="AT290" s="92"/>
      <c r="AU290" s="92"/>
      <c r="AV290" s="92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20.25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  <v/>
      </c>
      <c r="F291" t="str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92"/>
      <c r="AS291" s="92"/>
      <c r="AT291" s="92"/>
      <c r="AU291" s="92"/>
      <c r="AV291" s="92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20.25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  <v/>
      </c>
      <c r="F292" t="str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92"/>
      <c r="AS292" s="92"/>
      <c r="AT292" s="92"/>
      <c r="AU292" s="92"/>
      <c r="AV292" s="92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20.25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  <v/>
      </c>
      <c r="F293" t="str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92"/>
      <c r="AS293" s="92"/>
      <c r="AT293" s="92"/>
      <c r="AU293" s="92"/>
      <c r="AV293" s="92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20.25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  <v/>
      </c>
      <c r="F294" t="str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92"/>
      <c r="AS294" s="92"/>
      <c r="AT294" s="92"/>
      <c r="AU294" s="92"/>
      <c r="AV294" s="92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20.25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92"/>
      <c r="AS295" s="92"/>
      <c r="AT295" s="92"/>
      <c r="AU295" s="92"/>
      <c r="AV295" s="92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20.25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  <v/>
      </c>
      <c r="F296" t="str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92"/>
      <c r="AS296" s="92"/>
      <c r="AT296" s="92"/>
      <c r="AU296" s="92"/>
      <c r="AV296" s="92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20.25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  <v/>
      </c>
      <c r="F297" t="str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92"/>
      <c r="AS297" s="92"/>
      <c r="AT297" s="92"/>
      <c r="AU297" s="92"/>
      <c r="AV297" s="92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20.25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  <v/>
      </c>
      <c r="F298" t="str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92"/>
      <c r="AS298" s="92"/>
      <c r="AT298" s="92"/>
      <c r="AU298" s="92"/>
      <c r="AV298" s="92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20.25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  <v/>
      </c>
      <c r="F299" t="str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92"/>
      <c r="AS299" s="92"/>
      <c r="AT299" s="92"/>
      <c r="AU299" s="92"/>
      <c r="AV299" s="92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20.25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  <v/>
      </c>
      <c r="F300" t="str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92"/>
      <c r="AS300" s="92"/>
      <c r="AT300" s="92"/>
      <c r="AU300" s="92"/>
      <c r="AV300" s="92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20.25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  <v/>
      </c>
      <c r="F301" t="str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92"/>
      <c r="AS301" s="92"/>
      <c r="AT301" s="92"/>
      <c r="AU301" s="92"/>
      <c r="AV301" s="92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20.25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  <v/>
      </c>
      <c r="F302" t="str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92"/>
      <c r="AS302" s="92"/>
      <c r="AT302" s="92"/>
      <c r="AU302" s="92"/>
      <c r="AV302" s="92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20.25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  <v/>
      </c>
      <c r="F303" t="str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92"/>
      <c r="AS303" s="92"/>
      <c r="AT303" s="92"/>
      <c r="AU303" s="92"/>
      <c r="AV303" s="92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20.25" customHeight="1">
      <c r="A304" s="8"/>
      <c r="B304" s="8"/>
      <c r="D304" s="15" t="str">
        <f t="shared" si="15"/>
        <v/>
      </c>
      <c r="E304" s="15" t="str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  <v/>
      </c>
      <c r="F304" t="str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  <v/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8"/>
      <c r="AF304" s="4"/>
      <c r="AG304" s="4"/>
      <c r="AH304" s="14"/>
      <c r="AI304" s="4"/>
      <c r="AJ304" s="4"/>
      <c r="AK304" s="4"/>
      <c r="AL304" s="4"/>
      <c r="AM304" s="4"/>
      <c r="AN304" s="4"/>
      <c r="AO304" s="4"/>
      <c r="AP304" s="4"/>
      <c r="AQ304" s="4"/>
      <c r="AR304" s="92"/>
      <c r="AS304" s="92"/>
      <c r="AT304" s="92"/>
      <c r="AU304" s="92"/>
      <c r="AV304" s="92"/>
      <c r="AW304" s="8"/>
      <c r="AX304" s="8"/>
      <c r="AY304" s="8"/>
      <c r="AZ304" s="8"/>
      <c r="BA304" s="12"/>
      <c r="BB304" s="8"/>
      <c r="BC304" s="4"/>
      <c r="BD304" s="4"/>
      <c r="BE304" s="8"/>
      <c r="BF304" s="8"/>
      <c r="BG304" s="8"/>
      <c r="BH304" s="8"/>
      <c r="BI304" s="8"/>
      <c r="BJ304" s="8"/>
      <c r="BK304" s="8"/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1:70" ht="20.25" customHeight="1">
      <c r="A305" s="8"/>
      <c r="B305" s="8"/>
      <c r="D305" s="15" t="str">
        <f t="shared" si="15"/>
        <v/>
      </c>
      <c r="E305" s="15" t="str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  <v/>
      </c>
      <c r="F305" t="str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  <v/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8"/>
      <c r="AF305" s="4"/>
      <c r="AG305" s="4"/>
      <c r="AH305" s="14"/>
      <c r="AI305" s="4"/>
      <c r="AJ305" s="4"/>
      <c r="AK305" s="4"/>
      <c r="AL305" s="4"/>
      <c r="AM305" s="4"/>
      <c r="AN305" s="4"/>
      <c r="AO305" s="4"/>
      <c r="AP305" s="4"/>
      <c r="AQ305" s="4"/>
      <c r="AR305" s="92"/>
      <c r="AS305" s="92"/>
      <c r="AT305" s="92"/>
      <c r="AU305" s="92"/>
      <c r="AV305" s="92"/>
      <c r="AW305" s="8"/>
      <c r="AX305" s="8"/>
      <c r="AY305" s="8"/>
      <c r="AZ305" s="8"/>
      <c r="BA305" s="12"/>
      <c r="BB305" s="8"/>
      <c r="BC305" s="4"/>
      <c r="BD305" s="4"/>
      <c r="BE305" s="8"/>
      <c r="BF305" s="8"/>
      <c r="BG305" s="8"/>
      <c r="BH305" s="8"/>
      <c r="BI305" s="8"/>
      <c r="BJ305" s="8"/>
      <c r="BK305" s="8"/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1:70" ht="20.25" customHeight="1">
      <c r="A306" s="8"/>
      <c r="B306" s="8"/>
      <c r="D306" s="15" t="str">
        <f t="shared" si="15"/>
        <v/>
      </c>
      <c r="E306" s="15" t="str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  <v/>
      </c>
      <c r="F306" t="str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  <v/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8"/>
      <c r="AF306" s="4"/>
      <c r="AG306" s="4"/>
      <c r="AH306" s="14"/>
      <c r="AI306" s="4"/>
      <c r="AJ306" s="4"/>
      <c r="AK306" s="4"/>
      <c r="AL306" s="4"/>
      <c r="AM306" s="4"/>
      <c r="AN306" s="4"/>
      <c r="AO306" s="4"/>
      <c r="AP306" s="4"/>
      <c r="AQ306" s="4"/>
      <c r="AR306" s="92"/>
      <c r="AS306" s="92"/>
      <c r="AT306" s="92"/>
      <c r="AU306" s="92"/>
      <c r="AV306" s="92"/>
      <c r="AW306" s="8"/>
      <c r="AX306" s="8"/>
      <c r="AY306" s="8"/>
      <c r="AZ306" s="8"/>
      <c r="BA306" s="12"/>
      <c r="BB306" s="8"/>
      <c r="BC306" s="4"/>
      <c r="BD306" s="4"/>
      <c r="BE306" s="8"/>
      <c r="BF306" s="8"/>
      <c r="BG306" s="8"/>
      <c r="BH306" s="8"/>
      <c r="BI306" s="8"/>
      <c r="BJ306" s="8"/>
      <c r="BK306" s="8"/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1:70" ht="20.25" customHeight="1">
      <c r="A307" s="8"/>
      <c r="B307" s="8"/>
      <c r="D307" s="15" t="str">
        <f t="shared" si="15"/>
        <v/>
      </c>
      <c r="E307" s="15" t="str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  <v/>
      </c>
      <c r="F307" t="str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  <v/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8"/>
      <c r="AF307" s="4"/>
      <c r="AG307" s="4"/>
      <c r="AH307" s="14"/>
      <c r="AI307" s="4"/>
      <c r="AJ307" s="4"/>
      <c r="AK307" s="4"/>
      <c r="AL307" s="4"/>
      <c r="AM307" s="4"/>
      <c r="AN307" s="4"/>
      <c r="AO307" s="4"/>
      <c r="AP307" s="4"/>
      <c r="AQ307" s="4"/>
      <c r="AR307" s="92"/>
      <c r="AS307" s="92"/>
      <c r="AT307" s="92"/>
      <c r="AU307" s="92"/>
      <c r="AV307" s="92"/>
      <c r="AW307" s="8"/>
      <c r="AX307" s="8"/>
      <c r="AY307" s="8"/>
      <c r="AZ307" s="8"/>
      <c r="BA307" s="12"/>
      <c r="BB307" s="8"/>
      <c r="BC307" s="4"/>
      <c r="BD307" s="4"/>
      <c r="BE307" s="8"/>
      <c r="BF307" s="8"/>
      <c r="BG307" s="8"/>
      <c r="BH307" s="8"/>
      <c r="BI307" s="8"/>
      <c r="BJ307" s="8"/>
      <c r="BK307" s="8"/>
      <c r="BL307" s="4" t="str">
        <f t="shared" si="13"/>
        <v/>
      </c>
      <c r="BM307" s="8" t="str">
        <f t="shared" si="14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1:70" ht="20.25" customHeight="1">
      <c r="D308" s="15" t="str">
        <f t="shared" si="15"/>
        <v/>
      </c>
      <c r="E308" s="15" t="str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  <v/>
      </c>
      <c r="F308" t="str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  <v/>
      </c>
      <c r="Q308"/>
      <c r="R308"/>
      <c r="BL308" s="4" t="str">
        <f t="shared" si="13"/>
        <v/>
      </c>
      <c r="BM308" s="8" t="str">
        <f t="shared" si="14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1:70" ht="20.25" customHeight="1">
      <c r="D309" s="15" t="str">
        <f t="shared" si="15"/>
        <v/>
      </c>
      <c r="E309" s="15" t="str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  <v/>
      </c>
      <c r="F309" t="str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  <v/>
      </c>
      <c r="Q309"/>
      <c r="R309"/>
      <c r="BL309" s="4" t="str">
        <f t="shared" si="13"/>
        <v/>
      </c>
      <c r="BM309" s="8" t="str">
        <f t="shared" si="14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1:70" ht="20.25" customHeight="1">
      <c r="D310" s="15" t="str">
        <f t="shared" si="15"/>
        <v/>
      </c>
      <c r="E310" s="15" t="str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  <v/>
      </c>
      <c r="F310" t="str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  <v/>
      </c>
      <c r="Q310"/>
      <c r="R310"/>
      <c r="BL310" s="4" t="str">
        <f t="shared" si="13"/>
        <v/>
      </c>
      <c r="BM310" s="8" t="str">
        <f t="shared" si="14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1:70" ht="20.25" customHeight="1">
      <c r="D311" s="15" t="str">
        <f t="shared" si="15"/>
        <v/>
      </c>
      <c r="E311" s="15" t="str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  <v/>
      </c>
      <c r="F311" t="str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  <v/>
      </c>
      <c r="Q311"/>
      <c r="R311"/>
      <c r="BL311" s="4" t="str">
        <f t="shared" ref="BL311:BL374" si="16"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  <v/>
      </c>
      <c r="BM311" s="8" t="str">
        <f t="shared" ref="BM311:BM374" si="17">IF($T311="","",IF($BL311="","Yes","Blocked"))</f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1:70" ht="20.25" customHeight="1">
      <c r="D312" s="15" t="str">
        <f t="shared" si="15"/>
        <v/>
      </c>
      <c r="E312" s="15" t="str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  <v/>
      </c>
      <c r="F312" t="str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  <v/>
      </c>
      <c r="Q312"/>
      <c r="R312"/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1:70" ht="20.25" customHeight="1">
      <c r="D313" s="15" t="str">
        <f t="shared" si="15"/>
        <v/>
      </c>
      <c r="E313" s="15" t="str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  <v/>
      </c>
      <c r="F313" t="str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  <v/>
      </c>
      <c r="Q313"/>
      <c r="R313"/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1:70" ht="20.25" customHeight="1">
      <c r="D314" s="15" t="str">
        <f t="shared" si="15"/>
        <v/>
      </c>
      <c r="E314" s="15" t="str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  <v/>
      </c>
      <c r="F314" t="str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  <v/>
      </c>
      <c r="Q314"/>
      <c r="R314"/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1:70" ht="20.25" customHeight="1">
      <c r="D315" s="15" t="str">
        <f t="shared" si="15"/>
        <v/>
      </c>
      <c r="E315" s="15" t="str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  <v/>
      </c>
      <c r="F315" t="str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  <v/>
      </c>
      <c r="Q315"/>
      <c r="R315"/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1:70" ht="20.25" customHeight="1">
      <c r="D316" s="15" t="str">
        <f t="shared" si="15"/>
        <v/>
      </c>
      <c r="E316" s="15" t="str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  <v/>
      </c>
      <c r="F316" t="str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  <v/>
      </c>
      <c r="Q316"/>
      <c r="R316"/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1:70" ht="20.25" customHeight="1">
      <c r="D317" s="15" t="str">
        <f t="shared" si="15"/>
        <v/>
      </c>
      <c r="E317" s="15" t="str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  <v/>
      </c>
      <c r="F317" t="str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  <v/>
      </c>
      <c r="Q317"/>
      <c r="R317"/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1:70" ht="20.25" customHeight="1">
      <c r="D318" s="15" t="str">
        <f t="shared" si="15"/>
        <v/>
      </c>
      <c r="E318" s="15" t="str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  <v/>
      </c>
      <c r="F318" t="str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  <v/>
      </c>
      <c r="Q318"/>
      <c r="R318"/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1:70" ht="20.25" customHeight="1">
      <c r="D319" s="15" t="str">
        <f t="shared" si="15"/>
        <v/>
      </c>
      <c r="E319" s="15" t="str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  <v/>
      </c>
      <c r="F319" t="str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  <v/>
      </c>
      <c r="Q319"/>
      <c r="R319"/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1:70" ht="20.25" customHeight="1">
      <c r="D320" s="15" t="str">
        <f t="shared" si="15"/>
        <v/>
      </c>
      <c r="E320" s="15" t="str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  <v/>
      </c>
      <c r="F320" t="str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  <v/>
      </c>
      <c r="Q320"/>
      <c r="R320"/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20.25" customHeight="1">
      <c r="D321" s="15" t="str">
        <f t="shared" si="15"/>
        <v/>
      </c>
      <c r="E321" s="15" t="str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  <v/>
      </c>
      <c r="F321" t="str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  <v/>
      </c>
      <c r="Q321"/>
      <c r="R321"/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20.25" customHeight="1">
      <c r="D322" s="15" t="str">
        <f t="shared" si="15"/>
        <v/>
      </c>
      <c r="E322" s="15" t="str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  <v/>
      </c>
      <c r="F322" t="str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  <v/>
      </c>
      <c r="Q322"/>
      <c r="R322"/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20.25" customHeight="1">
      <c r="D323" s="15" t="str">
        <f t="shared" si="15"/>
        <v/>
      </c>
      <c r="E323" s="15" t="str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  <v/>
      </c>
      <c r="F323" t="str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  <v/>
      </c>
      <c r="Q323"/>
      <c r="R323"/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20.25" customHeight="1">
      <c r="D324" s="15" t="str">
        <f t="shared" si="15"/>
        <v/>
      </c>
      <c r="E324" s="15" t="str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  <v/>
      </c>
      <c r="F324" t="str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  <v/>
      </c>
      <c r="Q324"/>
      <c r="R324"/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20.25" customHeight="1">
      <c r="D325" s="15" t="str">
        <f t="shared" si="15"/>
        <v/>
      </c>
      <c r="E325" s="15" t="str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  <v/>
      </c>
      <c r="F325" t="str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  <v/>
      </c>
      <c r="Q325"/>
      <c r="R325"/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20.25" customHeight="1">
      <c r="D326" s="15" t="str">
        <f t="shared" si="15"/>
        <v/>
      </c>
      <c r="E326" s="15" t="str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  <v/>
      </c>
      <c r="F326" t="str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  <v/>
      </c>
      <c r="Q326"/>
      <c r="R326"/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20.25" customHeight="1">
      <c r="D327" s="15" t="str">
        <f t="shared" si="15"/>
        <v/>
      </c>
      <c r="E327" s="15" t="str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  <v/>
      </c>
      <c r="F327" t="str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  <v/>
      </c>
      <c r="Q327"/>
      <c r="R327"/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20.25" customHeight="1">
      <c r="D328" s="15" t="str">
        <f t="shared" si="15"/>
        <v/>
      </c>
      <c r="E328" s="15" t="str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  <v/>
      </c>
      <c r="F328" t="str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  <v/>
      </c>
      <c r="Q328"/>
      <c r="R328"/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20.25" customHeight="1">
      <c r="D329" s="15" t="str">
        <f t="shared" si="15"/>
        <v/>
      </c>
      <c r="E329" s="15" t="str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  <v/>
      </c>
      <c r="F329" t="str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  <v/>
      </c>
      <c r="Q329"/>
      <c r="R329"/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20.25" customHeight="1">
      <c r="D330" s="15" t="str">
        <f t="shared" si="15"/>
        <v/>
      </c>
      <c r="E330" s="15" t="str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  <v/>
      </c>
      <c r="F330" t="str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  <v/>
      </c>
      <c r="Q330"/>
      <c r="R330"/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20.25" customHeight="1">
      <c r="D331" s="15" t="str">
        <f t="shared" si="15"/>
        <v/>
      </c>
      <c r="E331" s="15" t="str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  <v/>
      </c>
      <c r="F331" t="str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  <v/>
      </c>
      <c r="Q331"/>
      <c r="R331"/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20.25" customHeight="1">
      <c r="D332" s="15" t="str">
        <f t="shared" si="15"/>
        <v/>
      </c>
      <c r="E332" s="15" t="str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  <v/>
      </c>
      <c r="F332" t="str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  <v/>
      </c>
      <c r="Q332"/>
      <c r="R332"/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20.25" customHeight="1">
      <c r="D333" s="15" t="str">
        <f t="shared" si="15"/>
        <v/>
      </c>
      <c r="E333" s="15" t="str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  <v/>
      </c>
      <c r="F333" t="str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  <v/>
      </c>
      <c r="Q333"/>
      <c r="R333"/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20.25" customHeight="1">
      <c r="D334" s="15" t="str">
        <f t="shared" si="15"/>
        <v/>
      </c>
      <c r="E334" s="15" t="str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  <v/>
      </c>
      <c r="F334" t="str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  <v/>
      </c>
      <c r="Q334"/>
      <c r="R334"/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20.25" customHeight="1">
      <c r="D335" s="15" t="str">
        <f t="shared" ref="D335:D398" si="18">IF($B335&lt;&gt;"Yes","",IF($C335="No","Yes",IF($C335="Yes","No","")))</f>
        <v/>
      </c>
      <c r="E335" s="15" t="str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  <v/>
      </c>
      <c r="F335" t="str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  <v/>
      </c>
      <c r="Q335"/>
      <c r="R335"/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20.25" customHeight="1">
      <c r="D336" s="15" t="str">
        <f t="shared" si="18"/>
        <v/>
      </c>
      <c r="E336" s="15" t="str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  <v/>
      </c>
      <c r="F336" t="str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  <v/>
      </c>
      <c r="Q336"/>
      <c r="R336"/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20.25" customHeight="1">
      <c r="D337" s="15" t="str">
        <f t="shared" si="18"/>
        <v/>
      </c>
      <c r="E337" s="15" t="str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  <v/>
      </c>
      <c r="F337" t="str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  <v/>
      </c>
      <c r="Q337"/>
      <c r="R337"/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20.25" customHeight="1">
      <c r="D338" s="15" t="str">
        <f t="shared" si="18"/>
        <v/>
      </c>
      <c r="E338" s="15" t="str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  <v/>
      </c>
      <c r="F338" t="str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  <v/>
      </c>
      <c r="Q338"/>
      <c r="R338"/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20.25" customHeight="1">
      <c r="D339" s="15" t="str">
        <f t="shared" si="18"/>
        <v/>
      </c>
      <c r="E339" s="15" t="str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  <v/>
      </c>
      <c r="F339" t="str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  <v/>
      </c>
      <c r="Q339"/>
      <c r="R339"/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20.25" customHeight="1">
      <c r="D340" s="15" t="str">
        <f t="shared" si="18"/>
        <v/>
      </c>
      <c r="E340" s="15" t="str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  <v/>
      </c>
      <c r="F340" t="str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  <v/>
      </c>
      <c r="Q340"/>
      <c r="R340"/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20.25" customHeight="1">
      <c r="D341" s="15" t="str">
        <f t="shared" si="18"/>
        <v/>
      </c>
      <c r="E341" s="15" t="str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  <v/>
      </c>
      <c r="F341" t="str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  <v/>
      </c>
      <c r="Q341"/>
      <c r="R341"/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20.25" customHeight="1">
      <c r="D342" s="15" t="str">
        <f t="shared" si="18"/>
        <v/>
      </c>
      <c r="E342" s="15" t="str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  <v/>
      </c>
      <c r="F342" t="str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  <v/>
      </c>
      <c r="Q342"/>
      <c r="R342"/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20.25" customHeight="1">
      <c r="D343" s="15" t="str">
        <f t="shared" si="18"/>
        <v/>
      </c>
      <c r="E343" s="15" t="str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  <v/>
      </c>
      <c r="F343" t="str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  <v/>
      </c>
      <c r="Q343"/>
      <c r="R343"/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20.25" customHeight="1">
      <c r="D344" s="15" t="str">
        <f t="shared" si="18"/>
        <v/>
      </c>
      <c r="E344" s="15" t="str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  <v/>
      </c>
      <c r="F344" t="str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  <v/>
      </c>
      <c r="Q344"/>
      <c r="R344"/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20.25" customHeight="1">
      <c r="D345" s="15" t="str">
        <f t="shared" si="18"/>
        <v/>
      </c>
      <c r="E345" s="15" t="str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  <v/>
      </c>
      <c r="F345" t="str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  <v/>
      </c>
      <c r="Q345"/>
      <c r="R345"/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20.25" customHeight="1">
      <c r="D346" s="15" t="str">
        <f t="shared" si="18"/>
        <v/>
      </c>
      <c r="E346" s="15" t="str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  <v/>
      </c>
      <c r="F346" t="str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  <v/>
      </c>
      <c r="Q346"/>
      <c r="R346"/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20.25" customHeight="1">
      <c r="D347" s="15" t="str">
        <f t="shared" si="18"/>
        <v/>
      </c>
      <c r="E347" s="15" t="str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  <v/>
      </c>
      <c r="F347" t="str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  <v/>
      </c>
      <c r="Q347"/>
      <c r="R347"/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20.25" customHeight="1">
      <c r="D348" s="15" t="str">
        <f t="shared" si="18"/>
        <v/>
      </c>
      <c r="E348" s="15" t="str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  <v/>
      </c>
      <c r="F348" t="str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  <v/>
      </c>
      <c r="Q348"/>
      <c r="R348"/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20.25" customHeight="1">
      <c r="D349" s="15" t="str">
        <f t="shared" si="18"/>
        <v/>
      </c>
      <c r="E349" s="15" t="str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  <v/>
      </c>
      <c r="F349" t="str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  <v/>
      </c>
      <c r="Q349"/>
      <c r="R349"/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20.25" customHeight="1">
      <c r="D350" s="15" t="str">
        <f t="shared" si="18"/>
        <v/>
      </c>
      <c r="E350" s="15" t="str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  <v/>
      </c>
      <c r="F350" t="str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  <v/>
      </c>
      <c r="Q350"/>
      <c r="R350"/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20.25" customHeight="1">
      <c r="D351" s="15" t="str">
        <f t="shared" si="18"/>
        <v/>
      </c>
      <c r="E351" s="15" t="str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  <v/>
      </c>
      <c r="F351" t="str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  <v/>
      </c>
      <c r="Q351"/>
      <c r="R351"/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20.25" customHeight="1">
      <c r="D352" s="15" t="str">
        <f t="shared" si="18"/>
        <v/>
      </c>
      <c r="E352" s="15" t="str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  <v/>
      </c>
      <c r="F352" t="str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  <v/>
      </c>
      <c r="Q352"/>
      <c r="R352"/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20.25" customHeight="1">
      <c r="D353" s="15" t="str">
        <f t="shared" si="18"/>
        <v/>
      </c>
      <c r="E353" s="15" t="str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  <v/>
      </c>
      <c r="F353" t="str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  <v/>
      </c>
      <c r="Q353"/>
      <c r="R353"/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20.25" customHeight="1">
      <c r="D354" s="15" t="str">
        <f t="shared" si="18"/>
        <v/>
      </c>
      <c r="E354" s="15" t="str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  <v/>
      </c>
      <c r="F354" t="str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  <v/>
      </c>
      <c r="Q354"/>
      <c r="R354"/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20.25" customHeight="1">
      <c r="D355" s="15" t="str">
        <f t="shared" si="18"/>
        <v/>
      </c>
      <c r="E355" s="15" t="str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  <v/>
      </c>
      <c r="F355" t="str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  <v/>
      </c>
      <c r="Q355"/>
      <c r="R355"/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20.25" customHeight="1">
      <c r="D356" s="15" t="str">
        <f t="shared" si="18"/>
        <v/>
      </c>
      <c r="E356" s="15" t="str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  <v/>
      </c>
      <c r="F356" t="str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  <v/>
      </c>
      <c r="Q356"/>
      <c r="R356"/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20.25" customHeight="1">
      <c r="D357" s="15" t="str">
        <f t="shared" si="18"/>
        <v/>
      </c>
      <c r="E357" s="15" t="str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  <v/>
      </c>
      <c r="F357" t="str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  <v/>
      </c>
      <c r="Q357"/>
      <c r="R357"/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20.25" customHeight="1">
      <c r="D358" s="15" t="str">
        <f t="shared" si="18"/>
        <v/>
      </c>
      <c r="E358" s="15" t="str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  <v/>
      </c>
      <c r="F358" t="str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  <v/>
      </c>
      <c r="Q358"/>
      <c r="R358"/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20.25" customHeight="1">
      <c r="D359" s="15" t="str">
        <f t="shared" si="18"/>
        <v/>
      </c>
      <c r="E359" s="15" t="str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Q359"/>
      <c r="R359"/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20.25" customHeight="1">
      <c r="D360" s="15" t="str">
        <f t="shared" si="18"/>
        <v/>
      </c>
      <c r="E360" s="15" t="str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  <v/>
      </c>
      <c r="F360" t="str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  <v/>
      </c>
      <c r="Q360"/>
      <c r="R360"/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20.25" customHeight="1">
      <c r="D361" s="15" t="str">
        <f t="shared" si="18"/>
        <v/>
      </c>
      <c r="E361" s="15" t="str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  <v/>
      </c>
      <c r="F361" t="str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  <v/>
      </c>
      <c r="Q361"/>
      <c r="R361"/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20.25" customHeight="1">
      <c r="D362" s="15" t="str">
        <f t="shared" si="18"/>
        <v/>
      </c>
      <c r="E362" s="15" t="str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  <v/>
      </c>
      <c r="F362" t="str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  <v/>
      </c>
      <c r="Q362"/>
      <c r="R362"/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20.25" customHeight="1">
      <c r="D363" s="15" t="str">
        <f t="shared" si="18"/>
        <v/>
      </c>
      <c r="E363" s="15" t="str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  <v/>
      </c>
      <c r="F363" t="str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  <v/>
      </c>
      <c r="Q363"/>
      <c r="R363"/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20.25" customHeight="1">
      <c r="D364" s="15" t="str">
        <f t="shared" si="18"/>
        <v/>
      </c>
      <c r="E364" s="15" t="str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  <v/>
      </c>
      <c r="F364" t="str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  <v/>
      </c>
      <c r="Q364"/>
      <c r="R364"/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20.25" customHeight="1">
      <c r="D365" s="15" t="str">
        <f t="shared" si="18"/>
        <v/>
      </c>
      <c r="E365" s="15" t="str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  <v/>
      </c>
      <c r="F365" t="str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  <v/>
      </c>
      <c r="Q365"/>
      <c r="R365"/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20.25" customHeight="1">
      <c r="D366" s="15" t="str">
        <f t="shared" si="18"/>
        <v/>
      </c>
      <c r="E366" s="15" t="str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  <v/>
      </c>
      <c r="F366" t="str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  <v/>
      </c>
      <c r="Q366"/>
      <c r="R366"/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20.25" customHeight="1">
      <c r="D367" s="15" t="str">
        <f t="shared" si="18"/>
        <v/>
      </c>
      <c r="E367" s="15" t="str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  <v/>
      </c>
      <c r="F367" t="str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  <v/>
      </c>
      <c r="Q367"/>
      <c r="R367"/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20.25" customHeight="1">
      <c r="D368" s="15" t="str">
        <f t="shared" si="18"/>
        <v/>
      </c>
      <c r="E368" s="15" t="str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  <v/>
      </c>
      <c r="F368" t="str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  <v/>
      </c>
      <c r="Q368"/>
      <c r="R368"/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20.25" customHeight="1">
      <c r="D369" s="15" t="str">
        <f t="shared" si="18"/>
        <v/>
      </c>
      <c r="E369" s="15" t="str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  <v/>
      </c>
      <c r="F369" t="str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  <v/>
      </c>
      <c r="Q369"/>
      <c r="R369"/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20.25" customHeight="1">
      <c r="D370" s="15" t="str">
        <f t="shared" si="18"/>
        <v/>
      </c>
      <c r="E370" s="15" t="str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  <v/>
      </c>
      <c r="F370" t="str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  <v/>
      </c>
      <c r="Q370"/>
      <c r="R370"/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20.25" customHeight="1">
      <c r="D371" s="15" t="str">
        <f t="shared" si="18"/>
        <v/>
      </c>
      <c r="E371" s="15" t="str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  <v/>
      </c>
      <c r="F371" t="str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  <v/>
      </c>
      <c r="Q371"/>
      <c r="R371"/>
      <c r="BL371" s="4" t="str">
        <f t="shared" si="16"/>
        <v/>
      </c>
      <c r="BM371" s="8" t="str">
        <f t="shared" si="17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20.25" customHeight="1">
      <c r="D372" s="15" t="str">
        <f t="shared" si="18"/>
        <v/>
      </c>
      <c r="E372" s="15" t="str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  <v/>
      </c>
      <c r="F372" t="str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  <v/>
      </c>
      <c r="Q372"/>
      <c r="R372"/>
      <c r="BL372" s="4" t="str">
        <f t="shared" si="16"/>
        <v/>
      </c>
      <c r="BM372" s="8" t="str">
        <f t="shared" si="17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20.25" customHeight="1">
      <c r="D373" s="15" t="str">
        <f t="shared" si="18"/>
        <v/>
      </c>
      <c r="E373" s="15" t="str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  <v/>
      </c>
      <c r="F373" t="str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  <v/>
      </c>
      <c r="Q373"/>
      <c r="R373"/>
      <c r="BL373" s="4" t="str">
        <f t="shared" si="16"/>
        <v/>
      </c>
      <c r="BM373" s="8" t="str">
        <f t="shared" si="17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20.25" customHeight="1">
      <c r="D374" s="15" t="str">
        <f t="shared" si="18"/>
        <v/>
      </c>
      <c r="E374" s="15" t="str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  <v/>
      </c>
      <c r="F374" t="str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  <v/>
      </c>
      <c r="Q374"/>
      <c r="R374"/>
      <c r="BL374" s="4" t="str">
        <f t="shared" si="16"/>
        <v/>
      </c>
      <c r="BM374" s="8" t="str">
        <f t="shared" si="17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20.25" customHeight="1">
      <c r="D375" s="15" t="str">
        <f t="shared" si="18"/>
        <v/>
      </c>
      <c r="E375" s="15" t="str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  <v/>
      </c>
      <c r="F375" t="str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  <v/>
      </c>
      <c r="Q375"/>
      <c r="R375"/>
      <c r="BL375" s="4" t="str">
        <f t="shared" ref="BL375:BL438" si="19"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  <v/>
      </c>
      <c r="BM375" s="8" t="str">
        <f t="shared" ref="BM375:BM438" si="20">IF($T375="","",IF($BL375="","Yes","Blocked"))</f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20.25" customHeight="1">
      <c r="D376" s="15" t="str">
        <f t="shared" si="18"/>
        <v/>
      </c>
      <c r="E376" s="15" t="str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  <v/>
      </c>
      <c r="F376" t="str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  <v/>
      </c>
      <c r="Q376"/>
      <c r="R376"/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20.25" customHeight="1">
      <c r="D377" s="15" t="str">
        <f t="shared" si="18"/>
        <v/>
      </c>
      <c r="E377" s="15" t="str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  <v/>
      </c>
      <c r="F377" t="str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  <v/>
      </c>
      <c r="Q377"/>
      <c r="R377"/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20.25" customHeight="1">
      <c r="D378" s="15" t="str">
        <f t="shared" si="18"/>
        <v/>
      </c>
      <c r="E378" s="15" t="str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  <v/>
      </c>
      <c r="F378" t="str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  <v/>
      </c>
      <c r="Q378"/>
      <c r="R378"/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20.25" customHeight="1">
      <c r="D379" s="15" t="str">
        <f t="shared" si="18"/>
        <v/>
      </c>
      <c r="E379" s="15" t="str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  <v/>
      </c>
      <c r="F379" t="str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  <v/>
      </c>
      <c r="Q379"/>
      <c r="R379"/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20.25" customHeight="1">
      <c r="D380" s="15" t="str">
        <f t="shared" si="18"/>
        <v/>
      </c>
      <c r="E380" s="15" t="str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  <v/>
      </c>
      <c r="F380" t="str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  <v/>
      </c>
      <c r="Q380"/>
      <c r="R380"/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20.25" customHeight="1">
      <c r="D381" s="15" t="str">
        <f t="shared" si="18"/>
        <v/>
      </c>
      <c r="E381" s="15" t="str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  <v/>
      </c>
      <c r="F381" t="str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  <v/>
      </c>
      <c r="Q381"/>
      <c r="R381"/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20.25" customHeight="1">
      <c r="D382" s="15" t="str">
        <f t="shared" si="18"/>
        <v/>
      </c>
      <c r="E382" s="15" t="str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  <v/>
      </c>
      <c r="F382" t="str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  <v/>
      </c>
      <c r="Q382"/>
      <c r="R382"/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20.25" customHeight="1">
      <c r="D383" s="15" t="str">
        <f t="shared" si="18"/>
        <v/>
      </c>
      <c r="E383" s="15" t="str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  <v/>
      </c>
      <c r="F383" t="str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  <v/>
      </c>
      <c r="Q383"/>
      <c r="R383"/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20.25" customHeight="1">
      <c r="D384" s="15" t="str">
        <f t="shared" si="18"/>
        <v/>
      </c>
      <c r="E384" s="15" t="str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  <v/>
      </c>
      <c r="F384" t="str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  <v/>
      </c>
      <c r="Q384"/>
      <c r="R384"/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20.25" customHeight="1">
      <c r="D385" s="15" t="str">
        <f t="shared" si="18"/>
        <v/>
      </c>
      <c r="E385" s="15" t="str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  <v/>
      </c>
      <c r="F385" t="str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  <v/>
      </c>
      <c r="Q385"/>
      <c r="R385"/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20.25" customHeight="1">
      <c r="D386" s="15" t="str">
        <f t="shared" si="18"/>
        <v/>
      </c>
      <c r="E386" s="15" t="str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  <v/>
      </c>
      <c r="F386" t="str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  <v/>
      </c>
      <c r="Q386"/>
      <c r="R386"/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20.25" customHeight="1">
      <c r="D387" s="15" t="str">
        <f t="shared" si="18"/>
        <v/>
      </c>
      <c r="E387" s="15" t="str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  <v/>
      </c>
      <c r="F387" t="str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  <v/>
      </c>
      <c r="Q387"/>
      <c r="R387"/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20.25" customHeight="1">
      <c r="D388" s="15" t="str">
        <f t="shared" si="18"/>
        <v/>
      </c>
      <c r="E388" s="15" t="str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  <v/>
      </c>
      <c r="F388" t="str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  <v/>
      </c>
      <c r="Q388"/>
      <c r="R388"/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20.25" customHeight="1">
      <c r="D389" s="15" t="str">
        <f t="shared" si="18"/>
        <v/>
      </c>
      <c r="E389" s="15" t="str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  <v/>
      </c>
      <c r="F389" t="str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  <v/>
      </c>
      <c r="Q389"/>
      <c r="R389"/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20.25" customHeight="1">
      <c r="D390" s="15" t="str">
        <f t="shared" si="18"/>
        <v/>
      </c>
      <c r="E390" s="15" t="str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  <v/>
      </c>
      <c r="F390" t="str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  <v/>
      </c>
      <c r="Q390"/>
      <c r="R390"/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20.25" customHeight="1">
      <c r="D391" s="15" t="str">
        <f t="shared" si="18"/>
        <v/>
      </c>
      <c r="E391" s="15" t="str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  <v/>
      </c>
      <c r="F391" t="str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  <v/>
      </c>
      <c r="Q391"/>
      <c r="R391"/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20.25" customHeight="1">
      <c r="D392" s="15" t="str">
        <f t="shared" si="18"/>
        <v/>
      </c>
      <c r="E392" s="15" t="str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  <v/>
      </c>
      <c r="F392" t="str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  <v/>
      </c>
      <c r="Q392"/>
      <c r="R392"/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20.25" customHeight="1">
      <c r="D393" s="15" t="str">
        <f t="shared" si="18"/>
        <v/>
      </c>
      <c r="E393" s="15" t="str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  <v/>
      </c>
      <c r="F393" t="str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  <v/>
      </c>
      <c r="Q393"/>
      <c r="R393"/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20.25" customHeight="1">
      <c r="D394" s="15" t="str">
        <f t="shared" si="18"/>
        <v/>
      </c>
      <c r="E394" s="15" t="str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  <v/>
      </c>
      <c r="F394" t="str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  <v/>
      </c>
      <c r="Q394"/>
      <c r="R394"/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20.25" customHeight="1">
      <c r="D395" s="15" t="str">
        <f t="shared" si="18"/>
        <v/>
      </c>
      <c r="E395" s="15" t="str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  <v/>
      </c>
      <c r="F395" t="str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  <v/>
      </c>
      <c r="Q395"/>
      <c r="R395"/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20.25" customHeight="1">
      <c r="D396" s="15" t="str">
        <f t="shared" si="18"/>
        <v/>
      </c>
      <c r="E396" s="15" t="str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  <v/>
      </c>
      <c r="F396" t="str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  <v/>
      </c>
      <c r="Q396"/>
      <c r="R396"/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20.25" customHeight="1">
      <c r="D397" s="15" t="str">
        <f t="shared" si="18"/>
        <v/>
      </c>
      <c r="E397" s="15" t="str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  <v/>
      </c>
      <c r="F397" t="str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  <v/>
      </c>
      <c r="Q397"/>
      <c r="R397"/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20.25" customHeight="1">
      <c r="D398" s="15" t="str">
        <f t="shared" si="18"/>
        <v/>
      </c>
      <c r="E398" s="15" t="str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  <v/>
      </c>
      <c r="F398" t="str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  <v/>
      </c>
      <c r="Q398"/>
      <c r="R398"/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20.25" customHeight="1">
      <c r="D399" s="15" t="str">
        <f t="shared" ref="D399:D462" si="21">IF($B399&lt;&gt;"Yes","",IF($C399="No","Yes",IF($C399="Yes","No","")))</f>
        <v/>
      </c>
      <c r="E399" s="15" t="str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  <v/>
      </c>
      <c r="F399" t="str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  <v/>
      </c>
      <c r="Q399"/>
      <c r="R399"/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20.25" customHeight="1">
      <c r="D400" s="15" t="str">
        <f t="shared" si="21"/>
        <v/>
      </c>
      <c r="E400" s="15" t="str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  <v/>
      </c>
      <c r="F400" t="str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  <v/>
      </c>
      <c r="Q400"/>
      <c r="R400"/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20.25" customHeight="1">
      <c r="D401" s="15" t="str">
        <f t="shared" si="21"/>
        <v/>
      </c>
      <c r="E401" s="15" t="str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  <v/>
      </c>
      <c r="F401" t="str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  <v/>
      </c>
      <c r="Q401"/>
      <c r="R401"/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20.25" customHeight="1">
      <c r="D402" s="15" t="str">
        <f t="shared" si="21"/>
        <v/>
      </c>
      <c r="E402" s="15" t="str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  <v/>
      </c>
      <c r="F402" t="str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  <v/>
      </c>
      <c r="Q402"/>
      <c r="R402"/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20.25" customHeight="1">
      <c r="D403" s="15" t="str">
        <f t="shared" si="21"/>
        <v/>
      </c>
      <c r="E403" s="15" t="str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  <v/>
      </c>
      <c r="F403" t="str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  <v/>
      </c>
      <c r="Q403"/>
      <c r="R403"/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20.25" customHeight="1">
      <c r="D404" s="15" t="str">
        <f t="shared" si="21"/>
        <v/>
      </c>
      <c r="E404" s="15" t="str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  <v/>
      </c>
      <c r="F404" t="str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  <v/>
      </c>
      <c r="Q404"/>
      <c r="R404"/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20.25" customHeight="1">
      <c r="D405" s="15" t="str">
        <f t="shared" si="21"/>
        <v/>
      </c>
      <c r="E405" s="15" t="str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  <v/>
      </c>
      <c r="F405" t="str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  <v/>
      </c>
      <c r="Q405"/>
      <c r="R405"/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20.25" customHeight="1">
      <c r="D406" s="15" t="str">
        <f t="shared" si="21"/>
        <v/>
      </c>
      <c r="E406" s="15" t="str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  <v/>
      </c>
      <c r="F406" t="str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  <v/>
      </c>
      <c r="Q406"/>
      <c r="R406"/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20.25" customHeight="1">
      <c r="D407" s="15" t="str">
        <f t="shared" si="21"/>
        <v/>
      </c>
      <c r="E407" s="15" t="str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  <v/>
      </c>
      <c r="F407" t="str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  <v/>
      </c>
      <c r="Q407"/>
      <c r="R407"/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20.25" customHeight="1">
      <c r="D408" s="15" t="str">
        <f t="shared" si="21"/>
        <v/>
      </c>
      <c r="E408" s="15" t="str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  <v/>
      </c>
      <c r="F408" t="str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  <v/>
      </c>
      <c r="Q408"/>
      <c r="R408"/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20.25" customHeight="1">
      <c r="D409" s="15" t="str">
        <f t="shared" si="21"/>
        <v/>
      </c>
      <c r="E409" s="15" t="str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  <v/>
      </c>
      <c r="F409" t="str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  <v/>
      </c>
      <c r="Q409"/>
      <c r="R409"/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20.25" customHeight="1">
      <c r="D410" s="15" t="str">
        <f t="shared" si="21"/>
        <v/>
      </c>
      <c r="E410" s="15" t="str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  <v/>
      </c>
      <c r="F410" t="str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  <v/>
      </c>
      <c r="Q410"/>
      <c r="R410"/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20.25" customHeight="1">
      <c r="D411" s="15" t="str">
        <f t="shared" si="21"/>
        <v/>
      </c>
      <c r="E411" s="15" t="str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  <v/>
      </c>
      <c r="F411" t="str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  <v/>
      </c>
      <c r="Q411"/>
      <c r="R411"/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20.25" customHeight="1">
      <c r="D412" s="15" t="str">
        <f t="shared" si="21"/>
        <v/>
      </c>
      <c r="E412" s="15" t="str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  <v/>
      </c>
      <c r="F412" t="str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  <v/>
      </c>
      <c r="Q412"/>
      <c r="R412"/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20.25" customHeight="1">
      <c r="D413" s="15" t="str">
        <f t="shared" si="21"/>
        <v/>
      </c>
      <c r="E413" s="15" t="str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  <v/>
      </c>
      <c r="F413" t="str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  <v/>
      </c>
      <c r="Q413"/>
      <c r="R413"/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20.25" customHeight="1">
      <c r="D414" s="15" t="str">
        <f t="shared" si="21"/>
        <v/>
      </c>
      <c r="E414" s="15" t="str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  <v/>
      </c>
      <c r="F414" t="str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  <v/>
      </c>
      <c r="Q414"/>
      <c r="R414"/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20.25" customHeight="1">
      <c r="D415" s="15" t="str">
        <f t="shared" si="21"/>
        <v/>
      </c>
      <c r="E415" s="15" t="str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  <v/>
      </c>
      <c r="F415" t="str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  <v/>
      </c>
      <c r="Q415"/>
      <c r="R415"/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20.25" customHeight="1">
      <c r="D416" s="15" t="str">
        <f t="shared" si="21"/>
        <v/>
      </c>
      <c r="E416" s="15" t="str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  <v/>
      </c>
      <c r="F416" t="str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  <v/>
      </c>
      <c r="Q416"/>
      <c r="R416"/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20.25" customHeight="1">
      <c r="D417" s="15" t="str">
        <f t="shared" si="21"/>
        <v/>
      </c>
      <c r="E417" s="15" t="str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  <v/>
      </c>
      <c r="F417" t="str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  <v/>
      </c>
      <c r="Q417"/>
      <c r="R417"/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20.25" customHeight="1">
      <c r="D418" s="15" t="str">
        <f t="shared" si="21"/>
        <v/>
      </c>
      <c r="E418" s="15" t="str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  <v/>
      </c>
      <c r="F418" t="str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  <v/>
      </c>
      <c r="Q418"/>
      <c r="R418"/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20.25" customHeight="1">
      <c r="D419" s="15" t="str">
        <f t="shared" si="21"/>
        <v/>
      </c>
      <c r="E419" s="15" t="str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  <v/>
      </c>
      <c r="F419" t="str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  <v/>
      </c>
      <c r="Q419"/>
      <c r="R419"/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20.25" customHeight="1">
      <c r="D420" s="15" t="str">
        <f t="shared" si="21"/>
        <v/>
      </c>
      <c r="E420" s="15" t="str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  <v/>
      </c>
      <c r="F420" t="str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  <v/>
      </c>
      <c r="Q420"/>
      <c r="R420"/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20.25" customHeight="1">
      <c r="D421" s="15" t="str">
        <f t="shared" si="21"/>
        <v/>
      </c>
      <c r="E421" s="15" t="str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  <v/>
      </c>
      <c r="F421" t="str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  <v/>
      </c>
      <c r="Q421"/>
      <c r="R421"/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20.25" customHeight="1">
      <c r="D422" s="15" t="str">
        <f t="shared" si="21"/>
        <v/>
      </c>
      <c r="E422" s="15" t="str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  <v/>
      </c>
      <c r="F422" t="str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  <v/>
      </c>
      <c r="Q422"/>
      <c r="R422"/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20.25" customHeight="1">
      <c r="D423" s="15" t="str">
        <f t="shared" si="21"/>
        <v/>
      </c>
      <c r="E423" s="15" t="str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Q423"/>
      <c r="R423"/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20.25" customHeight="1">
      <c r="D424" s="15" t="str">
        <f t="shared" si="21"/>
        <v/>
      </c>
      <c r="E424" s="15" t="str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  <v/>
      </c>
      <c r="F424" t="str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  <v/>
      </c>
      <c r="Q424"/>
      <c r="R424"/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20.25" customHeight="1">
      <c r="D425" s="15" t="str">
        <f t="shared" si="21"/>
        <v/>
      </c>
      <c r="E425" s="15" t="str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  <v/>
      </c>
      <c r="F425" t="str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  <v/>
      </c>
      <c r="Q425"/>
      <c r="R425"/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20.25" customHeight="1">
      <c r="D426" s="15" t="str">
        <f t="shared" si="21"/>
        <v/>
      </c>
      <c r="E426" s="15" t="str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  <v/>
      </c>
      <c r="F426" t="str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  <v/>
      </c>
      <c r="Q426"/>
      <c r="R426"/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20.25" customHeight="1">
      <c r="D427" s="15" t="str">
        <f t="shared" si="21"/>
        <v/>
      </c>
      <c r="E427" s="15" t="str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  <v/>
      </c>
      <c r="F427" t="str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  <v/>
      </c>
      <c r="Q427"/>
      <c r="R427"/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20.25" customHeight="1">
      <c r="D428" s="15" t="str">
        <f t="shared" si="21"/>
        <v/>
      </c>
      <c r="E428" s="15" t="str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  <v/>
      </c>
      <c r="F428" t="str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  <v/>
      </c>
      <c r="Q428"/>
      <c r="R428"/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20.25" customHeight="1">
      <c r="D429" s="15" t="str">
        <f t="shared" si="21"/>
        <v/>
      </c>
      <c r="E429" s="15" t="str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  <v/>
      </c>
      <c r="F429" t="str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  <v/>
      </c>
      <c r="Q429"/>
      <c r="R429"/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20.25" customHeight="1">
      <c r="D430" s="15" t="str">
        <f t="shared" si="21"/>
        <v/>
      </c>
      <c r="E430" s="15" t="str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  <v/>
      </c>
      <c r="F430" t="str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  <v/>
      </c>
      <c r="Q430"/>
      <c r="R430"/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20.25" customHeight="1">
      <c r="D431" s="15" t="str">
        <f t="shared" si="21"/>
        <v/>
      </c>
      <c r="E431" s="15" t="str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  <v/>
      </c>
      <c r="F431" t="str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  <v/>
      </c>
      <c r="Q431"/>
      <c r="R431"/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20.25" customHeight="1">
      <c r="D432" s="15" t="str">
        <f t="shared" si="21"/>
        <v/>
      </c>
      <c r="E432" s="15" t="str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  <v/>
      </c>
      <c r="F432" t="str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  <v/>
      </c>
      <c r="Q432"/>
      <c r="R432"/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20.25" customHeight="1">
      <c r="D433" s="15" t="str">
        <f t="shared" si="21"/>
        <v/>
      </c>
      <c r="E433" s="15" t="str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  <v/>
      </c>
      <c r="F433" t="str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  <v/>
      </c>
      <c r="Q433"/>
      <c r="R433"/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20.25" customHeight="1">
      <c r="D434" s="15" t="str">
        <f t="shared" si="21"/>
        <v/>
      </c>
      <c r="E434" s="15" t="str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  <v/>
      </c>
      <c r="F434" t="str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  <v/>
      </c>
      <c r="Q434"/>
      <c r="R434"/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20.25" customHeight="1">
      <c r="D435" s="15" t="str">
        <f t="shared" si="21"/>
        <v/>
      </c>
      <c r="E435" s="15" t="str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  <v/>
      </c>
      <c r="F435" t="str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  <v/>
      </c>
      <c r="Q435"/>
      <c r="R435"/>
      <c r="BL435" s="4" t="str">
        <f t="shared" si="19"/>
        <v/>
      </c>
      <c r="BM435" s="8" t="str">
        <f t="shared" si="2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20.25" customHeight="1">
      <c r="D436" s="15" t="str">
        <f t="shared" si="21"/>
        <v/>
      </c>
      <c r="E436" s="15" t="str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  <v/>
      </c>
      <c r="F436" t="str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  <v/>
      </c>
      <c r="Q436"/>
      <c r="R436"/>
      <c r="BL436" s="4" t="str">
        <f t="shared" si="19"/>
        <v/>
      </c>
      <c r="BM436" s="8" t="str">
        <f t="shared" si="2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20.25" customHeight="1">
      <c r="D437" s="15" t="str">
        <f t="shared" si="21"/>
        <v/>
      </c>
      <c r="E437" s="15" t="str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  <v/>
      </c>
      <c r="F437" t="str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  <v/>
      </c>
      <c r="Q437"/>
      <c r="R437"/>
      <c r="BL437" s="4" t="str">
        <f t="shared" si="19"/>
        <v/>
      </c>
      <c r="BM437" s="8" t="str">
        <f t="shared" si="2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20.25" customHeight="1">
      <c r="D438" s="15" t="str">
        <f t="shared" si="21"/>
        <v/>
      </c>
      <c r="E438" s="15" t="str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  <v/>
      </c>
      <c r="F438" t="str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  <v/>
      </c>
      <c r="Q438"/>
      <c r="R438"/>
      <c r="BL438" s="4" t="str">
        <f t="shared" si="19"/>
        <v/>
      </c>
      <c r="BM438" s="8" t="str">
        <f t="shared" si="2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20.25" customHeight="1">
      <c r="D439" s="15" t="str">
        <f t="shared" si="21"/>
        <v/>
      </c>
      <c r="E439" s="15" t="str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  <v/>
      </c>
      <c r="F439" t="str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  <v/>
      </c>
      <c r="Q439"/>
      <c r="R439"/>
      <c r="BL439" s="4" t="str">
        <f t="shared" ref="BL439:BL502" si="22"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  <v/>
      </c>
      <c r="BM439" s="8" t="str">
        <f t="shared" ref="BM439:BM502" si="23">IF($T439="","",IF($BL439="","Yes","Blocked"))</f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20.25" customHeight="1">
      <c r="D440" s="15" t="str">
        <f t="shared" si="21"/>
        <v/>
      </c>
      <c r="E440" s="15" t="str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  <v/>
      </c>
      <c r="F440" t="str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  <v/>
      </c>
      <c r="Q440"/>
      <c r="R440"/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20.25" customHeight="1">
      <c r="D441" s="15" t="str">
        <f t="shared" si="21"/>
        <v/>
      </c>
      <c r="E441" s="15" t="str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  <v/>
      </c>
      <c r="F441" t="str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  <v/>
      </c>
      <c r="Q441"/>
      <c r="R441"/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20.25" customHeight="1">
      <c r="D442" s="15" t="str">
        <f t="shared" si="21"/>
        <v/>
      </c>
      <c r="E442" s="15" t="str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  <v/>
      </c>
      <c r="F442" t="str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  <v/>
      </c>
      <c r="Q442"/>
      <c r="R442"/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20.25" customHeight="1">
      <c r="D443" s="15" t="str">
        <f t="shared" si="21"/>
        <v/>
      </c>
      <c r="E443" s="15" t="str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  <v/>
      </c>
      <c r="F443" t="str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  <v/>
      </c>
      <c r="Q443"/>
      <c r="R443"/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20.25" customHeight="1">
      <c r="D444" s="15" t="str">
        <f t="shared" si="21"/>
        <v/>
      </c>
      <c r="E444" s="15" t="str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  <v/>
      </c>
      <c r="F444" t="str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  <v/>
      </c>
      <c r="Q444"/>
      <c r="R444"/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20.25" customHeight="1">
      <c r="D445" s="15" t="str">
        <f t="shared" si="21"/>
        <v/>
      </c>
      <c r="E445" s="15" t="str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  <v/>
      </c>
      <c r="F445" t="str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  <v/>
      </c>
      <c r="Q445"/>
      <c r="R445"/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20.25" customHeight="1">
      <c r="D446" s="15" t="str">
        <f t="shared" si="21"/>
        <v/>
      </c>
      <c r="E446" s="15" t="str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  <v/>
      </c>
      <c r="F446" t="str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  <v/>
      </c>
      <c r="Q446"/>
      <c r="R446"/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20.25" customHeight="1">
      <c r="D447" s="15" t="str">
        <f t="shared" si="21"/>
        <v/>
      </c>
      <c r="E447" s="15" t="str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  <v/>
      </c>
      <c r="F447" t="str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  <v/>
      </c>
      <c r="Q447"/>
      <c r="R447"/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20.25" customHeight="1">
      <c r="D448" s="15" t="str">
        <f t="shared" si="21"/>
        <v/>
      </c>
      <c r="E448" s="15" t="str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  <v/>
      </c>
      <c r="F448" t="str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  <v/>
      </c>
      <c r="Q448"/>
      <c r="R448"/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20.25" customHeight="1">
      <c r="D449" s="15" t="str">
        <f t="shared" si="21"/>
        <v/>
      </c>
      <c r="E449" s="15" t="str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  <v/>
      </c>
      <c r="F449" t="str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  <v/>
      </c>
      <c r="Q449"/>
      <c r="R449"/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20.25" customHeight="1">
      <c r="D450" s="15" t="str">
        <f t="shared" si="21"/>
        <v/>
      </c>
      <c r="E450" s="15" t="str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  <v/>
      </c>
      <c r="F450" t="str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  <v/>
      </c>
      <c r="Q450"/>
      <c r="R450"/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20.25" customHeight="1">
      <c r="D451" s="15" t="str">
        <f t="shared" si="21"/>
        <v/>
      </c>
      <c r="E451" s="15" t="str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  <v/>
      </c>
      <c r="F451" t="str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  <v/>
      </c>
      <c r="Q451"/>
      <c r="R451"/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20.25" customHeight="1">
      <c r="D452" s="15" t="str">
        <f t="shared" si="21"/>
        <v/>
      </c>
      <c r="E452" s="15" t="str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  <v/>
      </c>
      <c r="F452" t="str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  <v/>
      </c>
      <c r="Q452"/>
      <c r="R452"/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20.25" customHeight="1">
      <c r="D453" s="15" t="str">
        <f t="shared" si="21"/>
        <v/>
      </c>
      <c r="E453" s="15" t="str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  <v/>
      </c>
      <c r="F453" t="str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  <v/>
      </c>
      <c r="Q453"/>
      <c r="R453"/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20.25" customHeight="1">
      <c r="D454" s="15" t="str">
        <f t="shared" si="21"/>
        <v/>
      </c>
      <c r="E454" s="15" t="str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  <v/>
      </c>
      <c r="F454" t="str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  <v/>
      </c>
      <c r="Q454"/>
      <c r="R454"/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20.25" customHeight="1">
      <c r="D455" s="15" t="str">
        <f t="shared" si="21"/>
        <v/>
      </c>
      <c r="E455" s="15" t="str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  <v/>
      </c>
      <c r="F455" t="str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  <v/>
      </c>
      <c r="Q455"/>
      <c r="R455"/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20.25" customHeight="1">
      <c r="D456" s="15" t="str">
        <f t="shared" si="21"/>
        <v/>
      </c>
      <c r="E456" s="15" t="str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  <v/>
      </c>
      <c r="F456" t="str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  <v/>
      </c>
      <c r="Q456"/>
      <c r="R456"/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20.25" customHeight="1">
      <c r="D457" s="15" t="str">
        <f t="shared" si="21"/>
        <v/>
      </c>
      <c r="E457" s="15" t="str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  <v/>
      </c>
      <c r="F457" t="str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  <v/>
      </c>
      <c r="Q457"/>
      <c r="R457"/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20.25" customHeight="1">
      <c r="D458" s="15" t="str">
        <f t="shared" si="21"/>
        <v/>
      </c>
      <c r="E458" s="15" t="str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  <v/>
      </c>
      <c r="F458" t="str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  <v/>
      </c>
      <c r="Q458"/>
      <c r="R458"/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20.25" customHeight="1">
      <c r="D459" s="15" t="str">
        <f t="shared" si="21"/>
        <v/>
      </c>
      <c r="E459" s="15" t="str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  <v/>
      </c>
      <c r="F459" t="str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  <v/>
      </c>
      <c r="Q459"/>
      <c r="R459"/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20.25" customHeight="1">
      <c r="D460" s="15" t="str">
        <f t="shared" si="21"/>
        <v/>
      </c>
      <c r="E460" s="15" t="str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  <v/>
      </c>
      <c r="F460" t="str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  <v/>
      </c>
      <c r="Q460"/>
      <c r="R460"/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20.25" customHeight="1">
      <c r="D461" s="15" t="str">
        <f t="shared" si="21"/>
        <v/>
      </c>
      <c r="E461" s="15" t="str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  <v/>
      </c>
      <c r="F461" t="str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  <v/>
      </c>
      <c r="Q461"/>
      <c r="R461"/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20.25" customHeight="1">
      <c r="D462" s="15" t="str">
        <f t="shared" si="21"/>
        <v/>
      </c>
      <c r="E462" s="15" t="str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  <v/>
      </c>
      <c r="F462" t="str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  <v/>
      </c>
      <c r="Q462"/>
      <c r="R462"/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20.25" customHeight="1">
      <c r="D463" s="15" t="str">
        <f t="shared" ref="D463:D526" si="24">IF($B463&lt;&gt;"Yes","",IF($C463="No","Yes",IF($C463="Yes","No","")))</f>
        <v/>
      </c>
      <c r="E463" s="15" t="str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  <v/>
      </c>
      <c r="F463" t="str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  <v/>
      </c>
      <c r="Q463"/>
      <c r="R463"/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20.25" customHeight="1">
      <c r="D464" s="15" t="str">
        <f t="shared" si="24"/>
        <v/>
      </c>
      <c r="E464" s="15" t="str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  <v/>
      </c>
      <c r="F464" t="str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  <v/>
      </c>
      <c r="Q464"/>
      <c r="R464"/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20.25" customHeight="1">
      <c r="D465" s="15" t="str">
        <f t="shared" si="24"/>
        <v/>
      </c>
      <c r="E465" s="15" t="str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  <v/>
      </c>
      <c r="F465" t="str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  <v/>
      </c>
      <c r="Q465"/>
      <c r="R465"/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20.25" customHeight="1">
      <c r="D466" s="15" t="str">
        <f t="shared" si="24"/>
        <v/>
      </c>
      <c r="E466" s="15" t="str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  <v/>
      </c>
      <c r="F466" t="str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  <v/>
      </c>
      <c r="Q466"/>
      <c r="R466"/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20.25" customHeight="1">
      <c r="D467" s="15" t="str">
        <f t="shared" si="24"/>
        <v/>
      </c>
      <c r="E467" s="15" t="str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  <v/>
      </c>
      <c r="F467" t="str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  <v/>
      </c>
      <c r="Q467"/>
      <c r="R467"/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20.25" customHeight="1">
      <c r="D468" s="15" t="str">
        <f t="shared" si="24"/>
        <v/>
      </c>
      <c r="E468" s="15" t="str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  <v/>
      </c>
      <c r="F468" t="str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  <v/>
      </c>
      <c r="Q468"/>
      <c r="R468"/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20.25" customHeight="1">
      <c r="D469" s="15" t="str">
        <f t="shared" si="24"/>
        <v/>
      </c>
      <c r="E469" s="15" t="str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  <v/>
      </c>
      <c r="F469" t="str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  <v/>
      </c>
      <c r="Q469"/>
      <c r="R469"/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20.25" customHeight="1">
      <c r="D470" s="15" t="str">
        <f t="shared" si="24"/>
        <v/>
      </c>
      <c r="E470" s="15" t="str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  <v/>
      </c>
      <c r="F470" t="str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  <v/>
      </c>
      <c r="Q470"/>
      <c r="R470"/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20.25" customHeight="1">
      <c r="D471" s="15" t="str">
        <f t="shared" si="24"/>
        <v/>
      </c>
      <c r="E471" s="15" t="str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  <v/>
      </c>
      <c r="F471" t="str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  <v/>
      </c>
      <c r="Q471"/>
      <c r="R471"/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20.25" customHeight="1">
      <c r="D472" s="15" t="str">
        <f t="shared" si="24"/>
        <v/>
      </c>
      <c r="E472" s="15" t="str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  <v/>
      </c>
      <c r="F472" t="str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  <v/>
      </c>
      <c r="Q472"/>
      <c r="R472"/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20.25" customHeight="1">
      <c r="D473" s="15" t="str">
        <f t="shared" si="24"/>
        <v/>
      </c>
      <c r="E473" s="15" t="str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  <v/>
      </c>
      <c r="F473" t="str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  <v/>
      </c>
      <c r="Q473"/>
      <c r="R473"/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20.25" customHeight="1">
      <c r="D474" s="15" t="str">
        <f t="shared" si="24"/>
        <v/>
      </c>
      <c r="E474" s="15" t="str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  <v/>
      </c>
      <c r="F474" t="str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  <v/>
      </c>
      <c r="Q474"/>
      <c r="R474"/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20.25" customHeight="1">
      <c r="D475" s="15" t="str">
        <f t="shared" si="24"/>
        <v/>
      </c>
      <c r="E475" s="15" t="str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  <v/>
      </c>
      <c r="F475" t="str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  <v/>
      </c>
      <c r="Q475"/>
      <c r="R475"/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20.25" customHeight="1">
      <c r="D476" s="15" t="str">
        <f t="shared" si="24"/>
        <v/>
      </c>
      <c r="E476" s="15" t="str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  <v/>
      </c>
      <c r="F476" t="str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  <v/>
      </c>
      <c r="Q476"/>
      <c r="R476"/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20.25" customHeight="1">
      <c r="D477" s="15" t="str">
        <f t="shared" si="24"/>
        <v/>
      </c>
      <c r="E477" s="15" t="str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  <v/>
      </c>
      <c r="F477" t="str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  <v/>
      </c>
      <c r="Q477"/>
      <c r="R477"/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20.25" customHeight="1">
      <c r="D478" s="15" t="str">
        <f t="shared" si="24"/>
        <v/>
      </c>
      <c r="E478" s="15" t="str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  <v/>
      </c>
      <c r="F478" t="str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  <v/>
      </c>
      <c r="Q478"/>
      <c r="R478"/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20.25" customHeight="1">
      <c r="D479" s="15" t="str">
        <f t="shared" si="24"/>
        <v/>
      </c>
      <c r="E479" s="15" t="str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  <v/>
      </c>
      <c r="F479" t="str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  <v/>
      </c>
      <c r="Q479"/>
      <c r="R479"/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20.25" customHeight="1">
      <c r="D480" s="15" t="str">
        <f t="shared" si="24"/>
        <v/>
      </c>
      <c r="E480" s="15" t="str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  <v/>
      </c>
      <c r="F480" t="str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  <v/>
      </c>
      <c r="Q480"/>
      <c r="R480"/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20.25" customHeight="1">
      <c r="D481" s="15" t="str">
        <f t="shared" si="24"/>
        <v/>
      </c>
      <c r="E481" s="15" t="str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  <v/>
      </c>
      <c r="F481" t="str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  <v/>
      </c>
      <c r="Q481"/>
      <c r="R481"/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20.25" customHeight="1">
      <c r="D482" s="15" t="str">
        <f t="shared" si="24"/>
        <v/>
      </c>
      <c r="E482" s="15" t="str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  <v/>
      </c>
      <c r="F482" t="str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  <v/>
      </c>
      <c r="Q482"/>
      <c r="R482"/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20.25" customHeight="1">
      <c r="D483" s="15" t="str">
        <f t="shared" si="24"/>
        <v/>
      </c>
      <c r="E483" s="15" t="str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  <v/>
      </c>
      <c r="F483" t="str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  <v/>
      </c>
      <c r="Q483"/>
      <c r="R483"/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20.25" customHeight="1">
      <c r="D484" s="15" t="str">
        <f t="shared" si="24"/>
        <v/>
      </c>
      <c r="E484" s="15" t="str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  <v/>
      </c>
      <c r="F484" t="str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  <v/>
      </c>
      <c r="Q484"/>
      <c r="R484"/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20.25" customHeight="1">
      <c r="D485" s="15" t="str">
        <f t="shared" si="24"/>
        <v/>
      </c>
      <c r="E485" s="15" t="str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  <v/>
      </c>
      <c r="F485" t="str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  <v/>
      </c>
      <c r="Q485"/>
      <c r="R485"/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20.25" customHeight="1">
      <c r="D486" s="15" t="str">
        <f t="shared" si="24"/>
        <v/>
      </c>
      <c r="E486" s="15" t="str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  <v/>
      </c>
      <c r="F486" t="str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  <v/>
      </c>
      <c r="Q486"/>
      <c r="R486"/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20.25" customHeight="1">
      <c r="D487" s="15" t="str">
        <f t="shared" si="24"/>
        <v/>
      </c>
      <c r="E487" s="15" t="str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Q487"/>
      <c r="R487"/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20.25" customHeight="1">
      <c r="D488" s="15" t="str">
        <f t="shared" si="24"/>
        <v/>
      </c>
      <c r="E488" s="15" t="str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  <v/>
      </c>
      <c r="F488" t="str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  <v/>
      </c>
      <c r="Q488"/>
      <c r="R488"/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20.25" customHeight="1">
      <c r="D489" s="15" t="str">
        <f t="shared" si="24"/>
        <v/>
      </c>
      <c r="E489" s="15" t="str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  <v/>
      </c>
      <c r="F489" t="str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  <v/>
      </c>
      <c r="Q489"/>
      <c r="R489"/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20.25" customHeight="1">
      <c r="D490" s="15" t="str">
        <f t="shared" si="24"/>
        <v/>
      </c>
      <c r="E490" s="15" t="str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  <v/>
      </c>
      <c r="F490" t="str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  <v/>
      </c>
      <c r="Q490"/>
      <c r="R490"/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20.25" customHeight="1">
      <c r="D491" s="15" t="str">
        <f t="shared" si="24"/>
        <v/>
      </c>
      <c r="E491" s="15" t="str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  <v/>
      </c>
      <c r="F491" t="str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  <v/>
      </c>
      <c r="Q491"/>
      <c r="R491"/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20.25" customHeight="1">
      <c r="D492" s="15" t="str">
        <f t="shared" si="24"/>
        <v/>
      </c>
      <c r="E492" s="15" t="str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  <v/>
      </c>
      <c r="F492" t="str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  <v/>
      </c>
      <c r="Q492"/>
      <c r="R492"/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20.25" customHeight="1">
      <c r="D493" s="15" t="str">
        <f t="shared" si="24"/>
        <v/>
      </c>
      <c r="E493" s="15" t="str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  <v/>
      </c>
      <c r="F493" t="str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  <v/>
      </c>
      <c r="Q493"/>
      <c r="R493"/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20.25" customHeight="1">
      <c r="D494" s="15" t="str">
        <f t="shared" si="24"/>
        <v/>
      </c>
      <c r="E494" s="15" t="str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  <v/>
      </c>
      <c r="F494" t="str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  <v/>
      </c>
      <c r="Q494"/>
      <c r="R494"/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20.25" customHeight="1">
      <c r="D495" s="15" t="str">
        <f t="shared" si="24"/>
        <v/>
      </c>
      <c r="E495" s="15" t="str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  <v/>
      </c>
      <c r="F495" t="str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  <v/>
      </c>
      <c r="Q495"/>
      <c r="R495"/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20.25" customHeight="1">
      <c r="D496" s="15" t="str">
        <f t="shared" si="24"/>
        <v/>
      </c>
      <c r="E496" s="15" t="str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  <v/>
      </c>
      <c r="F496" t="str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  <v/>
      </c>
      <c r="Q496"/>
      <c r="R496"/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20.25" customHeight="1">
      <c r="D497" s="15" t="str">
        <f t="shared" si="24"/>
        <v/>
      </c>
      <c r="E497" s="15" t="str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  <v/>
      </c>
      <c r="F497" t="str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  <v/>
      </c>
      <c r="Q497"/>
      <c r="R497"/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20.25" customHeight="1">
      <c r="D498" s="15" t="str">
        <f t="shared" si="24"/>
        <v/>
      </c>
      <c r="E498" s="15" t="str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  <v/>
      </c>
      <c r="F498" t="str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  <v/>
      </c>
      <c r="Q498"/>
      <c r="R498"/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20.25" customHeight="1">
      <c r="D499" s="15" t="str">
        <f t="shared" si="24"/>
        <v/>
      </c>
      <c r="E499" s="15" t="str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  <v/>
      </c>
      <c r="F499" t="str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  <v/>
      </c>
      <c r="Q499"/>
      <c r="R499"/>
      <c r="BL499" s="4" t="str">
        <f t="shared" si="22"/>
        <v/>
      </c>
      <c r="BM499" s="8" t="str">
        <f t="shared" si="23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20.25" customHeight="1">
      <c r="D500" s="15" t="str">
        <f t="shared" si="24"/>
        <v/>
      </c>
      <c r="E500" s="15" t="str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  <v/>
      </c>
      <c r="F500" t="str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  <v/>
      </c>
      <c r="Q500"/>
      <c r="R500"/>
      <c r="BL500" s="4" t="str">
        <f t="shared" si="22"/>
        <v/>
      </c>
      <c r="BM500" s="8" t="str">
        <f t="shared" si="23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20.25" customHeight="1">
      <c r="D501" s="15" t="str">
        <f t="shared" si="24"/>
        <v/>
      </c>
      <c r="E501" s="15" t="str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  <v/>
      </c>
      <c r="F501" t="str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  <v/>
      </c>
      <c r="Q501"/>
      <c r="R501"/>
      <c r="BL501" s="4" t="str">
        <f t="shared" si="22"/>
        <v/>
      </c>
      <c r="BM501" s="8" t="str">
        <f t="shared" si="23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20.25" customHeight="1">
      <c r="D502" s="15" t="str">
        <f t="shared" si="24"/>
        <v/>
      </c>
      <c r="E502" s="15" t="str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  <v/>
      </c>
      <c r="F502" t="str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  <v/>
      </c>
      <c r="Q502"/>
      <c r="R502"/>
      <c r="BL502" s="4" t="str">
        <f t="shared" si="22"/>
        <v/>
      </c>
      <c r="BM502" s="8" t="str">
        <f t="shared" si="23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20.25" customHeight="1">
      <c r="D503" s="15" t="str">
        <f t="shared" si="24"/>
        <v/>
      </c>
      <c r="E503" s="15" t="str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  <v/>
      </c>
      <c r="F503" t="str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  <v/>
      </c>
      <c r="Q503"/>
      <c r="R503"/>
      <c r="BL503" s="4" t="str">
        <f t="shared" ref="BL503:BL508" si="25"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  <v/>
      </c>
      <c r="BM503" s="8" t="str">
        <f t="shared" ref="BM503:BM508" si="26">IF($T503="","",IF($BL503="","Yes","Blocked"))</f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20.25" customHeight="1">
      <c r="D504" s="15" t="str">
        <f t="shared" si="24"/>
        <v/>
      </c>
      <c r="E504" s="15" t="str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  <v/>
      </c>
      <c r="F504" t="str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  <v/>
      </c>
      <c r="Q504"/>
      <c r="R504"/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20.25" customHeight="1">
      <c r="D505" s="15" t="str">
        <f t="shared" si="24"/>
        <v/>
      </c>
      <c r="E505" s="15" t="str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  <v/>
      </c>
      <c r="F505" t="str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  <v/>
      </c>
      <c r="Q505"/>
      <c r="R505"/>
      <c r="BL505" s="4" t="str">
        <f t="shared" si="25"/>
        <v/>
      </c>
      <c r="BM505" s="8" t="str">
        <f t="shared" si="26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1:70" ht="20.25" customHeight="1">
      <c r="D506" s="15" t="str">
        <f t="shared" si="24"/>
        <v/>
      </c>
      <c r="E506" s="15" t="str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  <v/>
      </c>
      <c r="F506" t="str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  <v/>
      </c>
      <c r="Q506"/>
      <c r="R506"/>
      <c r="BL506" s="4" t="str">
        <f t="shared" si="25"/>
        <v/>
      </c>
      <c r="BM506" s="8" t="str">
        <f t="shared" si="26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1:70" ht="20.25" customHeight="1">
      <c r="D507" s="15" t="str">
        <f t="shared" si="24"/>
        <v/>
      </c>
      <c r="E507" s="15" t="str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  <v/>
      </c>
      <c r="F507" t="str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  <v/>
      </c>
      <c r="Q507"/>
      <c r="R507"/>
      <c r="BL507" s="4" t="str">
        <f t="shared" si="25"/>
        <v/>
      </c>
      <c r="BM507" s="8" t="str">
        <f t="shared" si="26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1:70" ht="20.25" customHeight="1">
      <c r="D508" s="15" t="str">
        <f t="shared" si="24"/>
        <v/>
      </c>
      <c r="E508" s="15" t="str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  <v/>
      </c>
      <c r="F508" t="str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  <v/>
      </c>
      <c r="Q508"/>
      <c r="R508"/>
      <c r="BL508" s="4" t="str">
        <f t="shared" si="25"/>
        <v/>
      </c>
      <c r="BM508" s="8" t="str">
        <f t="shared" si="26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1:70" ht="20.25" customHeight="1">
      <c r="A509" s="79"/>
      <c r="D509" s="15" t="str">
        <f t="shared" si="24"/>
        <v/>
      </c>
      <c r="E509" s="15" t="str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  <v/>
      </c>
      <c r="F509" t="str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Q509"/>
      <c r="R509"/>
      <c r="BL509" t="str">
        <f t="shared" ref="BL509:BL531" si="27"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  <v/>
      </c>
      <c r="BM509" t="str">
        <f t="shared" ref="BM509:BM531" si="28">IF($T509="","",IF($BL509="","Yes","Blocked"))</f>
        <v/>
      </c>
    </row>
    <row r="510" spans="1:70" ht="20.25" customHeight="1">
      <c r="A510" s="27"/>
      <c r="B510" s="27"/>
      <c r="C510" s="80"/>
      <c r="D510" s="15" t="str">
        <f t="shared" si="24"/>
        <v/>
      </c>
      <c r="E510" s="15" t="str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  <v/>
      </c>
      <c r="F510" t="str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  <v/>
      </c>
      <c r="Q510"/>
      <c r="R510"/>
      <c r="BL510" t="str">
        <f t="shared" si="27"/>
        <v/>
      </c>
      <c r="BM510" t="str">
        <f t="shared" si="28"/>
        <v/>
      </c>
    </row>
    <row r="511" spans="1:70" ht="20.25" customHeight="1">
      <c r="D511" s="15" t="str">
        <f t="shared" si="24"/>
        <v/>
      </c>
      <c r="E511" s="15" t="str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  <v/>
      </c>
      <c r="F511" t="str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  <v/>
      </c>
      <c r="Q511"/>
      <c r="R511"/>
      <c r="BL511" t="str">
        <f t="shared" si="27"/>
        <v/>
      </c>
      <c r="BM511" t="str">
        <f t="shared" si="28"/>
        <v/>
      </c>
    </row>
    <row r="512" spans="1:70" ht="20.25" customHeight="1">
      <c r="D512" s="15" t="str">
        <f t="shared" si="24"/>
        <v/>
      </c>
      <c r="E512" s="15" t="str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  <v/>
      </c>
      <c r="F512" t="str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  <v/>
      </c>
      <c r="Q512"/>
      <c r="R512"/>
      <c r="BL512" t="str">
        <f t="shared" si="27"/>
        <v/>
      </c>
      <c r="BM512" t="str">
        <f t="shared" si="28"/>
        <v/>
      </c>
    </row>
    <row r="513" spans="1:65" ht="20.25" customHeight="1">
      <c r="D513" s="15" t="str">
        <f t="shared" si="24"/>
        <v/>
      </c>
      <c r="E513" s="15" t="str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  <v/>
      </c>
      <c r="F513" t="str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  <v/>
      </c>
      <c r="Q513"/>
      <c r="R513"/>
      <c r="BL513" t="str">
        <f t="shared" si="27"/>
        <v/>
      </c>
      <c r="BM513" t="str">
        <f t="shared" si="28"/>
        <v/>
      </c>
    </row>
    <row r="514" spans="1:65" ht="20.25" customHeight="1">
      <c r="D514" s="15" t="str">
        <f t="shared" si="24"/>
        <v/>
      </c>
      <c r="E514" s="15" t="str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  <v/>
      </c>
      <c r="F514" t="str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  <v/>
      </c>
      <c r="Q514"/>
      <c r="R514"/>
      <c r="BL514" t="str">
        <f t="shared" si="27"/>
        <v/>
      </c>
      <c r="BM514" t="str">
        <f t="shared" si="28"/>
        <v/>
      </c>
    </row>
    <row r="515" spans="1:65" ht="20.25" customHeight="1">
      <c r="D515" s="15" t="str">
        <f t="shared" si="24"/>
        <v/>
      </c>
      <c r="E515" s="15" t="str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  <v/>
      </c>
      <c r="F515" t="str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  <v/>
      </c>
      <c r="Q515"/>
      <c r="R515"/>
      <c r="BL515" t="str">
        <f t="shared" si="27"/>
        <v/>
      </c>
      <c r="BM515" t="str">
        <f t="shared" si="28"/>
        <v/>
      </c>
    </row>
    <row r="516" spans="1:65" ht="20.25" customHeight="1">
      <c r="C516" s="80"/>
      <c r="D516" s="15" t="str">
        <f t="shared" si="24"/>
        <v/>
      </c>
      <c r="E516" s="15" t="str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  <v/>
      </c>
      <c r="F516" t="str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  <v/>
      </c>
      <c r="Q516"/>
      <c r="R516"/>
      <c r="BL516" t="str">
        <f t="shared" si="27"/>
        <v/>
      </c>
      <c r="BM516" t="str">
        <f t="shared" si="28"/>
        <v/>
      </c>
    </row>
    <row r="517" spans="1:65" ht="20.25" customHeight="1">
      <c r="D517" s="15" t="str">
        <f t="shared" si="24"/>
        <v/>
      </c>
      <c r="E517" s="15" t="str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  <v/>
      </c>
      <c r="F517" t="str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  <v/>
      </c>
      <c r="Q517"/>
      <c r="R517"/>
      <c r="BL517" t="str">
        <f t="shared" si="27"/>
        <v/>
      </c>
      <c r="BM517" t="str">
        <f t="shared" si="28"/>
        <v/>
      </c>
    </row>
    <row r="518" spans="1:65" ht="20.25" customHeight="1">
      <c r="D518" s="15" t="str">
        <f t="shared" si="24"/>
        <v/>
      </c>
      <c r="E518" s="15" t="str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  <v/>
      </c>
      <c r="F518" t="str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  <v/>
      </c>
      <c r="Q518"/>
      <c r="R518"/>
      <c r="BL518" t="str">
        <f t="shared" si="27"/>
        <v/>
      </c>
      <c r="BM518" t="str">
        <f t="shared" si="28"/>
        <v/>
      </c>
    </row>
    <row r="519" spans="1:65" ht="20.25" customHeight="1">
      <c r="D519" s="15" t="str">
        <f t="shared" si="24"/>
        <v/>
      </c>
      <c r="E519" s="15" t="str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  <v/>
      </c>
      <c r="F519" t="str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  <v/>
      </c>
      <c r="Q519"/>
      <c r="R519"/>
      <c r="BL519" t="str">
        <f t="shared" si="27"/>
        <v/>
      </c>
      <c r="BM519" t="str">
        <f t="shared" si="28"/>
        <v/>
      </c>
    </row>
    <row r="520" spans="1:65" ht="20.25" customHeight="1">
      <c r="D520" s="15" t="str">
        <f t="shared" si="24"/>
        <v/>
      </c>
      <c r="E520" s="15" t="str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  <v/>
      </c>
      <c r="F520" t="str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  <v/>
      </c>
      <c r="Q520"/>
      <c r="R520"/>
      <c r="BL520" t="str">
        <f t="shared" si="27"/>
        <v/>
      </c>
      <c r="BM520" t="str">
        <f t="shared" si="28"/>
        <v/>
      </c>
    </row>
    <row r="521" spans="1:65" ht="20.25" customHeight="1">
      <c r="D521" s="15" t="str">
        <f t="shared" si="24"/>
        <v/>
      </c>
      <c r="E521" s="15" t="str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  <v/>
      </c>
      <c r="F521" t="str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  <v/>
      </c>
      <c r="Q521"/>
      <c r="R521"/>
      <c r="BL521" t="str">
        <f t="shared" si="27"/>
        <v/>
      </c>
      <c r="BM521" t="str">
        <f t="shared" si="28"/>
        <v/>
      </c>
    </row>
    <row r="522" spans="1:65" ht="20.25" customHeight="1">
      <c r="D522" s="15" t="str">
        <f t="shared" si="24"/>
        <v/>
      </c>
      <c r="E522" s="15" t="str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  <v/>
      </c>
      <c r="F522" t="str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  <v/>
      </c>
      <c r="Q522"/>
      <c r="R522"/>
      <c r="BL522" t="str">
        <f t="shared" si="27"/>
        <v/>
      </c>
      <c r="BM522" t="str">
        <f t="shared" si="28"/>
        <v/>
      </c>
    </row>
    <row r="523" spans="1:65" ht="20.25" customHeight="1">
      <c r="D523" s="15" t="str">
        <f t="shared" si="24"/>
        <v/>
      </c>
      <c r="E523" s="15" t="str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  <v/>
      </c>
      <c r="F523" t="str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  <v/>
      </c>
      <c r="Q523"/>
      <c r="R523"/>
      <c r="BL523" t="str">
        <f t="shared" si="27"/>
        <v/>
      </c>
      <c r="BM523" t="str">
        <f t="shared" si="28"/>
        <v/>
      </c>
    </row>
    <row r="524" spans="1:65" ht="20.25" customHeight="1">
      <c r="D524" s="15" t="str">
        <f t="shared" si="24"/>
        <v/>
      </c>
      <c r="E524" s="15" t="str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  <v/>
      </c>
      <c r="F524" t="str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  <v/>
      </c>
      <c r="Q524"/>
      <c r="R524"/>
      <c r="BL524" t="str">
        <f t="shared" si="27"/>
        <v/>
      </c>
      <c r="BM524" t="str">
        <f t="shared" si="28"/>
        <v/>
      </c>
    </row>
    <row r="525" spans="1:65" ht="20.25" customHeight="1">
      <c r="D525" s="15" t="str">
        <f t="shared" si="24"/>
        <v/>
      </c>
      <c r="E525" s="15" t="str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  <v/>
      </c>
      <c r="F525" t="str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  <v/>
      </c>
      <c r="Q525"/>
      <c r="R525"/>
      <c r="BL525" t="str">
        <f t="shared" si="27"/>
        <v/>
      </c>
      <c r="BM525" t="str">
        <f t="shared" si="28"/>
        <v/>
      </c>
    </row>
    <row r="526" spans="1:65" ht="20.25" customHeight="1">
      <c r="A526" s="79"/>
      <c r="D526" s="15" t="str">
        <f t="shared" si="24"/>
        <v/>
      </c>
      <c r="E526" s="15" t="str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  <v/>
      </c>
      <c r="F526" t="str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  <v/>
      </c>
      <c r="Q526"/>
      <c r="R526"/>
      <c r="BL526" t="str">
        <f t="shared" si="27"/>
        <v/>
      </c>
      <c r="BM526" t="str">
        <f t="shared" si="28"/>
        <v/>
      </c>
    </row>
    <row r="527" spans="1:65" ht="20.25" customHeight="1">
      <c r="D527" s="15" t="str">
        <f t="shared" ref="D527:D531" si="29">IF($B527&lt;&gt;"Yes","",IF($C527="No","Yes",IF($C527="Yes","No","")))</f>
        <v/>
      </c>
      <c r="E527" s="15" t="str">
        <f t="shared" ref="E527:E531" si="30"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  <v/>
      </c>
      <c r="F527" t="str">
        <f t="shared" ref="F527:F531" si="31"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  <v/>
      </c>
      <c r="Q527"/>
      <c r="R527"/>
      <c r="BM527" t="str">
        <f t="shared" si="28"/>
        <v/>
      </c>
    </row>
    <row r="528" spans="1:65" ht="20.25" customHeight="1">
      <c r="D528" s="15" t="str">
        <f t="shared" si="29"/>
        <v/>
      </c>
      <c r="E528" s="15" t="str">
        <f t="shared" si="30"/>
        <v/>
      </c>
      <c r="F528" t="str">
        <f t="shared" si="31"/>
        <v/>
      </c>
      <c r="Q528"/>
      <c r="R528"/>
      <c r="BM528" t="str">
        <f t="shared" si="28"/>
        <v/>
      </c>
    </row>
    <row r="529" spans="1:65" ht="20.25" customHeight="1">
      <c r="D529" s="15" t="str">
        <f t="shared" si="29"/>
        <v/>
      </c>
      <c r="E529" s="15" t="str">
        <f t="shared" si="30"/>
        <v/>
      </c>
      <c r="F529" t="str">
        <f t="shared" si="31"/>
        <v/>
      </c>
      <c r="Q529"/>
      <c r="R529"/>
      <c r="BM529" t="str">
        <f t="shared" si="28"/>
        <v/>
      </c>
    </row>
    <row r="530" spans="1:65" ht="20.25" customHeight="1">
      <c r="D530" s="15" t="str">
        <f t="shared" si="29"/>
        <v/>
      </c>
      <c r="E530" s="15" t="str">
        <f t="shared" si="30"/>
        <v/>
      </c>
      <c r="F530" t="str">
        <f t="shared" si="31"/>
        <v/>
      </c>
      <c r="Q530"/>
      <c r="R530"/>
      <c r="BM530" t="str">
        <f t="shared" si="28"/>
        <v/>
      </c>
    </row>
    <row r="531" spans="1:65" ht="20.25" customHeight="1">
      <c r="A531" t="s">
        <v>1215</v>
      </c>
      <c r="B531" t="s">
        <v>1317</v>
      </c>
      <c r="C531" s="15" t="s">
        <v>1317</v>
      </c>
      <c r="D531" s="15" t="str">
        <f t="shared" si="29"/>
        <v>No</v>
      </c>
      <c r="E531" s="15" t="str">
        <f t="shared" si="30"/>
        <v>Yes</v>
      </c>
      <c r="F531" t="str">
        <f t="shared" si="31"/>
        <v>Yes</v>
      </c>
      <c r="Q531"/>
      <c r="R531"/>
      <c r="S531" t="s">
        <v>1493</v>
      </c>
      <c r="BM531" t="str">
        <f t="shared" si="28"/>
        <v/>
      </c>
    </row>
    <row r="532" spans="1:65" ht="20.25" customHeight="1">
      <c r="A532" t="s">
        <v>1215</v>
      </c>
      <c r="B532" t="s">
        <v>1317</v>
      </c>
      <c r="C532" s="15" t="s">
        <v>1317</v>
      </c>
      <c r="E532" s="15" t="str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  <v>Yes</v>
      </c>
      <c r="F532" t="str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  <v>Yes</v>
      </c>
      <c r="Q532"/>
      <c r="R532"/>
      <c r="S532" t="s">
        <v>1493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>IF($T532="","",IF($BL532="","Yes","Blocked"))</f>
        <v/>
      </c>
    </row>
  </sheetData>
  <conditionalFormatting sqref="CC2:CC532 A2:BZ49 T50:BZ100 AJ101:BZ103 AJ104:AQ104 T106:BZ149 T105:AQ105 AS104:BZ105 A50:R149 T101:AH101 T103:AH104 U102:AH102 A150:BZ531">
    <cfRule type="expression" dxfId="52" priority="1" stopIfTrue="1">
      <formula>$F2="Yes"</formula>
    </cfRule>
  </conditionalFormatting>
  <conditionalFormatting sqref="B2:B532">
    <cfRule type="expression" dxfId="51" priority="4" stopIfTrue="1">
      <formula>LOWER(TRIM($B2))="no"</formula>
    </cfRule>
  </conditionalFormatting>
  <conditionalFormatting sqref="G2:H532">
    <cfRule type="expression" dxfId="50" priority="107" stopIfTrue="1">
      <formula>AND($B2="Yes",$G2&lt;&gt;"",$H2&lt;&gt;"",LOWER(TRIM($G2))&lt;&gt;LOWER(TRIM($H2)))</formula>
    </cfRule>
  </conditionalFormatting>
  <conditionalFormatting sqref="I2:I532">
    <cfRule type="expression" dxfId="49" priority="7">
      <formula>AND($A2&lt;&gt;"",LEN(TRIM($I2))=0)</formula>
    </cfRule>
  </conditionalFormatting>
  <conditionalFormatting sqref="R2:S49 R50:R149 R150:S531">
    <cfRule type="expression" dxfId="48" priority="103">
      <formula>AND($B2="Yes",$N2&lt;&gt;"")</formula>
    </cfRule>
  </conditionalFormatting>
  <conditionalFormatting sqref="R99:R144">
    <cfRule type="expression" dxfId="47" priority="5" stopIfTrue="1">
      <formula>AND(INDEX($A:$BI,ROW(),MATCH("Deployed",$A$1:$BI$1,0))="Yes",LEN(TRIM(N99))=0)</formula>
    </cfRule>
  </conditionalFormatting>
  <conditionalFormatting sqref="T2:T101 T103:T532">
    <cfRule type="expression" dxfId="46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45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44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43" priority="17">
      <formula>AND($BE2&lt;&gt;"", $BD2&lt;&gt;"Yes")</formula>
    </cfRule>
    <cfRule type="expression" dxfId="42" priority="18">
      <formula>AND($BE2&lt;&gt;"", $BD2="Yes")</formula>
    </cfRule>
  </conditionalFormatting>
  <conditionalFormatting sqref="BM2:BM532">
    <cfRule type="expression" dxfId="41" priority="25">
      <formula>BI2="Yes"</formula>
    </cfRule>
    <cfRule type="expression" dxfId="40" priority="26">
      <formula>BI2="Blocked"</formula>
    </cfRule>
  </conditionalFormatting>
  <conditionalFormatting sqref="R2:S49 R150:S531 B2:C532 R50:R149">
    <cfRule type="expression" dxfId="39" priority="144">
      <formula>AND($B2="Yes",$BO2="Yes")</formula>
    </cfRule>
  </conditionalFormatting>
  <conditionalFormatting sqref="D2:E532">
    <cfRule type="expression" dxfId="38" priority="146">
      <formula>AND($B2="Yes",$BO2="No")</formula>
    </cfRule>
  </conditionalFormatting>
  <conditionalFormatting sqref="I2:Q532">
    <cfRule type="expression" dxfId="37" priority="147">
      <formula>AND($BO2="Yes",$A2&lt;&gt;"Neuron",COUNTBLANK($E2:$L2)&gt;0)</formula>
    </cfRule>
  </conditionalFormatting>
  <conditionalFormatting sqref="P2:P1048576">
    <cfRule type="expression" dxfId="36" priority="148">
      <formula>AND($BE2&lt;&gt;"",OR($BD2="Yes",$L2&lt;&gt;""))</formula>
    </cfRule>
    <cfRule type="expression" dxfId="35" priority="149">
      <formula>AND($BE2&lt;&gt;"",$BD2&lt;&gt;"Yes",$L2="")</formula>
    </cfRule>
  </conditionalFormatting>
  <conditionalFormatting sqref="R2:S49 R150:S531 B2:C532 R50:R149">
    <cfRule type="expression" dxfId="34" priority="150">
      <formula>AND($B2="Yes",$BO2&lt;&gt;"Yes")</formula>
    </cfRule>
  </conditionalFormatting>
  <conditionalFormatting sqref="R94:R98">
    <cfRule type="expression" dxfId="33" priority="152" stopIfTrue="1">
      <formula>AND(INDEX($A:$BH,ROW(),MATCH("Deployed",$A$1:$BH$1,0))="Yes",LEN(TRIM(N94))=0)</formula>
    </cfRule>
  </conditionalFormatting>
  <conditionalFormatting sqref="Y2:Y532">
    <cfRule type="expression" dxfId="32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31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30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9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28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27" priority="165">
      <formula>AND($A2="Cybernet",$U2&lt;&gt;"",E2="")</formula>
    </cfRule>
  </conditionalFormatting>
  <conditionalFormatting sqref="W50:W149">
    <cfRule type="expression" dxfId="26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25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24" priority="197" stopIfTrue="1">
      <formula>AND($B103="Yes",$R103&lt;&gt;"",LOWER(TRIM($R103))&lt;&gt;"n/a",COUNTIFS($R$2:$R$532,$R103,$B$2:$B$532,"Yes")&gt;1)</formula>
    </cfRule>
  </conditionalFormatting>
  <dataValidations count="20">
    <dataValidation type="list" allowBlank="1" showInputMessage="1" showErrorMessage="1" sqref="V50:V1048576 V2:V48 B1:B1048576" xr:uid="{00000000-0002-0000-0900-000000000000}">
      <formula1>"Yes,No"</formula1>
    </dataValidation>
    <dataValidation type="list" allowBlank="1" sqref="BG509:BI5008" xr:uid="{00000000-0002-0000-0900-000001000000}">
      <formula1>"Not Imaged,Imaged,Configured,Validated"</formula1>
    </dataValidation>
    <dataValidation type="list" allowBlank="1" showInputMessage="1" showErrorMessage="1" sqref="BD509:BD1048576 BG509:BI1048576" xr:uid="{00000000-0002-0000-0900-000002000000}">
      <formula1>"Firmware Installed,Failed Connection,Firmware TBD"</formula1>
    </dataValidation>
    <dataValidation type="list" allowBlank="1" sqref="H509:R5008" xr:uid="{00000000-0002-0000-0900-000003000000}">
      <formula1>"Neuron,Cybernet"</formula1>
    </dataValidation>
    <dataValidation allowBlank="1" showInputMessage="1" showErrorMessage="1" sqref="G1:G1048576 AB1:AB1048576 N87:R98 Q99:Q1048576 Q2:R86 R2:S49 R54:R1048576 S150:S1048576 H2:P508" xr:uid="{00000000-0002-0000-0900-000004000000}"/>
    <dataValidation type="list" allowBlank="1" sqref="AE2:AE5008" xr:uid="{00000000-0002-0000-0900-000005000000}">
      <formula1>"WAVE_1,WAVE_2,PO_CDW,SPARES,ADDONS"</formula1>
    </dataValidation>
    <dataValidation type="list" allowBlank="1" sqref="AW2:AZ5008" xr:uid="{00000000-0002-0000-0900-000006000000}">
      <formula1>"Yes,No,N/A"</formula1>
    </dataValidation>
    <dataValidation type="list" allowBlank="1" sqref="BB2:BB5008" xr:uid="{00000000-0002-0000-0900-000007000000}">
      <formula1>"No,Blocked,Yes"</formula1>
    </dataValidation>
    <dataValidation type="list" allowBlank="1" showInputMessage="1" showErrorMessage="1" sqref="AA2:AA532" xr:uid="{00000000-0002-0000-0900-000008000000}">
      <formula1>"Anesthesia Machine,Dialysis Machine"</formula1>
    </dataValidation>
    <dataValidation type="list" allowBlank="1" showInputMessage="1" showErrorMessage="1" sqref="BD2:BD508" xr:uid="{00000000-0002-0000-0900-00000A000000}">
      <formula1>"Firmware Installed,Failed Connection,Firmware TBD,In Storage"</formula1>
    </dataValidation>
    <dataValidation type="list" allowBlank="1" error="Choose Yes or No" prompt="Installed status" sqref="C2:C532" xr:uid="{00000000-0002-0000-0900-00000B000000}">
      <formula1>"Yes,No"</formula1>
    </dataValidation>
    <dataValidation type="custom" allowBlank="1" showInputMessage="1" showErrorMessage="1" sqref="BL2:BL532" xr:uid="{00000000-0002-0000-0900-00000C000000}">
      <formula1>FALSE</formula1>
    </dataValidation>
    <dataValidation type="custom" allowBlank="1" showInputMessage="1" showErrorMessage="1" errorTitle="This is a header row, foo 🤡" error="Skedaddle 💨" sqref="C1:E1" xr:uid="{755EBB85-D66D-4C72-835A-89B3070E743C}">
      <formula1>FALSE</formula1>
    </dataValidation>
    <dataValidation type="custom" allowBlank="1" showInputMessage="1" showErrorMessage="1" errorTitle="Automated field, foo 🤡" error="Skedaddle 💨. Don't overwrite formulas 😄" sqref="BP34:BP508 BQ2:BR532 BM2:BM532 BN30:BN33 BP2:BP29" xr:uid="{00000000-0002-0000-0900-00000F000000}">
      <formula1>FALSE</formula1>
    </dataValidation>
    <dataValidation type="list" allowBlank="1" showInputMessage="1" showErrorMessage="1" errorTitle="Automated field, foo 🤡" error="Skedaddle 💨. Don't overwrite formulas 😄" sqref="BS2:BW532" xr:uid="{6DB28A5C-5034-44B2-AB7E-882087BF728F}">
      <formula1>"Yes,No"</formula1>
    </dataValidation>
    <dataValidation type="list" allowBlank="1" showInputMessage="1" showErrorMessage="1" errorTitle="Automated field, foo 🤡" error="Skedaddle 💨. Don't overwrite formulas 😄" sqref="BX2:BX1048576 CC532:CC1048576 BY532:BZ1048576" xr:uid="{5F0E05F2-E9CE-4B80-A3E4-56C4F987EF89}">
      <formula1>"19200,125200"</formula1>
    </dataValidation>
    <dataValidation type="custom" allowBlank="1" showInputMessage="1" showErrorMessage="1" errorTitle="This is a formula cell, foo 🤡" error="Skedaddle 💨" sqref="D2:F1048576" xr:uid="{5455E164-B9F5-45A9-8122-44F49ACA68C5}">
      <formula1>FALSE</formula1>
    </dataValidation>
    <dataValidation allowBlank="1" showInputMessage="1" showErrorMessage="1" errorTitle="Automated field, foo 🤡" error="Skedaddle 💨. Don't overwrite formulas 😄" sqref="BY2:CC531" xr:uid="{860B1A7A-9B9C-490D-A92A-8B320D6B6083}"/>
    <dataValidation type="list" allowBlank="1" showInputMessage="1" showErrorMessage="1" sqref="A1:A1048576" xr:uid="{490E8562-5966-42B3-99AA-720229E02A5A}">
      <formula1>"Neuron,Cybernet,Peripherals,Big_Board"</formula1>
    </dataValidation>
    <dataValidation type="list" allowBlank="1" sqref="BD2:BK5008" xr:uid="{00000000-0002-0000-0900-000009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M23"/>
  <sheetViews>
    <sheetView tabSelected="1" workbookViewId="0">
      <selection activeCell="A4" sqref="A4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9" customWidth="1"/>
    <col min="8" max="8" width="32.5703125" customWidth="1"/>
    <col min="9" max="9" width="52.28515625" customWidth="1"/>
    <col min="10" max="10" width="19.140625" customWidth="1"/>
    <col min="11" max="11" width="10" customWidth="1"/>
    <col min="12" max="13" width="16.28515625" customWidth="1"/>
  </cols>
  <sheetData>
    <row r="1" spans="1:13">
      <c r="A1" s="28" t="s">
        <v>2067</v>
      </c>
      <c r="B1" s="28" t="s">
        <v>2068</v>
      </c>
      <c r="C1" s="28" t="s">
        <v>2069</v>
      </c>
      <c r="D1" s="28" t="s">
        <v>2070</v>
      </c>
      <c r="E1" s="28" t="s">
        <v>2071</v>
      </c>
      <c r="F1" s="28" t="s">
        <v>2072</v>
      </c>
      <c r="G1" s="28" t="s">
        <v>2073</v>
      </c>
      <c r="H1" s="28" t="s">
        <v>2074</v>
      </c>
      <c r="I1" s="28" t="s">
        <v>72</v>
      </c>
      <c r="J1" s="28" t="s">
        <v>2075</v>
      </c>
      <c r="K1" s="28" t="s">
        <v>2076</v>
      </c>
      <c r="L1" s="28" t="s">
        <v>2077</v>
      </c>
      <c r="M1" s="28" t="s">
        <v>2078</v>
      </c>
    </row>
    <row r="2" spans="1:13">
      <c r="A2" t="s">
        <v>2079</v>
      </c>
      <c r="B2">
        <v>8</v>
      </c>
      <c r="C2">
        <v>7</v>
      </c>
      <c r="D2" s="29">
        <f t="shared" ref="D2:D15" si="0">(C2/B2)</f>
        <v>0.875</v>
      </c>
      <c r="E2" s="30">
        <v>46088</v>
      </c>
      <c r="F2">
        <f t="shared" ref="F2:F14" ca="1" si="1">E2-TODAY()</f>
        <v>12</v>
      </c>
      <c r="G2" t="s">
        <v>2080</v>
      </c>
      <c r="H2" s="21" t="s">
        <v>2081</v>
      </c>
      <c r="J2" s="30">
        <f>IFERROR(WORKDAY($E2,-2),"")</f>
        <v>46086</v>
      </c>
      <c r="K2" t="s">
        <v>2082</v>
      </c>
      <c r="L2" t="s">
        <v>2083</v>
      </c>
      <c r="M2" t="s">
        <v>2084</v>
      </c>
    </row>
    <row r="3" spans="1:13">
      <c r="A3" t="s">
        <v>2085</v>
      </c>
      <c r="B3">
        <v>14</v>
      </c>
      <c r="C3">
        <v>14</v>
      </c>
      <c r="D3" s="29">
        <f t="shared" si="0"/>
        <v>1</v>
      </c>
      <c r="E3" s="30">
        <v>46067</v>
      </c>
      <c r="F3">
        <f t="shared" ca="1" si="1"/>
        <v>-9</v>
      </c>
      <c r="G3" t="s">
        <v>2086</v>
      </c>
      <c r="H3" t="s">
        <v>2087</v>
      </c>
      <c r="J3" s="30">
        <f t="shared" ref="J3:J15" si="2">IFERROR(WORKDAY($E3,-2),"")</f>
        <v>46065</v>
      </c>
      <c r="K3" t="s">
        <v>2082</v>
      </c>
      <c r="L3" t="s">
        <v>2088</v>
      </c>
      <c r="M3" t="s">
        <v>2089</v>
      </c>
    </row>
    <row r="4" spans="1:13">
      <c r="A4" s="82" t="s">
        <v>2090</v>
      </c>
      <c r="B4">
        <v>13</v>
      </c>
      <c r="C4">
        <v>13</v>
      </c>
      <c r="D4" s="29">
        <f t="shared" si="0"/>
        <v>1</v>
      </c>
      <c r="E4" s="30">
        <v>46081</v>
      </c>
      <c r="F4">
        <f t="shared" ca="1" si="1"/>
        <v>5</v>
      </c>
      <c r="G4" t="s">
        <v>2091</v>
      </c>
      <c r="H4" s="21" t="s">
        <v>2092</v>
      </c>
      <c r="J4" s="30">
        <f t="shared" si="2"/>
        <v>46079</v>
      </c>
      <c r="K4" t="s">
        <v>2082</v>
      </c>
      <c r="L4" t="s">
        <v>2093</v>
      </c>
      <c r="M4" t="s">
        <v>2094</v>
      </c>
    </row>
    <row r="5" spans="1:13">
      <c r="A5" s="82" t="s">
        <v>2095</v>
      </c>
      <c r="B5">
        <v>29</v>
      </c>
      <c r="C5">
        <v>29</v>
      </c>
      <c r="D5" s="29">
        <f t="shared" si="0"/>
        <v>1</v>
      </c>
      <c r="E5" s="30">
        <v>46074</v>
      </c>
      <c r="F5">
        <f t="shared" ca="1" si="1"/>
        <v>-2</v>
      </c>
      <c r="G5" t="s">
        <v>2096</v>
      </c>
      <c r="H5" s="21" t="s">
        <v>2092</v>
      </c>
      <c r="J5" s="30">
        <f t="shared" si="2"/>
        <v>46072</v>
      </c>
      <c r="K5" t="s">
        <v>2082</v>
      </c>
      <c r="L5" t="s">
        <v>2093</v>
      </c>
      <c r="M5" t="s">
        <v>2094</v>
      </c>
    </row>
    <row r="6" spans="1:13">
      <c r="A6" s="82" t="s">
        <v>2097</v>
      </c>
      <c r="B6">
        <v>3</v>
      </c>
      <c r="C6">
        <v>3</v>
      </c>
      <c r="D6" s="29">
        <f>(C6/B6)</f>
        <v>1</v>
      </c>
      <c r="E6" s="30">
        <v>46081</v>
      </c>
      <c r="F6">
        <f t="shared" ca="1" si="1"/>
        <v>5</v>
      </c>
      <c r="G6" t="s">
        <v>2098</v>
      </c>
      <c r="H6" s="21" t="s">
        <v>2099</v>
      </c>
      <c r="J6" s="30">
        <f t="shared" si="2"/>
        <v>46079</v>
      </c>
      <c r="K6" t="s">
        <v>2082</v>
      </c>
      <c r="L6" t="s">
        <v>2093</v>
      </c>
      <c r="M6" t="s">
        <v>2094</v>
      </c>
    </row>
    <row r="7" spans="1:13">
      <c r="A7" s="82" t="s">
        <v>2100</v>
      </c>
      <c r="B7">
        <v>3</v>
      </c>
      <c r="C7">
        <v>0</v>
      </c>
      <c r="D7" s="29">
        <f t="shared" si="0"/>
        <v>0</v>
      </c>
      <c r="E7" s="30">
        <v>46088</v>
      </c>
      <c r="F7">
        <f t="shared" ca="1" si="1"/>
        <v>12</v>
      </c>
      <c r="G7" t="s">
        <v>2101</v>
      </c>
      <c r="J7" s="30">
        <f t="shared" si="2"/>
        <v>46086</v>
      </c>
      <c r="K7" t="s">
        <v>2082</v>
      </c>
      <c r="L7" t="s">
        <v>2093</v>
      </c>
      <c r="M7" t="s">
        <v>2094</v>
      </c>
    </row>
    <row r="8" spans="1:13">
      <c r="A8" s="82" t="s">
        <v>2102</v>
      </c>
      <c r="B8">
        <v>3</v>
      </c>
      <c r="C8">
        <v>0</v>
      </c>
      <c r="D8" s="29">
        <f t="shared" si="0"/>
        <v>0</v>
      </c>
      <c r="E8" t="s">
        <v>1325</v>
      </c>
      <c r="F8" t="e">
        <f t="shared" ca="1" si="1"/>
        <v>#VALUE!</v>
      </c>
      <c r="G8" t="s">
        <v>2103</v>
      </c>
      <c r="J8" s="30" t="str">
        <f t="shared" si="2"/>
        <v/>
      </c>
      <c r="K8" t="s">
        <v>2082</v>
      </c>
      <c r="L8" t="s">
        <v>2093</v>
      </c>
      <c r="M8" t="s">
        <v>2094</v>
      </c>
    </row>
    <row r="9" spans="1:13">
      <c r="A9" t="s">
        <v>2104</v>
      </c>
      <c r="B9">
        <v>12</v>
      </c>
      <c r="C9">
        <v>12</v>
      </c>
      <c r="D9" s="29">
        <f t="shared" si="0"/>
        <v>1</v>
      </c>
      <c r="E9" s="30">
        <v>46102</v>
      </c>
      <c r="F9">
        <f t="shared" ca="1" si="1"/>
        <v>26</v>
      </c>
      <c r="G9" t="s">
        <v>2105</v>
      </c>
      <c r="J9" s="30">
        <f t="shared" si="2"/>
        <v>46100</v>
      </c>
      <c r="K9" t="s">
        <v>2082</v>
      </c>
      <c r="L9" t="s">
        <v>2083</v>
      </c>
      <c r="M9" t="s">
        <v>2084</v>
      </c>
    </row>
    <row r="10" spans="1:13">
      <c r="A10" t="s">
        <v>2106</v>
      </c>
      <c r="B10">
        <v>18</v>
      </c>
      <c r="C10">
        <v>2</v>
      </c>
      <c r="D10" s="29">
        <f t="shared" si="0"/>
        <v>0.1111111111111111</v>
      </c>
      <c r="E10" s="30">
        <v>46103</v>
      </c>
      <c r="F10">
        <f t="shared" ca="1" si="1"/>
        <v>27</v>
      </c>
      <c r="G10" t="s">
        <v>2105</v>
      </c>
      <c r="J10" s="30">
        <f t="shared" si="2"/>
        <v>46100</v>
      </c>
      <c r="K10" t="s">
        <v>2082</v>
      </c>
      <c r="L10" t="s">
        <v>2083</v>
      </c>
      <c r="M10" t="s">
        <v>2084</v>
      </c>
    </row>
    <row r="11" spans="1:13">
      <c r="A11" t="s">
        <v>2107</v>
      </c>
      <c r="B11">
        <v>10</v>
      </c>
      <c r="C11">
        <v>0</v>
      </c>
      <c r="D11" s="29">
        <f t="shared" si="0"/>
        <v>0</v>
      </c>
      <c r="E11" s="30">
        <v>46095</v>
      </c>
      <c r="F11">
        <f t="shared" ca="1" si="1"/>
        <v>19</v>
      </c>
      <c r="G11" t="s">
        <v>2105</v>
      </c>
      <c r="J11" s="30">
        <f t="shared" si="2"/>
        <v>46093</v>
      </c>
      <c r="K11" t="s">
        <v>2082</v>
      </c>
      <c r="L11" t="s">
        <v>2083</v>
      </c>
      <c r="M11" t="s">
        <v>2084</v>
      </c>
    </row>
    <row r="12" spans="1:13">
      <c r="A12" t="s">
        <v>2108</v>
      </c>
      <c r="B12">
        <v>13</v>
      </c>
      <c r="C12">
        <v>0</v>
      </c>
      <c r="D12" s="29">
        <f t="shared" si="0"/>
        <v>0</v>
      </c>
      <c r="E12" s="30">
        <v>46109</v>
      </c>
      <c r="F12">
        <f t="shared" ca="1" si="1"/>
        <v>33</v>
      </c>
      <c r="G12" t="s">
        <v>2105</v>
      </c>
      <c r="J12" s="30">
        <f t="shared" si="2"/>
        <v>46107</v>
      </c>
      <c r="K12" t="s">
        <v>2082</v>
      </c>
      <c r="L12" t="s">
        <v>2083</v>
      </c>
      <c r="M12" t="s">
        <v>2084</v>
      </c>
    </row>
    <row r="13" spans="1:13">
      <c r="A13" t="s">
        <v>2109</v>
      </c>
      <c r="B13">
        <v>22</v>
      </c>
      <c r="C13">
        <v>0</v>
      </c>
      <c r="D13" s="29">
        <f t="shared" si="0"/>
        <v>0</v>
      </c>
      <c r="E13" s="30">
        <v>46116</v>
      </c>
      <c r="F13">
        <f t="shared" ca="1" si="1"/>
        <v>40</v>
      </c>
      <c r="G13" t="s">
        <v>2105</v>
      </c>
      <c r="J13" s="30">
        <f t="shared" si="2"/>
        <v>46114</v>
      </c>
      <c r="K13" t="s">
        <v>2082</v>
      </c>
      <c r="L13" t="s">
        <v>2083</v>
      </c>
      <c r="M13" t="s">
        <v>2084</v>
      </c>
    </row>
    <row r="14" spans="1:13">
      <c r="A14" t="s">
        <v>2110</v>
      </c>
      <c r="B14">
        <v>6</v>
      </c>
      <c r="C14">
        <v>0</v>
      </c>
      <c r="D14" s="29">
        <f t="shared" si="0"/>
        <v>0</v>
      </c>
      <c r="E14" t="s">
        <v>1325</v>
      </c>
      <c r="F14" t="e">
        <f t="shared" ca="1" si="1"/>
        <v>#VALUE!</v>
      </c>
      <c r="G14" t="s">
        <v>2105</v>
      </c>
      <c r="J14" s="30" t="str">
        <f t="shared" si="2"/>
        <v/>
      </c>
      <c r="K14" t="s">
        <v>2082</v>
      </c>
      <c r="L14" t="s">
        <v>2083</v>
      </c>
      <c r="M14" t="s">
        <v>2084</v>
      </c>
    </row>
    <row r="15" spans="1:13">
      <c r="A15" s="27" t="s">
        <v>2111</v>
      </c>
      <c r="B15" s="27">
        <f>(SUM(B2:B14))</f>
        <v>154</v>
      </c>
      <c r="C15" s="27">
        <f>(SUM(C2:C14))</f>
        <v>80</v>
      </c>
      <c r="D15" s="31">
        <f t="shared" si="0"/>
        <v>0.51948051948051943</v>
      </c>
      <c r="E15" s="30"/>
      <c r="F15" s="30"/>
      <c r="J15" s="30" t="str">
        <f t="shared" si="2"/>
        <v/>
      </c>
      <c r="K15" t="s">
        <v>2082</v>
      </c>
    </row>
    <row r="16" spans="1:13" ht="106.5">
      <c r="G16" s="27" t="s">
        <v>2112</v>
      </c>
      <c r="H16" s="86" t="s">
        <v>2113</v>
      </c>
      <c r="I16" s="27" t="s">
        <v>2114</v>
      </c>
    </row>
    <row r="17" spans="2:9" ht="16.5">
      <c r="B17" s="27" t="s">
        <v>2115</v>
      </c>
      <c r="G17" s="88" t="s">
        <v>2116</v>
      </c>
      <c r="H17" s="83" t="s">
        <v>2117</v>
      </c>
      <c r="I17" s="83"/>
    </row>
    <row r="18" spans="2:9" ht="16.5">
      <c r="B18">
        <f>SUMIF($A$2:$A$14,"LIJ*",$B$2:$B$14)</f>
        <v>73</v>
      </c>
      <c r="C18">
        <f>(SUM(B2:B7))</f>
        <v>70</v>
      </c>
      <c r="G18" s="88" t="s">
        <v>2118</v>
      </c>
      <c r="H18" s="83">
        <v>29</v>
      </c>
      <c r="I18" s="83"/>
    </row>
    <row r="19" spans="2:9" ht="16.5">
      <c r="G19" s="88" t="s">
        <v>2119</v>
      </c>
      <c r="H19" s="83">
        <v>16</v>
      </c>
      <c r="I19" s="83"/>
    </row>
    <row r="20" spans="2:9" ht="16.5">
      <c r="G20" s="88" t="s">
        <v>2120</v>
      </c>
      <c r="H20" s="83">
        <v>11</v>
      </c>
      <c r="I20" s="83"/>
    </row>
    <row r="21" spans="2:9" ht="16.5">
      <c r="G21" s="89" t="s">
        <v>2121</v>
      </c>
      <c r="H21" s="84">
        <v>4</v>
      </c>
      <c r="I21" s="84"/>
    </row>
    <row r="22" spans="2:9" ht="16.5">
      <c r="G22" s="90" t="s">
        <v>2122</v>
      </c>
      <c r="H22" s="85">
        <v>3</v>
      </c>
      <c r="I22" s="85"/>
    </row>
    <row r="23" spans="2:9" ht="21">
      <c r="G23" s="27" t="s">
        <v>2123</v>
      </c>
      <c r="H23" s="87">
        <f>SUM(H18:H22)</f>
        <v>63</v>
      </c>
    </row>
  </sheetData>
  <conditionalFormatting sqref="D1:D1048576">
    <cfRule type="cellIs" dxfId="13" priority="1" operator="equal">
      <formula>100%</formula>
    </cfRule>
  </conditionalFormatting>
  <conditionalFormatting sqref="F2:F14">
    <cfRule type="cellIs" dxfId="12" priority="2" operator="greaterThan">
      <formula>20</formula>
    </cfRule>
    <cfRule type="cellIs" dxfId="11" priority="3" operator="lessThan">
      <formula>2</formula>
    </cfRule>
    <cfRule type="cellIs" dxfId="10" priority="4" operator="between">
      <formula>6</formula>
      <formula>9</formula>
    </cfRule>
    <cfRule type="cellIs" dxfId="9" priority="5" operator="between">
      <formula>3</formula>
      <formula>5</formula>
    </cfRule>
  </conditionalFormatting>
  <conditionalFormatting sqref="F2:F15">
    <cfRule type="cellIs" dxfId="8" priority="6" operator="between">
      <formula>10</formula>
      <formula>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56" t="s">
        <v>2124</v>
      </c>
      <c r="B1" s="56" t="s">
        <v>2125</v>
      </c>
      <c r="C1" s="56" t="s">
        <v>1244</v>
      </c>
      <c r="D1" s="56" t="s">
        <v>1268</v>
      </c>
      <c r="E1" s="56" t="s">
        <v>1269</v>
      </c>
      <c r="F1" s="56" t="s">
        <v>1270</v>
      </c>
      <c r="G1" s="56" t="s">
        <v>1271</v>
      </c>
      <c r="H1" s="56" t="s">
        <v>1237</v>
      </c>
      <c r="I1" s="56" t="s">
        <v>1272</v>
      </c>
      <c r="J1" s="56" t="s">
        <v>2126</v>
      </c>
      <c r="K1" s="56" t="s">
        <v>2127</v>
      </c>
      <c r="L1" s="56" t="s">
        <v>1245</v>
      </c>
      <c r="M1" s="56" t="s">
        <v>2128</v>
      </c>
      <c r="N1" s="56" t="s">
        <v>1246</v>
      </c>
      <c r="O1" s="56" t="s">
        <v>1247</v>
      </c>
      <c r="P1" s="56" t="s">
        <v>1248</v>
      </c>
      <c r="Q1" s="56" t="s">
        <v>2129</v>
      </c>
      <c r="R1" s="56" t="s">
        <v>1288</v>
      </c>
      <c r="S1" s="56" t="s">
        <v>1287</v>
      </c>
      <c r="T1" s="56" t="s">
        <v>2130</v>
      </c>
      <c r="U1" s="56" t="s">
        <v>1286</v>
      </c>
      <c r="V1" s="56" t="s">
        <v>1290</v>
      </c>
      <c r="W1" s="56" t="s">
        <v>1291</v>
      </c>
      <c r="X1" s="56" t="s">
        <v>1299</v>
      </c>
      <c r="Y1" s="56" t="s">
        <v>72</v>
      </c>
      <c r="Z1" s="56" t="s">
        <v>1252</v>
      </c>
      <c r="AA1" s="56" t="s">
        <v>1253</v>
      </c>
    </row>
    <row r="2" spans="1:29" ht="45.75" customHeight="1">
      <c r="A2" s="33"/>
      <c r="B2" s="33"/>
      <c r="C2" s="32" t="str">
        <f>IF('12 - Deployments &amp; Config'!H2="","",'12 - Deployments &amp; Config'!H2)</f>
        <v>LIJ SDF</v>
      </c>
      <c r="D2" s="32" t="str">
        <f>IF('12 - Deployments &amp; Config'!AF2="","",'12 - Deployments &amp; Config'!AF2)</f>
        <v>Ground Level/Dialysis</v>
      </c>
      <c r="E2" s="32" t="str">
        <f>IF('12 - Deployments &amp; Config'!AG2="","",'12 - Deployments &amp; Config'!AG2)</f>
        <v>Open Patient Area</v>
      </c>
      <c r="F2" s="32">
        <f>IF('12 - Deployments &amp; Config'!AH2="","",'12 - Deployments &amp; Config'!AH2)</f>
        <v>1</v>
      </c>
      <c r="G2" s="32" t="str">
        <f>IF('12 - Deployments &amp; Config'!AI2="","",'12 - Deployments &amp; Config'!AI2)</f>
        <v>BSM 051 A</v>
      </c>
      <c r="H2" s="32" t="str">
        <f>IF('12 - Deployments &amp; Config'!A2="","",'12 - Deployments &amp; Config'!A2)</f>
        <v>Neuron</v>
      </c>
      <c r="I2" s="32" t="str">
        <f>IF('12 - Deployments &amp; Config'!AJ2="","",'12 - Deployments &amp; Config'!AJ2)</f>
        <v>Fresenius BlueStar</v>
      </c>
      <c r="J2" s="32" t="str">
        <f>IF('12 - Deployments &amp; Config'!AK2="","",'12 - Deployments &amp; Config'!AK2)</f>
        <v>2008T</v>
      </c>
      <c r="K2" s="32" t="str">
        <f>IF('12 - Deployments &amp; Config'!AA2="","",'12 - Deployments &amp; Config'!AA2)</f>
        <v>Dialysis Machine</v>
      </c>
      <c r="L2" s="32" t="str">
        <f>IF('12 - Deployments &amp; Config'!I2="","",'12 - Deployments &amp; Config'!I2)</f>
        <v/>
      </c>
      <c r="M2" s="33"/>
      <c r="N2" s="32" t="str">
        <f>IF('12 - Deployments &amp; Config'!J2="","",'12 - Deployments &amp; Config'!J2)</f>
        <v>NA</v>
      </c>
      <c r="O2" s="32" t="str">
        <f>IF('12 - Deployments &amp; Config'!K2="","",'12 - Deployments &amp; Config'!K2)</f>
        <v>NA</v>
      </c>
      <c r="P2" s="32" t="str">
        <f>IF('12 - Deployments &amp; Config'!L2="","",'12 - Deployments &amp; Config'!L2)</f>
        <v>NA</v>
      </c>
      <c r="Q2" s="33"/>
      <c r="R2" s="32" t="str">
        <f>IF('12 - Deployments &amp; Config'!AZ2="","",'12 - Deployments &amp; Config'!AZ2)</f>
        <v/>
      </c>
      <c r="S2" s="32" t="str">
        <f>IF('12 - Deployments &amp; Config'!AY2="","",'12 - Deployments &amp; Config'!AY2)</f>
        <v/>
      </c>
      <c r="T2" s="32" t="str">
        <f>IF('12 - Deployments &amp; Config'!AW2="","",'12 - Deployments &amp; Config'!AW2)</f>
        <v>Yes</v>
      </c>
      <c r="U2" s="32" t="str">
        <f>IF('12 - Deployments &amp; Config'!AX2="","",'12 - Deployments &amp; Config'!AX2)</f>
        <v>Yes</v>
      </c>
      <c r="V2" s="32" t="str">
        <f>IF('12 - Deployments &amp; Config'!BB2="","",'12 - Deployments &amp; Config'!BB2)</f>
        <v>Yes</v>
      </c>
      <c r="W2" s="32" t="str">
        <f>IF('12 - Deployments &amp; Config'!BD2="","",'12 - Deployments &amp; Config'!BD2)</f>
        <v>Firmware Installed</v>
      </c>
      <c r="X2" s="32" t="str">
        <f>IF('12 - Deployments &amp; Config'!BL2="","",'12 - Deployments &amp; Config'!BL2)</f>
        <v>Epic Beans Relay</v>
      </c>
      <c r="Y2" s="32" t="str">
        <f>IF('12 - Deployments &amp; Config'!BC2="","",'12 - Deployments &amp; Config'!BC2)</f>
        <v/>
      </c>
      <c r="Z2" s="32" t="str">
        <f>IF('12 - Deployments &amp; Config'!P2="","",'12 - Deployments &amp; Config'!P2)</f>
        <v/>
      </c>
      <c r="AA2" s="32" t="str">
        <f>IF('12 - Deployments &amp; Config'!Q2="","",'12 - Deployments &amp; Config'!Q2)</f>
        <v/>
      </c>
      <c r="AC2" t="s">
        <v>1526</v>
      </c>
    </row>
    <row r="3" spans="1:29" ht="45.75" customHeight="1">
      <c r="A3" s="33"/>
      <c r="B3" s="33"/>
      <c r="C3" s="32" t="str">
        <f>IF('12 - Deployments &amp; Config'!H3="","",'12 - Deployments &amp; Config'!H3)</f>
        <v>LIJ SDF</v>
      </c>
      <c r="D3" s="32" t="str">
        <f>IF('12 - Deployments &amp; Config'!AF3="","",'12 - Deployments &amp; Config'!AF3)</f>
        <v>Ground Level/Dialysis</v>
      </c>
      <c r="E3" s="32" t="str">
        <f>IF('12 - Deployments &amp; Config'!AG3="","",'12 - Deployments &amp; Config'!AG3)</f>
        <v>Open Patient Area</v>
      </c>
      <c r="F3" s="32">
        <f>IF('12 - Deployments &amp; Config'!AH3="","",'12 - Deployments &amp; Config'!AH3)</f>
        <v>2</v>
      </c>
      <c r="G3" s="32" t="str">
        <f>IF('12 - Deployments &amp; Config'!AI3="","",'12 - Deployments &amp; Config'!AI3)</f>
        <v xml:space="preserve">BSM 051 B </v>
      </c>
      <c r="H3" s="32" t="str">
        <f>IF('12 - Deployments &amp; Config'!A3="","",'12 - Deployments &amp; Config'!A3)</f>
        <v>Neuron</v>
      </c>
      <c r="I3" s="32" t="str">
        <f>IF('12 - Deployments &amp; Config'!AJ3="","",'12 - Deployments &amp; Config'!AJ3)</f>
        <v>Fresenius BlueStar</v>
      </c>
      <c r="J3" s="32" t="str">
        <f>IF('12 - Deployments &amp; Config'!AK3="","",'12 - Deployments &amp; Config'!AK3)</f>
        <v>2008T</v>
      </c>
      <c r="K3" s="32" t="str">
        <f>IF('12 - Deployments &amp; Config'!AA3="","",'12 - Deployments &amp; Config'!AA3)</f>
        <v>Dialysis Machine</v>
      </c>
      <c r="L3" s="32" t="str">
        <f>IF('12 - Deployments &amp; Config'!I3="","",'12 - Deployments &amp; Config'!I3)</f>
        <v/>
      </c>
      <c r="M3" s="33"/>
      <c r="N3" s="32" t="str">
        <f>IF('12 - Deployments &amp; Config'!J3="","",'12 - Deployments &amp; Config'!J3)</f>
        <v>NA</v>
      </c>
      <c r="O3" s="32" t="str">
        <f>IF('12 - Deployments &amp; Config'!K3="","",'12 - Deployments &amp; Config'!K3)</f>
        <v>NA</v>
      </c>
      <c r="P3" s="32" t="str">
        <f>IF('12 - Deployments &amp; Config'!L3="","",'12 - Deployments &amp; Config'!L3)</f>
        <v>NA</v>
      </c>
      <c r="Q3" s="33"/>
      <c r="R3" s="32" t="str">
        <f>IF('12 - Deployments &amp; Config'!AZ3="","",'12 - Deployments &amp; Config'!AZ3)</f>
        <v/>
      </c>
      <c r="S3" s="32" t="str">
        <f>IF('12 - Deployments &amp; Config'!AY3="","",'12 - Deployments &amp; Config'!AY3)</f>
        <v/>
      </c>
      <c r="T3" s="32" t="str">
        <f>IF('12 - Deployments &amp; Config'!AW3="","",'12 - Deployments &amp; Config'!AW3)</f>
        <v>Yes</v>
      </c>
      <c r="U3" s="32" t="str">
        <f>IF('12 - Deployments &amp; Config'!AX3="","",'12 - Deployments &amp; Config'!AX3)</f>
        <v>Yes</v>
      </c>
      <c r="V3" s="32" t="str">
        <f>IF('12 - Deployments &amp; Config'!BB3="","",'12 - Deployments &amp; Config'!BB3)</f>
        <v>Yes</v>
      </c>
      <c r="W3" s="32" t="str">
        <f>IF('12 - Deployments &amp; Config'!BD3="","",'12 - Deployments &amp; Config'!BD3)</f>
        <v>Firmware Installed</v>
      </c>
      <c r="X3" s="32" t="str">
        <f>IF('12 - Deployments &amp; Config'!BL3="","",'12 - Deployments &amp; Config'!BL3)</f>
        <v>Epic Beans Relay</v>
      </c>
      <c r="Y3" s="32" t="str">
        <f>IF('12 - Deployments &amp; Config'!BC3="","",'12 - Deployments &amp; Config'!BC3)</f>
        <v/>
      </c>
      <c r="Z3" s="32" t="str">
        <f>IF('12 - Deployments &amp; Config'!P3="","",'12 - Deployments &amp; Config'!P3)</f>
        <v/>
      </c>
      <c r="AA3" s="32" t="str">
        <f>IF('12 - Deployments &amp; Config'!Q3="","",'12 - Deployments &amp; Config'!Q3)</f>
        <v/>
      </c>
      <c r="AC3" t="s">
        <v>1215</v>
      </c>
    </row>
    <row r="4" spans="1:29" ht="45.75" customHeight="1">
      <c r="A4" s="33"/>
      <c r="B4" s="33"/>
      <c r="C4" s="32" t="str">
        <f>IF('12 - Deployments &amp; Config'!H4="","",'12 - Deployments &amp; Config'!H4)</f>
        <v>LIJ SDF</v>
      </c>
      <c r="D4" s="32" t="str">
        <f>IF('12 - Deployments &amp; Config'!AF4="","",'12 - Deployments &amp; Config'!AF4)</f>
        <v>Ground Level/Dialysis</v>
      </c>
      <c r="E4" s="32" t="str">
        <f>IF('12 - Deployments &amp; Config'!AG4="","",'12 - Deployments &amp; Config'!AG4)</f>
        <v>Open Patient Area</v>
      </c>
      <c r="F4" s="32">
        <f>IF('12 - Deployments &amp; Config'!AH4="","",'12 - Deployments &amp; Config'!AH4)</f>
        <v>3</v>
      </c>
      <c r="G4" s="32" t="str">
        <f>IF('12 - Deployments &amp; Config'!AI4="","",'12 - Deployments &amp; Config'!AI4)</f>
        <v>BSM 033 A</v>
      </c>
      <c r="H4" s="32" t="str">
        <f>IF('12 - Deployments &amp; Config'!A4="","",'12 - Deployments &amp; Config'!A4)</f>
        <v>Neuron</v>
      </c>
      <c r="I4" s="32" t="str">
        <f>IF('12 - Deployments &amp; Config'!AJ4="","",'12 - Deployments &amp; Config'!AJ4)</f>
        <v>Fresenius BlueStar</v>
      </c>
      <c r="J4" s="32" t="str">
        <f>IF('12 - Deployments &amp; Config'!AK4="","",'12 - Deployments &amp; Config'!AK4)</f>
        <v>2008T</v>
      </c>
      <c r="K4" s="32" t="str">
        <f>IF('12 - Deployments &amp; Config'!AA4="","",'12 - Deployments &amp; Config'!AA4)</f>
        <v>Dialysis Machine</v>
      </c>
      <c r="L4" s="32" t="str">
        <f>IF('12 - Deployments &amp; Config'!I4="","",'12 - Deployments &amp; Config'!I4)</f>
        <v/>
      </c>
      <c r="M4" s="33"/>
      <c r="N4" s="32" t="str">
        <f>IF('12 - Deployments &amp; Config'!J4="","",'12 - Deployments &amp; Config'!J4)</f>
        <v>NA</v>
      </c>
      <c r="O4" s="32" t="str">
        <f>IF('12 - Deployments &amp; Config'!K4="","",'12 - Deployments &amp; Config'!K4)</f>
        <v>NA</v>
      </c>
      <c r="P4" s="32" t="str">
        <f>IF('12 - Deployments &amp; Config'!L4="","",'12 - Deployments &amp; Config'!L4)</f>
        <v>NA</v>
      </c>
      <c r="Q4" s="33"/>
      <c r="R4" s="32" t="str">
        <f>IF('12 - Deployments &amp; Config'!AZ4="","",'12 - Deployments &amp; Config'!AZ4)</f>
        <v/>
      </c>
      <c r="S4" s="32" t="str">
        <f>IF('12 - Deployments &amp; Config'!AY4="","",'12 - Deployments &amp; Config'!AY4)</f>
        <v/>
      </c>
      <c r="T4" s="32" t="str">
        <f>IF('12 - Deployments &amp; Config'!AW4="","",'12 - Deployments &amp; Config'!AW4)</f>
        <v>Yes</v>
      </c>
      <c r="U4" s="32" t="str">
        <f>IF('12 - Deployments &amp; Config'!AX4="","",'12 - Deployments &amp; Config'!AX4)</f>
        <v>Yes</v>
      </c>
      <c r="V4" s="32" t="str">
        <f>IF('12 - Deployments &amp; Config'!BB4="","",'12 - Deployments &amp; Config'!BB4)</f>
        <v>Yes</v>
      </c>
      <c r="W4" s="32" t="str">
        <f>IF('12 - Deployments &amp; Config'!BD4="","",'12 - Deployments &amp; Config'!BD4)</f>
        <v>Firmware Installed</v>
      </c>
      <c r="X4" s="32" t="str">
        <f>IF('12 - Deployments &amp; Config'!BL4="","",'12 - Deployments &amp; Config'!BL4)</f>
        <v>Epic Beans Relay</v>
      </c>
      <c r="Y4" s="32" t="str">
        <f>IF('12 - Deployments &amp; Config'!BC4="","",'12 - Deployments &amp; Config'!BC4)</f>
        <v/>
      </c>
      <c r="Z4" s="32" t="str">
        <f>IF('12 - Deployments &amp; Config'!P4="","",'12 - Deployments &amp; Config'!P4)</f>
        <v/>
      </c>
      <c r="AA4" s="32" t="str">
        <f>IF('12 - Deployments &amp; Config'!Q4="","",'12 - Deployments &amp; Config'!Q4)</f>
        <v/>
      </c>
    </row>
    <row r="5" spans="1:29" ht="45.75" customHeight="1">
      <c r="A5" s="33"/>
      <c r="B5" s="33"/>
      <c r="C5" s="32" t="str">
        <f>IF('12 - Deployments &amp; Config'!H5="","",'12 - Deployments &amp; Config'!H5)</f>
        <v>LIJ SDF</v>
      </c>
      <c r="D5" s="32" t="str">
        <f>IF('12 - Deployments &amp; Config'!AF5="","",'12 - Deployments &amp; Config'!AF5)</f>
        <v>Ground Level/Dialysis</v>
      </c>
      <c r="E5" s="32" t="str">
        <f>IF('12 - Deployments &amp; Config'!AG5="","",'12 - Deployments &amp; Config'!AG5)</f>
        <v>Open Patient Area</v>
      </c>
      <c r="F5" s="32">
        <f>IF('12 - Deployments &amp; Config'!AH5="","",'12 - Deployments &amp; Config'!AH5)</f>
        <v>4</v>
      </c>
      <c r="G5" s="32" t="str">
        <f>IF('12 - Deployments &amp; Config'!AI5="","",'12 - Deployments &amp; Config'!AI5)</f>
        <v>BSM 033 B</v>
      </c>
      <c r="H5" s="32" t="str">
        <f>IF('12 - Deployments &amp; Config'!A5="","",'12 - Deployments &amp; Config'!A5)</f>
        <v>Neuron</v>
      </c>
      <c r="I5" s="32" t="str">
        <f>IF('12 - Deployments &amp; Config'!AJ5="","",'12 - Deployments &amp; Config'!AJ5)</f>
        <v>Fresenius BlueStar</v>
      </c>
      <c r="J5" s="32" t="str">
        <f>IF('12 - Deployments &amp; Config'!AK5="","",'12 - Deployments &amp; Config'!AK5)</f>
        <v>2008T</v>
      </c>
      <c r="K5" s="32" t="str">
        <f>IF('12 - Deployments &amp; Config'!AA5="","",'12 - Deployments &amp; Config'!AA5)</f>
        <v>Dialysis Machine</v>
      </c>
      <c r="L5" s="32" t="str">
        <f>IF('12 - Deployments &amp; Config'!I5="","",'12 - Deployments &amp; Config'!I5)</f>
        <v/>
      </c>
      <c r="M5" s="33"/>
      <c r="N5" s="32" t="str">
        <f>IF('12 - Deployments &amp; Config'!J5="","",'12 - Deployments &amp; Config'!J5)</f>
        <v>NA</v>
      </c>
      <c r="O5" s="32" t="str">
        <f>IF('12 - Deployments &amp; Config'!K5="","",'12 - Deployments &amp; Config'!K5)</f>
        <v>NA</v>
      </c>
      <c r="P5" s="32" t="str">
        <f>IF('12 - Deployments &amp; Config'!L5="","",'12 - Deployments &amp; Config'!L5)</f>
        <v>NA</v>
      </c>
      <c r="Q5" s="33"/>
      <c r="R5" s="32" t="str">
        <f>IF('12 - Deployments &amp; Config'!AZ5="","",'12 - Deployments &amp; Config'!AZ5)</f>
        <v/>
      </c>
      <c r="S5" s="32" t="str">
        <f>IF('12 - Deployments &amp; Config'!AY5="","",'12 - Deployments &amp; Config'!AY5)</f>
        <v/>
      </c>
      <c r="T5" s="32" t="str">
        <f>IF('12 - Deployments &amp; Config'!AW5="","",'12 - Deployments &amp; Config'!AW5)</f>
        <v>Yes</v>
      </c>
      <c r="U5" s="32" t="str">
        <f>IF('12 - Deployments &amp; Config'!AX5="","",'12 - Deployments &amp; Config'!AX5)</f>
        <v>Yes</v>
      </c>
      <c r="V5" s="32" t="str">
        <f>IF('12 - Deployments &amp; Config'!BB5="","",'12 - Deployments &amp; Config'!BB5)</f>
        <v>Yes</v>
      </c>
      <c r="W5" s="32" t="str">
        <f>IF('12 - Deployments &amp; Config'!BD5="","",'12 - Deployments &amp; Config'!BD5)</f>
        <v>Firmware Installed</v>
      </c>
      <c r="X5" s="32" t="str">
        <f>IF('12 - Deployments &amp; Config'!BL5="","",'12 - Deployments &amp; Config'!BL5)</f>
        <v>Epic Beans Relay</v>
      </c>
      <c r="Y5" s="32" t="str">
        <f>IF('12 - Deployments &amp; Config'!BC5="","",'12 - Deployments &amp; Config'!BC5)</f>
        <v/>
      </c>
      <c r="Z5" s="32" t="str">
        <f>IF('12 - Deployments &amp; Config'!P5="","",'12 - Deployments &amp; Config'!P5)</f>
        <v/>
      </c>
      <c r="AA5" s="32" t="str">
        <f>IF('12 - Deployments &amp; Config'!Q5="","",'12 - Deployments &amp; Config'!Q5)</f>
        <v/>
      </c>
    </row>
    <row r="6" spans="1:29" ht="45.75" customHeight="1">
      <c r="A6" s="33"/>
      <c r="B6" s="33"/>
      <c r="C6" s="32" t="str">
        <f>IF('12 - Deployments &amp; Config'!H6="","",'12 - Deployments &amp; Config'!H6)</f>
        <v>LIJ SDF</v>
      </c>
      <c r="D6" s="32" t="str">
        <f>IF('12 - Deployments &amp; Config'!AF6="","",'12 - Deployments &amp; Config'!AF6)</f>
        <v>Ground Level/Dialysis</v>
      </c>
      <c r="E6" s="32" t="str">
        <f>IF('12 - Deployments &amp; Config'!AG6="","",'12 - Deployments &amp; Config'!AG6)</f>
        <v>Open Patient Area</v>
      </c>
      <c r="F6" s="32">
        <f>IF('12 - Deployments &amp; Config'!AH6="","",'12 - Deployments &amp; Config'!AH6)</f>
        <v>5</v>
      </c>
      <c r="G6" s="32" t="str">
        <f>IF('12 - Deployments &amp; Config'!AI6="","",'12 - Deployments &amp; Config'!AI6)</f>
        <v>BSM 034 A</v>
      </c>
      <c r="H6" s="32" t="str">
        <f>IF('12 - Deployments &amp; Config'!A6="","",'12 - Deployments &amp; Config'!A6)</f>
        <v>Neuron</v>
      </c>
      <c r="I6" s="32" t="str">
        <f>IF('12 - Deployments &amp; Config'!AJ6="","",'12 - Deployments &amp; Config'!AJ6)</f>
        <v>Fresenius BlueStar</v>
      </c>
      <c r="J6" s="32" t="str">
        <f>IF('12 - Deployments &amp; Config'!AK6="","",'12 - Deployments &amp; Config'!AK6)</f>
        <v>2008T</v>
      </c>
      <c r="K6" s="32" t="str">
        <f>IF('12 - Deployments &amp; Config'!AA6="","",'12 - Deployments &amp; Config'!AA6)</f>
        <v>Dialysis Machine</v>
      </c>
      <c r="L6" s="32" t="str">
        <f>IF('12 - Deployments &amp; Config'!I6="","",'12 - Deployments &amp; Config'!I6)</f>
        <v/>
      </c>
      <c r="M6" s="33"/>
      <c r="N6" s="32" t="str">
        <f>IF('12 - Deployments &amp; Config'!J6="","",'12 - Deployments &amp; Config'!J6)</f>
        <v>NA</v>
      </c>
      <c r="O6" s="32" t="str">
        <f>IF('12 - Deployments &amp; Config'!K6="","",'12 - Deployments &amp; Config'!K6)</f>
        <v>NA</v>
      </c>
      <c r="P6" s="32" t="str">
        <f>IF('12 - Deployments &amp; Config'!L6="","",'12 - Deployments &amp; Config'!L6)</f>
        <v>NA</v>
      </c>
      <c r="Q6" s="33"/>
      <c r="R6" s="32" t="str">
        <f>IF('12 - Deployments &amp; Config'!AZ6="","",'12 - Deployments &amp; Config'!AZ6)</f>
        <v/>
      </c>
      <c r="S6" s="32" t="str">
        <f>IF('12 - Deployments &amp; Config'!AY6="","",'12 - Deployments &amp; Config'!AY6)</f>
        <v/>
      </c>
      <c r="T6" s="32" t="str">
        <f>IF('12 - Deployments &amp; Config'!AW6="","",'12 - Deployments &amp; Config'!AW6)</f>
        <v>Yes</v>
      </c>
      <c r="U6" s="32" t="str">
        <f>IF('12 - Deployments &amp; Config'!AX6="","",'12 - Deployments &amp; Config'!AX6)</f>
        <v>Yes</v>
      </c>
      <c r="V6" s="32" t="str">
        <f>IF('12 - Deployments &amp; Config'!BB6="","",'12 - Deployments &amp; Config'!BB6)</f>
        <v>Yes</v>
      </c>
      <c r="W6" s="32" t="str">
        <f>IF('12 - Deployments &amp; Config'!BD6="","",'12 - Deployments &amp; Config'!BD6)</f>
        <v>Firmware Installed</v>
      </c>
      <c r="X6" s="32" t="str">
        <f>IF('12 - Deployments &amp; Config'!BL6="","",'12 - Deployments &amp; Config'!BL6)</f>
        <v>Epic Beans Relay</v>
      </c>
      <c r="Y6" s="32" t="str">
        <f>IF('12 - Deployments &amp; Config'!BC6="","",'12 - Deployments &amp; Config'!BC6)</f>
        <v/>
      </c>
      <c r="Z6" s="32" t="str">
        <f>IF('12 - Deployments &amp; Config'!P6="","",'12 - Deployments &amp; Config'!P6)</f>
        <v/>
      </c>
      <c r="AA6" s="32" t="str">
        <f>IF('12 - Deployments &amp; Config'!Q6="","",'12 - Deployments &amp; Config'!Q6)</f>
        <v/>
      </c>
    </row>
    <row r="7" spans="1:29" ht="45.75" customHeight="1">
      <c r="A7" s="33"/>
      <c r="B7" s="33"/>
      <c r="C7" s="32" t="str">
        <f>IF('12 - Deployments &amp; Config'!H7="","",'12 - Deployments &amp; Config'!H7)</f>
        <v>LIJ SDF</v>
      </c>
      <c r="D7" s="32" t="str">
        <f>IF('12 - Deployments &amp; Config'!AF7="","",'12 - Deployments &amp; Config'!AF7)</f>
        <v>Ground Level/Dialysis</v>
      </c>
      <c r="E7" s="32" t="str">
        <f>IF('12 - Deployments &amp; Config'!AG7="","",'12 - Deployments &amp; Config'!AG7)</f>
        <v>Open Patient Area</v>
      </c>
      <c r="F7" s="32">
        <f>IF('12 - Deployments &amp; Config'!AH7="","",'12 - Deployments &amp; Config'!AH7)</f>
        <v>6</v>
      </c>
      <c r="G7" s="32" t="str">
        <f>IF('12 - Deployments &amp; Config'!AI7="","",'12 - Deployments &amp; Config'!AI7)</f>
        <v>BSM 034 B</v>
      </c>
      <c r="H7" s="32" t="str">
        <f>IF('12 - Deployments &amp; Config'!A7="","",'12 - Deployments &amp; Config'!A7)</f>
        <v>Neuron</v>
      </c>
      <c r="I7" s="32" t="str">
        <f>IF('12 - Deployments &amp; Config'!AJ7="","",'12 - Deployments &amp; Config'!AJ7)</f>
        <v>Fresenius BlueStar</v>
      </c>
      <c r="J7" s="32" t="str">
        <f>IF('12 - Deployments &amp; Config'!AK7="","",'12 - Deployments &amp; Config'!AK7)</f>
        <v>2008T</v>
      </c>
      <c r="K7" s="32" t="str">
        <f>IF('12 - Deployments &amp; Config'!AA7="","",'12 - Deployments &amp; Config'!AA7)</f>
        <v>Dialysis Machine</v>
      </c>
      <c r="L7" s="32" t="str">
        <f>IF('12 - Deployments &amp; Config'!I7="","",'12 - Deployments &amp; Config'!I7)</f>
        <v/>
      </c>
      <c r="M7" s="33"/>
      <c r="N7" s="32" t="str">
        <f>IF('12 - Deployments &amp; Config'!J7="","",'12 - Deployments &amp; Config'!J7)</f>
        <v>NA</v>
      </c>
      <c r="O7" s="32" t="str">
        <f>IF('12 - Deployments &amp; Config'!K7="","",'12 - Deployments &amp; Config'!K7)</f>
        <v>NA</v>
      </c>
      <c r="P7" s="32" t="str">
        <f>IF('12 - Deployments &amp; Config'!L7="","",'12 - Deployments &amp; Config'!L7)</f>
        <v>NA</v>
      </c>
      <c r="Q7" s="33"/>
      <c r="R7" s="32" t="str">
        <f>IF('12 - Deployments &amp; Config'!AZ7="","",'12 - Deployments &amp; Config'!AZ7)</f>
        <v/>
      </c>
      <c r="S7" s="32" t="str">
        <f>IF('12 - Deployments &amp; Config'!AY7="","",'12 - Deployments &amp; Config'!AY7)</f>
        <v/>
      </c>
      <c r="T7" s="32" t="str">
        <f>IF('12 - Deployments &amp; Config'!AW7="","",'12 - Deployments &amp; Config'!AW7)</f>
        <v>Yes</v>
      </c>
      <c r="U7" s="32" t="str">
        <f>IF('12 - Deployments &amp; Config'!AX7="","",'12 - Deployments &amp; Config'!AX7)</f>
        <v>Yes</v>
      </c>
      <c r="V7" s="32" t="str">
        <f>IF('12 - Deployments &amp; Config'!BB7="","",'12 - Deployments &amp; Config'!BB7)</f>
        <v>Yes</v>
      </c>
      <c r="W7" s="32" t="str">
        <f>IF('12 - Deployments &amp; Config'!BD7="","",'12 - Deployments &amp; Config'!BD7)</f>
        <v>Firmware Installed</v>
      </c>
      <c r="X7" s="32" t="str">
        <f>IF('12 - Deployments &amp; Config'!BL7="","",'12 - Deployments &amp; Config'!BL7)</f>
        <v>Epic Beans Relay</v>
      </c>
      <c r="Y7" s="32" t="str">
        <f>IF('12 - Deployments &amp; Config'!BC7="","",'12 - Deployments &amp; Config'!BC7)</f>
        <v/>
      </c>
      <c r="Z7" s="32" t="str">
        <f>IF('12 - Deployments &amp; Config'!P7="","",'12 - Deployments &amp; Config'!P7)</f>
        <v/>
      </c>
      <c r="AA7" s="32" t="str">
        <f>IF('12 - Deployments &amp; Config'!Q7="","",'12 - Deployments &amp; Config'!Q7)</f>
        <v/>
      </c>
    </row>
    <row r="8" spans="1:29" ht="45.75" customHeight="1">
      <c r="A8" s="33"/>
      <c r="B8" s="33"/>
      <c r="C8" s="32" t="str">
        <f>IF('12 - Deployments &amp; Config'!H8="","",'12 - Deployments &amp; Config'!H8)</f>
        <v>LIJ SDF</v>
      </c>
      <c r="D8" s="32" t="str">
        <f>IF('12 - Deployments &amp; Config'!AF8="","",'12 - Deployments &amp; Config'!AF8)</f>
        <v>Ground Level/Dialysis</v>
      </c>
      <c r="E8" s="32" t="str">
        <f>IF('12 - Deployments &amp; Config'!AG8="","",'12 - Deployments &amp; Config'!AG8)</f>
        <v>Open Patient Area</v>
      </c>
      <c r="F8" s="32">
        <f>IF('12 - Deployments &amp; Config'!AH8="","",'12 - Deployments &amp; Config'!AH8)</f>
        <v>7</v>
      </c>
      <c r="G8" s="32" t="str">
        <f>IF('12 - Deployments &amp; Config'!AI8="","",'12 - Deployments &amp; Config'!AI8)</f>
        <v>BSM 035 A</v>
      </c>
      <c r="H8" s="32" t="str">
        <f>IF('12 - Deployments &amp; Config'!A8="","",'12 - Deployments &amp; Config'!A8)</f>
        <v>Neuron</v>
      </c>
      <c r="I8" s="32" t="str">
        <f>IF('12 - Deployments &amp; Config'!AJ8="","",'12 - Deployments &amp; Config'!AJ8)</f>
        <v>Fresenius BlueStar</v>
      </c>
      <c r="J8" s="32" t="str">
        <f>IF('12 - Deployments &amp; Config'!AK8="","",'12 - Deployments &amp; Config'!AK8)</f>
        <v>2008T</v>
      </c>
      <c r="K8" s="32" t="str">
        <f>IF('12 - Deployments &amp; Config'!AA8="","",'12 - Deployments &amp; Config'!AA8)</f>
        <v>Dialysis Machine</v>
      </c>
      <c r="L8" s="32" t="str">
        <f>IF('12 - Deployments &amp; Config'!I8="","",'12 - Deployments &amp; Config'!I8)</f>
        <v/>
      </c>
      <c r="M8" s="33"/>
      <c r="N8" s="32" t="str">
        <f>IF('12 - Deployments &amp; Config'!J8="","",'12 - Deployments &amp; Config'!J8)</f>
        <v>NA</v>
      </c>
      <c r="O8" s="32" t="str">
        <f>IF('12 - Deployments &amp; Config'!K8="","",'12 - Deployments &amp; Config'!K8)</f>
        <v>NA</v>
      </c>
      <c r="P8" s="32" t="str">
        <f>IF('12 - Deployments &amp; Config'!L8="","",'12 - Deployments &amp; Config'!L8)</f>
        <v>NA</v>
      </c>
      <c r="Q8" s="33"/>
      <c r="R8" s="32" t="str">
        <f>IF('12 - Deployments &amp; Config'!AZ8="","",'12 - Deployments &amp; Config'!AZ8)</f>
        <v/>
      </c>
      <c r="S8" s="32" t="str">
        <f>IF('12 - Deployments &amp; Config'!AY8="","",'12 - Deployments &amp; Config'!AY8)</f>
        <v/>
      </c>
      <c r="T8" s="32" t="str">
        <f>IF('12 - Deployments &amp; Config'!AW8="","",'12 - Deployments &amp; Config'!AW8)</f>
        <v>Yes</v>
      </c>
      <c r="U8" s="32" t="str">
        <f>IF('12 - Deployments &amp; Config'!AX8="","",'12 - Deployments &amp; Config'!AX8)</f>
        <v>Yes</v>
      </c>
      <c r="V8" s="32" t="str">
        <f>IF('12 - Deployments &amp; Config'!BB8="","",'12 - Deployments &amp; Config'!BB8)</f>
        <v>Yes</v>
      </c>
      <c r="W8" s="32" t="str">
        <f>IF('12 - Deployments &amp; Config'!BD8="","",'12 - Deployments &amp; Config'!BD8)</f>
        <v>Firmware Installed</v>
      </c>
      <c r="X8" s="32" t="str">
        <f>IF('12 - Deployments &amp; Config'!BL8="","",'12 - Deployments &amp; Config'!BL8)</f>
        <v>Epic Beans Relay</v>
      </c>
      <c r="Y8" s="32" t="str">
        <f>IF('12 - Deployments &amp; Config'!BC8="","",'12 - Deployments &amp; Config'!BC8)</f>
        <v/>
      </c>
      <c r="Z8" s="32" t="str">
        <f>IF('12 - Deployments &amp; Config'!P8="","",'12 - Deployments &amp; Config'!P8)</f>
        <v/>
      </c>
      <c r="AA8" s="32" t="str">
        <f>IF('12 - Deployments &amp; Config'!Q8="","",'12 - Deployments &amp; Config'!Q8)</f>
        <v/>
      </c>
    </row>
    <row r="9" spans="1:29" ht="45.75" customHeight="1">
      <c r="A9" s="33"/>
      <c r="B9" s="33"/>
      <c r="C9" s="32" t="str">
        <f>IF('12 - Deployments &amp; Config'!H9="","",'12 - Deployments &amp; Config'!H9)</f>
        <v>LIJ SDF</v>
      </c>
      <c r="D9" s="32" t="str">
        <f>IF('12 - Deployments &amp; Config'!AF9="","",'12 - Deployments &amp; Config'!AF9)</f>
        <v>Ground Level/Dialysis</v>
      </c>
      <c r="E9" s="32" t="str">
        <f>IF('12 - Deployments &amp; Config'!AG9="","",'12 - Deployments &amp; Config'!AG9)</f>
        <v>Open Patient Area</v>
      </c>
      <c r="F9" s="32">
        <f>IF('12 - Deployments &amp; Config'!AH9="","",'12 - Deployments &amp; Config'!AH9)</f>
        <v>8</v>
      </c>
      <c r="G9" s="32" t="str">
        <f>IF('12 - Deployments &amp; Config'!AI9="","",'12 - Deployments &amp; Config'!AI9)</f>
        <v>BSM 035 B</v>
      </c>
      <c r="H9" s="32" t="str">
        <f>IF('12 - Deployments &amp; Config'!A9="","",'12 - Deployments &amp; Config'!A9)</f>
        <v>Neuron</v>
      </c>
      <c r="I9" s="32" t="str">
        <f>IF('12 - Deployments &amp; Config'!AJ9="","",'12 - Deployments &amp; Config'!AJ9)</f>
        <v>Fresenius BlueStar</v>
      </c>
      <c r="J9" s="32" t="str">
        <f>IF('12 - Deployments &amp; Config'!AK9="","",'12 - Deployments &amp; Config'!AK9)</f>
        <v>2008T</v>
      </c>
      <c r="K9" s="32" t="str">
        <f>IF('12 - Deployments &amp; Config'!AA9="","",'12 - Deployments &amp; Config'!AA9)</f>
        <v>Dialysis Machine</v>
      </c>
      <c r="L9" s="32" t="str">
        <f>IF('12 - Deployments &amp; Config'!I9="","",'12 - Deployments &amp; Config'!I9)</f>
        <v/>
      </c>
      <c r="M9" s="33"/>
      <c r="N9" s="32" t="str">
        <f>IF('12 - Deployments &amp; Config'!J9="","",'12 - Deployments &amp; Config'!J9)</f>
        <v>NA</v>
      </c>
      <c r="O9" s="32" t="str">
        <f>IF('12 - Deployments &amp; Config'!K9="","",'12 - Deployments &amp; Config'!K9)</f>
        <v>NA</v>
      </c>
      <c r="P9" s="32" t="str">
        <f>IF('12 - Deployments &amp; Config'!L9="","",'12 - Deployments &amp; Config'!L9)</f>
        <v>NA</v>
      </c>
      <c r="Q9" s="33"/>
      <c r="R9" s="32" t="str">
        <f>IF('12 - Deployments &amp; Config'!AZ9="","",'12 - Deployments &amp; Config'!AZ9)</f>
        <v/>
      </c>
      <c r="S9" s="32" t="str">
        <f>IF('12 - Deployments &amp; Config'!AY9="","",'12 - Deployments &amp; Config'!AY9)</f>
        <v/>
      </c>
      <c r="T9" s="32" t="str">
        <f>IF('12 - Deployments &amp; Config'!AW9="","",'12 - Deployments &amp; Config'!AW9)</f>
        <v>Yes</v>
      </c>
      <c r="U9" s="32" t="str">
        <f>IF('12 - Deployments &amp; Config'!AX9="","",'12 - Deployments &amp; Config'!AX9)</f>
        <v>Yes</v>
      </c>
      <c r="V9" s="32" t="str">
        <f>IF('12 - Deployments &amp; Config'!BB9="","",'12 - Deployments &amp; Config'!BB9)</f>
        <v>Yes</v>
      </c>
      <c r="W9" s="32" t="str">
        <f>IF('12 - Deployments &amp; Config'!BD9="","",'12 - Deployments &amp; Config'!BD9)</f>
        <v>Firmware Installed</v>
      </c>
      <c r="X9" s="32" t="str">
        <f>IF('12 - Deployments &amp; Config'!BL9="","",'12 - Deployments &amp; Config'!BL9)</f>
        <v>Epic Beans Relay</v>
      </c>
      <c r="Y9" s="32" t="str">
        <f>IF('12 - Deployments &amp; Config'!BC9="","",'12 - Deployments &amp; Config'!BC9)</f>
        <v/>
      </c>
      <c r="Z9" s="32" t="str">
        <f>IF('12 - Deployments &amp; Config'!P9="","",'12 - Deployments &amp; Config'!P9)</f>
        <v/>
      </c>
      <c r="AA9" s="32" t="str">
        <f>IF('12 - Deployments &amp; Config'!Q9="","",'12 - Deployments &amp; Config'!Q9)</f>
        <v/>
      </c>
    </row>
    <row r="10" spans="1:29" ht="45.75" customHeight="1">
      <c r="A10" s="33"/>
      <c r="B10" s="33"/>
      <c r="C10" s="32" t="str">
        <f>IF('12 - Deployments &amp; Config'!H10="","",'12 - Deployments &amp; Config'!H10)</f>
        <v>LIJ SDF</v>
      </c>
      <c r="D10" s="32" t="str">
        <f>IF('12 - Deployments &amp; Config'!AF10="","",'12 - Deployments &amp; Config'!AF10)</f>
        <v>Ground Level/Dialysis</v>
      </c>
      <c r="E10" s="32" t="str">
        <f>IF('12 - Deployments &amp; Config'!AG10="","",'12 - Deployments &amp; Config'!AG10)</f>
        <v>Open Patient Area</v>
      </c>
      <c r="F10" s="32">
        <f>IF('12 - Deployments &amp; Config'!AH10="","",'12 - Deployments &amp; Config'!AH10)</f>
        <v>9</v>
      </c>
      <c r="G10" s="32" t="str">
        <f>IF('12 - Deployments &amp; Config'!AI10="","",'12 - Deployments &amp; Config'!AI10)</f>
        <v>BSM 036 A</v>
      </c>
      <c r="H10" s="32" t="str">
        <f>IF('12 - Deployments &amp; Config'!A10="","",'12 - Deployments &amp; Config'!A10)</f>
        <v>Neuron</v>
      </c>
      <c r="I10" s="32" t="str">
        <f>IF('12 - Deployments &amp; Config'!AJ10="","",'12 - Deployments &amp; Config'!AJ10)</f>
        <v>Fresenius BlueStar</v>
      </c>
      <c r="J10" s="32" t="str">
        <f>IF('12 - Deployments &amp; Config'!AK10="","",'12 - Deployments &amp; Config'!AK10)</f>
        <v>2008T</v>
      </c>
      <c r="K10" s="32" t="str">
        <f>IF('12 - Deployments &amp; Config'!AA10="","",'12 - Deployments &amp; Config'!AA10)</f>
        <v>Dialysis Machine</v>
      </c>
      <c r="L10" s="32" t="str">
        <f>IF('12 - Deployments &amp; Config'!I10="","",'12 - Deployments &amp; Config'!I10)</f>
        <v/>
      </c>
      <c r="M10" s="33"/>
      <c r="N10" s="32" t="str">
        <f>IF('12 - Deployments &amp; Config'!J10="","",'12 - Deployments &amp; Config'!J10)</f>
        <v>NA</v>
      </c>
      <c r="O10" s="32" t="str">
        <f>IF('12 - Deployments &amp; Config'!K10="","",'12 - Deployments &amp; Config'!K10)</f>
        <v>NA</v>
      </c>
      <c r="P10" s="32" t="str">
        <f>IF('12 - Deployments &amp; Config'!L10="","",'12 - Deployments &amp; Config'!L10)</f>
        <v>NA</v>
      </c>
      <c r="Q10" s="33"/>
      <c r="R10" s="32" t="str">
        <f>IF('12 - Deployments &amp; Config'!AZ10="","",'12 - Deployments &amp; Config'!AZ10)</f>
        <v/>
      </c>
      <c r="S10" s="32" t="str">
        <f>IF('12 - Deployments &amp; Config'!AY10="","",'12 - Deployments &amp; Config'!AY10)</f>
        <v/>
      </c>
      <c r="T10" s="32" t="str">
        <f>IF('12 - Deployments &amp; Config'!AW10="","",'12 - Deployments &amp; Config'!AW10)</f>
        <v>Yes</v>
      </c>
      <c r="U10" s="32" t="str">
        <f>IF('12 - Deployments &amp; Config'!AX10="","",'12 - Deployments &amp; Config'!AX10)</f>
        <v>Yes</v>
      </c>
      <c r="V10" s="32" t="str">
        <f>IF('12 - Deployments &amp; Config'!BB10="","",'12 - Deployments &amp; Config'!BB10)</f>
        <v>Yes</v>
      </c>
      <c r="W10" s="32" t="str">
        <f>IF('12 - Deployments &amp; Config'!BD10="","",'12 - Deployments &amp; Config'!BD10)</f>
        <v>Firmware Installed</v>
      </c>
      <c r="X10" s="32" t="str">
        <f>IF('12 - Deployments &amp; Config'!BL10="","",'12 - Deployments &amp; Config'!BL10)</f>
        <v>Epic Beans Relay</v>
      </c>
      <c r="Y10" s="32" t="str">
        <f>IF('12 - Deployments &amp; Config'!BC10="","",'12 - Deployments &amp; Config'!BC10)</f>
        <v/>
      </c>
      <c r="Z10" s="32" t="str">
        <f>IF('12 - Deployments &amp; Config'!P10="","",'12 - Deployments &amp; Config'!P10)</f>
        <v/>
      </c>
      <c r="AA10" s="32" t="str">
        <f>IF('12 - Deployments &amp; Config'!Q10="","",'12 - Deployments &amp; Config'!Q10)</f>
        <v/>
      </c>
    </row>
    <row r="11" spans="1:29" ht="45.75" customHeight="1">
      <c r="A11" s="33"/>
      <c r="B11" s="33"/>
      <c r="C11" s="32" t="str">
        <f>IF('12 - Deployments &amp; Config'!H11="","",'12 - Deployments &amp; Config'!H11)</f>
        <v>LIJ SDF</v>
      </c>
      <c r="D11" s="32" t="str">
        <f>IF('12 - Deployments &amp; Config'!AF11="","",'12 - Deployments &amp; Config'!AF11)</f>
        <v>Ground Level/Dialysis</v>
      </c>
      <c r="E11" s="32" t="str">
        <f>IF('12 - Deployments &amp; Config'!AG11="","",'12 - Deployments &amp; Config'!AG11)</f>
        <v>Open Patient Area</v>
      </c>
      <c r="F11" s="32">
        <f>IF('12 - Deployments &amp; Config'!AH11="","",'12 - Deployments &amp; Config'!AH11)</f>
        <v>10</v>
      </c>
      <c r="G11" s="32" t="str">
        <f>IF('12 - Deployments &amp; Config'!AI11="","",'12 - Deployments &amp; Config'!AI11)</f>
        <v>BSM 036 B</v>
      </c>
      <c r="H11" s="32" t="str">
        <f>IF('12 - Deployments &amp; Config'!A11="","",'12 - Deployments &amp; Config'!A11)</f>
        <v>Neuron</v>
      </c>
      <c r="I11" s="32" t="str">
        <f>IF('12 - Deployments &amp; Config'!AJ11="","",'12 - Deployments &amp; Config'!AJ11)</f>
        <v>Fresenius BlueStar</v>
      </c>
      <c r="J11" s="32" t="str">
        <f>IF('12 - Deployments &amp; Config'!AK11="","",'12 - Deployments &amp; Config'!AK11)</f>
        <v>2008T</v>
      </c>
      <c r="K11" s="32" t="str">
        <f>IF('12 - Deployments &amp; Config'!AA11="","",'12 - Deployments &amp; Config'!AA11)</f>
        <v>Dialysis Machine</v>
      </c>
      <c r="L11" s="32" t="str">
        <f>IF('12 - Deployments &amp; Config'!I11="","",'12 - Deployments &amp; Config'!I11)</f>
        <v/>
      </c>
      <c r="M11" s="33"/>
      <c r="N11" s="32" t="str">
        <f>IF('12 - Deployments &amp; Config'!J11="","",'12 - Deployments &amp; Config'!J11)</f>
        <v>NA</v>
      </c>
      <c r="O11" s="32" t="str">
        <f>IF('12 - Deployments &amp; Config'!K11="","",'12 - Deployments &amp; Config'!K11)</f>
        <v>NA</v>
      </c>
      <c r="P11" s="32" t="str">
        <f>IF('12 - Deployments &amp; Config'!L11="","",'12 - Deployments &amp; Config'!L11)</f>
        <v>NA</v>
      </c>
      <c r="Q11" s="33"/>
      <c r="R11" s="32" t="str">
        <f>IF('12 - Deployments &amp; Config'!AZ11="","",'12 - Deployments &amp; Config'!AZ11)</f>
        <v/>
      </c>
      <c r="S11" s="32" t="str">
        <f>IF('12 - Deployments &amp; Config'!AY11="","",'12 - Deployments &amp; Config'!AY11)</f>
        <v/>
      </c>
      <c r="T11" s="32" t="str">
        <f>IF('12 - Deployments &amp; Config'!AW11="","",'12 - Deployments &amp; Config'!AW11)</f>
        <v>Yes</v>
      </c>
      <c r="U11" s="32" t="str">
        <f>IF('12 - Deployments &amp; Config'!AX11="","",'12 - Deployments &amp; Config'!AX11)</f>
        <v>Yes</v>
      </c>
      <c r="V11" s="32" t="str">
        <f>IF('12 - Deployments &amp; Config'!BB11="","",'12 - Deployments &amp; Config'!BB11)</f>
        <v>Yes</v>
      </c>
      <c r="W11" s="32" t="str">
        <f>IF('12 - Deployments &amp; Config'!BD11="","",'12 - Deployments &amp; Config'!BD11)</f>
        <v>Firmware Installed</v>
      </c>
      <c r="X11" s="32" t="str">
        <f>IF('12 - Deployments &amp; Config'!BL11="","",'12 - Deployments &amp; Config'!BL11)</f>
        <v>Epic Beans Relay</v>
      </c>
      <c r="Y11" s="32" t="str">
        <f>IF('12 - Deployments &amp; Config'!BC11="","",'12 - Deployments &amp; Config'!BC11)</f>
        <v/>
      </c>
      <c r="Z11" s="32" t="str">
        <f>IF('12 - Deployments &amp; Config'!P11="","",'12 - Deployments &amp; Config'!P11)</f>
        <v/>
      </c>
      <c r="AA11" s="32" t="str">
        <f>IF('12 - Deployments &amp; Config'!Q11="","",'12 - Deployments &amp; Config'!Q11)</f>
        <v/>
      </c>
    </row>
    <row r="12" spans="1:29" ht="45.75" customHeight="1">
      <c r="A12" s="33"/>
      <c r="B12" s="33"/>
      <c r="C12" s="32" t="str">
        <f>IF('12 - Deployments &amp; Config'!H12="","",'12 - Deployments &amp; Config'!H12)</f>
        <v>LIJ SDF</v>
      </c>
      <c r="D12" s="32" t="str">
        <f>IF('12 - Deployments &amp; Config'!AF12="","",'12 - Deployments &amp; Config'!AF12)</f>
        <v>Ground Level/Dialysis</v>
      </c>
      <c r="E12" s="32" t="str">
        <f>IF('12 - Deployments &amp; Config'!AG12="","",'12 - Deployments &amp; Config'!AG12)</f>
        <v>Open Patient Area</v>
      </c>
      <c r="F12" s="32">
        <f>IF('12 - Deployments &amp; Config'!AH12="","",'12 - Deployments &amp; Config'!AH12)</f>
        <v>11</v>
      </c>
      <c r="G12" s="32" t="str">
        <f>IF('12 - Deployments &amp; Config'!AI12="","",'12 - Deployments &amp; Config'!AI12)</f>
        <v>BSM 047 D</v>
      </c>
      <c r="H12" s="32" t="str">
        <f>IF('12 - Deployments &amp; Config'!A12="","",'12 - Deployments &amp; Config'!A12)</f>
        <v>Neuron</v>
      </c>
      <c r="I12" s="32" t="str">
        <f>IF('12 - Deployments &amp; Config'!AJ12="","",'12 - Deployments &amp; Config'!AJ12)</f>
        <v>Fresenius BlueStar</v>
      </c>
      <c r="J12" s="32" t="str">
        <f>IF('12 - Deployments &amp; Config'!AK12="","",'12 - Deployments &amp; Config'!AK12)</f>
        <v>2008T</v>
      </c>
      <c r="K12" s="32" t="str">
        <f>IF('12 - Deployments &amp; Config'!AA12="","",'12 - Deployments &amp; Config'!AA12)</f>
        <v>Dialysis Machine</v>
      </c>
      <c r="L12" s="32" t="str">
        <f>IF('12 - Deployments &amp; Config'!I12="","",'12 - Deployments &amp; Config'!I12)</f>
        <v/>
      </c>
      <c r="M12" s="33"/>
      <c r="N12" s="32" t="str">
        <f>IF('12 - Deployments &amp; Config'!J12="","",'12 - Deployments &amp; Config'!J12)</f>
        <v>NA</v>
      </c>
      <c r="O12" s="32" t="str">
        <f>IF('12 - Deployments &amp; Config'!K12="","",'12 - Deployments &amp; Config'!K12)</f>
        <v>NA</v>
      </c>
      <c r="P12" s="32" t="str">
        <f>IF('12 - Deployments &amp; Config'!L12="","",'12 - Deployments &amp; Config'!L12)</f>
        <v>NA</v>
      </c>
      <c r="Q12" s="33"/>
      <c r="R12" s="32" t="str">
        <f>IF('12 - Deployments &amp; Config'!AZ12="","",'12 - Deployments &amp; Config'!AZ12)</f>
        <v/>
      </c>
      <c r="S12" s="32" t="str">
        <f>IF('12 - Deployments &amp; Config'!AY12="","",'12 - Deployments &amp; Config'!AY12)</f>
        <v/>
      </c>
      <c r="T12" s="32" t="str">
        <f>IF('12 - Deployments &amp; Config'!AW12="","",'12 - Deployments &amp; Config'!AW12)</f>
        <v>Yes</v>
      </c>
      <c r="U12" s="32" t="str">
        <f>IF('12 - Deployments &amp; Config'!AX12="","",'12 - Deployments &amp; Config'!AX12)</f>
        <v>Yes</v>
      </c>
      <c r="V12" s="32" t="str">
        <f>IF('12 - Deployments &amp; Config'!BB12="","",'12 - Deployments &amp; Config'!BB12)</f>
        <v>Yes</v>
      </c>
      <c r="W12" s="32" t="str">
        <f>IF('12 - Deployments &amp; Config'!BD12="","",'12 - Deployments &amp; Config'!BD12)</f>
        <v>Firmware Installed</v>
      </c>
      <c r="X12" s="32" t="str">
        <f>IF('12 - Deployments &amp; Config'!BL12="","",'12 - Deployments &amp; Config'!BL12)</f>
        <v>Epic Beans Relay</v>
      </c>
      <c r="Y12" s="32" t="str">
        <f>IF('12 - Deployments &amp; Config'!BC12="","",'12 - Deployments &amp; Config'!BC12)</f>
        <v>SN scratched off slightly;</v>
      </c>
      <c r="Z12" s="32" t="str">
        <f>IF('12 - Deployments &amp; Config'!P12="","",'12 - Deployments &amp; Config'!P12)</f>
        <v/>
      </c>
      <c r="AA12" s="32" t="str">
        <f>IF('12 - Deployments &amp; Config'!Q12="","",'12 - Deployments &amp; Config'!Q12)</f>
        <v/>
      </c>
    </row>
    <row r="13" spans="1:29" ht="45.75" customHeight="1">
      <c r="A13" s="33"/>
      <c r="B13" s="33"/>
      <c r="C13" s="32" t="str">
        <f>IF('12 - Deployments &amp; Config'!H13="","",'12 - Deployments &amp; Config'!H13)</f>
        <v>LIJ SDF</v>
      </c>
      <c r="D13" s="32" t="str">
        <f>IF('12 - Deployments &amp; Config'!AF13="","",'12 - Deployments &amp; Config'!AF13)</f>
        <v>Ground Level/Dialysis</v>
      </c>
      <c r="E13" s="32" t="str">
        <f>IF('12 - Deployments &amp; Config'!AG13="","",'12 - Deployments &amp; Config'!AG13)</f>
        <v>Open Patient Area</v>
      </c>
      <c r="F13" s="32">
        <f>IF('12 - Deployments &amp; Config'!AH13="","",'12 - Deployments &amp; Config'!AH13)</f>
        <v>12</v>
      </c>
      <c r="G13" s="32" t="str">
        <f>IF('12 - Deployments &amp; Config'!AI13="","",'12 - Deployments &amp; Config'!AI13)</f>
        <v>BSM 050 D</v>
      </c>
      <c r="H13" s="32" t="str">
        <f>IF('12 - Deployments &amp; Config'!A13="","",'12 - Deployments &amp; Config'!A13)</f>
        <v>Neuron</v>
      </c>
      <c r="I13" s="32" t="str">
        <f>IF('12 - Deployments &amp; Config'!AJ13="","",'12 - Deployments &amp; Config'!AJ13)</f>
        <v>Fresenius BlueStar</v>
      </c>
      <c r="J13" s="32" t="str">
        <f>IF('12 - Deployments &amp; Config'!AK13="","",'12 - Deployments &amp; Config'!AK13)</f>
        <v>2008T</v>
      </c>
      <c r="K13" s="32" t="str">
        <f>IF('12 - Deployments &amp; Config'!AA13="","",'12 - Deployments &amp; Config'!AA13)</f>
        <v>Dialysis Machine</v>
      </c>
      <c r="L13" s="32" t="str">
        <f>IF('12 - Deployments &amp; Config'!I13="","",'12 - Deployments &amp; Config'!I13)</f>
        <v/>
      </c>
      <c r="M13" s="33"/>
      <c r="N13" s="32" t="str">
        <f>IF('12 - Deployments &amp; Config'!J13="","",'12 - Deployments &amp; Config'!J13)</f>
        <v>NA</v>
      </c>
      <c r="O13" s="32" t="str">
        <f>IF('12 - Deployments &amp; Config'!K13="","",'12 - Deployments &amp; Config'!K13)</f>
        <v>NA</v>
      </c>
      <c r="P13" s="32" t="str">
        <f>IF('12 - Deployments &amp; Config'!L13="","",'12 - Deployments &amp; Config'!L13)</f>
        <v>NA</v>
      </c>
      <c r="Q13" s="33"/>
      <c r="R13" s="32" t="str">
        <f>IF('12 - Deployments &amp; Config'!AZ13="","",'12 - Deployments &amp; Config'!AZ13)</f>
        <v/>
      </c>
      <c r="S13" s="32" t="str">
        <f>IF('12 - Deployments &amp; Config'!AY13="","",'12 - Deployments &amp; Config'!AY13)</f>
        <v/>
      </c>
      <c r="T13" s="32" t="str">
        <f>IF('12 - Deployments &amp; Config'!AW13="","",'12 - Deployments &amp; Config'!AW13)</f>
        <v>Yes</v>
      </c>
      <c r="U13" s="32" t="str">
        <f>IF('12 - Deployments &amp; Config'!AX13="","",'12 - Deployments &amp; Config'!AX13)</f>
        <v>Yes</v>
      </c>
      <c r="V13" s="32" t="str">
        <f>IF('12 - Deployments &amp; Config'!BB13="","",'12 - Deployments &amp; Config'!BB13)</f>
        <v>Yes</v>
      </c>
      <c r="W13" s="32" t="str">
        <f>IF('12 - Deployments &amp; Config'!BD13="","",'12 - Deployments &amp; Config'!BD13)</f>
        <v>Firmware Installed</v>
      </c>
      <c r="X13" s="32" t="str">
        <f>IF('12 - Deployments &amp; Config'!BL13="","",'12 - Deployments &amp; Config'!BL13)</f>
        <v>Epic Beans Relay</v>
      </c>
      <c r="Y13" s="32" t="str">
        <f>IF('12 - Deployments &amp; Config'!BC13="","",'12 - Deployments &amp; Config'!BC13)</f>
        <v/>
      </c>
      <c r="Z13" s="32" t="str">
        <f>IF('12 - Deployments &amp; Config'!P13="","",'12 - Deployments &amp; Config'!P13)</f>
        <v/>
      </c>
      <c r="AA13" s="32" t="str">
        <f>IF('12 - Deployments &amp; Config'!Q13="","",'12 - Deployments &amp; Config'!Q13)</f>
        <v/>
      </c>
    </row>
    <row r="14" spans="1:29" ht="45.75" customHeight="1">
      <c r="A14" s="33"/>
      <c r="B14" s="33"/>
      <c r="C14" s="32" t="str">
        <f>IF('12 - Deployments &amp; Config'!H14="","",'12 - Deployments &amp; Config'!H14)</f>
        <v>LIJ SDF</v>
      </c>
      <c r="D14" s="32" t="str">
        <f>IF('12 - Deployments &amp; Config'!AF14="","",'12 - Deployments &amp; Config'!AF14)</f>
        <v>Ground Level/Dialysis</v>
      </c>
      <c r="E14" s="32" t="str">
        <f>IF('12 - Deployments &amp; Config'!AG14="","",'12 - Deployments &amp; Config'!AG14)</f>
        <v>Open Patient Area</v>
      </c>
      <c r="F14" s="32">
        <f>IF('12 - Deployments &amp; Config'!AH14="","",'12 - Deployments &amp; Config'!AH14)</f>
        <v>13</v>
      </c>
      <c r="G14" s="32" t="str">
        <f>IF('12 - Deployments &amp; Config'!AI14="","",'12 - Deployments &amp; Config'!AI14)</f>
        <v>BSM 038 A</v>
      </c>
      <c r="H14" s="32" t="str">
        <f>IF('12 - Deployments &amp; Config'!A14="","",'12 - Deployments &amp; Config'!A14)</f>
        <v>Neuron</v>
      </c>
      <c r="I14" s="32" t="str">
        <f>IF('12 - Deployments &amp; Config'!AJ14="","",'12 - Deployments &amp; Config'!AJ14)</f>
        <v>Fresenius BlueStar</v>
      </c>
      <c r="J14" s="32" t="str">
        <f>IF('12 - Deployments &amp; Config'!AK14="","",'12 - Deployments &amp; Config'!AK14)</f>
        <v>2008T</v>
      </c>
      <c r="K14" s="32" t="str">
        <f>IF('12 - Deployments &amp; Config'!AA14="","",'12 - Deployments &amp; Config'!AA14)</f>
        <v>Dialysis Machine</v>
      </c>
      <c r="L14" s="32" t="str">
        <f>IF('12 - Deployments &amp; Config'!I14="","",'12 - Deployments &amp; Config'!I14)</f>
        <v/>
      </c>
      <c r="M14" s="33"/>
      <c r="N14" s="32" t="str">
        <f>IF('12 - Deployments &amp; Config'!J14="","",'12 - Deployments &amp; Config'!J14)</f>
        <v>NA</v>
      </c>
      <c r="O14" s="32" t="str">
        <f>IF('12 - Deployments &amp; Config'!K14="","",'12 - Deployments &amp; Config'!K14)</f>
        <v>NA</v>
      </c>
      <c r="P14" s="32" t="str">
        <f>IF('12 - Deployments &amp; Config'!L14="","",'12 - Deployments &amp; Config'!L14)</f>
        <v>NA</v>
      </c>
      <c r="Q14" s="33"/>
      <c r="R14" s="32" t="str">
        <f>IF('12 - Deployments &amp; Config'!AZ14="","",'12 - Deployments &amp; Config'!AZ14)</f>
        <v/>
      </c>
      <c r="S14" s="32" t="str">
        <f>IF('12 - Deployments &amp; Config'!AY14="","",'12 - Deployments &amp; Config'!AY14)</f>
        <v/>
      </c>
      <c r="T14" s="32" t="str">
        <f>IF('12 - Deployments &amp; Config'!AW14="","",'12 - Deployments &amp; Config'!AW14)</f>
        <v>Yes</v>
      </c>
      <c r="U14" s="32" t="str">
        <f>IF('12 - Deployments &amp; Config'!AX14="","",'12 - Deployments &amp; Config'!AX14)</f>
        <v>Yes</v>
      </c>
      <c r="V14" s="32" t="str">
        <f>IF('12 - Deployments &amp; Config'!BB14="","",'12 - Deployments &amp; Config'!BB14)</f>
        <v>Yes</v>
      </c>
      <c r="W14" s="32" t="str">
        <f>IF('12 - Deployments &amp; Config'!BD14="","",'12 - Deployments &amp; Config'!BD14)</f>
        <v>Firmware Installed</v>
      </c>
      <c r="X14" s="32" t="str">
        <f>IF('12 - Deployments &amp; Config'!BL14="","",'12 - Deployments &amp; Config'!BL14)</f>
        <v>Epic Beans Relay</v>
      </c>
      <c r="Y14" s="32" t="str">
        <f>IF('12 - Deployments &amp; Config'!BC14="","",'12 - Deployments &amp; Config'!BC14)</f>
        <v/>
      </c>
      <c r="Z14" s="32" t="str">
        <f>IF('12 - Deployments &amp; Config'!P14="","",'12 - Deployments &amp; Config'!P14)</f>
        <v/>
      </c>
      <c r="AA14" s="32" t="str">
        <f>IF('12 - Deployments &amp; Config'!Q14="","",'12 - Deployments &amp; Config'!Q14)</f>
        <v/>
      </c>
    </row>
    <row r="15" spans="1:29" ht="45.75" customHeight="1">
      <c r="A15" s="33"/>
      <c r="B15" s="33"/>
      <c r="C15" s="32" t="str">
        <f>IF('12 - Deployments &amp; Config'!H15="","",'12 - Deployments &amp; Config'!H15)</f>
        <v>LIJ SDF</v>
      </c>
      <c r="D15" s="32" t="str">
        <f>IF('12 - Deployments &amp; Config'!AF15="","",'12 - Deployments &amp; Config'!AF15)</f>
        <v>Ground Level/Dialysis</v>
      </c>
      <c r="E15" s="32" t="str">
        <f>IF('12 - Deployments &amp; Config'!AG15="","",'12 - Deployments &amp; Config'!AG15)</f>
        <v>Open Patient Area</v>
      </c>
      <c r="F15" s="32">
        <f>IF('12 - Deployments &amp; Config'!AH15="","",'12 - Deployments &amp; Config'!AH15)</f>
        <v>14</v>
      </c>
      <c r="G15" s="32" t="str">
        <f>IF('12 - Deployments &amp; Config'!AI15="","",'12 - Deployments &amp; Config'!AI15)</f>
        <v>BSM 038 B</v>
      </c>
      <c r="H15" s="32" t="str">
        <f>IF('12 - Deployments &amp; Config'!A15="","",'12 - Deployments &amp; Config'!A15)</f>
        <v>Neuron</v>
      </c>
      <c r="I15" s="32" t="str">
        <f>IF('12 - Deployments &amp; Config'!AJ15="","",'12 - Deployments &amp; Config'!AJ15)</f>
        <v>Fresenius BlueStar</v>
      </c>
      <c r="J15" s="32" t="str">
        <f>IF('12 - Deployments &amp; Config'!AK15="","",'12 - Deployments &amp; Config'!AK15)</f>
        <v>2008T</v>
      </c>
      <c r="K15" s="32" t="str">
        <f>IF('12 - Deployments &amp; Config'!AA15="","",'12 - Deployments &amp; Config'!AA15)</f>
        <v>Dialysis Machine</v>
      </c>
      <c r="L15" s="32" t="str">
        <f>IF('12 - Deployments &amp; Config'!I15="","",'12 - Deployments &amp; Config'!I15)</f>
        <v/>
      </c>
      <c r="M15" s="33"/>
      <c r="N15" s="32" t="str">
        <f>IF('12 - Deployments &amp; Config'!J15="","",'12 - Deployments &amp; Config'!J15)</f>
        <v>NA</v>
      </c>
      <c r="O15" s="32" t="str">
        <f>IF('12 - Deployments &amp; Config'!K15="","",'12 - Deployments &amp; Config'!K15)</f>
        <v>NA</v>
      </c>
      <c r="P15" s="32" t="str">
        <f>IF('12 - Deployments &amp; Config'!L15="","",'12 - Deployments &amp; Config'!L15)</f>
        <v>NA</v>
      </c>
      <c r="Q15" s="33"/>
      <c r="R15" s="32" t="str">
        <f>IF('12 - Deployments &amp; Config'!AZ15="","",'12 - Deployments &amp; Config'!AZ15)</f>
        <v/>
      </c>
      <c r="S15" s="32" t="str">
        <f>IF('12 - Deployments &amp; Config'!AY15="","",'12 - Deployments &amp; Config'!AY15)</f>
        <v/>
      </c>
      <c r="T15" s="32" t="str">
        <f>IF('12 - Deployments &amp; Config'!AW15="","",'12 - Deployments &amp; Config'!AW15)</f>
        <v>Yes</v>
      </c>
      <c r="U15" s="32" t="str">
        <f>IF('12 - Deployments &amp; Config'!AX15="","",'12 - Deployments &amp; Config'!AX15)</f>
        <v>Yes</v>
      </c>
      <c r="V15" s="32" t="str">
        <f>IF('12 - Deployments &amp; Config'!BB15="","",'12 - Deployments &amp; Config'!BB15)</f>
        <v>Yes</v>
      </c>
      <c r="W15" s="32" t="str">
        <f>IF('12 - Deployments &amp; Config'!BD15="","",'12 - Deployments &amp; Config'!BD15)</f>
        <v>Firmware Installed</v>
      </c>
      <c r="X15" s="32" t="str">
        <f>IF('12 - Deployments &amp; Config'!BL15="","",'12 - Deployments &amp; Config'!BL15)</f>
        <v>Epic Beans Relay</v>
      </c>
      <c r="Y15" s="32" t="str">
        <f>IF('12 - Deployments &amp; Config'!BC15="","",'12 - Deployments &amp; Config'!BC15)</f>
        <v/>
      </c>
      <c r="Z15" s="32" t="str">
        <f>IF('12 - Deployments &amp; Config'!P15="","",'12 - Deployments &amp; Config'!P15)</f>
        <v/>
      </c>
      <c r="AA15" s="32" t="str">
        <f>IF('12 - Deployments &amp; Config'!Q15="","",'12 - Deployments &amp; Config'!Q15)</f>
        <v/>
      </c>
    </row>
    <row r="16" spans="1:29" ht="45.75" customHeight="1">
      <c r="A16" s="33"/>
      <c r="B16" s="33"/>
      <c r="C16" s="32" t="str">
        <f>IF('12 - Deployments &amp; Config'!H16="","",'12 - Deployments &amp; Config'!H16)</f>
        <v>LIJ SDF</v>
      </c>
      <c r="D16" s="32" t="str">
        <f>IF('12 - Deployments &amp; Config'!AF16="","",'12 - Deployments &amp; Config'!AF16)</f>
        <v>Ground Level/Dialysis</v>
      </c>
      <c r="E16" s="32" t="str">
        <f>IF('12 - Deployments &amp; Config'!AG16="","",'12 - Deployments &amp; Config'!AG16)</f>
        <v>Open Patient Area</v>
      </c>
      <c r="F16" s="32">
        <f>IF('12 - Deployments &amp; Config'!AH16="","",'12 - Deployments &amp; Config'!AH16)</f>
        <v>15</v>
      </c>
      <c r="G16" s="32" t="str">
        <f>IF('12 - Deployments &amp; Config'!AI16="","",'12 - Deployments &amp; Config'!AI16)</f>
        <v>BSM 039 A</v>
      </c>
      <c r="H16" s="32" t="str">
        <f>IF('12 - Deployments &amp; Config'!A16="","",'12 - Deployments &amp; Config'!A16)</f>
        <v>Neuron</v>
      </c>
      <c r="I16" s="32" t="str">
        <f>IF('12 - Deployments &amp; Config'!AJ16="","",'12 - Deployments &amp; Config'!AJ16)</f>
        <v>Fresenius BlueStar</v>
      </c>
      <c r="J16" s="32" t="str">
        <f>IF('12 - Deployments &amp; Config'!AK16="","",'12 - Deployments &amp; Config'!AK16)</f>
        <v>2008T</v>
      </c>
      <c r="K16" s="32" t="str">
        <f>IF('12 - Deployments &amp; Config'!AA16="","",'12 - Deployments &amp; Config'!AA16)</f>
        <v>Dialysis Machine</v>
      </c>
      <c r="L16" s="32" t="str">
        <f>IF('12 - Deployments &amp; Config'!I16="","",'12 - Deployments &amp; Config'!I16)</f>
        <v/>
      </c>
      <c r="M16" s="33"/>
      <c r="N16" s="32" t="str">
        <f>IF('12 - Deployments &amp; Config'!J16="","",'12 - Deployments &amp; Config'!J16)</f>
        <v>NA</v>
      </c>
      <c r="O16" s="32" t="str">
        <f>IF('12 - Deployments &amp; Config'!K16="","",'12 - Deployments &amp; Config'!K16)</f>
        <v>NA</v>
      </c>
      <c r="P16" s="32" t="str">
        <f>IF('12 - Deployments &amp; Config'!L16="","",'12 - Deployments &amp; Config'!L16)</f>
        <v>NA</v>
      </c>
      <c r="Q16" s="33"/>
      <c r="R16" s="32" t="str">
        <f>IF('12 - Deployments &amp; Config'!AZ16="","",'12 - Deployments &amp; Config'!AZ16)</f>
        <v/>
      </c>
      <c r="S16" s="32" t="str">
        <f>IF('12 - Deployments &amp; Config'!AY16="","",'12 - Deployments &amp; Config'!AY16)</f>
        <v/>
      </c>
      <c r="T16" s="32" t="str">
        <f>IF('12 - Deployments &amp; Config'!AW16="","",'12 - Deployments &amp; Config'!AW16)</f>
        <v>Yes</v>
      </c>
      <c r="U16" s="32" t="str">
        <f>IF('12 - Deployments &amp; Config'!AX16="","",'12 - Deployments &amp; Config'!AX16)</f>
        <v>Yes</v>
      </c>
      <c r="V16" s="32" t="str">
        <f>IF('12 - Deployments &amp; Config'!BB16="","",'12 - Deployments &amp; Config'!BB16)</f>
        <v>Yes</v>
      </c>
      <c r="W16" s="32" t="str">
        <f>IF('12 - Deployments &amp; Config'!BD16="","",'12 - Deployments &amp; Config'!BD16)</f>
        <v>Firmware Installed</v>
      </c>
      <c r="X16" s="32" t="str">
        <f>IF('12 - Deployments &amp; Config'!BL16="","",'12 - Deployments &amp; Config'!BL16)</f>
        <v>Epic Beans Relay</v>
      </c>
      <c r="Y16" s="32" t="str">
        <f>IF('12 - Deployments &amp; Config'!BC16="","",'12 - Deployments &amp; Config'!BC16)</f>
        <v/>
      </c>
      <c r="Z16" s="32" t="str">
        <f>IF('12 - Deployments &amp; Config'!P16="","",'12 - Deployments &amp; Config'!P16)</f>
        <v/>
      </c>
      <c r="AA16" s="32" t="str">
        <f>IF('12 - Deployments &amp; Config'!Q16="","",'12 - Deployments &amp; Config'!Q16)</f>
        <v/>
      </c>
    </row>
    <row r="17" spans="1:27" ht="45.75" customHeight="1">
      <c r="A17" s="33"/>
      <c r="B17" s="33"/>
      <c r="C17" s="32" t="str">
        <f>IF('12 - Deployments &amp; Config'!H17="","",'12 - Deployments &amp; Config'!H17)</f>
        <v>LIJ SDF</v>
      </c>
      <c r="D17" s="32" t="str">
        <f>IF('12 - Deployments &amp; Config'!AF17="","",'12 - Deployments &amp; Config'!AF17)</f>
        <v>Ground Level/Dialysis</v>
      </c>
      <c r="E17" s="32" t="str">
        <f>IF('12 - Deployments &amp; Config'!AG17="","",'12 - Deployments &amp; Config'!AG17)</f>
        <v>Open Patient Area</v>
      </c>
      <c r="F17" s="32">
        <f>IF('12 - Deployments &amp; Config'!AH17="","",'12 - Deployments &amp; Config'!AH17)</f>
        <v>16</v>
      </c>
      <c r="G17" s="32" t="str">
        <f>IF('12 - Deployments &amp; Config'!AI17="","",'12 - Deployments &amp; Config'!AI17)</f>
        <v>BSM 039 B</v>
      </c>
      <c r="H17" s="32" t="str">
        <f>IF('12 - Deployments &amp; Config'!A17="","",'12 - Deployments &amp; Config'!A17)</f>
        <v>Neuron</v>
      </c>
      <c r="I17" s="32" t="str">
        <f>IF('12 - Deployments &amp; Config'!AJ17="","",'12 - Deployments &amp; Config'!AJ17)</f>
        <v>Fresenius BlueStar</v>
      </c>
      <c r="J17" s="32" t="str">
        <f>IF('12 - Deployments &amp; Config'!AK17="","",'12 - Deployments &amp; Config'!AK17)</f>
        <v>2008T</v>
      </c>
      <c r="K17" s="32" t="str">
        <f>IF('12 - Deployments &amp; Config'!AA17="","",'12 - Deployments &amp; Config'!AA17)</f>
        <v>Dialysis Machine</v>
      </c>
      <c r="L17" s="32" t="str">
        <f>IF('12 - Deployments &amp; Config'!I17="","",'12 - Deployments &amp; Config'!I17)</f>
        <v/>
      </c>
      <c r="M17" s="33"/>
      <c r="N17" s="32" t="str">
        <f>IF('12 - Deployments &amp; Config'!J17="","",'12 - Deployments &amp; Config'!J17)</f>
        <v>NA</v>
      </c>
      <c r="O17" s="32" t="str">
        <f>IF('12 - Deployments &amp; Config'!K17="","",'12 - Deployments &amp; Config'!K17)</f>
        <v>NA</v>
      </c>
      <c r="P17" s="32" t="str">
        <f>IF('12 - Deployments &amp; Config'!L17="","",'12 - Deployments &amp; Config'!L17)</f>
        <v>NA</v>
      </c>
      <c r="Q17" s="33"/>
      <c r="R17" s="32" t="str">
        <f>IF('12 - Deployments &amp; Config'!AZ17="","",'12 - Deployments &amp; Config'!AZ17)</f>
        <v/>
      </c>
      <c r="S17" s="32" t="str">
        <f>IF('12 - Deployments &amp; Config'!AY17="","",'12 - Deployments &amp; Config'!AY17)</f>
        <v/>
      </c>
      <c r="T17" s="32" t="str">
        <f>IF('12 - Deployments &amp; Config'!AW17="","",'12 - Deployments &amp; Config'!AW17)</f>
        <v>Yes</v>
      </c>
      <c r="U17" s="32" t="str">
        <f>IF('12 - Deployments &amp; Config'!AX17="","",'12 - Deployments &amp; Config'!AX17)</f>
        <v>Yes</v>
      </c>
      <c r="V17" s="32" t="str">
        <f>IF('12 - Deployments &amp; Config'!BB17="","",'12 - Deployments &amp; Config'!BB17)</f>
        <v>Yes</v>
      </c>
      <c r="W17" s="32" t="str">
        <f>IF('12 - Deployments &amp; Config'!BD17="","",'12 - Deployments &amp; Config'!BD17)</f>
        <v>Firmware Installed</v>
      </c>
      <c r="X17" s="32" t="str">
        <f>IF('12 - Deployments &amp; Config'!BL17="","",'12 - Deployments &amp; Config'!BL17)</f>
        <v>Epic Beans Relay</v>
      </c>
      <c r="Y17" s="32" t="str">
        <f>IF('12 - Deployments &amp; Config'!BC17="","",'12 - Deployments &amp; Config'!BC17)</f>
        <v/>
      </c>
      <c r="Z17" s="32" t="str">
        <f>IF('12 - Deployments &amp; Config'!P17="","",'12 - Deployments &amp; Config'!P17)</f>
        <v/>
      </c>
      <c r="AA17" s="32" t="str">
        <f>IF('12 - Deployments &amp; Config'!Q17="","",'12 - Deployments &amp; Config'!Q17)</f>
        <v/>
      </c>
    </row>
    <row r="18" spans="1:27" ht="45.75" customHeight="1">
      <c r="A18" s="33"/>
      <c r="B18" s="33"/>
      <c r="C18" s="32" t="str">
        <f>IF('12 - Deployments &amp; Config'!H18="","",'12 - Deployments &amp; Config'!H18)</f>
        <v>LIJ SDF</v>
      </c>
      <c r="D18" s="32" t="str">
        <f>IF('12 - Deployments &amp; Config'!AF18="","",'12 - Deployments &amp; Config'!AF18)</f>
        <v>Ground Level/Dialysis</v>
      </c>
      <c r="E18" s="32" t="str">
        <f>IF('12 - Deployments &amp; Config'!AG18="","",'12 - Deployments &amp; Config'!AG18)</f>
        <v>Open Patient Area</v>
      </c>
      <c r="F18" s="32">
        <f>IF('12 - Deployments &amp; Config'!AH18="","",'12 - Deployments &amp; Config'!AH18)</f>
        <v>17</v>
      </c>
      <c r="G18" s="32" t="str">
        <f>IF('12 - Deployments &amp; Config'!AI18="","",'12 - Deployments &amp; Config'!AI18)</f>
        <v>BSM 040 A</v>
      </c>
      <c r="H18" s="32" t="str">
        <f>IF('12 - Deployments &amp; Config'!A18="","",'12 - Deployments &amp; Config'!A18)</f>
        <v>Neuron</v>
      </c>
      <c r="I18" s="32" t="str">
        <f>IF('12 - Deployments &amp; Config'!AJ18="","",'12 - Deployments &amp; Config'!AJ18)</f>
        <v>Fresenius BlueStar</v>
      </c>
      <c r="J18" s="32" t="str">
        <f>IF('12 - Deployments &amp; Config'!AK18="","",'12 - Deployments &amp; Config'!AK18)</f>
        <v>2008T</v>
      </c>
      <c r="K18" s="32" t="str">
        <f>IF('12 - Deployments &amp; Config'!AA18="","",'12 - Deployments &amp; Config'!AA18)</f>
        <v>Dialysis Machine</v>
      </c>
      <c r="L18" s="32" t="str">
        <f>IF('12 - Deployments &amp; Config'!I18="","",'12 - Deployments &amp; Config'!I18)</f>
        <v/>
      </c>
      <c r="M18" s="33"/>
      <c r="N18" s="32" t="str">
        <f>IF('12 - Deployments &amp; Config'!J18="","",'12 - Deployments &amp; Config'!J18)</f>
        <v>NA</v>
      </c>
      <c r="O18" s="32" t="str">
        <f>IF('12 - Deployments &amp; Config'!K18="","",'12 - Deployments &amp; Config'!K18)</f>
        <v>NA</v>
      </c>
      <c r="P18" s="32" t="str">
        <f>IF('12 - Deployments &amp; Config'!L18="","",'12 - Deployments &amp; Config'!L18)</f>
        <v>NA</v>
      </c>
      <c r="Q18" s="33"/>
      <c r="R18" s="32" t="str">
        <f>IF('12 - Deployments &amp; Config'!AZ18="","",'12 - Deployments &amp; Config'!AZ18)</f>
        <v/>
      </c>
      <c r="S18" s="32" t="str">
        <f>IF('12 - Deployments &amp; Config'!AY18="","",'12 - Deployments &amp; Config'!AY18)</f>
        <v/>
      </c>
      <c r="T18" s="32" t="str">
        <f>IF('12 - Deployments &amp; Config'!AW18="","",'12 - Deployments &amp; Config'!AW18)</f>
        <v>Yes</v>
      </c>
      <c r="U18" s="32" t="str">
        <f>IF('12 - Deployments &amp; Config'!AX18="","",'12 - Deployments &amp; Config'!AX18)</f>
        <v>Yes</v>
      </c>
      <c r="V18" s="32" t="str">
        <f>IF('12 - Deployments &amp; Config'!BB18="","",'12 - Deployments &amp; Config'!BB18)</f>
        <v>Yes</v>
      </c>
      <c r="W18" s="32" t="str">
        <f>IF('12 - Deployments &amp; Config'!BD18="","",'12 - Deployments &amp; Config'!BD18)</f>
        <v>Firmware Installed</v>
      </c>
      <c r="X18" s="32" t="str">
        <f>IF('12 - Deployments &amp; Config'!BL18="","",'12 - Deployments &amp; Config'!BL18)</f>
        <v>Epic Beans Relay</v>
      </c>
      <c r="Y18" s="32" t="str">
        <f>IF('12 - Deployments &amp; Config'!BC18="","",'12 - Deployments &amp; Config'!BC18)</f>
        <v/>
      </c>
      <c r="Z18" s="32" t="str">
        <f>IF('12 - Deployments &amp; Config'!P18="","",'12 - Deployments &amp; Config'!P18)</f>
        <v/>
      </c>
      <c r="AA18" s="32" t="str">
        <f>IF('12 - Deployments &amp; Config'!Q18="","",'12 - Deployments &amp; Config'!Q18)</f>
        <v/>
      </c>
    </row>
    <row r="19" spans="1:27" ht="45.75" customHeight="1">
      <c r="A19" s="33"/>
      <c r="B19" s="33"/>
      <c r="C19" s="32" t="str">
        <f>IF('12 - Deployments &amp; Config'!H19="","",'12 - Deployments &amp; Config'!H19)</f>
        <v>LIJ SDF</v>
      </c>
      <c r="D19" s="32" t="str">
        <f>IF('12 - Deployments &amp; Config'!AF19="","",'12 - Deployments &amp; Config'!AF19)</f>
        <v>Ground Level/Dialysis</v>
      </c>
      <c r="E19" s="32" t="str">
        <f>IF('12 - Deployments &amp; Config'!AG19="","",'12 - Deployments &amp; Config'!AG19)</f>
        <v>Open Patient Area</v>
      </c>
      <c r="F19" s="32">
        <f>IF('12 - Deployments &amp; Config'!AH19="","",'12 - Deployments &amp; Config'!AH19)</f>
        <v>18</v>
      </c>
      <c r="G19" s="32" t="str">
        <f>IF('12 - Deployments &amp; Config'!AI19="","",'12 - Deployments &amp; Config'!AI19)</f>
        <v>BSM 040 B</v>
      </c>
      <c r="H19" s="32" t="str">
        <f>IF('12 - Deployments &amp; Config'!A19="","",'12 - Deployments &amp; Config'!A19)</f>
        <v>Neuron</v>
      </c>
      <c r="I19" s="32" t="str">
        <f>IF('12 - Deployments &amp; Config'!AJ19="","",'12 - Deployments &amp; Config'!AJ19)</f>
        <v>Fresenius BlueStar</v>
      </c>
      <c r="J19" s="32" t="str">
        <f>IF('12 - Deployments &amp; Config'!AK19="","",'12 - Deployments &amp; Config'!AK19)</f>
        <v>2008T</v>
      </c>
      <c r="K19" s="32" t="str">
        <f>IF('12 - Deployments &amp; Config'!AA19="","",'12 - Deployments &amp; Config'!AA19)</f>
        <v>Dialysis Machine</v>
      </c>
      <c r="L19" s="32" t="str">
        <f>IF('12 - Deployments &amp; Config'!I19="","",'12 - Deployments &amp; Config'!I19)</f>
        <v/>
      </c>
      <c r="M19" s="33"/>
      <c r="N19" s="32" t="str">
        <f>IF('12 - Deployments &amp; Config'!J19="","",'12 - Deployments &amp; Config'!J19)</f>
        <v>NA</v>
      </c>
      <c r="O19" s="32" t="str">
        <f>IF('12 - Deployments &amp; Config'!K19="","",'12 - Deployments &amp; Config'!K19)</f>
        <v>NA</v>
      </c>
      <c r="P19" s="32" t="str">
        <f>IF('12 - Deployments &amp; Config'!L19="","",'12 - Deployments &amp; Config'!L19)</f>
        <v>NA</v>
      </c>
      <c r="Q19" s="33"/>
      <c r="R19" s="32" t="str">
        <f>IF('12 - Deployments &amp; Config'!AZ19="","",'12 - Deployments &amp; Config'!AZ19)</f>
        <v/>
      </c>
      <c r="S19" s="32" t="str">
        <f>IF('12 - Deployments &amp; Config'!AY19="","",'12 - Deployments &amp; Config'!AY19)</f>
        <v/>
      </c>
      <c r="T19" s="32" t="str">
        <f>IF('12 - Deployments &amp; Config'!AW19="","",'12 - Deployments &amp; Config'!AW19)</f>
        <v>Yes</v>
      </c>
      <c r="U19" s="32" t="str">
        <f>IF('12 - Deployments &amp; Config'!AX19="","",'12 - Deployments &amp; Config'!AX19)</f>
        <v>Yes</v>
      </c>
      <c r="V19" s="32" t="str">
        <f>IF('12 - Deployments &amp; Config'!BB19="","",'12 - Deployments &amp; Config'!BB19)</f>
        <v>Yes</v>
      </c>
      <c r="W19" s="32" t="str">
        <f>IF('12 - Deployments &amp; Config'!BD19="","",'12 - Deployments &amp; Config'!BD19)</f>
        <v>Firmware Installed</v>
      </c>
      <c r="X19" s="32" t="str">
        <f>IF('12 - Deployments &amp; Config'!BL19="","",'12 - Deployments &amp; Config'!BL19)</f>
        <v>Epic Beans Relay</v>
      </c>
      <c r="Y19" s="32" t="str">
        <f>IF('12 - Deployments &amp; Config'!BC19="","",'12 - Deployments &amp; Config'!BC19)</f>
        <v/>
      </c>
      <c r="Z19" s="32" t="str">
        <f>IF('12 - Deployments &amp; Config'!P19="","",'12 - Deployments &amp; Config'!P19)</f>
        <v/>
      </c>
      <c r="AA19" s="32" t="str">
        <f>IF('12 - Deployments &amp; Config'!Q19="","",'12 - Deployments &amp; Config'!Q19)</f>
        <v/>
      </c>
    </row>
    <row r="20" spans="1:27" ht="45.75" customHeight="1">
      <c r="A20" s="33"/>
      <c r="B20" s="33"/>
      <c r="C20" s="32" t="str">
        <f>IF('12 - Deployments &amp; Config'!H20="","",'12 - Deployments &amp; Config'!H20)</f>
        <v>LIJ SDF</v>
      </c>
      <c r="D20" s="32" t="str">
        <f>IF('12 - Deployments &amp; Config'!AF20="","",'12 - Deployments &amp; Config'!AF20)</f>
        <v>Ground Level/Dialysis</v>
      </c>
      <c r="E20" s="32" t="str">
        <f>IF('12 - Deployments &amp; Config'!AG20="","",'12 - Deployments &amp; Config'!AG20)</f>
        <v>Open Patient Area</v>
      </c>
      <c r="F20" s="32">
        <f>IF('12 - Deployments &amp; Config'!AH20="","",'12 - Deployments &amp; Config'!AH20)</f>
        <v>19</v>
      </c>
      <c r="G20" s="32" t="str">
        <f>IF('12 - Deployments &amp; Config'!AI20="","",'12 - Deployments &amp; Config'!AI20)</f>
        <v>BSM 041 A</v>
      </c>
      <c r="H20" s="32" t="str">
        <f>IF('12 - Deployments &amp; Config'!A20="","",'12 - Deployments &amp; Config'!A20)</f>
        <v>Neuron</v>
      </c>
      <c r="I20" s="32" t="str">
        <f>IF('12 - Deployments &amp; Config'!AJ20="","",'12 - Deployments &amp; Config'!AJ20)</f>
        <v>Fresenius BlueStar</v>
      </c>
      <c r="J20" s="32" t="str">
        <f>IF('12 - Deployments &amp; Config'!AK20="","",'12 - Deployments &amp; Config'!AK20)</f>
        <v>2008T</v>
      </c>
      <c r="K20" s="32" t="str">
        <f>IF('12 - Deployments &amp; Config'!AA20="","",'12 - Deployments &amp; Config'!AA20)</f>
        <v>Dialysis Machine</v>
      </c>
      <c r="L20" s="32" t="str">
        <f>IF('12 - Deployments &amp; Config'!I20="","",'12 - Deployments &amp; Config'!I20)</f>
        <v/>
      </c>
      <c r="M20" s="33"/>
      <c r="N20" s="32" t="str">
        <f>IF('12 - Deployments &amp; Config'!J20="","",'12 - Deployments &amp; Config'!J20)</f>
        <v>NA</v>
      </c>
      <c r="O20" s="32" t="str">
        <f>IF('12 - Deployments &amp; Config'!K20="","",'12 - Deployments &amp; Config'!K20)</f>
        <v>NA</v>
      </c>
      <c r="P20" s="32" t="str">
        <f>IF('12 - Deployments &amp; Config'!L20="","",'12 - Deployments &amp; Config'!L20)</f>
        <v>NA</v>
      </c>
      <c r="Q20" s="33"/>
      <c r="R20" s="32" t="str">
        <f>IF('12 - Deployments &amp; Config'!AZ20="","",'12 - Deployments &amp; Config'!AZ20)</f>
        <v/>
      </c>
      <c r="S20" s="32" t="str">
        <f>IF('12 - Deployments &amp; Config'!AY20="","",'12 - Deployments &amp; Config'!AY20)</f>
        <v/>
      </c>
      <c r="T20" s="32" t="str">
        <f>IF('12 - Deployments &amp; Config'!AW20="","",'12 - Deployments &amp; Config'!AW20)</f>
        <v>Yes</v>
      </c>
      <c r="U20" s="32" t="str">
        <f>IF('12 - Deployments &amp; Config'!AX20="","",'12 - Deployments &amp; Config'!AX20)</f>
        <v>Yes</v>
      </c>
      <c r="V20" s="32" t="str">
        <f>IF('12 - Deployments &amp; Config'!BB20="","",'12 - Deployments &amp; Config'!BB20)</f>
        <v>Yes</v>
      </c>
      <c r="W20" s="32" t="str">
        <f>IF('12 - Deployments &amp; Config'!BD20="","",'12 - Deployments &amp; Config'!BD20)</f>
        <v>Firmware Installed</v>
      </c>
      <c r="X20" s="32" t="str">
        <f>IF('12 - Deployments &amp; Config'!BL20="","",'12 - Deployments &amp; Config'!BL20)</f>
        <v>Epic Beans Relay</v>
      </c>
      <c r="Y20" s="32" t="str">
        <f>IF('12 - Deployments &amp; Config'!BC20="","",'12 - Deployments &amp; Config'!BC20)</f>
        <v/>
      </c>
      <c r="Z20" s="32" t="str">
        <f>IF('12 - Deployments &amp; Config'!P20="","",'12 - Deployments &amp; Config'!P20)</f>
        <v/>
      </c>
      <c r="AA20" s="32" t="str">
        <f>IF('12 - Deployments &amp; Config'!Q20="","",'12 - Deployments &amp; Config'!Q20)</f>
        <v/>
      </c>
    </row>
    <row r="21" spans="1:27" ht="45.75" customHeight="1">
      <c r="A21" s="33"/>
      <c r="B21" s="33"/>
      <c r="C21" s="32" t="str">
        <f>IF('12 - Deployments &amp; Config'!H21="","",'12 - Deployments &amp; Config'!H21)</f>
        <v>LIJ SDF</v>
      </c>
      <c r="D21" s="32" t="str">
        <f>IF('12 - Deployments &amp; Config'!AF21="","",'12 - Deployments &amp; Config'!AF21)</f>
        <v>Ground Level/Dialysis</v>
      </c>
      <c r="E21" s="32" t="str">
        <f>IF('12 - Deployments &amp; Config'!AG21="","",'12 - Deployments &amp; Config'!AG21)</f>
        <v>Open Patient Area</v>
      </c>
      <c r="F21" s="32">
        <f>IF('12 - Deployments &amp; Config'!AH21="","",'12 - Deployments &amp; Config'!AH21)</f>
        <v>20</v>
      </c>
      <c r="G21" s="32" t="str">
        <f>IF('12 - Deployments &amp; Config'!AI21="","",'12 - Deployments &amp; Config'!AI21)</f>
        <v>BSM 041 B</v>
      </c>
      <c r="H21" s="32" t="str">
        <f>IF('12 - Deployments &amp; Config'!A21="","",'12 - Deployments &amp; Config'!A21)</f>
        <v>Neuron</v>
      </c>
      <c r="I21" s="32" t="str">
        <f>IF('12 - Deployments &amp; Config'!AJ21="","",'12 - Deployments &amp; Config'!AJ21)</f>
        <v>Fresenius BlueStar</v>
      </c>
      <c r="J21" s="32" t="str">
        <f>IF('12 - Deployments &amp; Config'!AK21="","",'12 - Deployments &amp; Config'!AK21)</f>
        <v>2008T</v>
      </c>
      <c r="K21" s="32" t="str">
        <f>IF('12 - Deployments &amp; Config'!AA21="","",'12 - Deployments &amp; Config'!AA21)</f>
        <v>Dialysis Machine</v>
      </c>
      <c r="L21" s="32" t="str">
        <f>IF('12 - Deployments &amp; Config'!I21="","",'12 - Deployments &amp; Config'!I21)</f>
        <v/>
      </c>
      <c r="M21" s="33"/>
      <c r="N21" s="32" t="str">
        <f>IF('12 - Deployments &amp; Config'!J21="","",'12 - Deployments &amp; Config'!J21)</f>
        <v>NA</v>
      </c>
      <c r="O21" s="32" t="str">
        <f>IF('12 - Deployments &amp; Config'!K21="","",'12 - Deployments &amp; Config'!K21)</f>
        <v>NA</v>
      </c>
      <c r="P21" s="32" t="str">
        <f>IF('12 - Deployments &amp; Config'!L21="","",'12 - Deployments &amp; Config'!L21)</f>
        <v>NA</v>
      </c>
      <c r="Q21" s="33"/>
      <c r="R21" s="32" t="str">
        <f>IF('12 - Deployments &amp; Config'!AZ21="","",'12 - Deployments &amp; Config'!AZ21)</f>
        <v/>
      </c>
      <c r="S21" s="32" t="str">
        <f>IF('12 - Deployments &amp; Config'!AY21="","",'12 - Deployments &amp; Config'!AY21)</f>
        <v/>
      </c>
      <c r="T21" s="32" t="str">
        <f>IF('12 - Deployments &amp; Config'!AW21="","",'12 - Deployments &amp; Config'!AW21)</f>
        <v>Yes</v>
      </c>
      <c r="U21" s="32" t="str">
        <f>IF('12 - Deployments &amp; Config'!AX21="","",'12 - Deployments &amp; Config'!AX21)</f>
        <v>Yes</v>
      </c>
      <c r="V21" s="32" t="str">
        <f>IF('12 - Deployments &amp; Config'!BB21="","",'12 - Deployments &amp; Config'!BB21)</f>
        <v>Yes</v>
      </c>
      <c r="W21" s="32" t="str">
        <f>IF('12 - Deployments &amp; Config'!BD21="","",'12 - Deployments &amp; Config'!BD21)</f>
        <v>Firmware Installed</v>
      </c>
      <c r="X21" s="32" t="str">
        <f>IF('12 - Deployments &amp; Config'!BL21="","",'12 - Deployments &amp; Config'!BL21)</f>
        <v>Epic Beans Relay</v>
      </c>
      <c r="Y21" s="32" t="str">
        <f>IF('12 - Deployments &amp; Config'!BC21="","",'12 - Deployments &amp; Config'!BC21)</f>
        <v/>
      </c>
      <c r="Z21" s="32" t="str">
        <f>IF('12 - Deployments &amp; Config'!P21="","",'12 - Deployments &amp; Config'!P21)</f>
        <v/>
      </c>
      <c r="AA21" s="32" t="str">
        <f>IF('12 - Deployments &amp; Config'!Q21="","",'12 - Deployments &amp; Config'!Q21)</f>
        <v/>
      </c>
    </row>
    <row r="22" spans="1:27" ht="45.75" customHeight="1">
      <c r="A22" s="33"/>
      <c r="B22" s="33"/>
      <c r="C22" s="32" t="str">
        <f>IF('12 - Deployments &amp; Config'!H22="","",'12 - Deployments &amp; Config'!H22)</f>
        <v>LIJ SDF</v>
      </c>
      <c r="D22" s="32" t="str">
        <f>IF('12 - Deployments &amp; Config'!AF22="","",'12 - Deployments &amp; Config'!AF22)</f>
        <v>Ground Level/Dialysis</v>
      </c>
      <c r="E22" s="32" t="str">
        <f>IF('12 - Deployments &amp; Config'!AG22="","",'12 - Deployments &amp; Config'!AG22)</f>
        <v>Open Patient Area</v>
      </c>
      <c r="F22" s="32">
        <f>IF('12 - Deployments &amp; Config'!AH22="","",'12 - Deployments &amp; Config'!AH22)</f>
        <v>21</v>
      </c>
      <c r="G22" s="32" t="str">
        <f>IF('12 - Deployments &amp; Config'!AI22="","",'12 - Deployments &amp; Config'!AI22)</f>
        <v>042V1</v>
      </c>
      <c r="H22" s="32" t="str">
        <f>IF('12 - Deployments &amp; Config'!A22="","",'12 - Deployments &amp; Config'!A22)</f>
        <v>Neuron</v>
      </c>
      <c r="I22" s="32" t="str">
        <f>IF('12 - Deployments &amp; Config'!AJ22="","",'12 - Deployments &amp; Config'!AJ22)</f>
        <v>Fresenius BlueStar</v>
      </c>
      <c r="J22" s="32" t="str">
        <f>IF('12 - Deployments &amp; Config'!AK22="","",'12 - Deployments &amp; Config'!AK22)</f>
        <v>2008T</v>
      </c>
      <c r="K22" s="32" t="str">
        <f>IF('12 - Deployments &amp; Config'!AA22="","",'12 - Deployments &amp; Config'!AA22)</f>
        <v>Dialysis Machine</v>
      </c>
      <c r="L22" s="32" t="str">
        <f>IF('12 - Deployments &amp; Config'!I22="","",'12 - Deployments &amp; Config'!I22)</f>
        <v/>
      </c>
      <c r="M22" s="33"/>
      <c r="N22" s="32" t="str">
        <f>IF('12 - Deployments &amp; Config'!J22="","",'12 - Deployments &amp; Config'!J22)</f>
        <v>NA</v>
      </c>
      <c r="O22" s="32" t="str">
        <f>IF('12 - Deployments &amp; Config'!K22="","",'12 - Deployments &amp; Config'!K22)</f>
        <v>NA</v>
      </c>
      <c r="P22" s="32" t="str">
        <f>IF('12 - Deployments &amp; Config'!L22="","",'12 - Deployments &amp; Config'!L22)</f>
        <v>NA</v>
      </c>
      <c r="Q22" s="33"/>
      <c r="R22" s="32" t="str">
        <f>IF('12 - Deployments &amp; Config'!AZ22="","",'12 - Deployments &amp; Config'!AZ22)</f>
        <v/>
      </c>
      <c r="S22" s="32" t="str">
        <f>IF('12 - Deployments &amp; Config'!AY22="","",'12 - Deployments &amp; Config'!AY22)</f>
        <v/>
      </c>
      <c r="T22" s="32" t="str">
        <f>IF('12 - Deployments &amp; Config'!AW22="","",'12 - Deployments &amp; Config'!AW22)</f>
        <v>Yes</v>
      </c>
      <c r="U22" s="32" t="str">
        <f>IF('12 - Deployments &amp; Config'!AX22="","",'12 - Deployments &amp; Config'!AX22)</f>
        <v>Yes</v>
      </c>
      <c r="V22" s="32" t="str">
        <f>IF('12 - Deployments &amp; Config'!BB22="","",'12 - Deployments &amp; Config'!BB22)</f>
        <v>Yes</v>
      </c>
      <c r="W22" s="32" t="str">
        <f>IF('12 - Deployments &amp; Config'!BD22="","",'12 - Deployments &amp; Config'!BD22)</f>
        <v>Firmware Installed</v>
      </c>
      <c r="X22" s="32" t="str">
        <f>IF('12 - Deployments &amp; Config'!BL22="","",'12 - Deployments &amp; Config'!BL22)</f>
        <v>Epic Beans Relay</v>
      </c>
      <c r="Y22" s="32" t="str">
        <f>IF('12 - Deployments &amp; Config'!BC22="","",'12 - Deployments &amp; Config'!BC22)</f>
        <v/>
      </c>
      <c r="Z22" s="32" t="str">
        <f>IF('12 - Deployments &amp; Config'!P22="","",'12 - Deployments &amp; Config'!P22)</f>
        <v/>
      </c>
      <c r="AA22" s="32" t="str">
        <f>IF('12 - Deployments &amp; Config'!Q22="","",'12 - Deployments &amp; Config'!Q22)</f>
        <v/>
      </c>
    </row>
    <row r="23" spans="1:27" ht="45.75" customHeight="1">
      <c r="A23" s="33"/>
      <c r="B23" s="33"/>
      <c r="C23" s="32" t="str">
        <f>IF('12 - Deployments &amp; Config'!H23="","",'12 - Deployments &amp; Config'!H23)</f>
        <v>LIJ SDF</v>
      </c>
      <c r="D23" s="32" t="str">
        <f>IF('12 - Deployments &amp; Config'!AF23="","",'12 - Deployments &amp; Config'!AF23)</f>
        <v>Ground Level/Dialysis</v>
      </c>
      <c r="E23" s="32" t="str">
        <f>IF('12 - Deployments &amp; Config'!AG23="","",'12 - Deployments &amp; Config'!AG23)</f>
        <v>Open Patient Area</v>
      </c>
      <c r="F23" s="32">
        <f>IF('12 - Deployments &amp; Config'!AH23="","",'12 - Deployments &amp; Config'!AH23)</f>
        <v>22</v>
      </c>
      <c r="G23" s="32" t="str">
        <f>IF('12 - Deployments &amp; Config'!AI23="","",'12 - Deployments &amp; Config'!AI23)</f>
        <v>042V2</v>
      </c>
      <c r="H23" s="32" t="str">
        <f>IF('12 - Deployments &amp; Config'!A23="","",'12 - Deployments &amp; Config'!A23)</f>
        <v>Neuron</v>
      </c>
      <c r="I23" s="32" t="str">
        <f>IF('12 - Deployments &amp; Config'!AJ23="","",'12 - Deployments &amp; Config'!AJ23)</f>
        <v>Fresenius BlueStar</v>
      </c>
      <c r="J23" s="32" t="str">
        <f>IF('12 - Deployments &amp; Config'!AK23="","",'12 - Deployments &amp; Config'!AK23)</f>
        <v>2008T</v>
      </c>
      <c r="K23" s="32" t="str">
        <f>IF('12 - Deployments &amp; Config'!AA23="","",'12 - Deployments &amp; Config'!AA23)</f>
        <v>Dialysis Machine</v>
      </c>
      <c r="L23" s="32" t="str">
        <f>IF('12 - Deployments &amp; Config'!I23="","",'12 - Deployments &amp; Config'!I23)</f>
        <v/>
      </c>
      <c r="M23" s="33"/>
      <c r="N23" s="32" t="str">
        <f>IF('12 - Deployments &amp; Config'!J23="","",'12 - Deployments &amp; Config'!J23)</f>
        <v>NA</v>
      </c>
      <c r="O23" s="32" t="str">
        <f>IF('12 - Deployments &amp; Config'!K23="","",'12 - Deployments &amp; Config'!K23)</f>
        <v>NA</v>
      </c>
      <c r="P23" s="32" t="str">
        <f>IF('12 - Deployments &amp; Config'!L23="","",'12 - Deployments &amp; Config'!L23)</f>
        <v>NA</v>
      </c>
      <c r="Q23" s="33"/>
      <c r="R23" s="32" t="str">
        <f>IF('12 - Deployments &amp; Config'!AZ23="","",'12 - Deployments &amp; Config'!AZ23)</f>
        <v/>
      </c>
      <c r="S23" s="32" t="str">
        <f>IF('12 - Deployments &amp; Config'!AY23="","",'12 - Deployments &amp; Config'!AY23)</f>
        <v/>
      </c>
      <c r="T23" s="32" t="str">
        <f>IF('12 - Deployments &amp; Config'!AW23="","",'12 - Deployments &amp; Config'!AW23)</f>
        <v>Yes</v>
      </c>
      <c r="U23" s="32" t="str">
        <f>IF('12 - Deployments &amp; Config'!AX23="","",'12 - Deployments &amp; Config'!AX23)</f>
        <v>Yes</v>
      </c>
      <c r="V23" s="32" t="str">
        <f>IF('12 - Deployments &amp; Config'!BB23="","",'12 - Deployments &amp; Config'!BB23)</f>
        <v>Yes</v>
      </c>
      <c r="W23" s="32" t="str">
        <f>IF('12 - Deployments &amp; Config'!BD23="","",'12 - Deployments &amp; Config'!BD23)</f>
        <v>Firmware Installed</v>
      </c>
      <c r="X23" s="32" t="str">
        <f>IF('12 - Deployments &amp; Config'!BL23="","",'12 - Deployments &amp; Config'!BL23)</f>
        <v>Epic Beans Relay</v>
      </c>
      <c r="Y23" s="32" t="str">
        <f>IF('12 - Deployments &amp; Config'!BC23="","",'12 - Deployments &amp; Config'!BC23)</f>
        <v/>
      </c>
      <c r="Z23" s="32" t="str">
        <f>IF('12 - Deployments &amp; Config'!P23="","",'12 - Deployments &amp; Config'!P23)</f>
        <v/>
      </c>
      <c r="AA23" s="32" t="str">
        <f>IF('12 - Deployments &amp; Config'!Q23="","",'12 - Deployments &amp; Config'!Q23)</f>
        <v/>
      </c>
    </row>
    <row r="24" spans="1:27" ht="45.75" customHeight="1">
      <c r="A24" s="33"/>
      <c r="B24" s="33"/>
      <c r="C24" s="32" t="str">
        <f>IF('12 - Deployments &amp; Config'!H24="","",'12 - Deployments &amp; Config'!H24)</f>
        <v>LIJ SDF</v>
      </c>
      <c r="D24" s="32" t="str">
        <f>IF('12 - Deployments &amp; Config'!AF24="","",'12 - Deployments &amp; Config'!AF24)</f>
        <v>Ground Level/Dialysis</v>
      </c>
      <c r="E24" s="32" t="str">
        <f>IF('12 - Deployments &amp; Config'!AG24="","",'12 - Deployments &amp; Config'!AG24)</f>
        <v>Open Patient Area</v>
      </c>
      <c r="F24" s="32">
        <f>IF('12 - Deployments &amp; Config'!AH24="","",'12 - Deployments &amp; Config'!AH24)</f>
        <v>23</v>
      </c>
      <c r="G24" s="32" t="str">
        <f>IF('12 - Deployments &amp; Config'!AI24="","",'12 - Deployments &amp; Config'!AI24)</f>
        <v>BSM 045D</v>
      </c>
      <c r="H24" s="32" t="str">
        <f>IF('12 - Deployments &amp; Config'!A24="","",'12 - Deployments &amp; Config'!A24)</f>
        <v>Neuron</v>
      </c>
      <c r="I24" s="32" t="str">
        <f>IF('12 - Deployments &amp; Config'!AJ24="","",'12 - Deployments &amp; Config'!AJ24)</f>
        <v>Fresenius BlueStar</v>
      </c>
      <c r="J24" s="32" t="str">
        <f>IF('12 - Deployments &amp; Config'!AK24="","",'12 - Deployments &amp; Config'!AK24)</f>
        <v>2008T</v>
      </c>
      <c r="K24" s="32" t="str">
        <f>IF('12 - Deployments &amp; Config'!AA24="","",'12 - Deployments &amp; Config'!AA24)</f>
        <v>Dialysis Machine</v>
      </c>
      <c r="L24" s="32" t="str">
        <f>IF('12 - Deployments &amp; Config'!I24="","",'12 - Deployments &amp; Config'!I24)</f>
        <v/>
      </c>
      <c r="M24" s="33"/>
      <c r="N24" s="32" t="str">
        <f>IF('12 - Deployments &amp; Config'!J24="","",'12 - Deployments &amp; Config'!J24)</f>
        <v>NA</v>
      </c>
      <c r="O24" s="32" t="str">
        <f>IF('12 - Deployments &amp; Config'!K24="","",'12 - Deployments &amp; Config'!K24)</f>
        <v>NA</v>
      </c>
      <c r="P24" s="32" t="str">
        <f>IF('12 - Deployments &amp; Config'!L24="","",'12 - Deployments &amp; Config'!L24)</f>
        <v>NA</v>
      </c>
      <c r="Q24" s="33"/>
      <c r="R24" s="32" t="str">
        <f>IF('12 - Deployments &amp; Config'!AZ24="","",'12 - Deployments &amp; Config'!AZ24)</f>
        <v/>
      </c>
      <c r="S24" s="32" t="str">
        <f>IF('12 - Deployments &amp; Config'!AY24="","",'12 - Deployments &amp; Config'!AY24)</f>
        <v/>
      </c>
      <c r="T24" s="32" t="str">
        <f>IF('12 - Deployments &amp; Config'!AW24="","",'12 - Deployments &amp; Config'!AW24)</f>
        <v>Yes</v>
      </c>
      <c r="U24" s="32" t="str">
        <f>IF('12 - Deployments &amp; Config'!AX24="","",'12 - Deployments &amp; Config'!AX24)</f>
        <v>Yes</v>
      </c>
      <c r="V24" s="32" t="str">
        <f>IF('12 - Deployments &amp; Config'!BB24="","",'12 - Deployments &amp; Config'!BB24)</f>
        <v>Yes</v>
      </c>
      <c r="W24" s="32" t="str">
        <f>IF('12 - Deployments &amp; Config'!BD24="","",'12 - Deployments &amp; Config'!BD24)</f>
        <v>Firmware Installed</v>
      </c>
      <c r="X24" s="32" t="str">
        <f>IF('12 - Deployments &amp; Config'!BL24="","",'12 - Deployments &amp; Config'!BL24)</f>
        <v>Epic Beans Relay</v>
      </c>
      <c r="Y24" s="32" t="str">
        <f>IF('12 - Deployments &amp; Config'!BC24="","",'12 - Deployments &amp; Config'!BC24)</f>
        <v/>
      </c>
      <c r="Z24" s="32" t="str">
        <f>IF('12 - Deployments &amp; Config'!P24="","",'12 - Deployments &amp; Config'!P24)</f>
        <v/>
      </c>
      <c r="AA24" s="32" t="str">
        <f>IF('12 - Deployments &amp; Config'!Q24="","",'12 - Deployments &amp; Config'!Q24)</f>
        <v/>
      </c>
    </row>
    <row r="25" spans="1:27" ht="45.75" customHeight="1">
      <c r="A25" s="33"/>
      <c r="B25" s="33"/>
      <c r="C25" s="32" t="str">
        <f>IF('12 - Deployments &amp; Config'!H25="","",'12 - Deployments &amp; Config'!H25)</f>
        <v>LIJ SDF</v>
      </c>
      <c r="D25" s="32" t="str">
        <f>IF('12 - Deployments &amp; Config'!AF25="","",'12 - Deployments &amp; Config'!AF25)</f>
        <v>Ground Level/Dialysis</v>
      </c>
      <c r="E25" s="32" t="str">
        <f>IF('12 - Deployments &amp; Config'!AG25="","",'12 - Deployments &amp; Config'!AG25)</f>
        <v>Open Patient Area</v>
      </c>
      <c r="F25" s="32">
        <f>IF('12 - Deployments &amp; Config'!AH25="","",'12 - Deployments &amp; Config'!AH25)</f>
        <v>24</v>
      </c>
      <c r="G25" s="32" t="str">
        <f>IF('12 - Deployments &amp; Config'!AI25="","",'12 - Deployments &amp; Config'!AI25)</f>
        <v>BSM 046 C</v>
      </c>
      <c r="H25" s="32" t="str">
        <f>IF('12 - Deployments &amp; Config'!A25="","",'12 - Deployments &amp; Config'!A25)</f>
        <v>Neuron</v>
      </c>
      <c r="I25" s="32" t="str">
        <f>IF('12 - Deployments &amp; Config'!AJ25="","",'12 - Deployments &amp; Config'!AJ25)</f>
        <v>Fresenius BlueStar</v>
      </c>
      <c r="J25" s="32" t="str">
        <f>IF('12 - Deployments &amp; Config'!AK25="","",'12 - Deployments &amp; Config'!AK25)</f>
        <v>2008T</v>
      </c>
      <c r="K25" s="32" t="str">
        <f>IF('12 - Deployments &amp; Config'!AA25="","",'12 - Deployments &amp; Config'!AA25)</f>
        <v>Dialysis Machine</v>
      </c>
      <c r="L25" s="32" t="str">
        <f>IF('12 - Deployments &amp; Config'!I25="","",'12 - Deployments &amp; Config'!I25)</f>
        <v/>
      </c>
      <c r="M25" s="33"/>
      <c r="N25" s="32" t="str">
        <f>IF('12 - Deployments &amp; Config'!J25="","",'12 - Deployments &amp; Config'!J25)</f>
        <v>NA</v>
      </c>
      <c r="O25" s="32" t="str">
        <f>IF('12 - Deployments &amp; Config'!K25="","",'12 - Deployments &amp; Config'!K25)</f>
        <v>NA</v>
      </c>
      <c r="P25" s="32" t="str">
        <f>IF('12 - Deployments &amp; Config'!L25="","",'12 - Deployments &amp; Config'!L25)</f>
        <v>NA</v>
      </c>
      <c r="Q25" s="33"/>
      <c r="R25" s="32" t="str">
        <f>IF('12 - Deployments &amp; Config'!AZ25="","",'12 - Deployments &amp; Config'!AZ25)</f>
        <v/>
      </c>
      <c r="S25" s="32" t="str">
        <f>IF('12 - Deployments &amp; Config'!AY25="","",'12 - Deployments &amp; Config'!AY25)</f>
        <v/>
      </c>
      <c r="T25" s="32" t="str">
        <f>IF('12 - Deployments &amp; Config'!AW25="","",'12 - Deployments &amp; Config'!AW25)</f>
        <v>Yes</v>
      </c>
      <c r="U25" s="32" t="str">
        <f>IF('12 - Deployments &amp; Config'!AX25="","",'12 - Deployments &amp; Config'!AX25)</f>
        <v>Yes</v>
      </c>
      <c r="V25" s="32" t="str">
        <f>IF('12 - Deployments &amp; Config'!BB25="","",'12 - Deployments &amp; Config'!BB25)</f>
        <v>Yes</v>
      </c>
      <c r="W25" s="32" t="str">
        <f>IF('12 - Deployments &amp; Config'!BD25="","",'12 - Deployments &amp; Config'!BD25)</f>
        <v>Firmware Installed</v>
      </c>
      <c r="X25" s="32" t="str">
        <f>IF('12 - Deployments &amp; Config'!BL25="","",'12 - Deployments &amp; Config'!BL25)</f>
        <v>Epic Beans Relay</v>
      </c>
      <c r="Y25" s="32" t="str">
        <f>IF('12 - Deployments &amp; Config'!BC25="","",'12 - Deployments &amp; Config'!BC25)</f>
        <v/>
      </c>
      <c r="Z25" s="32" t="str">
        <f>IF('12 - Deployments &amp; Config'!P25="","",'12 - Deployments &amp; Config'!P25)</f>
        <v/>
      </c>
      <c r="AA25" s="32" t="str">
        <f>IF('12 - Deployments &amp; Config'!Q25="","",'12 - Deployments &amp; Config'!Q25)</f>
        <v/>
      </c>
    </row>
    <row r="26" spans="1:27" ht="45.75" customHeight="1">
      <c r="A26" s="33"/>
      <c r="B26" s="33"/>
      <c r="C26" s="32" t="str">
        <f>IF('12 - Deployments &amp; Config'!H26="","",'12 - Deployments &amp; Config'!H26)</f>
        <v>LIJ SDF</v>
      </c>
      <c r="D26" s="32" t="str">
        <f>IF('12 - Deployments &amp; Config'!AF26="","",'12 - Deployments &amp; Config'!AF26)</f>
        <v>Ground Level/Dialysis</v>
      </c>
      <c r="E26" s="32" t="str">
        <f>IF('12 - Deployments &amp; Config'!AG26="","",'12 - Deployments &amp; Config'!AG26)</f>
        <v>Open Patient Area</v>
      </c>
      <c r="F26" s="32">
        <f>IF('12 - Deployments &amp; Config'!AH26="","",'12 - Deployments &amp; Config'!AH26)</f>
        <v>25</v>
      </c>
      <c r="G26" s="32" t="str">
        <f>IF('12 - Deployments &amp; Config'!AI26="","",'12 - Deployments &amp; Config'!AI26)</f>
        <v>BSM 046D</v>
      </c>
      <c r="H26" s="32" t="str">
        <f>IF('12 - Deployments &amp; Config'!A26="","",'12 - Deployments &amp; Config'!A26)</f>
        <v>Neuron</v>
      </c>
      <c r="I26" s="32" t="str">
        <f>IF('12 - Deployments &amp; Config'!AJ26="","",'12 - Deployments &amp; Config'!AJ26)</f>
        <v>Fresenius BlueStar</v>
      </c>
      <c r="J26" s="32" t="str">
        <f>IF('12 - Deployments &amp; Config'!AK26="","",'12 - Deployments &amp; Config'!AK26)</f>
        <v>2008T</v>
      </c>
      <c r="K26" s="32" t="str">
        <f>IF('12 - Deployments &amp; Config'!AA26="","",'12 - Deployments &amp; Config'!AA26)</f>
        <v>Dialysis Machine</v>
      </c>
      <c r="L26" s="32" t="str">
        <f>IF('12 - Deployments &amp; Config'!I26="","",'12 - Deployments &amp; Config'!I26)</f>
        <v/>
      </c>
      <c r="M26" s="33"/>
      <c r="N26" s="32" t="str">
        <f>IF('12 - Deployments &amp; Config'!J26="","",'12 - Deployments &amp; Config'!J26)</f>
        <v>NA</v>
      </c>
      <c r="O26" s="32" t="str">
        <f>IF('12 - Deployments &amp; Config'!K26="","",'12 - Deployments &amp; Config'!K26)</f>
        <v>NA</v>
      </c>
      <c r="P26" s="32" t="str">
        <f>IF('12 - Deployments &amp; Config'!L26="","",'12 - Deployments &amp; Config'!L26)</f>
        <v>NA</v>
      </c>
      <c r="Q26" s="33"/>
      <c r="R26" s="32" t="str">
        <f>IF('12 - Deployments &amp; Config'!AZ26="","",'12 - Deployments &amp; Config'!AZ26)</f>
        <v/>
      </c>
      <c r="S26" s="32" t="str">
        <f>IF('12 - Deployments &amp; Config'!AY26="","",'12 - Deployments &amp; Config'!AY26)</f>
        <v/>
      </c>
      <c r="T26" s="32" t="str">
        <f>IF('12 - Deployments &amp; Config'!AW26="","",'12 - Deployments &amp; Config'!AW26)</f>
        <v>Yes</v>
      </c>
      <c r="U26" s="32" t="str">
        <f>IF('12 - Deployments &amp; Config'!AX26="","",'12 - Deployments &amp; Config'!AX26)</f>
        <v>Yes</v>
      </c>
      <c r="V26" s="32" t="str">
        <f>IF('12 - Deployments &amp; Config'!BB26="","",'12 - Deployments &amp; Config'!BB26)</f>
        <v>Yes</v>
      </c>
      <c r="W26" s="32" t="str">
        <f>IF('12 - Deployments &amp; Config'!BD26="","",'12 - Deployments &amp; Config'!BD26)</f>
        <v>Firmware Installed</v>
      </c>
      <c r="X26" s="32" t="str">
        <f>IF('12 - Deployments &amp; Config'!BL26="","",'12 - Deployments &amp; Config'!BL26)</f>
        <v>Epic Beans Relay</v>
      </c>
      <c r="Y26" s="32" t="str">
        <f>IF('12 - Deployments &amp; Config'!BC26="","",'12 - Deployments &amp; Config'!BC26)</f>
        <v/>
      </c>
      <c r="Z26" s="32" t="str">
        <f>IF('12 - Deployments &amp; Config'!P26="","",'12 - Deployments &amp; Config'!P26)</f>
        <v/>
      </c>
      <c r="AA26" s="32" t="str">
        <f>IF('12 - Deployments &amp; Config'!Q26="","",'12 - Deployments &amp; Config'!Q26)</f>
        <v/>
      </c>
    </row>
    <row r="27" spans="1:27">
      <c r="A27" s="33"/>
      <c r="B27" s="33"/>
      <c r="C27" s="32" t="str">
        <f>IF('12 - Deployments &amp; Config'!H27="","",'12 - Deployments &amp; Config'!H27)</f>
        <v>LIJ SDF</v>
      </c>
      <c r="D27" s="32" t="str">
        <f>IF('12 - Deployments &amp; Config'!AF27="","",'12 - Deployments &amp; Config'!AF27)</f>
        <v/>
      </c>
      <c r="E27" s="32" t="str">
        <f>IF('12 - Deployments &amp; Config'!AG27="","",'12 - Deployments &amp; Config'!AG27)</f>
        <v/>
      </c>
      <c r="F27" s="32" t="str">
        <f>IF('12 - Deployments &amp; Config'!AH27="","",'12 - Deployments &amp; Config'!AH27)</f>
        <v/>
      </c>
      <c r="G27" s="32" t="str">
        <f>IF('12 - Deployments &amp; Config'!AI27="","",'12 - Deployments &amp; Config'!AI27)</f>
        <v/>
      </c>
      <c r="H27" s="32" t="str">
        <f>IF('12 - Deployments &amp; Config'!A27="","",'12 - Deployments &amp; Config'!A27)</f>
        <v>Neuron</v>
      </c>
      <c r="I27" s="32" t="str">
        <f>IF('12 - Deployments &amp; Config'!AJ27="","",'12 - Deployments &amp; Config'!AJ27)</f>
        <v/>
      </c>
      <c r="J27" s="32" t="str">
        <f>IF('12 - Deployments &amp; Config'!AK27="","",'12 - Deployments &amp; Config'!AK27)</f>
        <v/>
      </c>
      <c r="K27" s="32" t="str">
        <f>IF('12 - Deployments &amp; Config'!AA27="","",'12 - Deployments &amp; Config'!AA27)</f>
        <v>Dialysis Machine</v>
      </c>
      <c r="L27" s="32" t="str">
        <f>IF('12 - Deployments &amp; Config'!I27="","",'12 - Deployments &amp; Config'!I27)</f>
        <v/>
      </c>
      <c r="M27" s="33"/>
      <c r="N27" s="32" t="str">
        <f>IF('12 - Deployments &amp; Config'!J27="","",'12 - Deployments &amp; Config'!J27)</f>
        <v>NA</v>
      </c>
      <c r="O27" s="32" t="str">
        <f>IF('12 - Deployments &amp; Config'!K27="","",'12 - Deployments &amp; Config'!K27)</f>
        <v>NA</v>
      </c>
      <c r="P27" s="32" t="str">
        <f>IF('12 - Deployments &amp; Config'!L27="","",'12 - Deployments &amp; Config'!L27)</f>
        <v>NA</v>
      </c>
      <c r="Q27" s="33"/>
      <c r="R27" s="32" t="str">
        <f>IF('12 - Deployments &amp; Config'!AZ27="","",'12 - Deployments &amp; Config'!AZ27)</f>
        <v/>
      </c>
      <c r="S27" s="32" t="str">
        <f>IF('12 - Deployments &amp; Config'!AY27="","",'12 - Deployments &amp; Config'!AY27)</f>
        <v/>
      </c>
      <c r="T27" s="32" t="str">
        <f>IF('12 - Deployments &amp; Config'!AW27="","",'12 - Deployments &amp; Config'!AW27)</f>
        <v>Yes</v>
      </c>
      <c r="U27" s="32" t="str">
        <f>IF('12 - Deployments &amp; Config'!AX27="","",'12 - Deployments &amp; Config'!AX27)</f>
        <v>Yes</v>
      </c>
      <c r="V27" s="32" t="str">
        <f>IF('12 - Deployments &amp; Config'!BB27="","",'12 - Deployments &amp; Config'!BB27)</f>
        <v>Yes</v>
      </c>
      <c r="W27" s="32" t="str">
        <f>IF('12 - Deployments &amp; Config'!BD27="","",'12 - Deployments &amp; Config'!BD27)</f>
        <v>Firmware Installed</v>
      </c>
      <c r="X27" s="32" t="str">
        <f>IF('12 - Deployments &amp; Config'!BL27="","",'12 - Deployments &amp; Config'!BL27)</f>
        <v>Epic Beans Relay</v>
      </c>
      <c r="Y27" s="32" t="str">
        <f>IF('12 - Deployments &amp; Config'!BC27="","",'12 - Deployments &amp; Config'!BC27)</f>
        <v/>
      </c>
      <c r="Z27" s="32" t="str">
        <f>IF('12 - Deployments &amp; Config'!P27="","",'12 - Deployments &amp; Config'!P27)</f>
        <v/>
      </c>
      <c r="AA27" s="32" t="str">
        <f>IF('12 - Deployments &amp; Config'!Q27="","",'12 - Deployments &amp; Config'!Q27)</f>
        <v/>
      </c>
    </row>
    <row r="28" spans="1:27">
      <c r="A28" s="33"/>
      <c r="B28" s="33"/>
      <c r="C28" s="32" t="str">
        <f>IF('12 - Deployments &amp; Config'!H28="","",'12 - Deployments &amp; Config'!H28)</f>
        <v>LIJ SDF</v>
      </c>
      <c r="D28" s="32" t="str">
        <f>IF('12 - Deployments &amp; Config'!AF28="","",'12 - Deployments &amp; Config'!AF28)</f>
        <v/>
      </c>
      <c r="E28" s="32" t="str">
        <f>IF('12 - Deployments &amp; Config'!AG28="","",'12 - Deployments &amp; Config'!AG28)</f>
        <v/>
      </c>
      <c r="F28" s="32" t="str">
        <f>IF('12 - Deployments &amp; Config'!AH28="","",'12 - Deployments &amp; Config'!AH28)</f>
        <v/>
      </c>
      <c r="G28" s="32" t="str">
        <f>IF('12 - Deployments &amp; Config'!AI28="","",'12 - Deployments &amp; Config'!AI28)</f>
        <v/>
      </c>
      <c r="H28" s="32" t="str">
        <f>IF('12 - Deployments &amp; Config'!A28="","",'12 - Deployments &amp; Config'!A28)</f>
        <v>Neuron</v>
      </c>
      <c r="I28" s="32" t="str">
        <f>IF('12 - Deployments &amp; Config'!AJ28="","",'12 - Deployments &amp; Config'!AJ28)</f>
        <v/>
      </c>
      <c r="J28" s="32" t="str">
        <f>IF('12 - Deployments &amp; Config'!AK28="","",'12 - Deployments &amp; Config'!AK28)</f>
        <v/>
      </c>
      <c r="K28" s="32" t="str">
        <f>IF('12 - Deployments &amp; Config'!AA28="","",'12 - Deployments &amp; Config'!AA28)</f>
        <v>Dialysis Machine</v>
      </c>
      <c r="L28" s="32" t="str">
        <f>IF('12 - Deployments &amp; Config'!I28="","",'12 - Deployments &amp; Config'!I28)</f>
        <v/>
      </c>
      <c r="M28" s="33"/>
      <c r="N28" s="32" t="str">
        <f>IF('12 - Deployments &amp; Config'!J28="","",'12 - Deployments &amp; Config'!J28)</f>
        <v>NA</v>
      </c>
      <c r="O28" s="32" t="str">
        <f>IF('12 - Deployments &amp; Config'!K28="","",'12 - Deployments &amp; Config'!K28)</f>
        <v>NA</v>
      </c>
      <c r="P28" s="32" t="str">
        <f>IF('12 - Deployments &amp; Config'!L28="","",'12 - Deployments &amp; Config'!L28)</f>
        <v>NA</v>
      </c>
      <c r="Q28" s="33"/>
      <c r="R28" s="32" t="str">
        <f>IF('12 - Deployments &amp; Config'!AZ28="","",'12 - Deployments &amp; Config'!AZ28)</f>
        <v/>
      </c>
      <c r="S28" s="32" t="str">
        <f>IF('12 - Deployments &amp; Config'!AY28="","",'12 - Deployments &amp; Config'!AY28)</f>
        <v/>
      </c>
      <c r="T28" s="32" t="str">
        <f>IF('12 - Deployments &amp; Config'!AW28="","",'12 - Deployments &amp; Config'!AW28)</f>
        <v>Yes</v>
      </c>
      <c r="U28" s="32" t="str">
        <f>IF('12 - Deployments &amp; Config'!AX28="","",'12 - Deployments &amp; Config'!AX28)</f>
        <v>Yes</v>
      </c>
      <c r="V28" s="32" t="str">
        <f>IF('12 - Deployments &amp; Config'!BB28="","",'12 - Deployments &amp; Config'!BB28)</f>
        <v>Yes</v>
      </c>
      <c r="W28" s="32" t="str">
        <f>IF('12 - Deployments &amp; Config'!BD28="","",'12 - Deployments &amp; Config'!BD28)</f>
        <v>Firmware Installed</v>
      </c>
      <c r="X28" s="32" t="str">
        <f>IF('12 - Deployments &amp; Config'!BL28="","",'12 - Deployments &amp; Config'!BL28)</f>
        <v>Epic Beans Relay</v>
      </c>
      <c r="Y28" s="32" t="str">
        <f>IF('12 - Deployments &amp; Config'!BC28="","",'12 - Deployments &amp; Config'!BC28)</f>
        <v/>
      </c>
      <c r="Z28" s="32" t="str">
        <f>IF('12 - Deployments &amp; Config'!P28="","",'12 - Deployments &amp; Config'!P28)</f>
        <v/>
      </c>
      <c r="AA28" s="32" t="str">
        <f>IF('12 - Deployments &amp; Config'!Q28="","",'12 - Deployments &amp; Config'!Q28)</f>
        <v/>
      </c>
    </row>
    <row r="29" spans="1:27">
      <c r="A29" s="33"/>
      <c r="B29" s="33"/>
      <c r="C29" s="32" t="str">
        <f>IF('12 - Deployments &amp; Config'!H29="","",'12 - Deployments &amp; Config'!H29)</f>
        <v>LIJ SDF</v>
      </c>
      <c r="D29" s="32" t="str">
        <f>IF('12 - Deployments &amp; Config'!AF29="","",'12 - Deployments &amp; Config'!AF29)</f>
        <v/>
      </c>
      <c r="E29" s="32" t="str">
        <f>IF('12 - Deployments &amp; Config'!AG29="","",'12 - Deployments &amp; Config'!AG29)</f>
        <v/>
      </c>
      <c r="F29" s="32" t="str">
        <f>IF('12 - Deployments &amp; Config'!AH29="","",'12 - Deployments &amp; Config'!AH29)</f>
        <v/>
      </c>
      <c r="G29" s="32" t="str">
        <f>IF('12 - Deployments &amp; Config'!AI29="","",'12 - Deployments &amp; Config'!AI29)</f>
        <v/>
      </c>
      <c r="H29" s="32" t="str">
        <f>IF('12 - Deployments &amp; Config'!A29="","",'12 - Deployments &amp; Config'!A29)</f>
        <v>Neuron</v>
      </c>
      <c r="I29" s="32" t="str">
        <f>IF('12 - Deployments &amp; Config'!AJ29="","",'12 - Deployments &amp; Config'!AJ29)</f>
        <v/>
      </c>
      <c r="J29" s="32" t="str">
        <f>IF('12 - Deployments &amp; Config'!AK29="","",'12 - Deployments &amp; Config'!AK29)</f>
        <v/>
      </c>
      <c r="K29" s="32" t="str">
        <f>IF('12 - Deployments &amp; Config'!AA29="","",'12 - Deployments &amp; Config'!AA29)</f>
        <v>Dialysis Machine</v>
      </c>
      <c r="L29" s="32" t="str">
        <f>IF('12 - Deployments &amp; Config'!I29="","",'12 - Deployments &amp; Config'!I29)</f>
        <v/>
      </c>
      <c r="M29" s="33"/>
      <c r="N29" s="32" t="str">
        <f>IF('12 - Deployments &amp; Config'!J29="","",'12 - Deployments &amp; Config'!J29)</f>
        <v>NA</v>
      </c>
      <c r="O29" s="32" t="str">
        <f>IF('12 - Deployments &amp; Config'!K29="","",'12 - Deployments &amp; Config'!K29)</f>
        <v>NA</v>
      </c>
      <c r="P29" s="32" t="str">
        <f>IF('12 - Deployments &amp; Config'!L29="","",'12 - Deployments &amp; Config'!L29)</f>
        <v>NA</v>
      </c>
      <c r="Q29" s="33"/>
      <c r="R29" s="32" t="str">
        <f>IF('12 - Deployments &amp; Config'!AZ29="","",'12 - Deployments &amp; Config'!AZ29)</f>
        <v/>
      </c>
      <c r="S29" s="32" t="str">
        <f>IF('12 - Deployments &amp; Config'!AY29="","",'12 - Deployments &amp; Config'!AY29)</f>
        <v/>
      </c>
      <c r="T29" s="32" t="str">
        <f>IF('12 - Deployments &amp; Config'!AW29="","",'12 - Deployments &amp; Config'!AW29)</f>
        <v>Yes</v>
      </c>
      <c r="U29" s="32" t="str">
        <f>IF('12 - Deployments &amp; Config'!AX29="","",'12 - Deployments &amp; Config'!AX29)</f>
        <v>Yes</v>
      </c>
      <c r="V29" s="32" t="str">
        <f>IF('12 - Deployments &amp; Config'!BB29="","",'12 - Deployments &amp; Config'!BB29)</f>
        <v>Yes</v>
      </c>
      <c r="W29" s="32" t="str">
        <f>IF('12 - Deployments &amp; Config'!BD29="","",'12 - Deployments &amp; Config'!BD29)</f>
        <v>Firmware Installed</v>
      </c>
      <c r="X29" s="32" t="str">
        <f>IF('12 - Deployments &amp; Config'!BL29="","",'12 - Deployments &amp; Config'!BL29)</f>
        <v>Epic Beans Relay</v>
      </c>
      <c r="Y29" s="32" t="str">
        <f>IF('12 - Deployments &amp; Config'!BC29="","",'12 - Deployments &amp; Config'!BC29)</f>
        <v/>
      </c>
      <c r="Z29" s="32" t="str">
        <f>IF('12 - Deployments &amp; Config'!P29="","",'12 - Deployments &amp; Config'!P29)</f>
        <v/>
      </c>
      <c r="AA29" s="32" t="str">
        <f>IF('12 - Deployments &amp; Config'!Q29="","",'12 - Deployments &amp; Config'!Q29)</f>
        <v/>
      </c>
    </row>
    <row r="30" spans="1:27">
      <c r="A30" s="33"/>
      <c r="B30" s="33"/>
      <c r="C30" s="32" t="str">
        <f>IF('12 - Deployments &amp; Config'!H30="","",'12 - Deployments &amp; Config'!H30)</f>
        <v>LIJ SDF</v>
      </c>
      <c r="D30" s="32" t="str">
        <f>IF('12 - Deployments &amp; Config'!AF30="","",'12 - Deployments &amp; Config'!AF30)</f>
        <v/>
      </c>
      <c r="E30" s="32" t="str">
        <f>IF('12 - Deployments &amp; Config'!AG30="","",'12 - Deployments &amp; Config'!AG30)</f>
        <v/>
      </c>
      <c r="F30" s="32" t="str">
        <f>IF('12 - Deployments &amp; Config'!AH30="","",'12 - Deployments &amp; Config'!AH30)</f>
        <v/>
      </c>
      <c r="G30" s="32" t="str">
        <f>IF('12 - Deployments &amp; Config'!AI30="","",'12 - Deployments &amp; Config'!AI30)</f>
        <v/>
      </c>
      <c r="H30" s="32" t="str">
        <f>IF('12 - Deployments &amp; Config'!A30="","",'12 - Deployments &amp; Config'!A30)</f>
        <v>Neuron</v>
      </c>
      <c r="I30" s="32" t="str">
        <f>IF('12 - Deployments &amp; Config'!AJ30="","",'12 - Deployments &amp; Config'!AJ30)</f>
        <v/>
      </c>
      <c r="J30" s="32" t="str">
        <f>IF('12 - Deployments &amp; Config'!AK30="","",'12 - Deployments &amp; Config'!AK30)</f>
        <v/>
      </c>
      <c r="K30" s="32" t="str">
        <f>IF('12 - Deployments &amp; Config'!AA30="","",'12 - Deployments &amp; Config'!AA30)</f>
        <v/>
      </c>
      <c r="L30" s="32" t="str">
        <f>IF('12 - Deployments &amp; Config'!I30="","",'12 - Deployments &amp; Config'!I30)</f>
        <v/>
      </c>
      <c r="M30" s="33"/>
      <c r="N30" s="32" t="str">
        <f>IF('12 - Deployments &amp; Config'!J30="","",'12 - Deployments &amp; Config'!J30)</f>
        <v/>
      </c>
      <c r="O30" s="32" t="str">
        <f>IF('12 - Deployments &amp; Config'!K30="","",'12 - Deployments &amp; Config'!K30)</f>
        <v/>
      </c>
      <c r="P30" s="32" t="str">
        <f>IF('12 - Deployments &amp; Config'!L30="","",'12 - Deployments &amp; Config'!L30)</f>
        <v/>
      </c>
      <c r="Q30" s="33"/>
      <c r="R30" s="32" t="str">
        <f>IF('12 - Deployments &amp; Config'!AZ30="","",'12 - Deployments &amp; Config'!AZ30)</f>
        <v/>
      </c>
      <c r="S30" s="32" t="str">
        <f>IF('12 - Deployments &amp; Config'!AY30="","",'12 - Deployments &amp; Config'!AY30)</f>
        <v/>
      </c>
      <c r="T30" s="32" t="str">
        <f>IF('12 - Deployments &amp; Config'!AW30="","",'12 - Deployments &amp; Config'!AW30)</f>
        <v>Yes</v>
      </c>
      <c r="U30" s="32" t="str">
        <f>IF('12 - Deployments &amp; Config'!AX30="","",'12 - Deployments &amp; Config'!AX30)</f>
        <v>Yes</v>
      </c>
      <c r="V30" s="32" t="str">
        <f>IF('12 - Deployments &amp; Config'!BB30="","",'12 - Deployments &amp; Config'!BB30)</f>
        <v>Yes</v>
      </c>
      <c r="W30" s="32" t="str">
        <f>IF('12 - Deployments &amp; Config'!BD30="","",'12 - Deployments &amp; Config'!BD30)</f>
        <v>Firmware Installed</v>
      </c>
      <c r="X30" s="32" t="str">
        <f>IF('12 - Deployments &amp; Config'!BL30="","",'12 - Deployments &amp; Config'!BL30)</f>
        <v>Epic Beans Relay</v>
      </c>
      <c r="Y30" s="32" t="str">
        <f>IF('12 - Deployments &amp; Config'!BC30="","",'12 - Deployments &amp; Config'!BC30)</f>
        <v>Spare Unit</v>
      </c>
      <c r="Z30" s="32" t="str">
        <f>IF('12 - Deployments &amp; Config'!P30="","",'12 - Deployments &amp; Config'!P30)</f>
        <v/>
      </c>
      <c r="AA30" s="32" t="str">
        <f>IF('12 - Deployments &amp; Config'!Q30="","",'12 - Deployments &amp; Config'!Q30)</f>
        <v/>
      </c>
    </row>
    <row r="31" spans="1:27">
      <c r="A31" s="33"/>
      <c r="B31" s="33"/>
      <c r="C31" s="32" t="str">
        <f>IF('12 - Deployments &amp; Config'!H31="","",'12 - Deployments &amp; Config'!H31)</f>
        <v>LIJ SDF</v>
      </c>
      <c r="D31" s="32" t="str">
        <f>IF('12 - Deployments &amp; Config'!AF31="","",'12 - Deployments &amp; Config'!AF31)</f>
        <v/>
      </c>
      <c r="E31" s="32" t="str">
        <f>IF('12 - Deployments &amp; Config'!AG31="","",'12 - Deployments &amp; Config'!AG31)</f>
        <v/>
      </c>
      <c r="F31" s="32" t="str">
        <f>IF('12 - Deployments &amp; Config'!AH31="","",'12 - Deployments &amp; Config'!AH31)</f>
        <v/>
      </c>
      <c r="G31" s="32" t="str">
        <f>IF('12 - Deployments &amp; Config'!AI31="","",'12 - Deployments &amp; Config'!AI31)</f>
        <v/>
      </c>
      <c r="H31" s="32" t="str">
        <f>IF('12 - Deployments &amp; Config'!A31="","",'12 - Deployments &amp; Config'!A31)</f>
        <v>Neuron</v>
      </c>
      <c r="I31" s="32" t="str">
        <f>IF('12 - Deployments &amp; Config'!AJ31="","",'12 - Deployments &amp; Config'!AJ31)</f>
        <v/>
      </c>
      <c r="J31" s="32" t="str">
        <f>IF('12 - Deployments &amp; Config'!AK31="","",'12 - Deployments &amp; Config'!AK31)</f>
        <v/>
      </c>
      <c r="K31" s="32" t="str">
        <f>IF('12 - Deployments &amp; Config'!AA31="","",'12 - Deployments &amp; Config'!AA31)</f>
        <v/>
      </c>
      <c r="L31" s="32" t="str">
        <f>IF('12 - Deployments &amp; Config'!I31="","",'12 - Deployments &amp; Config'!I31)</f>
        <v/>
      </c>
      <c r="M31" s="33"/>
      <c r="N31" s="32" t="str">
        <f>IF('12 - Deployments &amp; Config'!J31="","",'12 - Deployments &amp; Config'!J31)</f>
        <v/>
      </c>
      <c r="O31" s="32" t="str">
        <f>IF('12 - Deployments &amp; Config'!K31="","",'12 - Deployments &amp; Config'!K31)</f>
        <v/>
      </c>
      <c r="P31" s="32" t="str">
        <f>IF('12 - Deployments &amp; Config'!L31="","",'12 - Deployments &amp; Config'!L31)</f>
        <v/>
      </c>
      <c r="Q31" s="33"/>
      <c r="R31" s="32" t="str">
        <f>IF('12 - Deployments &amp; Config'!AZ31="","",'12 - Deployments &amp; Config'!AZ31)</f>
        <v/>
      </c>
      <c r="S31" s="32" t="str">
        <f>IF('12 - Deployments &amp; Config'!AY31="","",'12 - Deployments &amp; Config'!AY31)</f>
        <v/>
      </c>
      <c r="T31" s="32" t="str">
        <f>IF('12 - Deployments &amp; Config'!AW31="","",'12 - Deployments &amp; Config'!AW31)</f>
        <v>Yes</v>
      </c>
      <c r="U31" s="32" t="str">
        <f>IF('12 - Deployments &amp; Config'!AX31="","",'12 - Deployments &amp; Config'!AX31)</f>
        <v>Yes</v>
      </c>
      <c r="V31" s="32" t="str">
        <f>IF('12 - Deployments &amp; Config'!BB31="","",'12 - Deployments &amp; Config'!BB31)</f>
        <v>Yes</v>
      </c>
      <c r="W31" s="32" t="str">
        <f>IF('12 - Deployments &amp; Config'!BD31="","",'12 - Deployments &amp; Config'!BD31)</f>
        <v>Firmware Installed</v>
      </c>
      <c r="X31" s="32" t="str">
        <f>IF('12 - Deployments &amp; Config'!BL31="","",'12 - Deployments &amp; Config'!BL31)</f>
        <v>Epic Beans Relay</v>
      </c>
      <c r="Y31" s="32" t="str">
        <f>IF('12 - Deployments &amp; Config'!BC31="","",'12 - Deployments &amp; Config'!BC31)</f>
        <v>Spare Unit</v>
      </c>
      <c r="Z31" s="32" t="str">
        <f>IF('12 - Deployments &amp; Config'!P31="","",'12 - Deployments &amp; Config'!P31)</f>
        <v/>
      </c>
      <c r="AA31" s="32" t="str">
        <f>IF('12 - Deployments &amp; Config'!Q31="","",'12 - Deployments &amp; Config'!Q31)</f>
        <v/>
      </c>
    </row>
    <row r="32" spans="1:27">
      <c r="A32" s="33"/>
      <c r="B32" s="33"/>
      <c r="C32" s="32" t="str">
        <f>IF('12 - Deployments &amp; Config'!H32="","",'12 - Deployments &amp; Config'!H32)</f>
        <v>LIJ SDF</v>
      </c>
      <c r="D32" s="32" t="str">
        <f>IF('12 - Deployments &amp; Config'!AF32="","",'12 - Deployments &amp; Config'!AF32)</f>
        <v/>
      </c>
      <c r="E32" s="32" t="str">
        <f>IF('12 - Deployments &amp; Config'!AG32="","",'12 - Deployments &amp; Config'!AG32)</f>
        <v/>
      </c>
      <c r="F32" s="32" t="str">
        <f>IF('12 - Deployments &amp; Config'!AH32="","",'12 - Deployments &amp; Config'!AH32)</f>
        <v/>
      </c>
      <c r="G32" s="32" t="str">
        <f>IF('12 - Deployments &amp; Config'!AI32="","",'12 - Deployments &amp; Config'!AI32)</f>
        <v/>
      </c>
      <c r="H32" s="32" t="str">
        <f>IF('12 - Deployments &amp; Config'!A32="","",'12 - Deployments &amp; Config'!A32)</f>
        <v>Neuron</v>
      </c>
      <c r="I32" s="32" t="str">
        <f>IF('12 - Deployments &amp; Config'!AJ32="","",'12 - Deployments &amp; Config'!AJ32)</f>
        <v/>
      </c>
      <c r="J32" s="32" t="str">
        <f>IF('12 - Deployments &amp; Config'!AK32="","",'12 - Deployments &amp; Config'!AK32)</f>
        <v/>
      </c>
      <c r="K32" s="32" t="str">
        <f>IF('12 - Deployments &amp; Config'!AA32="","",'12 - Deployments &amp; Config'!AA32)</f>
        <v/>
      </c>
      <c r="L32" s="32" t="str">
        <f>IF('12 - Deployments &amp; Config'!I32="","",'12 - Deployments &amp; Config'!I32)</f>
        <v/>
      </c>
      <c r="M32" s="33"/>
      <c r="N32" s="32" t="str">
        <f>IF('12 - Deployments &amp; Config'!J32="","",'12 - Deployments &amp; Config'!J32)</f>
        <v/>
      </c>
      <c r="O32" s="32" t="str">
        <f>IF('12 - Deployments &amp; Config'!K32="","",'12 - Deployments &amp; Config'!K32)</f>
        <v/>
      </c>
      <c r="P32" s="32" t="str">
        <f>IF('12 - Deployments &amp; Config'!L32="","",'12 - Deployments &amp; Config'!L32)</f>
        <v/>
      </c>
      <c r="Q32" s="33"/>
      <c r="R32" s="32" t="str">
        <f>IF('12 - Deployments &amp; Config'!AZ32="","",'12 - Deployments &amp; Config'!AZ32)</f>
        <v/>
      </c>
      <c r="S32" s="32" t="str">
        <f>IF('12 - Deployments &amp; Config'!AY32="","",'12 - Deployments &amp; Config'!AY32)</f>
        <v/>
      </c>
      <c r="T32" s="32" t="str">
        <f>IF('12 - Deployments &amp; Config'!AW32="","",'12 - Deployments &amp; Config'!AW32)</f>
        <v>Yes</v>
      </c>
      <c r="U32" s="32" t="str">
        <f>IF('12 - Deployments &amp; Config'!AX32="","",'12 - Deployments &amp; Config'!AX32)</f>
        <v>Yes</v>
      </c>
      <c r="V32" s="32" t="str">
        <f>IF('12 - Deployments &amp; Config'!BB32="","",'12 - Deployments &amp; Config'!BB32)</f>
        <v>Yes</v>
      </c>
      <c r="W32" s="32" t="str">
        <f>IF('12 - Deployments &amp; Config'!BD32="","",'12 - Deployments &amp; Config'!BD32)</f>
        <v>Firmware Installed</v>
      </c>
      <c r="X32" s="32" t="str">
        <f>IF('12 - Deployments &amp; Config'!BL32="","",'12 - Deployments &amp; Config'!BL32)</f>
        <v>Epic Beans Relay</v>
      </c>
      <c r="Y32" s="32" t="str">
        <f>IF('12 - Deployments &amp; Config'!BC32="","",'12 - Deployments &amp; Config'!BC32)</f>
        <v>Spare Unit</v>
      </c>
      <c r="Z32" s="32" t="str">
        <f>IF('12 - Deployments &amp; Config'!P32="","",'12 - Deployments &amp; Config'!P32)</f>
        <v/>
      </c>
      <c r="AA32" s="32" t="str">
        <f>IF('12 - Deployments &amp; Config'!Q32="","",'12 - Deployments &amp; Config'!Q32)</f>
        <v/>
      </c>
    </row>
    <row r="33" spans="1:27">
      <c r="A33" s="33"/>
      <c r="B33" s="33"/>
      <c r="C33" s="32" t="str">
        <f>IF('12 - Deployments &amp; Config'!H33="","",'12 - Deployments &amp; Config'!H33)</f>
        <v>LIJ SDF</v>
      </c>
      <c r="D33" s="32" t="str">
        <f>IF('12 - Deployments &amp; Config'!AF33="","",'12 - Deployments &amp; Config'!AF33)</f>
        <v/>
      </c>
      <c r="E33" s="32" t="str">
        <f>IF('12 - Deployments &amp; Config'!AG33="","",'12 - Deployments &amp; Config'!AG33)</f>
        <v/>
      </c>
      <c r="F33" s="32" t="str">
        <f>IF('12 - Deployments &amp; Config'!AH33="","",'12 - Deployments &amp; Config'!AH33)</f>
        <v/>
      </c>
      <c r="G33" s="32" t="str">
        <f>IF('12 - Deployments &amp; Config'!AI33="","",'12 - Deployments &amp; Config'!AI33)</f>
        <v/>
      </c>
      <c r="H33" s="32" t="str">
        <f>IF('12 - Deployments &amp; Config'!A33="","",'12 - Deployments &amp; Config'!A33)</f>
        <v>Neuron</v>
      </c>
      <c r="I33" s="32" t="str">
        <f>IF('12 - Deployments &amp; Config'!AJ33="","",'12 - Deployments &amp; Config'!AJ33)</f>
        <v/>
      </c>
      <c r="J33" s="32" t="str">
        <f>IF('12 - Deployments &amp; Config'!AK33="","",'12 - Deployments &amp; Config'!AK33)</f>
        <v/>
      </c>
      <c r="K33" s="32" t="str">
        <f>IF('12 - Deployments &amp; Config'!AA33="","",'12 - Deployments &amp; Config'!AA33)</f>
        <v/>
      </c>
      <c r="L33" s="32" t="str">
        <f>IF('12 - Deployments &amp; Config'!I33="","",'12 - Deployments &amp; Config'!I33)</f>
        <v/>
      </c>
      <c r="M33" s="33"/>
      <c r="N33" s="32" t="str">
        <f>IF('12 - Deployments &amp; Config'!J33="","",'12 - Deployments &amp; Config'!J33)</f>
        <v/>
      </c>
      <c r="O33" s="32" t="str">
        <f>IF('12 - Deployments &amp; Config'!K33="","",'12 - Deployments &amp; Config'!K33)</f>
        <v/>
      </c>
      <c r="P33" s="32" t="str">
        <f>IF('12 - Deployments &amp; Config'!L33="","",'12 - Deployments &amp; Config'!L33)</f>
        <v/>
      </c>
      <c r="Q33" s="33"/>
      <c r="R33" s="32" t="str">
        <f>IF('12 - Deployments &amp; Config'!AZ33="","",'12 - Deployments &amp; Config'!AZ33)</f>
        <v/>
      </c>
      <c r="S33" s="32" t="str">
        <f>IF('12 - Deployments &amp; Config'!AY33="","",'12 - Deployments &amp; Config'!AY33)</f>
        <v/>
      </c>
      <c r="T33" s="32" t="str">
        <f>IF('12 - Deployments &amp; Config'!AW33="","",'12 - Deployments &amp; Config'!AW33)</f>
        <v>Yes</v>
      </c>
      <c r="U33" s="32" t="str">
        <f>IF('12 - Deployments &amp; Config'!AX33="","",'12 - Deployments &amp; Config'!AX33)</f>
        <v>Yes</v>
      </c>
      <c r="V33" s="32" t="str">
        <f>IF('12 - Deployments &amp; Config'!BB33="","",'12 - Deployments &amp; Config'!BB33)</f>
        <v>Yes</v>
      </c>
      <c r="W33" s="32" t="str">
        <f>IF('12 - Deployments &amp; Config'!BD33="","",'12 - Deployments &amp; Config'!BD33)</f>
        <v>Firmware Installed</v>
      </c>
      <c r="X33" s="32" t="str">
        <f>IF('12 - Deployments &amp; Config'!BL33="","",'12 - Deployments &amp; Config'!BL33)</f>
        <v>Epic Beans Relay</v>
      </c>
      <c r="Y33" s="32" t="str">
        <f>IF('12 - Deployments &amp; Config'!BC33="","",'12 - Deployments &amp; Config'!BC33)</f>
        <v>Spare Unit</v>
      </c>
      <c r="Z33" s="32" t="str">
        <f>IF('12 - Deployments &amp; Config'!P33="","",'12 - Deployments &amp; Config'!P33)</f>
        <v/>
      </c>
      <c r="AA33" s="32" t="str">
        <f>IF('12 - Deployments &amp; Config'!Q33="","",'12 - Deployments &amp; Config'!Q33)</f>
        <v/>
      </c>
    </row>
    <row r="34" spans="1:27" ht="45.75" customHeight="1">
      <c r="A34" s="33"/>
      <c r="B34" s="33"/>
      <c r="C34" s="32" t="str">
        <f>IF('12 - Deployments &amp; Config'!H34="","",'12 - Deployments &amp; Config'!H34)</f>
        <v>PBMC</v>
      </c>
      <c r="D34" s="32" t="str">
        <f>IF('12 - Deployments &amp; Config'!AF34="","",'12 - Deployments &amp; Config'!AF34)</f>
        <v>Third Floor/Cath Lab</v>
      </c>
      <c r="E34" s="32" t="str">
        <f>IF('12 - Deployments &amp; Config'!AG34="","",'12 - Deployments &amp; Config'!AG34)</f>
        <v>Lab 3/ Neuro BiPlane</v>
      </c>
      <c r="F34" s="32" t="str">
        <f>IF('12 - Deployments &amp; Config'!AH34="","",'12 - Deployments &amp; Config'!AH34)</f>
        <v>N/A</v>
      </c>
      <c r="G34" s="32" t="str">
        <f>IF('12 - Deployments &amp; Config'!AI34="","",'12 - Deployments &amp; Config'!AI34)</f>
        <v/>
      </c>
      <c r="H34" s="32" t="str">
        <f>IF('12 - Deployments &amp; Config'!A34="","",'12 - Deployments &amp; Config'!A34)</f>
        <v>Neuron</v>
      </c>
      <c r="I34" s="32" t="str">
        <f>IF('12 - Deployments &amp; Config'!AJ34="","",'12 - Deployments &amp; Config'!AJ34)</f>
        <v>Drager</v>
      </c>
      <c r="J34" s="32" t="str">
        <f>IF('12 - Deployments &amp; Config'!AK34="","",'12 - Deployments &amp; Config'!AK34)</f>
        <v>Atlan A350</v>
      </c>
      <c r="K34" s="32" t="str">
        <f>IF('12 - Deployments &amp; Config'!AA34="","",'12 - Deployments &amp; Config'!AA34)</f>
        <v>Anesthesia Machine</v>
      </c>
      <c r="L34" s="32" t="str">
        <f>IF('12 - Deployments &amp; Config'!I34="","",'12 - Deployments &amp; Config'!I34)</f>
        <v/>
      </c>
      <c r="M34" s="33"/>
      <c r="N34" s="32" t="str">
        <f>IF('12 - Deployments &amp; Config'!J34="","",'12 - Deployments &amp; Config'!J34)</f>
        <v>NA</v>
      </c>
      <c r="O34" s="32" t="str">
        <f>IF('12 - Deployments &amp; Config'!K34="","",'12 - Deployments &amp; Config'!K34)</f>
        <v>NA</v>
      </c>
      <c r="P34" s="32" t="str">
        <f>IF('12 - Deployments &amp; Config'!L34="","",'12 - Deployments &amp; Config'!L34)</f>
        <v>NA</v>
      </c>
      <c r="Q34" s="33"/>
      <c r="R34" s="32" t="str">
        <f>IF('12 - Deployments &amp; Config'!AZ34="","",'12 - Deployments &amp; Config'!AZ34)</f>
        <v/>
      </c>
      <c r="S34" s="32" t="str">
        <f>IF('12 - Deployments &amp; Config'!AY34="","",'12 - Deployments &amp; Config'!AY34)</f>
        <v/>
      </c>
      <c r="T34" s="32" t="str">
        <f>IF('12 - Deployments &amp; Config'!AW34="","",'12 - Deployments &amp; Config'!AW34)</f>
        <v>Yes</v>
      </c>
      <c r="U34" s="32" t="str">
        <f>IF('12 - Deployments &amp; Config'!AX34="","",'12 - Deployments &amp; Config'!AX34)</f>
        <v>Yes</v>
      </c>
      <c r="V34" s="32" t="str">
        <f>IF('12 - Deployments &amp; Config'!BB34="","",'12 - Deployments &amp; Config'!BB34)</f>
        <v>Yes</v>
      </c>
      <c r="W34" s="32" t="str">
        <f>IF('12 - Deployments &amp; Config'!BD34="","",'12 - Deployments &amp; Config'!BD34)</f>
        <v>Firmware Installed</v>
      </c>
      <c r="X34" s="32" t="str">
        <f>IF('12 - Deployments &amp; Config'!BL34="","",'12 - Deployments &amp; Config'!BL34)</f>
        <v>Epic Beans Relay</v>
      </c>
      <c r="Y34" s="32" t="str">
        <f>IF('12 - Deployments &amp; Config'!BC34="","",'12 - Deployments &amp; Config'!BC34)</f>
        <v>PBMC</v>
      </c>
      <c r="Z34" s="32" t="str">
        <f>IF('12 - Deployments &amp; Config'!P34="","",'12 - Deployments &amp; Config'!P34)</f>
        <v/>
      </c>
      <c r="AA34" s="32" t="str">
        <f>IF('12 - Deployments &amp; Config'!Q34="","",'12 - Deployments &amp; Config'!Q34)</f>
        <v/>
      </c>
    </row>
    <row r="35" spans="1:27" ht="45.75" customHeight="1">
      <c r="A35" s="33"/>
      <c r="B35" s="33"/>
      <c r="C35" s="32" t="str">
        <f>IF('12 - Deployments &amp; Config'!H35="","",'12 - Deployments &amp; Config'!H35)</f>
        <v>PBMC</v>
      </c>
      <c r="D35" s="32" t="str">
        <f>IF('12 - Deployments &amp; Config'!AF35="","",'12 - Deployments &amp; Config'!AF35)</f>
        <v>Third Floor/Cath Lab</v>
      </c>
      <c r="E35" s="32" t="str">
        <f>IF('12 - Deployments &amp; Config'!AG35="","",'12 - Deployments &amp; Config'!AG35)</f>
        <v>Lab 3/ Neuro BiPlane</v>
      </c>
      <c r="F35" s="32" t="str">
        <f>IF('12 - Deployments &amp; Config'!AH35="","",'12 - Deployments &amp; Config'!AH35)</f>
        <v>N/A</v>
      </c>
      <c r="G35" s="32" t="str">
        <f>IF('12 - Deployments &amp; Config'!AI35="","",'12 - Deployments &amp; Config'!AI35)</f>
        <v/>
      </c>
      <c r="H35" s="32" t="str">
        <f>IF('12 - Deployments &amp; Config'!A35="","",'12 - Deployments &amp; Config'!A35)</f>
        <v>Cybernet</v>
      </c>
      <c r="I35" s="32" t="str">
        <f>IF('12 - Deployments &amp; Config'!AJ35="","",'12 - Deployments &amp; Config'!AJ35)</f>
        <v>Drager</v>
      </c>
      <c r="J35" s="32" t="str">
        <f>IF('12 - Deployments &amp; Config'!AK35="","",'12 - Deployments &amp; Config'!AK35)</f>
        <v>Atlan A350</v>
      </c>
      <c r="K35" s="32" t="str">
        <f>IF('12 - Deployments &amp; Config'!AA35="","",'12 - Deployments &amp; Config'!AA35)</f>
        <v>Anesthesia Machine</v>
      </c>
      <c r="L35" s="32" t="str">
        <f>IF('12 - Deployments &amp; Config'!I35="","",'12 - Deployments &amp; Config'!I35)</f>
        <v>OR Cybernet</v>
      </c>
      <c r="M35" s="33"/>
      <c r="N35" s="32" t="str">
        <f>IF('12 - Deployments &amp; Config'!J35="","",'12 - Deployments &amp; Config'!J35)</f>
        <v/>
      </c>
      <c r="O35" s="32" t="str">
        <f>IF('12 - Deployments &amp; Config'!K35="","",'12 - Deployments &amp; Config'!K35)</f>
        <v/>
      </c>
      <c r="P35" s="32" t="str">
        <f>IF('12 - Deployments &amp; Config'!L35="","",'12 - Deployments &amp; Config'!L35)</f>
        <v/>
      </c>
      <c r="Q35" s="33"/>
      <c r="R35" s="32" t="str">
        <f>IF('12 - Deployments &amp; Config'!AZ35="","",'12 - Deployments &amp; Config'!AZ35)</f>
        <v/>
      </c>
      <c r="S35" s="32" t="str">
        <f>IF('12 - Deployments &amp; Config'!AY35="","",'12 - Deployments &amp; Config'!AY35)</f>
        <v>Yes</v>
      </c>
      <c r="T35" s="32" t="str">
        <f>IF('12 - Deployments &amp; Config'!AW35="","",'12 - Deployments &amp; Config'!AW35)</f>
        <v>Yes</v>
      </c>
      <c r="U35" s="32" t="str">
        <f>IF('12 - Deployments &amp; Config'!AX35="","",'12 - Deployments &amp; Config'!AX35)</f>
        <v>Yes</v>
      </c>
      <c r="V35" s="32" t="str">
        <f>IF('12 - Deployments &amp; Config'!BB35="","",'12 - Deployments &amp; Config'!BB35)</f>
        <v>Yes</v>
      </c>
      <c r="W35" s="32" t="str">
        <f>IF('12 - Deployments &amp; Config'!BD35="","",'12 - Deployments &amp; Config'!BD35)</f>
        <v>Firmware Installed</v>
      </c>
      <c r="X35" s="32" t="str">
        <f>IF('12 - Deployments &amp; Config'!BL35="","",'12 - Deployments &amp; Config'!BL35)</f>
        <v>Epic Beans Relay</v>
      </c>
      <c r="Y35" s="32" t="str">
        <f>IF('12 - Deployments &amp; Config'!BC35="","",'12 - Deployments &amp; Config'!BC35)</f>
        <v>PBMC</v>
      </c>
      <c r="Z35" s="32" t="str">
        <f>IF('12 - Deployments &amp; Config'!P35="","",'12 - Deployments &amp; Config'!P35)</f>
        <v/>
      </c>
      <c r="AA35" s="32" t="str">
        <f>IF('12 - Deployments &amp; Config'!Q35="","",'12 - Deployments &amp; Config'!Q35)</f>
        <v/>
      </c>
    </row>
    <row r="36" spans="1:27" ht="45.75" customHeight="1">
      <c r="A36" s="33"/>
      <c r="B36" s="33"/>
      <c r="C36" s="32" t="str">
        <f>IF('12 - Deployments &amp; Config'!H36="","",'12 - Deployments &amp; Config'!H36)</f>
        <v>MEETH</v>
      </c>
      <c r="D36" s="32" t="str">
        <f>IF('12 - Deployments &amp; Config'!AF36="","",'12 - Deployments &amp; Config'!AF36)</f>
        <v/>
      </c>
      <c r="E36" s="32" t="str">
        <f>IF('12 - Deployments &amp; Config'!AG36="","",'12 - Deployments &amp; Config'!AG36)</f>
        <v/>
      </c>
      <c r="F36" s="32" t="str">
        <f>IF('12 - Deployments &amp; Config'!AH36="","",'12 - Deployments &amp; Config'!AH36)</f>
        <v/>
      </c>
      <c r="G36" s="32" t="str">
        <f>IF('12 - Deployments &amp; Config'!AI36="","",'12 - Deployments &amp; Config'!AI36)</f>
        <v/>
      </c>
      <c r="H36" s="32" t="str">
        <f>IF('12 - Deployments &amp; Config'!A36="","",'12 - Deployments &amp; Config'!A36)</f>
        <v>Neuron</v>
      </c>
      <c r="I36" s="32" t="str">
        <f>IF('12 - Deployments &amp; Config'!AJ36="","",'12 - Deployments &amp; Config'!AJ36)</f>
        <v/>
      </c>
      <c r="J36" s="32" t="str">
        <f>IF('12 - Deployments &amp; Config'!AK36="","",'12 - Deployments &amp; Config'!AK36)</f>
        <v/>
      </c>
      <c r="K36" s="32" t="str">
        <f>IF('12 - Deployments &amp; Config'!AA36="","",'12 - Deployments &amp; Config'!AA36)</f>
        <v/>
      </c>
      <c r="L36" s="32" t="str">
        <f>IF('12 - Deployments &amp; Config'!I36="","",'12 - Deployments &amp; Config'!I36)</f>
        <v/>
      </c>
      <c r="M36" s="33"/>
      <c r="N36" s="32" t="str">
        <f>IF('12 - Deployments &amp; Config'!J36="","",'12 - Deployments &amp; Config'!J36)</f>
        <v>NA</v>
      </c>
      <c r="O36" s="32" t="str">
        <f>IF('12 - Deployments &amp; Config'!K36="","",'12 - Deployments &amp; Config'!K36)</f>
        <v>NA</v>
      </c>
      <c r="P36" s="32" t="str">
        <f>IF('12 - Deployments &amp; Config'!L36="","",'12 - Deployments &amp; Config'!L36)</f>
        <v>NA</v>
      </c>
      <c r="Q36" s="33"/>
      <c r="R36" s="32" t="str">
        <f>IF('12 - Deployments &amp; Config'!AZ36="","",'12 - Deployments &amp; Config'!AZ36)</f>
        <v/>
      </c>
      <c r="S36" s="32" t="str">
        <f>IF('12 - Deployments &amp; Config'!AY36="","",'12 - Deployments &amp; Config'!AY36)</f>
        <v/>
      </c>
      <c r="T36" s="32" t="str">
        <f>IF('12 - Deployments &amp; Config'!AW36="","",'12 - Deployments &amp; Config'!AW36)</f>
        <v/>
      </c>
      <c r="U36" s="32" t="str">
        <f>IF('12 - Deployments &amp; Config'!AX36="","",'12 - Deployments &amp; Config'!AX36)</f>
        <v/>
      </c>
      <c r="V36" s="32" t="str">
        <f>IF('12 - Deployments &amp; Config'!BB36="","",'12 - Deployments &amp; Config'!BB36)</f>
        <v/>
      </c>
      <c r="W36" s="32" t="str">
        <f>IF('12 - Deployments &amp; Config'!BD36="","",'12 - Deployments &amp; Config'!BD36)</f>
        <v>In Storage</v>
      </c>
      <c r="X36" s="32" t="str">
        <f>IF('12 - Deployments &amp; Config'!BL36="","",'12 - Deployments &amp; Config'!BL36)</f>
        <v>Power Cable, Battery, Firmware Download, Device ID, Epic Beans Relay</v>
      </c>
      <c r="Y36" s="32" t="str">
        <f>IF('12 - Deployments &amp; Config'!BC36="","",'12 - Deployments &amp; Config'!BC36)</f>
        <v/>
      </c>
      <c r="Z36" s="32" t="str">
        <f>IF('12 - Deployments &amp; Config'!P36="","",'12 - Deployments &amp; Config'!P36)</f>
        <v/>
      </c>
      <c r="AA36" s="32" t="str">
        <f>IF('12 - Deployments &amp; Config'!Q36="","",'12 - Deployments &amp; Config'!Q36)</f>
        <v/>
      </c>
    </row>
    <row r="37" spans="1:27" ht="45.75" customHeight="1">
      <c r="A37" s="33"/>
      <c r="B37" s="33"/>
      <c r="C37" s="32" t="str">
        <f>IF('12 - Deployments &amp; Config'!H37="","",'12 - Deployments &amp; Config'!H37)</f>
        <v>MEETH</v>
      </c>
      <c r="D37" s="32" t="str">
        <f>IF('12 - Deployments &amp; Config'!AF37="","",'12 - Deployments &amp; Config'!AF37)</f>
        <v/>
      </c>
      <c r="E37" s="32" t="str">
        <f>IF('12 - Deployments &amp; Config'!AG37="","",'12 - Deployments &amp; Config'!AG37)</f>
        <v/>
      </c>
      <c r="F37" s="32" t="str">
        <f>IF('12 - Deployments &amp; Config'!AH37="","",'12 - Deployments &amp; Config'!AH37)</f>
        <v/>
      </c>
      <c r="G37" s="32" t="str">
        <f>IF('12 - Deployments &amp; Config'!AI37="","",'12 - Deployments &amp; Config'!AI37)</f>
        <v/>
      </c>
      <c r="H37" s="32" t="str">
        <f>IF('12 - Deployments &amp; Config'!A37="","",'12 - Deployments &amp; Config'!A37)</f>
        <v>Neuron</v>
      </c>
      <c r="I37" s="32" t="str">
        <f>IF('12 - Deployments &amp; Config'!AJ37="","",'12 - Deployments &amp; Config'!AJ37)</f>
        <v/>
      </c>
      <c r="J37" s="32" t="str">
        <f>IF('12 - Deployments &amp; Config'!AK37="","",'12 - Deployments &amp; Config'!AK37)</f>
        <v/>
      </c>
      <c r="K37" s="32" t="str">
        <f>IF('12 - Deployments &amp; Config'!AA37="","",'12 - Deployments &amp; Config'!AA37)</f>
        <v/>
      </c>
      <c r="L37" s="32" t="str">
        <f>IF('12 - Deployments &amp; Config'!I37="","",'12 - Deployments &amp; Config'!I37)</f>
        <v/>
      </c>
      <c r="M37" s="33"/>
      <c r="N37" s="32" t="str">
        <f>IF('12 - Deployments &amp; Config'!J37="","",'12 - Deployments &amp; Config'!J37)</f>
        <v>NA</v>
      </c>
      <c r="O37" s="32" t="str">
        <f>IF('12 - Deployments &amp; Config'!K37="","",'12 - Deployments &amp; Config'!K37)</f>
        <v>NA</v>
      </c>
      <c r="P37" s="32" t="str">
        <f>IF('12 - Deployments &amp; Config'!L37="","",'12 - Deployments &amp; Config'!L37)</f>
        <v>NA</v>
      </c>
      <c r="Q37" s="33"/>
      <c r="R37" s="32" t="str">
        <f>IF('12 - Deployments &amp; Config'!AZ37="","",'12 - Deployments &amp; Config'!AZ37)</f>
        <v/>
      </c>
      <c r="S37" s="32" t="str">
        <f>IF('12 - Deployments &amp; Config'!AY37="","",'12 - Deployments &amp; Config'!AY37)</f>
        <v/>
      </c>
      <c r="T37" s="32" t="str">
        <f>IF('12 - Deployments &amp; Config'!AW37="","",'12 - Deployments &amp; Config'!AW37)</f>
        <v/>
      </c>
      <c r="U37" s="32" t="str">
        <f>IF('12 - Deployments &amp; Config'!AX37="","",'12 - Deployments &amp; Config'!AX37)</f>
        <v/>
      </c>
      <c r="V37" s="32" t="str">
        <f>IF('12 - Deployments &amp; Config'!BB37="","",'12 - Deployments &amp; Config'!BB37)</f>
        <v/>
      </c>
      <c r="W37" s="32" t="str">
        <f>IF('12 - Deployments &amp; Config'!BD37="","",'12 - Deployments &amp; Config'!BD37)</f>
        <v>In Storage</v>
      </c>
      <c r="X37" s="32" t="str">
        <f>IF('12 - Deployments &amp; Config'!BL37="","",'12 - Deployments &amp; Config'!BL37)</f>
        <v>Power Cable, Battery, Firmware Download, Device ID, Epic Beans Relay</v>
      </c>
      <c r="Y37" s="32" t="str">
        <f>IF('12 - Deployments &amp; Config'!BC37="","",'12 - Deployments &amp; Config'!BC37)</f>
        <v/>
      </c>
      <c r="Z37" s="32" t="str">
        <f>IF('12 - Deployments &amp; Config'!P37="","",'12 - Deployments &amp; Config'!P37)</f>
        <v/>
      </c>
      <c r="AA37" s="32" t="str">
        <f>IF('12 - Deployments &amp; Config'!Q37="","",'12 - Deployments &amp; Config'!Q37)</f>
        <v/>
      </c>
    </row>
    <row r="38" spans="1:27" ht="45.75" customHeight="1">
      <c r="A38" s="33"/>
      <c r="B38" s="33"/>
      <c r="C38" s="32" t="str">
        <f>IF('12 - Deployments &amp; Config'!H38="","",'12 - Deployments &amp; Config'!H38)</f>
        <v>MEETH</v>
      </c>
      <c r="D38" s="32" t="str">
        <f>IF('12 - Deployments &amp; Config'!AF38="","",'12 - Deployments &amp; Config'!AF38)</f>
        <v/>
      </c>
      <c r="E38" s="32" t="str">
        <f>IF('12 - Deployments &amp; Config'!AG38="","",'12 - Deployments &amp; Config'!AG38)</f>
        <v/>
      </c>
      <c r="F38" s="32" t="str">
        <f>IF('12 - Deployments &amp; Config'!AH38="","",'12 - Deployments &amp; Config'!AH38)</f>
        <v/>
      </c>
      <c r="G38" s="32" t="str">
        <f>IF('12 - Deployments &amp; Config'!AI38="","",'12 - Deployments &amp; Config'!AI38)</f>
        <v/>
      </c>
      <c r="H38" s="32" t="str">
        <f>IF('12 - Deployments &amp; Config'!A38="","",'12 - Deployments &amp; Config'!A38)</f>
        <v>Neuron</v>
      </c>
      <c r="I38" s="32" t="str">
        <f>IF('12 - Deployments &amp; Config'!AJ38="","",'12 - Deployments &amp; Config'!AJ38)</f>
        <v/>
      </c>
      <c r="J38" s="32" t="str">
        <f>IF('12 - Deployments &amp; Config'!AK38="","",'12 - Deployments &amp; Config'!AK38)</f>
        <v/>
      </c>
      <c r="K38" s="32" t="str">
        <f>IF('12 - Deployments &amp; Config'!AA38="","",'12 - Deployments &amp; Config'!AA38)</f>
        <v/>
      </c>
      <c r="L38" s="32" t="str">
        <f>IF('12 - Deployments &amp; Config'!I38="","",'12 - Deployments &amp; Config'!I38)</f>
        <v/>
      </c>
      <c r="M38" s="33"/>
      <c r="N38" s="32" t="str">
        <f>IF('12 - Deployments &amp; Config'!J38="","",'12 - Deployments &amp; Config'!J38)</f>
        <v>NA</v>
      </c>
      <c r="O38" s="32" t="str">
        <f>IF('12 - Deployments &amp; Config'!K38="","",'12 - Deployments &amp; Config'!K38)</f>
        <v>NA</v>
      </c>
      <c r="P38" s="32" t="str">
        <f>IF('12 - Deployments &amp; Config'!L38="","",'12 - Deployments &amp; Config'!L38)</f>
        <v>NA</v>
      </c>
      <c r="Q38" s="33"/>
      <c r="R38" s="32" t="str">
        <f>IF('12 - Deployments &amp; Config'!AZ38="","",'12 - Deployments &amp; Config'!AZ38)</f>
        <v/>
      </c>
      <c r="S38" s="32" t="str">
        <f>IF('12 - Deployments &amp; Config'!AY38="","",'12 - Deployments &amp; Config'!AY38)</f>
        <v/>
      </c>
      <c r="T38" s="32" t="str">
        <f>IF('12 - Deployments &amp; Config'!AW38="","",'12 - Deployments &amp; Config'!AW38)</f>
        <v/>
      </c>
      <c r="U38" s="32" t="str">
        <f>IF('12 - Deployments &amp; Config'!AX38="","",'12 - Deployments &amp; Config'!AX38)</f>
        <v/>
      </c>
      <c r="V38" s="32" t="str">
        <f>IF('12 - Deployments &amp; Config'!BB38="","",'12 - Deployments &amp; Config'!BB38)</f>
        <v/>
      </c>
      <c r="W38" s="32" t="str">
        <f>IF('12 - Deployments &amp; Config'!BD38="","",'12 - Deployments &amp; Config'!BD38)</f>
        <v>In Storage</v>
      </c>
      <c r="X38" s="32" t="str">
        <f>IF('12 - Deployments &amp; Config'!BL38="","",'12 - Deployments &amp; Config'!BL38)</f>
        <v>Power Cable, Battery, Firmware Download, Device ID, Epic Beans Relay</v>
      </c>
      <c r="Y38" s="32" t="str">
        <f>IF('12 - Deployments &amp; Config'!BC38="","",'12 - Deployments &amp; Config'!BC38)</f>
        <v/>
      </c>
      <c r="Z38" s="32" t="str">
        <f>IF('12 - Deployments &amp; Config'!P38="","",'12 - Deployments &amp; Config'!P38)</f>
        <v/>
      </c>
      <c r="AA38" s="32" t="str">
        <f>IF('12 - Deployments &amp; Config'!Q38="","",'12 - Deployments &amp; Config'!Q38)</f>
        <v/>
      </c>
    </row>
    <row r="39" spans="1:27" ht="45.75" customHeight="1">
      <c r="A39" s="33"/>
      <c r="B39" s="33"/>
      <c r="C39" s="32" t="str">
        <f>IF('12 - Deployments &amp; Config'!H39="","",'12 - Deployments &amp; Config'!H39)</f>
        <v>ZUCKER HOSPITAL</v>
      </c>
      <c r="D39" s="32" t="str">
        <f>IF('12 - Deployments &amp; Config'!AF39="","",'12 - Deployments &amp; Config'!AF39)</f>
        <v/>
      </c>
      <c r="E39" s="32" t="str">
        <f>IF('12 - Deployments &amp; Config'!AG39="","",'12 - Deployments &amp; Config'!AG39)</f>
        <v/>
      </c>
      <c r="F39" s="32" t="str">
        <f>IF('12 - Deployments &amp; Config'!AH39="","",'12 - Deployments &amp; Config'!AH39)</f>
        <v/>
      </c>
      <c r="G39" s="32" t="str">
        <f>IF('12 - Deployments &amp; Config'!AI39="","",'12 - Deployments &amp; Config'!AI39)</f>
        <v/>
      </c>
      <c r="H39" s="32" t="str">
        <f>IF('12 - Deployments &amp; Config'!A39="","",'12 - Deployments &amp; Config'!A39)</f>
        <v>Neuron</v>
      </c>
      <c r="I39" s="32" t="str">
        <f>IF('12 - Deployments &amp; Config'!AJ39="","",'12 - Deployments &amp; Config'!AJ39)</f>
        <v/>
      </c>
      <c r="J39" s="32" t="str">
        <f>IF('12 - Deployments &amp; Config'!AK39="","",'12 - Deployments &amp; Config'!AK39)</f>
        <v/>
      </c>
      <c r="K39" s="32" t="str">
        <f>IF('12 - Deployments &amp; Config'!AA39="","",'12 - Deployments &amp; Config'!AA39)</f>
        <v/>
      </c>
      <c r="L39" s="32" t="str">
        <f>IF('12 - Deployments &amp; Config'!I39="","",'12 - Deployments &amp; Config'!I39)</f>
        <v/>
      </c>
      <c r="M39" s="33"/>
      <c r="N39" s="32" t="str">
        <f>IF('12 - Deployments &amp; Config'!J39="","",'12 - Deployments &amp; Config'!J39)</f>
        <v>NA</v>
      </c>
      <c r="O39" s="32" t="str">
        <f>IF('12 - Deployments &amp; Config'!K39="","",'12 - Deployments &amp; Config'!K39)</f>
        <v>NA</v>
      </c>
      <c r="P39" s="32" t="str">
        <f>IF('12 - Deployments &amp; Config'!L39="","",'12 - Deployments &amp; Config'!L39)</f>
        <v>NA</v>
      </c>
      <c r="Q39" s="33"/>
      <c r="R39" s="32" t="str">
        <f>IF('12 - Deployments &amp; Config'!AZ39="","",'12 - Deployments &amp; Config'!AZ39)</f>
        <v/>
      </c>
      <c r="S39" s="32" t="str">
        <f>IF('12 - Deployments &amp; Config'!AY39="","",'12 - Deployments &amp; Config'!AY39)</f>
        <v/>
      </c>
      <c r="T39" s="32" t="str">
        <f>IF('12 - Deployments &amp; Config'!AW39="","",'12 - Deployments &amp; Config'!AW39)</f>
        <v/>
      </c>
      <c r="U39" s="32" t="str">
        <f>IF('12 - Deployments &amp; Config'!AX39="","",'12 - Deployments &amp; Config'!AX39)</f>
        <v/>
      </c>
      <c r="V39" s="32" t="str">
        <f>IF('12 - Deployments &amp; Config'!BB39="","",'12 - Deployments &amp; Config'!BB39)</f>
        <v/>
      </c>
      <c r="W39" s="32" t="str">
        <f>IF('12 - Deployments &amp; Config'!BD39="","",'12 - Deployments &amp; Config'!BD39)</f>
        <v>In Storage</v>
      </c>
      <c r="X39" s="32" t="str">
        <f>IF('12 - Deployments &amp; Config'!BL39="","",'12 - Deployments &amp; Config'!BL39)</f>
        <v>Power Cable, Battery, Firmware Download, Device ID, Epic Beans Relay</v>
      </c>
      <c r="Y39" s="32" t="str">
        <f>IF('12 - Deployments &amp; Config'!BC39="","",'12 - Deployments &amp; Config'!BC39)</f>
        <v/>
      </c>
      <c r="Z39" s="32" t="str">
        <f>IF('12 - Deployments &amp; Config'!P39="","",'12 - Deployments &amp; Config'!P39)</f>
        <v/>
      </c>
      <c r="AA39" s="32" t="str">
        <f>IF('12 - Deployments &amp; Config'!Q39="","",'12 - Deployments &amp; Config'!Q39)</f>
        <v/>
      </c>
    </row>
    <row r="40" spans="1:27" ht="45.75" customHeight="1">
      <c r="A40" s="33"/>
      <c r="B40" s="33"/>
      <c r="C40" s="32" t="str">
        <f>IF('12 - Deployments &amp; Config'!H40="","",'12 - Deployments &amp; Config'!H40)</f>
        <v>ZUCKER HOSPITAL</v>
      </c>
      <c r="D40" s="32" t="str">
        <f>IF('12 - Deployments &amp; Config'!AF40="","",'12 - Deployments &amp; Config'!AF40)</f>
        <v/>
      </c>
      <c r="E40" s="32" t="str">
        <f>IF('12 - Deployments &amp; Config'!AG40="","",'12 - Deployments &amp; Config'!AG40)</f>
        <v/>
      </c>
      <c r="F40" s="32" t="str">
        <f>IF('12 - Deployments &amp; Config'!AH40="","",'12 - Deployments &amp; Config'!AH40)</f>
        <v/>
      </c>
      <c r="G40" s="32" t="str">
        <f>IF('12 - Deployments &amp; Config'!AI40="","",'12 - Deployments &amp; Config'!AI40)</f>
        <v/>
      </c>
      <c r="H40" s="32" t="str">
        <f>IF('12 - Deployments &amp; Config'!A40="","",'12 - Deployments &amp; Config'!A40)</f>
        <v>Neuron</v>
      </c>
      <c r="I40" s="32" t="str">
        <f>IF('12 - Deployments &amp; Config'!AJ40="","",'12 - Deployments &amp; Config'!AJ40)</f>
        <v/>
      </c>
      <c r="J40" s="32" t="str">
        <f>IF('12 - Deployments &amp; Config'!AK40="","",'12 - Deployments &amp; Config'!AK40)</f>
        <v/>
      </c>
      <c r="K40" s="32" t="str">
        <f>IF('12 - Deployments &amp; Config'!AA40="","",'12 - Deployments &amp; Config'!AA40)</f>
        <v/>
      </c>
      <c r="L40" s="32" t="str">
        <f>IF('12 - Deployments &amp; Config'!I40="","",'12 - Deployments &amp; Config'!I40)</f>
        <v/>
      </c>
      <c r="M40" s="33"/>
      <c r="N40" s="32" t="str">
        <f>IF('12 - Deployments &amp; Config'!J40="","",'12 - Deployments &amp; Config'!J40)</f>
        <v>NA</v>
      </c>
      <c r="O40" s="32" t="str">
        <f>IF('12 - Deployments &amp; Config'!K40="","",'12 - Deployments &amp; Config'!K40)</f>
        <v>NA</v>
      </c>
      <c r="P40" s="32" t="str">
        <f>IF('12 - Deployments &amp; Config'!L40="","",'12 - Deployments &amp; Config'!L40)</f>
        <v>NA</v>
      </c>
      <c r="Q40" s="33"/>
      <c r="R40" s="32" t="str">
        <f>IF('12 - Deployments &amp; Config'!AZ40="","",'12 - Deployments &amp; Config'!AZ40)</f>
        <v/>
      </c>
      <c r="S40" s="32" t="str">
        <f>IF('12 - Deployments &amp; Config'!AY40="","",'12 - Deployments &amp; Config'!AY40)</f>
        <v/>
      </c>
      <c r="T40" s="32" t="str">
        <f>IF('12 - Deployments &amp; Config'!AW40="","",'12 - Deployments &amp; Config'!AW40)</f>
        <v/>
      </c>
      <c r="U40" s="32" t="str">
        <f>IF('12 - Deployments &amp; Config'!AX40="","",'12 - Deployments &amp; Config'!AX40)</f>
        <v/>
      </c>
      <c r="V40" s="32" t="str">
        <f>IF('12 - Deployments &amp; Config'!BB40="","",'12 - Deployments &amp; Config'!BB40)</f>
        <v/>
      </c>
      <c r="W40" s="32" t="str">
        <f>IF('12 - Deployments &amp; Config'!BD40="","",'12 - Deployments &amp; Config'!BD40)</f>
        <v>In Storage</v>
      </c>
      <c r="X40" s="32" t="str">
        <f>IF('12 - Deployments &amp; Config'!BL40="","",'12 - Deployments &amp; Config'!BL40)</f>
        <v>Power Cable, Battery, Firmware Download, Device ID, Epic Beans Relay</v>
      </c>
      <c r="Y40" s="32" t="str">
        <f>IF('12 - Deployments &amp; Config'!BC40="","",'12 - Deployments &amp; Config'!BC40)</f>
        <v/>
      </c>
      <c r="Z40" s="32" t="str">
        <f>IF('12 - Deployments &amp; Config'!P40="","",'12 - Deployments &amp; Config'!P40)</f>
        <v/>
      </c>
      <c r="AA40" s="32" t="str">
        <f>IF('12 - Deployments &amp; Config'!Q40="","",'12 - Deployments &amp; Config'!Q40)</f>
        <v/>
      </c>
    </row>
    <row r="41" spans="1:27" ht="45.75" customHeight="1">
      <c r="A41" s="33"/>
      <c r="B41" s="33"/>
      <c r="C41" s="32" t="str">
        <f>IF('12 - Deployments &amp; Config'!H41="","",'12 - Deployments &amp; Config'!H41)</f>
        <v>ZUCKER HOSPITAL</v>
      </c>
      <c r="D41" s="32" t="str">
        <f>IF('12 - Deployments &amp; Config'!AF41="","",'12 - Deployments &amp; Config'!AF41)</f>
        <v/>
      </c>
      <c r="E41" s="32" t="str">
        <f>IF('12 - Deployments &amp; Config'!AG41="","",'12 - Deployments &amp; Config'!AG41)</f>
        <v/>
      </c>
      <c r="F41" s="32" t="str">
        <f>IF('12 - Deployments &amp; Config'!AH41="","",'12 - Deployments &amp; Config'!AH41)</f>
        <v/>
      </c>
      <c r="G41" s="32" t="str">
        <f>IF('12 - Deployments &amp; Config'!AI41="","",'12 - Deployments &amp; Config'!AI41)</f>
        <v/>
      </c>
      <c r="H41" s="32" t="str">
        <f>IF('12 - Deployments &amp; Config'!A41="","",'12 - Deployments &amp; Config'!A41)</f>
        <v>Neuron</v>
      </c>
      <c r="I41" s="32" t="str">
        <f>IF('12 - Deployments &amp; Config'!AJ41="","",'12 - Deployments &amp; Config'!AJ41)</f>
        <v/>
      </c>
      <c r="J41" s="32" t="str">
        <f>IF('12 - Deployments &amp; Config'!AK41="","",'12 - Deployments &amp; Config'!AK41)</f>
        <v/>
      </c>
      <c r="K41" s="32" t="str">
        <f>IF('12 - Deployments &amp; Config'!AA41="","",'12 - Deployments &amp; Config'!AA41)</f>
        <v/>
      </c>
      <c r="L41" s="32" t="str">
        <f>IF('12 - Deployments &amp; Config'!I41="","",'12 - Deployments &amp; Config'!I41)</f>
        <v/>
      </c>
      <c r="M41" s="33"/>
      <c r="N41" s="32" t="str">
        <f>IF('12 - Deployments &amp; Config'!J41="","",'12 - Deployments &amp; Config'!J41)</f>
        <v>NA</v>
      </c>
      <c r="O41" s="32" t="str">
        <f>IF('12 - Deployments &amp; Config'!K41="","",'12 - Deployments &amp; Config'!K41)</f>
        <v>NA</v>
      </c>
      <c r="P41" s="32" t="str">
        <f>IF('12 - Deployments &amp; Config'!L41="","",'12 - Deployments &amp; Config'!L41)</f>
        <v>NA</v>
      </c>
      <c r="Q41" s="33"/>
      <c r="R41" s="32" t="str">
        <f>IF('12 - Deployments &amp; Config'!AZ41="","",'12 - Deployments &amp; Config'!AZ41)</f>
        <v/>
      </c>
      <c r="S41" s="32" t="str">
        <f>IF('12 - Deployments &amp; Config'!AY41="","",'12 - Deployments &amp; Config'!AY41)</f>
        <v/>
      </c>
      <c r="T41" s="32" t="str">
        <f>IF('12 - Deployments &amp; Config'!AW41="","",'12 - Deployments &amp; Config'!AW41)</f>
        <v/>
      </c>
      <c r="U41" s="32" t="str">
        <f>IF('12 - Deployments &amp; Config'!AX41="","",'12 - Deployments &amp; Config'!AX41)</f>
        <v/>
      </c>
      <c r="V41" s="32" t="str">
        <f>IF('12 - Deployments &amp; Config'!BB41="","",'12 - Deployments &amp; Config'!BB41)</f>
        <v/>
      </c>
      <c r="W41" s="32" t="str">
        <f>IF('12 - Deployments &amp; Config'!BD41="","",'12 - Deployments &amp; Config'!BD41)</f>
        <v>In Storage</v>
      </c>
      <c r="X41" s="32" t="str">
        <f>IF('12 - Deployments &amp; Config'!BL41="","",'12 - Deployments &amp; Config'!BL41)</f>
        <v>Power Cable, Battery, Firmware Download, Device ID, Epic Beans Relay</v>
      </c>
      <c r="Y41" s="32" t="str">
        <f>IF('12 - Deployments &amp; Config'!BC41="","",'12 - Deployments &amp; Config'!BC41)</f>
        <v/>
      </c>
      <c r="Z41" s="32" t="str">
        <f>IF('12 - Deployments &amp; Config'!P41="","",'12 - Deployments &amp; Config'!P41)</f>
        <v/>
      </c>
      <c r="AA41" s="32" t="str">
        <f>IF('12 - Deployments &amp; Config'!Q41="","",'12 - Deployments &amp; Config'!Q41)</f>
        <v/>
      </c>
    </row>
    <row r="42" spans="1:27" ht="45.75" customHeight="1">
      <c r="A42" s="33"/>
      <c r="B42" s="33"/>
      <c r="C42" s="32" t="str">
        <f>IF('12 - Deployments &amp; Config'!H42="","",'12 - Deployments &amp; Config'!H42)</f>
        <v>CCMC</v>
      </c>
      <c r="D42" s="32" t="str">
        <f>IF('12 - Deployments &amp; Config'!AF42="","",'12 - Deployments &amp; Config'!AF42)</f>
        <v/>
      </c>
      <c r="E42" s="32" t="str">
        <f>IF('12 - Deployments &amp; Config'!AG42="","",'12 - Deployments &amp; Config'!AG42)</f>
        <v/>
      </c>
      <c r="F42" s="32" t="str">
        <f>IF('12 - Deployments &amp; Config'!AH42="","",'12 - Deployments &amp; Config'!AH42)</f>
        <v/>
      </c>
      <c r="G42" s="32" t="str">
        <f>IF('12 - Deployments &amp; Config'!AI42="","",'12 - Deployments &amp; Config'!AI42)</f>
        <v/>
      </c>
      <c r="H42" s="32" t="str">
        <f>IF('12 - Deployments &amp; Config'!A42="","",'12 - Deployments &amp; Config'!A42)</f>
        <v>Neuron</v>
      </c>
      <c r="I42" s="32" t="str">
        <f>IF('12 - Deployments &amp; Config'!AJ42="","",'12 - Deployments &amp; Config'!AJ42)</f>
        <v/>
      </c>
      <c r="J42" s="32" t="str">
        <f>IF('12 - Deployments &amp; Config'!AK42="","",'12 - Deployments &amp; Config'!AK42)</f>
        <v/>
      </c>
      <c r="K42" s="32" t="str">
        <f>IF('12 - Deployments &amp; Config'!AA42="","",'12 - Deployments &amp; Config'!AA42)</f>
        <v/>
      </c>
      <c r="L42" s="32" t="str">
        <f>IF('12 - Deployments &amp; Config'!I42="","",'12 - Deployments &amp; Config'!I42)</f>
        <v/>
      </c>
      <c r="M42" s="33"/>
      <c r="N42" s="32" t="str">
        <f>IF('12 - Deployments &amp; Config'!J42="","",'12 - Deployments &amp; Config'!J42)</f>
        <v>NA</v>
      </c>
      <c r="O42" s="32" t="str">
        <f>IF('12 - Deployments &amp; Config'!K42="","",'12 - Deployments &amp; Config'!K42)</f>
        <v>NA</v>
      </c>
      <c r="P42" s="32" t="str">
        <f>IF('12 - Deployments &amp; Config'!L42="","",'12 - Deployments &amp; Config'!L42)</f>
        <v>NA</v>
      </c>
      <c r="Q42" s="33"/>
      <c r="R42" s="32" t="str">
        <f>IF('12 - Deployments &amp; Config'!AZ42="","",'12 - Deployments &amp; Config'!AZ42)</f>
        <v/>
      </c>
      <c r="S42" s="32" t="str">
        <f>IF('12 - Deployments &amp; Config'!AY42="","",'12 - Deployments &amp; Config'!AY42)</f>
        <v/>
      </c>
      <c r="T42" s="32" t="str">
        <f>IF('12 - Deployments &amp; Config'!AW42="","",'12 - Deployments &amp; Config'!AW42)</f>
        <v/>
      </c>
      <c r="U42" s="32" t="str">
        <f>IF('12 - Deployments &amp; Config'!AX42="","",'12 - Deployments &amp; Config'!AX42)</f>
        <v/>
      </c>
      <c r="V42" s="32" t="str">
        <f>IF('12 - Deployments &amp; Config'!BB42="","",'12 - Deployments &amp; Config'!BB42)</f>
        <v/>
      </c>
      <c r="W42" s="32" t="str">
        <f>IF('12 - Deployments &amp; Config'!BD42="","",'12 - Deployments &amp; Config'!BD42)</f>
        <v>In Storage</v>
      </c>
      <c r="X42" s="32" t="str">
        <f>IF('12 - Deployments &amp; Config'!BL42="","",'12 - Deployments &amp; Config'!BL42)</f>
        <v>Power Cable, Battery, Firmware Download, Device ID, Epic Beans Relay</v>
      </c>
      <c r="Y42" s="32" t="str">
        <f>IF('12 - Deployments &amp; Config'!BC42="","",'12 - Deployments &amp; Config'!BC42)</f>
        <v/>
      </c>
      <c r="Z42" s="32" t="str">
        <f>IF('12 - Deployments &amp; Config'!P42="","",'12 - Deployments &amp; Config'!P42)</f>
        <v/>
      </c>
      <c r="AA42" s="32" t="str">
        <f>IF('12 - Deployments &amp; Config'!Q42="","",'12 - Deployments &amp; Config'!Q42)</f>
        <v/>
      </c>
    </row>
    <row r="43" spans="1:27" ht="45.75" customHeight="1">
      <c r="A43" s="33"/>
      <c r="B43" s="33"/>
      <c r="C43" s="32" t="str">
        <f>IF('12 - Deployments &amp; Config'!H43="","",'12 - Deployments &amp; Config'!H43)</f>
        <v>Glen Cove</v>
      </c>
      <c r="D43" s="32" t="str">
        <f>IF('12 - Deployments &amp; Config'!AF43="","",'12 - Deployments &amp; Config'!AF43)</f>
        <v/>
      </c>
      <c r="E43" s="32" t="str">
        <f>IF('12 - Deployments &amp; Config'!AG43="","",'12 - Deployments &amp; Config'!AG43)</f>
        <v/>
      </c>
      <c r="F43" s="32" t="str">
        <f>IF('12 - Deployments &amp; Config'!AH43="","",'12 - Deployments &amp; Config'!AH43)</f>
        <v/>
      </c>
      <c r="G43" s="32" t="str">
        <f>IF('12 - Deployments &amp; Config'!AI43="","",'12 - Deployments &amp; Config'!AI43)</f>
        <v/>
      </c>
      <c r="H43" s="32" t="str">
        <f>IF('12 - Deployments &amp; Config'!A43="","",'12 - Deployments &amp; Config'!A43)</f>
        <v>Neuron</v>
      </c>
      <c r="I43" s="32" t="str">
        <f>IF('12 - Deployments &amp; Config'!AJ43="","",'12 - Deployments &amp; Config'!AJ43)</f>
        <v/>
      </c>
      <c r="J43" s="32" t="str">
        <f>IF('12 - Deployments &amp; Config'!AK43="","",'12 - Deployments &amp; Config'!AK43)</f>
        <v/>
      </c>
      <c r="K43" s="32" t="str">
        <f>IF('12 - Deployments &amp; Config'!AA43="","",'12 - Deployments &amp; Config'!AA43)</f>
        <v/>
      </c>
      <c r="L43" s="32" t="str">
        <f>IF('12 - Deployments &amp; Config'!I43="","",'12 - Deployments &amp; Config'!I43)</f>
        <v/>
      </c>
      <c r="M43" s="33"/>
      <c r="N43" s="32" t="str">
        <f>IF('12 - Deployments &amp; Config'!J43="","",'12 - Deployments &amp; Config'!J43)</f>
        <v>NA</v>
      </c>
      <c r="O43" s="32" t="str">
        <f>IF('12 - Deployments &amp; Config'!K43="","",'12 - Deployments &amp; Config'!K43)</f>
        <v>NA</v>
      </c>
      <c r="P43" s="32" t="str">
        <f>IF('12 - Deployments &amp; Config'!L43="","",'12 - Deployments &amp; Config'!L43)</f>
        <v>NA</v>
      </c>
      <c r="Q43" s="33"/>
      <c r="R43" s="32" t="str">
        <f>IF('12 - Deployments &amp; Config'!AZ43="","",'12 - Deployments &amp; Config'!AZ43)</f>
        <v/>
      </c>
      <c r="S43" s="32" t="str">
        <f>IF('12 - Deployments &amp; Config'!AY43="","",'12 - Deployments &amp; Config'!AY43)</f>
        <v/>
      </c>
      <c r="T43" s="32" t="str">
        <f>IF('12 - Deployments &amp; Config'!AW43="","",'12 - Deployments &amp; Config'!AW43)</f>
        <v/>
      </c>
      <c r="U43" s="32" t="str">
        <f>IF('12 - Deployments &amp; Config'!AX43="","",'12 - Deployments &amp; Config'!AX43)</f>
        <v/>
      </c>
      <c r="V43" s="32" t="str">
        <f>IF('12 - Deployments &amp; Config'!BB43="","",'12 - Deployments &amp; Config'!BB43)</f>
        <v/>
      </c>
      <c r="W43" s="32" t="str">
        <f>IF('12 - Deployments &amp; Config'!BD43="","",'12 - Deployments &amp; Config'!BD43)</f>
        <v>In Storage</v>
      </c>
      <c r="X43" s="32" t="str">
        <f>IF('12 - Deployments &amp; Config'!BL43="","",'12 - Deployments &amp; Config'!BL43)</f>
        <v>Power Cable, Battery, Firmware Download, Device ID, Epic Beans Relay</v>
      </c>
      <c r="Y43" s="32" t="str">
        <f>IF('12 - Deployments &amp; Config'!BC43="","",'12 - Deployments &amp; Config'!BC43)</f>
        <v/>
      </c>
      <c r="Z43" s="32" t="str">
        <f>IF('12 - Deployments &amp; Config'!P43="","",'12 - Deployments &amp; Config'!P43)</f>
        <v/>
      </c>
      <c r="AA43" s="32" t="str">
        <f>IF('12 - Deployments &amp; Config'!Q43="","",'12 - Deployments &amp; Config'!Q43)</f>
        <v/>
      </c>
    </row>
    <row r="44" spans="1:27" ht="45.75" customHeight="1">
      <c r="A44" s="33"/>
      <c r="B44" s="33"/>
      <c r="C44" s="32" t="str">
        <f>IF('12 - Deployments &amp; Config'!H44="","",'12 - Deployments &amp; Config'!H44)</f>
        <v>Glen Cove</v>
      </c>
      <c r="D44" s="32" t="str">
        <f>IF('12 - Deployments &amp; Config'!AF44="","",'12 - Deployments &amp; Config'!AF44)</f>
        <v/>
      </c>
      <c r="E44" s="32" t="str">
        <f>IF('12 - Deployments &amp; Config'!AG44="","",'12 - Deployments &amp; Config'!AG44)</f>
        <v/>
      </c>
      <c r="F44" s="32" t="str">
        <f>IF('12 - Deployments &amp; Config'!AH44="","",'12 - Deployments &amp; Config'!AH44)</f>
        <v/>
      </c>
      <c r="G44" s="32" t="str">
        <f>IF('12 - Deployments &amp; Config'!AI44="","",'12 - Deployments &amp; Config'!AI44)</f>
        <v/>
      </c>
      <c r="H44" s="32" t="str">
        <f>IF('12 - Deployments &amp; Config'!A44="","",'12 - Deployments &amp; Config'!A44)</f>
        <v>Neuron</v>
      </c>
      <c r="I44" s="32" t="str">
        <f>IF('12 - Deployments &amp; Config'!AJ44="","",'12 - Deployments &amp; Config'!AJ44)</f>
        <v/>
      </c>
      <c r="J44" s="32" t="str">
        <f>IF('12 - Deployments &amp; Config'!AK44="","",'12 - Deployments &amp; Config'!AK44)</f>
        <v/>
      </c>
      <c r="K44" s="32" t="str">
        <f>IF('12 - Deployments &amp; Config'!AA44="","",'12 - Deployments &amp; Config'!AA44)</f>
        <v/>
      </c>
      <c r="L44" s="32" t="str">
        <f>IF('12 - Deployments &amp; Config'!I44="","",'12 - Deployments &amp; Config'!I44)</f>
        <v/>
      </c>
      <c r="M44" s="33"/>
      <c r="N44" s="32" t="str">
        <f>IF('12 - Deployments &amp; Config'!J44="","",'12 - Deployments &amp; Config'!J44)</f>
        <v>NA</v>
      </c>
      <c r="O44" s="32" t="str">
        <f>IF('12 - Deployments &amp; Config'!K44="","",'12 - Deployments &amp; Config'!K44)</f>
        <v>NA</v>
      </c>
      <c r="P44" s="32" t="str">
        <f>IF('12 - Deployments &amp; Config'!L44="","",'12 - Deployments &amp; Config'!L44)</f>
        <v>NA</v>
      </c>
      <c r="Q44" s="33"/>
      <c r="R44" s="32" t="str">
        <f>IF('12 - Deployments &amp; Config'!AZ44="","",'12 - Deployments &amp; Config'!AZ44)</f>
        <v/>
      </c>
      <c r="S44" s="32" t="str">
        <f>IF('12 - Deployments &amp; Config'!AY44="","",'12 - Deployments &amp; Config'!AY44)</f>
        <v/>
      </c>
      <c r="T44" s="32" t="str">
        <f>IF('12 - Deployments &amp; Config'!AW44="","",'12 - Deployments &amp; Config'!AW44)</f>
        <v/>
      </c>
      <c r="U44" s="32" t="str">
        <f>IF('12 - Deployments &amp; Config'!AX44="","",'12 - Deployments &amp; Config'!AX44)</f>
        <v/>
      </c>
      <c r="V44" s="32" t="str">
        <f>IF('12 - Deployments &amp; Config'!BB44="","",'12 - Deployments &amp; Config'!BB44)</f>
        <v/>
      </c>
      <c r="W44" s="32" t="str">
        <f>IF('12 - Deployments &amp; Config'!BD44="","",'12 - Deployments &amp; Config'!BD44)</f>
        <v>In Storage</v>
      </c>
      <c r="X44" s="32" t="str">
        <f>IF('12 - Deployments &amp; Config'!BL44="","",'12 - Deployments &amp; Config'!BL44)</f>
        <v>Power Cable, Battery, Firmware Download, Device ID, Epic Beans Relay</v>
      </c>
      <c r="Y44" s="32" t="str">
        <f>IF('12 - Deployments &amp; Config'!BC44="","",'12 - Deployments &amp; Config'!BC44)</f>
        <v/>
      </c>
      <c r="Z44" s="32" t="str">
        <f>IF('12 - Deployments &amp; Config'!P44="","",'12 - Deployments &amp; Config'!P44)</f>
        <v/>
      </c>
      <c r="AA44" s="32" t="str">
        <f>IF('12 - Deployments &amp; Config'!Q44="","",'12 - Deployments &amp; Config'!Q44)</f>
        <v/>
      </c>
    </row>
    <row r="45" spans="1:27" ht="45.75" customHeight="1">
      <c r="A45" s="33"/>
      <c r="B45" s="33"/>
      <c r="C45" s="32" t="str">
        <f>IF('12 - Deployments &amp; Config'!H45="","",'12 - Deployments &amp; Config'!H45)</f>
        <v>Glen Cove</v>
      </c>
      <c r="D45" s="32" t="str">
        <f>IF('12 - Deployments &amp; Config'!AF45="","",'12 - Deployments &amp; Config'!AF45)</f>
        <v/>
      </c>
      <c r="E45" s="32" t="str">
        <f>IF('12 - Deployments &amp; Config'!AG45="","",'12 - Deployments &amp; Config'!AG45)</f>
        <v/>
      </c>
      <c r="F45" s="32" t="str">
        <f>IF('12 - Deployments &amp; Config'!AH45="","",'12 - Deployments &amp; Config'!AH45)</f>
        <v/>
      </c>
      <c r="G45" s="32" t="str">
        <f>IF('12 - Deployments &amp; Config'!AI45="","",'12 - Deployments &amp; Config'!AI45)</f>
        <v/>
      </c>
      <c r="H45" s="32" t="str">
        <f>IF('12 - Deployments &amp; Config'!A45="","",'12 - Deployments &amp; Config'!A45)</f>
        <v>Neuron</v>
      </c>
      <c r="I45" s="32" t="str">
        <f>IF('12 - Deployments &amp; Config'!AJ45="","",'12 - Deployments &amp; Config'!AJ45)</f>
        <v/>
      </c>
      <c r="J45" s="32" t="str">
        <f>IF('12 - Deployments &amp; Config'!AK45="","",'12 - Deployments &amp; Config'!AK45)</f>
        <v/>
      </c>
      <c r="K45" s="32" t="str">
        <f>IF('12 - Deployments &amp; Config'!AA45="","",'12 - Deployments &amp; Config'!AA45)</f>
        <v/>
      </c>
      <c r="L45" s="32" t="str">
        <f>IF('12 - Deployments &amp; Config'!I45="","",'12 - Deployments &amp; Config'!I45)</f>
        <v/>
      </c>
      <c r="M45" s="33"/>
      <c r="N45" s="32" t="str">
        <f>IF('12 - Deployments &amp; Config'!J45="","",'12 - Deployments &amp; Config'!J45)</f>
        <v>NA</v>
      </c>
      <c r="O45" s="32" t="str">
        <f>IF('12 - Deployments &amp; Config'!K45="","",'12 - Deployments &amp; Config'!K45)</f>
        <v>NA</v>
      </c>
      <c r="P45" s="32" t="str">
        <f>IF('12 - Deployments &amp; Config'!L45="","",'12 - Deployments &amp; Config'!L45)</f>
        <v>NA</v>
      </c>
      <c r="Q45" s="33"/>
      <c r="R45" s="32" t="str">
        <f>IF('12 - Deployments &amp; Config'!AZ45="","",'12 - Deployments &amp; Config'!AZ45)</f>
        <v/>
      </c>
      <c r="S45" s="32" t="str">
        <f>IF('12 - Deployments &amp; Config'!AY45="","",'12 - Deployments &amp; Config'!AY45)</f>
        <v/>
      </c>
      <c r="T45" s="32" t="str">
        <f>IF('12 - Deployments &amp; Config'!AW45="","",'12 - Deployments &amp; Config'!AW45)</f>
        <v/>
      </c>
      <c r="U45" s="32" t="str">
        <f>IF('12 - Deployments &amp; Config'!AX45="","",'12 - Deployments &amp; Config'!AX45)</f>
        <v/>
      </c>
      <c r="V45" s="32" t="str">
        <f>IF('12 - Deployments &amp; Config'!BB45="","",'12 - Deployments &amp; Config'!BB45)</f>
        <v/>
      </c>
      <c r="W45" s="32" t="str">
        <f>IF('12 - Deployments &amp; Config'!BD45="","",'12 - Deployments &amp; Config'!BD45)</f>
        <v>In Storage</v>
      </c>
      <c r="X45" s="32" t="str">
        <f>IF('12 - Deployments &amp; Config'!BL45="","",'12 - Deployments &amp; Config'!BL45)</f>
        <v>Power Cable, Battery, Firmware Download, Device ID, Epic Beans Relay</v>
      </c>
      <c r="Y45" s="32" t="str">
        <f>IF('12 - Deployments &amp; Config'!BC45="","",'12 - Deployments &amp; Config'!BC45)</f>
        <v/>
      </c>
      <c r="Z45" s="32" t="str">
        <f>IF('12 - Deployments &amp; Config'!P45="","",'12 - Deployments &amp; Config'!P45)</f>
        <v/>
      </c>
      <c r="AA45" s="32" t="str">
        <f>IF('12 - Deployments &amp; Config'!Q45="","",'12 - Deployments &amp; Config'!Q45)</f>
        <v/>
      </c>
    </row>
    <row r="46" spans="1:27" ht="41.25">
      <c r="A46" s="33"/>
      <c r="B46" s="33"/>
      <c r="C46" s="32" t="str">
        <f>IF('12 - Deployments &amp; Config'!H46="","",'12 - Deployments &amp; Config'!H46)</f>
        <v>Glen Cove</v>
      </c>
      <c r="D46" s="32" t="str">
        <f>IF('12 - Deployments &amp; Config'!AF46="","",'12 - Deployments &amp; Config'!AF46)</f>
        <v/>
      </c>
      <c r="E46" s="32" t="str">
        <f>IF('12 - Deployments &amp; Config'!AG46="","",'12 - Deployments &amp; Config'!AG46)</f>
        <v/>
      </c>
      <c r="F46" s="32" t="str">
        <f>IF('12 - Deployments &amp; Config'!AH46="","",'12 - Deployments &amp; Config'!AH46)</f>
        <v/>
      </c>
      <c r="G46" s="32" t="str">
        <f>IF('12 - Deployments &amp; Config'!AI46="","",'12 - Deployments &amp; Config'!AI46)</f>
        <v/>
      </c>
      <c r="H46" s="32" t="str">
        <f>IF('12 - Deployments &amp; Config'!A46="","",'12 - Deployments &amp; Config'!A46)</f>
        <v>Neuron</v>
      </c>
      <c r="I46" s="32" t="str">
        <f>IF('12 - Deployments &amp; Config'!AJ46="","",'12 - Deployments &amp; Config'!AJ46)</f>
        <v/>
      </c>
      <c r="J46" s="32" t="str">
        <f>IF('12 - Deployments &amp; Config'!AK46="","",'12 - Deployments &amp; Config'!AK46)</f>
        <v/>
      </c>
      <c r="K46" s="32" t="str">
        <f>IF('12 - Deployments &amp; Config'!AA46="","",'12 - Deployments &amp; Config'!AA46)</f>
        <v/>
      </c>
      <c r="L46" s="32" t="str">
        <f>IF('12 - Deployments &amp; Config'!I46="","",'12 - Deployments &amp; Config'!I46)</f>
        <v/>
      </c>
      <c r="M46" s="33"/>
      <c r="N46" s="32" t="str">
        <f>IF('12 - Deployments &amp; Config'!J46="","",'12 - Deployments &amp; Config'!J46)</f>
        <v/>
      </c>
      <c r="O46" s="32" t="str">
        <f>IF('12 - Deployments &amp; Config'!K46="","",'12 - Deployments &amp; Config'!K46)</f>
        <v/>
      </c>
      <c r="P46" s="32" t="str">
        <f>IF('12 - Deployments &amp; Config'!L46="","",'12 - Deployments &amp; Config'!L46)</f>
        <v/>
      </c>
      <c r="Q46" s="33"/>
      <c r="R46" s="32" t="str">
        <f>IF('12 - Deployments &amp; Config'!AZ46="","",'12 - Deployments &amp; Config'!AZ46)</f>
        <v/>
      </c>
      <c r="S46" s="32" t="str">
        <f>IF('12 - Deployments &amp; Config'!AY46="","",'12 - Deployments &amp; Config'!AY46)</f>
        <v/>
      </c>
      <c r="T46" s="32" t="str">
        <f>IF('12 - Deployments &amp; Config'!AW46="","",'12 - Deployments &amp; Config'!AW46)</f>
        <v/>
      </c>
      <c r="U46" s="32" t="str">
        <f>IF('12 - Deployments &amp; Config'!AX46="","",'12 - Deployments &amp; Config'!AX46)</f>
        <v/>
      </c>
      <c r="V46" s="32" t="str">
        <f>IF('12 - Deployments &amp; Config'!BB46="","",'12 - Deployments &amp; Config'!BB46)</f>
        <v/>
      </c>
      <c r="W46" s="32" t="str">
        <f>IF('12 - Deployments &amp; Config'!BD46="","",'12 - Deployments &amp; Config'!BD46)</f>
        <v/>
      </c>
      <c r="X46" s="32" t="str">
        <f>IF('12 - Deployments &amp; Config'!BL46="","",'12 - Deployments &amp; Config'!BL46)</f>
        <v>Power Cable, Battery, Firmware Download, Device ID, Epic Beans Relay</v>
      </c>
      <c r="Y46" s="32" t="str">
        <f>IF('12 - Deployments &amp; Config'!BC46="","",'12 - Deployments &amp; Config'!BC46)</f>
        <v/>
      </c>
      <c r="Z46" s="32" t="str">
        <f>IF('12 - Deployments &amp; Config'!P46="","",'12 - Deployments &amp; Config'!P46)</f>
        <v/>
      </c>
      <c r="AA46" s="32" t="str">
        <f>IF('12 - Deployments &amp; Config'!Q46="","",'12 - Deployments &amp; Config'!Q46)</f>
        <v/>
      </c>
    </row>
    <row r="47" spans="1:27" ht="45.75" customHeight="1">
      <c r="A47" s="33"/>
      <c r="B47" s="33"/>
      <c r="C47" s="32" t="str">
        <f>IF('12 - Deployments &amp; Config'!H47="","",'12 - Deployments &amp; Config'!H47)</f>
        <v>Glen Cove</v>
      </c>
      <c r="D47" s="32" t="str">
        <f>IF('12 - Deployments &amp; Config'!AF47="","",'12 - Deployments &amp; Config'!AF47)</f>
        <v/>
      </c>
      <c r="E47" s="32" t="str">
        <f>IF('12 - Deployments &amp; Config'!AG47="","",'12 - Deployments &amp; Config'!AG47)</f>
        <v/>
      </c>
      <c r="F47" s="32" t="str">
        <f>IF('12 - Deployments &amp; Config'!AH47="","",'12 - Deployments &amp; Config'!AH47)</f>
        <v/>
      </c>
      <c r="G47" s="32" t="str">
        <f>IF('12 - Deployments &amp; Config'!AI47="","",'12 - Deployments &amp; Config'!AI47)</f>
        <v/>
      </c>
      <c r="H47" s="32" t="str">
        <f>IF('12 - Deployments &amp; Config'!A47="","",'12 - Deployments &amp; Config'!A47)</f>
        <v>Neuron</v>
      </c>
      <c r="I47" s="32" t="str">
        <f>IF('12 - Deployments &amp; Config'!AJ47="","",'12 - Deployments &amp; Config'!AJ47)</f>
        <v/>
      </c>
      <c r="J47" s="32" t="str">
        <f>IF('12 - Deployments &amp; Config'!AK47="","",'12 - Deployments &amp; Config'!AK47)</f>
        <v/>
      </c>
      <c r="K47" s="32" t="str">
        <f>IF('12 - Deployments &amp; Config'!AA47="","",'12 - Deployments &amp; Config'!AA47)</f>
        <v/>
      </c>
      <c r="L47" s="32" t="str">
        <f>IF('12 - Deployments &amp; Config'!I47="","",'12 - Deployments &amp; Config'!I47)</f>
        <v/>
      </c>
      <c r="M47" s="33"/>
      <c r="N47" s="32" t="str">
        <f>IF('12 - Deployments &amp; Config'!J47="","",'12 - Deployments &amp; Config'!J47)</f>
        <v>NA</v>
      </c>
      <c r="O47" s="32" t="str">
        <f>IF('12 - Deployments &amp; Config'!K47="","",'12 - Deployments &amp; Config'!K47)</f>
        <v>NA</v>
      </c>
      <c r="P47" s="32" t="str">
        <f>IF('12 - Deployments &amp; Config'!L47="","",'12 - Deployments &amp; Config'!L47)</f>
        <v>NA</v>
      </c>
      <c r="Q47" s="33"/>
      <c r="R47" s="32" t="str">
        <f>IF('12 - Deployments &amp; Config'!AZ47="","",'12 - Deployments &amp; Config'!AZ47)</f>
        <v/>
      </c>
      <c r="S47" s="32" t="str">
        <f>IF('12 - Deployments &amp; Config'!AY47="","",'12 - Deployments &amp; Config'!AY47)</f>
        <v/>
      </c>
      <c r="T47" s="32" t="str">
        <f>IF('12 - Deployments &amp; Config'!AW47="","",'12 - Deployments &amp; Config'!AW47)</f>
        <v/>
      </c>
      <c r="U47" s="32" t="str">
        <f>IF('12 - Deployments &amp; Config'!AX47="","",'12 - Deployments &amp; Config'!AX47)</f>
        <v/>
      </c>
      <c r="V47" s="32" t="str">
        <f>IF('12 - Deployments &amp; Config'!BB47="","",'12 - Deployments &amp; Config'!BB47)</f>
        <v/>
      </c>
      <c r="W47" s="32" t="str">
        <f>IF('12 - Deployments &amp; Config'!BD47="","",'12 - Deployments &amp; Config'!BD47)</f>
        <v>In Storage</v>
      </c>
      <c r="X47" s="32" t="str">
        <f>IF('12 - Deployments &amp; Config'!BL47="","",'12 - Deployments &amp; Config'!BL47)</f>
        <v>Power Cable, Battery, Firmware Download, Device ID, Epic Beans Relay</v>
      </c>
      <c r="Y47" s="32" t="str">
        <f>IF('12 - Deployments &amp; Config'!BC47="","",'12 - Deployments &amp; Config'!BC47)</f>
        <v/>
      </c>
      <c r="Z47" s="32" t="str">
        <f>IF('12 - Deployments &amp; Config'!P47="","",'12 - Deployments &amp; Config'!P47)</f>
        <v/>
      </c>
      <c r="AA47" s="32" t="str">
        <f>IF('12 - Deployments &amp; Config'!Q47="","",'12 - Deployments &amp; Config'!Q47)</f>
        <v/>
      </c>
    </row>
    <row r="48" spans="1:27" ht="45.75" customHeight="1">
      <c r="A48" s="33"/>
      <c r="B48" s="33"/>
      <c r="C48" s="32" t="str">
        <f>IF('12 - Deployments &amp; Config'!H48="","",'12 - Deployments &amp; Config'!H48)</f>
        <v>Glen Cove</v>
      </c>
      <c r="D48" s="32" t="str">
        <f>IF('12 - Deployments &amp; Config'!AF48="","",'12 - Deployments &amp; Config'!AF48)</f>
        <v/>
      </c>
      <c r="E48" s="32" t="str">
        <f>IF('12 - Deployments &amp; Config'!AG48="","",'12 - Deployments &amp; Config'!AG48)</f>
        <v/>
      </c>
      <c r="F48" s="32" t="str">
        <f>IF('12 - Deployments &amp; Config'!AH48="","",'12 - Deployments &amp; Config'!AH48)</f>
        <v/>
      </c>
      <c r="G48" s="32" t="str">
        <f>IF('12 - Deployments &amp; Config'!AI48="","",'12 - Deployments &amp; Config'!AI48)</f>
        <v/>
      </c>
      <c r="H48" s="32" t="str">
        <f>IF('12 - Deployments &amp; Config'!A48="","",'12 - Deployments &amp; Config'!A48)</f>
        <v>Neuron</v>
      </c>
      <c r="I48" s="32" t="str">
        <f>IF('12 - Deployments &amp; Config'!AJ48="","",'12 - Deployments &amp; Config'!AJ48)</f>
        <v/>
      </c>
      <c r="J48" s="32" t="str">
        <f>IF('12 - Deployments &amp; Config'!AK48="","",'12 - Deployments &amp; Config'!AK48)</f>
        <v/>
      </c>
      <c r="K48" s="32" t="str">
        <f>IF('12 - Deployments &amp; Config'!AA48="","",'12 - Deployments &amp; Config'!AA48)</f>
        <v/>
      </c>
      <c r="L48" s="32" t="str">
        <f>IF('12 - Deployments &amp; Config'!I48="","",'12 - Deployments &amp; Config'!I48)</f>
        <v/>
      </c>
      <c r="M48" s="33"/>
      <c r="N48" s="32" t="str">
        <f>IF('12 - Deployments &amp; Config'!J48="","",'12 - Deployments &amp; Config'!J48)</f>
        <v>NA</v>
      </c>
      <c r="O48" s="32" t="str">
        <f>IF('12 - Deployments &amp; Config'!K48="","",'12 - Deployments &amp; Config'!K48)</f>
        <v>NA</v>
      </c>
      <c r="P48" s="32" t="str">
        <f>IF('12 - Deployments &amp; Config'!L48="","",'12 - Deployments &amp; Config'!L48)</f>
        <v>NA</v>
      </c>
      <c r="Q48" s="33"/>
      <c r="R48" s="32" t="str">
        <f>IF('12 - Deployments &amp; Config'!AZ48="","",'12 - Deployments &amp; Config'!AZ48)</f>
        <v/>
      </c>
      <c r="S48" s="32" t="str">
        <f>IF('12 - Deployments &amp; Config'!AY48="","",'12 - Deployments &amp; Config'!AY48)</f>
        <v/>
      </c>
      <c r="T48" s="32" t="str">
        <f>IF('12 - Deployments &amp; Config'!AW48="","",'12 - Deployments &amp; Config'!AW48)</f>
        <v/>
      </c>
      <c r="U48" s="32" t="str">
        <f>IF('12 - Deployments &amp; Config'!AX48="","",'12 - Deployments &amp; Config'!AX48)</f>
        <v/>
      </c>
      <c r="V48" s="32" t="str">
        <f>IF('12 - Deployments &amp; Config'!BB48="","",'12 - Deployments &amp; Config'!BB48)</f>
        <v/>
      </c>
      <c r="W48" s="32" t="str">
        <f>IF('12 - Deployments &amp; Config'!BD48="","",'12 - Deployments &amp; Config'!BD48)</f>
        <v>In Storage</v>
      </c>
      <c r="X48" s="32" t="str">
        <f>IF('12 - Deployments &amp; Config'!BL48="","",'12 - Deployments &amp; Config'!BL48)</f>
        <v>Power Cable, Battery, Firmware Download, Device ID, Epic Beans Relay</v>
      </c>
      <c r="Y48" s="32" t="str">
        <f>IF('12 - Deployments &amp; Config'!BC48="","",'12 - Deployments &amp; Config'!BC48)</f>
        <v/>
      </c>
      <c r="Z48" s="32" t="str">
        <f>IF('12 - Deployments &amp; Config'!P48="","",'12 - Deployments &amp; Config'!P48)</f>
        <v/>
      </c>
      <c r="AA48" s="32" t="str">
        <f>IF('12 - Deployments &amp; Config'!Q48="","",'12 - Deployments &amp; Config'!Q48)</f>
        <v/>
      </c>
    </row>
    <row r="49" spans="1:27" ht="45.75" customHeight="1">
      <c r="A49" s="33"/>
      <c r="B49" s="33"/>
      <c r="C49" s="32" t="str">
        <f>IF('12 - Deployments &amp; Config'!H49="","",'12 - Deployments &amp; Config'!H49)</f>
        <v>Glen Cove</v>
      </c>
      <c r="D49" s="32" t="str">
        <f>IF('12 - Deployments &amp; Config'!AF49="","",'12 - Deployments &amp; Config'!AF49)</f>
        <v/>
      </c>
      <c r="E49" s="32" t="str">
        <f>IF('12 - Deployments &amp; Config'!AG49="","",'12 - Deployments &amp; Config'!AG49)</f>
        <v/>
      </c>
      <c r="F49" s="32" t="str">
        <f>IF('12 - Deployments &amp; Config'!AH49="","",'12 - Deployments &amp; Config'!AH49)</f>
        <v/>
      </c>
      <c r="G49" s="32" t="str">
        <f>IF('12 - Deployments &amp; Config'!AI49="","",'12 - Deployments &amp; Config'!AI49)</f>
        <v/>
      </c>
      <c r="H49" s="32" t="str">
        <f>IF('12 - Deployments &amp; Config'!A49="","",'12 - Deployments &amp; Config'!A49)</f>
        <v>Neuron</v>
      </c>
      <c r="I49" s="32" t="str">
        <f>IF('12 - Deployments &amp; Config'!AJ49="","",'12 - Deployments &amp; Config'!AJ49)</f>
        <v/>
      </c>
      <c r="J49" s="32" t="str">
        <f>IF('12 - Deployments &amp; Config'!AK49="","",'12 - Deployments &amp; Config'!AK49)</f>
        <v/>
      </c>
      <c r="K49" s="32" t="str">
        <f>IF('12 - Deployments &amp; Config'!AA49="","",'12 - Deployments &amp; Config'!AA49)</f>
        <v/>
      </c>
      <c r="L49" s="32" t="str">
        <f>IF('12 - Deployments &amp; Config'!I49="","",'12 - Deployments &amp; Config'!I49)</f>
        <v/>
      </c>
      <c r="M49" s="33"/>
      <c r="N49" s="32" t="str">
        <f>IF('12 - Deployments &amp; Config'!J49="","",'12 - Deployments &amp; Config'!J49)</f>
        <v>NA</v>
      </c>
      <c r="O49" s="32" t="str">
        <f>IF('12 - Deployments &amp; Config'!K49="","",'12 - Deployments &amp; Config'!K49)</f>
        <v>NA</v>
      </c>
      <c r="P49" s="32" t="str">
        <f>IF('12 - Deployments &amp; Config'!L49="","",'12 - Deployments &amp; Config'!L49)</f>
        <v>NA</v>
      </c>
      <c r="Q49" s="33"/>
      <c r="R49" s="32" t="str">
        <f>IF('12 - Deployments &amp; Config'!AZ49="","",'12 - Deployments &amp; Config'!AZ49)</f>
        <v/>
      </c>
      <c r="S49" s="32" t="str">
        <f>IF('12 - Deployments &amp; Config'!AY49="","",'12 - Deployments &amp; Config'!AY49)</f>
        <v/>
      </c>
      <c r="T49" s="32" t="str">
        <f>IF('12 - Deployments &amp; Config'!AW49="","",'12 - Deployments &amp; Config'!AW49)</f>
        <v/>
      </c>
      <c r="U49" s="32" t="str">
        <f>IF('12 - Deployments &amp; Config'!AX49="","",'12 - Deployments &amp; Config'!AX49)</f>
        <v/>
      </c>
      <c r="V49" s="32" t="str">
        <f>IF('12 - Deployments &amp; Config'!BB49="","",'12 - Deployments &amp; Config'!BB49)</f>
        <v/>
      </c>
      <c r="W49" s="32" t="str">
        <f>IF('12 - Deployments &amp; Config'!BD49="","",'12 - Deployments &amp; Config'!BD49)</f>
        <v>In Storage</v>
      </c>
      <c r="X49" s="32" t="str">
        <f>IF('12 - Deployments &amp; Config'!BL49="","",'12 - Deployments &amp; Config'!BL49)</f>
        <v>Power Cable, Battery, Firmware Download, Device ID, Epic Beans Relay</v>
      </c>
      <c r="Y49" s="32" t="str">
        <f>IF('12 - Deployments &amp; Config'!BC49="","",'12 - Deployments &amp; Config'!BC49)</f>
        <v/>
      </c>
      <c r="Z49" s="32" t="str">
        <f>IF('12 - Deployments &amp; Config'!P49="","",'12 - Deployments &amp; Config'!P49)</f>
        <v/>
      </c>
      <c r="AA49" s="32" t="str">
        <f>IF('12 - Deployments &amp; Config'!Q49="","",'12 - Deployments &amp; Config'!Q49)</f>
        <v/>
      </c>
    </row>
    <row r="50" spans="1:27" ht="30.75" customHeight="1">
      <c r="A50" s="33"/>
      <c r="B50" s="33"/>
      <c r="C50" s="32" t="str">
        <f>IF('12 - Deployments &amp; Config'!H50="","",'12 - Deployments &amp; Config'!H50)</f>
        <v>LIJ-IR</v>
      </c>
      <c r="D50" s="32" t="str">
        <f>IF('12 - Deployments &amp; Config'!AF50="","",'12 - Deployments &amp; Config'!AF50)</f>
        <v/>
      </c>
      <c r="E50" s="32" t="str">
        <f>IF('12 - Deployments &amp; Config'!AG50="","",'12 - Deployments &amp; Config'!AG50)</f>
        <v/>
      </c>
      <c r="F50" s="32" t="str">
        <f>IF('12 - Deployments &amp; Config'!AH50="","",'12 - Deployments &amp; Config'!AH50)</f>
        <v/>
      </c>
      <c r="G50" s="32" t="str">
        <f>IF('12 - Deployments &amp; Config'!AI50="","",'12 - Deployments &amp; Config'!AI50)</f>
        <v/>
      </c>
      <c r="H50" s="32" t="str">
        <f>IF('12 - Deployments &amp; Config'!A50="","",'12 - Deployments &amp; Config'!A50)</f>
        <v>Cybernet</v>
      </c>
      <c r="I50" s="32" t="str">
        <f>IF('12 - Deployments &amp; Config'!AJ50="","",'12 - Deployments &amp; Config'!AJ50)</f>
        <v>Cybernet Manufacturing Inc</v>
      </c>
      <c r="J50" s="32" t="str">
        <f>IF('12 - Deployments &amp; Config'!AK50="","",'12 - Deployments &amp; Config'!AK50)</f>
        <v>CyberMed-S24 TGL</v>
      </c>
      <c r="K50" s="32" t="str">
        <f>IF('12 - Deployments &amp; Config'!AA50="","",'12 - Deployments &amp; Config'!AA50)</f>
        <v/>
      </c>
      <c r="L50" s="32" t="str">
        <f>IF('12 - Deployments &amp; Config'!I50="","",'12 - Deployments &amp; Config'!I50)</f>
        <v>OR iPro Cybernet Workstation</v>
      </c>
      <c r="M50" s="33"/>
      <c r="N50" s="32" t="str">
        <f>IF('12 - Deployments &amp; Config'!J50="","",'12 - Deployments &amp; Config'!J50)</f>
        <v>Yes</v>
      </c>
      <c r="O50" s="32" t="str">
        <f>IF('12 - Deployments &amp; Config'!K50="","",'12 - Deployments &amp; Config'!K50)</f>
        <v>No</v>
      </c>
      <c r="P50" s="32" t="str">
        <f>IF('12 - Deployments &amp; Config'!L50="","",'12 - Deployments &amp; Config'!L50)</f>
        <v>No</v>
      </c>
      <c r="Q50" s="33"/>
      <c r="R50" s="32" t="str">
        <f>IF('12 - Deployments &amp; Config'!AZ50="","",'12 - Deployments &amp; Config'!AZ50)</f>
        <v/>
      </c>
      <c r="S50" s="32" t="str">
        <f>IF('12 - Deployments &amp; Config'!AY50="","",'12 - Deployments &amp; Config'!AY50)</f>
        <v/>
      </c>
      <c r="T50" s="32" t="str">
        <f>IF('12 - Deployments &amp; Config'!AW50="","",'12 - Deployments &amp; Config'!AW50)</f>
        <v/>
      </c>
      <c r="U50" s="32" t="str">
        <f>IF('12 - Deployments &amp; Config'!AX50="","",'12 - Deployments &amp; Config'!AX50)</f>
        <v/>
      </c>
      <c r="V50" s="32" t="str">
        <f>IF('12 - Deployments &amp; Config'!BB50="","",'12 - Deployments &amp; Config'!BB50)</f>
        <v/>
      </c>
      <c r="W50" s="32" t="str">
        <f>IF('12 - Deployments &amp; Config'!BD50="","",'12 - Deployments &amp; Config'!BD50)</f>
        <v>In Storage</v>
      </c>
      <c r="X50" s="32" t="str">
        <f>IF('12 - Deployments &amp; Config'!BL50="","",'12 - Deployments &amp; Config'!BL50)</f>
        <v/>
      </c>
      <c r="Y50" s="32" t="str">
        <f>IF('12 - Deployments &amp; Config'!BC50="","",'12 - Deployments &amp; Config'!BC50)</f>
        <v>Ran POSTINSTALL, boxed</v>
      </c>
      <c r="Z50" s="32" t="str">
        <f>IF('12 - Deployments &amp; Config'!P50="","",'12 - Deployments &amp; Config'!P50)</f>
        <v/>
      </c>
      <c r="AA50" s="32" t="str">
        <f>IF('12 - Deployments &amp; Config'!Q50="","",'12 - Deployments &amp; Config'!Q50)</f>
        <v/>
      </c>
    </row>
    <row r="51" spans="1:27" ht="30.75" customHeight="1">
      <c r="A51" s="33"/>
      <c r="B51" s="33"/>
      <c r="C51" s="32" t="str">
        <f>IF('12 - Deployments &amp; Config'!H51="","",'12 - Deployments &amp; Config'!H51)</f>
        <v>LIJ-IR</v>
      </c>
      <c r="D51" s="32" t="str">
        <f>IF('12 - Deployments &amp; Config'!AF51="","",'12 - Deployments &amp; Config'!AF51)</f>
        <v/>
      </c>
      <c r="E51" s="32" t="str">
        <f>IF('12 - Deployments &amp; Config'!AG51="","",'12 - Deployments &amp; Config'!AG51)</f>
        <v/>
      </c>
      <c r="F51" s="32" t="str">
        <f>IF('12 - Deployments &amp; Config'!AH51="","",'12 - Deployments &amp; Config'!AH51)</f>
        <v/>
      </c>
      <c r="G51" s="32" t="str">
        <f>IF('12 - Deployments &amp; Config'!AI51="","",'12 - Deployments &amp; Config'!AI51)</f>
        <v/>
      </c>
      <c r="H51" s="32" t="str">
        <f>IF('12 - Deployments &amp; Config'!A51="","",'12 - Deployments &amp; Config'!A51)</f>
        <v>Cybernet</v>
      </c>
      <c r="I51" s="32" t="str">
        <f>IF('12 - Deployments &amp; Config'!AJ51="","",'12 - Deployments &amp; Config'!AJ51)</f>
        <v>Cybernet Manufacturing Inc</v>
      </c>
      <c r="J51" s="32" t="str">
        <f>IF('12 - Deployments &amp; Config'!AK51="","",'12 - Deployments &amp; Config'!AK51)</f>
        <v>CyberMed-S24 TGL</v>
      </c>
      <c r="K51" s="32" t="str">
        <f>IF('12 - Deployments &amp; Config'!AA51="","",'12 - Deployments &amp; Config'!AA51)</f>
        <v/>
      </c>
      <c r="L51" s="32" t="str">
        <f>IF('12 - Deployments &amp; Config'!I51="","",'12 - Deployments &amp; Config'!I51)</f>
        <v>OR iPro Cybernet Workstation</v>
      </c>
      <c r="M51" s="33"/>
      <c r="N51" s="32" t="str">
        <f>IF('12 - Deployments &amp; Config'!J51="","",'12 - Deployments &amp; Config'!J51)</f>
        <v>Yes</v>
      </c>
      <c r="O51" s="32" t="str">
        <f>IF('12 - Deployments &amp; Config'!K51="","",'12 - Deployments &amp; Config'!K51)</f>
        <v>No</v>
      </c>
      <c r="P51" s="32" t="str">
        <f>IF('12 - Deployments &amp; Config'!L51="","",'12 - Deployments &amp; Config'!L51)</f>
        <v>No</v>
      </c>
      <c r="Q51" s="33"/>
      <c r="R51" s="32" t="str">
        <f>IF('12 - Deployments &amp; Config'!AZ51="","",'12 - Deployments &amp; Config'!AZ51)</f>
        <v/>
      </c>
      <c r="S51" s="32" t="str">
        <f>IF('12 - Deployments &amp; Config'!AY51="","",'12 - Deployments &amp; Config'!AY51)</f>
        <v/>
      </c>
      <c r="T51" s="32" t="str">
        <f>IF('12 - Deployments &amp; Config'!AW51="","",'12 - Deployments &amp; Config'!AW51)</f>
        <v/>
      </c>
      <c r="U51" s="32" t="str">
        <f>IF('12 - Deployments &amp; Config'!AX51="","",'12 - Deployments &amp; Config'!AX51)</f>
        <v/>
      </c>
      <c r="V51" s="32" t="str">
        <f>IF('12 - Deployments &amp; Config'!BB51="","",'12 - Deployments &amp; Config'!BB51)</f>
        <v/>
      </c>
      <c r="W51" s="32" t="str">
        <f>IF('12 - Deployments &amp; Config'!BD51="","",'12 - Deployments &amp; Config'!BD51)</f>
        <v>In Storage</v>
      </c>
      <c r="X51" s="32" t="str">
        <f>IF('12 - Deployments &amp; Config'!BL51="","",'12 - Deployments &amp; Config'!BL51)</f>
        <v/>
      </c>
      <c r="Y51" s="32" t="str">
        <f>IF('12 - Deployments &amp; Config'!BC51="","",'12 - Deployments &amp; Config'!BC51)</f>
        <v>Ran POSTINSTALL, boxed</v>
      </c>
      <c r="Z51" s="32" t="str">
        <f>IF('12 - Deployments &amp; Config'!P51="","",'12 - Deployments &amp; Config'!P51)</f>
        <v/>
      </c>
      <c r="AA51" s="32" t="str">
        <f>IF('12 - Deployments &amp; Config'!Q51="","",'12 - Deployments &amp; Config'!Q51)</f>
        <v/>
      </c>
    </row>
    <row r="52" spans="1:27">
      <c r="A52" s="33"/>
      <c r="B52" s="33"/>
      <c r="C52" s="32" t="str">
        <f>IF('12 - Deployments &amp; Config'!H52="","",'12 - Deployments &amp; Config'!H52)</f>
        <v>MEETH</v>
      </c>
      <c r="D52" s="32" t="str">
        <f>IF('12 - Deployments &amp; Config'!AF52="","",'12 - Deployments &amp; Config'!AF52)</f>
        <v/>
      </c>
      <c r="E52" s="32" t="str">
        <f>IF('12 - Deployments &amp; Config'!AG52="","",'12 - Deployments &amp; Config'!AG52)</f>
        <v/>
      </c>
      <c r="F52" s="32" t="str">
        <f>IF('12 - Deployments &amp; Config'!AH52="","",'12 - Deployments &amp; Config'!AH52)</f>
        <v/>
      </c>
      <c r="G52" s="32" t="str">
        <f>IF('12 - Deployments &amp; Config'!AI52="","",'12 - Deployments &amp; Config'!AI52)</f>
        <v/>
      </c>
      <c r="H52" s="32" t="str">
        <f>IF('12 - Deployments &amp; Config'!A52="","",'12 - Deployments &amp; Config'!A52)</f>
        <v>Cybernet</v>
      </c>
      <c r="I52" s="32" t="str">
        <f>IF('12 - Deployments &amp; Config'!AJ52="","",'12 - Deployments &amp; Config'!AJ52)</f>
        <v/>
      </c>
      <c r="J52" s="32" t="str">
        <f>IF('12 - Deployments &amp; Config'!AK52="","",'12 - Deployments &amp; Config'!AK52)</f>
        <v/>
      </c>
      <c r="K52" s="32" t="str">
        <f>IF('12 - Deployments &amp; Config'!AA52="","",'12 - Deployments &amp; Config'!AA52)</f>
        <v/>
      </c>
      <c r="L52" s="32" t="str">
        <f>IF('12 - Deployments &amp; Config'!I52="","",'12 - Deployments &amp; Config'!I52)</f>
        <v>OR iPro Cybernet Workstation</v>
      </c>
      <c r="M52" s="33"/>
      <c r="N52" s="32" t="str">
        <f>IF('12 - Deployments &amp; Config'!J52="","",'12 - Deployments &amp; Config'!J52)</f>
        <v>Yes</v>
      </c>
      <c r="O52" s="32" t="str">
        <f>IF('12 - Deployments &amp; Config'!K52="","",'12 - Deployments &amp; Config'!K52)</f>
        <v>No</v>
      </c>
      <c r="P52" s="32" t="str">
        <f>IF('12 - Deployments &amp; Config'!L52="","",'12 - Deployments &amp; Config'!L52)</f>
        <v>No</v>
      </c>
      <c r="Q52" s="33"/>
      <c r="R52" s="32" t="str">
        <f>IF('12 - Deployments &amp; Config'!AZ52="","",'12 - Deployments &amp; Config'!AZ52)</f>
        <v/>
      </c>
      <c r="S52" s="32" t="str">
        <f>IF('12 - Deployments &amp; Config'!AY52="","",'12 - Deployments &amp; Config'!AY52)</f>
        <v/>
      </c>
      <c r="T52" s="32" t="str">
        <f>IF('12 - Deployments &amp; Config'!AW52="","",'12 - Deployments &amp; Config'!AW52)</f>
        <v/>
      </c>
      <c r="U52" s="32" t="str">
        <f>IF('12 - Deployments &amp; Config'!AX52="","",'12 - Deployments &amp; Config'!AX52)</f>
        <v/>
      </c>
      <c r="V52" s="32" t="str">
        <f>IF('12 - Deployments &amp; Config'!BB52="","",'12 - Deployments &amp; Config'!BB52)</f>
        <v/>
      </c>
      <c r="W52" s="32" t="str">
        <f>IF('12 - Deployments &amp; Config'!BD52="","",'12 - Deployments &amp; Config'!BD52)</f>
        <v/>
      </c>
      <c r="X52" s="32" t="str">
        <f>IF('12 - Deployments &amp; Config'!BL52="","",'12 - Deployments &amp; Config'!BL52)</f>
        <v/>
      </c>
      <c r="Y52" s="32" t="str">
        <f>IF('12 - Deployments &amp; Config'!BC52="","",'12 - Deployments &amp; Config'!BC52)</f>
        <v xml:space="preserve">Ran POSTINSTALL </v>
      </c>
      <c r="Z52" s="32" t="str">
        <f>IF('12 - Deployments &amp; Config'!P52="","",'12 - Deployments &amp; Config'!P52)</f>
        <v/>
      </c>
      <c r="AA52" s="32" t="str">
        <f>IF('12 - Deployments &amp; Config'!Q52="","",'12 - Deployments &amp; Config'!Q52)</f>
        <v/>
      </c>
    </row>
    <row r="53" spans="1:27">
      <c r="A53" s="33"/>
      <c r="B53" s="33"/>
      <c r="C53" s="32" t="str">
        <f>IF('12 - Deployments &amp; Config'!H53="","",'12 - Deployments &amp; Config'!H53)</f>
        <v>MEETH</v>
      </c>
      <c r="D53" s="32" t="str">
        <f>IF('12 - Deployments &amp; Config'!AF53="","",'12 - Deployments &amp; Config'!AF53)</f>
        <v/>
      </c>
      <c r="E53" s="32" t="str">
        <f>IF('12 - Deployments &amp; Config'!AG53="","",'12 - Deployments &amp; Config'!AG53)</f>
        <v/>
      </c>
      <c r="F53" s="32" t="str">
        <f>IF('12 - Deployments &amp; Config'!AH53="","",'12 - Deployments &amp; Config'!AH53)</f>
        <v/>
      </c>
      <c r="G53" s="32" t="str">
        <f>IF('12 - Deployments &amp; Config'!AI53="","",'12 - Deployments &amp; Config'!AI53)</f>
        <v/>
      </c>
      <c r="H53" s="32" t="str">
        <f>IF('12 - Deployments &amp; Config'!A53="","",'12 - Deployments &amp; Config'!A53)</f>
        <v>Cybernet</v>
      </c>
      <c r="I53" s="32" t="str">
        <f>IF('12 - Deployments &amp; Config'!AJ53="","",'12 - Deployments &amp; Config'!AJ53)</f>
        <v/>
      </c>
      <c r="J53" s="32" t="str">
        <f>IF('12 - Deployments &amp; Config'!AK53="","",'12 - Deployments &amp; Config'!AK53)</f>
        <v/>
      </c>
      <c r="K53" s="32" t="str">
        <f>IF('12 - Deployments &amp; Config'!AA53="","",'12 - Deployments &amp; Config'!AA53)</f>
        <v/>
      </c>
      <c r="L53" s="32" t="str">
        <f>IF('12 - Deployments &amp; Config'!I53="","",'12 - Deployments &amp; Config'!I53)</f>
        <v>OR iPro Cybernet Workstation</v>
      </c>
      <c r="M53" s="33"/>
      <c r="N53" s="32" t="str">
        <f>IF('12 - Deployments &amp; Config'!J53="","",'12 - Deployments &amp; Config'!J53)</f>
        <v>Yes</v>
      </c>
      <c r="O53" s="32" t="str">
        <f>IF('12 - Deployments &amp; Config'!K53="","",'12 - Deployments &amp; Config'!K53)</f>
        <v>No</v>
      </c>
      <c r="P53" s="32" t="str">
        <f>IF('12 - Deployments &amp; Config'!L53="","",'12 - Deployments &amp; Config'!L53)</f>
        <v>No</v>
      </c>
      <c r="Q53" s="33"/>
      <c r="R53" s="32" t="str">
        <f>IF('12 - Deployments &amp; Config'!AZ53="","",'12 - Deployments &amp; Config'!AZ53)</f>
        <v/>
      </c>
      <c r="S53" s="32" t="str">
        <f>IF('12 - Deployments &amp; Config'!AY53="","",'12 - Deployments &amp; Config'!AY53)</f>
        <v/>
      </c>
      <c r="T53" s="32" t="str">
        <f>IF('12 - Deployments &amp; Config'!AW53="","",'12 - Deployments &amp; Config'!AW53)</f>
        <v/>
      </c>
      <c r="U53" s="32" t="str">
        <f>IF('12 - Deployments &amp; Config'!AX53="","",'12 - Deployments &amp; Config'!AX53)</f>
        <v/>
      </c>
      <c r="V53" s="32" t="str">
        <f>IF('12 - Deployments &amp; Config'!BB53="","",'12 - Deployments &amp; Config'!BB53)</f>
        <v/>
      </c>
      <c r="W53" s="32" t="str">
        <f>IF('12 - Deployments &amp; Config'!BD53="","",'12 - Deployments &amp; Config'!BD53)</f>
        <v/>
      </c>
      <c r="X53" s="32" t="str">
        <f>IF('12 - Deployments &amp; Config'!BL53="","",'12 - Deployments &amp; Config'!BL53)</f>
        <v/>
      </c>
      <c r="Y53" s="32" t="str">
        <f>IF('12 - Deployments &amp; Config'!BC53="","",'12 - Deployments &amp; Config'!BC53)</f>
        <v>Ran POSTINSTALL</v>
      </c>
      <c r="Z53" s="32" t="str">
        <f>IF('12 - Deployments &amp; Config'!P53="","",'12 - Deployments &amp; Config'!P53)</f>
        <v/>
      </c>
      <c r="AA53" s="32" t="str">
        <f>IF('12 - Deployments &amp; Config'!Q53="","",'12 - Deployments &amp; Config'!Q53)</f>
        <v/>
      </c>
    </row>
    <row r="54" spans="1:27" ht="30.75" customHeight="1">
      <c r="A54" s="33"/>
      <c r="B54" s="33"/>
      <c r="C54" s="32" t="str">
        <f>IF('12 - Deployments &amp; Config'!H54="","",'12 - Deployments &amp; Config'!H54)</f>
        <v>NSUH</v>
      </c>
      <c r="D54" s="32" t="str">
        <f>IF('12 - Deployments &amp; Config'!AF54="","",'12 - Deployments &amp; Config'!AF54)</f>
        <v/>
      </c>
      <c r="E54" s="32" t="str">
        <f>IF('12 - Deployments &amp; Config'!AG54="","",'12 - Deployments &amp; Config'!AG54)</f>
        <v/>
      </c>
      <c r="F54" s="32" t="str">
        <f>IF('12 - Deployments &amp; Config'!AH54="","",'12 - Deployments &amp; Config'!AH54)</f>
        <v/>
      </c>
      <c r="G54" s="32" t="str">
        <f>IF('12 - Deployments &amp; Config'!AI54="","",'12 - Deployments &amp; Config'!AI54)</f>
        <v/>
      </c>
      <c r="H54" s="32" t="str">
        <f>IF('12 - Deployments &amp; Config'!A54="","",'12 - Deployments &amp; Config'!A54)</f>
        <v>Cybernet</v>
      </c>
      <c r="I54" s="32" t="str">
        <f>IF('12 - Deployments &amp; Config'!AJ54="","",'12 - Deployments &amp; Config'!AJ54)</f>
        <v>Cybernet Manufacturing Inc</v>
      </c>
      <c r="J54" s="32" t="str">
        <f>IF('12 - Deployments &amp; Config'!AK54="","",'12 - Deployments &amp; Config'!AK54)</f>
        <v>CyberMed-S24 TGL</v>
      </c>
      <c r="K54" s="32" t="str">
        <f>IF('12 - Deployments &amp; Config'!AA54="","",'12 - Deployments &amp; Config'!AA54)</f>
        <v/>
      </c>
      <c r="L54" s="32" t="str">
        <f>IF('12 - Deployments &amp; Config'!I54="","",'12 - Deployments &amp; Config'!I54)</f>
        <v>OR iPro Cybernet Workstation</v>
      </c>
      <c r="M54" s="33"/>
      <c r="N54" s="32" t="str">
        <f>IF('12 - Deployments &amp; Config'!J54="","",'12 - Deployments &amp; Config'!J54)</f>
        <v>Yes</v>
      </c>
      <c r="O54" s="32" t="str">
        <f>IF('12 - Deployments &amp; Config'!K54="","",'12 - Deployments &amp; Config'!K54)</f>
        <v>No</v>
      </c>
      <c r="P54" s="32" t="str">
        <f>IF('12 - Deployments &amp; Config'!L54="","",'12 - Deployments &amp; Config'!L54)</f>
        <v>No</v>
      </c>
      <c r="Q54" s="33"/>
      <c r="R54" s="32" t="str">
        <f>IF('12 - Deployments &amp; Config'!AZ54="","",'12 - Deployments &amp; Config'!AZ54)</f>
        <v/>
      </c>
      <c r="S54" s="32" t="str">
        <f>IF('12 - Deployments &amp; Config'!AY54="","",'12 - Deployments &amp; Config'!AY54)</f>
        <v/>
      </c>
      <c r="T54" s="32" t="str">
        <f>IF('12 - Deployments &amp; Config'!AW54="","",'12 - Deployments &amp; Config'!AW54)</f>
        <v/>
      </c>
      <c r="U54" s="32" t="str">
        <f>IF('12 - Deployments &amp; Config'!AX54="","",'12 - Deployments &amp; Config'!AX54)</f>
        <v/>
      </c>
      <c r="V54" s="32" t="str">
        <f>IF('12 - Deployments &amp; Config'!BB54="","",'12 - Deployments &amp; Config'!BB54)</f>
        <v/>
      </c>
      <c r="W54" s="32" t="str">
        <f>IF('12 - Deployments &amp; Config'!BD54="","",'12 - Deployments &amp; Config'!BD54)</f>
        <v>In Storage</v>
      </c>
      <c r="X54" s="32" t="str">
        <f>IF('12 - Deployments &amp; Config'!BL54="","",'12 - Deployments &amp; Config'!BL54)</f>
        <v/>
      </c>
      <c r="Y54" s="32" t="str">
        <f>IF('12 - Deployments &amp; Config'!BC54="","",'12 - Deployments &amp; Config'!BC54)</f>
        <v>Ran POSTINSTALL, boxe</v>
      </c>
      <c r="Z54" s="32" t="str">
        <f>IF('12 - Deployments &amp; Config'!P54="","",'12 - Deployments &amp; Config'!P54)</f>
        <v/>
      </c>
      <c r="AA54" s="32" t="str">
        <f>IF('12 - Deployments &amp; Config'!Q54="","",'12 - Deployments &amp; Config'!Q54)</f>
        <v/>
      </c>
    </row>
    <row r="55" spans="1:27" ht="30.75" customHeight="1">
      <c r="A55" s="33"/>
      <c r="B55" s="33"/>
      <c r="C55" s="32" t="str">
        <f>IF('12 - Deployments &amp; Config'!H55="","",'12 - Deployments &amp; Config'!H55)</f>
        <v>NSUH</v>
      </c>
      <c r="D55" s="32" t="str">
        <f>IF('12 - Deployments &amp; Config'!AF55="","",'12 - Deployments &amp; Config'!AF55)</f>
        <v/>
      </c>
      <c r="E55" s="32" t="str">
        <f>IF('12 - Deployments &amp; Config'!AG55="","",'12 - Deployments &amp; Config'!AG55)</f>
        <v/>
      </c>
      <c r="F55" s="32" t="str">
        <f>IF('12 - Deployments &amp; Config'!AH55="","",'12 - Deployments &amp; Config'!AH55)</f>
        <v/>
      </c>
      <c r="G55" s="32" t="str">
        <f>IF('12 - Deployments &amp; Config'!AI55="","",'12 - Deployments &amp; Config'!AI55)</f>
        <v/>
      </c>
      <c r="H55" s="32" t="str">
        <f>IF('12 - Deployments &amp; Config'!A55="","",'12 - Deployments &amp; Config'!A55)</f>
        <v>Cybernet</v>
      </c>
      <c r="I55" s="32" t="str">
        <f>IF('12 - Deployments &amp; Config'!AJ55="","",'12 - Deployments &amp; Config'!AJ55)</f>
        <v>Cybernet Manufacturing Inc</v>
      </c>
      <c r="J55" s="32" t="str">
        <f>IF('12 - Deployments &amp; Config'!AK55="","",'12 - Deployments &amp; Config'!AK55)</f>
        <v>CyberMed-S24 TGL</v>
      </c>
      <c r="K55" s="32" t="str">
        <f>IF('12 - Deployments &amp; Config'!AA55="","",'12 - Deployments &amp; Config'!AA55)</f>
        <v/>
      </c>
      <c r="L55" s="32" t="str">
        <f>IF('12 - Deployments &amp; Config'!I55="","",'12 - Deployments &amp; Config'!I55)</f>
        <v>OR iPro Cybernet Workstation</v>
      </c>
      <c r="M55" s="33"/>
      <c r="N55" s="32" t="str">
        <f>IF('12 - Deployments &amp; Config'!J55="","",'12 - Deployments &amp; Config'!J55)</f>
        <v>Yes</v>
      </c>
      <c r="O55" s="32" t="str">
        <f>IF('12 - Deployments &amp; Config'!K55="","",'12 - Deployments &amp; Config'!K55)</f>
        <v>No</v>
      </c>
      <c r="P55" s="32" t="str">
        <f>IF('12 - Deployments &amp; Config'!L55="","",'12 - Deployments &amp; Config'!L55)</f>
        <v>No</v>
      </c>
      <c r="Q55" s="33"/>
      <c r="R55" s="32" t="str">
        <f>IF('12 - Deployments &amp; Config'!AZ55="","",'12 - Deployments &amp; Config'!AZ55)</f>
        <v/>
      </c>
      <c r="S55" s="32" t="str">
        <f>IF('12 - Deployments &amp; Config'!AY55="","",'12 - Deployments &amp; Config'!AY55)</f>
        <v/>
      </c>
      <c r="T55" s="32" t="str">
        <f>IF('12 - Deployments &amp; Config'!AW55="","",'12 - Deployments &amp; Config'!AW55)</f>
        <v/>
      </c>
      <c r="U55" s="32" t="str">
        <f>IF('12 - Deployments &amp; Config'!AX55="","",'12 - Deployments &amp; Config'!AX55)</f>
        <v/>
      </c>
      <c r="V55" s="32" t="str">
        <f>IF('12 - Deployments &amp; Config'!BB55="","",'12 - Deployments &amp; Config'!BB55)</f>
        <v/>
      </c>
      <c r="W55" s="32" t="str">
        <f>IF('12 - Deployments &amp; Config'!BD55="","",'12 - Deployments &amp; Config'!BD55)</f>
        <v>In Storage</v>
      </c>
      <c r="X55" s="32" t="str">
        <f>IF('12 - Deployments &amp; Config'!BL55="","",'12 - Deployments &amp; Config'!BL55)</f>
        <v/>
      </c>
      <c r="Y55" s="32" t="str">
        <f>IF('12 - Deployments &amp; Config'!BC55="","",'12 - Deployments &amp; Config'!BC55)</f>
        <v>Ran POSTINSTALL, boxe</v>
      </c>
      <c r="Z55" s="32" t="str">
        <f>IF('12 - Deployments &amp; Config'!P55="","",'12 - Deployments &amp; Config'!P55)</f>
        <v/>
      </c>
      <c r="AA55" s="32" t="str">
        <f>IF('12 - Deployments &amp; Config'!Q55="","",'12 - Deployments &amp; Config'!Q55)</f>
        <v/>
      </c>
    </row>
    <row r="56" spans="1:27">
      <c r="A56" s="33"/>
      <c r="B56" s="33"/>
      <c r="C56" s="32" t="str">
        <f>IF('12 - Deployments &amp; Config'!H56="","",'12 - Deployments &amp; Config'!H56)</f>
        <v>NSUH</v>
      </c>
      <c r="D56" s="32" t="str">
        <f>IF('12 - Deployments &amp; Config'!AF56="","",'12 - Deployments &amp; Config'!AF56)</f>
        <v/>
      </c>
      <c r="E56" s="32" t="str">
        <f>IF('12 - Deployments &amp; Config'!AG56="","",'12 - Deployments &amp; Config'!AG56)</f>
        <v/>
      </c>
      <c r="F56" s="32" t="str">
        <f>IF('12 - Deployments &amp; Config'!AH56="","",'12 - Deployments &amp; Config'!AH56)</f>
        <v/>
      </c>
      <c r="G56" s="32" t="str">
        <f>IF('12 - Deployments &amp; Config'!AI56="","",'12 - Deployments &amp; Config'!AI56)</f>
        <v/>
      </c>
      <c r="H56" s="32" t="str">
        <f>IF('12 - Deployments &amp; Config'!A56="","",'12 - Deployments &amp; Config'!A56)</f>
        <v>Cybernet</v>
      </c>
      <c r="I56" s="32" t="str">
        <f>IF('12 - Deployments &amp; Config'!AJ56="","",'12 - Deployments &amp; Config'!AJ56)</f>
        <v/>
      </c>
      <c r="J56" s="32" t="str">
        <f>IF('12 - Deployments &amp; Config'!AK56="","",'12 - Deployments &amp; Config'!AK56)</f>
        <v/>
      </c>
      <c r="K56" s="32" t="str">
        <f>IF('12 - Deployments &amp; Config'!AA56="","",'12 - Deployments &amp; Config'!AA56)</f>
        <v/>
      </c>
      <c r="L56" s="32" t="str">
        <f>IF('12 - Deployments &amp; Config'!I56="","",'12 - Deployments &amp; Config'!I56)</f>
        <v>OR iPro Cybernet Workstation</v>
      </c>
      <c r="M56" s="33"/>
      <c r="N56" s="32" t="str">
        <f>IF('12 - Deployments &amp; Config'!J56="","",'12 - Deployments &amp; Config'!J56)</f>
        <v>Yes</v>
      </c>
      <c r="O56" s="32" t="str">
        <f>IF('12 - Deployments &amp; Config'!K56="","",'12 - Deployments &amp; Config'!K56)</f>
        <v>No</v>
      </c>
      <c r="P56" s="32" t="str">
        <f>IF('12 - Deployments &amp; Config'!L56="","",'12 - Deployments &amp; Config'!L56)</f>
        <v>No</v>
      </c>
      <c r="Q56" s="33"/>
      <c r="R56" s="32" t="str">
        <f>IF('12 - Deployments &amp; Config'!AZ56="","",'12 - Deployments &amp; Config'!AZ56)</f>
        <v/>
      </c>
      <c r="S56" s="32" t="str">
        <f>IF('12 - Deployments &amp; Config'!AY56="","",'12 - Deployments &amp; Config'!AY56)</f>
        <v/>
      </c>
      <c r="T56" s="32" t="str">
        <f>IF('12 - Deployments &amp; Config'!AW56="","",'12 - Deployments &amp; Config'!AW56)</f>
        <v/>
      </c>
      <c r="U56" s="32" t="str">
        <f>IF('12 - Deployments &amp; Config'!AX56="","",'12 - Deployments &amp; Config'!AX56)</f>
        <v/>
      </c>
      <c r="V56" s="32" t="str">
        <f>IF('12 - Deployments &amp; Config'!BB56="","",'12 - Deployments &amp; Config'!BB56)</f>
        <v/>
      </c>
      <c r="W56" s="32" t="str">
        <f>IF('12 - Deployments &amp; Config'!BD56="","",'12 - Deployments &amp; Config'!BD56)</f>
        <v>In Storage</v>
      </c>
      <c r="X56" s="32" t="str">
        <f>IF('12 - Deployments &amp; Config'!BL56="","",'12 - Deployments &amp; Config'!BL56)</f>
        <v/>
      </c>
      <c r="Y56" s="32" t="str">
        <f>IF('12 - Deployments &amp; Config'!BC56="","",'12 - Deployments &amp; Config'!BC56)</f>
        <v/>
      </c>
      <c r="Z56" s="32" t="str">
        <f>IF('12 - Deployments &amp; Config'!P56="","",'12 - Deployments &amp; Config'!P56)</f>
        <v/>
      </c>
      <c r="AA56" s="32" t="str">
        <f>IF('12 - Deployments &amp; Config'!Q56="","",'12 - Deployments &amp; Config'!Q56)</f>
        <v/>
      </c>
    </row>
    <row r="57" spans="1:27">
      <c r="A57" s="33"/>
      <c r="B57" s="33"/>
      <c r="C57" s="32" t="str">
        <f>IF('12 - Deployments &amp; Config'!H57="","",'12 - Deployments &amp; Config'!H57)</f>
        <v>NSUH</v>
      </c>
      <c r="D57" s="32" t="str">
        <f>IF('12 - Deployments &amp; Config'!AF57="","",'12 - Deployments &amp; Config'!AF57)</f>
        <v/>
      </c>
      <c r="E57" s="32" t="str">
        <f>IF('12 - Deployments &amp; Config'!AG57="","",'12 - Deployments &amp; Config'!AG57)</f>
        <v/>
      </c>
      <c r="F57" s="32" t="str">
        <f>IF('12 - Deployments &amp; Config'!AH57="","",'12 - Deployments &amp; Config'!AH57)</f>
        <v/>
      </c>
      <c r="G57" s="32" t="str">
        <f>IF('12 - Deployments &amp; Config'!AI57="","",'12 - Deployments &amp; Config'!AI57)</f>
        <v/>
      </c>
      <c r="H57" s="32" t="str">
        <f>IF('12 - Deployments &amp; Config'!A57="","",'12 - Deployments &amp; Config'!A57)</f>
        <v>Cybernet</v>
      </c>
      <c r="I57" s="32" t="str">
        <f>IF('12 - Deployments &amp; Config'!AJ57="","",'12 - Deployments &amp; Config'!AJ57)</f>
        <v/>
      </c>
      <c r="J57" s="32" t="str">
        <f>IF('12 - Deployments &amp; Config'!AK57="","",'12 - Deployments &amp; Config'!AK57)</f>
        <v/>
      </c>
      <c r="K57" s="32" t="str">
        <f>IF('12 - Deployments &amp; Config'!AA57="","",'12 - Deployments &amp; Config'!AA57)</f>
        <v/>
      </c>
      <c r="L57" s="32" t="str">
        <f>IF('12 - Deployments &amp; Config'!I57="","",'12 - Deployments &amp; Config'!I57)</f>
        <v>OR iPro Cybernet Workstation</v>
      </c>
      <c r="M57" s="33"/>
      <c r="N57" s="32" t="str">
        <f>IF('12 - Deployments &amp; Config'!J57="","",'12 - Deployments &amp; Config'!J57)</f>
        <v>Yes</v>
      </c>
      <c r="O57" s="32" t="str">
        <f>IF('12 - Deployments &amp; Config'!K57="","",'12 - Deployments &amp; Config'!K57)</f>
        <v>No</v>
      </c>
      <c r="P57" s="32" t="str">
        <f>IF('12 - Deployments &amp; Config'!L57="","",'12 - Deployments &amp; Config'!L57)</f>
        <v>No</v>
      </c>
      <c r="Q57" s="33"/>
      <c r="R57" s="32" t="str">
        <f>IF('12 - Deployments &amp; Config'!AZ57="","",'12 - Deployments &amp; Config'!AZ57)</f>
        <v/>
      </c>
      <c r="S57" s="32" t="str">
        <f>IF('12 - Deployments &amp; Config'!AY57="","",'12 - Deployments &amp; Config'!AY57)</f>
        <v/>
      </c>
      <c r="T57" s="32" t="str">
        <f>IF('12 - Deployments &amp; Config'!AW57="","",'12 - Deployments &amp; Config'!AW57)</f>
        <v/>
      </c>
      <c r="U57" s="32" t="str">
        <f>IF('12 - Deployments &amp; Config'!AX57="","",'12 - Deployments &amp; Config'!AX57)</f>
        <v/>
      </c>
      <c r="V57" s="32" t="str">
        <f>IF('12 - Deployments &amp; Config'!BB57="","",'12 - Deployments &amp; Config'!BB57)</f>
        <v/>
      </c>
      <c r="W57" s="32" t="str">
        <f>IF('12 - Deployments &amp; Config'!BD57="","",'12 - Deployments &amp; Config'!BD57)</f>
        <v>In Storage</v>
      </c>
      <c r="X57" s="32" t="str">
        <f>IF('12 - Deployments &amp; Config'!BL57="","",'12 - Deployments &amp; Config'!BL57)</f>
        <v/>
      </c>
      <c r="Y57" s="32" t="str">
        <f>IF('12 - Deployments &amp; Config'!BC57="","",'12 - Deployments &amp; Config'!BC57)</f>
        <v/>
      </c>
      <c r="Z57" s="32" t="str">
        <f>IF('12 - Deployments &amp; Config'!P57="","",'12 - Deployments &amp; Config'!P57)</f>
        <v/>
      </c>
      <c r="AA57" s="32" t="str">
        <f>IF('12 - Deployments &amp; Config'!Q57="","",'12 - Deployments &amp; Config'!Q57)</f>
        <v/>
      </c>
    </row>
    <row r="58" spans="1:27">
      <c r="A58" s="33"/>
      <c r="B58" s="33"/>
      <c r="C58" s="32" t="str">
        <f>IF('12 - Deployments &amp; Config'!H58="","",'12 - Deployments &amp; Config'!H58)</f>
        <v>NSUH</v>
      </c>
      <c r="D58" s="32" t="str">
        <f>IF('12 - Deployments &amp; Config'!AF58="","",'12 - Deployments &amp; Config'!AF58)</f>
        <v/>
      </c>
      <c r="E58" s="32" t="str">
        <f>IF('12 - Deployments &amp; Config'!AG58="","",'12 - Deployments &amp; Config'!AG58)</f>
        <v/>
      </c>
      <c r="F58" s="32" t="str">
        <f>IF('12 - Deployments &amp; Config'!AH58="","",'12 - Deployments &amp; Config'!AH58)</f>
        <v/>
      </c>
      <c r="G58" s="32" t="str">
        <f>IF('12 - Deployments &amp; Config'!AI58="","",'12 - Deployments &amp; Config'!AI58)</f>
        <v/>
      </c>
      <c r="H58" s="32" t="str">
        <f>IF('12 - Deployments &amp; Config'!A58="","",'12 - Deployments &amp; Config'!A58)</f>
        <v>Cybernet</v>
      </c>
      <c r="I58" s="32" t="str">
        <f>IF('12 - Deployments &amp; Config'!AJ58="","",'12 - Deployments &amp; Config'!AJ58)</f>
        <v/>
      </c>
      <c r="J58" s="32" t="str">
        <f>IF('12 - Deployments &amp; Config'!AK58="","",'12 - Deployments &amp; Config'!AK58)</f>
        <v/>
      </c>
      <c r="K58" s="32" t="str">
        <f>IF('12 - Deployments &amp; Config'!AA58="","",'12 - Deployments &amp; Config'!AA58)</f>
        <v/>
      </c>
      <c r="L58" s="32" t="str">
        <f>IF('12 - Deployments &amp; Config'!I58="","",'12 - Deployments &amp; Config'!I58)</f>
        <v>OR iPro Cybernet Workstation</v>
      </c>
      <c r="M58" s="33"/>
      <c r="N58" s="32" t="str">
        <f>IF('12 - Deployments &amp; Config'!J58="","",'12 - Deployments &amp; Config'!J58)</f>
        <v>Yes</v>
      </c>
      <c r="O58" s="32" t="str">
        <f>IF('12 - Deployments &amp; Config'!K58="","",'12 - Deployments &amp; Config'!K58)</f>
        <v>No</v>
      </c>
      <c r="P58" s="32" t="str">
        <f>IF('12 - Deployments &amp; Config'!L58="","",'12 - Deployments &amp; Config'!L58)</f>
        <v>No</v>
      </c>
      <c r="Q58" s="33"/>
      <c r="R58" s="32" t="str">
        <f>IF('12 - Deployments &amp; Config'!AZ58="","",'12 - Deployments &amp; Config'!AZ58)</f>
        <v/>
      </c>
      <c r="S58" s="32" t="str">
        <f>IF('12 - Deployments &amp; Config'!AY58="","",'12 - Deployments &amp; Config'!AY58)</f>
        <v/>
      </c>
      <c r="T58" s="32" t="str">
        <f>IF('12 - Deployments &amp; Config'!AW58="","",'12 - Deployments &amp; Config'!AW58)</f>
        <v/>
      </c>
      <c r="U58" s="32" t="str">
        <f>IF('12 - Deployments &amp; Config'!AX58="","",'12 - Deployments &amp; Config'!AX58)</f>
        <v/>
      </c>
      <c r="V58" s="32" t="str">
        <f>IF('12 - Deployments &amp; Config'!BB58="","",'12 - Deployments &amp; Config'!BB58)</f>
        <v/>
      </c>
      <c r="W58" s="32" t="str">
        <f>IF('12 - Deployments &amp; Config'!BD58="","",'12 - Deployments &amp; Config'!BD58)</f>
        <v>In Storage</v>
      </c>
      <c r="X58" s="32" t="str">
        <f>IF('12 - Deployments &amp; Config'!BL58="","",'12 - Deployments &amp; Config'!BL58)</f>
        <v/>
      </c>
      <c r="Y58" s="32" t="str">
        <f>IF('12 - Deployments &amp; Config'!BC58="","",'12 - Deployments &amp; Config'!BC58)</f>
        <v/>
      </c>
      <c r="Z58" s="32" t="str">
        <f>IF('12 - Deployments &amp; Config'!P58="","",'12 - Deployments &amp; Config'!P58)</f>
        <v/>
      </c>
      <c r="AA58" s="32" t="str">
        <f>IF('12 - Deployments &amp; Config'!Q58="","",'12 - Deployments &amp; Config'!Q58)</f>
        <v/>
      </c>
    </row>
    <row r="59" spans="1:27">
      <c r="A59" s="33"/>
      <c r="B59" s="33"/>
      <c r="C59" s="32" t="str">
        <f>IF('12 - Deployments &amp; Config'!H59="","",'12 - Deployments &amp; Config'!H59)</f>
        <v>NSUH</v>
      </c>
      <c r="D59" s="32" t="str">
        <f>IF('12 - Deployments &amp; Config'!AF59="","",'12 - Deployments &amp; Config'!AF59)</f>
        <v/>
      </c>
      <c r="E59" s="32" t="str">
        <f>IF('12 - Deployments &amp; Config'!AG59="","",'12 - Deployments &amp; Config'!AG59)</f>
        <v/>
      </c>
      <c r="F59" s="32" t="str">
        <f>IF('12 - Deployments &amp; Config'!AH59="","",'12 - Deployments &amp; Config'!AH59)</f>
        <v/>
      </c>
      <c r="G59" s="32" t="str">
        <f>IF('12 - Deployments &amp; Config'!AI59="","",'12 - Deployments &amp; Config'!AI59)</f>
        <v/>
      </c>
      <c r="H59" s="32" t="str">
        <f>IF('12 - Deployments &amp; Config'!A59="","",'12 - Deployments &amp; Config'!A59)</f>
        <v>Cybernet</v>
      </c>
      <c r="I59" s="32" t="str">
        <f>IF('12 - Deployments &amp; Config'!AJ59="","",'12 - Deployments &amp; Config'!AJ59)</f>
        <v/>
      </c>
      <c r="J59" s="32" t="str">
        <f>IF('12 - Deployments &amp; Config'!AK59="","",'12 - Deployments &amp; Config'!AK59)</f>
        <v/>
      </c>
      <c r="K59" s="32" t="str">
        <f>IF('12 - Deployments &amp; Config'!AA59="","",'12 - Deployments &amp; Config'!AA59)</f>
        <v/>
      </c>
      <c r="L59" s="32" t="str">
        <f>IF('12 - Deployments &amp; Config'!I59="","",'12 - Deployments &amp; Config'!I59)</f>
        <v>OR iPro Cybernet Workstation</v>
      </c>
      <c r="M59" s="33"/>
      <c r="N59" s="32" t="str">
        <f>IF('12 - Deployments &amp; Config'!J59="","",'12 - Deployments &amp; Config'!J59)</f>
        <v>Yes</v>
      </c>
      <c r="O59" s="32" t="str">
        <f>IF('12 - Deployments &amp; Config'!K59="","",'12 - Deployments &amp; Config'!K59)</f>
        <v>No</v>
      </c>
      <c r="P59" s="32" t="str">
        <f>IF('12 - Deployments &amp; Config'!L59="","",'12 - Deployments &amp; Config'!L59)</f>
        <v>No</v>
      </c>
      <c r="Q59" s="33"/>
      <c r="R59" s="32" t="str">
        <f>IF('12 - Deployments &amp; Config'!AZ59="","",'12 - Deployments &amp; Config'!AZ59)</f>
        <v/>
      </c>
      <c r="S59" s="32" t="str">
        <f>IF('12 - Deployments &amp; Config'!AY59="","",'12 - Deployments &amp; Config'!AY59)</f>
        <v/>
      </c>
      <c r="T59" s="32" t="str">
        <f>IF('12 - Deployments &amp; Config'!AW59="","",'12 - Deployments &amp; Config'!AW59)</f>
        <v/>
      </c>
      <c r="U59" s="32" t="str">
        <f>IF('12 - Deployments &amp; Config'!AX59="","",'12 - Deployments &amp; Config'!AX59)</f>
        <v/>
      </c>
      <c r="V59" s="32" t="str">
        <f>IF('12 - Deployments &amp; Config'!BB59="","",'12 - Deployments &amp; Config'!BB59)</f>
        <v/>
      </c>
      <c r="W59" s="32" t="str">
        <f>IF('12 - Deployments &amp; Config'!BD59="","",'12 - Deployments &amp; Config'!BD59)</f>
        <v>In Storage</v>
      </c>
      <c r="X59" s="32" t="str">
        <f>IF('12 - Deployments &amp; Config'!BL59="","",'12 - Deployments &amp; Config'!BL59)</f>
        <v/>
      </c>
      <c r="Y59" s="32" t="str">
        <f>IF('12 - Deployments &amp; Config'!BC59="","",'12 - Deployments &amp; Config'!BC59)</f>
        <v/>
      </c>
      <c r="Z59" s="32" t="str">
        <f>IF('12 - Deployments &amp; Config'!P59="","",'12 - Deployments &amp; Config'!P59)</f>
        <v/>
      </c>
      <c r="AA59" s="32" t="str">
        <f>IF('12 - Deployments &amp; Config'!Q59="","",'12 - Deployments &amp; Config'!Q59)</f>
        <v/>
      </c>
    </row>
    <row r="60" spans="1:27">
      <c r="A60" s="33"/>
      <c r="B60" s="33"/>
      <c r="C60" s="32" t="str">
        <f>IF('12 - Deployments &amp; Config'!H60="","",'12 - Deployments &amp; Config'!H60)</f>
        <v>NSUH</v>
      </c>
      <c r="D60" s="32" t="str">
        <f>IF('12 - Deployments &amp; Config'!AF60="","",'12 - Deployments &amp; Config'!AF60)</f>
        <v/>
      </c>
      <c r="E60" s="32" t="str">
        <f>IF('12 - Deployments &amp; Config'!AG60="","",'12 - Deployments &amp; Config'!AG60)</f>
        <v/>
      </c>
      <c r="F60" s="32" t="str">
        <f>IF('12 - Deployments &amp; Config'!AH60="","",'12 - Deployments &amp; Config'!AH60)</f>
        <v/>
      </c>
      <c r="G60" s="32" t="str">
        <f>IF('12 - Deployments &amp; Config'!AI60="","",'12 - Deployments &amp; Config'!AI60)</f>
        <v/>
      </c>
      <c r="H60" s="32" t="str">
        <f>IF('12 - Deployments &amp; Config'!A60="","",'12 - Deployments &amp; Config'!A60)</f>
        <v>Cybernet</v>
      </c>
      <c r="I60" s="32" t="str">
        <f>IF('12 - Deployments &amp; Config'!AJ60="","",'12 - Deployments &amp; Config'!AJ60)</f>
        <v/>
      </c>
      <c r="J60" s="32" t="str">
        <f>IF('12 - Deployments &amp; Config'!AK60="","",'12 - Deployments &amp; Config'!AK60)</f>
        <v/>
      </c>
      <c r="K60" s="32" t="str">
        <f>IF('12 - Deployments &amp; Config'!AA60="","",'12 - Deployments &amp; Config'!AA60)</f>
        <v/>
      </c>
      <c r="L60" s="32" t="str">
        <f>IF('12 - Deployments &amp; Config'!I60="","",'12 - Deployments &amp; Config'!I60)</f>
        <v>OR iPro Cybernet Workstation</v>
      </c>
      <c r="M60" s="33"/>
      <c r="N60" s="32" t="str">
        <f>IF('12 - Deployments &amp; Config'!J60="","",'12 - Deployments &amp; Config'!J60)</f>
        <v>Yes</v>
      </c>
      <c r="O60" s="32" t="str">
        <f>IF('12 - Deployments &amp; Config'!K60="","",'12 - Deployments &amp; Config'!K60)</f>
        <v>No</v>
      </c>
      <c r="P60" s="32" t="str">
        <f>IF('12 - Deployments &amp; Config'!L60="","",'12 - Deployments &amp; Config'!L60)</f>
        <v>No</v>
      </c>
      <c r="Q60" s="33"/>
      <c r="R60" s="32" t="str">
        <f>IF('12 - Deployments &amp; Config'!AZ60="","",'12 - Deployments &amp; Config'!AZ60)</f>
        <v/>
      </c>
      <c r="S60" s="32" t="str">
        <f>IF('12 - Deployments &amp; Config'!AY60="","",'12 - Deployments &amp; Config'!AY60)</f>
        <v/>
      </c>
      <c r="T60" s="32" t="str">
        <f>IF('12 - Deployments &amp; Config'!AW60="","",'12 - Deployments &amp; Config'!AW60)</f>
        <v/>
      </c>
      <c r="U60" s="32" t="str">
        <f>IF('12 - Deployments &amp; Config'!AX60="","",'12 - Deployments &amp; Config'!AX60)</f>
        <v/>
      </c>
      <c r="V60" s="32" t="str">
        <f>IF('12 - Deployments &amp; Config'!BB60="","",'12 - Deployments &amp; Config'!BB60)</f>
        <v/>
      </c>
      <c r="W60" s="32" t="str">
        <f>IF('12 - Deployments &amp; Config'!BD60="","",'12 - Deployments &amp; Config'!BD60)</f>
        <v>In Storage</v>
      </c>
      <c r="X60" s="32" t="str">
        <f>IF('12 - Deployments &amp; Config'!BL60="","",'12 - Deployments &amp; Config'!BL60)</f>
        <v/>
      </c>
      <c r="Y60" s="32" t="str">
        <f>IF('12 - Deployments &amp; Config'!BC60="","",'12 - Deployments &amp; Config'!BC60)</f>
        <v/>
      </c>
      <c r="Z60" s="32" t="str">
        <f>IF('12 - Deployments &amp; Config'!P60="","",'12 - Deployments &amp; Config'!P60)</f>
        <v/>
      </c>
      <c r="AA60" s="32" t="str">
        <f>IF('12 - Deployments &amp; Config'!Q60="","",'12 - Deployments &amp; Config'!Q60)</f>
        <v/>
      </c>
    </row>
    <row r="61" spans="1:27">
      <c r="A61" s="33"/>
      <c r="B61" s="33"/>
      <c r="C61" s="32" t="str">
        <f>IF('12 - Deployments &amp; Config'!H61="","",'12 - Deployments &amp; Config'!H61)</f>
        <v>NSUH</v>
      </c>
      <c r="D61" s="32" t="str">
        <f>IF('12 - Deployments &amp; Config'!AF61="","",'12 - Deployments &amp; Config'!AF61)</f>
        <v/>
      </c>
      <c r="E61" s="32" t="str">
        <f>IF('12 - Deployments &amp; Config'!AG61="","",'12 - Deployments &amp; Config'!AG61)</f>
        <v/>
      </c>
      <c r="F61" s="32" t="str">
        <f>IF('12 - Deployments &amp; Config'!AH61="","",'12 - Deployments &amp; Config'!AH61)</f>
        <v/>
      </c>
      <c r="G61" s="32" t="str">
        <f>IF('12 - Deployments &amp; Config'!AI61="","",'12 - Deployments &amp; Config'!AI61)</f>
        <v/>
      </c>
      <c r="H61" s="32" t="str">
        <f>IF('12 - Deployments &amp; Config'!A61="","",'12 - Deployments &amp; Config'!A61)</f>
        <v>Cybernet</v>
      </c>
      <c r="I61" s="32" t="str">
        <f>IF('12 - Deployments &amp; Config'!AJ61="","",'12 - Deployments &amp; Config'!AJ61)</f>
        <v/>
      </c>
      <c r="J61" s="32" t="str">
        <f>IF('12 - Deployments &amp; Config'!AK61="","",'12 - Deployments &amp; Config'!AK61)</f>
        <v/>
      </c>
      <c r="K61" s="32" t="str">
        <f>IF('12 - Deployments &amp; Config'!AA61="","",'12 - Deployments &amp; Config'!AA61)</f>
        <v/>
      </c>
      <c r="L61" s="32" t="str">
        <f>IF('12 - Deployments &amp; Config'!I61="","",'12 - Deployments &amp; Config'!I61)</f>
        <v>OR iPro Cybernet Workstation</v>
      </c>
      <c r="M61" s="33"/>
      <c r="N61" s="32" t="str">
        <f>IF('12 - Deployments &amp; Config'!J61="","",'12 - Deployments &amp; Config'!J61)</f>
        <v>Yes</v>
      </c>
      <c r="O61" s="32" t="str">
        <f>IF('12 - Deployments &amp; Config'!K61="","",'12 - Deployments &amp; Config'!K61)</f>
        <v>No</v>
      </c>
      <c r="P61" s="32" t="str">
        <f>IF('12 - Deployments &amp; Config'!L61="","",'12 - Deployments &amp; Config'!L61)</f>
        <v>No</v>
      </c>
      <c r="Q61" s="33"/>
      <c r="R61" s="32" t="str">
        <f>IF('12 - Deployments &amp; Config'!AZ61="","",'12 - Deployments &amp; Config'!AZ61)</f>
        <v/>
      </c>
      <c r="S61" s="32" t="str">
        <f>IF('12 - Deployments &amp; Config'!AY61="","",'12 - Deployments &amp; Config'!AY61)</f>
        <v/>
      </c>
      <c r="T61" s="32" t="str">
        <f>IF('12 - Deployments &amp; Config'!AW61="","",'12 - Deployments &amp; Config'!AW61)</f>
        <v/>
      </c>
      <c r="U61" s="32" t="str">
        <f>IF('12 - Deployments &amp; Config'!AX61="","",'12 - Deployments &amp; Config'!AX61)</f>
        <v/>
      </c>
      <c r="V61" s="32" t="str">
        <f>IF('12 - Deployments &amp; Config'!BB61="","",'12 - Deployments &amp; Config'!BB61)</f>
        <v/>
      </c>
      <c r="W61" s="32" t="str">
        <f>IF('12 - Deployments &amp; Config'!BD61="","",'12 - Deployments &amp; Config'!BD61)</f>
        <v>In Storage</v>
      </c>
      <c r="X61" s="32" t="str">
        <f>IF('12 - Deployments &amp; Config'!BL61="","",'12 - Deployments &amp; Config'!BL61)</f>
        <v/>
      </c>
      <c r="Y61" s="32" t="str">
        <f>IF('12 - Deployments &amp; Config'!BC61="","",'12 - Deployments &amp; Config'!BC61)</f>
        <v/>
      </c>
      <c r="Z61" s="32" t="str">
        <f>IF('12 - Deployments &amp; Config'!P61="","",'12 - Deployments &amp; Config'!P61)</f>
        <v/>
      </c>
      <c r="AA61" s="32" t="str">
        <f>IF('12 - Deployments &amp; Config'!Q61="","",'12 - Deployments &amp; Config'!Q61)</f>
        <v/>
      </c>
    </row>
    <row r="62" spans="1:27">
      <c r="A62" s="33"/>
      <c r="B62" s="33"/>
      <c r="C62" s="32" t="str">
        <f>IF('12 - Deployments &amp; Config'!H62="","",'12 - Deployments &amp; Config'!H62)</f>
        <v>NSUH</v>
      </c>
      <c r="D62" s="32" t="str">
        <f>IF('12 - Deployments &amp; Config'!AF62="","",'12 - Deployments &amp; Config'!AF62)</f>
        <v/>
      </c>
      <c r="E62" s="32" t="str">
        <f>IF('12 - Deployments &amp; Config'!AG62="","",'12 - Deployments &amp; Config'!AG62)</f>
        <v/>
      </c>
      <c r="F62" s="32" t="str">
        <f>IF('12 - Deployments &amp; Config'!AH62="","",'12 - Deployments &amp; Config'!AH62)</f>
        <v/>
      </c>
      <c r="G62" s="32" t="str">
        <f>IF('12 - Deployments &amp; Config'!AI62="","",'12 - Deployments &amp; Config'!AI62)</f>
        <v/>
      </c>
      <c r="H62" s="32" t="str">
        <f>IF('12 - Deployments &amp; Config'!A62="","",'12 - Deployments &amp; Config'!A62)</f>
        <v>Cybernet</v>
      </c>
      <c r="I62" s="32" t="str">
        <f>IF('12 - Deployments &amp; Config'!AJ62="","",'12 - Deployments &amp; Config'!AJ62)</f>
        <v/>
      </c>
      <c r="J62" s="32" t="str">
        <f>IF('12 - Deployments &amp; Config'!AK62="","",'12 - Deployments &amp; Config'!AK62)</f>
        <v/>
      </c>
      <c r="K62" s="32" t="str">
        <f>IF('12 - Deployments &amp; Config'!AA62="","",'12 - Deployments &amp; Config'!AA62)</f>
        <v/>
      </c>
      <c r="L62" s="32" t="str">
        <f>IF('12 - Deployments &amp; Config'!I62="","",'12 - Deployments &amp; Config'!I62)</f>
        <v>OR iPro Cybernet Workstation</v>
      </c>
      <c r="M62" s="33"/>
      <c r="N62" s="32" t="str">
        <f>IF('12 - Deployments &amp; Config'!J62="","",'12 - Deployments &amp; Config'!J62)</f>
        <v>Yes</v>
      </c>
      <c r="O62" s="32" t="str">
        <f>IF('12 - Deployments &amp; Config'!K62="","",'12 - Deployments &amp; Config'!K62)</f>
        <v>No</v>
      </c>
      <c r="P62" s="32" t="str">
        <f>IF('12 - Deployments &amp; Config'!L62="","",'12 - Deployments &amp; Config'!L62)</f>
        <v>No</v>
      </c>
      <c r="Q62" s="33"/>
      <c r="R62" s="32" t="str">
        <f>IF('12 - Deployments &amp; Config'!AZ62="","",'12 - Deployments &amp; Config'!AZ62)</f>
        <v/>
      </c>
      <c r="S62" s="32" t="str">
        <f>IF('12 - Deployments &amp; Config'!AY62="","",'12 - Deployments &amp; Config'!AY62)</f>
        <v/>
      </c>
      <c r="T62" s="32" t="str">
        <f>IF('12 - Deployments &amp; Config'!AW62="","",'12 - Deployments &amp; Config'!AW62)</f>
        <v/>
      </c>
      <c r="U62" s="32" t="str">
        <f>IF('12 - Deployments &amp; Config'!AX62="","",'12 - Deployments &amp; Config'!AX62)</f>
        <v/>
      </c>
      <c r="V62" s="32" t="str">
        <f>IF('12 - Deployments &amp; Config'!BB62="","",'12 - Deployments &amp; Config'!BB62)</f>
        <v/>
      </c>
      <c r="W62" s="32" t="str">
        <f>IF('12 - Deployments &amp; Config'!BD62="","",'12 - Deployments &amp; Config'!BD62)</f>
        <v>In Storage</v>
      </c>
      <c r="X62" s="32" t="str">
        <f>IF('12 - Deployments &amp; Config'!BL62="","",'12 - Deployments &amp; Config'!BL62)</f>
        <v/>
      </c>
      <c r="Y62" s="32" t="str">
        <f>IF('12 - Deployments &amp; Config'!BC62="","",'12 - Deployments &amp; Config'!BC62)</f>
        <v/>
      </c>
      <c r="Z62" s="32" t="str">
        <f>IF('12 - Deployments &amp; Config'!P62="","",'12 - Deployments &amp; Config'!P62)</f>
        <v/>
      </c>
      <c r="AA62" s="32" t="str">
        <f>IF('12 - Deployments &amp; Config'!Q62="","",'12 - Deployments &amp; Config'!Q62)</f>
        <v/>
      </c>
    </row>
    <row r="63" spans="1:27">
      <c r="A63" s="33"/>
      <c r="B63" s="33"/>
      <c r="C63" s="32" t="str">
        <f>IF('12 - Deployments &amp; Config'!H63="","",'12 - Deployments &amp; Config'!H63)</f>
        <v>NSUH</v>
      </c>
      <c r="D63" s="32" t="str">
        <f>IF('12 - Deployments &amp; Config'!AF63="","",'12 - Deployments &amp; Config'!AF63)</f>
        <v/>
      </c>
      <c r="E63" s="32" t="str">
        <f>IF('12 - Deployments &amp; Config'!AG63="","",'12 - Deployments &amp; Config'!AG63)</f>
        <v/>
      </c>
      <c r="F63" s="32" t="str">
        <f>IF('12 - Deployments &amp; Config'!AH63="","",'12 - Deployments &amp; Config'!AH63)</f>
        <v/>
      </c>
      <c r="G63" s="32" t="str">
        <f>IF('12 - Deployments &amp; Config'!AI63="","",'12 - Deployments &amp; Config'!AI63)</f>
        <v/>
      </c>
      <c r="H63" s="32" t="str">
        <f>IF('12 - Deployments &amp; Config'!A63="","",'12 - Deployments &amp; Config'!A63)</f>
        <v>Cybernet</v>
      </c>
      <c r="I63" s="32" t="str">
        <f>IF('12 - Deployments &amp; Config'!AJ63="","",'12 - Deployments &amp; Config'!AJ63)</f>
        <v/>
      </c>
      <c r="J63" s="32" t="str">
        <f>IF('12 - Deployments &amp; Config'!AK63="","",'12 - Deployments &amp; Config'!AK63)</f>
        <v/>
      </c>
      <c r="K63" s="32" t="str">
        <f>IF('12 - Deployments &amp; Config'!AA63="","",'12 - Deployments &amp; Config'!AA63)</f>
        <v/>
      </c>
      <c r="L63" s="32" t="str">
        <f>IF('12 - Deployments &amp; Config'!I63="","",'12 - Deployments &amp; Config'!I63)</f>
        <v>OR iPro Cybernet Workstation</v>
      </c>
      <c r="M63" s="33"/>
      <c r="N63" s="32" t="str">
        <f>IF('12 - Deployments &amp; Config'!J63="","",'12 - Deployments &amp; Config'!J63)</f>
        <v>Yes</v>
      </c>
      <c r="O63" s="32" t="str">
        <f>IF('12 - Deployments &amp; Config'!K63="","",'12 - Deployments &amp; Config'!K63)</f>
        <v>No</v>
      </c>
      <c r="P63" s="32" t="str">
        <f>IF('12 - Deployments &amp; Config'!L63="","",'12 - Deployments &amp; Config'!L63)</f>
        <v>No</v>
      </c>
      <c r="Q63" s="33"/>
      <c r="R63" s="32" t="str">
        <f>IF('12 - Deployments &amp; Config'!AZ63="","",'12 - Deployments &amp; Config'!AZ63)</f>
        <v/>
      </c>
      <c r="S63" s="32" t="str">
        <f>IF('12 - Deployments &amp; Config'!AY63="","",'12 - Deployments &amp; Config'!AY63)</f>
        <v/>
      </c>
      <c r="T63" s="32" t="str">
        <f>IF('12 - Deployments &amp; Config'!AW63="","",'12 - Deployments &amp; Config'!AW63)</f>
        <v/>
      </c>
      <c r="U63" s="32" t="str">
        <f>IF('12 - Deployments &amp; Config'!AX63="","",'12 - Deployments &amp; Config'!AX63)</f>
        <v/>
      </c>
      <c r="V63" s="32" t="str">
        <f>IF('12 - Deployments &amp; Config'!BB63="","",'12 - Deployments &amp; Config'!BB63)</f>
        <v/>
      </c>
      <c r="W63" s="32" t="str">
        <f>IF('12 - Deployments &amp; Config'!BD63="","",'12 - Deployments &amp; Config'!BD63)</f>
        <v>In Storage</v>
      </c>
      <c r="X63" s="32" t="str">
        <f>IF('12 - Deployments &amp; Config'!BL63="","",'12 - Deployments &amp; Config'!BL63)</f>
        <v/>
      </c>
      <c r="Y63" s="32" t="str">
        <f>IF('12 - Deployments &amp; Config'!BC63="","",'12 - Deployments &amp; Config'!BC63)</f>
        <v/>
      </c>
      <c r="Z63" s="32" t="str">
        <f>IF('12 - Deployments &amp; Config'!P63="","",'12 - Deployments &amp; Config'!P63)</f>
        <v/>
      </c>
      <c r="AA63" s="32" t="str">
        <f>IF('12 - Deployments &amp; Config'!Q63="","",'12 - Deployments &amp; Config'!Q63)</f>
        <v/>
      </c>
    </row>
    <row r="64" spans="1:27">
      <c r="A64" s="33"/>
      <c r="B64" s="33"/>
      <c r="C64" s="32" t="str">
        <f>IF('12 - Deployments &amp; Config'!H64="","",'12 - Deployments &amp; Config'!H64)</f>
        <v>NSUH</v>
      </c>
      <c r="D64" s="32" t="str">
        <f>IF('12 - Deployments &amp; Config'!AF64="","",'12 - Deployments &amp; Config'!AF64)</f>
        <v/>
      </c>
      <c r="E64" s="32" t="str">
        <f>IF('12 - Deployments &amp; Config'!AG64="","",'12 - Deployments &amp; Config'!AG64)</f>
        <v/>
      </c>
      <c r="F64" s="32" t="str">
        <f>IF('12 - Deployments &amp; Config'!AH64="","",'12 - Deployments &amp; Config'!AH64)</f>
        <v/>
      </c>
      <c r="G64" s="32" t="str">
        <f>IF('12 - Deployments &amp; Config'!AI64="","",'12 - Deployments &amp; Config'!AI64)</f>
        <v/>
      </c>
      <c r="H64" s="32" t="str">
        <f>IF('12 - Deployments &amp; Config'!A64="","",'12 - Deployments &amp; Config'!A64)</f>
        <v>Cybernet</v>
      </c>
      <c r="I64" s="32" t="str">
        <f>IF('12 - Deployments &amp; Config'!AJ64="","",'12 - Deployments &amp; Config'!AJ64)</f>
        <v/>
      </c>
      <c r="J64" s="32" t="str">
        <f>IF('12 - Deployments &amp; Config'!AK64="","",'12 - Deployments &amp; Config'!AK64)</f>
        <v/>
      </c>
      <c r="K64" s="32" t="str">
        <f>IF('12 - Deployments &amp; Config'!AA64="","",'12 - Deployments &amp; Config'!AA64)</f>
        <v/>
      </c>
      <c r="L64" s="32" t="str">
        <f>IF('12 - Deployments &amp; Config'!I64="","",'12 - Deployments &amp; Config'!I64)</f>
        <v>OR iPro Cybernet Workstation</v>
      </c>
      <c r="M64" s="33"/>
      <c r="N64" s="32" t="str">
        <f>IF('12 - Deployments &amp; Config'!J64="","",'12 - Deployments &amp; Config'!J64)</f>
        <v>Yes</v>
      </c>
      <c r="O64" s="32" t="str">
        <f>IF('12 - Deployments &amp; Config'!K64="","",'12 - Deployments &amp; Config'!K64)</f>
        <v>No</v>
      </c>
      <c r="P64" s="32" t="str">
        <f>IF('12 - Deployments &amp; Config'!L64="","",'12 - Deployments &amp; Config'!L64)</f>
        <v>No</v>
      </c>
      <c r="Q64" s="33"/>
      <c r="R64" s="32" t="str">
        <f>IF('12 - Deployments &amp; Config'!AZ64="","",'12 - Deployments &amp; Config'!AZ64)</f>
        <v/>
      </c>
      <c r="S64" s="32" t="str">
        <f>IF('12 - Deployments &amp; Config'!AY64="","",'12 - Deployments &amp; Config'!AY64)</f>
        <v/>
      </c>
      <c r="T64" s="32" t="str">
        <f>IF('12 - Deployments &amp; Config'!AW64="","",'12 - Deployments &amp; Config'!AW64)</f>
        <v/>
      </c>
      <c r="U64" s="32" t="str">
        <f>IF('12 - Deployments &amp; Config'!AX64="","",'12 - Deployments &amp; Config'!AX64)</f>
        <v/>
      </c>
      <c r="V64" s="32" t="str">
        <f>IF('12 - Deployments &amp; Config'!BB64="","",'12 - Deployments &amp; Config'!BB64)</f>
        <v/>
      </c>
      <c r="W64" s="32" t="str">
        <f>IF('12 - Deployments &amp; Config'!BD64="","",'12 - Deployments &amp; Config'!BD64)</f>
        <v>In Storage</v>
      </c>
      <c r="X64" s="32" t="str">
        <f>IF('12 - Deployments &amp; Config'!BL64="","",'12 - Deployments &amp; Config'!BL64)</f>
        <v/>
      </c>
      <c r="Y64" s="32" t="str">
        <f>IF('12 - Deployments &amp; Config'!BC64="","",'12 - Deployments &amp; Config'!BC64)</f>
        <v/>
      </c>
      <c r="Z64" s="32" t="str">
        <f>IF('12 - Deployments &amp; Config'!P64="","",'12 - Deployments &amp; Config'!P64)</f>
        <v/>
      </c>
      <c r="AA64" s="32" t="str">
        <f>IF('12 - Deployments &amp; Config'!Q64="","",'12 - Deployments &amp; Config'!Q64)</f>
        <v/>
      </c>
    </row>
    <row r="65" spans="1:27">
      <c r="A65" s="33"/>
      <c r="B65" s="33"/>
      <c r="C65" s="32" t="str">
        <f>IF('12 - Deployments &amp; Config'!H65="","",'12 - Deployments &amp; Config'!H65)</f>
        <v>NSUH</v>
      </c>
      <c r="D65" s="32" t="str">
        <f>IF('12 - Deployments &amp; Config'!AF65="","",'12 - Deployments &amp; Config'!AF65)</f>
        <v/>
      </c>
      <c r="E65" s="32" t="str">
        <f>IF('12 - Deployments &amp; Config'!AG65="","",'12 - Deployments &amp; Config'!AG65)</f>
        <v/>
      </c>
      <c r="F65" s="32" t="str">
        <f>IF('12 - Deployments &amp; Config'!AH65="","",'12 - Deployments &amp; Config'!AH65)</f>
        <v/>
      </c>
      <c r="G65" s="32" t="str">
        <f>IF('12 - Deployments &amp; Config'!AI65="","",'12 - Deployments &amp; Config'!AI65)</f>
        <v/>
      </c>
      <c r="H65" s="32" t="str">
        <f>IF('12 - Deployments &amp; Config'!A65="","",'12 - Deployments &amp; Config'!A65)</f>
        <v>Cybernet</v>
      </c>
      <c r="I65" s="32" t="str">
        <f>IF('12 - Deployments &amp; Config'!AJ65="","",'12 - Deployments &amp; Config'!AJ65)</f>
        <v/>
      </c>
      <c r="J65" s="32" t="str">
        <f>IF('12 - Deployments &amp; Config'!AK65="","",'12 - Deployments &amp; Config'!AK65)</f>
        <v/>
      </c>
      <c r="K65" s="32" t="str">
        <f>IF('12 - Deployments &amp; Config'!AA65="","",'12 - Deployments &amp; Config'!AA65)</f>
        <v/>
      </c>
      <c r="L65" s="32" t="str">
        <f>IF('12 - Deployments &amp; Config'!I65="","",'12 - Deployments &amp; Config'!I65)</f>
        <v>OR iPro Cybernet Workstation</v>
      </c>
      <c r="M65" s="33"/>
      <c r="N65" s="32" t="str">
        <f>IF('12 - Deployments &amp; Config'!J65="","",'12 - Deployments &amp; Config'!J65)</f>
        <v>Yes</v>
      </c>
      <c r="O65" s="32" t="str">
        <f>IF('12 - Deployments &amp; Config'!K65="","",'12 - Deployments &amp; Config'!K65)</f>
        <v>No</v>
      </c>
      <c r="P65" s="32" t="str">
        <f>IF('12 - Deployments &amp; Config'!L65="","",'12 - Deployments &amp; Config'!L65)</f>
        <v>No</v>
      </c>
      <c r="Q65" s="33"/>
      <c r="R65" s="32" t="str">
        <f>IF('12 - Deployments &amp; Config'!AZ65="","",'12 - Deployments &amp; Config'!AZ65)</f>
        <v/>
      </c>
      <c r="S65" s="32" t="str">
        <f>IF('12 - Deployments &amp; Config'!AY65="","",'12 - Deployments &amp; Config'!AY65)</f>
        <v/>
      </c>
      <c r="T65" s="32" t="str">
        <f>IF('12 - Deployments &amp; Config'!AW65="","",'12 - Deployments &amp; Config'!AW65)</f>
        <v/>
      </c>
      <c r="U65" s="32" t="str">
        <f>IF('12 - Deployments &amp; Config'!AX65="","",'12 - Deployments &amp; Config'!AX65)</f>
        <v/>
      </c>
      <c r="V65" s="32" t="str">
        <f>IF('12 - Deployments &amp; Config'!BB65="","",'12 - Deployments &amp; Config'!BB65)</f>
        <v/>
      </c>
      <c r="W65" s="32" t="str">
        <f>IF('12 - Deployments &amp; Config'!BD65="","",'12 - Deployments &amp; Config'!BD65)</f>
        <v>In Storage</v>
      </c>
      <c r="X65" s="32" t="str">
        <f>IF('12 - Deployments &amp; Config'!BL65="","",'12 - Deployments &amp; Config'!BL65)</f>
        <v/>
      </c>
      <c r="Y65" s="32" t="str">
        <f>IF('12 - Deployments &amp; Config'!BC65="","",'12 - Deployments &amp; Config'!BC65)</f>
        <v/>
      </c>
      <c r="Z65" s="32" t="str">
        <f>IF('12 - Deployments &amp; Config'!P65="","",'12 - Deployments &amp; Config'!P65)</f>
        <v/>
      </c>
      <c r="AA65" s="32" t="str">
        <f>IF('12 - Deployments &amp; Config'!Q65="","",'12 - Deployments &amp; Config'!Q65)</f>
        <v/>
      </c>
    </row>
    <row r="66" spans="1:27">
      <c r="A66" s="33"/>
      <c r="B66" s="33"/>
      <c r="C66" s="32" t="str">
        <f>IF('12 - Deployments &amp; Config'!H66="","",'12 - Deployments &amp; Config'!H66)</f>
        <v>NSUH</v>
      </c>
      <c r="D66" s="32" t="str">
        <f>IF('12 - Deployments &amp; Config'!AF66="","",'12 - Deployments &amp; Config'!AF66)</f>
        <v/>
      </c>
      <c r="E66" s="32" t="str">
        <f>IF('12 - Deployments &amp; Config'!AG66="","",'12 - Deployments &amp; Config'!AG66)</f>
        <v/>
      </c>
      <c r="F66" s="32" t="str">
        <f>IF('12 - Deployments &amp; Config'!AH66="","",'12 - Deployments &amp; Config'!AH66)</f>
        <v/>
      </c>
      <c r="G66" s="32" t="str">
        <f>IF('12 - Deployments &amp; Config'!AI66="","",'12 - Deployments &amp; Config'!AI66)</f>
        <v/>
      </c>
      <c r="H66" s="32" t="str">
        <f>IF('12 - Deployments &amp; Config'!A66="","",'12 - Deployments &amp; Config'!A66)</f>
        <v>Cybernet</v>
      </c>
      <c r="I66" s="32" t="str">
        <f>IF('12 - Deployments &amp; Config'!AJ66="","",'12 - Deployments &amp; Config'!AJ66)</f>
        <v/>
      </c>
      <c r="J66" s="32" t="str">
        <f>IF('12 - Deployments &amp; Config'!AK66="","",'12 - Deployments &amp; Config'!AK66)</f>
        <v/>
      </c>
      <c r="K66" s="32" t="str">
        <f>IF('12 - Deployments &amp; Config'!AA66="","",'12 - Deployments &amp; Config'!AA66)</f>
        <v/>
      </c>
      <c r="L66" s="32" t="str">
        <f>IF('12 - Deployments &amp; Config'!I66="","",'12 - Deployments &amp; Config'!I66)</f>
        <v>OR iPro Cybernet Workstation</v>
      </c>
      <c r="M66" s="33"/>
      <c r="N66" s="32" t="str">
        <f>IF('12 - Deployments &amp; Config'!J66="","",'12 - Deployments &amp; Config'!J66)</f>
        <v>Yes</v>
      </c>
      <c r="O66" s="32" t="str">
        <f>IF('12 - Deployments &amp; Config'!K66="","",'12 - Deployments &amp; Config'!K66)</f>
        <v>No</v>
      </c>
      <c r="P66" s="32" t="str">
        <f>IF('12 - Deployments &amp; Config'!L66="","",'12 - Deployments &amp; Config'!L66)</f>
        <v>No</v>
      </c>
      <c r="Q66" s="33"/>
      <c r="R66" s="32" t="str">
        <f>IF('12 - Deployments &amp; Config'!AZ66="","",'12 - Deployments &amp; Config'!AZ66)</f>
        <v/>
      </c>
      <c r="S66" s="32" t="str">
        <f>IF('12 - Deployments &amp; Config'!AY66="","",'12 - Deployments &amp; Config'!AY66)</f>
        <v/>
      </c>
      <c r="T66" s="32" t="str">
        <f>IF('12 - Deployments &amp; Config'!AW66="","",'12 - Deployments &amp; Config'!AW66)</f>
        <v/>
      </c>
      <c r="U66" s="32" t="str">
        <f>IF('12 - Deployments &amp; Config'!AX66="","",'12 - Deployments &amp; Config'!AX66)</f>
        <v/>
      </c>
      <c r="V66" s="32" t="str">
        <f>IF('12 - Deployments &amp; Config'!BB66="","",'12 - Deployments &amp; Config'!BB66)</f>
        <v/>
      </c>
      <c r="W66" s="32" t="str">
        <f>IF('12 - Deployments &amp; Config'!BD66="","",'12 - Deployments &amp; Config'!BD66)</f>
        <v/>
      </c>
      <c r="X66" s="32" t="str">
        <f>IF('12 - Deployments &amp; Config'!BL66="","",'12 - Deployments &amp; Config'!BL66)</f>
        <v/>
      </c>
      <c r="Y66" s="32" t="str">
        <f>IF('12 - Deployments &amp; Config'!BC66="","",'12 - Deployments &amp; Config'!BC66)</f>
        <v/>
      </c>
      <c r="Z66" s="32" t="str">
        <f>IF('12 - Deployments &amp; Config'!P66="","",'12 - Deployments &amp; Config'!P66)</f>
        <v/>
      </c>
      <c r="AA66" s="32" t="str">
        <f>IF('12 - Deployments &amp; Config'!Q66="","",'12 - Deployments &amp; Config'!Q66)</f>
        <v/>
      </c>
    </row>
    <row r="67" spans="1:27">
      <c r="A67" s="33"/>
      <c r="B67" s="33"/>
      <c r="C67" s="32" t="str">
        <f>IF('12 - Deployments &amp; Config'!H67="","",'12 - Deployments &amp; Config'!H67)</f>
        <v>NSUH</v>
      </c>
      <c r="D67" s="32" t="str">
        <f>IF('12 - Deployments &amp; Config'!AF67="","",'12 - Deployments &amp; Config'!AF67)</f>
        <v/>
      </c>
      <c r="E67" s="32" t="str">
        <f>IF('12 - Deployments &amp; Config'!AG67="","",'12 - Deployments &amp; Config'!AG67)</f>
        <v/>
      </c>
      <c r="F67" s="32" t="str">
        <f>IF('12 - Deployments &amp; Config'!AH67="","",'12 - Deployments &amp; Config'!AH67)</f>
        <v/>
      </c>
      <c r="G67" s="32" t="str">
        <f>IF('12 - Deployments &amp; Config'!AI67="","",'12 - Deployments &amp; Config'!AI67)</f>
        <v/>
      </c>
      <c r="H67" s="32" t="str">
        <f>IF('12 - Deployments &amp; Config'!A67="","",'12 - Deployments &amp; Config'!A67)</f>
        <v>Cybernet</v>
      </c>
      <c r="I67" s="32" t="str">
        <f>IF('12 - Deployments &amp; Config'!AJ67="","",'12 - Deployments &amp; Config'!AJ67)</f>
        <v/>
      </c>
      <c r="J67" s="32" t="str">
        <f>IF('12 - Deployments &amp; Config'!AK67="","",'12 - Deployments &amp; Config'!AK67)</f>
        <v/>
      </c>
      <c r="K67" s="32" t="str">
        <f>IF('12 - Deployments &amp; Config'!AA67="","",'12 - Deployments &amp; Config'!AA67)</f>
        <v/>
      </c>
      <c r="L67" s="32" t="str">
        <f>IF('12 - Deployments &amp; Config'!I67="","",'12 - Deployments &amp; Config'!I67)</f>
        <v>OR iPro Cybernet Workstation</v>
      </c>
      <c r="M67" s="33"/>
      <c r="N67" s="32" t="str">
        <f>IF('12 - Deployments &amp; Config'!J67="","",'12 - Deployments &amp; Config'!J67)</f>
        <v>Yes</v>
      </c>
      <c r="O67" s="32" t="str">
        <f>IF('12 - Deployments &amp; Config'!K67="","",'12 - Deployments &amp; Config'!K67)</f>
        <v>No</v>
      </c>
      <c r="P67" s="32" t="str">
        <f>IF('12 - Deployments &amp; Config'!L67="","",'12 - Deployments &amp; Config'!L67)</f>
        <v>No</v>
      </c>
      <c r="Q67" s="33"/>
      <c r="R67" s="32" t="str">
        <f>IF('12 - Deployments &amp; Config'!AZ67="","",'12 - Deployments &amp; Config'!AZ67)</f>
        <v/>
      </c>
      <c r="S67" s="32" t="str">
        <f>IF('12 - Deployments &amp; Config'!AY67="","",'12 - Deployments &amp; Config'!AY67)</f>
        <v/>
      </c>
      <c r="T67" s="32" t="str">
        <f>IF('12 - Deployments &amp; Config'!AW67="","",'12 - Deployments &amp; Config'!AW67)</f>
        <v/>
      </c>
      <c r="U67" s="32" t="str">
        <f>IF('12 - Deployments &amp; Config'!AX67="","",'12 - Deployments &amp; Config'!AX67)</f>
        <v/>
      </c>
      <c r="V67" s="32" t="str">
        <f>IF('12 - Deployments &amp; Config'!BB67="","",'12 - Deployments &amp; Config'!BB67)</f>
        <v/>
      </c>
      <c r="W67" s="32" t="str">
        <f>IF('12 - Deployments &amp; Config'!BD67="","",'12 - Deployments &amp; Config'!BD67)</f>
        <v/>
      </c>
      <c r="X67" s="32" t="str">
        <f>IF('12 - Deployments &amp; Config'!BL67="","",'12 - Deployments &amp; Config'!BL67)</f>
        <v/>
      </c>
      <c r="Y67" s="32" t="str">
        <f>IF('12 - Deployments &amp; Config'!BC67="","",'12 - Deployments &amp; Config'!BC67)</f>
        <v/>
      </c>
      <c r="Z67" s="32" t="str">
        <f>IF('12 - Deployments &amp; Config'!P67="","",'12 - Deployments &amp; Config'!P67)</f>
        <v/>
      </c>
      <c r="AA67" s="32" t="str">
        <f>IF('12 - Deployments &amp; Config'!Q67="","",'12 - Deployments &amp; Config'!Q67)</f>
        <v/>
      </c>
    </row>
    <row r="68" spans="1:27">
      <c r="A68" s="33"/>
      <c r="B68" s="33"/>
      <c r="C68" s="32" t="str">
        <f>IF('12 - Deployments &amp; Config'!H68="","",'12 - Deployments &amp; Config'!H68)</f>
        <v>NSUH</v>
      </c>
      <c r="D68" s="32" t="str">
        <f>IF('12 - Deployments &amp; Config'!AF68="","",'12 - Deployments &amp; Config'!AF68)</f>
        <v/>
      </c>
      <c r="E68" s="32" t="str">
        <f>IF('12 - Deployments &amp; Config'!AG68="","",'12 - Deployments &amp; Config'!AG68)</f>
        <v/>
      </c>
      <c r="F68" s="32" t="str">
        <f>IF('12 - Deployments &amp; Config'!AH68="","",'12 - Deployments &amp; Config'!AH68)</f>
        <v/>
      </c>
      <c r="G68" s="32" t="str">
        <f>IF('12 - Deployments &amp; Config'!AI68="","",'12 - Deployments &amp; Config'!AI68)</f>
        <v/>
      </c>
      <c r="H68" s="32" t="str">
        <f>IF('12 - Deployments &amp; Config'!A68="","",'12 - Deployments &amp; Config'!A68)</f>
        <v>Cybernet</v>
      </c>
      <c r="I68" s="32" t="str">
        <f>IF('12 - Deployments &amp; Config'!AJ68="","",'12 - Deployments &amp; Config'!AJ68)</f>
        <v/>
      </c>
      <c r="J68" s="32" t="str">
        <f>IF('12 - Deployments &amp; Config'!AK68="","",'12 - Deployments &amp; Config'!AK68)</f>
        <v/>
      </c>
      <c r="K68" s="32" t="str">
        <f>IF('12 - Deployments &amp; Config'!AA68="","",'12 - Deployments &amp; Config'!AA68)</f>
        <v/>
      </c>
      <c r="L68" s="32" t="str">
        <f>IF('12 - Deployments &amp; Config'!I68="","",'12 - Deployments &amp; Config'!I68)</f>
        <v>OR iPro Cybernet Workstation</v>
      </c>
      <c r="M68" s="33"/>
      <c r="N68" s="32" t="str">
        <f>IF('12 - Deployments &amp; Config'!J68="","",'12 - Deployments &amp; Config'!J68)</f>
        <v>Yes</v>
      </c>
      <c r="O68" s="32" t="str">
        <f>IF('12 - Deployments &amp; Config'!K68="","",'12 - Deployments &amp; Config'!K68)</f>
        <v>No</v>
      </c>
      <c r="P68" s="32" t="str">
        <f>IF('12 - Deployments &amp; Config'!L68="","",'12 - Deployments &amp; Config'!L68)</f>
        <v>No</v>
      </c>
      <c r="Q68" s="33"/>
      <c r="R68" s="32" t="str">
        <f>IF('12 - Deployments &amp; Config'!AZ68="","",'12 - Deployments &amp; Config'!AZ68)</f>
        <v/>
      </c>
      <c r="S68" s="32" t="str">
        <f>IF('12 - Deployments &amp; Config'!AY68="","",'12 - Deployments &amp; Config'!AY68)</f>
        <v/>
      </c>
      <c r="T68" s="32" t="str">
        <f>IF('12 - Deployments &amp; Config'!AW68="","",'12 - Deployments &amp; Config'!AW68)</f>
        <v/>
      </c>
      <c r="U68" s="32" t="str">
        <f>IF('12 - Deployments &amp; Config'!AX68="","",'12 - Deployments &amp; Config'!AX68)</f>
        <v/>
      </c>
      <c r="V68" s="32" t="str">
        <f>IF('12 - Deployments &amp; Config'!BB68="","",'12 - Deployments &amp; Config'!BB68)</f>
        <v/>
      </c>
      <c r="W68" s="32" t="str">
        <f>IF('12 - Deployments &amp; Config'!BD68="","",'12 - Deployments &amp; Config'!BD68)</f>
        <v/>
      </c>
      <c r="X68" s="32" t="str">
        <f>IF('12 - Deployments &amp; Config'!BL68="","",'12 - Deployments &amp; Config'!BL68)</f>
        <v/>
      </c>
      <c r="Y68" s="32" t="str">
        <f>IF('12 - Deployments &amp; Config'!BC68="","",'12 - Deployments &amp; Config'!BC68)</f>
        <v/>
      </c>
      <c r="Z68" s="32" t="str">
        <f>IF('12 - Deployments &amp; Config'!P68="","",'12 - Deployments &amp; Config'!P68)</f>
        <v/>
      </c>
      <c r="AA68" s="32" t="str">
        <f>IF('12 - Deployments &amp; Config'!Q68="","",'12 - Deployments &amp; Config'!Q68)</f>
        <v/>
      </c>
    </row>
    <row r="69" spans="1:27">
      <c r="A69" s="33"/>
      <c r="B69" s="33"/>
      <c r="C69" s="32" t="str">
        <f>IF('12 - Deployments &amp; Config'!H69="","",'12 - Deployments &amp; Config'!H69)</f>
        <v>LIJ - CCMC</v>
      </c>
      <c r="D69" s="32" t="str">
        <f>IF('12 - Deployments &amp; Config'!AF69="","",'12 - Deployments &amp; Config'!AF69)</f>
        <v/>
      </c>
      <c r="E69" s="32" t="str">
        <f>IF('12 - Deployments &amp; Config'!AG69="","",'12 - Deployments &amp; Config'!AG69)</f>
        <v/>
      </c>
      <c r="F69" s="32" t="str">
        <f>IF('12 - Deployments &amp; Config'!AH69="","",'12 - Deployments &amp; Config'!AH69)</f>
        <v/>
      </c>
      <c r="G69" s="32" t="str">
        <f>IF('12 - Deployments &amp; Config'!AI69="","",'12 - Deployments &amp; Config'!AI69)</f>
        <v/>
      </c>
      <c r="H69" s="32" t="str">
        <f>IF('12 - Deployments &amp; Config'!A69="","",'12 - Deployments &amp; Config'!A69)</f>
        <v>Cybernet</v>
      </c>
      <c r="I69" s="32" t="str">
        <f>IF('12 - Deployments &amp; Config'!AJ69="","",'12 - Deployments &amp; Config'!AJ69)</f>
        <v/>
      </c>
      <c r="J69" s="32" t="str">
        <f>IF('12 - Deployments &amp; Config'!AK69="","",'12 - Deployments &amp; Config'!AK69)</f>
        <v/>
      </c>
      <c r="K69" s="32" t="str">
        <f>IF('12 - Deployments &amp; Config'!AA69="","",'12 - Deployments &amp; Config'!AA69)</f>
        <v/>
      </c>
      <c r="L69" s="32" t="str">
        <f>IF('12 - Deployments &amp; Config'!I69="","",'12 - Deployments &amp; Config'!I69)</f>
        <v>OR iPro Cybernet Workstation</v>
      </c>
      <c r="M69" s="33"/>
      <c r="N69" s="32" t="str">
        <f>IF('12 - Deployments &amp; Config'!J69="","",'12 - Deployments &amp; Config'!J69)</f>
        <v>Yes</v>
      </c>
      <c r="O69" s="32" t="str">
        <f>IF('12 - Deployments &amp; Config'!K69="","",'12 - Deployments &amp; Config'!K69)</f>
        <v>No</v>
      </c>
      <c r="P69" s="32" t="str">
        <f>IF('12 - Deployments &amp; Config'!L69="","",'12 - Deployments &amp; Config'!L69)</f>
        <v>No</v>
      </c>
      <c r="Q69" s="33"/>
      <c r="R69" s="32" t="str">
        <f>IF('12 - Deployments &amp; Config'!AZ69="","",'12 - Deployments &amp; Config'!AZ69)</f>
        <v/>
      </c>
      <c r="S69" s="32" t="str">
        <f>IF('12 - Deployments &amp; Config'!AY69="","",'12 - Deployments &amp; Config'!AY69)</f>
        <v/>
      </c>
      <c r="T69" s="32" t="str">
        <f>IF('12 - Deployments &amp; Config'!AW69="","",'12 - Deployments &amp; Config'!AW69)</f>
        <v/>
      </c>
      <c r="U69" s="32" t="str">
        <f>IF('12 - Deployments &amp; Config'!AX69="","",'12 - Deployments &amp; Config'!AX69)</f>
        <v/>
      </c>
      <c r="V69" s="32" t="str">
        <f>IF('12 - Deployments &amp; Config'!BB69="","",'12 - Deployments &amp; Config'!BB69)</f>
        <v/>
      </c>
      <c r="W69" s="32" t="str">
        <f>IF('12 - Deployments &amp; Config'!BD69="","",'12 - Deployments &amp; Config'!BD69)</f>
        <v/>
      </c>
      <c r="X69" s="32" t="str">
        <f>IF('12 - Deployments &amp; Config'!BL69="","",'12 - Deployments &amp; Config'!BL69)</f>
        <v/>
      </c>
      <c r="Y69" s="32" t="str">
        <f>IF('12 - Deployments &amp; Config'!BC69="","",'12 - Deployments &amp; Config'!BC69)</f>
        <v/>
      </c>
      <c r="Z69" s="32" t="str">
        <f>IF('12 - Deployments &amp; Config'!P69="","",'12 - Deployments &amp; Config'!P69)</f>
        <v/>
      </c>
      <c r="AA69" s="32" t="str">
        <f>IF('12 - Deployments &amp; Config'!Q69="","",'12 - Deployments &amp; Config'!Q69)</f>
        <v/>
      </c>
    </row>
    <row r="70" spans="1:27">
      <c r="A70" s="33"/>
      <c r="B70" s="33"/>
      <c r="C70" s="32" t="str">
        <f>IF('12 - Deployments &amp; Config'!H70="","",'12 - Deployments &amp; Config'!H70)</f>
        <v>LIJ - CCMC</v>
      </c>
      <c r="D70" s="32" t="str">
        <f>IF('12 - Deployments &amp; Config'!AF70="","",'12 - Deployments &amp; Config'!AF70)</f>
        <v/>
      </c>
      <c r="E70" s="32" t="str">
        <f>IF('12 - Deployments &amp; Config'!AG70="","",'12 - Deployments &amp; Config'!AG70)</f>
        <v/>
      </c>
      <c r="F70" s="32" t="str">
        <f>IF('12 - Deployments &amp; Config'!AH70="","",'12 - Deployments &amp; Config'!AH70)</f>
        <v/>
      </c>
      <c r="G70" s="32" t="str">
        <f>IF('12 - Deployments &amp; Config'!AI70="","",'12 - Deployments &amp; Config'!AI70)</f>
        <v/>
      </c>
      <c r="H70" s="32" t="str">
        <f>IF('12 - Deployments &amp; Config'!A70="","",'12 - Deployments &amp; Config'!A70)</f>
        <v>Cybernet</v>
      </c>
      <c r="I70" s="32" t="str">
        <f>IF('12 - Deployments &amp; Config'!AJ70="","",'12 - Deployments &amp; Config'!AJ70)</f>
        <v/>
      </c>
      <c r="J70" s="32" t="str">
        <f>IF('12 - Deployments &amp; Config'!AK70="","",'12 - Deployments &amp; Config'!AK70)</f>
        <v/>
      </c>
      <c r="K70" s="32" t="str">
        <f>IF('12 - Deployments &amp; Config'!AA70="","",'12 - Deployments &amp; Config'!AA70)</f>
        <v/>
      </c>
      <c r="L70" s="32" t="str">
        <f>IF('12 - Deployments &amp; Config'!I70="","",'12 - Deployments &amp; Config'!I70)</f>
        <v>OR iPro Cybernet Workstation</v>
      </c>
      <c r="M70" s="33"/>
      <c r="N70" s="32" t="str">
        <f>IF('12 - Deployments &amp; Config'!J70="","",'12 - Deployments &amp; Config'!J70)</f>
        <v>Yes</v>
      </c>
      <c r="O70" s="32" t="str">
        <f>IF('12 - Deployments &amp; Config'!K70="","",'12 - Deployments &amp; Config'!K70)</f>
        <v>No</v>
      </c>
      <c r="P70" s="32" t="str">
        <f>IF('12 - Deployments &amp; Config'!L70="","",'12 - Deployments &amp; Config'!L70)</f>
        <v>No</v>
      </c>
      <c r="Q70" s="33"/>
      <c r="R70" s="32" t="str">
        <f>IF('12 - Deployments &amp; Config'!AZ70="","",'12 - Deployments &amp; Config'!AZ70)</f>
        <v/>
      </c>
      <c r="S70" s="32" t="str">
        <f>IF('12 - Deployments &amp; Config'!AY70="","",'12 - Deployments &amp; Config'!AY70)</f>
        <v/>
      </c>
      <c r="T70" s="32" t="str">
        <f>IF('12 - Deployments &amp; Config'!AW70="","",'12 - Deployments &amp; Config'!AW70)</f>
        <v/>
      </c>
      <c r="U70" s="32" t="str">
        <f>IF('12 - Deployments &amp; Config'!AX70="","",'12 - Deployments &amp; Config'!AX70)</f>
        <v/>
      </c>
      <c r="V70" s="32" t="str">
        <f>IF('12 - Deployments &amp; Config'!BB70="","",'12 - Deployments &amp; Config'!BB70)</f>
        <v/>
      </c>
      <c r="W70" s="32" t="str">
        <f>IF('12 - Deployments &amp; Config'!BD70="","",'12 - Deployments &amp; Config'!BD70)</f>
        <v/>
      </c>
      <c r="X70" s="32" t="str">
        <f>IF('12 - Deployments &amp; Config'!BL70="","",'12 - Deployments &amp; Config'!BL70)</f>
        <v/>
      </c>
      <c r="Y70" s="32" t="str">
        <f>IF('12 - Deployments &amp; Config'!BC70="","",'12 - Deployments &amp; Config'!BC70)</f>
        <v/>
      </c>
      <c r="Z70" s="32" t="str">
        <f>IF('12 - Deployments &amp; Config'!P70="","",'12 - Deployments &amp; Config'!P70)</f>
        <v/>
      </c>
      <c r="AA70" s="32" t="str">
        <f>IF('12 - Deployments &amp; Config'!Q70="","",'12 - Deployments &amp; Config'!Q70)</f>
        <v/>
      </c>
    </row>
    <row r="71" spans="1:27">
      <c r="A71" s="33"/>
      <c r="B71" s="33"/>
      <c r="C71" s="32" t="str">
        <f>IF('12 - Deployments &amp; Config'!H71="","",'12 - Deployments &amp; Config'!H71)</f>
        <v>LIJ - CCMC</v>
      </c>
      <c r="D71" s="32" t="str">
        <f>IF('12 - Deployments &amp; Config'!AF71="","",'12 - Deployments &amp; Config'!AF71)</f>
        <v/>
      </c>
      <c r="E71" s="32" t="str">
        <f>IF('12 - Deployments &amp; Config'!AG71="","",'12 - Deployments &amp; Config'!AG71)</f>
        <v/>
      </c>
      <c r="F71" s="32" t="str">
        <f>IF('12 - Deployments &amp; Config'!AH71="","",'12 - Deployments &amp; Config'!AH71)</f>
        <v/>
      </c>
      <c r="G71" s="32" t="str">
        <f>IF('12 - Deployments &amp; Config'!AI71="","",'12 - Deployments &amp; Config'!AI71)</f>
        <v/>
      </c>
      <c r="H71" s="32" t="str">
        <f>IF('12 - Deployments &amp; Config'!A71="","",'12 - Deployments &amp; Config'!A71)</f>
        <v>Cybernet</v>
      </c>
      <c r="I71" s="32" t="str">
        <f>IF('12 - Deployments &amp; Config'!AJ71="","",'12 - Deployments &amp; Config'!AJ71)</f>
        <v/>
      </c>
      <c r="J71" s="32" t="str">
        <f>IF('12 - Deployments &amp; Config'!AK71="","",'12 - Deployments &amp; Config'!AK71)</f>
        <v/>
      </c>
      <c r="K71" s="32" t="str">
        <f>IF('12 - Deployments &amp; Config'!AA71="","",'12 - Deployments &amp; Config'!AA71)</f>
        <v/>
      </c>
      <c r="L71" s="32" t="str">
        <f>IF('12 - Deployments &amp; Config'!I71="","",'12 - Deployments &amp; Config'!I71)</f>
        <v>OR iPro Cybernet Workstation</v>
      </c>
      <c r="M71" s="33"/>
      <c r="N71" s="32" t="str">
        <f>IF('12 - Deployments &amp; Config'!J71="","",'12 - Deployments &amp; Config'!J71)</f>
        <v>Yes</v>
      </c>
      <c r="O71" s="32" t="str">
        <f>IF('12 - Deployments &amp; Config'!K71="","",'12 - Deployments &amp; Config'!K71)</f>
        <v>No</v>
      </c>
      <c r="P71" s="32" t="str">
        <f>IF('12 - Deployments &amp; Config'!L71="","",'12 - Deployments &amp; Config'!L71)</f>
        <v>No</v>
      </c>
      <c r="Q71" s="33"/>
      <c r="R71" s="32" t="str">
        <f>IF('12 - Deployments &amp; Config'!AZ71="","",'12 - Deployments &amp; Config'!AZ71)</f>
        <v/>
      </c>
      <c r="S71" s="32" t="str">
        <f>IF('12 - Deployments &amp; Config'!AY71="","",'12 - Deployments &amp; Config'!AY71)</f>
        <v/>
      </c>
      <c r="T71" s="32" t="str">
        <f>IF('12 - Deployments &amp; Config'!AW71="","",'12 - Deployments &amp; Config'!AW71)</f>
        <v/>
      </c>
      <c r="U71" s="32" t="str">
        <f>IF('12 - Deployments &amp; Config'!AX71="","",'12 - Deployments &amp; Config'!AX71)</f>
        <v/>
      </c>
      <c r="V71" s="32" t="str">
        <f>IF('12 - Deployments &amp; Config'!BB71="","",'12 - Deployments &amp; Config'!BB71)</f>
        <v/>
      </c>
      <c r="W71" s="32" t="str">
        <f>IF('12 - Deployments &amp; Config'!BD71="","",'12 - Deployments &amp; Config'!BD71)</f>
        <v/>
      </c>
      <c r="X71" s="32" t="str">
        <f>IF('12 - Deployments &amp; Config'!BL71="","",'12 - Deployments &amp; Config'!BL71)</f>
        <v/>
      </c>
      <c r="Y71" s="32" t="str">
        <f>IF('12 - Deployments &amp; Config'!BC71="","",'12 - Deployments &amp; Config'!BC71)</f>
        <v/>
      </c>
      <c r="Z71" s="32" t="str">
        <f>IF('12 - Deployments &amp; Config'!P71="","",'12 - Deployments &amp; Config'!P71)</f>
        <v/>
      </c>
      <c r="AA71" s="32" t="str">
        <f>IF('12 - Deployments &amp; Config'!Q71="","",'12 - Deployments &amp; Config'!Q71)</f>
        <v/>
      </c>
    </row>
    <row r="72" spans="1:27">
      <c r="A72" s="33"/>
      <c r="B72" s="33"/>
      <c r="C72" s="32" t="str">
        <f>IF('12 - Deployments &amp; Config'!H72="","",'12 - Deployments &amp; Config'!H72)</f>
        <v>LIJ - CCMC</v>
      </c>
      <c r="D72" s="32" t="str">
        <f>IF('12 - Deployments &amp; Config'!AF72="","",'12 - Deployments &amp; Config'!AF72)</f>
        <v/>
      </c>
      <c r="E72" s="32" t="str">
        <f>IF('12 - Deployments &amp; Config'!AG72="","",'12 - Deployments &amp; Config'!AG72)</f>
        <v/>
      </c>
      <c r="F72" s="32" t="str">
        <f>IF('12 - Deployments &amp; Config'!AH72="","",'12 - Deployments &amp; Config'!AH72)</f>
        <v/>
      </c>
      <c r="G72" s="32" t="str">
        <f>IF('12 - Deployments &amp; Config'!AI72="","",'12 - Deployments &amp; Config'!AI72)</f>
        <v/>
      </c>
      <c r="H72" s="32" t="str">
        <f>IF('12 - Deployments &amp; Config'!A72="","",'12 - Deployments &amp; Config'!A72)</f>
        <v>Cybernet</v>
      </c>
      <c r="I72" s="32" t="str">
        <f>IF('12 - Deployments &amp; Config'!AJ72="","",'12 - Deployments &amp; Config'!AJ72)</f>
        <v/>
      </c>
      <c r="J72" s="32" t="str">
        <f>IF('12 - Deployments &amp; Config'!AK72="","",'12 - Deployments &amp; Config'!AK72)</f>
        <v/>
      </c>
      <c r="K72" s="32" t="str">
        <f>IF('12 - Deployments &amp; Config'!AA72="","",'12 - Deployments &amp; Config'!AA72)</f>
        <v/>
      </c>
      <c r="L72" s="32" t="str">
        <f>IF('12 - Deployments &amp; Config'!I72="","",'12 - Deployments &amp; Config'!I72)</f>
        <v>OR iPro Cybernet Workstation</v>
      </c>
      <c r="M72" s="33"/>
      <c r="N72" s="32" t="str">
        <f>IF('12 - Deployments &amp; Config'!J72="","",'12 - Deployments &amp; Config'!J72)</f>
        <v>Yes</v>
      </c>
      <c r="O72" s="32" t="str">
        <f>IF('12 - Deployments &amp; Config'!K72="","",'12 - Deployments &amp; Config'!K72)</f>
        <v>No</v>
      </c>
      <c r="P72" s="32" t="str">
        <f>IF('12 - Deployments &amp; Config'!L72="","",'12 - Deployments &amp; Config'!L72)</f>
        <v>No</v>
      </c>
      <c r="Q72" s="33"/>
      <c r="R72" s="32" t="str">
        <f>IF('12 - Deployments &amp; Config'!AZ72="","",'12 - Deployments &amp; Config'!AZ72)</f>
        <v/>
      </c>
      <c r="S72" s="32" t="str">
        <f>IF('12 - Deployments &amp; Config'!AY72="","",'12 - Deployments &amp; Config'!AY72)</f>
        <v/>
      </c>
      <c r="T72" s="32" t="str">
        <f>IF('12 - Deployments &amp; Config'!AW72="","",'12 - Deployments &amp; Config'!AW72)</f>
        <v/>
      </c>
      <c r="U72" s="32" t="str">
        <f>IF('12 - Deployments &amp; Config'!AX72="","",'12 - Deployments &amp; Config'!AX72)</f>
        <v/>
      </c>
      <c r="V72" s="32" t="str">
        <f>IF('12 - Deployments &amp; Config'!BB72="","",'12 - Deployments &amp; Config'!BB72)</f>
        <v/>
      </c>
      <c r="W72" s="32" t="str">
        <f>IF('12 - Deployments &amp; Config'!BD72="","",'12 - Deployments &amp; Config'!BD72)</f>
        <v/>
      </c>
      <c r="X72" s="32" t="str">
        <f>IF('12 - Deployments &amp; Config'!BL72="","",'12 - Deployments &amp; Config'!BL72)</f>
        <v/>
      </c>
      <c r="Y72" s="32" t="str">
        <f>IF('12 - Deployments &amp; Config'!BC72="","",'12 - Deployments &amp; Config'!BC72)</f>
        <v/>
      </c>
      <c r="Z72" s="32" t="str">
        <f>IF('12 - Deployments &amp; Config'!P72="","",'12 - Deployments &amp; Config'!P72)</f>
        <v/>
      </c>
      <c r="AA72" s="32" t="str">
        <f>IF('12 - Deployments &amp; Config'!Q72="","",'12 - Deployments &amp; Config'!Q72)</f>
        <v/>
      </c>
    </row>
    <row r="73" spans="1:27">
      <c r="A73" s="33"/>
      <c r="B73" s="33"/>
      <c r="C73" s="32" t="str">
        <f>IF('12 - Deployments &amp; Config'!H73="","",'12 - Deployments &amp; Config'!H73)</f>
        <v>LIJ - CCMC</v>
      </c>
      <c r="D73" s="32" t="str">
        <f>IF('12 - Deployments &amp; Config'!AF73="","",'12 - Deployments &amp; Config'!AF73)</f>
        <v/>
      </c>
      <c r="E73" s="32" t="str">
        <f>IF('12 - Deployments &amp; Config'!AG73="","",'12 - Deployments &amp; Config'!AG73)</f>
        <v/>
      </c>
      <c r="F73" s="32" t="str">
        <f>IF('12 - Deployments &amp; Config'!AH73="","",'12 - Deployments &amp; Config'!AH73)</f>
        <v/>
      </c>
      <c r="G73" s="32" t="str">
        <f>IF('12 - Deployments &amp; Config'!AI73="","",'12 - Deployments &amp; Config'!AI73)</f>
        <v/>
      </c>
      <c r="H73" s="32" t="str">
        <f>IF('12 - Deployments &amp; Config'!A73="","",'12 - Deployments &amp; Config'!A73)</f>
        <v>Cybernet</v>
      </c>
      <c r="I73" s="32" t="str">
        <f>IF('12 - Deployments &amp; Config'!AJ73="","",'12 - Deployments &amp; Config'!AJ73)</f>
        <v/>
      </c>
      <c r="J73" s="32" t="str">
        <f>IF('12 - Deployments &amp; Config'!AK73="","",'12 - Deployments &amp; Config'!AK73)</f>
        <v/>
      </c>
      <c r="K73" s="32" t="str">
        <f>IF('12 - Deployments &amp; Config'!AA73="","",'12 - Deployments &amp; Config'!AA73)</f>
        <v/>
      </c>
      <c r="L73" s="32" t="str">
        <f>IF('12 - Deployments &amp; Config'!I73="","",'12 - Deployments &amp; Config'!I73)</f>
        <v>OR iPro Cybernet Workstation</v>
      </c>
      <c r="M73" s="33"/>
      <c r="N73" s="32" t="str">
        <f>IF('12 - Deployments &amp; Config'!J73="","",'12 - Deployments &amp; Config'!J73)</f>
        <v>Yes</v>
      </c>
      <c r="O73" s="32" t="str">
        <f>IF('12 - Deployments &amp; Config'!K73="","",'12 - Deployments &amp; Config'!K73)</f>
        <v>No</v>
      </c>
      <c r="P73" s="32" t="str">
        <f>IF('12 - Deployments &amp; Config'!L73="","",'12 - Deployments &amp; Config'!L73)</f>
        <v>No</v>
      </c>
      <c r="Q73" s="33"/>
      <c r="R73" s="32" t="str">
        <f>IF('12 - Deployments &amp; Config'!AZ73="","",'12 - Deployments &amp; Config'!AZ73)</f>
        <v/>
      </c>
      <c r="S73" s="32" t="str">
        <f>IF('12 - Deployments &amp; Config'!AY73="","",'12 - Deployments &amp; Config'!AY73)</f>
        <v/>
      </c>
      <c r="T73" s="32" t="str">
        <f>IF('12 - Deployments &amp; Config'!AW73="","",'12 - Deployments &amp; Config'!AW73)</f>
        <v/>
      </c>
      <c r="U73" s="32" t="str">
        <f>IF('12 - Deployments &amp; Config'!AX73="","",'12 - Deployments &amp; Config'!AX73)</f>
        <v/>
      </c>
      <c r="V73" s="32" t="str">
        <f>IF('12 - Deployments &amp; Config'!BB73="","",'12 - Deployments &amp; Config'!BB73)</f>
        <v/>
      </c>
      <c r="W73" s="32" t="str">
        <f>IF('12 - Deployments &amp; Config'!BD73="","",'12 - Deployments &amp; Config'!BD73)</f>
        <v/>
      </c>
      <c r="X73" s="32" t="str">
        <f>IF('12 - Deployments &amp; Config'!BL73="","",'12 - Deployments &amp; Config'!BL73)</f>
        <v/>
      </c>
      <c r="Y73" s="32" t="str">
        <f>IF('12 - Deployments &amp; Config'!BC73="","",'12 - Deployments &amp; Config'!BC73)</f>
        <v/>
      </c>
      <c r="Z73" s="32" t="str">
        <f>IF('12 - Deployments &amp; Config'!P73="","",'12 - Deployments &amp; Config'!P73)</f>
        <v/>
      </c>
      <c r="AA73" s="32" t="str">
        <f>IF('12 - Deployments &amp; Config'!Q73="","",'12 - Deployments &amp; Config'!Q73)</f>
        <v/>
      </c>
    </row>
    <row r="74" spans="1:27">
      <c r="A74" s="33"/>
      <c r="B74" s="33"/>
      <c r="C74" s="32" t="str">
        <f>IF('12 - Deployments &amp; Config'!H74="","",'12 - Deployments &amp; Config'!H74)</f>
        <v>LIJ - CCMC</v>
      </c>
      <c r="D74" s="32" t="str">
        <f>IF('12 - Deployments &amp; Config'!AF74="","",'12 - Deployments &amp; Config'!AF74)</f>
        <v/>
      </c>
      <c r="E74" s="32" t="str">
        <f>IF('12 - Deployments &amp; Config'!AG74="","",'12 - Deployments &amp; Config'!AG74)</f>
        <v/>
      </c>
      <c r="F74" s="32" t="str">
        <f>IF('12 - Deployments &amp; Config'!AH74="","",'12 - Deployments &amp; Config'!AH74)</f>
        <v/>
      </c>
      <c r="G74" s="32" t="str">
        <f>IF('12 - Deployments &amp; Config'!AI74="","",'12 - Deployments &amp; Config'!AI74)</f>
        <v/>
      </c>
      <c r="H74" s="32" t="str">
        <f>IF('12 - Deployments &amp; Config'!A74="","",'12 - Deployments &amp; Config'!A74)</f>
        <v>Cybernet</v>
      </c>
      <c r="I74" s="32" t="str">
        <f>IF('12 - Deployments &amp; Config'!AJ74="","",'12 - Deployments &amp; Config'!AJ74)</f>
        <v/>
      </c>
      <c r="J74" s="32" t="str">
        <f>IF('12 - Deployments &amp; Config'!AK74="","",'12 - Deployments &amp; Config'!AK74)</f>
        <v/>
      </c>
      <c r="K74" s="32" t="str">
        <f>IF('12 - Deployments &amp; Config'!AA74="","",'12 - Deployments &amp; Config'!AA74)</f>
        <v/>
      </c>
      <c r="L74" s="32" t="str">
        <f>IF('12 - Deployments &amp; Config'!I74="","",'12 - Deployments &amp; Config'!I74)</f>
        <v>OR iPro Cybernet Workstation</v>
      </c>
      <c r="M74" s="33"/>
      <c r="N74" s="32" t="str">
        <f>IF('12 - Deployments &amp; Config'!J74="","",'12 - Deployments &amp; Config'!J74)</f>
        <v>Yes</v>
      </c>
      <c r="O74" s="32" t="str">
        <f>IF('12 - Deployments &amp; Config'!K74="","",'12 - Deployments &amp; Config'!K74)</f>
        <v>No</v>
      </c>
      <c r="P74" s="32" t="str">
        <f>IF('12 - Deployments &amp; Config'!L74="","",'12 - Deployments &amp; Config'!L74)</f>
        <v>No</v>
      </c>
      <c r="Q74" s="33"/>
      <c r="R74" s="32" t="str">
        <f>IF('12 - Deployments &amp; Config'!AZ74="","",'12 - Deployments &amp; Config'!AZ74)</f>
        <v/>
      </c>
      <c r="S74" s="32" t="str">
        <f>IF('12 - Deployments &amp; Config'!AY74="","",'12 - Deployments &amp; Config'!AY74)</f>
        <v/>
      </c>
      <c r="T74" s="32" t="str">
        <f>IF('12 - Deployments &amp; Config'!AW74="","",'12 - Deployments &amp; Config'!AW74)</f>
        <v/>
      </c>
      <c r="U74" s="32" t="str">
        <f>IF('12 - Deployments &amp; Config'!AX74="","",'12 - Deployments &amp; Config'!AX74)</f>
        <v/>
      </c>
      <c r="V74" s="32" t="str">
        <f>IF('12 - Deployments &amp; Config'!BB74="","",'12 - Deployments &amp; Config'!BB74)</f>
        <v/>
      </c>
      <c r="W74" s="32" t="str">
        <f>IF('12 - Deployments &amp; Config'!BD74="","",'12 - Deployments &amp; Config'!BD74)</f>
        <v/>
      </c>
      <c r="X74" s="32" t="str">
        <f>IF('12 - Deployments &amp; Config'!BL74="","",'12 - Deployments &amp; Config'!BL74)</f>
        <v/>
      </c>
      <c r="Y74" s="32" t="str">
        <f>IF('12 - Deployments &amp; Config'!BC74="","",'12 - Deployments &amp; Config'!BC74)</f>
        <v/>
      </c>
      <c r="Z74" s="32" t="str">
        <f>IF('12 - Deployments &amp; Config'!P74="","",'12 - Deployments &amp; Config'!P74)</f>
        <v/>
      </c>
      <c r="AA74" s="32" t="str">
        <f>IF('12 - Deployments &amp; Config'!Q74="","",'12 - Deployments &amp; Config'!Q74)</f>
        <v/>
      </c>
    </row>
    <row r="75" spans="1:27">
      <c r="A75" s="33"/>
      <c r="B75" s="33"/>
      <c r="C75" s="32" t="str">
        <f>IF('12 - Deployments &amp; Config'!H75="","",'12 - Deployments &amp; Config'!H75)</f>
        <v>LIJ - CCMC</v>
      </c>
      <c r="D75" s="32" t="str">
        <f>IF('12 - Deployments &amp; Config'!AF75="","",'12 - Deployments &amp; Config'!AF75)</f>
        <v/>
      </c>
      <c r="E75" s="32" t="str">
        <f>IF('12 - Deployments &amp; Config'!AG75="","",'12 - Deployments &amp; Config'!AG75)</f>
        <v/>
      </c>
      <c r="F75" s="32" t="str">
        <f>IF('12 - Deployments &amp; Config'!AH75="","",'12 - Deployments &amp; Config'!AH75)</f>
        <v/>
      </c>
      <c r="G75" s="32" t="str">
        <f>IF('12 - Deployments &amp; Config'!AI75="","",'12 - Deployments &amp; Config'!AI75)</f>
        <v/>
      </c>
      <c r="H75" s="32" t="str">
        <f>IF('12 - Deployments &amp; Config'!A75="","",'12 - Deployments &amp; Config'!A75)</f>
        <v>Cybernet</v>
      </c>
      <c r="I75" s="32" t="str">
        <f>IF('12 - Deployments &amp; Config'!AJ75="","",'12 - Deployments &amp; Config'!AJ75)</f>
        <v/>
      </c>
      <c r="J75" s="32" t="str">
        <f>IF('12 - Deployments &amp; Config'!AK75="","",'12 - Deployments &amp; Config'!AK75)</f>
        <v/>
      </c>
      <c r="K75" s="32" t="str">
        <f>IF('12 - Deployments &amp; Config'!AA75="","",'12 - Deployments &amp; Config'!AA75)</f>
        <v/>
      </c>
      <c r="L75" s="32" t="str">
        <f>IF('12 - Deployments &amp; Config'!I75="","",'12 - Deployments &amp; Config'!I75)</f>
        <v>OR iPro Cybernet Workstation</v>
      </c>
      <c r="M75" s="33"/>
      <c r="N75" s="32" t="str">
        <f>IF('12 - Deployments &amp; Config'!J75="","",'12 - Deployments &amp; Config'!J75)</f>
        <v>Yes</v>
      </c>
      <c r="O75" s="32" t="str">
        <f>IF('12 - Deployments &amp; Config'!K75="","",'12 - Deployments &amp; Config'!K75)</f>
        <v>No</v>
      </c>
      <c r="P75" s="32" t="str">
        <f>IF('12 - Deployments &amp; Config'!L75="","",'12 - Deployments &amp; Config'!L75)</f>
        <v>No</v>
      </c>
      <c r="Q75" s="33"/>
      <c r="R75" s="32" t="str">
        <f>IF('12 - Deployments &amp; Config'!AZ75="","",'12 - Deployments &amp; Config'!AZ75)</f>
        <v/>
      </c>
      <c r="S75" s="32" t="str">
        <f>IF('12 - Deployments &amp; Config'!AY75="","",'12 - Deployments &amp; Config'!AY75)</f>
        <v/>
      </c>
      <c r="T75" s="32" t="str">
        <f>IF('12 - Deployments &amp; Config'!AW75="","",'12 - Deployments &amp; Config'!AW75)</f>
        <v/>
      </c>
      <c r="U75" s="32" t="str">
        <f>IF('12 - Deployments &amp; Config'!AX75="","",'12 - Deployments &amp; Config'!AX75)</f>
        <v/>
      </c>
      <c r="V75" s="32" t="str">
        <f>IF('12 - Deployments &amp; Config'!BB75="","",'12 - Deployments &amp; Config'!BB75)</f>
        <v/>
      </c>
      <c r="W75" s="32" t="str">
        <f>IF('12 - Deployments &amp; Config'!BD75="","",'12 - Deployments &amp; Config'!BD75)</f>
        <v/>
      </c>
      <c r="X75" s="32" t="str">
        <f>IF('12 - Deployments &amp; Config'!BL75="","",'12 - Deployments &amp; Config'!BL75)</f>
        <v/>
      </c>
      <c r="Y75" s="32" t="str">
        <f>IF('12 - Deployments &amp; Config'!BC75="","",'12 - Deployments &amp; Config'!BC75)</f>
        <v/>
      </c>
      <c r="Z75" s="32" t="str">
        <f>IF('12 - Deployments &amp; Config'!P75="","",'12 - Deployments &amp; Config'!P75)</f>
        <v/>
      </c>
      <c r="AA75" s="32" t="str">
        <f>IF('12 - Deployments &amp; Config'!Q75="","",'12 - Deployments &amp; Config'!Q75)</f>
        <v/>
      </c>
    </row>
    <row r="76" spans="1:27">
      <c r="A76" s="33"/>
      <c r="B76" s="33"/>
      <c r="C76" s="32" t="str">
        <f>IF('12 - Deployments &amp; Config'!H76="","",'12 - Deployments &amp; Config'!H76)</f>
        <v>LIJ - CCMC</v>
      </c>
      <c r="D76" s="32" t="str">
        <f>IF('12 - Deployments &amp; Config'!AF76="","",'12 - Deployments &amp; Config'!AF76)</f>
        <v/>
      </c>
      <c r="E76" s="32" t="str">
        <f>IF('12 - Deployments &amp; Config'!AG76="","",'12 - Deployments &amp; Config'!AG76)</f>
        <v/>
      </c>
      <c r="F76" s="32" t="str">
        <f>IF('12 - Deployments &amp; Config'!AH76="","",'12 - Deployments &amp; Config'!AH76)</f>
        <v/>
      </c>
      <c r="G76" s="32" t="str">
        <f>IF('12 - Deployments &amp; Config'!AI76="","",'12 - Deployments &amp; Config'!AI76)</f>
        <v/>
      </c>
      <c r="H76" s="32" t="str">
        <f>IF('12 - Deployments &amp; Config'!A76="","",'12 - Deployments &amp; Config'!A76)</f>
        <v>Cybernet</v>
      </c>
      <c r="I76" s="32" t="str">
        <f>IF('12 - Deployments &amp; Config'!AJ76="","",'12 - Deployments &amp; Config'!AJ76)</f>
        <v/>
      </c>
      <c r="J76" s="32" t="str">
        <f>IF('12 - Deployments &amp; Config'!AK76="","",'12 - Deployments &amp; Config'!AK76)</f>
        <v/>
      </c>
      <c r="K76" s="32" t="str">
        <f>IF('12 - Deployments &amp; Config'!AA76="","",'12 - Deployments &amp; Config'!AA76)</f>
        <v/>
      </c>
      <c r="L76" s="32" t="str">
        <f>IF('12 - Deployments &amp; Config'!I76="","",'12 - Deployments &amp; Config'!I76)</f>
        <v>OR iPro Cybernet Workstation</v>
      </c>
      <c r="M76" s="33"/>
      <c r="N76" s="32" t="str">
        <f>IF('12 - Deployments &amp; Config'!J76="","",'12 - Deployments &amp; Config'!J76)</f>
        <v>Yes</v>
      </c>
      <c r="O76" s="32" t="str">
        <f>IF('12 - Deployments &amp; Config'!K76="","",'12 - Deployments &amp; Config'!K76)</f>
        <v>No</v>
      </c>
      <c r="P76" s="32" t="str">
        <f>IF('12 - Deployments &amp; Config'!L76="","",'12 - Deployments &amp; Config'!L76)</f>
        <v>No</v>
      </c>
      <c r="Q76" s="33"/>
      <c r="R76" s="32" t="str">
        <f>IF('12 - Deployments &amp; Config'!AZ76="","",'12 - Deployments &amp; Config'!AZ76)</f>
        <v/>
      </c>
      <c r="S76" s="32" t="str">
        <f>IF('12 - Deployments &amp; Config'!AY76="","",'12 - Deployments &amp; Config'!AY76)</f>
        <v/>
      </c>
      <c r="T76" s="32" t="str">
        <f>IF('12 - Deployments &amp; Config'!AW76="","",'12 - Deployments &amp; Config'!AW76)</f>
        <v/>
      </c>
      <c r="U76" s="32" t="str">
        <f>IF('12 - Deployments &amp; Config'!AX76="","",'12 - Deployments &amp; Config'!AX76)</f>
        <v/>
      </c>
      <c r="V76" s="32" t="str">
        <f>IF('12 - Deployments &amp; Config'!BB76="","",'12 - Deployments &amp; Config'!BB76)</f>
        <v/>
      </c>
      <c r="W76" s="32" t="str">
        <f>IF('12 - Deployments &amp; Config'!BD76="","",'12 - Deployments &amp; Config'!BD76)</f>
        <v/>
      </c>
      <c r="X76" s="32" t="str">
        <f>IF('12 - Deployments &amp; Config'!BL76="","",'12 - Deployments &amp; Config'!BL76)</f>
        <v/>
      </c>
      <c r="Y76" s="32" t="str">
        <f>IF('12 - Deployments &amp; Config'!BC76="","",'12 - Deployments &amp; Config'!BC76)</f>
        <v/>
      </c>
      <c r="Z76" s="32" t="str">
        <f>IF('12 - Deployments &amp; Config'!P76="","",'12 - Deployments &amp; Config'!P76)</f>
        <v/>
      </c>
      <c r="AA76" s="32" t="str">
        <f>IF('12 - Deployments &amp; Config'!Q76="","",'12 - Deployments &amp; Config'!Q76)</f>
        <v/>
      </c>
    </row>
    <row r="77" spans="1:27">
      <c r="A77" s="33"/>
      <c r="B77" s="33"/>
      <c r="C77" s="32" t="str">
        <f>IF('12 - Deployments &amp; Config'!H77="","",'12 - Deployments &amp; Config'!H77)</f>
        <v>LIJ - CCMC</v>
      </c>
      <c r="D77" s="32" t="str">
        <f>IF('12 - Deployments &amp; Config'!AF77="","",'12 - Deployments &amp; Config'!AF77)</f>
        <v/>
      </c>
      <c r="E77" s="32" t="str">
        <f>IF('12 - Deployments &amp; Config'!AG77="","",'12 - Deployments &amp; Config'!AG77)</f>
        <v/>
      </c>
      <c r="F77" s="32" t="str">
        <f>IF('12 - Deployments &amp; Config'!AH77="","",'12 - Deployments &amp; Config'!AH77)</f>
        <v/>
      </c>
      <c r="G77" s="32" t="str">
        <f>IF('12 - Deployments &amp; Config'!AI77="","",'12 - Deployments &amp; Config'!AI77)</f>
        <v/>
      </c>
      <c r="H77" s="32" t="str">
        <f>IF('12 - Deployments &amp; Config'!A77="","",'12 - Deployments &amp; Config'!A77)</f>
        <v>Cybernet</v>
      </c>
      <c r="I77" s="32" t="str">
        <f>IF('12 - Deployments &amp; Config'!AJ77="","",'12 - Deployments &amp; Config'!AJ77)</f>
        <v/>
      </c>
      <c r="J77" s="32" t="str">
        <f>IF('12 - Deployments &amp; Config'!AK77="","",'12 - Deployments &amp; Config'!AK77)</f>
        <v/>
      </c>
      <c r="K77" s="32" t="str">
        <f>IF('12 - Deployments &amp; Config'!AA77="","",'12 - Deployments &amp; Config'!AA77)</f>
        <v/>
      </c>
      <c r="L77" s="32" t="str">
        <f>IF('12 - Deployments &amp; Config'!I77="","",'12 - Deployments &amp; Config'!I77)</f>
        <v>OR iPro Cybernet Workstation</v>
      </c>
      <c r="M77" s="33"/>
      <c r="N77" s="32" t="str">
        <f>IF('12 - Deployments &amp; Config'!J77="","",'12 - Deployments &amp; Config'!J77)</f>
        <v>Yes</v>
      </c>
      <c r="O77" s="32" t="str">
        <f>IF('12 - Deployments &amp; Config'!K77="","",'12 - Deployments &amp; Config'!K77)</f>
        <v>No</v>
      </c>
      <c r="P77" s="32" t="str">
        <f>IF('12 - Deployments &amp; Config'!L77="","",'12 - Deployments &amp; Config'!L77)</f>
        <v>No</v>
      </c>
      <c r="Q77" s="33"/>
      <c r="R77" s="32" t="str">
        <f>IF('12 - Deployments &amp; Config'!AZ77="","",'12 - Deployments &amp; Config'!AZ77)</f>
        <v/>
      </c>
      <c r="S77" s="32" t="str">
        <f>IF('12 - Deployments &amp; Config'!AY77="","",'12 - Deployments &amp; Config'!AY77)</f>
        <v/>
      </c>
      <c r="T77" s="32" t="str">
        <f>IF('12 - Deployments &amp; Config'!AW77="","",'12 - Deployments &amp; Config'!AW77)</f>
        <v/>
      </c>
      <c r="U77" s="32" t="str">
        <f>IF('12 - Deployments &amp; Config'!AX77="","",'12 - Deployments &amp; Config'!AX77)</f>
        <v/>
      </c>
      <c r="V77" s="32" t="str">
        <f>IF('12 - Deployments &amp; Config'!BB77="","",'12 - Deployments &amp; Config'!BB77)</f>
        <v/>
      </c>
      <c r="W77" s="32" t="str">
        <f>IF('12 - Deployments &amp; Config'!BD77="","",'12 - Deployments &amp; Config'!BD77)</f>
        <v/>
      </c>
      <c r="X77" s="32" t="str">
        <f>IF('12 - Deployments &amp; Config'!BL77="","",'12 - Deployments &amp; Config'!BL77)</f>
        <v/>
      </c>
      <c r="Y77" s="32" t="str">
        <f>IF('12 - Deployments &amp; Config'!BC77="","",'12 - Deployments &amp; Config'!BC77)</f>
        <v/>
      </c>
      <c r="Z77" s="32" t="str">
        <f>IF('12 - Deployments &amp; Config'!P77="","",'12 - Deployments &amp; Config'!P77)</f>
        <v/>
      </c>
      <c r="AA77" s="32" t="str">
        <f>IF('12 - Deployments &amp; Config'!Q77="","",'12 - Deployments &amp; Config'!Q77)</f>
        <v/>
      </c>
    </row>
    <row r="78" spans="1:27">
      <c r="A78" s="33"/>
      <c r="B78" s="33"/>
      <c r="C78" s="32" t="str">
        <f>IF('12 - Deployments &amp; Config'!H78="","",'12 - Deployments &amp; Config'!H78)</f>
        <v>CFAM</v>
      </c>
      <c r="D78" s="32" t="str">
        <f>IF('12 - Deployments &amp; Config'!AF78="","",'12 - Deployments &amp; Config'!AF78)</f>
        <v/>
      </c>
      <c r="E78" s="32" t="str">
        <f>IF('12 - Deployments &amp; Config'!AG78="","",'12 - Deployments &amp; Config'!AG78)</f>
        <v/>
      </c>
      <c r="F78" s="32" t="str">
        <f>IF('12 - Deployments &amp; Config'!AH78="","",'12 - Deployments &amp; Config'!AH78)</f>
        <v/>
      </c>
      <c r="G78" s="32" t="str">
        <f>IF('12 - Deployments &amp; Config'!AI78="","",'12 - Deployments &amp; Config'!AI78)</f>
        <v/>
      </c>
      <c r="H78" s="32" t="str">
        <f>IF('12 - Deployments &amp; Config'!A78="","",'12 - Deployments &amp; Config'!A78)</f>
        <v>Cybernet</v>
      </c>
      <c r="I78" s="32" t="str">
        <f>IF('12 - Deployments &amp; Config'!AJ78="","",'12 - Deployments &amp; Config'!AJ78)</f>
        <v/>
      </c>
      <c r="J78" s="32" t="str">
        <f>IF('12 - Deployments &amp; Config'!AK78="","",'12 - Deployments &amp; Config'!AK78)</f>
        <v/>
      </c>
      <c r="K78" s="32" t="str">
        <f>IF('12 - Deployments &amp; Config'!AA78="","",'12 - Deployments &amp; Config'!AA78)</f>
        <v/>
      </c>
      <c r="L78" s="32" t="str">
        <f>IF('12 - Deployments &amp; Config'!I78="","",'12 - Deployments &amp; Config'!I78)</f>
        <v>OR iPro Cybernet Workstation</v>
      </c>
      <c r="M78" s="33"/>
      <c r="N78" s="32" t="str">
        <f>IF('12 - Deployments &amp; Config'!J78="","",'12 - Deployments &amp; Config'!J78)</f>
        <v>Yes</v>
      </c>
      <c r="O78" s="32" t="str">
        <f>IF('12 - Deployments &amp; Config'!K78="","",'12 - Deployments &amp; Config'!K78)</f>
        <v>No</v>
      </c>
      <c r="P78" s="32" t="str">
        <f>IF('12 - Deployments &amp; Config'!L78="","",'12 - Deployments &amp; Config'!L78)</f>
        <v>No</v>
      </c>
      <c r="Q78" s="33"/>
      <c r="R78" s="32" t="str">
        <f>IF('12 - Deployments &amp; Config'!AZ78="","",'12 - Deployments &amp; Config'!AZ78)</f>
        <v/>
      </c>
      <c r="S78" s="32" t="str">
        <f>IF('12 - Deployments &amp; Config'!AY78="","",'12 - Deployments &amp; Config'!AY78)</f>
        <v/>
      </c>
      <c r="T78" s="32" t="str">
        <f>IF('12 - Deployments &amp; Config'!AW78="","",'12 - Deployments &amp; Config'!AW78)</f>
        <v/>
      </c>
      <c r="U78" s="32" t="str">
        <f>IF('12 - Deployments &amp; Config'!AX78="","",'12 - Deployments &amp; Config'!AX78)</f>
        <v/>
      </c>
      <c r="V78" s="32" t="str">
        <f>IF('12 - Deployments &amp; Config'!BB78="","",'12 - Deployments &amp; Config'!BB78)</f>
        <v/>
      </c>
      <c r="W78" s="32" t="str">
        <f>IF('12 - Deployments &amp; Config'!BD78="","",'12 - Deployments &amp; Config'!BD78)</f>
        <v/>
      </c>
      <c r="X78" s="32" t="str">
        <f>IF('12 - Deployments &amp; Config'!BL78="","",'12 - Deployments &amp; Config'!BL78)</f>
        <v/>
      </c>
      <c r="Y78" s="32" t="str">
        <f>IF('12 - Deployments &amp; Config'!BC78="","",'12 - Deployments &amp; Config'!BC78)</f>
        <v/>
      </c>
      <c r="Z78" s="32" t="str">
        <f>IF('12 - Deployments &amp; Config'!P78="","",'12 - Deployments &amp; Config'!P78)</f>
        <v/>
      </c>
      <c r="AA78" s="32" t="str">
        <f>IF('12 - Deployments &amp; Config'!Q78="","",'12 - Deployments &amp; Config'!Q78)</f>
        <v/>
      </c>
    </row>
    <row r="79" spans="1:27">
      <c r="A79" s="33"/>
      <c r="B79" s="33"/>
      <c r="C79" s="32" t="str">
        <f>IF('12 - Deployments &amp; Config'!H79="","",'12 - Deployments &amp; Config'!H79)</f>
        <v>CFAM</v>
      </c>
      <c r="D79" s="32" t="str">
        <f>IF('12 - Deployments &amp; Config'!AF79="","",'12 - Deployments &amp; Config'!AF79)</f>
        <v/>
      </c>
      <c r="E79" s="32" t="str">
        <f>IF('12 - Deployments &amp; Config'!AG79="","",'12 - Deployments &amp; Config'!AG79)</f>
        <v/>
      </c>
      <c r="F79" s="32" t="str">
        <f>IF('12 - Deployments &amp; Config'!AH79="","",'12 - Deployments &amp; Config'!AH79)</f>
        <v/>
      </c>
      <c r="G79" s="32" t="str">
        <f>IF('12 - Deployments &amp; Config'!AI79="","",'12 - Deployments &amp; Config'!AI79)</f>
        <v/>
      </c>
      <c r="H79" s="32" t="str">
        <f>IF('12 - Deployments &amp; Config'!A79="","",'12 - Deployments &amp; Config'!A79)</f>
        <v>Cybernet</v>
      </c>
      <c r="I79" s="32" t="str">
        <f>IF('12 - Deployments &amp; Config'!AJ79="","",'12 - Deployments &amp; Config'!AJ79)</f>
        <v/>
      </c>
      <c r="J79" s="32" t="str">
        <f>IF('12 - Deployments &amp; Config'!AK79="","",'12 - Deployments &amp; Config'!AK79)</f>
        <v/>
      </c>
      <c r="K79" s="32" t="str">
        <f>IF('12 - Deployments &amp; Config'!AA79="","",'12 - Deployments &amp; Config'!AA79)</f>
        <v/>
      </c>
      <c r="L79" s="32" t="str">
        <f>IF('12 - Deployments &amp; Config'!I79="","",'12 - Deployments &amp; Config'!I79)</f>
        <v>OR iPro Cybernet Workstation</v>
      </c>
      <c r="M79" s="33"/>
      <c r="N79" s="32" t="str">
        <f>IF('12 - Deployments &amp; Config'!J79="","",'12 - Deployments &amp; Config'!J79)</f>
        <v>Yes</v>
      </c>
      <c r="O79" s="32" t="str">
        <f>IF('12 - Deployments &amp; Config'!K79="","",'12 - Deployments &amp; Config'!K79)</f>
        <v>No</v>
      </c>
      <c r="P79" s="32" t="str">
        <f>IF('12 - Deployments &amp; Config'!L79="","",'12 - Deployments &amp; Config'!L79)</f>
        <v>No</v>
      </c>
      <c r="Q79" s="33"/>
      <c r="R79" s="32" t="str">
        <f>IF('12 - Deployments &amp; Config'!AZ79="","",'12 - Deployments &amp; Config'!AZ79)</f>
        <v/>
      </c>
      <c r="S79" s="32" t="str">
        <f>IF('12 - Deployments &amp; Config'!AY79="","",'12 - Deployments &amp; Config'!AY79)</f>
        <v/>
      </c>
      <c r="T79" s="32" t="str">
        <f>IF('12 - Deployments &amp; Config'!AW79="","",'12 - Deployments &amp; Config'!AW79)</f>
        <v/>
      </c>
      <c r="U79" s="32" t="str">
        <f>IF('12 - Deployments &amp; Config'!AX79="","",'12 - Deployments &amp; Config'!AX79)</f>
        <v/>
      </c>
      <c r="V79" s="32" t="str">
        <f>IF('12 - Deployments &amp; Config'!BB79="","",'12 - Deployments &amp; Config'!BB79)</f>
        <v/>
      </c>
      <c r="W79" s="32" t="str">
        <f>IF('12 - Deployments &amp; Config'!BD79="","",'12 - Deployments &amp; Config'!BD79)</f>
        <v/>
      </c>
      <c r="X79" s="32" t="str">
        <f>IF('12 - Deployments &amp; Config'!BL79="","",'12 - Deployments &amp; Config'!BL79)</f>
        <v/>
      </c>
      <c r="Y79" s="32" t="str">
        <f>IF('12 - Deployments &amp; Config'!BC79="","",'12 - Deployments &amp; Config'!BC79)</f>
        <v/>
      </c>
      <c r="Z79" s="32" t="str">
        <f>IF('12 - Deployments &amp; Config'!P79="","",'12 - Deployments &amp; Config'!P79)</f>
        <v/>
      </c>
      <c r="AA79" s="32" t="str">
        <f>IF('12 - Deployments &amp; Config'!Q79="","",'12 - Deployments &amp; Config'!Q79)</f>
        <v/>
      </c>
    </row>
    <row r="80" spans="1:27">
      <c r="A80" s="33"/>
      <c r="B80" s="33"/>
      <c r="C80" s="32" t="str">
        <f>IF('12 - Deployments &amp; Config'!H80="","",'12 - Deployments &amp; Config'!H80)</f>
        <v>CFAM</v>
      </c>
      <c r="D80" s="32" t="str">
        <f>IF('12 - Deployments &amp; Config'!AF80="","",'12 - Deployments &amp; Config'!AF80)</f>
        <v/>
      </c>
      <c r="E80" s="32" t="str">
        <f>IF('12 - Deployments &amp; Config'!AG80="","",'12 - Deployments &amp; Config'!AG80)</f>
        <v/>
      </c>
      <c r="F80" s="32" t="str">
        <f>IF('12 - Deployments &amp; Config'!AH80="","",'12 - Deployments &amp; Config'!AH80)</f>
        <v/>
      </c>
      <c r="G80" s="32" t="str">
        <f>IF('12 - Deployments &amp; Config'!AI80="","",'12 - Deployments &amp; Config'!AI80)</f>
        <v/>
      </c>
      <c r="H80" s="32" t="str">
        <f>IF('12 - Deployments &amp; Config'!A80="","",'12 - Deployments &amp; Config'!A80)</f>
        <v>Cybernet</v>
      </c>
      <c r="I80" s="32" t="str">
        <f>IF('12 - Deployments &amp; Config'!AJ80="","",'12 - Deployments &amp; Config'!AJ80)</f>
        <v/>
      </c>
      <c r="J80" s="32" t="str">
        <f>IF('12 - Deployments &amp; Config'!AK80="","",'12 - Deployments &amp; Config'!AK80)</f>
        <v/>
      </c>
      <c r="K80" s="32" t="str">
        <f>IF('12 - Deployments &amp; Config'!AA80="","",'12 - Deployments &amp; Config'!AA80)</f>
        <v/>
      </c>
      <c r="L80" s="32" t="str">
        <f>IF('12 - Deployments &amp; Config'!I80="","",'12 - Deployments &amp; Config'!I80)</f>
        <v>OR iPro Cybernet Workstation</v>
      </c>
      <c r="M80" s="33"/>
      <c r="N80" s="32" t="str">
        <f>IF('12 - Deployments &amp; Config'!J80="","",'12 - Deployments &amp; Config'!J80)</f>
        <v>Yes</v>
      </c>
      <c r="O80" s="32" t="str">
        <f>IF('12 - Deployments &amp; Config'!K80="","",'12 - Deployments &amp; Config'!K80)</f>
        <v>No</v>
      </c>
      <c r="P80" s="32" t="str">
        <f>IF('12 - Deployments &amp; Config'!L80="","",'12 - Deployments &amp; Config'!L80)</f>
        <v>No</v>
      </c>
      <c r="Q80" s="33"/>
      <c r="R80" s="32" t="str">
        <f>IF('12 - Deployments &amp; Config'!AZ80="","",'12 - Deployments &amp; Config'!AZ80)</f>
        <v/>
      </c>
      <c r="S80" s="32" t="str">
        <f>IF('12 - Deployments &amp; Config'!AY80="","",'12 - Deployments &amp; Config'!AY80)</f>
        <v/>
      </c>
      <c r="T80" s="32" t="str">
        <f>IF('12 - Deployments &amp; Config'!AW80="","",'12 - Deployments &amp; Config'!AW80)</f>
        <v/>
      </c>
      <c r="U80" s="32" t="str">
        <f>IF('12 - Deployments &amp; Config'!AX80="","",'12 - Deployments &amp; Config'!AX80)</f>
        <v/>
      </c>
      <c r="V80" s="32" t="str">
        <f>IF('12 - Deployments &amp; Config'!BB80="","",'12 - Deployments &amp; Config'!BB80)</f>
        <v/>
      </c>
      <c r="W80" s="32" t="str">
        <f>IF('12 - Deployments &amp; Config'!BD80="","",'12 - Deployments &amp; Config'!BD80)</f>
        <v/>
      </c>
      <c r="X80" s="32" t="str">
        <f>IF('12 - Deployments &amp; Config'!BL80="","",'12 - Deployments &amp; Config'!BL80)</f>
        <v/>
      </c>
      <c r="Y80" s="32" t="str">
        <f>IF('12 - Deployments &amp; Config'!BC80="","",'12 - Deployments &amp; Config'!BC80)</f>
        <v/>
      </c>
      <c r="Z80" s="32" t="str">
        <f>IF('12 - Deployments &amp; Config'!P80="","",'12 - Deployments &amp; Config'!P80)</f>
        <v/>
      </c>
      <c r="AA80" s="32" t="str">
        <f>IF('12 - Deployments &amp; Config'!Q80="","",'12 - Deployments &amp; Config'!Q80)</f>
        <v/>
      </c>
    </row>
    <row r="81" spans="1:27">
      <c r="A81" s="33"/>
      <c r="B81" s="33"/>
      <c r="C81" s="32" t="str">
        <f>IF('12 - Deployments &amp; Config'!H81="","",'12 - Deployments &amp; Config'!H81)</f>
        <v>CFAM</v>
      </c>
      <c r="D81" s="32" t="str">
        <f>IF('12 - Deployments &amp; Config'!AF81="","",'12 - Deployments &amp; Config'!AF81)</f>
        <v/>
      </c>
      <c r="E81" s="32" t="str">
        <f>IF('12 - Deployments &amp; Config'!AG81="","",'12 - Deployments &amp; Config'!AG81)</f>
        <v/>
      </c>
      <c r="F81" s="32" t="str">
        <f>IF('12 - Deployments &amp; Config'!AH81="","",'12 - Deployments &amp; Config'!AH81)</f>
        <v/>
      </c>
      <c r="G81" s="32" t="str">
        <f>IF('12 - Deployments &amp; Config'!AI81="","",'12 - Deployments &amp; Config'!AI81)</f>
        <v/>
      </c>
      <c r="H81" s="32" t="str">
        <f>IF('12 - Deployments &amp; Config'!A81="","",'12 - Deployments &amp; Config'!A81)</f>
        <v>Cybernet</v>
      </c>
      <c r="I81" s="32" t="str">
        <f>IF('12 - Deployments &amp; Config'!AJ81="","",'12 - Deployments &amp; Config'!AJ81)</f>
        <v/>
      </c>
      <c r="J81" s="32" t="str">
        <f>IF('12 - Deployments &amp; Config'!AK81="","",'12 - Deployments &amp; Config'!AK81)</f>
        <v/>
      </c>
      <c r="K81" s="32" t="str">
        <f>IF('12 - Deployments &amp; Config'!AA81="","",'12 - Deployments &amp; Config'!AA81)</f>
        <v/>
      </c>
      <c r="L81" s="32" t="str">
        <f>IF('12 - Deployments &amp; Config'!I81="","",'12 - Deployments &amp; Config'!I81)</f>
        <v>OR iPro Cybernet Workstation</v>
      </c>
      <c r="M81" s="33"/>
      <c r="N81" s="32" t="str">
        <f>IF('12 - Deployments &amp; Config'!J81="","",'12 - Deployments &amp; Config'!J81)</f>
        <v>Yes</v>
      </c>
      <c r="O81" s="32" t="str">
        <f>IF('12 - Deployments &amp; Config'!K81="","",'12 - Deployments &amp; Config'!K81)</f>
        <v>No</v>
      </c>
      <c r="P81" s="32" t="str">
        <f>IF('12 - Deployments &amp; Config'!L81="","",'12 - Deployments &amp; Config'!L81)</f>
        <v>No</v>
      </c>
      <c r="Q81" s="33"/>
      <c r="R81" s="32" t="str">
        <f>IF('12 - Deployments &amp; Config'!AZ81="","",'12 - Deployments &amp; Config'!AZ81)</f>
        <v/>
      </c>
      <c r="S81" s="32" t="str">
        <f>IF('12 - Deployments &amp; Config'!AY81="","",'12 - Deployments &amp; Config'!AY81)</f>
        <v/>
      </c>
      <c r="T81" s="32" t="str">
        <f>IF('12 - Deployments &amp; Config'!AW81="","",'12 - Deployments &amp; Config'!AW81)</f>
        <v/>
      </c>
      <c r="U81" s="32" t="str">
        <f>IF('12 - Deployments &amp; Config'!AX81="","",'12 - Deployments &amp; Config'!AX81)</f>
        <v/>
      </c>
      <c r="V81" s="32" t="str">
        <f>IF('12 - Deployments &amp; Config'!BB81="","",'12 - Deployments &amp; Config'!BB81)</f>
        <v/>
      </c>
      <c r="W81" s="32" t="str">
        <f>IF('12 - Deployments &amp; Config'!BD81="","",'12 - Deployments &amp; Config'!BD81)</f>
        <v/>
      </c>
      <c r="X81" s="32" t="str">
        <f>IF('12 - Deployments &amp; Config'!BL81="","",'12 - Deployments &amp; Config'!BL81)</f>
        <v/>
      </c>
      <c r="Y81" s="32" t="str">
        <f>IF('12 - Deployments &amp; Config'!BC81="","",'12 - Deployments &amp; Config'!BC81)</f>
        <v/>
      </c>
      <c r="Z81" s="32" t="str">
        <f>IF('12 - Deployments &amp; Config'!P81="","",'12 - Deployments &amp; Config'!P81)</f>
        <v/>
      </c>
      <c r="AA81" s="32" t="str">
        <f>IF('12 - Deployments &amp; Config'!Q81="","",'12 - Deployments &amp; Config'!Q81)</f>
        <v/>
      </c>
    </row>
    <row r="82" spans="1:27">
      <c r="A82" s="33"/>
      <c r="B82" s="33"/>
      <c r="C82" s="32" t="str">
        <f>IF('12 - Deployments &amp; Config'!H82="","",'12 - Deployments &amp; Config'!H82)</f>
        <v>CFAM</v>
      </c>
      <c r="D82" s="32" t="str">
        <f>IF('12 - Deployments &amp; Config'!AF82="","",'12 - Deployments &amp; Config'!AF82)</f>
        <v/>
      </c>
      <c r="E82" s="32" t="str">
        <f>IF('12 - Deployments &amp; Config'!AG82="","",'12 - Deployments &amp; Config'!AG82)</f>
        <v/>
      </c>
      <c r="F82" s="32" t="str">
        <f>IF('12 - Deployments &amp; Config'!AH82="","",'12 - Deployments &amp; Config'!AH82)</f>
        <v/>
      </c>
      <c r="G82" s="32" t="str">
        <f>IF('12 - Deployments &amp; Config'!AI82="","",'12 - Deployments &amp; Config'!AI82)</f>
        <v/>
      </c>
      <c r="H82" s="32" t="str">
        <f>IF('12 - Deployments &amp; Config'!A82="","",'12 - Deployments &amp; Config'!A82)</f>
        <v>Cybernet</v>
      </c>
      <c r="I82" s="32" t="str">
        <f>IF('12 - Deployments &amp; Config'!AJ82="","",'12 - Deployments &amp; Config'!AJ82)</f>
        <v/>
      </c>
      <c r="J82" s="32" t="str">
        <f>IF('12 - Deployments &amp; Config'!AK82="","",'12 - Deployments &amp; Config'!AK82)</f>
        <v/>
      </c>
      <c r="K82" s="32" t="str">
        <f>IF('12 - Deployments &amp; Config'!AA82="","",'12 - Deployments &amp; Config'!AA82)</f>
        <v/>
      </c>
      <c r="L82" s="32" t="str">
        <f>IF('12 - Deployments &amp; Config'!I82="","",'12 - Deployments &amp; Config'!I82)</f>
        <v>OR iPro Cybernet Workstation</v>
      </c>
      <c r="M82" s="33"/>
      <c r="N82" s="32" t="str">
        <f>IF('12 - Deployments &amp; Config'!J82="","",'12 - Deployments &amp; Config'!J82)</f>
        <v>Yes</v>
      </c>
      <c r="O82" s="32" t="str">
        <f>IF('12 - Deployments &amp; Config'!K82="","",'12 - Deployments &amp; Config'!K82)</f>
        <v>No</v>
      </c>
      <c r="P82" s="32" t="str">
        <f>IF('12 - Deployments &amp; Config'!L82="","",'12 - Deployments &amp; Config'!L82)</f>
        <v>No</v>
      </c>
      <c r="Q82" s="33"/>
      <c r="R82" s="32" t="str">
        <f>IF('12 - Deployments &amp; Config'!AZ82="","",'12 - Deployments &amp; Config'!AZ82)</f>
        <v/>
      </c>
      <c r="S82" s="32" t="str">
        <f>IF('12 - Deployments &amp; Config'!AY82="","",'12 - Deployments &amp; Config'!AY82)</f>
        <v/>
      </c>
      <c r="T82" s="32" t="str">
        <f>IF('12 - Deployments &amp; Config'!AW82="","",'12 - Deployments &amp; Config'!AW82)</f>
        <v/>
      </c>
      <c r="U82" s="32" t="str">
        <f>IF('12 - Deployments &amp; Config'!AX82="","",'12 - Deployments &amp; Config'!AX82)</f>
        <v/>
      </c>
      <c r="V82" s="32" t="str">
        <f>IF('12 - Deployments &amp; Config'!BB82="","",'12 - Deployments &amp; Config'!BB82)</f>
        <v/>
      </c>
      <c r="W82" s="32" t="str">
        <f>IF('12 - Deployments &amp; Config'!BD82="","",'12 - Deployments &amp; Config'!BD82)</f>
        <v/>
      </c>
      <c r="X82" s="32" t="str">
        <f>IF('12 - Deployments &amp; Config'!BL82="","",'12 - Deployments &amp; Config'!BL82)</f>
        <v/>
      </c>
      <c r="Y82" s="32" t="str">
        <f>IF('12 - Deployments &amp; Config'!BC82="","",'12 - Deployments &amp; Config'!BC82)</f>
        <v/>
      </c>
      <c r="Z82" s="32" t="str">
        <f>IF('12 - Deployments &amp; Config'!P82="","",'12 - Deployments &amp; Config'!P82)</f>
        <v/>
      </c>
      <c r="AA82" s="32" t="str">
        <f>IF('12 - Deployments &amp; Config'!Q82="","",'12 - Deployments &amp; Config'!Q82)</f>
        <v/>
      </c>
    </row>
    <row r="83" spans="1:27">
      <c r="A83" s="33"/>
      <c r="B83" s="33"/>
      <c r="C83" s="32" t="str">
        <f>IF('12 - Deployments &amp; Config'!H83="","",'12 - Deployments &amp; Config'!H83)</f>
        <v>CFAM</v>
      </c>
      <c r="D83" s="32" t="str">
        <f>IF('12 - Deployments &amp; Config'!AF83="","",'12 - Deployments &amp; Config'!AF83)</f>
        <v/>
      </c>
      <c r="E83" s="32" t="str">
        <f>IF('12 - Deployments &amp; Config'!AG83="","",'12 - Deployments &amp; Config'!AG83)</f>
        <v/>
      </c>
      <c r="F83" s="32" t="str">
        <f>IF('12 - Deployments &amp; Config'!AH83="","",'12 - Deployments &amp; Config'!AH83)</f>
        <v/>
      </c>
      <c r="G83" s="32" t="str">
        <f>IF('12 - Deployments &amp; Config'!AI83="","",'12 - Deployments &amp; Config'!AI83)</f>
        <v/>
      </c>
      <c r="H83" s="32" t="str">
        <f>IF('12 - Deployments &amp; Config'!A83="","",'12 - Deployments &amp; Config'!A83)</f>
        <v>Cybernet</v>
      </c>
      <c r="I83" s="32" t="str">
        <f>IF('12 - Deployments &amp; Config'!AJ83="","",'12 - Deployments &amp; Config'!AJ83)</f>
        <v/>
      </c>
      <c r="J83" s="32" t="str">
        <f>IF('12 - Deployments &amp; Config'!AK83="","",'12 - Deployments &amp; Config'!AK83)</f>
        <v/>
      </c>
      <c r="K83" s="32" t="str">
        <f>IF('12 - Deployments &amp; Config'!AA83="","",'12 - Deployments &amp; Config'!AA83)</f>
        <v/>
      </c>
      <c r="L83" s="32" t="str">
        <f>IF('12 - Deployments &amp; Config'!I83="","",'12 - Deployments &amp; Config'!I83)</f>
        <v>OR iPro Cybernet Workstation</v>
      </c>
      <c r="M83" s="33"/>
      <c r="N83" s="32" t="str">
        <f>IF('12 - Deployments &amp; Config'!J83="","",'12 - Deployments &amp; Config'!J83)</f>
        <v>Yes</v>
      </c>
      <c r="O83" s="32" t="str">
        <f>IF('12 - Deployments &amp; Config'!K83="","",'12 - Deployments &amp; Config'!K83)</f>
        <v>No</v>
      </c>
      <c r="P83" s="32" t="str">
        <f>IF('12 - Deployments &amp; Config'!L83="","",'12 - Deployments &amp; Config'!L83)</f>
        <v>No</v>
      </c>
      <c r="Q83" s="33"/>
      <c r="R83" s="32" t="str">
        <f>IF('12 - Deployments &amp; Config'!AZ83="","",'12 - Deployments &amp; Config'!AZ83)</f>
        <v/>
      </c>
      <c r="S83" s="32" t="str">
        <f>IF('12 - Deployments &amp; Config'!AY83="","",'12 - Deployments &amp; Config'!AY83)</f>
        <v/>
      </c>
      <c r="T83" s="32" t="str">
        <f>IF('12 - Deployments &amp; Config'!AW83="","",'12 - Deployments &amp; Config'!AW83)</f>
        <v/>
      </c>
      <c r="U83" s="32" t="str">
        <f>IF('12 - Deployments &amp; Config'!AX83="","",'12 - Deployments &amp; Config'!AX83)</f>
        <v/>
      </c>
      <c r="V83" s="32" t="str">
        <f>IF('12 - Deployments &amp; Config'!BB83="","",'12 - Deployments &amp; Config'!BB83)</f>
        <v/>
      </c>
      <c r="W83" s="32" t="str">
        <f>IF('12 - Deployments &amp; Config'!BD83="","",'12 - Deployments &amp; Config'!BD83)</f>
        <v/>
      </c>
      <c r="X83" s="32" t="str">
        <f>IF('12 - Deployments &amp; Config'!BL83="","",'12 - Deployments &amp; Config'!BL83)</f>
        <v/>
      </c>
      <c r="Y83" s="32" t="str">
        <f>IF('12 - Deployments &amp; Config'!BC83="","",'12 - Deployments &amp; Config'!BC83)</f>
        <v/>
      </c>
      <c r="Z83" s="32" t="str">
        <f>IF('12 - Deployments &amp; Config'!P83="","",'12 - Deployments &amp; Config'!P83)</f>
        <v/>
      </c>
      <c r="AA83" s="32" t="str">
        <f>IF('12 - Deployments &amp; Config'!Q83="","",'12 - Deployments &amp; Config'!Q83)</f>
        <v/>
      </c>
    </row>
    <row r="84" spans="1:27">
      <c r="A84" s="33"/>
      <c r="B84" s="33"/>
      <c r="C84" s="32" t="str">
        <f>IF('12 - Deployments &amp; Config'!H84="","",'12 - Deployments &amp; Config'!H84)</f>
        <v>CFAM</v>
      </c>
      <c r="D84" s="32" t="str">
        <f>IF('12 - Deployments &amp; Config'!AF84="","",'12 - Deployments &amp; Config'!AF84)</f>
        <v/>
      </c>
      <c r="E84" s="32" t="str">
        <f>IF('12 - Deployments &amp; Config'!AG84="","",'12 - Deployments &amp; Config'!AG84)</f>
        <v/>
      </c>
      <c r="F84" s="32" t="str">
        <f>IF('12 - Deployments &amp; Config'!AH84="","",'12 - Deployments &amp; Config'!AH84)</f>
        <v/>
      </c>
      <c r="G84" s="32" t="str">
        <f>IF('12 - Deployments &amp; Config'!AI84="","",'12 - Deployments &amp; Config'!AI84)</f>
        <v/>
      </c>
      <c r="H84" s="32" t="str">
        <f>IF('12 - Deployments &amp; Config'!A84="","",'12 - Deployments &amp; Config'!A84)</f>
        <v>Cybernet</v>
      </c>
      <c r="I84" s="32" t="str">
        <f>IF('12 - Deployments &amp; Config'!AJ84="","",'12 - Deployments &amp; Config'!AJ84)</f>
        <v/>
      </c>
      <c r="J84" s="32" t="str">
        <f>IF('12 - Deployments &amp; Config'!AK84="","",'12 - Deployments &amp; Config'!AK84)</f>
        <v/>
      </c>
      <c r="K84" s="32" t="str">
        <f>IF('12 - Deployments &amp; Config'!AA84="","",'12 - Deployments &amp; Config'!AA84)</f>
        <v/>
      </c>
      <c r="L84" s="32" t="str">
        <f>IF('12 - Deployments &amp; Config'!I84="","",'12 - Deployments &amp; Config'!I84)</f>
        <v>OR iPro Cybernet Workstation</v>
      </c>
      <c r="M84" s="33"/>
      <c r="N84" s="32" t="str">
        <f>IF('12 - Deployments &amp; Config'!J84="","",'12 - Deployments &amp; Config'!J84)</f>
        <v>Yes</v>
      </c>
      <c r="O84" s="32" t="str">
        <f>IF('12 - Deployments &amp; Config'!K84="","",'12 - Deployments &amp; Config'!K84)</f>
        <v>No</v>
      </c>
      <c r="P84" s="32" t="str">
        <f>IF('12 - Deployments &amp; Config'!L84="","",'12 - Deployments &amp; Config'!L84)</f>
        <v>No</v>
      </c>
      <c r="Q84" s="33"/>
      <c r="R84" s="32" t="str">
        <f>IF('12 - Deployments &amp; Config'!AZ84="","",'12 - Deployments &amp; Config'!AZ84)</f>
        <v/>
      </c>
      <c r="S84" s="32" t="str">
        <f>IF('12 - Deployments &amp; Config'!AY84="","",'12 - Deployments &amp; Config'!AY84)</f>
        <v/>
      </c>
      <c r="T84" s="32" t="str">
        <f>IF('12 - Deployments &amp; Config'!AW84="","",'12 - Deployments &amp; Config'!AW84)</f>
        <v/>
      </c>
      <c r="U84" s="32" t="str">
        <f>IF('12 - Deployments &amp; Config'!AX84="","",'12 - Deployments &amp; Config'!AX84)</f>
        <v/>
      </c>
      <c r="V84" s="32" t="str">
        <f>IF('12 - Deployments &amp; Config'!BB84="","",'12 - Deployments &amp; Config'!BB84)</f>
        <v/>
      </c>
      <c r="W84" s="32" t="str">
        <f>IF('12 - Deployments &amp; Config'!BD84="","",'12 - Deployments &amp; Config'!BD84)</f>
        <v/>
      </c>
      <c r="X84" s="32" t="str">
        <f>IF('12 - Deployments &amp; Config'!BL84="","",'12 - Deployments &amp; Config'!BL84)</f>
        <v/>
      </c>
      <c r="Y84" s="32" t="str">
        <f>IF('12 - Deployments &amp; Config'!BC84="","",'12 - Deployments &amp; Config'!BC84)</f>
        <v/>
      </c>
      <c r="Z84" s="32" t="str">
        <f>IF('12 - Deployments &amp; Config'!P84="","",'12 - Deployments &amp; Config'!P84)</f>
        <v/>
      </c>
      <c r="AA84" s="32" t="str">
        <f>IF('12 - Deployments &amp; Config'!Q84="","",'12 - Deployments &amp; Config'!Q84)</f>
        <v/>
      </c>
    </row>
    <row r="85" spans="1:27">
      <c r="A85" s="33"/>
      <c r="B85" s="33"/>
      <c r="C85" s="32" t="str">
        <f>IF('12 - Deployments &amp; Config'!H85="","",'12 - Deployments &amp; Config'!H85)</f>
        <v>LIJ - CCMC</v>
      </c>
      <c r="D85" s="32" t="str">
        <f>IF('12 - Deployments &amp; Config'!AF85="","",'12 - Deployments &amp; Config'!AF85)</f>
        <v/>
      </c>
      <c r="E85" s="32" t="str">
        <f>IF('12 - Deployments &amp; Config'!AG85="","",'12 - Deployments &amp; Config'!AG85)</f>
        <v/>
      </c>
      <c r="F85" s="32" t="str">
        <f>IF('12 - Deployments &amp; Config'!AH85="","",'12 - Deployments &amp; Config'!AH85)</f>
        <v/>
      </c>
      <c r="G85" s="32" t="str">
        <f>IF('12 - Deployments &amp; Config'!AI85="","",'12 - Deployments &amp; Config'!AI85)</f>
        <v/>
      </c>
      <c r="H85" s="32" t="str">
        <f>IF('12 - Deployments &amp; Config'!A85="","",'12 - Deployments &amp; Config'!A85)</f>
        <v>Cybernet</v>
      </c>
      <c r="I85" s="32" t="str">
        <f>IF('12 - Deployments &amp; Config'!AJ85="","",'12 - Deployments &amp; Config'!AJ85)</f>
        <v/>
      </c>
      <c r="J85" s="32" t="str">
        <f>IF('12 - Deployments &amp; Config'!AK85="","",'12 - Deployments &amp; Config'!AK85)</f>
        <v/>
      </c>
      <c r="K85" s="32" t="str">
        <f>IF('12 - Deployments &amp; Config'!AA85="","",'12 - Deployments &amp; Config'!AA85)</f>
        <v/>
      </c>
      <c r="L85" s="32" t="str">
        <f>IF('12 - Deployments &amp; Config'!I85="","",'12 - Deployments &amp; Config'!I85)</f>
        <v>OR iPro Cybernet Workstation</v>
      </c>
      <c r="M85" s="33"/>
      <c r="N85" s="32" t="str">
        <f>IF('12 - Deployments &amp; Config'!J85="","",'12 - Deployments &amp; Config'!J85)</f>
        <v>Yes</v>
      </c>
      <c r="O85" s="32" t="str">
        <f>IF('12 - Deployments &amp; Config'!K85="","",'12 - Deployments &amp; Config'!K85)</f>
        <v>No</v>
      </c>
      <c r="P85" s="32" t="str">
        <f>IF('12 - Deployments &amp; Config'!L85="","",'12 - Deployments &amp; Config'!L85)</f>
        <v>No</v>
      </c>
      <c r="Q85" s="33"/>
      <c r="R85" s="32" t="str">
        <f>IF('12 - Deployments &amp; Config'!AZ85="","",'12 - Deployments &amp; Config'!AZ85)</f>
        <v/>
      </c>
      <c r="S85" s="32" t="str">
        <f>IF('12 - Deployments &amp; Config'!AY85="","",'12 - Deployments &amp; Config'!AY85)</f>
        <v/>
      </c>
      <c r="T85" s="32" t="str">
        <f>IF('12 - Deployments &amp; Config'!AW85="","",'12 - Deployments &amp; Config'!AW85)</f>
        <v/>
      </c>
      <c r="U85" s="32" t="str">
        <f>IF('12 - Deployments &amp; Config'!AX85="","",'12 - Deployments &amp; Config'!AX85)</f>
        <v/>
      </c>
      <c r="V85" s="32" t="str">
        <f>IF('12 - Deployments &amp; Config'!BB85="","",'12 - Deployments &amp; Config'!BB85)</f>
        <v/>
      </c>
      <c r="W85" s="32" t="str">
        <f>IF('12 - Deployments &amp; Config'!BD85="","",'12 - Deployments &amp; Config'!BD85)</f>
        <v/>
      </c>
      <c r="X85" s="32" t="str">
        <f>IF('12 - Deployments &amp; Config'!BL85="","",'12 - Deployments &amp; Config'!BL85)</f>
        <v/>
      </c>
      <c r="Y85" s="32" t="str">
        <f>IF('12 - Deployments &amp; Config'!BC85="","",'12 - Deployments &amp; Config'!BC85)</f>
        <v/>
      </c>
      <c r="Z85" s="32" t="str">
        <f>IF('12 - Deployments &amp; Config'!P85="","",'12 - Deployments &amp; Config'!P85)</f>
        <v/>
      </c>
      <c r="AA85" s="32" t="str">
        <f>IF('12 - Deployments &amp; Config'!Q85="","",'12 - Deployments &amp; Config'!Q85)</f>
        <v/>
      </c>
    </row>
    <row r="86" spans="1:27">
      <c r="A86" s="33"/>
      <c r="B86" s="33"/>
      <c r="C86" s="32" t="str">
        <f>IF('12 - Deployments &amp; Config'!H86="","",'12 - Deployments &amp; Config'!H86)</f>
        <v>LIJ - CCMC</v>
      </c>
      <c r="D86" s="32" t="str">
        <f>IF('12 - Deployments &amp; Config'!AF86="","",'12 - Deployments &amp; Config'!AF86)</f>
        <v/>
      </c>
      <c r="E86" s="32" t="str">
        <f>IF('12 - Deployments &amp; Config'!AG86="","",'12 - Deployments &amp; Config'!AG86)</f>
        <v/>
      </c>
      <c r="F86" s="32" t="str">
        <f>IF('12 - Deployments &amp; Config'!AH86="","",'12 - Deployments &amp; Config'!AH86)</f>
        <v/>
      </c>
      <c r="G86" s="32" t="str">
        <f>IF('12 - Deployments &amp; Config'!AI86="","",'12 - Deployments &amp; Config'!AI86)</f>
        <v/>
      </c>
      <c r="H86" s="32" t="str">
        <f>IF('12 - Deployments &amp; Config'!A86="","",'12 - Deployments &amp; Config'!A86)</f>
        <v>Cybernet</v>
      </c>
      <c r="I86" s="32" t="str">
        <f>IF('12 - Deployments &amp; Config'!AJ86="","",'12 - Deployments &amp; Config'!AJ86)</f>
        <v/>
      </c>
      <c r="J86" s="32" t="str">
        <f>IF('12 - Deployments &amp; Config'!AK86="","",'12 - Deployments &amp; Config'!AK86)</f>
        <v/>
      </c>
      <c r="K86" s="32" t="str">
        <f>IF('12 - Deployments &amp; Config'!AA86="","",'12 - Deployments &amp; Config'!AA86)</f>
        <v/>
      </c>
      <c r="L86" s="32" t="str">
        <f>IF('12 - Deployments &amp; Config'!I86="","",'12 - Deployments &amp; Config'!I86)</f>
        <v>OR iPro Cybernet Workstation</v>
      </c>
      <c r="M86" s="33"/>
      <c r="N86" s="32" t="str">
        <f>IF('12 - Deployments &amp; Config'!J86="","",'12 - Deployments &amp; Config'!J86)</f>
        <v>Yes</v>
      </c>
      <c r="O86" s="32" t="str">
        <f>IF('12 - Deployments &amp; Config'!K86="","",'12 - Deployments &amp; Config'!K86)</f>
        <v>No</v>
      </c>
      <c r="P86" s="32" t="str">
        <f>IF('12 - Deployments &amp; Config'!L86="","",'12 - Deployments &amp; Config'!L86)</f>
        <v>No</v>
      </c>
      <c r="Q86" s="33"/>
      <c r="R86" s="32" t="str">
        <f>IF('12 - Deployments &amp; Config'!AZ86="","",'12 - Deployments &amp; Config'!AZ86)</f>
        <v/>
      </c>
      <c r="S86" s="32" t="str">
        <f>IF('12 - Deployments &amp; Config'!AY86="","",'12 - Deployments &amp; Config'!AY86)</f>
        <v/>
      </c>
      <c r="T86" s="32" t="str">
        <f>IF('12 - Deployments &amp; Config'!AW86="","",'12 - Deployments &amp; Config'!AW86)</f>
        <v/>
      </c>
      <c r="U86" s="32" t="str">
        <f>IF('12 - Deployments &amp; Config'!AX86="","",'12 - Deployments &amp; Config'!AX86)</f>
        <v/>
      </c>
      <c r="V86" s="32" t="str">
        <f>IF('12 - Deployments &amp; Config'!BB86="","",'12 - Deployments &amp; Config'!BB86)</f>
        <v/>
      </c>
      <c r="W86" s="32" t="str">
        <f>IF('12 - Deployments &amp; Config'!BD86="","",'12 - Deployments &amp; Config'!BD86)</f>
        <v/>
      </c>
      <c r="X86" s="32" t="str">
        <f>IF('12 - Deployments &amp; Config'!BL86="","",'12 - Deployments &amp; Config'!BL86)</f>
        <v/>
      </c>
      <c r="Y86" s="32" t="str">
        <f>IF('12 - Deployments &amp; Config'!BC86="","",'12 - Deployments &amp; Config'!BC86)</f>
        <v/>
      </c>
      <c r="Z86" s="32" t="str">
        <f>IF('12 - Deployments &amp; Config'!P86="","",'12 - Deployments &amp; Config'!P86)</f>
        <v/>
      </c>
      <c r="AA86" s="32" t="str">
        <f>IF('12 - Deployments &amp; Config'!Q86="","",'12 - Deployments &amp; Config'!Q86)</f>
        <v/>
      </c>
    </row>
    <row r="87" spans="1:27">
      <c r="A87" s="33"/>
      <c r="B87" s="33"/>
      <c r="C87" s="32" t="str">
        <f>IF('12 - Deployments &amp; Config'!H87="","",'12 - Deployments &amp; Config'!H87)</f>
        <v>LIJ - CCMC</v>
      </c>
      <c r="D87" s="32" t="str">
        <f>IF('12 - Deployments &amp; Config'!AF87="","",'12 - Deployments &amp; Config'!AF87)</f>
        <v/>
      </c>
      <c r="E87" s="32" t="str">
        <f>IF('12 - Deployments &amp; Config'!AG87="","",'12 - Deployments &amp; Config'!AG87)</f>
        <v/>
      </c>
      <c r="F87" s="32" t="str">
        <f>IF('12 - Deployments &amp; Config'!AH87="","",'12 - Deployments &amp; Config'!AH87)</f>
        <v/>
      </c>
      <c r="G87" s="32" t="str">
        <f>IF('12 - Deployments &amp; Config'!AI87="","",'12 - Deployments &amp; Config'!AI87)</f>
        <v/>
      </c>
      <c r="H87" s="32" t="str">
        <f>IF('12 - Deployments &amp; Config'!A87="","",'12 - Deployments &amp; Config'!A87)</f>
        <v>Cybernet</v>
      </c>
      <c r="I87" s="32" t="str">
        <f>IF('12 - Deployments &amp; Config'!AJ87="","",'12 - Deployments &amp; Config'!AJ87)</f>
        <v/>
      </c>
      <c r="J87" s="32" t="str">
        <f>IF('12 - Deployments &amp; Config'!AK87="","",'12 - Deployments &amp; Config'!AK87)</f>
        <v/>
      </c>
      <c r="K87" s="32" t="str">
        <f>IF('12 - Deployments &amp; Config'!AA87="","",'12 - Deployments &amp; Config'!AA87)</f>
        <v/>
      </c>
      <c r="L87" s="32" t="str">
        <f>IF('12 - Deployments &amp; Config'!I87="","",'12 - Deployments &amp; Config'!I87)</f>
        <v>OR iPro Cybernet Workstation</v>
      </c>
      <c r="M87" s="33"/>
      <c r="N87" s="32" t="str">
        <f>IF('12 - Deployments &amp; Config'!J87="","",'12 - Deployments &amp; Config'!J87)</f>
        <v>Yes</v>
      </c>
      <c r="O87" s="32" t="str">
        <f>IF('12 - Deployments &amp; Config'!K87="","",'12 - Deployments &amp; Config'!K87)</f>
        <v>No</v>
      </c>
      <c r="P87" s="32" t="str">
        <f>IF('12 - Deployments &amp; Config'!L87="","",'12 - Deployments &amp; Config'!L87)</f>
        <v>No</v>
      </c>
      <c r="Q87" s="33"/>
      <c r="R87" s="32" t="str">
        <f>IF('12 - Deployments &amp; Config'!AZ87="","",'12 - Deployments &amp; Config'!AZ87)</f>
        <v/>
      </c>
      <c r="S87" s="32" t="str">
        <f>IF('12 - Deployments &amp; Config'!AY87="","",'12 - Deployments &amp; Config'!AY87)</f>
        <v/>
      </c>
      <c r="T87" s="32" t="str">
        <f>IF('12 - Deployments &amp; Config'!AW87="","",'12 - Deployments &amp; Config'!AW87)</f>
        <v/>
      </c>
      <c r="U87" s="32" t="str">
        <f>IF('12 - Deployments &amp; Config'!AX87="","",'12 - Deployments &amp; Config'!AX87)</f>
        <v/>
      </c>
      <c r="V87" s="32" t="str">
        <f>IF('12 - Deployments &amp; Config'!BB87="","",'12 - Deployments &amp; Config'!BB87)</f>
        <v/>
      </c>
      <c r="W87" s="32" t="str">
        <f>IF('12 - Deployments &amp; Config'!BD87="","",'12 - Deployments &amp; Config'!BD87)</f>
        <v/>
      </c>
      <c r="X87" s="32" t="str">
        <f>IF('12 - Deployments &amp; Config'!BL87="","",'12 - Deployments &amp; Config'!BL87)</f>
        <v/>
      </c>
      <c r="Y87" s="32" t="str">
        <f>IF('12 - Deployments &amp; Config'!BC87="","",'12 - Deployments &amp; Config'!BC87)</f>
        <v/>
      </c>
      <c r="Z87" s="32" t="str">
        <f>IF('12 - Deployments &amp; Config'!P87="","",'12 - Deployments &amp; Config'!P87)</f>
        <v/>
      </c>
      <c r="AA87" s="32" t="str">
        <f>IF('12 - Deployments &amp; Config'!Q87="","",'12 - Deployments &amp; Config'!Q87)</f>
        <v/>
      </c>
    </row>
    <row r="88" spans="1:27">
      <c r="A88" s="33"/>
      <c r="B88" s="33"/>
      <c r="C88" s="32" t="str">
        <f>IF('12 - Deployments &amp; Config'!H88="","",'12 - Deployments &amp; Config'!H88)</f>
        <v>LIJ - CCMC</v>
      </c>
      <c r="D88" s="32" t="str">
        <f>IF('12 - Deployments &amp; Config'!AF88="","",'12 - Deployments &amp; Config'!AF88)</f>
        <v/>
      </c>
      <c r="E88" s="32" t="str">
        <f>IF('12 - Deployments &amp; Config'!AG88="","",'12 - Deployments &amp; Config'!AG88)</f>
        <v/>
      </c>
      <c r="F88" s="32" t="str">
        <f>IF('12 - Deployments &amp; Config'!AH88="","",'12 - Deployments &amp; Config'!AH88)</f>
        <v/>
      </c>
      <c r="G88" s="32" t="str">
        <f>IF('12 - Deployments &amp; Config'!AI88="","",'12 - Deployments &amp; Config'!AI88)</f>
        <v/>
      </c>
      <c r="H88" s="32" t="str">
        <f>IF('12 - Deployments &amp; Config'!A88="","",'12 - Deployments &amp; Config'!A88)</f>
        <v>Cybernet</v>
      </c>
      <c r="I88" s="32" t="str">
        <f>IF('12 - Deployments &amp; Config'!AJ88="","",'12 - Deployments &amp; Config'!AJ88)</f>
        <v/>
      </c>
      <c r="J88" s="32" t="str">
        <f>IF('12 - Deployments &amp; Config'!AK88="","",'12 - Deployments &amp; Config'!AK88)</f>
        <v/>
      </c>
      <c r="K88" s="32" t="str">
        <f>IF('12 - Deployments &amp; Config'!AA88="","",'12 - Deployments &amp; Config'!AA88)</f>
        <v/>
      </c>
      <c r="L88" s="32" t="str">
        <f>IF('12 - Deployments &amp; Config'!I88="","",'12 - Deployments &amp; Config'!I88)</f>
        <v>OR iPro Cybernet Workstation</v>
      </c>
      <c r="M88" s="33"/>
      <c r="N88" s="32" t="str">
        <f>IF('12 - Deployments &amp; Config'!J88="","",'12 - Deployments &amp; Config'!J88)</f>
        <v>Yes</v>
      </c>
      <c r="O88" s="32" t="str">
        <f>IF('12 - Deployments &amp; Config'!K88="","",'12 - Deployments &amp; Config'!K88)</f>
        <v>No</v>
      </c>
      <c r="P88" s="32" t="str">
        <f>IF('12 - Deployments &amp; Config'!L88="","",'12 - Deployments &amp; Config'!L88)</f>
        <v>No</v>
      </c>
      <c r="Q88" s="33"/>
      <c r="R88" s="32" t="str">
        <f>IF('12 - Deployments &amp; Config'!AZ88="","",'12 - Deployments &amp; Config'!AZ88)</f>
        <v/>
      </c>
      <c r="S88" s="32" t="str">
        <f>IF('12 - Deployments &amp; Config'!AY88="","",'12 - Deployments &amp; Config'!AY88)</f>
        <v/>
      </c>
      <c r="T88" s="32" t="str">
        <f>IF('12 - Deployments &amp; Config'!AW88="","",'12 - Deployments &amp; Config'!AW88)</f>
        <v/>
      </c>
      <c r="U88" s="32" t="str">
        <f>IF('12 - Deployments &amp; Config'!AX88="","",'12 - Deployments &amp; Config'!AX88)</f>
        <v/>
      </c>
      <c r="V88" s="32" t="str">
        <f>IF('12 - Deployments &amp; Config'!BB88="","",'12 - Deployments &amp; Config'!BB88)</f>
        <v/>
      </c>
      <c r="W88" s="32" t="str">
        <f>IF('12 - Deployments &amp; Config'!BD88="","",'12 - Deployments &amp; Config'!BD88)</f>
        <v/>
      </c>
      <c r="X88" s="32" t="str">
        <f>IF('12 - Deployments &amp; Config'!BL88="","",'12 - Deployments &amp; Config'!BL88)</f>
        <v/>
      </c>
      <c r="Y88" s="32" t="str">
        <f>IF('12 - Deployments &amp; Config'!BC88="","",'12 - Deployments &amp; Config'!BC88)</f>
        <v/>
      </c>
      <c r="Z88" s="32" t="str">
        <f>IF('12 - Deployments &amp; Config'!P88="","",'12 - Deployments &amp; Config'!P88)</f>
        <v/>
      </c>
      <c r="AA88" s="32" t="str">
        <f>IF('12 - Deployments &amp; Config'!Q88="","",'12 - Deployments &amp; Config'!Q88)</f>
        <v/>
      </c>
    </row>
    <row r="89" spans="1:27">
      <c r="A89" s="33"/>
      <c r="B89" s="33"/>
      <c r="C89" s="32" t="str">
        <f>IF('12 - Deployments &amp; Config'!H89="","",'12 - Deployments &amp; Config'!H89)</f>
        <v>LIJ - CCMC</v>
      </c>
      <c r="D89" s="32" t="str">
        <f>IF('12 - Deployments &amp; Config'!AF89="","",'12 - Deployments &amp; Config'!AF89)</f>
        <v/>
      </c>
      <c r="E89" s="32" t="str">
        <f>IF('12 - Deployments &amp; Config'!AG89="","",'12 - Deployments &amp; Config'!AG89)</f>
        <v/>
      </c>
      <c r="F89" s="32" t="str">
        <f>IF('12 - Deployments &amp; Config'!AH89="","",'12 - Deployments &amp; Config'!AH89)</f>
        <v/>
      </c>
      <c r="G89" s="32" t="str">
        <f>IF('12 - Deployments &amp; Config'!AI89="","",'12 - Deployments &amp; Config'!AI89)</f>
        <v/>
      </c>
      <c r="H89" s="32" t="str">
        <f>IF('12 - Deployments &amp; Config'!A89="","",'12 - Deployments &amp; Config'!A89)</f>
        <v>Cybernet</v>
      </c>
      <c r="I89" s="32" t="str">
        <f>IF('12 - Deployments &amp; Config'!AJ89="","",'12 - Deployments &amp; Config'!AJ89)</f>
        <v/>
      </c>
      <c r="J89" s="32" t="str">
        <f>IF('12 - Deployments &amp; Config'!AK89="","",'12 - Deployments &amp; Config'!AK89)</f>
        <v/>
      </c>
      <c r="K89" s="32" t="str">
        <f>IF('12 - Deployments &amp; Config'!AA89="","",'12 - Deployments &amp; Config'!AA89)</f>
        <v/>
      </c>
      <c r="L89" s="32" t="str">
        <f>IF('12 - Deployments &amp; Config'!I89="","",'12 - Deployments &amp; Config'!I89)</f>
        <v>OR iPro Cybernet Workstation</v>
      </c>
      <c r="M89" s="33"/>
      <c r="N89" s="32" t="str">
        <f>IF('12 - Deployments &amp; Config'!J89="","",'12 - Deployments &amp; Config'!J89)</f>
        <v>Yes</v>
      </c>
      <c r="O89" s="32" t="str">
        <f>IF('12 - Deployments &amp; Config'!K89="","",'12 - Deployments &amp; Config'!K89)</f>
        <v>No</v>
      </c>
      <c r="P89" s="32" t="str">
        <f>IF('12 - Deployments &amp; Config'!L89="","",'12 - Deployments &amp; Config'!L89)</f>
        <v>No</v>
      </c>
      <c r="Q89" s="33"/>
      <c r="R89" s="32" t="str">
        <f>IF('12 - Deployments &amp; Config'!AZ89="","",'12 - Deployments &amp; Config'!AZ89)</f>
        <v/>
      </c>
      <c r="S89" s="32" t="str">
        <f>IF('12 - Deployments &amp; Config'!AY89="","",'12 - Deployments &amp; Config'!AY89)</f>
        <v/>
      </c>
      <c r="T89" s="32" t="str">
        <f>IF('12 - Deployments &amp; Config'!AW89="","",'12 - Deployments &amp; Config'!AW89)</f>
        <v/>
      </c>
      <c r="U89" s="32" t="str">
        <f>IF('12 - Deployments &amp; Config'!AX89="","",'12 - Deployments &amp; Config'!AX89)</f>
        <v/>
      </c>
      <c r="V89" s="32" t="str">
        <f>IF('12 - Deployments &amp; Config'!BB89="","",'12 - Deployments &amp; Config'!BB89)</f>
        <v/>
      </c>
      <c r="W89" s="32" t="str">
        <f>IF('12 - Deployments &amp; Config'!BD89="","",'12 - Deployments &amp; Config'!BD89)</f>
        <v/>
      </c>
      <c r="X89" s="32" t="str">
        <f>IF('12 - Deployments &amp; Config'!BL89="","",'12 - Deployments &amp; Config'!BL89)</f>
        <v/>
      </c>
      <c r="Y89" s="32" t="str">
        <f>IF('12 - Deployments &amp; Config'!BC89="","",'12 - Deployments &amp; Config'!BC89)</f>
        <v/>
      </c>
      <c r="Z89" s="32" t="str">
        <f>IF('12 - Deployments &amp; Config'!P89="","",'12 - Deployments &amp; Config'!P89)</f>
        <v/>
      </c>
      <c r="AA89" s="32" t="str">
        <f>IF('12 - Deployments &amp; Config'!Q89="","",'12 - Deployments &amp; Config'!Q89)</f>
        <v/>
      </c>
    </row>
    <row r="90" spans="1:27">
      <c r="A90" s="33"/>
      <c r="B90" s="33"/>
      <c r="C90" s="32" t="str">
        <f>IF('12 - Deployments &amp; Config'!H90="","",'12 - Deployments &amp; Config'!H90)</f>
        <v>LIJ - Proc</v>
      </c>
      <c r="D90" s="32" t="str">
        <f>IF('12 - Deployments &amp; Config'!AF90="","",'12 - Deployments &amp; Config'!AF90)</f>
        <v/>
      </c>
      <c r="E90" s="32" t="str">
        <f>IF('12 - Deployments &amp; Config'!AG90="","",'12 - Deployments &amp; Config'!AG90)</f>
        <v/>
      </c>
      <c r="F90" s="32" t="str">
        <f>IF('12 - Deployments &amp; Config'!AH90="","",'12 - Deployments &amp; Config'!AH90)</f>
        <v/>
      </c>
      <c r="G90" s="32" t="str">
        <f>IF('12 - Deployments &amp; Config'!AI90="","",'12 - Deployments &amp; Config'!AI90)</f>
        <v/>
      </c>
      <c r="H90" s="32" t="str">
        <f>IF('12 - Deployments &amp; Config'!A90="","",'12 - Deployments &amp; Config'!A90)</f>
        <v>Cybernet</v>
      </c>
      <c r="I90" s="32" t="str">
        <f>IF('12 - Deployments &amp; Config'!AJ90="","",'12 - Deployments &amp; Config'!AJ90)</f>
        <v/>
      </c>
      <c r="J90" s="32" t="str">
        <f>IF('12 - Deployments &amp; Config'!AK90="","",'12 - Deployments &amp; Config'!AK90)</f>
        <v/>
      </c>
      <c r="K90" s="32" t="str">
        <f>IF('12 - Deployments &amp; Config'!AA90="","",'12 - Deployments &amp; Config'!AA90)</f>
        <v/>
      </c>
      <c r="L90" s="32" t="str">
        <f>IF('12 - Deployments &amp; Config'!I90="","",'12 - Deployments &amp; Config'!I90)</f>
        <v>OR iPro Cybernet Workstation</v>
      </c>
      <c r="M90" s="33"/>
      <c r="N90" s="32" t="str">
        <f>IF('12 - Deployments &amp; Config'!J90="","",'12 - Deployments &amp; Config'!J90)</f>
        <v>Yes</v>
      </c>
      <c r="O90" s="32" t="str">
        <f>IF('12 - Deployments &amp; Config'!K90="","",'12 - Deployments &amp; Config'!K90)</f>
        <v>No</v>
      </c>
      <c r="P90" s="32" t="str">
        <f>IF('12 - Deployments &amp; Config'!L90="","",'12 - Deployments &amp; Config'!L90)</f>
        <v>No</v>
      </c>
      <c r="Q90" s="33"/>
      <c r="R90" s="32" t="str">
        <f>IF('12 - Deployments &amp; Config'!AZ90="","",'12 - Deployments &amp; Config'!AZ90)</f>
        <v/>
      </c>
      <c r="S90" s="32" t="str">
        <f>IF('12 - Deployments &amp; Config'!AY90="","",'12 - Deployments &amp; Config'!AY90)</f>
        <v/>
      </c>
      <c r="T90" s="32" t="str">
        <f>IF('12 - Deployments &amp; Config'!AW90="","",'12 - Deployments &amp; Config'!AW90)</f>
        <v/>
      </c>
      <c r="U90" s="32" t="str">
        <f>IF('12 - Deployments &amp; Config'!AX90="","",'12 - Deployments &amp; Config'!AX90)</f>
        <v/>
      </c>
      <c r="V90" s="32" t="str">
        <f>IF('12 - Deployments &amp; Config'!BB90="","",'12 - Deployments &amp; Config'!BB90)</f>
        <v/>
      </c>
      <c r="W90" s="32" t="str">
        <f>IF('12 - Deployments &amp; Config'!BD90="","",'12 - Deployments &amp; Config'!BD90)</f>
        <v/>
      </c>
      <c r="X90" s="32" t="str">
        <f>IF('12 - Deployments &amp; Config'!BL90="","",'12 - Deployments &amp; Config'!BL90)</f>
        <v/>
      </c>
      <c r="Y90" s="32" t="str">
        <f>IF('12 - Deployments &amp; Config'!BC90="","",'12 - Deployments &amp; Config'!BC90)</f>
        <v/>
      </c>
      <c r="Z90" s="32" t="str">
        <f>IF('12 - Deployments &amp; Config'!P90="","",'12 - Deployments &amp; Config'!P90)</f>
        <v/>
      </c>
      <c r="AA90" s="32" t="str">
        <f>IF('12 - Deployments &amp; Config'!Q90="","",'12 - Deployments &amp; Config'!Q90)</f>
        <v/>
      </c>
    </row>
    <row r="91" spans="1:27">
      <c r="A91" s="33"/>
      <c r="B91" s="33"/>
      <c r="C91" s="32" t="str">
        <f>IF('12 - Deployments &amp; Config'!H91="","",'12 - Deployments &amp; Config'!H91)</f>
        <v>LIJ - Proc</v>
      </c>
      <c r="D91" s="32" t="str">
        <f>IF('12 - Deployments &amp; Config'!AF91="","",'12 - Deployments &amp; Config'!AF91)</f>
        <v/>
      </c>
      <c r="E91" s="32" t="str">
        <f>IF('12 - Deployments &amp; Config'!AG91="","",'12 - Deployments &amp; Config'!AG91)</f>
        <v/>
      </c>
      <c r="F91" s="32" t="str">
        <f>IF('12 - Deployments &amp; Config'!AH91="","",'12 - Deployments &amp; Config'!AH91)</f>
        <v/>
      </c>
      <c r="G91" s="32" t="str">
        <f>IF('12 - Deployments &amp; Config'!AI91="","",'12 - Deployments &amp; Config'!AI91)</f>
        <v/>
      </c>
      <c r="H91" s="32" t="str">
        <f>IF('12 - Deployments &amp; Config'!A91="","",'12 - Deployments &amp; Config'!A91)</f>
        <v>Cybernet</v>
      </c>
      <c r="I91" s="32" t="str">
        <f>IF('12 - Deployments &amp; Config'!AJ91="","",'12 - Deployments &amp; Config'!AJ91)</f>
        <v/>
      </c>
      <c r="J91" s="32" t="str">
        <f>IF('12 - Deployments &amp; Config'!AK91="","",'12 - Deployments &amp; Config'!AK91)</f>
        <v/>
      </c>
      <c r="K91" s="32" t="str">
        <f>IF('12 - Deployments &amp; Config'!AA91="","",'12 - Deployments &amp; Config'!AA91)</f>
        <v/>
      </c>
      <c r="L91" s="32" t="str">
        <f>IF('12 - Deployments &amp; Config'!I91="","",'12 - Deployments &amp; Config'!I91)</f>
        <v>OR iPro Cybernet Workstation</v>
      </c>
      <c r="M91" s="33"/>
      <c r="N91" s="32" t="str">
        <f>IF('12 - Deployments &amp; Config'!J91="","",'12 - Deployments &amp; Config'!J91)</f>
        <v>Yes</v>
      </c>
      <c r="O91" s="32" t="str">
        <f>IF('12 - Deployments &amp; Config'!K91="","",'12 - Deployments &amp; Config'!K91)</f>
        <v>No</v>
      </c>
      <c r="P91" s="32" t="str">
        <f>IF('12 - Deployments &amp; Config'!L91="","",'12 - Deployments &amp; Config'!L91)</f>
        <v>No</v>
      </c>
      <c r="Q91" s="33"/>
      <c r="R91" s="32" t="str">
        <f>IF('12 - Deployments &amp; Config'!AZ91="","",'12 - Deployments &amp; Config'!AZ91)</f>
        <v/>
      </c>
      <c r="S91" s="32" t="str">
        <f>IF('12 - Deployments &amp; Config'!AY91="","",'12 - Deployments &amp; Config'!AY91)</f>
        <v/>
      </c>
      <c r="T91" s="32" t="str">
        <f>IF('12 - Deployments &amp; Config'!AW91="","",'12 - Deployments &amp; Config'!AW91)</f>
        <v/>
      </c>
      <c r="U91" s="32" t="str">
        <f>IF('12 - Deployments &amp; Config'!AX91="","",'12 - Deployments &amp; Config'!AX91)</f>
        <v/>
      </c>
      <c r="V91" s="32" t="str">
        <f>IF('12 - Deployments &amp; Config'!BB91="","",'12 - Deployments &amp; Config'!BB91)</f>
        <v/>
      </c>
      <c r="W91" s="32" t="str">
        <f>IF('12 - Deployments &amp; Config'!BD91="","",'12 - Deployments &amp; Config'!BD91)</f>
        <v/>
      </c>
      <c r="X91" s="32" t="str">
        <f>IF('12 - Deployments &amp; Config'!BL91="","",'12 - Deployments &amp; Config'!BL91)</f>
        <v/>
      </c>
      <c r="Y91" s="32" t="str">
        <f>IF('12 - Deployments &amp; Config'!BC91="","",'12 - Deployments &amp; Config'!BC91)</f>
        <v/>
      </c>
      <c r="Z91" s="32" t="str">
        <f>IF('12 - Deployments &amp; Config'!P91="","",'12 - Deployments &amp; Config'!P91)</f>
        <v/>
      </c>
      <c r="AA91" s="32" t="str">
        <f>IF('12 - Deployments &amp; Config'!Q91="","",'12 - Deployments &amp; Config'!Q91)</f>
        <v/>
      </c>
    </row>
    <row r="92" spans="1:27">
      <c r="A92" s="33"/>
      <c r="B92" s="33"/>
      <c r="C92" s="32" t="str">
        <f>IF('12 - Deployments &amp; Config'!H92="","",'12 - Deployments &amp; Config'!H92)</f>
        <v>LIJ - Proc</v>
      </c>
      <c r="D92" s="32" t="str">
        <f>IF('12 - Deployments &amp; Config'!AF92="","",'12 - Deployments &amp; Config'!AF92)</f>
        <v/>
      </c>
      <c r="E92" s="32" t="str">
        <f>IF('12 - Deployments &amp; Config'!AG92="","",'12 - Deployments &amp; Config'!AG92)</f>
        <v/>
      </c>
      <c r="F92" s="32" t="str">
        <f>IF('12 - Deployments &amp; Config'!AH92="","",'12 - Deployments &amp; Config'!AH92)</f>
        <v/>
      </c>
      <c r="G92" s="32" t="str">
        <f>IF('12 - Deployments &amp; Config'!AI92="","",'12 - Deployments &amp; Config'!AI92)</f>
        <v/>
      </c>
      <c r="H92" s="32" t="str">
        <f>IF('12 - Deployments &amp; Config'!A92="","",'12 - Deployments &amp; Config'!A92)</f>
        <v>Cybernet</v>
      </c>
      <c r="I92" s="32" t="str">
        <f>IF('12 - Deployments &amp; Config'!AJ92="","",'12 - Deployments &amp; Config'!AJ92)</f>
        <v/>
      </c>
      <c r="J92" s="32" t="str">
        <f>IF('12 - Deployments &amp; Config'!AK92="","",'12 - Deployments &amp; Config'!AK92)</f>
        <v/>
      </c>
      <c r="K92" s="32" t="str">
        <f>IF('12 - Deployments &amp; Config'!AA92="","",'12 - Deployments &amp; Config'!AA92)</f>
        <v/>
      </c>
      <c r="L92" s="32" t="str">
        <f>IF('12 - Deployments &amp; Config'!I92="","",'12 - Deployments &amp; Config'!I92)</f>
        <v>OR iPro Cybernet Workstation</v>
      </c>
      <c r="M92" s="33"/>
      <c r="N92" s="32" t="str">
        <f>IF('12 - Deployments &amp; Config'!J92="","",'12 - Deployments &amp; Config'!J92)</f>
        <v>Yes</v>
      </c>
      <c r="O92" s="32" t="str">
        <f>IF('12 - Deployments &amp; Config'!K92="","",'12 - Deployments &amp; Config'!K92)</f>
        <v>No</v>
      </c>
      <c r="P92" s="32" t="str">
        <f>IF('12 - Deployments &amp; Config'!L92="","",'12 - Deployments &amp; Config'!L92)</f>
        <v>No</v>
      </c>
      <c r="Q92" s="33"/>
      <c r="R92" s="32" t="str">
        <f>IF('12 - Deployments &amp; Config'!AZ92="","",'12 - Deployments &amp; Config'!AZ92)</f>
        <v/>
      </c>
      <c r="S92" s="32" t="str">
        <f>IF('12 - Deployments &amp; Config'!AY92="","",'12 - Deployments &amp; Config'!AY92)</f>
        <v/>
      </c>
      <c r="T92" s="32" t="str">
        <f>IF('12 - Deployments &amp; Config'!AW92="","",'12 - Deployments &amp; Config'!AW92)</f>
        <v/>
      </c>
      <c r="U92" s="32" t="str">
        <f>IF('12 - Deployments &amp; Config'!AX92="","",'12 - Deployments &amp; Config'!AX92)</f>
        <v/>
      </c>
      <c r="V92" s="32" t="str">
        <f>IF('12 - Deployments &amp; Config'!BB92="","",'12 - Deployments &amp; Config'!BB92)</f>
        <v/>
      </c>
      <c r="W92" s="32" t="str">
        <f>IF('12 - Deployments &amp; Config'!BD92="","",'12 - Deployments &amp; Config'!BD92)</f>
        <v/>
      </c>
      <c r="X92" s="32" t="str">
        <f>IF('12 - Deployments &amp; Config'!BL92="","",'12 - Deployments &amp; Config'!BL92)</f>
        <v/>
      </c>
      <c r="Y92" s="32" t="str">
        <f>IF('12 - Deployments &amp; Config'!BC92="","",'12 - Deployments &amp; Config'!BC92)</f>
        <v/>
      </c>
      <c r="Z92" s="32" t="str">
        <f>IF('12 - Deployments &amp; Config'!P92="","",'12 - Deployments &amp; Config'!P92)</f>
        <v/>
      </c>
      <c r="AA92" s="32" t="str">
        <f>IF('12 - Deployments &amp; Config'!Q92="","",'12 - Deployments &amp; Config'!Q92)</f>
        <v/>
      </c>
    </row>
    <row r="93" spans="1:27">
      <c r="A93" s="33"/>
      <c r="B93" s="33"/>
      <c r="C93" s="32" t="str">
        <f>IF('12 - Deployments &amp; Config'!H93="","",'12 - Deployments &amp; Config'!H93)</f>
        <v>LIJ - Proc</v>
      </c>
      <c r="D93" s="32" t="str">
        <f>IF('12 - Deployments &amp; Config'!AF93="","",'12 - Deployments &amp; Config'!AF93)</f>
        <v/>
      </c>
      <c r="E93" s="32" t="str">
        <f>IF('12 - Deployments &amp; Config'!AG93="","",'12 - Deployments &amp; Config'!AG93)</f>
        <v/>
      </c>
      <c r="F93" s="32" t="str">
        <f>IF('12 - Deployments &amp; Config'!AH93="","",'12 - Deployments &amp; Config'!AH93)</f>
        <v/>
      </c>
      <c r="G93" s="32" t="str">
        <f>IF('12 - Deployments &amp; Config'!AI93="","",'12 - Deployments &amp; Config'!AI93)</f>
        <v/>
      </c>
      <c r="H93" s="32" t="str">
        <f>IF('12 - Deployments &amp; Config'!A93="","",'12 - Deployments &amp; Config'!A93)</f>
        <v>Cybernet</v>
      </c>
      <c r="I93" s="32" t="str">
        <f>IF('12 - Deployments &amp; Config'!AJ93="","",'12 - Deployments &amp; Config'!AJ93)</f>
        <v/>
      </c>
      <c r="J93" s="32" t="str">
        <f>IF('12 - Deployments &amp; Config'!AK93="","",'12 - Deployments &amp; Config'!AK93)</f>
        <v/>
      </c>
      <c r="K93" s="32" t="str">
        <f>IF('12 - Deployments &amp; Config'!AA93="","",'12 - Deployments &amp; Config'!AA93)</f>
        <v/>
      </c>
      <c r="L93" s="32" t="str">
        <f>IF('12 - Deployments &amp; Config'!I93="","",'12 - Deployments &amp; Config'!I93)</f>
        <v>OR iPro Cybernet Workstation</v>
      </c>
      <c r="M93" s="33"/>
      <c r="N93" s="32" t="str">
        <f>IF('12 - Deployments &amp; Config'!J93="","",'12 - Deployments &amp; Config'!J93)</f>
        <v>Yes</v>
      </c>
      <c r="O93" s="32" t="str">
        <f>IF('12 - Deployments &amp; Config'!K93="","",'12 - Deployments &amp; Config'!K93)</f>
        <v>No</v>
      </c>
      <c r="P93" s="32" t="str">
        <f>IF('12 - Deployments &amp; Config'!L93="","",'12 - Deployments &amp; Config'!L93)</f>
        <v>No</v>
      </c>
      <c r="Q93" s="33"/>
      <c r="R93" s="32" t="str">
        <f>IF('12 - Deployments &amp; Config'!AZ93="","",'12 - Deployments &amp; Config'!AZ93)</f>
        <v/>
      </c>
      <c r="S93" s="32" t="str">
        <f>IF('12 - Deployments &amp; Config'!AY93="","",'12 - Deployments &amp; Config'!AY93)</f>
        <v/>
      </c>
      <c r="T93" s="32" t="str">
        <f>IF('12 - Deployments &amp; Config'!AW93="","",'12 - Deployments &amp; Config'!AW93)</f>
        <v/>
      </c>
      <c r="U93" s="32" t="str">
        <f>IF('12 - Deployments &amp; Config'!AX93="","",'12 - Deployments &amp; Config'!AX93)</f>
        <v/>
      </c>
      <c r="V93" s="32" t="str">
        <f>IF('12 - Deployments &amp; Config'!BB93="","",'12 - Deployments &amp; Config'!BB93)</f>
        <v/>
      </c>
      <c r="W93" s="32" t="str">
        <f>IF('12 - Deployments &amp; Config'!BD93="","",'12 - Deployments &amp; Config'!BD93)</f>
        <v/>
      </c>
      <c r="X93" s="32" t="str">
        <f>IF('12 - Deployments &amp; Config'!BL93="","",'12 - Deployments &amp; Config'!BL93)</f>
        <v/>
      </c>
      <c r="Y93" s="32" t="str">
        <f>IF('12 - Deployments &amp; Config'!BC93="","",'12 - Deployments &amp; Config'!BC93)</f>
        <v/>
      </c>
      <c r="Z93" s="32" t="str">
        <f>IF('12 - Deployments &amp; Config'!P93="","",'12 - Deployments &amp; Config'!P93)</f>
        <v/>
      </c>
      <c r="AA93" s="32" t="str">
        <f>IF('12 - Deployments &amp; Config'!Q93="","",'12 - Deployments &amp; Config'!Q93)</f>
        <v/>
      </c>
    </row>
    <row r="94" spans="1:27">
      <c r="A94" s="33"/>
      <c r="B94" s="33"/>
      <c r="C94" s="32" t="str">
        <f>IF('12 - Deployments &amp; Config'!H94="","",'12 - Deployments &amp; Config'!H94)</f>
        <v>LIJ - Proc</v>
      </c>
      <c r="D94" s="32" t="str">
        <f>IF('12 - Deployments &amp; Config'!AF94="","",'12 - Deployments &amp; Config'!AF94)</f>
        <v/>
      </c>
      <c r="E94" s="32" t="str">
        <f>IF('12 - Deployments &amp; Config'!AG94="","",'12 - Deployments &amp; Config'!AG94)</f>
        <v/>
      </c>
      <c r="F94" s="32" t="str">
        <f>IF('12 - Deployments &amp; Config'!AH94="","",'12 - Deployments &amp; Config'!AH94)</f>
        <v/>
      </c>
      <c r="G94" s="32" t="str">
        <f>IF('12 - Deployments &amp; Config'!AI94="","",'12 - Deployments &amp; Config'!AI94)</f>
        <v/>
      </c>
      <c r="H94" s="32" t="str">
        <f>IF('12 - Deployments &amp; Config'!A94="","",'12 - Deployments &amp; Config'!A94)</f>
        <v>Cybernet</v>
      </c>
      <c r="I94" s="32" t="str">
        <f>IF('12 - Deployments &amp; Config'!AJ94="","",'12 - Deployments &amp; Config'!AJ94)</f>
        <v/>
      </c>
      <c r="J94" s="32" t="str">
        <f>IF('12 - Deployments &amp; Config'!AK94="","",'12 - Deployments &amp; Config'!AK94)</f>
        <v/>
      </c>
      <c r="K94" s="32" t="str">
        <f>IF('12 - Deployments &amp; Config'!AA94="","",'12 - Deployments &amp; Config'!AA94)</f>
        <v/>
      </c>
      <c r="L94" s="32" t="str">
        <f>IF('12 - Deployments &amp; Config'!I94="","",'12 - Deployments &amp; Config'!I94)</f>
        <v>OR iPro Cybernet Workstation</v>
      </c>
      <c r="M94" s="33"/>
      <c r="N94" s="32" t="str">
        <f>IF('12 - Deployments &amp; Config'!J94="","",'12 - Deployments &amp; Config'!J94)</f>
        <v>Yes</v>
      </c>
      <c r="O94" s="32" t="str">
        <f>IF('12 - Deployments &amp; Config'!K94="","",'12 - Deployments &amp; Config'!K94)</f>
        <v>No</v>
      </c>
      <c r="P94" s="32" t="str">
        <f>IF('12 - Deployments &amp; Config'!L94="","",'12 - Deployments &amp; Config'!L94)</f>
        <v>No</v>
      </c>
      <c r="Q94" s="33"/>
      <c r="R94" s="32" t="str">
        <f>IF('12 - Deployments &amp; Config'!AZ94="","",'12 - Deployments &amp; Config'!AZ94)</f>
        <v/>
      </c>
      <c r="S94" s="32" t="str">
        <f>IF('12 - Deployments &amp; Config'!AY94="","",'12 - Deployments &amp; Config'!AY94)</f>
        <v/>
      </c>
      <c r="T94" s="32" t="str">
        <f>IF('12 - Deployments &amp; Config'!AW94="","",'12 - Deployments &amp; Config'!AW94)</f>
        <v/>
      </c>
      <c r="U94" s="32" t="str">
        <f>IF('12 - Deployments &amp; Config'!AX94="","",'12 - Deployments &amp; Config'!AX94)</f>
        <v/>
      </c>
      <c r="V94" s="32" t="str">
        <f>IF('12 - Deployments &amp; Config'!BB94="","",'12 - Deployments &amp; Config'!BB94)</f>
        <v/>
      </c>
      <c r="W94" s="32" t="str">
        <f>IF('12 - Deployments &amp; Config'!BD94="","",'12 - Deployments &amp; Config'!BD94)</f>
        <v/>
      </c>
      <c r="X94" s="32" t="str">
        <f>IF('12 - Deployments &amp; Config'!BL94="","",'12 - Deployments &amp; Config'!BL94)</f>
        <v/>
      </c>
      <c r="Y94" s="32" t="str">
        <f>IF('12 - Deployments &amp; Config'!BC94="","",'12 - Deployments &amp; Config'!BC94)</f>
        <v/>
      </c>
      <c r="Z94" s="32" t="str">
        <f>IF('12 - Deployments &amp; Config'!P94="","",'12 - Deployments &amp; Config'!P94)</f>
        <v/>
      </c>
      <c r="AA94" s="32" t="str">
        <f>IF('12 - Deployments &amp; Config'!Q94="","",'12 - Deployments &amp; Config'!Q94)</f>
        <v/>
      </c>
    </row>
    <row r="95" spans="1:27">
      <c r="A95" s="33"/>
      <c r="B95" s="33"/>
      <c r="C95" s="32" t="str">
        <f>IF('12 - Deployments &amp; Config'!H95="","",'12 - Deployments &amp; Config'!H95)</f>
        <v>LIJ - Proc</v>
      </c>
      <c r="D95" s="32" t="str">
        <f>IF('12 - Deployments &amp; Config'!AF95="","",'12 - Deployments &amp; Config'!AF95)</f>
        <v/>
      </c>
      <c r="E95" s="32" t="str">
        <f>IF('12 - Deployments &amp; Config'!AG95="","",'12 - Deployments &amp; Config'!AG95)</f>
        <v/>
      </c>
      <c r="F95" s="32" t="str">
        <f>IF('12 - Deployments &amp; Config'!AH95="","",'12 - Deployments &amp; Config'!AH95)</f>
        <v/>
      </c>
      <c r="G95" s="32" t="str">
        <f>IF('12 - Deployments &amp; Config'!AI95="","",'12 - Deployments &amp; Config'!AI95)</f>
        <v/>
      </c>
      <c r="H95" s="32" t="str">
        <f>IF('12 - Deployments &amp; Config'!A95="","",'12 - Deployments &amp; Config'!A95)</f>
        <v>Cybernet</v>
      </c>
      <c r="I95" s="32" t="str">
        <f>IF('12 - Deployments &amp; Config'!AJ95="","",'12 - Deployments &amp; Config'!AJ95)</f>
        <v/>
      </c>
      <c r="J95" s="32" t="str">
        <f>IF('12 - Deployments &amp; Config'!AK95="","",'12 - Deployments &amp; Config'!AK95)</f>
        <v/>
      </c>
      <c r="K95" s="32" t="str">
        <f>IF('12 - Deployments &amp; Config'!AA95="","",'12 - Deployments &amp; Config'!AA95)</f>
        <v/>
      </c>
      <c r="L95" s="32" t="str">
        <f>IF('12 - Deployments &amp; Config'!I95="","",'12 - Deployments &amp; Config'!I95)</f>
        <v>OR iPro Cybernet Workstation</v>
      </c>
      <c r="M95" s="33"/>
      <c r="N95" s="32" t="str">
        <f>IF('12 - Deployments &amp; Config'!J95="","",'12 - Deployments &amp; Config'!J95)</f>
        <v>Yes</v>
      </c>
      <c r="O95" s="32" t="str">
        <f>IF('12 - Deployments &amp; Config'!K95="","",'12 - Deployments &amp; Config'!K95)</f>
        <v>No</v>
      </c>
      <c r="P95" s="32" t="str">
        <f>IF('12 - Deployments &amp; Config'!L95="","",'12 - Deployments &amp; Config'!L95)</f>
        <v>No</v>
      </c>
      <c r="Q95" s="33"/>
      <c r="R95" s="32" t="str">
        <f>IF('12 - Deployments &amp; Config'!AZ95="","",'12 - Deployments &amp; Config'!AZ95)</f>
        <v/>
      </c>
      <c r="S95" s="32" t="str">
        <f>IF('12 - Deployments &amp; Config'!AY95="","",'12 - Deployments &amp; Config'!AY95)</f>
        <v/>
      </c>
      <c r="T95" s="32" t="str">
        <f>IF('12 - Deployments &amp; Config'!AW95="","",'12 - Deployments &amp; Config'!AW95)</f>
        <v/>
      </c>
      <c r="U95" s="32" t="str">
        <f>IF('12 - Deployments &amp; Config'!AX95="","",'12 - Deployments &amp; Config'!AX95)</f>
        <v/>
      </c>
      <c r="V95" s="32" t="str">
        <f>IF('12 - Deployments &amp; Config'!BB95="","",'12 - Deployments &amp; Config'!BB95)</f>
        <v/>
      </c>
      <c r="W95" s="32" t="str">
        <f>IF('12 - Deployments &amp; Config'!BD95="","",'12 - Deployments &amp; Config'!BD95)</f>
        <v/>
      </c>
      <c r="X95" s="32" t="str">
        <f>IF('12 - Deployments &amp; Config'!BL95="","",'12 - Deployments &amp; Config'!BL95)</f>
        <v/>
      </c>
      <c r="Y95" s="32" t="str">
        <f>IF('12 - Deployments &amp; Config'!BC95="","",'12 - Deployments &amp; Config'!BC95)</f>
        <v/>
      </c>
      <c r="Z95" s="32" t="str">
        <f>IF('12 - Deployments &amp; Config'!P95="","",'12 - Deployments &amp; Config'!P95)</f>
        <v/>
      </c>
      <c r="AA95" s="32" t="str">
        <f>IF('12 - Deployments &amp; Config'!Q95="","",'12 - Deployments &amp; Config'!Q95)</f>
        <v/>
      </c>
    </row>
    <row r="96" spans="1:27">
      <c r="A96" s="33"/>
      <c r="B96" s="33"/>
      <c r="C96" s="32" t="str">
        <f>IF('12 - Deployments &amp; Config'!H96="","",'12 - Deployments &amp; Config'!H96)</f>
        <v>LIJ - Proc</v>
      </c>
      <c r="D96" s="32" t="str">
        <f>IF('12 - Deployments &amp; Config'!AF96="","",'12 - Deployments &amp; Config'!AF96)</f>
        <v/>
      </c>
      <c r="E96" s="32" t="str">
        <f>IF('12 - Deployments &amp; Config'!AG96="","",'12 - Deployments &amp; Config'!AG96)</f>
        <v/>
      </c>
      <c r="F96" s="32" t="str">
        <f>IF('12 - Deployments &amp; Config'!AH96="","",'12 - Deployments &amp; Config'!AH96)</f>
        <v/>
      </c>
      <c r="G96" s="32" t="str">
        <f>IF('12 - Deployments &amp; Config'!AI96="","",'12 - Deployments &amp; Config'!AI96)</f>
        <v/>
      </c>
      <c r="H96" s="32" t="str">
        <f>IF('12 - Deployments &amp; Config'!A96="","",'12 - Deployments &amp; Config'!A96)</f>
        <v>Cybernet</v>
      </c>
      <c r="I96" s="32" t="str">
        <f>IF('12 - Deployments &amp; Config'!AJ96="","",'12 - Deployments &amp; Config'!AJ96)</f>
        <v/>
      </c>
      <c r="J96" s="32" t="str">
        <f>IF('12 - Deployments &amp; Config'!AK96="","",'12 - Deployments &amp; Config'!AK96)</f>
        <v/>
      </c>
      <c r="K96" s="32" t="str">
        <f>IF('12 - Deployments &amp; Config'!AA96="","",'12 - Deployments &amp; Config'!AA96)</f>
        <v/>
      </c>
      <c r="L96" s="32" t="str">
        <f>IF('12 - Deployments &amp; Config'!I96="","",'12 - Deployments &amp; Config'!I96)</f>
        <v>OR iPro Cybernet Workstation</v>
      </c>
      <c r="M96" s="33"/>
      <c r="N96" s="32" t="str">
        <f>IF('12 - Deployments &amp; Config'!J96="","",'12 - Deployments &amp; Config'!J96)</f>
        <v>Yes</v>
      </c>
      <c r="O96" s="32" t="str">
        <f>IF('12 - Deployments &amp; Config'!K96="","",'12 - Deployments &amp; Config'!K96)</f>
        <v>No</v>
      </c>
      <c r="P96" s="32" t="str">
        <f>IF('12 - Deployments &amp; Config'!L96="","",'12 - Deployments &amp; Config'!L96)</f>
        <v>No</v>
      </c>
      <c r="Q96" s="33"/>
      <c r="R96" s="32" t="str">
        <f>IF('12 - Deployments &amp; Config'!AZ96="","",'12 - Deployments &amp; Config'!AZ96)</f>
        <v/>
      </c>
      <c r="S96" s="32" t="str">
        <f>IF('12 - Deployments &amp; Config'!AY96="","",'12 - Deployments &amp; Config'!AY96)</f>
        <v/>
      </c>
      <c r="T96" s="32" t="str">
        <f>IF('12 - Deployments &amp; Config'!AW96="","",'12 - Deployments &amp; Config'!AW96)</f>
        <v/>
      </c>
      <c r="U96" s="32" t="str">
        <f>IF('12 - Deployments &amp; Config'!AX96="","",'12 - Deployments &amp; Config'!AX96)</f>
        <v/>
      </c>
      <c r="V96" s="32" t="str">
        <f>IF('12 - Deployments &amp; Config'!BB96="","",'12 - Deployments &amp; Config'!BB96)</f>
        <v/>
      </c>
      <c r="W96" s="32" t="str">
        <f>IF('12 - Deployments &amp; Config'!BD96="","",'12 - Deployments &amp; Config'!BD96)</f>
        <v/>
      </c>
      <c r="X96" s="32" t="str">
        <f>IF('12 - Deployments &amp; Config'!BL96="","",'12 - Deployments &amp; Config'!BL96)</f>
        <v/>
      </c>
      <c r="Y96" s="32" t="str">
        <f>IF('12 - Deployments &amp; Config'!BC96="","",'12 - Deployments &amp; Config'!BC96)</f>
        <v/>
      </c>
      <c r="Z96" s="32" t="str">
        <f>IF('12 - Deployments &amp; Config'!P96="","",'12 - Deployments &amp; Config'!P96)</f>
        <v/>
      </c>
      <c r="AA96" s="32" t="str">
        <f>IF('12 - Deployments &amp; Config'!Q96="","",'12 - Deployments &amp; Config'!Q96)</f>
        <v/>
      </c>
    </row>
    <row r="97" spans="1:27">
      <c r="A97" s="33"/>
      <c r="B97" s="33"/>
      <c r="C97" s="32" t="str">
        <f>IF('12 - Deployments &amp; Config'!H97="","",'12 - Deployments &amp; Config'!H97)</f>
        <v>LIJ - Proc</v>
      </c>
      <c r="D97" s="32" t="str">
        <f>IF('12 - Deployments &amp; Config'!AF97="","",'12 - Deployments &amp; Config'!AF97)</f>
        <v/>
      </c>
      <c r="E97" s="32" t="str">
        <f>IF('12 - Deployments &amp; Config'!AG97="","",'12 - Deployments &amp; Config'!AG97)</f>
        <v/>
      </c>
      <c r="F97" s="32" t="str">
        <f>IF('12 - Deployments &amp; Config'!AH97="","",'12 - Deployments &amp; Config'!AH97)</f>
        <v/>
      </c>
      <c r="G97" s="32" t="str">
        <f>IF('12 - Deployments &amp; Config'!AI97="","",'12 - Deployments &amp; Config'!AI97)</f>
        <v/>
      </c>
      <c r="H97" s="32" t="str">
        <f>IF('12 - Deployments &amp; Config'!A97="","",'12 - Deployments &amp; Config'!A97)</f>
        <v>Cybernet</v>
      </c>
      <c r="I97" s="32" t="str">
        <f>IF('12 - Deployments &amp; Config'!AJ97="","",'12 - Deployments &amp; Config'!AJ97)</f>
        <v/>
      </c>
      <c r="J97" s="32" t="str">
        <f>IF('12 - Deployments &amp; Config'!AK97="","",'12 - Deployments &amp; Config'!AK97)</f>
        <v/>
      </c>
      <c r="K97" s="32" t="str">
        <f>IF('12 - Deployments &amp; Config'!AA97="","",'12 - Deployments &amp; Config'!AA97)</f>
        <v/>
      </c>
      <c r="L97" s="32" t="str">
        <f>IF('12 - Deployments &amp; Config'!I97="","",'12 - Deployments &amp; Config'!I97)</f>
        <v>OR iPro Cybernet Workstation</v>
      </c>
      <c r="M97" s="33"/>
      <c r="N97" s="32" t="str">
        <f>IF('12 - Deployments &amp; Config'!J97="","",'12 - Deployments &amp; Config'!J97)</f>
        <v>Yes</v>
      </c>
      <c r="O97" s="32" t="str">
        <f>IF('12 - Deployments &amp; Config'!K97="","",'12 - Deployments &amp; Config'!K97)</f>
        <v>No</v>
      </c>
      <c r="P97" s="32" t="str">
        <f>IF('12 - Deployments &amp; Config'!L97="","",'12 - Deployments &amp; Config'!L97)</f>
        <v>No</v>
      </c>
      <c r="Q97" s="33"/>
      <c r="R97" s="32" t="str">
        <f>IF('12 - Deployments &amp; Config'!AZ97="","",'12 - Deployments &amp; Config'!AZ97)</f>
        <v/>
      </c>
      <c r="S97" s="32" t="str">
        <f>IF('12 - Deployments &amp; Config'!AY97="","",'12 - Deployments &amp; Config'!AY97)</f>
        <v/>
      </c>
      <c r="T97" s="32" t="str">
        <f>IF('12 - Deployments &amp; Config'!AW97="","",'12 - Deployments &amp; Config'!AW97)</f>
        <v/>
      </c>
      <c r="U97" s="32" t="str">
        <f>IF('12 - Deployments &amp; Config'!AX97="","",'12 - Deployments &amp; Config'!AX97)</f>
        <v/>
      </c>
      <c r="V97" s="32" t="str">
        <f>IF('12 - Deployments &amp; Config'!BB97="","",'12 - Deployments &amp; Config'!BB97)</f>
        <v/>
      </c>
      <c r="W97" s="32" t="str">
        <f>IF('12 - Deployments &amp; Config'!BD97="","",'12 - Deployments &amp; Config'!BD97)</f>
        <v/>
      </c>
      <c r="X97" s="32" t="str">
        <f>IF('12 - Deployments &amp; Config'!BL97="","",'12 - Deployments &amp; Config'!BL97)</f>
        <v/>
      </c>
      <c r="Y97" s="32" t="str">
        <f>IF('12 - Deployments &amp; Config'!BC97="","",'12 - Deployments &amp; Config'!BC97)</f>
        <v/>
      </c>
      <c r="Z97" s="32" t="str">
        <f>IF('12 - Deployments &amp; Config'!P97="","",'12 - Deployments &amp; Config'!P97)</f>
        <v/>
      </c>
      <c r="AA97" s="32" t="str">
        <f>IF('12 - Deployments &amp; Config'!Q97="","",'12 - Deployments &amp; Config'!Q97)</f>
        <v/>
      </c>
    </row>
    <row r="98" spans="1:27">
      <c r="A98" s="33"/>
      <c r="B98" s="33"/>
      <c r="C98" s="32" t="str">
        <f>IF('12 - Deployments &amp; Config'!H98="","",'12 - Deployments &amp; Config'!H98)</f>
        <v>LIJ - Proc</v>
      </c>
      <c r="D98" s="32" t="str">
        <f>IF('12 - Deployments &amp; Config'!AF98="","",'12 - Deployments &amp; Config'!AF98)</f>
        <v/>
      </c>
      <c r="E98" s="32" t="str">
        <f>IF('12 - Deployments &amp; Config'!AG98="","",'12 - Deployments &amp; Config'!AG98)</f>
        <v/>
      </c>
      <c r="F98" s="32" t="str">
        <f>IF('12 - Deployments &amp; Config'!AH98="","",'12 - Deployments &amp; Config'!AH98)</f>
        <v/>
      </c>
      <c r="G98" s="32" t="str">
        <f>IF('12 - Deployments &amp; Config'!AI98="","",'12 - Deployments &amp; Config'!AI98)</f>
        <v/>
      </c>
      <c r="H98" s="32" t="str">
        <f>IF('12 - Deployments &amp; Config'!A98="","",'12 - Deployments &amp; Config'!A98)</f>
        <v>Cybernet</v>
      </c>
      <c r="I98" s="32" t="str">
        <f>IF('12 - Deployments &amp; Config'!AJ98="","",'12 - Deployments &amp; Config'!AJ98)</f>
        <v/>
      </c>
      <c r="J98" s="32" t="str">
        <f>IF('12 - Deployments &amp; Config'!AK98="","",'12 - Deployments &amp; Config'!AK98)</f>
        <v/>
      </c>
      <c r="K98" s="32" t="str">
        <f>IF('12 - Deployments &amp; Config'!AA98="","",'12 - Deployments &amp; Config'!AA98)</f>
        <v/>
      </c>
      <c r="L98" s="32" t="str">
        <f>IF('12 - Deployments &amp; Config'!I98="","",'12 - Deployments &amp; Config'!I98)</f>
        <v>OR iPro Cybernet Workstation</v>
      </c>
      <c r="M98" s="33"/>
      <c r="N98" s="32" t="str">
        <f>IF('12 - Deployments &amp; Config'!J98="","",'12 - Deployments &amp; Config'!J98)</f>
        <v>Yes</v>
      </c>
      <c r="O98" s="32" t="str">
        <f>IF('12 - Deployments &amp; Config'!K98="","",'12 - Deployments &amp; Config'!K98)</f>
        <v>No</v>
      </c>
      <c r="P98" s="32" t="str">
        <f>IF('12 - Deployments &amp; Config'!L98="","",'12 - Deployments &amp; Config'!L98)</f>
        <v>No</v>
      </c>
      <c r="Q98" s="33"/>
      <c r="R98" s="32" t="str">
        <f>IF('12 - Deployments &amp; Config'!AZ98="","",'12 - Deployments &amp; Config'!AZ98)</f>
        <v/>
      </c>
      <c r="S98" s="32" t="str">
        <f>IF('12 - Deployments &amp; Config'!AY98="","",'12 - Deployments &amp; Config'!AY98)</f>
        <v/>
      </c>
      <c r="T98" s="32" t="str">
        <f>IF('12 - Deployments &amp; Config'!AW98="","",'12 - Deployments &amp; Config'!AW98)</f>
        <v/>
      </c>
      <c r="U98" s="32" t="str">
        <f>IF('12 - Deployments &amp; Config'!AX98="","",'12 - Deployments &amp; Config'!AX98)</f>
        <v/>
      </c>
      <c r="V98" s="32" t="str">
        <f>IF('12 - Deployments &amp; Config'!BB98="","",'12 - Deployments &amp; Config'!BB98)</f>
        <v/>
      </c>
      <c r="W98" s="32" t="str">
        <f>IF('12 - Deployments &amp; Config'!BD98="","",'12 - Deployments &amp; Config'!BD98)</f>
        <v/>
      </c>
      <c r="X98" s="32" t="str">
        <f>IF('12 - Deployments &amp; Config'!BL98="","",'12 - Deployments &amp; Config'!BL98)</f>
        <v/>
      </c>
      <c r="Y98" s="32" t="str">
        <f>IF('12 - Deployments &amp; Config'!BC98="","",'12 - Deployments &amp; Config'!BC98)</f>
        <v/>
      </c>
      <c r="Z98" s="32" t="str">
        <f>IF('12 - Deployments &amp; Config'!P98="","",'12 - Deployments &amp; Config'!P98)</f>
        <v/>
      </c>
      <c r="AA98" s="32" t="str">
        <f>IF('12 - Deployments &amp; Config'!Q98="","",'12 - Deployments &amp; Config'!Q98)</f>
        <v/>
      </c>
    </row>
    <row r="99" spans="1:27">
      <c r="A99" s="33"/>
      <c r="B99" s="33"/>
      <c r="C99" s="32" t="str">
        <f>IF('12 - Deployments &amp; Config'!H99="","",'12 - Deployments &amp; Config'!H99)</f>
        <v>LIJ - Proc</v>
      </c>
      <c r="D99" s="32" t="str">
        <f>IF('12 - Deployments &amp; Config'!AF99="","",'12 - Deployments &amp; Config'!AF99)</f>
        <v/>
      </c>
      <c r="E99" s="32" t="str">
        <f>IF('12 - Deployments &amp; Config'!AG99="","",'12 - Deployments &amp; Config'!AG99)</f>
        <v/>
      </c>
      <c r="F99" s="32" t="str">
        <f>IF('12 - Deployments &amp; Config'!AH99="","",'12 - Deployments &amp; Config'!AH99)</f>
        <v/>
      </c>
      <c r="G99" s="32" t="str">
        <f>IF('12 - Deployments &amp; Config'!AI99="","",'12 - Deployments &amp; Config'!AI99)</f>
        <v/>
      </c>
      <c r="H99" s="32" t="str">
        <f>IF('12 - Deployments &amp; Config'!A99="","",'12 - Deployments &amp; Config'!A99)</f>
        <v>Cybernet</v>
      </c>
      <c r="I99" s="32" t="str">
        <f>IF('12 - Deployments &amp; Config'!AJ99="","",'12 - Deployments &amp; Config'!AJ99)</f>
        <v/>
      </c>
      <c r="J99" s="32" t="str">
        <f>IF('12 - Deployments &amp; Config'!AK99="","",'12 - Deployments &amp; Config'!AK99)</f>
        <v/>
      </c>
      <c r="K99" s="32" t="str">
        <f>IF('12 - Deployments &amp; Config'!AA99="","",'12 - Deployments &amp; Config'!AA99)</f>
        <v/>
      </c>
      <c r="L99" s="32" t="str">
        <f>IF('12 - Deployments &amp; Config'!I99="","",'12 - Deployments &amp; Config'!I99)</f>
        <v>OR iPro Cybernet Workstation</v>
      </c>
      <c r="M99" s="33"/>
      <c r="N99" s="32" t="str">
        <f>IF('12 - Deployments &amp; Config'!J99="","",'12 - Deployments &amp; Config'!J99)</f>
        <v>Yes</v>
      </c>
      <c r="O99" s="32" t="str">
        <f>IF('12 - Deployments &amp; Config'!K99="","",'12 - Deployments &amp; Config'!K99)</f>
        <v>No</v>
      </c>
      <c r="P99" s="32" t="str">
        <f>IF('12 - Deployments &amp; Config'!L99="","",'12 - Deployments &amp; Config'!L99)</f>
        <v>No</v>
      </c>
      <c r="Q99" s="33"/>
      <c r="R99" s="32" t="str">
        <f>IF('12 - Deployments &amp; Config'!AZ99="","",'12 - Deployments &amp; Config'!AZ99)</f>
        <v/>
      </c>
      <c r="S99" s="32" t="str">
        <f>IF('12 - Deployments &amp; Config'!AY99="","",'12 - Deployments &amp; Config'!AY99)</f>
        <v/>
      </c>
      <c r="T99" s="32" t="str">
        <f>IF('12 - Deployments &amp; Config'!AW99="","",'12 - Deployments &amp; Config'!AW99)</f>
        <v/>
      </c>
      <c r="U99" s="32" t="str">
        <f>IF('12 - Deployments &amp; Config'!AX99="","",'12 - Deployments &amp; Config'!AX99)</f>
        <v/>
      </c>
      <c r="V99" s="32" t="str">
        <f>IF('12 - Deployments &amp; Config'!BB99="","",'12 - Deployments &amp; Config'!BB99)</f>
        <v/>
      </c>
      <c r="W99" s="32" t="str">
        <f>IF('12 - Deployments &amp; Config'!BD99="","",'12 - Deployments &amp; Config'!BD99)</f>
        <v/>
      </c>
      <c r="X99" s="32" t="str">
        <f>IF('12 - Deployments &amp; Config'!BL99="","",'12 - Deployments &amp; Config'!BL99)</f>
        <v/>
      </c>
      <c r="Y99" s="32" t="str">
        <f>IF('12 - Deployments &amp; Config'!BC99="","",'12 - Deployments &amp; Config'!BC99)</f>
        <v/>
      </c>
      <c r="Z99" s="32" t="str">
        <f>IF('12 - Deployments &amp; Config'!P99="","",'12 - Deployments &amp; Config'!P99)</f>
        <v/>
      </c>
      <c r="AA99" s="32" t="str">
        <f>IF('12 - Deployments &amp; Config'!Q99="","",'12 - Deployments &amp; Config'!Q99)</f>
        <v/>
      </c>
    </row>
    <row r="100" spans="1:27">
      <c r="A100" s="33"/>
      <c r="B100" s="33"/>
      <c r="C100" s="32" t="str">
        <f>IF('12 - Deployments &amp; Config'!H100="","",'12 - Deployments &amp; Config'!H100)</f>
        <v>LIJ - Proc</v>
      </c>
      <c r="D100" s="32" t="str">
        <f>IF('12 - Deployments &amp; Config'!AF100="","",'12 - Deployments &amp; Config'!AF100)</f>
        <v/>
      </c>
      <c r="E100" s="32" t="str">
        <f>IF('12 - Deployments &amp; Config'!AG100="","",'12 - Deployments &amp; Config'!AG100)</f>
        <v/>
      </c>
      <c r="F100" s="32" t="str">
        <f>IF('12 - Deployments &amp; Config'!AH100="","",'12 - Deployments &amp; Config'!AH100)</f>
        <v/>
      </c>
      <c r="G100" s="32" t="str">
        <f>IF('12 - Deployments &amp; Config'!AI100="","",'12 - Deployments &amp; Config'!AI100)</f>
        <v/>
      </c>
      <c r="H100" s="32" t="str">
        <f>IF('12 - Deployments &amp; Config'!A100="","",'12 - Deployments &amp; Config'!A100)</f>
        <v>Cybernet</v>
      </c>
      <c r="I100" s="32" t="str">
        <f>IF('12 - Deployments &amp; Config'!AJ100="","",'12 - Deployments &amp; Config'!AJ100)</f>
        <v/>
      </c>
      <c r="J100" s="32" t="str">
        <f>IF('12 - Deployments &amp; Config'!AK100="","",'12 - Deployments &amp; Config'!AK100)</f>
        <v/>
      </c>
      <c r="K100" s="32" t="str">
        <f>IF('12 - Deployments &amp; Config'!AA100="","",'12 - Deployments &amp; Config'!AA100)</f>
        <v/>
      </c>
      <c r="L100" s="32" t="str">
        <f>IF('12 - Deployments &amp; Config'!I100="","",'12 - Deployments &amp; Config'!I100)</f>
        <v>OR iPro Cybernet Workstation</v>
      </c>
      <c r="M100" s="33"/>
      <c r="N100" s="32" t="str">
        <f>IF('12 - Deployments &amp; Config'!J100="","",'12 - Deployments &amp; Config'!J100)</f>
        <v>Yes</v>
      </c>
      <c r="O100" s="32" t="str">
        <f>IF('12 - Deployments &amp; Config'!K100="","",'12 - Deployments &amp; Config'!K100)</f>
        <v>No</v>
      </c>
      <c r="P100" s="32" t="str">
        <f>IF('12 - Deployments &amp; Config'!L100="","",'12 - Deployments &amp; Config'!L100)</f>
        <v>No</v>
      </c>
      <c r="Q100" s="33"/>
      <c r="R100" s="32" t="str">
        <f>IF('12 - Deployments &amp; Config'!AZ100="","",'12 - Deployments &amp; Config'!AZ100)</f>
        <v/>
      </c>
      <c r="S100" s="32" t="str">
        <f>IF('12 - Deployments &amp; Config'!AY100="","",'12 - Deployments &amp; Config'!AY100)</f>
        <v/>
      </c>
      <c r="T100" s="32" t="str">
        <f>IF('12 - Deployments &amp; Config'!AW100="","",'12 - Deployments &amp; Config'!AW100)</f>
        <v/>
      </c>
      <c r="U100" s="32" t="str">
        <f>IF('12 - Deployments &amp; Config'!AX100="","",'12 - Deployments &amp; Config'!AX100)</f>
        <v/>
      </c>
      <c r="V100" s="32" t="str">
        <f>IF('12 - Deployments &amp; Config'!BB100="","",'12 - Deployments &amp; Config'!BB100)</f>
        <v/>
      </c>
      <c r="W100" s="32" t="str">
        <f>IF('12 - Deployments &amp; Config'!BD100="","",'12 - Deployments &amp; Config'!BD100)</f>
        <v/>
      </c>
      <c r="X100" s="32" t="str">
        <f>IF('12 - Deployments &amp; Config'!BL100="","",'12 - Deployments &amp; Config'!BL100)</f>
        <v/>
      </c>
      <c r="Y100" s="32" t="str">
        <f>IF('12 - Deployments &amp; Config'!BC100="","",'12 - Deployments &amp; Config'!BC100)</f>
        <v/>
      </c>
      <c r="Z100" s="32" t="str">
        <f>IF('12 - Deployments &amp; Config'!P100="","",'12 - Deployments &amp; Config'!P100)</f>
        <v/>
      </c>
      <c r="AA100" s="32" t="str">
        <f>IF('12 - Deployments &amp; Config'!Q100="","",'12 - Deployments &amp; Config'!Q100)</f>
        <v/>
      </c>
    </row>
    <row r="101" spans="1:27">
      <c r="A101" s="33"/>
      <c r="B101" s="33"/>
      <c r="C101" s="32" t="str">
        <f>IF('12 - Deployments &amp; Config'!H101="","",'12 - Deployments &amp; Config'!H101)</f>
        <v>LIJ - OR</v>
      </c>
      <c r="D101" s="32" t="str">
        <f>IF('12 - Deployments &amp; Config'!AF101="","",'12 - Deployments &amp; Config'!AF101)</f>
        <v>LIJ ORs</v>
      </c>
      <c r="E101" s="32" t="str">
        <f>IF('12 - Deployments &amp; Config'!AG101="","",'12 - Deployments &amp; Config'!AG101)</f>
        <v>OR 1</v>
      </c>
      <c r="F101" s="32" t="str">
        <f>IF('12 - Deployments &amp; Config'!AH101="","",'12 - Deployments &amp; Config'!AH101)</f>
        <v/>
      </c>
      <c r="G101" s="32" t="str">
        <f>IF('12 - Deployments &amp; Config'!AI101="","",'12 - Deployments &amp; Config'!AI101)</f>
        <v>OR#1-TUR / IPRO</v>
      </c>
      <c r="H101" s="32" t="str">
        <f>IF('12 - Deployments &amp; Config'!A101="","",'12 - Deployments &amp; Config'!A101)</f>
        <v>Cybernet</v>
      </c>
      <c r="I101" s="32" t="str">
        <f>IF('12 - Deployments &amp; Config'!AJ101="","",'12 - Deployments &amp; Config'!AJ101)</f>
        <v>Drager</v>
      </c>
      <c r="J101" s="32" t="str">
        <f>IF('12 - Deployments &amp; Config'!AK101="","",'12 - Deployments &amp; Config'!AK101)</f>
        <v>Apollo</v>
      </c>
      <c r="K101" s="32" t="str">
        <f>IF('12 - Deployments &amp; Config'!AA101="","",'12 - Deployments &amp; Config'!AA101)</f>
        <v>Anesthesia Machine</v>
      </c>
      <c r="L101" s="32" t="str">
        <f>IF('12 - Deployments &amp; Config'!I101="","",'12 - Deployments &amp; Config'!I101)</f>
        <v>OR iPro Cybernet Workstation</v>
      </c>
      <c r="M101" s="33"/>
      <c r="N101" s="32" t="str">
        <f>IF('12 - Deployments &amp; Config'!J101="","",'12 - Deployments &amp; Config'!J101)</f>
        <v>Yes</v>
      </c>
      <c r="O101" s="32" t="str">
        <f>IF('12 - Deployments &amp; Config'!K101="","",'12 - Deployments &amp; Config'!K101)</f>
        <v>Yes</v>
      </c>
      <c r="P101" s="32" t="str">
        <f>IF('12 - Deployments &amp; Config'!L101="","",'12 - Deployments &amp; Config'!L101)</f>
        <v>Yes</v>
      </c>
      <c r="Q101" s="33"/>
      <c r="R101" s="32" t="str">
        <f>IF('12 - Deployments &amp; Config'!AZ101="","",'12 - Deployments &amp; Config'!AZ101)</f>
        <v>Yes</v>
      </c>
      <c r="S101" s="32" t="str">
        <f>IF('12 - Deployments &amp; Config'!AY101="","",'12 - Deployments &amp; Config'!AY101)</f>
        <v>Yes</v>
      </c>
      <c r="T101" s="32" t="str">
        <f>IF('12 - Deployments &amp; Config'!AW101="","",'12 - Deployments &amp; Config'!AW101)</f>
        <v>Yes</v>
      </c>
      <c r="U101" s="32" t="str">
        <f>IF('12 - Deployments &amp; Config'!AX101="","",'12 - Deployments &amp; Config'!AX101)</f>
        <v>Yes</v>
      </c>
      <c r="V101" s="32" t="str">
        <f>IF('12 - Deployments &amp; Config'!BB101="","",'12 - Deployments &amp; Config'!BB101)</f>
        <v/>
      </c>
      <c r="W101" s="32" t="str">
        <f>IF('12 - Deployments &amp; Config'!BD101="","",'12 - Deployments &amp; Config'!BD101)</f>
        <v/>
      </c>
      <c r="X101" s="32" t="str">
        <f>IF('12 - Deployments &amp; Config'!BL101="","",'12 - Deployments &amp; Config'!BL101)</f>
        <v>Firmware Download, Device ID, Epic Beans Relay</v>
      </c>
      <c r="Y101" s="32" t="str">
        <f>IF('12 - Deployments &amp; Config'!BC101="","",'12 - Deployments &amp; Config'!BC101)</f>
        <v/>
      </c>
      <c r="Z101" s="32" t="str">
        <f>IF('12 - Deployments &amp; Config'!P101="","",'12 - Deployments &amp; Config'!P101)</f>
        <v>1427182 LIJ Installation - Tim W. Seeberger, Akbar, Chris Perkins, Epic Team, Anesthesia Techs, and Admins</v>
      </c>
      <c r="AA101" s="32">
        <f>IF('12 - Deployments &amp; Config'!Q101="","",'12 - Deployments &amp; Config'!Q101)</f>
        <v>46075</v>
      </c>
    </row>
    <row r="102" spans="1:27">
      <c r="A102" s="33"/>
      <c r="B102" s="33"/>
      <c r="C102" s="32" t="str">
        <f>IF('12 - Deployments &amp; Config'!H102="","",'12 - Deployments &amp; Config'!H102)</f>
        <v>LIJ - OR</v>
      </c>
      <c r="D102" s="32" t="str">
        <f>IF('12 - Deployments &amp; Config'!AF102="","",'12 - Deployments &amp; Config'!AF102)</f>
        <v>LIJ ORs</v>
      </c>
      <c r="E102" s="32" t="str">
        <f>IF('12 - Deployments &amp; Config'!AG102="","",'12 - Deployments &amp; Config'!AG102)</f>
        <v>OR 2</v>
      </c>
      <c r="F102" s="32" t="str">
        <f>IF('12 - Deployments &amp; Config'!AH102="","",'12 - Deployments &amp; Config'!AH102)</f>
        <v/>
      </c>
      <c r="G102" s="32" t="str">
        <f>IF('12 - Deployments &amp; Config'!AI102="","",'12 - Deployments &amp; Config'!AI102)</f>
        <v/>
      </c>
      <c r="H102" s="32" t="str">
        <f>IF('12 - Deployments &amp; Config'!A102="","",'12 - Deployments &amp; Config'!A102)</f>
        <v>Cybernet</v>
      </c>
      <c r="I102" s="32" t="str">
        <f>IF('12 - Deployments &amp; Config'!AJ102="","",'12 - Deployments &amp; Config'!AJ102)</f>
        <v>Drager</v>
      </c>
      <c r="J102" s="32" t="str">
        <f>IF('12 - Deployments &amp; Config'!AK102="","",'12 - Deployments &amp; Config'!AK102)</f>
        <v>Apollo</v>
      </c>
      <c r="K102" s="32" t="str">
        <f>IF('12 - Deployments &amp; Config'!AA102="","",'12 - Deployments &amp; Config'!AA102)</f>
        <v>Anesthesia Machine</v>
      </c>
      <c r="L102" s="32" t="str">
        <f>IF('12 - Deployments &amp; Config'!I102="","",'12 - Deployments &amp; Config'!I102)</f>
        <v>OR iPro Cybernet Workstation</v>
      </c>
      <c r="M102" s="33"/>
      <c r="N102" s="32" t="str">
        <f>IF('12 - Deployments &amp; Config'!J102="","",'12 - Deployments &amp; Config'!J102)</f>
        <v>Yes</v>
      </c>
      <c r="O102" s="32" t="str">
        <f>IF('12 - Deployments &amp; Config'!K102="","",'12 - Deployments &amp; Config'!K102)</f>
        <v>Yes</v>
      </c>
      <c r="P102" s="32" t="str">
        <f>IF('12 - Deployments &amp; Config'!L102="","",'12 - Deployments &amp; Config'!L102)</f>
        <v>Yes</v>
      </c>
      <c r="Q102" s="33"/>
      <c r="R102" s="32" t="str">
        <f>IF('12 - Deployments &amp; Config'!AZ102="","",'12 - Deployments &amp; Config'!AZ102)</f>
        <v>Yes</v>
      </c>
      <c r="S102" s="32" t="str">
        <f>IF('12 - Deployments &amp; Config'!AY102="","",'12 - Deployments &amp; Config'!AY102)</f>
        <v>Yes</v>
      </c>
      <c r="T102" s="32" t="str">
        <f>IF('12 - Deployments &amp; Config'!AW102="","",'12 - Deployments &amp; Config'!AW102)</f>
        <v>Yes</v>
      </c>
      <c r="U102" s="32" t="str">
        <f>IF('12 - Deployments &amp; Config'!AX102="","",'12 - Deployments &amp; Config'!AX102)</f>
        <v>Yes</v>
      </c>
      <c r="V102" s="32" t="str">
        <f>IF('12 - Deployments &amp; Config'!BB102="","",'12 - Deployments &amp; Config'!BB102)</f>
        <v/>
      </c>
      <c r="W102" s="32" t="str">
        <f>IF('12 - Deployments &amp; Config'!BD102="","",'12 - Deployments &amp; Config'!BD102)</f>
        <v/>
      </c>
      <c r="X102" s="32" t="str">
        <f>IF('12 - Deployments &amp; Config'!BL102="","",'12 - Deployments &amp; Config'!BL102)</f>
        <v>Firmware Download, Device ID, Epic Beans Relay</v>
      </c>
      <c r="Y102" s="32" t="str">
        <f>IF('12 - Deployments &amp; Config'!BC102="","",'12 - Deployments &amp; Config'!BC102)</f>
        <v/>
      </c>
      <c r="Z102" s="32" t="str">
        <f>IF('12 - Deployments &amp; Config'!P102="","",'12 - Deployments &amp; Config'!P102)</f>
        <v>1427182 LIJ Installation - Tim W. Seeberger, Akbar, Chris Perkins, Epic Team, Anesthesia Techs, and Admins</v>
      </c>
      <c r="AA102" s="32">
        <f>IF('12 - Deployments &amp; Config'!Q102="","",'12 - Deployments &amp; Config'!Q102)</f>
        <v>46075</v>
      </c>
    </row>
    <row r="103" spans="1:27">
      <c r="A103" s="33"/>
      <c r="B103" s="33"/>
      <c r="C103" s="32" t="str">
        <f>IF('12 - Deployments &amp; Config'!H103="","",'12 - Deployments &amp; Config'!H103)</f>
        <v>LIJ - OR</v>
      </c>
      <c r="D103" s="32" t="str">
        <f>IF('12 - Deployments &amp; Config'!AF103="","",'12 - Deployments &amp; Config'!AF103)</f>
        <v>LIJ ORs</v>
      </c>
      <c r="E103" s="32" t="str">
        <f>IF('12 - Deployments &amp; Config'!AG103="","",'12 - Deployments &amp; Config'!AG103)</f>
        <v>OR 3</v>
      </c>
      <c r="F103" s="32" t="str">
        <f>IF('12 - Deployments &amp; Config'!AH103="","",'12 - Deployments &amp; Config'!AH103)</f>
        <v/>
      </c>
      <c r="G103" s="32" t="str">
        <f>IF('12 - Deployments &amp; Config'!AI103="","",'12 - Deployments &amp; Config'!AI103)</f>
        <v/>
      </c>
      <c r="H103" s="32" t="str">
        <f>IF('12 - Deployments &amp; Config'!A103="","",'12 - Deployments &amp; Config'!A103)</f>
        <v>Cybernet</v>
      </c>
      <c r="I103" s="32" t="str">
        <f>IF('12 - Deployments &amp; Config'!AJ103="","",'12 - Deployments &amp; Config'!AJ103)</f>
        <v>Drager</v>
      </c>
      <c r="J103" s="32" t="str">
        <f>IF('12 - Deployments &amp; Config'!AK103="","",'12 - Deployments &amp; Config'!AK103)</f>
        <v>Apollo</v>
      </c>
      <c r="K103" s="32" t="str">
        <f>IF('12 - Deployments &amp; Config'!AA103="","",'12 - Deployments &amp; Config'!AA103)</f>
        <v>Anesthesia Machine</v>
      </c>
      <c r="L103" s="32" t="str">
        <f>IF('12 - Deployments &amp; Config'!I103="","",'12 - Deployments &amp; Config'!I103)</f>
        <v>OR iPro Cybernet Workstation</v>
      </c>
      <c r="M103" s="33"/>
      <c r="N103" s="32" t="str">
        <f>IF('12 - Deployments &amp; Config'!J103="","",'12 - Deployments &amp; Config'!J103)</f>
        <v>Yes</v>
      </c>
      <c r="O103" s="32" t="str">
        <f>IF('12 - Deployments &amp; Config'!K103="","",'12 - Deployments &amp; Config'!K103)</f>
        <v>Yes</v>
      </c>
      <c r="P103" s="32" t="str">
        <f>IF('12 - Deployments &amp; Config'!L103="","",'12 - Deployments &amp; Config'!L103)</f>
        <v>Yes</v>
      </c>
      <c r="Q103" s="33"/>
      <c r="R103" s="32" t="str">
        <f>IF('12 - Deployments &amp; Config'!AZ103="","",'12 - Deployments &amp; Config'!AZ103)</f>
        <v>Yes</v>
      </c>
      <c r="S103" s="32" t="str">
        <f>IF('12 - Deployments &amp; Config'!AY103="","",'12 - Deployments &amp; Config'!AY103)</f>
        <v>Yes</v>
      </c>
      <c r="T103" s="32" t="str">
        <f>IF('12 - Deployments &amp; Config'!AW103="","",'12 - Deployments &amp; Config'!AW103)</f>
        <v>Yes</v>
      </c>
      <c r="U103" s="32" t="str">
        <f>IF('12 - Deployments &amp; Config'!AX103="","",'12 - Deployments &amp; Config'!AX103)</f>
        <v>Yes</v>
      </c>
      <c r="V103" s="32" t="str">
        <f>IF('12 - Deployments &amp; Config'!BB103="","",'12 - Deployments &amp; Config'!BB103)</f>
        <v/>
      </c>
      <c r="W103" s="32" t="str">
        <f>IF('12 - Deployments &amp; Config'!BD103="","",'12 - Deployments &amp; Config'!BD103)</f>
        <v/>
      </c>
      <c r="X103" s="32" t="str">
        <f>IF('12 - Deployments &amp; Config'!BL103="","",'12 - Deployments &amp; Config'!BL103)</f>
        <v>Firmware Download, Device ID, Epic Beans Relay</v>
      </c>
      <c r="Y103" s="32" t="str">
        <f>IF('12 - Deployments &amp; Config'!BC103="","",'12 - Deployments &amp; Config'!BC103)</f>
        <v/>
      </c>
      <c r="Z103" s="32" t="str">
        <f>IF('12 - Deployments &amp; Config'!P103="","",'12 - Deployments &amp; Config'!P103)</f>
        <v>1427182 LIJ Installation - Tim W. Seeberger, Akbar, Chris Perkins, Epic Team, Anesthesia Techs, and Admins</v>
      </c>
      <c r="AA103" s="32">
        <f>IF('12 - Deployments &amp; Config'!Q103="","",'12 - Deployments &amp; Config'!Q103)</f>
        <v>46075</v>
      </c>
    </row>
    <row r="104" spans="1:27">
      <c r="A104" s="33"/>
      <c r="B104" s="33"/>
      <c r="C104" s="32" t="str">
        <f>IF('12 - Deployments &amp; Config'!H104="","",'12 - Deployments &amp; Config'!H104)</f>
        <v>LIJ - OR</v>
      </c>
      <c r="D104" s="32" t="str">
        <f>IF('12 - Deployments &amp; Config'!AF104="","",'12 - Deployments &amp; Config'!AF104)</f>
        <v>LIJ ORs</v>
      </c>
      <c r="E104" s="32" t="str">
        <f>IF('12 - Deployments &amp; Config'!AG104="","",'12 - Deployments &amp; Config'!AG104)</f>
        <v>OR 4</v>
      </c>
      <c r="F104" s="32" t="str">
        <f>IF('12 - Deployments &amp; Config'!AH104="","",'12 - Deployments &amp; Config'!AH104)</f>
        <v/>
      </c>
      <c r="G104" s="32" t="str">
        <f>IF('12 - Deployments &amp; Config'!AI104="","",'12 - Deployments &amp; Config'!AI104)</f>
        <v>OR#4-TUR / IPRO</v>
      </c>
      <c r="H104" s="32" t="str">
        <f>IF('12 - Deployments &amp; Config'!A104="","",'12 - Deployments &amp; Config'!A104)</f>
        <v>Cybernet</v>
      </c>
      <c r="I104" s="32" t="str">
        <f>IF('12 - Deployments &amp; Config'!AJ104="","",'12 - Deployments &amp; Config'!AJ104)</f>
        <v>Drager</v>
      </c>
      <c r="J104" s="32" t="str">
        <f>IF('12 - Deployments &amp; Config'!AK104="","",'12 - Deployments &amp; Config'!AK104)</f>
        <v>Apollo</v>
      </c>
      <c r="K104" s="32" t="str">
        <f>IF('12 - Deployments &amp; Config'!AA104="","",'12 - Deployments &amp; Config'!AA104)</f>
        <v>Anesthesia Machine</v>
      </c>
      <c r="L104" s="32" t="str">
        <f>IF('12 - Deployments &amp; Config'!I104="","",'12 - Deployments &amp; Config'!I104)</f>
        <v>OR iPro Cybernet Workstation</v>
      </c>
      <c r="M104" s="33"/>
      <c r="N104" s="32" t="str">
        <f>IF('12 - Deployments &amp; Config'!J104="","",'12 - Deployments &amp; Config'!J104)</f>
        <v>Yes</v>
      </c>
      <c r="O104" s="32" t="str">
        <f>IF('12 - Deployments &amp; Config'!K104="","",'12 - Deployments &amp; Config'!K104)</f>
        <v>Yes</v>
      </c>
      <c r="P104" s="32" t="str">
        <f>IF('12 - Deployments &amp; Config'!L104="","",'12 - Deployments &amp; Config'!L104)</f>
        <v>Yes</v>
      </c>
      <c r="Q104" s="33"/>
      <c r="R104" s="32" t="str">
        <f>IF('12 - Deployments &amp; Config'!AZ104="","",'12 - Deployments &amp; Config'!AZ104)</f>
        <v>Yes</v>
      </c>
      <c r="S104" s="32" t="str">
        <f>IF('12 - Deployments &amp; Config'!AY104="","",'12 - Deployments &amp; Config'!AY104)</f>
        <v>Yes</v>
      </c>
      <c r="T104" s="32" t="e">
        <f>IF('12 - Deployments &amp; Config'!#REF!="","",'12 - Deployments &amp; Config'!#REF!)</f>
        <v>#REF!</v>
      </c>
      <c r="U104" s="32" t="str">
        <f>IF('12 - Deployments &amp; Config'!AX104="","",'12 - Deployments &amp; Config'!AX104)</f>
        <v>Yes</v>
      </c>
      <c r="V104" s="32" t="str">
        <f>IF('12 - Deployments &amp; Config'!BB104="","",'12 - Deployments &amp; Config'!BB104)</f>
        <v/>
      </c>
      <c r="W104" s="32" t="str">
        <f>IF('12 - Deployments &amp; Config'!BD104="","",'12 - Deployments &amp; Config'!BD104)</f>
        <v/>
      </c>
      <c r="X104" s="32" t="e">
        <f>IF('12 - Deployments &amp; Config'!BL104="","",'12 - Deployments &amp; Config'!BL104)</f>
        <v>#REF!</v>
      </c>
      <c r="Y104" s="32" t="str">
        <f>IF('12 - Deployments &amp; Config'!BC104="","",'12 - Deployments &amp; Config'!BC104)</f>
        <v/>
      </c>
      <c r="Z104" s="32" t="str">
        <f>IF('12 - Deployments &amp; Config'!P104="","",'12 - Deployments &amp; Config'!P104)</f>
        <v>1427182 LIJ Installation - Tim W. Seeberger, Akbar, Chris Perkins, Epic Team, Anesthesia Techs, and Admins</v>
      </c>
      <c r="AA104" s="32">
        <f>IF('12 - Deployments &amp; Config'!Q104="","",'12 - Deployments &amp; Config'!Q104)</f>
        <v>46075</v>
      </c>
    </row>
    <row r="105" spans="1:27">
      <c r="A105" s="33"/>
      <c r="B105" s="33"/>
      <c r="C105" s="32" t="str">
        <f>IF('12 - Deployments &amp; Config'!H105="","",'12 - Deployments &amp; Config'!H105)</f>
        <v>LIJ - OR</v>
      </c>
      <c r="D105" s="32" t="str">
        <f>IF('12 - Deployments &amp; Config'!AF105="","",'12 - Deployments &amp; Config'!AF105)</f>
        <v>LIJ ORs</v>
      </c>
      <c r="E105" s="32" t="str">
        <f>IF('12 - Deployments &amp; Config'!AG105="","",'12 - Deployments &amp; Config'!AG105)</f>
        <v>OR 5</v>
      </c>
      <c r="F105" s="32" t="str">
        <f>IF('12 - Deployments &amp; Config'!AH105="","",'12 - Deployments &amp; Config'!AH105)</f>
        <v/>
      </c>
      <c r="G105" s="32" t="str">
        <f>IF('12 - Deployments &amp; Config'!AI105="","",'12 - Deployments &amp; Config'!AI105)</f>
        <v xml:space="preserve">OR 15-TUR </v>
      </c>
      <c r="H105" s="32" t="str">
        <f>IF('12 - Deployments &amp; Config'!A105="","",'12 - Deployments &amp; Config'!A105)</f>
        <v>Cybernet</v>
      </c>
      <c r="I105" s="32" t="str">
        <f>IF('12 - Deployments &amp; Config'!AJ105="","",'12 - Deployments &amp; Config'!AJ105)</f>
        <v>Drager</v>
      </c>
      <c r="J105" s="32" t="str">
        <f>IF('12 - Deployments &amp; Config'!AK105="","",'12 - Deployments &amp; Config'!AK105)</f>
        <v>Apollo</v>
      </c>
      <c r="K105" s="32" t="str">
        <f>IF('12 - Deployments &amp; Config'!AA105="","",'12 - Deployments &amp; Config'!AA105)</f>
        <v>Anesthesia Machine</v>
      </c>
      <c r="L105" s="32" t="str">
        <f>IF('12 - Deployments &amp; Config'!I105="","",'12 - Deployments &amp; Config'!I105)</f>
        <v>OR iPro Cybernet Workstation</v>
      </c>
      <c r="M105" s="33"/>
      <c r="N105" s="32" t="str">
        <f>IF('12 - Deployments &amp; Config'!J105="","",'12 - Deployments &amp; Config'!J105)</f>
        <v>Yes</v>
      </c>
      <c r="O105" s="32" t="str">
        <f>IF('12 - Deployments &amp; Config'!K105="","",'12 - Deployments &amp; Config'!K105)</f>
        <v>Yes</v>
      </c>
      <c r="P105" s="32" t="str">
        <f>IF('12 - Deployments &amp; Config'!L105="","",'12 - Deployments &amp; Config'!L105)</f>
        <v>Yes</v>
      </c>
      <c r="Q105" s="33"/>
      <c r="R105" s="32" t="str">
        <f>IF('12 - Deployments &amp; Config'!AZ105="","",'12 - Deployments &amp; Config'!AZ105)</f>
        <v>Yes</v>
      </c>
      <c r="S105" s="32" t="str">
        <f>IF('12 - Deployments &amp; Config'!AY105="","",'12 - Deployments &amp; Config'!AY105)</f>
        <v>Yes</v>
      </c>
      <c r="T105" s="32" t="str">
        <f>IF('12 - Deployments &amp; Config'!AW105="","",'12 - Deployments &amp; Config'!AW105)</f>
        <v>Yes</v>
      </c>
      <c r="U105" s="32" t="str">
        <f>IF('12 - Deployments &amp; Config'!AX105="","",'12 - Deployments &amp; Config'!AX105)</f>
        <v>Yes</v>
      </c>
      <c r="V105" s="32" t="str">
        <f>IF('12 - Deployments &amp; Config'!BB105="","",'12 - Deployments &amp; Config'!BB105)</f>
        <v/>
      </c>
      <c r="W105" s="32" t="str">
        <f>IF('12 - Deployments &amp; Config'!BD105="","",'12 - Deployments &amp; Config'!BD105)</f>
        <v/>
      </c>
      <c r="X105" s="32" t="str">
        <f>IF('12 - Deployments &amp; Config'!BL105="","",'12 - Deployments &amp; Config'!BL105)</f>
        <v>Firmware Download, Device ID, Epic Beans Relay</v>
      </c>
      <c r="Y105" s="32" t="str">
        <f>IF('12 - Deployments &amp; Config'!BC105="","",'12 - Deployments &amp; Config'!BC105)</f>
        <v/>
      </c>
      <c r="Z105" s="32" t="str">
        <f>IF('12 - Deployments &amp; Config'!P105="","",'12 - Deployments &amp; Config'!P105)</f>
        <v>1427182 LIJ Installation - Tim W. Seeberger, Akbar, Chris Perkins, Epic Team, Anesthesia Techs, and Admins</v>
      </c>
      <c r="AA105" s="32">
        <f>IF('12 - Deployments &amp; Config'!Q105="","",'12 - Deployments &amp; Config'!Q105)</f>
        <v>46075</v>
      </c>
    </row>
    <row r="106" spans="1:27">
      <c r="A106" s="33"/>
      <c r="B106" s="33"/>
      <c r="C106" s="32" t="str">
        <f>IF('12 - Deployments &amp; Config'!H106="","",'12 - Deployments &amp; Config'!H106)</f>
        <v>LIJ - OR</v>
      </c>
      <c r="D106" s="32" t="str">
        <f>IF('12 - Deployments &amp; Config'!AF106="","",'12 - Deployments &amp; Config'!AF106)</f>
        <v>LIJ ORs</v>
      </c>
      <c r="E106" s="32" t="str">
        <f>IF('12 - Deployments &amp; Config'!AG106="","",'12 - Deployments &amp; Config'!AG106)</f>
        <v>OR 16</v>
      </c>
      <c r="F106" s="32" t="str">
        <f>IF('12 - Deployments &amp; Config'!AH106="","",'12 - Deployments &amp; Config'!AH106)</f>
        <v/>
      </c>
      <c r="G106" s="32" t="str">
        <f>IF('12 - Deployments &amp; Config'!AI106="","",'12 - Deployments &amp; Config'!AI106)</f>
        <v/>
      </c>
      <c r="H106" s="32" t="str">
        <f>IF('12 - Deployments &amp; Config'!A106="","",'12 - Deployments &amp; Config'!A106)</f>
        <v>Cybernet</v>
      </c>
      <c r="I106" s="32" t="str">
        <f>IF('12 - Deployments &amp; Config'!AJ106="","",'12 - Deployments &amp; Config'!AJ106)</f>
        <v>Drager</v>
      </c>
      <c r="J106" s="32" t="str">
        <f>IF('12 - Deployments &amp; Config'!AK106="","",'12 - Deployments &amp; Config'!AK106)</f>
        <v>Apollo</v>
      </c>
      <c r="K106" s="32" t="str">
        <f>IF('12 - Deployments &amp; Config'!AA106="","",'12 - Deployments &amp; Config'!AA106)</f>
        <v>Anesthesia Machine</v>
      </c>
      <c r="L106" s="32" t="str">
        <f>IF('12 - Deployments &amp; Config'!I106="","",'12 - Deployments &amp; Config'!I106)</f>
        <v>OR iPro Cybernet Workstation</v>
      </c>
      <c r="M106" s="33"/>
      <c r="N106" s="32" t="str">
        <f>IF('12 - Deployments &amp; Config'!J106="","",'12 - Deployments &amp; Config'!J106)</f>
        <v>Yes</v>
      </c>
      <c r="O106" s="32" t="str">
        <f>IF('12 - Deployments &amp; Config'!K106="","",'12 - Deployments &amp; Config'!K106)</f>
        <v>Yes</v>
      </c>
      <c r="P106" s="32" t="str">
        <f>IF('12 - Deployments &amp; Config'!L106="","",'12 - Deployments &amp; Config'!L106)</f>
        <v>Yes</v>
      </c>
      <c r="Q106" s="33"/>
      <c r="R106" s="32" t="str">
        <f>IF('12 - Deployments &amp; Config'!AZ106="","",'12 - Deployments &amp; Config'!AZ106)</f>
        <v>Yes</v>
      </c>
      <c r="S106" s="32" t="str">
        <f>IF('12 - Deployments &amp; Config'!AY106="","",'12 - Deployments &amp; Config'!AY106)</f>
        <v>Yes</v>
      </c>
      <c r="T106" s="32" t="str">
        <f>IF('12 - Deployments &amp; Config'!AW106="","",'12 - Deployments &amp; Config'!AW106)</f>
        <v>Yes</v>
      </c>
      <c r="U106" s="32" t="str">
        <f>IF('12 - Deployments &amp; Config'!AX106="","",'12 - Deployments &amp; Config'!AX106)</f>
        <v>Yes</v>
      </c>
      <c r="V106" s="32" t="str">
        <f>IF('12 - Deployments &amp; Config'!BB106="","",'12 - Deployments &amp; Config'!BB106)</f>
        <v/>
      </c>
      <c r="W106" s="32" t="str">
        <f>IF('12 - Deployments &amp; Config'!BD106="","",'12 - Deployments &amp; Config'!BD106)</f>
        <v/>
      </c>
      <c r="X106" s="32" t="str">
        <f>IF('12 - Deployments &amp; Config'!BL106="","",'12 - Deployments &amp; Config'!BL106)</f>
        <v/>
      </c>
      <c r="Y106" s="32" t="str">
        <f>IF('12 - Deployments &amp; Config'!BC106="","",'12 - Deployments &amp; Config'!BC106)</f>
        <v/>
      </c>
      <c r="Z106" s="32" t="str">
        <f>IF('12 - Deployments &amp; Config'!P106="","",'12 - Deployments &amp; Config'!P106)</f>
        <v>1427182 LIJ Installation - Tim W. Seeberger, Akbar, Chris Perkins, Epic Team, Anesthesia Techs, and Admins</v>
      </c>
      <c r="AA106" s="32">
        <f>IF('12 - Deployments &amp; Config'!Q106="","",'12 - Deployments &amp; Config'!Q106)</f>
        <v>46075</v>
      </c>
    </row>
    <row r="107" spans="1:27">
      <c r="A107" s="33"/>
      <c r="B107" s="33"/>
      <c r="C107" s="32" t="str">
        <f>IF('12 - Deployments &amp; Config'!H107="","",'12 - Deployments &amp; Config'!H107)</f>
        <v>LIJ - OR</v>
      </c>
      <c r="D107" s="32" t="str">
        <f>IF('12 - Deployments &amp; Config'!AF107="","",'12 - Deployments &amp; Config'!AF107)</f>
        <v>LIJ ORs</v>
      </c>
      <c r="E107" s="32" t="str">
        <f>IF('12 - Deployments &amp; Config'!AG107="","",'12 - Deployments &amp; Config'!AG107)</f>
        <v>OR 6</v>
      </c>
      <c r="F107" s="32" t="str">
        <f>IF('12 - Deployments &amp; Config'!AH107="","",'12 - Deployments &amp; Config'!AH107)</f>
        <v/>
      </c>
      <c r="G107" s="32" t="str">
        <f>IF('12 - Deployments &amp; Config'!AI107="","",'12 - Deployments &amp; Config'!AI107)</f>
        <v>OR#6-TUR / IPRO</v>
      </c>
      <c r="H107" s="32" t="str">
        <f>IF('12 - Deployments &amp; Config'!A107="","",'12 - Deployments &amp; Config'!A107)</f>
        <v>Cybernet</v>
      </c>
      <c r="I107" s="32" t="str">
        <f>IF('12 - Deployments &amp; Config'!AJ107="","",'12 - Deployments &amp; Config'!AJ107)</f>
        <v>Drager</v>
      </c>
      <c r="J107" s="32" t="str">
        <f>IF('12 - Deployments &amp; Config'!AK107="","",'12 - Deployments &amp; Config'!AK107)</f>
        <v>Apollo</v>
      </c>
      <c r="K107" s="32" t="str">
        <f>IF('12 - Deployments &amp; Config'!AA107="","",'12 - Deployments &amp; Config'!AA107)</f>
        <v>Anesthesia Machine</v>
      </c>
      <c r="L107" s="32" t="str">
        <f>IF('12 - Deployments &amp; Config'!I107="","",'12 - Deployments &amp; Config'!I107)</f>
        <v>OR iPro Cybernet Workstation</v>
      </c>
      <c r="M107" s="33"/>
      <c r="N107" s="32" t="str">
        <f>IF('12 - Deployments &amp; Config'!J107="","",'12 - Deployments &amp; Config'!J107)</f>
        <v>Yes</v>
      </c>
      <c r="O107" s="32" t="str">
        <f>IF('12 - Deployments &amp; Config'!K107="","",'12 - Deployments &amp; Config'!K107)</f>
        <v>Yes</v>
      </c>
      <c r="P107" s="32" t="str">
        <f>IF('12 - Deployments &amp; Config'!L107="","",'12 - Deployments &amp; Config'!L107)</f>
        <v>Yes</v>
      </c>
      <c r="Q107" s="33"/>
      <c r="R107" s="32" t="str">
        <f>IF('12 - Deployments &amp; Config'!AZ107="","",'12 - Deployments &amp; Config'!AZ107)</f>
        <v>Yes</v>
      </c>
      <c r="S107" s="32" t="str">
        <f>IF('12 - Deployments &amp; Config'!AY107="","",'12 - Deployments &amp; Config'!AY107)</f>
        <v>Yes</v>
      </c>
      <c r="T107" s="32" t="str">
        <f>IF('12 - Deployments &amp; Config'!AW107="","",'12 - Deployments &amp; Config'!AW107)</f>
        <v>Yes</v>
      </c>
      <c r="U107" s="32" t="str">
        <f>IF('12 - Deployments &amp; Config'!AX107="","",'12 - Deployments &amp; Config'!AX107)</f>
        <v>Yes</v>
      </c>
      <c r="V107" s="32" t="str">
        <f>IF('12 - Deployments &amp; Config'!BB107="","",'12 - Deployments &amp; Config'!BB107)</f>
        <v/>
      </c>
      <c r="W107" s="32" t="str">
        <f>IF('12 - Deployments &amp; Config'!BD107="","",'12 - Deployments &amp; Config'!BD107)</f>
        <v/>
      </c>
      <c r="X107" s="32" t="str">
        <f>IF('12 - Deployments &amp; Config'!BL107="","",'12 - Deployments &amp; Config'!BL107)</f>
        <v>Firmware Download, Device ID, Epic Beans Relay</v>
      </c>
      <c r="Y107" s="32" t="str">
        <f>IF('12 - Deployments &amp; Config'!BC107="","",'12 - Deployments &amp; Config'!BC107)</f>
        <v/>
      </c>
      <c r="Z107" s="32" t="str">
        <f>IF('12 - Deployments &amp; Config'!P107="","",'12 - Deployments &amp; Config'!P107)</f>
        <v>1427182 LIJ Installation - Tim W. Seeberger, Akbar, Chris Perkins, Epic Team, Anesthesia Techs, and Admins</v>
      </c>
      <c r="AA107" s="32">
        <f>IF('12 - Deployments &amp; Config'!Q107="","",'12 - Deployments &amp; Config'!Q107)</f>
        <v>46075</v>
      </c>
    </row>
    <row r="108" spans="1:27">
      <c r="A108" s="33"/>
      <c r="B108" s="33"/>
      <c r="C108" s="32" t="str">
        <f>IF('12 - Deployments &amp; Config'!H108="","",'12 - Deployments &amp; Config'!H108)</f>
        <v>LIJ - OR</v>
      </c>
      <c r="D108" s="32" t="str">
        <f>IF('12 - Deployments &amp; Config'!AF108="","",'12 - Deployments &amp; Config'!AF108)</f>
        <v>LIJ ORs</v>
      </c>
      <c r="E108" s="32" t="str">
        <f>IF('12 - Deployments &amp; Config'!AG108="","",'12 - Deployments &amp; Config'!AG108)</f>
        <v>OR 18</v>
      </c>
      <c r="F108" s="32" t="str">
        <f>IF('12 - Deployments &amp; Config'!AH108="","",'12 - Deployments &amp; Config'!AH108)</f>
        <v/>
      </c>
      <c r="G108" s="32" t="str">
        <f>IF('12 - Deployments &amp; Config'!AI108="","",'12 - Deployments &amp; Config'!AI108)</f>
        <v/>
      </c>
      <c r="H108" s="32" t="str">
        <f>IF('12 - Deployments &amp; Config'!A108="","",'12 - Deployments &amp; Config'!A108)</f>
        <v>Cybernet</v>
      </c>
      <c r="I108" s="32" t="str">
        <f>IF('12 - Deployments &amp; Config'!AJ108="","",'12 - Deployments &amp; Config'!AJ108)</f>
        <v>Drager</v>
      </c>
      <c r="J108" s="32" t="str">
        <f>IF('12 - Deployments &amp; Config'!AK108="","",'12 - Deployments &amp; Config'!AK108)</f>
        <v>Apollo</v>
      </c>
      <c r="K108" s="32" t="str">
        <f>IF('12 - Deployments &amp; Config'!AA108="","",'12 - Deployments &amp; Config'!AA108)</f>
        <v>Anesthesia Machine</v>
      </c>
      <c r="L108" s="32" t="str">
        <f>IF('12 - Deployments &amp; Config'!I108="","",'12 - Deployments &amp; Config'!I108)</f>
        <v>OR iPro Cybernet Workstation</v>
      </c>
      <c r="M108" s="33"/>
      <c r="N108" s="32" t="str">
        <f>IF('12 - Deployments &amp; Config'!J108="","",'12 - Deployments &amp; Config'!J108)</f>
        <v>Yes</v>
      </c>
      <c r="O108" s="32" t="str">
        <f>IF('12 - Deployments &amp; Config'!K108="","",'12 - Deployments &amp; Config'!K108)</f>
        <v>Yes</v>
      </c>
      <c r="P108" s="32" t="str">
        <f>IF('12 - Deployments &amp; Config'!L108="","",'12 - Deployments &amp; Config'!L108)</f>
        <v>Yes</v>
      </c>
      <c r="Q108" s="33"/>
      <c r="R108" s="32" t="str">
        <f>IF('12 - Deployments &amp; Config'!AZ108="","",'12 - Deployments &amp; Config'!AZ108)</f>
        <v>Yes</v>
      </c>
      <c r="S108" s="32" t="str">
        <f>IF('12 - Deployments &amp; Config'!AY108="","",'12 - Deployments &amp; Config'!AY108)</f>
        <v>Yes</v>
      </c>
      <c r="T108" s="32" t="str">
        <f>IF('12 - Deployments &amp; Config'!AW108="","",'12 - Deployments &amp; Config'!AW108)</f>
        <v>Yes</v>
      </c>
      <c r="U108" s="32" t="str">
        <f>IF('12 - Deployments &amp; Config'!AX108="","",'12 - Deployments &amp; Config'!AX108)</f>
        <v>Yes</v>
      </c>
      <c r="V108" s="32" t="str">
        <f>IF('12 - Deployments &amp; Config'!BB108="","",'12 - Deployments &amp; Config'!BB108)</f>
        <v/>
      </c>
      <c r="W108" s="32" t="str">
        <f>IF('12 - Deployments &amp; Config'!BD108="","",'12 - Deployments &amp; Config'!BD108)</f>
        <v/>
      </c>
      <c r="X108" s="32" t="str">
        <f>IF('12 - Deployments &amp; Config'!BL108="","",'12 - Deployments &amp; Config'!BL108)</f>
        <v>Firmware Download, Device ID, Epic Beans Relay</v>
      </c>
      <c r="Y108" s="32" t="str">
        <f>IF('12 - Deployments &amp; Config'!BC108="","",'12 - Deployments &amp; Config'!BC108)</f>
        <v/>
      </c>
      <c r="Z108" s="32" t="str">
        <f>IF('12 - Deployments &amp; Config'!P108="","",'12 - Deployments &amp; Config'!P108)</f>
        <v>1427182 LIJ Installation - Tim W. Seeberger, Akbar, Chris Perkins, Epic Team, Anesthesia Techs, and Admins</v>
      </c>
      <c r="AA108" s="32">
        <f>IF('12 - Deployments &amp; Config'!Q108="","",'12 - Deployments &amp; Config'!Q108)</f>
        <v>46075</v>
      </c>
    </row>
    <row r="109" spans="1:27">
      <c r="A109" s="33"/>
      <c r="B109" s="33"/>
      <c r="C109" s="32" t="str">
        <f>IF('12 - Deployments &amp; Config'!H109="","",'12 - Deployments &amp; Config'!H109)</f>
        <v>LIJ - OR</v>
      </c>
      <c r="D109" s="32" t="str">
        <f>IF('12 - Deployments &amp; Config'!AF109="","",'12 - Deployments &amp; Config'!AF109)</f>
        <v>LIJ ORs</v>
      </c>
      <c r="E109" s="32" t="str">
        <f>IF('12 - Deployments &amp; Config'!AG109="","",'12 - Deployments &amp; Config'!AG109)</f>
        <v>OR 20</v>
      </c>
      <c r="F109" s="32" t="str">
        <f>IF('12 - Deployments &amp; Config'!AH109="","",'12 - Deployments &amp; Config'!AH109)</f>
        <v/>
      </c>
      <c r="G109" s="32" t="str">
        <f>IF('12 - Deployments &amp; Config'!AI109="","",'12 - Deployments &amp; Config'!AI109)</f>
        <v/>
      </c>
      <c r="H109" s="32" t="str">
        <f>IF('12 - Deployments &amp; Config'!A109="","",'12 - Deployments &amp; Config'!A109)</f>
        <v>Cybernet</v>
      </c>
      <c r="I109" s="32" t="str">
        <f>IF('12 - Deployments &amp; Config'!AJ109="","",'12 - Deployments &amp; Config'!AJ109)</f>
        <v>Drager</v>
      </c>
      <c r="J109" s="32" t="str">
        <f>IF('12 - Deployments &amp; Config'!AK109="","",'12 - Deployments &amp; Config'!AK109)</f>
        <v>Apollo</v>
      </c>
      <c r="K109" s="32" t="str">
        <f>IF('12 - Deployments &amp; Config'!AA109="","",'12 - Deployments &amp; Config'!AA109)</f>
        <v>Anesthesia Machine</v>
      </c>
      <c r="L109" s="32" t="str">
        <f>IF('12 - Deployments &amp; Config'!I109="","",'12 - Deployments &amp; Config'!I109)</f>
        <v>OR iPro Cybernet Workstation</v>
      </c>
      <c r="M109" s="33"/>
      <c r="N109" s="32" t="str">
        <f>IF('12 - Deployments &amp; Config'!J109="","",'12 - Deployments &amp; Config'!J109)</f>
        <v>Yes</v>
      </c>
      <c r="O109" s="32" t="str">
        <f>IF('12 - Deployments &amp; Config'!K109="","",'12 - Deployments &amp; Config'!K109)</f>
        <v>Yes</v>
      </c>
      <c r="P109" s="32" t="str">
        <f>IF('12 - Deployments &amp; Config'!L109="","",'12 - Deployments &amp; Config'!L109)</f>
        <v>Yes</v>
      </c>
      <c r="Q109" s="33"/>
      <c r="R109" s="32" t="str">
        <f>IF('12 - Deployments &amp; Config'!AZ109="","",'12 - Deployments &amp; Config'!AZ109)</f>
        <v>Yes</v>
      </c>
      <c r="S109" s="32" t="str">
        <f>IF('12 - Deployments &amp; Config'!AY109="","",'12 - Deployments &amp; Config'!AY109)</f>
        <v>Yes</v>
      </c>
      <c r="T109" s="32" t="str">
        <f>IF('12 - Deployments &amp; Config'!AW109="","",'12 - Deployments &amp; Config'!AW109)</f>
        <v>Yes</v>
      </c>
      <c r="U109" s="32" t="str">
        <f>IF('12 - Deployments &amp; Config'!AX109="","",'12 - Deployments &amp; Config'!AX109)</f>
        <v>Yes</v>
      </c>
      <c r="V109" s="32" t="str">
        <f>IF('12 - Deployments &amp; Config'!BB109="","",'12 - Deployments &amp; Config'!BB109)</f>
        <v/>
      </c>
      <c r="W109" s="32" t="str">
        <f>IF('12 - Deployments &amp; Config'!BD109="","",'12 - Deployments &amp; Config'!BD109)</f>
        <v/>
      </c>
      <c r="X109" s="32" t="str">
        <f>IF('12 - Deployments &amp; Config'!BL109="","",'12 - Deployments &amp; Config'!BL109)</f>
        <v>Firmware Download, Device ID, Epic Beans Relay</v>
      </c>
      <c r="Y109" s="32" t="str">
        <f>IF('12 - Deployments &amp; Config'!BC109="","",'12 - Deployments &amp; Config'!BC109)</f>
        <v/>
      </c>
      <c r="Z109" s="32" t="str">
        <f>IF('12 - Deployments &amp; Config'!P109="","",'12 - Deployments &amp; Config'!P109)</f>
        <v>1427182 LIJ Installation - Tim W. Seeberger, Akbar, Chris Perkins, Epic Team, Anesthesia Techs, and Admins</v>
      </c>
      <c r="AA109" s="32">
        <f>IF('12 - Deployments &amp; Config'!Q109="","",'12 - Deployments &amp; Config'!Q109)</f>
        <v>46075</v>
      </c>
    </row>
    <row r="110" spans="1:27">
      <c r="A110" s="33"/>
      <c r="B110" s="33"/>
      <c r="C110" s="32" t="str">
        <f>IF('12 - Deployments &amp; Config'!H110="","",'12 - Deployments &amp; Config'!H110)</f>
        <v>LIJ - OR</v>
      </c>
      <c r="D110" s="32" t="str">
        <f>IF('12 - Deployments &amp; Config'!AF110="","",'12 - Deployments &amp; Config'!AF110)</f>
        <v>LIJ ORs</v>
      </c>
      <c r="E110" s="32" t="str">
        <f>IF('12 - Deployments &amp; Config'!AG110="","",'12 - Deployments &amp; Config'!AG110)</f>
        <v>OR 7</v>
      </c>
      <c r="F110" s="32" t="str">
        <f>IF('12 - Deployments &amp; Config'!AH110="","",'12 - Deployments &amp; Config'!AH110)</f>
        <v/>
      </c>
      <c r="G110" s="32" t="str">
        <f>IF('12 - Deployments &amp; Config'!AI110="","",'12 - Deployments &amp; Config'!AI110)</f>
        <v>OR7-TUR- / 1802BM007</v>
      </c>
      <c r="H110" s="32" t="str">
        <f>IF('12 - Deployments &amp; Config'!A110="","",'12 - Deployments &amp; Config'!A110)</f>
        <v>Cybernet</v>
      </c>
      <c r="I110" s="32" t="str">
        <f>IF('12 - Deployments &amp; Config'!AJ110="","",'12 - Deployments &amp; Config'!AJ110)</f>
        <v>Drager</v>
      </c>
      <c r="J110" s="32" t="str">
        <f>IF('12 - Deployments &amp; Config'!AK110="","",'12 - Deployments &amp; Config'!AK110)</f>
        <v>Apollo</v>
      </c>
      <c r="K110" s="32" t="str">
        <f>IF('12 - Deployments &amp; Config'!AA110="","",'12 - Deployments &amp; Config'!AA110)</f>
        <v>Anesthesia Machine</v>
      </c>
      <c r="L110" s="32" t="str">
        <f>IF('12 - Deployments &amp; Config'!I110="","",'12 - Deployments &amp; Config'!I110)</f>
        <v>OR iPro Cybernet Workstation</v>
      </c>
      <c r="M110" s="33"/>
      <c r="N110" s="32" t="str">
        <f>IF('12 - Deployments &amp; Config'!J110="","",'12 - Deployments &amp; Config'!J110)</f>
        <v>Yes</v>
      </c>
      <c r="O110" s="32" t="str">
        <f>IF('12 - Deployments &amp; Config'!K110="","",'12 - Deployments &amp; Config'!K110)</f>
        <v>Yes</v>
      </c>
      <c r="P110" s="32" t="str">
        <f>IF('12 - Deployments &amp; Config'!L110="","",'12 - Deployments &amp; Config'!L110)</f>
        <v>Yes</v>
      </c>
      <c r="Q110" s="33"/>
      <c r="R110" s="32" t="str">
        <f>IF('12 - Deployments &amp; Config'!AZ110="","",'12 - Deployments &amp; Config'!AZ110)</f>
        <v>Yes</v>
      </c>
      <c r="S110" s="32" t="str">
        <f>IF('12 - Deployments &amp; Config'!AY110="","",'12 - Deployments &amp; Config'!AY110)</f>
        <v>Yes</v>
      </c>
      <c r="T110" s="32" t="str">
        <f>IF('12 - Deployments &amp; Config'!AW110="","",'12 - Deployments &amp; Config'!AW110)</f>
        <v>Yes</v>
      </c>
      <c r="U110" s="32" t="str">
        <f>IF('12 - Deployments &amp; Config'!AX110="","",'12 - Deployments &amp; Config'!AX110)</f>
        <v>Yes</v>
      </c>
      <c r="V110" s="32" t="str">
        <f>IF('12 - Deployments &amp; Config'!BB110="","",'12 - Deployments &amp; Config'!BB110)</f>
        <v/>
      </c>
      <c r="W110" s="32" t="str">
        <f>IF('12 - Deployments &amp; Config'!BD110="","",'12 - Deployments &amp; Config'!BD110)</f>
        <v/>
      </c>
      <c r="X110" s="32" t="str">
        <f>IF('12 - Deployments &amp; Config'!BL110="","",'12 - Deployments &amp; Config'!BL110)</f>
        <v>Firmware Download, Device ID, Epic Beans Relay</v>
      </c>
      <c r="Y110" s="32" t="str">
        <f>IF('12 - Deployments &amp; Config'!BC110="","",'12 - Deployments &amp; Config'!BC110)</f>
        <v/>
      </c>
      <c r="Z110" s="32" t="str">
        <f>IF('12 - Deployments &amp; Config'!P110="","",'12 - Deployments &amp; Config'!P110)</f>
        <v>1427182 LIJ Installation - Tim W. Seeberger, Akbar, Chris Perkins, Epic Team, Anesthesia Techs, and Admins</v>
      </c>
      <c r="AA110" s="32">
        <f>IF('12 - Deployments &amp; Config'!Q110="","",'12 - Deployments &amp; Config'!Q110)</f>
        <v>46075</v>
      </c>
    </row>
    <row r="111" spans="1:27">
      <c r="A111" s="33"/>
      <c r="B111" s="33"/>
      <c r="C111" s="32" t="str">
        <f>IF('12 - Deployments &amp; Config'!H111="","",'12 - Deployments &amp; Config'!H111)</f>
        <v>LIJ - OR</v>
      </c>
      <c r="D111" s="32" t="str">
        <f>IF('12 - Deployments &amp; Config'!AF111="","",'12 - Deployments &amp; Config'!AF111)</f>
        <v>LIJ ORs</v>
      </c>
      <c r="E111" s="32" t="str">
        <f>IF('12 - Deployments &amp; Config'!AG111="","",'12 - Deployments &amp; Config'!AG111)</f>
        <v>OR 8</v>
      </c>
      <c r="F111" s="32" t="str">
        <f>IF('12 - Deployments &amp; Config'!AH111="","",'12 - Deployments &amp; Config'!AH111)</f>
        <v/>
      </c>
      <c r="G111" s="32" t="str">
        <f>IF('12 - Deployments &amp; Config'!AI111="","",'12 - Deployments &amp; Config'!AI111)</f>
        <v/>
      </c>
      <c r="H111" s="32" t="str">
        <f>IF('12 - Deployments &amp; Config'!A111="","",'12 - Deployments &amp; Config'!A111)</f>
        <v>Cybernet</v>
      </c>
      <c r="I111" s="32" t="str">
        <f>IF('12 - Deployments &amp; Config'!AJ111="","",'12 - Deployments &amp; Config'!AJ111)</f>
        <v>Drager</v>
      </c>
      <c r="J111" s="32" t="str">
        <f>IF('12 - Deployments &amp; Config'!AK111="","",'12 - Deployments &amp; Config'!AK111)</f>
        <v>Apollo</v>
      </c>
      <c r="K111" s="32" t="str">
        <f>IF('12 - Deployments &amp; Config'!AA111="","",'12 - Deployments &amp; Config'!AA111)</f>
        <v>Anesthesia Machine</v>
      </c>
      <c r="L111" s="32" t="str">
        <f>IF('12 - Deployments &amp; Config'!I111="","",'12 - Deployments &amp; Config'!I111)</f>
        <v>OR iPro Cybernet Workstation</v>
      </c>
      <c r="M111" s="33"/>
      <c r="N111" s="32" t="str">
        <f>IF('12 - Deployments &amp; Config'!J111="","",'12 - Deployments &amp; Config'!J111)</f>
        <v>Yes</v>
      </c>
      <c r="O111" s="32" t="str">
        <f>IF('12 - Deployments &amp; Config'!K111="","",'12 - Deployments &amp; Config'!K111)</f>
        <v>Yes</v>
      </c>
      <c r="P111" s="32" t="str">
        <f>IF('12 - Deployments &amp; Config'!L111="","",'12 - Deployments &amp; Config'!L111)</f>
        <v>Yes</v>
      </c>
      <c r="Q111" s="33"/>
      <c r="R111" s="32" t="str">
        <f>IF('12 - Deployments &amp; Config'!AZ111="","",'12 - Deployments &amp; Config'!AZ111)</f>
        <v>Yes</v>
      </c>
      <c r="S111" s="32" t="str">
        <f>IF('12 - Deployments &amp; Config'!AY111="","",'12 - Deployments &amp; Config'!AY111)</f>
        <v>Yes</v>
      </c>
      <c r="T111" s="32" t="str">
        <f>IF('12 - Deployments &amp; Config'!AW111="","",'12 - Deployments &amp; Config'!AW111)</f>
        <v>Yes</v>
      </c>
      <c r="U111" s="32" t="str">
        <f>IF('12 - Deployments &amp; Config'!AX111="","",'12 - Deployments &amp; Config'!AX111)</f>
        <v>Yes</v>
      </c>
      <c r="V111" s="32" t="str">
        <f>IF('12 - Deployments &amp; Config'!BB111="","",'12 - Deployments &amp; Config'!BB111)</f>
        <v/>
      </c>
      <c r="W111" s="32" t="str">
        <f>IF('12 - Deployments &amp; Config'!BD111="","",'12 - Deployments &amp; Config'!BD111)</f>
        <v/>
      </c>
      <c r="X111" s="32" t="str">
        <f>IF('12 - Deployments &amp; Config'!BL111="","",'12 - Deployments &amp; Config'!BL111)</f>
        <v>Firmware Download, Device ID, Epic Beans Relay</v>
      </c>
      <c r="Y111" s="32" t="str">
        <f>IF('12 - Deployments &amp; Config'!BC111="","",'12 - Deployments &amp; Config'!BC111)</f>
        <v/>
      </c>
      <c r="Z111" s="32" t="str">
        <f>IF('12 - Deployments &amp; Config'!P111="","",'12 - Deployments &amp; Config'!P111)</f>
        <v>1427182 LIJ Installation - Tim W. Seeberger, Akbar, Chris Perkins, Epic Team, Anesthesia Techs, and Admins</v>
      </c>
      <c r="AA111" s="32">
        <f>IF('12 - Deployments &amp; Config'!Q111="","",'12 - Deployments &amp; Config'!Q111)</f>
        <v>46075</v>
      </c>
    </row>
    <row r="112" spans="1:27">
      <c r="A112" s="33"/>
      <c r="B112" s="33"/>
      <c r="C112" s="32" t="str">
        <f>IF('12 - Deployments &amp; Config'!H112="","",'12 - Deployments &amp; Config'!H112)</f>
        <v>LIJ - OR</v>
      </c>
      <c r="D112" s="32" t="str">
        <f>IF('12 - Deployments &amp; Config'!AF112="","",'12 - Deployments &amp; Config'!AF112)</f>
        <v>LIJ ORs</v>
      </c>
      <c r="E112" s="32" t="str">
        <f>IF('12 - Deployments &amp; Config'!AG112="","",'12 - Deployments &amp; Config'!AG112)</f>
        <v>OR 9</v>
      </c>
      <c r="F112" s="32" t="str">
        <f>IF('12 - Deployments &amp; Config'!AH112="","",'12 - Deployments &amp; Config'!AH112)</f>
        <v/>
      </c>
      <c r="G112" s="32" t="str">
        <f>IF('12 - Deployments &amp; Config'!AI112="","",'12 - Deployments &amp; Config'!AI112)</f>
        <v/>
      </c>
      <c r="H112" s="32" t="str">
        <f>IF('12 - Deployments &amp; Config'!A112="","",'12 - Deployments &amp; Config'!A112)</f>
        <v>Cybernet</v>
      </c>
      <c r="I112" s="32" t="str">
        <f>IF('12 - Deployments &amp; Config'!AJ112="","",'12 - Deployments &amp; Config'!AJ112)</f>
        <v>Drager</v>
      </c>
      <c r="J112" s="32" t="str">
        <f>IF('12 - Deployments &amp; Config'!AK112="","",'12 - Deployments &amp; Config'!AK112)</f>
        <v>Apollo</v>
      </c>
      <c r="K112" s="32" t="str">
        <f>IF('12 - Deployments &amp; Config'!AA112="","",'12 - Deployments &amp; Config'!AA112)</f>
        <v>Anesthesia Machine</v>
      </c>
      <c r="L112" s="32" t="str">
        <f>IF('12 - Deployments &amp; Config'!I112="","",'12 - Deployments &amp; Config'!I112)</f>
        <v>OR iPro Cybernet Workstation</v>
      </c>
      <c r="M112" s="33"/>
      <c r="N112" s="32" t="str">
        <f>IF('12 - Deployments &amp; Config'!J112="","",'12 - Deployments &amp; Config'!J112)</f>
        <v>Yes</v>
      </c>
      <c r="O112" s="32" t="str">
        <f>IF('12 - Deployments &amp; Config'!K112="","",'12 - Deployments &amp; Config'!K112)</f>
        <v>Yes</v>
      </c>
      <c r="P112" s="32" t="str">
        <f>IF('12 - Deployments &amp; Config'!L112="","",'12 - Deployments &amp; Config'!L112)</f>
        <v>Yes</v>
      </c>
      <c r="Q112" s="33"/>
      <c r="R112" s="32" t="str">
        <f>IF('12 - Deployments &amp; Config'!AZ112="","",'12 - Deployments &amp; Config'!AZ112)</f>
        <v>Yes</v>
      </c>
      <c r="S112" s="32" t="str">
        <f>IF('12 - Deployments &amp; Config'!AY112="","",'12 - Deployments &amp; Config'!AY112)</f>
        <v>Yes</v>
      </c>
      <c r="T112" s="32" t="str">
        <f>IF('12 - Deployments &amp; Config'!AW112="","",'12 - Deployments &amp; Config'!AW112)</f>
        <v>Yes</v>
      </c>
      <c r="U112" s="32" t="str">
        <f>IF('12 - Deployments &amp; Config'!AX112="","",'12 - Deployments &amp; Config'!AX112)</f>
        <v>Yes</v>
      </c>
      <c r="V112" s="32" t="str">
        <f>IF('12 - Deployments &amp; Config'!BB112="","",'12 - Deployments &amp; Config'!BB112)</f>
        <v/>
      </c>
      <c r="W112" s="32" t="str">
        <f>IF('12 - Deployments &amp; Config'!BD112="","",'12 - Deployments &amp; Config'!BD112)</f>
        <v/>
      </c>
      <c r="X112" s="32" t="str">
        <f>IF('12 - Deployments &amp; Config'!BL112="","",'12 - Deployments &amp; Config'!BL112)</f>
        <v>Firmware Download, Device ID, Epic Beans Relay</v>
      </c>
      <c r="Y112" s="32" t="str">
        <f>IF('12 - Deployments &amp; Config'!BC112="","",'12 - Deployments &amp; Config'!BC112)</f>
        <v/>
      </c>
      <c r="Z112" s="32" t="str">
        <f>IF('12 - Deployments &amp; Config'!P112="","",'12 - Deployments &amp; Config'!P112)</f>
        <v>1427182 LIJ Installation - Tim W. Seeberger, Akbar, Chris Perkins, Epic Team, Anesthesia Techs, and Admins</v>
      </c>
      <c r="AA112" s="32">
        <f>IF('12 - Deployments &amp; Config'!Q112="","",'12 - Deployments &amp; Config'!Q112)</f>
        <v>46075</v>
      </c>
    </row>
    <row r="113" spans="1:27">
      <c r="A113" s="33"/>
      <c r="B113" s="33"/>
      <c r="C113" s="32" t="str">
        <f>IF('12 - Deployments &amp; Config'!H113="","",'12 - Deployments &amp; Config'!H113)</f>
        <v>LIJ - OR</v>
      </c>
      <c r="D113" s="32" t="str">
        <f>IF('12 - Deployments &amp; Config'!AF113="","",'12 - Deployments &amp; Config'!AF113)</f>
        <v/>
      </c>
      <c r="E113" s="32" t="str">
        <f>IF('12 - Deployments &amp; Config'!AG113="","",'12 - Deployments &amp; Config'!AG113)</f>
        <v/>
      </c>
      <c r="F113" s="32" t="str">
        <f>IF('12 - Deployments &amp; Config'!AH113="","",'12 - Deployments &amp; Config'!AH113)</f>
        <v/>
      </c>
      <c r="G113" s="32" t="str">
        <f>IF('12 - Deployments &amp; Config'!AI113="","",'12 - Deployments &amp; Config'!AI113)</f>
        <v/>
      </c>
      <c r="H113" s="32" t="str">
        <f>IF('12 - Deployments &amp; Config'!A113="","",'12 - Deployments &amp; Config'!A113)</f>
        <v>Cybernet</v>
      </c>
      <c r="I113" s="32" t="str">
        <f>IF('12 - Deployments &amp; Config'!AJ113="","",'12 - Deployments &amp; Config'!AJ113)</f>
        <v/>
      </c>
      <c r="J113" s="32" t="str">
        <f>IF('12 - Deployments &amp; Config'!AK113="","",'12 - Deployments &amp; Config'!AK113)</f>
        <v/>
      </c>
      <c r="K113" s="32" t="str">
        <f>IF('12 - Deployments &amp; Config'!AA113="","",'12 - Deployments &amp; Config'!AA113)</f>
        <v/>
      </c>
      <c r="L113" s="32" t="str">
        <f>IF('12 - Deployments &amp; Config'!I113="","",'12 - Deployments &amp; Config'!I113)</f>
        <v>OR iPro Cybernet Workstation</v>
      </c>
      <c r="M113" s="33"/>
      <c r="N113" s="32" t="str">
        <f>IF('12 - Deployments &amp; Config'!J113="","",'12 - Deployments &amp; Config'!J113)</f>
        <v>Yes</v>
      </c>
      <c r="O113" s="32" t="str">
        <f>IF('12 - Deployments &amp; Config'!K113="","",'12 - Deployments &amp; Config'!K113)</f>
        <v>No</v>
      </c>
      <c r="P113" s="32" t="str">
        <f>IF('12 - Deployments &amp; Config'!L113="","",'12 - Deployments &amp; Config'!L113)</f>
        <v>No</v>
      </c>
      <c r="Q113" s="33"/>
      <c r="R113" s="32" t="str">
        <f>IF('12 - Deployments &amp; Config'!AZ113="","",'12 - Deployments &amp; Config'!AZ113)</f>
        <v/>
      </c>
      <c r="S113" s="32" t="str">
        <f>IF('12 - Deployments &amp; Config'!AY113="","",'12 - Deployments &amp; Config'!AY113)</f>
        <v/>
      </c>
      <c r="T113" s="32" t="str">
        <f>IF('12 - Deployments &amp; Config'!AW113="","",'12 - Deployments &amp; Config'!AW113)</f>
        <v/>
      </c>
      <c r="U113" s="32" t="str">
        <f>IF('12 - Deployments &amp; Config'!AX113="","",'12 - Deployments &amp; Config'!AX113)</f>
        <v/>
      </c>
      <c r="V113" s="32" t="str">
        <f>IF('12 - Deployments &amp; Config'!BB113="","",'12 - Deployments &amp; Config'!BB113)</f>
        <v/>
      </c>
      <c r="W113" s="32" t="str">
        <f>IF('12 - Deployments &amp; Config'!BD113="","",'12 - Deployments &amp; Config'!BD113)</f>
        <v/>
      </c>
      <c r="X113" s="32" t="str">
        <f>IF('12 - Deployments &amp; Config'!BL113="","",'12 - Deployments &amp; Config'!BL113)</f>
        <v/>
      </c>
      <c r="Y113" s="32" t="str">
        <f>IF('12 - Deployments &amp; Config'!BC113="","",'12 - Deployments &amp; Config'!BC113)</f>
        <v/>
      </c>
      <c r="Z113" s="32" t="str">
        <f>IF('12 - Deployments &amp; Config'!P113="","",'12 - Deployments &amp; Config'!P113)</f>
        <v/>
      </c>
      <c r="AA113" s="32" t="str">
        <f>IF('12 - Deployments &amp; Config'!Q113="","",'12 - Deployments &amp; Config'!Q113)</f>
        <v/>
      </c>
    </row>
    <row r="114" spans="1:27">
      <c r="A114" s="33"/>
      <c r="B114" s="33"/>
      <c r="C114" s="32" t="str">
        <f>IF('12 - Deployments &amp; Config'!H114="","",'12 - Deployments &amp; Config'!H114)</f>
        <v>LIJ - OR</v>
      </c>
      <c r="D114" s="32" t="str">
        <f>IF('12 - Deployments &amp; Config'!AF114="","",'12 - Deployments &amp; Config'!AF114)</f>
        <v/>
      </c>
      <c r="E114" s="32" t="str">
        <f>IF('12 - Deployments &amp; Config'!AG114="","",'12 - Deployments &amp; Config'!AG114)</f>
        <v/>
      </c>
      <c r="F114" s="32" t="str">
        <f>IF('12 - Deployments &amp; Config'!AH114="","",'12 - Deployments &amp; Config'!AH114)</f>
        <v/>
      </c>
      <c r="G114" s="32" t="str">
        <f>IF('12 - Deployments &amp; Config'!AI114="","",'12 - Deployments &amp; Config'!AI114)</f>
        <v/>
      </c>
      <c r="H114" s="32" t="str">
        <f>IF('12 - Deployments &amp; Config'!A114="","",'12 - Deployments &amp; Config'!A114)</f>
        <v>Cybernet</v>
      </c>
      <c r="I114" s="32" t="str">
        <f>IF('12 - Deployments &amp; Config'!AJ114="","",'12 - Deployments &amp; Config'!AJ114)</f>
        <v/>
      </c>
      <c r="J114" s="32" t="str">
        <f>IF('12 - Deployments &amp; Config'!AK114="","",'12 - Deployments &amp; Config'!AK114)</f>
        <v/>
      </c>
      <c r="K114" s="32" t="str">
        <f>IF('12 - Deployments &amp; Config'!AA114="","",'12 - Deployments &amp; Config'!AA114)</f>
        <v/>
      </c>
      <c r="L114" s="32" t="str">
        <f>IF('12 - Deployments &amp; Config'!I114="","",'12 - Deployments &amp; Config'!I114)</f>
        <v>OR iPro Cybernet Workstation</v>
      </c>
      <c r="M114" s="33"/>
      <c r="N114" s="32" t="str">
        <f>IF('12 - Deployments &amp; Config'!J114="","",'12 - Deployments &amp; Config'!J114)</f>
        <v>Yes</v>
      </c>
      <c r="O114" s="32" t="str">
        <f>IF('12 - Deployments &amp; Config'!K114="","",'12 - Deployments &amp; Config'!K114)</f>
        <v>No</v>
      </c>
      <c r="P114" s="32" t="str">
        <f>IF('12 - Deployments &amp; Config'!L114="","",'12 - Deployments &amp; Config'!L114)</f>
        <v>No</v>
      </c>
      <c r="Q114" s="33"/>
      <c r="R114" s="32" t="str">
        <f>IF('12 - Deployments &amp; Config'!AZ114="","",'12 - Deployments &amp; Config'!AZ114)</f>
        <v/>
      </c>
      <c r="S114" s="32" t="str">
        <f>IF('12 - Deployments &amp; Config'!AY114="","",'12 - Deployments &amp; Config'!AY114)</f>
        <v/>
      </c>
      <c r="T114" s="32" t="str">
        <f>IF('12 - Deployments &amp; Config'!AW114="","",'12 - Deployments &amp; Config'!AW114)</f>
        <v/>
      </c>
      <c r="U114" s="32" t="str">
        <f>IF('12 - Deployments &amp; Config'!AX114="","",'12 - Deployments &amp; Config'!AX114)</f>
        <v/>
      </c>
      <c r="V114" s="32" t="str">
        <f>IF('12 - Deployments &amp; Config'!BB114="","",'12 - Deployments &amp; Config'!BB114)</f>
        <v/>
      </c>
      <c r="W114" s="32" t="str">
        <f>IF('12 - Deployments &amp; Config'!BD114="","",'12 - Deployments &amp; Config'!BD114)</f>
        <v/>
      </c>
      <c r="X114" s="32" t="str">
        <f>IF('12 - Deployments &amp; Config'!BL114="","",'12 - Deployments &amp; Config'!BL114)</f>
        <v/>
      </c>
      <c r="Y114" s="32" t="str">
        <f>IF('12 - Deployments &amp; Config'!BC114="","",'12 - Deployments &amp; Config'!BC114)</f>
        <v/>
      </c>
      <c r="Z114" s="32" t="str">
        <f>IF('12 - Deployments &amp; Config'!P114="","",'12 - Deployments &amp; Config'!P114)</f>
        <v/>
      </c>
      <c r="AA114" s="32" t="str">
        <f>IF('12 - Deployments &amp; Config'!Q114="","",'12 - Deployments &amp; Config'!Q114)</f>
        <v/>
      </c>
    </row>
    <row r="115" spans="1:27">
      <c r="A115" s="33"/>
      <c r="B115" s="33"/>
      <c r="C115" s="32" t="str">
        <f>IF('12 - Deployments &amp; Config'!H115="","",'12 - Deployments &amp; Config'!H115)</f>
        <v>LIJ - OR</v>
      </c>
      <c r="D115" s="32" t="str">
        <f>IF('12 - Deployments &amp; Config'!AF115="","",'12 - Deployments &amp; Config'!AF115)</f>
        <v/>
      </c>
      <c r="E115" s="32" t="str">
        <f>IF('12 - Deployments &amp; Config'!AG115="","",'12 - Deployments &amp; Config'!AG115)</f>
        <v/>
      </c>
      <c r="F115" s="32" t="str">
        <f>IF('12 - Deployments &amp; Config'!AH115="","",'12 - Deployments &amp; Config'!AH115)</f>
        <v/>
      </c>
      <c r="G115" s="32" t="str">
        <f>IF('12 - Deployments &amp; Config'!AI115="","",'12 - Deployments &amp; Config'!AI115)</f>
        <v/>
      </c>
      <c r="H115" s="32" t="str">
        <f>IF('12 - Deployments &amp; Config'!A115="","",'12 - Deployments &amp; Config'!A115)</f>
        <v>Cybernet</v>
      </c>
      <c r="I115" s="32" t="str">
        <f>IF('12 - Deployments &amp; Config'!AJ115="","",'12 - Deployments &amp; Config'!AJ115)</f>
        <v/>
      </c>
      <c r="J115" s="32" t="str">
        <f>IF('12 - Deployments &amp; Config'!AK115="","",'12 - Deployments &amp; Config'!AK115)</f>
        <v/>
      </c>
      <c r="K115" s="32" t="str">
        <f>IF('12 - Deployments &amp; Config'!AA115="","",'12 - Deployments &amp; Config'!AA115)</f>
        <v/>
      </c>
      <c r="L115" s="32" t="str">
        <f>IF('12 - Deployments &amp; Config'!I115="","",'12 - Deployments &amp; Config'!I115)</f>
        <v>OR iPro Cybernet Workstation</v>
      </c>
      <c r="M115" s="33"/>
      <c r="N115" s="32" t="str">
        <f>IF('12 - Deployments &amp; Config'!J115="","",'12 - Deployments &amp; Config'!J115)</f>
        <v>Yes</v>
      </c>
      <c r="O115" s="32" t="str">
        <f>IF('12 - Deployments &amp; Config'!K115="","",'12 - Deployments &amp; Config'!K115)</f>
        <v>No</v>
      </c>
      <c r="P115" s="32" t="str">
        <f>IF('12 - Deployments &amp; Config'!L115="","",'12 - Deployments &amp; Config'!L115)</f>
        <v>No</v>
      </c>
      <c r="Q115" s="33"/>
      <c r="R115" s="32" t="str">
        <f>IF('12 - Deployments &amp; Config'!AZ115="","",'12 - Deployments &amp; Config'!AZ115)</f>
        <v/>
      </c>
      <c r="S115" s="32" t="str">
        <f>IF('12 - Deployments &amp; Config'!AY115="","",'12 - Deployments &amp; Config'!AY115)</f>
        <v/>
      </c>
      <c r="T115" s="32" t="str">
        <f>IF('12 - Deployments &amp; Config'!AW115="","",'12 - Deployments &amp; Config'!AW115)</f>
        <v/>
      </c>
      <c r="U115" s="32" t="str">
        <f>IF('12 - Deployments &amp; Config'!AX115="","",'12 - Deployments &amp; Config'!AX115)</f>
        <v/>
      </c>
      <c r="V115" s="32" t="str">
        <f>IF('12 - Deployments &amp; Config'!BB115="","",'12 - Deployments &amp; Config'!BB115)</f>
        <v/>
      </c>
      <c r="W115" s="32" t="str">
        <f>IF('12 - Deployments &amp; Config'!BD115="","",'12 - Deployments &amp; Config'!BD115)</f>
        <v/>
      </c>
      <c r="X115" s="32" t="str">
        <f>IF('12 - Deployments &amp; Config'!BL115="","",'12 - Deployments &amp; Config'!BL115)</f>
        <v/>
      </c>
      <c r="Y115" s="32" t="str">
        <f>IF('12 - Deployments &amp; Config'!BC115="","",'12 - Deployments &amp; Config'!BC115)</f>
        <v/>
      </c>
      <c r="Z115" s="32" t="str">
        <f>IF('12 - Deployments &amp; Config'!P115="","",'12 - Deployments &amp; Config'!P115)</f>
        <v/>
      </c>
      <c r="AA115" s="32" t="str">
        <f>IF('12 - Deployments &amp; Config'!Q115="","",'12 - Deployments &amp; Config'!Q115)</f>
        <v/>
      </c>
    </row>
    <row r="116" spans="1:27">
      <c r="A116" s="33"/>
      <c r="B116" s="33"/>
      <c r="C116" s="32" t="str">
        <f>IF('12 - Deployments &amp; Config'!H116="","",'12 - Deployments &amp; Config'!H116)</f>
        <v>LIJ - OR</v>
      </c>
      <c r="D116" s="32" t="str">
        <f>IF('12 - Deployments &amp; Config'!AF116="","",'12 - Deployments &amp; Config'!AF116)</f>
        <v/>
      </c>
      <c r="E116" s="32" t="str">
        <f>IF('12 - Deployments &amp; Config'!AG116="","",'12 - Deployments &amp; Config'!AG116)</f>
        <v/>
      </c>
      <c r="F116" s="32" t="str">
        <f>IF('12 - Deployments &amp; Config'!AH116="","",'12 - Deployments &amp; Config'!AH116)</f>
        <v/>
      </c>
      <c r="G116" s="32" t="str">
        <f>IF('12 - Deployments &amp; Config'!AI116="","",'12 - Deployments &amp; Config'!AI116)</f>
        <v/>
      </c>
      <c r="H116" s="32" t="str">
        <f>IF('12 - Deployments &amp; Config'!A116="","",'12 - Deployments &amp; Config'!A116)</f>
        <v>Cybernet</v>
      </c>
      <c r="I116" s="32" t="str">
        <f>IF('12 - Deployments &amp; Config'!AJ116="","",'12 - Deployments &amp; Config'!AJ116)</f>
        <v/>
      </c>
      <c r="J116" s="32" t="str">
        <f>IF('12 - Deployments &amp; Config'!AK116="","",'12 - Deployments &amp; Config'!AK116)</f>
        <v/>
      </c>
      <c r="K116" s="32" t="str">
        <f>IF('12 - Deployments &amp; Config'!AA116="","",'12 - Deployments &amp; Config'!AA116)</f>
        <v/>
      </c>
      <c r="L116" s="32" t="str">
        <f>IF('12 - Deployments &amp; Config'!I116="","",'12 - Deployments &amp; Config'!I116)</f>
        <v>OR iPro Cybernet Workstation</v>
      </c>
      <c r="M116" s="33"/>
      <c r="N116" s="32" t="str">
        <f>IF('12 - Deployments &amp; Config'!J116="","",'12 - Deployments &amp; Config'!J116)</f>
        <v>Yes</v>
      </c>
      <c r="O116" s="32" t="str">
        <f>IF('12 - Deployments &amp; Config'!K116="","",'12 - Deployments &amp; Config'!K116)</f>
        <v>No</v>
      </c>
      <c r="P116" s="32" t="str">
        <f>IF('12 - Deployments &amp; Config'!L116="","",'12 - Deployments &amp; Config'!L116)</f>
        <v>No</v>
      </c>
      <c r="Q116" s="33"/>
      <c r="R116" s="32" t="str">
        <f>IF('12 - Deployments &amp; Config'!AZ116="","",'12 - Deployments &amp; Config'!AZ116)</f>
        <v/>
      </c>
      <c r="S116" s="32" t="str">
        <f>IF('12 - Deployments &amp; Config'!AY116="","",'12 - Deployments &amp; Config'!AY116)</f>
        <v/>
      </c>
      <c r="T116" s="32" t="str">
        <f>IF('12 - Deployments &amp; Config'!AW116="","",'12 - Deployments &amp; Config'!AW116)</f>
        <v/>
      </c>
      <c r="U116" s="32" t="str">
        <f>IF('12 - Deployments &amp; Config'!AX116="","",'12 - Deployments &amp; Config'!AX116)</f>
        <v/>
      </c>
      <c r="V116" s="32" t="str">
        <f>IF('12 - Deployments &amp; Config'!BB116="","",'12 - Deployments &amp; Config'!BB116)</f>
        <v/>
      </c>
      <c r="W116" s="32" t="str">
        <f>IF('12 - Deployments &amp; Config'!BD116="","",'12 - Deployments &amp; Config'!BD116)</f>
        <v/>
      </c>
      <c r="X116" s="32" t="str">
        <f>IF('12 - Deployments &amp; Config'!BL116="","",'12 - Deployments &amp; Config'!BL116)</f>
        <v/>
      </c>
      <c r="Y116" s="32" t="str">
        <f>IF('12 - Deployments &amp; Config'!BC116="","",'12 - Deployments &amp; Config'!BC116)</f>
        <v/>
      </c>
      <c r="Z116" s="32" t="str">
        <f>IF('12 - Deployments &amp; Config'!P116="","",'12 - Deployments &amp; Config'!P116)</f>
        <v/>
      </c>
      <c r="AA116" s="32" t="str">
        <f>IF('12 - Deployments &amp; Config'!Q116="","",'12 - Deployments &amp; Config'!Q116)</f>
        <v/>
      </c>
    </row>
    <row r="117" spans="1:27">
      <c r="A117" s="33"/>
      <c r="B117" s="33"/>
      <c r="C117" s="32" t="str">
        <f>IF('12 - Deployments &amp; Config'!H117="","",'12 - Deployments &amp; Config'!H117)</f>
        <v>LIJ - OR</v>
      </c>
      <c r="D117" s="32" t="str">
        <f>IF('12 - Deployments &amp; Config'!AF117="","",'12 - Deployments &amp; Config'!AF117)</f>
        <v>LIJ ORs</v>
      </c>
      <c r="E117" s="32" t="str">
        <f>IF('12 - Deployments &amp; Config'!AG117="","",'12 - Deployments &amp; Config'!AG117)</f>
        <v>OR 17</v>
      </c>
      <c r="F117" s="32" t="str">
        <f>IF('12 - Deployments &amp; Config'!AH117="","",'12 - Deployments &amp; Config'!AH117)</f>
        <v/>
      </c>
      <c r="G117" s="32" t="str">
        <f>IF('12 - Deployments &amp; Config'!AI117="","",'12 - Deployments &amp; Config'!AI117)</f>
        <v/>
      </c>
      <c r="H117" s="32" t="str">
        <f>IF('12 - Deployments &amp; Config'!A117="","",'12 - Deployments &amp; Config'!A117)</f>
        <v>Cybernet</v>
      </c>
      <c r="I117" s="32" t="str">
        <f>IF('12 - Deployments &amp; Config'!AJ117="","",'12 - Deployments &amp; Config'!AJ117)</f>
        <v>Drager</v>
      </c>
      <c r="J117" s="32" t="str">
        <f>IF('12 - Deployments &amp; Config'!AK117="","",'12 - Deployments &amp; Config'!AK117)</f>
        <v>Apollo</v>
      </c>
      <c r="K117" s="32" t="str">
        <f>IF('12 - Deployments &amp; Config'!AA117="","",'12 - Deployments &amp; Config'!AA117)</f>
        <v>Anesthesia Machine</v>
      </c>
      <c r="L117" s="32" t="str">
        <f>IF('12 - Deployments &amp; Config'!I117="","",'12 - Deployments &amp; Config'!I117)</f>
        <v>OR iPro Cybernet Workstation</v>
      </c>
      <c r="M117" s="33"/>
      <c r="N117" s="32" t="str">
        <f>IF('12 - Deployments &amp; Config'!J117="","",'12 - Deployments &amp; Config'!J117)</f>
        <v>Yes</v>
      </c>
      <c r="O117" s="32" t="str">
        <f>IF('12 - Deployments &amp; Config'!K117="","",'12 - Deployments &amp; Config'!K117)</f>
        <v>Yes</v>
      </c>
      <c r="P117" s="32" t="str">
        <f>IF('12 - Deployments &amp; Config'!L117="","",'12 - Deployments &amp; Config'!L117)</f>
        <v>Yes</v>
      </c>
      <c r="Q117" s="33"/>
      <c r="R117" s="32" t="str">
        <f>IF('12 - Deployments &amp; Config'!AZ117="","",'12 - Deployments &amp; Config'!AZ117)</f>
        <v>Yes</v>
      </c>
      <c r="S117" s="32" t="str">
        <f>IF('12 - Deployments &amp; Config'!AY117="","",'12 - Deployments &amp; Config'!AY117)</f>
        <v>Yes</v>
      </c>
      <c r="T117" s="32" t="str">
        <f>IF('12 - Deployments &amp; Config'!AW117="","",'12 - Deployments &amp; Config'!AW117)</f>
        <v>Yes</v>
      </c>
      <c r="U117" s="32" t="str">
        <f>IF('12 - Deployments &amp; Config'!AX117="","",'12 - Deployments &amp; Config'!AX117)</f>
        <v>Yes</v>
      </c>
      <c r="V117" s="32" t="str">
        <f>IF('12 - Deployments &amp; Config'!BB117="","",'12 - Deployments &amp; Config'!BB117)</f>
        <v/>
      </c>
      <c r="W117" s="32" t="str">
        <f>IF('12 - Deployments &amp; Config'!BD117="","",'12 - Deployments &amp; Config'!BD117)</f>
        <v/>
      </c>
      <c r="X117" s="32" t="str">
        <f>IF('12 - Deployments &amp; Config'!BL117="","",'12 - Deployments &amp; Config'!BL117)</f>
        <v>Firmware Download, Device ID, Epic Beans Relay</v>
      </c>
      <c r="Y117" s="32" t="str">
        <f>IF('12 - Deployments &amp; Config'!BC117="","",'12 - Deployments &amp; Config'!BC117)</f>
        <v/>
      </c>
      <c r="Z117" s="32" t="str">
        <f>IF('12 - Deployments &amp; Config'!P117="","",'12 - Deployments &amp; Config'!P117)</f>
        <v>1427182 LIJ Installation - Tim W. Seeberger, Akbar, Chris Perkins, Epic Team, Anesthesia Techs, and Admins</v>
      </c>
      <c r="AA117" s="32">
        <f>IF('12 - Deployments &amp; Config'!Q117="","",'12 - Deployments &amp; Config'!Q117)</f>
        <v>46075</v>
      </c>
    </row>
    <row r="118" spans="1:27">
      <c r="A118" s="33"/>
      <c r="B118" s="33"/>
      <c r="C118" s="32" t="str">
        <f>IF('12 - Deployments &amp; Config'!H118="","",'12 - Deployments &amp; Config'!H118)</f>
        <v>LIJ - OR</v>
      </c>
      <c r="D118" s="32" t="str">
        <f>IF('12 - Deployments &amp; Config'!AF118="","",'12 - Deployments &amp; Config'!AF118)</f>
        <v>LIJ ORs</v>
      </c>
      <c r="E118" s="32" t="str">
        <f>IF('12 - Deployments &amp; Config'!AG118="","",'12 - Deployments &amp; Config'!AG118)</f>
        <v>OR 25 / OR 13</v>
      </c>
      <c r="F118" s="32" t="str">
        <f>IF('12 - Deployments &amp; Config'!AH118="","",'12 - Deployments &amp; Config'!AH118)</f>
        <v/>
      </c>
      <c r="G118" s="32" t="str">
        <f>IF('12 - Deployments &amp; Config'!AI118="","",'12 - Deployments &amp; Config'!AI118)</f>
        <v/>
      </c>
      <c r="H118" s="32" t="str">
        <f>IF('12 - Deployments &amp; Config'!A118="","",'12 - Deployments &amp; Config'!A118)</f>
        <v>Cybernet</v>
      </c>
      <c r="I118" s="32" t="str">
        <f>IF('12 - Deployments &amp; Config'!AJ118="","",'12 - Deployments &amp; Config'!AJ118)</f>
        <v>Drager</v>
      </c>
      <c r="J118" s="32" t="str">
        <f>IF('12 - Deployments &amp; Config'!AK118="","",'12 - Deployments &amp; Config'!AK118)</f>
        <v>Apollo</v>
      </c>
      <c r="K118" s="32" t="str">
        <f>IF('12 - Deployments &amp; Config'!AA118="","",'12 - Deployments &amp; Config'!AA118)</f>
        <v>Anesthesia Machine</v>
      </c>
      <c r="L118" s="32" t="str">
        <f>IF('12 - Deployments &amp; Config'!I118="","",'12 - Deployments &amp; Config'!I118)</f>
        <v>OR iPro Cybernet Workstation</v>
      </c>
      <c r="M118" s="33"/>
      <c r="N118" s="32" t="str">
        <f>IF('12 - Deployments &amp; Config'!J118="","",'12 - Deployments &amp; Config'!J118)</f>
        <v>Yes</v>
      </c>
      <c r="O118" s="32" t="str">
        <f>IF('12 - Deployments &amp; Config'!K118="","",'12 - Deployments &amp; Config'!K118)</f>
        <v>Yes</v>
      </c>
      <c r="P118" s="32" t="str">
        <f>IF('12 - Deployments &amp; Config'!L118="","",'12 - Deployments &amp; Config'!L118)</f>
        <v>Yes</v>
      </c>
      <c r="Q118" s="33"/>
      <c r="R118" s="32" t="str">
        <f>IF('12 - Deployments &amp; Config'!AZ118="","",'12 - Deployments &amp; Config'!AZ118)</f>
        <v>Yes</v>
      </c>
      <c r="S118" s="32" t="str">
        <f>IF('12 - Deployments &amp; Config'!AY118="","",'12 - Deployments &amp; Config'!AY118)</f>
        <v>Yes</v>
      </c>
      <c r="T118" s="32" t="str">
        <f>IF('12 - Deployments &amp; Config'!AW118="","",'12 - Deployments &amp; Config'!AW118)</f>
        <v>Yes</v>
      </c>
      <c r="U118" s="32" t="str">
        <f>IF('12 - Deployments &amp; Config'!AX118="","",'12 - Deployments &amp; Config'!AX118)</f>
        <v>Yes</v>
      </c>
      <c r="V118" s="32" t="str">
        <f>IF('12 - Deployments &amp; Config'!BB118="","",'12 - Deployments &amp; Config'!BB118)</f>
        <v/>
      </c>
      <c r="W118" s="32" t="str">
        <f>IF('12 - Deployments &amp; Config'!BD118="","",'12 - Deployments &amp; Config'!BD118)</f>
        <v/>
      </c>
      <c r="X118" s="32" t="str">
        <f>IF('12 - Deployments &amp; Config'!BL118="","",'12 - Deployments &amp; Config'!BL118)</f>
        <v>Firmware Download, Device ID, Epic Beans Relay</v>
      </c>
      <c r="Y118" s="32" t="str">
        <f>IF('12 - Deployments &amp; Config'!BC118="","",'12 - Deployments &amp; Config'!BC118)</f>
        <v/>
      </c>
      <c r="Z118" s="32" t="str">
        <f>IF('12 - Deployments &amp; Config'!P118="","",'12 - Deployments &amp; Config'!P118)</f>
        <v>1427182 LIJ Installation - Tim W. Seeberger, Akbar, Chris Perkins, Epic Team, Anesthesia Techs, and Admins</v>
      </c>
      <c r="AA118" s="32">
        <f>IF('12 - Deployments &amp; Config'!Q118="","",'12 - Deployments &amp; Config'!Q118)</f>
        <v>46075</v>
      </c>
    </row>
    <row r="119" spans="1:27">
      <c r="A119" s="33"/>
      <c r="B119" s="33"/>
      <c r="C119" s="32" t="str">
        <f>IF('12 - Deployments &amp; Config'!H119="","",'12 - Deployments &amp; Config'!H119)</f>
        <v>LIJ - CCMC</v>
      </c>
      <c r="D119" s="32" t="str">
        <f>IF('12 - Deployments &amp; Config'!AF119="","",'12 - Deployments &amp; Config'!AF119)</f>
        <v/>
      </c>
      <c r="E119" s="32" t="str">
        <f>IF('12 - Deployments &amp; Config'!AG119="","",'12 - Deployments &amp; Config'!AG119)</f>
        <v/>
      </c>
      <c r="F119" s="32" t="str">
        <f>IF('12 - Deployments &amp; Config'!AH119="","",'12 - Deployments &amp; Config'!AH119)</f>
        <v/>
      </c>
      <c r="G119" s="32" t="str">
        <f>IF('12 - Deployments &amp; Config'!AI119="","",'12 - Deployments &amp; Config'!AI119)</f>
        <v/>
      </c>
      <c r="H119" s="32" t="str">
        <f>IF('12 - Deployments &amp; Config'!A119="","",'12 - Deployments &amp; Config'!A119)</f>
        <v>Cybernet</v>
      </c>
      <c r="I119" s="32" t="str">
        <f>IF('12 - Deployments &amp; Config'!AJ119="","",'12 - Deployments &amp; Config'!AJ119)</f>
        <v/>
      </c>
      <c r="J119" s="32" t="str">
        <f>IF('12 - Deployments &amp; Config'!AK119="","",'12 - Deployments &amp; Config'!AK119)</f>
        <v/>
      </c>
      <c r="K119" s="32" t="str">
        <f>IF('12 - Deployments &amp; Config'!AA119="","",'12 - Deployments &amp; Config'!AA119)</f>
        <v/>
      </c>
      <c r="L119" s="32" t="str">
        <f>IF('12 - Deployments &amp; Config'!I119="","",'12 - Deployments &amp; Config'!I119)</f>
        <v>OR iPro Cybernet Workstation</v>
      </c>
      <c r="M119" s="33"/>
      <c r="N119" s="32" t="str">
        <f>IF('12 - Deployments &amp; Config'!J119="","",'12 - Deployments &amp; Config'!J119)</f>
        <v>Yes</v>
      </c>
      <c r="O119" s="32" t="str">
        <f>IF('12 - Deployments &amp; Config'!K119="","",'12 - Deployments &amp; Config'!K119)</f>
        <v>No</v>
      </c>
      <c r="P119" s="32" t="str">
        <f>IF('12 - Deployments &amp; Config'!L119="","",'12 - Deployments &amp; Config'!L119)</f>
        <v>No</v>
      </c>
      <c r="Q119" s="33"/>
      <c r="R119" s="32" t="str">
        <f>IF('12 - Deployments &amp; Config'!AZ119="","",'12 - Deployments &amp; Config'!AZ119)</f>
        <v/>
      </c>
      <c r="S119" s="32" t="str">
        <f>IF('12 - Deployments &amp; Config'!AY119="","",'12 - Deployments &amp; Config'!AY119)</f>
        <v/>
      </c>
      <c r="T119" s="32" t="str">
        <f>IF('12 - Deployments &amp; Config'!AW119="","",'12 - Deployments &amp; Config'!AW119)</f>
        <v/>
      </c>
      <c r="U119" s="32" t="str">
        <f>IF('12 - Deployments &amp; Config'!AX119="","",'12 - Deployments &amp; Config'!AX119)</f>
        <v/>
      </c>
      <c r="V119" s="32" t="str">
        <f>IF('12 - Deployments &amp; Config'!BB119="","",'12 - Deployments &amp; Config'!BB119)</f>
        <v/>
      </c>
      <c r="W119" s="32" t="str">
        <f>IF('12 - Deployments &amp; Config'!BD119="","",'12 - Deployments &amp; Config'!BD119)</f>
        <v/>
      </c>
      <c r="X119" s="32" t="str">
        <f>IF('12 - Deployments &amp; Config'!BL119="","",'12 - Deployments &amp; Config'!BL119)</f>
        <v/>
      </c>
      <c r="Y119" s="32" t="str">
        <f>IF('12 - Deployments &amp; Config'!BC119="","",'12 - Deployments &amp; Config'!BC119)</f>
        <v/>
      </c>
      <c r="Z119" s="32" t="str">
        <f>IF('12 - Deployments &amp; Config'!P119="","",'12 - Deployments &amp; Config'!P119)</f>
        <v/>
      </c>
      <c r="AA119" s="32" t="str">
        <f>IF('12 - Deployments &amp; Config'!Q119="","",'12 - Deployments &amp; Config'!Q119)</f>
        <v/>
      </c>
    </row>
    <row r="120" spans="1:27">
      <c r="A120" s="33"/>
      <c r="B120" s="33"/>
      <c r="C120" s="32" t="str">
        <f>IF('12 - Deployments &amp; Config'!H120="","",'12 - Deployments &amp; Config'!H120)</f>
        <v>LIJ - OR</v>
      </c>
      <c r="D120" s="32" t="str">
        <f>IF('12 - Deployments &amp; Config'!AF120="","",'12 - Deployments &amp; Config'!AF120)</f>
        <v>LIJ ORs</v>
      </c>
      <c r="E120" s="32" t="str">
        <f>IF('12 - Deployments &amp; Config'!AG120="","",'12 - Deployments &amp; Config'!AG120)</f>
        <v>OR 21</v>
      </c>
      <c r="F120" s="32" t="str">
        <f>IF('12 - Deployments &amp; Config'!AH120="","",'12 - Deployments &amp; Config'!AH120)</f>
        <v/>
      </c>
      <c r="G120" s="32" t="str">
        <f>IF('12 - Deployments &amp; Config'!AI120="","",'12 - Deployments &amp; Config'!AI120)</f>
        <v/>
      </c>
      <c r="H120" s="32" t="str">
        <f>IF('12 - Deployments &amp; Config'!A120="","",'12 - Deployments &amp; Config'!A120)</f>
        <v>Cybernet</v>
      </c>
      <c r="I120" s="32" t="str">
        <f>IF('12 - Deployments &amp; Config'!AJ120="","",'12 - Deployments &amp; Config'!AJ120)</f>
        <v>Drager</v>
      </c>
      <c r="J120" s="32" t="str">
        <f>IF('12 - Deployments &amp; Config'!AK120="","",'12 - Deployments &amp; Config'!AK120)</f>
        <v>Apollo</v>
      </c>
      <c r="K120" s="32" t="str">
        <f>IF('12 - Deployments &amp; Config'!AA120="","",'12 - Deployments &amp; Config'!AA120)</f>
        <v>Anesthesia Machine</v>
      </c>
      <c r="L120" s="32" t="str">
        <f>IF('12 - Deployments &amp; Config'!I120="","",'12 - Deployments &amp; Config'!I120)</f>
        <v>OR iPro Cybernet Workstation</v>
      </c>
      <c r="M120" s="33"/>
      <c r="N120" s="32" t="str">
        <f>IF('12 - Deployments &amp; Config'!J120="","",'12 - Deployments &amp; Config'!J120)</f>
        <v>Yes</v>
      </c>
      <c r="O120" s="32" t="str">
        <f>IF('12 - Deployments &amp; Config'!K120="","",'12 - Deployments &amp; Config'!K120)</f>
        <v>Yes</v>
      </c>
      <c r="P120" s="32" t="str">
        <f>IF('12 - Deployments &amp; Config'!L120="","",'12 - Deployments &amp; Config'!L120)</f>
        <v>Yes</v>
      </c>
      <c r="Q120" s="33"/>
      <c r="R120" s="32" t="str">
        <f>IF('12 - Deployments &amp; Config'!AZ120="","",'12 - Deployments &amp; Config'!AZ120)</f>
        <v>Yes</v>
      </c>
      <c r="S120" s="32" t="str">
        <f>IF('12 - Deployments &amp; Config'!AY120="","",'12 - Deployments &amp; Config'!AY120)</f>
        <v>Yes</v>
      </c>
      <c r="T120" s="32" t="str">
        <f>IF('12 - Deployments &amp; Config'!AW120="","",'12 - Deployments &amp; Config'!AW120)</f>
        <v>Yes</v>
      </c>
      <c r="U120" s="32" t="str">
        <f>IF('12 - Deployments &amp; Config'!AX120="","",'12 - Deployments &amp; Config'!AX120)</f>
        <v>Yes</v>
      </c>
      <c r="V120" s="32" t="str">
        <f>IF('12 - Deployments &amp; Config'!BB120="","",'12 - Deployments &amp; Config'!BB120)</f>
        <v/>
      </c>
      <c r="W120" s="32" t="str">
        <f>IF('12 - Deployments &amp; Config'!BD120="","",'12 - Deployments &amp; Config'!BD120)</f>
        <v/>
      </c>
      <c r="X120" s="32" t="str">
        <f>IF('12 - Deployments &amp; Config'!BL120="","",'12 - Deployments &amp; Config'!BL120)</f>
        <v>Firmware Download, Device ID, Epic Beans Relay</v>
      </c>
      <c r="Y120" s="32" t="str">
        <f>IF('12 - Deployments &amp; Config'!BC120="","",'12 - Deployments &amp; Config'!BC120)</f>
        <v/>
      </c>
      <c r="Z120" s="32" t="str">
        <f>IF('12 - Deployments &amp; Config'!P120="","",'12 - Deployments &amp; Config'!P120)</f>
        <v>1427182 LIJ Installation - Tim W. Seeberger, Akbar, Chris Perkins, Epic Team, Anesthesia Techs, and Admins</v>
      </c>
      <c r="AA120" s="32">
        <f>IF('12 - Deployments &amp; Config'!Q120="","",'12 - Deployments &amp; Config'!Q120)</f>
        <v>46075</v>
      </c>
    </row>
    <row r="121" spans="1:27">
      <c r="A121" s="33"/>
      <c r="B121" s="33"/>
      <c r="C121" s="32" t="str">
        <f>IF('12 - Deployments &amp; Config'!H121="","",'12 - Deployments &amp; Config'!H121)</f>
        <v>LIJ - OR</v>
      </c>
      <c r="D121" s="32" t="str">
        <f>IF('12 - Deployments &amp; Config'!AF121="","",'12 - Deployments &amp; Config'!AF121)</f>
        <v/>
      </c>
      <c r="E121" s="32" t="str">
        <f>IF('12 - Deployments &amp; Config'!AG121="","",'12 - Deployments &amp; Config'!AG121)</f>
        <v/>
      </c>
      <c r="F121" s="32" t="str">
        <f>IF('12 - Deployments &amp; Config'!AH121="","",'12 - Deployments &amp; Config'!AH121)</f>
        <v/>
      </c>
      <c r="G121" s="32" t="str">
        <f>IF('12 - Deployments &amp; Config'!AI121="","",'12 - Deployments &amp; Config'!AI121)</f>
        <v/>
      </c>
      <c r="H121" s="32" t="str">
        <f>IF('12 - Deployments &amp; Config'!A121="","",'12 - Deployments &amp; Config'!A121)</f>
        <v>Cybernet</v>
      </c>
      <c r="I121" s="32" t="str">
        <f>IF('12 - Deployments &amp; Config'!AJ121="","",'12 - Deployments &amp; Config'!AJ121)</f>
        <v/>
      </c>
      <c r="J121" s="32" t="str">
        <f>IF('12 - Deployments &amp; Config'!AK121="","",'12 - Deployments &amp; Config'!AK121)</f>
        <v/>
      </c>
      <c r="K121" s="32" t="str">
        <f>IF('12 - Deployments &amp; Config'!AA121="","",'12 - Deployments &amp; Config'!AA121)</f>
        <v/>
      </c>
      <c r="L121" s="32" t="str">
        <f>IF('12 - Deployments &amp; Config'!I121="","",'12 - Deployments &amp; Config'!I121)</f>
        <v>OR iPro Cybernet Workstation</v>
      </c>
      <c r="M121" s="33"/>
      <c r="N121" s="32" t="str">
        <f>IF('12 - Deployments &amp; Config'!J121="","",'12 - Deployments &amp; Config'!J121)</f>
        <v>Yes</v>
      </c>
      <c r="O121" s="32" t="str">
        <f>IF('12 - Deployments &amp; Config'!K121="","",'12 - Deployments &amp; Config'!K121)</f>
        <v>No</v>
      </c>
      <c r="P121" s="32" t="str">
        <f>IF('12 - Deployments &amp; Config'!L121="","",'12 - Deployments &amp; Config'!L121)</f>
        <v>No</v>
      </c>
      <c r="Q121" s="33"/>
      <c r="R121" s="32" t="str">
        <f>IF('12 - Deployments &amp; Config'!AZ121="","",'12 - Deployments &amp; Config'!AZ121)</f>
        <v/>
      </c>
      <c r="S121" s="32" t="str">
        <f>IF('12 - Deployments &amp; Config'!AY121="","",'12 - Deployments &amp; Config'!AY121)</f>
        <v/>
      </c>
      <c r="T121" s="32" t="str">
        <f>IF('12 - Deployments &amp; Config'!AW121="","",'12 - Deployments &amp; Config'!AW121)</f>
        <v/>
      </c>
      <c r="U121" s="32" t="str">
        <f>IF('12 - Deployments &amp; Config'!AX121="","",'12 - Deployments &amp; Config'!AX121)</f>
        <v/>
      </c>
      <c r="V121" s="32" t="str">
        <f>IF('12 - Deployments &amp; Config'!BB121="","",'12 - Deployments &amp; Config'!BB121)</f>
        <v/>
      </c>
      <c r="W121" s="32" t="str">
        <f>IF('12 - Deployments &amp; Config'!BD121="","",'12 - Deployments &amp; Config'!BD121)</f>
        <v/>
      </c>
      <c r="X121" s="32" t="str">
        <f>IF('12 - Deployments &amp; Config'!BL121="","",'12 - Deployments &amp; Config'!BL121)</f>
        <v/>
      </c>
      <c r="Y121" s="32" t="str">
        <f>IF('12 - Deployments &amp; Config'!BC121="","",'12 - Deployments &amp; Config'!BC121)</f>
        <v/>
      </c>
      <c r="Z121" s="32" t="str">
        <f>IF('12 - Deployments &amp; Config'!P121="","",'12 - Deployments &amp; Config'!P121)</f>
        <v/>
      </c>
      <c r="AA121" s="32" t="str">
        <f>IF('12 - Deployments &amp; Config'!Q121="","",'12 - Deployments &amp; Config'!Q121)</f>
        <v/>
      </c>
    </row>
    <row r="122" spans="1:27">
      <c r="A122" s="33"/>
      <c r="B122" s="33"/>
      <c r="C122" s="32" t="str">
        <f>IF('12 - Deployments &amp; Config'!H122="","",'12 - Deployments &amp; Config'!H122)</f>
        <v>LIJ - OR</v>
      </c>
      <c r="D122" s="32" t="str">
        <f>IF('12 - Deployments &amp; Config'!AF122="","",'12 - Deployments &amp; Config'!AF122)</f>
        <v/>
      </c>
      <c r="E122" s="32" t="str">
        <f>IF('12 - Deployments &amp; Config'!AG122="","",'12 - Deployments &amp; Config'!AG122)</f>
        <v/>
      </c>
      <c r="F122" s="32" t="str">
        <f>IF('12 - Deployments &amp; Config'!AH122="","",'12 - Deployments &amp; Config'!AH122)</f>
        <v/>
      </c>
      <c r="G122" s="32" t="str">
        <f>IF('12 - Deployments &amp; Config'!AI122="","",'12 - Deployments &amp; Config'!AI122)</f>
        <v/>
      </c>
      <c r="H122" s="32" t="str">
        <f>IF('12 - Deployments &amp; Config'!A122="","",'12 - Deployments &amp; Config'!A122)</f>
        <v>Cybernet</v>
      </c>
      <c r="I122" s="32" t="str">
        <f>IF('12 - Deployments &amp; Config'!AJ122="","",'12 - Deployments &amp; Config'!AJ122)</f>
        <v/>
      </c>
      <c r="J122" s="32" t="str">
        <f>IF('12 - Deployments &amp; Config'!AK122="","",'12 - Deployments &amp; Config'!AK122)</f>
        <v/>
      </c>
      <c r="K122" s="32" t="str">
        <f>IF('12 - Deployments &amp; Config'!AA122="","",'12 - Deployments &amp; Config'!AA122)</f>
        <v/>
      </c>
      <c r="L122" s="32" t="str">
        <f>IF('12 - Deployments &amp; Config'!I122="","",'12 - Deployments &amp; Config'!I122)</f>
        <v>OR iPro Cybernet Workstation</v>
      </c>
      <c r="M122" s="33"/>
      <c r="N122" s="32" t="str">
        <f>IF('12 - Deployments &amp; Config'!J122="","",'12 - Deployments &amp; Config'!J122)</f>
        <v>Yes</v>
      </c>
      <c r="O122" s="32" t="str">
        <f>IF('12 - Deployments &amp; Config'!K122="","",'12 - Deployments &amp; Config'!K122)</f>
        <v>No</v>
      </c>
      <c r="P122" s="32" t="str">
        <f>IF('12 - Deployments &amp; Config'!L122="","",'12 - Deployments &amp; Config'!L122)</f>
        <v>No</v>
      </c>
      <c r="Q122" s="33"/>
      <c r="R122" s="32" t="str">
        <f>IF('12 - Deployments &amp; Config'!AZ122="","",'12 - Deployments &amp; Config'!AZ122)</f>
        <v/>
      </c>
      <c r="S122" s="32" t="str">
        <f>IF('12 - Deployments &amp; Config'!AY122="","",'12 - Deployments &amp; Config'!AY122)</f>
        <v/>
      </c>
      <c r="T122" s="32" t="str">
        <f>IF('12 - Deployments &amp; Config'!AW122="","",'12 - Deployments &amp; Config'!AW122)</f>
        <v/>
      </c>
      <c r="U122" s="32" t="str">
        <f>IF('12 - Deployments &amp; Config'!AX122="","",'12 - Deployments &amp; Config'!AX122)</f>
        <v/>
      </c>
      <c r="V122" s="32" t="str">
        <f>IF('12 - Deployments &amp; Config'!BB122="","",'12 - Deployments &amp; Config'!BB122)</f>
        <v/>
      </c>
      <c r="W122" s="32" t="str">
        <f>IF('12 - Deployments &amp; Config'!BD122="","",'12 - Deployments &amp; Config'!BD122)</f>
        <v/>
      </c>
      <c r="X122" s="32" t="str">
        <f>IF('12 - Deployments &amp; Config'!BL122="","",'12 - Deployments &amp; Config'!BL122)</f>
        <v/>
      </c>
      <c r="Y122" s="32" t="str">
        <f>IF('12 - Deployments &amp; Config'!BC122="","",'12 - Deployments &amp; Config'!BC122)</f>
        <v/>
      </c>
      <c r="Z122" s="32" t="str">
        <f>IF('12 - Deployments &amp; Config'!P122="","",'12 - Deployments &amp; Config'!P122)</f>
        <v/>
      </c>
      <c r="AA122" s="32" t="str">
        <f>IF('12 - Deployments &amp; Config'!Q122="","",'12 - Deployments &amp; Config'!Q122)</f>
        <v/>
      </c>
    </row>
    <row r="123" spans="1:27">
      <c r="A123" s="33"/>
      <c r="B123" s="33"/>
      <c r="C123" s="32" t="str">
        <f>IF('12 - Deployments &amp; Config'!H123="","",'12 - Deployments &amp; Config'!H123)</f>
        <v>LIJ - OR</v>
      </c>
      <c r="D123" s="32" t="str">
        <f>IF('12 - Deployments &amp; Config'!AF123="","",'12 - Deployments &amp; Config'!AF123)</f>
        <v>LIJ ORs</v>
      </c>
      <c r="E123" s="32" t="str">
        <f>IF('12 - Deployments &amp; Config'!AG123="","",'12 - Deployments &amp; Config'!AG123)</f>
        <v>OR 22</v>
      </c>
      <c r="F123" s="32" t="str">
        <f>IF('12 - Deployments &amp; Config'!AH123="","",'12 - Deployments &amp; Config'!AH123)</f>
        <v/>
      </c>
      <c r="G123" s="32" t="str">
        <f>IF('12 - Deployments &amp; Config'!AI123="","",'12 - Deployments &amp; Config'!AI123)</f>
        <v/>
      </c>
      <c r="H123" s="32" t="str">
        <f>IF('12 - Deployments &amp; Config'!A123="","",'12 - Deployments &amp; Config'!A123)</f>
        <v>Cybernet</v>
      </c>
      <c r="I123" s="32" t="str">
        <f>IF('12 - Deployments &amp; Config'!AJ123="","",'12 - Deployments &amp; Config'!AJ123)</f>
        <v>Drager</v>
      </c>
      <c r="J123" s="32" t="str">
        <f>IF('12 - Deployments &amp; Config'!AK123="","",'12 - Deployments &amp; Config'!AK123)</f>
        <v>Apollo</v>
      </c>
      <c r="K123" s="32" t="str">
        <f>IF('12 - Deployments &amp; Config'!AA123="","",'12 - Deployments &amp; Config'!AA123)</f>
        <v>Anesthesia Machine</v>
      </c>
      <c r="L123" s="32" t="str">
        <f>IF('12 - Deployments &amp; Config'!I123="","",'12 - Deployments &amp; Config'!I123)</f>
        <v>OR iPro Cybernet Workstation</v>
      </c>
      <c r="M123" s="33"/>
      <c r="N123" s="32" t="str">
        <f>IF('12 - Deployments &amp; Config'!J123="","",'12 - Deployments &amp; Config'!J123)</f>
        <v>Yes</v>
      </c>
      <c r="O123" s="32" t="str">
        <f>IF('12 - Deployments &amp; Config'!K123="","",'12 - Deployments &amp; Config'!K123)</f>
        <v>Yes</v>
      </c>
      <c r="P123" s="32" t="str">
        <f>IF('12 - Deployments &amp; Config'!L123="","",'12 - Deployments &amp; Config'!L123)</f>
        <v>Yes</v>
      </c>
      <c r="Q123" s="33"/>
      <c r="R123" s="32" t="str">
        <f>IF('12 - Deployments &amp; Config'!AZ123="","",'12 - Deployments &amp; Config'!AZ123)</f>
        <v>Yes</v>
      </c>
      <c r="S123" s="32" t="str">
        <f>IF('12 - Deployments &amp; Config'!AY123="","",'12 - Deployments &amp; Config'!AY123)</f>
        <v>Yes</v>
      </c>
      <c r="T123" s="32" t="str">
        <f>IF('12 - Deployments &amp; Config'!AW123="","",'12 - Deployments &amp; Config'!AW123)</f>
        <v>Yes</v>
      </c>
      <c r="U123" s="32" t="str">
        <f>IF('12 - Deployments &amp; Config'!AX123="","",'12 - Deployments &amp; Config'!AX123)</f>
        <v>Yes</v>
      </c>
      <c r="V123" s="32" t="str">
        <f>IF('12 - Deployments &amp; Config'!BB123="","",'12 - Deployments &amp; Config'!BB123)</f>
        <v/>
      </c>
      <c r="W123" s="32" t="str">
        <f>IF('12 - Deployments &amp; Config'!BD123="","",'12 - Deployments &amp; Config'!BD123)</f>
        <v/>
      </c>
      <c r="X123" s="32" t="str">
        <f>IF('12 - Deployments &amp; Config'!BL123="","",'12 - Deployments &amp; Config'!BL123)</f>
        <v>Firmware Download, Device ID, Epic Beans Relay</v>
      </c>
      <c r="Y123" s="32" t="str">
        <f>IF('12 - Deployments &amp; Config'!BC123="","",'12 - Deployments &amp; Config'!BC123)</f>
        <v/>
      </c>
      <c r="Z123" s="32" t="str">
        <f>IF('12 - Deployments &amp; Config'!P123="","",'12 - Deployments &amp; Config'!P123)</f>
        <v>1427182 LIJ Installation - Tim W. Seeberger, Akbar, Chris Perkins, Epic Team, Anesthesia Techs, and Admins</v>
      </c>
      <c r="AA123" s="32">
        <f>IF('12 - Deployments &amp; Config'!Q123="","",'12 - Deployments &amp; Config'!Q123)</f>
        <v>46075</v>
      </c>
    </row>
    <row r="124" spans="1:27">
      <c r="A124" s="33"/>
      <c r="B124" s="33"/>
      <c r="C124" s="32" t="str">
        <f>IF('12 - Deployments &amp; Config'!H124="","",'12 - Deployments &amp; Config'!H124)</f>
        <v>LIJ - OR</v>
      </c>
      <c r="D124" s="32" t="str">
        <f>IF('12 - Deployments &amp; Config'!AF124="","",'12 - Deployments &amp; Config'!AF124)</f>
        <v>LIJ ORs</v>
      </c>
      <c r="E124" s="32" t="str">
        <f>IF('12 - Deployments &amp; Config'!AG124="","",'12 - Deployments &amp; Config'!AG124)</f>
        <v>OR 19</v>
      </c>
      <c r="F124" s="32" t="str">
        <f>IF('12 - Deployments &amp; Config'!AH124="","",'12 - Deployments &amp; Config'!AH124)</f>
        <v/>
      </c>
      <c r="G124" s="32" t="str">
        <f>IF('12 - Deployments &amp; Config'!AI124="","",'12 - Deployments &amp; Config'!AI124)</f>
        <v/>
      </c>
      <c r="H124" s="32" t="str">
        <f>IF('12 - Deployments &amp; Config'!A124="","",'12 - Deployments &amp; Config'!A124)</f>
        <v>Cybernet</v>
      </c>
      <c r="I124" s="32" t="str">
        <f>IF('12 - Deployments &amp; Config'!AJ124="","",'12 - Deployments &amp; Config'!AJ124)</f>
        <v>Drager</v>
      </c>
      <c r="J124" s="32" t="str">
        <f>IF('12 - Deployments &amp; Config'!AK124="","",'12 - Deployments &amp; Config'!AK124)</f>
        <v>Apollo</v>
      </c>
      <c r="K124" s="32" t="str">
        <f>IF('12 - Deployments &amp; Config'!AA124="","",'12 - Deployments &amp; Config'!AA124)</f>
        <v>Anesthesia Machine</v>
      </c>
      <c r="L124" s="32" t="str">
        <f>IF('12 - Deployments &amp; Config'!I124="","",'12 - Deployments &amp; Config'!I124)</f>
        <v>OR iPro Cybernet Workstation</v>
      </c>
      <c r="M124" s="33"/>
      <c r="N124" s="32" t="str">
        <f>IF('12 - Deployments &amp; Config'!J124="","",'12 - Deployments &amp; Config'!J124)</f>
        <v>Yes</v>
      </c>
      <c r="O124" s="32" t="str">
        <f>IF('12 - Deployments &amp; Config'!K124="","",'12 - Deployments &amp; Config'!K124)</f>
        <v>Yes</v>
      </c>
      <c r="P124" s="32" t="str">
        <f>IF('12 - Deployments &amp; Config'!L124="","",'12 - Deployments &amp; Config'!L124)</f>
        <v>Yes</v>
      </c>
      <c r="Q124" s="33"/>
      <c r="R124" s="32" t="str">
        <f>IF('12 - Deployments &amp; Config'!AZ124="","",'12 - Deployments &amp; Config'!AZ124)</f>
        <v>Yes</v>
      </c>
      <c r="S124" s="32" t="str">
        <f>IF('12 - Deployments &amp; Config'!AY124="","",'12 - Deployments &amp; Config'!AY124)</f>
        <v>Yes</v>
      </c>
      <c r="T124" s="32" t="str">
        <f>IF('12 - Deployments &amp; Config'!AW124="","",'12 - Deployments &amp; Config'!AW124)</f>
        <v>Yes</v>
      </c>
      <c r="U124" s="32" t="str">
        <f>IF('12 - Deployments &amp; Config'!AX124="","",'12 - Deployments &amp; Config'!AX124)</f>
        <v>Yes</v>
      </c>
      <c r="V124" s="32" t="str">
        <f>IF('12 - Deployments &amp; Config'!BB124="","",'12 - Deployments &amp; Config'!BB124)</f>
        <v/>
      </c>
      <c r="W124" s="32" t="str">
        <f>IF('12 - Deployments &amp; Config'!BD124="","",'12 - Deployments &amp; Config'!BD124)</f>
        <v/>
      </c>
      <c r="X124" s="32" t="str">
        <f>IF('12 - Deployments &amp; Config'!BL124="","",'12 - Deployments &amp; Config'!BL124)</f>
        <v>Firmware Download, Device ID, Epic Beans Relay</v>
      </c>
      <c r="Y124" s="32" t="str">
        <f>IF('12 - Deployments &amp; Config'!BC124="","",'12 - Deployments &amp; Config'!BC124)</f>
        <v/>
      </c>
      <c r="Z124" s="32" t="str">
        <f>IF('12 - Deployments &amp; Config'!P124="","",'12 - Deployments &amp; Config'!P124)</f>
        <v>1427182 LIJ Installation - Tim W. Seeberger, Akbar, Chris Perkins, Epic Team, Anesthesia Techs, and Admins</v>
      </c>
      <c r="AA124" s="32">
        <f>IF('12 - Deployments &amp; Config'!Q124="","",'12 - Deployments &amp; Config'!Q124)</f>
        <v>46075</v>
      </c>
    </row>
    <row r="125" spans="1:27">
      <c r="A125" s="33"/>
      <c r="B125" s="33"/>
      <c r="C125" s="32" t="str">
        <f>IF('12 - Deployments &amp; Config'!H125="","",'12 - Deployments &amp; Config'!H125)</f>
        <v>LIJ - OR</v>
      </c>
      <c r="D125" s="32" t="str">
        <f>IF('12 - Deployments &amp; Config'!AF125="","",'12 - Deployments &amp; Config'!AF125)</f>
        <v>LIJ ORs</v>
      </c>
      <c r="E125" s="32" t="str">
        <f>IF('12 - Deployments &amp; Config'!AG125="","",'12 - Deployments &amp; Config'!AG125)</f>
        <v>OR 15</v>
      </c>
      <c r="F125" s="32" t="str">
        <f>IF('12 - Deployments &amp; Config'!AH125="","",'12 - Deployments &amp; Config'!AH125)</f>
        <v/>
      </c>
      <c r="G125" s="32" t="str">
        <f>IF('12 - Deployments &amp; Config'!AI125="","",'12 - Deployments &amp; Config'!AI125)</f>
        <v/>
      </c>
      <c r="H125" s="32" t="str">
        <f>IF('12 - Deployments &amp; Config'!A125="","",'12 - Deployments &amp; Config'!A125)</f>
        <v>Cybernet</v>
      </c>
      <c r="I125" s="32" t="str">
        <f>IF('12 - Deployments &amp; Config'!AJ125="","",'12 - Deployments &amp; Config'!AJ125)</f>
        <v>Drager</v>
      </c>
      <c r="J125" s="32" t="str">
        <f>IF('12 - Deployments &amp; Config'!AK125="","",'12 - Deployments &amp; Config'!AK125)</f>
        <v>Apollo</v>
      </c>
      <c r="K125" s="32" t="str">
        <f>IF('12 - Deployments &amp; Config'!AA125="","",'12 - Deployments &amp; Config'!AA125)</f>
        <v>Anesthesia Machine</v>
      </c>
      <c r="L125" s="32" t="str">
        <f>IF('12 - Deployments &amp; Config'!I125="","",'12 - Deployments &amp; Config'!I125)</f>
        <v>OR iPro Cybernet Workstation</v>
      </c>
      <c r="M125" s="33"/>
      <c r="N125" s="32" t="str">
        <f>IF('12 - Deployments &amp; Config'!J125="","",'12 - Deployments &amp; Config'!J125)</f>
        <v>Yes</v>
      </c>
      <c r="O125" s="32" t="str">
        <f>IF('12 - Deployments &amp; Config'!K125="","",'12 - Deployments &amp; Config'!K125)</f>
        <v>Yes</v>
      </c>
      <c r="P125" s="32" t="str">
        <f>IF('12 - Deployments &amp; Config'!L125="","",'12 - Deployments &amp; Config'!L125)</f>
        <v>Yes</v>
      </c>
      <c r="Q125" s="33"/>
      <c r="R125" s="32" t="str">
        <f>IF('12 - Deployments &amp; Config'!AZ125="","",'12 - Deployments &amp; Config'!AZ125)</f>
        <v>Yes</v>
      </c>
      <c r="S125" s="32" t="str">
        <f>IF('12 - Deployments &amp; Config'!AY125="","",'12 - Deployments &amp; Config'!AY125)</f>
        <v>Yes</v>
      </c>
      <c r="T125" s="32" t="str">
        <f>IF('12 - Deployments &amp; Config'!AW125="","",'12 - Deployments &amp; Config'!AW125)</f>
        <v>Yes</v>
      </c>
      <c r="U125" s="32" t="str">
        <f>IF('12 - Deployments &amp; Config'!AX125="","",'12 - Deployments &amp; Config'!AX125)</f>
        <v>Yes</v>
      </c>
      <c r="V125" s="32" t="str">
        <f>IF('12 - Deployments &amp; Config'!BB125="","",'12 - Deployments &amp; Config'!BB125)</f>
        <v/>
      </c>
      <c r="W125" s="32" t="str">
        <f>IF('12 - Deployments &amp; Config'!BD125="","",'12 - Deployments &amp; Config'!BD125)</f>
        <v/>
      </c>
      <c r="X125" s="32" t="str">
        <f>IF('12 - Deployments &amp; Config'!BL125="","",'12 - Deployments &amp; Config'!BL125)</f>
        <v>Firmware Download, Device ID, Epic Beans Relay</v>
      </c>
      <c r="Y125" s="32" t="str">
        <f>IF('12 - Deployments &amp; Config'!BC125="","",'12 - Deployments &amp; Config'!BC125)</f>
        <v/>
      </c>
      <c r="Z125" s="32" t="str">
        <f>IF('12 - Deployments &amp; Config'!P125="","",'12 - Deployments &amp; Config'!P125)</f>
        <v>1427182 LIJ Installation - Tim W. Seeberger, Akbar, Chris Perkins, Epic Team, Anesthesia Techs, and Admins</v>
      </c>
      <c r="AA125" s="32">
        <f>IF('12 - Deployments &amp; Config'!Q125="","",'12 - Deployments &amp; Config'!Q125)</f>
        <v>46075</v>
      </c>
    </row>
    <row r="126" spans="1:27">
      <c r="A126" s="33"/>
      <c r="B126" s="33"/>
      <c r="C126" s="32" t="str">
        <f>IF('12 - Deployments &amp; Config'!H126="","",'12 - Deployments &amp; Config'!H126)</f>
        <v>LIJ - OR</v>
      </c>
      <c r="D126" s="32" t="str">
        <f>IF('12 - Deployments &amp; Config'!AF126="","",'12 - Deployments &amp; Config'!AF126)</f>
        <v>LIJ ORs</v>
      </c>
      <c r="E126" s="32" t="str">
        <f>IF('12 - Deployments &amp; Config'!AG126="","",'12 - Deployments &amp; Config'!AG126)</f>
        <v>OR 12</v>
      </c>
      <c r="F126" s="32" t="str">
        <f>IF('12 - Deployments &amp; Config'!AH126="","",'12 - Deployments &amp; Config'!AH126)</f>
        <v/>
      </c>
      <c r="G126" s="32" t="str">
        <f>IF('12 - Deployments &amp; Config'!AI126="","",'12 - Deployments &amp; Config'!AI126)</f>
        <v/>
      </c>
      <c r="H126" s="32" t="str">
        <f>IF('12 - Deployments &amp; Config'!A126="","",'12 - Deployments &amp; Config'!A126)</f>
        <v>Cybernet</v>
      </c>
      <c r="I126" s="32" t="str">
        <f>IF('12 - Deployments &amp; Config'!AJ126="","",'12 - Deployments &amp; Config'!AJ126)</f>
        <v>Drager</v>
      </c>
      <c r="J126" s="32" t="str">
        <f>IF('12 - Deployments &amp; Config'!AK126="","",'12 - Deployments &amp; Config'!AK126)</f>
        <v>Apollo</v>
      </c>
      <c r="K126" s="32" t="str">
        <f>IF('12 - Deployments &amp; Config'!AA126="","",'12 - Deployments &amp; Config'!AA126)</f>
        <v>Anesthesia Machine</v>
      </c>
      <c r="L126" s="32" t="str">
        <f>IF('12 - Deployments &amp; Config'!I126="","",'12 - Deployments &amp; Config'!I126)</f>
        <v>OR iPro Cybernet Workstation</v>
      </c>
      <c r="M126" s="33"/>
      <c r="N126" s="32" t="str">
        <f>IF('12 - Deployments &amp; Config'!J126="","",'12 - Deployments &amp; Config'!J126)</f>
        <v>Yes</v>
      </c>
      <c r="O126" s="32" t="str">
        <f>IF('12 - Deployments &amp; Config'!K126="","",'12 - Deployments &amp; Config'!K126)</f>
        <v>Yes</v>
      </c>
      <c r="P126" s="32" t="str">
        <f>IF('12 - Deployments &amp; Config'!L126="","",'12 - Deployments &amp; Config'!L126)</f>
        <v>Yes</v>
      </c>
      <c r="Q126" s="33"/>
      <c r="R126" s="32" t="str">
        <f>IF('12 - Deployments &amp; Config'!AZ126="","",'12 - Deployments &amp; Config'!AZ126)</f>
        <v>Yes</v>
      </c>
      <c r="S126" s="32" t="str">
        <f>IF('12 - Deployments &amp; Config'!AY126="","",'12 - Deployments &amp; Config'!AY126)</f>
        <v>Yes</v>
      </c>
      <c r="T126" s="32" t="str">
        <f>IF('12 - Deployments &amp; Config'!AW126="","",'12 - Deployments &amp; Config'!AW126)</f>
        <v>Yes</v>
      </c>
      <c r="U126" s="32" t="str">
        <f>IF('12 - Deployments &amp; Config'!AX126="","",'12 - Deployments &amp; Config'!AX126)</f>
        <v>Yes</v>
      </c>
      <c r="V126" s="32" t="str">
        <f>IF('12 - Deployments &amp; Config'!BB126="","",'12 - Deployments &amp; Config'!BB126)</f>
        <v/>
      </c>
      <c r="W126" s="32" t="str">
        <f>IF('12 - Deployments &amp; Config'!BD126="","",'12 - Deployments &amp; Config'!BD126)</f>
        <v/>
      </c>
      <c r="X126" s="32" t="str">
        <f>IF('12 - Deployments &amp; Config'!BL126="","",'12 - Deployments &amp; Config'!BL126)</f>
        <v>Firmware Download, Device ID, Epic Beans Relay</v>
      </c>
      <c r="Y126" s="32" t="str">
        <f>IF('12 - Deployments &amp; Config'!BC126="","",'12 - Deployments &amp; Config'!BC126)</f>
        <v/>
      </c>
      <c r="Z126" s="32" t="str">
        <f>IF('12 - Deployments &amp; Config'!P126="","",'12 - Deployments &amp; Config'!P126)</f>
        <v>1427182 LIJ Installation - Tim W. Seeberger, Akbar, Chris Perkins, Epic Team, Anesthesia Techs, and Admins</v>
      </c>
      <c r="AA126" s="32">
        <f>IF('12 - Deployments &amp; Config'!Q126="","",'12 - Deployments &amp; Config'!Q126)</f>
        <v>46075</v>
      </c>
    </row>
    <row r="127" spans="1:27">
      <c r="A127" s="33"/>
      <c r="B127" s="33"/>
      <c r="C127" s="32" t="str">
        <f>IF('12 - Deployments &amp; Config'!H127="","",'12 - Deployments &amp; Config'!H127)</f>
        <v>LIJ - OR</v>
      </c>
      <c r="D127" s="32" t="str">
        <f>IF('12 - Deployments &amp; Config'!AF127="","",'12 - Deployments &amp; Config'!AF127)</f>
        <v>LIJ ORs</v>
      </c>
      <c r="E127" s="32" t="str">
        <f>IF('12 - Deployments &amp; Config'!AG127="","",'12 - Deployments &amp; Config'!AG127)</f>
        <v>Procedural Room 1</v>
      </c>
      <c r="F127" s="32" t="str">
        <f>IF('12 - Deployments &amp; Config'!AH127="","",'12 - Deployments &amp; Config'!AH127)</f>
        <v/>
      </c>
      <c r="G127" s="32" t="str">
        <f>IF('12 - Deployments &amp; Config'!AI127="","",'12 - Deployments &amp; Config'!AI127)</f>
        <v/>
      </c>
      <c r="H127" s="32" t="str">
        <f>IF('12 - Deployments &amp; Config'!A127="","",'12 - Deployments &amp; Config'!A127)</f>
        <v>Cybernet</v>
      </c>
      <c r="I127" s="32" t="str">
        <f>IF('12 - Deployments &amp; Config'!AJ127="","",'12 - Deployments &amp; Config'!AJ127)</f>
        <v>Drager</v>
      </c>
      <c r="J127" s="32" t="str">
        <f>IF('12 - Deployments &amp; Config'!AK127="","",'12 - Deployments &amp; Config'!AK127)</f>
        <v>Apollo</v>
      </c>
      <c r="K127" s="32" t="str">
        <f>IF('12 - Deployments &amp; Config'!AA127="","",'12 - Deployments &amp; Config'!AA127)</f>
        <v>Anesthesia Machine</v>
      </c>
      <c r="L127" s="32" t="str">
        <f>IF('12 - Deployments &amp; Config'!I127="","",'12 - Deployments &amp; Config'!I127)</f>
        <v>OR iPro Cybernet Workstation</v>
      </c>
      <c r="M127" s="33"/>
      <c r="N127" s="32" t="str">
        <f>IF('12 - Deployments &amp; Config'!J127="","",'12 - Deployments &amp; Config'!J127)</f>
        <v>Yes</v>
      </c>
      <c r="O127" s="32" t="str">
        <f>IF('12 - Deployments &amp; Config'!K127="","",'12 - Deployments &amp; Config'!K127)</f>
        <v>Yes</v>
      </c>
      <c r="P127" s="32" t="str">
        <f>IF('12 - Deployments &amp; Config'!L127="","",'12 - Deployments &amp; Config'!L127)</f>
        <v>Yes</v>
      </c>
      <c r="Q127" s="33"/>
      <c r="R127" s="32" t="str">
        <f>IF('12 - Deployments &amp; Config'!AZ127="","",'12 - Deployments &amp; Config'!AZ127)</f>
        <v>Yes</v>
      </c>
      <c r="S127" s="32" t="str">
        <f>IF('12 - Deployments &amp; Config'!AY127="","",'12 - Deployments &amp; Config'!AY127)</f>
        <v>Yes</v>
      </c>
      <c r="T127" s="32" t="str">
        <f>IF('12 - Deployments &amp; Config'!AW127="","",'12 - Deployments &amp; Config'!AW127)</f>
        <v>Yes</v>
      </c>
      <c r="U127" s="32" t="str">
        <f>IF('12 - Deployments &amp; Config'!AX127="","",'12 - Deployments &amp; Config'!AX127)</f>
        <v>Yes</v>
      </c>
      <c r="V127" s="32" t="str">
        <f>IF('12 - Deployments &amp; Config'!BB127="","",'12 - Deployments &amp; Config'!BB127)</f>
        <v/>
      </c>
      <c r="W127" s="32" t="str">
        <f>IF('12 - Deployments &amp; Config'!BD127="","",'12 - Deployments &amp; Config'!BD127)</f>
        <v/>
      </c>
      <c r="X127" s="32" t="str">
        <f>IF('12 - Deployments &amp; Config'!BL127="","",'12 - Deployments &amp; Config'!BL127)</f>
        <v/>
      </c>
      <c r="Y127" s="32" t="str">
        <f>IF('12 - Deployments &amp; Config'!BC127="","",'12 - Deployments &amp; Config'!BC127)</f>
        <v/>
      </c>
      <c r="Z127" s="32" t="str">
        <f>IF('12 - Deployments &amp; Config'!P127="","",'12 - Deployments &amp; Config'!P127)</f>
        <v>1427182 LIJ Installation - Tim W. Seeberger, Akbar, Chris Perkins, Epic Team, Anesthesia Techs, and Admins</v>
      </c>
      <c r="AA127" s="32">
        <f>IF('12 - Deployments &amp; Config'!Q127="","",'12 - Deployments &amp; Config'!Q127)</f>
        <v>46075</v>
      </c>
    </row>
    <row r="128" spans="1:27">
      <c r="A128" s="33"/>
      <c r="B128" s="33"/>
      <c r="C128" s="32" t="str">
        <f>IF('12 - Deployments &amp; Config'!H128="","",'12 - Deployments &amp; Config'!H128)</f>
        <v>LIJ - OR</v>
      </c>
      <c r="D128" s="32" t="str">
        <f>IF('12 - Deployments &amp; Config'!AF128="","",'12 - Deployments &amp; Config'!AF128)</f>
        <v>LIJ ORs</v>
      </c>
      <c r="E128" s="32" t="str">
        <f>IF('12 - Deployments &amp; Config'!AG128="","",'12 - Deployments &amp; Config'!AG128)</f>
        <v>OR 14</v>
      </c>
      <c r="F128" s="32" t="str">
        <f>IF('12 - Deployments &amp; Config'!AH128="","",'12 - Deployments &amp; Config'!AH128)</f>
        <v/>
      </c>
      <c r="G128" s="32" t="str">
        <f>IF('12 - Deployments &amp; Config'!AI128="","",'12 - Deployments &amp; Config'!AI128)</f>
        <v/>
      </c>
      <c r="H128" s="32" t="str">
        <f>IF('12 - Deployments &amp; Config'!A128="","",'12 - Deployments &amp; Config'!A128)</f>
        <v>Cybernet</v>
      </c>
      <c r="I128" s="32" t="str">
        <f>IF('12 - Deployments &amp; Config'!AJ128="","",'12 - Deployments &amp; Config'!AJ128)</f>
        <v>Drager</v>
      </c>
      <c r="J128" s="32" t="str">
        <f>IF('12 - Deployments &amp; Config'!AK128="","",'12 - Deployments &amp; Config'!AK128)</f>
        <v>Apollo</v>
      </c>
      <c r="K128" s="32" t="str">
        <f>IF('12 - Deployments &amp; Config'!AA128="","",'12 - Deployments &amp; Config'!AA128)</f>
        <v>Anesthesia Machine</v>
      </c>
      <c r="L128" s="32" t="str">
        <f>IF('12 - Deployments &amp; Config'!I128="","",'12 - Deployments &amp; Config'!I128)</f>
        <v>OR iPro Cybernet Workstation</v>
      </c>
      <c r="M128" s="33"/>
      <c r="N128" s="32" t="str">
        <f>IF('12 - Deployments &amp; Config'!J128="","",'12 - Deployments &amp; Config'!J128)</f>
        <v>Yes</v>
      </c>
      <c r="O128" s="32" t="str">
        <f>IF('12 - Deployments &amp; Config'!K128="","",'12 - Deployments &amp; Config'!K128)</f>
        <v>Yes</v>
      </c>
      <c r="P128" s="32" t="str">
        <f>IF('12 - Deployments &amp; Config'!L128="","",'12 - Deployments &amp; Config'!L128)</f>
        <v>Yes</v>
      </c>
      <c r="Q128" s="33"/>
      <c r="R128" s="32" t="str">
        <f>IF('12 - Deployments &amp; Config'!AZ128="","",'12 - Deployments &amp; Config'!AZ128)</f>
        <v>Yes</v>
      </c>
      <c r="S128" s="32" t="str">
        <f>IF('12 - Deployments &amp; Config'!AY128="","",'12 - Deployments &amp; Config'!AY128)</f>
        <v>Yes</v>
      </c>
      <c r="T128" s="32" t="str">
        <f>IF('12 - Deployments &amp; Config'!AW128="","",'12 - Deployments &amp; Config'!AW128)</f>
        <v>Yes</v>
      </c>
      <c r="U128" s="32" t="str">
        <f>IF('12 - Deployments &amp; Config'!AX128="","",'12 - Deployments &amp; Config'!AX128)</f>
        <v>Yes</v>
      </c>
      <c r="V128" s="32" t="str">
        <f>IF('12 - Deployments &amp; Config'!BB128="","",'12 - Deployments &amp; Config'!BB128)</f>
        <v/>
      </c>
      <c r="W128" s="32" t="str">
        <f>IF('12 - Deployments &amp; Config'!BD128="","",'12 - Deployments &amp; Config'!BD128)</f>
        <v/>
      </c>
      <c r="X128" s="32" t="str">
        <f>IF('12 - Deployments &amp; Config'!BL128="","",'12 - Deployments &amp; Config'!BL128)</f>
        <v>Firmware Download, Device ID, Epic Beans Relay</v>
      </c>
      <c r="Y128" s="32" t="str">
        <f>IF('12 - Deployments &amp; Config'!BC128="","",'12 - Deployments &amp; Config'!BC128)</f>
        <v/>
      </c>
      <c r="Z128" s="32" t="str">
        <f>IF('12 - Deployments &amp; Config'!P128="","",'12 - Deployments &amp; Config'!P128)</f>
        <v>1427182 LIJ Installation - Tim W. Seeberger, Akbar, Chris Perkins, Epic Team, Anesthesia Techs, and Admins</v>
      </c>
      <c r="AA128" s="32">
        <f>IF('12 - Deployments &amp; Config'!Q128="","",'12 - Deployments &amp; Config'!Q128)</f>
        <v>46075</v>
      </c>
    </row>
    <row r="129" spans="1:27">
      <c r="A129" s="33"/>
      <c r="B129" s="33"/>
      <c r="C129" s="32" t="str">
        <f>IF('12 - Deployments &amp; Config'!H129="","",'12 - Deployments &amp; Config'!H129)</f>
        <v>LIJ - OR</v>
      </c>
      <c r="D129" s="32" t="str">
        <f>IF('12 - Deployments &amp; Config'!AF129="","",'12 - Deployments &amp; Config'!AF129)</f>
        <v>LIJ ORs</v>
      </c>
      <c r="E129" s="32" t="str">
        <f>IF('12 - Deployments &amp; Config'!AG129="","",'12 - Deployments &amp; Config'!AG129)</f>
        <v>OR 11</v>
      </c>
      <c r="F129" s="32" t="str">
        <f>IF('12 - Deployments &amp; Config'!AH129="","",'12 - Deployments &amp; Config'!AH129)</f>
        <v/>
      </c>
      <c r="G129" s="32" t="str">
        <f>IF('12 - Deployments &amp; Config'!AI129="","",'12 - Deployments &amp; Config'!AI129)</f>
        <v/>
      </c>
      <c r="H129" s="32" t="str">
        <f>IF('12 - Deployments &amp; Config'!A129="","",'12 - Deployments &amp; Config'!A129)</f>
        <v>Cybernet</v>
      </c>
      <c r="I129" s="32" t="str">
        <f>IF('12 - Deployments &amp; Config'!AJ129="","",'12 - Deployments &amp; Config'!AJ129)</f>
        <v>Drager</v>
      </c>
      <c r="J129" s="32" t="str">
        <f>IF('12 - Deployments &amp; Config'!AK129="","",'12 - Deployments &amp; Config'!AK129)</f>
        <v>Apollo</v>
      </c>
      <c r="K129" s="32" t="str">
        <f>IF('12 - Deployments &amp; Config'!AA129="","",'12 - Deployments &amp; Config'!AA129)</f>
        <v>Anesthesia Machine</v>
      </c>
      <c r="L129" s="32" t="str">
        <f>IF('12 - Deployments &amp; Config'!I129="","",'12 - Deployments &amp; Config'!I129)</f>
        <v>OR iPro Cybernet Workstation</v>
      </c>
      <c r="M129" s="33"/>
      <c r="N129" s="32" t="str">
        <f>IF('12 - Deployments &amp; Config'!J129="","",'12 - Deployments &amp; Config'!J129)</f>
        <v>Yes</v>
      </c>
      <c r="O129" s="32" t="str">
        <f>IF('12 - Deployments &amp; Config'!K129="","",'12 - Deployments &amp; Config'!K129)</f>
        <v>Yes</v>
      </c>
      <c r="P129" s="32" t="str">
        <f>IF('12 - Deployments &amp; Config'!L129="","",'12 - Deployments &amp; Config'!L129)</f>
        <v>Yes</v>
      </c>
      <c r="Q129" s="33"/>
      <c r="R129" s="32" t="str">
        <f>IF('12 - Deployments &amp; Config'!AZ129="","",'12 - Deployments &amp; Config'!AZ129)</f>
        <v>Yes</v>
      </c>
      <c r="S129" s="32" t="str">
        <f>IF('12 - Deployments &amp; Config'!AY129="","",'12 - Deployments &amp; Config'!AY129)</f>
        <v>Yes</v>
      </c>
      <c r="T129" s="32" t="str">
        <f>IF('12 - Deployments &amp; Config'!AW129="","",'12 - Deployments &amp; Config'!AW129)</f>
        <v>Yes</v>
      </c>
      <c r="U129" s="32" t="str">
        <f>IF('12 - Deployments &amp; Config'!AX129="","",'12 - Deployments &amp; Config'!AX129)</f>
        <v>Yes</v>
      </c>
      <c r="V129" s="32" t="str">
        <f>IF('12 - Deployments &amp; Config'!BB129="","",'12 - Deployments &amp; Config'!BB129)</f>
        <v/>
      </c>
      <c r="W129" s="32" t="str">
        <f>IF('12 - Deployments &amp; Config'!BD129="","",'12 - Deployments &amp; Config'!BD129)</f>
        <v/>
      </c>
      <c r="X129" s="32" t="str">
        <f>IF('12 - Deployments &amp; Config'!BL129="","",'12 - Deployments &amp; Config'!BL129)</f>
        <v>Firmware Download, Device ID, Epic Beans Relay</v>
      </c>
      <c r="Y129" s="32" t="str">
        <f>IF('12 - Deployments &amp; Config'!BC129="","",'12 - Deployments &amp; Config'!BC129)</f>
        <v/>
      </c>
      <c r="Z129" s="32" t="str">
        <f>IF('12 - Deployments &amp; Config'!P129="","",'12 - Deployments &amp; Config'!P129)</f>
        <v>1427182 LIJ Installation - Tim W. Seeberger, Akbar, Chris Perkins, Epic Team, Anesthesia Techs, and Admins</v>
      </c>
      <c r="AA129" s="32">
        <f>IF('12 - Deployments &amp; Config'!Q129="","",'12 - Deployments &amp; Config'!Q129)</f>
        <v>46075</v>
      </c>
    </row>
    <row r="130" spans="1:27">
      <c r="A130" s="33"/>
      <c r="B130" s="33"/>
      <c r="C130" s="32" t="str">
        <f>IF('12 - Deployments &amp; Config'!H130="","",'12 - Deployments &amp; Config'!H130)</f>
        <v>LIJ - OR</v>
      </c>
      <c r="D130" s="32" t="str">
        <f>IF('12 - Deployments &amp; Config'!AF130="","",'12 - Deployments &amp; Config'!AF130)</f>
        <v>LIJ ORs</v>
      </c>
      <c r="E130" s="32" t="str">
        <f>IF('12 - Deployments &amp; Config'!AG130="","",'12 - Deployments &amp; Config'!AG130)</f>
        <v>OR 10</v>
      </c>
      <c r="F130" s="32" t="str">
        <f>IF('12 - Deployments &amp; Config'!AH130="","",'12 - Deployments &amp; Config'!AH130)</f>
        <v/>
      </c>
      <c r="G130" s="32" t="str">
        <f>IF('12 - Deployments &amp; Config'!AI130="","",'12 - Deployments &amp; Config'!AI130)</f>
        <v/>
      </c>
      <c r="H130" s="32" t="str">
        <f>IF('12 - Deployments &amp; Config'!A130="","",'12 - Deployments &amp; Config'!A130)</f>
        <v>Cybernet</v>
      </c>
      <c r="I130" s="32" t="str">
        <f>IF('12 - Deployments &amp; Config'!AJ130="","",'12 - Deployments &amp; Config'!AJ130)</f>
        <v>Drager</v>
      </c>
      <c r="J130" s="32" t="str">
        <f>IF('12 - Deployments &amp; Config'!AK130="","",'12 - Deployments &amp; Config'!AK130)</f>
        <v>Apollo</v>
      </c>
      <c r="K130" s="32" t="str">
        <f>IF('12 - Deployments &amp; Config'!AA130="","",'12 - Deployments &amp; Config'!AA130)</f>
        <v>Anesthesia Machine</v>
      </c>
      <c r="L130" s="32" t="str">
        <f>IF('12 - Deployments &amp; Config'!I130="","",'12 - Deployments &amp; Config'!I130)</f>
        <v>OR iPro Cybernet Workstation</v>
      </c>
      <c r="M130" s="33"/>
      <c r="N130" s="32" t="str">
        <f>IF('12 - Deployments &amp; Config'!J130="","",'12 - Deployments &amp; Config'!J130)</f>
        <v>Yes</v>
      </c>
      <c r="O130" s="32" t="str">
        <f>IF('12 - Deployments &amp; Config'!K130="","",'12 - Deployments &amp; Config'!K130)</f>
        <v>Yes</v>
      </c>
      <c r="P130" s="32" t="str">
        <f>IF('12 - Deployments &amp; Config'!L130="","",'12 - Deployments &amp; Config'!L130)</f>
        <v>Yes</v>
      </c>
      <c r="Q130" s="33"/>
      <c r="R130" s="32" t="str">
        <f>IF('12 - Deployments &amp; Config'!AZ130="","",'12 - Deployments &amp; Config'!AZ130)</f>
        <v>Yes</v>
      </c>
      <c r="S130" s="32" t="str">
        <f>IF('12 - Deployments &amp; Config'!AY130="","",'12 - Deployments &amp; Config'!AY130)</f>
        <v>Yes</v>
      </c>
      <c r="T130" s="32" t="str">
        <f>IF('12 - Deployments &amp; Config'!AW130="","",'12 - Deployments &amp; Config'!AW130)</f>
        <v>Yes</v>
      </c>
      <c r="U130" s="32" t="str">
        <f>IF('12 - Deployments &amp; Config'!AX130="","",'12 - Deployments &amp; Config'!AX130)</f>
        <v>Yes</v>
      </c>
      <c r="V130" s="32" t="str">
        <f>IF('12 - Deployments &amp; Config'!BB130="","",'12 - Deployments &amp; Config'!BB130)</f>
        <v/>
      </c>
      <c r="W130" s="32" t="str">
        <f>IF('12 - Deployments &amp; Config'!BD130="","",'12 - Deployments &amp; Config'!BD130)</f>
        <v/>
      </c>
      <c r="X130" s="32" t="str">
        <f>IF('12 - Deployments &amp; Config'!BL130="","",'12 - Deployments &amp; Config'!BL130)</f>
        <v>Firmware Download, Device ID, Epic Beans Relay</v>
      </c>
      <c r="Y130" s="32" t="str">
        <f>IF('12 - Deployments &amp; Config'!BC130="","",'12 - Deployments &amp; Config'!BC130)</f>
        <v/>
      </c>
      <c r="Z130" s="32" t="str">
        <f>IF('12 - Deployments &amp; Config'!P130="","",'12 - Deployments &amp; Config'!P130)</f>
        <v>1427182 LIJ Installation - Tim W. Seeberger, Akbar, Chris Perkins, Epic Team, Anesthesia Techs, and Admins</v>
      </c>
      <c r="AA130" s="32">
        <f>IF('12 - Deployments &amp; Config'!Q130="","",'12 - Deployments &amp; Config'!Q130)</f>
        <v>46075</v>
      </c>
    </row>
    <row r="131" spans="1:27">
      <c r="A131" s="33"/>
      <c r="B131" s="33"/>
      <c r="C131" s="32" t="str">
        <f>IF('12 - Deployments &amp; Config'!H131="","",'12 - Deployments &amp; Config'!H131)</f>
        <v>LIJ - OR</v>
      </c>
      <c r="D131" s="32" t="str">
        <f>IF('12 - Deployments &amp; Config'!AF131="","",'12 - Deployments &amp; Config'!AF131)</f>
        <v/>
      </c>
      <c r="E131" s="32" t="str">
        <f>IF('12 - Deployments &amp; Config'!AG131="","",'12 - Deployments &amp; Config'!AG131)</f>
        <v/>
      </c>
      <c r="F131" s="32" t="str">
        <f>IF('12 - Deployments &amp; Config'!AH131="","",'12 - Deployments &amp; Config'!AH131)</f>
        <v/>
      </c>
      <c r="G131" s="32" t="str">
        <f>IF('12 - Deployments &amp; Config'!AI131="","",'12 - Deployments &amp; Config'!AI131)</f>
        <v/>
      </c>
      <c r="H131" s="32" t="str">
        <f>IF('12 - Deployments &amp; Config'!A131="","",'12 - Deployments &amp; Config'!A131)</f>
        <v>Cybernet</v>
      </c>
      <c r="I131" s="32" t="str">
        <f>IF('12 - Deployments &amp; Config'!AJ131="","",'12 - Deployments &amp; Config'!AJ131)</f>
        <v/>
      </c>
      <c r="J131" s="32" t="str">
        <f>IF('12 - Deployments &amp; Config'!AK131="","",'12 - Deployments &amp; Config'!AK131)</f>
        <v/>
      </c>
      <c r="K131" s="32" t="str">
        <f>IF('12 - Deployments &amp; Config'!AA131="","",'12 - Deployments &amp; Config'!AA131)</f>
        <v/>
      </c>
      <c r="L131" s="32" t="str">
        <f>IF('12 - Deployments &amp; Config'!I131="","",'12 - Deployments &amp; Config'!I131)</f>
        <v>OR iPro Cybernet Workstation</v>
      </c>
      <c r="M131" s="33"/>
      <c r="N131" s="32" t="str">
        <f>IF('12 - Deployments &amp; Config'!J131="","",'12 - Deployments &amp; Config'!J131)</f>
        <v>Yes</v>
      </c>
      <c r="O131" s="32" t="str">
        <f>IF('12 - Deployments &amp; Config'!K131="","",'12 - Deployments &amp; Config'!K131)</f>
        <v>No</v>
      </c>
      <c r="P131" s="32" t="str">
        <f>IF('12 - Deployments &amp; Config'!L131="","",'12 - Deployments &amp; Config'!L131)</f>
        <v>No</v>
      </c>
      <c r="Q131" s="33"/>
      <c r="R131" s="32" t="str">
        <f>IF('12 - Deployments &amp; Config'!AZ131="","",'12 - Deployments &amp; Config'!AZ131)</f>
        <v/>
      </c>
      <c r="S131" s="32" t="str">
        <f>IF('12 - Deployments &amp; Config'!AY131="","",'12 - Deployments &amp; Config'!AY131)</f>
        <v/>
      </c>
      <c r="T131" s="32" t="str">
        <f>IF('12 - Deployments &amp; Config'!AW131="","",'12 - Deployments &amp; Config'!AW131)</f>
        <v/>
      </c>
      <c r="U131" s="32" t="str">
        <f>IF('12 - Deployments &amp; Config'!AX131="","",'12 - Deployments &amp; Config'!AX131)</f>
        <v/>
      </c>
      <c r="V131" s="32" t="str">
        <f>IF('12 - Deployments &amp; Config'!BB131="","",'12 - Deployments &amp; Config'!BB131)</f>
        <v/>
      </c>
      <c r="W131" s="32" t="str">
        <f>IF('12 - Deployments &amp; Config'!BD131="","",'12 - Deployments &amp; Config'!BD131)</f>
        <v/>
      </c>
      <c r="X131" s="32" t="str">
        <f>IF('12 - Deployments &amp; Config'!BL131="","",'12 - Deployments &amp; Config'!BL131)</f>
        <v/>
      </c>
      <c r="Y131" s="32" t="str">
        <f>IF('12 - Deployments &amp; Config'!BC131="","",'12 - Deployments &amp; Config'!BC131)</f>
        <v/>
      </c>
      <c r="Z131" s="32" t="str">
        <f>IF('12 - Deployments &amp; Config'!P131="","",'12 - Deployments &amp; Config'!P131)</f>
        <v/>
      </c>
      <c r="AA131" s="32" t="str">
        <f>IF('12 - Deployments &amp; Config'!Q131="","",'12 - Deployments &amp; Config'!Q131)</f>
        <v/>
      </c>
    </row>
    <row r="132" spans="1:27">
      <c r="A132" s="33"/>
      <c r="B132" s="33"/>
      <c r="C132" s="32" t="str">
        <f>IF('12 - Deployments &amp; Config'!H132="","",'12 - Deployments &amp; Config'!H132)</f>
        <v>LIJ - OR</v>
      </c>
      <c r="D132" s="32" t="str">
        <f>IF('12 - Deployments &amp; Config'!AF132="","",'12 - Deployments &amp; Config'!AF132)</f>
        <v/>
      </c>
      <c r="E132" s="32" t="str">
        <f>IF('12 - Deployments &amp; Config'!AG132="","",'12 - Deployments &amp; Config'!AG132)</f>
        <v/>
      </c>
      <c r="F132" s="32" t="str">
        <f>IF('12 - Deployments &amp; Config'!AH132="","",'12 - Deployments &amp; Config'!AH132)</f>
        <v/>
      </c>
      <c r="G132" s="32" t="str">
        <f>IF('12 - Deployments &amp; Config'!AI132="","",'12 - Deployments &amp; Config'!AI132)</f>
        <v/>
      </c>
      <c r="H132" s="32" t="str">
        <f>IF('12 - Deployments &amp; Config'!A132="","",'12 - Deployments &amp; Config'!A132)</f>
        <v>Cybernet</v>
      </c>
      <c r="I132" s="32" t="str">
        <f>IF('12 - Deployments &amp; Config'!AJ132="","",'12 - Deployments &amp; Config'!AJ132)</f>
        <v/>
      </c>
      <c r="J132" s="32" t="str">
        <f>IF('12 - Deployments &amp; Config'!AK132="","",'12 - Deployments &amp; Config'!AK132)</f>
        <v/>
      </c>
      <c r="K132" s="32" t="str">
        <f>IF('12 - Deployments &amp; Config'!AA132="","",'12 - Deployments &amp; Config'!AA132)</f>
        <v/>
      </c>
      <c r="L132" s="32" t="str">
        <f>IF('12 - Deployments &amp; Config'!I132="","",'12 - Deployments &amp; Config'!I132)</f>
        <v>OR iPro Cybernet Workstation</v>
      </c>
      <c r="M132" s="33"/>
      <c r="N132" s="32" t="str">
        <f>IF('12 - Deployments &amp; Config'!J132="","",'12 - Deployments &amp; Config'!J132)</f>
        <v>Yes</v>
      </c>
      <c r="O132" s="32" t="str">
        <f>IF('12 - Deployments &amp; Config'!K132="","",'12 - Deployments &amp; Config'!K132)</f>
        <v>No</v>
      </c>
      <c r="P132" s="32" t="str">
        <f>IF('12 - Deployments &amp; Config'!L132="","",'12 - Deployments &amp; Config'!L132)</f>
        <v>No</v>
      </c>
      <c r="Q132" s="33"/>
      <c r="R132" s="32" t="str">
        <f>IF('12 - Deployments &amp; Config'!AZ132="","",'12 - Deployments &amp; Config'!AZ132)</f>
        <v/>
      </c>
      <c r="S132" s="32" t="str">
        <f>IF('12 - Deployments &amp; Config'!AY132="","",'12 - Deployments &amp; Config'!AY132)</f>
        <v/>
      </c>
      <c r="T132" s="32" t="str">
        <f>IF('12 - Deployments &amp; Config'!AW132="","",'12 - Deployments &amp; Config'!AW132)</f>
        <v/>
      </c>
      <c r="U132" s="32" t="str">
        <f>IF('12 - Deployments &amp; Config'!AX132="","",'12 - Deployments &amp; Config'!AX132)</f>
        <v/>
      </c>
      <c r="V132" s="32" t="str">
        <f>IF('12 - Deployments &amp; Config'!BB132="","",'12 - Deployments &amp; Config'!BB132)</f>
        <v/>
      </c>
      <c r="W132" s="32" t="str">
        <f>IF('12 - Deployments &amp; Config'!BD132="","",'12 - Deployments &amp; Config'!BD132)</f>
        <v/>
      </c>
      <c r="X132" s="32" t="str">
        <f>IF('12 - Deployments &amp; Config'!BL132="","",'12 - Deployments &amp; Config'!BL132)</f>
        <v/>
      </c>
      <c r="Y132" s="32" t="str">
        <f>IF('12 - Deployments &amp; Config'!BC132="","",'12 - Deployments &amp; Config'!BC132)</f>
        <v/>
      </c>
      <c r="Z132" s="32" t="str">
        <f>IF('12 - Deployments &amp; Config'!P132="","",'12 - Deployments &amp; Config'!P132)</f>
        <v/>
      </c>
      <c r="AA132" s="32" t="str">
        <f>IF('12 - Deployments &amp; Config'!Q132="","",'12 - Deployments &amp; Config'!Q132)</f>
        <v/>
      </c>
    </row>
    <row r="133" spans="1:27">
      <c r="A133" s="33"/>
      <c r="B133" s="33"/>
      <c r="C133" s="32" t="str">
        <f>IF('12 - Deployments &amp; Config'!H133="","",'12 - Deployments &amp; Config'!H133)</f>
        <v>LIJ - OR</v>
      </c>
      <c r="D133" s="32" t="str">
        <f>IF('12 - Deployments &amp; Config'!AF133="","",'12 - Deployments &amp; Config'!AF133)</f>
        <v/>
      </c>
      <c r="E133" s="32" t="str">
        <f>IF('12 - Deployments &amp; Config'!AG133="","",'12 - Deployments &amp; Config'!AG133)</f>
        <v/>
      </c>
      <c r="F133" s="32" t="str">
        <f>IF('12 - Deployments &amp; Config'!AH133="","",'12 - Deployments &amp; Config'!AH133)</f>
        <v/>
      </c>
      <c r="G133" s="32" t="str">
        <f>IF('12 - Deployments &amp; Config'!AI133="","",'12 - Deployments &amp; Config'!AI133)</f>
        <v/>
      </c>
      <c r="H133" s="32" t="str">
        <f>IF('12 - Deployments &amp; Config'!A133="","",'12 - Deployments &amp; Config'!A133)</f>
        <v>Cybernet</v>
      </c>
      <c r="I133" s="32" t="str">
        <f>IF('12 - Deployments &amp; Config'!AJ133="","",'12 - Deployments &amp; Config'!AJ133)</f>
        <v/>
      </c>
      <c r="J133" s="32" t="str">
        <f>IF('12 - Deployments &amp; Config'!AK133="","",'12 - Deployments &amp; Config'!AK133)</f>
        <v/>
      </c>
      <c r="K133" s="32" t="str">
        <f>IF('12 - Deployments &amp; Config'!AA133="","",'12 - Deployments &amp; Config'!AA133)</f>
        <v/>
      </c>
      <c r="L133" s="32" t="str">
        <f>IF('12 - Deployments &amp; Config'!I133="","",'12 - Deployments &amp; Config'!I133)</f>
        <v>OR iPro Cybernet Workstation</v>
      </c>
      <c r="M133" s="33"/>
      <c r="N133" s="32" t="str">
        <f>IF('12 - Deployments &amp; Config'!J133="","",'12 - Deployments &amp; Config'!J133)</f>
        <v>Yes</v>
      </c>
      <c r="O133" s="32" t="str">
        <f>IF('12 - Deployments &amp; Config'!K133="","",'12 - Deployments &amp; Config'!K133)</f>
        <v>No</v>
      </c>
      <c r="P133" s="32" t="str">
        <f>IF('12 - Deployments &amp; Config'!L133="","",'12 - Deployments &amp; Config'!L133)</f>
        <v>No</v>
      </c>
      <c r="Q133" s="33"/>
      <c r="R133" s="32" t="str">
        <f>IF('12 - Deployments &amp; Config'!AZ133="","",'12 - Deployments &amp; Config'!AZ133)</f>
        <v/>
      </c>
      <c r="S133" s="32" t="str">
        <f>IF('12 - Deployments &amp; Config'!AY133="","",'12 - Deployments &amp; Config'!AY133)</f>
        <v/>
      </c>
      <c r="T133" s="32" t="str">
        <f>IF('12 - Deployments &amp; Config'!AW133="","",'12 - Deployments &amp; Config'!AW133)</f>
        <v/>
      </c>
      <c r="U133" s="32" t="str">
        <f>IF('12 - Deployments &amp; Config'!AX133="","",'12 - Deployments &amp; Config'!AX133)</f>
        <v/>
      </c>
      <c r="V133" s="32" t="str">
        <f>IF('12 - Deployments &amp; Config'!BB133="","",'12 - Deployments &amp; Config'!BB133)</f>
        <v/>
      </c>
      <c r="W133" s="32" t="str">
        <f>IF('12 - Deployments &amp; Config'!BD133="","",'12 - Deployments &amp; Config'!BD133)</f>
        <v/>
      </c>
      <c r="X133" s="32" t="str">
        <f>IF('12 - Deployments &amp; Config'!BL133="","",'12 - Deployments &amp; Config'!BL133)</f>
        <v/>
      </c>
      <c r="Y133" s="32" t="str">
        <f>IF('12 - Deployments &amp; Config'!BC133="","",'12 - Deployments &amp; Config'!BC133)</f>
        <v/>
      </c>
      <c r="Z133" s="32" t="str">
        <f>IF('12 - Deployments &amp; Config'!P133="","",'12 - Deployments &amp; Config'!P133)</f>
        <v/>
      </c>
      <c r="AA133" s="32" t="str">
        <f>IF('12 - Deployments &amp; Config'!Q133="","",'12 - Deployments &amp; Config'!Q133)</f>
        <v/>
      </c>
    </row>
    <row r="134" spans="1:27">
      <c r="A134" s="33"/>
      <c r="B134" s="33"/>
      <c r="C134" s="32" t="str">
        <f>IF('12 - Deployments &amp; Config'!H134="","",'12 - Deployments &amp; Config'!H134)</f>
        <v>LIJ - OR</v>
      </c>
      <c r="D134" s="32" t="str">
        <f>IF('12 - Deployments &amp; Config'!AF134="","",'12 - Deployments &amp; Config'!AF134)</f>
        <v/>
      </c>
      <c r="E134" s="32" t="str">
        <f>IF('12 - Deployments &amp; Config'!AG134="","",'12 - Deployments &amp; Config'!AG134)</f>
        <v/>
      </c>
      <c r="F134" s="32" t="str">
        <f>IF('12 - Deployments &amp; Config'!AH134="","",'12 - Deployments &amp; Config'!AH134)</f>
        <v/>
      </c>
      <c r="G134" s="32" t="str">
        <f>IF('12 - Deployments &amp; Config'!AI134="","",'12 - Deployments &amp; Config'!AI134)</f>
        <v/>
      </c>
      <c r="H134" s="32" t="str">
        <f>IF('12 - Deployments &amp; Config'!A134="","",'12 - Deployments &amp; Config'!A134)</f>
        <v>Cybernet</v>
      </c>
      <c r="I134" s="32" t="str">
        <f>IF('12 - Deployments &amp; Config'!AJ134="","",'12 - Deployments &amp; Config'!AJ134)</f>
        <v/>
      </c>
      <c r="J134" s="32" t="str">
        <f>IF('12 - Deployments &amp; Config'!AK134="","",'12 - Deployments &amp; Config'!AK134)</f>
        <v/>
      </c>
      <c r="K134" s="32" t="str">
        <f>IF('12 - Deployments &amp; Config'!AA134="","",'12 - Deployments &amp; Config'!AA134)</f>
        <v/>
      </c>
      <c r="L134" s="32" t="str">
        <f>IF('12 - Deployments &amp; Config'!I134="","",'12 - Deployments &amp; Config'!I134)</f>
        <v>OR iPro Cybernet Workstation</v>
      </c>
      <c r="M134" s="33"/>
      <c r="N134" s="32" t="str">
        <f>IF('12 - Deployments &amp; Config'!J134="","",'12 - Deployments &amp; Config'!J134)</f>
        <v>Yes</v>
      </c>
      <c r="O134" s="32" t="str">
        <f>IF('12 - Deployments &amp; Config'!K134="","",'12 - Deployments &amp; Config'!K134)</f>
        <v>No</v>
      </c>
      <c r="P134" s="32" t="str">
        <f>IF('12 - Deployments &amp; Config'!L134="","",'12 - Deployments &amp; Config'!L134)</f>
        <v>No</v>
      </c>
      <c r="Q134" s="33"/>
      <c r="R134" s="32" t="str">
        <f>IF('12 - Deployments &amp; Config'!AZ134="","",'12 - Deployments &amp; Config'!AZ134)</f>
        <v/>
      </c>
      <c r="S134" s="32" t="str">
        <f>IF('12 - Deployments &amp; Config'!AY134="","",'12 - Deployments &amp; Config'!AY134)</f>
        <v/>
      </c>
      <c r="T134" s="32" t="str">
        <f>IF('12 - Deployments &amp; Config'!AW134="","",'12 - Deployments &amp; Config'!AW134)</f>
        <v/>
      </c>
      <c r="U134" s="32" t="str">
        <f>IF('12 - Deployments &amp; Config'!AX134="","",'12 - Deployments &amp; Config'!AX134)</f>
        <v/>
      </c>
      <c r="V134" s="32" t="str">
        <f>IF('12 - Deployments &amp; Config'!BB134="","",'12 - Deployments &amp; Config'!BB134)</f>
        <v/>
      </c>
      <c r="W134" s="32" t="str">
        <f>IF('12 - Deployments &amp; Config'!BD134="","",'12 - Deployments &amp; Config'!BD134)</f>
        <v/>
      </c>
      <c r="X134" s="32" t="str">
        <f>IF('12 - Deployments &amp; Config'!BL134="","",'12 - Deployments &amp; Config'!BL134)</f>
        <v/>
      </c>
      <c r="Y134" s="32" t="str">
        <f>IF('12 - Deployments &amp; Config'!BC134="","",'12 - Deployments &amp; Config'!BC134)</f>
        <v/>
      </c>
      <c r="Z134" s="32" t="str">
        <f>IF('12 - Deployments &amp; Config'!P134="","",'12 - Deployments &amp; Config'!P134)</f>
        <v/>
      </c>
      <c r="AA134" s="32" t="str">
        <f>IF('12 - Deployments &amp; Config'!Q134="","",'12 - Deployments &amp; Config'!Q134)</f>
        <v/>
      </c>
    </row>
    <row r="135" spans="1:27">
      <c r="A135" s="33"/>
      <c r="B135" s="33"/>
      <c r="C135" s="32" t="str">
        <f>IF('12 - Deployments &amp; Config'!H135="","",'12 - Deployments &amp; Config'!H135)</f>
        <v>LIJ - OR</v>
      </c>
      <c r="D135" s="32" t="str">
        <f>IF('12 - Deployments &amp; Config'!AF135="","",'12 - Deployments &amp; Config'!AF135)</f>
        <v/>
      </c>
      <c r="E135" s="32" t="str">
        <f>IF('12 - Deployments &amp; Config'!AG135="","",'12 - Deployments &amp; Config'!AG135)</f>
        <v/>
      </c>
      <c r="F135" s="32" t="str">
        <f>IF('12 - Deployments &amp; Config'!AH135="","",'12 - Deployments &amp; Config'!AH135)</f>
        <v/>
      </c>
      <c r="G135" s="32" t="str">
        <f>IF('12 - Deployments &amp; Config'!AI135="","",'12 - Deployments &amp; Config'!AI135)</f>
        <v/>
      </c>
      <c r="H135" s="32" t="str">
        <f>IF('12 - Deployments &amp; Config'!A135="","",'12 - Deployments &amp; Config'!A135)</f>
        <v>Cybernet</v>
      </c>
      <c r="I135" s="32" t="str">
        <f>IF('12 - Deployments &amp; Config'!AJ135="","",'12 - Deployments &amp; Config'!AJ135)</f>
        <v/>
      </c>
      <c r="J135" s="32" t="str">
        <f>IF('12 - Deployments &amp; Config'!AK135="","",'12 - Deployments &amp; Config'!AK135)</f>
        <v/>
      </c>
      <c r="K135" s="32" t="str">
        <f>IF('12 - Deployments &amp; Config'!AA135="","",'12 - Deployments &amp; Config'!AA135)</f>
        <v/>
      </c>
      <c r="L135" s="32" t="str">
        <f>IF('12 - Deployments &amp; Config'!I135="","",'12 - Deployments &amp; Config'!I135)</f>
        <v>OR iPro Cybernet Workstation</v>
      </c>
      <c r="M135" s="33"/>
      <c r="N135" s="32" t="str">
        <f>IF('12 - Deployments &amp; Config'!J135="","",'12 - Deployments &amp; Config'!J135)</f>
        <v>Yes</v>
      </c>
      <c r="O135" s="32" t="str">
        <f>IF('12 - Deployments &amp; Config'!K135="","",'12 - Deployments &amp; Config'!K135)</f>
        <v>No</v>
      </c>
      <c r="P135" s="32" t="str">
        <f>IF('12 - Deployments &amp; Config'!L135="","",'12 - Deployments &amp; Config'!L135)</f>
        <v>No</v>
      </c>
      <c r="Q135" s="33"/>
      <c r="R135" s="32" t="str">
        <f>IF('12 - Deployments &amp; Config'!AZ135="","",'12 - Deployments &amp; Config'!AZ135)</f>
        <v/>
      </c>
      <c r="S135" s="32" t="str">
        <f>IF('12 - Deployments &amp; Config'!AY135="","",'12 - Deployments &amp; Config'!AY135)</f>
        <v/>
      </c>
      <c r="T135" s="32" t="str">
        <f>IF('12 - Deployments &amp; Config'!AW135="","",'12 - Deployments &amp; Config'!AW135)</f>
        <v/>
      </c>
      <c r="U135" s="32" t="str">
        <f>IF('12 - Deployments &amp; Config'!AX135="","",'12 - Deployments &amp; Config'!AX135)</f>
        <v/>
      </c>
      <c r="V135" s="32" t="str">
        <f>IF('12 - Deployments &amp; Config'!BB135="","",'12 - Deployments &amp; Config'!BB135)</f>
        <v/>
      </c>
      <c r="W135" s="32" t="str">
        <f>IF('12 - Deployments &amp; Config'!BD135="","",'12 - Deployments &amp; Config'!BD135)</f>
        <v/>
      </c>
      <c r="X135" s="32" t="str">
        <f>IF('12 - Deployments &amp; Config'!BL135="","",'12 - Deployments &amp; Config'!BL135)</f>
        <v/>
      </c>
      <c r="Y135" s="32" t="str">
        <f>IF('12 - Deployments &amp; Config'!BC135="","",'12 - Deployments &amp; Config'!BC135)</f>
        <v/>
      </c>
      <c r="Z135" s="32" t="str">
        <f>IF('12 - Deployments &amp; Config'!P135="","",'12 - Deployments &amp; Config'!P135)</f>
        <v/>
      </c>
      <c r="AA135" s="32" t="str">
        <f>IF('12 - Deployments &amp; Config'!Q135="","",'12 - Deployments &amp; Config'!Q135)</f>
        <v/>
      </c>
    </row>
    <row r="136" spans="1:27">
      <c r="A136" s="33"/>
      <c r="B136" s="33"/>
      <c r="C136" s="32" t="str">
        <f>IF('12 - Deployments &amp; Config'!H136="","",'12 - Deployments &amp; Config'!H136)</f>
        <v>LIJ - OR</v>
      </c>
      <c r="D136" s="32" t="str">
        <f>IF('12 - Deployments &amp; Config'!AF136="","",'12 - Deployments &amp; Config'!AF136)</f>
        <v/>
      </c>
      <c r="E136" s="32" t="str">
        <f>IF('12 - Deployments &amp; Config'!AG136="","",'12 - Deployments &amp; Config'!AG136)</f>
        <v/>
      </c>
      <c r="F136" s="32" t="str">
        <f>IF('12 - Deployments &amp; Config'!AH136="","",'12 - Deployments &amp; Config'!AH136)</f>
        <v/>
      </c>
      <c r="G136" s="32" t="str">
        <f>IF('12 - Deployments &amp; Config'!AI136="","",'12 - Deployments &amp; Config'!AI136)</f>
        <v/>
      </c>
      <c r="H136" s="32" t="str">
        <f>IF('12 - Deployments &amp; Config'!A136="","",'12 - Deployments &amp; Config'!A136)</f>
        <v>Cybernet</v>
      </c>
      <c r="I136" s="32" t="str">
        <f>IF('12 - Deployments &amp; Config'!AJ136="","",'12 - Deployments &amp; Config'!AJ136)</f>
        <v/>
      </c>
      <c r="J136" s="32" t="str">
        <f>IF('12 - Deployments &amp; Config'!AK136="","",'12 - Deployments &amp; Config'!AK136)</f>
        <v/>
      </c>
      <c r="K136" s="32" t="str">
        <f>IF('12 - Deployments &amp; Config'!AA136="","",'12 - Deployments &amp; Config'!AA136)</f>
        <v/>
      </c>
      <c r="L136" s="32" t="str">
        <f>IF('12 - Deployments &amp; Config'!I136="","",'12 - Deployments &amp; Config'!I136)</f>
        <v>OR iPro Cybernet Workstation</v>
      </c>
      <c r="M136" s="33"/>
      <c r="N136" s="32" t="str">
        <f>IF('12 - Deployments &amp; Config'!J136="","",'12 - Deployments &amp; Config'!J136)</f>
        <v>Yes</v>
      </c>
      <c r="O136" s="32" t="str">
        <f>IF('12 - Deployments &amp; Config'!K136="","",'12 - Deployments &amp; Config'!K136)</f>
        <v>No</v>
      </c>
      <c r="P136" s="32" t="str">
        <f>IF('12 - Deployments &amp; Config'!L136="","",'12 - Deployments &amp; Config'!L136)</f>
        <v>No</v>
      </c>
      <c r="Q136" s="33"/>
      <c r="R136" s="32" t="str">
        <f>IF('12 - Deployments &amp; Config'!AZ136="","",'12 - Deployments &amp; Config'!AZ136)</f>
        <v/>
      </c>
      <c r="S136" s="32" t="str">
        <f>IF('12 - Deployments &amp; Config'!AY136="","",'12 - Deployments &amp; Config'!AY136)</f>
        <v/>
      </c>
      <c r="T136" s="32" t="str">
        <f>IF('12 - Deployments &amp; Config'!AW136="","",'12 - Deployments &amp; Config'!AW136)</f>
        <v/>
      </c>
      <c r="U136" s="32" t="str">
        <f>IF('12 - Deployments &amp; Config'!AX136="","",'12 - Deployments &amp; Config'!AX136)</f>
        <v/>
      </c>
      <c r="V136" s="32" t="str">
        <f>IF('12 - Deployments &amp; Config'!BB136="","",'12 - Deployments &amp; Config'!BB136)</f>
        <v/>
      </c>
      <c r="W136" s="32" t="str">
        <f>IF('12 - Deployments &amp; Config'!BD136="","",'12 - Deployments &amp; Config'!BD136)</f>
        <v/>
      </c>
      <c r="X136" s="32" t="str">
        <f>IF('12 - Deployments &amp; Config'!BL136="","",'12 - Deployments &amp; Config'!BL136)</f>
        <v/>
      </c>
      <c r="Y136" s="32" t="str">
        <f>IF('12 - Deployments &amp; Config'!BC136="","",'12 - Deployments &amp; Config'!BC136)</f>
        <v/>
      </c>
      <c r="Z136" s="32" t="str">
        <f>IF('12 - Deployments &amp; Config'!P136="","",'12 - Deployments &amp; Config'!P136)</f>
        <v/>
      </c>
      <c r="AA136" s="32" t="str">
        <f>IF('12 - Deployments &amp; Config'!Q136="","",'12 - Deployments &amp; Config'!Q136)</f>
        <v/>
      </c>
    </row>
    <row r="137" spans="1:27">
      <c r="A137" s="33"/>
      <c r="B137" s="33"/>
      <c r="C137" s="32" t="str">
        <f>IF('12 - Deployments &amp; Config'!H137="","",'12 - Deployments &amp; Config'!H137)</f>
        <v>LIJ - OR</v>
      </c>
      <c r="D137" s="32" t="str">
        <f>IF('12 - Deployments &amp; Config'!AF137="","",'12 - Deployments &amp; Config'!AF137)</f>
        <v/>
      </c>
      <c r="E137" s="32" t="str">
        <f>IF('12 - Deployments &amp; Config'!AG137="","",'12 - Deployments &amp; Config'!AG137)</f>
        <v/>
      </c>
      <c r="F137" s="32" t="str">
        <f>IF('12 - Deployments &amp; Config'!AH137="","",'12 - Deployments &amp; Config'!AH137)</f>
        <v/>
      </c>
      <c r="G137" s="32" t="str">
        <f>IF('12 - Deployments &amp; Config'!AI137="","",'12 - Deployments &amp; Config'!AI137)</f>
        <v/>
      </c>
      <c r="H137" s="32" t="str">
        <f>IF('12 - Deployments &amp; Config'!A137="","",'12 - Deployments &amp; Config'!A137)</f>
        <v>Cybernet</v>
      </c>
      <c r="I137" s="32" t="str">
        <f>IF('12 - Deployments &amp; Config'!AJ137="","",'12 - Deployments &amp; Config'!AJ137)</f>
        <v/>
      </c>
      <c r="J137" s="32" t="str">
        <f>IF('12 - Deployments &amp; Config'!AK137="","",'12 - Deployments &amp; Config'!AK137)</f>
        <v/>
      </c>
      <c r="K137" s="32" t="str">
        <f>IF('12 - Deployments &amp; Config'!AA137="","",'12 - Deployments &amp; Config'!AA137)</f>
        <v/>
      </c>
      <c r="L137" s="32" t="str">
        <f>IF('12 - Deployments &amp; Config'!I137="","",'12 - Deployments &amp; Config'!I137)</f>
        <v>OR iPro Cybernet Workstation</v>
      </c>
      <c r="M137" s="33"/>
      <c r="N137" s="32" t="str">
        <f>IF('12 - Deployments &amp; Config'!J137="","",'12 - Deployments &amp; Config'!J137)</f>
        <v>Yes</v>
      </c>
      <c r="O137" s="32" t="str">
        <f>IF('12 - Deployments &amp; Config'!K137="","",'12 - Deployments &amp; Config'!K137)</f>
        <v>No</v>
      </c>
      <c r="P137" s="32" t="str">
        <f>IF('12 - Deployments &amp; Config'!L137="","",'12 - Deployments &amp; Config'!L137)</f>
        <v>No</v>
      </c>
      <c r="Q137" s="33"/>
      <c r="R137" s="32" t="str">
        <f>IF('12 - Deployments &amp; Config'!AZ137="","",'12 - Deployments &amp; Config'!AZ137)</f>
        <v/>
      </c>
      <c r="S137" s="32" t="str">
        <f>IF('12 - Deployments &amp; Config'!AY137="","",'12 - Deployments &amp; Config'!AY137)</f>
        <v/>
      </c>
      <c r="T137" s="32" t="str">
        <f>IF('12 - Deployments &amp; Config'!AW137="","",'12 - Deployments &amp; Config'!AW137)</f>
        <v/>
      </c>
      <c r="U137" s="32" t="str">
        <f>IF('12 - Deployments &amp; Config'!AX137="","",'12 - Deployments &amp; Config'!AX137)</f>
        <v/>
      </c>
      <c r="V137" s="32" t="str">
        <f>IF('12 - Deployments &amp; Config'!BB137="","",'12 - Deployments &amp; Config'!BB137)</f>
        <v/>
      </c>
      <c r="W137" s="32" t="str">
        <f>IF('12 - Deployments &amp; Config'!BD137="","",'12 - Deployments &amp; Config'!BD137)</f>
        <v/>
      </c>
      <c r="X137" s="32" t="str">
        <f>IF('12 - Deployments &amp; Config'!BL137="","",'12 - Deployments &amp; Config'!BL137)</f>
        <v/>
      </c>
      <c r="Y137" s="32" t="str">
        <f>IF('12 - Deployments &amp; Config'!BC137="","",'12 - Deployments &amp; Config'!BC137)</f>
        <v/>
      </c>
      <c r="Z137" s="32" t="str">
        <f>IF('12 - Deployments &amp; Config'!P137="","",'12 - Deployments &amp; Config'!P137)</f>
        <v/>
      </c>
      <c r="AA137" s="32" t="str">
        <f>IF('12 - Deployments &amp; Config'!Q137="","",'12 - Deployments &amp; Config'!Q137)</f>
        <v/>
      </c>
    </row>
    <row r="138" spans="1:27">
      <c r="A138" s="33"/>
      <c r="B138" s="33"/>
      <c r="C138" s="32" t="str">
        <f>IF('12 - Deployments &amp; Config'!H143="","",'12 - Deployments &amp; Config'!H143)</f>
        <v>LIJVS</v>
      </c>
      <c r="D138" s="32" t="str">
        <f>IF('12 - Deployments &amp; Config'!AF143="","",'12 - Deployments &amp; Config'!AF143)</f>
        <v>Endoscopy Suite</v>
      </c>
      <c r="E138" s="32" t="str">
        <f>IF('12 - Deployments &amp; Config'!AG143="","",'12 - Deployments &amp; Config'!AG143)</f>
        <v>1-C-2</v>
      </c>
      <c r="F138" s="32" t="str">
        <f>IF('12 - Deployments &amp; Config'!AH143="","",'12 - Deployments &amp; Config'!AH143)</f>
        <v/>
      </c>
      <c r="G138" s="32" t="str">
        <f>IF('12 - Deployments &amp; Config'!AI143="","",'12 - Deployments &amp; Config'!AI143)</f>
        <v/>
      </c>
      <c r="H138" s="32" t="str">
        <f>IF('12 - Deployments &amp; Config'!A143="","",'12 - Deployments &amp; Config'!A143)</f>
        <v>Peripherals</v>
      </c>
      <c r="I138" s="32" t="str">
        <f>IF('12 - Deployments &amp; Config'!AJ143="","",'12 - Deployments &amp; Config'!AJ143)</f>
        <v>Mindray A5 - EJ-57023077</v>
      </c>
      <c r="J138" s="32" t="str">
        <f>IF('12 - Deployments &amp; Config'!AK143="","",'12 - Deployments &amp; Config'!AK143)</f>
        <v/>
      </c>
      <c r="K138" s="32" t="str">
        <f>IF('12 - Deployments &amp; Config'!AA143="","",'12 - Deployments &amp; Config'!AA143)</f>
        <v>Anesthesia Machine</v>
      </c>
      <c r="L138" s="32" t="str">
        <f>IF('12 - Deployments &amp; Config'!I143="","",'12 - Deployments &amp; Config'!I143)</f>
        <v/>
      </c>
      <c r="M138" s="33"/>
      <c r="N138" s="32" t="str">
        <f>IF('12 - Deployments &amp; Config'!J143="","",'12 - Deployments &amp; Config'!J143)</f>
        <v/>
      </c>
      <c r="O138" s="32" t="str">
        <f>IF('12 - Deployments &amp; Config'!K143="","",'12 - Deployments &amp; Config'!K143)</f>
        <v/>
      </c>
      <c r="P138" s="32" t="str">
        <f>IF('12 - Deployments &amp; Config'!L143="","",'12 - Deployments &amp; Config'!L143)</f>
        <v/>
      </c>
      <c r="Q138" s="33"/>
      <c r="R138" s="32" t="str">
        <f>IF('12 - Deployments &amp; Config'!AZ143="","",'12 - Deployments &amp; Config'!AZ143)</f>
        <v>Yes</v>
      </c>
      <c r="S138" s="32" t="str">
        <f>IF('12 - Deployments &amp; Config'!AY143="","",'12 - Deployments &amp; Config'!AY143)</f>
        <v>Yes</v>
      </c>
      <c r="T138" s="32" t="str">
        <f>IF('12 - Deployments &amp; Config'!AW143="","",'12 - Deployments &amp; Config'!AW143)</f>
        <v/>
      </c>
      <c r="U138" s="32" t="str">
        <f>IF('12 - Deployments &amp; Config'!AX143="","",'12 - Deployments &amp; Config'!AX143)</f>
        <v/>
      </c>
      <c r="V138" s="32" t="str">
        <f>IF('12 - Deployments &amp; Config'!BB143="","",'12 - Deployments &amp; Config'!BB143)</f>
        <v>Yes</v>
      </c>
      <c r="W138" s="32" t="str">
        <f>IF('12 - Deployments &amp; Config'!BD143="","",'12 - Deployments &amp; Config'!BD143)</f>
        <v/>
      </c>
      <c r="X138" s="32" t="str">
        <f>IF('12 - Deployments &amp; Config'!BL143="","",'12 - Deployments &amp; Config'!BL143)</f>
        <v>Power Cable, Battery, Firmware Download, Device ID, Epic Beans Relay</v>
      </c>
      <c r="Y138" s="32" t="str">
        <f>IF('12 - Deployments &amp; Config'!BC143="","",'12 - Deployments &amp; Config'!BC143)</f>
        <v>ran AL</v>
      </c>
      <c r="Z138" s="32" t="str">
        <f>IF('12 - Deployments &amp; Config'!P143="","",'12 - Deployments &amp; Config'!P143)</f>
        <v/>
      </c>
      <c r="AA138" s="32" t="str">
        <f>IF('12 - Deployments &amp; Config'!Q143="","",'12 - Deployments &amp; Config'!Q143)</f>
        <v/>
      </c>
    </row>
    <row r="139" spans="1:27">
      <c r="A139" s="33"/>
      <c r="B139" s="33"/>
      <c r="C139" s="32" t="str">
        <f>IF('12 - Deployments &amp; Config'!H144="","",'12 - Deployments &amp; Config'!H144)</f>
        <v>LIJVS</v>
      </c>
      <c r="D139" s="32" t="str">
        <f>IF('12 - Deployments &amp; Config'!AF144="","",'12 - Deployments &amp; Config'!AF144)</f>
        <v>OR</v>
      </c>
      <c r="E139" s="32" t="str">
        <f>IF('12 - Deployments &amp; Config'!AG144="","",'12 - Deployments &amp; Config'!AG144)</f>
        <v>OR 7</v>
      </c>
      <c r="F139" s="32" t="str">
        <f>IF('12 - Deployments &amp; Config'!AH144="","",'12 - Deployments &amp; Config'!AH144)</f>
        <v/>
      </c>
      <c r="G139" s="32" t="str">
        <f>IF('12 - Deployments &amp; Config'!AI144="","",'12 - Deployments &amp; Config'!AI144)</f>
        <v/>
      </c>
      <c r="H139" s="32" t="str">
        <f>IF('12 - Deployments &amp; Config'!A144="","",'12 - Deployments &amp; Config'!A144)</f>
        <v>Peripherals</v>
      </c>
      <c r="I139" s="32" t="str">
        <f>IF('12 - Deployments &amp; Config'!AJ144="","",'12 - Deployments &amp; Config'!AJ144)</f>
        <v>Drager Apollo</v>
      </c>
      <c r="J139" s="32" t="str">
        <f>IF('12 - Deployments &amp; Config'!AK144="","",'12 - Deployments &amp; Config'!AK144)</f>
        <v/>
      </c>
      <c r="K139" s="32" t="str">
        <f>IF('12 - Deployments &amp; Config'!AA144="","",'12 - Deployments &amp; Config'!AA144)</f>
        <v>Anesthesia Machine</v>
      </c>
      <c r="L139" s="32" t="str">
        <f>IF('12 - Deployments &amp; Config'!I144="","",'12 - Deployments &amp; Config'!I144)</f>
        <v/>
      </c>
      <c r="M139" s="33"/>
      <c r="N139" s="32" t="str">
        <f>IF('12 - Deployments &amp; Config'!J144="","",'12 - Deployments &amp; Config'!J144)</f>
        <v/>
      </c>
      <c r="O139" s="32" t="str">
        <f>IF('12 - Deployments &amp; Config'!K144="","",'12 - Deployments &amp; Config'!K144)</f>
        <v/>
      </c>
      <c r="P139" s="32" t="str">
        <f>IF('12 - Deployments &amp; Config'!L144="","",'12 - Deployments &amp; Config'!L144)</f>
        <v/>
      </c>
      <c r="Q139" s="33"/>
      <c r="R139" s="32" t="str">
        <f>IF('12 - Deployments &amp; Config'!AZ144="","",'12 - Deployments &amp; Config'!AZ144)</f>
        <v>Yes</v>
      </c>
      <c r="S139" s="32" t="str">
        <f>IF('12 - Deployments &amp; Config'!AY144="","",'12 - Deployments &amp; Config'!AY144)</f>
        <v>Yes</v>
      </c>
      <c r="T139" s="32" t="str">
        <f>IF('12 - Deployments &amp; Config'!AW144="","",'12 - Deployments &amp; Config'!AW144)</f>
        <v/>
      </c>
      <c r="U139" s="32" t="str">
        <f>IF('12 - Deployments &amp; Config'!AX144="","",'12 - Deployments &amp; Config'!AX144)</f>
        <v/>
      </c>
      <c r="V139" s="32" t="str">
        <f>IF('12 - Deployments &amp; Config'!BB144="","",'12 - Deployments &amp; Config'!BB144)</f>
        <v>Yes</v>
      </c>
      <c r="W139" s="32" t="str">
        <f>IF('12 - Deployments &amp; Config'!BD144="","",'12 - Deployments &amp; Config'!BD144)</f>
        <v/>
      </c>
      <c r="X139" s="32" t="str">
        <f>IF('12 - Deployments &amp; Config'!BL144="","",'12 - Deployments &amp; Config'!BL144)</f>
        <v>Power Cable, Battery, Firmware Download, Device ID, Epic Beans Relay</v>
      </c>
      <c r="Y139" s="32" t="str">
        <f>IF('12 - Deployments &amp; Config'!BC144="","",'12 - Deployments &amp; Config'!BC144)</f>
        <v>ran AL</v>
      </c>
      <c r="Z139" s="32" t="str">
        <f>IF('12 - Deployments &amp; Config'!P144="","",'12 - Deployments &amp; Config'!P144)</f>
        <v/>
      </c>
      <c r="AA139" s="32" t="str">
        <f>IF('12 - Deployments &amp; Config'!Q144="","",'12 - Deployments &amp; Config'!Q144)</f>
        <v/>
      </c>
    </row>
    <row r="140" spans="1:27">
      <c r="A140" s="33"/>
      <c r="B140" s="33"/>
      <c r="C140" s="32" t="str">
        <f>IF('12 - Deployments &amp; Config'!H145="","",'12 - Deployments &amp; Config'!H145)</f>
        <v>LIJVS</v>
      </c>
      <c r="D140" s="32" t="str">
        <f>IF('12 - Deployments &amp; Config'!AF145="","",'12 - Deployments &amp; Config'!AF145)</f>
        <v>OR</v>
      </c>
      <c r="E140" s="32" t="str">
        <f>IF('12 - Deployments &amp; Config'!AG145="","",'12 - Deployments &amp; Config'!AG145)</f>
        <v>OR 1</v>
      </c>
      <c r="F140" s="32" t="str">
        <f>IF('12 - Deployments &amp; Config'!AH145="","",'12 - Deployments &amp; Config'!AH145)</f>
        <v/>
      </c>
      <c r="G140" s="32" t="str">
        <f>IF('12 - Deployments &amp; Config'!AI145="","",'12 - Deployments &amp; Config'!AI145)</f>
        <v/>
      </c>
      <c r="H140" s="32" t="str">
        <f>IF('12 - Deployments &amp; Config'!A145="","",'12 - Deployments &amp; Config'!A145)</f>
        <v>Peripherals</v>
      </c>
      <c r="I140" s="32" t="str">
        <f>IF('12 - Deployments &amp; Config'!AJ145="","",'12 - Deployments &amp; Config'!AJ145)</f>
        <v>Drager Apollo</v>
      </c>
      <c r="J140" s="32" t="str">
        <f>IF('12 - Deployments &amp; Config'!AK145="","",'12 - Deployments &amp; Config'!AK145)</f>
        <v/>
      </c>
      <c r="K140" s="32" t="str">
        <f>IF('12 - Deployments &amp; Config'!AA145="","",'12 - Deployments &amp; Config'!AA145)</f>
        <v>Anesthesia Machine</v>
      </c>
      <c r="L140" s="32" t="str">
        <f>IF('12 - Deployments &amp; Config'!I145="","",'12 - Deployments &amp; Config'!I145)</f>
        <v/>
      </c>
      <c r="M140" s="33"/>
      <c r="N140" s="32" t="str">
        <f>IF('12 - Deployments &amp; Config'!J145="","",'12 - Deployments &amp; Config'!J145)</f>
        <v/>
      </c>
      <c r="O140" s="32" t="str">
        <f>IF('12 - Deployments &amp; Config'!K145="","",'12 - Deployments &amp; Config'!K145)</f>
        <v/>
      </c>
      <c r="P140" s="32" t="str">
        <f>IF('12 - Deployments &amp; Config'!L145="","",'12 - Deployments &amp; Config'!L145)</f>
        <v/>
      </c>
      <c r="Q140" s="33"/>
      <c r="R140" s="32" t="str">
        <f>IF('12 - Deployments &amp; Config'!AZ145="","",'12 - Deployments &amp; Config'!AZ145)</f>
        <v>No</v>
      </c>
      <c r="S140" s="32" t="str">
        <f>IF('12 - Deployments &amp; Config'!AY145="","",'12 - Deployments &amp; Config'!AY145)</f>
        <v>Yes</v>
      </c>
      <c r="T140" s="32" t="str">
        <f>IF('12 - Deployments &amp; Config'!AW145="","",'12 - Deployments &amp; Config'!AW145)</f>
        <v/>
      </c>
      <c r="U140" s="32" t="str">
        <f>IF('12 - Deployments &amp; Config'!AX145="","",'12 - Deployments &amp; Config'!AX145)</f>
        <v/>
      </c>
      <c r="V140" s="32" t="str">
        <f>IF('12 - Deployments &amp; Config'!BB145="","",'12 - Deployments &amp; Config'!BB145)</f>
        <v>Yes</v>
      </c>
      <c r="W140" s="32" t="str">
        <f>IF('12 - Deployments &amp; Config'!BD145="","",'12 - Deployments &amp; Config'!BD145)</f>
        <v/>
      </c>
      <c r="X140" s="32" t="str">
        <f>IF('12 - Deployments &amp; Config'!BL145="","",'12 - Deployments &amp; Config'!BL145)</f>
        <v>Power Cable, Battery, Firmware Download, Device ID, Epic Beans Relay</v>
      </c>
      <c r="Y140" s="32" t="str">
        <f>IF('12 - Deployments &amp; Config'!BC145="","",'12 - Deployments &amp; Config'!BC145)</f>
        <v>ALREADY HAD A BADGE SCANNER INSTALLED / RAN AL</v>
      </c>
      <c r="Z140" s="32" t="str">
        <f>IF('12 - Deployments &amp; Config'!P145="","",'12 - Deployments &amp; Config'!P145)</f>
        <v/>
      </c>
      <c r="AA140" s="32" t="str">
        <f>IF('12 - Deployments &amp; Config'!Q145="","",'12 - Deployments &amp; Config'!Q145)</f>
        <v/>
      </c>
    </row>
    <row r="141" spans="1:27">
      <c r="A141" s="33"/>
      <c r="B141" s="33"/>
      <c r="C141" s="32" t="str">
        <f>IF('12 - Deployments &amp; Config'!H146="","",'12 - Deployments &amp; Config'!H146)</f>
        <v>LIJVS</v>
      </c>
      <c r="D141" s="32" t="str">
        <f>IF('12 - Deployments &amp; Config'!AF146="","",'12 - Deployments &amp; Config'!AF146)</f>
        <v>OR</v>
      </c>
      <c r="E141" s="32" t="str">
        <f>IF('12 - Deployments &amp; Config'!AG146="","",'12 - Deployments &amp; Config'!AG146)</f>
        <v>OR 2</v>
      </c>
      <c r="F141" s="32" t="str">
        <f>IF('12 - Deployments &amp; Config'!AH146="","",'12 - Deployments &amp; Config'!AH146)</f>
        <v/>
      </c>
      <c r="G141" s="32" t="str">
        <f>IF('12 - Deployments &amp; Config'!AI146="","",'12 - Deployments &amp; Config'!AI146)</f>
        <v/>
      </c>
      <c r="H141" s="32" t="str">
        <f>IF('12 - Deployments &amp; Config'!A146="","",'12 - Deployments &amp; Config'!A146)</f>
        <v>Peripherals</v>
      </c>
      <c r="I141" s="32" t="str">
        <f>IF('12 - Deployments &amp; Config'!AJ146="","",'12 - Deployments &amp; Config'!AJ146)</f>
        <v>Drager Atlan</v>
      </c>
      <c r="J141" s="32" t="str">
        <f>IF('12 - Deployments &amp; Config'!AK146="","",'12 - Deployments &amp; Config'!AK146)</f>
        <v/>
      </c>
      <c r="K141" s="32" t="str">
        <f>IF('12 - Deployments &amp; Config'!AA146="","",'12 - Deployments &amp; Config'!AA146)</f>
        <v>Anesthesia Machine</v>
      </c>
      <c r="L141" s="32" t="str">
        <f>IF('12 - Deployments &amp; Config'!I146="","",'12 - Deployments &amp; Config'!I146)</f>
        <v/>
      </c>
      <c r="M141" s="33"/>
      <c r="N141" s="32" t="str">
        <f>IF('12 - Deployments &amp; Config'!J146="","",'12 - Deployments &amp; Config'!J146)</f>
        <v/>
      </c>
      <c r="O141" s="32" t="str">
        <f>IF('12 - Deployments &amp; Config'!K146="","",'12 - Deployments &amp; Config'!K146)</f>
        <v/>
      </c>
      <c r="P141" s="32" t="str">
        <f>IF('12 - Deployments &amp; Config'!L146="","",'12 - Deployments &amp; Config'!L146)</f>
        <v/>
      </c>
      <c r="Q141" s="33"/>
      <c r="R141" s="32" t="str">
        <f>IF('12 - Deployments &amp; Config'!AZ146="","",'12 - Deployments &amp; Config'!AZ146)</f>
        <v>No</v>
      </c>
      <c r="S141" s="32" t="str">
        <f>IF('12 - Deployments &amp; Config'!AY146="","",'12 - Deployments &amp; Config'!AY146)</f>
        <v>Yes</v>
      </c>
      <c r="T141" s="32" t="str">
        <f>IF('12 - Deployments &amp; Config'!AW146="","",'12 - Deployments &amp; Config'!AW146)</f>
        <v/>
      </c>
      <c r="U141" s="32" t="str">
        <f>IF('12 - Deployments &amp; Config'!AX146="","",'12 - Deployments &amp; Config'!AX146)</f>
        <v/>
      </c>
      <c r="V141" s="32" t="str">
        <f>IF('12 - Deployments &amp; Config'!BB146="","",'12 - Deployments &amp; Config'!BB146)</f>
        <v>Yes</v>
      </c>
      <c r="W141" s="32" t="str">
        <f>IF('12 - Deployments &amp; Config'!BD146="","",'12 - Deployments &amp; Config'!BD146)</f>
        <v/>
      </c>
      <c r="X141" s="32" t="str">
        <f>IF('12 - Deployments &amp; Config'!BL146="","",'12 - Deployments &amp; Config'!BL146)</f>
        <v>Power Cable, Battery, Firmware Download, Device ID, Epic Beans Relay</v>
      </c>
      <c r="Y141" s="32" t="str">
        <f>IF('12 - Deployments &amp; Config'!BC146="","",'12 - Deployments &amp; Config'!BC146)</f>
        <v>ALREADY HAD A BADGE SCANNER INSTALLED / imprivata installed, so cant run  AL / DIDNT PROGRAM SCANNER</v>
      </c>
      <c r="Z141" s="32" t="str">
        <f>IF('12 - Deployments &amp; Config'!P146="","",'12 - Deployments &amp; Config'!P146)</f>
        <v/>
      </c>
      <c r="AA141" s="32" t="str">
        <f>IF('12 - Deployments &amp; Config'!Q146="","",'12 - Deployments &amp; Config'!Q146)</f>
        <v/>
      </c>
    </row>
    <row r="142" spans="1:27">
      <c r="A142" s="33"/>
      <c r="B142" s="33"/>
      <c r="C142" s="32" t="str">
        <f>IF('12 - Deployments &amp; Config'!H147="","",'12 - Deployments &amp; Config'!H147)</f>
        <v>LIJVS</v>
      </c>
      <c r="D142" s="32" t="str">
        <f>IF('12 - Deployments &amp; Config'!AF147="","",'12 - Deployments &amp; Config'!AF147)</f>
        <v>OR</v>
      </c>
      <c r="E142" s="32" t="str">
        <f>IF('12 - Deployments &amp; Config'!AG147="","",'12 - Deployments &amp; Config'!AG147)</f>
        <v>OR 5</v>
      </c>
      <c r="F142" s="32" t="str">
        <f>IF('12 - Deployments &amp; Config'!AH147="","",'12 - Deployments &amp; Config'!AH147)</f>
        <v/>
      </c>
      <c r="G142" s="32" t="str">
        <f>IF('12 - Deployments &amp; Config'!AI147="","",'12 - Deployments &amp; Config'!AI147)</f>
        <v/>
      </c>
      <c r="H142" s="32" t="str">
        <f>IF('12 - Deployments &amp; Config'!A147="","",'12 - Deployments &amp; Config'!A147)</f>
        <v>Peripherals</v>
      </c>
      <c r="I142" s="32" t="str">
        <f>IF('12 - Deployments &amp; Config'!AJ147="","",'12 - Deployments &amp; Config'!AJ147)</f>
        <v>Drager Atlan</v>
      </c>
      <c r="J142" s="32" t="str">
        <f>IF('12 - Deployments &amp; Config'!AK147="","",'12 - Deployments &amp; Config'!AK147)</f>
        <v/>
      </c>
      <c r="K142" s="32" t="str">
        <f>IF('12 - Deployments &amp; Config'!AA147="","",'12 - Deployments &amp; Config'!AA147)</f>
        <v>Anesthesia Machine</v>
      </c>
      <c r="L142" s="32" t="str">
        <f>IF('12 - Deployments &amp; Config'!I147="","",'12 - Deployments &amp; Config'!I147)</f>
        <v/>
      </c>
      <c r="M142" s="33"/>
      <c r="N142" s="32" t="str">
        <f>IF('12 - Deployments &amp; Config'!J147="","",'12 - Deployments &amp; Config'!J147)</f>
        <v/>
      </c>
      <c r="O142" s="32" t="str">
        <f>IF('12 - Deployments &amp; Config'!K147="","",'12 - Deployments &amp; Config'!K147)</f>
        <v/>
      </c>
      <c r="P142" s="32" t="str">
        <f>IF('12 - Deployments &amp; Config'!L147="","",'12 - Deployments &amp; Config'!L147)</f>
        <v/>
      </c>
      <c r="Q142" s="33"/>
      <c r="R142" s="32" t="str">
        <f>IF('12 - Deployments &amp; Config'!AZ147="","",'12 - Deployments &amp; Config'!AZ147)</f>
        <v>Yes</v>
      </c>
      <c r="S142" s="32" t="str">
        <f>IF('12 - Deployments &amp; Config'!AY147="","",'12 - Deployments &amp; Config'!AY147)</f>
        <v>Yes</v>
      </c>
      <c r="T142" s="32" t="str">
        <f>IF('12 - Deployments &amp; Config'!AW147="","",'12 - Deployments &amp; Config'!AW147)</f>
        <v/>
      </c>
      <c r="U142" s="32" t="str">
        <f>IF('12 - Deployments &amp; Config'!AX147="","",'12 - Deployments &amp; Config'!AX147)</f>
        <v/>
      </c>
      <c r="V142" s="32" t="str">
        <f>IF('12 - Deployments &amp; Config'!BB147="","",'12 - Deployments &amp; Config'!BB147)</f>
        <v>Yes</v>
      </c>
      <c r="W142" s="32" t="str">
        <f>IF('12 - Deployments &amp; Config'!BD147="","",'12 - Deployments &amp; Config'!BD147)</f>
        <v/>
      </c>
      <c r="X142" s="32" t="str">
        <f>IF('12 - Deployments &amp; Config'!BL147="","",'12 - Deployments &amp; Config'!BL147)</f>
        <v>Power Cable, Battery, Firmware Download, Device ID, Epic Beans Relay</v>
      </c>
      <c r="Y142" s="32" t="str">
        <f>IF('12 - Deployments &amp; Config'!BC147="","",'12 - Deployments &amp; Config'!BC147)</f>
        <v>RAN AL / DIDNT PROGRAM SCANNER</v>
      </c>
      <c r="Z142" s="32" t="str">
        <f>IF('12 - Deployments &amp; Config'!P147="","",'12 - Deployments &amp; Config'!P147)</f>
        <v/>
      </c>
      <c r="AA142" s="32" t="str">
        <f>IF('12 - Deployments &amp; Config'!Q147="","",'12 - Deployments &amp; Config'!Q147)</f>
        <v/>
      </c>
    </row>
    <row r="143" spans="1:27">
      <c r="A143" s="33"/>
      <c r="B143" s="33"/>
      <c r="C143" s="32" t="str">
        <f>IF('12 - Deployments &amp; Config'!H148="","",'12 - Deployments &amp; Config'!H148)</f>
        <v>LIJVS</v>
      </c>
      <c r="D143" s="32" t="str">
        <f>IF('12 - Deployments &amp; Config'!AF148="","",'12 - Deployments &amp; Config'!AF148)</f>
        <v>OR</v>
      </c>
      <c r="E143" s="32" t="str">
        <f>IF('12 - Deployments &amp; Config'!AG148="","",'12 - Deployments &amp; Config'!AG148)</f>
        <v>OR 6</v>
      </c>
      <c r="F143" s="32" t="str">
        <f>IF('12 - Deployments &amp; Config'!AH148="","",'12 - Deployments &amp; Config'!AH148)</f>
        <v/>
      </c>
      <c r="G143" s="32" t="str">
        <f>IF('12 - Deployments &amp; Config'!AI148="","",'12 - Deployments &amp; Config'!AI148)</f>
        <v/>
      </c>
      <c r="H143" s="32" t="str">
        <f>IF('12 - Deployments &amp; Config'!A148="","",'12 - Deployments &amp; Config'!A148)</f>
        <v>Peripherals</v>
      </c>
      <c r="I143" s="32" t="str">
        <f>IF('12 - Deployments &amp; Config'!AJ148="","",'12 - Deployments &amp; Config'!AJ148)</f>
        <v>MINDRAY A5</v>
      </c>
      <c r="J143" s="32" t="str">
        <f>IF('12 - Deployments &amp; Config'!AK148="","",'12 - Deployments &amp; Config'!AK148)</f>
        <v/>
      </c>
      <c r="K143" s="32" t="str">
        <f>IF('12 - Deployments &amp; Config'!AA148="","",'12 - Deployments &amp; Config'!AA148)</f>
        <v>Anesthesia Machine</v>
      </c>
      <c r="L143" s="32" t="str">
        <f>IF('12 - Deployments &amp; Config'!I148="","",'12 - Deployments &amp; Config'!I148)</f>
        <v/>
      </c>
      <c r="M143" s="33"/>
      <c r="N143" s="32" t="str">
        <f>IF('12 - Deployments &amp; Config'!J148="","",'12 - Deployments &amp; Config'!J148)</f>
        <v/>
      </c>
      <c r="O143" s="32" t="str">
        <f>IF('12 - Deployments &amp; Config'!K148="","",'12 - Deployments &amp; Config'!K148)</f>
        <v/>
      </c>
      <c r="P143" s="32" t="str">
        <f>IF('12 - Deployments &amp; Config'!L148="","",'12 - Deployments &amp; Config'!L148)</f>
        <v/>
      </c>
      <c r="Q143" s="33"/>
      <c r="R143" s="32" t="str">
        <f>IF('12 - Deployments &amp; Config'!AZ148="","",'12 - Deployments &amp; Config'!AZ148)</f>
        <v>Yes</v>
      </c>
      <c r="S143" s="32" t="str">
        <f>IF('12 - Deployments &amp; Config'!AY148="","",'12 - Deployments &amp; Config'!AY148)</f>
        <v>Yes</v>
      </c>
      <c r="T143" s="32" t="str">
        <f>IF('12 - Deployments &amp; Config'!AW148="","",'12 - Deployments &amp; Config'!AW148)</f>
        <v/>
      </c>
      <c r="U143" s="32" t="str">
        <f>IF('12 - Deployments &amp; Config'!AX148="","",'12 - Deployments &amp; Config'!AX148)</f>
        <v/>
      </c>
      <c r="V143" s="32" t="str">
        <f>IF('12 - Deployments &amp; Config'!BB148="","",'12 - Deployments &amp; Config'!BB148)</f>
        <v>Yes</v>
      </c>
      <c r="W143" s="32" t="str">
        <f>IF('12 - Deployments &amp; Config'!BD148="","",'12 - Deployments &amp; Config'!BD148)</f>
        <v/>
      </c>
      <c r="X143" s="32" t="str">
        <f>IF('12 - Deployments &amp; Config'!BL148="","",'12 - Deployments &amp; Config'!BL148)</f>
        <v>Power Cable, Battery, Firmware Download, Device ID, Epic Beans Relay</v>
      </c>
      <c r="Y143" s="32" t="str">
        <f>IF('12 - Deployments &amp; Config'!BC148="","",'12 - Deployments &amp; Config'!BC148)</f>
        <v>ALREADY HAS BADGE SCANNER / SCANNER PROGRAMMED / RAN AL</v>
      </c>
      <c r="Z143" s="32" t="str">
        <f>IF('12 - Deployments &amp; Config'!P148="","",'12 - Deployments &amp; Config'!P148)</f>
        <v/>
      </c>
      <c r="AA143" s="32" t="str">
        <f>IF('12 - Deployments &amp; Config'!Q148="","",'12 - Deployments &amp; Config'!Q148)</f>
        <v/>
      </c>
    </row>
    <row r="144" spans="1:27">
      <c r="A144" s="33"/>
      <c r="B144" s="33"/>
      <c r="C144" s="32" t="str">
        <f>IF('12 - Deployments &amp; Config'!H149="","",'12 - Deployments &amp; Config'!H149)</f>
        <v>LIJVS</v>
      </c>
      <c r="D144" s="32" t="str">
        <f>IF('12 - Deployments &amp; Config'!AF149="","",'12 - Deployments &amp; Config'!AF149)</f>
        <v>OR</v>
      </c>
      <c r="E144" s="32" t="str">
        <f>IF('12 - Deployments &amp; Config'!AG149="","",'12 - Deployments &amp; Config'!AG149)</f>
        <v>OR 3</v>
      </c>
      <c r="F144" s="32" t="str">
        <f>IF('12 - Deployments &amp; Config'!AH149="","",'12 - Deployments &amp; Config'!AH149)</f>
        <v/>
      </c>
      <c r="G144" s="32" t="str">
        <f>IF('12 - Deployments &amp; Config'!AI149="","",'12 - Deployments &amp; Config'!AI149)</f>
        <v/>
      </c>
      <c r="H144" s="32" t="str">
        <f>IF('12 - Deployments &amp; Config'!A149="","",'12 - Deployments &amp; Config'!A149)</f>
        <v>Peripherals</v>
      </c>
      <c r="I144" s="32" t="str">
        <f>IF('12 - Deployments &amp; Config'!AJ149="","",'12 - Deployments &amp; Config'!AJ149)</f>
        <v>Drager Apollo</v>
      </c>
      <c r="J144" s="32" t="str">
        <f>IF('12 - Deployments &amp; Config'!AK149="","",'12 - Deployments &amp; Config'!AK149)</f>
        <v/>
      </c>
      <c r="K144" s="32" t="str">
        <f>IF('12 - Deployments &amp; Config'!AA149="","",'12 - Deployments &amp; Config'!AA149)</f>
        <v>Anesthesia Machine</v>
      </c>
      <c r="L144" s="32" t="str">
        <f>IF('12 - Deployments &amp; Config'!I149="","",'12 - Deployments &amp; Config'!I149)</f>
        <v/>
      </c>
      <c r="M144" s="33"/>
      <c r="N144" s="32" t="str">
        <f>IF('12 - Deployments &amp; Config'!J149="","",'12 - Deployments &amp; Config'!J149)</f>
        <v/>
      </c>
      <c r="O144" s="32" t="str">
        <f>IF('12 - Deployments &amp; Config'!K149="","",'12 - Deployments &amp; Config'!K149)</f>
        <v/>
      </c>
      <c r="P144" s="32" t="str">
        <f>IF('12 - Deployments &amp; Config'!L149="","",'12 - Deployments &amp; Config'!L149)</f>
        <v/>
      </c>
      <c r="Q144" s="33"/>
      <c r="R144" s="32" t="str">
        <f>IF('12 - Deployments &amp; Config'!AZ149="","",'12 - Deployments &amp; Config'!AZ149)</f>
        <v>Yes</v>
      </c>
      <c r="S144" s="32" t="str">
        <f>IF('12 - Deployments &amp; Config'!AY149="","",'12 - Deployments &amp; Config'!AY149)</f>
        <v>Yes</v>
      </c>
      <c r="T144" s="32" t="str">
        <f>IF('12 - Deployments &amp; Config'!AW149="","",'12 - Deployments &amp; Config'!AW149)</f>
        <v/>
      </c>
      <c r="U144" s="32" t="str">
        <f>IF('12 - Deployments &amp; Config'!AX149="","",'12 - Deployments &amp; Config'!AX149)</f>
        <v/>
      </c>
      <c r="V144" s="32" t="str">
        <f>IF('12 - Deployments &amp; Config'!BB149="","",'12 - Deployments &amp; Config'!BB149)</f>
        <v>Yes</v>
      </c>
      <c r="W144" s="32" t="str">
        <f>IF('12 - Deployments &amp; Config'!BD149="","",'12 - Deployments &amp; Config'!BD149)</f>
        <v/>
      </c>
      <c r="X144" s="32" t="str">
        <f>IF('12 - Deployments &amp; Config'!BL149="","",'12 - Deployments &amp; Config'!BL149)</f>
        <v>Power Cable, Battery, Firmware Download, Device ID, Epic Beans Relay</v>
      </c>
      <c r="Y144" s="32" t="str">
        <f>IF('12 - Deployments &amp; Config'!BC149="","",'12 - Deployments &amp; Config'!BC149)</f>
        <v>RAN AL / DIDNT PROGRAM SCANNER</v>
      </c>
      <c r="Z144" s="32" t="str">
        <f>IF('12 - Deployments &amp; Config'!P149="","",'12 - Deployments &amp; Config'!P149)</f>
        <v/>
      </c>
      <c r="AA144" s="32" t="str">
        <f>IF('12 - Deployments &amp; Config'!Q149="","",'12 - Deployments &amp; Config'!Q149)</f>
        <v/>
      </c>
    </row>
    <row r="145" spans="1:27">
      <c r="A145" s="33"/>
      <c r="B145" s="33"/>
      <c r="C145" s="32" t="str">
        <f>IF('12 - Deployments &amp; Config'!H150="","",'12 - Deployments &amp; Config'!H150)</f>
        <v>LIJVS</v>
      </c>
      <c r="D145" s="32" t="str">
        <f>IF('12 - Deployments &amp; Config'!AF150="","",'12 - Deployments &amp; Config'!AF150)</f>
        <v/>
      </c>
      <c r="E145" s="32" t="str">
        <f>IF('12 - Deployments &amp; Config'!AG150="","",'12 - Deployments &amp; Config'!AG150)</f>
        <v/>
      </c>
      <c r="F145" s="32" t="str">
        <f>IF('12 - Deployments &amp; Config'!AH150="","",'12 - Deployments &amp; Config'!AH150)</f>
        <v/>
      </c>
      <c r="G145" s="32" t="str">
        <f>IF('12 - Deployments &amp; Config'!AI150="","",'12 - Deployments &amp; Config'!AI150)</f>
        <v/>
      </c>
      <c r="H145" s="32" t="str">
        <f>IF('12 - Deployments &amp; Config'!A150="","",'12 - Deployments &amp; Config'!A150)</f>
        <v>Peripherals</v>
      </c>
      <c r="I145" s="32" t="str">
        <f>IF('12 - Deployments &amp; Config'!AJ150="","",'12 - Deployments &amp; Config'!AJ150)</f>
        <v/>
      </c>
      <c r="J145" s="32" t="str">
        <f>IF('12 - Deployments &amp; Config'!AK150="","",'12 - Deployments &amp; Config'!AK150)</f>
        <v/>
      </c>
      <c r="K145" s="32" t="str">
        <f>IF('12 - Deployments &amp; Config'!AA150="","",'12 - Deployments &amp; Config'!AA150)</f>
        <v>Anesthesia Machine</v>
      </c>
      <c r="L145" s="32" t="str">
        <f>IF('12 - Deployments &amp; Config'!I150="","",'12 - Deployments &amp; Config'!I150)</f>
        <v/>
      </c>
      <c r="M145" s="33"/>
      <c r="N145" s="32" t="str">
        <f>IF('12 - Deployments &amp; Config'!J150="","",'12 - Deployments &amp; Config'!J150)</f>
        <v/>
      </c>
      <c r="O145" s="32" t="str">
        <f>IF('12 - Deployments &amp; Config'!K150="","",'12 - Deployments &amp; Config'!K150)</f>
        <v/>
      </c>
      <c r="P145" s="32" t="str">
        <f>IF('12 - Deployments &amp; Config'!L150="","",'12 - Deployments &amp; Config'!L150)</f>
        <v/>
      </c>
      <c r="Q145" s="33"/>
      <c r="R145" s="32" t="str">
        <f>IF('12 - Deployments &amp; Config'!AZ150="","",'12 - Deployments &amp; Config'!AZ150)</f>
        <v>Yes</v>
      </c>
      <c r="S145" s="32" t="str">
        <f>IF('12 - Deployments &amp; Config'!AY150="","",'12 - Deployments &amp; Config'!AY150)</f>
        <v>No</v>
      </c>
      <c r="T145" s="32" t="str">
        <f>IF('12 - Deployments &amp; Config'!AW150="","",'12 - Deployments &amp; Config'!AW150)</f>
        <v/>
      </c>
      <c r="U145" s="32" t="str">
        <f>IF('12 - Deployments &amp; Config'!AX150="","",'12 - Deployments &amp; Config'!AX150)</f>
        <v/>
      </c>
      <c r="V145" s="32" t="str">
        <f>IF('12 - Deployments &amp; Config'!BB150="","",'12 - Deployments &amp; Config'!BB150)</f>
        <v>Yes</v>
      </c>
      <c r="W145" s="32" t="str">
        <f>IF('12 - Deployments &amp; Config'!BD150="","",'12 - Deployments &amp; Config'!BD150)</f>
        <v/>
      </c>
      <c r="X145" s="32" t="str">
        <f>IF('12 - Deployments &amp; Config'!BL150="","",'12 - Deployments &amp; Config'!BL150)</f>
        <v/>
      </c>
      <c r="Y145" s="32" t="str">
        <f>IF('12 - Deployments &amp; Config'!BC150="","",'12 - Deployments &amp; Config'!BC150)</f>
        <v>did not get to install</v>
      </c>
      <c r="Z145" s="32" t="str">
        <f>IF('12 - Deployments &amp; Config'!P150="","",'12 - Deployments &amp; Config'!P150)</f>
        <v/>
      </c>
      <c r="AA145" s="32" t="str">
        <f>IF('12 - Deployments &amp; Config'!Q150="","",'12 - Deployments &amp; Config'!Q150)</f>
        <v/>
      </c>
    </row>
    <row r="146" spans="1:27">
      <c r="A146" s="33"/>
      <c r="B146" s="33"/>
      <c r="C146" s="32" t="str">
        <f>IF('12 - Deployments &amp; Config'!H151="","",'12 - Deployments &amp; Config'!H151)</f>
        <v>LIJVS</v>
      </c>
      <c r="D146" s="32" t="str">
        <f>IF('12 - Deployments &amp; Config'!AF151="","",'12 - Deployments &amp; Config'!AF151)</f>
        <v/>
      </c>
      <c r="E146" s="32" t="str">
        <f>IF('12 - Deployments &amp; Config'!AG151="","",'12 - Deployments &amp; Config'!AG151)</f>
        <v/>
      </c>
      <c r="F146" s="32" t="str">
        <f>IF('12 - Deployments &amp; Config'!AH151="","",'12 - Deployments &amp; Config'!AH151)</f>
        <v/>
      </c>
      <c r="G146" s="32" t="str">
        <f>IF('12 - Deployments &amp; Config'!AI151="","",'12 - Deployments &amp; Config'!AI151)</f>
        <v/>
      </c>
      <c r="H146" s="32" t="str">
        <f>IF('12 - Deployments &amp; Config'!A151="","",'12 - Deployments &amp; Config'!A151)</f>
        <v>Peripherals</v>
      </c>
      <c r="I146" s="32" t="str">
        <f>IF('12 - Deployments &amp; Config'!AJ151="","",'12 - Deployments &amp; Config'!AJ151)</f>
        <v/>
      </c>
      <c r="J146" s="32" t="str">
        <f>IF('12 - Deployments &amp; Config'!AK151="","",'12 - Deployments &amp; Config'!AK151)</f>
        <v/>
      </c>
      <c r="K146" s="32" t="str">
        <f>IF('12 - Deployments &amp; Config'!AA151="","",'12 - Deployments &amp; Config'!AA151)</f>
        <v>Anesthesia Machine</v>
      </c>
      <c r="L146" s="32" t="str">
        <f>IF('12 - Deployments &amp; Config'!I151="","",'12 - Deployments &amp; Config'!I151)</f>
        <v/>
      </c>
      <c r="M146" s="33"/>
      <c r="N146" s="32" t="str">
        <f>IF('12 - Deployments &amp; Config'!J151="","",'12 - Deployments &amp; Config'!J151)</f>
        <v/>
      </c>
      <c r="O146" s="32" t="str">
        <f>IF('12 - Deployments &amp; Config'!K151="","",'12 - Deployments &amp; Config'!K151)</f>
        <v/>
      </c>
      <c r="P146" s="32" t="str">
        <f>IF('12 - Deployments &amp; Config'!L151="","",'12 - Deployments &amp; Config'!L151)</f>
        <v/>
      </c>
      <c r="Q146" s="33"/>
      <c r="R146" s="32" t="str">
        <f>IF('12 - Deployments &amp; Config'!AZ151="","",'12 - Deployments &amp; Config'!AZ151)</f>
        <v>Yes</v>
      </c>
      <c r="S146" s="32" t="str">
        <f>IF('12 - Deployments &amp; Config'!AY151="","",'12 - Deployments &amp; Config'!AY151)</f>
        <v>No</v>
      </c>
      <c r="T146" s="32" t="str">
        <f>IF('12 - Deployments &amp; Config'!AW151="","",'12 - Deployments &amp; Config'!AW151)</f>
        <v/>
      </c>
      <c r="U146" s="32" t="str">
        <f>IF('12 - Deployments &amp; Config'!AX151="","",'12 - Deployments &amp; Config'!AX151)</f>
        <v/>
      </c>
      <c r="V146" s="32" t="str">
        <f>IF('12 - Deployments &amp; Config'!BB151="","",'12 - Deployments &amp; Config'!BB151)</f>
        <v>Yes</v>
      </c>
      <c r="W146" s="32" t="str">
        <f>IF('12 - Deployments &amp; Config'!BD151="","",'12 - Deployments &amp; Config'!BD151)</f>
        <v/>
      </c>
      <c r="X146" s="32" t="str">
        <f>IF('12 - Deployments &amp; Config'!BL151="","",'12 - Deployments &amp; Config'!BL151)</f>
        <v/>
      </c>
      <c r="Y146" s="32" t="str">
        <f>IF('12 - Deployments &amp; Config'!BC151="","",'12 - Deployments &amp; Config'!BC151)</f>
        <v>did not get to install</v>
      </c>
      <c r="Z146" s="32" t="str">
        <f>IF('12 - Deployments &amp; Config'!P151="","",'12 - Deployments &amp; Config'!P151)</f>
        <v/>
      </c>
      <c r="AA146" s="32" t="str">
        <f>IF('12 - Deployments &amp; Config'!Q151="","",'12 - Deployments &amp; Config'!Q151)</f>
        <v/>
      </c>
    </row>
    <row r="147" spans="1:27">
      <c r="A147" s="33"/>
      <c r="B147" s="33"/>
      <c r="C147" s="32" t="str">
        <f>IF('12 - Deployments &amp; Config'!H152="","",'12 - Deployments &amp; Config'!H152)</f>
        <v>LIJVS</v>
      </c>
      <c r="D147" s="32" t="str">
        <f>IF('12 - Deployments &amp; Config'!AF152="","",'12 - Deployments &amp; Config'!AF152)</f>
        <v/>
      </c>
      <c r="E147" s="32" t="str">
        <f>IF('12 - Deployments &amp; Config'!AG152="","",'12 - Deployments &amp; Config'!AG152)</f>
        <v/>
      </c>
      <c r="F147" s="32" t="str">
        <f>IF('12 - Deployments &amp; Config'!AH152="","",'12 - Deployments &amp; Config'!AH152)</f>
        <v/>
      </c>
      <c r="G147" s="32" t="str">
        <f>IF('12 - Deployments &amp; Config'!AI152="","",'12 - Deployments &amp; Config'!AI152)</f>
        <v/>
      </c>
      <c r="H147" s="32" t="str">
        <f>IF('12 - Deployments &amp; Config'!A152="","",'12 - Deployments &amp; Config'!A152)</f>
        <v>Peripherals</v>
      </c>
      <c r="I147" s="32" t="str">
        <f>IF('12 - Deployments &amp; Config'!AJ152="","",'12 - Deployments &amp; Config'!AJ152)</f>
        <v/>
      </c>
      <c r="J147" s="32" t="str">
        <f>IF('12 - Deployments &amp; Config'!AK152="","",'12 - Deployments &amp; Config'!AK152)</f>
        <v/>
      </c>
      <c r="K147" s="32" t="str">
        <f>IF('12 - Deployments &amp; Config'!AA152="","",'12 - Deployments &amp; Config'!AA152)</f>
        <v>Anesthesia Machine</v>
      </c>
      <c r="L147" s="32" t="str">
        <f>IF('12 - Deployments &amp; Config'!I152="","",'12 - Deployments &amp; Config'!I152)</f>
        <v/>
      </c>
      <c r="M147" s="33"/>
      <c r="N147" s="32" t="str">
        <f>IF('12 - Deployments &amp; Config'!J152="","",'12 - Deployments &amp; Config'!J152)</f>
        <v/>
      </c>
      <c r="O147" s="32" t="str">
        <f>IF('12 - Deployments &amp; Config'!K152="","",'12 - Deployments &amp; Config'!K152)</f>
        <v/>
      </c>
      <c r="P147" s="32" t="str">
        <f>IF('12 - Deployments &amp; Config'!L152="","",'12 - Deployments &amp; Config'!L152)</f>
        <v/>
      </c>
      <c r="Q147" s="33"/>
      <c r="R147" s="32" t="str">
        <f>IF('12 - Deployments &amp; Config'!AZ152="","",'12 - Deployments &amp; Config'!AZ152)</f>
        <v>Yes</v>
      </c>
      <c r="S147" s="32" t="str">
        <f>IF('12 - Deployments &amp; Config'!AY152="","",'12 - Deployments &amp; Config'!AY152)</f>
        <v>No</v>
      </c>
      <c r="T147" s="32" t="str">
        <f>IF('12 - Deployments &amp; Config'!AW152="","",'12 - Deployments &amp; Config'!AW152)</f>
        <v/>
      </c>
      <c r="U147" s="32" t="str">
        <f>IF('12 - Deployments &amp; Config'!AX152="","",'12 - Deployments &amp; Config'!AX152)</f>
        <v/>
      </c>
      <c r="V147" s="32" t="str">
        <f>IF('12 - Deployments &amp; Config'!BB152="","",'12 - Deployments &amp; Config'!BB152)</f>
        <v>Yes</v>
      </c>
      <c r="W147" s="32" t="str">
        <f>IF('12 - Deployments &amp; Config'!BD152="","",'12 - Deployments &amp; Config'!BD152)</f>
        <v/>
      </c>
      <c r="X147" s="32" t="str">
        <f>IF('12 - Deployments &amp; Config'!BL152="","",'12 - Deployments &amp; Config'!BL152)</f>
        <v/>
      </c>
      <c r="Y147" s="32" t="str">
        <f>IF('12 - Deployments &amp; Config'!BC152="","",'12 - Deployments &amp; Config'!BC152)</f>
        <v>did not get to install</v>
      </c>
      <c r="Z147" s="32" t="str">
        <f>IF('12 - Deployments &amp; Config'!P152="","",'12 - Deployments &amp; Config'!P152)</f>
        <v/>
      </c>
      <c r="AA147" s="32" t="str">
        <f>IF('12 - Deployments &amp; Config'!Q152="","",'12 - Deployments &amp; Config'!Q152)</f>
        <v/>
      </c>
    </row>
    <row r="148" spans="1:27">
      <c r="A148" s="33"/>
      <c r="B148" s="33"/>
      <c r="C148" s="32" t="str">
        <f>IF('12 - Deployments &amp; Config'!H153="","",'12 - Deployments &amp; Config'!H153)</f>
        <v>CCMC</v>
      </c>
      <c r="D148" s="32" t="str">
        <f>IF('12 - Deployments &amp; Config'!AF153="","",'12 - Deployments &amp; Config'!AF153)</f>
        <v>Floor 1</v>
      </c>
      <c r="E148" s="32" t="str">
        <f>IF('12 - Deployments &amp; Config'!AG153="","",'12 - Deployments &amp; Config'!AG153)</f>
        <v>OR 4</v>
      </c>
      <c r="F148" s="32" t="str">
        <f>IF('12 - Deployments &amp; Config'!AH153="","",'12 - Deployments &amp; Config'!AH153)</f>
        <v/>
      </c>
      <c r="G148" s="32">
        <f>IF('12 - Deployments &amp; Config'!AI153="","",'12 - Deployments &amp; Config'!AI153)</f>
        <v>5601483</v>
      </c>
      <c r="H148" s="32" t="str">
        <f>IF('12 - Deployments &amp; Config'!A153="","",'12 - Deployments &amp; Config'!A153)</f>
        <v>Cybernet</v>
      </c>
      <c r="I148" s="32" t="str">
        <f>IF('12 - Deployments &amp; Config'!AJ153="","",'12 - Deployments &amp; Config'!AJ153)</f>
        <v>Drager Apollo</v>
      </c>
      <c r="J148" s="32" t="str">
        <f>IF('12 - Deployments &amp; Config'!AK153="","",'12 - Deployments &amp; Config'!AK153)</f>
        <v>APOLLO</v>
      </c>
      <c r="K148" s="32" t="str">
        <f>IF('12 - Deployments &amp; Config'!AA153="","",'12 - Deployments &amp; Config'!AA153)</f>
        <v>Anesthesia Machine</v>
      </c>
      <c r="L148" s="32" t="str">
        <f>IF('12 - Deployments &amp; Config'!I153="","",'12 - Deployments &amp; Config'!I153)</f>
        <v>iPro OR Workstation</v>
      </c>
      <c r="M148" s="33"/>
      <c r="N148" s="32" t="str">
        <f>IF('12 - Deployments &amp; Config'!J153="","",'12 - Deployments &amp; Config'!J153)</f>
        <v>no</v>
      </c>
      <c r="O148" s="32" t="str">
        <f>IF('12 - Deployments &amp; Config'!K153="","",'12 - Deployments &amp; Config'!K153)</f>
        <v>yes</v>
      </c>
      <c r="P148" s="32" t="str">
        <f>IF('12 - Deployments &amp; Config'!L153="","",'12 - Deployments &amp; Config'!L153)</f>
        <v>yes</v>
      </c>
      <c r="Q148" s="33"/>
      <c r="R148" s="32" t="str">
        <f>IF('12 - Deployments &amp; Config'!AZ153="","",'12 - Deployments &amp; Config'!AZ153)</f>
        <v>Yes</v>
      </c>
      <c r="S148" s="32" t="str">
        <f>IF('12 - Deployments &amp; Config'!AY153="","",'12 - Deployments &amp; Config'!AY153)</f>
        <v>No</v>
      </c>
      <c r="T148" s="32" t="str">
        <f>IF('12 - Deployments &amp; Config'!AW153="","",'12 - Deployments &amp; Config'!AW153)</f>
        <v/>
      </c>
      <c r="U148" s="32" t="str">
        <f>IF('12 - Deployments &amp; Config'!AX153="","",'12 - Deployments &amp; Config'!AX153)</f>
        <v/>
      </c>
      <c r="V148" s="32" t="str">
        <f>IF('12 - Deployments &amp; Config'!BB153="","",'12 - Deployments &amp; Config'!BB153)</f>
        <v>Yes</v>
      </c>
      <c r="W148" s="32" t="str">
        <f>IF('12 - Deployments &amp; Config'!BD153="","",'12 - Deployments &amp; Config'!BD153)</f>
        <v/>
      </c>
      <c r="X148" s="32" t="str">
        <f>IF('12 - Deployments &amp; Config'!BL153="","",'12 - Deployments &amp; Config'!BL153)</f>
        <v/>
      </c>
      <c r="Y148" s="32" t="str">
        <f>IF('12 - Deployments &amp; Config'!BC153="","",'12 - Deployments &amp; Config'!BC153)</f>
        <v/>
      </c>
      <c r="Z148" s="32" t="str">
        <f>IF('12 - Deployments &amp; Config'!P153="","",'12 - Deployments &amp; Config'!P153)</f>
        <v>akbar, Diane from Anesthesia, and Metasource badge-in TDR</v>
      </c>
      <c r="AA148" s="32">
        <f>IF('12 - Deployments &amp; Config'!Q153="","",'12 - Deployments &amp; Config'!Q153)</f>
        <v>46067</v>
      </c>
    </row>
    <row r="149" spans="1:27">
      <c r="A149" s="33"/>
      <c r="B149" s="33"/>
      <c r="C149" s="32" t="str">
        <f>IF('12 - Deployments &amp; Config'!H154="","",'12 - Deployments &amp; Config'!H154)</f>
        <v>CCMC</v>
      </c>
      <c r="D149" s="32" t="str">
        <f>IF('12 - Deployments &amp; Config'!AF154="","",'12 - Deployments &amp; Config'!AF154)</f>
        <v>Floor 1</v>
      </c>
      <c r="E149" s="32" t="str">
        <f>IF('12 - Deployments &amp; Config'!AG154="","",'12 - Deployments &amp; Config'!AG154)</f>
        <v>OR 2</v>
      </c>
      <c r="F149" s="32" t="str">
        <f>IF('12 - Deployments &amp; Config'!AH154="","",'12 - Deployments &amp; Config'!AH154)</f>
        <v/>
      </c>
      <c r="G149" s="32">
        <f>IF('12 - Deployments &amp; Config'!AI154="","",'12 - Deployments &amp; Config'!AI154)</f>
        <v>5601483</v>
      </c>
      <c r="H149" s="32" t="str">
        <f>IF('12 - Deployments &amp; Config'!A154="","",'12 - Deployments &amp; Config'!A154)</f>
        <v>Cybernet</v>
      </c>
      <c r="I149" s="32" t="str">
        <f>IF('12 - Deployments &amp; Config'!AJ154="","",'12 - Deployments &amp; Config'!AJ154)</f>
        <v>Drager Apollo</v>
      </c>
      <c r="J149" s="32" t="str">
        <f>IF('12 - Deployments &amp; Config'!AK154="","",'12 - Deployments &amp; Config'!AK154)</f>
        <v>APOLLO</v>
      </c>
      <c r="K149" s="32" t="str">
        <f>IF('12 - Deployments &amp; Config'!AA154="","",'12 - Deployments &amp; Config'!AA154)</f>
        <v>Anesthesia Machine</v>
      </c>
      <c r="L149" s="32" t="str">
        <f>IF('12 - Deployments &amp; Config'!I154="","",'12 - Deployments &amp; Config'!I154)</f>
        <v>iPro OR Workstation</v>
      </c>
      <c r="M149" s="33"/>
      <c r="N149" s="32" t="str">
        <f>IF('12 - Deployments &amp; Config'!J154="","",'12 - Deployments &amp; Config'!J154)</f>
        <v>no</v>
      </c>
      <c r="O149" s="32" t="str">
        <f>IF('12 - Deployments &amp; Config'!K154="","",'12 - Deployments &amp; Config'!K154)</f>
        <v>yes</v>
      </c>
      <c r="P149" s="32" t="str">
        <f>IF('12 - Deployments &amp; Config'!L154="","",'12 - Deployments &amp; Config'!L154)</f>
        <v>yes</v>
      </c>
      <c r="Q149" s="33"/>
      <c r="R149" s="32" t="str">
        <f>IF('12 - Deployments &amp; Config'!AZ154="","",'12 - Deployments &amp; Config'!AZ154)</f>
        <v>Yes</v>
      </c>
      <c r="S149" s="32" t="str">
        <f>IF('12 - Deployments &amp; Config'!AY154="","",'12 - Deployments &amp; Config'!AY154)</f>
        <v>No</v>
      </c>
      <c r="T149" s="32" t="str">
        <f>IF('12 - Deployments &amp; Config'!AW154="","",'12 - Deployments &amp; Config'!AW154)</f>
        <v/>
      </c>
      <c r="U149" s="32" t="str">
        <f>IF('12 - Deployments &amp; Config'!AX154="","",'12 - Deployments &amp; Config'!AX154)</f>
        <v/>
      </c>
      <c r="V149" s="32" t="str">
        <f>IF('12 - Deployments &amp; Config'!BB154="","",'12 - Deployments &amp; Config'!BB154)</f>
        <v>Yes</v>
      </c>
      <c r="W149" s="32" t="str">
        <f>IF('12 - Deployments &amp; Config'!BD154="","",'12 - Deployments &amp; Config'!BD154)</f>
        <v/>
      </c>
      <c r="X149" s="32" t="str">
        <f>IF('12 - Deployments &amp; Config'!BL154="","",'12 - Deployments &amp; Config'!BL154)</f>
        <v/>
      </c>
      <c r="Y149" s="32" t="str">
        <f>IF('12 - Deployments &amp; Config'!BC154="","",'12 - Deployments &amp; Config'!BC154)</f>
        <v/>
      </c>
      <c r="Z149" s="32" t="str">
        <f>IF('12 - Deployments &amp; Config'!P154="","",'12 - Deployments &amp; Config'!P154)</f>
        <v>akbar, Diane from Anesthesia, and Metasource badge-in TDR</v>
      </c>
      <c r="AA149" s="32">
        <f>IF('12 - Deployments &amp; Config'!Q154="","",'12 - Deployments &amp; Config'!Q154)</f>
        <v>46067</v>
      </c>
    </row>
    <row r="150" spans="1:27">
      <c r="A150" s="33"/>
      <c r="B150" s="33"/>
      <c r="C150" s="32" t="str">
        <f>IF('12 - Deployments &amp; Config'!H155="","",'12 - Deployments &amp; Config'!H155)</f>
        <v>CCMC</v>
      </c>
      <c r="D150" s="32" t="str">
        <f>IF('12 - Deployments &amp; Config'!AF155="","",'12 - Deployments &amp; Config'!AF155)</f>
        <v>Floor 1</v>
      </c>
      <c r="E150" s="32" t="str">
        <f>IF('12 - Deployments &amp; Config'!AG155="","",'12 - Deployments &amp; Config'!AG155)</f>
        <v>OR 5</v>
      </c>
      <c r="F150" s="32" t="str">
        <f>IF('12 - Deployments &amp; Config'!AH155="","",'12 - Deployments &amp; Config'!AH155)</f>
        <v/>
      </c>
      <c r="G150" s="32">
        <f>IF('12 - Deployments &amp; Config'!AI155="","",'12 - Deployments &amp; Config'!AI155)</f>
        <v>5601483</v>
      </c>
      <c r="H150" s="32" t="str">
        <f>IF('12 - Deployments &amp; Config'!A155="","",'12 - Deployments &amp; Config'!A155)</f>
        <v>Cybernet</v>
      </c>
      <c r="I150" s="32" t="str">
        <f>IF('12 - Deployments &amp; Config'!AJ155="","",'12 - Deployments &amp; Config'!AJ155)</f>
        <v>Drager Apollo</v>
      </c>
      <c r="J150" s="32" t="str">
        <f>IF('12 - Deployments &amp; Config'!AK155="","",'12 - Deployments &amp; Config'!AK155)</f>
        <v>APOLLO</v>
      </c>
      <c r="K150" s="32" t="str">
        <f>IF('12 - Deployments &amp; Config'!AA155="","",'12 - Deployments &amp; Config'!AA155)</f>
        <v>Anesthesia Machine</v>
      </c>
      <c r="L150" s="32" t="str">
        <f>IF('12 - Deployments &amp; Config'!I155="","",'12 - Deployments &amp; Config'!I155)</f>
        <v>iPro OR Workstation</v>
      </c>
      <c r="M150" s="33"/>
      <c r="N150" s="32" t="str">
        <f>IF('12 - Deployments &amp; Config'!J155="","",'12 - Deployments &amp; Config'!J155)</f>
        <v>no</v>
      </c>
      <c r="O150" s="32" t="str">
        <f>IF('12 - Deployments &amp; Config'!K155="","",'12 - Deployments &amp; Config'!K155)</f>
        <v>yes</v>
      </c>
      <c r="P150" s="32" t="str">
        <f>IF('12 - Deployments &amp; Config'!L155="","",'12 - Deployments &amp; Config'!L155)</f>
        <v>yes</v>
      </c>
      <c r="Q150" s="33"/>
      <c r="R150" s="32" t="str">
        <f>IF('12 - Deployments &amp; Config'!AZ155="","",'12 - Deployments &amp; Config'!AZ155)</f>
        <v>Yes</v>
      </c>
      <c r="S150" s="32" t="str">
        <f>IF('12 - Deployments &amp; Config'!AY155="","",'12 - Deployments &amp; Config'!AY155)</f>
        <v>No</v>
      </c>
      <c r="T150" s="32" t="str">
        <f>IF('12 - Deployments &amp; Config'!AW155="","",'12 - Deployments &amp; Config'!AW155)</f>
        <v/>
      </c>
      <c r="U150" s="32" t="str">
        <f>IF('12 - Deployments &amp; Config'!AX155="","",'12 - Deployments &amp; Config'!AX155)</f>
        <v/>
      </c>
      <c r="V150" s="32" t="str">
        <f>IF('12 - Deployments &amp; Config'!BB155="","",'12 - Deployments &amp; Config'!BB155)</f>
        <v>Yes</v>
      </c>
      <c r="W150" s="32" t="str">
        <f>IF('12 - Deployments &amp; Config'!BD155="","",'12 - Deployments &amp; Config'!BD155)</f>
        <v/>
      </c>
      <c r="X150" s="32" t="str">
        <f>IF('12 - Deployments &amp; Config'!BL155="","",'12 - Deployments &amp; Config'!BL155)</f>
        <v/>
      </c>
      <c r="Y150" s="32" t="str">
        <f>IF('12 - Deployments &amp; Config'!BC155="","",'12 - Deployments &amp; Config'!BC155)</f>
        <v/>
      </c>
      <c r="Z150" s="32" t="str">
        <f>IF('12 - Deployments &amp; Config'!P155="","",'12 - Deployments &amp; Config'!P155)</f>
        <v>akbar, Diane from Anesthesia, and Metasource badge-in TDR</v>
      </c>
      <c r="AA150" s="32">
        <f>IF('12 - Deployments &amp; Config'!Q155="","",'12 - Deployments &amp; Config'!Q155)</f>
        <v>46067</v>
      </c>
    </row>
    <row r="151" spans="1:27">
      <c r="A151" s="33"/>
      <c r="B151" s="33"/>
      <c r="C151" s="32" t="str">
        <f>IF('12 - Deployments &amp; Config'!H156="","",'12 - Deployments &amp; Config'!H156)</f>
        <v>CCMC</v>
      </c>
      <c r="D151" s="32" t="str">
        <f>IF('12 - Deployments &amp; Config'!AF156="","",'12 - Deployments &amp; Config'!AF156)</f>
        <v>Floor 1</v>
      </c>
      <c r="E151" s="32" t="str">
        <f>IF('12 - Deployments &amp; Config'!AG156="","",'12 - Deployments &amp; Config'!AG156)</f>
        <v>OR 6</v>
      </c>
      <c r="F151" s="32" t="str">
        <f>IF('12 - Deployments &amp; Config'!AH156="","",'12 - Deployments &amp; Config'!AH156)</f>
        <v/>
      </c>
      <c r="G151" s="32">
        <f>IF('12 - Deployments &amp; Config'!AI156="","",'12 - Deployments &amp; Config'!AI156)</f>
        <v>5601483</v>
      </c>
      <c r="H151" s="32" t="str">
        <f>IF('12 - Deployments &amp; Config'!A156="","",'12 - Deployments &amp; Config'!A156)</f>
        <v>Cybernet</v>
      </c>
      <c r="I151" s="32" t="str">
        <f>IF('12 - Deployments &amp; Config'!AJ156="","",'12 - Deployments &amp; Config'!AJ156)</f>
        <v>Drager Apollo</v>
      </c>
      <c r="J151" s="32" t="str">
        <f>IF('12 - Deployments &amp; Config'!AK156="","",'12 - Deployments &amp; Config'!AK156)</f>
        <v>APOLLO</v>
      </c>
      <c r="K151" s="32" t="str">
        <f>IF('12 - Deployments &amp; Config'!AA156="","",'12 - Deployments &amp; Config'!AA156)</f>
        <v>Anesthesia Machine</v>
      </c>
      <c r="L151" s="32" t="str">
        <f>IF('12 - Deployments &amp; Config'!I156="","",'12 - Deployments &amp; Config'!I156)</f>
        <v>iPro OR Workstation</v>
      </c>
      <c r="M151" s="33"/>
      <c r="N151" s="32" t="str">
        <f>IF('12 - Deployments &amp; Config'!J156="","",'12 - Deployments &amp; Config'!J156)</f>
        <v>no</v>
      </c>
      <c r="O151" s="32" t="str">
        <f>IF('12 - Deployments &amp; Config'!K156="","",'12 - Deployments &amp; Config'!K156)</f>
        <v>yes</v>
      </c>
      <c r="P151" s="32" t="str">
        <f>IF('12 - Deployments &amp; Config'!L156="","",'12 - Deployments &amp; Config'!L156)</f>
        <v>yes</v>
      </c>
      <c r="Q151" s="33"/>
      <c r="R151" s="32" t="str">
        <f>IF('12 - Deployments &amp; Config'!AZ156="","",'12 - Deployments &amp; Config'!AZ156)</f>
        <v>Yes</v>
      </c>
      <c r="S151" s="32" t="str">
        <f>IF('12 - Deployments &amp; Config'!AY156="","",'12 - Deployments &amp; Config'!AY156)</f>
        <v>No</v>
      </c>
      <c r="T151" s="32" t="str">
        <f>IF('12 - Deployments &amp; Config'!AW156="","",'12 - Deployments &amp; Config'!AW156)</f>
        <v/>
      </c>
      <c r="U151" s="32" t="str">
        <f>IF('12 - Deployments &amp; Config'!AX156="","",'12 - Deployments &amp; Config'!AX156)</f>
        <v/>
      </c>
      <c r="V151" s="32" t="str">
        <f>IF('12 - Deployments &amp; Config'!BB156="","",'12 - Deployments &amp; Config'!BB156)</f>
        <v>Yes</v>
      </c>
      <c r="W151" s="32" t="str">
        <f>IF('12 - Deployments &amp; Config'!BD156="","",'12 - Deployments &amp; Config'!BD156)</f>
        <v/>
      </c>
      <c r="X151" s="32" t="str">
        <f>IF('12 - Deployments &amp; Config'!BL156="","",'12 - Deployments &amp; Config'!BL156)</f>
        <v/>
      </c>
      <c r="Y151" s="32" t="str">
        <f>IF('12 - Deployments &amp; Config'!BC156="","",'12 - Deployments &amp; Config'!BC156)</f>
        <v/>
      </c>
      <c r="Z151" s="32" t="str">
        <f>IF('12 - Deployments &amp; Config'!P156="","",'12 - Deployments &amp; Config'!P156)</f>
        <v>akbar, Diane from Anesthesia, and Metasource badge-in TDR</v>
      </c>
      <c r="AA151" s="32">
        <f>IF('12 - Deployments &amp; Config'!Q156="","",'12 - Deployments &amp; Config'!Q156)</f>
        <v>46067</v>
      </c>
    </row>
    <row r="152" spans="1:27">
      <c r="A152" s="33"/>
      <c r="B152" s="33"/>
      <c r="C152" s="32" t="str">
        <f>IF('12 - Deployments &amp; Config'!H157="","",'12 - Deployments &amp; Config'!H157)</f>
        <v>CCMC</v>
      </c>
      <c r="D152" s="32" t="str">
        <f>IF('12 - Deployments &amp; Config'!AF157="","",'12 - Deployments &amp; Config'!AF157)</f>
        <v>Floor 1</v>
      </c>
      <c r="E152" s="32" t="str">
        <f>IF('12 - Deployments &amp; Config'!AG157="","",'12 - Deployments &amp; Config'!AG157)</f>
        <v>OR 7</v>
      </c>
      <c r="F152" s="32" t="str">
        <f>IF('12 - Deployments &amp; Config'!AH157="","",'12 - Deployments &amp; Config'!AH157)</f>
        <v/>
      </c>
      <c r="G152" s="32">
        <f>IF('12 - Deployments &amp; Config'!AI157="","",'12 - Deployments &amp; Config'!AI157)</f>
        <v>5601483</v>
      </c>
      <c r="H152" s="32" t="str">
        <f>IF('12 - Deployments &amp; Config'!A157="","",'12 - Deployments &amp; Config'!A157)</f>
        <v>Cybernet</v>
      </c>
      <c r="I152" s="32" t="str">
        <f>IF('12 - Deployments &amp; Config'!AJ157="","",'12 - Deployments &amp; Config'!AJ157)</f>
        <v>Drager Apollo</v>
      </c>
      <c r="J152" s="32" t="str">
        <f>IF('12 - Deployments &amp; Config'!AK157="","",'12 - Deployments &amp; Config'!AK157)</f>
        <v>APOLLO</v>
      </c>
      <c r="K152" s="32" t="str">
        <f>IF('12 - Deployments &amp; Config'!AA157="","",'12 - Deployments &amp; Config'!AA157)</f>
        <v>Anesthesia Machine</v>
      </c>
      <c r="L152" s="32" t="str">
        <f>IF('12 - Deployments &amp; Config'!I157="","",'12 - Deployments &amp; Config'!I157)</f>
        <v>iPro OR Workstation</v>
      </c>
      <c r="M152" s="33"/>
      <c r="N152" s="32" t="str">
        <f>IF('12 - Deployments &amp; Config'!J157="","",'12 - Deployments &amp; Config'!J157)</f>
        <v>no</v>
      </c>
      <c r="O152" s="32" t="str">
        <f>IF('12 - Deployments &amp; Config'!K157="","",'12 - Deployments &amp; Config'!K157)</f>
        <v>yes</v>
      </c>
      <c r="P152" s="32" t="str">
        <f>IF('12 - Deployments &amp; Config'!L157="","",'12 - Deployments &amp; Config'!L157)</f>
        <v>yes</v>
      </c>
      <c r="Q152" s="33"/>
      <c r="R152" s="32" t="str">
        <f>IF('12 - Deployments &amp; Config'!AZ157="","",'12 - Deployments &amp; Config'!AZ157)</f>
        <v>Yes</v>
      </c>
      <c r="S152" s="32" t="str">
        <f>IF('12 - Deployments &amp; Config'!AY157="","",'12 - Deployments &amp; Config'!AY157)</f>
        <v>No</v>
      </c>
      <c r="T152" s="32" t="str">
        <f>IF('12 - Deployments &amp; Config'!AW157="","",'12 - Deployments &amp; Config'!AW157)</f>
        <v/>
      </c>
      <c r="U152" s="32" t="str">
        <f>IF('12 - Deployments &amp; Config'!AX157="","",'12 - Deployments &amp; Config'!AX157)</f>
        <v/>
      </c>
      <c r="V152" s="32" t="str">
        <f>IF('12 - Deployments &amp; Config'!BB157="","",'12 - Deployments &amp; Config'!BB157)</f>
        <v>Yes</v>
      </c>
      <c r="W152" s="32" t="str">
        <f>IF('12 - Deployments &amp; Config'!BD157="","",'12 - Deployments &amp; Config'!BD157)</f>
        <v/>
      </c>
      <c r="X152" s="32" t="str">
        <f>IF('12 - Deployments &amp; Config'!BL157="","",'12 - Deployments &amp; Config'!BL157)</f>
        <v/>
      </c>
      <c r="Y152" s="32" t="str">
        <f>IF('12 - Deployments &amp; Config'!BC157="","",'12 - Deployments &amp; Config'!BC157)</f>
        <v/>
      </c>
      <c r="Z152" s="32" t="str">
        <f>IF('12 - Deployments &amp; Config'!P157="","",'12 - Deployments &amp; Config'!P157)</f>
        <v>akbar, Diane from Anesthesia, and Metasource badge-in TDR</v>
      </c>
      <c r="AA152" s="32">
        <f>IF('12 - Deployments &amp; Config'!Q157="","",'12 - Deployments &amp; Config'!Q157)</f>
        <v>46067</v>
      </c>
    </row>
    <row r="153" spans="1:27">
      <c r="A153" s="33"/>
      <c r="B153" s="33"/>
      <c r="C153" s="32" t="str">
        <f>IF('12 - Deployments &amp; Config'!H158="","",'12 - Deployments &amp; Config'!H158)</f>
        <v>CCMC</v>
      </c>
      <c r="D153" s="32" t="str">
        <f>IF('12 - Deployments &amp; Config'!AF158="","",'12 - Deployments &amp; Config'!AF158)</f>
        <v>Floor 1</v>
      </c>
      <c r="E153" s="32" t="str">
        <f>IF('12 - Deployments &amp; Config'!AG158="","",'12 - Deployments &amp; Config'!AG158)</f>
        <v>OR 1</v>
      </c>
      <c r="F153" s="32" t="str">
        <f>IF('12 - Deployments &amp; Config'!AH158="","",'12 - Deployments &amp; Config'!AH158)</f>
        <v/>
      </c>
      <c r="G153" s="32">
        <f>IF('12 - Deployments &amp; Config'!AI158="","",'12 - Deployments &amp; Config'!AI158)</f>
        <v>5601483</v>
      </c>
      <c r="H153" s="32" t="str">
        <f>IF('12 - Deployments &amp; Config'!A158="","",'12 - Deployments &amp; Config'!A158)</f>
        <v>Cybernet</v>
      </c>
      <c r="I153" s="32" t="str">
        <f>IF('12 - Deployments &amp; Config'!AJ158="","",'12 - Deployments &amp; Config'!AJ158)</f>
        <v>Drager Apollo</v>
      </c>
      <c r="J153" s="32" t="str">
        <f>IF('12 - Deployments &amp; Config'!AK158="","",'12 - Deployments &amp; Config'!AK158)</f>
        <v>APOLLO</v>
      </c>
      <c r="K153" s="32" t="str">
        <f>IF('12 - Deployments &amp; Config'!AA158="","",'12 - Deployments &amp; Config'!AA158)</f>
        <v>Anesthesia Machine</v>
      </c>
      <c r="L153" s="32" t="str">
        <f>IF('12 - Deployments &amp; Config'!I158="","",'12 - Deployments &amp; Config'!I158)</f>
        <v>iPro OR Workstation</v>
      </c>
      <c r="M153" s="33"/>
      <c r="N153" s="32" t="str">
        <f>IF('12 - Deployments &amp; Config'!J158="","",'12 - Deployments &amp; Config'!J158)</f>
        <v>no</v>
      </c>
      <c r="O153" s="32" t="str">
        <f>IF('12 - Deployments &amp; Config'!K158="","",'12 - Deployments &amp; Config'!K158)</f>
        <v>yes</v>
      </c>
      <c r="P153" s="32" t="str">
        <f>IF('12 - Deployments &amp; Config'!L158="","",'12 - Deployments &amp; Config'!L158)</f>
        <v>yes</v>
      </c>
      <c r="Q153" s="33"/>
      <c r="R153" s="32" t="str">
        <f>IF('12 - Deployments &amp; Config'!AZ158="","",'12 - Deployments &amp; Config'!AZ158)</f>
        <v>Yes</v>
      </c>
      <c r="S153" s="32" t="str">
        <f>IF('12 - Deployments &amp; Config'!AY158="","",'12 - Deployments &amp; Config'!AY158)</f>
        <v>No</v>
      </c>
      <c r="T153" s="32" t="str">
        <f>IF('12 - Deployments &amp; Config'!AW158="","",'12 - Deployments &amp; Config'!AW158)</f>
        <v/>
      </c>
      <c r="U153" s="32" t="str">
        <f>IF('12 - Deployments &amp; Config'!AX158="","",'12 - Deployments &amp; Config'!AX158)</f>
        <v/>
      </c>
      <c r="V153" s="32" t="str">
        <f>IF('12 - Deployments &amp; Config'!BB158="","",'12 - Deployments &amp; Config'!BB158)</f>
        <v>Yes</v>
      </c>
      <c r="W153" s="32" t="str">
        <f>IF('12 - Deployments &amp; Config'!BD158="","",'12 - Deployments &amp; Config'!BD158)</f>
        <v/>
      </c>
      <c r="X153" s="32" t="str">
        <f>IF('12 - Deployments &amp; Config'!BL158="","",'12 - Deployments &amp; Config'!BL158)</f>
        <v/>
      </c>
      <c r="Y153" s="32" t="str">
        <f>IF('12 - Deployments &amp; Config'!BC158="","",'12 - Deployments &amp; Config'!BC158)</f>
        <v/>
      </c>
      <c r="Z153" s="32" t="str">
        <f>IF('12 - Deployments &amp; Config'!P158="","",'12 - Deployments &amp; Config'!P158)</f>
        <v>akbar, Diane from Anesthesia, and Metasource badge-in TDR</v>
      </c>
      <c r="AA153" s="32">
        <f>IF('12 - Deployments &amp; Config'!Q158="","",'12 - Deployments &amp; Config'!Q158)</f>
        <v>46067</v>
      </c>
    </row>
    <row r="154" spans="1:27">
      <c r="A154" s="33"/>
      <c r="B154" s="33"/>
      <c r="C154" s="32" t="str">
        <f>IF('12 - Deployments &amp; Config'!H159="","",'12 - Deployments &amp; Config'!H159)</f>
        <v>CCMC</v>
      </c>
      <c r="D154" s="32" t="str">
        <f>IF('12 - Deployments &amp; Config'!AF159="","",'12 - Deployments &amp; Config'!AF159)</f>
        <v>Floor 1</v>
      </c>
      <c r="E154" s="32" t="str">
        <f>IF('12 - Deployments &amp; Config'!AG159="","",'12 - Deployments &amp; Config'!AG159)</f>
        <v>OR 8</v>
      </c>
      <c r="F154" s="32" t="str">
        <f>IF('12 - Deployments &amp; Config'!AH159="","",'12 - Deployments &amp; Config'!AH159)</f>
        <v/>
      </c>
      <c r="G154" s="32">
        <f>IF('12 - Deployments &amp; Config'!AI159="","",'12 - Deployments &amp; Config'!AI159)</f>
        <v>5601483</v>
      </c>
      <c r="H154" s="32" t="str">
        <f>IF('12 - Deployments &amp; Config'!A159="","",'12 - Deployments &amp; Config'!A159)</f>
        <v>Cybernet</v>
      </c>
      <c r="I154" s="32" t="str">
        <f>IF('12 - Deployments &amp; Config'!AJ159="","",'12 - Deployments &amp; Config'!AJ159)</f>
        <v>Drager Apollo</v>
      </c>
      <c r="J154" s="32" t="str">
        <f>IF('12 - Deployments &amp; Config'!AK159="","",'12 - Deployments &amp; Config'!AK159)</f>
        <v>APOLLO</v>
      </c>
      <c r="K154" s="32" t="str">
        <f>IF('12 - Deployments &amp; Config'!AA159="","",'12 - Deployments &amp; Config'!AA159)</f>
        <v>Anesthesia Machine</v>
      </c>
      <c r="L154" s="32" t="str">
        <f>IF('12 - Deployments &amp; Config'!I159="","",'12 - Deployments &amp; Config'!I159)</f>
        <v>iPro OR Workstation</v>
      </c>
      <c r="M154" s="33"/>
      <c r="N154" s="32" t="str">
        <f>IF('12 - Deployments &amp; Config'!J159="","",'12 - Deployments &amp; Config'!J159)</f>
        <v>no</v>
      </c>
      <c r="O154" s="32" t="str">
        <f>IF('12 - Deployments &amp; Config'!K159="","",'12 - Deployments &amp; Config'!K159)</f>
        <v>yes</v>
      </c>
      <c r="P154" s="32" t="str">
        <f>IF('12 - Deployments &amp; Config'!L159="","",'12 - Deployments &amp; Config'!L159)</f>
        <v>yes</v>
      </c>
      <c r="Q154" s="33"/>
      <c r="R154" s="32" t="str">
        <f>IF('12 - Deployments &amp; Config'!AZ159="","",'12 - Deployments &amp; Config'!AZ159)</f>
        <v>Yes</v>
      </c>
      <c r="S154" s="32" t="str">
        <f>IF('12 - Deployments &amp; Config'!AY159="","",'12 - Deployments &amp; Config'!AY159)</f>
        <v>No</v>
      </c>
      <c r="T154" s="32" t="str">
        <f>IF('12 - Deployments &amp; Config'!AW159="","",'12 - Deployments &amp; Config'!AW159)</f>
        <v/>
      </c>
      <c r="U154" s="32" t="str">
        <f>IF('12 - Deployments &amp; Config'!AX159="","",'12 - Deployments &amp; Config'!AX159)</f>
        <v/>
      </c>
      <c r="V154" s="32" t="str">
        <f>IF('12 - Deployments &amp; Config'!BB159="","",'12 - Deployments &amp; Config'!BB159)</f>
        <v>Yes</v>
      </c>
      <c r="W154" s="32" t="str">
        <f>IF('12 - Deployments &amp; Config'!BD159="","",'12 - Deployments &amp; Config'!BD159)</f>
        <v/>
      </c>
      <c r="X154" s="32" t="str">
        <f>IF('12 - Deployments &amp; Config'!BL159="","",'12 - Deployments &amp; Config'!BL159)</f>
        <v/>
      </c>
      <c r="Y154" s="32" t="str">
        <f>IF('12 - Deployments &amp; Config'!BC159="","",'12 - Deployments &amp; Config'!BC159)</f>
        <v/>
      </c>
      <c r="Z154" s="32" t="str">
        <f>IF('12 - Deployments &amp; Config'!P159="","",'12 - Deployments &amp; Config'!P159)</f>
        <v>akbar, Diane from Anesthesia, and Metasource badge-in TDR</v>
      </c>
      <c r="AA154" s="32">
        <f>IF('12 - Deployments &amp; Config'!Q159="","",'12 - Deployments &amp; Config'!Q159)</f>
        <v>46067</v>
      </c>
    </row>
    <row r="155" spans="1:27">
      <c r="A155" s="33"/>
      <c r="B155" s="33"/>
      <c r="C155" s="32" t="str">
        <f>IF('12 - Deployments &amp; Config'!H160="","",'12 - Deployments &amp; Config'!H160)</f>
        <v>CCMC</v>
      </c>
      <c r="D155" s="32" t="str">
        <f>IF('12 - Deployments &amp; Config'!AF160="","",'12 - Deployments &amp; Config'!AF160)</f>
        <v>Floor 1</v>
      </c>
      <c r="E155" s="32" t="str">
        <f>IF('12 - Deployments &amp; Config'!AG160="","",'12 - Deployments &amp; Config'!AG160)</f>
        <v>OR 3</v>
      </c>
      <c r="F155" s="32" t="str">
        <f>IF('12 - Deployments &amp; Config'!AH160="","",'12 - Deployments &amp; Config'!AH160)</f>
        <v/>
      </c>
      <c r="G155" s="32">
        <f>IF('12 - Deployments &amp; Config'!AI160="","",'12 - Deployments &amp; Config'!AI160)</f>
        <v>5601483</v>
      </c>
      <c r="H155" s="32" t="str">
        <f>IF('12 - Deployments &amp; Config'!A160="","",'12 - Deployments &amp; Config'!A160)</f>
        <v>Cybernet</v>
      </c>
      <c r="I155" s="32" t="str">
        <f>IF('12 - Deployments &amp; Config'!AJ160="","",'12 - Deployments &amp; Config'!AJ160)</f>
        <v>Drager Apollo</v>
      </c>
      <c r="J155" s="32" t="str">
        <f>IF('12 - Deployments &amp; Config'!AK160="","",'12 - Deployments &amp; Config'!AK160)</f>
        <v>APOLLO</v>
      </c>
      <c r="K155" s="32" t="str">
        <f>IF('12 - Deployments &amp; Config'!AA160="","",'12 - Deployments &amp; Config'!AA160)</f>
        <v>Anesthesia Machine</v>
      </c>
      <c r="L155" s="32" t="str">
        <f>IF('12 - Deployments &amp; Config'!I160="","",'12 - Deployments &amp; Config'!I160)</f>
        <v>iPro OR Workstation</v>
      </c>
      <c r="M155" s="33"/>
      <c r="N155" s="32" t="str">
        <f>IF('12 - Deployments &amp; Config'!J160="","",'12 - Deployments &amp; Config'!J160)</f>
        <v>no</v>
      </c>
      <c r="O155" s="32" t="str">
        <f>IF('12 - Deployments &amp; Config'!K160="","",'12 - Deployments &amp; Config'!K160)</f>
        <v>yes</v>
      </c>
      <c r="P155" s="32" t="str">
        <f>IF('12 - Deployments &amp; Config'!L160="","",'12 - Deployments &amp; Config'!L160)</f>
        <v>yes</v>
      </c>
      <c r="Q155" s="33"/>
      <c r="R155" s="32" t="str">
        <f>IF('12 - Deployments &amp; Config'!AZ160="","",'12 - Deployments &amp; Config'!AZ160)</f>
        <v>Yes</v>
      </c>
      <c r="S155" s="32" t="str">
        <f>IF('12 - Deployments &amp; Config'!AY160="","",'12 - Deployments &amp; Config'!AY160)</f>
        <v>No</v>
      </c>
      <c r="T155" s="32" t="str">
        <f>IF('12 - Deployments &amp; Config'!AW160="","",'12 - Deployments &amp; Config'!AW160)</f>
        <v/>
      </c>
      <c r="U155" s="32" t="str">
        <f>IF('12 - Deployments &amp; Config'!AX160="","",'12 - Deployments &amp; Config'!AX160)</f>
        <v/>
      </c>
      <c r="V155" s="32" t="str">
        <f>IF('12 - Deployments &amp; Config'!BB160="","",'12 - Deployments &amp; Config'!BB160)</f>
        <v>Yes</v>
      </c>
      <c r="W155" s="32" t="str">
        <f>IF('12 - Deployments &amp; Config'!BD160="","",'12 - Deployments &amp; Config'!BD160)</f>
        <v/>
      </c>
      <c r="X155" s="32" t="str">
        <f>IF('12 - Deployments &amp; Config'!BL160="","",'12 - Deployments &amp; Config'!BL160)</f>
        <v/>
      </c>
      <c r="Y155" s="32" t="str">
        <f>IF('12 - Deployments &amp; Config'!BC160="","",'12 - Deployments &amp; Config'!BC160)</f>
        <v/>
      </c>
      <c r="Z155" s="32" t="str">
        <f>IF('12 - Deployments &amp; Config'!P160="","",'12 - Deployments &amp; Config'!P160)</f>
        <v>akbar, Diane from Anesthesia, and Metasource badge-in TDR</v>
      </c>
      <c r="AA155" s="32">
        <f>IF('12 - Deployments &amp; Config'!Q160="","",'12 - Deployments &amp; Config'!Q160)</f>
        <v>46067</v>
      </c>
    </row>
    <row r="156" spans="1:27">
      <c r="A156" s="33"/>
      <c r="B156" s="33"/>
      <c r="C156" s="32" t="str">
        <f>IF('12 - Deployments &amp; Config'!H161="","",'12 - Deployments &amp; Config'!H161)</f>
        <v>CCMC</v>
      </c>
      <c r="D156" s="32" t="str">
        <f>IF('12 - Deployments &amp; Config'!AF161="","",'12 - Deployments &amp; Config'!AF161)</f>
        <v>Floor 1</v>
      </c>
      <c r="E156" s="32" t="str">
        <f>IF('12 - Deployments &amp; Config'!AG161="","",'12 - Deployments &amp; Config'!AG161)</f>
        <v>IR 11</v>
      </c>
      <c r="F156" s="32" t="str">
        <f>IF('12 - Deployments &amp; Config'!AH161="","",'12 - Deployments &amp; Config'!AH161)</f>
        <v/>
      </c>
      <c r="G156" s="32">
        <f>IF('12 - Deployments &amp; Config'!AI161="","",'12 - Deployments &amp; Config'!AI161)</f>
        <v>5601483</v>
      </c>
      <c r="H156" s="32" t="str">
        <f>IF('12 - Deployments &amp; Config'!A161="","",'12 - Deployments &amp; Config'!A161)</f>
        <v>Cybernet</v>
      </c>
      <c r="I156" s="32" t="str">
        <f>IF('12 - Deployments &amp; Config'!AJ161="","",'12 - Deployments &amp; Config'!AJ161)</f>
        <v>Drager Apollo</v>
      </c>
      <c r="J156" s="32" t="str">
        <f>IF('12 - Deployments &amp; Config'!AK161="","",'12 - Deployments &amp; Config'!AK161)</f>
        <v>APOLLO</v>
      </c>
      <c r="K156" s="32" t="str">
        <f>IF('12 - Deployments &amp; Config'!AA161="","",'12 - Deployments &amp; Config'!AA161)</f>
        <v>Anesthesia Machine</v>
      </c>
      <c r="L156" s="32" t="str">
        <f>IF('12 - Deployments &amp; Config'!I161="","",'12 - Deployments &amp; Config'!I161)</f>
        <v>iPro OR Workstation</v>
      </c>
      <c r="M156" s="33"/>
      <c r="N156" s="32" t="str">
        <f>IF('12 - Deployments &amp; Config'!J161="","",'12 - Deployments &amp; Config'!J161)</f>
        <v>no</v>
      </c>
      <c r="O156" s="32" t="str">
        <f>IF('12 - Deployments &amp; Config'!K161="","",'12 - Deployments &amp; Config'!K161)</f>
        <v>yes</v>
      </c>
      <c r="P156" s="32" t="str">
        <f>IF('12 - Deployments &amp; Config'!L161="","",'12 - Deployments &amp; Config'!L161)</f>
        <v>yes</v>
      </c>
      <c r="Q156" s="33"/>
      <c r="R156" s="32" t="str">
        <f>IF('12 - Deployments &amp; Config'!AZ161="","",'12 - Deployments &amp; Config'!AZ161)</f>
        <v>Yes</v>
      </c>
      <c r="S156" s="32" t="str">
        <f>IF('12 - Deployments &amp; Config'!AY161="","",'12 - Deployments &amp; Config'!AY161)</f>
        <v>No</v>
      </c>
      <c r="T156" s="32" t="str">
        <f>IF('12 - Deployments &amp; Config'!AW161="","",'12 - Deployments &amp; Config'!AW161)</f>
        <v/>
      </c>
      <c r="U156" s="32" t="str">
        <f>IF('12 - Deployments &amp; Config'!AX161="","",'12 - Deployments &amp; Config'!AX161)</f>
        <v/>
      </c>
      <c r="V156" s="32" t="str">
        <f>IF('12 - Deployments &amp; Config'!BB161="","",'12 - Deployments &amp; Config'!BB161)</f>
        <v>Yes</v>
      </c>
      <c r="W156" s="32" t="str">
        <f>IF('12 - Deployments &amp; Config'!BD161="","",'12 - Deployments &amp; Config'!BD161)</f>
        <v/>
      </c>
      <c r="X156" s="32" t="str">
        <f>IF('12 - Deployments &amp; Config'!BL161="","",'12 - Deployments &amp; Config'!BL161)</f>
        <v/>
      </c>
      <c r="Y156" s="32" t="str">
        <f>IF('12 - Deployments &amp; Config'!BC161="","",'12 - Deployments &amp; Config'!BC161)</f>
        <v/>
      </c>
      <c r="Z156" s="32" t="str">
        <f>IF('12 - Deployments &amp; Config'!P161="","",'12 - Deployments &amp; Config'!P161)</f>
        <v>akbar, Diane from Anesthesia, and Metasource badge-in TDR</v>
      </c>
      <c r="AA156" s="32">
        <f>IF('12 - Deployments &amp; Config'!Q161="","",'12 - Deployments &amp; Config'!Q161)</f>
        <v>46067</v>
      </c>
    </row>
    <row r="157" spans="1:27">
      <c r="A157" s="33"/>
      <c r="B157" s="33"/>
      <c r="C157" s="32" t="str">
        <f>IF('12 - Deployments &amp; Config'!H162="","",'12 - Deployments &amp; Config'!H162)</f>
        <v>LIJ - Proc</v>
      </c>
      <c r="D157" s="32" t="str">
        <f>IF('12 - Deployments &amp; Config'!AF162="","",'12 - Deployments &amp; Config'!AF162)</f>
        <v/>
      </c>
      <c r="E157" s="32" t="str">
        <f>IF('12 - Deployments &amp; Config'!AG162="","",'12 - Deployments &amp; Config'!AG162)</f>
        <v/>
      </c>
      <c r="F157" s="32" t="str">
        <f>IF('12 - Deployments &amp; Config'!AH162="","",'12 - Deployments &amp; Config'!AH162)</f>
        <v/>
      </c>
      <c r="G157" s="32" t="str">
        <f>IF('12 - Deployments &amp; Config'!AI162="","",'12 - Deployments &amp; Config'!AI162)</f>
        <v/>
      </c>
      <c r="H157" s="32" t="str">
        <f>IF('12 - Deployments &amp; Config'!A162="","",'12 - Deployments &amp; Config'!A162)</f>
        <v>Cybernet</v>
      </c>
      <c r="I157" s="32" t="str">
        <f>IF('12 - Deployments &amp; Config'!AJ162="","",'12 - Deployments &amp; Config'!AJ162)</f>
        <v/>
      </c>
      <c r="J157" s="32" t="str">
        <f>IF('12 - Deployments &amp; Config'!AK162="","",'12 - Deployments &amp; Config'!AK162)</f>
        <v/>
      </c>
      <c r="K157" s="32" t="str">
        <f>IF('12 - Deployments &amp; Config'!AA162="","",'12 - Deployments &amp; Config'!AA162)</f>
        <v/>
      </c>
      <c r="L157" s="32" t="str">
        <f>IF('12 - Deployments &amp; Config'!I162="","",'12 - Deployments &amp; Config'!I162)</f>
        <v>OR iPro Cybernet Workstation</v>
      </c>
      <c r="M157" s="33"/>
      <c r="N157" s="32" t="str">
        <f>IF('12 - Deployments &amp; Config'!J162="","",'12 - Deployments &amp; Config'!J162)</f>
        <v/>
      </c>
      <c r="O157" s="32" t="str">
        <f>IF('12 - Deployments &amp; Config'!K162="","",'12 - Deployments &amp; Config'!K162)</f>
        <v/>
      </c>
      <c r="P157" s="32" t="str">
        <f>IF('12 - Deployments &amp; Config'!L162="","",'12 - Deployments &amp; Config'!L162)</f>
        <v/>
      </c>
      <c r="Q157" s="33"/>
      <c r="R157" s="32" t="str">
        <f>IF('12 - Deployments &amp; Config'!AZ162="","",'12 - Deployments &amp; Config'!AZ162)</f>
        <v/>
      </c>
      <c r="S157" s="32" t="str">
        <f>IF('12 - Deployments &amp; Config'!AY162="","",'12 - Deployments &amp; Config'!AY162)</f>
        <v/>
      </c>
      <c r="T157" s="32" t="str">
        <f>IF('12 - Deployments &amp; Config'!AW162="","",'12 - Deployments &amp; Config'!AW162)</f>
        <v/>
      </c>
      <c r="U157" s="32" t="str">
        <f>IF('12 - Deployments &amp; Config'!AX162="","",'12 - Deployments &amp; Config'!AX162)</f>
        <v/>
      </c>
      <c r="V157" s="32" t="str">
        <f>IF('12 - Deployments &amp; Config'!BB162="","",'12 - Deployments &amp; Config'!BB162)</f>
        <v/>
      </c>
      <c r="W157" s="32" t="str">
        <f>IF('12 - Deployments &amp; Config'!BD162="","",'12 - Deployments &amp; Config'!BD162)</f>
        <v/>
      </c>
      <c r="X157" s="32" t="str">
        <f>IF('12 - Deployments &amp; Config'!BL162="","",'12 - Deployments &amp; Config'!BL162)</f>
        <v/>
      </c>
      <c r="Y157" s="32" t="str">
        <f>IF('12 - Deployments &amp; Config'!BC162="","",'12 - Deployments &amp; Config'!BC162)</f>
        <v/>
      </c>
      <c r="Z157" s="32" t="str">
        <f>IF('12 - Deployments &amp; Config'!P162="","",'12 - Deployments &amp; Config'!P162)</f>
        <v/>
      </c>
      <c r="AA157" s="32" t="str">
        <f>IF('12 - Deployments &amp; Config'!Q162="","",'12 - Deployments &amp; Config'!Q162)</f>
        <v/>
      </c>
    </row>
    <row r="158" spans="1:27">
      <c r="A158" s="33"/>
      <c r="B158" s="33"/>
      <c r="C158" s="32" t="str">
        <f>IF('12 - Deployments &amp; Config'!H163="","",'12 - Deployments &amp; Config'!H163)</f>
        <v>LIJ - Proc</v>
      </c>
      <c r="D158" s="32" t="str">
        <f>IF('12 - Deployments &amp; Config'!AF163="","",'12 - Deployments &amp; Config'!AF163)</f>
        <v/>
      </c>
      <c r="E158" s="32" t="str">
        <f>IF('12 - Deployments &amp; Config'!AG163="","",'12 - Deployments &amp; Config'!AG163)</f>
        <v/>
      </c>
      <c r="F158" s="32" t="str">
        <f>IF('12 - Deployments &amp; Config'!AH163="","",'12 - Deployments &amp; Config'!AH163)</f>
        <v/>
      </c>
      <c r="G158" s="32" t="str">
        <f>IF('12 - Deployments &amp; Config'!AI163="","",'12 - Deployments &amp; Config'!AI163)</f>
        <v/>
      </c>
      <c r="H158" s="32" t="str">
        <f>IF('12 - Deployments &amp; Config'!A163="","",'12 - Deployments &amp; Config'!A163)</f>
        <v/>
      </c>
      <c r="I158" s="32" t="str">
        <f>IF('12 - Deployments &amp; Config'!AJ163="","",'12 - Deployments &amp; Config'!AJ163)</f>
        <v/>
      </c>
      <c r="J158" s="32" t="str">
        <f>IF('12 - Deployments &amp; Config'!AK163="","",'12 - Deployments &amp; Config'!AK163)</f>
        <v/>
      </c>
      <c r="K158" s="32" t="str">
        <f>IF('12 - Deployments &amp; Config'!AA163="","",'12 - Deployments &amp; Config'!AA163)</f>
        <v/>
      </c>
      <c r="L158" s="32" t="str">
        <f>IF('12 - Deployments &amp; Config'!I163="","",'12 - Deployments &amp; Config'!I163)</f>
        <v>OR iPro Cybernet Workstation</v>
      </c>
      <c r="M158" s="33"/>
      <c r="N158" s="32" t="str">
        <f>IF('12 - Deployments &amp; Config'!J163="","",'12 - Deployments &amp; Config'!J163)</f>
        <v/>
      </c>
      <c r="O158" s="32" t="str">
        <f>IF('12 - Deployments &amp; Config'!K163="","",'12 - Deployments &amp; Config'!K163)</f>
        <v/>
      </c>
      <c r="P158" s="32" t="str">
        <f>IF('12 - Deployments &amp; Config'!L163="","",'12 - Deployments &amp; Config'!L163)</f>
        <v/>
      </c>
      <c r="Q158" s="33"/>
      <c r="R158" s="32" t="str">
        <f>IF('12 - Deployments &amp; Config'!AZ163="","",'12 - Deployments &amp; Config'!AZ163)</f>
        <v/>
      </c>
      <c r="S158" s="32" t="str">
        <f>IF('12 - Deployments &amp; Config'!AY163="","",'12 - Deployments &amp; Config'!AY163)</f>
        <v/>
      </c>
      <c r="T158" s="32" t="str">
        <f>IF('12 - Deployments &amp; Config'!AW163="","",'12 - Deployments &amp; Config'!AW163)</f>
        <v/>
      </c>
      <c r="U158" s="32" t="str">
        <f>IF('12 - Deployments &amp; Config'!AX163="","",'12 - Deployments &amp; Config'!AX163)</f>
        <v/>
      </c>
      <c r="V158" s="32" t="str">
        <f>IF('12 - Deployments &amp; Config'!BB163="","",'12 - Deployments &amp; Config'!BB163)</f>
        <v/>
      </c>
      <c r="W158" s="32" t="str">
        <f>IF('12 - Deployments &amp; Config'!BD163="","",'12 - Deployments &amp; Config'!BD163)</f>
        <v/>
      </c>
      <c r="X158" s="32" t="str">
        <f>IF('12 - Deployments &amp; Config'!BL163="","",'12 - Deployments &amp; Config'!BL163)</f>
        <v/>
      </c>
      <c r="Y158" s="32" t="str">
        <f>IF('12 - Deployments &amp; Config'!BC163="","",'12 - Deployments &amp; Config'!BC163)</f>
        <v/>
      </c>
      <c r="Z158" s="32" t="str">
        <f>IF('12 - Deployments &amp; Config'!P163="","",'12 - Deployments &amp; Config'!P163)</f>
        <v/>
      </c>
      <c r="AA158" s="32" t="str">
        <f>IF('12 - Deployments &amp; Config'!Q163="","",'12 - Deployments &amp; Config'!Q163)</f>
        <v/>
      </c>
    </row>
    <row r="159" spans="1:27">
      <c r="A159" s="33"/>
      <c r="B159" s="33"/>
      <c r="C159" s="32" t="str">
        <f>IF('12 - Deployments &amp; Config'!H164="","",'12 - Deployments &amp; Config'!H164)</f>
        <v>LIJ - Proc</v>
      </c>
      <c r="D159" s="32" t="str">
        <f>IF('12 - Deployments &amp; Config'!AF164="","",'12 - Deployments &amp; Config'!AF164)</f>
        <v/>
      </c>
      <c r="E159" s="32" t="str">
        <f>IF('12 - Deployments &amp; Config'!AG164="","",'12 - Deployments &amp; Config'!AG164)</f>
        <v/>
      </c>
      <c r="F159" s="32" t="str">
        <f>IF('12 - Deployments &amp; Config'!AH164="","",'12 - Deployments &amp; Config'!AH164)</f>
        <v/>
      </c>
      <c r="G159" s="32" t="str">
        <f>IF('12 - Deployments &amp; Config'!AI164="","",'12 - Deployments &amp; Config'!AI164)</f>
        <v/>
      </c>
      <c r="H159" s="32" t="str">
        <f>IF('12 - Deployments &amp; Config'!A164="","",'12 - Deployments &amp; Config'!A164)</f>
        <v/>
      </c>
      <c r="I159" s="32" t="str">
        <f>IF('12 - Deployments &amp; Config'!AJ164="","",'12 - Deployments &amp; Config'!AJ164)</f>
        <v/>
      </c>
      <c r="J159" s="32" t="str">
        <f>IF('12 - Deployments &amp; Config'!AK164="","",'12 - Deployments &amp; Config'!AK164)</f>
        <v/>
      </c>
      <c r="K159" s="32" t="str">
        <f>IF('12 - Deployments &amp; Config'!AA164="","",'12 - Deployments &amp; Config'!AA164)</f>
        <v/>
      </c>
      <c r="L159" s="32" t="str">
        <f>IF('12 - Deployments &amp; Config'!I164="","",'12 - Deployments &amp; Config'!I164)</f>
        <v>OR iPro Cybernet Workstation</v>
      </c>
      <c r="M159" s="33"/>
      <c r="N159" s="32" t="str">
        <f>IF('12 - Deployments &amp; Config'!J164="","",'12 - Deployments &amp; Config'!J164)</f>
        <v/>
      </c>
      <c r="O159" s="32" t="str">
        <f>IF('12 - Deployments &amp; Config'!K164="","",'12 - Deployments &amp; Config'!K164)</f>
        <v/>
      </c>
      <c r="P159" s="32" t="str">
        <f>IF('12 - Deployments &amp; Config'!L164="","",'12 - Deployments &amp; Config'!L164)</f>
        <v/>
      </c>
      <c r="Q159" s="33"/>
      <c r="R159" s="32" t="str">
        <f>IF('12 - Deployments &amp; Config'!AZ164="","",'12 - Deployments &amp; Config'!AZ164)</f>
        <v/>
      </c>
      <c r="S159" s="32" t="str">
        <f>IF('12 - Deployments &amp; Config'!AY164="","",'12 - Deployments &amp; Config'!AY164)</f>
        <v/>
      </c>
      <c r="T159" s="32" t="str">
        <f>IF('12 - Deployments &amp; Config'!AW164="","",'12 - Deployments &amp; Config'!AW164)</f>
        <v/>
      </c>
      <c r="U159" s="32" t="str">
        <f>IF('12 - Deployments &amp; Config'!AX164="","",'12 - Deployments &amp; Config'!AX164)</f>
        <v/>
      </c>
      <c r="V159" s="32" t="str">
        <f>IF('12 - Deployments &amp; Config'!BB164="","",'12 - Deployments &amp; Config'!BB164)</f>
        <v/>
      </c>
      <c r="W159" s="32" t="str">
        <f>IF('12 - Deployments &amp; Config'!BD164="","",'12 - Deployments &amp; Config'!BD164)</f>
        <v/>
      </c>
      <c r="X159" s="32" t="str">
        <f>IF('12 - Deployments &amp; Config'!BL164="","",'12 - Deployments &amp; Config'!BL164)</f>
        <v/>
      </c>
      <c r="Y159" s="32" t="str">
        <f>IF('12 - Deployments &amp; Config'!BC164="","",'12 - Deployments &amp; Config'!BC164)</f>
        <v/>
      </c>
      <c r="Z159" s="32" t="str">
        <f>IF('12 - Deployments &amp; Config'!P164="","",'12 - Deployments &amp; Config'!P164)</f>
        <v/>
      </c>
      <c r="AA159" s="32" t="str">
        <f>IF('12 - Deployments &amp; Config'!Q164="","",'12 - Deployments &amp; Config'!Q164)</f>
        <v/>
      </c>
    </row>
    <row r="160" spans="1:27">
      <c r="A160" s="33"/>
      <c r="B160" s="33"/>
      <c r="C160" s="32" t="str">
        <f>IF('12 - Deployments &amp; Config'!H165="","",'12 - Deployments &amp; Config'!H165)</f>
        <v/>
      </c>
      <c r="D160" s="32" t="str">
        <f>IF('12 - Deployments &amp; Config'!AF165="","",'12 - Deployments &amp; Config'!AF165)</f>
        <v/>
      </c>
      <c r="E160" s="32" t="str">
        <f>IF('12 - Deployments &amp; Config'!AG165="","",'12 - Deployments &amp; Config'!AG165)</f>
        <v/>
      </c>
      <c r="F160" s="32" t="str">
        <f>IF('12 - Deployments &amp; Config'!AH165="","",'12 - Deployments &amp; Config'!AH165)</f>
        <v/>
      </c>
      <c r="G160" s="32" t="str">
        <f>IF('12 - Deployments &amp; Config'!AI165="","",'12 - Deployments &amp; Config'!AI165)</f>
        <v/>
      </c>
      <c r="H160" s="32" t="str">
        <f>IF('12 - Deployments &amp; Config'!A165="","",'12 - Deployments &amp; Config'!A165)</f>
        <v/>
      </c>
      <c r="I160" s="32" t="str">
        <f>IF('12 - Deployments &amp; Config'!AJ165="","",'12 - Deployments &amp; Config'!AJ165)</f>
        <v/>
      </c>
      <c r="J160" s="32" t="str">
        <f>IF('12 - Deployments &amp; Config'!AK165="","",'12 - Deployments &amp; Config'!AK165)</f>
        <v/>
      </c>
      <c r="K160" s="32" t="str">
        <f>IF('12 - Deployments &amp; Config'!AA165="","",'12 - Deployments &amp; Config'!AA165)</f>
        <v/>
      </c>
      <c r="L160" s="32" t="str">
        <f>IF('12 - Deployments &amp; Config'!I165="","",'12 - Deployments &amp; Config'!I165)</f>
        <v/>
      </c>
      <c r="M160" s="33"/>
      <c r="N160" s="32" t="str">
        <f>IF('12 - Deployments &amp; Config'!J165="","",'12 - Deployments &amp; Config'!J165)</f>
        <v/>
      </c>
      <c r="O160" s="32" t="str">
        <f>IF('12 - Deployments &amp; Config'!K165="","",'12 - Deployments &amp; Config'!K165)</f>
        <v/>
      </c>
      <c r="P160" s="32" t="str">
        <f>IF('12 - Deployments &amp; Config'!L165="","",'12 - Deployments &amp; Config'!L165)</f>
        <v/>
      </c>
      <c r="Q160" s="33"/>
      <c r="R160" s="32" t="str">
        <f>IF('12 - Deployments &amp; Config'!AZ165="","",'12 - Deployments &amp; Config'!AZ165)</f>
        <v/>
      </c>
      <c r="S160" s="32" t="str">
        <f>IF('12 - Deployments &amp; Config'!AY165="","",'12 - Deployments &amp; Config'!AY165)</f>
        <v/>
      </c>
      <c r="T160" s="32" t="str">
        <f>IF('12 - Deployments &amp; Config'!AW165="","",'12 - Deployments &amp; Config'!AW165)</f>
        <v/>
      </c>
      <c r="U160" s="32" t="str">
        <f>IF('12 - Deployments &amp; Config'!AX165="","",'12 - Deployments &amp; Config'!AX165)</f>
        <v/>
      </c>
      <c r="V160" s="32" t="str">
        <f>IF('12 - Deployments &amp; Config'!BB165="","",'12 - Deployments &amp; Config'!BB165)</f>
        <v/>
      </c>
      <c r="W160" s="32" t="str">
        <f>IF('12 - Deployments &amp; Config'!BD165="","",'12 - Deployments &amp; Config'!BD165)</f>
        <v/>
      </c>
      <c r="X160" s="32" t="str">
        <f>IF('12 - Deployments &amp; Config'!BL165="","",'12 - Deployments &amp; Config'!BL165)</f>
        <v/>
      </c>
      <c r="Y160" s="32" t="str">
        <f>IF('12 - Deployments &amp; Config'!BC165="","",'12 - Deployments &amp; Config'!BC165)</f>
        <v/>
      </c>
      <c r="Z160" s="32" t="str">
        <f>IF('12 - Deployments &amp; Config'!P165="","",'12 - Deployments &amp; Config'!P165)</f>
        <v/>
      </c>
      <c r="AA160" s="32" t="str">
        <f>IF('12 - Deployments &amp; Config'!Q165="","",'12 - Deployments &amp; Config'!Q165)</f>
        <v/>
      </c>
    </row>
    <row r="161" spans="1:27">
      <c r="A161" s="33"/>
      <c r="B161" s="33"/>
      <c r="C161" s="32" t="str">
        <f>IF('12 - Deployments &amp; Config'!H166="","",'12 - Deployments &amp; Config'!H166)</f>
        <v/>
      </c>
      <c r="D161" s="32" t="str">
        <f>IF('12 - Deployments &amp; Config'!AF166="","",'12 - Deployments &amp; Config'!AF166)</f>
        <v/>
      </c>
      <c r="E161" s="32" t="str">
        <f>IF('12 - Deployments &amp; Config'!AG166="","",'12 - Deployments &amp; Config'!AG166)</f>
        <v/>
      </c>
      <c r="F161" s="32" t="str">
        <f>IF('12 - Deployments &amp; Config'!AH166="","",'12 - Deployments &amp; Config'!AH166)</f>
        <v/>
      </c>
      <c r="G161" s="32" t="str">
        <f>IF('12 - Deployments &amp; Config'!AI166="","",'12 - Deployments &amp; Config'!AI166)</f>
        <v/>
      </c>
      <c r="H161" s="32" t="str">
        <f>IF('12 - Deployments &amp; Config'!A166="","",'12 - Deployments &amp; Config'!A166)</f>
        <v/>
      </c>
      <c r="I161" s="32" t="str">
        <f>IF('12 - Deployments &amp; Config'!AJ166="","",'12 - Deployments &amp; Config'!AJ166)</f>
        <v/>
      </c>
      <c r="J161" s="32" t="str">
        <f>IF('12 - Deployments &amp; Config'!AK166="","",'12 - Deployments &amp; Config'!AK166)</f>
        <v/>
      </c>
      <c r="K161" s="32" t="str">
        <f>IF('12 - Deployments &amp; Config'!AA166="","",'12 - Deployments &amp; Config'!AA166)</f>
        <v/>
      </c>
      <c r="L161" s="32" t="str">
        <f>IF('12 - Deployments &amp; Config'!I166="","",'12 - Deployments &amp; Config'!I166)</f>
        <v/>
      </c>
      <c r="M161" s="33"/>
      <c r="N161" s="32" t="str">
        <f>IF('12 - Deployments &amp; Config'!J166="","",'12 - Deployments &amp; Config'!J166)</f>
        <v/>
      </c>
      <c r="O161" s="32" t="str">
        <f>IF('12 - Deployments &amp; Config'!K166="","",'12 - Deployments &amp; Config'!K166)</f>
        <v/>
      </c>
      <c r="P161" s="32" t="str">
        <f>IF('12 - Deployments &amp; Config'!L166="","",'12 - Deployments &amp; Config'!L166)</f>
        <v/>
      </c>
      <c r="Q161" s="33"/>
      <c r="R161" s="32" t="str">
        <f>IF('12 - Deployments &amp; Config'!AZ166="","",'12 - Deployments &amp; Config'!AZ166)</f>
        <v/>
      </c>
      <c r="S161" s="32" t="str">
        <f>IF('12 - Deployments &amp; Config'!AY166="","",'12 - Deployments &amp; Config'!AY166)</f>
        <v/>
      </c>
      <c r="T161" s="32" t="str">
        <f>IF('12 - Deployments &amp; Config'!AW166="","",'12 - Deployments &amp; Config'!AW166)</f>
        <v/>
      </c>
      <c r="U161" s="32" t="str">
        <f>IF('12 - Deployments &amp; Config'!AX166="","",'12 - Deployments &amp; Config'!AX166)</f>
        <v/>
      </c>
      <c r="V161" s="32" t="str">
        <f>IF('12 - Deployments &amp; Config'!BB166="","",'12 - Deployments &amp; Config'!BB166)</f>
        <v/>
      </c>
      <c r="W161" s="32" t="str">
        <f>IF('12 - Deployments &amp; Config'!BD166="","",'12 - Deployments &amp; Config'!BD166)</f>
        <v/>
      </c>
      <c r="X161" s="32" t="str">
        <f>IF('12 - Deployments &amp; Config'!BL166="","",'12 - Deployments &amp; Config'!BL166)</f>
        <v/>
      </c>
      <c r="Y161" s="32" t="str">
        <f>IF('12 - Deployments &amp; Config'!BC166="","",'12 - Deployments &amp; Config'!BC166)</f>
        <v/>
      </c>
      <c r="Z161" s="32" t="str">
        <f>IF('12 - Deployments &amp; Config'!P166="","",'12 - Deployments &amp; Config'!P166)</f>
        <v/>
      </c>
      <c r="AA161" s="32" t="str">
        <f>IF('12 - Deployments &amp; Config'!Q166="","",'12 - Deployments &amp; Config'!Q166)</f>
        <v/>
      </c>
    </row>
    <row r="162" spans="1:27">
      <c r="A162" s="33"/>
      <c r="B162" s="33"/>
      <c r="C162" s="32" t="str">
        <f>IF('12 - Deployments &amp; Config'!H167="","",'12 - Deployments &amp; Config'!H167)</f>
        <v/>
      </c>
      <c r="D162" s="32" t="str">
        <f>IF('12 - Deployments &amp; Config'!AF167="","",'12 - Deployments &amp; Config'!AF167)</f>
        <v/>
      </c>
      <c r="E162" s="32" t="str">
        <f>IF('12 - Deployments &amp; Config'!AG167="","",'12 - Deployments &amp; Config'!AG167)</f>
        <v/>
      </c>
      <c r="F162" s="32" t="str">
        <f>IF('12 - Deployments &amp; Config'!AH167="","",'12 - Deployments &amp; Config'!AH167)</f>
        <v/>
      </c>
      <c r="G162" s="32" t="str">
        <f>IF('12 - Deployments &amp; Config'!AI167="","",'12 - Deployments &amp; Config'!AI167)</f>
        <v/>
      </c>
      <c r="H162" s="32" t="str">
        <f>IF('12 - Deployments &amp; Config'!A167="","",'12 - Deployments &amp; Config'!A167)</f>
        <v/>
      </c>
      <c r="I162" s="32" t="str">
        <f>IF('12 - Deployments &amp; Config'!AJ167="","",'12 - Deployments &amp; Config'!AJ167)</f>
        <v/>
      </c>
      <c r="J162" s="32" t="str">
        <f>IF('12 - Deployments &amp; Config'!AK167="","",'12 - Deployments &amp; Config'!AK167)</f>
        <v/>
      </c>
      <c r="K162" s="32" t="str">
        <f>IF('12 - Deployments &amp; Config'!AA167="","",'12 - Deployments &amp; Config'!AA167)</f>
        <v/>
      </c>
      <c r="L162" s="32" t="str">
        <f>IF('12 - Deployments &amp; Config'!I167="","",'12 - Deployments &amp; Config'!I167)</f>
        <v/>
      </c>
      <c r="M162" s="33"/>
      <c r="N162" s="32" t="str">
        <f>IF('12 - Deployments &amp; Config'!J167="","",'12 - Deployments &amp; Config'!J167)</f>
        <v/>
      </c>
      <c r="O162" s="32" t="str">
        <f>IF('12 - Deployments &amp; Config'!K167="","",'12 - Deployments &amp; Config'!K167)</f>
        <v/>
      </c>
      <c r="P162" s="32" t="str">
        <f>IF('12 - Deployments &amp; Config'!L167="","",'12 - Deployments &amp; Config'!L167)</f>
        <v/>
      </c>
      <c r="Q162" s="33"/>
      <c r="R162" s="32" t="str">
        <f>IF('12 - Deployments &amp; Config'!AZ167="","",'12 - Deployments &amp; Config'!AZ167)</f>
        <v/>
      </c>
      <c r="S162" s="32" t="str">
        <f>IF('12 - Deployments &amp; Config'!AY167="","",'12 - Deployments &amp; Config'!AY167)</f>
        <v/>
      </c>
      <c r="T162" s="32" t="str">
        <f>IF('12 - Deployments &amp; Config'!AW167="","",'12 - Deployments &amp; Config'!AW167)</f>
        <v/>
      </c>
      <c r="U162" s="32" t="str">
        <f>IF('12 - Deployments &amp; Config'!AX167="","",'12 - Deployments &amp; Config'!AX167)</f>
        <v/>
      </c>
      <c r="V162" s="32" t="str">
        <f>IF('12 - Deployments &amp; Config'!BB167="","",'12 - Deployments &amp; Config'!BB167)</f>
        <v/>
      </c>
      <c r="W162" s="32" t="str">
        <f>IF('12 - Deployments &amp; Config'!BD167="","",'12 - Deployments &amp; Config'!BD167)</f>
        <v/>
      </c>
      <c r="X162" s="32" t="str">
        <f>IF('12 - Deployments &amp; Config'!BL167="","",'12 - Deployments &amp; Config'!BL167)</f>
        <v/>
      </c>
      <c r="Y162" s="32" t="str">
        <f>IF('12 - Deployments &amp; Config'!BC167="","",'12 - Deployments &amp; Config'!BC167)</f>
        <v/>
      </c>
      <c r="Z162" s="32" t="str">
        <f>IF('12 - Deployments &amp; Config'!P167="","",'12 - Deployments &amp; Config'!P167)</f>
        <v/>
      </c>
      <c r="AA162" s="32" t="str">
        <f>IF('12 - Deployments &amp; Config'!Q167="","",'12 - Deployments &amp; Config'!Q167)</f>
        <v/>
      </c>
    </row>
    <row r="163" spans="1:27">
      <c r="A163" s="33"/>
      <c r="B163" s="33"/>
      <c r="C163" s="32" t="str">
        <f>IF('12 - Deployments &amp; Config'!H168="","",'12 - Deployments &amp; Config'!H168)</f>
        <v/>
      </c>
      <c r="D163" s="32" t="str">
        <f>IF('12 - Deployments &amp; Config'!AF168="","",'12 - Deployments &amp; Config'!AF168)</f>
        <v/>
      </c>
      <c r="E163" s="32" t="str">
        <f>IF('12 - Deployments &amp; Config'!AG168="","",'12 - Deployments &amp; Config'!AG168)</f>
        <v/>
      </c>
      <c r="F163" s="32" t="str">
        <f>IF('12 - Deployments &amp; Config'!AH168="","",'12 - Deployments &amp; Config'!AH168)</f>
        <v/>
      </c>
      <c r="G163" s="32" t="str">
        <f>IF('12 - Deployments &amp; Config'!AI168="","",'12 - Deployments &amp; Config'!AI168)</f>
        <v/>
      </c>
      <c r="H163" s="32" t="str">
        <f>IF('12 - Deployments &amp; Config'!A168="","",'12 - Deployments &amp; Config'!A168)</f>
        <v/>
      </c>
      <c r="I163" s="32" t="str">
        <f>IF('12 - Deployments &amp; Config'!AJ168="","",'12 - Deployments &amp; Config'!AJ168)</f>
        <v/>
      </c>
      <c r="J163" s="32" t="str">
        <f>IF('12 - Deployments &amp; Config'!AK168="","",'12 - Deployments &amp; Config'!AK168)</f>
        <v/>
      </c>
      <c r="K163" s="32" t="str">
        <f>IF('12 - Deployments &amp; Config'!AA168="","",'12 - Deployments &amp; Config'!AA168)</f>
        <v/>
      </c>
      <c r="L163" s="32" t="str">
        <f>IF('12 - Deployments &amp; Config'!I168="","",'12 - Deployments &amp; Config'!I168)</f>
        <v/>
      </c>
      <c r="M163" s="33"/>
      <c r="N163" s="32" t="str">
        <f>IF('12 - Deployments &amp; Config'!J168="","",'12 - Deployments &amp; Config'!J168)</f>
        <v/>
      </c>
      <c r="O163" s="32" t="str">
        <f>IF('12 - Deployments &amp; Config'!K168="","",'12 - Deployments &amp; Config'!K168)</f>
        <v/>
      </c>
      <c r="P163" s="32" t="str">
        <f>IF('12 - Deployments &amp; Config'!L168="","",'12 - Deployments &amp; Config'!L168)</f>
        <v/>
      </c>
      <c r="Q163" s="33"/>
      <c r="R163" s="32" t="str">
        <f>IF('12 - Deployments &amp; Config'!AZ168="","",'12 - Deployments &amp; Config'!AZ168)</f>
        <v/>
      </c>
      <c r="S163" s="32" t="str">
        <f>IF('12 - Deployments &amp; Config'!AY168="","",'12 - Deployments &amp; Config'!AY168)</f>
        <v/>
      </c>
      <c r="T163" s="32" t="str">
        <f>IF('12 - Deployments &amp; Config'!AW168="","",'12 - Deployments &amp; Config'!AW168)</f>
        <v/>
      </c>
      <c r="U163" s="32" t="str">
        <f>IF('12 - Deployments &amp; Config'!AX168="","",'12 - Deployments &amp; Config'!AX168)</f>
        <v/>
      </c>
      <c r="V163" s="32" t="str">
        <f>IF('12 - Deployments &amp; Config'!BB168="","",'12 - Deployments &amp; Config'!BB168)</f>
        <v/>
      </c>
      <c r="W163" s="32" t="str">
        <f>IF('12 - Deployments &amp; Config'!BD168="","",'12 - Deployments &amp; Config'!BD168)</f>
        <v/>
      </c>
      <c r="X163" s="32" t="str">
        <f>IF('12 - Deployments &amp; Config'!BL168="","",'12 - Deployments &amp; Config'!BL168)</f>
        <v/>
      </c>
      <c r="Y163" s="32" t="str">
        <f>IF('12 - Deployments &amp; Config'!BC168="","",'12 - Deployments &amp; Config'!BC168)</f>
        <v/>
      </c>
      <c r="Z163" s="32" t="str">
        <f>IF('12 - Deployments &amp; Config'!P168="","",'12 - Deployments &amp; Config'!P168)</f>
        <v/>
      </c>
      <c r="AA163" s="32" t="str">
        <f>IF('12 - Deployments &amp; Config'!Q168="","",'12 - Deployments &amp; Config'!Q168)</f>
        <v/>
      </c>
    </row>
    <row r="164" spans="1:27">
      <c r="A164" s="33"/>
      <c r="B164" s="33"/>
      <c r="C164" s="32" t="str">
        <f>IF('12 - Deployments &amp; Config'!H169="","",'12 - Deployments &amp; Config'!H169)</f>
        <v/>
      </c>
      <c r="D164" s="32" t="str">
        <f>IF('12 - Deployments &amp; Config'!AF169="","",'12 - Deployments &amp; Config'!AF169)</f>
        <v/>
      </c>
      <c r="E164" s="32" t="str">
        <f>IF('12 - Deployments &amp; Config'!AG169="","",'12 - Deployments &amp; Config'!AG169)</f>
        <v/>
      </c>
      <c r="F164" s="32" t="str">
        <f>IF('12 - Deployments &amp; Config'!AH169="","",'12 - Deployments &amp; Config'!AH169)</f>
        <v/>
      </c>
      <c r="G164" s="32" t="str">
        <f>IF('12 - Deployments &amp; Config'!AI169="","",'12 - Deployments &amp; Config'!AI169)</f>
        <v/>
      </c>
      <c r="H164" s="32" t="str">
        <f>IF('12 - Deployments &amp; Config'!A169="","",'12 - Deployments &amp; Config'!A169)</f>
        <v/>
      </c>
      <c r="I164" s="32" t="str">
        <f>IF('12 - Deployments &amp; Config'!AJ169="","",'12 - Deployments &amp; Config'!AJ169)</f>
        <v/>
      </c>
      <c r="J164" s="32" t="str">
        <f>IF('12 - Deployments &amp; Config'!AK169="","",'12 - Deployments &amp; Config'!AK169)</f>
        <v/>
      </c>
      <c r="K164" s="32" t="str">
        <f>IF('12 - Deployments &amp; Config'!AA169="","",'12 - Deployments &amp; Config'!AA169)</f>
        <v/>
      </c>
      <c r="L164" s="32" t="str">
        <f>IF('12 - Deployments &amp; Config'!I169="","",'12 - Deployments &amp; Config'!I169)</f>
        <v/>
      </c>
      <c r="M164" s="33"/>
      <c r="N164" s="32" t="str">
        <f>IF('12 - Deployments &amp; Config'!J169="","",'12 - Deployments &amp; Config'!J169)</f>
        <v/>
      </c>
      <c r="O164" s="32" t="str">
        <f>IF('12 - Deployments &amp; Config'!K169="","",'12 - Deployments &amp; Config'!K169)</f>
        <v/>
      </c>
      <c r="P164" s="32" t="str">
        <f>IF('12 - Deployments &amp; Config'!L169="","",'12 - Deployments &amp; Config'!L169)</f>
        <v/>
      </c>
      <c r="Q164" s="33"/>
      <c r="R164" s="32" t="str">
        <f>IF('12 - Deployments &amp; Config'!AZ169="","",'12 - Deployments &amp; Config'!AZ169)</f>
        <v/>
      </c>
      <c r="S164" s="32" t="str">
        <f>IF('12 - Deployments &amp; Config'!AY169="","",'12 - Deployments &amp; Config'!AY169)</f>
        <v/>
      </c>
      <c r="T164" s="32" t="str">
        <f>IF('12 - Deployments &amp; Config'!AW169="","",'12 - Deployments &amp; Config'!AW169)</f>
        <v/>
      </c>
      <c r="U164" s="32" t="str">
        <f>IF('12 - Deployments &amp; Config'!AX169="","",'12 - Deployments &amp; Config'!AX169)</f>
        <v/>
      </c>
      <c r="V164" s="32" t="str">
        <f>IF('12 - Deployments &amp; Config'!BB169="","",'12 - Deployments &amp; Config'!BB169)</f>
        <v/>
      </c>
      <c r="W164" s="32" t="str">
        <f>IF('12 - Deployments &amp; Config'!BD169="","",'12 - Deployments &amp; Config'!BD169)</f>
        <v/>
      </c>
      <c r="X164" s="32" t="str">
        <f>IF('12 - Deployments &amp; Config'!BL169="","",'12 - Deployments &amp; Config'!BL169)</f>
        <v/>
      </c>
      <c r="Y164" s="32" t="str">
        <f>IF('12 - Deployments &amp; Config'!BC169="","",'12 - Deployments &amp; Config'!BC169)</f>
        <v/>
      </c>
      <c r="Z164" s="32" t="str">
        <f>IF('12 - Deployments &amp; Config'!P169="","",'12 - Deployments &amp; Config'!P169)</f>
        <v/>
      </c>
      <c r="AA164" s="32" t="str">
        <f>IF('12 - Deployments &amp; Config'!Q169="","",'12 - Deployments &amp; Config'!Q169)</f>
        <v/>
      </c>
    </row>
    <row r="165" spans="1:27">
      <c r="A165" s="33"/>
      <c r="B165" s="33"/>
      <c r="C165" s="32" t="str">
        <f>IF('12 - Deployments &amp; Config'!H170="","",'12 - Deployments &amp; Config'!H170)</f>
        <v/>
      </c>
      <c r="D165" s="32" t="str">
        <f>IF('12 - Deployments &amp; Config'!AF170="","",'12 - Deployments &amp; Config'!AF170)</f>
        <v/>
      </c>
      <c r="E165" s="32" t="str">
        <f>IF('12 - Deployments &amp; Config'!AG170="","",'12 - Deployments &amp; Config'!AG170)</f>
        <v/>
      </c>
      <c r="F165" s="32" t="str">
        <f>IF('12 - Deployments &amp; Config'!AH170="","",'12 - Deployments &amp; Config'!AH170)</f>
        <v/>
      </c>
      <c r="G165" s="32" t="str">
        <f>IF('12 - Deployments &amp; Config'!AI170="","",'12 - Deployments &amp; Config'!AI170)</f>
        <v/>
      </c>
      <c r="H165" s="32" t="str">
        <f>IF('12 - Deployments &amp; Config'!A170="","",'12 - Deployments &amp; Config'!A170)</f>
        <v/>
      </c>
      <c r="I165" s="32" t="str">
        <f>IF('12 - Deployments &amp; Config'!AJ170="","",'12 - Deployments &amp; Config'!AJ170)</f>
        <v/>
      </c>
      <c r="J165" s="32" t="str">
        <f>IF('12 - Deployments &amp; Config'!AK170="","",'12 - Deployments &amp; Config'!AK170)</f>
        <v/>
      </c>
      <c r="K165" s="32" t="str">
        <f>IF('12 - Deployments &amp; Config'!AA170="","",'12 - Deployments &amp; Config'!AA170)</f>
        <v/>
      </c>
      <c r="L165" s="32" t="str">
        <f>IF('12 - Deployments &amp; Config'!I170="","",'12 - Deployments &amp; Config'!I170)</f>
        <v/>
      </c>
      <c r="M165" s="33"/>
      <c r="N165" s="32" t="str">
        <f>IF('12 - Deployments &amp; Config'!J170="","",'12 - Deployments &amp; Config'!J170)</f>
        <v/>
      </c>
      <c r="O165" s="32" t="str">
        <f>IF('12 - Deployments &amp; Config'!K170="","",'12 - Deployments &amp; Config'!K170)</f>
        <v/>
      </c>
      <c r="P165" s="32" t="str">
        <f>IF('12 - Deployments &amp; Config'!L170="","",'12 - Deployments &amp; Config'!L170)</f>
        <v/>
      </c>
      <c r="Q165" s="33"/>
      <c r="R165" s="32" t="str">
        <f>IF('12 - Deployments &amp; Config'!AZ170="","",'12 - Deployments &amp; Config'!AZ170)</f>
        <v/>
      </c>
      <c r="S165" s="32" t="str">
        <f>IF('12 - Deployments &amp; Config'!AY170="","",'12 - Deployments &amp; Config'!AY170)</f>
        <v/>
      </c>
      <c r="T165" s="32" t="str">
        <f>IF('12 - Deployments &amp; Config'!AW170="","",'12 - Deployments &amp; Config'!AW170)</f>
        <v/>
      </c>
      <c r="U165" s="32" t="str">
        <f>IF('12 - Deployments &amp; Config'!AX170="","",'12 - Deployments &amp; Config'!AX170)</f>
        <v/>
      </c>
      <c r="V165" s="32" t="str">
        <f>IF('12 - Deployments &amp; Config'!BB170="","",'12 - Deployments &amp; Config'!BB170)</f>
        <v/>
      </c>
      <c r="W165" s="32" t="str">
        <f>IF('12 - Deployments &amp; Config'!BD170="","",'12 - Deployments &amp; Config'!BD170)</f>
        <v/>
      </c>
      <c r="X165" s="32" t="str">
        <f>IF('12 - Deployments &amp; Config'!BL170="","",'12 - Deployments &amp; Config'!BL170)</f>
        <v/>
      </c>
      <c r="Y165" s="32" t="str">
        <f>IF('12 - Deployments &amp; Config'!BC170="","",'12 - Deployments &amp; Config'!BC170)</f>
        <v/>
      </c>
      <c r="Z165" s="32" t="str">
        <f>IF('12 - Deployments &amp; Config'!P170="","",'12 - Deployments &amp; Config'!P170)</f>
        <v/>
      </c>
      <c r="AA165" s="32" t="str">
        <f>IF('12 - Deployments &amp; Config'!Q170="","",'12 - Deployments &amp; Config'!Q170)</f>
        <v/>
      </c>
    </row>
    <row r="166" spans="1:27">
      <c r="A166" s="33"/>
      <c r="B166" s="33"/>
      <c r="C166" s="32" t="str">
        <f>IF('12 - Deployments &amp; Config'!H171="","",'12 - Deployments &amp; Config'!H171)</f>
        <v/>
      </c>
      <c r="D166" s="32" t="str">
        <f>IF('12 - Deployments &amp; Config'!AF171="","",'12 - Deployments &amp; Config'!AF171)</f>
        <v/>
      </c>
      <c r="E166" s="32" t="str">
        <f>IF('12 - Deployments &amp; Config'!AG171="","",'12 - Deployments &amp; Config'!AG171)</f>
        <v/>
      </c>
      <c r="F166" s="32" t="str">
        <f>IF('12 - Deployments &amp; Config'!AH171="","",'12 - Deployments &amp; Config'!AH171)</f>
        <v/>
      </c>
      <c r="G166" s="32" t="str">
        <f>IF('12 - Deployments &amp; Config'!AI171="","",'12 - Deployments &amp; Config'!AI171)</f>
        <v/>
      </c>
      <c r="H166" s="32" t="str">
        <f>IF('12 - Deployments &amp; Config'!A171="","",'12 - Deployments &amp; Config'!A171)</f>
        <v/>
      </c>
      <c r="I166" s="32" t="str">
        <f>IF('12 - Deployments &amp; Config'!AJ171="","",'12 - Deployments &amp; Config'!AJ171)</f>
        <v/>
      </c>
      <c r="J166" s="32" t="str">
        <f>IF('12 - Deployments &amp; Config'!AK171="","",'12 - Deployments &amp; Config'!AK171)</f>
        <v/>
      </c>
      <c r="K166" s="32" t="str">
        <f>IF('12 - Deployments &amp; Config'!AA171="","",'12 - Deployments &amp; Config'!AA171)</f>
        <v/>
      </c>
      <c r="L166" s="32" t="str">
        <f>IF('12 - Deployments &amp; Config'!I171="","",'12 - Deployments &amp; Config'!I171)</f>
        <v/>
      </c>
      <c r="M166" s="33"/>
      <c r="N166" s="32" t="str">
        <f>IF('12 - Deployments &amp; Config'!J171="","",'12 - Deployments &amp; Config'!J171)</f>
        <v/>
      </c>
      <c r="O166" s="32" t="str">
        <f>IF('12 - Deployments &amp; Config'!K171="","",'12 - Deployments &amp; Config'!K171)</f>
        <v/>
      </c>
      <c r="P166" s="32" t="str">
        <f>IF('12 - Deployments &amp; Config'!L171="","",'12 - Deployments &amp; Config'!L171)</f>
        <v/>
      </c>
      <c r="Q166" s="33"/>
      <c r="R166" s="32" t="str">
        <f>IF('12 - Deployments &amp; Config'!AZ171="","",'12 - Deployments &amp; Config'!AZ171)</f>
        <v/>
      </c>
      <c r="S166" s="32" t="str">
        <f>IF('12 - Deployments &amp; Config'!AY171="","",'12 - Deployments &amp; Config'!AY171)</f>
        <v/>
      </c>
      <c r="T166" s="32" t="str">
        <f>IF('12 - Deployments &amp; Config'!AW171="","",'12 - Deployments &amp; Config'!AW171)</f>
        <v/>
      </c>
      <c r="U166" s="32" t="str">
        <f>IF('12 - Deployments &amp; Config'!AX171="","",'12 - Deployments &amp; Config'!AX171)</f>
        <v/>
      </c>
      <c r="V166" s="32" t="str">
        <f>IF('12 - Deployments &amp; Config'!BB171="","",'12 - Deployments &amp; Config'!BB171)</f>
        <v/>
      </c>
      <c r="W166" s="32" t="str">
        <f>IF('12 - Deployments &amp; Config'!BD171="","",'12 - Deployments &amp; Config'!BD171)</f>
        <v/>
      </c>
      <c r="X166" s="32" t="str">
        <f>IF('12 - Deployments &amp; Config'!BL171="","",'12 - Deployments &amp; Config'!BL171)</f>
        <v/>
      </c>
      <c r="Y166" s="32" t="str">
        <f>IF('12 - Deployments &amp; Config'!BC171="","",'12 - Deployments &amp; Config'!BC171)</f>
        <v/>
      </c>
      <c r="Z166" s="32" t="str">
        <f>IF('12 - Deployments &amp; Config'!P171="","",'12 - Deployments &amp; Config'!P171)</f>
        <v/>
      </c>
      <c r="AA166" s="32" t="str">
        <f>IF('12 - Deployments &amp; Config'!Q171="","",'12 - Deployments &amp; Config'!Q171)</f>
        <v/>
      </c>
    </row>
    <row r="167" spans="1:27">
      <c r="A167" s="33"/>
      <c r="B167" s="33"/>
      <c r="C167" s="32" t="str">
        <f>IF('12 - Deployments &amp; Config'!H172="","",'12 - Deployments &amp; Config'!H172)</f>
        <v/>
      </c>
      <c r="D167" s="32" t="str">
        <f>IF('12 - Deployments &amp; Config'!AF172="","",'12 - Deployments &amp; Config'!AF172)</f>
        <v/>
      </c>
      <c r="E167" s="32" t="str">
        <f>IF('12 - Deployments &amp; Config'!AG172="","",'12 - Deployments &amp; Config'!AG172)</f>
        <v/>
      </c>
      <c r="F167" s="32" t="str">
        <f>IF('12 - Deployments &amp; Config'!AH172="","",'12 - Deployments &amp; Config'!AH172)</f>
        <v/>
      </c>
      <c r="G167" s="32" t="str">
        <f>IF('12 - Deployments &amp; Config'!AI172="","",'12 - Deployments &amp; Config'!AI172)</f>
        <v/>
      </c>
      <c r="H167" s="32" t="str">
        <f>IF('12 - Deployments &amp; Config'!A172="","",'12 - Deployments &amp; Config'!A172)</f>
        <v/>
      </c>
      <c r="I167" s="32" t="str">
        <f>IF('12 - Deployments &amp; Config'!AJ172="","",'12 - Deployments &amp; Config'!AJ172)</f>
        <v/>
      </c>
      <c r="J167" s="32" t="str">
        <f>IF('12 - Deployments &amp; Config'!AK172="","",'12 - Deployments &amp; Config'!AK172)</f>
        <v/>
      </c>
      <c r="K167" s="32" t="str">
        <f>IF('12 - Deployments &amp; Config'!AA172="","",'12 - Deployments &amp; Config'!AA172)</f>
        <v/>
      </c>
      <c r="L167" s="32" t="str">
        <f>IF('12 - Deployments &amp; Config'!I172="","",'12 - Deployments &amp; Config'!I172)</f>
        <v/>
      </c>
      <c r="M167" s="33"/>
      <c r="N167" s="32" t="str">
        <f>IF('12 - Deployments &amp; Config'!J172="","",'12 - Deployments &amp; Config'!J172)</f>
        <v/>
      </c>
      <c r="O167" s="32" t="str">
        <f>IF('12 - Deployments &amp; Config'!K172="","",'12 - Deployments &amp; Config'!K172)</f>
        <v/>
      </c>
      <c r="P167" s="32" t="str">
        <f>IF('12 - Deployments &amp; Config'!L172="","",'12 - Deployments &amp; Config'!L172)</f>
        <v/>
      </c>
      <c r="Q167" s="33"/>
      <c r="R167" s="32" t="str">
        <f>IF('12 - Deployments &amp; Config'!AZ172="","",'12 - Deployments &amp; Config'!AZ172)</f>
        <v/>
      </c>
      <c r="S167" s="32" t="str">
        <f>IF('12 - Deployments &amp; Config'!AY172="","",'12 - Deployments &amp; Config'!AY172)</f>
        <v/>
      </c>
      <c r="T167" s="32" t="str">
        <f>IF('12 - Deployments &amp; Config'!AW172="","",'12 - Deployments &amp; Config'!AW172)</f>
        <v/>
      </c>
      <c r="U167" s="32" t="str">
        <f>IF('12 - Deployments &amp; Config'!AX172="","",'12 - Deployments &amp; Config'!AX172)</f>
        <v/>
      </c>
      <c r="V167" s="32" t="str">
        <f>IF('12 - Deployments &amp; Config'!BB172="","",'12 - Deployments &amp; Config'!BB172)</f>
        <v/>
      </c>
      <c r="W167" s="32" t="str">
        <f>IF('12 - Deployments &amp; Config'!BD172="","",'12 - Deployments &amp; Config'!BD172)</f>
        <v/>
      </c>
      <c r="X167" s="32" t="str">
        <f>IF('12 - Deployments &amp; Config'!BL172="","",'12 - Deployments &amp; Config'!BL172)</f>
        <v/>
      </c>
      <c r="Y167" s="32" t="str">
        <f>IF('12 - Deployments &amp; Config'!BC172="","",'12 - Deployments &amp; Config'!BC172)</f>
        <v/>
      </c>
      <c r="Z167" s="32" t="str">
        <f>IF('12 - Deployments &amp; Config'!P172="","",'12 - Deployments &amp; Config'!P172)</f>
        <v/>
      </c>
      <c r="AA167" s="32" t="str">
        <f>IF('12 - Deployments &amp; Config'!Q172="","",'12 - Deployments &amp; Config'!Q172)</f>
        <v/>
      </c>
    </row>
    <row r="168" spans="1:27">
      <c r="A168" s="33"/>
      <c r="B168" s="33"/>
      <c r="C168" s="32" t="str">
        <f>IF('12 - Deployments &amp; Config'!H173="","",'12 - Deployments &amp; Config'!H173)</f>
        <v/>
      </c>
      <c r="D168" s="32" t="str">
        <f>IF('12 - Deployments &amp; Config'!AF173="","",'12 - Deployments &amp; Config'!AF173)</f>
        <v/>
      </c>
      <c r="E168" s="32" t="str">
        <f>IF('12 - Deployments &amp; Config'!AG173="","",'12 - Deployments &amp; Config'!AG173)</f>
        <v/>
      </c>
      <c r="F168" s="32" t="str">
        <f>IF('12 - Deployments &amp; Config'!AH173="","",'12 - Deployments &amp; Config'!AH173)</f>
        <v/>
      </c>
      <c r="G168" s="32" t="str">
        <f>IF('12 - Deployments &amp; Config'!AI173="","",'12 - Deployments &amp; Config'!AI173)</f>
        <v/>
      </c>
      <c r="H168" s="32" t="str">
        <f>IF('12 - Deployments &amp; Config'!A173="","",'12 - Deployments &amp; Config'!A173)</f>
        <v/>
      </c>
      <c r="I168" s="32" t="str">
        <f>IF('12 - Deployments &amp; Config'!AJ173="","",'12 - Deployments &amp; Config'!AJ173)</f>
        <v/>
      </c>
      <c r="J168" s="32" t="str">
        <f>IF('12 - Deployments &amp; Config'!AK173="","",'12 - Deployments &amp; Config'!AK173)</f>
        <v/>
      </c>
      <c r="K168" s="32" t="str">
        <f>IF('12 - Deployments &amp; Config'!AA173="","",'12 - Deployments &amp; Config'!AA173)</f>
        <v/>
      </c>
      <c r="L168" s="32" t="str">
        <f>IF('12 - Deployments &amp; Config'!I173="","",'12 - Deployments &amp; Config'!I173)</f>
        <v/>
      </c>
      <c r="M168" s="33"/>
      <c r="N168" s="32" t="str">
        <f>IF('12 - Deployments &amp; Config'!J173="","",'12 - Deployments &amp; Config'!J173)</f>
        <v/>
      </c>
      <c r="O168" s="32" t="str">
        <f>IF('12 - Deployments &amp; Config'!K173="","",'12 - Deployments &amp; Config'!K173)</f>
        <v/>
      </c>
      <c r="P168" s="32" t="str">
        <f>IF('12 - Deployments &amp; Config'!L173="","",'12 - Deployments &amp; Config'!L173)</f>
        <v/>
      </c>
      <c r="Q168" s="33"/>
      <c r="R168" s="32" t="str">
        <f>IF('12 - Deployments &amp; Config'!AZ173="","",'12 - Deployments &amp; Config'!AZ173)</f>
        <v/>
      </c>
      <c r="S168" s="32" t="str">
        <f>IF('12 - Deployments &amp; Config'!AY173="","",'12 - Deployments &amp; Config'!AY173)</f>
        <v/>
      </c>
      <c r="T168" s="32" t="str">
        <f>IF('12 - Deployments &amp; Config'!AW173="","",'12 - Deployments &amp; Config'!AW173)</f>
        <v/>
      </c>
      <c r="U168" s="32" t="str">
        <f>IF('12 - Deployments &amp; Config'!AX173="","",'12 - Deployments &amp; Config'!AX173)</f>
        <v/>
      </c>
      <c r="V168" s="32" t="str">
        <f>IF('12 - Deployments &amp; Config'!BB173="","",'12 - Deployments &amp; Config'!BB173)</f>
        <v/>
      </c>
      <c r="W168" s="32" t="str">
        <f>IF('12 - Deployments &amp; Config'!BD173="","",'12 - Deployments &amp; Config'!BD173)</f>
        <v/>
      </c>
      <c r="X168" s="32" t="str">
        <f>IF('12 - Deployments &amp; Config'!BL173="","",'12 - Deployments &amp; Config'!BL173)</f>
        <v/>
      </c>
      <c r="Y168" s="32" t="str">
        <f>IF('12 - Deployments &amp; Config'!BC173="","",'12 - Deployments &amp; Config'!BC173)</f>
        <v/>
      </c>
      <c r="Z168" s="32" t="str">
        <f>IF('12 - Deployments &amp; Config'!P173="","",'12 - Deployments &amp; Config'!P173)</f>
        <v/>
      </c>
      <c r="AA168" s="32" t="str">
        <f>IF('12 - Deployments &amp; Config'!Q173="","",'12 - Deployments &amp; Config'!Q173)</f>
        <v/>
      </c>
    </row>
    <row r="169" spans="1:27">
      <c r="A169" s="33"/>
      <c r="B169" s="33"/>
      <c r="C169" s="32" t="str">
        <f>IF('12 - Deployments &amp; Config'!H174="","",'12 - Deployments &amp; Config'!H174)</f>
        <v/>
      </c>
      <c r="D169" s="32" t="str">
        <f>IF('12 - Deployments &amp; Config'!AF174="","",'12 - Deployments &amp; Config'!AF174)</f>
        <v/>
      </c>
      <c r="E169" s="32" t="str">
        <f>IF('12 - Deployments &amp; Config'!AG174="","",'12 - Deployments &amp; Config'!AG174)</f>
        <v/>
      </c>
      <c r="F169" s="32" t="str">
        <f>IF('12 - Deployments &amp; Config'!AH174="","",'12 - Deployments &amp; Config'!AH174)</f>
        <v/>
      </c>
      <c r="G169" s="32" t="str">
        <f>IF('12 - Deployments &amp; Config'!AI174="","",'12 - Deployments &amp; Config'!AI174)</f>
        <v/>
      </c>
      <c r="H169" s="32" t="str">
        <f>IF('12 - Deployments &amp; Config'!A174="","",'12 - Deployments &amp; Config'!A174)</f>
        <v/>
      </c>
      <c r="I169" s="32" t="str">
        <f>IF('12 - Deployments &amp; Config'!AJ174="","",'12 - Deployments &amp; Config'!AJ174)</f>
        <v/>
      </c>
      <c r="J169" s="32" t="str">
        <f>IF('12 - Deployments &amp; Config'!AK174="","",'12 - Deployments &amp; Config'!AK174)</f>
        <v/>
      </c>
      <c r="K169" s="32" t="str">
        <f>IF('12 - Deployments &amp; Config'!AA174="","",'12 - Deployments &amp; Config'!AA174)</f>
        <v/>
      </c>
      <c r="L169" s="32" t="str">
        <f>IF('12 - Deployments &amp; Config'!I174="","",'12 - Deployments &amp; Config'!I174)</f>
        <v/>
      </c>
      <c r="M169" s="33"/>
      <c r="N169" s="32" t="str">
        <f>IF('12 - Deployments &amp; Config'!J174="","",'12 - Deployments &amp; Config'!J174)</f>
        <v/>
      </c>
      <c r="O169" s="32" t="str">
        <f>IF('12 - Deployments &amp; Config'!K174="","",'12 - Deployments &amp; Config'!K174)</f>
        <v/>
      </c>
      <c r="P169" s="32" t="str">
        <f>IF('12 - Deployments &amp; Config'!L174="","",'12 - Deployments &amp; Config'!L174)</f>
        <v/>
      </c>
      <c r="Q169" s="33"/>
      <c r="R169" s="32" t="str">
        <f>IF('12 - Deployments &amp; Config'!AZ174="","",'12 - Deployments &amp; Config'!AZ174)</f>
        <v/>
      </c>
      <c r="S169" s="32" t="str">
        <f>IF('12 - Deployments &amp; Config'!AY174="","",'12 - Deployments &amp; Config'!AY174)</f>
        <v/>
      </c>
      <c r="T169" s="32" t="str">
        <f>IF('12 - Deployments &amp; Config'!AW174="","",'12 - Deployments &amp; Config'!AW174)</f>
        <v/>
      </c>
      <c r="U169" s="32" t="str">
        <f>IF('12 - Deployments &amp; Config'!AX174="","",'12 - Deployments &amp; Config'!AX174)</f>
        <v/>
      </c>
      <c r="V169" s="32" t="str">
        <f>IF('12 - Deployments &amp; Config'!BB174="","",'12 - Deployments &amp; Config'!BB174)</f>
        <v/>
      </c>
      <c r="W169" s="32" t="str">
        <f>IF('12 - Deployments &amp; Config'!BD174="","",'12 - Deployments &amp; Config'!BD174)</f>
        <v/>
      </c>
      <c r="X169" s="32" t="str">
        <f>IF('12 - Deployments &amp; Config'!BL174="","",'12 - Deployments &amp; Config'!BL174)</f>
        <v/>
      </c>
      <c r="Y169" s="32" t="str">
        <f>IF('12 - Deployments &amp; Config'!BC174="","",'12 - Deployments &amp; Config'!BC174)</f>
        <v/>
      </c>
      <c r="Z169" s="32" t="str">
        <f>IF('12 - Deployments &amp; Config'!P174="","",'12 - Deployments &amp; Config'!P174)</f>
        <v/>
      </c>
      <c r="AA169" s="32" t="str">
        <f>IF('12 - Deployments &amp; Config'!Q174="","",'12 - Deployments &amp; Config'!Q174)</f>
        <v/>
      </c>
    </row>
    <row r="170" spans="1:27">
      <c r="A170" s="33"/>
      <c r="B170" s="33"/>
      <c r="C170" s="32" t="str">
        <f>IF('12 - Deployments &amp; Config'!H175="","",'12 - Deployments &amp; Config'!H175)</f>
        <v/>
      </c>
      <c r="D170" s="32" t="str">
        <f>IF('12 - Deployments &amp; Config'!AF175="","",'12 - Deployments &amp; Config'!AF175)</f>
        <v/>
      </c>
      <c r="E170" s="32" t="str">
        <f>IF('12 - Deployments &amp; Config'!AG175="","",'12 - Deployments &amp; Config'!AG175)</f>
        <v/>
      </c>
      <c r="F170" s="32" t="str">
        <f>IF('12 - Deployments &amp; Config'!AH175="","",'12 - Deployments &amp; Config'!AH175)</f>
        <v/>
      </c>
      <c r="G170" s="32" t="str">
        <f>IF('12 - Deployments &amp; Config'!AI175="","",'12 - Deployments &amp; Config'!AI175)</f>
        <v/>
      </c>
      <c r="H170" s="32" t="str">
        <f>IF('12 - Deployments &amp; Config'!A175="","",'12 - Deployments &amp; Config'!A175)</f>
        <v/>
      </c>
      <c r="I170" s="32" t="str">
        <f>IF('12 - Deployments &amp; Config'!AJ175="","",'12 - Deployments &amp; Config'!AJ175)</f>
        <v/>
      </c>
      <c r="J170" s="32" t="str">
        <f>IF('12 - Deployments &amp; Config'!AK175="","",'12 - Deployments &amp; Config'!AK175)</f>
        <v/>
      </c>
      <c r="K170" s="32" t="str">
        <f>IF('12 - Deployments &amp; Config'!AA175="","",'12 - Deployments &amp; Config'!AA175)</f>
        <v/>
      </c>
      <c r="L170" s="32" t="str">
        <f>IF('12 - Deployments &amp; Config'!I175="","",'12 - Deployments &amp; Config'!I175)</f>
        <v/>
      </c>
      <c r="M170" s="33"/>
      <c r="N170" s="32" t="str">
        <f>IF('12 - Deployments &amp; Config'!J175="","",'12 - Deployments &amp; Config'!J175)</f>
        <v/>
      </c>
      <c r="O170" s="32" t="str">
        <f>IF('12 - Deployments &amp; Config'!K175="","",'12 - Deployments &amp; Config'!K175)</f>
        <v/>
      </c>
      <c r="P170" s="32" t="str">
        <f>IF('12 - Deployments &amp; Config'!L175="","",'12 - Deployments &amp; Config'!L175)</f>
        <v/>
      </c>
      <c r="Q170" s="33"/>
      <c r="R170" s="32" t="str">
        <f>IF('12 - Deployments &amp; Config'!AZ175="","",'12 - Deployments &amp; Config'!AZ175)</f>
        <v/>
      </c>
      <c r="S170" s="32" t="str">
        <f>IF('12 - Deployments &amp; Config'!AY175="","",'12 - Deployments &amp; Config'!AY175)</f>
        <v/>
      </c>
      <c r="T170" s="32" t="str">
        <f>IF('12 - Deployments &amp; Config'!AW175="","",'12 - Deployments &amp; Config'!AW175)</f>
        <v/>
      </c>
      <c r="U170" s="32" t="str">
        <f>IF('12 - Deployments &amp; Config'!AX175="","",'12 - Deployments &amp; Config'!AX175)</f>
        <v/>
      </c>
      <c r="V170" s="32" t="str">
        <f>IF('12 - Deployments &amp; Config'!BB175="","",'12 - Deployments &amp; Config'!BB175)</f>
        <v/>
      </c>
      <c r="W170" s="32" t="str">
        <f>IF('12 - Deployments &amp; Config'!BD175="","",'12 - Deployments &amp; Config'!BD175)</f>
        <v/>
      </c>
      <c r="X170" s="32" t="str">
        <f>IF('12 - Deployments &amp; Config'!BL175="","",'12 - Deployments &amp; Config'!BL175)</f>
        <v/>
      </c>
      <c r="Y170" s="32" t="str">
        <f>IF('12 - Deployments &amp; Config'!BC175="","",'12 - Deployments &amp; Config'!BC175)</f>
        <v/>
      </c>
      <c r="Z170" s="32" t="str">
        <f>IF('12 - Deployments &amp; Config'!P175="","",'12 - Deployments &amp; Config'!P175)</f>
        <v/>
      </c>
      <c r="AA170" s="32" t="str">
        <f>IF('12 - Deployments &amp; Config'!Q175="","",'12 - Deployments &amp; Config'!Q175)</f>
        <v/>
      </c>
    </row>
    <row r="171" spans="1:27">
      <c r="A171" s="33"/>
      <c r="B171" s="33"/>
      <c r="C171" s="32" t="str">
        <f>IF('12 - Deployments &amp; Config'!H176="","",'12 - Deployments &amp; Config'!H176)</f>
        <v/>
      </c>
      <c r="D171" s="32" t="str">
        <f>IF('12 - Deployments &amp; Config'!AF176="","",'12 - Deployments &amp; Config'!AF176)</f>
        <v/>
      </c>
      <c r="E171" s="32" t="str">
        <f>IF('12 - Deployments &amp; Config'!AG176="","",'12 - Deployments &amp; Config'!AG176)</f>
        <v/>
      </c>
      <c r="F171" s="32" t="str">
        <f>IF('12 - Deployments &amp; Config'!AH176="","",'12 - Deployments &amp; Config'!AH176)</f>
        <v/>
      </c>
      <c r="G171" s="32" t="str">
        <f>IF('12 - Deployments &amp; Config'!AI176="","",'12 - Deployments &amp; Config'!AI176)</f>
        <v/>
      </c>
      <c r="H171" s="32" t="str">
        <f>IF('12 - Deployments &amp; Config'!A176="","",'12 - Deployments &amp; Config'!A176)</f>
        <v/>
      </c>
      <c r="I171" s="32" t="str">
        <f>IF('12 - Deployments &amp; Config'!AJ176="","",'12 - Deployments &amp; Config'!AJ176)</f>
        <v/>
      </c>
      <c r="J171" s="32" t="str">
        <f>IF('12 - Deployments &amp; Config'!AK176="","",'12 - Deployments &amp; Config'!AK176)</f>
        <v/>
      </c>
      <c r="K171" s="32" t="str">
        <f>IF('12 - Deployments &amp; Config'!AA176="","",'12 - Deployments &amp; Config'!AA176)</f>
        <v/>
      </c>
      <c r="L171" s="32" t="str">
        <f>IF('12 - Deployments &amp; Config'!I176="","",'12 - Deployments &amp; Config'!I176)</f>
        <v/>
      </c>
      <c r="M171" s="33"/>
      <c r="N171" s="32" t="str">
        <f>IF('12 - Deployments &amp; Config'!J176="","",'12 - Deployments &amp; Config'!J176)</f>
        <v/>
      </c>
      <c r="O171" s="32" t="str">
        <f>IF('12 - Deployments &amp; Config'!K176="","",'12 - Deployments &amp; Config'!K176)</f>
        <v/>
      </c>
      <c r="P171" s="32" t="str">
        <f>IF('12 - Deployments &amp; Config'!L176="","",'12 - Deployments &amp; Config'!L176)</f>
        <v/>
      </c>
      <c r="Q171" s="33"/>
      <c r="R171" s="32" t="str">
        <f>IF('12 - Deployments &amp; Config'!AZ176="","",'12 - Deployments &amp; Config'!AZ176)</f>
        <v/>
      </c>
      <c r="S171" s="32" t="str">
        <f>IF('12 - Deployments &amp; Config'!AY176="","",'12 - Deployments &amp; Config'!AY176)</f>
        <v/>
      </c>
      <c r="T171" s="32" t="str">
        <f>IF('12 - Deployments &amp; Config'!AW176="","",'12 - Deployments &amp; Config'!AW176)</f>
        <v/>
      </c>
      <c r="U171" s="32" t="str">
        <f>IF('12 - Deployments &amp; Config'!AX176="","",'12 - Deployments &amp; Config'!AX176)</f>
        <v/>
      </c>
      <c r="V171" s="32" t="str">
        <f>IF('12 - Deployments &amp; Config'!BB176="","",'12 - Deployments &amp; Config'!BB176)</f>
        <v/>
      </c>
      <c r="W171" s="32" t="str">
        <f>IF('12 - Deployments &amp; Config'!BD176="","",'12 - Deployments &amp; Config'!BD176)</f>
        <v/>
      </c>
      <c r="X171" s="32" t="str">
        <f>IF('12 - Deployments &amp; Config'!BL176="","",'12 - Deployments &amp; Config'!BL176)</f>
        <v/>
      </c>
      <c r="Y171" s="32" t="str">
        <f>IF('12 - Deployments &amp; Config'!BC176="","",'12 - Deployments &amp; Config'!BC176)</f>
        <v/>
      </c>
      <c r="Z171" s="32" t="str">
        <f>IF('12 - Deployments &amp; Config'!P176="","",'12 - Deployments &amp; Config'!P176)</f>
        <v/>
      </c>
      <c r="AA171" s="32" t="str">
        <f>IF('12 - Deployments &amp; Config'!Q176="","",'12 - Deployments &amp; Config'!Q176)</f>
        <v/>
      </c>
    </row>
    <row r="172" spans="1:27">
      <c r="A172" s="33"/>
      <c r="B172" s="33"/>
      <c r="C172" s="32" t="str">
        <f>IF('12 - Deployments &amp; Config'!H177="","",'12 - Deployments &amp; Config'!H177)</f>
        <v/>
      </c>
      <c r="D172" s="32" t="str">
        <f>IF('12 - Deployments &amp; Config'!AF177="","",'12 - Deployments &amp; Config'!AF177)</f>
        <v/>
      </c>
      <c r="E172" s="32" t="str">
        <f>IF('12 - Deployments &amp; Config'!AG177="","",'12 - Deployments &amp; Config'!AG177)</f>
        <v/>
      </c>
      <c r="F172" s="32" t="str">
        <f>IF('12 - Deployments &amp; Config'!AH177="","",'12 - Deployments &amp; Config'!AH177)</f>
        <v/>
      </c>
      <c r="G172" s="32" t="str">
        <f>IF('12 - Deployments &amp; Config'!AI177="","",'12 - Deployments &amp; Config'!AI177)</f>
        <v/>
      </c>
      <c r="H172" s="32" t="str">
        <f>IF('12 - Deployments &amp; Config'!A177="","",'12 - Deployments &amp; Config'!A177)</f>
        <v/>
      </c>
      <c r="I172" s="32" t="str">
        <f>IF('12 - Deployments &amp; Config'!AJ177="","",'12 - Deployments &amp; Config'!AJ177)</f>
        <v/>
      </c>
      <c r="J172" s="32" t="str">
        <f>IF('12 - Deployments &amp; Config'!AK177="","",'12 - Deployments &amp; Config'!AK177)</f>
        <v/>
      </c>
      <c r="K172" s="32" t="str">
        <f>IF('12 - Deployments &amp; Config'!AA177="","",'12 - Deployments &amp; Config'!AA177)</f>
        <v/>
      </c>
      <c r="L172" s="32" t="str">
        <f>IF('12 - Deployments &amp; Config'!I177="","",'12 - Deployments &amp; Config'!I177)</f>
        <v/>
      </c>
      <c r="M172" s="33"/>
      <c r="N172" s="32" t="str">
        <f>IF('12 - Deployments &amp; Config'!J177="","",'12 - Deployments &amp; Config'!J177)</f>
        <v/>
      </c>
      <c r="O172" s="32" t="str">
        <f>IF('12 - Deployments &amp; Config'!K177="","",'12 - Deployments &amp; Config'!K177)</f>
        <v/>
      </c>
      <c r="P172" s="32" t="str">
        <f>IF('12 - Deployments &amp; Config'!L177="","",'12 - Deployments &amp; Config'!L177)</f>
        <v/>
      </c>
      <c r="Q172" s="33"/>
      <c r="R172" s="32" t="str">
        <f>IF('12 - Deployments &amp; Config'!AZ177="","",'12 - Deployments &amp; Config'!AZ177)</f>
        <v/>
      </c>
      <c r="S172" s="32" t="str">
        <f>IF('12 - Deployments &amp; Config'!AY177="","",'12 - Deployments &amp; Config'!AY177)</f>
        <v/>
      </c>
      <c r="T172" s="32" t="str">
        <f>IF('12 - Deployments &amp; Config'!AW177="","",'12 - Deployments &amp; Config'!AW177)</f>
        <v/>
      </c>
      <c r="U172" s="32" t="str">
        <f>IF('12 - Deployments &amp; Config'!AX177="","",'12 - Deployments &amp; Config'!AX177)</f>
        <v/>
      </c>
      <c r="V172" s="32" t="str">
        <f>IF('12 - Deployments &amp; Config'!BB177="","",'12 - Deployments &amp; Config'!BB177)</f>
        <v/>
      </c>
      <c r="W172" s="32" t="str">
        <f>IF('12 - Deployments &amp; Config'!BD177="","",'12 - Deployments &amp; Config'!BD177)</f>
        <v/>
      </c>
      <c r="X172" s="32" t="str">
        <f>IF('12 - Deployments &amp; Config'!BL177="","",'12 - Deployments &amp; Config'!BL177)</f>
        <v/>
      </c>
      <c r="Y172" s="32" t="str">
        <f>IF('12 - Deployments &amp; Config'!BC177="","",'12 - Deployments &amp; Config'!BC177)</f>
        <v/>
      </c>
      <c r="Z172" s="32" t="str">
        <f>IF('12 - Deployments &amp; Config'!P177="","",'12 - Deployments &amp; Config'!P177)</f>
        <v/>
      </c>
      <c r="AA172" s="32" t="str">
        <f>IF('12 - Deployments &amp; Config'!Q177="","",'12 - Deployments &amp; Config'!Q177)</f>
        <v/>
      </c>
    </row>
    <row r="173" spans="1:27">
      <c r="A173" s="33"/>
      <c r="B173" s="33"/>
      <c r="C173" s="32" t="str">
        <f>IF('12 - Deployments &amp; Config'!H178="","",'12 - Deployments &amp; Config'!H178)</f>
        <v/>
      </c>
      <c r="D173" s="32" t="str">
        <f>IF('12 - Deployments &amp; Config'!AF178="","",'12 - Deployments &amp; Config'!AF178)</f>
        <v/>
      </c>
      <c r="E173" s="32" t="str">
        <f>IF('12 - Deployments &amp; Config'!AG178="","",'12 - Deployments &amp; Config'!AG178)</f>
        <v/>
      </c>
      <c r="F173" s="32" t="str">
        <f>IF('12 - Deployments &amp; Config'!AH178="","",'12 - Deployments &amp; Config'!AH178)</f>
        <v/>
      </c>
      <c r="G173" s="32" t="str">
        <f>IF('12 - Deployments &amp; Config'!AI178="","",'12 - Deployments &amp; Config'!AI178)</f>
        <v/>
      </c>
      <c r="H173" s="32" t="str">
        <f>IF('12 - Deployments &amp; Config'!A178="","",'12 - Deployments &amp; Config'!A178)</f>
        <v/>
      </c>
      <c r="I173" s="32" t="str">
        <f>IF('12 - Deployments &amp; Config'!AJ178="","",'12 - Deployments &amp; Config'!AJ178)</f>
        <v/>
      </c>
      <c r="J173" s="32" t="str">
        <f>IF('12 - Deployments &amp; Config'!AK178="","",'12 - Deployments &amp; Config'!AK178)</f>
        <v/>
      </c>
      <c r="K173" s="32" t="str">
        <f>IF('12 - Deployments &amp; Config'!AA178="","",'12 - Deployments &amp; Config'!AA178)</f>
        <v/>
      </c>
      <c r="L173" s="32" t="str">
        <f>IF('12 - Deployments &amp; Config'!I178="","",'12 - Deployments &amp; Config'!I178)</f>
        <v/>
      </c>
      <c r="M173" s="33"/>
      <c r="N173" s="32" t="str">
        <f>IF('12 - Deployments &amp; Config'!J178="","",'12 - Deployments &amp; Config'!J178)</f>
        <v/>
      </c>
      <c r="O173" s="32" t="str">
        <f>IF('12 - Deployments &amp; Config'!K178="","",'12 - Deployments &amp; Config'!K178)</f>
        <v/>
      </c>
      <c r="P173" s="32" t="str">
        <f>IF('12 - Deployments &amp; Config'!L178="","",'12 - Deployments &amp; Config'!L178)</f>
        <v/>
      </c>
      <c r="Q173" s="33"/>
      <c r="R173" s="32" t="str">
        <f>IF('12 - Deployments &amp; Config'!AZ178="","",'12 - Deployments &amp; Config'!AZ178)</f>
        <v/>
      </c>
      <c r="S173" s="32" t="str">
        <f>IF('12 - Deployments &amp; Config'!AY178="","",'12 - Deployments &amp; Config'!AY178)</f>
        <v/>
      </c>
      <c r="T173" s="32" t="str">
        <f>IF('12 - Deployments &amp; Config'!AW178="","",'12 - Deployments &amp; Config'!AW178)</f>
        <v/>
      </c>
      <c r="U173" s="32" t="str">
        <f>IF('12 - Deployments &amp; Config'!AX178="","",'12 - Deployments &amp; Config'!AX178)</f>
        <v/>
      </c>
      <c r="V173" s="32" t="str">
        <f>IF('12 - Deployments &amp; Config'!BB178="","",'12 - Deployments &amp; Config'!BB178)</f>
        <v/>
      </c>
      <c r="W173" s="32" t="str">
        <f>IF('12 - Deployments &amp; Config'!BD178="","",'12 - Deployments &amp; Config'!BD178)</f>
        <v/>
      </c>
      <c r="X173" s="32" t="str">
        <f>IF('12 - Deployments &amp; Config'!BL178="","",'12 - Deployments &amp; Config'!BL178)</f>
        <v/>
      </c>
      <c r="Y173" s="32" t="str">
        <f>IF('12 - Deployments &amp; Config'!BC178="","",'12 - Deployments &amp; Config'!BC178)</f>
        <v/>
      </c>
      <c r="Z173" s="32" t="str">
        <f>IF('12 - Deployments &amp; Config'!P178="","",'12 - Deployments &amp; Config'!P178)</f>
        <v/>
      </c>
      <c r="AA173" s="32" t="str">
        <f>IF('12 - Deployments &amp; Config'!Q178="","",'12 - Deployments &amp; Config'!Q178)</f>
        <v/>
      </c>
    </row>
    <row r="174" spans="1:27">
      <c r="A174" s="33"/>
      <c r="B174" s="33"/>
      <c r="C174" s="32" t="str">
        <f>IF('12 - Deployments &amp; Config'!H179="","",'12 - Deployments &amp; Config'!H179)</f>
        <v/>
      </c>
      <c r="D174" s="32" t="str">
        <f>IF('12 - Deployments &amp; Config'!AF179="","",'12 - Deployments &amp; Config'!AF179)</f>
        <v/>
      </c>
      <c r="E174" s="32" t="str">
        <f>IF('12 - Deployments &amp; Config'!AG179="","",'12 - Deployments &amp; Config'!AG179)</f>
        <v/>
      </c>
      <c r="F174" s="32" t="str">
        <f>IF('12 - Deployments &amp; Config'!AH179="","",'12 - Deployments &amp; Config'!AH179)</f>
        <v/>
      </c>
      <c r="G174" s="32" t="str">
        <f>IF('12 - Deployments &amp; Config'!AI179="","",'12 - Deployments &amp; Config'!AI179)</f>
        <v/>
      </c>
      <c r="H174" s="32" t="str">
        <f>IF('12 - Deployments &amp; Config'!A179="","",'12 - Deployments &amp; Config'!A179)</f>
        <v/>
      </c>
      <c r="I174" s="32" t="str">
        <f>IF('12 - Deployments &amp; Config'!AJ179="","",'12 - Deployments &amp; Config'!AJ179)</f>
        <v/>
      </c>
      <c r="J174" s="32" t="str">
        <f>IF('12 - Deployments &amp; Config'!AK179="","",'12 - Deployments &amp; Config'!AK179)</f>
        <v/>
      </c>
      <c r="K174" s="32" t="str">
        <f>IF('12 - Deployments &amp; Config'!AA179="","",'12 - Deployments &amp; Config'!AA179)</f>
        <v/>
      </c>
      <c r="L174" s="32" t="str">
        <f>IF('12 - Deployments &amp; Config'!I179="","",'12 - Deployments &amp; Config'!I179)</f>
        <v/>
      </c>
      <c r="M174" s="33"/>
      <c r="N174" s="32" t="str">
        <f>IF('12 - Deployments &amp; Config'!J179="","",'12 - Deployments &amp; Config'!J179)</f>
        <v/>
      </c>
      <c r="O174" s="32" t="str">
        <f>IF('12 - Deployments &amp; Config'!K179="","",'12 - Deployments &amp; Config'!K179)</f>
        <v/>
      </c>
      <c r="P174" s="32" t="str">
        <f>IF('12 - Deployments &amp; Config'!L179="","",'12 - Deployments &amp; Config'!L179)</f>
        <v/>
      </c>
      <c r="Q174" s="33"/>
      <c r="R174" s="32" t="str">
        <f>IF('12 - Deployments &amp; Config'!AZ179="","",'12 - Deployments &amp; Config'!AZ179)</f>
        <v/>
      </c>
      <c r="S174" s="32" t="str">
        <f>IF('12 - Deployments &amp; Config'!AY179="","",'12 - Deployments &amp; Config'!AY179)</f>
        <v/>
      </c>
      <c r="T174" s="32" t="str">
        <f>IF('12 - Deployments &amp; Config'!AW179="","",'12 - Deployments &amp; Config'!AW179)</f>
        <v/>
      </c>
      <c r="U174" s="32" t="str">
        <f>IF('12 - Deployments &amp; Config'!AX179="","",'12 - Deployments &amp; Config'!AX179)</f>
        <v/>
      </c>
      <c r="V174" s="32" t="str">
        <f>IF('12 - Deployments &amp; Config'!BB179="","",'12 - Deployments &amp; Config'!BB179)</f>
        <v/>
      </c>
      <c r="W174" s="32" t="str">
        <f>IF('12 - Deployments &amp; Config'!BD179="","",'12 - Deployments &amp; Config'!BD179)</f>
        <v/>
      </c>
      <c r="X174" s="32" t="str">
        <f>IF('12 - Deployments &amp; Config'!BL179="","",'12 - Deployments &amp; Config'!BL179)</f>
        <v/>
      </c>
      <c r="Y174" s="32" t="str">
        <f>IF('12 - Deployments &amp; Config'!BC179="","",'12 - Deployments &amp; Config'!BC179)</f>
        <v/>
      </c>
      <c r="Z174" s="32" t="str">
        <f>IF('12 - Deployments &amp; Config'!P179="","",'12 - Deployments &amp; Config'!P179)</f>
        <v/>
      </c>
      <c r="AA174" s="32" t="str">
        <f>IF('12 - Deployments &amp; Config'!Q179="","",'12 - Deployments &amp; Config'!Q179)</f>
        <v/>
      </c>
    </row>
    <row r="175" spans="1:27">
      <c r="A175" s="33"/>
      <c r="B175" s="33"/>
      <c r="C175" s="32" t="str">
        <f>IF('12 - Deployments &amp; Config'!H180="","",'12 - Deployments &amp; Config'!H180)</f>
        <v/>
      </c>
      <c r="D175" s="32" t="str">
        <f>IF('12 - Deployments &amp; Config'!AF180="","",'12 - Deployments &amp; Config'!AF180)</f>
        <v/>
      </c>
      <c r="E175" s="32" t="str">
        <f>IF('12 - Deployments &amp; Config'!AG180="","",'12 - Deployments &amp; Config'!AG180)</f>
        <v/>
      </c>
      <c r="F175" s="32" t="str">
        <f>IF('12 - Deployments &amp; Config'!AH180="","",'12 - Deployments &amp; Config'!AH180)</f>
        <v/>
      </c>
      <c r="G175" s="32" t="str">
        <f>IF('12 - Deployments &amp; Config'!AI180="","",'12 - Deployments &amp; Config'!AI180)</f>
        <v/>
      </c>
      <c r="H175" s="32" t="str">
        <f>IF('12 - Deployments &amp; Config'!A180="","",'12 - Deployments &amp; Config'!A180)</f>
        <v/>
      </c>
      <c r="I175" s="32" t="str">
        <f>IF('12 - Deployments &amp; Config'!AJ180="","",'12 - Deployments &amp; Config'!AJ180)</f>
        <v/>
      </c>
      <c r="J175" s="32" t="str">
        <f>IF('12 - Deployments &amp; Config'!AK180="","",'12 - Deployments &amp; Config'!AK180)</f>
        <v/>
      </c>
      <c r="K175" s="32" t="str">
        <f>IF('12 - Deployments &amp; Config'!AA180="","",'12 - Deployments &amp; Config'!AA180)</f>
        <v/>
      </c>
      <c r="L175" s="32" t="str">
        <f>IF('12 - Deployments &amp; Config'!I180="","",'12 - Deployments &amp; Config'!I180)</f>
        <v/>
      </c>
      <c r="M175" s="33"/>
      <c r="N175" s="32" t="str">
        <f>IF('12 - Deployments &amp; Config'!J180="","",'12 - Deployments &amp; Config'!J180)</f>
        <v/>
      </c>
      <c r="O175" s="32" t="str">
        <f>IF('12 - Deployments &amp; Config'!K180="","",'12 - Deployments &amp; Config'!K180)</f>
        <v/>
      </c>
      <c r="P175" s="32" t="str">
        <f>IF('12 - Deployments &amp; Config'!L180="","",'12 - Deployments &amp; Config'!L180)</f>
        <v/>
      </c>
      <c r="Q175" s="33"/>
      <c r="R175" s="32" t="str">
        <f>IF('12 - Deployments &amp; Config'!AZ180="","",'12 - Deployments &amp; Config'!AZ180)</f>
        <v/>
      </c>
      <c r="S175" s="32" t="str">
        <f>IF('12 - Deployments &amp; Config'!AY180="","",'12 - Deployments &amp; Config'!AY180)</f>
        <v/>
      </c>
      <c r="T175" s="32" t="str">
        <f>IF('12 - Deployments &amp; Config'!AW180="","",'12 - Deployments &amp; Config'!AW180)</f>
        <v/>
      </c>
      <c r="U175" s="32" t="str">
        <f>IF('12 - Deployments &amp; Config'!AX180="","",'12 - Deployments &amp; Config'!AX180)</f>
        <v/>
      </c>
      <c r="V175" s="32" t="str">
        <f>IF('12 - Deployments &amp; Config'!BB180="","",'12 - Deployments &amp; Config'!BB180)</f>
        <v/>
      </c>
      <c r="W175" s="32" t="str">
        <f>IF('12 - Deployments &amp; Config'!BD180="","",'12 - Deployments &amp; Config'!BD180)</f>
        <v/>
      </c>
      <c r="X175" s="32" t="str">
        <f>IF('12 - Deployments &amp; Config'!BL180="","",'12 - Deployments &amp; Config'!BL180)</f>
        <v/>
      </c>
      <c r="Y175" s="32" t="str">
        <f>IF('12 - Deployments &amp; Config'!BC180="","",'12 - Deployments &amp; Config'!BC180)</f>
        <v/>
      </c>
      <c r="Z175" s="32" t="str">
        <f>IF('12 - Deployments &amp; Config'!P180="","",'12 - Deployments &amp; Config'!P180)</f>
        <v/>
      </c>
      <c r="AA175" s="32" t="str">
        <f>IF('12 - Deployments &amp; Config'!Q180="","",'12 - Deployments &amp; Config'!Q180)</f>
        <v/>
      </c>
    </row>
    <row r="176" spans="1:27">
      <c r="A176" s="33"/>
      <c r="B176" s="33"/>
      <c r="C176" s="32" t="str">
        <f>IF('12 - Deployments &amp; Config'!H181="","",'12 - Deployments &amp; Config'!H181)</f>
        <v/>
      </c>
      <c r="D176" s="32" t="str">
        <f>IF('12 - Deployments &amp; Config'!AF181="","",'12 - Deployments &amp; Config'!AF181)</f>
        <v/>
      </c>
      <c r="E176" s="32" t="str">
        <f>IF('12 - Deployments &amp; Config'!AG181="","",'12 - Deployments &amp; Config'!AG181)</f>
        <v/>
      </c>
      <c r="F176" s="32" t="str">
        <f>IF('12 - Deployments &amp; Config'!AH181="","",'12 - Deployments &amp; Config'!AH181)</f>
        <v/>
      </c>
      <c r="G176" s="32" t="str">
        <f>IF('12 - Deployments &amp; Config'!AI181="","",'12 - Deployments &amp; Config'!AI181)</f>
        <v/>
      </c>
      <c r="H176" s="32" t="str">
        <f>IF('12 - Deployments &amp; Config'!A181="","",'12 - Deployments &amp; Config'!A181)</f>
        <v/>
      </c>
      <c r="I176" s="32" t="str">
        <f>IF('12 - Deployments &amp; Config'!AJ181="","",'12 - Deployments &amp; Config'!AJ181)</f>
        <v/>
      </c>
      <c r="J176" s="32" t="str">
        <f>IF('12 - Deployments &amp; Config'!AK181="","",'12 - Deployments &amp; Config'!AK181)</f>
        <v/>
      </c>
      <c r="K176" s="32" t="str">
        <f>IF('12 - Deployments &amp; Config'!AA181="","",'12 - Deployments &amp; Config'!AA181)</f>
        <v/>
      </c>
      <c r="L176" s="32" t="str">
        <f>IF('12 - Deployments &amp; Config'!I181="","",'12 - Deployments &amp; Config'!I181)</f>
        <v/>
      </c>
      <c r="M176" s="33"/>
      <c r="N176" s="32" t="str">
        <f>IF('12 - Deployments &amp; Config'!J181="","",'12 - Deployments &amp; Config'!J181)</f>
        <v/>
      </c>
      <c r="O176" s="32" t="str">
        <f>IF('12 - Deployments &amp; Config'!K181="","",'12 - Deployments &amp; Config'!K181)</f>
        <v/>
      </c>
      <c r="P176" s="32" t="str">
        <f>IF('12 - Deployments &amp; Config'!L181="","",'12 - Deployments &amp; Config'!L181)</f>
        <v/>
      </c>
      <c r="Q176" s="33"/>
      <c r="R176" s="32" t="str">
        <f>IF('12 - Deployments &amp; Config'!AZ181="","",'12 - Deployments &amp; Config'!AZ181)</f>
        <v/>
      </c>
      <c r="S176" s="32" t="str">
        <f>IF('12 - Deployments &amp; Config'!AY181="","",'12 - Deployments &amp; Config'!AY181)</f>
        <v/>
      </c>
      <c r="T176" s="32" t="str">
        <f>IF('12 - Deployments &amp; Config'!AW181="","",'12 - Deployments &amp; Config'!AW181)</f>
        <v/>
      </c>
      <c r="U176" s="32" t="str">
        <f>IF('12 - Deployments &amp; Config'!AX181="","",'12 - Deployments &amp; Config'!AX181)</f>
        <v/>
      </c>
      <c r="V176" s="32" t="str">
        <f>IF('12 - Deployments &amp; Config'!BB181="","",'12 - Deployments &amp; Config'!BB181)</f>
        <v/>
      </c>
      <c r="W176" s="32" t="str">
        <f>IF('12 - Deployments &amp; Config'!BD181="","",'12 - Deployments &amp; Config'!BD181)</f>
        <v/>
      </c>
      <c r="X176" s="32" t="str">
        <f>IF('12 - Deployments &amp; Config'!BL181="","",'12 - Deployments &amp; Config'!BL181)</f>
        <v/>
      </c>
      <c r="Y176" s="32" t="str">
        <f>IF('12 - Deployments &amp; Config'!BC181="","",'12 - Deployments &amp; Config'!BC181)</f>
        <v/>
      </c>
      <c r="Z176" s="32" t="str">
        <f>IF('12 - Deployments &amp; Config'!P181="","",'12 - Deployments &amp; Config'!P181)</f>
        <v/>
      </c>
      <c r="AA176" s="32" t="str">
        <f>IF('12 - Deployments &amp; Config'!Q181="","",'12 - Deployments &amp; Config'!Q181)</f>
        <v/>
      </c>
    </row>
    <row r="177" spans="1:27">
      <c r="A177" s="33"/>
      <c r="B177" s="33"/>
      <c r="C177" s="32" t="str">
        <f>IF('12 - Deployments &amp; Config'!H182="","",'12 - Deployments &amp; Config'!H182)</f>
        <v/>
      </c>
      <c r="D177" s="32" t="str">
        <f>IF('12 - Deployments &amp; Config'!AF182="","",'12 - Deployments &amp; Config'!AF182)</f>
        <v/>
      </c>
      <c r="E177" s="32" t="str">
        <f>IF('12 - Deployments &amp; Config'!AG182="","",'12 - Deployments &amp; Config'!AG182)</f>
        <v/>
      </c>
      <c r="F177" s="32" t="str">
        <f>IF('12 - Deployments &amp; Config'!AH182="","",'12 - Deployments &amp; Config'!AH182)</f>
        <v/>
      </c>
      <c r="G177" s="32" t="str">
        <f>IF('12 - Deployments &amp; Config'!AI182="","",'12 - Deployments &amp; Config'!AI182)</f>
        <v/>
      </c>
      <c r="H177" s="32" t="str">
        <f>IF('12 - Deployments &amp; Config'!A182="","",'12 - Deployments &amp; Config'!A182)</f>
        <v/>
      </c>
      <c r="I177" s="32" t="str">
        <f>IF('12 - Deployments &amp; Config'!AJ182="","",'12 - Deployments &amp; Config'!AJ182)</f>
        <v/>
      </c>
      <c r="J177" s="32" t="str">
        <f>IF('12 - Deployments &amp; Config'!AK182="","",'12 - Deployments &amp; Config'!AK182)</f>
        <v/>
      </c>
      <c r="K177" s="32" t="str">
        <f>IF('12 - Deployments &amp; Config'!AA182="","",'12 - Deployments &amp; Config'!AA182)</f>
        <v/>
      </c>
      <c r="L177" s="32" t="str">
        <f>IF('12 - Deployments &amp; Config'!I182="","",'12 - Deployments &amp; Config'!I182)</f>
        <v/>
      </c>
      <c r="M177" s="33"/>
      <c r="N177" s="32" t="str">
        <f>IF('12 - Deployments &amp; Config'!J182="","",'12 - Deployments &amp; Config'!J182)</f>
        <v/>
      </c>
      <c r="O177" s="32" t="str">
        <f>IF('12 - Deployments &amp; Config'!K182="","",'12 - Deployments &amp; Config'!K182)</f>
        <v/>
      </c>
      <c r="P177" s="32" t="str">
        <f>IF('12 - Deployments &amp; Config'!L182="","",'12 - Deployments &amp; Config'!L182)</f>
        <v/>
      </c>
      <c r="Q177" s="33"/>
      <c r="R177" s="32" t="str">
        <f>IF('12 - Deployments &amp; Config'!AZ182="","",'12 - Deployments &amp; Config'!AZ182)</f>
        <v/>
      </c>
      <c r="S177" s="32" t="str">
        <f>IF('12 - Deployments &amp; Config'!AY182="","",'12 - Deployments &amp; Config'!AY182)</f>
        <v/>
      </c>
      <c r="T177" s="32" t="str">
        <f>IF('12 - Deployments &amp; Config'!AW182="","",'12 - Deployments &amp; Config'!AW182)</f>
        <v/>
      </c>
      <c r="U177" s="32" t="str">
        <f>IF('12 - Deployments &amp; Config'!AX182="","",'12 - Deployments &amp; Config'!AX182)</f>
        <v/>
      </c>
      <c r="V177" s="32" t="str">
        <f>IF('12 - Deployments &amp; Config'!BB182="","",'12 - Deployments &amp; Config'!BB182)</f>
        <v/>
      </c>
      <c r="W177" s="32" t="str">
        <f>IF('12 - Deployments &amp; Config'!BD182="","",'12 - Deployments &amp; Config'!BD182)</f>
        <v/>
      </c>
      <c r="X177" s="32" t="str">
        <f>IF('12 - Deployments &amp; Config'!BL182="","",'12 - Deployments &amp; Config'!BL182)</f>
        <v/>
      </c>
      <c r="Y177" s="32" t="str">
        <f>IF('12 - Deployments &amp; Config'!BC182="","",'12 - Deployments &amp; Config'!BC182)</f>
        <v/>
      </c>
      <c r="Z177" s="32" t="str">
        <f>IF('12 - Deployments &amp; Config'!P182="","",'12 - Deployments &amp; Config'!P182)</f>
        <v/>
      </c>
      <c r="AA177" s="32" t="str">
        <f>IF('12 - Deployments &amp; Config'!Q182="","",'12 - Deployments &amp; Config'!Q182)</f>
        <v/>
      </c>
    </row>
    <row r="178" spans="1:27">
      <c r="A178" s="33"/>
      <c r="B178" s="33"/>
      <c r="C178" s="32" t="str">
        <f>IF('12 - Deployments &amp; Config'!H183="","",'12 - Deployments &amp; Config'!H183)</f>
        <v/>
      </c>
      <c r="D178" s="32" t="str">
        <f>IF('12 - Deployments &amp; Config'!AF183="","",'12 - Deployments &amp; Config'!AF183)</f>
        <v/>
      </c>
      <c r="E178" s="32" t="str">
        <f>IF('12 - Deployments &amp; Config'!AG183="","",'12 - Deployments &amp; Config'!AG183)</f>
        <v/>
      </c>
      <c r="F178" s="32" t="str">
        <f>IF('12 - Deployments &amp; Config'!AH183="","",'12 - Deployments &amp; Config'!AH183)</f>
        <v/>
      </c>
      <c r="G178" s="32" t="str">
        <f>IF('12 - Deployments &amp; Config'!AI183="","",'12 - Deployments &amp; Config'!AI183)</f>
        <v/>
      </c>
      <c r="H178" s="32" t="str">
        <f>IF('12 - Deployments &amp; Config'!A183="","",'12 - Deployments &amp; Config'!A183)</f>
        <v/>
      </c>
      <c r="I178" s="32" t="str">
        <f>IF('12 - Deployments &amp; Config'!AJ183="","",'12 - Deployments &amp; Config'!AJ183)</f>
        <v/>
      </c>
      <c r="J178" s="32" t="str">
        <f>IF('12 - Deployments &amp; Config'!AK183="","",'12 - Deployments &amp; Config'!AK183)</f>
        <v/>
      </c>
      <c r="K178" s="32" t="str">
        <f>IF('12 - Deployments &amp; Config'!AA183="","",'12 - Deployments &amp; Config'!AA183)</f>
        <v/>
      </c>
      <c r="L178" s="32" t="str">
        <f>IF('12 - Deployments &amp; Config'!I183="","",'12 - Deployments &amp; Config'!I183)</f>
        <v/>
      </c>
      <c r="M178" s="33"/>
      <c r="N178" s="32" t="str">
        <f>IF('12 - Deployments &amp; Config'!J183="","",'12 - Deployments &amp; Config'!J183)</f>
        <v/>
      </c>
      <c r="O178" s="32" t="str">
        <f>IF('12 - Deployments &amp; Config'!K183="","",'12 - Deployments &amp; Config'!K183)</f>
        <v/>
      </c>
      <c r="P178" s="32" t="str">
        <f>IF('12 - Deployments &amp; Config'!L183="","",'12 - Deployments &amp; Config'!L183)</f>
        <v/>
      </c>
      <c r="Q178" s="33"/>
      <c r="R178" s="32" t="str">
        <f>IF('12 - Deployments &amp; Config'!AZ183="","",'12 - Deployments &amp; Config'!AZ183)</f>
        <v/>
      </c>
      <c r="S178" s="32" t="str">
        <f>IF('12 - Deployments &amp; Config'!AY183="","",'12 - Deployments &amp; Config'!AY183)</f>
        <v/>
      </c>
      <c r="T178" s="32" t="str">
        <f>IF('12 - Deployments &amp; Config'!AW183="","",'12 - Deployments &amp; Config'!AW183)</f>
        <v/>
      </c>
      <c r="U178" s="32" t="str">
        <f>IF('12 - Deployments &amp; Config'!AX183="","",'12 - Deployments &amp; Config'!AX183)</f>
        <v/>
      </c>
      <c r="V178" s="32" t="str">
        <f>IF('12 - Deployments &amp; Config'!BB183="","",'12 - Deployments &amp; Config'!BB183)</f>
        <v/>
      </c>
      <c r="W178" s="32" t="str">
        <f>IF('12 - Deployments &amp; Config'!BD183="","",'12 - Deployments &amp; Config'!BD183)</f>
        <v/>
      </c>
      <c r="X178" s="32" t="str">
        <f>IF('12 - Deployments &amp; Config'!BL183="","",'12 - Deployments &amp; Config'!BL183)</f>
        <v/>
      </c>
      <c r="Y178" s="32" t="str">
        <f>IF('12 - Deployments &amp; Config'!BC183="","",'12 - Deployments &amp; Config'!BC183)</f>
        <v/>
      </c>
      <c r="Z178" s="32" t="str">
        <f>IF('12 - Deployments &amp; Config'!P183="","",'12 - Deployments &amp; Config'!P183)</f>
        <v/>
      </c>
      <c r="AA178" s="32" t="str">
        <f>IF('12 - Deployments &amp; Config'!Q183="","",'12 - Deployments &amp; Config'!Q183)</f>
        <v/>
      </c>
    </row>
    <row r="179" spans="1:27">
      <c r="A179" s="33"/>
      <c r="B179" s="33"/>
      <c r="C179" s="32" t="str">
        <f>IF('12 - Deployments &amp; Config'!H184="","",'12 - Deployments &amp; Config'!H184)</f>
        <v/>
      </c>
      <c r="D179" s="32" t="str">
        <f>IF('12 - Deployments &amp; Config'!AF184="","",'12 - Deployments &amp; Config'!AF184)</f>
        <v/>
      </c>
      <c r="E179" s="32" t="str">
        <f>IF('12 - Deployments &amp; Config'!AG184="","",'12 - Deployments &amp; Config'!AG184)</f>
        <v/>
      </c>
      <c r="F179" s="32" t="str">
        <f>IF('12 - Deployments &amp; Config'!AH184="","",'12 - Deployments &amp; Config'!AH184)</f>
        <v/>
      </c>
      <c r="G179" s="32" t="str">
        <f>IF('12 - Deployments &amp; Config'!AI184="","",'12 - Deployments &amp; Config'!AI184)</f>
        <v/>
      </c>
      <c r="H179" s="32" t="str">
        <f>IF('12 - Deployments &amp; Config'!A184="","",'12 - Deployments &amp; Config'!A184)</f>
        <v/>
      </c>
      <c r="I179" s="32" t="str">
        <f>IF('12 - Deployments &amp; Config'!AJ184="","",'12 - Deployments &amp; Config'!AJ184)</f>
        <v/>
      </c>
      <c r="J179" s="32" t="str">
        <f>IF('12 - Deployments &amp; Config'!AK184="","",'12 - Deployments &amp; Config'!AK184)</f>
        <v/>
      </c>
      <c r="K179" s="32" t="str">
        <f>IF('12 - Deployments &amp; Config'!AA184="","",'12 - Deployments &amp; Config'!AA184)</f>
        <v/>
      </c>
      <c r="L179" s="32" t="str">
        <f>IF('12 - Deployments &amp; Config'!I184="","",'12 - Deployments &amp; Config'!I184)</f>
        <v/>
      </c>
      <c r="M179" s="33"/>
      <c r="N179" s="32" t="str">
        <f>IF('12 - Deployments &amp; Config'!J184="","",'12 - Deployments &amp; Config'!J184)</f>
        <v/>
      </c>
      <c r="O179" s="32" t="str">
        <f>IF('12 - Deployments &amp; Config'!K184="","",'12 - Deployments &amp; Config'!K184)</f>
        <v/>
      </c>
      <c r="P179" s="32" t="str">
        <f>IF('12 - Deployments &amp; Config'!L184="","",'12 - Deployments &amp; Config'!L184)</f>
        <v/>
      </c>
      <c r="Q179" s="33"/>
      <c r="R179" s="32" t="str">
        <f>IF('12 - Deployments &amp; Config'!AZ184="","",'12 - Deployments &amp; Config'!AZ184)</f>
        <v/>
      </c>
      <c r="S179" s="32" t="str">
        <f>IF('12 - Deployments &amp; Config'!AY184="","",'12 - Deployments &amp; Config'!AY184)</f>
        <v/>
      </c>
      <c r="T179" s="32" t="str">
        <f>IF('12 - Deployments &amp; Config'!AW184="","",'12 - Deployments &amp; Config'!AW184)</f>
        <v/>
      </c>
      <c r="U179" s="32" t="str">
        <f>IF('12 - Deployments &amp; Config'!AX184="","",'12 - Deployments &amp; Config'!AX184)</f>
        <v/>
      </c>
      <c r="V179" s="32" t="str">
        <f>IF('12 - Deployments &amp; Config'!BB184="","",'12 - Deployments &amp; Config'!BB184)</f>
        <v/>
      </c>
      <c r="W179" s="32" t="str">
        <f>IF('12 - Deployments &amp; Config'!BD184="","",'12 - Deployments &amp; Config'!BD184)</f>
        <v/>
      </c>
      <c r="X179" s="32" t="str">
        <f>IF('12 - Deployments &amp; Config'!BL184="","",'12 - Deployments &amp; Config'!BL184)</f>
        <v/>
      </c>
      <c r="Y179" s="32" t="str">
        <f>IF('12 - Deployments &amp; Config'!BC184="","",'12 - Deployments &amp; Config'!BC184)</f>
        <v/>
      </c>
      <c r="Z179" s="32" t="str">
        <f>IF('12 - Deployments &amp; Config'!P184="","",'12 - Deployments &amp; Config'!P184)</f>
        <v/>
      </c>
      <c r="AA179" s="32" t="str">
        <f>IF('12 - Deployments &amp; Config'!Q184="","",'12 - Deployments &amp; Config'!Q184)</f>
        <v/>
      </c>
    </row>
    <row r="180" spans="1:27">
      <c r="A180" s="33"/>
      <c r="B180" s="33"/>
      <c r="C180" s="32" t="str">
        <f>IF('12 - Deployments &amp; Config'!H185="","",'12 - Deployments &amp; Config'!H185)</f>
        <v/>
      </c>
      <c r="D180" s="32" t="str">
        <f>IF('12 - Deployments &amp; Config'!AF185="","",'12 - Deployments &amp; Config'!AF185)</f>
        <v/>
      </c>
      <c r="E180" s="32" t="str">
        <f>IF('12 - Deployments &amp; Config'!AG185="","",'12 - Deployments &amp; Config'!AG185)</f>
        <v/>
      </c>
      <c r="F180" s="32" t="str">
        <f>IF('12 - Deployments &amp; Config'!AH185="","",'12 - Deployments &amp; Config'!AH185)</f>
        <v/>
      </c>
      <c r="G180" s="32" t="str">
        <f>IF('12 - Deployments &amp; Config'!AI185="","",'12 - Deployments &amp; Config'!AI185)</f>
        <v/>
      </c>
      <c r="H180" s="32" t="str">
        <f>IF('12 - Deployments &amp; Config'!A185="","",'12 - Deployments &amp; Config'!A185)</f>
        <v/>
      </c>
      <c r="I180" s="32" t="str">
        <f>IF('12 - Deployments &amp; Config'!AJ185="","",'12 - Deployments &amp; Config'!AJ185)</f>
        <v/>
      </c>
      <c r="J180" s="32" t="str">
        <f>IF('12 - Deployments &amp; Config'!AK185="","",'12 - Deployments &amp; Config'!AK185)</f>
        <v/>
      </c>
      <c r="K180" s="32" t="str">
        <f>IF('12 - Deployments &amp; Config'!AA185="","",'12 - Deployments &amp; Config'!AA185)</f>
        <v/>
      </c>
      <c r="L180" s="32" t="str">
        <f>IF('12 - Deployments &amp; Config'!I185="","",'12 - Deployments &amp; Config'!I185)</f>
        <v/>
      </c>
      <c r="M180" s="33"/>
      <c r="N180" s="32" t="str">
        <f>IF('12 - Deployments &amp; Config'!J185="","",'12 - Deployments &amp; Config'!J185)</f>
        <v/>
      </c>
      <c r="O180" s="32" t="str">
        <f>IF('12 - Deployments &amp; Config'!K185="","",'12 - Deployments &amp; Config'!K185)</f>
        <v/>
      </c>
      <c r="P180" s="32" t="str">
        <f>IF('12 - Deployments &amp; Config'!L185="","",'12 - Deployments &amp; Config'!L185)</f>
        <v/>
      </c>
      <c r="Q180" s="33"/>
      <c r="R180" s="32" t="str">
        <f>IF('12 - Deployments &amp; Config'!AZ185="","",'12 - Deployments &amp; Config'!AZ185)</f>
        <v/>
      </c>
      <c r="S180" s="32" t="str">
        <f>IF('12 - Deployments &amp; Config'!AY185="","",'12 - Deployments &amp; Config'!AY185)</f>
        <v/>
      </c>
      <c r="T180" s="32" t="str">
        <f>IF('12 - Deployments &amp; Config'!AW185="","",'12 - Deployments &amp; Config'!AW185)</f>
        <v/>
      </c>
      <c r="U180" s="32" t="str">
        <f>IF('12 - Deployments &amp; Config'!AX185="","",'12 - Deployments &amp; Config'!AX185)</f>
        <v/>
      </c>
      <c r="V180" s="32" t="str">
        <f>IF('12 - Deployments &amp; Config'!BB185="","",'12 - Deployments &amp; Config'!BB185)</f>
        <v/>
      </c>
      <c r="W180" s="32" t="str">
        <f>IF('12 - Deployments &amp; Config'!BD185="","",'12 - Deployments &amp; Config'!BD185)</f>
        <v/>
      </c>
      <c r="X180" s="32" t="str">
        <f>IF('12 - Deployments &amp; Config'!BL185="","",'12 - Deployments &amp; Config'!BL185)</f>
        <v/>
      </c>
      <c r="Y180" s="32" t="str">
        <f>IF('12 - Deployments &amp; Config'!BC185="","",'12 - Deployments &amp; Config'!BC185)</f>
        <v/>
      </c>
      <c r="Z180" s="32" t="str">
        <f>IF('12 - Deployments &amp; Config'!P185="","",'12 - Deployments &amp; Config'!P185)</f>
        <v/>
      </c>
      <c r="AA180" s="32" t="str">
        <f>IF('12 - Deployments &amp; Config'!Q185="","",'12 - Deployments &amp; Config'!Q185)</f>
        <v/>
      </c>
    </row>
    <row r="181" spans="1:27">
      <c r="A181" s="33"/>
      <c r="B181" s="33"/>
      <c r="C181" s="32" t="str">
        <f>IF('12 - Deployments &amp; Config'!H186="","",'12 - Deployments &amp; Config'!H186)</f>
        <v/>
      </c>
      <c r="D181" s="32" t="str">
        <f>IF('12 - Deployments &amp; Config'!AF186="","",'12 - Deployments &amp; Config'!AF186)</f>
        <v/>
      </c>
      <c r="E181" s="32" t="str">
        <f>IF('12 - Deployments &amp; Config'!AG186="","",'12 - Deployments &amp; Config'!AG186)</f>
        <v/>
      </c>
      <c r="F181" s="32" t="str">
        <f>IF('12 - Deployments &amp; Config'!AH186="","",'12 - Deployments &amp; Config'!AH186)</f>
        <v/>
      </c>
      <c r="G181" s="32" t="str">
        <f>IF('12 - Deployments &amp; Config'!AI186="","",'12 - Deployments &amp; Config'!AI186)</f>
        <v/>
      </c>
      <c r="H181" s="32" t="str">
        <f>IF('12 - Deployments &amp; Config'!A186="","",'12 - Deployments &amp; Config'!A186)</f>
        <v/>
      </c>
      <c r="I181" s="32" t="str">
        <f>IF('12 - Deployments &amp; Config'!AJ186="","",'12 - Deployments &amp; Config'!AJ186)</f>
        <v/>
      </c>
      <c r="J181" s="32" t="str">
        <f>IF('12 - Deployments &amp; Config'!AK186="","",'12 - Deployments &amp; Config'!AK186)</f>
        <v/>
      </c>
      <c r="K181" s="32" t="str">
        <f>IF('12 - Deployments &amp; Config'!AA186="","",'12 - Deployments &amp; Config'!AA186)</f>
        <v/>
      </c>
      <c r="L181" s="32" t="str">
        <f>IF('12 - Deployments &amp; Config'!I186="","",'12 - Deployments &amp; Config'!I186)</f>
        <v/>
      </c>
      <c r="M181" s="33"/>
      <c r="N181" s="32" t="str">
        <f>IF('12 - Deployments &amp; Config'!J186="","",'12 - Deployments &amp; Config'!J186)</f>
        <v/>
      </c>
      <c r="O181" s="32" t="str">
        <f>IF('12 - Deployments &amp; Config'!K186="","",'12 - Deployments &amp; Config'!K186)</f>
        <v/>
      </c>
      <c r="P181" s="32" t="str">
        <f>IF('12 - Deployments &amp; Config'!L186="","",'12 - Deployments &amp; Config'!L186)</f>
        <v/>
      </c>
      <c r="Q181" s="33"/>
      <c r="R181" s="32" t="str">
        <f>IF('12 - Deployments &amp; Config'!AZ186="","",'12 - Deployments &amp; Config'!AZ186)</f>
        <v/>
      </c>
      <c r="S181" s="32" t="str">
        <f>IF('12 - Deployments &amp; Config'!AY186="","",'12 - Deployments &amp; Config'!AY186)</f>
        <v/>
      </c>
      <c r="T181" s="32" t="str">
        <f>IF('12 - Deployments &amp; Config'!AW186="","",'12 - Deployments &amp; Config'!AW186)</f>
        <v/>
      </c>
      <c r="U181" s="32" t="str">
        <f>IF('12 - Deployments &amp; Config'!AX186="","",'12 - Deployments &amp; Config'!AX186)</f>
        <v/>
      </c>
      <c r="V181" s="32" t="str">
        <f>IF('12 - Deployments &amp; Config'!BB186="","",'12 - Deployments &amp; Config'!BB186)</f>
        <v/>
      </c>
      <c r="W181" s="32" t="str">
        <f>IF('12 - Deployments &amp; Config'!BD186="","",'12 - Deployments &amp; Config'!BD186)</f>
        <v/>
      </c>
      <c r="X181" s="32" t="str">
        <f>IF('12 - Deployments &amp; Config'!BL186="","",'12 - Deployments &amp; Config'!BL186)</f>
        <v/>
      </c>
      <c r="Y181" s="32" t="str">
        <f>IF('12 - Deployments &amp; Config'!BC186="","",'12 - Deployments &amp; Config'!BC186)</f>
        <v/>
      </c>
      <c r="Z181" s="32" t="str">
        <f>IF('12 - Deployments &amp; Config'!P186="","",'12 - Deployments &amp; Config'!P186)</f>
        <v/>
      </c>
      <c r="AA181" s="32" t="str">
        <f>IF('12 - Deployments &amp; Config'!Q186="","",'12 - Deployments &amp; Config'!Q186)</f>
        <v/>
      </c>
    </row>
    <row r="182" spans="1:27">
      <c r="A182" s="33"/>
      <c r="B182" s="33"/>
      <c r="C182" s="32" t="str">
        <f>IF('12 - Deployments &amp; Config'!H187="","",'12 - Deployments &amp; Config'!H187)</f>
        <v/>
      </c>
      <c r="D182" s="32" t="str">
        <f>IF('12 - Deployments &amp; Config'!AF187="","",'12 - Deployments &amp; Config'!AF187)</f>
        <v/>
      </c>
      <c r="E182" s="32" t="str">
        <f>IF('12 - Deployments &amp; Config'!AG187="","",'12 - Deployments &amp; Config'!AG187)</f>
        <v/>
      </c>
      <c r="F182" s="32" t="str">
        <f>IF('12 - Deployments &amp; Config'!AH187="","",'12 - Deployments &amp; Config'!AH187)</f>
        <v/>
      </c>
      <c r="G182" s="32" t="str">
        <f>IF('12 - Deployments &amp; Config'!AI187="","",'12 - Deployments &amp; Config'!AI187)</f>
        <v/>
      </c>
      <c r="H182" s="32" t="str">
        <f>IF('12 - Deployments &amp; Config'!A187="","",'12 - Deployments &amp; Config'!A187)</f>
        <v/>
      </c>
      <c r="I182" s="32" t="str">
        <f>IF('12 - Deployments &amp; Config'!AJ187="","",'12 - Deployments &amp; Config'!AJ187)</f>
        <v/>
      </c>
      <c r="J182" s="32" t="str">
        <f>IF('12 - Deployments &amp; Config'!AK187="","",'12 - Deployments &amp; Config'!AK187)</f>
        <v/>
      </c>
      <c r="K182" s="32" t="str">
        <f>IF('12 - Deployments &amp; Config'!AA187="","",'12 - Deployments &amp; Config'!AA187)</f>
        <v/>
      </c>
      <c r="L182" s="32" t="str">
        <f>IF('12 - Deployments &amp; Config'!I187="","",'12 - Deployments &amp; Config'!I187)</f>
        <v/>
      </c>
      <c r="M182" s="33"/>
      <c r="N182" s="32" t="str">
        <f>IF('12 - Deployments &amp; Config'!J187="","",'12 - Deployments &amp; Config'!J187)</f>
        <v/>
      </c>
      <c r="O182" s="32" t="str">
        <f>IF('12 - Deployments &amp; Config'!K187="","",'12 - Deployments &amp; Config'!K187)</f>
        <v/>
      </c>
      <c r="P182" s="32" t="str">
        <f>IF('12 - Deployments &amp; Config'!L187="","",'12 - Deployments &amp; Config'!L187)</f>
        <v/>
      </c>
      <c r="Q182" s="33"/>
      <c r="R182" s="32" t="str">
        <f>IF('12 - Deployments &amp; Config'!AZ187="","",'12 - Deployments &amp; Config'!AZ187)</f>
        <v/>
      </c>
      <c r="S182" s="32" t="str">
        <f>IF('12 - Deployments &amp; Config'!AY187="","",'12 - Deployments &amp; Config'!AY187)</f>
        <v/>
      </c>
      <c r="T182" s="32" t="str">
        <f>IF('12 - Deployments &amp; Config'!AW187="","",'12 - Deployments &amp; Config'!AW187)</f>
        <v/>
      </c>
      <c r="U182" s="32" t="str">
        <f>IF('12 - Deployments &amp; Config'!AX187="","",'12 - Deployments &amp; Config'!AX187)</f>
        <v/>
      </c>
      <c r="V182" s="32" t="str">
        <f>IF('12 - Deployments &amp; Config'!BB187="","",'12 - Deployments &amp; Config'!BB187)</f>
        <v/>
      </c>
      <c r="W182" s="32" t="str">
        <f>IF('12 - Deployments &amp; Config'!BD187="","",'12 - Deployments &amp; Config'!BD187)</f>
        <v/>
      </c>
      <c r="X182" s="32" t="str">
        <f>IF('12 - Deployments &amp; Config'!BL187="","",'12 - Deployments &amp; Config'!BL187)</f>
        <v/>
      </c>
      <c r="Y182" s="32" t="str">
        <f>IF('12 - Deployments &amp; Config'!BC187="","",'12 - Deployments &amp; Config'!BC187)</f>
        <v/>
      </c>
      <c r="Z182" s="32" t="str">
        <f>IF('12 - Deployments &amp; Config'!P187="","",'12 - Deployments &amp; Config'!P187)</f>
        <v/>
      </c>
      <c r="AA182" s="32" t="str">
        <f>IF('12 - Deployments &amp; Config'!Q187="","",'12 - Deployments &amp; Config'!Q187)</f>
        <v/>
      </c>
    </row>
    <row r="183" spans="1:27">
      <c r="A183" s="33"/>
      <c r="B183" s="33"/>
      <c r="C183" s="32" t="str">
        <f>IF('12 - Deployments &amp; Config'!H188="","",'12 - Deployments &amp; Config'!H188)</f>
        <v/>
      </c>
      <c r="D183" s="32" t="str">
        <f>IF('12 - Deployments &amp; Config'!AF188="","",'12 - Deployments &amp; Config'!AF188)</f>
        <v/>
      </c>
      <c r="E183" s="32" t="str">
        <f>IF('12 - Deployments &amp; Config'!AG188="","",'12 - Deployments &amp; Config'!AG188)</f>
        <v/>
      </c>
      <c r="F183" s="32" t="str">
        <f>IF('12 - Deployments &amp; Config'!AH188="","",'12 - Deployments &amp; Config'!AH188)</f>
        <v/>
      </c>
      <c r="G183" s="32" t="str">
        <f>IF('12 - Deployments &amp; Config'!AI188="","",'12 - Deployments &amp; Config'!AI188)</f>
        <v/>
      </c>
      <c r="H183" s="32" t="str">
        <f>IF('12 - Deployments &amp; Config'!A188="","",'12 - Deployments &amp; Config'!A188)</f>
        <v/>
      </c>
      <c r="I183" s="32" t="str">
        <f>IF('12 - Deployments &amp; Config'!AJ188="","",'12 - Deployments &amp; Config'!AJ188)</f>
        <v/>
      </c>
      <c r="J183" s="32" t="str">
        <f>IF('12 - Deployments &amp; Config'!AK188="","",'12 - Deployments &amp; Config'!AK188)</f>
        <v/>
      </c>
      <c r="K183" s="32" t="str">
        <f>IF('12 - Deployments &amp; Config'!AA188="","",'12 - Deployments &amp; Config'!AA188)</f>
        <v/>
      </c>
      <c r="L183" s="32" t="str">
        <f>IF('12 - Deployments &amp; Config'!I188="","",'12 - Deployments &amp; Config'!I188)</f>
        <v/>
      </c>
      <c r="M183" s="33"/>
      <c r="N183" s="32" t="str">
        <f>IF('12 - Deployments &amp; Config'!J188="","",'12 - Deployments &amp; Config'!J188)</f>
        <v/>
      </c>
      <c r="O183" s="32" t="str">
        <f>IF('12 - Deployments &amp; Config'!K188="","",'12 - Deployments &amp; Config'!K188)</f>
        <v/>
      </c>
      <c r="P183" s="32" t="str">
        <f>IF('12 - Deployments &amp; Config'!L188="","",'12 - Deployments &amp; Config'!L188)</f>
        <v/>
      </c>
      <c r="Q183" s="33"/>
      <c r="R183" s="32" t="str">
        <f>IF('12 - Deployments &amp; Config'!AZ188="","",'12 - Deployments &amp; Config'!AZ188)</f>
        <v/>
      </c>
      <c r="S183" s="32" t="str">
        <f>IF('12 - Deployments &amp; Config'!AY188="","",'12 - Deployments &amp; Config'!AY188)</f>
        <v/>
      </c>
      <c r="T183" s="32" t="str">
        <f>IF('12 - Deployments &amp; Config'!AW188="","",'12 - Deployments &amp; Config'!AW188)</f>
        <v/>
      </c>
      <c r="U183" s="32" t="str">
        <f>IF('12 - Deployments &amp; Config'!AX188="","",'12 - Deployments &amp; Config'!AX188)</f>
        <v/>
      </c>
      <c r="V183" s="32" t="str">
        <f>IF('12 - Deployments &amp; Config'!BB188="","",'12 - Deployments &amp; Config'!BB188)</f>
        <v/>
      </c>
      <c r="W183" s="32" t="str">
        <f>IF('12 - Deployments &amp; Config'!BD188="","",'12 - Deployments &amp; Config'!BD188)</f>
        <v/>
      </c>
      <c r="X183" s="32" t="str">
        <f>IF('12 - Deployments &amp; Config'!BL188="","",'12 - Deployments &amp; Config'!BL188)</f>
        <v/>
      </c>
      <c r="Y183" s="32" t="str">
        <f>IF('12 - Deployments &amp; Config'!BC188="","",'12 - Deployments &amp; Config'!BC188)</f>
        <v/>
      </c>
      <c r="Z183" s="32" t="str">
        <f>IF('12 - Deployments &amp; Config'!P188="","",'12 - Deployments &amp; Config'!P188)</f>
        <v/>
      </c>
      <c r="AA183" s="32" t="str">
        <f>IF('12 - Deployments &amp; Config'!Q188="","",'12 - Deployments &amp; Config'!Q188)</f>
        <v/>
      </c>
    </row>
    <row r="184" spans="1:27">
      <c r="A184" s="33"/>
      <c r="B184" s="33"/>
      <c r="C184" s="32" t="str">
        <f>IF('12 - Deployments &amp; Config'!H189="","",'12 - Deployments &amp; Config'!H189)</f>
        <v/>
      </c>
      <c r="D184" s="32" t="str">
        <f>IF('12 - Deployments &amp; Config'!AF189="","",'12 - Deployments &amp; Config'!AF189)</f>
        <v/>
      </c>
      <c r="E184" s="32" t="str">
        <f>IF('12 - Deployments &amp; Config'!AG189="","",'12 - Deployments &amp; Config'!AG189)</f>
        <v/>
      </c>
      <c r="F184" s="32" t="str">
        <f>IF('12 - Deployments &amp; Config'!AH189="","",'12 - Deployments &amp; Config'!AH189)</f>
        <v/>
      </c>
      <c r="G184" s="32" t="str">
        <f>IF('12 - Deployments &amp; Config'!AI189="","",'12 - Deployments &amp; Config'!AI189)</f>
        <v/>
      </c>
      <c r="H184" s="32" t="str">
        <f>IF('12 - Deployments &amp; Config'!A189="","",'12 - Deployments &amp; Config'!A189)</f>
        <v/>
      </c>
      <c r="I184" s="32" t="str">
        <f>IF('12 - Deployments &amp; Config'!AJ189="","",'12 - Deployments &amp; Config'!AJ189)</f>
        <v/>
      </c>
      <c r="J184" s="32" t="str">
        <f>IF('12 - Deployments &amp; Config'!AK189="","",'12 - Deployments &amp; Config'!AK189)</f>
        <v/>
      </c>
      <c r="K184" s="32" t="str">
        <f>IF('12 - Deployments &amp; Config'!AA189="","",'12 - Deployments &amp; Config'!AA189)</f>
        <v/>
      </c>
      <c r="L184" s="32" t="str">
        <f>IF('12 - Deployments &amp; Config'!I189="","",'12 - Deployments &amp; Config'!I189)</f>
        <v/>
      </c>
      <c r="M184" s="33"/>
      <c r="N184" s="32" t="str">
        <f>IF('12 - Deployments &amp; Config'!J189="","",'12 - Deployments &amp; Config'!J189)</f>
        <v/>
      </c>
      <c r="O184" s="32" t="str">
        <f>IF('12 - Deployments &amp; Config'!K189="","",'12 - Deployments &amp; Config'!K189)</f>
        <v/>
      </c>
      <c r="P184" s="32" t="str">
        <f>IF('12 - Deployments &amp; Config'!L189="","",'12 - Deployments &amp; Config'!L189)</f>
        <v/>
      </c>
      <c r="Q184" s="33"/>
      <c r="R184" s="32" t="str">
        <f>IF('12 - Deployments &amp; Config'!AZ189="","",'12 - Deployments &amp; Config'!AZ189)</f>
        <v/>
      </c>
      <c r="S184" s="32" t="str">
        <f>IF('12 - Deployments &amp; Config'!AY189="","",'12 - Deployments &amp; Config'!AY189)</f>
        <v/>
      </c>
      <c r="T184" s="32" t="str">
        <f>IF('12 - Deployments &amp; Config'!AW189="","",'12 - Deployments &amp; Config'!AW189)</f>
        <v/>
      </c>
      <c r="U184" s="32" t="str">
        <f>IF('12 - Deployments &amp; Config'!AX189="","",'12 - Deployments &amp; Config'!AX189)</f>
        <v/>
      </c>
      <c r="V184" s="32" t="str">
        <f>IF('12 - Deployments &amp; Config'!BB189="","",'12 - Deployments &amp; Config'!BB189)</f>
        <v/>
      </c>
      <c r="W184" s="32" t="str">
        <f>IF('12 - Deployments &amp; Config'!BD189="","",'12 - Deployments &amp; Config'!BD189)</f>
        <v/>
      </c>
      <c r="X184" s="32" t="str">
        <f>IF('12 - Deployments &amp; Config'!BL189="","",'12 - Deployments &amp; Config'!BL189)</f>
        <v/>
      </c>
      <c r="Y184" s="32" t="str">
        <f>IF('12 - Deployments &amp; Config'!BC189="","",'12 - Deployments &amp; Config'!BC189)</f>
        <v/>
      </c>
      <c r="Z184" s="32" t="str">
        <f>IF('12 - Deployments &amp; Config'!P189="","",'12 - Deployments &amp; Config'!P189)</f>
        <v/>
      </c>
      <c r="AA184" s="32" t="str">
        <f>IF('12 - Deployments &amp; Config'!Q189="","",'12 - Deployments &amp; Config'!Q189)</f>
        <v/>
      </c>
    </row>
    <row r="185" spans="1:27">
      <c r="A185" s="33"/>
      <c r="B185" s="33"/>
      <c r="C185" s="32" t="str">
        <f>IF('12 - Deployments &amp; Config'!H190="","",'12 - Deployments &amp; Config'!H190)</f>
        <v/>
      </c>
      <c r="D185" s="32" t="str">
        <f>IF('12 - Deployments &amp; Config'!AF190="","",'12 - Deployments &amp; Config'!AF190)</f>
        <v/>
      </c>
      <c r="E185" s="32" t="str">
        <f>IF('12 - Deployments &amp; Config'!AG190="","",'12 - Deployments &amp; Config'!AG190)</f>
        <v/>
      </c>
      <c r="F185" s="32" t="str">
        <f>IF('12 - Deployments &amp; Config'!AH190="","",'12 - Deployments &amp; Config'!AH190)</f>
        <v/>
      </c>
      <c r="G185" s="32" t="str">
        <f>IF('12 - Deployments &amp; Config'!AI190="","",'12 - Deployments &amp; Config'!AI190)</f>
        <v/>
      </c>
      <c r="H185" s="32" t="str">
        <f>IF('12 - Deployments &amp; Config'!A190="","",'12 - Deployments &amp; Config'!A190)</f>
        <v/>
      </c>
      <c r="I185" s="32" t="str">
        <f>IF('12 - Deployments &amp; Config'!AJ190="","",'12 - Deployments &amp; Config'!AJ190)</f>
        <v/>
      </c>
      <c r="J185" s="32" t="str">
        <f>IF('12 - Deployments &amp; Config'!AK190="","",'12 - Deployments &amp; Config'!AK190)</f>
        <v/>
      </c>
      <c r="K185" s="32" t="str">
        <f>IF('12 - Deployments &amp; Config'!AA190="","",'12 - Deployments &amp; Config'!AA190)</f>
        <v/>
      </c>
      <c r="L185" s="32" t="str">
        <f>IF('12 - Deployments &amp; Config'!I190="","",'12 - Deployments &amp; Config'!I190)</f>
        <v/>
      </c>
      <c r="M185" s="33"/>
      <c r="N185" s="32" t="str">
        <f>IF('12 - Deployments &amp; Config'!J190="","",'12 - Deployments &amp; Config'!J190)</f>
        <v/>
      </c>
      <c r="O185" s="32" t="str">
        <f>IF('12 - Deployments &amp; Config'!K190="","",'12 - Deployments &amp; Config'!K190)</f>
        <v/>
      </c>
      <c r="P185" s="32" t="str">
        <f>IF('12 - Deployments &amp; Config'!L190="","",'12 - Deployments &amp; Config'!L190)</f>
        <v/>
      </c>
      <c r="Q185" s="33"/>
      <c r="R185" s="32" t="str">
        <f>IF('12 - Deployments &amp; Config'!AZ190="","",'12 - Deployments &amp; Config'!AZ190)</f>
        <v/>
      </c>
      <c r="S185" s="32" t="str">
        <f>IF('12 - Deployments &amp; Config'!AY190="","",'12 - Deployments &amp; Config'!AY190)</f>
        <v/>
      </c>
      <c r="T185" s="32" t="str">
        <f>IF('12 - Deployments &amp; Config'!AW190="","",'12 - Deployments &amp; Config'!AW190)</f>
        <v/>
      </c>
      <c r="U185" s="32" t="str">
        <f>IF('12 - Deployments &amp; Config'!AX190="","",'12 - Deployments &amp; Config'!AX190)</f>
        <v/>
      </c>
      <c r="V185" s="32" t="str">
        <f>IF('12 - Deployments &amp; Config'!BB190="","",'12 - Deployments &amp; Config'!BB190)</f>
        <v/>
      </c>
      <c r="W185" s="32" t="str">
        <f>IF('12 - Deployments &amp; Config'!BD190="","",'12 - Deployments &amp; Config'!BD190)</f>
        <v/>
      </c>
      <c r="X185" s="32" t="str">
        <f>IF('12 - Deployments &amp; Config'!BL190="","",'12 - Deployments &amp; Config'!BL190)</f>
        <v/>
      </c>
      <c r="Y185" s="32" t="str">
        <f>IF('12 - Deployments &amp; Config'!BC190="","",'12 - Deployments &amp; Config'!BC190)</f>
        <v/>
      </c>
      <c r="Z185" s="32" t="str">
        <f>IF('12 - Deployments &amp; Config'!P190="","",'12 - Deployments &amp; Config'!P190)</f>
        <v/>
      </c>
      <c r="AA185" s="32" t="str">
        <f>IF('12 - Deployments &amp; Config'!Q190="","",'12 - Deployments &amp; Config'!Q190)</f>
        <v/>
      </c>
    </row>
    <row r="186" spans="1:27">
      <c r="A186" s="33"/>
      <c r="B186" s="33"/>
      <c r="C186" s="32" t="str">
        <f>IF('12 - Deployments &amp; Config'!H191="","",'12 - Deployments &amp; Config'!H191)</f>
        <v/>
      </c>
      <c r="D186" s="32" t="str">
        <f>IF('12 - Deployments &amp; Config'!AF191="","",'12 - Deployments &amp; Config'!AF191)</f>
        <v/>
      </c>
      <c r="E186" s="32" t="str">
        <f>IF('12 - Deployments &amp; Config'!AG191="","",'12 - Deployments &amp; Config'!AG191)</f>
        <v/>
      </c>
      <c r="F186" s="32" t="str">
        <f>IF('12 - Deployments &amp; Config'!AH191="","",'12 - Deployments &amp; Config'!AH191)</f>
        <v/>
      </c>
      <c r="G186" s="32" t="str">
        <f>IF('12 - Deployments &amp; Config'!AI191="","",'12 - Deployments &amp; Config'!AI191)</f>
        <v/>
      </c>
      <c r="H186" s="32" t="str">
        <f>IF('12 - Deployments &amp; Config'!A191="","",'12 - Deployments &amp; Config'!A191)</f>
        <v/>
      </c>
      <c r="I186" s="32" t="str">
        <f>IF('12 - Deployments &amp; Config'!AJ191="","",'12 - Deployments &amp; Config'!AJ191)</f>
        <v/>
      </c>
      <c r="J186" s="32" t="str">
        <f>IF('12 - Deployments &amp; Config'!AK191="","",'12 - Deployments &amp; Config'!AK191)</f>
        <v/>
      </c>
      <c r="K186" s="32" t="str">
        <f>IF('12 - Deployments &amp; Config'!AA191="","",'12 - Deployments &amp; Config'!AA191)</f>
        <v/>
      </c>
      <c r="L186" s="32" t="str">
        <f>IF('12 - Deployments &amp; Config'!I191="","",'12 - Deployments &amp; Config'!I191)</f>
        <v/>
      </c>
      <c r="M186" s="33"/>
      <c r="N186" s="32" t="str">
        <f>IF('12 - Deployments &amp; Config'!J191="","",'12 - Deployments &amp; Config'!J191)</f>
        <v/>
      </c>
      <c r="O186" s="32" t="str">
        <f>IF('12 - Deployments &amp; Config'!K191="","",'12 - Deployments &amp; Config'!K191)</f>
        <v/>
      </c>
      <c r="P186" s="32" t="str">
        <f>IF('12 - Deployments &amp; Config'!L191="","",'12 - Deployments &amp; Config'!L191)</f>
        <v/>
      </c>
      <c r="Q186" s="33"/>
      <c r="R186" s="32" t="str">
        <f>IF('12 - Deployments &amp; Config'!AZ191="","",'12 - Deployments &amp; Config'!AZ191)</f>
        <v/>
      </c>
      <c r="S186" s="32" t="str">
        <f>IF('12 - Deployments &amp; Config'!AY191="","",'12 - Deployments &amp; Config'!AY191)</f>
        <v/>
      </c>
      <c r="T186" s="32" t="str">
        <f>IF('12 - Deployments &amp; Config'!AW191="","",'12 - Deployments &amp; Config'!AW191)</f>
        <v/>
      </c>
      <c r="U186" s="32" t="str">
        <f>IF('12 - Deployments &amp; Config'!AX191="","",'12 - Deployments &amp; Config'!AX191)</f>
        <v/>
      </c>
      <c r="V186" s="32" t="str">
        <f>IF('12 - Deployments &amp; Config'!BB191="","",'12 - Deployments &amp; Config'!BB191)</f>
        <v/>
      </c>
      <c r="W186" s="32" t="str">
        <f>IF('12 - Deployments &amp; Config'!BD191="","",'12 - Deployments &amp; Config'!BD191)</f>
        <v/>
      </c>
      <c r="X186" s="32" t="str">
        <f>IF('12 - Deployments &amp; Config'!BL191="","",'12 - Deployments &amp; Config'!BL191)</f>
        <v/>
      </c>
      <c r="Y186" s="32" t="str">
        <f>IF('12 - Deployments &amp; Config'!BC191="","",'12 - Deployments &amp; Config'!BC191)</f>
        <v/>
      </c>
      <c r="Z186" s="32" t="str">
        <f>IF('12 - Deployments &amp; Config'!P191="","",'12 - Deployments &amp; Config'!P191)</f>
        <v/>
      </c>
      <c r="AA186" s="32" t="str">
        <f>IF('12 - Deployments &amp; Config'!Q191="","",'12 - Deployments &amp; Config'!Q191)</f>
        <v/>
      </c>
    </row>
    <row r="187" spans="1:27">
      <c r="A187" s="33"/>
      <c r="B187" s="33"/>
      <c r="C187" s="32" t="str">
        <f>IF('12 - Deployments &amp; Config'!H192="","",'12 - Deployments &amp; Config'!H192)</f>
        <v/>
      </c>
      <c r="D187" s="32" t="str">
        <f>IF('12 - Deployments &amp; Config'!AF192="","",'12 - Deployments &amp; Config'!AF192)</f>
        <v/>
      </c>
      <c r="E187" s="32" t="str">
        <f>IF('12 - Deployments &amp; Config'!AG192="","",'12 - Deployments &amp; Config'!AG192)</f>
        <v/>
      </c>
      <c r="F187" s="32" t="str">
        <f>IF('12 - Deployments &amp; Config'!AH192="","",'12 - Deployments &amp; Config'!AH192)</f>
        <v/>
      </c>
      <c r="G187" s="32" t="str">
        <f>IF('12 - Deployments &amp; Config'!AI192="","",'12 - Deployments &amp; Config'!AI192)</f>
        <v/>
      </c>
      <c r="H187" s="32" t="str">
        <f>IF('12 - Deployments &amp; Config'!A192="","",'12 - Deployments &amp; Config'!A192)</f>
        <v/>
      </c>
      <c r="I187" s="32" t="str">
        <f>IF('12 - Deployments &amp; Config'!AJ192="","",'12 - Deployments &amp; Config'!AJ192)</f>
        <v/>
      </c>
      <c r="J187" s="32" t="str">
        <f>IF('12 - Deployments &amp; Config'!AK192="","",'12 - Deployments &amp; Config'!AK192)</f>
        <v/>
      </c>
      <c r="K187" s="32" t="str">
        <f>IF('12 - Deployments &amp; Config'!AA192="","",'12 - Deployments &amp; Config'!AA192)</f>
        <v/>
      </c>
      <c r="L187" s="32" t="str">
        <f>IF('12 - Deployments &amp; Config'!I192="","",'12 - Deployments &amp; Config'!I192)</f>
        <v/>
      </c>
      <c r="M187" s="33"/>
      <c r="N187" s="32" t="str">
        <f>IF('12 - Deployments &amp; Config'!J192="","",'12 - Deployments &amp; Config'!J192)</f>
        <v/>
      </c>
      <c r="O187" s="32" t="str">
        <f>IF('12 - Deployments &amp; Config'!K192="","",'12 - Deployments &amp; Config'!K192)</f>
        <v/>
      </c>
      <c r="P187" s="32" t="str">
        <f>IF('12 - Deployments &amp; Config'!L192="","",'12 - Deployments &amp; Config'!L192)</f>
        <v/>
      </c>
      <c r="Q187" s="33"/>
      <c r="R187" s="32" t="str">
        <f>IF('12 - Deployments &amp; Config'!AZ192="","",'12 - Deployments &amp; Config'!AZ192)</f>
        <v/>
      </c>
      <c r="S187" s="32" t="str">
        <f>IF('12 - Deployments &amp; Config'!AY192="","",'12 - Deployments &amp; Config'!AY192)</f>
        <v/>
      </c>
      <c r="T187" s="32" t="str">
        <f>IF('12 - Deployments &amp; Config'!AW192="","",'12 - Deployments &amp; Config'!AW192)</f>
        <v/>
      </c>
      <c r="U187" s="32" t="str">
        <f>IF('12 - Deployments &amp; Config'!AX192="","",'12 - Deployments &amp; Config'!AX192)</f>
        <v/>
      </c>
      <c r="V187" s="32" t="str">
        <f>IF('12 - Deployments &amp; Config'!BB192="","",'12 - Deployments &amp; Config'!BB192)</f>
        <v/>
      </c>
      <c r="W187" s="32" t="str">
        <f>IF('12 - Deployments &amp; Config'!BD192="","",'12 - Deployments &amp; Config'!BD192)</f>
        <v/>
      </c>
      <c r="X187" s="32" t="str">
        <f>IF('12 - Deployments &amp; Config'!BL192="","",'12 - Deployments &amp; Config'!BL192)</f>
        <v/>
      </c>
      <c r="Y187" s="32" t="str">
        <f>IF('12 - Deployments &amp; Config'!BC192="","",'12 - Deployments &amp; Config'!BC192)</f>
        <v/>
      </c>
      <c r="Z187" s="32" t="str">
        <f>IF('12 - Deployments &amp; Config'!P192="","",'12 - Deployments &amp; Config'!P192)</f>
        <v/>
      </c>
      <c r="AA187" s="32" t="str">
        <f>IF('12 - Deployments &amp; Config'!Q192="","",'12 - Deployments &amp; Config'!Q192)</f>
        <v/>
      </c>
    </row>
    <row r="188" spans="1:27">
      <c r="A188" s="33"/>
      <c r="B188" s="33"/>
      <c r="C188" s="32" t="str">
        <f>IF('12 - Deployments &amp; Config'!H193="","",'12 - Deployments &amp; Config'!H193)</f>
        <v/>
      </c>
      <c r="D188" s="32" t="str">
        <f>IF('12 - Deployments &amp; Config'!AF193="","",'12 - Deployments &amp; Config'!AF193)</f>
        <v/>
      </c>
      <c r="E188" s="32" t="str">
        <f>IF('12 - Deployments &amp; Config'!AG193="","",'12 - Deployments &amp; Config'!AG193)</f>
        <v/>
      </c>
      <c r="F188" s="32" t="str">
        <f>IF('12 - Deployments &amp; Config'!AH193="","",'12 - Deployments &amp; Config'!AH193)</f>
        <v/>
      </c>
      <c r="G188" s="32" t="str">
        <f>IF('12 - Deployments &amp; Config'!AI193="","",'12 - Deployments &amp; Config'!AI193)</f>
        <v/>
      </c>
      <c r="H188" s="32" t="str">
        <f>IF('12 - Deployments &amp; Config'!A193="","",'12 - Deployments &amp; Config'!A193)</f>
        <v/>
      </c>
      <c r="I188" s="32" t="str">
        <f>IF('12 - Deployments &amp; Config'!AJ193="","",'12 - Deployments &amp; Config'!AJ193)</f>
        <v/>
      </c>
      <c r="J188" s="32" t="str">
        <f>IF('12 - Deployments &amp; Config'!AK193="","",'12 - Deployments &amp; Config'!AK193)</f>
        <v/>
      </c>
      <c r="K188" s="32" t="str">
        <f>IF('12 - Deployments &amp; Config'!AA193="","",'12 - Deployments &amp; Config'!AA193)</f>
        <v/>
      </c>
      <c r="L188" s="32" t="str">
        <f>IF('12 - Deployments &amp; Config'!I193="","",'12 - Deployments &amp; Config'!I193)</f>
        <v/>
      </c>
      <c r="M188" s="33"/>
      <c r="N188" s="32" t="str">
        <f>IF('12 - Deployments &amp; Config'!J193="","",'12 - Deployments &amp; Config'!J193)</f>
        <v/>
      </c>
      <c r="O188" s="32" t="str">
        <f>IF('12 - Deployments &amp; Config'!K193="","",'12 - Deployments &amp; Config'!K193)</f>
        <v/>
      </c>
      <c r="P188" s="32" t="str">
        <f>IF('12 - Deployments &amp; Config'!L193="","",'12 - Deployments &amp; Config'!L193)</f>
        <v/>
      </c>
      <c r="Q188" s="33"/>
      <c r="R188" s="32" t="str">
        <f>IF('12 - Deployments &amp; Config'!AZ193="","",'12 - Deployments &amp; Config'!AZ193)</f>
        <v/>
      </c>
      <c r="S188" s="32" t="str">
        <f>IF('12 - Deployments &amp; Config'!AY193="","",'12 - Deployments &amp; Config'!AY193)</f>
        <v/>
      </c>
      <c r="T188" s="32" t="str">
        <f>IF('12 - Deployments &amp; Config'!AW193="","",'12 - Deployments &amp; Config'!AW193)</f>
        <v/>
      </c>
      <c r="U188" s="32" t="str">
        <f>IF('12 - Deployments &amp; Config'!AX193="","",'12 - Deployments &amp; Config'!AX193)</f>
        <v/>
      </c>
      <c r="V188" s="32" t="str">
        <f>IF('12 - Deployments &amp; Config'!BB193="","",'12 - Deployments &amp; Config'!BB193)</f>
        <v/>
      </c>
      <c r="W188" s="32" t="str">
        <f>IF('12 - Deployments &amp; Config'!BD193="","",'12 - Deployments &amp; Config'!BD193)</f>
        <v/>
      </c>
      <c r="X188" s="32" t="str">
        <f>IF('12 - Deployments &amp; Config'!BL193="","",'12 - Deployments &amp; Config'!BL193)</f>
        <v/>
      </c>
      <c r="Y188" s="32" t="str">
        <f>IF('12 - Deployments &amp; Config'!BC193="","",'12 - Deployments &amp; Config'!BC193)</f>
        <v/>
      </c>
      <c r="Z188" s="32" t="str">
        <f>IF('12 - Deployments &amp; Config'!P193="","",'12 - Deployments &amp; Config'!P193)</f>
        <v/>
      </c>
      <c r="AA188" s="32" t="str">
        <f>IF('12 - Deployments &amp; Config'!Q193="","",'12 - Deployments &amp; Config'!Q193)</f>
        <v/>
      </c>
    </row>
    <row r="189" spans="1:27">
      <c r="A189" s="33"/>
      <c r="B189" s="33"/>
      <c r="C189" s="32" t="str">
        <f>IF('12 - Deployments &amp; Config'!H194="","",'12 - Deployments &amp; Config'!H194)</f>
        <v/>
      </c>
      <c r="D189" s="32" t="str">
        <f>IF('12 - Deployments &amp; Config'!AF194="","",'12 - Deployments &amp; Config'!AF194)</f>
        <v/>
      </c>
      <c r="E189" s="32" t="str">
        <f>IF('12 - Deployments &amp; Config'!AG194="","",'12 - Deployments &amp; Config'!AG194)</f>
        <v/>
      </c>
      <c r="F189" s="32" t="str">
        <f>IF('12 - Deployments &amp; Config'!AH194="","",'12 - Deployments &amp; Config'!AH194)</f>
        <v/>
      </c>
      <c r="G189" s="32" t="str">
        <f>IF('12 - Deployments &amp; Config'!AI194="","",'12 - Deployments &amp; Config'!AI194)</f>
        <v/>
      </c>
      <c r="H189" s="32" t="str">
        <f>IF('12 - Deployments &amp; Config'!A194="","",'12 - Deployments &amp; Config'!A194)</f>
        <v/>
      </c>
      <c r="I189" s="32" t="str">
        <f>IF('12 - Deployments &amp; Config'!AJ194="","",'12 - Deployments &amp; Config'!AJ194)</f>
        <v/>
      </c>
      <c r="J189" s="32" t="str">
        <f>IF('12 - Deployments &amp; Config'!AK194="","",'12 - Deployments &amp; Config'!AK194)</f>
        <v/>
      </c>
      <c r="K189" s="32" t="str">
        <f>IF('12 - Deployments &amp; Config'!AA194="","",'12 - Deployments &amp; Config'!AA194)</f>
        <v/>
      </c>
      <c r="L189" s="32" t="str">
        <f>IF('12 - Deployments &amp; Config'!I194="","",'12 - Deployments &amp; Config'!I194)</f>
        <v/>
      </c>
      <c r="M189" s="33"/>
      <c r="N189" s="32" t="str">
        <f>IF('12 - Deployments &amp; Config'!J194="","",'12 - Deployments &amp; Config'!J194)</f>
        <v/>
      </c>
      <c r="O189" s="32" t="str">
        <f>IF('12 - Deployments &amp; Config'!K194="","",'12 - Deployments &amp; Config'!K194)</f>
        <v/>
      </c>
      <c r="P189" s="32" t="str">
        <f>IF('12 - Deployments &amp; Config'!L194="","",'12 - Deployments &amp; Config'!L194)</f>
        <v/>
      </c>
      <c r="Q189" s="33"/>
      <c r="R189" s="32" t="str">
        <f>IF('12 - Deployments &amp; Config'!AZ194="","",'12 - Deployments &amp; Config'!AZ194)</f>
        <v/>
      </c>
      <c r="S189" s="32" t="str">
        <f>IF('12 - Deployments &amp; Config'!AY194="","",'12 - Deployments &amp; Config'!AY194)</f>
        <v/>
      </c>
      <c r="T189" s="32" t="str">
        <f>IF('12 - Deployments &amp; Config'!AW194="","",'12 - Deployments &amp; Config'!AW194)</f>
        <v/>
      </c>
      <c r="U189" s="32" t="str">
        <f>IF('12 - Deployments &amp; Config'!AX194="","",'12 - Deployments &amp; Config'!AX194)</f>
        <v/>
      </c>
      <c r="V189" s="32" t="str">
        <f>IF('12 - Deployments &amp; Config'!BB194="","",'12 - Deployments &amp; Config'!BB194)</f>
        <v/>
      </c>
      <c r="W189" s="32" t="str">
        <f>IF('12 - Deployments &amp; Config'!BD194="","",'12 - Deployments &amp; Config'!BD194)</f>
        <v/>
      </c>
      <c r="X189" s="32" t="str">
        <f>IF('12 - Deployments &amp; Config'!BL194="","",'12 - Deployments &amp; Config'!BL194)</f>
        <v/>
      </c>
      <c r="Y189" s="32" t="str">
        <f>IF('12 - Deployments &amp; Config'!BC194="","",'12 - Deployments &amp; Config'!BC194)</f>
        <v/>
      </c>
      <c r="Z189" s="32" t="str">
        <f>IF('12 - Deployments &amp; Config'!P194="","",'12 - Deployments &amp; Config'!P194)</f>
        <v/>
      </c>
      <c r="AA189" s="32" t="str">
        <f>IF('12 - Deployments &amp; Config'!Q194="","",'12 - Deployments &amp; Config'!Q194)</f>
        <v/>
      </c>
    </row>
    <row r="190" spans="1:27">
      <c r="A190" s="33"/>
      <c r="B190" s="33"/>
      <c r="C190" s="32" t="str">
        <f>IF('12 - Deployments &amp; Config'!H195="","",'12 - Deployments &amp; Config'!H195)</f>
        <v/>
      </c>
      <c r="D190" s="32" t="str">
        <f>IF('12 - Deployments &amp; Config'!AF195="","",'12 - Deployments &amp; Config'!AF195)</f>
        <v/>
      </c>
      <c r="E190" s="32" t="str">
        <f>IF('12 - Deployments &amp; Config'!AG195="","",'12 - Deployments &amp; Config'!AG195)</f>
        <v/>
      </c>
      <c r="F190" s="32" t="str">
        <f>IF('12 - Deployments &amp; Config'!AH195="","",'12 - Deployments &amp; Config'!AH195)</f>
        <v/>
      </c>
      <c r="G190" s="32" t="str">
        <f>IF('12 - Deployments &amp; Config'!AI195="","",'12 - Deployments &amp; Config'!AI195)</f>
        <v/>
      </c>
      <c r="H190" s="32" t="str">
        <f>IF('12 - Deployments &amp; Config'!A195="","",'12 - Deployments &amp; Config'!A195)</f>
        <v/>
      </c>
      <c r="I190" s="32" t="str">
        <f>IF('12 - Deployments &amp; Config'!AJ195="","",'12 - Deployments &amp; Config'!AJ195)</f>
        <v/>
      </c>
      <c r="J190" s="32" t="str">
        <f>IF('12 - Deployments &amp; Config'!AK195="","",'12 - Deployments &amp; Config'!AK195)</f>
        <v/>
      </c>
      <c r="K190" s="32" t="str">
        <f>IF('12 - Deployments &amp; Config'!AA195="","",'12 - Deployments &amp; Config'!AA195)</f>
        <v/>
      </c>
      <c r="L190" s="32" t="str">
        <f>IF('12 - Deployments &amp; Config'!I195="","",'12 - Deployments &amp; Config'!I195)</f>
        <v/>
      </c>
      <c r="M190" s="33"/>
      <c r="N190" s="32" t="str">
        <f>IF('12 - Deployments &amp; Config'!J195="","",'12 - Deployments &amp; Config'!J195)</f>
        <v/>
      </c>
      <c r="O190" s="32" t="str">
        <f>IF('12 - Deployments &amp; Config'!K195="","",'12 - Deployments &amp; Config'!K195)</f>
        <v/>
      </c>
      <c r="P190" s="32" t="str">
        <f>IF('12 - Deployments &amp; Config'!L195="","",'12 - Deployments &amp; Config'!L195)</f>
        <v/>
      </c>
      <c r="Q190" s="33"/>
      <c r="R190" s="32" t="str">
        <f>IF('12 - Deployments &amp; Config'!AZ195="","",'12 - Deployments &amp; Config'!AZ195)</f>
        <v/>
      </c>
      <c r="S190" s="32" t="str">
        <f>IF('12 - Deployments &amp; Config'!AY195="","",'12 - Deployments &amp; Config'!AY195)</f>
        <v/>
      </c>
      <c r="T190" s="32" t="str">
        <f>IF('12 - Deployments &amp; Config'!AW195="","",'12 - Deployments &amp; Config'!AW195)</f>
        <v/>
      </c>
      <c r="U190" s="32" t="str">
        <f>IF('12 - Deployments &amp; Config'!AX195="","",'12 - Deployments &amp; Config'!AX195)</f>
        <v/>
      </c>
      <c r="V190" s="32" t="str">
        <f>IF('12 - Deployments &amp; Config'!BB195="","",'12 - Deployments &amp; Config'!BB195)</f>
        <v/>
      </c>
      <c r="W190" s="32" t="str">
        <f>IF('12 - Deployments &amp; Config'!BD195="","",'12 - Deployments &amp; Config'!BD195)</f>
        <v/>
      </c>
      <c r="X190" s="32" t="str">
        <f>IF('12 - Deployments &amp; Config'!BL195="","",'12 - Deployments &amp; Config'!BL195)</f>
        <v/>
      </c>
      <c r="Y190" s="32" t="str">
        <f>IF('12 - Deployments &amp; Config'!BC195="","",'12 - Deployments &amp; Config'!BC195)</f>
        <v/>
      </c>
      <c r="Z190" s="32" t="str">
        <f>IF('12 - Deployments &amp; Config'!P195="","",'12 - Deployments &amp; Config'!P195)</f>
        <v/>
      </c>
      <c r="AA190" s="32" t="str">
        <f>IF('12 - Deployments &amp; Config'!Q195="","",'12 - Deployments &amp; Config'!Q195)</f>
        <v/>
      </c>
    </row>
    <row r="191" spans="1:27">
      <c r="A191" s="33"/>
      <c r="B191" s="33"/>
      <c r="C191" s="32" t="str">
        <f>IF('12 - Deployments &amp; Config'!H196="","",'12 - Deployments &amp; Config'!H196)</f>
        <v/>
      </c>
      <c r="D191" s="32" t="str">
        <f>IF('12 - Deployments &amp; Config'!AF196="","",'12 - Deployments &amp; Config'!AF196)</f>
        <v/>
      </c>
      <c r="E191" s="32" t="str">
        <f>IF('12 - Deployments &amp; Config'!AG196="","",'12 - Deployments &amp; Config'!AG196)</f>
        <v/>
      </c>
      <c r="F191" s="32" t="str">
        <f>IF('12 - Deployments &amp; Config'!AH196="","",'12 - Deployments &amp; Config'!AH196)</f>
        <v/>
      </c>
      <c r="G191" s="32" t="str">
        <f>IF('12 - Deployments &amp; Config'!AI196="","",'12 - Deployments &amp; Config'!AI196)</f>
        <v/>
      </c>
      <c r="H191" s="32" t="str">
        <f>IF('12 - Deployments &amp; Config'!A196="","",'12 - Deployments &amp; Config'!A196)</f>
        <v/>
      </c>
      <c r="I191" s="32" t="str">
        <f>IF('12 - Deployments &amp; Config'!AJ196="","",'12 - Deployments &amp; Config'!AJ196)</f>
        <v/>
      </c>
      <c r="J191" s="32" t="str">
        <f>IF('12 - Deployments &amp; Config'!AK196="","",'12 - Deployments &amp; Config'!AK196)</f>
        <v/>
      </c>
      <c r="K191" s="32" t="str">
        <f>IF('12 - Deployments &amp; Config'!AA196="","",'12 - Deployments &amp; Config'!AA196)</f>
        <v/>
      </c>
      <c r="L191" s="32" t="str">
        <f>IF('12 - Deployments &amp; Config'!I196="","",'12 - Deployments &amp; Config'!I196)</f>
        <v/>
      </c>
      <c r="M191" s="33"/>
      <c r="N191" s="32" t="str">
        <f>IF('12 - Deployments &amp; Config'!J196="","",'12 - Deployments &amp; Config'!J196)</f>
        <v/>
      </c>
      <c r="O191" s="32" t="str">
        <f>IF('12 - Deployments &amp; Config'!K196="","",'12 - Deployments &amp; Config'!K196)</f>
        <v/>
      </c>
      <c r="P191" s="32" t="str">
        <f>IF('12 - Deployments &amp; Config'!L196="","",'12 - Deployments &amp; Config'!L196)</f>
        <v/>
      </c>
      <c r="Q191" s="33"/>
      <c r="R191" s="32" t="str">
        <f>IF('12 - Deployments &amp; Config'!AZ196="","",'12 - Deployments &amp; Config'!AZ196)</f>
        <v/>
      </c>
      <c r="S191" s="32" t="str">
        <f>IF('12 - Deployments &amp; Config'!AY196="","",'12 - Deployments &amp; Config'!AY196)</f>
        <v/>
      </c>
      <c r="T191" s="32" t="str">
        <f>IF('12 - Deployments &amp; Config'!AW196="","",'12 - Deployments &amp; Config'!AW196)</f>
        <v/>
      </c>
      <c r="U191" s="32" t="str">
        <f>IF('12 - Deployments &amp; Config'!AX196="","",'12 - Deployments &amp; Config'!AX196)</f>
        <v/>
      </c>
      <c r="V191" s="32" t="str">
        <f>IF('12 - Deployments &amp; Config'!BB196="","",'12 - Deployments &amp; Config'!BB196)</f>
        <v/>
      </c>
      <c r="W191" s="32" t="str">
        <f>IF('12 - Deployments &amp; Config'!BD196="","",'12 - Deployments &amp; Config'!BD196)</f>
        <v/>
      </c>
      <c r="X191" s="32" t="str">
        <f>IF('12 - Deployments &amp; Config'!BL196="","",'12 - Deployments &amp; Config'!BL196)</f>
        <v/>
      </c>
      <c r="Y191" s="32" t="str">
        <f>IF('12 - Deployments &amp; Config'!BC196="","",'12 - Deployments &amp; Config'!BC196)</f>
        <v/>
      </c>
      <c r="Z191" s="32" t="str">
        <f>IF('12 - Deployments &amp; Config'!P196="","",'12 - Deployments &amp; Config'!P196)</f>
        <v/>
      </c>
      <c r="AA191" s="32" t="str">
        <f>IF('12 - Deployments &amp; Config'!Q196="","",'12 - Deployments &amp; Config'!Q196)</f>
        <v/>
      </c>
    </row>
    <row r="192" spans="1:27">
      <c r="A192" s="33"/>
      <c r="B192" s="33"/>
      <c r="C192" s="32" t="str">
        <f>IF('12 - Deployments &amp; Config'!H197="","",'12 - Deployments &amp; Config'!H197)</f>
        <v/>
      </c>
      <c r="D192" s="32" t="str">
        <f>IF('12 - Deployments &amp; Config'!AF197="","",'12 - Deployments &amp; Config'!AF197)</f>
        <v/>
      </c>
      <c r="E192" s="32" t="str">
        <f>IF('12 - Deployments &amp; Config'!AG197="","",'12 - Deployments &amp; Config'!AG197)</f>
        <v/>
      </c>
      <c r="F192" s="32" t="str">
        <f>IF('12 - Deployments &amp; Config'!AH197="","",'12 - Deployments &amp; Config'!AH197)</f>
        <v/>
      </c>
      <c r="G192" s="32" t="str">
        <f>IF('12 - Deployments &amp; Config'!AI197="","",'12 - Deployments &amp; Config'!AI197)</f>
        <v/>
      </c>
      <c r="H192" s="32" t="str">
        <f>IF('12 - Deployments &amp; Config'!A197="","",'12 - Deployments &amp; Config'!A197)</f>
        <v/>
      </c>
      <c r="I192" s="32" t="str">
        <f>IF('12 - Deployments &amp; Config'!AJ197="","",'12 - Deployments &amp; Config'!AJ197)</f>
        <v/>
      </c>
      <c r="J192" s="32" t="str">
        <f>IF('12 - Deployments &amp; Config'!AK197="","",'12 - Deployments &amp; Config'!AK197)</f>
        <v/>
      </c>
      <c r="K192" s="32" t="str">
        <f>IF('12 - Deployments &amp; Config'!AA197="","",'12 - Deployments &amp; Config'!AA197)</f>
        <v/>
      </c>
      <c r="L192" s="32" t="str">
        <f>IF('12 - Deployments &amp; Config'!I197="","",'12 - Deployments &amp; Config'!I197)</f>
        <v/>
      </c>
      <c r="M192" s="33"/>
      <c r="N192" s="32" t="str">
        <f>IF('12 - Deployments &amp; Config'!J197="","",'12 - Deployments &amp; Config'!J197)</f>
        <v/>
      </c>
      <c r="O192" s="32" t="str">
        <f>IF('12 - Deployments &amp; Config'!K197="","",'12 - Deployments &amp; Config'!K197)</f>
        <v/>
      </c>
      <c r="P192" s="32" t="str">
        <f>IF('12 - Deployments &amp; Config'!L197="","",'12 - Deployments &amp; Config'!L197)</f>
        <v/>
      </c>
      <c r="Q192" s="33"/>
      <c r="R192" s="32" t="str">
        <f>IF('12 - Deployments &amp; Config'!AZ197="","",'12 - Deployments &amp; Config'!AZ197)</f>
        <v/>
      </c>
      <c r="S192" s="32" t="str">
        <f>IF('12 - Deployments &amp; Config'!AY197="","",'12 - Deployments &amp; Config'!AY197)</f>
        <v/>
      </c>
      <c r="T192" s="32" t="str">
        <f>IF('12 - Deployments &amp; Config'!AW197="","",'12 - Deployments &amp; Config'!AW197)</f>
        <v/>
      </c>
      <c r="U192" s="32" t="str">
        <f>IF('12 - Deployments &amp; Config'!AX197="","",'12 - Deployments &amp; Config'!AX197)</f>
        <v/>
      </c>
      <c r="V192" s="32" t="str">
        <f>IF('12 - Deployments &amp; Config'!BB197="","",'12 - Deployments &amp; Config'!BB197)</f>
        <v/>
      </c>
      <c r="W192" s="32" t="str">
        <f>IF('12 - Deployments &amp; Config'!BD197="","",'12 - Deployments &amp; Config'!BD197)</f>
        <v/>
      </c>
      <c r="X192" s="32" t="str">
        <f>IF('12 - Deployments &amp; Config'!BL197="","",'12 - Deployments &amp; Config'!BL197)</f>
        <v/>
      </c>
      <c r="Y192" s="32" t="str">
        <f>IF('12 - Deployments &amp; Config'!BC197="","",'12 - Deployments &amp; Config'!BC197)</f>
        <v/>
      </c>
      <c r="Z192" s="32" t="str">
        <f>IF('12 - Deployments &amp; Config'!P197="","",'12 - Deployments &amp; Config'!P197)</f>
        <v/>
      </c>
      <c r="AA192" s="32" t="str">
        <f>IF('12 - Deployments &amp; Config'!Q197="","",'12 - Deployments &amp; Config'!Q197)</f>
        <v/>
      </c>
    </row>
    <row r="193" spans="1:27">
      <c r="A193" s="33"/>
      <c r="B193" s="33"/>
      <c r="C193" s="32" t="str">
        <f>IF('12 - Deployments &amp; Config'!H198="","",'12 - Deployments &amp; Config'!H198)</f>
        <v/>
      </c>
      <c r="D193" s="32" t="str">
        <f>IF('12 - Deployments &amp; Config'!AF198="","",'12 - Deployments &amp; Config'!AF198)</f>
        <v/>
      </c>
      <c r="E193" s="32" t="str">
        <f>IF('12 - Deployments &amp; Config'!AG198="","",'12 - Deployments &amp; Config'!AG198)</f>
        <v/>
      </c>
      <c r="F193" s="32" t="str">
        <f>IF('12 - Deployments &amp; Config'!AH198="","",'12 - Deployments &amp; Config'!AH198)</f>
        <v/>
      </c>
      <c r="G193" s="32" t="str">
        <f>IF('12 - Deployments &amp; Config'!AI198="","",'12 - Deployments &amp; Config'!AI198)</f>
        <v/>
      </c>
      <c r="H193" s="32" t="str">
        <f>IF('12 - Deployments &amp; Config'!A198="","",'12 - Deployments &amp; Config'!A198)</f>
        <v/>
      </c>
      <c r="I193" s="32" t="str">
        <f>IF('12 - Deployments &amp; Config'!AJ198="","",'12 - Deployments &amp; Config'!AJ198)</f>
        <v/>
      </c>
      <c r="J193" s="32" t="str">
        <f>IF('12 - Deployments &amp; Config'!AK198="","",'12 - Deployments &amp; Config'!AK198)</f>
        <v/>
      </c>
      <c r="K193" s="32" t="str">
        <f>IF('12 - Deployments &amp; Config'!AA198="","",'12 - Deployments &amp; Config'!AA198)</f>
        <v/>
      </c>
      <c r="L193" s="32" t="str">
        <f>IF('12 - Deployments &amp; Config'!I198="","",'12 - Deployments &amp; Config'!I198)</f>
        <v/>
      </c>
      <c r="M193" s="33"/>
      <c r="N193" s="32" t="str">
        <f>IF('12 - Deployments &amp; Config'!J198="","",'12 - Deployments &amp; Config'!J198)</f>
        <v/>
      </c>
      <c r="O193" s="32" t="str">
        <f>IF('12 - Deployments &amp; Config'!K198="","",'12 - Deployments &amp; Config'!K198)</f>
        <v/>
      </c>
      <c r="P193" s="32" t="str">
        <f>IF('12 - Deployments &amp; Config'!L198="","",'12 - Deployments &amp; Config'!L198)</f>
        <v/>
      </c>
      <c r="Q193" s="33"/>
      <c r="R193" s="32" t="str">
        <f>IF('12 - Deployments &amp; Config'!AZ198="","",'12 - Deployments &amp; Config'!AZ198)</f>
        <v/>
      </c>
      <c r="S193" s="32" t="str">
        <f>IF('12 - Deployments &amp; Config'!AY198="","",'12 - Deployments &amp; Config'!AY198)</f>
        <v/>
      </c>
      <c r="T193" s="32" t="str">
        <f>IF('12 - Deployments &amp; Config'!AW198="","",'12 - Deployments &amp; Config'!AW198)</f>
        <v/>
      </c>
      <c r="U193" s="32" t="str">
        <f>IF('12 - Deployments &amp; Config'!AX198="","",'12 - Deployments &amp; Config'!AX198)</f>
        <v/>
      </c>
      <c r="V193" s="32" t="str">
        <f>IF('12 - Deployments &amp; Config'!BB198="","",'12 - Deployments &amp; Config'!BB198)</f>
        <v/>
      </c>
      <c r="W193" s="32" t="str">
        <f>IF('12 - Deployments &amp; Config'!BD198="","",'12 - Deployments &amp; Config'!BD198)</f>
        <v/>
      </c>
      <c r="X193" s="32" t="str">
        <f>IF('12 - Deployments &amp; Config'!BL198="","",'12 - Deployments &amp; Config'!BL198)</f>
        <v/>
      </c>
      <c r="Y193" s="32" t="str">
        <f>IF('12 - Deployments &amp; Config'!BC198="","",'12 - Deployments &amp; Config'!BC198)</f>
        <v/>
      </c>
      <c r="Z193" s="32" t="str">
        <f>IF('12 - Deployments &amp; Config'!P198="","",'12 - Deployments &amp; Config'!P198)</f>
        <v/>
      </c>
      <c r="AA193" s="32" t="str">
        <f>IF('12 - Deployments &amp; Config'!Q198="","",'12 - Deployments &amp; Config'!Q198)</f>
        <v/>
      </c>
    </row>
    <row r="194" spans="1:27">
      <c r="A194" s="33"/>
      <c r="B194" s="33"/>
      <c r="C194" s="32" t="str">
        <f>IF('12 - Deployments &amp; Config'!H199="","",'12 - Deployments &amp; Config'!H199)</f>
        <v/>
      </c>
      <c r="D194" s="32" t="str">
        <f>IF('12 - Deployments &amp; Config'!AF199="","",'12 - Deployments &amp; Config'!AF199)</f>
        <v/>
      </c>
      <c r="E194" s="32" t="str">
        <f>IF('12 - Deployments &amp; Config'!AG199="","",'12 - Deployments &amp; Config'!AG199)</f>
        <v/>
      </c>
      <c r="F194" s="32" t="str">
        <f>IF('12 - Deployments &amp; Config'!AH199="","",'12 - Deployments &amp; Config'!AH199)</f>
        <v/>
      </c>
      <c r="G194" s="32" t="str">
        <f>IF('12 - Deployments &amp; Config'!AI199="","",'12 - Deployments &amp; Config'!AI199)</f>
        <v/>
      </c>
      <c r="H194" s="32" t="str">
        <f>IF('12 - Deployments &amp; Config'!A199="","",'12 - Deployments &amp; Config'!A199)</f>
        <v/>
      </c>
      <c r="I194" s="32" t="str">
        <f>IF('12 - Deployments &amp; Config'!AJ199="","",'12 - Deployments &amp; Config'!AJ199)</f>
        <v/>
      </c>
      <c r="J194" s="32" t="str">
        <f>IF('12 - Deployments &amp; Config'!AK199="","",'12 - Deployments &amp; Config'!AK199)</f>
        <v/>
      </c>
      <c r="K194" s="32" t="str">
        <f>IF('12 - Deployments &amp; Config'!AA199="","",'12 - Deployments &amp; Config'!AA199)</f>
        <v/>
      </c>
      <c r="L194" s="32" t="str">
        <f>IF('12 - Deployments &amp; Config'!I199="","",'12 - Deployments &amp; Config'!I199)</f>
        <v/>
      </c>
      <c r="M194" s="33"/>
      <c r="N194" s="32" t="str">
        <f>IF('12 - Deployments &amp; Config'!J199="","",'12 - Deployments &amp; Config'!J199)</f>
        <v/>
      </c>
      <c r="O194" s="32" t="str">
        <f>IF('12 - Deployments &amp; Config'!K199="","",'12 - Deployments &amp; Config'!K199)</f>
        <v/>
      </c>
      <c r="P194" s="32" t="str">
        <f>IF('12 - Deployments &amp; Config'!L199="","",'12 - Deployments &amp; Config'!L199)</f>
        <v/>
      </c>
      <c r="Q194" s="33"/>
      <c r="R194" s="32" t="str">
        <f>IF('12 - Deployments &amp; Config'!AZ199="","",'12 - Deployments &amp; Config'!AZ199)</f>
        <v/>
      </c>
      <c r="S194" s="32" t="str">
        <f>IF('12 - Deployments &amp; Config'!AY199="","",'12 - Deployments &amp; Config'!AY199)</f>
        <v/>
      </c>
      <c r="T194" s="32" t="str">
        <f>IF('12 - Deployments &amp; Config'!AW199="","",'12 - Deployments &amp; Config'!AW199)</f>
        <v/>
      </c>
      <c r="U194" s="32" t="str">
        <f>IF('12 - Deployments &amp; Config'!AX199="","",'12 - Deployments &amp; Config'!AX199)</f>
        <v/>
      </c>
      <c r="V194" s="32" t="str">
        <f>IF('12 - Deployments &amp; Config'!BB199="","",'12 - Deployments &amp; Config'!BB199)</f>
        <v/>
      </c>
      <c r="W194" s="32" t="str">
        <f>IF('12 - Deployments &amp; Config'!BD199="","",'12 - Deployments &amp; Config'!BD199)</f>
        <v/>
      </c>
      <c r="X194" s="32" t="str">
        <f>IF('12 - Deployments &amp; Config'!BL199="","",'12 - Deployments &amp; Config'!BL199)</f>
        <v/>
      </c>
      <c r="Y194" s="32" t="str">
        <f>IF('12 - Deployments &amp; Config'!BC199="","",'12 - Deployments &amp; Config'!BC199)</f>
        <v/>
      </c>
      <c r="Z194" s="32" t="str">
        <f>IF('12 - Deployments &amp; Config'!P199="","",'12 - Deployments &amp; Config'!P199)</f>
        <v/>
      </c>
      <c r="AA194" s="32" t="str">
        <f>IF('12 - Deployments &amp; Config'!Q199="","",'12 - Deployments &amp; Config'!Q199)</f>
        <v/>
      </c>
    </row>
    <row r="195" spans="1:27">
      <c r="A195" s="33"/>
      <c r="B195" s="33"/>
      <c r="C195" s="32" t="str">
        <f>IF('12 - Deployments &amp; Config'!H200="","",'12 - Deployments &amp; Config'!H200)</f>
        <v/>
      </c>
      <c r="D195" s="32" t="str">
        <f>IF('12 - Deployments &amp; Config'!AF200="","",'12 - Deployments &amp; Config'!AF200)</f>
        <v/>
      </c>
      <c r="E195" s="32" t="str">
        <f>IF('12 - Deployments &amp; Config'!AG200="","",'12 - Deployments &amp; Config'!AG200)</f>
        <v/>
      </c>
      <c r="F195" s="32" t="str">
        <f>IF('12 - Deployments &amp; Config'!AH200="","",'12 - Deployments &amp; Config'!AH200)</f>
        <v/>
      </c>
      <c r="G195" s="32" t="str">
        <f>IF('12 - Deployments &amp; Config'!AI200="","",'12 - Deployments &amp; Config'!AI200)</f>
        <v/>
      </c>
      <c r="H195" s="32" t="str">
        <f>IF('12 - Deployments &amp; Config'!A200="","",'12 - Deployments &amp; Config'!A200)</f>
        <v/>
      </c>
      <c r="I195" s="32" t="str">
        <f>IF('12 - Deployments &amp; Config'!AJ200="","",'12 - Deployments &amp; Config'!AJ200)</f>
        <v/>
      </c>
      <c r="J195" s="32" t="str">
        <f>IF('12 - Deployments &amp; Config'!AK200="","",'12 - Deployments &amp; Config'!AK200)</f>
        <v/>
      </c>
      <c r="K195" s="32" t="str">
        <f>IF('12 - Deployments &amp; Config'!AA200="","",'12 - Deployments &amp; Config'!AA200)</f>
        <v/>
      </c>
      <c r="L195" s="32" t="str">
        <f>IF('12 - Deployments &amp; Config'!I200="","",'12 - Deployments &amp; Config'!I200)</f>
        <v/>
      </c>
      <c r="M195" s="33"/>
      <c r="N195" s="32" t="str">
        <f>IF('12 - Deployments &amp; Config'!J200="","",'12 - Deployments &amp; Config'!J200)</f>
        <v/>
      </c>
      <c r="O195" s="32" t="str">
        <f>IF('12 - Deployments &amp; Config'!K200="","",'12 - Deployments &amp; Config'!K200)</f>
        <v/>
      </c>
      <c r="P195" s="32" t="str">
        <f>IF('12 - Deployments &amp; Config'!L200="","",'12 - Deployments &amp; Config'!L200)</f>
        <v/>
      </c>
      <c r="Q195" s="33"/>
      <c r="R195" s="32" t="str">
        <f>IF('12 - Deployments &amp; Config'!AZ200="","",'12 - Deployments &amp; Config'!AZ200)</f>
        <v/>
      </c>
      <c r="S195" s="32" t="str">
        <f>IF('12 - Deployments &amp; Config'!AY200="","",'12 - Deployments &amp; Config'!AY200)</f>
        <v/>
      </c>
      <c r="T195" s="32" t="str">
        <f>IF('12 - Deployments &amp; Config'!AW200="","",'12 - Deployments &amp; Config'!AW200)</f>
        <v/>
      </c>
      <c r="U195" s="32" t="str">
        <f>IF('12 - Deployments &amp; Config'!AX200="","",'12 - Deployments &amp; Config'!AX200)</f>
        <v/>
      </c>
      <c r="V195" s="32" t="str">
        <f>IF('12 - Deployments &amp; Config'!BB200="","",'12 - Deployments &amp; Config'!BB200)</f>
        <v/>
      </c>
      <c r="W195" s="32" t="str">
        <f>IF('12 - Deployments &amp; Config'!BD200="","",'12 - Deployments &amp; Config'!BD200)</f>
        <v/>
      </c>
      <c r="X195" s="32" t="str">
        <f>IF('12 - Deployments &amp; Config'!BL200="","",'12 - Deployments &amp; Config'!BL200)</f>
        <v/>
      </c>
      <c r="Y195" s="32" t="str">
        <f>IF('12 - Deployments &amp; Config'!BC200="","",'12 - Deployments &amp; Config'!BC200)</f>
        <v/>
      </c>
      <c r="Z195" s="32" t="str">
        <f>IF('12 - Deployments &amp; Config'!P200="","",'12 - Deployments &amp; Config'!P200)</f>
        <v/>
      </c>
      <c r="AA195" s="32" t="str">
        <f>IF('12 - Deployments &amp; Config'!Q200="","",'12 - Deployments &amp; Config'!Q200)</f>
        <v/>
      </c>
    </row>
    <row r="196" spans="1:27">
      <c r="A196" s="33"/>
      <c r="B196" s="33"/>
      <c r="C196" s="32" t="str">
        <f>IF('12 - Deployments &amp; Config'!H201="","",'12 - Deployments &amp; Config'!H201)</f>
        <v/>
      </c>
      <c r="D196" s="32" t="str">
        <f>IF('12 - Deployments &amp; Config'!AF201="","",'12 - Deployments &amp; Config'!AF201)</f>
        <v/>
      </c>
      <c r="E196" s="32" t="str">
        <f>IF('12 - Deployments &amp; Config'!AG201="","",'12 - Deployments &amp; Config'!AG201)</f>
        <v/>
      </c>
      <c r="F196" s="32" t="str">
        <f>IF('12 - Deployments &amp; Config'!AH201="","",'12 - Deployments &amp; Config'!AH201)</f>
        <v/>
      </c>
      <c r="G196" s="32" t="str">
        <f>IF('12 - Deployments &amp; Config'!AI201="","",'12 - Deployments &amp; Config'!AI201)</f>
        <v/>
      </c>
      <c r="H196" s="32" t="str">
        <f>IF('12 - Deployments &amp; Config'!A201="","",'12 - Deployments &amp; Config'!A201)</f>
        <v/>
      </c>
      <c r="I196" s="32" t="str">
        <f>IF('12 - Deployments &amp; Config'!AJ201="","",'12 - Deployments &amp; Config'!AJ201)</f>
        <v/>
      </c>
      <c r="J196" s="32" t="str">
        <f>IF('12 - Deployments &amp; Config'!AK201="","",'12 - Deployments &amp; Config'!AK201)</f>
        <v/>
      </c>
      <c r="K196" s="32" t="str">
        <f>IF('12 - Deployments &amp; Config'!AA201="","",'12 - Deployments &amp; Config'!AA201)</f>
        <v/>
      </c>
      <c r="L196" s="32" t="str">
        <f>IF('12 - Deployments &amp; Config'!I201="","",'12 - Deployments &amp; Config'!I201)</f>
        <v/>
      </c>
      <c r="M196" s="33"/>
      <c r="N196" s="32" t="str">
        <f>IF('12 - Deployments &amp; Config'!J201="","",'12 - Deployments &amp; Config'!J201)</f>
        <v/>
      </c>
      <c r="O196" s="32" t="str">
        <f>IF('12 - Deployments &amp; Config'!K201="","",'12 - Deployments &amp; Config'!K201)</f>
        <v/>
      </c>
      <c r="P196" s="32" t="str">
        <f>IF('12 - Deployments &amp; Config'!L201="","",'12 - Deployments &amp; Config'!L201)</f>
        <v/>
      </c>
      <c r="Q196" s="33"/>
      <c r="R196" s="32" t="str">
        <f>IF('12 - Deployments &amp; Config'!AZ201="","",'12 - Deployments &amp; Config'!AZ201)</f>
        <v/>
      </c>
      <c r="S196" s="32" t="str">
        <f>IF('12 - Deployments &amp; Config'!AY201="","",'12 - Deployments &amp; Config'!AY201)</f>
        <v/>
      </c>
      <c r="T196" s="32" t="str">
        <f>IF('12 - Deployments &amp; Config'!AW201="","",'12 - Deployments &amp; Config'!AW201)</f>
        <v/>
      </c>
      <c r="U196" s="32" t="str">
        <f>IF('12 - Deployments &amp; Config'!AX201="","",'12 - Deployments &amp; Config'!AX201)</f>
        <v/>
      </c>
      <c r="V196" s="32" t="str">
        <f>IF('12 - Deployments &amp; Config'!BB201="","",'12 - Deployments &amp; Config'!BB201)</f>
        <v/>
      </c>
      <c r="W196" s="32" t="str">
        <f>IF('12 - Deployments &amp; Config'!BD201="","",'12 - Deployments &amp; Config'!BD201)</f>
        <v/>
      </c>
      <c r="X196" s="32" t="str">
        <f>IF('12 - Deployments &amp; Config'!BL201="","",'12 - Deployments &amp; Config'!BL201)</f>
        <v/>
      </c>
      <c r="Y196" s="32" t="str">
        <f>IF('12 - Deployments &amp; Config'!BC201="","",'12 - Deployments &amp; Config'!BC201)</f>
        <v/>
      </c>
      <c r="Z196" s="32" t="str">
        <f>IF('12 - Deployments &amp; Config'!P201="","",'12 - Deployments &amp; Config'!P201)</f>
        <v/>
      </c>
      <c r="AA196" s="32" t="str">
        <f>IF('12 - Deployments &amp; Config'!Q201="","",'12 - Deployments &amp; Config'!Q201)</f>
        <v/>
      </c>
    </row>
    <row r="197" spans="1:27">
      <c r="A197" s="33"/>
      <c r="B197" s="33"/>
      <c r="C197" s="32" t="str">
        <f>IF('12 - Deployments &amp; Config'!H202="","",'12 - Deployments &amp; Config'!H202)</f>
        <v/>
      </c>
      <c r="D197" s="32" t="str">
        <f>IF('12 - Deployments &amp; Config'!AF202="","",'12 - Deployments &amp; Config'!AF202)</f>
        <v/>
      </c>
      <c r="E197" s="32" t="str">
        <f>IF('12 - Deployments &amp; Config'!AG202="","",'12 - Deployments &amp; Config'!AG202)</f>
        <v/>
      </c>
      <c r="F197" s="32" t="str">
        <f>IF('12 - Deployments &amp; Config'!AH202="","",'12 - Deployments &amp; Config'!AH202)</f>
        <v/>
      </c>
      <c r="G197" s="32" t="str">
        <f>IF('12 - Deployments &amp; Config'!AI202="","",'12 - Deployments &amp; Config'!AI202)</f>
        <v/>
      </c>
      <c r="H197" s="32" t="str">
        <f>IF('12 - Deployments &amp; Config'!A202="","",'12 - Deployments &amp; Config'!A202)</f>
        <v/>
      </c>
      <c r="I197" s="32" t="str">
        <f>IF('12 - Deployments &amp; Config'!AJ202="","",'12 - Deployments &amp; Config'!AJ202)</f>
        <v/>
      </c>
      <c r="J197" s="32" t="str">
        <f>IF('12 - Deployments &amp; Config'!AK202="","",'12 - Deployments &amp; Config'!AK202)</f>
        <v/>
      </c>
      <c r="K197" s="32" t="str">
        <f>IF('12 - Deployments &amp; Config'!AA202="","",'12 - Deployments &amp; Config'!AA202)</f>
        <v/>
      </c>
      <c r="L197" s="32" t="str">
        <f>IF('12 - Deployments &amp; Config'!I202="","",'12 - Deployments &amp; Config'!I202)</f>
        <v/>
      </c>
      <c r="M197" s="33"/>
      <c r="N197" s="32" t="str">
        <f>IF('12 - Deployments &amp; Config'!J202="","",'12 - Deployments &amp; Config'!J202)</f>
        <v/>
      </c>
      <c r="O197" s="32" t="str">
        <f>IF('12 - Deployments &amp; Config'!K202="","",'12 - Deployments &amp; Config'!K202)</f>
        <v/>
      </c>
      <c r="P197" s="32" t="str">
        <f>IF('12 - Deployments &amp; Config'!L202="","",'12 - Deployments &amp; Config'!L202)</f>
        <v/>
      </c>
      <c r="Q197" s="33"/>
      <c r="R197" s="32" t="str">
        <f>IF('12 - Deployments &amp; Config'!AZ202="","",'12 - Deployments &amp; Config'!AZ202)</f>
        <v/>
      </c>
      <c r="S197" s="32" t="str">
        <f>IF('12 - Deployments &amp; Config'!AY202="","",'12 - Deployments &amp; Config'!AY202)</f>
        <v/>
      </c>
      <c r="T197" s="32" t="str">
        <f>IF('12 - Deployments &amp; Config'!AW202="","",'12 - Deployments &amp; Config'!AW202)</f>
        <v/>
      </c>
      <c r="U197" s="32" t="str">
        <f>IF('12 - Deployments &amp; Config'!AX202="","",'12 - Deployments &amp; Config'!AX202)</f>
        <v/>
      </c>
      <c r="V197" s="32" t="str">
        <f>IF('12 - Deployments &amp; Config'!BB202="","",'12 - Deployments &amp; Config'!BB202)</f>
        <v/>
      </c>
      <c r="W197" s="32" t="str">
        <f>IF('12 - Deployments &amp; Config'!BD202="","",'12 - Deployments &amp; Config'!BD202)</f>
        <v/>
      </c>
      <c r="X197" s="32" t="str">
        <f>IF('12 - Deployments &amp; Config'!BL202="","",'12 - Deployments &amp; Config'!BL202)</f>
        <v/>
      </c>
      <c r="Y197" s="32" t="str">
        <f>IF('12 - Deployments &amp; Config'!BC202="","",'12 - Deployments &amp; Config'!BC202)</f>
        <v/>
      </c>
      <c r="Z197" s="32" t="str">
        <f>IF('12 - Deployments &amp; Config'!P202="","",'12 - Deployments &amp; Config'!P202)</f>
        <v/>
      </c>
      <c r="AA197" s="32" t="str">
        <f>IF('12 - Deployments &amp; Config'!Q202="","",'12 - Deployments &amp; Config'!Q202)</f>
        <v/>
      </c>
    </row>
    <row r="198" spans="1:27">
      <c r="A198" s="33"/>
      <c r="B198" s="33"/>
      <c r="C198" s="32" t="str">
        <f>IF('12 - Deployments &amp; Config'!H203="","",'12 - Deployments &amp; Config'!H203)</f>
        <v/>
      </c>
      <c r="D198" s="32" t="str">
        <f>IF('12 - Deployments &amp; Config'!AF203="","",'12 - Deployments &amp; Config'!AF203)</f>
        <v/>
      </c>
      <c r="E198" s="32" t="str">
        <f>IF('12 - Deployments &amp; Config'!AG203="","",'12 - Deployments &amp; Config'!AG203)</f>
        <v/>
      </c>
      <c r="F198" s="32" t="str">
        <f>IF('12 - Deployments &amp; Config'!AH203="","",'12 - Deployments &amp; Config'!AH203)</f>
        <v/>
      </c>
      <c r="G198" s="32" t="str">
        <f>IF('12 - Deployments &amp; Config'!AI203="","",'12 - Deployments &amp; Config'!AI203)</f>
        <v/>
      </c>
      <c r="H198" s="32" t="str">
        <f>IF('12 - Deployments &amp; Config'!A203="","",'12 - Deployments &amp; Config'!A203)</f>
        <v/>
      </c>
      <c r="I198" s="32" t="str">
        <f>IF('12 - Deployments &amp; Config'!AJ203="","",'12 - Deployments &amp; Config'!AJ203)</f>
        <v/>
      </c>
      <c r="J198" s="32" t="str">
        <f>IF('12 - Deployments &amp; Config'!AK203="","",'12 - Deployments &amp; Config'!AK203)</f>
        <v/>
      </c>
      <c r="K198" s="32" t="str">
        <f>IF('12 - Deployments &amp; Config'!AA203="","",'12 - Deployments &amp; Config'!AA203)</f>
        <v/>
      </c>
      <c r="L198" s="32" t="str">
        <f>IF('12 - Deployments &amp; Config'!I203="","",'12 - Deployments &amp; Config'!I203)</f>
        <v/>
      </c>
      <c r="M198" s="33"/>
      <c r="N198" s="32" t="str">
        <f>IF('12 - Deployments &amp; Config'!J203="","",'12 - Deployments &amp; Config'!J203)</f>
        <v/>
      </c>
      <c r="O198" s="32" t="str">
        <f>IF('12 - Deployments &amp; Config'!K203="","",'12 - Deployments &amp; Config'!K203)</f>
        <v/>
      </c>
      <c r="P198" s="32" t="str">
        <f>IF('12 - Deployments &amp; Config'!L203="","",'12 - Deployments &amp; Config'!L203)</f>
        <v/>
      </c>
      <c r="Q198" s="33"/>
      <c r="R198" s="32" t="str">
        <f>IF('12 - Deployments &amp; Config'!AZ203="","",'12 - Deployments &amp; Config'!AZ203)</f>
        <v/>
      </c>
      <c r="S198" s="32" t="str">
        <f>IF('12 - Deployments &amp; Config'!AY203="","",'12 - Deployments &amp; Config'!AY203)</f>
        <v/>
      </c>
      <c r="T198" s="32" t="str">
        <f>IF('12 - Deployments &amp; Config'!AW203="","",'12 - Deployments &amp; Config'!AW203)</f>
        <v/>
      </c>
      <c r="U198" s="32" t="str">
        <f>IF('12 - Deployments &amp; Config'!AX203="","",'12 - Deployments &amp; Config'!AX203)</f>
        <v/>
      </c>
      <c r="V198" s="32" t="str">
        <f>IF('12 - Deployments &amp; Config'!BB203="","",'12 - Deployments &amp; Config'!BB203)</f>
        <v/>
      </c>
      <c r="W198" s="32" t="str">
        <f>IF('12 - Deployments &amp; Config'!BD203="","",'12 - Deployments &amp; Config'!BD203)</f>
        <v/>
      </c>
      <c r="X198" s="32" t="str">
        <f>IF('12 - Deployments &amp; Config'!BL203="","",'12 - Deployments &amp; Config'!BL203)</f>
        <v/>
      </c>
      <c r="Y198" s="32" t="str">
        <f>IF('12 - Deployments &amp; Config'!BC203="","",'12 - Deployments &amp; Config'!BC203)</f>
        <v/>
      </c>
      <c r="Z198" s="32" t="str">
        <f>IF('12 - Deployments &amp; Config'!P203="","",'12 - Deployments &amp; Config'!P203)</f>
        <v/>
      </c>
      <c r="AA198" s="32" t="str">
        <f>IF('12 - Deployments &amp; Config'!Q203="","",'12 - Deployments &amp; Config'!Q203)</f>
        <v/>
      </c>
    </row>
    <row r="199" spans="1:27">
      <c r="A199" s="33"/>
      <c r="B199" s="33"/>
      <c r="C199" s="32" t="str">
        <f>IF('12 - Deployments &amp; Config'!H204="","",'12 - Deployments &amp; Config'!H204)</f>
        <v/>
      </c>
      <c r="D199" s="32" t="str">
        <f>IF('12 - Deployments &amp; Config'!AF204="","",'12 - Deployments &amp; Config'!AF204)</f>
        <v/>
      </c>
      <c r="E199" s="32" t="str">
        <f>IF('12 - Deployments &amp; Config'!AG204="","",'12 - Deployments &amp; Config'!AG204)</f>
        <v/>
      </c>
      <c r="F199" s="32" t="str">
        <f>IF('12 - Deployments &amp; Config'!AH204="","",'12 - Deployments &amp; Config'!AH204)</f>
        <v/>
      </c>
      <c r="G199" s="32" t="str">
        <f>IF('12 - Deployments &amp; Config'!AI204="","",'12 - Deployments &amp; Config'!AI204)</f>
        <v/>
      </c>
      <c r="H199" s="32" t="str">
        <f>IF('12 - Deployments &amp; Config'!A204="","",'12 - Deployments &amp; Config'!A204)</f>
        <v/>
      </c>
      <c r="I199" s="32" t="str">
        <f>IF('12 - Deployments &amp; Config'!AJ204="","",'12 - Deployments &amp; Config'!AJ204)</f>
        <v/>
      </c>
      <c r="J199" s="32" t="str">
        <f>IF('12 - Deployments &amp; Config'!AK204="","",'12 - Deployments &amp; Config'!AK204)</f>
        <v/>
      </c>
      <c r="K199" s="32" t="str">
        <f>IF('12 - Deployments &amp; Config'!AA204="","",'12 - Deployments &amp; Config'!AA204)</f>
        <v/>
      </c>
      <c r="L199" s="32" t="str">
        <f>IF('12 - Deployments &amp; Config'!I204="","",'12 - Deployments &amp; Config'!I204)</f>
        <v/>
      </c>
      <c r="M199" s="33"/>
      <c r="N199" s="32" t="str">
        <f>IF('12 - Deployments &amp; Config'!J204="","",'12 - Deployments &amp; Config'!J204)</f>
        <v/>
      </c>
      <c r="O199" s="32" t="str">
        <f>IF('12 - Deployments &amp; Config'!K204="","",'12 - Deployments &amp; Config'!K204)</f>
        <v/>
      </c>
      <c r="P199" s="32" t="str">
        <f>IF('12 - Deployments &amp; Config'!L204="","",'12 - Deployments &amp; Config'!L204)</f>
        <v/>
      </c>
      <c r="Q199" s="33"/>
      <c r="R199" s="32" t="str">
        <f>IF('12 - Deployments &amp; Config'!AZ204="","",'12 - Deployments &amp; Config'!AZ204)</f>
        <v/>
      </c>
      <c r="S199" s="32" t="str">
        <f>IF('12 - Deployments &amp; Config'!AY204="","",'12 - Deployments &amp; Config'!AY204)</f>
        <v/>
      </c>
      <c r="T199" s="32" t="str">
        <f>IF('12 - Deployments &amp; Config'!AW204="","",'12 - Deployments &amp; Config'!AW204)</f>
        <v/>
      </c>
      <c r="U199" s="32" t="str">
        <f>IF('12 - Deployments &amp; Config'!AX204="","",'12 - Deployments &amp; Config'!AX204)</f>
        <v/>
      </c>
      <c r="V199" s="32" t="str">
        <f>IF('12 - Deployments &amp; Config'!BB204="","",'12 - Deployments &amp; Config'!BB204)</f>
        <v/>
      </c>
      <c r="W199" s="32" t="str">
        <f>IF('12 - Deployments &amp; Config'!BD204="","",'12 - Deployments &amp; Config'!BD204)</f>
        <v/>
      </c>
      <c r="X199" s="32" t="str">
        <f>IF('12 - Deployments &amp; Config'!BL204="","",'12 - Deployments &amp; Config'!BL204)</f>
        <v/>
      </c>
      <c r="Y199" s="32" t="str">
        <f>IF('12 - Deployments &amp; Config'!BC204="","",'12 - Deployments &amp; Config'!BC204)</f>
        <v/>
      </c>
      <c r="Z199" s="32" t="str">
        <f>IF('12 - Deployments &amp; Config'!P204="","",'12 - Deployments &amp; Config'!P204)</f>
        <v/>
      </c>
      <c r="AA199" s="32" t="str">
        <f>IF('12 - Deployments &amp; Config'!Q204="","",'12 - Deployments &amp; Config'!Q204)</f>
        <v/>
      </c>
    </row>
    <row r="200" spans="1:27">
      <c r="A200" s="33"/>
      <c r="B200" s="33"/>
      <c r="C200" s="32" t="str">
        <f>IF('12 - Deployments &amp; Config'!H205="","",'12 - Deployments &amp; Config'!H205)</f>
        <v/>
      </c>
      <c r="D200" s="32" t="str">
        <f>IF('12 - Deployments &amp; Config'!AF205="","",'12 - Deployments &amp; Config'!AF205)</f>
        <v/>
      </c>
      <c r="E200" s="32" t="str">
        <f>IF('12 - Deployments &amp; Config'!AG205="","",'12 - Deployments &amp; Config'!AG205)</f>
        <v/>
      </c>
      <c r="F200" s="32" t="str">
        <f>IF('12 - Deployments &amp; Config'!AH205="","",'12 - Deployments &amp; Config'!AH205)</f>
        <v/>
      </c>
      <c r="G200" s="32" t="str">
        <f>IF('12 - Deployments &amp; Config'!AI205="","",'12 - Deployments &amp; Config'!AI205)</f>
        <v/>
      </c>
      <c r="H200" s="32" t="str">
        <f>IF('12 - Deployments &amp; Config'!A205="","",'12 - Deployments &amp; Config'!A205)</f>
        <v/>
      </c>
      <c r="I200" s="32" t="str">
        <f>IF('12 - Deployments &amp; Config'!AJ205="","",'12 - Deployments &amp; Config'!AJ205)</f>
        <v/>
      </c>
      <c r="J200" s="32" t="str">
        <f>IF('12 - Deployments &amp; Config'!AK205="","",'12 - Deployments &amp; Config'!AK205)</f>
        <v/>
      </c>
      <c r="K200" s="32" t="str">
        <f>IF('12 - Deployments &amp; Config'!AA205="","",'12 - Deployments &amp; Config'!AA205)</f>
        <v/>
      </c>
      <c r="L200" s="32" t="str">
        <f>IF('12 - Deployments &amp; Config'!I205="","",'12 - Deployments &amp; Config'!I205)</f>
        <v/>
      </c>
      <c r="M200" s="33"/>
      <c r="N200" s="32" t="str">
        <f>IF('12 - Deployments &amp; Config'!J205="","",'12 - Deployments &amp; Config'!J205)</f>
        <v/>
      </c>
      <c r="O200" s="32" t="str">
        <f>IF('12 - Deployments &amp; Config'!K205="","",'12 - Deployments &amp; Config'!K205)</f>
        <v/>
      </c>
      <c r="P200" s="32" t="str">
        <f>IF('12 - Deployments &amp; Config'!L205="","",'12 - Deployments &amp; Config'!L205)</f>
        <v/>
      </c>
      <c r="Q200" s="33"/>
      <c r="R200" s="32" t="str">
        <f>IF('12 - Deployments &amp; Config'!AZ205="","",'12 - Deployments &amp; Config'!AZ205)</f>
        <v/>
      </c>
      <c r="S200" s="32" t="str">
        <f>IF('12 - Deployments &amp; Config'!AY205="","",'12 - Deployments &amp; Config'!AY205)</f>
        <v/>
      </c>
      <c r="T200" s="32" t="str">
        <f>IF('12 - Deployments &amp; Config'!AW205="","",'12 - Deployments &amp; Config'!AW205)</f>
        <v/>
      </c>
      <c r="U200" s="32" t="str">
        <f>IF('12 - Deployments &amp; Config'!AX205="","",'12 - Deployments &amp; Config'!AX205)</f>
        <v/>
      </c>
      <c r="V200" s="32" t="str">
        <f>IF('12 - Deployments &amp; Config'!BB205="","",'12 - Deployments &amp; Config'!BB205)</f>
        <v/>
      </c>
      <c r="W200" s="32" t="str">
        <f>IF('12 - Deployments &amp; Config'!BD205="","",'12 - Deployments &amp; Config'!BD205)</f>
        <v/>
      </c>
      <c r="X200" s="32" t="str">
        <f>IF('12 - Deployments &amp; Config'!BL205="","",'12 - Deployments &amp; Config'!BL205)</f>
        <v/>
      </c>
      <c r="Y200" s="32" t="str">
        <f>IF('12 - Deployments &amp; Config'!BC205="","",'12 - Deployments &amp; Config'!BC205)</f>
        <v/>
      </c>
      <c r="Z200" s="32" t="str">
        <f>IF('12 - Deployments &amp; Config'!P205="","",'12 - Deployments &amp; Config'!P205)</f>
        <v/>
      </c>
      <c r="AA200" s="32" t="str">
        <f>IF('12 - Deployments &amp; Config'!Q205="","",'12 - Deployments &amp; Config'!Q205)</f>
        <v/>
      </c>
    </row>
    <row r="201" spans="1:27">
      <c r="A201" s="33"/>
      <c r="B201" s="33"/>
      <c r="C201" s="32" t="str">
        <f>IF('12 - Deployments &amp; Config'!H206="","",'12 - Deployments &amp; Config'!H206)</f>
        <v/>
      </c>
      <c r="D201" s="32" t="str">
        <f>IF('12 - Deployments &amp; Config'!AF206="","",'12 - Deployments &amp; Config'!AF206)</f>
        <v/>
      </c>
      <c r="E201" s="32" t="str">
        <f>IF('12 - Deployments &amp; Config'!AG206="","",'12 - Deployments &amp; Config'!AG206)</f>
        <v/>
      </c>
      <c r="F201" s="32" t="str">
        <f>IF('12 - Deployments &amp; Config'!AH206="","",'12 - Deployments &amp; Config'!AH206)</f>
        <v/>
      </c>
      <c r="G201" s="32" t="str">
        <f>IF('12 - Deployments &amp; Config'!AI206="","",'12 - Deployments &amp; Config'!AI206)</f>
        <v/>
      </c>
      <c r="H201" s="32" t="str">
        <f>IF('12 - Deployments &amp; Config'!A206="","",'12 - Deployments &amp; Config'!A206)</f>
        <v/>
      </c>
      <c r="I201" s="32" t="str">
        <f>IF('12 - Deployments &amp; Config'!AJ206="","",'12 - Deployments &amp; Config'!AJ206)</f>
        <v/>
      </c>
      <c r="J201" s="32" t="str">
        <f>IF('12 - Deployments &amp; Config'!AK206="","",'12 - Deployments &amp; Config'!AK206)</f>
        <v/>
      </c>
      <c r="K201" s="32" t="str">
        <f>IF('12 - Deployments &amp; Config'!AA206="","",'12 - Deployments &amp; Config'!AA206)</f>
        <v/>
      </c>
      <c r="L201" s="32" t="str">
        <f>IF('12 - Deployments &amp; Config'!I206="","",'12 - Deployments &amp; Config'!I206)</f>
        <v/>
      </c>
      <c r="M201" s="33"/>
      <c r="N201" s="32" t="str">
        <f>IF('12 - Deployments &amp; Config'!J206="","",'12 - Deployments &amp; Config'!J206)</f>
        <v/>
      </c>
      <c r="O201" s="32" t="str">
        <f>IF('12 - Deployments &amp; Config'!K206="","",'12 - Deployments &amp; Config'!K206)</f>
        <v/>
      </c>
      <c r="P201" s="32" t="str">
        <f>IF('12 - Deployments &amp; Config'!L206="","",'12 - Deployments &amp; Config'!L206)</f>
        <v/>
      </c>
      <c r="Q201" s="33"/>
      <c r="R201" s="32" t="str">
        <f>IF('12 - Deployments &amp; Config'!AZ206="","",'12 - Deployments &amp; Config'!AZ206)</f>
        <v/>
      </c>
      <c r="S201" s="32" t="str">
        <f>IF('12 - Deployments &amp; Config'!AY206="","",'12 - Deployments &amp; Config'!AY206)</f>
        <v/>
      </c>
      <c r="T201" s="32" t="str">
        <f>IF('12 - Deployments &amp; Config'!AW206="","",'12 - Deployments &amp; Config'!AW206)</f>
        <v/>
      </c>
      <c r="U201" s="32" t="str">
        <f>IF('12 - Deployments &amp; Config'!AX206="","",'12 - Deployments &amp; Config'!AX206)</f>
        <v/>
      </c>
      <c r="V201" s="32" t="str">
        <f>IF('12 - Deployments &amp; Config'!BB206="","",'12 - Deployments &amp; Config'!BB206)</f>
        <v/>
      </c>
      <c r="W201" s="32" t="str">
        <f>IF('12 - Deployments &amp; Config'!BD206="","",'12 - Deployments &amp; Config'!BD206)</f>
        <v/>
      </c>
      <c r="X201" s="32" t="str">
        <f>IF('12 - Deployments &amp; Config'!BL206="","",'12 - Deployments &amp; Config'!BL206)</f>
        <v/>
      </c>
      <c r="Y201" s="32" t="str">
        <f>IF('12 - Deployments &amp; Config'!BC206="","",'12 - Deployments &amp; Config'!BC206)</f>
        <v/>
      </c>
      <c r="Z201" s="32" t="str">
        <f>IF('12 - Deployments &amp; Config'!P206="","",'12 - Deployments &amp; Config'!P206)</f>
        <v/>
      </c>
      <c r="AA201" s="32" t="str">
        <f>IF('12 - Deployments &amp; Config'!Q206="","",'12 - Deployments &amp; Config'!Q206)</f>
        <v/>
      </c>
    </row>
    <row r="202" spans="1:27">
      <c r="A202" s="33"/>
      <c r="B202" s="33"/>
      <c r="C202" s="32" t="str">
        <f>IF('12 - Deployments &amp; Config'!H207="","",'12 - Deployments &amp; Config'!H207)</f>
        <v/>
      </c>
      <c r="D202" s="32" t="str">
        <f>IF('12 - Deployments &amp; Config'!AF207="","",'12 - Deployments &amp; Config'!AF207)</f>
        <v/>
      </c>
      <c r="E202" s="32" t="str">
        <f>IF('12 - Deployments &amp; Config'!AG207="","",'12 - Deployments &amp; Config'!AG207)</f>
        <v/>
      </c>
      <c r="F202" s="32" t="str">
        <f>IF('12 - Deployments &amp; Config'!AH207="","",'12 - Deployments &amp; Config'!AH207)</f>
        <v/>
      </c>
      <c r="G202" s="32" t="str">
        <f>IF('12 - Deployments &amp; Config'!AI207="","",'12 - Deployments &amp; Config'!AI207)</f>
        <v/>
      </c>
      <c r="H202" s="32" t="str">
        <f>IF('12 - Deployments &amp; Config'!A207="","",'12 - Deployments &amp; Config'!A207)</f>
        <v/>
      </c>
      <c r="I202" s="32" t="str">
        <f>IF('12 - Deployments &amp; Config'!AJ207="","",'12 - Deployments &amp; Config'!AJ207)</f>
        <v/>
      </c>
      <c r="J202" s="32" t="str">
        <f>IF('12 - Deployments &amp; Config'!AK207="","",'12 - Deployments &amp; Config'!AK207)</f>
        <v/>
      </c>
      <c r="K202" s="32" t="str">
        <f>IF('12 - Deployments &amp; Config'!AA207="","",'12 - Deployments &amp; Config'!AA207)</f>
        <v/>
      </c>
      <c r="L202" s="32" t="str">
        <f>IF('12 - Deployments &amp; Config'!I207="","",'12 - Deployments &amp; Config'!I207)</f>
        <v/>
      </c>
      <c r="M202" s="33"/>
      <c r="N202" s="32" t="str">
        <f>IF('12 - Deployments &amp; Config'!J207="","",'12 - Deployments &amp; Config'!J207)</f>
        <v/>
      </c>
      <c r="O202" s="32" t="str">
        <f>IF('12 - Deployments &amp; Config'!K207="","",'12 - Deployments &amp; Config'!K207)</f>
        <v/>
      </c>
      <c r="P202" s="32" t="str">
        <f>IF('12 - Deployments &amp; Config'!L207="","",'12 - Deployments &amp; Config'!L207)</f>
        <v/>
      </c>
      <c r="Q202" s="33"/>
      <c r="R202" s="32" t="str">
        <f>IF('12 - Deployments &amp; Config'!AZ207="","",'12 - Deployments &amp; Config'!AZ207)</f>
        <v/>
      </c>
      <c r="S202" s="32" t="str">
        <f>IF('12 - Deployments &amp; Config'!AY207="","",'12 - Deployments &amp; Config'!AY207)</f>
        <v/>
      </c>
      <c r="T202" s="32" t="str">
        <f>IF('12 - Deployments &amp; Config'!AW207="","",'12 - Deployments &amp; Config'!AW207)</f>
        <v/>
      </c>
      <c r="U202" s="32" t="str">
        <f>IF('12 - Deployments &amp; Config'!AX207="","",'12 - Deployments &amp; Config'!AX207)</f>
        <v/>
      </c>
      <c r="V202" s="32" t="str">
        <f>IF('12 - Deployments &amp; Config'!BB207="","",'12 - Deployments &amp; Config'!BB207)</f>
        <v/>
      </c>
      <c r="W202" s="32" t="str">
        <f>IF('12 - Deployments &amp; Config'!BD207="","",'12 - Deployments &amp; Config'!BD207)</f>
        <v/>
      </c>
      <c r="X202" s="32" t="str">
        <f>IF('12 - Deployments &amp; Config'!BL207="","",'12 - Deployments &amp; Config'!BL207)</f>
        <v/>
      </c>
      <c r="Y202" s="32" t="str">
        <f>IF('12 - Deployments &amp; Config'!BC207="","",'12 - Deployments &amp; Config'!BC207)</f>
        <v/>
      </c>
      <c r="Z202" s="32" t="str">
        <f>IF('12 - Deployments &amp; Config'!P207="","",'12 - Deployments &amp; Config'!P207)</f>
        <v/>
      </c>
      <c r="AA202" s="32" t="str">
        <f>IF('12 - Deployments &amp; Config'!Q207="","",'12 - Deployments &amp; Config'!Q207)</f>
        <v/>
      </c>
    </row>
    <row r="203" spans="1:27">
      <c r="A203" s="33"/>
      <c r="B203" s="33"/>
      <c r="C203" s="32" t="str">
        <f>IF('12 - Deployments &amp; Config'!H208="","",'12 - Deployments &amp; Config'!H208)</f>
        <v/>
      </c>
      <c r="D203" s="32" t="str">
        <f>IF('12 - Deployments &amp; Config'!AF208="","",'12 - Deployments &amp; Config'!AF208)</f>
        <v/>
      </c>
      <c r="E203" s="32" t="str">
        <f>IF('12 - Deployments &amp; Config'!AG208="","",'12 - Deployments &amp; Config'!AG208)</f>
        <v/>
      </c>
      <c r="F203" s="32" t="str">
        <f>IF('12 - Deployments &amp; Config'!AH208="","",'12 - Deployments &amp; Config'!AH208)</f>
        <v/>
      </c>
      <c r="G203" s="32" t="str">
        <f>IF('12 - Deployments &amp; Config'!AI208="","",'12 - Deployments &amp; Config'!AI208)</f>
        <v/>
      </c>
      <c r="H203" s="32" t="str">
        <f>IF('12 - Deployments &amp; Config'!A208="","",'12 - Deployments &amp; Config'!A208)</f>
        <v/>
      </c>
      <c r="I203" s="32" t="str">
        <f>IF('12 - Deployments &amp; Config'!AJ208="","",'12 - Deployments &amp; Config'!AJ208)</f>
        <v/>
      </c>
      <c r="J203" s="32" t="str">
        <f>IF('12 - Deployments &amp; Config'!AK208="","",'12 - Deployments &amp; Config'!AK208)</f>
        <v/>
      </c>
      <c r="K203" s="32" t="str">
        <f>IF('12 - Deployments &amp; Config'!AA208="","",'12 - Deployments &amp; Config'!AA208)</f>
        <v/>
      </c>
      <c r="L203" s="32" t="str">
        <f>IF('12 - Deployments &amp; Config'!I208="","",'12 - Deployments &amp; Config'!I208)</f>
        <v/>
      </c>
      <c r="M203" s="33"/>
      <c r="N203" s="32" t="str">
        <f>IF('12 - Deployments &amp; Config'!J208="","",'12 - Deployments &amp; Config'!J208)</f>
        <v/>
      </c>
      <c r="O203" s="32" t="str">
        <f>IF('12 - Deployments &amp; Config'!K208="","",'12 - Deployments &amp; Config'!K208)</f>
        <v/>
      </c>
      <c r="P203" s="32" t="str">
        <f>IF('12 - Deployments &amp; Config'!L208="","",'12 - Deployments &amp; Config'!L208)</f>
        <v/>
      </c>
      <c r="Q203" s="33"/>
      <c r="R203" s="32" t="str">
        <f>IF('12 - Deployments &amp; Config'!AZ208="","",'12 - Deployments &amp; Config'!AZ208)</f>
        <v/>
      </c>
      <c r="S203" s="32" t="str">
        <f>IF('12 - Deployments &amp; Config'!AY208="","",'12 - Deployments &amp; Config'!AY208)</f>
        <v/>
      </c>
      <c r="T203" s="32" t="str">
        <f>IF('12 - Deployments &amp; Config'!AW208="","",'12 - Deployments &amp; Config'!AW208)</f>
        <v/>
      </c>
      <c r="U203" s="32" t="str">
        <f>IF('12 - Deployments &amp; Config'!AX208="","",'12 - Deployments &amp; Config'!AX208)</f>
        <v/>
      </c>
      <c r="V203" s="32" t="str">
        <f>IF('12 - Deployments &amp; Config'!BB208="","",'12 - Deployments &amp; Config'!BB208)</f>
        <v/>
      </c>
      <c r="W203" s="32" t="str">
        <f>IF('12 - Deployments &amp; Config'!BD208="","",'12 - Deployments &amp; Config'!BD208)</f>
        <v/>
      </c>
      <c r="X203" s="32" t="str">
        <f>IF('12 - Deployments &amp; Config'!BL208="","",'12 - Deployments &amp; Config'!BL208)</f>
        <v/>
      </c>
      <c r="Y203" s="32" t="str">
        <f>IF('12 - Deployments &amp; Config'!BC208="","",'12 - Deployments &amp; Config'!BC208)</f>
        <v/>
      </c>
      <c r="Z203" s="32" t="str">
        <f>IF('12 - Deployments &amp; Config'!P208="","",'12 - Deployments &amp; Config'!P208)</f>
        <v/>
      </c>
      <c r="AA203" s="32" t="str">
        <f>IF('12 - Deployments &amp; Config'!Q208="","",'12 - Deployments &amp; Config'!Q208)</f>
        <v/>
      </c>
    </row>
    <row r="204" spans="1:27">
      <c r="A204" s="33"/>
      <c r="B204" s="33"/>
      <c r="C204" s="32" t="str">
        <f>IF('12 - Deployments &amp; Config'!H209="","",'12 - Deployments &amp; Config'!H209)</f>
        <v/>
      </c>
      <c r="D204" s="32" t="str">
        <f>IF('12 - Deployments &amp; Config'!AF209="","",'12 - Deployments &amp; Config'!AF209)</f>
        <v/>
      </c>
      <c r="E204" s="32" t="str">
        <f>IF('12 - Deployments &amp; Config'!AG209="","",'12 - Deployments &amp; Config'!AG209)</f>
        <v/>
      </c>
      <c r="F204" s="32" t="str">
        <f>IF('12 - Deployments &amp; Config'!AH209="","",'12 - Deployments &amp; Config'!AH209)</f>
        <v/>
      </c>
      <c r="G204" s="32" t="str">
        <f>IF('12 - Deployments &amp; Config'!AI209="","",'12 - Deployments &amp; Config'!AI209)</f>
        <v/>
      </c>
      <c r="H204" s="32" t="str">
        <f>IF('12 - Deployments &amp; Config'!A209="","",'12 - Deployments &amp; Config'!A209)</f>
        <v/>
      </c>
      <c r="I204" s="32" t="str">
        <f>IF('12 - Deployments &amp; Config'!AJ209="","",'12 - Deployments &amp; Config'!AJ209)</f>
        <v/>
      </c>
      <c r="J204" s="32" t="str">
        <f>IF('12 - Deployments &amp; Config'!AK209="","",'12 - Deployments &amp; Config'!AK209)</f>
        <v/>
      </c>
      <c r="K204" s="32" t="str">
        <f>IF('12 - Deployments &amp; Config'!AA209="","",'12 - Deployments &amp; Config'!AA209)</f>
        <v/>
      </c>
      <c r="L204" s="32" t="str">
        <f>IF('12 - Deployments &amp; Config'!I209="","",'12 - Deployments &amp; Config'!I209)</f>
        <v/>
      </c>
      <c r="M204" s="33"/>
      <c r="N204" s="32" t="str">
        <f>IF('12 - Deployments &amp; Config'!J209="","",'12 - Deployments &amp; Config'!J209)</f>
        <v/>
      </c>
      <c r="O204" s="32" t="str">
        <f>IF('12 - Deployments &amp; Config'!K209="","",'12 - Deployments &amp; Config'!K209)</f>
        <v/>
      </c>
      <c r="P204" s="32" t="str">
        <f>IF('12 - Deployments &amp; Config'!L209="","",'12 - Deployments &amp; Config'!L209)</f>
        <v/>
      </c>
      <c r="Q204" s="33"/>
      <c r="R204" s="32" t="str">
        <f>IF('12 - Deployments &amp; Config'!AZ209="","",'12 - Deployments &amp; Config'!AZ209)</f>
        <v/>
      </c>
      <c r="S204" s="32" t="str">
        <f>IF('12 - Deployments &amp; Config'!AY209="","",'12 - Deployments &amp; Config'!AY209)</f>
        <v/>
      </c>
      <c r="T204" s="32" t="str">
        <f>IF('12 - Deployments &amp; Config'!AW209="","",'12 - Deployments &amp; Config'!AW209)</f>
        <v/>
      </c>
      <c r="U204" s="32" t="str">
        <f>IF('12 - Deployments &amp; Config'!AX209="","",'12 - Deployments &amp; Config'!AX209)</f>
        <v/>
      </c>
      <c r="V204" s="32" t="str">
        <f>IF('12 - Deployments &amp; Config'!BB209="","",'12 - Deployments &amp; Config'!BB209)</f>
        <v/>
      </c>
      <c r="W204" s="32" t="str">
        <f>IF('12 - Deployments &amp; Config'!BD209="","",'12 - Deployments &amp; Config'!BD209)</f>
        <v/>
      </c>
      <c r="X204" s="32" t="str">
        <f>IF('12 - Deployments &amp; Config'!BL209="","",'12 - Deployments &amp; Config'!BL209)</f>
        <v/>
      </c>
      <c r="Y204" s="32" t="str">
        <f>IF('12 - Deployments &amp; Config'!BC209="","",'12 - Deployments &amp; Config'!BC209)</f>
        <v/>
      </c>
      <c r="Z204" s="32" t="str">
        <f>IF('12 - Deployments &amp; Config'!P209="","",'12 - Deployments &amp; Config'!P209)</f>
        <v/>
      </c>
      <c r="AA204" s="32" t="str">
        <f>IF('12 - Deployments &amp; Config'!Q209="","",'12 - Deployments &amp; Config'!Q209)</f>
        <v/>
      </c>
    </row>
    <row r="205" spans="1:27">
      <c r="A205" s="33"/>
      <c r="B205" s="33"/>
      <c r="C205" s="32" t="str">
        <f>IF('12 - Deployments &amp; Config'!H210="","",'12 - Deployments &amp; Config'!H210)</f>
        <v/>
      </c>
      <c r="D205" s="32" t="str">
        <f>IF('12 - Deployments &amp; Config'!AF210="","",'12 - Deployments &amp; Config'!AF210)</f>
        <v/>
      </c>
      <c r="E205" s="32" t="str">
        <f>IF('12 - Deployments &amp; Config'!AG210="","",'12 - Deployments &amp; Config'!AG210)</f>
        <v/>
      </c>
      <c r="F205" s="32" t="str">
        <f>IF('12 - Deployments &amp; Config'!AH210="","",'12 - Deployments &amp; Config'!AH210)</f>
        <v/>
      </c>
      <c r="G205" s="32" t="str">
        <f>IF('12 - Deployments &amp; Config'!AI210="","",'12 - Deployments &amp; Config'!AI210)</f>
        <v/>
      </c>
      <c r="H205" s="32" t="str">
        <f>IF('12 - Deployments &amp; Config'!A210="","",'12 - Deployments &amp; Config'!A210)</f>
        <v/>
      </c>
      <c r="I205" s="32" t="str">
        <f>IF('12 - Deployments &amp; Config'!AJ210="","",'12 - Deployments &amp; Config'!AJ210)</f>
        <v/>
      </c>
      <c r="J205" s="32" t="str">
        <f>IF('12 - Deployments &amp; Config'!AK210="","",'12 - Deployments &amp; Config'!AK210)</f>
        <v/>
      </c>
      <c r="K205" s="32" t="str">
        <f>IF('12 - Deployments &amp; Config'!AA210="","",'12 - Deployments &amp; Config'!AA210)</f>
        <v/>
      </c>
      <c r="L205" s="32" t="str">
        <f>IF('12 - Deployments &amp; Config'!I210="","",'12 - Deployments &amp; Config'!I210)</f>
        <v/>
      </c>
      <c r="M205" s="33"/>
      <c r="N205" s="32" t="str">
        <f>IF('12 - Deployments &amp; Config'!J210="","",'12 - Deployments &amp; Config'!J210)</f>
        <v/>
      </c>
      <c r="O205" s="32" t="str">
        <f>IF('12 - Deployments &amp; Config'!K210="","",'12 - Deployments &amp; Config'!K210)</f>
        <v/>
      </c>
      <c r="P205" s="32" t="str">
        <f>IF('12 - Deployments &amp; Config'!L210="","",'12 - Deployments &amp; Config'!L210)</f>
        <v/>
      </c>
      <c r="Q205" s="33"/>
      <c r="R205" s="32" t="str">
        <f>IF('12 - Deployments &amp; Config'!AZ210="","",'12 - Deployments &amp; Config'!AZ210)</f>
        <v/>
      </c>
      <c r="S205" s="32" t="str">
        <f>IF('12 - Deployments &amp; Config'!AY210="","",'12 - Deployments &amp; Config'!AY210)</f>
        <v/>
      </c>
      <c r="T205" s="32" t="str">
        <f>IF('12 - Deployments &amp; Config'!AW210="","",'12 - Deployments &amp; Config'!AW210)</f>
        <v/>
      </c>
      <c r="U205" s="32" t="str">
        <f>IF('12 - Deployments &amp; Config'!AX210="","",'12 - Deployments &amp; Config'!AX210)</f>
        <v/>
      </c>
      <c r="V205" s="32" t="str">
        <f>IF('12 - Deployments &amp; Config'!BB210="","",'12 - Deployments &amp; Config'!BB210)</f>
        <v/>
      </c>
      <c r="W205" s="32" t="str">
        <f>IF('12 - Deployments &amp; Config'!BD210="","",'12 - Deployments &amp; Config'!BD210)</f>
        <v/>
      </c>
      <c r="X205" s="32" t="str">
        <f>IF('12 - Deployments &amp; Config'!BL210="","",'12 - Deployments &amp; Config'!BL210)</f>
        <v/>
      </c>
      <c r="Y205" s="32" t="str">
        <f>IF('12 - Deployments &amp; Config'!BC210="","",'12 - Deployments &amp; Config'!BC210)</f>
        <v/>
      </c>
      <c r="Z205" s="32" t="str">
        <f>IF('12 - Deployments &amp; Config'!P210="","",'12 - Deployments &amp; Config'!P210)</f>
        <v/>
      </c>
      <c r="AA205" s="32" t="str">
        <f>IF('12 - Deployments &amp; Config'!Q210="","",'12 - Deployments &amp; Config'!Q210)</f>
        <v/>
      </c>
    </row>
    <row r="206" spans="1:27">
      <c r="A206" s="33"/>
      <c r="B206" s="33"/>
      <c r="C206" s="32" t="str">
        <f>IF('12 - Deployments &amp; Config'!H211="","",'12 - Deployments &amp; Config'!H211)</f>
        <v/>
      </c>
      <c r="D206" s="32" t="str">
        <f>IF('12 - Deployments &amp; Config'!AF211="","",'12 - Deployments &amp; Config'!AF211)</f>
        <v/>
      </c>
      <c r="E206" s="32" t="str">
        <f>IF('12 - Deployments &amp; Config'!AG211="","",'12 - Deployments &amp; Config'!AG211)</f>
        <v/>
      </c>
      <c r="F206" s="32" t="str">
        <f>IF('12 - Deployments &amp; Config'!AH211="","",'12 - Deployments &amp; Config'!AH211)</f>
        <v/>
      </c>
      <c r="G206" s="32" t="str">
        <f>IF('12 - Deployments &amp; Config'!AI211="","",'12 - Deployments &amp; Config'!AI211)</f>
        <v/>
      </c>
      <c r="H206" s="32" t="str">
        <f>IF('12 - Deployments &amp; Config'!A211="","",'12 - Deployments &amp; Config'!A211)</f>
        <v/>
      </c>
      <c r="I206" s="32" t="str">
        <f>IF('12 - Deployments &amp; Config'!AJ211="","",'12 - Deployments &amp; Config'!AJ211)</f>
        <v/>
      </c>
      <c r="J206" s="32" t="str">
        <f>IF('12 - Deployments &amp; Config'!AK211="","",'12 - Deployments &amp; Config'!AK211)</f>
        <v/>
      </c>
      <c r="K206" s="32" t="str">
        <f>IF('12 - Deployments &amp; Config'!AA211="","",'12 - Deployments &amp; Config'!AA211)</f>
        <v/>
      </c>
      <c r="L206" s="32" t="str">
        <f>IF('12 - Deployments &amp; Config'!I211="","",'12 - Deployments &amp; Config'!I211)</f>
        <v/>
      </c>
      <c r="M206" s="33"/>
      <c r="N206" s="32" t="str">
        <f>IF('12 - Deployments &amp; Config'!J211="","",'12 - Deployments &amp; Config'!J211)</f>
        <v/>
      </c>
      <c r="O206" s="32" t="str">
        <f>IF('12 - Deployments &amp; Config'!K211="","",'12 - Deployments &amp; Config'!K211)</f>
        <v/>
      </c>
      <c r="P206" s="32" t="str">
        <f>IF('12 - Deployments &amp; Config'!L211="","",'12 - Deployments &amp; Config'!L211)</f>
        <v/>
      </c>
      <c r="Q206" s="33"/>
      <c r="R206" s="32" t="str">
        <f>IF('12 - Deployments &amp; Config'!AZ211="","",'12 - Deployments &amp; Config'!AZ211)</f>
        <v/>
      </c>
      <c r="S206" s="32" t="str">
        <f>IF('12 - Deployments &amp; Config'!AY211="","",'12 - Deployments &amp; Config'!AY211)</f>
        <v/>
      </c>
      <c r="T206" s="32" t="str">
        <f>IF('12 - Deployments &amp; Config'!AW211="","",'12 - Deployments &amp; Config'!AW211)</f>
        <v/>
      </c>
      <c r="U206" s="32" t="str">
        <f>IF('12 - Deployments &amp; Config'!AX211="","",'12 - Deployments &amp; Config'!AX211)</f>
        <v/>
      </c>
      <c r="V206" s="32" t="str">
        <f>IF('12 - Deployments &amp; Config'!BB211="","",'12 - Deployments &amp; Config'!BB211)</f>
        <v/>
      </c>
      <c r="W206" s="32" t="str">
        <f>IF('12 - Deployments &amp; Config'!BD211="","",'12 - Deployments &amp; Config'!BD211)</f>
        <v/>
      </c>
      <c r="X206" s="32" t="str">
        <f>IF('12 - Deployments &amp; Config'!BL211="","",'12 - Deployments &amp; Config'!BL211)</f>
        <v/>
      </c>
      <c r="Y206" s="32" t="str">
        <f>IF('12 - Deployments &amp; Config'!BC211="","",'12 - Deployments &amp; Config'!BC211)</f>
        <v/>
      </c>
      <c r="Z206" s="32" t="str">
        <f>IF('12 - Deployments &amp; Config'!P211="","",'12 - Deployments &amp; Config'!P211)</f>
        <v/>
      </c>
      <c r="AA206" s="32" t="str">
        <f>IF('12 - Deployments &amp; Config'!Q211="","",'12 - Deployments &amp; Config'!Q211)</f>
        <v/>
      </c>
    </row>
    <row r="207" spans="1:27">
      <c r="A207" s="33"/>
      <c r="B207" s="33"/>
      <c r="C207" s="32" t="str">
        <f>IF('12 - Deployments &amp; Config'!H212="","",'12 - Deployments &amp; Config'!H212)</f>
        <v/>
      </c>
      <c r="D207" s="32" t="str">
        <f>IF('12 - Deployments &amp; Config'!AF212="","",'12 - Deployments &amp; Config'!AF212)</f>
        <v/>
      </c>
      <c r="E207" s="32" t="str">
        <f>IF('12 - Deployments &amp; Config'!AG212="","",'12 - Deployments &amp; Config'!AG212)</f>
        <v/>
      </c>
      <c r="F207" s="32" t="str">
        <f>IF('12 - Deployments &amp; Config'!AH212="","",'12 - Deployments &amp; Config'!AH212)</f>
        <v/>
      </c>
      <c r="G207" s="32" t="str">
        <f>IF('12 - Deployments &amp; Config'!AI212="","",'12 - Deployments &amp; Config'!AI212)</f>
        <v/>
      </c>
      <c r="H207" s="32" t="str">
        <f>IF('12 - Deployments &amp; Config'!A212="","",'12 - Deployments &amp; Config'!A212)</f>
        <v/>
      </c>
      <c r="I207" s="32" t="str">
        <f>IF('12 - Deployments &amp; Config'!AJ212="","",'12 - Deployments &amp; Config'!AJ212)</f>
        <v/>
      </c>
      <c r="J207" s="32" t="str">
        <f>IF('12 - Deployments &amp; Config'!AK212="","",'12 - Deployments &amp; Config'!AK212)</f>
        <v/>
      </c>
      <c r="K207" s="32" t="str">
        <f>IF('12 - Deployments &amp; Config'!AA212="","",'12 - Deployments &amp; Config'!AA212)</f>
        <v/>
      </c>
      <c r="L207" s="32" t="str">
        <f>IF('12 - Deployments &amp; Config'!I212="","",'12 - Deployments &amp; Config'!I212)</f>
        <v/>
      </c>
      <c r="M207" s="33"/>
      <c r="N207" s="32" t="str">
        <f>IF('12 - Deployments &amp; Config'!J212="","",'12 - Deployments &amp; Config'!J212)</f>
        <v/>
      </c>
      <c r="O207" s="32" t="str">
        <f>IF('12 - Deployments &amp; Config'!K212="","",'12 - Deployments &amp; Config'!K212)</f>
        <v/>
      </c>
      <c r="P207" s="32" t="str">
        <f>IF('12 - Deployments &amp; Config'!L212="","",'12 - Deployments &amp; Config'!L212)</f>
        <v/>
      </c>
      <c r="Q207" s="33"/>
      <c r="R207" s="32" t="str">
        <f>IF('12 - Deployments &amp; Config'!AZ212="","",'12 - Deployments &amp; Config'!AZ212)</f>
        <v/>
      </c>
      <c r="S207" s="32" t="str">
        <f>IF('12 - Deployments &amp; Config'!AY212="","",'12 - Deployments &amp; Config'!AY212)</f>
        <v/>
      </c>
      <c r="T207" s="32" t="str">
        <f>IF('12 - Deployments &amp; Config'!AW212="","",'12 - Deployments &amp; Config'!AW212)</f>
        <v/>
      </c>
      <c r="U207" s="32" t="str">
        <f>IF('12 - Deployments &amp; Config'!AX212="","",'12 - Deployments &amp; Config'!AX212)</f>
        <v/>
      </c>
      <c r="V207" s="32" t="str">
        <f>IF('12 - Deployments &amp; Config'!BB212="","",'12 - Deployments &amp; Config'!BB212)</f>
        <v/>
      </c>
      <c r="W207" s="32" t="str">
        <f>IF('12 - Deployments &amp; Config'!BD212="","",'12 - Deployments &amp; Config'!BD212)</f>
        <v/>
      </c>
      <c r="X207" s="32" t="str">
        <f>IF('12 - Deployments &amp; Config'!BL212="","",'12 - Deployments &amp; Config'!BL212)</f>
        <v/>
      </c>
      <c r="Y207" s="32" t="str">
        <f>IF('12 - Deployments &amp; Config'!BC212="","",'12 - Deployments &amp; Config'!BC212)</f>
        <v/>
      </c>
      <c r="Z207" s="32" t="str">
        <f>IF('12 - Deployments &amp; Config'!P212="","",'12 - Deployments &amp; Config'!P212)</f>
        <v/>
      </c>
      <c r="AA207" s="32" t="str">
        <f>IF('12 - Deployments &amp; Config'!Q212="","",'12 - Deployments &amp; Config'!Q212)</f>
        <v/>
      </c>
    </row>
    <row r="208" spans="1:27">
      <c r="A208" s="33"/>
      <c r="B208" s="33"/>
      <c r="C208" s="32" t="str">
        <f>IF('12 - Deployments &amp; Config'!H213="","",'12 - Deployments &amp; Config'!H213)</f>
        <v/>
      </c>
      <c r="D208" s="32" t="str">
        <f>IF('12 - Deployments &amp; Config'!AF213="","",'12 - Deployments &amp; Config'!AF213)</f>
        <v/>
      </c>
      <c r="E208" s="32" t="str">
        <f>IF('12 - Deployments &amp; Config'!AG213="","",'12 - Deployments &amp; Config'!AG213)</f>
        <v/>
      </c>
      <c r="F208" s="32" t="str">
        <f>IF('12 - Deployments &amp; Config'!AH213="","",'12 - Deployments &amp; Config'!AH213)</f>
        <v/>
      </c>
      <c r="G208" s="32" t="str">
        <f>IF('12 - Deployments &amp; Config'!AI213="","",'12 - Deployments &amp; Config'!AI213)</f>
        <v/>
      </c>
      <c r="H208" s="32" t="str">
        <f>IF('12 - Deployments &amp; Config'!A213="","",'12 - Deployments &amp; Config'!A213)</f>
        <v/>
      </c>
      <c r="I208" s="32" t="str">
        <f>IF('12 - Deployments &amp; Config'!AJ213="","",'12 - Deployments &amp; Config'!AJ213)</f>
        <v/>
      </c>
      <c r="J208" s="32" t="str">
        <f>IF('12 - Deployments &amp; Config'!AK213="","",'12 - Deployments &amp; Config'!AK213)</f>
        <v/>
      </c>
      <c r="K208" s="32" t="str">
        <f>IF('12 - Deployments &amp; Config'!AA213="","",'12 - Deployments &amp; Config'!AA213)</f>
        <v/>
      </c>
      <c r="L208" s="32" t="str">
        <f>IF('12 - Deployments &amp; Config'!I213="","",'12 - Deployments &amp; Config'!I213)</f>
        <v/>
      </c>
      <c r="M208" s="33"/>
      <c r="N208" s="32" t="str">
        <f>IF('12 - Deployments &amp; Config'!J213="","",'12 - Deployments &amp; Config'!J213)</f>
        <v/>
      </c>
      <c r="O208" s="32" t="str">
        <f>IF('12 - Deployments &amp; Config'!K213="","",'12 - Deployments &amp; Config'!K213)</f>
        <v/>
      </c>
      <c r="P208" s="32" t="str">
        <f>IF('12 - Deployments &amp; Config'!L213="","",'12 - Deployments &amp; Config'!L213)</f>
        <v/>
      </c>
      <c r="Q208" s="33"/>
      <c r="R208" s="32" t="str">
        <f>IF('12 - Deployments &amp; Config'!AZ213="","",'12 - Deployments &amp; Config'!AZ213)</f>
        <v/>
      </c>
      <c r="S208" s="32" t="str">
        <f>IF('12 - Deployments &amp; Config'!AY213="","",'12 - Deployments &amp; Config'!AY213)</f>
        <v/>
      </c>
      <c r="T208" s="32" t="str">
        <f>IF('12 - Deployments &amp; Config'!AW213="","",'12 - Deployments &amp; Config'!AW213)</f>
        <v/>
      </c>
      <c r="U208" s="32" t="str">
        <f>IF('12 - Deployments &amp; Config'!AX213="","",'12 - Deployments &amp; Config'!AX213)</f>
        <v/>
      </c>
      <c r="V208" s="32" t="str">
        <f>IF('12 - Deployments &amp; Config'!BB213="","",'12 - Deployments &amp; Config'!BB213)</f>
        <v/>
      </c>
      <c r="W208" s="32" t="str">
        <f>IF('12 - Deployments &amp; Config'!BD213="","",'12 - Deployments &amp; Config'!BD213)</f>
        <v/>
      </c>
      <c r="X208" s="32" t="str">
        <f>IF('12 - Deployments &amp; Config'!BL213="","",'12 - Deployments &amp; Config'!BL213)</f>
        <v/>
      </c>
      <c r="Y208" s="32" t="str">
        <f>IF('12 - Deployments &amp; Config'!BC213="","",'12 - Deployments &amp; Config'!BC213)</f>
        <v/>
      </c>
      <c r="Z208" s="32" t="str">
        <f>IF('12 - Deployments &amp; Config'!P213="","",'12 - Deployments &amp; Config'!P213)</f>
        <v/>
      </c>
      <c r="AA208" s="32" t="str">
        <f>IF('12 - Deployments &amp; Config'!Q213="","",'12 - Deployments &amp; Config'!Q213)</f>
        <v/>
      </c>
    </row>
    <row r="209" spans="1:27">
      <c r="A209" s="33"/>
      <c r="B209" s="33"/>
      <c r="C209" s="32" t="str">
        <f>IF('12 - Deployments &amp; Config'!H214="","",'12 - Deployments &amp; Config'!H214)</f>
        <v/>
      </c>
      <c r="D209" s="32" t="str">
        <f>IF('12 - Deployments &amp; Config'!AF214="","",'12 - Deployments &amp; Config'!AF214)</f>
        <v/>
      </c>
      <c r="E209" s="32" t="str">
        <f>IF('12 - Deployments &amp; Config'!AG214="","",'12 - Deployments &amp; Config'!AG214)</f>
        <v/>
      </c>
      <c r="F209" s="32" t="str">
        <f>IF('12 - Deployments &amp; Config'!AH214="","",'12 - Deployments &amp; Config'!AH214)</f>
        <v/>
      </c>
      <c r="G209" s="32" t="str">
        <f>IF('12 - Deployments &amp; Config'!AI214="","",'12 - Deployments &amp; Config'!AI214)</f>
        <v/>
      </c>
      <c r="H209" s="32" t="str">
        <f>IF('12 - Deployments &amp; Config'!A214="","",'12 - Deployments &amp; Config'!A214)</f>
        <v/>
      </c>
      <c r="I209" s="32" t="str">
        <f>IF('12 - Deployments &amp; Config'!AJ214="","",'12 - Deployments &amp; Config'!AJ214)</f>
        <v/>
      </c>
      <c r="J209" s="32" t="str">
        <f>IF('12 - Deployments &amp; Config'!AK214="","",'12 - Deployments &amp; Config'!AK214)</f>
        <v/>
      </c>
      <c r="K209" s="32" t="str">
        <f>IF('12 - Deployments &amp; Config'!AA214="","",'12 - Deployments &amp; Config'!AA214)</f>
        <v/>
      </c>
      <c r="L209" s="32" t="str">
        <f>IF('12 - Deployments &amp; Config'!I214="","",'12 - Deployments &amp; Config'!I214)</f>
        <v/>
      </c>
      <c r="M209" s="33"/>
      <c r="N209" s="32" t="str">
        <f>IF('12 - Deployments &amp; Config'!J214="","",'12 - Deployments &amp; Config'!J214)</f>
        <v/>
      </c>
      <c r="O209" s="32" t="str">
        <f>IF('12 - Deployments &amp; Config'!K214="","",'12 - Deployments &amp; Config'!K214)</f>
        <v/>
      </c>
      <c r="P209" s="32" t="str">
        <f>IF('12 - Deployments &amp; Config'!L214="","",'12 - Deployments &amp; Config'!L214)</f>
        <v/>
      </c>
      <c r="Q209" s="33"/>
      <c r="R209" s="32" t="str">
        <f>IF('12 - Deployments &amp; Config'!AZ214="","",'12 - Deployments &amp; Config'!AZ214)</f>
        <v/>
      </c>
      <c r="S209" s="32" t="str">
        <f>IF('12 - Deployments &amp; Config'!AY214="","",'12 - Deployments &amp; Config'!AY214)</f>
        <v/>
      </c>
      <c r="T209" s="32" t="str">
        <f>IF('12 - Deployments &amp; Config'!AW214="","",'12 - Deployments &amp; Config'!AW214)</f>
        <v/>
      </c>
      <c r="U209" s="32" t="str">
        <f>IF('12 - Deployments &amp; Config'!AX214="","",'12 - Deployments &amp; Config'!AX214)</f>
        <v/>
      </c>
      <c r="V209" s="32" t="str">
        <f>IF('12 - Deployments &amp; Config'!BB214="","",'12 - Deployments &amp; Config'!BB214)</f>
        <v/>
      </c>
      <c r="W209" s="32" t="str">
        <f>IF('12 - Deployments &amp; Config'!BD214="","",'12 - Deployments &amp; Config'!BD214)</f>
        <v/>
      </c>
      <c r="X209" s="32" t="str">
        <f>IF('12 - Deployments &amp; Config'!BL214="","",'12 - Deployments &amp; Config'!BL214)</f>
        <v/>
      </c>
      <c r="Y209" s="32" t="str">
        <f>IF('12 - Deployments &amp; Config'!BC214="","",'12 - Deployments &amp; Config'!BC214)</f>
        <v/>
      </c>
      <c r="Z209" s="32" t="str">
        <f>IF('12 - Deployments &amp; Config'!P214="","",'12 - Deployments &amp; Config'!P214)</f>
        <v/>
      </c>
      <c r="AA209" s="32" t="str">
        <f>IF('12 - Deployments &amp; Config'!Q214="","",'12 - Deployments &amp; Config'!Q214)</f>
        <v/>
      </c>
    </row>
    <row r="210" spans="1:27">
      <c r="A210" s="33"/>
      <c r="B210" s="33"/>
      <c r="C210" s="32" t="str">
        <f>IF('12 - Deployments &amp; Config'!H215="","",'12 - Deployments &amp; Config'!H215)</f>
        <v/>
      </c>
      <c r="D210" s="32" t="str">
        <f>IF('12 - Deployments &amp; Config'!AF215="","",'12 - Deployments &amp; Config'!AF215)</f>
        <v/>
      </c>
      <c r="E210" s="32" t="str">
        <f>IF('12 - Deployments &amp; Config'!AG215="","",'12 - Deployments &amp; Config'!AG215)</f>
        <v/>
      </c>
      <c r="F210" s="32" t="str">
        <f>IF('12 - Deployments &amp; Config'!AH215="","",'12 - Deployments &amp; Config'!AH215)</f>
        <v/>
      </c>
      <c r="G210" s="32" t="str">
        <f>IF('12 - Deployments &amp; Config'!AI215="","",'12 - Deployments &amp; Config'!AI215)</f>
        <v/>
      </c>
      <c r="H210" s="32" t="str">
        <f>IF('12 - Deployments &amp; Config'!A215="","",'12 - Deployments &amp; Config'!A215)</f>
        <v/>
      </c>
      <c r="I210" s="32" t="str">
        <f>IF('12 - Deployments &amp; Config'!AJ215="","",'12 - Deployments &amp; Config'!AJ215)</f>
        <v/>
      </c>
      <c r="J210" s="32" t="str">
        <f>IF('12 - Deployments &amp; Config'!AK215="","",'12 - Deployments &amp; Config'!AK215)</f>
        <v/>
      </c>
      <c r="K210" s="32" t="str">
        <f>IF('12 - Deployments &amp; Config'!AA215="","",'12 - Deployments &amp; Config'!AA215)</f>
        <v/>
      </c>
      <c r="L210" s="32" t="str">
        <f>IF('12 - Deployments &amp; Config'!I215="","",'12 - Deployments &amp; Config'!I215)</f>
        <v/>
      </c>
      <c r="M210" s="33"/>
      <c r="N210" s="32" t="str">
        <f>IF('12 - Deployments &amp; Config'!J215="","",'12 - Deployments &amp; Config'!J215)</f>
        <v/>
      </c>
      <c r="O210" s="32" t="str">
        <f>IF('12 - Deployments &amp; Config'!K215="","",'12 - Deployments &amp; Config'!K215)</f>
        <v/>
      </c>
      <c r="P210" s="32" t="str">
        <f>IF('12 - Deployments &amp; Config'!L215="","",'12 - Deployments &amp; Config'!L215)</f>
        <v/>
      </c>
      <c r="Q210" s="33"/>
      <c r="R210" s="32" t="str">
        <f>IF('12 - Deployments &amp; Config'!AZ215="","",'12 - Deployments &amp; Config'!AZ215)</f>
        <v/>
      </c>
      <c r="S210" s="32" t="str">
        <f>IF('12 - Deployments &amp; Config'!AY215="","",'12 - Deployments &amp; Config'!AY215)</f>
        <v/>
      </c>
      <c r="T210" s="32" t="str">
        <f>IF('12 - Deployments &amp; Config'!AW215="","",'12 - Deployments &amp; Config'!AW215)</f>
        <v/>
      </c>
      <c r="U210" s="32" t="str">
        <f>IF('12 - Deployments &amp; Config'!AX215="","",'12 - Deployments &amp; Config'!AX215)</f>
        <v/>
      </c>
      <c r="V210" s="32" t="str">
        <f>IF('12 - Deployments &amp; Config'!BB215="","",'12 - Deployments &amp; Config'!BB215)</f>
        <v/>
      </c>
      <c r="W210" s="32" t="str">
        <f>IF('12 - Deployments &amp; Config'!BD215="","",'12 - Deployments &amp; Config'!BD215)</f>
        <v/>
      </c>
      <c r="X210" s="32" t="str">
        <f>IF('12 - Deployments &amp; Config'!BL215="","",'12 - Deployments &amp; Config'!BL215)</f>
        <v/>
      </c>
      <c r="Y210" s="32" t="str">
        <f>IF('12 - Deployments &amp; Config'!BC215="","",'12 - Deployments &amp; Config'!BC215)</f>
        <v/>
      </c>
      <c r="Z210" s="32" t="str">
        <f>IF('12 - Deployments &amp; Config'!P215="","",'12 - Deployments &amp; Config'!P215)</f>
        <v/>
      </c>
      <c r="AA210" s="32" t="str">
        <f>IF('12 - Deployments &amp; Config'!Q215="","",'12 - Deployments &amp; Config'!Q215)</f>
        <v/>
      </c>
    </row>
    <row r="211" spans="1:27">
      <c r="A211" s="33"/>
      <c r="B211" s="33"/>
      <c r="C211" s="32" t="str">
        <f>IF('12 - Deployments &amp; Config'!H216="","",'12 - Deployments &amp; Config'!H216)</f>
        <v/>
      </c>
      <c r="D211" s="32" t="str">
        <f>IF('12 - Deployments &amp; Config'!AF216="","",'12 - Deployments &amp; Config'!AF216)</f>
        <v/>
      </c>
      <c r="E211" s="32" t="str">
        <f>IF('12 - Deployments &amp; Config'!AG216="","",'12 - Deployments &amp; Config'!AG216)</f>
        <v/>
      </c>
      <c r="F211" s="32" t="str">
        <f>IF('12 - Deployments &amp; Config'!AH216="","",'12 - Deployments &amp; Config'!AH216)</f>
        <v/>
      </c>
      <c r="G211" s="32" t="str">
        <f>IF('12 - Deployments &amp; Config'!AI216="","",'12 - Deployments &amp; Config'!AI216)</f>
        <v/>
      </c>
      <c r="H211" s="32" t="str">
        <f>IF('12 - Deployments &amp; Config'!A216="","",'12 - Deployments &amp; Config'!A216)</f>
        <v/>
      </c>
      <c r="I211" s="32" t="str">
        <f>IF('12 - Deployments &amp; Config'!AJ216="","",'12 - Deployments &amp; Config'!AJ216)</f>
        <v/>
      </c>
      <c r="J211" s="32" t="str">
        <f>IF('12 - Deployments &amp; Config'!AK216="","",'12 - Deployments &amp; Config'!AK216)</f>
        <v/>
      </c>
      <c r="K211" s="32" t="str">
        <f>IF('12 - Deployments &amp; Config'!AA216="","",'12 - Deployments &amp; Config'!AA216)</f>
        <v/>
      </c>
      <c r="L211" s="32" t="str">
        <f>IF('12 - Deployments &amp; Config'!I216="","",'12 - Deployments &amp; Config'!I216)</f>
        <v/>
      </c>
      <c r="M211" s="33"/>
      <c r="N211" s="32" t="str">
        <f>IF('12 - Deployments &amp; Config'!J216="","",'12 - Deployments &amp; Config'!J216)</f>
        <v/>
      </c>
      <c r="O211" s="32" t="str">
        <f>IF('12 - Deployments &amp; Config'!K216="","",'12 - Deployments &amp; Config'!K216)</f>
        <v/>
      </c>
      <c r="P211" s="32" t="str">
        <f>IF('12 - Deployments &amp; Config'!L216="","",'12 - Deployments &amp; Config'!L216)</f>
        <v/>
      </c>
      <c r="Q211" s="33"/>
      <c r="R211" s="32" t="str">
        <f>IF('12 - Deployments &amp; Config'!AZ216="","",'12 - Deployments &amp; Config'!AZ216)</f>
        <v/>
      </c>
      <c r="S211" s="32" t="str">
        <f>IF('12 - Deployments &amp; Config'!AY216="","",'12 - Deployments &amp; Config'!AY216)</f>
        <v/>
      </c>
      <c r="T211" s="32" t="str">
        <f>IF('12 - Deployments &amp; Config'!AW216="","",'12 - Deployments &amp; Config'!AW216)</f>
        <v/>
      </c>
      <c r="U211" s="32" t="str">
        <f>IF('12 - Deployments &amp; Config'!AX216="","",'12 - Deployments &amp; Config'!AX216)</f>
        <v/>
      </c>
      <c r="V211" s="32" t="str">
        <f>IF('12 - Deployments &amp; Config'!BB216="","",'12 - Deployments &amp; Config'!BB216)</f>
        <v/>
      </c>
      <c r="W211" s="32" t="str">
        <f>IF('12 - Deployments &amp; Config'!BD216="","",'12 - Deployments &amp; Config'!BD216)</f>
        <v/>
      </c>
      <c r="X211" s="32" t="str">
        <f>IF('12 - Deployments &amp; Config'!BL216="","",'12 - Deployments &amp; Config'!BL216)</f>
        <v/>
      </c>
      <c r="Y211" s="32" t="str">
        <f>IF('12 - Deployments &amp; Config'!BC216="","",'12 - Deployments &amp; Config'!BC216)</f>
        <v/>
      </c>
      <c r="Z211" s="32" t="str">
        <f>IF('12 - Deployments &amp; Config'!P216="","",'12 - Deployments &amp; Config'!P216)</f>
        <v/>
      </c>
      <c r="AA211" s="32" t="str">
        <f>IF('12 - Deployments &amp; Config'!Q216="","",'12 - Deployments &amp; Config'!Q216)</f>
        <v/>
      </c>
    </row>
    <row r="212" spans="1:27">
      <c r="A212" s="33"/>
      <c r="B212" s="33"/>
      <c r="C212" s="32" t="str">
        <f>IF('12 - Deployments &amp; Config'!H217="","",'12 - Deployments &amp; Config'!H217)</f>
        <v/>
      </c>
      <c r="D212" s="32" t="str">
        <f>IF('12 - Deployments &amp; Config'!AF217="","",'12 - Deployments &amp; Config'!AF217)</f>
        <v/>
      </c>
      <c r="E212" s="32" t="str">
        <f>IF('12 - Deployments &amp; Config'!AG217="","",'12 - Deployments &amp; Config'!AG217)</f>
        <v/>
      </c>
      <c r="F212" s="32" t="str">
        <f>IF('12 - Deployments &amp; Config'!AH217="","",'12 - Deployments &amp; Config'!AH217)</f>
        <v/>
      </c>
      <c r="G212" s="32" t="str">
        <f>IF('12 - Deployments &amp; Config'!AI217="","",'12 - Deployments &amp; Config'!AI217)</f>
        <v/>
      </c>
      <c r="H212" s="32" t="str">
        <f>IF('12 - Deployments &amp; Config'!A217="","",'12 - Deployments &amp; Config'!A217)</f>
        <v/>
      </c>
      <c r="I212" s="32" t="str">
        <f>IF('12 - Deployments &amp; Config'!AJ217="","",'12 - Deployments &amp; Config'!AJ217)</f>
        <v/>
      </c>
      <c r="J212" s="32" t="str">
        <f>IF('12 - Deployments &amp; Config'!AK217="","",'12 - Deployments &amp; Config'!AK217)</f>
        <v/>
      </c>
      <c r="K212" s="32" t="str">
        <f>IF('12 - Deployments &amp; Config'!AA217="","",'12 - Deployments &amp; Config'!AA217)</f>
        <v/>
      </c>
      <c r="L212" s="32" t="str">
        <f>IF('12 - Deployments &amp; Config'!I217="","",'12 - Deployments &amp; Config'!I217)</f>
        <v/>
      </c>
      <c r="M212" s="33"/>
      <c r="N212" s="32" t="str">
        <f>IF('12 - Deployments &amp; Config'!J217="","",'12 - Deployments &amp; Config'!J217)</f>
        <v/>
      </c>
      <c r="O212" s="32" t="str">
        <f>IF('12 - Deployments &amp; Config'!K217="","",'12 - Deployments &amp; Config'!K217)</f>
        <v/>
      </c>
      <c r="P212" s="32" t="str">
        <f>IF('12 - Deployments &amp; Config'!L217="","",'12 - Deployments &amp; Config'!L217)</f>
        <v/>
      </c>
      <c r="Q212" s="33"/>
      <c r="R212" s="32" t="str">
        <f>IF('12 - Deployments &amp; Config'!AZ217="","",'12 - Deployments &amp; Config'!AZ217)</f>
        <v/>
      </c>
      <c r="S212" s="32" t="str">
        <f>IF('12 - Deployments &amp; Config'!AY217="","",'12 - Deployments &amp; Config'!AY217)</f>
        <v/>
      </c>
      <c r="T212" s="32" t="str">
        <f>IF('12 - Deployments &amp; Config'!AW217="","",'12 - Deployments &amp; Config'!AW217)</f>
        <v/>
      </c>
      <c r="U212" s="32" t="str">
        <f>IF('12 - Deployments &amp; Config'!AX217="","",'12 - Deployments &amp; Config'!AX217)</f>
        <v/>
      </c>
      <c r="V212" s="32" t="str">
        <f>IF('12 - Deployments &amp; Config'!BB217="","",'12 - Deployments &amp; Config'!BB217)</f>
        <v/>
      </c>
      <c r="W212" s="32" t="str">
        <f>IF('12 - Deployments &amp; Config'!BD217="","",'12 - Deployments &amp; Config'!BD217)</f>
        <v/>
      </c>
      <c r="X212" s="32" t="str">
        <f>IF('12 - Deployments &amp; Config'!BL217="","",'12 - Deployments &amp; Config'!BL217)</f>
        <v/>
      </c>
      <c r="Y212" s="32" t="str">
        <f>IF('12 - Deployments &amp; Config'!BC217="","",'12 - Deployments &amp; Config'!BC217)</f>
        <v/>
      </c>
      <c r="Z212" s="32" t="str">
        <f>IF('12 - Deployments &amp; Config'!P217="","",'12 - Deployments &amp; Config'!P217)</f>
        <v/>
      </c>
      <c r="AA212" s="32" t="str">
        <f>IF('12 - Deployments &amp; Config'!Q217="","",'12 - Deployments &amp; Config'!Q217)</f>
        <v/>
      </c>
    </row>
    <row r="213" spans="1:27">
      <c r="A213" s="33"/>
      <c r="B213" s="33"/>
      <c r="C213" s="32" t="str">
        <f>IF('12 - Deployments &amp; Config'!H218="","",'12 - Deployments &amp; Config'!H218)</f>
        <v/>
      </c>
      <c r="D213" s="32" t="str">
        <f>IF('12 - Deployments &amp; Config'!AF218="","",'12 - Deployments &amp; Config'!AF218)</f>
        <v/>
      </c>
      <c r="E213" s="32" t="str">
        <f>IF('12 - Deployments &amp; Config'!AG218="","",'12 - Deployments &amp; Config'!AG218)</f>
        <v/>
      </c>
      <c r="F213" s="32" t="str">
        <f>IF('12 - Deployments &amp; Config'!AH218="","",'12 - Deployments &amp; Config'!AH218)</f>
        <v/>
      </c>
      <c r="G213" s="32" t="str">
        <f>IF('12 - Deployments &amp; Config'!AI218="","",'12 - Deployments &amp; Config'!AI218)</f>
        <v/>
      </c>
      <c r="H213" s="32" t="str">
        <f>IF('12 - Deployments &amp; Config'!A218="","",'12 - Deployments &amp; Config'!A218)</f>
        <v/>
      </c>
      <c r="I213" s="32" t="str">
        <f>IF('12 - Deployments &amp; Config'!AJ218="","",'12 - Deployments &amp; Config'!AJ218)</f>
        <v/>
      </c>
      <c r="J213" s="32" t="str">
        <f>IF('12 - Deployments &amp; Config'!AK218="","",'12 - Deployments &amp; Config'!AK218)</f>
        <v/>
      </c>
      <c r="K213" s="32" t="str">
        <f>IF('12 - Deployments &amp; Config'!AA218="","",'12 - Deployments &amp; Config'!AA218)</f>
        <v/>
      </c>
      <c r="L213" s="32" t="str">
        <f>IF('12 - Deployments &amp; Config'!I218="","",'12 - Deployments &amp; Config'!I218)</f>
        <v/>
      </c>
      <c r="M213" s="33"/>
      <c r="N213" s="32" t="str">
        <f>IF('12 - Deployments &amp; Config'!J218="","",'12 - Deployments &amp; Config'!J218)</f>
        <v/>
      </c>
      <c r="O213" s="32" t="str">
        <f>IF('12 - Deployments &amp; Config'!K218="","",'12 - Deployments &amp; Config'!K218)</f>
        <v/>
      </c>
      <c r="P213" s="32" t="str">
        <f>IF('12 - Deployments &amp; Config'!L218="","",'12 - Deployments &amp; Config'!L218)</f>
        <v/>
      </c>
      <c r="Q213" s="33"/>
      <c r="R213" s="32" t="str">
        <f>IF('12 - Deployments &amp; Config'!AZ218="","",'12 - Deployments &amp; Config'!AZ218)</f>
        <v/>
      </c>
      <c r="S213" s="32" t="str">
        <f>IF('12 - Deployments &amp; Config'!AY218="","",'12 - Deployments &amp; Config'!AY218)</f>
        <v/>
      </c>
      <c r="T213" s="32" t="str">
        <f>IF('12 - Deployments &amp; Config'!AW218="","",'12 - Deployments &amp; Config'!AW218)</f>
        <v/>
      </c>
      <c r="U213" s="32" t="str">
        <f>IF('12 - Deployments &amp; Config'!AX218="","",'12 - Deployments &amp; Config'!AX218)</f>
        <v/>
      </c>
      <c r="V213" s="32" t="str">
        <f>IF('12 - Deployments &amp; Config'!BB218="","",'12 - Deployments &amp; Config'!BB218)</f>
        <v/>
      </c>
      <c r="W213" s="32" t="str">
        <f>IF('12 - Deployments &amp; Config'!BD218="","",'12 - Deployments &amp; Config'!BD218)</f>
        <v/>
      </c>
      <c r="X213" s="32" t="str">
        <f>IF('12 - Deployments &amp; Config'!BL218="","",'12 - Deployments &amp; Config'!BL218)</f>
        <v/>
      </c>
      <c r="Y213" s="32" t="str">
        <f>IF('12 - Deployments &amp; Config'!BC218="","",'12 - Deployments &amp; Config'!BC218)</f>
        <v/>
      </c>
      <c r="Z213" s="32" t="str">
        <f>IF('12 - Deployments &amp; Config'!P218="","",'12 - Deployments &amp; Config'!P218)</f>
        <v/>
      </c>
      <c r="AA213" s="32" t="str">
        <f>IF('12 - Deployments &amp; Config'!Q218="","",'12 - Deployments &amp; Config'!Q218)</f>
        <v/>
      </c>
    </row>
    <row r="214" spans="1:27">
      <c r="A214" s="33"/>
      <c r="B214" s="33"/>
      <c r="C214" s="32" t="str">
        <f>IF('12 - Deployments &amp; Config'!H219="","",'12 - Deployments &amp; Config'!H219)</f>
        <v/>
      </c>
      <c r="D214" s="32" t="str">
        <f>IF('12 - Deployments &amp; Config'!AF219="","",'12 - Deployments &amp; Config'!AF219)</f>
        <v/>
      </c>
      <c r="E214" s="32" t="str">
        <f>IF('12 - Deployments &amp; Config'!AG219="","",'12 - Deployments &amp; Config'!AG219)</f>
        <v/>
      </c>
      <c r="F214" s="32" t="str">
        <f>IF('12 - Deployments &amp; Config'!AH219="","",'12 - Deployments &amp; Config'!AH219)</f>
        <v/>
      </c>
      <c r="G214" s="32" t="str">
        <f>IF('12 - Deployments &amp; Config'!AI219="","",'12 - Deployments &amp; Config'!AI219)</f>
        <v/>
      </c>
      <c r="H214" s="32" t="str">
        <f>IF('12 - Deployments &amp; Config'!A219="","",'12 - Deployments &amp; Config'!A219)</f>
        <v/>
      </c>
      <c r="I214" s="32" t="str">
        <f>IF('12 - Deployments &amp; Config'!AJ219="","",'12 - Deployments &amp; Config'!AJ219)</f>
        <v/>
      </c>
      <c r="J214" s="32" t="str">
        <f>IF('12 - Deployments &amp; Config'!AK219="","",'12 - Deployments &amp; Config'!AK219)</f>
        <v/>
      </c>
      <c r="K214" s="32" t="str">
        <f>IF('12 - Deployments &amp; Config'!AA219="","",'12 - Deployments &amp; Config'!AA219)</f>
        <v/>
      </c>
      <c r="L214" s="32" t="str">
        <f>IF('12 - Deployments &amp; Config'!I219="","",'12 - Deployments &amp; Config'!I219)</f>
        <v/>
      </c>
      <c r="M214" s="33"/>
      <c r="N214" s="32" t="str">
        <f>IF('12 - Deployments &amp; Config'!J219="","",'12 - Deployments &amp; Config'!J219)</f>
        <v/>
      </c>
      <c r="O214" s="32" t="str">
        <f>IF('12 - Deployments &amp; Config'!K219="","",'12 - Deployments &amp; Config'!K219)</f>
        <v/>
      </c>
      <c r="P214" s="32" t="str">
        <f>IF('12 - Deployments &amp; Config'!L219="","",'12 - Deployments &amp; Config'!L219)</f>
        <v/>
      </c>
      <c r="Q214" s="33"/>
      <c r="R214" s="32" t="str">
        <f>IF('12 - Deployments &amp; Config'!AZ219="","",'12 - Deployments &amp; Config'!AZ219)</f>
        <v/>
      </c>
      <c r="S214" s="32" t="str">
        <f>IF('12 - Deployments &amp; Config'!AY219="","",'12 - Deployments &amp; Config'!AY219)</f>
        <v/>
      </c>
      <c r="T214" s="32" t="str">
        <f>IF('12 - Deployments &amp; Config'!AW219="","",'12 - Deployments &amp; Config'!AW219)</f>
        <v/>
      </c>
      <c r="U214" s="32" t="str">
        <f>IF('12 - Deployments &amp; Config'!AX219="","",'12 - Deployments &amp; Config'!AX219)</f>
        <v/>
      </c>
      <c r="V214" s="32" t="str">
        <f>IF('12 - Deployments &amp; Config'!BB219="","",'12 - Deployments &amp; Config'!BB219)</f>
        <v/>
      </c>
      <c r="W214" s="32" t="str">
        <f>IF('12 - Deployments &amp; Config'!BD219="","",'12 - Deployments &amp; Config'!BD219)</f>
        <v/>
      </c>
      <c r="X214" s="32" t="str">
        <f>IF('12 - Deployments &amp; Config'!BL219="","",'12 - Deployments &amp; Config'!BL219)</f>
        <v/>
      </c>
      <c r="Y214" s="32" t="str">
        <f>IF('12 - Deployments &amp; Config'!BC219="","",'12 - Deployments &amp; Config'!BC219)</f>
        <v/>
      </c>
      <c r="Z214" s="32" t="str">
        <f>IF('12 - Deployments &amp; Config'!P219="","",'12 - Deployments &amp; Config'!P219)</f>
        <v/>
      </c>
      <c r="AA214" s="32" t="str">
        <f>IF('12 - Deployments &amp; Config'!Q219="","",'12 - Deployments &amp; Config'!Q219)</f>
        <v/>
      </c>
    </row>
    <row r="215" spans="1:27">
      <c r="A215" s="33"/>
      <c r="B215" s="33"/>
      <c r="C215" s="32" t="str">
        <f>IF('12 - Deployments &amp; Config'!H220="","",'12 - Deployments &amp; Config'!H220)</f>
        <v/>
      </c>
      <c r="D215" s="32" t="str">
        <f>IF('12 - Deployments &amp; Config'!AF220="","",'12 - Deployments &amp; Config'!AF220)</f>
        <v/>
      </c>
      <c r="E215" s="32" t="str">
        <f>IF('12 - Deployments &amp; Config'!AG220="","",'12 - Deployments &amp; Config'!AG220)</f>
        <v/>
      </c>
      <c r="F215" s="32" t="str">
        <f>IF('12 - Deployments &amp; Config'!AH220="","",'12 - Deployments &amp; Config'!AH220)</f>
        <v/>
      </c>
      <c r="G215" s="32" t="str">
        <f>IF('12 - Deployments &amp; Config'!AI220="","",'12 - Deployments &amp; Config'!AI220)</f>
        <v/>
      </c>
      <c r="H215" s="32" t="str">
        <f>IF('12 - Deployments &amp; Config'!A220="","",'12 - Deployments &amp; Config'!A220)</f>
        <v/>
      </c>
      <c r="I215" s="32" t="str">
        <f>IF('12 - Deployments &amp; Config'!AJ220="","",'12 - Deployments &amp; Config'!AJ220)</f>
        <v/>
      </c>
      <c r="J215" s="32" t="str">
        <f>IF('12 - Deployments &amp; Config'!AK220="","",'12 - Deployments &amp; Config'!AK220)</f>
        <v/>
      </c>
      <c r="K215" s="32" t="str">
        <f>IF('12 - Deployments &amp; Config'!AA220="","",'12 - Deployments &amp; Config'!AA220)</f>
        <v/>
      </c>
      <c r="L215" s="32" t="str">
        <f>IF('12 - Deployments &amp; Config'!I220="","",'12 - Deployments &amp; Config'!I220)</f>
        <v/>
      </c>
      <c r="M215" s="33"/>
      <c r="N215" s="32" t="str">
        <f>IF('12 - Deployments &amp; Config'!J220="","",'12 - Deployments &amp; Config'!J220)</f>
        <v/>
      </c>
      <c r="O215" s="32" t="str">
        <f>IF('12 - Deployments &amp; Config'!K220="","",'12 - Deployments &amp; Config'!K220)</f>
        <v/>
      </c>
      <c r="P215" s="32" t="str">
        <f>IF('12 - Deployments &amp; Config'!L220="","",'12 - Deployments &amp; Config'!L220)</f>
        <v/>
      </c>
      <c r="Q215" s="33"/>
      <c r="R215" s="32" t="str">
        <f>IF('12 - Deployments &amp; Config'!AZ220="","",'12 - Deployments &amp; Config'!AZ220)</f>
        <v/>
      </c>
      <c r="S215" s="32" t="str">
        <f>IF('12 - Deployments &amp; Config'!AY220="","",'12 - Deployments &amp; Config'!AY220)</f>
        <v/>
      </c>
      <c r="T215" s="32" t="str">
        <f>IF('12 - Deployments &amp; Config'!AW220="","",'12 - Deployments &amp; Config'!AW220)</f>
        <v/>
      </c>
      <c r="U215" s="32" t="str">
        <f>IF('12 - Deployments &amp; Config'!AX220="","",'12 - Deployments &amp; Config'!AX220)</f>
        <v/>
      </c>
      <c r="V215" s="32" t="str">
        <f>IF('12 - Deployments &amp; Config'!BB220="","",'12 - Deployments &amp; Config'!BB220)</f>
        <v/>
      </c>
      <c r="W215" s="32" t="str">
        <f>IF('12 - Deployments &amp; Config'!BD220="","",'12 - Deployments &amp; Config'!BD220)</f>
        <v/>
      </c>
      <c r="X215" s="32" t="str">
        <f>IF('12 - Deployments &amp; Config'!BL220="","",'12 - Deployments &amp; Config'!BL220)</f>
        <v/>
      </c>
      <c r="Y215" s="32" t="str">
        <f>IF('12 - Deployments &amp; Config'!BC220="","",'12 - Deployments &amp; Config'!BC220)</f>
        <v/>
      </c>
      <c r="Z215" s="32" t="str">
        <f>IF('12 - Deployments &amp; Config'!P220="","",'12 - Deployments &amp; Config'!P220)</f>
        <v/>
      </c>
      <c r="AA215" s="32" t="str">
        <f>IF('12 - Deployments &amp; Config'!Q220="","",'12 - Deployments &amp; Config'!Q220)</f>
        <v/>
      </c>
    </row>
    <row r="216" spans="1:27">
      <c r="A216" s="33"/>
      <c r="B216" s="33"/>
      <c r="C216" s="32" t="str">
        <f>IF('12 - Deployments &amp; Config'!H221="","",'12 - Deployments &amp; Config'!H221)</f>
        <v/>
      </c>
      <c r="D216" s="32" t="str">
        <f>IF('12 - Deployments &amp; Config'!AF221="","",'12 - Deployments &amp; Config'!AF221)</f>
        <v/>
      </c>
      <c r="E216" s="32" t="str">
        <f>IF('12 - Deployments &amp; Config'!AG221="","",'12 - Deployments &amp; Config'!AG221)</f>
        <v/>
      </c>
      <c r="F216" s="32" t="str">
        <f>IF('12 - Deployments &amp; Config'!AH221="","",'12 - Deployments &amp; Config'!AH221)</f>
        <v/>
      </c>
      <c r="G216" s="32" t="str">
        <f>IF('12 - Deployments &amp; Config'!AI221="","",'12 - Deployments &amp; Config'!AI221)</f>
        <v/>
      </c>
      <c r="H216" s="32" t="str">
        <f>IF('12 - Deployments &amp; Config'!A221="","",'12 - Deployments &amp; Config'!A221)</f>
        <v/>
      </c>
      <c r="I216" s="32" t="str">
        <f>IF('12 - Deployments &amp; Config'!AJ221="","",'12 - Deployments &amp; Config'!AJ221)</f>
        <v/>
      </c>
      <c r="J216" s="32" t="str">
        <f>IF('12 - Deployments &amp; Config'!AK221="","",'12 - Deployments &amp; Config'!AK221)</f>
        <v/>
      </c>
      <c r="K216" s="32" t="str">
        <f>IF('12 - Deployments &amp; Config'!AA221="","",'12 - Deployments &amp; Config'!AA221)</f>
        <v/>
      </c>
      <c r="L216" s="32" t="str">
        <f>IF('12 - Deployments &amp; Config'!I221="","",'12 - Deployments &amp; Config'!I221)</f>
        <v/>
      </c>
      <c r="M216" s="33"/>
      <c r="N216" s="32" t="str">
        <f>IF('12 - Deployments &amp; Config'!J221="","",'12 - Deployments &amp; Config'!J221)</f>
        <v/>
      </c>
      <c r="O216" s="32" t="str">
        <f>IF('12 - Deployments &amp; Config'!K221="","",'12 - Deployments &amp; Config'!K221)</f>
        <v/>
      </c>
      <c r="P216" s="32" t="str">
        <f>IF('12 - Deployments &amp; Config'!L221="","",'12 - Deployments &amp; Config'!L221)</f>
        <v/>
      </c>
      <c r="Q216" s="33"/>
      <c r="R216" s="32" t="str">
        <f>IF('12 - Deployments &amp; Config'!AZ221="","",'12 - Deployments &amp; Config'!AZ221)</f>
        <v/>
      </c>
      <c r="S216" s="32" t="str">
        <f>IF('12 - Deployments &amp; Config'!AY221="","",'12 - Deployments &amp; Config'!AY221)</f>
        <v/>
      </c>
      <c r="T216" s="32" t="str">
        <f>IF('12 - Deployments &amp; Config'!AW221="","",'12 - Deployments &amp; Config'!AW221)</f>
        <v/>
      </c>
      <c r="U216" s="32" t="str">
        <f>IF('12 - Deployments &amp; Config'!AX221="","",'12 - Deployments &amp; Config'!AX221)</f>
        <v/>
      </c>
      <c r="V216" s="32" t="str">
        <f>IF('12 - Deployments &amp; Config'!BB221="","",'12 - Deployments &amp; Config'!BB221)</f>
        <v/>
      </c>
      <c r="W216" s="32" t="str">
        <f>IF('12 - Deployments &amp; Config'!BD221="","",'12 - Deployments &amp; Config'!BD221)</f>
        <v/>
      </c>
      <c r="X216" s="32" t="str">
        <f>IF('12 - Deployments &amp; Config'!BL221="","",'12 - Deployments &amp; Config'!BL221)</f>
        <v/>
      </c>
      <c r="Y216" s="32" t="str">
        <f>IF('12 - Deployments &amp; Config'!BC221="","",'12 - Deployments &amp; Config'!BC221)</f>
        <v/>
      </c>
      <c r="Z216" s="32" t="str">
        <f>IF('12 - Deployments &amp; Config'!P221="","",'12 - Deployments &amp; Config'!P221)</f>
        <v/>
      </c>
      <c r="AA216" s="32" t="str">
        <f>IF('12 - Deployments &amp; Config'!Q221="","",'12 - Deployments &amp; Config'!Q221)</f>
        <v/>
      </c>
    </row>
    <row r="217" spans="1:27">
      <c r="A217" s="33"/>
      <c r="B217" s="33"/>
      <c r="C217" s="32" t="str">
        <f>IF('12 - Deployments &amp; Config'!H222="","",'12 - Deployments &amp; Config'!H222)</f>
        <v/>
      </c>
      <c r="D217" s="32" t="str">
        <f>IF('12 - Deployments &amp; Config'!AF222="","",'12 - Deployments &amp; Config'!AF222)</f>
        <v/>
      </c>
      <c r="E217" s="32" t="str">
        <f>IF('12 - Deployments &amp; Config'!AG222="","",'12 - Deployments &amp; Config'!AG222)</f>
        <v/>
      </c>
      <c r="F217" s="32" t="str">
        <f>IF('12 - Deployments &amp; Config'!AH222="","",'12 - Deployments &amp; Config'!AH222)</f>
        <v/>
      </c>
      <c r="G217" s="32" t="str">
        <f>IF('12 - Deployments &amp; Config'!AI222="","",'12 - Deployments &amp; Config'!AI222)</f>
        <v/>
      </c>
      <c r="H217" s="32" t="str">
        <f>IF('12 - Deployments &amp; Config'!A222="","",'12 - Deployments &amp; Config'!A222)</f>
        <v/>
      </c>
      <c r="I217" s="32" t="str">
        <f>IF('12 - Deployments &amp; Config'!AJ222="","",'12 - Deployments &amp; Config'!AJ222)</f>
        <v/>
      </c>
      <c r="J217" s="32" t="str">
        <f>IF('12 - Deployments &amp; Config'!AK222="","",'12 - Deployments &amp; Config'!AK222)</f>
        <v/>
      </c>
      <c r="K217" s="32" t="str">
        <f>IF('12 - Deployments &amp; Config'!AA222="","",'12 - Deployments &amp; Config'!AA222)</f>
        <v/>
      </c>
      <c r="L217" s="32" t="str">
        <f>IF('12 - Deployments &amp; Config'!I222="","",'12 - Deployments &amp; Config'!I222)</f>
        <v/>
      </c>
      <c r="M217" s="33"/>
      <c r="N217" s="32" t="str">
        <f>IF('12 - Deployments &amp; Config'!J222="","",'12 - Deployments &amp; Config'!J222)</f>
        <v/>
      </c>
      <c r="O217" s="32" t="str">
        <f>IF('12 - Deployments &amp; Config'!K222="","",'12 - Deployments &amp; Config'!K222)</f>
        <v/>
      </c>
      <c r="P217" s="32" t="str">
        <f>IF('12 - Deployments &amp; Config'!L222="","",'12 - Deployments &amp; Config'!L222)</f>
        <v/>
      </c>
      <c r="Q217" s="33"/>
      <c r="R217" s="32" t="str">
        <f>IF('12 - Deployments &amp; Config'!AZ222="","",'12 - Deployments &amp; Config'!AZ222)</f>
        <v/>
      </c>
      <c r="S217" s="32" t="str">
        <f>IF('12 - Deployments &amp; Config'!AY222="","",'12 - Deployments &amp; Config'!AY222)</f>
        <v/>
      </c>
      <c r="T217" s="32" t="str">
        <f>IF('12 - Deployments &amp; Config'!AW222="","",'12 - Deployments &amp; Config'!AW222)</f>
        <v/>
      </c>
      <c r="U217" s="32" t="str">
        <f>IF('12 - Deployments &amp; Config'!AX222="","",'12 - Deployments &amp; Config'!AX222)</f>
        <v/>
      </c>
      <c r="V217" s="32" t="str">
        <f>IF('12 - Deployments &amp; Config'!BB222="","",'12 - Deployments &amp; Config'!BB222)</f>
        <v/>
      </c>
      <c r="W217" s="32" t="str">
        <f>IF('12 - Deployments &amp; Config'!BD222="","",'12 - Deployments &amp; Config'!BD222)</f>
        <v/>
      </c>
      <c r="X217" s="32" t="str">
        <f>IF('12 - Deployments &amp; Config'!BL222="","",'12 - Deployments &amp; Config'!BL222)</f>
        <v/>
      </c>
      <c r="Y217" s="32" t="str">
        <f>IF('12 - Deployments &amp; Config'!BC222="","",'12 - Deployments &amp; Config'!BC222)</f>
        <v/>
      </c>
      <c r="Z217" s="32" t="str">
        <f>IF('12 - Deployments &amp; Config'!P222="","",'12 - Deployments &amp; Config'!P222)</f>
        <v/>
      </c>
      <c r="AA217" s="32" t="str">
        <f>IF('12 - Deployments &amp; Config'!Q222="","",'12 - Deployments &amp; Config'!Q222)</f>
        <v/>
      </c>
    </row>
    <row r="218" spans="1:27">
      <c r="A218" s="33"/>
      <c r="B218" s="33"/>
      <c r="C218" s="32" t="str">
        <f>IF('12 - Deployments &amp; Config'!H223="","",'12 - Deployments &amp; Config'!H223)</f>
        <v/>
      </c>
      <c r="D218" s="32" t="str">
        <f>IF('12 - Deployments &amp; Config'!AF223="","",'12 - Deployments &amp; Config'!AF223)</f>
        <v/>
      </c>
      <c r="E218" s="32" t="str">
        <f>IF('12 - Deployments &amp; Config'!AG223="","",'12 - Deployments &amp; Config'!AG223)</f>
        <v/>
      </c>
      <c r="F218" s="32" t="str">
        <f>IF('12 - Deployments &amp; Config'!AH223="","",'12 - Deployments &amp; Config'!AH223)</f>
        <v/>
      </c>
      <c r="G218" s="32" t="str">
        <f>IF('12 - Deployments &amp; Config'!AI223="","",'12 - Deployments &amp; Config'!AI223)</f>
        <v/>
      </c>
      <c r="H218" s="32" t="str">
        <f>IF('12 - Deployments &amp; Config'!A223="","",'12 - Deployments &amp; Config'!A223)</f>
        <v/>
      </c>
      <c r="I218" s="32" t="str">
        <f>IF('12 - Deployments &amp; Config'!AJ223="","",'12 - Deployments &amp; Config'!AJ223)</f>
        <v/>
      </c>
      <c r="J218" s="32" t="str">
        <f>IF('12 - Deployments &amp; Config'!AK223="","",'12 - Deployments &amp; Config'!AK223)</f>
        <v/>
      </c>
      <c r="K218" s="32" t="str">
        <f>IF('12 - Deployments &amp; Config'!AA223="","",'12 - Deployments &amp; Config'!AA223)</f>
        <v/>
      </c>
      <c r="L218" s="32" t="str">
        <f>IF('12 - Deployments &amp; Config'!I223="","",'12 - Deployments &amp; Config'!I223)</f>
        <v/>
      </c>
      <c r="M218" s="33"/>
      <c r="N218" s="32" t="str">
        <f>IF('12 - Deployments &amp; Config'!J223="","",'12 - Deployments &amp; Config'!J223)</f>
        <v/>
      </c>
      <c r="O218" s="32" t="str">
        <f>IF('12 - Deployments &amp; Config'!K223="","",'12 - Deployments &amp; Config'!K223)</f>
        <v/>
      </c>
      <c r="P218" s="32" t="str">
        <f>IF('12 - Deployments &amp; Config'!L223="","",'12 - Deployments &amp; Config'!L223)</f>
        <v/>
      </c>
      <c r="Q218" s="33"/>
      <c r="R218" s="32" t="str">
        <f>IF('12 - Deployments &amp; Config'!AZ223="","",'12 - Deployments &amp; Config'!AZ223)</f>
        <v/>
      </c>
      <c r="S218" s="32" t="str">
        <f>IF('12 - Deployments &amp; Config'!AY223="","",'12 - Deployments &amp; Config'!AY223)</f>
        <v/>
      </c>
      <c r="T218" s="32" t="str">
        <f>IF('12 - Deployments &amp; Config'!AW223="","",'12 - Deployments &amp; Config'!AW223)</f>
        <v/>
      </c>
      <c r="U218" s="32" t="str">
        <f>IF('12 - Deployments &amp; Config'!AX223="","",'12 - Deployments &amp; Config'!AX223)</f>
        <v/>
      </c>
      <c r="V218" s="32" t="str">
        <f>IF('12 - Deployments &amp; Config'!BB223="","",'12 - Deployments &amp; Config'!BB223)</f>
        <v/>
      </c>
      <c r="W218" s="32" t="str">
        <f>IF('12 - Deployments &amp; Config'!BD223="","",'12 - Deployments &amp; Config'!BD223)</f>
        <v/>
      </c>
      <c r="X218" s="32" t="str">
        <f>IF('12 - Deployments &amp; Config'!BL223="","",'12 - Deployments &amp; Config'!BL223)</f>
        <v/>
      </c>
      <c r="Y218" s="32" t="str">
        <f>IF('12 - Deployments &amp; Config'!BC223="","",'12 - Deployments &amp; Config'!BC223)</f>
        <v/>
      </c>
      <c r="Z218" s="32" t="str">
        <f>IF('12 - Deployments &amp; Config'!P223="","",'12 - Deployments &amp; Config'!P223)</f>
        <v/>
      </c>
      <c r="AA218" s="32" t="str">
        <f>IF('12 - Deployments &amp; Config'!Q223="","",'12 - Deployments &amp; Config'!Q223)</f>
        <v/>
      </c>
    </row>
    <row r="219" spans="1:27">
      <c r="A219" s="33"/>
      <c r="B219" s="33"/>
      <c r="C219" s="32" t="str">
        <f>IF('12 - Deployments &amp; Config'!H224="","",'12 - Deployments &amp; Config'!H224)</f>
        <v/>
      </c>
      <c r="D219" s="32" t="str">
        <f>IF('12 - Deployments &amp; Config'!AF224="","",'12 - Deployments &amp; Config'!AF224)</f>
        <v/>
      </c>
      <c r="E219" s="32" t="str">
        <f>IF('12 - Deployments &amp; Config'!AG224="","",'12 - Deployments &amp; Config'!AG224)</f>
        <v/>
      </c>
      <c r="F219" s="32" t="str">
        <f>IF('12 - Deployments &amp; Config'!AH224="","",'12 - Deployments &amp; Config'!AH224)</f>
        <v/>
      </c>
      <c r="G219" s="32" t="str">
        <f>IF('12 - Deployments &amp; Config'!AI224="","",'12 - Deployments &amp; Config'!AI224)</f>
        <v/>
      </c>
      <c r="H219" s="32" t="str">
        <f>IF('12 - Deployments &amp; Config'!A224="","",'12 - Deployments &amp; Config'!A224)</f>
        <v/>
      </c>
      <c r="I219" s="32" t="str">
        <f>IF('12 - Deployments &amp; Config'!AJ224="","",'12 - Deployments &amp; Config'!AJ224)</f>
        <v/>
      </c>
      <c r="J219" s="32" t="str">
        <f>IF('12 - Deployments &amp; Config'!AK224="","",'12 - Deployments &amp; Config'!AK224)</f>
        <v/>
      </c>
      <c r="K219" s="32" t="str">
        <f>IF('12 - Deployments &amp; Config'!AA224="","",'12 - Deployments &amp; Config'!AA224)</f>
        <v/>
      </c>
      <c r="L219" s="32" t="str">
        <f>IF('12 - Deployments &amp; Config'!I224="","",'12 - Deployments &amp; Config'!I224)</f>
        <v/>
      </c>
      <c r="M219" s="33"/>
      <c r="N219" s="32" t="str">
        <f>IF('12 - Deployments &amp; Config'!J224="","",'12 - Deployments &amp; Config'!J224)</f>
        <v/>
      </c>
      <c r="O219" s="32" t="str">
        <f>IF('12 - Deployments &amp; Config'!K224="","",'12 - Deployments &amp; Config'!K224)</f>
        <v/>
      </c>
      <c r="P219" s="32" t="str">
        <f>IF('12 - Deployments &amp; Config'!L224="","",'12 - Deployments &amp; Config'!L224)</f>
        <v/>
      </c>
      <c r="Q219" s="33"/>
      <c r="R219" s="32" t="str">
        <f>IF('12 - Deployments &amp; Config'!AZ224="","",'12 - Deployments &amp; Config'!AZ224)</f>
        <v/>
      </c>
      <c r="S219" s="32" t="str">
        <f>IF('12 - Deployments &amp; Config'!AY224="","",'12 - Deployments &amp; Config'!AY224)</f>
        <v/>
      </c>
      <c r="T219" s="32" t="str">
        <f>IF('12 - Deployments &amp; Config'!AW224="","",'12 - Deployments &amp; Config'!AW224)</f>
        <v/>
      </c>
      <c r="U219" s="32" t="str">
        <f>IF('12 - Deployments &amp; Config'!AX224="","",'12 - Deployments &amp; Config'!AX224)</f>
        <v/>
      </c>
      <c r="V219" s="32" t="str">
        <f>IF('12 - Deployments &amp; Config'!BB224="","",'12 - Deployments &amp; Config'!BB224)</f>
        <v/>
      </c>
      <c r="W219" s="32" t="str">
        <f>IF('12 - Deployments &amp; Config'!BD224="","",'12 - Deployments &amp; Config'!BD224)</f>
        <v/>
      </c>
      <c r="X219" s="32" t="str">
        <f>IF('12 - Deployments &amp; Config'!BL224="","",'12 - Deployments &amp; Config'!BL224)</f>
        <v/>
      </c>
      <c r="Y219" s="32" t="str">
        <f>IF('12 - Deployments &amp; Config'!BC224="","",'12 - Deployments &amp; Config'!BC224)</f>
        <v/>
      </c>
      <c r="Z219" s="32" t="str">
        <f>IF('12 - Deployments &amp; Config'!P224="","",'12 - Deployments &amp; Config'!P224)</f>
        <v/>
      </c>
      <c r="AA219" s="32" t="str">
        <f>IF('12 - Deployments &amp; Config'!Q224="","",'12 - Deployments &amp; Config'!Q224)</f>
        <v/>
      </c>
    </row>
    <row r="220" spans="1:27">
      <c r="A220" s="33"/>
      <c r="B220" s="33"/>
      <c r="C220" s="32" t="str">
        <f>IF('12 - Deployments &amp; Config'!H225="","",'12 - Deployments &amp; Config'!H225)</f>
        <v/>
      </c>
      <c r="D220" s="32" t="str">
        <f>IF('12 - Deployments &amp; Config'!AF225="","",'12 - Deployments &amp; Config'!AF225)</f>
        <v/>
      </c>
      <c r="E220" s="32" t="str">
        <f>IF('12 - Deployments &amp; Config'!AG225="","",'12 - Deployments &amp; Config'!AG225)</f>
        <v/>
      </c>
      <c r="F220" s="32" t="str">
        <f>IF('12 - Deployments &amp; Config'!AH225="","",'12 - Deployments &amp; Config'!AH225)</f>
        <v/>
      </c>
      <c r="G220" s="32" t="str">
        <f>IF('12 - Deployments &amp; Config'!AI225="","",'12 - Deployments &amp; Config'!AI225)</f>
        <v/>
      </c>
      <c r="H220" s="32" t="str">
        <f>IF('12 - Deployments &amp; Config'!A225="","",'12 - Deployments &amp; Config'!A225)</f>
        <v/>
      </c>
      <c r="I220" s="32" t="str">
        <f>IF('12 - Deployments &amp; Config'!AJ225="","",'12 - Deployments &amp; Config'!AJ225)</f>
        <v/>
      </c>
      <c r="J220" s="32" t="str">
        <f>IF('12 - Deployments &amp; Config'!AK225="","",'12 - Deployments &amp; Config'!AK225)</f>
        <v/>
      </c>
      <c r="K220" s="32" t="str">
        <f>IF('12 - Deployments &amp; Config'!AA225="","",'12 - Deployments &amp; Config'!AA225)</f>
        <v/>
      </c>
      <c r="L220" s="32" t="str">
        <f>IF('12 - Deployments &amp; Config'!I225="","",'12 - Deployments &amp; Config'!I225)</f>
        <v/>
      </c>
      <c r="M220" s="33"/>
      <c r="N220" s="32" t="str">
        <f>IF('12 - Deployments &amp; Config'!J225="","",'12 - Deployments &amp; Config'!J225)</f>
        <v/>
      </c>
      <c r="O220" s="32" t="str">
        <f>IF('12 - Deployments &amp; Config'!K225="","",'12 - Deployments &amp; Config'!K225)</f>
        <v/>
      </c>
      <c r="P220" s="32" t="str">
        <f>IF('12 - Deployments &amp; Config'!L225="","",'12 - Deployments &amp; Config'!L225)</f>
        <v/>
      </c>
      <c r="Q220" s="33"/>
      <c r="R220" s="32" t="str">
        <f>IF('12 - Deployments &amp; Config'!AZ225="","",'12 - Deployments &amp; Config'!AZ225)</f>
        <v/>
      </c>
      <c r="S220" s="32" t="str">
        <f>IF('12 - Deployments &amp; Config'!AY225="","",'12 - Deployments &amp; Config'!AY225)</f>
        <v/>
      </c>
      <c r="T220" s="32" t="str">
        <f>IF('12 - Deployments &amp; Config'!AW225="","",'12 - Deployments &amp; Config'!AW225)</f>
        <v/>
      </c>
      <c r="U220" s="32" t="str">
        <f>IF('12 - Deployments &amp; Config'!AX225="","",'12 - Deployments &amp; Config'!AX225)</f>
        <v/>
      </c>
      <c r="V220" s="32" t="str">
        <f>IF('12 - Deployments &amp; Config'!BB225="","",'12 - Deployments &amp; Config'!BB225)</f>
        <v/>
      </c>
      <c r="W220" s="32" t="str">
        <f>IF('12 - Deployments &amp; Config'!BD225="","",'12 - Deployments &amp; Config'!BD225)</f>
        <v/>
      </c>
      <c r="X220" s="32" t="str">
        <f>IF('12 - Deployments &amp; Config'!BL225="","",'12 - Deployments &amp; Config'!BL225)</f>
        <v/>
      </c>
      <c r="Y220" s="32" t="str">
        <f>IF('12 - Deployments &amp; Config'!BC225="","",'12 - Deployments &amp; Config'!BC225)</f>
        <v/>
      </c>
      <c r="Z220" s="32" t="str">
        <f>IF('12 - Deployments &amp; Config'!P225="","",'12 - Deployments &amp; Config'!P225)</f>
        <v/>
      </c>
      <c r="AA220" s="32" t="str">
        <f>IF('12 - Deployments &amp; Config'!Q225="","",'12 - Deployments &amp; Config'!Q225)</f>
        <v/>
      </c>
    </row>
    <row r="221" spans="1:27">
      <c r="A221" s="33"/>
      <c r="B221" s="33"/>
      <c r="C221" s="32" t="str">
        <f>IF('12 - Deployments &amp; Config'!H226="","",'12 - Deployments &amp; Config'!H226)</f>
        <v/>
      </c>
      <c r="D221" s="32" t="str">
        <f>IF('12 - Deployments &amp; Config'!AF226="","",'12 - Deployments &amp; Config'!AF226)</f>
        <v/>
      </c>
      <c r="E221" s="32" t="str">
        <f>IF('12 - Deployments &amp; Config'!AG226="","",'12 - Deployments &amp; Config'!AG226)</f>
        <v/>
      </c>
      <c r="F221" s="32" t="str">
        <f>IF('12 - Deployments &amp; Config'!AH226="","",'12 - Deployments &amp; Config'!AH226)</f>
        <v/>
      </c>
      <c r="G221" s="32" t="str">
        <f>IF('12 - Deployments &amp; Config'!AI226="","",'12 - Deployments &amp; Config'!AI226)</f>
        <v/>
      </c>
      <c r="H221" s="32" t="str">
        <f>IF('12 - Deployments &amp; Config'!A226="","",'12 - Deployments &amp; Config'!A226)</f>
        <v/>
      </c>
      <c r="I221" s="32" t="str">
        <f>IF('12 - Deployments &amp; Config'!AJ226="","",'12 - Deployments &amp; Config'!AJ226)</f>
        <v/>
      </c>
      <c r="J221" s="32" t="str">
        <f>IF('12 - Deployments &amp; Config'!AK226="","",'12 - Deployments &amp; Config'!AK226)</f>
        <v/>
      </c>
      <c r="K221" s="32" t="str">
        <f>IF('12 - Deployments &amp; Config'!AA226="","",'12 - Deployments &amp; Config'!AA226)</f>
        <v/>
      </c>
      <c r="L221" s="32" t="str">
        <f>IF('12 - Deployments &amp; Config'!I226="","",'12 - Deployments &amp; Config'!I226)</f>
        <v/>
      </c>
      <c r="M221" s="33"/>
      <c r="N221" s="32" t="str">
        <f>IF('12 - Deployments &amp; Config'!J226="","",'12 - Deployments &amp; Config'!J226)</f>
        <v/>
      </c>
      <c r="O221" s="32" t="str">
        <f>IF('12 - Deployments &amp; Config'!K226="","",'12 - Deployments &amp; Config'!K226)</f>
        <v/>
      </c>
      <c r="P221" s="32" t="str">
        <f>IF('12 - Deployments &amp; Config'!L226="","",'12 - Deployments &amp; Config'!L226)</f>
        <v/>
      </c>
      <c r="Q221" s="33"/>
      <c r="R221" s="32" t="str">
        <f>IF('12 - Deployments &amp; Config'!AZ226="","",'12 - Deployments &amp; Config'!AZ226)</f>
        <v/>
      </c>
      <c r="S221" s="32" t="str">
        <f>IF('12 - Deployments &amp; Config'!AY226="","",'12 - Deployments &amp; Config'!AY226)</f>
        <v/>
      </c>
      <c r="T221" s="32" t="str">
        <f>IF('12 - Deployments &amp; Config'!AW226="","",'12 - Deployments &amp; Config'!AW226)</f>
        <v/>
      </c>
      <c r="U221" s="32" t="str">
        <f>IF('12 - Deployments &amp; Config'!AX226="","",'12 - Deployments &amp; Config'!AX226)</f>
        <v/>
      </c>
      <c r="V221" s="32" t="str">
        <f>IF('12 - Deployments &amp; Config'!BB226="","",'12 - Deployments &amp; Config'!BB226)</f>
        <v/>
      </c>
      <c r="W221" s="32" t="str">
        <f>IF('12 - Deployments &amp; Config'!BD226="","",'12 - Deployments &amp; Config'!BD226)</f>
        <v/>
      </c>
      <c r="X221" s="32" t="str">
        <f>IF('12 - Deployments &amp; Config'!BL226="","",'12 - Deployments &amp; Config'!BL226)</f>
        <v/>
      </c>
      <c r="Y221" s="32" t="str">
        <f>IF('12 - Deployments &amp; Config'!BC226="","",'12 - Deployments &amp; Config'!BC226)</f>
        <v/>
      </c>
      <c r="Z221" s="32" t="str">
        <f>IF('12 - Deployments &amp; Config'!P226="","",'12 - Deployments &amp; Config'!P226)</f>
        <v/>
      </c>
      <c r="AA221" s="32" t="str">
        <f>IF('12 - Deployments &amp; Config'!Q226="","",'12 - Deployments &amp; Config'!Q226)</f>
        <v/>
      </c>
    </row>
    <row r="222" spans="1:27">
      <c r="A222" s="33"/>
      <c r="B222" s="33"/>
      <c r="C222" s="32" t="str">
        <f>IF('12 - Deployments &amp; Config'!H227="","",'12 - Deployments &amp; Config'!H227)</f>
        <v/>
      </c>
      <c r="D222" s="32" t="str">
        <f>IF('12 - Deployments &amp; Config'!AF227="","",'12 - Deployments &amp; Config'!AF227)</f>
        <v/>
      </c>
      <c r="E222" s="32" t="str">
        <f>IF('12 - Deployments &amp; Config'!AG227="","",'12 - Deployments &amp; Config'!AG227)</f>
        <v/>
      </c>
      <c r="F222" s="32" t="str">
        <f>IF('12 - Deployments &amp; Config'!AH227="","",'12 - Deployments &amp; Config'!AH227)</f>
        <v/>
      </c>
      <c r="G222" s="32" t="str">
        <f>IF('12 - Deployments &amp; Config'!AI227="","",'12 - Deployments &amp; Config'!AI227)</f>
        <v/>
      </c>
      <c r="H222" s="32" t="str">
        <f>IF('12 - Deployments &amp; Config'!A227="","",'12 - Deployments &amp; Config'!A227)</f>
        <v/>
      </c>
      <c r="I222" s="32" t="str">
        <f>IF('12 - Deployments &amp; Config'!AJ227="","",'12 - Deployments &amp; Config'!AJ227)</f>
        <v/>
      </c>
      <c r="J222" s="32" t="str">
        <f>IF('12 - Deployments &amp; Config'!AK227="","",'12 - Deployments &amp; Config'!AK227)</f>
        <v/>
      </c>
      <c r="K222" s="32" t="str">
        <f>IF('12 - Deployments &amp; Config'!AA227="","",'12 - Deployments &amp; Config'!AA227)</f>
        <v/>
      </c>
      <c r="L222" s="32" t="str">
        <f>IF('12 - Deployments &amp; Config'!I227="","",'12 - Deployments &amp; Config'!I227)</f>
        <v/>
      </c>
      <c r="M222" s="33"/>
      <c r="N222" s="32" t="str">
        <f>IF('12 - Deployments &amp; Config'!J227="","",'12 - Deployments &amp; Config'!J227)</f>
        <v/>
      </c>
      <c r="O222" s="32" t="str">
        <f>IF('12 - Deployments &amp; Config'!K227="","",'12 - Deployments &amp; Config'!K227)</f>
        <v/>
      </c>
      <c r="P222" s="32" t="str">
        <f>IF('12 - Deployments &amp; Config'!L227="","",'12 - Deployments &amp; Config'!L227)</f>
        <v/>
      </c>
      <c r="Q222" s="33"/>
      <c r="R222" s="32" t="str">
        <f>IF('12 - Deployments &amp; Config'!AZ227="","",'12 - Deployments &amp; Config'!AZ227)</f>
        <v/>
      </c>
      <c r="S222" s="32" t="str">
        <f>IF('12 - Deployments &amp; Config'!AY227="","",'12 - Deployments &amp; Config'!AY227)</f>
        <v/>
      </c>
      <c r="T222" s="32" t="str">
        <f>IF('12 - Deployments &amp; Config'!AW227="","",'12 - Deployments &amp; Config'!AW227)</f>
        <v/>
      </c>
      <c r="U222" s="32" t="str">
        <f>IF('12 - Deployments &amp; Config'!AX227="","",'12 - Deployments &amp; Config'!AX227)</f>
        <v/>
      </c>
      <c r="V222" s="32" t="str">
        <f>IF('12 - Deployments &amp; Config'!BB227="","",'12 - Deployments &amp; Config'!BB227)</f>
        <v/>
      </c>
      <c r="W222" s="32" t="str">
        <f>IF('12 - Deployments &amp; Config'!BD227="","",'12 - Deployments &amp; Config'!BD227)</f>
        <v/>
      </c>
      <c r="X222" s="32" t="str">
        <f>IF('12 - Deployments &amp; Config'!BL227="","",'12 - Deployments &amp; Config'!BL227)</f>
        <v/>
      </c>
      <c r="Y222" s="32" t="str">
        <f>IF('12 - Deployments &amp; Config'!BC227="","",'12 - Deployments &amp; Config'!BC227)</f>
        <v/>
      </c>
      <c r="Z222" s="32" t="str">
        <f>IF('12 - Deployments &amp; Config'!P227="","",'12 - Deployments &amp; Config'!P227)</f>
        <v/>
      </c>
      <c r="AA222" s="32" t="str">
        <f>IF('12 - Deployments &amp; Config'!Q227="","",'12 - Deployments &amp; Config'!Q227)</f>
        <v/>
      </c>
    </row>
    <row r="223" spans="1:27">
      <c r="A223" s="33"/>
      <c r="B223" s="33"/>
      <c r="C223" s="32" t="str">
        <f>IF('12 - Deployments &amp; Config'!H228="","",'12 - Deployments &amp; Config'!H228)</f>
        <v/>
      </c>
      <c r="D223" s="32" t="str">
        <f>IF('12 - Deployments &amp; Config'!AF228="","",'12 - Deployments &amp; Config'!AF228)</f>
        <v/>
      </c>
      <c r="E223" s="32" t="str">
        <f>IF('12 - Deployments &amp; Config'!AG228="","",'12 - Deployments &amp; Config'!AG228)</f>
        <v/>
      </c>
      <c r="F223" s="32" t="str">
        <f>IF('12 - Deployments &amp; Config'!AH228="","",'12 - Deployments &amp; Config'!AH228)</f>
        <v/>
      </c>
      <c r="G223" s="32" t="str">
        <f>IF('12 - Deployments &amp; Config'!AI228="","",'12 - Deployments &amp; Config'!AI228)</f>
        <v/>
      </c>
      <c r="H223" s="32" t="str">
        <f>IF('12 - Deployments &amp; Config'!A228="","",'12 - Deployments &amp; Config'!A228)</f>
        <v/>
      </c>
      <c r="I223" s="32" t="str">
        <f>IF('12 - Deployments &amp; Config'!AJ228="","",'12 - Deployments &amp; Config'!AJ228)</f>
        <v/>
      </c>
      <c r="J223" s="32" t="str">
        <f>IF('12 - Deployments &amp; Config'!AK228="","",'12 - Deployments &amp; Config'!AK228)</f>
        <v/>
      </c>
      <c r="K223" s="32" t="str">
        <f>IF('12 - Deployments &amp; Config'!AA228="","",'12 - Deployments &amp; Config'!AA228)</f>
        <v/>
      </c>
      <c r="L223" s="32" t="str">
        <f>IF('12 - Deployments &amp; Config'!I228="","",'12 - Deployments &amp; Config'!I228)</f>
        <v/>
      </c>
      <c r="M223" s="33"/>
      <c r="N223" s="32" t="str">
        <f>IF('12 - Deployments &amp; Config'!J228="","",'12 - Deployments &amp; Config'!J228)</f>
        <v/>
      </c>
      <c r="O223" s="32" t="str">
        <f>IF('12 - Deployments &amp; Config'!K228="","",'12 - Deployments &amp; Config'!K228)</f>
        <v/>
      </c>
      <c r="P223" s="32" t="str">
        <f>IF('12 - Deployments &amp; Config'!L228="","",'12 - Deployments &amp; Config'!L228)</f>
        <v/>
      </c>
      <c r="Q223" s="33"/>
      <c r="R223" s="32" t="str">
        <f>IF('12 - Deployments &amp; Config'!AZ228="","",'12 - Deployments &amp; Config'!AZ228)</f>
        <v/>
      </c>
      <c r="S223" s="32" t="str">
        <f>IF('12 - Deployments &amp; Config'!AY228="","",'12 - Deployments &amp; Config'!AY228)</f>
        <v/>
      </c>
      <c r="T223" s="32" t="str">
        <f>IF('12 - Deployments &amp; Config'!AW228="","",'12 - Deployments &amp; Config'!AW228)</f>
        <v/>
      </c>
      <c r="U223" s="32" t="str">
        <f>IF('12 - Deployments &amp; Config'!AX228="","",'12 - Deployments &amp; Config'!AX228)</f>
        <v/>
      </c>
      <c r="V223" s="32" t="str">
        <f>IF('12 - Deployments &amp; Config'!BB228="","",'12 - Deployments &amp; Config'!BB228)</f>
        <v/>
      </c>
      <c r="W223" s="32" t="str">
        <f>IF('12 - Deployments &amp; Config'!BD228="","",'12 - Deployments &amp; Config'!BD228)</f>
        <v/>
      </c>
      <c r="X223" s="32" t="str">
        <f>IF('12 - Deployments &amp; Config'!BL228="","",'12 - Deployments &amp; Config'!BL228)</f>
        <v/>
      </c>
      <c r="Y223" s="32" t="str">
        <f>IF('12 - Deployments &amp; Config'!BC228="","",'12 - Deployments &amp; Config'!BC228)</f>
        <v/>
      </c>
      <c r="Z223" s="32" t="str">
        <f>IF('12 - Deployments &amp; Config'!P228="","",'12 - Deployments &amp; Config'!P228)</f>
        <v/>
      </c>
      <c r="AA223" s="32" t="str">
        <f>IF('12 - Deployments &amp; Config'!Q228="","",'12 - Deployments &amp; Config'!Q228)</f>
        <v/>
      </c>
    </row>
    <row r="224" spans="1:27">
      <c r="A224" s="33"/>
      <c r="B224" s="33"/>
      <c r="C224" s="32" t="str">
        <f>IF('12 - Deployments &amp; Config'!H229="","",'12 - Deployments &amp; Config'!H229)</f>
        <v/>
      </c>
      <c r="D224" s="32" t="str">
        <f>IF('12 - Deployments &amp; Config'!AF229="","",'12 - Deployments &amp; Config'!AF229)</f>
        <v/>
      </c>
      <c r="E224" s="32" t="str">
        <f>IF('12 - Deployments &amp; Config'!AG229="","",'12 - Deployments &amp; Config'!AG229)</f>
        <v/>
      </c>
      <c r="F224" s="32" t="str">
        <f>IF('12 - Deployments &amp; Config'!AH229="","",'12 - Deployments &amp; Config'!AH229)</f>
        <v/>
      </c>
      <c r="G224" s="32" t="str">
        <f>IF('12 - Deployments &amp; Config'!AI229="","",'12 - Deployments &amp; Config'!AI229)</f>
        <v/>
      </c>
      <c r="H224" s="32" t="str">
        <f>IF('12 - Deployments &amp; Config'!A229="","",'12 - Deployments &amp; Config'!A229)</f>
        <v/>
      </c>
      <c r="I224" s="32" t="str">
        <f>IF('12 - Deployments &amp; Config'!AJ229="","",'12 - Deployments &amp; Config'!AJ229)</f>
        <v/>
      </c>
      <c r="J224" s="32" t="str">
        <f>IF('12 - Deployments &amp; Config'!AK229="","",'12 - Deployments &amp; Config'!AK229)</f>
        <v/>
      </c>
      <c r="K224" s="32" t="str">
        <f>IF('12 - Deployments &amp; Config'!AA229="","",'12 - Deployments &amp; Config'!AA229)</f>
        <v/>
      </c>
      <c r="L224" s="32" t="str">
        <f>IF('12 - Deployments &amp; Config'!I229="","",'12 - Deployments &amp; Config'!I229)</f>
        <v/>
      </c>
      <c r="M224" s="33"/>
      <c r="N224" s="32" t="str">
        <f>IF('12 - Deployments &amp; Config'!J229="","",'12 - Deployments &amp; Config'!J229)</f>
        <v/>
      </c>
      <c r="O224" s="32" t="str">
        <f>IF('12 - Deployments &amp; Config'!K229="","",'12 - Deployments &amp; Config'!K229)</f>
        <v/>
      </c>
      <c r="P224" s="32" t="str">
        <f>IF('12 - Deployments &amp; Config'!L229="","",'12 - Deployments &amp; Config'!L229)</f>
        <v/>
      </c>
      <c r="Q224" s="33"/>
      <c r="R224" s="32" t="str">
        <f>IF('12 - Deployments &amp; Config'!AZ229="","",'12 - Deployments &amp; Config'!AZ229)</f>
        <v/>
      </c>
      <c r="S224" s="32" t="str">
        <f>IF('12 - Deployments &amp; Config'!AY229="","",'12 - Deployments &amp; Config'!AY229)</f>
        <v/>
      </c>
      <c r="T224" s="32" t="str">
        <f>IF('12 - Deployments &amp; Config'!AW229="","",'12 - Deployments &amp; Config'!AW229)</f>
        <v/>
      </c>
      <c r="U224" s="32" t="str">
        <f>IF('12 - Deployments &amp; Config'!AX229="","",'12 - Deployments &amp; Config'!AX229)</f>
        <v/>
      </c>
      <c r="V224" s="32" t="str">
        <f>IF('12 - Deployments &amp; Config'!BB229="","",'12 - Deployments &amp; Config'!BB229)</f>
        <v/>
      </c>
      <c r="W224" s="32" t="str">
        <f>IF('12 - Deployments &amp; Config'!BD229="","",'12 - Deployments &amp; Config'!BD229)</f>
        <v/>
      </c>
      <c r="X224" s="32" t="str">
        <f>IF('12 - Deployments &amp; Config'!BL229="","",'12 - Deployments &amp; Config'!BL229)</f>
        <v/>
      </c>
      <c r="Y224" s="32" t="str">
        <f>IF('12 - Deployments &amp; Config'!BC229="","",'12 - Deployments &amp; Config'!BC229)</f>
        <v/>
      </c>
      <c r="Z224" s="32" t="str">
        <f>IF('12 - Deployments &amp; Config'!P229="","",'12 - Deployments &amp; Config'!P229)</f>
        <v/>
      </c>
      <c r="AA224" s="32" t="str">
        <f>IF('12 - Deployments &amp; Config'!Q229="","",'12 - Deployments &amp; Config'!Q229)</f>
        <v/>
      </c>
    </row>
    <row r="225" spans="1:27">
      <c r="A225" s="33"/>
      <c r="B225" s="33"/>
      <c r="C225" s="32" t="str">
        <f>IF('12 - Deployments &amp; Config'!H230="","",'12 - Deployments &amp; Config'!H230)</f>
        <v/>
      </c>
      <c r="D225" s="32" t="str">
        <f>IF('12 - Deployments &amp; Config'!AF230="","",'12 - Deployments &amp; Config'!AF230)</f>
        <v/>
      </c>
      <c r="E225" s="32" t="str">
        <f>IF('12 - Deployments &amp; Config'!AG230="","",'12 - Deployments &amp; Config'!AG230)</f>
        <v/>
      </c>
      <c r="F225" s="32" t="str">
        <f>IF('12 - Deployments &amp; Config'!AH230="","",'12 - Deployments &amp; Config'!AH230)</f>
        <v/>
      </c>
      <c r="G225" s="32" t="str">
        <f>IF('12 - Deployments &amp; Config'!AI230="","",'12 - Deployments &amp; Config'!AI230)</f>
        <v/>
      </c>
      <c r="H225" s="32" t="str">
        <f>IF('12 - Deployments &amp; Config'!A230="","",'12 - Deployments &amp; Config'!A230)</f>
        <v/>
      </c>
      <c r="I225" s="32" t="str">
        <f>IF('12 - Deployments &amp; Config'!AJ230="","",'12 - Deployments &amp; Config'!AJ230)</f>
        <v/>
      </c>
      <c r="J225" s="32" t="str">
        <f>IF('12 - Deployments &amp; Config'!AK230="","",'12 - Deployments &amp; Config'!AK230)</f>
        <v/>
      </c>
      <c r="K225" s="32" t="str">
        <f>IF('12 - Deployments &amp; Config'!AA230="","",'12 - Deployments &amp; Config'!AA230)</f>
        <v/>
      </c>
      <c r="L225" s="32" t="str">
        <f>IF('12 - Deployments &amp; Config'!I230="","",'12 - Deployments &amp; Config'!I230)</f>
        <v/>
      </c>
      <c r="M225" s="33"/>
      <c r="N225" s="32" t="str">
        <f>IF('12 - Deployments &amp; Config'!J230="","",'12 - Deployments &amp; Config'!J230)</f>
        <v/>
      </c>
      <c r="O225" s="32" t="str">
        <f>IF('12 - Deployments &amp; Config'!K230="","",'12 - Deployments &amp; Config'!K230)</f>
        <v/>
      </c>
      <c r="P225" s="32" t="str">
        <f>IF('12 - Deployments &amp; Config'!L230="","",'12 - Deployments &amp; Config'!L230)</f>
        <v/>
      </c>
      <c r="Q225" s="33"/>
      <c r="R225" s="32" t="str">
        <f>IF('12 - Deployments &amp; Config'!AZ230="","",'12 - Deployments &amp; Config'!AZ230)</f>
        <v/>
      </c>
      <c r="S225" s="32" t="str">
        <f>IF('12 - Deployments &amp; Config'!AY230="","",'12 - Deployments &amp; Config'!AY230)</f>
        <v/>
      </c>
      <c r="T225" s="32" t="str">
        <f>IF('12 - Deployments &amp; Config'!AW230="","",'12 - Deployments &amp; Config'!AW230)</f>
        <v/>
      </c>
      <c r="U225" s="32" t="str">
        <f>IF('12 - Deployments &amp; Config'!AX230="","",'12 - Deployments &amp; Config'!AX230)</f>
        <v/>
      </c>
      <c r="V225" s="32" t="str">
        <f>IF('12 - Deployments &amp; Config'!BB230="","",'12 - Deployments &amp; Config'!BB230)</f>
        <v/>
      </c>
      <c r="W225" s="32" t="str">
        <f>IF('12 - Deployments &amp; Config'!BD230="","",'12 - Deployments &amp; Config'!BD230)</f>
        <v/>
      </c>
      <c r="X225" s="32" t="str">
        <f>IF('12 - Deployments &amp; Config'!BL230="","",'12 - Deployments &amp; Config'!BL230)</f>
        <v/>
      </c>
      <c r="Y225" s="32" t="str">
        <f>IF('12 - Deployments &amp; Config'!BC230="","",'12 - Deployments &amp; Config'!BC230)</f>
        <v/>
      </c>
      <c r="Z225" s="32" t="str">
        <f>IF('12 - Deployments &amp; Config'!P230="","",'12 - Deployments &amp; Config'!P230)</f>
        <v/>
      </c>
      <c r="AA225" s="32" t="str">
        <f>IF('12 - Deployments &amp; Config'!Q230="","",'12 - Deployments &amp; Config'!Q230)</f>
        <v/>
      </c>
    </row>
    <row r="226" spans="1:27">
      <c r="A226" s="33"/>
      <c r="B226" s="33"/>
      <c r="C226" s="32" t="str">
        <f>IF('12 - Deployments &amp; Config'!H231="","",'12 - Deployments &amp; Config'!H231)</f>
        <v/>
      </c>
      <c r="D226" s="32" t="str">
        <f>IF('12 - Deployments &amp; Config'!AF231="","",'12 - Deployments &amp; Config'!AF231)</f>
        <v/>
      </c>
      <c r="E226" s="32" t="str">
        <f>IF('12 - Deployments &amp; Config'!AG231="","",'12 - Deployments &amp; Config'!AG231)</f>
        <v/>
      </c>
      <c r="F226" s="32" t="str">
        <f>IF('12 - Deployments &amp; Config'!AH231="","",'12 - Deployments &amp; Config'!AH231)</f>
        <v/>
      </c>
      <c r="G226" s="32" t="str">
        <f>IF('12 - Deployments &amp; Config'!AI231="","",'12 - Deployments &amp; Config'!AI231)</f>
        <v/>
      </c>
      <c r="H226" s="32" t="str">
        <f>IF('12 - Deployments &amp; Config'!A231="","",'12 - Deployments &amp; Config'!A231)</f>
        <v/>
      </c>
      <c r="I226" s="32" t="str">
        <f>IF('12 - Deployments &amp; Config'!AJ231="","",'12 - Deployments &amp; Config'!AJ231)</f>
        <v/>
      </c>
      <c r="J226" s="32" t="str">
        <f>IF('12 - Deployments &amp; Config'!AK231="","",'12 - Deployments &amp; Config'!AK231)</f>
        <v/>
      </c>
      <c r="K226" s="32" t="str">
        <f>IF('12 - Deployments &amp; Config'!AA231="","",'12 - Deployments &amp; Config'!AA231)</f>
        <v/>
      </c>
      <c r="L226" s="32" t="str">
        <f>IF('12 - Deployments &amp; Config'!I231="","",'12 - Deployments &amp; Config'!I231)</f>
        <v/>
      </c>
      <c r="M226" s="33"/>
      <c r="N226" s="32" t="str">
        <f>IF('12 - Deployments &amp; Config'!J231="","",'12 - Deployments &amp; Config'!J231)</f>
        <v/>
      </c>
      <c r="O226" s="32" t="str">
        <f>IF('12 - Deployments &amp; Config'!K231="","",'12 - Deployments &amp; Config'!K231)</f>
        <v/>
      </c>
      <c r="P226" s="32" t="str">
        <f>IF('12 - Deployments &amp; Config'!L231="","",'12 - Deployments &amp; Config'!L231)</f>
        <v/>
      </c>
      <c r="Q226" s="33"/>
      <c r="R226" s="32" t="str">
        <f>IF('12 - Deployments &amp; Config'!AZ231="","",'12 - Deployments &amp; Config'!AZ231)</f>
        <v/>
      </c>
      <c r="S226" s="32" t="str">
        <f>IF('12 - Deployments &amp; Config'!AY231="","",'12 - Deployments &amp; Config'!AY231)</f>
        <v/>
      </c>
      <c r="T226" s="32" t="str">
        <f>IF('12 - Deployments &amp; Config'!AW231="","",'12 - Deployments &amp; Config'!AW231)</f>
        <v/>
      </c>
      <c r="U226" s="32" t="str">
        <f>IF('12 - Deployments &amp; Config'!AX231="","",'12 - Deployments &amp; Config'!AX231)</f>
        <v/>
      </c>
      <c r="V226" s="32" t="str">
        <f>IF('12 - Deployments &amp; Config'!BB231="","",'12 - Deployments &amp; Config'!BB231)</f>
        <v/>
      </c>
      <c r="W226" s="32" t="str">
        <f>IF('12 - Deployments &amp; Config'!BD231="","",'12 - Deployments &amp; Config'!BD231)</f>
        <v/>
      </c>
      <c r="X226" s="32" t="str">
        <f>IF('12 - Deployments &amp; Config'!BL231="","",'12 - Deployments &amp; Config'!BL231)</f>
        <v/>
      </c>
      <c r="Y226" s="32" t="str">
        <f>IF('12 - Deployments &amp; Config'!BC231="","",'12 - Deployments &amp; Config'!BC231)</f>
        <v/>
      </c>
      <c r="Z226" s="32" t="str">
        <f>IF('12 - Deployments &amp; Config'!P231="","",'12 - Deployments &amp; Config'!P231)</f>
        <v/>
      </c>
      <c r="AA226" s="32" t="str">
        <f>IF('12 - Deployments &amp; Config'!Q231="","",'12 - Deployments &amp; Config'!Q231)</f>
        <v/>
      </c>
    </row>
    <row r="227" spans="1:27">
      <c r="A227" s="33"/>
      <c r="B227" s="33"/>
      <c r="C227" s="32" t="str">
        <f>IF('12 - Deployments &amp; Config'!H232="","",'12 - Deployments &amp; Config'!H232)</f>
        <v/>
      </c>
      <c r="D227" s="32" t="str">
        <f>IF('12 - Deployments &amp; Config'!AF232="","",'12 - Deployments &amp; Config'!AF232)</f>
        <v/>
      </c>
      <c r="E227" s="32" t="str">
        <f>IF('12 - Deployments &amp; Config'!AG232="","",'12 - Deployments &amp; Config'!AG232)</f>
        <v/>
      </c>
      <c r="F227" s="32" t="str">
        <f>IF('12 - Deployments &amp; Config'!AH232="","",'12 - Deployments &amp; Config'!AH232)</f>
        <v/>
      </c>
      <c r="G227" s="32" t="str">
        <f>IF('12 - Deployments &amp; Config'!AI232="","",'12 - Deployments &amp; Config'!AI232)</f>
        <v/>
      </c>
      <c r="H227" s="32" t="str">
        <f>IF('12 - Deployments &amp; Config'!A232="","",'12 - Deployments &amp; Config'!A232)</f>
        <v/>
      </c>
      <c r="I227" s="32" t="str">
        <f>IF('12 - Deployments &amp; Config'!AJ232="","",'12 - Deployments &amp; Config'!AJ232)</f>
        <v/>
      </c>
      <c r="J227" s="32" t="str">
        <f>IF('12 - Deployments &amp; Config'!AK232="","",'12 - Deployments &amp; Config'!AK232)</f>
        <v/>
      </c>
      <c r="K227" s="32" t="str">
        <f>IF('12 - Deployments &amp; Config'!AA232="","",'12 - Deployments &amp; Config'!AA232)</f>
        <v/>
      </c>
      <c r="L227" s="32" t="str">
        <f>IF('12 - Deployments &amp; Config'!I232="","",'12 - Deployments &amp; Config'!I232)</f>
        <v/>
      </c>
      <c r="M227" s="33"/>
      <c r="N227" s="32" t="str">
        <f>IF('12 - Deployments &amp; Config'!J232="","",'12 - Deployments &amp; Config'!J232)</f>
        <v/>
      </c>
      <c r="O227" s="32" t="str">
        <f>IF('12 - Deployments &amp; Config'!K232="","",'12 - Deployments &amp; Config'!K232)</f>
        <v/>
      </c>
      <c r="P227" s="32" t="str">
        <f>IF('12 - Deployments &amp; Config'!L232="","",'12 - Deployments &amp; Config'!L232)</f>
        <v/>
      </c>
      <c r="Q227" s="33"/>
      <c r="R227" s="32" t="str">
        <f>IF('12 - Deployments &amp; Config'!AZ232="","",'12 - Deployments &amp; Config'!AZ232)</f>
        <v/>
      </c>
      <c r="S227" s="32" t="str">
        <f>IF('12 - Deployments &amp; Config'!AY232="","",'12 - Deployments &amp; Config'!AY232)</f>
        <v/>
      </c>
      <c r="T227" s="32" t="str">
        <f>IF('12 - Deployments &amp; Config'!AW232="","",'12 - Deployments &amp; Config'!AW232)</f>
        <v/>
      </c>
      <c r="U227" s="32" t="str">
        <f>IF('12 - Deployments &amp; Config'!AX232="","",'12 - Deployments &amp; Config'!AX232)</f>
        <v/>
      </c>
      <c r="V227" s="32" t="str">
        <f>IF('12 - Deployments &amp; Config'!BB232="","",'12 - Deployments &amp; Config'!BB232)</f>
        <v/>
      </c>
      <c r="W227" s="32" t="str">
        <f>IF('12 - Deployments &amp; Config'!BD232="","",'12 - Deployments &amp; Config'!BD232)</f>
        <v/>
      </c>
      <c r="X227" s="32" t="str">
        <f>IF('12 - Deployments &amp; Config'!BL232="","",'12 - Deployments &amp; Config'!BL232)</f>
        <v/>
      </c>
      <c r="Y227" s="32" t="str">
        <f>IF('12 - Deployments &amp; Config'!BC232="","",'12 - Deployments &amp; Config'!BC232)</f>
        <v/>
      </c>
      <c r="Z227" s="32" t="str">
        <f>IF('12 - Deployments &amp; Config'!P232="","",'12 - Deployments &amp; Config'!P232)</f>
        <v/>
      </c>
      <c r="AA227" s="32" t="str">
        <f>IF('12 - Deployments &amp; Config'!Q232="","",'12 - Deployments &amp; Config'!Q232)</f>
        <v/>
      </c>
    </row>
    <row r="228" spans="1:27">
      <c r="A228" s="33"/>
      <c r="B228" s="33"/>
      <c r="C228" s="32" t="str">
        <f>IF('12 - Deployments &amp; Config'!H233="","",'12 - Deployments &amp; Config'!H233)</f>
        <v/>
      </c>
      <c r="D228" s="32" t="str">
        <f>IF('12 - Deployments &amp; Config'!AF233="","",'12 - Deployments &amp; Config'!AF233)</f>
        <v/>
      </c>
      <c r="E228" s="32" t="str">
        <f>IF('12 - Deployments &amp; Config'!AG233="","",'12 - Deployments &amp; Config'!AG233)</f>
        <v/>
      </c>
      <c r="F228" s="32" t="str">
        <f>IF('12 - Deployments &amp; Config'!AH233="","",'12 - Deployments &amp; Config'!AH233)</f>
        <v/>
      </c>
      <c r="G228" s="32" t="str">
        <f>IF('12 - Deployments &amp; Config'!AI233="","",'12 - Deployments &amp; Config'!AI233)</f>
        <v/>
      </c>
      <c r="H228" s="32" t="str">
        <f>IF('12 - Deployments &amp; Config'!A233="","",'12 - Deployments &amp; Config'!A233)</f>
        <v/>
      </c>
      <c r="I228" s="32" t="str">
        <f>IF('12 - Deployments &amp; Config'!AJ233="","",'12 - Deployments &amp; Config'!AJ233)</f>
        <v/>
      </c>
      <c r="J228" s="32" t="str">
        <f>IF('12 - Deployments &amp; Config'!AK233="","",'12 - Deployments &amp; Config'!AK233)</f>
        <v/>
      </c>
      <c r="K228" s="32" t="str">
        <f>IF('12 - Deployments &amp; Config'!AA233="","",'12 - Deployments &amp; Config'!AA233)</f>
        <v/>
      </c>
      <c r="L228" s="32" t="str">
        <f>IF('12 - Deployments &amp; Config'!I233="","",'12 - Deployments &amp; Config'!I233)</f>
        <v/>
      </c>
      <c r="M228" s="33"/>
      <c r="N228" s="32" t="str">
        <f>IF('12 - Deployments &amp; Config'!J233="","",'12 - Deployments &amp; Config'!J233)</f>
        <v/>
      </c>
      <c r="O228" s="32" t="str">
        <f>IF('12 - Deployments &amp; Config'!K233="","",'12 - Deployments &amp; Config'!K233)</f>
        <v/>
      </c>
      <c r="P228" s="32" t="str">
        <f>IF('12 - Deployments &amp; Config'!L233="","",'12 - Deployments &amp; Config'!L233)</f>
        <v/>
      </c>
      <c r="Q228" s="33"/>
      <c r="R228" s="32" t="str">
        <f>IF('12 - Deployments &amp; Config'!AZ233="","",'12 - Deployments &amp; Config'!AZ233)</f>
        <v/>
      </c>
      <c r="S228" s="32" t="str">
        <f>IF('12 - Deployments &amp; Config'!AY233="","",'12 - Deployments &amp; Config'!AY233)</f>
        <v/>
      </c>
      <c r="T228" s="32" t="str">
        <f>IF('12 - Deployments &amp; Config'!AW233="","",'12 - Deployments &amp; Config'!AW233)</f>
        <v/>
      </c>
      <c r="U228" s="32" t="str">
        <f>IF('12 - Deployments &amp; Config'!AX233="","",'12 - Deployments &amp; Config'!AX233)</f>
        <v/>
      </c>
      <c r="V228" s="32" t="str">
        <f>IF('12 - Deployments &amp; Config'!BB233="","",'12 - Deployments &amp; Config'!BB233)</f>
        <v/>
      </c>
      <c r="W228" s="32" t="str">
        <f>IF('12 - Deployments &amp; Config'!BD233="","",'12 - Deployments &amp; Config'!BD233)</f>
        <v/>
      </c>
      <c r="X228" s="32" t="str">
        <f>IF('12 - Deployments &amp; Config'!BL233="","",'12 - Deployments &amp; Config'!BL233)</f>
        <v/>
      </c>
      <c r="Y228" s="32" t="str">
        <f>IF('12 - Deployments &amp; Config'!BC233="","",'12 - Deployments &amp; Config'!BC233)</f>
        <v/>
      </c>
      <c r="Z228" s="32" t="str">
        <f>IF('12 - Deployments &amp; Config'!P233="","",'12 - Deployments &amp; Config'!P233)</f>
        <v/>
      </c>
      <c r="AA228" s="32" t="str">
        <f>IF('12 - Deployments &amp; Config'!Q233="","",'12 - Deployments &amp; Config'!Q233)</f>
        <v/>
      </c>
    </row>
    <row r="229" spans="1:27">
      <c r="A229" s="33"/>
      <c r="B229" s="33"/>
      <c r="C229" s="32" t="str">
        <f>IF('12 - Deployments &amp; Config'!H234="","",'12 - Deployments &amp; Config'!H234)</f>
        <v/>
      </c>
      <c r="D229" s="32" t="str">
        <f>IF('12 - Deployments &amp; Config'!AF234="","",'12 - Deployments &amp; Config'!AF234)</f>
        <v/>
      </c>
      <c r="E229" s="32" t="str">
        <f>IF('12 - Deployments &amp; Config'!AG234="","",'12 - Deployments &amp; Config'!AG234)</f>
        <v/>
      </c>
      <c r="F229" s="32" t="str">
        <f>IF('12 - Deployments &amp; Config'!AH234="","",'12 - Deployments &amp; Config'!AH234)</f>
        <v/>
      </c>
      <c r="G229" s="32" t="str">
        <f>IF('12 - Deployments &amp; Config'!AI234="","",'12 - Deployments &amp; Config'!AI234)</f>
        <v/>
      </c>
      <c r="H229" s="32" t="str">
        <f>IF('12 - Deployments &amp; Config'!A234="","",'12 - Deployments &amp; Config'!A234)</f>
        <v/>
      </c>
      <c r="I229" s="32" t="str">
        <f>IF('12 - Deployments &amp; Config'!AJ234="","",'12 - Deployments &amp; Config'!AJ234)</f>
        <v/>
      </c>
      <c r="J229" s="32" t="str">
        <f>IF('12 - Deployments &amp; Config'!AK234="","",'12 - Deployments &amp; Config'!AK234)</f>
        <v/>
      </c>
      <c r="K229" s="32" t="str">
        <f>IF('12 - Deployments &amp; Config'!AA234="","",'12 - Deployments &amp; Config'!AA234)</f>
        <v/>
      </c>
      <c r="L229" s="32" t="str">
        <f>IF('12 - Deployments &amp; Config'!I234="","",'12 - Deployments &amp; Config'!I234)</f>
        <v/>
      </c>
      <c r="M229" s="33"/>
      <c r="N229" s="32" t="str">
        <f>IF('12 - Deployments &amp; Config'!J234="","",'12 - Deployments &amp; Config'!J234)</f>
        <v/>
      </c>
      <c r="O229" s="32" t="str">
        <f>IF('12 - Deployments &amp; Config'!K234="","",'12 - Deployments &amp; Config'!K234)</f>
        <v/>
      </c>
      <c r="P229" s="32" t="str">
        <f>IF('12 - Deployments &amp; Config'!L234="","",'12 - Deployments &amp; Config'!L234)</f>
        <v/>
      </c>
      <c r="Q229" s="33"/>
      <c r="R229" s="32" t="str">
        <f>IF('12 - Deployments &amp; Config'!AZ234="","",'12 - Deployments &amp; Config'!AZ234)</f>
        <v/>
      </c>
      <c r="S229" s="32" t="str">
        <f>IF('12 - Deployments &amp; Config'!AY234="","",'12 - Deployments &amp; Config'!AY234)</f>
        <v/>
      </c>
      <c r="T229" s="32" t="str">
        <f>IF('12 - Deployments &amp; Config'!AW234="","",'12 - Deployments &amp; Config'!AW234)</f>
        <v/>
      </c>
      <c r="U229" s="32" t="str">
        <f>IF('12 - Deployments &amp; Config'!AX234="","",'12 - Deployments &amp; Config'!AX234)</f>
        <v/>
      </c>
      <c r="V229" s="32" t="str">
        <f>IF('12 - Deployments &amp; Config'!BB234="","",'12 - Deployments &amp; Config'!BB234)</f>
        <v/>
      </c>
      <c r="W229" s="32" t="str">
        <f>IF('12 - Deployments &amp; Config'!BD234="","",'12 - Deployments &amp; Config'!BD234)</f>
        <v/>
      </c>
      <c r="X229" s="32" t="str">
        <f>IF('12 - Deployments &amp; Config'!BL234="","",'12 - Deployments &amp; Config'!BL234)</f>
        <v/>
      </c>
      <c r="Y229" s="32" t="str">
        <f>IF('12 - Deployments &amp; Config'!BC234="","",'12 - Deployments &amp; Config'!BC234)</f>
        <v/>
      </c>
      <c r="Z229" s="32" t="str">
        <f>IF('12 - Deployments &amp; Config'!P234="","",'12 - Deployments &amp; Config'!P234)</f>
        <v/>
      </c>
      <c r="AA229" s="32" t="str">
        <f>IF('12 - Deployments &amp; Config'!Q234="","",'12 - Deployments &amp; Config'!Q234)</f>
        <v/>
      </c>
    </row>
    <row r="230" spans="1:27">
      <c r="A230" s="33"/>
      <c r="B230" s="33"/>
      <c r="C230" s="32" t="str">
        <f>IF('12 - Deployments &amp; Config'!H235="","",'12 - Deployments &amp; Config'!H235)</f>
        <v/>
      </c>
      <c r="D230" s="32" t="str">
        <f>IF('12 - Deployments &amp; Config'!AF235="","",'12 - Deployments &amp; Config'!AF235)</f>
        <v/>
      </c>
      <c r="E230" s="32" t="str">
        <f>IF('12 - Deployments &amp; Config'!AG235="","",'12 - Deployments &amp; Config'!AG235)</f>
        <v/>
      </c>
      <c r="F230" s="32" t="str">
        <f>IF('12 - Deployments &amp; Config'!AH235="","",'12 - Deployments &amp; Config'!AH235)</f>
        <v/>
      </c>
      <c r="G230" s="32" t="str">
        <f>IF('12 - Deployments &amp; Config'!AI235="","",'12 - Deployments &amp; Config'!AI235)</f>
        <v/>
      </c>
      <c r="H230" s="32" t="str">
        <f>IF('12 - Deployments &amp; Config'!A235="","",'12 - Deployments &amp; Config'!A235)</f>
        <v/>
      </c>
      <c r="I230" s="32" t="str">
        <f>IF('12 - Deployments &amp; Config'!AJ235="","",'12 - Deployments &amp; Config'!AJ235)</f>
        <v/>
      </c>
      <c r="J230" s="32" t="str">
        <f>IF('12 - Deployments &amp; Config'!AK235="","",'12 - Deployments &amp; Config'!AK235)</f>
        <v/>
      </c>
      <c r="K230" s="32" t="str">
        <f>IF('12 - Deployments &amp; Config'!AA235="","",'12 - Deployments &amp; Config'!AA235)</f>
        <v/>
      </c>
      <c r="L230" s="32" t="str">
        <f>IF('12 - Deployments &amp; Config'!I235="","",'12 - Deployments &amp; Config'!I235)</f>
        <v/>
      </c>
      <c r="M230" s="33"/>
      <c r="N230" s="32" t="str">
        <f>IF('12 - Deployments &amp; Config'!J235="","",'12 - Deployments &amp; Config'!J235)</f>
        <v/>
      </c>
      <c r="O230" s="32" t="str">
        <f>IF('12 - Deployments &amp; Config'!K235="","",'12 - Deployments &amp; Config'!K235)</f>
        <v/>
      </c>
      <c r="P230" s="32" t="str">
        <f>IF('12 - Deployments &amp; Config'!L235="","",'12 - Deployments &amp; Config'!L235)</f>
        <v/>
      </c>
      <c r="Q230" s="33"/>
      <c r="R230" s="32" t="str">
        <f>IF('12 - Deployments &amp; Config'!AZ235="","",'12 - Deployments &amp; Config'!AZ235)</f>
        <v/>
      </c>
      <c r="S230" s="32" t="str">
        <f>IF('12 - Deployments &amp; Config'!AY235="","",'12 - Deployments &amp; Config'!AY235)</f>
        <v/>
      </c>
      <c r="T230" s="32" t="str">
        <f>IF('12 - Deployments &amp; Config'!AW235="","",'12 - Deployments &amp; Config'!AW235)</f>
        <v/>
      </c>
      <c r="U230" s="32" t="str">
        <f>IF('12 - Deployments &amp; Config'!AX235="","",'12 - Deployments &amp; Config'!AX235)</f>
        <v/>
      </c>
      <c r="V230" s="32" t="str">
        <f>IF('12 - Deployments &amp; Config'!BB235="","",'12 - Deployments &amp; Config'!BB235)</f>
        <v/>
      </c>
      <c r="W230" s="32" t="str">
        <f>IF('12 - Deployments &amp; Config'!BD235="","",'12 - Deployments &amp; Config'!BD235)</f>
        <v/>
      </c>
      <c r="X230" s="32" t="str">
        <f>IF('12 - Deployments &amp; Config'!BL235="","",'12 - Deployments &amp; Config'!BL235)</f>
        <v/>
      </c>
      <c r="Y230" s="32" t="str">
        <f>IF('12 - Deployments &amp; Config'!BC235="","",'12 - Deployments &amp; Config'!BC235)</f>
        <v/>
      </c>
      <c r="Z230" s="32" t="str">
        <f>IF('12 - Deployments &amp; Config'!P235="","",'12 - Deployments &amp; Config'!P235)</f>
        <v/>
      </c>
      <c r="AA230" s="32" t="str">
        <f>IF('12 - Deployments &amp; Config'!Q235="","",'12 - Deployments &amp; Config'!Q235)</f>
        <v/>
      </c>
    </row>
    <row r="231" spans="1:27">
      <c r="A231" s="33"/>
      <c r="B231" s="33"/>
      <c r="C231" s="32" t="str">
        <f>IF('12 - Deployments &amp; Config'!H236="","",'12 - Deployments &amp; Config'!H236)</f>
        <v/>
      </c>
      <c r="D231" s="32" t="str">
        <f>IF('12 - Deployments &amp; Config'!AF236="","",'12 - Deployments &amp; Config'!AF236)</f>
        <v/>
      </c>
      <c r="E231" s="32" t="str">
        <f>IF('12 - Deployments &amp; Config'!AG236="","",'12 - Deployments &amp; Config'!AG236)</f>
        <v/>
      </c>
      <c r="F231" s="32" t="str">
        <f>IF('12 - Deployments &amp; Config'!AH236="","",'12 - Deployments &amp; Config'!AH236)</f>
        <v/>
      </c>
      <c r="G231" s="32" t="str">
        <f>IF('12 - Deployments &amp; Config'!AI236="","",'12 - Deployments &amp; Config'!AI236)</f>
        <v/>
      </c>
      <c r="H231" s="32" t="str">
        <f>IF('12 - Deployments &amp; Config'!A236="","",'12 - Deployments &amp; Config'!A236)</f>
        <v/>
      </c>
      <c r="I231" s="32" t="str">
        <f>IF('12 - Deployments &amp; Config'!AJ236="","",'12 - Deployments &amp; Config'!AJ236)</f>
        <v/>
      </c>
      <c r="J231" s="32" t="str">
        <f>IF('12 - Deployments &amp; Config'!AK236="","",'12 - Deployments &amp; Config'!AK236)</f>
        <v/>
      </c>
      <c r="K231" s="32" t="str">
        <f>IF('12 - Deployments &amp; Config'!AA236="","",'12 - Deployments &amp; Config'!AA236)</f>
        <v/>
      </c>
      <c r="L231" s="32" t="str">
        <f>IF('12 - Deployments &amp; Config'!I236="","",'12 - Deployments &amp; Config'!I236)</f>
        <v/>
      </c>
      <c r="M231" s="33"/>
      <c r="N231" s="32" t="str">
        <f>IF('12 - Deployments &amp; Config'!J236="","",'12 - Deployments &amp; Config'!J236)</f>
        <v/>
      </c>
      <c r="O231" s="32" t="str">
        <f>IF('12 - Deployments &amp; Config'!K236="","",'12 - Deployments &amp; Config'!K236)</f>
        <v/>
      </c>
      <c r="P231" s="32" t="str">
        <f>IF('12 - Deployments &amp; Config'!L236="","",'12 - Deployments &amp; Config'!L236)</f>
        <v/>
      </c>
      <c r="Q231" s="33"/>
      <c r="R231" s="32" t="str">
        <f>IF('12 - Deployments &amp; Config'!AZ236="","",'12 - Deployments &amp; Config'!AZ236)</f>
        <v/>
      </c>
      <c r="S231" s="32" t="str">
        <f>IF('12 - Deployments &amp; Config'!AY236="","",'12 - Deployments &amp; Config'!AY236)</f>
        <v/>
      </c>
      <c r="T231" s="32" t="str">
        <f>IF('12 - Deployments &amp; Config'!AW236="","",'12 - Deployments &amp; Config'!AW236)</f>
        <v/>
      </c>
      <c r="U231" s="32" t="str">
        <f>IF('12 - Deployments &amp; Config'!AX236="","",'12 - Deployments &amp; Config'!AX236)</f>
        <v/>
      </c>
      <c r="V231" s="32" t="str">
        <f>IF('12 - Deployments &amp; Config'!BB236="","",'12 - Deployments &amp; Config'!BB236)</f>
        <v/>
      </c>
      <c r="W231" s="32" t="str">
        <f>IF('12 - Deployments &amp; Config'!BD236="","",'12 - Deployments &amp; Config'!BD236)</f>
        <v/>
      </c>
      <c r="X231" s="32" t="str">
        <f>IF('12 - Deployments &amp; Config'!BL236="","",'12 - Deployments &amp; Config'!BL236)</f>
        <v/>
      </c>
      <c r="Y231" s="32" t="str">
        <f>IF('12 - Deployments &amp; Config'!BC236="","",'12 - Deployments &amp; Config'!BC236)</f>
        <v/>
      </c>
      <c r="Z231" s="32" t="str">
        <f>IF('12 - Deployments &amp; Config'!P236="","",'12 - Deployments &amp; Config'!P236)</f>
        <v/>
      </c>
      <c r="AA231" s="32" t="str">
        <f>IF('12 - Deployments &amp; Config'!Q236="","",'12 - Deployments &amp; Config'!Q236)</f>
        <v/>
      </c>
    </row>
    <row r="232" spans="1:27">
      <c r="A232" s="33"/>
      <c r="B232" s="33"/>
      <c r="C232" s="32" t="str">
        <f>IF('12 - Deployments &amp; Config'!H237="","",'12 - Deployments &amp; Config'!H237)</f>
        <v/>
      </c>
      <c r="D232" s="32" t="str">
        <f>IF('12 - Deployments &amp; Config'!AF237="","",'12 - Deployments &amp; Config'!AF237)</f>
        <v/>
      </c>
      <c r="E232" s="32" t="str">
        <f>IF('12 - Deployments &amp; Config'!AG237="","",'12 - Deployments &amp; Config'!AG237)</f>
        <v/>
      </c>
      <c r="F232" s="32" t="str">
        <f>IF('12 - Deployments &amp; Config'!AH237="","",'12 - Deployments &amp; Config'!AH237)</f>
        <v/>
      </c>
      <c r="G232" s="32" t="str">
        <f>IF('12 - Deployments &amp; Config'!AI237="","",'12 - Deployments &amp; Config'!AI237)</f>
        <v/>
      </c>
      <c r="H232" s="32" t="str">
        <f>IF('12 - Deployments &amp; Config'!A237="","",'12 - Deployments &amp; Config'!A237)</f>
        <v/>
      </c>
      <c r="I232" s="32" t="str">
        <f>IF('12 - Deployments &amp; Config'!AJ237="","",'12 - Deployments &amp; Config'!AJ237)</f>
        <v/>
      </c>
      <c r="J232" s="32" t="str">
        <f>IF('12 - Deployments &amp; Config'!AK237="","",'12 - Deployments &amp; Config'!AK237)</f>
        <v/>
      </c>
      <c r="K232" s="32" t="str">
        <f>IF('12 - Deployments &amp; Config'!AA237="","",'12 - Deployments &amp; Config'!AA237)</f>
        <v/>
      </c>
      <c r="L232" s="32" t="str">
        <f>IF('12 - Deployments &amp; Config'!I237="","",'12 - Deployments &amp; Config'!I237)</f>
        <v/>
      </c>
      <c r="M232" s="33"/>
      <c r="N232" s="32" t="str">
        <f>IF('12 - Deployments &amp; Config'!J237="","",'12 - Deployments &amp; Config'!J237)</f>
        <v/>
      </c>
      <c r="O232" s="32" t="str">
        <f>IF('12 - Deployments &amp; Config'!K237="","",'12 - Deployments &amp; Config'!K237)</f>
        <v/>
      </c>
      <c r="P232" s="32" t="str">
        <f>IF('12 - Deployments &amp; Config'!L237="","",'12 - Deployments &amp; Config'!L237)</f>
        <v/>
      </c>
      <c r="Q232" s="33"/>
      <c r="R232" s="32" t="str">
        <f>IF('12 - Deployments &amp; Config'!AZ237="","",'12 - Deployments &amp; Config'!AZ237)</f>
        <v/>
      </c>
      <c r="S232" s="32" t="str">
        <f>IF('12 - Deployments &amp; Config'!AY237="","",'12 - Deployments &amp; Config'!AY237)</f>
        <v/>
      </c>
      <c r="T232" s="32" t="str">
        <f>IF('12 - Deployments &amp; Config'!AW237="","",'12 - Deployments &amp; Config'!AW237)</f>
        <v/>
      </c>
      <c r="U232" s="32" t="str">
        <f>IF('12 - Deployments &amp; Config'!AX237="","",'12 - Deployments &amp; Config'!AX237)</f>
        <v/>
      </c>
      <c r="V232" s="32" t="str">
        <f>IF('12 - Deployments &amp; Config'!BB237="","",'12 - Deployments &amp; Config'!BB237)</f>
        <v/>
      </c>
      <c r="W232" s="32" t="str">
        <f>IF('12 - Deployments &amp; Config'!BD237="","",'12 - Deployments &amp; Config'!BD237)</f>
        <v/>
      </c>
      <c r="X232" s="32" t="str">
        <f>IF('12 - Deployments &amp; Config'!BL237="","",'12 - Deployments &amp; Config'!BL237)</f>
        <v/>
      </c>
      <c r="Y232" s="32" t="str">
        <f>IF('12 - Deployments &amp; Config'!BC237="","",'12 - Deployments &amp; Config'!BC237)</f>
        <v/>
      </c>
      <c r="Z232" s="32" t="str">
        <f>IF('12 - Deployments &amp; Config'!P237="","",'12 - Deployments &amp; Config'!P237)</f>
        <v/>
      </c>
      <c r="AA232" s="32" t="str">
        <f>IF('12 - Deployments &amp; Config'!Q237="","",'12 - Deployments &amp; Config'!Q237)</f>
        <v/>
      </c>
    </row>
    <row r="233" spans="1:27">
      <c r="A233" s="33"/>
      <c r="B233" s="33"/>
      <c r="C233" s="32" t="str">
        <f>IF('12 - Deployments &amp; Config'!H238="","",'12 - Deployments &amp; Config'!H238)</f>
        <v/>
      </c>
      <c r="D233" s="32" t="str">
        <f>IF('12 - Deployments &amp; Config'!AF238="","",'12 - Deployments &amp; Config'!AF238)</f>
        <v/>
      </c>
      <c r="E233" s="32" t="str">
        <f>IF('12 - Deployments &amp; Config'!AG238="","",'12 - Deployments &amp; Config'!AG238)</f>
        <v/>
      </c>
      <c r="F233" s="32" t="str">
        <f>IF('12 - Deployments &amp; Config'!AH238="","",'12 - Deployments &amp; Config'!AH238)</f>
        <v/>
      </c>
      <c r="G233" s="32" t="str">
        <f>IF('12 - Deployments &amp; Config'!AI238="","",'12 - Deployments &amp; Config'!AI238)</f>
        <v/>
      </c>
      <c r="H233" s="32" t="str">
        <f>IF('12 - Deployments &amp; Config'!A238="","",'12 - Deployments &amp; Config'!A238)</f>
        <v/>
      </c>
      <c r="I233" s="32" t="str">
        <f>IF('12 - Deployments &amp; Config'!AJ238="","",'12 - Deployments &amp; Config'!AJ238)</f>
        <v/>
      </c>
      <c r="J233" s="32" t="str">
        <f>IF('12 - Deployments &amp; Config'!AK238="","",'12 - Deployments &amp; Config'!AK238)</f>
        <v/>
      </c>
      <c r="K233" s="32" t="str">
        <f>IF('12 - Deployments &amp; Config'!AA238="","",'12 - Deployments &amp; Config'!AA238)</f>
        <v/>
      </c>
      <c r="L233" s="32" t="str">
        <f>IF('12 - Deployments &amp; Config'!I238="","",'12 - Deployments &amp; Config'!I238)</f>
        <v/>
      </c>
      <c r="M233" s="33"/>
      <c r="N233" s="32" t="str">
        <f>IF('12 - Deployments &amp; Config'!J238="","",'12 - Deployments &amp; Config'!J238)</f>
        <v/>
      </c>
      <c r="O233" s="32" t="str">
        <f>IF('12 - Deployments &amp; Config'!K238="","",'12 - Deployments &amp; Config'!K238)</f>
        <v/>
      </c>
      <c r="P233" s="32" t="str">
        <f>IF('12 - Deployments &amp; Config'!L238="","",'12 - Deployments &amp; Config'!L238)</f>
        <v/>
      </c>
      <c r="Q233" s="33"/>
      <c r="R233" s="32" t="str">
        <f>IF('12 - Deployments &amp; Config'!AZ238="","",'12 - Deployments &amp; Config'!AZ238)</f>
        <v/>
      </c>
      <c r="S233" s="32" t="str">
        <f>IF('12 - Deployments &amp; Config'!AY238="","",'12 - Deployments &amp; Config'!AY238)</f>
        <v/>
      </c>
      <c r="T233" s="32" t="str">
        <f>IF('12 - Deployments &amp; Config'!AW238="","",'12 - Deployments &amp; Config'!AW238)</f>
        <v/>
      </c>
      <c r="U233" s="32" t="str">
        <f>IF('12 - Deployments &amp; Config'!AX238="","",'12 - Deployments &amp; Config'!AX238)</f>
        <v/>
      </c>
      <c r="V233" s="32" t="str">
        <f>IF('12 - Deployments &amp; Config'!BB238="","",'12 - Deployments &amp; Config'!BB238)</f>
        <v/>
      </c>
      <c r="W233" s="32" t="str">
        <f>IF('12 - Deployments &amp; Config'!BD238="","",'12 - Deployments &amp; Config'!BD238)</f>
        <v/>
      </c>
      <c r="X233" s="32" t="str">
        <f>IF('12 - Deployments &amp; Config'!BL238="","",'12 - Deployments &amp; Config'!BL238)</f>
        <v/>
      </c>
      <c r="Y233" s="32" t="str">
        <f>IF('12 - Deployments &amp; Config'!BC238="","",'12 - Deployments &amp; Config'!BC238)</f>
        <v/>
      </c>
      <c r="Z233" s="32" t="str">
        <f>IF('12 - Deployments &amp; Config'!P238="","",'12 - Deployments &amp; Config'!P238)</f>
        <v/>
      </c>
      <c r="AA233" s="32" t="str">
        <f>IF('12 - Deployments &amp; Config'!Q238="","",'12 - Deployments &amp; Config'!Q238)</f>
        <v/>
      </c>
    </row>
    <row r="234" spans="1:27">
      <c r="A234" s="33"/>
      <c r="B234" s="33"/>
      <c r="C234" s="32" t="str">
        <f>IF('12 - Deployments &amp; Config'!H239="","",'12 - Deployments &amp; Config'!H239)</f>
        <v/>
      </c>
      <c r="D234" s="32" t="str">
        <f>IF('12 - Deployments &amp; Config'!AF239="","",'12 - Deployments &amp; Config'!AF239)</f>
        <v/>
      </c>
      <c r="E234" s="32" t="str">
        <f>IF('12 - Deployments &amp; Config'!AG239="","",'12 - Deployments &amp; Config'!AG239)</f>
        <v/>
      </c>
      <c r="F234" s="32" t="str">
        <f>IF('12 - Deployments &amp; Config'!AH239="","",'12 - Deployments &amp; Config'!AH239)</f>
        <v/>
      </c>
      <c r="G234" s="32" t="str">
        <f>IF('12 - Deployments &amp; Config'!AI239="","",'12 - Deployments &amp; Config'!AI239)</f>
        <v/>
      </c>
      <c r="H234" s="32" t="str">
        <f>IF('12 - Deployments &amp; Config'!A239="","",'12 - Deployments &amp; Config'!A239)</f>
        <v/>
      </c>
      <c r="I234" s="32" t="str">
        <f>IF('12 - Deployments &amp; Config'!AJ239="","",'12 - Deployments &amp; Config'!AJ239)</f>
        <v/>
      </c>
      <c r="J234" s="32" t="str">
        <f>IF('12 - Deployments &amp; Config'!AK239="","",'12 - Deployments &amp; Config'!AK239)</f>
        <v/>
      </c>
      <c r="K234" s="32" t="str">
        <f>IF('12 - Deployments &amp; Config'!AA239="","",'12 - Deployments &amp; Config'!AA239)</f>
        <v/>
      </c>
      <c r="L234" s="32" t="str">
        <f>IF('12 - Deployments &amp; Config'!I239="","",'12 - Deployments &amp; Config'!I239)</f>
        <v/>
      </c>
      <c r="M234" s="33"/>
      <c r="N234" s="32" t="str">
        <f>IF('12 - Deployments &amp; Config'!J239="","",'12 - Deployments &amp; Config'!J239)</f>
        <v/>
      </c>
      <c r="O234" s="32" t="str">
        <f>IF('12 - Deployments &amp; Config'!K239="","",'12 - Deployments &amp; Config'!K239)</f>
        <v/>
      </c>
      <c r="P234" s="32" t="str">
        <f>IF('12 - Deployments &amp; Config'!L239="","",'12 - Deployments &amp; Config'!L239)</f>
        <v/>
      </c>
      <c r="Q234" s="33"/>
      <c r="R234" s="32" t="str">
        <f>IF('12 - Deployments &amp; Config'!AZ239="","",'12 - Deployments &amp; Config'!AZ239)</f>
        <v/>
      </c>
      <c r="S234" s="32" t="str">
        <f>IF('12 - Deployments &amp; Config'!AY239="","",'12 - Deployments &amp; Config'!AY239)</f>
        <v/>
      </c>
      <c r="T234" s="32" t="str">
        <f>IF('12 - Deployments &amp; Config'!AW239="","",'12 - Deployments &amp; Config'!AW239)</f>
        <v/>
      </c>
      <c r="U234" s="32" t="str">
        <f>IF('12 - Deployments &amp; Config'!AX239="","",'12 - Deployments &amp; Config'!AX239)</f>
        <v/>
      </c>
      <c r="V234" s="32" t="str">
        <f>IF('12 - Deployments &amp; Config'!BB239="","",'12 - Deployments &amp; Config'!BB239)</f>
        <v/>
      </c>
      <c r="W234" s="32" t="str">
        <f>IF('12 - Deployments &amp; Config'!BD239="","",'12 - Deployments &amp; Config'!BD239)</f>
        <v/>
      </c>
      <c r="X234" s="32" t="str">
        <f>IF('12 - Deployments &amp; Config'!BL239="","",'12 - Deployments &amp; Config'!BL239)</f>
        <v/>
      </c>
      <c r="Y234" s="32" t="str">
        <f>IF('12 - Deployments &amp; Config'!BC239="","",'12 - Deployments &amp; Config'!BC239)</f>
        <v/>
      </c>
      <c r="Z234" s="32" t="str">
        <f>IF('12 - Deployments &amp; Config'!P239="","",'12 - Deployments &amp; Config'!P239)</f>
        <v/>
      </c>
      <c r="AA234" s="32" t="str">
        <f>IF('12 - Deployments &amp; Config'!Q239="","",'12 - Deployments &amp; Config'!Q239)</f>
        <v/>
      </c>
    </row>
    <row r="235" spans="1:27">
      <c r="A235" s="33"/>
      <c r="B235" s="33"/>
      <c r="C235" s="32" t="str">
        <f>IF('12 - Deployments &amp; Config'!H240="","",'12 - Deployments &amp; Config'!H240)</f>
        <v/>
      </c>
      <c r="D235" s="32" t="str">
        <f>IF('12 - Deployments &amp; Config'!AF240="","",'12 - Deployments &amp; Config'!AF240)</f>
        <v/>
      </c>
      <c r="E235" s="32" t="str">
        <f>IF('12 - Deployments &amp; Config'!AG240="","",'12 - Deployments &amp; Config'!AG240)</f>
        <v/>
      </c>
      <c r="F235" s="32" t="str">
        <f>IF('12 - Deployments &amp; Config'!AH240="","",'12 - Deployments &amp; Config'!AH240)</f>
        <v/>
      </c>
      <c r="G235" s="32" t="str">
        <f>IF('12 - Deployments &amp; Config'!AI240="","",'12 - Deployments &amp; Config'!AI240)</f>
        <v/>
      </c>
      <c r="H235" s="32" t="str">
        <f>IF('12 - Deployments &amp; Config'!A240="","",'12 - Deployments &amp; Config'!A240)</f>
        <v/>
      </c>
      <c r="I235" s="32" t="str">
        <f>IF('12 - Deployments &amp; Config'!AJ240="","",'12 - Deployments &amp; Config'!AJ240)</f>
        <v/>
      </c>
      <c r="J235" s="32" t="str">
        <f>IF('12 - Deployments &amp; Config'!AK240="","",'12 - Deployments &amp; Config'!AK240)</f>
        <v/>
      </c>
      <c r="K235" s="32" t="str">
        <f>IF('12 - Deployments &amp; Config'!AA240="","",'12 - Deployments &amp; Config'!AA240)</f>
        <v/>
      </c>
      <c r="L235" s="32" t="str">
        <f>IF('12 - Deployments &amp; Config'!I240="","",'12 - Deployments &amp; Config'!I240)</f>
        <v/>
      </c>
      <c r="M235" s="33"/>
      <c r="N235" s="32" t="str">
        <f>IF('12 - Deployments &amp; Config'!J240="","",'12 - Deployments &amp; Config'!J240)</f>
        <v/>
      </c>
      <c r="O235" s="32" t="str">
        <f>IF('12 - Deployments &amp; Config'!K240="","",'12 - Deployments &amp; Config'!K240)</f>
        <v/>
      </c>
      <c r="P235" s="32" t="str">
        <f>IF('12 - Deployments &amp; Config'!L240="","",'12 - Deployments &amp; Config'!L240)</f>
        <v/>
      </c>
      <c r="Q235" s="33"/>
      <c r="R235" s="32" t="str">
        <f>IF('12 - Deployments &amp; Config'!AZ240="","",'12 - Deployments &amp; Config'!AZ240)</f>
        <v/>
      </c>
      <c r="S235" s="32" t="str">
        <f>IF('12 - Deployments &amp; Config'!AY240="","",'12 - Deployments &amp; Config'!AY240)</f>
        <v/>
      </c>
      <c r="T235" s="32" t="str">
        <f>IF('12 - Deployments &amp; Config'!AW240="","",'12 - Deployments &amp; Config'!AW240)</f>
        <v/>
      </c>
      <c r="U235" s="32" t="str">
        <f>IF('12 - Deployments &amp; Config'!AX240="","",'12 - Deployments &amp; Config'!AX240)</f>
        <v/>
      </c>
      <c r="V235" s="32" t="str">
        <f>IF('12 - Deployments &amp; Config'!BB240="","",'12 - Deployments &amp; Config'!BB240)</f>
        <v/>
      </c>
      <c r="W235" s="32" t="str">
        <f>IF('12 - Deployments &amp; Config'!BD240="","",'12 - Deployments &amp; Config'!BD240)</f>
        <v/>
      </c>
      <c r="X235" s="32" t="str">
        <f>IF('12 - Deployments &amp; Config'!BL240="","",'12 - Deployments &amp; Config'!BL240)</f>
        <v/>
      </c>
      <c r="Y235" s="32" t="str">
        <f>IF('12 - Deployments &amp; Config'!BC240="","",'12 - Deployments &amp; Config'!BC240)</f>
        <v/>
      </c>
      <c r="Z235" s="32" t="str">
        <f>IF('12 - Deployments &amp; Config'!P240="","",'12 - Deployments &amp; Config'!P240)</f>
        <v/>
      </c>
      <c r="AA235" s="32" t="str">
        <f>IF('12 - Deployments &amp; Config'!Q240="","",'12 - Deployments &amp; Config'!Q240)</f>
        <v/>
      </c>
    </row>
    <row r="236" spans="1:27">
      <c r="A236" s="33"/>
      <c r="B236" s="33"/>
      <c r="C236" s="32" t="str">
        <f>IF('12 - Deployments &amp; Config'!H241="","",'12 - Deployments &amp; Config'!H241)</f>
        <v/>
      </c>
      <c r="D236" s="32" t="str">
        <f>IF('12 - Deployments &amp; Config'!AF241="","",'12 - Deployments &amp; Config'!AF241)</f>
        <v/>
      </c>
      <c r="E236" s="32" t="str">
        <f>IF('12 - Deployments &amp; Config'!AG241="","",'12 - Deployments &amp; Config'!AG241)</f>
        <v/>
      </c>
      <c r="F236" s="32" t="str">
        <f>IF('12 - Deployments &amp; Config'!AH241="","",'12 - Deployments &amp; Config'!AH241)</f>
        <v/>
      </c>
      <c r="G236" s="32" t="str">
        <f>IF('12 - Deployments &amp; Config'!AI241="","",'12 - Deployments &amp; Config'!AI241)</f>
        <v/>
      </c>
      <c r="H236" s="32" t="str">
        <f>IF('12 - Deployments &amp; Config'!A241="","",'12 - Deployments &amp; Config'!A241)</f>
        <v/>
      </c>
      <c r="I236" s="32" t="str">
        <f>IF('12 - Deployments &amp; Config'!AJ241="","",'12 - Deployments &amp; Config'!AJ241)</f>
        <v/>
      </c>
      <c r="J236" s="32" t="str">
        <f>IF('12 - Deployments &amp; Config'!AK241="","",'12 - Deployments &amp; Config'!AK241)</f>
        <v/>
      </c>
      <c r="K236" s="32" t="str">
        <f>IF('12 - Deployments &amp; Config'!AA241="","",'12 - Deployments &amp; Config'!AA241)</f>
        <v/>
      </c>
      <c r="L236" s="32" t="str">
        <f>IF('12 - Deployments &amp; Config'!I241="","",'12 - Deployments &amp; Config'!I241)</f>
        <v/>
      </c>
      <c r="M236" s="33"/>
      <c r="N236" s="32" t="str">
        <f>IF('12 - Deployments &amp; Config'!J241="","",'12 - Deployments &amp; Config'!J241)</f>
        <v/>
      </c>
      <c r="O236" s="32" t="str">
        <f>IF('12 - Deployments &amp; Config'!K241="","",'12 - Deployments &amp; Config'!K241)</f>
        <v/>
      </c>
      <c r="P236" s="32" t="str">
        <f>IF('12 - Deployments &amp; Config'!L241="","",'12 - Deployments &amp; Config'!L241)</f>
        <v/>
      </c>
      <c r="Q236" s="33"/>
      <c r="R236" s="32" t="str">
        <f>IF('12 - Deployments &amp; Config'!AZ241="","",'12 - Deployments &amp; Config'!AZ241)</f>
        <v/>
      </c>
      <c r="S236" s="32" t="str">
        <f>IF('12 - Deployments &amp; Config'!AY241="","",'12 - Deployments &amp; Config'!AY241)</f>
        <v/>
      </c>
      <c r="T236" s="32" t="str">
        <f>IF('12 - Deployments &amp; Config'!AW241="","",'12 - Deployments &amp; Config'!AW241)</f>
        <v/>
      </c>
      <c r="U236" s="32" t="str">
        <f>IF('12 - Deployments &amp; Config'!AX241="","",'12 - Deployments &amp; Config'!AX241)</f>
        <v/>
      </c>
      <c r="V236" s="32" t="str">
        <f>IF('12 - Deployments &amp; Config'!BB241="","",'12 - Deployments &amp; Config'!BB241)</f>
        <v/>
      </c>
      <c r="W236" s="32" t="str">
        <f>IF('12 - Deployments &amp; Config'!BD241="","",'12 - Deployments &amp; Config'!BD241)</f>
        <v/>
      </c>
      <c r="X236" s="32" t="str">
        <f>IF('12 - Deployments &amp; Config'!BL241="","",'12 - Deployments &amp; Config'!BL241)</f>
        <v/>
      </c>
      <c r="Y236" s="32" t="str">
        <f>IF('12 - Deployments &amp; Config'!BC241="","",'12 - Deployments &amp; Config'!BC241)</f>
        <v/>
      </c>
      <c r="Z236" s="32" t="str">
        <f>IF('12 - Deployments &amp; Config'!P241="","",'12 - Deployments &amp; Config'!P241)</f>
        <v/>
      </c>
      <c r="AA236" s="32" t="str">
        <f>IF('12 - Deployments &amp; Config'!Q241="","",'12 - Deployments &amp; Config'!Q241)</f>
        <v/>
      </c>
    </row>
    <row r="237" spans="1:27">
      <c r="A237" s="33"/>
      <c r="B237" s="33"/>
      <c r="C237" s="32" t="str">
        <f>IF('12 - Deployments &amp; Config'!H242="","",'12 - Deployments &amp; Config'!H242)</f>
        <v/>
      </c>
      <c r="D237" s="32" t="str">
        <f>IF('12 - Deployments &amp; Config'!AF242="","",'12 - Deployments &amp; Config'!AF242)</f>
        <v/>
      </c>
      <c r="E237" s="32" t="str">
        <f>IF('12 - Deployments &amp; Config'!AG242="","",'12 - Deployments &amp; Config'!AG242)</f>
        <v/>
      </c>
      <c r="F237" s="32" t="str">
        <f>IF('12 - Deployments &amp; Config'!AH242="","",'12 - Deployments &amp; Config'!AH242)</f>
        <v/>
      </c>
      <c r="G237" s="32" t="str">
        <f>IF('12 - Deployments &amp; Config'!AI242="","",'12 - Deployments &amp; Config'!AI242)</f>
        <v/>
      </c>
      <c r="H237" s="32" t="str">
        <f>IF('12 - Deployments &amp; Config'!A242="","",'12 - Deployments &amp; Config'!A242)</f>
        <v/>
      </c>
      <c r="I237" s="32" t="str">
        <f>IF('12 - Deployments &amp; Config'!AJ242="","",'12 - Deployments &amp; Config'!AJ242)</f>
        <v/>
      </c>
      <c r="J237" s="32" t="str">
        <f>IF('12 - Deployments &amp; Config'!AK242="","",'12 - Deployments &amp; Config'!AK242)</f>
        <v/>
      </c>
      <c r="K237" s="32" t="str">
        <f>IF('12 - Deployments &amp; Config'!AA242="","",'12 - Deployments &amp; Config'!AA242)</f>
        <v/>
      </c>
      <c r="L237" s="32" t="str">
        <f>IF('12 - Deployments &amp; Config'!I242="","",'12 - Deployments &amp; Config'!I242)</f>
        <v/>
      </c>
      <c r="M237" s="33"/>
      <c r="N237" s="32" t="str">
        <f>IF('12 - Deployments &amp; Config'!J242="","",'12 - Deployments &amp; Config'!J242)</f>
        <v/>
      </c>
      <c r="O237" s="32" t="str">
        <f>IF('12 - Deployments &amp; Config'!K242="","",'12 - Deployments &amp; Config'!K242)</f>
        <v/>
      </c>
      <c r="P237" s="32" t="str">
        <f>IF('12 - Deployments &amp; Config'!L242="","",'12 - Deployments &amp; Config'!L242)</f>
        <v/>
      </c>
      <c r="Q237" s="33"/>
      <c r="R237" s="32" t="str">
        <f>IF('12 - Deployments &amp; Config'!AZ242="","",'12 - Deployments &amp; Config'!AZ242)</f>
        <v/>
      </c>
      <c r="S237" s="32" t="str">
        <f>IF('12 - Deployments &amp; Config'!AY242="","",'12 - Deployments &amp; Config'!AY242)</f>
        <v/>
      </c>
      <c r="T237" s="32" t="str">
        <f>IF('12 - Deployments &amp; Config'!AW242="","",'12 - Deployments &amp; Config'!AW242)</f>
        <v/>
      </c>
      <c r="U237" s="32" t="str">
        <f>IF('12 - Deployments &amp; Config'!AX242="","",'12 - Deployments &amp; Config'!AX242)</f>
        <v/>
      </c>
      <c r="V237" s="32" t="str">
        <f>IF('12 - Deployments &amp; Config'!BB242="","",'12 - Deployments &amp; Config'!BB242)</f>
        <v/>
      </c>
      <c r="W237" s="32" t="str">
        <f>IF('12 - Deployments &amp; Config'!BD242="","",'12 - Deployments &amp; Config'!BD242)</f>
        <v/>
      </c>
      <c r="X237" s="32" t="str">
        <f>IF('12 - Deployments &amp; Config'!BL242="","",'12 - Deployments &amp; Config'!BL242)</f>
        <v/>
      </c>
      <c r="Y237" s="32" t="str">
        <f>IF('12 - Deployments &amp; Config'!BC242="","",'12 - Deployments &amp; Config'!BC242)</f>
        <v/>
      </c>
      <c r="Z237" s="32" t="str">
        <f>IF('12 - Deployments &amp; Config'!P242="","",'12 - Deployments &amp; Config'!P242)</f>
        <v/>
      </c>
      <c r="AA237" s="32" t="str">
        <f>IF('12 - Deployments &amp; Config'!Q242="","",'12 - Deployments &amp; Config'!Q242)</f>
        <v/>
      </c>
    </row>
    <row r="238" spans="1:27">
      <c r="A238" s="33"/>
      <c r="B238" s="33"/>
      <c r="C238" s="32" t="str">
        <f>IF('12 - Deployments &amp; Config'!H243="","",'12 - Deployments &amp; Config'!H243)</f>
        <v/>
      </c>
      <c r="D238" s="32" t="str">
        <f>IF('12 - Deployments &amp; Config'!AF243="","",'12 - Deployments &amp; Config'!AF243)</f>
        <v/>
      </c>
      <c r="E238" s="32" t="str">
        <f>IF('12 - Deployments &amp; Config'!AG243="","",'12 - Deployments &amp; Config'!AG243)</f>
        <v/>
      </c>
      <c r="F238" s="32" t="str">
        <f>IF('12 - Deployments &amp; Config'!AH243="","",'12 - Deployments &amp; Config'!AH243)</f>
        <v/>
      </c>
      <c r="G238" s="32" t="str">
        <f>IF('12 - Deployments &amp; Config'!AI243="","",'12 - Deployments &amp; Config'!AI243)</f>
        <v/>
      </c>
      <c r="H238" s="32" t="str">
        <f>IF('12 - Deployments &amp; Config'!A243="","",'12 - Deployments &amp; Config'!A243)</f>
        <v/>
      </c>
      <c r="I238" s="32" t="str">
        <f>IF('12 - Deployments &amp; Config'!AJ243="","",'12 - Deployments &amp; Config'!AJ243)</f>
        <v/>
      </c>
      <c r="J238" s="32" t="str">
        <f>IF('12 - Deployments &amp; Config'!AK243="","",'12 - Deployments &amp; Config'!AK243)</f>
        <v/>
      </c>
      <c r="K238" s="32" t="str">
        <f>IF('12 - Deployments &amp; Config'!AA243="","",'12 - Deployments &amp; Config'!AA243)</f>
        <v/>
      </c>
      <c r="L238" s="32" t="str">
        <f>IF('12 - Deployments &amp; Config'!I243="","",'12 - Deployments &amp; Config'!I243)</f>
        <v/>
      </c>
      <c r="M238" s="33"/>
      <c r="N238" s="32" t="str">
        <f>IF('12 - Deployments &amp; Config'!J243="","",'12 - Deployments &amp; Config'!J243)</f>
        <v/>
      </c>
      <c r="O238" s="32" t="str">
        <f>IF('12 - Deployments &amp; Config'!K243="","",'12 - Deployments &amp; Config'!K243)</f>
        <v/>
      </c>
      <c r="P238" s="32" t="str">
        <f>IF('12 - Deployments &amp; Config'!L243="","",'12 - Deployments &amp; Config'!L243)</f>
        <v/>
      </c>
      <c r="Q238" s="33"/>
      <c r="R238" s="32" t="str">
        <f>IF('12 - Deployments &amp; Config'!AZ243="","",'12 - Deployments &amp; Config'!AZ243)</f>
        <v/>
      </c>
      <c r="S238" s="32" t="str">
        <f>IF('12 - Deployments &amp; Config'!AY243="","",'12 - Deployments &amp; Config'!AY243)</f>
        <v/>
      </c>
      <c r="T238" s="32" t="str">
        <f>IF('12 - Deployments &amp; Config'!AW243="","",'12 - Deployments &amp; Config'!AW243)</f>
        <v/>
      </c>
      <c r="U238" s="32" t="str">
        <f>IF('12 - Deployments &amp; Config'!AX243="","",'12 - Deployments &amp; Config'!AX243)</f>
        <v/>
      </c>
      <c r="V238" s="32" t="str">
        <f>IF('12 - Deployments &amp; Config'!BB243="","",'12 - Deployments &amp; Config'!BB243)</f>
        <v/>
      </c>
      <c r="W238" s="32" t="str">
        <f>IF('12 - Deployments &amp; Config'!BD243="","",'12 - Deployments &amp; Config'!BD243)</f>
        <v/>
      </c>
      <c r="X238" s="32" t="str">
        <f>IF('12 - Deployments &amp; Config'!BL243="","",'12 - Deployments &amp; Config'!BL243)</f>
        <v/>
      </c>
      <c r="Y238" s="32" t="str">
        <f>IF('12 - Deployments &amp; Config'!BC243="","",'12 - Deployments &amp; Config'!BC243)</f>
        <v/>
      </c>
      <c r="Z238" s="32" t="str">
        <f>IF('12 - Deployments &amp; Config'!P243="","",'12 - Deployments &amp; Config'!P243)</f>
        <v/>
      </c>
      <c r="AA238" s="32" t="str">
        <f>IF('12 - Deployments &amp; Config'!Q243="","",'12 - Deployments &amp; Config'!Q243)</f>
        <v/>
      </c>
    </row>
    <row r="239" spans="1:27">
      <c r="A239" s="33"/>
      <c r="B239" s="33"/>
      <c r="C239" s="32" t="str">
        <f>IF('12 - Deployments &amp; Config'!H244="","",'12 - Deployments &amp; Config'!H244)</f>
        <v/>
      </c>
      <c r="D239" s="32" t="str">
        <f>IF('12 - Deployments &amp; Config'!AF244="","",'12 - Deployments &amp; Config'!AF244)</f>
        <v/>
      </c>
      <c r="E239" s="32" t="str">
        <f>IF('12 - Deployments &amp; Config'!AG244="","",'12 - Deployments &amp; Config'!AG244)</f>
        <v/>
      </c>
      <c r="F239" s="32" t="str">
        <f>IF('12 - Deployments &amp; Config'!AH244="","",'12 - Deployments &amp; Config'!AH244)</f>
        <v/>
      </c>
      <c r="G239" s="32" t="str">
        <f>IF('12 - Deployments &amp; Config'!AI244="","",'12 - Deployments &amp; Config'!AI244)</f>
        <v/>
      </c>
      <c r="H239" s="32" t="str">
        <f>IF('12 - Deployments &amp; Config'!A244="","",'12 - Deployments &amp; Config'!A244)</f>
        <v/>
      </c>
      <c r="I239" s="32" t="str">
        <f>IF('12 - Deployments &amp; Config'!AJ244="","",'12 - Deployments &amp; Config'!AJ244)</f>
        <v/>
      </c>
      <c r="J239" s="32" t="str">
        <f>IF('12 - Deployments &amp; Config'!AK244="","",'12 - Deployments &amp; Config'!AK244)</f>
        <v/>
      </c>
      <c r="K239" s="32" t="str">
        <f>IF('12 - Deployments &amp; Config'!AA244="","",'12 - Deployments &amp; Config'!AA244)</f>
        <v/>
      </c>
      <c r="L239" s="32" t="str">
        <f>IF('12 - Deployments &amp; Config'!I244="","",'12 - Deployments &amp; Config'!I244)</f>
        <v/>
      </c>
      <c r="M239" s="33"/>
      <c r="N239" s="32" t="str">
        <f>IF('12 - Deployments &amp; Config'!J244="","",'12 - Deployments &amp; Config'!J244)</f>
        <v/>
      </c>
      <c r="O239" s="32" t="str">
        <f>IF('12 - Deployments &amp; Config'!K244="","",'12 - Deployments &amp; Config'!K244)</f>
        <v/>
      </c>
      <c r="P239" s="32" t="str">
        <f>IF('12 - Deployments &amp; Config'!L244="","",'12 - Deployments &amp; Config'!L244)</f>
        <v/>
      </c>
      <c r="Q239" s="33"/>
      <c r="R239" s="32" t="str">
        <f>IF('12 - Deployments &amp; Config'!AZ244="","",'12 - Deployments &amp; Config'!AZ244)</f>
        <v/>
      </c>
      <c r="S239" s="32" t="str">
        <f>IF('12 - Deployments &amp; Config'!AY244="","",'12 - Deployments &amp; Config'!AY244)</f>
        <v/>
      </c>
      <c r="T239" s="32" t="str">
        <f>IF('12 - Deployments &amp; Config'!AW244="","",'12 - Deployments &amp; Config'!AW244)</f>
        <v/>
      </c>
      <c r="U239" s="32" t="str">
        <f>IF('12 - Deployments &amp; Config'!AX244="","",'12 - Deployments &amp; Config'!AX244)</f>
        <v/>
      </c>
      <c r="V239" s="32" t="str">
        <f>IF('12 - Deployments &amp; Config'!BB244="","",'12 - Deployments &amp; Config'!BB244)</f>
        <v/>
      </c>
      <c r="W239" s="32" t="str">
        <f>IF('12 - Deployments &amp; Config'!BD244="","",'12 - Deployments &amp; Config'!BD244)</f>
        <v/>
      </c>
      <c r="X239" s="32" t="str">
        <f>IF('12 - Deployments &amp; Config'!BL244="","",'12 - Deployments &amp; Config'!BL244)</f>
        <v/>
      </c>
      <c r="Y239" s="32" t="str">
        <f>IF('12 - Deployments &amp; Config'!BC244="","",'12 - Deployments &amp; Config'!BC244)</f>
        <v/>
      </c>
      <c r="Z239" s="32" t="str">
        <f>IF('12 - Deployments &amp; Config'!P244="","",'12 - Deployments &amp; Config'!P244)</f>
        <v/>
      </c>
      <c r="AA239" s="32" t="str">
        <f>IF('12 - Deployments &amp; Config'!Q244="","",'12 - Deployments &amp; Config'!Q244)</f>
        <v/>
      </c>
    </row>
    <row r="240" spans="1:27">
      <c r="A240" s="33"/>
      <c r="B240" s="33"/>
      <c r="C240" s="32" t="str">
        <f>IF('12 - Deployments &amp; Config'!H245="","",'12 - Deployments &amp; Config'!H245)</f>
        <v/>
      </c>
      <c r="D240" s="32" t="str">
        <f>IF('12 - Deployments &amp; Config'!AF245="","",'12 - Deployments &amp; Config'!AF245)</f>
        <v/>
      </c>
      <c r="E240" s="32" t="str">
        <f>IF('12 - Deployments &amp; Config'!AG245="","",'12 - Deployments &amp; Config'!AG245)</f>
        <v/>
      </c>
      <c r="F240" s="32" t="str">
        <f>IF('12 - Deployments &amp; Config'!AH245="","",'12 - Deployments &amp; Config'!AH245)</f>
        <v/>
      </c>
      <c r="G240" s="32" t="str">
        <f>IF('12 - Deployments &amp; Config'!AI245="","",'12 - Deployments &amp; Config'!AI245)</f>
        <v/>
      </c>
      <c r="H240" s="32" t="str">
        <f>IF('12 - Deployments &amp; Config'!A245="","",'12 - Deployments &amp; Config'!A245)</f>
        <v/>
      </c>
      <c r="I240" s="32" t="str">
        <f>IF('12 - Deployments &amp; Config'!AJ245="","",'12 - Deployments &amp; Config'!AJ245)</f>
        <v/>
      </c>
      <c r="J240" s="32" t="str">
        <f>IF('12 - Deployments &amp; Config'!AK245="","",'12 - Deployments &amp; Config'!AK245)</f>
        <v/>
      </c>
      <c r="K240" s="32" t="str">
        <f>IF('12 - Deployments &amp; Config'!AA245="","",'12 - Deployments &amp; Config'!AA245)</f>
        <v/>
      </c>
      <c r="L240" s="32" t="str">
        <f>IF('12 - Deployments &amp; Config'!I245="","",'12 - Deployments &amp; Config'!I245)</f>
        <v/>
      </c>
      <c r="M240" s="33"/>
      <c r="N240" s="32" t="str">
        <f>IF('12 - Deployments &amp; Config'!J245="","",'12 - Deployments &amp; Config'!J245)</f>
        <v/>
      </c>
      <c r="O240" s="32" t="str">
        <f>IF('12 - Deployments &amp; Config'!K245="","",'12 - Deployments &amp; Config'!K245)</f>
        <v/>
      </c>
      <c r="P240" s="32" t="str">
        <f>IF('12 - Deployments &amp; Config'!L245="","",'12 - Deployments &amp; Config'!L245)</f>
        <v/>
      </c>
      <c r="Q240" s="33"/>
      <c r="R240" s="32" t="str">
        <f>IF('12 - Deployments &amp; Config'!AZ245="","",'12 - Deployments &amp; Config'!AZ245)</f>
        <v/>
      </c>
      <c r="S240" s="32" t="str">
        <f>IF('12 - Deployments &amp; Config'!AY245="","",'12 - Deployments &amp; Config'!AY245)</f>
        <v/>
      </c>
      <c r="T240" s="32" t="str">
        <f>IF('12 - Deployments &amp; Config'!AW245="","",'12 - Deployments &amp; Config'!AW245)</f>
        <v/>
      </c>
      <c r="U240" s="32" t="str">
        <f>IF('12 - Deployments &amp; Config'!AX245="","",'12 - Deployments &amp; Config'!AX245)</f>
        <v/>
      </c>
      <c r="V240" s="32" t="str">
        <f>IF('12 - Deployments &amp; Config'!BB245="","",'12 - Deployments &amp; Config'!BB245)</f>
        <v/>
      </c>
      <c r="W240" s="32" t="str">
        <f>IF('12 - Deployments &amp; Config'!BD245="","",'12 - Deployments &amp; Config'!BD245)</f>
        <v/>
      </c>
      <c r="X240" s="32" t="str">
        <f>IF('12 - Deployments &amp; Config'!BL245="","",'12 - Deployments &amp; Config'!BL245)</f>
        <v/>
      </c>
      <c r="Y240" s="32" t="str">
        <f>IF('12 - Deployments &amp; Config'!BC245="","",'12 - Deployments &amp; Config'!BC245)</f>
        <v/>
      </c>
      <c r="Z240" s="32" t="str">
        <f>IF('12 - Deployments &amp; Config'!P245="","",'12 - Deployments &amp; Config'!P245)</f>
        <v/>
      </c>
      <c r="AA240" s="32" t="str">
        <f>IF('12 - Deployments &amp; Config'!Q245="","",'12 - Deployments &amp; Config'!Q245)</f>
        <v/>
      </c>
    </row>
    <row r="241" spans="1:27">
      <c r="A241" s="33"/>
      <c r="B241" s="33"/>
      <c r="C241" s="32" t="str">
        <f>IF('12 - Deployments &amp; Config'!H246="","",'12 - Deployments &amp; Config'!H246)</f>
        <v/>
      </c>
      <c r="D241" s="32" t="str">
        <f>IF('12 - Deployments &amp; Config'!AF246="","",'12 - Deployments &amp; Config'!AF246)</f>
        <v/>
      </c>
      <c r="E241" s="32" t="str">
        <f>IF('12 - Deployments &amp; Config'!AG246="","",'12 - Deployments &amp; Config'!AG246)</f>
        <v/>
      </c>
      <c r="F241" s="32" t="str">
        <f>IF('12 - Deployments &amp; Config'!AH246="","",'12 - Deployments &amp; Config'!AH246)</f>
        <v/>
      </c>
      <c r="G241" s="32" t="str">
        <f>IF('12 - Deployments &amp; Config'!AI246="","",'12 - Deployments &amp; Config'!AI246)</f>
        <v/>
      </c>
      <c r="H241" s="32" t="str">
        <f>IF('12 - Deployments &amp; Config'!A246="","",'12 - Deployments &amp; Config'!A246)</f>
        <v/>
      </c>
      <c r="I241" s="32" t="str">
        <f>IF('12 - Deployments &amp; Config'!AJ246="","",'12 - Deployments &amp; Config'!AJ246)</f>
        <v/>
      </c>
      <c r="J241" s="32" t="str">
        <f>IF('12 - Deployments &amp; Config'!AK246="","",'12 - Deployments &amp; Config'!AK246)</f>
        <v/>
      </c>
      <c r="K241" s="32" t="str">
        <f>IF('12 - Deployments &amp; Config'!AA246="","",'12 - Deployments &amp; Config'!AA246)</f>
        <v/>
      </c>
      <c r="L241" s="32" t="str">
        <f>IF('12 - Deployments &amp; Config'!I246="","",'12 - Deployments &amp; Config'!I246)</f>
        <v/>
      </c>
      <c r="M241" s="33"/>
      <c r="N241" s="32" t="str">
        <f>IF('12 - Deployments &amp; Config'!J246="","",'12 - Deployments &amp; Config'!J246)</f>
        <v/>
      </c>
      <c r="O241" s="32" t="str">
        <f>IF('12 - Deployments &amp; Config'!K246="","",'12 - Deployments &amp; Config'!K246)</f>
        <v/>
      </c>
      <c r="P241" s="32" t="str">
        <f>IF('12 - Deployments &amp; Config'!L246="","",'12 - Deployments &amp; Config'!L246)</f>
        <v/>
      </c>
      <c r="Q241" s="33"/>
      <c r="R241" s="32" t="str">
        <f>IF('12 - Deployments &amp; Config'!AZ246="","",'12 - Deployments &amp; Config'!AZ246)</f>
        <v/>
      </c>
      <c r="S241" s="32" t="str">
        <f>IF('12 - Deployments &amp; Config'!AY246="","",'12 - Deployments &amp; Config'!AY246)</f>
        <v/>
      </c>
      <c r="T241" s="32" t="str">
        <f>IF('12 - Deployments &amp; Config'!AW246="","",'12 - Deployments &amp; Config'!AW246)</f>
        <v/>
      </c>
      <c r="U241" s="32" t="str">
        <f>IF('12 - Deployments &amp; Config'!AX246="","",'12 - Deployments &amp; Config'!AX246)</f>
        <v/>
      </c>
      <c r="V241" s="32" t="str">
        <f>IF('12 - Deployments &amp; Config'!BB246="","",'12 - Deployments &amp; Config'!BB246)</f>
        <v/>
      </c>
      <c r="W241" s="32" t="str">
        <f>IF('12 - Deployments &amp; Config'!BD246="","",'12 - Deployments &amp; Config'!BD246)</f>
        <v/>
      </c>
      <c r="X241" s="32" t="str">
        <f>IF('12 - Deployments &amp; Config'!BL246="","",'12 - Deployments &amp; Config'!BL246)</f>
        <v/>
      </c>
      <c r="Y241" s="32" t="str">
        <f>IF('12 - Deployments &amp; Config'!BC246="","",'12 - Deployments &amp; Config'!BC246)</f>
        <v/>
      </c>
      <c r="Z241" s="32" t="str">
        <f>IF('12 - Deployments &amp; Config'!P246="","",'12 - Deployments &amp; Config'!P246)</f>
        <v/>
      </c>
      <c r="AA241" s="32" t="str">
        <f>IF('12 - Deployments &amp; Config'!Q246="","",'12 - Deployments &amp; Config'!Q246)</f>
        <v/>
      </c>
    </row>
    <row r="242" spans="1:27">
      <c r="A242" s="33"/>
      <c r="B242" s="33"/>
      <c r="C242" s="32" t="str">
        <f>IF('12 - Deployments &amp; Config'!H247="","",'12 - Deployments &amp; Config'!H247)</f>
        <v/>
      </c>
      <c r="D242" s="32" t="str">
        <f>IF('12 - Deployments &amp; Config'!AF247="","",'12 - Deployments &amp; Config'!AF247)</f>
        <v/>
      </c>
      <c r="E242" s="32" t="str">
        <f>IF('12 - Deployments &amp; Config'!AG247="","",'12 - Deployments &amp; Config'!AG247)</f>
        <v/>
      </c>
      <c r="F242" s="32" t="str">
        <f>IF('12 - Deployments &amp; Config'!AH247="","",'12 - Deployments &amp; Config'!AH247)</f>
        <v/>
      </c>
      <c r="G242" s="32" t="str">
        <f>IF('12 - Deployments &amp; Config'!AI247="","",'12 - Deployments &amp; Config'!AI247)</f>
        <v/>
      </c>
      <c r="H242" s="32" t="str">
        <f>IF('12 - Deployments &amp; Config'!A247="","",'12 - Deployments &amp; Config'!A247)</f>
        <v/>
      </c>
      <c r="I242" s="32" t="str">
        <f>IF('12 - Deployments &amp; Config'!AJ247="","",'12 - Deployments &amp; Config'!AJ247)</f>
        <v/>
      </c>
      <c r="J242" s="32" t="str">
        <f>IF('12 - Deployments &amp; Config'!AK247="","",'12 - Deployments &amp; Config'!AK247)</f>
        <v/>
      </c>
      <c r="K242" s="32" t="str">
        <f>IF('12 - Deployments &amp; Config'!AA247="","",'12 - Deployments &amp; Config'!AA247)</f>
        <v/>
      </c>
      <c r="L242" s="32" t="str">
        <f>IF('12 - Deployments &amp; Config'!I247="","",'12 - Deployments &amp; Config'!I247)</f>
        <v/>
      </c>
      <c r="M242" s="33"/>
      <c r="N242" s="32" t="str">
        <f>IF('12 - Deployments &amp; Config'!J247="","",'12 - Deployments &amp; Config'!J247)</f>
        <v/>
      </c>
      <c r="O242" s="32" t="str">
        <f>IF('12 - Deployments &amp; Config'!K247="","",'12 - Deployments &amp; Config'!K247)</f>
        <v/>
      </c>
      <c r="P242" s="32" t="str">
        <f>IF('12 - Deployments &amp; Config'!L247="","",'12 - Deployments &amp; Config'!L247)</f>
        <v/>
      </c>
      <c r="Q242" s="33"/>
      <c r="R242" s="32" t="str">
        <f>IF('12 - Deployments &amp; Config'!AZ247="","",'12 - Deployments &amp; Config'!AZ247)</f>
        <v/>
      </c>
      <c r="S242" s="32" t="str">
        <f>IF('12 - Deployments &amp; Config'!AY247="","",'12 - Deployments &amp; Config'!AY247)</f>
        <v/>
      </c>
      <c r="T242" s="32" t="str">
        <f>IF('12 - Deployments &amp; Config'!AW247="","",'12 - Deployments &amp; Config'!AW247)</f>
        <v/>
      </c>
      <c r="U242" s="32" t="str">
        <f>IF('12 - Deployments &amp; Config'!AX247="","",'12 - Deployments &amp; Config'!AX247)</f>
        <v/>
      </c>
      <c r="V242" s="32" t="str">
        <f>IF('12 - Deployments &amp; Config'!BB247="","",'12 - Deployments &amp; Config'!BB247)</f>
        <v/>
      </c>
      <c r="W242" s="32" t="str">
        <f>IF('12 - Deployments &amp; Config'!BD247="","",'12 - Deployments &amp; Config'!BD247)</f>
        <v/>
      </c>
      <c r="X242" s="32" t="str">
        <f>IF('12 - Deployments &amp; Config'!BL247="","",'12 - Deployments &amp; Config'!BL247)</f>
        <v/>
      </c>
      <c r="Y242" s="32" t="str">
        <f>IF('12 - Deployments &amp; Config'!BC247="","",'12 - Deployments &amp; Config'!BC247)</f>
        <v/>
      </c>
      <c r="Z242" s="32" t="str">
        <f>IF('12 - Deployments &amp; Config'!P247="","",'12 - Deployments &amp; Config'!P247)</f>
        <v/>
      </c>
      <c r="AA242" s="32" t="str">
        <f>IF('12 - Deployments &amp; Config'!Q247="","",'12 - Deployments &amp; Config'!Q247)</f>
        <v/>
      </c>
    </row>
    <row r="243" spans="1:27">
      <c r="A243" s="33"/>
      <c r="B243" s="33"/>
      <c r="C243" s="32" t="str">
        <f>IF('12 - Deployments &amp; Config'!H248="","",'12 - Deployments &amp; Config'!H248)</f>
        <v/>
      </c>
      <c r="D243" s="32" t="str">
        <f>IF('12 - Deployments &amp; Config'!AF248="","",'12 - Deployments &amp; Config'!AF248)</f>
        <v/>
      </c>
      <c r="E243" s="32" t="str">
        <f>IF('12 - Deployments &amp; Config'!AG248="","",'12 - Deployments &amp; Config'!AG248)</f>
        <v/>
      </c>
      <c r="F243" s="32" t="str">
        <f>IF('12 - Deployments &amp; Config'!AH248="","",'12 - Deployments &amp; Config'!AH248)</f>
        <v/>
      </c>
      <c r="G243" s="32" t="str">
        <f>IF('12 - Deployments &amp; Config'!AI248="","",'12 - Deployments &amp; Config'!AI248)</f>
        <v/>
      </c>
      <c r="H243" s="32" t="str">
        <f>IF('12 - Deployments &amp; Config'!A248="","",'12 - Deployments &amp; Config'!A248)</f>
        <v/>
      </c>
      <c r="I243" s="32" t="str">
        <f>IF('12 - Deployments &amp; Config'!AJ248="","",'12 - Deployments &amp; Config'!AJ248)</f>
        <v/>
      </c>
      <c r="J243" s="32" t="str">
        <f>IF('12 - Deployments &amp; Config'!AK248="","",'12 - Deployments &amp; Config'!AK248)</f>
        <v/>
      </c>
      <c r="K243" s="32" t="str">
        <f>IF('12 - Deployments &amp; Config'!AA248="","",'12 - Deployments &amp; Config'!AA248)</f>
        <v/>
      </c>
      <c r="L243" s="32" t="str">
        <f>IF('12 - Deployments &amp; Config'!I248="","",'12 - Deployments &amp; Config'!I248)</f>
        <v/>
      </c>
      <c r="M243" s="33"/>
      <c r="N243" s="32" t="str">
        <f>IF('12 - Deployments &amp; Config'!J248="","",'12 - Deployments &amp; Config'!J248)</f>
        <v/>
      </c>
      <c r="O243" s="32" t="str">
        <f>IF('12 - Deployments &amp; Config'!K248="","",'12 - Deployments &amp; Config'!K248)</f>
        <v/>
      </c>
      <c r="P243" s="32" t="str">
        <f>IF('12 - Deployments &amp; Config'!L248="","",'12 - Deployments &amp; Config'!L248)</f>
        <v/>
      </c>
      <c r="Q243" s="33"/>
      <c r="R243" s="32" t="str">
        <f>IF('12 - Deployments &amp; Config'!AZ248="","",'12 - Deployments &amp; Config'!AZ248)</f>
        <v/>
      </c>
      <c r="S243" s="32" t="str">
        <f>IF('12 - Deployments &amp; Config'!AY248="","",'12 - Deployments &amp; Config'!AY248)</f>
        <v/>
      </c>
      <c r="T243" s="32" t="str">
        <f>IF('12 - Deployments &amp; Config'!AW248="","",'12 - Deployments &amp; Config'!AW248)</f>
        <v/>
      </c>
      <c r="U243" s="32" t="str">
        <f>IF('12 - Deployments &amp; Config'!AX248="","",'12 - Deployments &amp; Config'!AX248)</f>
        <v/>
      </c>
      <c r="V243" s="32" t="str">
        <f>IF('12 - Deployments &amp; Config'!BB248="","",'12 - Deployments &amp; Config'!BB248)</f>
        <v/>
      </c>
      <c r="W243" s="32" t="str">
        <f>IF('12 - Deployments &amp; Config'!BD248="","",'12 - Deployments &amp; Config'!BD248)</f>
        <v/>
      </c>
      <c r="X243" s="32" t="str">
        <f>IF('12 - Deployments &amp; Config'!BL248="","",'12 - Deployments &amp; Config'!BL248)</f>
        <v/>
      </c>
      <c r="Y243" s="32" t="str">
        <f>IF('12 - Deployments &amp; Config'!BC248="","",'12 - Deployments &amp; Config'!BC248)</f>
        <v/>
      </c>
      <c r="Z243" s="32" t="str">
        <f>IF('12 - Deployments &amp; Config'!P248="","",'12 - Deployments &amp; Config'!P248)</f>
        <v/>
      </c>
      <c r="AA243" s="32" t="str">
        <f>IF('12 - Deployments &amp; Config'!Q248="","",'12 - Deployments &amp; Config'!Q248)</f>
        <v/>
      </c>
    </row>
    <row r="244" spans="1:27">
      <c r="A244" s="33"/>
      <c r="B244" s="33"/>
      <c r="C244" s="32" t="str">
        <f>IF('12 - Deployments &amp; Config'!H249="","",'12 - Deployments &amp; Config'!H249)</f>
        <v/>
      </c>
      <c r="D244" s="32" t="str">
        <f>IF('12 - Deployments &amp; Config'!AF249="","",'12 - Deployments &amp; Config'!AF249)</f>
        <v/>
      </c>
      <c r="E244" s="32" t="str">
        <f>IF('12 - Deployments &amp; Config'!AG249="","",'12 - Deployments &amp; Config'!AG249)</f>
        <v/>
      </c>
      <c r="F244" s="32" t="str">
        <f>IF('12 - Deployments &amp; Config'!AH249="","",'12 - Deployments &amp; Config'!AH249)</f>
        <v/>
      </c>
      <c r="G244" s="32" t="str">
        <f>IF('12 - Deployments &amp; Config'!AI249="","",'12 - Deployments &amp; Config'!AI249)</f>
        <v/>
      </c>
      <c r="H244" s="32" t="str">
        <f>IF('12 - Deployments &amp; Config'!A249="","",'12 - Deployments &amp; Config'!A249)</f>
        <v/>
      </c>
      <c r="I244" s="32" t="str">
        <f>IF('12 - Deployments &amp; Config'!AJ249="","",'12 - Deployments &amp; Config'!AJ249)</f>
        <v/>
      </c>
      <c r="J244" s="32" t="str">
        <f>IF('12 - Deployments &amp; Config'!AK249="","",'12 - Deployments &amp; Config'!AK249)</f>
        <v/>
      </c>
      <c r="K244" s="32" t="str">
        <f>IF('12 - Deployments &amp; Config'!AA249="","",'12 - Deployments &amp; Config'!AA249)</f>
        <v/>
      </c>
      <c r="L244" s="32" t="str">
        <f>IF('12 - Deployments &amp; Config'!I249="","",'12 - Deployments &amp; Config'!I249)</f>
        <v/>
      </c>
      <c r="M244" s="33"/>
      <c r="N244" s="32" t="str">
        <f>IF('12 - Deployments &amp; Config'!J249="","",'12 - Deployments &amp; Config'!J249)</f>
        <v/>
      </c>
      <c r="O244" s="32" t="str">
        <f>IF('12 - Deployments &amp; Config'!K249="","",'12 - Deployments &amp; Config'!K249)</f>
        <v/>
      </c>
      <c r="P244" s="32" t="str">
        <f>IF('12 - Deployments &amp; Config'!L249="","",'12 - Deployments &amp; Config'!L249)</f>
        <v/>
      </c>
      <c r="Q244" s="33"/>
      <c r="R244" s="32" t="str">
        <f>IF('12 - Deployments &amp; Config'!AZ249="","",'12 - Deployments &amp; Config'!AZ249)</f>
        <v/>
      </c>
      <c r="S244" s="32" t="str">
        <f>IF('12 - Deployments &amp; Config'!AY249="","",'12 - Deployments &amp; Config'!AY249)</f>
        <v/>
      </c>
      <c r="T244" s="32" t="str">
        <f>IF('12 - Deployments &amp; Config'!AW249="","",'12 - Deployments &amp; Config'!AW249)</f>
        <v/>
      </c>
      <c r="U244" s="32" t="str">
        <f>IF('12 - Deployments &amp; Config'!AX249="","",'12 - Deployments &amp; Config'!AX249)</f>
        <v/>
      </c>
      <c r="V244" s="32" t="str">
        <f>IF('12 - Deployments &amp; Config'!BB249="","",'12 - Deployments &amp; Config'!BB249)</f>
        <v/>
      </c>
      <c r="W244" s="32" t="str">
        <f>IF('12 - Deployments &amp; Config'!BD249="","",'12 - Deployments &amp; Config'!BD249)</f>
        <v/>
      </c>
      <c r="X244" s="32" t="str">
        <f>IF('12 - Deployments &amp; Config'!BL249="","",'12 - Deployments &amp; Config'!BL249)</f>
        <v/>
      </c>
      <c r="Y244" s="32" t="str">
        <f>IF('12 - Deployments &amp; Config'!BC249="","",'12 - Deployments &amp; Config'!BC249)</f>
        <v/>
      </c>
      <c r="Z244" s="32" t="str">
        <f>IF('12 - Deployments &amp; Config'!P249="","",'12 - Deployments &amp; Config'!P249)</f>
        <v/>
      </c>
      <c r="AA244" s="32" t="str">
        <f>IF('12 - Deployments &amp; Config'!Q249="","",'12 - Deployments &amp; Config'!Q249)</f>
        <v/>
      </c>
    </row>
    <row r="245" spans="1:27">
      <c r="A245" s="33"/>
      <c r="B245" s="33"/>
      <c r="C245" s="32" t="str">
        <f>IF('12 - Deployments &amp; Config'!H250="","",'12 - Deployments &amp; Config'!H250)</f>
        <v/>
      </c>
      <c r="D245" s="32" t="str">
        <f>IF('12 - Deployments &amp; Config'!AF250="","",'12 - Deployments &amp; Config'!AF250)</f>
        <v/>
      </c>
      <c r="E245" s="32" t="str">
        <f>IF('12 - Deployments &amp; Config'!AG250="","",'12 - Deployments &amp; Config'!AG250)</f>
        <v/>
      </c>
      <c r="F245" s="32" t="str">
        <f>IF('12 - Deployments &amp; Config'!AH250="","",'12 - Deployments &amp; Config'!AH250)</f>
        <v/>
      </c>
      <c r="G245" s="32" t="str">
        <f>IF('12 - Deployments &amp; Config'!AI250="","",'12 - Deployments &amp; Config'!AI250)</f>
        <v/>
      </c>
      <c r="H245" s="32" t="str">
        <f>IF('12 - Deployments &amp; Config'!A250="","",'12 - Deployments &amp; Config'!A250)</f>
        <v/>
      </c>
      <c r="I245" s="32" t="str">
        <f>IF('12 - Deployments &amp; Config'!AJ250="","",'12 - Deployments &amp; Config'!AJ250)</f>
        <v/>
      </c>
      <c r="J245" s="32" t="str">
        <f>IF('12 - Deployments &amp; Config'!AK250="","",'12 - Deployments &amp; Config'!AK250)</f>
        <v/>
      </c>
      <c r="K245" s="32" t="str">
        <f>IF('12 - Deployments &amp; Config'!AA250="","",'12 - Deployments &amp; Config'!AA250)</f>
        <v/>
      </c>
      <c r="L245" s="32" t="str">
        <f>IF('12 - Deployments &amp; Config'!I250="","",'12 - Deployments &amp; Config'!I250)</f>
        <v/>
      </c>
      <c r="M245" s="33"/>
      <c r="N245" s="32" t="str">
        <f>IF('12 - Deployments &amp; Config'!J250="","",'12 - Deployments &amp; Config'!J250)</f>
        <v/>
      </c>
      <c r="O245" s="32" t="str">
        <f>IF('12 - Deployments &amp; Config'!K250="","",'12 - Deployments &amp; Config'!K250)</f>
        <v/>
      </c>
      <c r="P245" s="32" t="str">
        <f>IF('12 - Deployments &amp; Config'!L250="","",'12 - Deployments &amp; Config'!L250)</f>
        <v/>
      </c>
      <c r="Q245" s="33"/>
      <c r="R245" s="32" t="str">
        <f>IF('12 - Deployments &amp; Config'!AZ250="","",'12 - Deployments &amp; Config'!AZ250)</f>
        <v/>
      </c>
      <c r="S245" s="32" t="str">
        <f>IF('12 - Deployments &amp; Config'!AY250="","",'12 - Deployments &amp; Config'!AY250)</f>
        <v/>
      </c>
      <c r="T245" s="32" t="str">
        <f>IF('12 - Deployments &amp; Config'!AW250="","",'12 - Deployments &amp; Config'!AW250)</f>
        <v/>
      </c>
      <c r="U245" s="32" t="str">
        <f>IF('12 - Deployments &amp; Config'!AX250="","",'12 - Deployments &amp; Config'!AX250)</f>
        <v/>
      </c>
      <c r="V245" s="32" t="str">
        <f>IF('12 - Deployments &amp; Config'!BB250="","",'12 - Deployments &amp; Config'!BB250)</f>
        <v/>
      </c>
      <c r="W245" s="32" t="str">
        <f>IF('12 - Deployments &amp; Config'!BD250="","",'12 - Deployments &amp; Config'!BD250)</f>
        <v/>
      </c>
      <c r="X245" s="32" t="str">
        <f>IF('12 - Deployments &amp; Config'!BL250="","",'12 - Deployments &amp; Config'!BL250)</f>
        <v/>
      </c>
      <c r="Y245" s="32" t="str">
        <f>IF('12 - Deployments &amp; Config'!BC250="","",'12 - Deployments &amp; Config'!BC250)</f>
        <v/>
      </c>
      <c r="Z245" s="32" t="str">
        <f>IF('12 - Deployments &amp; Config'!P250="","",'12 - Deployments &amp; Config'!P250)</f>
        <v/>
      </c>
      <c r="AA245" s="32" t="str">
        <f>IF('12 - Deployments &amp; Config'!Q250="","",'12 - Deployments &amp; Config'!Q250)</f>
        <v/>
      </c>
    </row>
    <row r="246" spans="1:27">
      <c r="A246" s="33"/>
      <c r="B246" s="33"/>
      <c r="C246" s="32" t="str">
        <f>IF('12 - Deployments &amp; Config'!H251="","",'12 - Deployments &amp; Config'!H251)</f>
        <v/>
      </c>
      <c r="D246" s="32" t="str">
        <f>IF('12 - Deployments &amp; Config'!AF251="","",'12 - Deployments &amp; Config'!AF251)</f>
        <v/>
      </c>
      <c r="E246" s="32" t="str">
        <f>IF('12 - Deployments &amp; Config'!AG251="","",'12 - Deployments &amp; Config'!AG251)</f>
        <v/>
      </c>
      <c r="F246" s="32" t="str">
        <f>IF('12 - Deployments &amp; Config'!AH251="","",'12 - Deployments &amp; Config'!AH251)</f>
        <v/>
      </c>
      <c r="G246" s="32" t="str">
        <f>IF('12 - Deployments &amp; Config'!AI251="","",'12 - Deployments &amp; Config'!AI251)</f>
        <v/>
      </c>
      <c r="H246" s="32" t="str">
        <f>IF('12 - Deployments &amp; Config'!A251="","",'12 - Deployments &amp; Config'!A251)</f>
        <v/>
      </c>
      <c r="I246" s="32" t="str">
        <f>IF('12 - Deployments &amp; Config'!AJ251="","",'12 - Deployments &amp; Config'!AJ251)</f>
        <v/>
      </c>
      <c r="J246" s="32" t="str">
        <f>IF('12 - Deployments &amp; Config'!AK251="","",'12 - Deployments &amp; Config'!AK251)</f>
        <v/>
      </c>
      <c r="K246" s="32" t="str">
        <f>IF('12 - Deployments &amp; Config'!AA251="","",'12 - Deployments &amp; Config'!AA251)</f>
        <v/>
      </c>
      <c r="L246" s="32" t="str">
        <f>IF('12 - Deployments &amp; Config'!I251="","",'12 - Deployments &amp; Config'!I251)</f>
        <v/>
      </c>
      <c r="M246" s="33"/>
      <c r="N246" s="32" t="str">
        <f>IF('12 - Deployments &amp; Config'!J251="","",'12 - Deployments &amp; Config'!J251)</f>
        <v/>
      </c>
      <c r="O246" s="32" t="str">
        <f>IF('12 - Deployments &amp; Config'!K251="","",'12 - Deployments &amp; Config'!K251)</f>
        <v/>
      </c>
      <c r="P246" s="32" t="str">
        <f>IF('12 - Deployments &amp; Config'!L251="","",'12 - Deployments &amp; Config'!L251)</f>
        <v/>
      </c>
      <c r="Q246" s="33"/>
      <c r="R246" s="32" t="str">
        <f>IF('12 - Deployments &amp; Config'!AZ251="","",'12 - Deployments &amp; Config'!AZ251)</f>
        <v/>
      </c>
      <c r="S246" s="32" t="str">
        <f>IF('12 - Deployments &amp; Config'!AY251="","",'12 - Deployments &amp; Config'!AY251)</f>
        <v/>
      </c>
      <c r="T246" s="32" t="str">
        <f>IF('12 - Deployments &amp; Config'!AW251="","",'12 - Deployments &amp; Config'!AW251)</f>
        <v/>
      </c>
      <c r="U246" s="32" t="str">
        <f>IF('12 - Deployments &amp; Config'!AX251="","",'12 - Deployments &amp; Config'!AX251)</f>
        <v/>
      </c>
      <c r="V246" s="32" t="str">
        <f>IF('12 - Deployments &amp; Config'!BB251="","",'12 - Deployments &amp; Config'!BB251)</f>
        <v/>
      </c>
      <c r="W246" s="32" t="str">
        <f>IF('12 - Deployments &amp; Config'!BD251="","",'12 - Deployments &amp; Config'!BD251)</f>
        <v/>
      </c>
      <c r="X246" s="32" t="str">
        <f>IF('12 - Deployments &amp; Config'!BL251="","",'12 - Deployments &amp; Config'!BL251)</f>
        <v/>
      </c>
      <c r="Y246" s="32" t="str">
        <f>IF('12 - Deployments &amp; Config'!BC251="","",'12 - Deployments &amp; Config'!BC251)</f>
        <v/>
      </c>
      <c r="Z246" s="32" t="str">
        <f>IF('12 - Deployments &amp; Config'!P251="","",'12 - Deployments &amp; Config'!P251)</f>
        <v/>
      </c>
      <c r="AA246" s="32" t="str">
        <f>IF('12 - Deployments &amp; Config'!Q251="","",'12 - Deployments &amp; Config'!Q251)</f>
        <v/>
      </c>
    </row>
    <row r="247" spans="1:27">
      <c r="A247" s="33"/>
      <c r="B247" s="33"/>
      <c r="C247" s="32" t="str">
        <f>IF('12 - Deployments &amp; Config'!H252="","",'12 - Deployments &amp; Config'!H252)</f>
        <v/>
      </c>
      <c r="D247" s="32" t="str">
        <f>IF('12 - Deployments &amp; Config'!AF252="","",'12 - Deployments &amp; Config'!AF252)</f>
        <v/>
      </c>
      <c r="E247" s="32" t="str">
        <f>IF('12 - Deployments &amp; Config'!AG252="","",'12 - Deployments &amp; Config'!AG252)</f>
        <v/>
      </c>
      <c r="F247" s="32" t="str">
        <f>IF('12 - Deployments &amp; Config'!AH252="","",'12 - Deployments &amp; Config'!AH252)</f>
        <v/>
      </c>
      <c r="G247" s="32" t="str">
        <f>IF('12 - Deployments &amp; Config'!AI252="","",'12 - Deployments &amp; Config'!AI252)</f>
        <v/>
      </c>
      <c r="H247" s="32" t="str">
        <f>IF('12 - Deployments &amp; Config'!A252="","",'12 - Deployments &amp; Config'!A252)</f>
        <v/>
      </c>
      <c r="I247" s="32" t="str">
        <f>IF('12 - Deployments &amp; Config'!AJ252="","",'12 - Deployments &amp; Config'!AJ252)</f>
        <v/>
      </c>
      <c r="J247" s="32" t="str">
        <f>IF('12 - Deployments &amp; Config'!AK252="","",'12 - Deployments &amp; Config'!AK252)</f>
        <v/>
      </c>
      <c r="K247" s="32" t="str">
        <f>IF('12 - Deployments &amp; Config'!AA252="","",'12 - Deployments &amp; Config'!AA252)</f>
        <v/>
      </c>
      <c r="L247" s="32" t="str">
        <f>IF('12 - Deployments &amp; Config'!I252="","",'12 - Deployments &amp; Config'!I252)</f>
        <v/>
      </c>
      <c r="M247" s="33"/>
      <c r="N247" s="32" t="str">
        <f>IF('12 - Deployments &amp; Config'!J252="","",'12 - Deployments &amp; Config'!J252)</f>
        <v/>
      </c>
      <c r="O247" s="32" t="str">
        <f>IF('12 - Deployments &amp; Config'!K252="","",'12 - Deployments &amp; Config'!K252)</f>
        <v/>
      </c>
      <c r="P247" s="32" t="str">
        <f>IF('12 - Deployments &amp; Config'!L252="","",'12 - Deployments &amp; Config'!L252)</f>
        <v/>
      </c>
      <c r="Q247" s="33"/>
      <c r="R247" s="32" t="str">
        <f>IF('12 - Deployments &amp; Config'!AZ252="","",'12 - Deployments &amp; Config'!AZ252)</f>
        <v/>
      </c>
      <c r="S247" s="32" t="str">
        <f>IF('12 - Deployments &amp; Config'!AY252="","",'12 - Deployments &amp; Config'!AY252)</f>
        <v/>
      </c>
      <c r="T247" s="32" t="str">
        <f>IF('12 - Deployments &amp; Config'!AW252="","",'12 - Deployments &amp; Config'!AW252)</f>
        <v/>
      </c>
      <c r="U247" s="32" t="str">
        <f>IF('12 - Deployments &amp; Config'!AX252="","",'12 - Deployments &amp; Config'!AX252)</f>
        <v/>
      </c>
      <c r="V247" s="32" t="str">
        <f>IF('12 - Deployments &amp; Config'!BB252="","",'12 - Deployments &amp; Config'!BB252)</f>
        <v/>
      </c>
      <c r="W247" s="32" t="str">
        <f>IF('12 - Deployments &amp; Config'!BD252="","",'12 - Deployments &amp; Config'!BD252)</f>
        <v/>
      </c>
      <c r="X247" s="32" t="str">
        <f>IF('12 - Deployments &amp; Config'!BL252="","",'12 - Deployments &amp; Config'!BL252)</f>
        <v/>
      </c>
      <c r="Y247" s="32" t="str">
        <f>IF('12 - Deployments &amp; Config'!BC252="","",'12 - Deployments &amp; Config'!BC252)</f>
        <v/>
      </c>
      <c r="Z247" s="32" t="str">
        <f>IF('12 - Deployments &amp; Config'!P252="","",'12 - Deployments &amp; Config'!P252)</f>
        <v/>
      </c>
      <c r="AA247" s="32" t="str">
        <f>IF('12 - Deployments &amp; Config'!Q252="","",'12 - Deployments &amp; Config'!Q252)</f>
        <v/>
      </c>
    </row>
    <row r="248" spans="1:27">
      <c r="A248" s="33"/>
      <c r="B248" s="33"/>
      <c r="C248" s="32" t="str">
        <f>IF('12 - Deployments &amp; Config'!H253="","",'12 - Deployments &amp; Config'!H253)</f>
        <v/>
      </c>
      <c r="D248" s="32" t="str">
        <f>IF('12 - Deployments &amp; Config'!AF253="","",'12 - Deployments &amp; Config'!AF253)</f>
        <v/>
      </c>
      <c r="E248" s="32" t="str">
        <f>IF('12 - Deployments &amp; Config'!AG253="","",'12 - Deployments &amp; Config'!AG253)</f>
        <v/>
      </c>
      <c r="F248" s="32" t="str">
        <f>IF('12 - Deployments &amp; Config'!AH253="","",'12 - Deployments &amp; Config'!AH253)</f>
        <v/>
      </c>
      <c r="G248" s="32" t="str">
        <f>IF('12 - Deployments &amp; Config'!AI253="","",'12 - Deployments &amp; Config'!AI253)</f>
        <v/>
      </c>
      <c r="H248" s="32" t="str">
        <f>IF('12 - Deployments &amp; Config'!A253="","",'12 - Deployments &amp; Config'!A253)</f>
        <v/>
      </c>
      <c r="I248" s="32" t="str">
        <f>IF('12 - Deployments &amp; Config'!AJ253="","",'12 - Deployments &amp; Config'!AJ253)</f>
        <v/>
      </c>
      <c r="J248" s="32" t="str">
        <f>IF('12 - Deployments &amp; Config'!AK253="","",'12 - Deployments &amp; Config'!AK253)</f>
        <v/>
      </c>
      <c r="K248" s="32" t="str">
        <f>IF('12 - Deployments &amp; Config'!AA253="","",'12 - Deployments &amp; Config'!AA253)</f>
        <v/>
      </c>
      <c r="L248" s="32" t="str">
        <f>IF('12 - Deployments &amp; Config'!I253="","",'12 - Deployments &amp; Config'!I253)</f>
        <v/>
      </c>
      <c r="M248" s="33"/>
      <c r="N248" s="32" t="str">
        <f>IF('12 - Deployments &amp; Config'!J253="","",'12 - Deployments &amp; Config'!J253)</f>
        <v/>
      </c>
      <c r="O248" s="32" t="str">
        <f>IF('12 - Deployments &amp; Config'!K253="","",'12 - Deployments &amp; Config'!K253)</f>
        <v/>
      </c>
      <c r="P248" s="32" t="str">
        <f>IF('12 - Deployments &amp; Config'!L253="","",'12 - Deployments &amp; Config'!L253)</f>
        <v/>
      </c>
      <c r="Q248" s="33"/>
      <c r="R248" s="32" t="str">
        <f>IF('12 - Deployments &amp; Config'!AZ253="","",'12 - Deployments &amp; Config'!AZ253)</f>
        <v/>
      </c>
      <c r="S248" s="32" t="str">
        <f>IF('12 - Deployments &amp; Config'!AY253="","",'12 - Deployments &amp; Config'!AY253)</f>
        <v/>
      </c>
      <c r="T248" s="32" t="str">
        <f>IF('12 - Deployments &amp; Config'!AW253="","",'12 - Deployments &amp; Config'!AW253)</f>
        <v/>
      </c>
      <c r="U248" s="32" t="str">
        <f>IF('12 - Deployments &amp; Config'!AX253="","",'12 - Deployments &amp; Config'!AX253)</f>
        <v/>
      </c>
      <c r="V248" s="32" t="str">
        <f>IF('12 - Deployments &amp; Config'!BB253="","",'12 - Deployments &amp; Config'!BB253)</f>
        <v/>
      </c>
      <c r="W248" s="32" t="str">
        <f>IF('12 - Deployments &amp; Config'!BD253="","",'12 - Deployments &amp; Config'!BD253)</f>
        <v/>
      </c>
      <c r="X248" s="32" t="str">
        <f>IF('12 - Deployments &amp; Config'!BL253="","",'12 - Deployments &amp; Config'!BL253)</f>
        <v/>
      </c>
      <c r="Y248" s="32" t="str">
        <f>IF('12 - Deployments &amp; Config'!BC253="","",'12 - Deployments &amp; Config'!BC253)</f>
        <v/>
      </c>
      <c r="Z248" s="32" t="str">
        <f>IF('12 - Deployments &amp; Config'!P253="","",'12 - Deployments &amp; Config'!P253)</f>
        <v/>
      </c>
      <c r="AA248" s="32" t="str">
        <f>IF('12 - Deployments &amp; Config'!Q253="","",'12 - Deployments &amp; Config'!Q253)</f>
        <v/>
      </c>
    </row>
    <row r="249" spans="1:27">
      <c r="A249" s="33"/>
      <c r="B249" s="33"/>
      <c r="C249" s="32" t="str">
        <f>IF('12 - Deployments &amp; Config'!H254="","",'12 - Deployments &amp; Config'!H254)</f>
        <v/>
      </c>
      <c r="D249" s="32" t="str">
        <f>IF('12 - Deployments &amp; Config'!AF254="","",'12 - Deployments &amp; Config'!AF254)</f>
        <v/>
      </c>
      <c r="E249" s="32" t="str">
        <f>IF('12 - Deployments &amp; Config'!AG254="","",'12 - Deployments &amp; Config'!AG254)</f>
        <v/>
      </c>
      <c r="F249" s="32" t="str">
        <f>IF('12 - Deployments &amp; Config'!AH254="","",'12 - Deployments &amp; Config'!AH254)</f>
        <v/>
      </c>
      <c r="G249" s="32" t="str">
        <f>IF('12 - Deployments &amp; Config'!AI254="","",'12 - Deployments &amp; Config'!AI254)</f>
        <v/>
      </c>
      <c r="H249" s="32" t="str">
        <f>IF('12 - Deployments &amp; Config'!A254="","",'12 - Deployments &amp; Config'!A254)</f>
        <v/>
      </c>
      <c r="I249" s="32" t="str">
        <f>IF('12 - Deployments &amp; Config'!AJ254="","",'12 - Deployments &amp; Config'!AJ254)</f>
        <v/>
      </c>
      <c r="J249" s="32" t="str">
        <f>IF('12 - Deployments &amp; Config'!AK254="","",'12 - Deployments &amp; Config'!AK254)</f>
        <v/>
      </c>
      <c r="K249" s="32" t="str">
        <f>IF('12 - Deployments &amp; Config'!AA254="","",'12 - Deployments &amp; Config'!AA254)</f>
        <v/>
      </c>
      <c r="L249" s="32" t="str">
        <f>IF('12 - Deployments &amp; Config'!I254="","",'12 - Deployments &amp; Config'!I254)</f>
        <v/>
      </c>
      <c r="M249" s="33"/>
      <c r="N249" s="32" t="str">
        <f>IF('12 - Deployments &amp; Config'!J254="","",'12 - Deployments &amp; Config'!J254)</f>
        <v/>
      </c>
      <c r="O249" s="32" t="str">
        <f>IF('12 - Deployments &amp; Config'!K254="","",'12 - Deployments &amp; Config'!K254)</f>
        <v/>
      </c>
      <c r="P249" s="32" t="str">
        <f>IF('12 - Deployments &amp; Config'!L254="","",'12 - Deployments &amp; Config'!L254)</f>
        <v/>
      </c>
      <c r="Q249" s="33"/>
      <c r="R249" s="32" t="str">
        <f>IF('12 - Deployments &amp; Config'!AZ254="","",'12 - Deployments &amp; Config'!AZ254)</f>
        <v/>
      </c>
      <c r="S249" s="32" t="str">
        <f>IF('12 - Deployments &amp; Config'!AY254="","",'12 - Deployments &amp; Config'!AY254)</f>
        <v/>
      </c>
      <c r="T249" s="32" t="str">
        <f>IF('12 - Deployments &amp; Config'!AW254="","",'12 - Deployments &amp; Config'!AW254)</f>
        <v/>
      </c>
      <c r="U249" s="32" t="str">
        <f>IF('12 - Deployments &amp; Config'!AX254="","",'12 - Deployments &amp; Config'!AX254)</f>
        <v/>
      </c>
      <c r="V249" s="32" t="str">
        <f>IF('12 - Deployments &amp; Config'!BB254="","",'12 - Deployments &amp; Config'!BB254)</f>
        <v/>
      </c>
      <c r="W249" s="32" t="str">
        <f>IF('12 - Deployments &amp; Config'!BD254="","",'12 - Deployments &amp; Config'!BD254)</f>
        <v/>
      </c>
      <c r="X249" s="32" t="str">
        <f>IF('12 - Deployments &amp; Config'!BL254="","",'12 - Deployments &amp; Config'!BL254)</f>
        <v/>
      </c>
      <c r="Y249" s="32" t="str">
        <f>IF('12 - Deployments &amp; Config'!BC254="","",'12 - Deployments &amp; Config'!BC254)</f>
        <v/>
      </c>
      <c r="Z249" s="32" t="str">
        <f>IF('12 - Deployments &amp; Config'!P254="","",'12 - Deployments &amp; Config'!P254)</f>
        <v/>
      </c>
      <c r="AA249" s="32" t="str">
        <f>IF('12 - Deployments &amp; Config'!Q254="","",'12 - Deployments &amp; Config'!Q254)</f>
        <v/>
      </c>
    </row>
    <row r="250" spans="1:27">
      <c r="A250" s="33"/>
      <c r="B250" s="33"/>
      <c r="C250" s="32" t="str">
        <f>IF('12 - Deployments &amp; Config'!H255="","",'12 - Deployments &amp; Config'!H255)</f>
        <v/>
      </c>
      <c r="D250" s="32" t="str">
        <f>IF('12 - Deployments &amp; Config'!AF255="","",'12 - Deployments &amp; Config'!AF255)</f>
        <v/>
      </c>
      <c r="E250" s="32" t="str">
        <f>IF('12 - Deployments &amp; Config'!AG255="","",'12 - Deployments &amp; Config'!AG255)</f>
        <v/>
      </c>
      <c r="F250" s="32" t="str">
        <f>IF('12 - Deployments &amp; Config'!AH255="","",'12 - Deployments &amp; Config'!AH255)</f>
        <v/>
      </c>
      <c r="G250" s="32" t="str">
        <f>IF('12 - Deployments &amp; Config'!AI255="","",'12 - Deployments &amp; Config'!AI255)</f>
        <v/>
      </c>
      <c r="H250" s="32" t="str">
        <f>IF('12 - Deployments &amp; Config'!A255="","",'12 - Deployments &amp; Config'!A255)</f>
        <v/>
      </c>
      <c r="I250" s="32" t="str">
        <f>IF('12 - Deployments &amp; Config'!AJ255="","",'12 - Deployments &amp; Config'!AJ255)</f>
        <v/>
      </c>
      <c r="J250" s="32" t="str">
        <f>IF('12 - Deployments &amp; Config'!AK255="","",'12 - Deployments &amp; Config'!AK255)</f>
        <v/>
      </c>
      <c r="K250" s="32" t="str">
        <f>IF('12 - Deployments &amp; Config'!AA255="","",'12 - Deployments &amp; Config'!AA255)</f>
        <v/>
      </c>
      <c r="L250" s="32" t="str">
        <f>IF('12 - Deployments &amp; Config'!I255="","",'12 - Deployments &amp; Config'!I255)</f>
        <v/>
      </c>
      <c r="M250" s="33"/>
      <c r="N250" s="32" t="str">
        <f>IF('12 - Deployments &amp; Config'!J255="","",'12 - Deployments &amp; Config'!J255)</f>
        <v/>
      </c>
      <c r="O250" s="32" t="str">
        <f>IF('12 - Deployments &amp; Config'!K255="","",'12 - Deployments &amp; Config'!K255)</f>
        <v/>
      </c>
      <c r="P250" s="32" t="str">
        <f>IF('12 - Deployments &amp; Config'!L255="","",'12 - Deployments &amp; Config'!L255)</f>
        <v/>
      </c>
      <c r="Q250" s="33"/>
      <c r="R250" s="32" t="str">
        <f>IF('12 - Deployments &amp; Config'!AZ255="","",'12 - Deployments &amp; Config'!AZ255)</f>
        <v/>
      </c>
      <c r="S250" s="32" t="str">
        <f>IF('12 - Deployments &amp; Config'!AY255="","",'12 - Deployments &amp; Config'!AY255)</f>
        <v/>
      </c>
      <c r="T250" s="32" t="str">
        <f>IF('12 - Deployments &amp; Config'!AW255="","",'12 - Deployments &amp; Config'!AW255)</f>
        <v/>
      </c>
      <c r="U250" s="32" t="str">
        <f>IF('12 - Deployments &amp; Config'!AX255="","",'12 - Deployments &amp; Config'!AX255)</f>
        <v/>
      </c>
      <c r="V250" s="32" t="str">
        <f>IF('12 - Deployments &amp; Config'!BB255="","",'12 - Deployments &amp; Config'!BB255)</f>
        <v/>
      </c>
      <c r="W250" s="32" t="str">
        <f>IF('12 - Deployments &amp; Config'!BD255="","",'12 - Deployments &amp; Config'!BD255)</f>
        <v/>
      </c>
      <c r="X250" s="32" t="str">
        <f>IF('12 - Deployments &amp; Config'!BL255="","",'12 - Deployments &amp; Config'!BL255)</f>
        <v/>
      </c>
      <c r="Y250" s="32" t="str">
        <f>IF('12 - Deployments &amp; Config'!BC255="","",'12 - Deployments &amp; Config'!BC255)</f>
        <v/>
      </c>
      <c r="Z250" s="32" t="str">
        <f>IF('12 - Deployments &amp; Config'!P255="","",'12 - Deployments &amp; Config'!P255)</f>
        <v/>
      </c>
      <c r="AA250" s="32" t="str">
        <f>IF('12 - Deployments &amp; Config'!Q255="","",'12 - Deployments &amp; Config'!Q255)</f>
        <v/>
      </c>
    </row>
    <row r="251" spans="1:27">
      <c r="A251" s="33"/>
      <c r="B251" s="33"/>
      <c r="C251" s="32" t="str">
        <f>IF('12 - Deployments &amp; Config'!H256="","",'12 - Deployments &amp; Config'!H256)</f>
        <v/>
      </c>
      <c r="D251" s="32" t="str">
        <f>IF('12 - Deployments &amp; Config'!AF256="","",'12 - Deployments &amp; Config'!AF256)</f>
        <v/>
      </c>
      <c r="E251" s="32" t="str">
        <f>IF('12 - Deployments &amp; Config'!AG256="","",'12 - Deployments &amp; Config'!AG256)</f>
        <v/>
      </c>
      <c r="F251" s="32" t="str">
        <f>IF('12 - Deployments &amp; Config'!AH256="","",'12 - Deployments &amp; Config'!AH256)</f>
        <v/>
      </c>
      <c r="G251" s="32" t="str">
        <f>IF('12 - Deployments &amp; Config'!AI256="","",'12 - Deployments &amp; Config'!AI256)</f>
        <v/>
      </c>
      <c r="H251" s="32" t="str">
        <f>IF('12 - Deployments &amp; Config'!A256="","",'12 - Deployments &amp; Config'!A256)</f>
        <v/>
      </c>
      <c r="I251" s="32" t="str">
        <f>IF('12 - Deployments &amp; Config'!AJ256="","",'12 - Deployments &amp; Config'!AJ256)</f>
        <v/>
      </c>
      <c r="J251" s="32" t="str">
        <f>IF('12 - Deployments &amp; Config'!AK256="","",'12 - Deployments &amp; Config'!AK256)</f>
        <v/>
      </c>
      <c r="K251" s="32" t="str">
        <f>IF('12 - Deployments &amp; Config'!AA256="","",'12 - Deployments &amp; Config'!AA256)</f>
        <v/>
      </c>
      <c r="L251" s="32" t="str">
        <f>IF('12 - Deployments &amp; Config'!I256="","",'12 - Deployments &amp; Config'!I256)</f>
        <v/>
      </c>
      <c r="M251" s="33"/>
      <c r="N251" s="32" t="str">
        <f>IF('12 - Deployments &amp; Config'!J256="","",'12 - Deployments &amp; Config'!J256)</f>
        <v/>
      </c>
      <c r="O251" s="32" t="str">
        <f>IF('12 - Deployments &amp; Config'!K256="","",'12 - Deployments &amp; Config'!K256)</f>
        <v/>
      </c>
      <c r="P251" s="32" t="str">
        <f>IF('12 - Deployments &amp; Config'!L256="","",'12 - Deployments &amp; Config'!L256)</f>
        <v/>
      </c>
      <c r="Q251" s="33"/>
      <c r="R251" s="32" t="str">
        <f>IF('12 - Deployments &amp; Config'!AZ256="","",'12 - Deployments &amp; Config'!AZ256)</f>
        <v/>
      </c>
      <c r="S251" s="32" t="str">
        <f>IF('12 - Deployments &amp; Config'!AY256="","",'12 - Deployments &amp; Config'!AY256)</f>
        <v/>
      </c>
      <c r="T251" s="32" t="str">
        <f>IF('12 - Deployments &amp; Config'!AW256="","",'12 - Deployments &amp; Config'!AW256)</f>
        <v/>
      </c>
      <c r="U251" s="32" t="str">
        <f>IF('12 - Deployments &amp; Config'!AX256="","",'12 - Deployments &amp; Config'!AX256)</f>
        <v/>
      </c>
      <c r="V251" s="32" t="str">
        <f>IF('12 - Deployments &amp; Config'!BB256="","",'12 - Deployments &amp; Config'!BB256)</f>
        <v/>
      </c>
      <c r="W251" s="32" t="str">
        <f>IF('12 - Deployments &amp; Config'!BD256="","",'12 - Deployments &amp; Config'!BD256)</f>
        <v/>
      </c>
      <c r="X251" s="32" t="str">
        <f>IF('12 - Deployments &amp; Config'!BL256="","",'12 - Deployments &amp; Config'!BL256)</f>
        <v/>
      </c>
      <c r="Y251" s="32" t="str">
        <f>IF('12 - Deployments &amp; Config'!BC256="","",'12 - Deployments &amp; Config'!BC256)</f>
        <v/>
      </c>
      <c r="Z251" s="32" t="str">
        <f>IF('12 - Deployments &amp; Config'!P256="","",'12 - Deployments &amp; Config'!P256)</f>
        <v/>
      </c>
      <c r="AA251" s="32" t="str">
        <f>IF('12 - Deployments &amp; Config'!Q256="","",'12 - Deployments &amp; Config'!Q256)</f>
        <v/>
      </c>
    </row>
    <row r="252" spans="1:27">
      <c r="A252" s="33"/>
      <c r="B252" s="33"/>
      <c r="C252" s="32" t="str">
        <f>IF('12 - Deployments &amp; Config'!H257="","",'12 - Deployments &amp; Config'!H257)</f>
        <v/>
      </c>
      <c r="D252" s="32" t="str">
        <f>IF('12 - Deployments &amp; Config'!AF257="","",'12 - Deployments &amp; Config'!AF257)</f>
        <v/>
      </c>
      <c r="E252" s="32" t="str">
        <f>IF('12 - Deployments &amp; Config'!AG257="","",'12 - Deployments &amp; Config'!AG257)</f>
        <v/>
      </c>
      <c r="F252" s="32" t="str">
        <f>IF('12 - Deployments &amp; Config'!AH257="","",'12 - Deployments &amp; Config'!AH257)</f>
        <v/>
      </c>
      <c r="G252" s="32" t="str">
        <f>IF('12 - Deployments &amp; Config'!AI257="","",'12 - Deployments &amp; Config'!AI257)</f>
        <v/>
      </c>
      <c r="H252" s="32" t="str">
        <f>IF('12 - Deployments &amp; Config'!A257="","",'12 - Deployments &amp; Config'!A257)</f>
        <v/>
      </c>
      <c r="I252" s="32" t="str">
        <f>IF('12 - Deployments &amp; Config'!AJ257="","",'12 - Deployments &amp; Config'!AJ257)</f>
        <v/>
      </c>
      <c r="J252" s="32" t="str">
        <f>IF('12 - Deployments &amp; Config'!AK257="","",'12 - Deployments &amp; Config'!AK257)</f>
        <v/>
      </c>
      <c r="K252" s="32" t="str">
        <f>IF('12 - Deployments &amp; Config'!AA257="","",'12 - Deployments &amp; Config'!AA257)</f>
        <v/>
      </c>
      <c r="L252" s="32" t="str">
        <f>IF('12 - Deployments &amp; Config'!I257="","",'12 - Deployments &amp; Config'!I257)</f>
        <v/>
      </c>
      <c r="M252" s="33"/>
      <c r="N252" s="32" t="str">
        <f>IF('12 - Deployments &amp; Config'!J257="","",'12 - Deployments &amp; Config'!J257)</f>
        <v/>
      </c>
      <c r="O252" s="32" t="str">
        <f>IF('12 - Deployments &amp; Config'!K257="","",'12 - Deployments &amp; Config'!K257)</f>
        <v/>
      </c>
      <c r="P252" s="32" t="str">
        <f>IF('12 - Deployments &amp; Config'!L257="","",'12 - Deployments &amp; Config'!L257)</f>
        <v/>
      </c>
      <c r="Q252" s="33"/>
      <c r="R252" s="32" t="str">
        <f>IF('12 - Deployments &amp; Config'!AZ257="","",'12 - Deployments &amp; Config'!AZ257)</f>
        <v/>
      </c>
      <c r="S252" s="32" t="str">
        <f>IF('12 - Deployments &amp; Config'!AY257="","",'12 - Deployments &amp; Config'!AY257)</f>
        <v/>
      </c>
      <c r="T252" s="32" t="str">
        <f>IF('12 - Deployments &amp; Config'!AW257="","",'12 - Deployments &amp; Config'!AW257)</f>
        <v/>
      </c>
      <c r="U252" s="32" t="str">
        <f>IF('12 - Deployments &amp; Config'!AX257="","",'12 - Deployments &amp; Config'!AX257)</f>
        <v/>
      </c>
      <c r="V252" s="32" t="str">
        <f>IF('12 - Deployments &amp; Config'!BB257="","",'12 - Deployments &amp; Config'!BB257)</f>
        <v/>
      </c>
      <c r="W252" s="32" t="str">
        <f>IF('12 - Deployments &amp; Config'!BD257="","",'12 - Deployments &amp; Config'!BD257)</f>
        <v/>
      </c>
      <c r="X252" s="32" t="str">
        <f>IF('12 - Deployments &amp; Config'!BL257="","",'12 - Deployments &amp; Config'!BL257)</f>
        <v/>
      </c>
      <c r="Y252" s="32" t="str">
        <f>IF('12 - Deployments &amp; Config'!BC257="","",'12 - Deployments &amp; Config'!BC257)</f>
        <v/>
      </c>
      <c r="Z252" s="32" t="str">
        <f>IF('12 - Deployments &amp; Config'!P257="","",'12 - Deployments &amp; Config'!P257)</f>
        <v/>
      </c>
      <c r="AA252" s="32" t="str">
        <f>IF('12 - Deployments &amp; Config'!Q257="","",'12 - Deployments &amp; Config'!Q257)</f>
        <v/>
      </c>
    </row>
    <row r="253" spans="1:27">
      <c r="A253" s="33"/>
      <c r="B253" s="33"/>
      <c r="C253" s="32" t="str">
        <f>IF('12 - Deployments &amp; Config'!H258="","",'12 - Deployments &amp; Config'!H258)</f>
        <v/>
      </c>
      <c r="D253" s="32" t="str">
        <f>IF('12 - Deployments &amp; Config'!AF258="","",'12 - Deployments &amp; Config'!AF258)</f>
        <v/>
      </c>
      <c r="E253" s="32" t="str">
        <f>IF('12 - Deployments &amp; Config'!AG258="","",'12 - Deployments &amp; Config'!AG258)</f>
        <v/>
      </c>
      <c r="F253" s="32" t="str">
        <f>IF('12 - Deployments &amp; Config'!AH258="","",'12 - Deployments &amp; Config'!AH258)</f>
        <v/>
      </c>
      <c r="G253" s="32" t="str">
        <f>IF('12 - Deployments &amp; Config'!AI258="","",'12 - Deployments &amp; Config'!AI258)</f>
        <v/>
      </c>
      <c r="H253" s="32" t="str">
        <f>IF('12 - Deployments &amp; Config'!A258="","",'12 - Deployments &amp; Config'!A258)</f>
        <v/>
      </c>
      <c r="I253" s="32" t="str">
        <f>IF('12 - Deployments &amp; Config'!AJ258="","",'12 - Deployments &amp; Config'!AJ258)</f>
        <v/>
      </c>
      <c r="J253" s="32" t="str">
        <f>IF('12 - Deployments &amp; Config'!AK258="","",'12 - Deployments &amp; Config'!AK258)</f>
        <v/>
      </c>
      <c r="K253" s="32" t="str">
        <f>IF('12 - Deployments &amp; Config'!AA258="","",'12 - Deployments &amp; Config'!AA258)</f>
        <v/>
      </c>
      <c r="L253" s="32" t="str">
        <f>IF('12 - Deployments &amp; Config'!I258="","",'12 - Deployments &amp; Config'!I258)</f>
        <v/>
      </c>
      <c r="M253" s="33"/>
      <c r="N253" s="32" t="str">
        <f>IF('12 - Deployments &amp; Config'!J258="","",'12 - Deployments &amp; Config'!J258)</f>
        <v/>
      </c>
      <c r="O253" s="32" t="str">
        <f>IF('12 - Deployments &amp; Config'!K258="","",'12 - Deployments &amp; Config'!K258)</f>
        <v/>
      </c>
      <c r="P253" s="32" t="str">
        <f>IF('12 - Deployments &amp; Config'!L258="","",'12 - Deployments &amp; Config'!L258)</f>
        <v/>
      </c>
      <c r="Q253" s="33"/>
      <c r="R253" s="32" t="str">
        <f>IF('12 - Deployments &amp; Config'!AZ258="","",'12 - Deployments &amp; Config'!AZ258)</f>
        <v/>
      </c>
      <c r="S253" s="32" t="str">
        <f>IF('12 - Deployments &amp; Config'!AY258="","",'12 - Deployments &amp; Config'!AY258)</f>
        <v/>
      </c>
      <c r="T253" s="32" t="str">
        <f>IF('12 - Deployments &amp; Config'!AW258="","",'12 - Deployments &amp; Config'!AW258)</f>
        <v/>
      </c>
      <c r="U253" s="32" t="str">
        <f>IF('12 - Deployments &amp; Config'!AX258="","",'12 - Deployments &amp; Config'!AX258)</f>
        <v/>
      </c>
      <c r="V253" s="32" t="str">
        <f>IF('12 - Deployments &amp; Config'!BB258="","",'12 - Deployments &amp; Config'!BB258)</f>
        <v/>
      </c>
      <c r="W253" s="32" t="str">
        <f>IF('12 - Deployments &amp; Config'!BD258="","",'12 - Deployments &amp; Config'!BD258)</f>
        <v/>
      </c>
      <c r="X253" s="32" t="str">
        <f>IF('12 - Deployments &amp; Config'!BL258="","",'12 - Deployments &amp; Config'!BL258)</f>
        <v/>
      </c>
      <c r="Y253" s="32" t="str">
        <f>IF('12 - Deployments &amp; Config'!BC258="","",'12 - Deployments &amp; Config'!BC258)</f>
        <v/>
      </c>
      <c r="Z253" s="32" t="str">
        <f>IF('12 - Deployments &amp; Config'!P258="","",'12 - Deployments &amp; Config'!P258)</f>
        <v/>
      </c>
      <c r="AA253" s="32" t="str">
        <f>IF('12 - Deployments &amp; Config'!Q258="","",'12 - Deployments &amp; Config'!Q258)</f>
        <v/>
      </c>
    </row>
    <row r="254" spans="1:27">
      <c r="A254" s="33"/>
      <c r="B254" s="33"/>
      <c r="C254" s="32" t="str">
        <f>IF('12 - Deployments &amp; Config'!H259="","",'12 - Deployments &amp; Config'!H259)</f>
        <v/>
      </c>
      <c r="D254" s="32" t="str">
        <f>IF('12 - Deployments &amp; Config'!AF259="","",'12 - Deployments &amp; Config'!AF259)</f>
        <v/>
      </c>
      <c r="E254" s="32" t="str">
        <f>IF('12 - Deployments &amp; Config'!AG259="","",'12 - Deployments &amp; Config'!AG259)</f>
        <v/>
      </c>
      <c r="F254" s="32" t="str">
        <f>IF('12 - Deployments &amp; Config'!AH259="","",'12 - Deployments &amp; Config'!AH259)</f>
        <v/>
      </c>
      <c r="G254" s="32" t="str">
        <f>IF('12 - Deployments &amp; Config'!AI259="","",'12 - Deployments &amp; Config'!AI259)</f>
        <v/>
      </c>
      <c r="H254" s="32" t="str">
        <f>IF('12 - Deployments &amp; Config'!A259="","",'12 - Deployments &amp; Config'!A259)</f>
        <v/>
      </c>
      <c r="I254" s="32" t="str">
        <f>IF('12 - Deployments &amp; Config'!AJ259="","",'12 - Deployments &amp; Config'!AJ259)</f>
        <v/>
      </c>
      <c r="J254" s="32" t="str">
        <f>IF('12 - Deployments &amp; Config'!AK259="","",'12 - Deployments &amp; Config'!AK259)</f>
        <v/>
      </c>
      <c r="K254" s="32" t="str">
        <f>IF('12 - Deployments &amp; Config'!AA259="","",'12 - Deployments &amp; Config'!AA259)</f>
        <v/>
      </c>
      <c r="L254" s="32" t="str">
        <f>IF('12 - Deployments &amp; Config'!I259="","",'12 - Deployments &amp; Config'!I259)</f>
        <v/>
      </c>
      <c r="M254" s="33"/>
      <c r="N254" s="32" t="str">
        <f>IF('12 - Deployments &amp; Config'!J259="","",'12 - Deployments &amp; Config'!J259)</f>
        <v/>
      </c>
      <c r="O254" s="32" t="str">
        <f>IF('12 - Deployments &amp; Config'!K259="","",'12 - Deployments &amp; Config'!K259)</f>
        <v/>
      </c>
      <c r="P254" s="32" t="str">
        <f>IF('12 - Deployments &amp; Config'!L259="","",'12 - Deployments &amp; Config'!L259)</f>
        <v/>
      </c>
      <c r="Q254" s="33"/>
      <c r="R254" s="32" t="str">
        <f>IF('12 - Deployments &amp; Config'!AZ259="","",'12 - Deployments &amp; Config'!AZ259)</f>
        <v/>
      </c>
      <c r="S254" s="32" t="str">
        <f>IF('12 - Deployments &amp; Config'!AY259="","",'12 - Deployments &amp; Config'!AY259)</f>
        <v/>
      </c>
      <c r="T254" s="32" t="str">
        <f>IF('12 - Deployments &amp; Config'!AW259="","",'12 - Deployments &amp; Config'!AW259)</f>
        <v/>
      </c>
      <c r="U254" s="32" t="str">
        <f>IF('12 - Deployments &amp; Config'!AX259="","",'12 - Deployments &amp; Config'!AX259)</f>
        <v/>
      </c>
      <c r="V254" s="32" t="str">
        <f>IF('12 - Deployments &amp; Config'!BB259="","",'12 - Deployments &amp; Config'!BB259)</f>
        <v/>
      </c>
      <c r="W254" s="32" t="str">
        <f>IF('12 - Deployments &amp; Config'!BD259="","",'12 - Deployments &amp; Config'!BD259)</f>
        <v/>
      </c>
      <c r="X254" s="32" t="str">
        <f>IF('12 - Deployments &amp; Config'!BL259="","",'12 - Deployments &amp; Config'!BL259)</f>
        <v/>
      </c>
      <c r="Y254" s="32" t="str">
        <f>IF('12 - Deployments &amp; Config'!BC259="","",'12 - Deployments &amp; Config'!BC259)</f>
        <v/>
      </c>
      <c r="Z254" s="32" t="str">
        <f>IF('12 - Deployments &amp; Config'!P259="","",'12 - Deployments &amp; Config'!P259)</f>
        <v/>
      </c>
      <c r="AA254" s="32" t="str">
        <f>IF('12 - Deployments &amp; Config'!Q259="","",'12 - Deployments &amp; Config'!Q259)</f>
        <v/>
      </c>
    </row>
    <row r="255" spans="1:27">
      <c r="A255" s="33"/>
      <c r="B255" s="33"/>
      <c r="C255" s="32" t="str">
        <f>IF('12 - Deployments &amp; Config'!H260="","",'12 - Deployments &amp; Config'!H260)</f>
        <v/>
      </c>
      <c r="D255" s="32" t="str">
        <f>IF('12 - Deployments &amp; Config'!AF260="","",'12 - Deployments &amp; Config'!AF260)</f>
        <v/>
      </c>
      <c r="E255" s="32" t="str">
        <f>IF('12 - Deployments &amp; Config'!AG260="","",'12 - Deployments &amp; Config'!AG260)</f>
        <v/>
      </c>
      <c r="F255" s="32" t="str">
        <f>IF('12 - Deployments &amp; Config'!AH260="","",'12 - Deployments &amp; Config'!AH260)</f>
        <v/>
      </c>
      <c r="G255" s="32" t="str">
        <f>IF('12 - Deployments &amp; Config'!AI260="","",'12 - Deployments &amp; Config'!AI260)</f>
        <v/>
      </c>
      <c r="H255" s="32" t="str">
        <f>IF('12 - Deployments &amp; Config'!A260="","",'12 - Deployments &amp; Config'!A260)</f>
        <v/>
      </c>
      <c r="I255" s="32" t="str">
        <f>IF('12 - Deployments &amp; Config'!AJ260="","",'12 - Deployments &amp; Config'!AJ260)</f>
        <v/>
      </c>
      <c r="J255" s="32" t="str">
        <f>IF('12 - Deployments &amp; Config'!AK260="","",'12 - Deployments &amp; Config'!AK260)</f>
        <v/>
      </c>
      <c r="K255" s="32" t="str">
        <f>IF('12 - Deployments &amp; Config'!AA260="","",'12 - Deployments &amp; Config'!AA260)</f>
        <v/>
      </c>
      <c r="L255" s="32" t="str">
        <f>IF('12 - Deployments &amp; Config'!I260="","",'12 - Deployments &amp; Config'!I260)</f>
        <v/>
      </c>
      <c r="M255" s="33"/>
      <c r="N255" s="32" t="str">
        <f>IF('12 - Deployments &amp; Config'!J260="","",'12 - Deployments &amp; Config'!J260)</f>
        <v/>
      </c>
      <c r="O255" s="32" t="str">
        <f>IF('12 - Deployments &amp; Config'!K260="","",'12 - Deployments &amp; Config'!K260)</f>
        <v/>
      </c>
      <c r="P255" s="32" t="str">
        <f>IF('12 - Deployments &amp; Config'!L260="","",'12 - Deployments &amp; Config'!L260)</f>
        <v/>
      </c>
      <c r="Q255" s="33"/>
      <c r="R255" s="32" t="str">
        <f>IF('12 - Deployments &amp; Config'!AZ260="","",'12 - Deployments &amp; Config'!AZ260)</f>
        <v/>
      </c>
      <c r="S255" s="32" t="str">
        <f>IF('12 - Deployments &amp; Config'!AY260="","",'12 - Deployments &amp; Config'!AY260)</f>
        <v/>
      </c>
      <c r="T255" s="32" t="str">
        <f>IF('12 - Deployments &amp; Config'!AW260="","",'12 - Deployments &amp; Config'!AW260)</f>
        <v/>
      </c>
      <c r="U255" s="32" t="str">
        <f>IF('12 - Deployments &amp; Config'!AX260="","",'12 - Deployments &amp; Config'!AX260)</f>
        <v/>
      </c>
      <c r="V255" s="32" t="str">
        <f>IF('12 - Deployments &amp; Config'!BB260="","",'12 - Deployments &amp; Config'!BB260)</f>
        <v/>
      </c>
      <c r="W255" s="32" t="str">
        <f>IF('12 - Deployments &amp; Config'!BD260="","",'12 - Deployments &amp; Config'!BD260)</f>
        <v/>
      </c>
      <c r="X255" s="32" t="str">
        <f>IF('12 - Deployments &amp; Config'!BL260="","",'12 - Deployments &amp; Config'!BL260)</f>
        <v/>
      </c>
      <c r="Y255" s="32" t="str">
        <f>IF('12 - Deployments &amp; Config'!BC260="","",'12 - Deployments &amp; Config'!BC260)</f>
        <v/>
      </c>
      <c r="Z255" s="32" t="str">
        <f>IF('12 - Deployments &amp; Config'!P260="","",'12 - Deployments &amp; Config'!P260)</f>
        <v/>
      </c>
      <c r="AA255" s="32" t="str">
        <f>IF('12 - Deployments &amp; Config'!Q260="","",'12 - Deployments &amp; Config'!Q260)</f>
        <v/>
      </c>
    </row>
    <row r="256" spans="1:27">
      <c r="A256" s="33"/>
      <c r="B256" s="33"/>
      <c r="C256" s="32" t="str">
        <f>IF('12 - Deployments &amp; Config'!H261="","",'12 - Deployments &amp; Config'!H261)</f>
        <v/>
      </c>
      <c r="D256" s="32" t="str">
        <f>IF('12 - Deployments &amp; Config'!AF261="","",'12 - Deployments &amp; Config'!AF261)</f>
        <v/>
      </c>
      <c r="E256" s="32" t="str">
        <f>IF('12 - Deployments &amp; Config'!AG261="","",'12 - Deployments &amp; Config'!AG261)</f>
        <v/>
      </c>
      <c r="F256" s="32" t="str">
        <f>IF('12 - Deployments &amp; Config'!AH261="","",'12 - Deployments &amp; Config'!AH261)</f>
        <v/>
      </c>
      <c r="G256" s="32" t="str">
        <f>IF('12 - Deployments &amp; Config'!AI261="","",'12 - Deployments &amp; Config'!AI261)</f>
        <v/>
      </c>
      <c r="H256" s="32" t="str">
        <f>IF('12 - Deployments &amp; Config'!A261="","",'12 - Deployments &amp; Config'!A261)</f>
        <v/>
      </c>
      <c r="I256" s="32" t="str">
        <f>IF('12 - Deployments &amp; Config'!AJ261="","",'12 - Deployments &amp; Config'!AJ261)</f>
        <v/>
      </c>
      <c r="J256" s="32" t="str">
        <f>IF('12 - Deployments &amp; Config'!AK261="","",'12 - Deployments &amp; Config'!AK261)</f>
        <v/>
      </c>
      <c r="K256" s="32" t="str">
        <f>IF('12 - Deployments &amp; Config'!AA261="","",'12 - Deployments &amp; Config'!AA261)</f>
        <v/>
      </c>
      <c r="L256" s="32" t="str">
        <f>IF('12 - Deployments &amp; Config'!I261="","",'12 - Deployments &amp; Config'!I261)</f>
        <v/>
      </c>
      <c r="M256" s="33"/>
      <c r="N256" s="32" t="str">
        <f>IF('12 - Deployments &amp; Config'!J261="","",'12 - Deployments &amp; Config'!J261)</f>
        <v/>
      </c>
      <c r="O256" s="32" t="str">
        <f>IF('12 - Deployments &amp; Config'!K261="","",'12 - Deployments &amp; Config'!K261)</f>
        <v/>
      </c>
      <c r="P256" s="32" t="str">
        <f>IF('12 - Deployments &amp; Config'!L261="","",'12 - Deployments &amp; Config'!L261)</f>
        <v/>
      </c>
      <c r="Q256" s="33"/>
      <c r="R256" s="32" t="str">
        <f>IF('12 - Deployments &amp; Config'!AZ261="","",'12 - Deployments &amp; Config'!AZ261)</f>
        <v/>
      </c>
      <c r="S256" s="32" t="str">
        <f>IF('12 - Deployments &amp; Config'!AY261="","",'12 - Deployments &amp; Config'!AY261)</f>
        <v/>
      </c>
      <c r="T256" s="32" t="str">
        <f>IF('12 - Deployments &amp; Config'!AW261="","",'12 - Deployments &amp; Config'!AW261)</f>
        <v/>
      </c>
      <c r="U256" s="32" t="str">
        <f>IF('12 - Deployments &amp; Config'!AX261="","",'12 - Deployments &amp; Config'!AX261)</f>
        <v/>
      </c>
      <c r="V256" s="32" t="str">
        <f>IF('12 - Deployments &amp; Config'!BB261="","",'12 - Deployments &amp; Config'!BB261)</f>
        <v/>
      </c>
      <c r="W256" s="32" t="str">
        <f>IF('12 - Deployments &amp; Config'!BD261="","",'12 - Deployments &amp; Config'!BD261)</f>
        <v/>
      </c>
      <c r="X256" s="32" t="str">
        <f>IF('12 - Deployments &amp; Config'!BL261="","",'12 - Deployments &amp; Config'!BL261)</f>
        <v/>
      </c>
      <c r="Y256" s="32" t="str">
        <f>IF('12 - Deployments &amp; Config'!BC261="","",'12 - Deployments &amp; Config'!BC261)</f>
        <v/>
      </c>
      <c r="Z256" s="32" t="str">
        <f>IF('12 - Deployments &amp; Config'!P261="","",'12 - Deployments &amp; Config'!P261)</f>
        <v/>
      </c>
      <c r="AA256" s="32" t="str">
        <f>IF('12 - Deployments &amp; Config'!Q261="","",'12 - Deployments &amp; Config'!Q261)</f>
        <v/>
      </c>
    </row>
    <row r="257" spans="1:27">
      <c r="A257" s="33"/>
      <c r="B257" s="33"/>
      <c r="C257" s="32" t="str">
        <f>IF('12 - Deployments &amp; Config'!H262="","",'12 - Deployments &amp; Config'!H262)</f>
        <v/>
      </c>
      <c r="D257" s="32" t="str">
        <f>IF('12 - Deployments &amp; Config'!AF262="","",'12 - Deployments &amp; Config'!AF262)</f>
        <v/>
      </c>
      <c r="E257" s="32" t="str">
        <f>IF('12 - Deployments &amp; Config'!AG262="","",'12 - Deployments &amp; Config'!AG262)</f>
        <v/>
      </c>
      <c r="F257" s="32" t="str">
        <f>IF('12 - Deployments &amp; Config'!AH262="","",'12 - Deployments &amp; Config'!AH262)</f>
        <v/>
      </c>
      <c r="G257" s="32" t="str">
        <f>IF('12 - Deployments &amp; Config'!AI262="","",'12 - Deployments &amp; Config'!AI262)</f>
        <v/>
      </c>
      <c r="H257" s="32" t="str">
        <f>IF('12 - Deployments &amp; Config'!A262="","",'12 - Deployments &amp; Config'!A262)</f>
        <v/>
      </c>
      <c r="I257" s="32" t="str">
        <f>IF('12 - Deployments &amp; Config'!AJ262="","",'12 - Deployments &amp; Config'!AJ262)</f>
        <v/>
      </c>
      <c r="J257" s="32" t="str">
        <f>IF('12 - Deployments &amp; Config'!AK262="","",'12 - Deployments &amp; Config'!AK262)</f>
        <v/>
      </c>
      <c r="K257" s="32" t="str">
        <f>IF('12 - Deployments &amp; Config'!AA262="","",'12 - Deployments &amp; Config'!AA262)</f>
        <v/>
      </c>
      <c r="L257" s="32" t="str">
        <f>IF('12 - Deployments &amp; Config'!I262="","",'12 - Deployments &amp; Config'!I262)</f>
        <v/>
      </c>
      <c r="M257" s="33"/>
      <c r="N257" s="32" t="str">
        <f>IF('12 - Deployments &amp; Config'!J262="","",'12 - Deployments &amp; Config'!J262)</f>
        <v/>
      </c>
      <c r="O257" s="32" t="str">
        <f>IF('12 - Deployments &amp; Config'!K262="","",'12 - Deployments &amp; Config'!K262)</f>
        <v/>
      </c>
      <c r="P257" s="32" t="str">
        <f>IF('12 - Deployments &amp; Config'!L262="","",'12 - Deployments &amp; Config'!L262)</f>
        <v/>
      </c>
      <c r="Q257" s="33"/>
      <c r="R257" s="32" t="str">
        <f>IF('12 - Deployments &amp; Config'!AZ262="","",'12 - Deployments &amp; Config'!AZ262)</f>
        <v/>
      </c>
      <c r="S257" s="32" t="str">
        <f>IF('12 - Deployments &amp; Config'!AY262="","",'12 - Deployments &amp; Config'!AY262)</f>
        <v/>
      </c>
      <c r="T257" s="32" t="str">
        <f>IF('12 - Deployments &amp; Config'!AW262="","",'12 - Deployments &amp; Config'!AW262)</f>
        <v/>
      </c>
      <c r="U257" s="32" t="str">
        <f>IF('12 - Deployments &amp; Config'!AX262="","",'12 - Deployments &amp; Config'!AX262)</f>
        <v/>
      </c>
      <c r="V257" s="32" t="str">
        <f>IF('12 - Deployments &amp; Config'!BB262="","",'12 - Deployments &amp; Config'!BB262)</f>
        <v/>
      </c>
      <c r="W257" s="32" t="str">
        <f>IF('12 - Deployments &amp; Config'!BD262="","",'12 - Deployments &amp; Config'!BD262)</f>
        <v/>
      </c>
      <c r="X257" s="32" t="str">
        <f>IF('12 - Deployments &amp; Config'!BL262="","",'12 - Deployments &amp; Config'!BL262)</f>
        <v/>
      </c>
      <c r="Y257" s="32" t="str">
        <f>IF('12 - Deployments &amp; Config'!BC262="","",'12 - Deployments &amp; Config'!BC262)</f>
        <v/>
      </c>
      <c r="Z257" s="32" t="str">
        <f>IF('12 - Deployments &amp; Config'!P262="","",'12 - Deployments &amp; Config'!P262)</f>
        <v/>
      </c>
      <c r="AA257" s="32" t="str">
        <f>IF('12 - Deployments &amp; Config'!Q262="","",'12 - Deployments &amp; Config'!Q262)</f>
        <v/>
      </c>
    </row>
    <row r="258" spans="1:27">
      <c r="A258" s="33"/>
      <c r="B258" s="33"/>
      <c r="C258" s="32" t="str">
        <f>IF('12 - Deployments &amp; Config'!H263="","",'12 - Deployments &amp; Config'!H263)</f>
        <v/>
      </c>
      <c r="D258" s="32" t="str">
        <f>IF('12 - Deployments &amp; Config'!AF263="","",'12 - Deployments &amp; Config'!AF263)</f>
        <v/>
      </c>
      <c r="E258" s="32" t="str">
        <f>IF('12 - Deployments &amp; Config'!AG263="","",'12 - Deployments &amp; Config'!AG263)</f>
        <v/>
      </c>
      <c r="F258" s="32" t="str">
        <f>IF('12 - Deployments &amp; Config'!AH263="","",'12 - Deployments &amp; Config'!AH263)</f>
        <v/>
      </c>
      <c r="G258" s="32" t="str">
        <f>IF('12 - Deployments &amp; Config'!AI263="","",'12 - Deployments &amp; Config'!AI263)</f>
        <v/>
      </c>
      <c r="H258" s="32" t="str">
        <f>IF('12 - Deployments &amp; Config'!A263="","",'12 - Deployments &amp; Config'!A263)</f>
        <v/>
      </c>
      <c r="I258" s="32" t="str">
        <f>IF('12 - Deployments &amp; Config'!AJ263="","",'12 - Deployments &amp; Config'!AJ263)</f>
        <v/>
      </c>
      <c r="J258" s="32" t="str">
        <f>IF('12 - Deployments &amp; Config'!AK263="","",'12 - Deployments &amp; Config'!AK263)</f>
        <v/>
      </c>
      <c r="K258" s="32" t="str">
        <f>IF('12 - Deployments &amp; Config'!AA263="","",'12 - Deployments &amp; Config'!AA263)</f>
        <v/>
      </c>
      <c r="L258" s="32" t="str">
        <f>IF('12 - Deployments &amp; Config'!I263="","",'12 - Deployments &amp; Config'!I263)</f>
        <v/>
      </c>
      <c r="M258" s="33"/>
      <c r="N258" s="32" t="str">
        <f>IF('12 - Deployments &amp; Config'!J263="","",'12 - Deployments &amp; Config'!J263)</f>
        <v/>
      </c>
      <c r="O258" s="32" t="str">
        <f>IF('12 - Deployments &amp; Config'!K263="","",'12 - Deployments &amp; Config'!K263)</f>
        <v/>
      </c>
      <c r="P258" s="32" t="str">
        <f>IF('12 - Deployments &amp; Config'!L263="","",'12 - Deployments &amp; Config'!L263)</f>
        <v/>
      </c>
      <c r="Q258" s="33"/>
      <c r="R258" s="32" t="str">
        <f>IF('12 - Deployments &amp; Config'!AZ263="","",'12 - Deployments &amp; Config'!AZ263)</f>
        <v/>
      </c>
      <c r="S258" s="32" t="str">
        <f>IF('12 - Deployments &amp; Config'!AY263="","",'12 - Deployments &amp; Config'!AY263)</f>
        <v/>
      </c>
      <c r="T258" s="32" t="str">
        <f>IF('12 - Deployments &amp; Config'!AW263="","",'12 - Deployments &amp; Config'!AW263)</f>
        <v/>
      </c>
      <c r="U258" s="32" t="str">
        <f>IF('12 - Deployments &amp; Config'!AX263="","",'12 - Deployments &amp; Config'!AX263)</f>
        <v/>
      </c>
      <c r="V258" s="32" t="str">
        <f>IF('12 - Deployments &amp; Config'!BB263="","",'12 - Deployments &amp; Config'!BB263)</f>
        <v/>
      </c>
      <c r="W258" s="32" t="str">
        <f>IF('12 - Deployments &amp; Config'!BD263="","",'12 - Deployments &amp; Config'!BD263)</f>
        <v/>
      </c>
      <c r="X258" s="32" t="str">
        <f>IF('12 - Deployments &amp; Config'!BL263="","",'12 - Deployments &amp; Config'!BL263)</f>
        <v/>
      </c>
      <c r="Y258" s="32" t="str">
        <f>IF('12 - Deployments &amp; Config'!BC263="","",'12 - Deployments &amp; Config'!BC263)</f>
        <v/>
      </c>
      <c r="Z258" s="32" t="str">
        <f>IF('12 - Deployments &amp; Config'!P263="","",'12 - Deployments &amp; Config'!P263)</f>
        <v/>
      </c>
      <c r="AA258" s="32" t="str">
        <f>IF('12 - Deployments &amp; Config'!Q263="","",'12 - Deployments &amp; Config'!Q263)</f>
        <v/>
      </c>
    </row>
    <row r="259" spans="1:27">
      <c r="A259" s="33"/>
      <c r="B259" s="33"/>
      <c r="C259" s="32" t="str">
        <f>IF('12 - Deployments &amp; Config'!H264="","",'12 - Deployments &amp; Config'!H264)</f>
        <v/>
      </c>
      <c r="D259" s="32" t="str">
        <f>IF('12 - Deployments &amp; Config'!AF264="","",'12 - Deployments &amp; Config'!AF264)</f>
        <v/>
      </c>
      <c r="E259" s="32" t="str">
        <f>IF('12 - Deployments &amp; Config'!AG264="","",'12 - Deployments &amp; Config'!AG264)</f>
        <v/>
      </c>
      <c r="F259" s="32" t="str">
        <f>IF('12 - Deployments &amp; Config'!AH264="","",'12 - Deployments &amp; Config'!AH264)</f>
        <v/>
      </c>
      <c r="G259" s="32" t="str">
        <f>IF('12 - Deployments &amp; Config'!AI264="","",'12 - Deployments &amp; Config'!AI264)</f>
        <v/>
      </c>
      <c r="H259" s="32" t="str">
        <f>IF('12 - Deployments &amp; Config'!A264="","",'12 - Deployments &amp; Config'!A264)</f>
        <v/>
      </c>
      <c r="I259" s="32" t="str">
        <f>IF('12 - Deployments &amp; Config'!AJ264="","",'12 - Deployments &amp; Config'!AJ264)</f>
        <v/>
      </c>
      <c r="J259" s="32" t="str">
        <f>IF('12 - Deployments &amp; Config'!AK264="","",'12 - Deployments &amp; Config'!AK264)</f>
        <v/>
      </c>
      <c r="K259" s="32" t="str">
        <f>IF('12 - Deployments &amp; Config'!AA264="","",'12 - Deployments &amp; Config'!AA264)</f>
        <v/>
      </c>
      <c r="L259" s="32" t="str">
        <f>IF('12 - Deployments &amp; Config'!I264="","",'12 - Deployments &amp; Config'!I264)</f>
        <v/>
      </c>
      <c r="M259" s="33"/>
      <c r="N259" s="32" t="str">
        <f>IF('12 - Deployments &amp; Config'!J264="","",'12 - Deployments &amp; Config'!J264)</f>
        <v/>
      </c>
      <c r="O259" s="32" t="str">
        <f>IF('12 - Deployments &amp; Config'!K264="","",'12 - Deployments &amp; Config'!K264)</f>
        <v/>
      </c>
      <c r="P259" s="32" t="str">
        <f>IF('12 - Deployments &amp; Config'!L264="","",'12 - Deployments &amp; Config'!L264)</f>
        <v/>
      </c>
      <c r="Q259" s="33"/>
      <c r="R259" s="32" t="str">
        <f>IF('12 - Deployments &amp; Config'!AZ264="","",'12 - Deployments &amp; Config'!AZ264)</f>
        <v/>
      </c>
      <c r="S259" s="32" t="str">
        <f>IF('12 - Deployments &amp; Config'!AY264="","",'12 - Deployments &amp; Config'!AY264)</f>
        <v/>
      </c>
      <c r="T259" s="32" t="str">
        <f>IF('12 - Deployments &amp; Config'!AW264="","",'12 - Deployments &amp; Config'!AW264)</f>
        <v/>
      </c>
      <c r="U259" s="32" t="str">
        <f>IF('12 - Deployments &amp; Config'!AX264="","",'12 - Deployments &amp; Config'!AX264)</f>
        <v/>
      </c>
      <c r="V259" s="32" t="str">
        <f>IF('12 - Deployments &amp; Config'!BB264="","",'12 - Deployments &amp; Config'!BB264)</f>
        <v/>
      </c>
      <c r="W259" s="32" t="str">
        <f>IF('12 - Deployments &amp; Config'!BD264="","",'12 - Deployments &amp; Config'!BD264)</f>
        <v/>
      </c>
      <c r="X259" s="32" t="str">
        <f>IF('12 - Deployments &amp; Config'!BL264="","",'12 - Deployments &amp; Config'!BL264)</f>
        <v/>
      </c>
      <c r="Y259" s="32" t="str">
        <f>IF('12 - Deployments &amp; Config'!BC264="","",'12 - Deployments &amp; Config'!BC264)</f>
        <v/>
      </c>
      <c r="Z259" s="32" t="str">
        <f>IF('12 - Deployments &amp; Config'!P264="","",'12 - Deployments &amp; Config'!P264)</f>
        <v/>
      </c>
      <c r="AA259" s="32" t="str">
        <f>IF('12 - Deployments &amp; Config'!Q264="","",'12 - Deployments &amp; Config'!Q264)</f>
        <v/>
      </c>
    </row>
    <row r="260" spans="1:27">
      <c r="A260" s="33"/>
      <c r="B260" s="33"/>
      <c r="C260" s="32" t="str">
        <f>IF('12 - Deployments &amp; Config'!H265="","",'12 - Deployments &amp; Config'!H265)</f>
        <v/>
      </c>
      <c r="D260" s="32" t="str">
        <f>IF('12 - Deployments &amp; Config'!AF265="","",'12 - Deployments &amp; Config'!AF265)</f>
        <v/>
      </c>
      <c r="E260" s="32" t="str">
        <f>IF('12 - Deployments &amp; Config'!AG265="","",'12 - Deployments &amp; Config'!AG265)</f>
        <v/>
      </c>
      <c r="F260" s="32" t="str">
        <f>IF('12 - Deployments &amp; Config'!AH265="","",'12 - Deployments &amp; Config'!AH265)</f>
        <v/>
      </c>
      <c r="G260" s="32" t="str">
        <f>IF('12 - Deployments &amp; Config'!AI265="","",'12 - Deployments &amp; Config'!AI265)</f>
        <v/>
      </c>
      <c r="H260" s="32" t="str">
        <f>IF('12 - Deployments &amp; Config'!A265="","",'12 - Deployments &amp; Config'!A265)</f>
        <v/>
      </c>
      <c r="I260" s="32" t="str">
        <f>IF('12 - Deployments &amp; Config'!AJ265="","",'12 - Deployments &amp; Config'!AJ265)</f>
        <v/>
      </c>
      <c r="J260" s="32" t="str">
        <f>IF('12 - Deployments &amp; Config'!AK265="","",'12 - Deployments &amp; Config'!AK265)</f>
        <v/>
      </c>
      <c r="K260" s="32" t="str">
        <f>IF('12 - Deployments &amp; Config'!AA265="","",'12 - Deployments &amp; Config'!AA265)</f>
        <v/>
      </c>
      <c r="L260" s="32" t="str">
        <f>IF('12 - Deployments &amp; Config'!I265="","",'12 - Deployments &amp; Config'!I265)</f>
        <v/>
      </c>
      <c r="M260" s="33"/>
      <c r="N260" s="32" t="str">
        <f>IF('12 - Deployments &amp; Config'!J265="","",'12 - Deployments &amp; Config'!J265)</f>
        <v/>
      </c>
      <c r="O260" s="32" t="str">
        <f>IF('12 - Deployments &amp; Config'!K265="","",'12 - Deployments &amp; Config'!K265)</f>
        <v/>
      </c>
      <c r="P260" s="32" t="str">
        <f>IF('12 - Deployments &amp; Config'!L265="","",'12 - Deployments &amp; Config'!L265)</f>
        <v/>
      </c>
      <c r="Q260" s="33"/>
      <c r="R260" s="32" t="str">
        <f>IF('12 - Deployments &amp; Config'!AZ265="","",'12 - Deployments &amp; Config'!AZ265)</f>
        <v/>
      </c>
      <c r="S260" s="32" t="str">
        <f>IF('12 - Deployments &amp; Config'!AY265="","",'12 - Deployments &amp; Config'!AY265)</f>
        <v/>
      </c>
      <c r="T260" s="32" t="str">
        <f>IF('12 - Deployments &amp; Config'!AW265="","",'12 - Deployments &amp; Config'!AW265)</f>
        <v/>
      </c>
      <c r="U260" s="32" t="str">
        <f>IF('12 - Deployments &amp; Config'!AX265="","",'12 - Deployments &amp; Config'!AX265)</f>
        <v/>
      </c>
      <c r="V260" s="32" t="str">
        <f>IF('12 - Deployments &amp; Config'!BB265="","",'12 - Deployments &amp; Config'!BB265)</f>
        <v/>
      </c>
      <c r="W260" s="32" t="str">
        <f>IF('12 - Deployments &amp; Config'!BD265="","",'12 - Deployments &amp; Config'!BD265)</f>
        <v/>
      </c>
      <c r="X260" s="32" t="str">
        <f>IF('12 - Deployments &amp; Config'!BL265="","",'12 - Deployments &amp; Config'!BL265)</f>
        <v/>
      </c>
      <c r="Y260" s="32" t="str">
        <f>IF('12 - Deployments &amp; Config'!BC265="","",'12 - Deployments &amp; Config'!BC265)</f>
        <v/>
      </c>
      <c r="Z260" s="32" t="str">
        <f>IF('12 - Deployments &amp; Config'!P265="","",'12 - Deployments &amp; Config'!P265)</f>
        <v/>
      </c>
      <c r="AA260" s="32" t="str">
        <f>IF('12 - Deployments &amp; Config'!Q265="","",'12 - Deployments &amp; Config'!Q265)</f>
        <v/>
      </c>
    </row>
    <row r="261" spans="1:27">
      <c r="A261" s="33"/>
      <c r="B261" s="33"/>
      <c r="C261" s="32" t="str">
        <f>IF('12 - Deployments &amp; Config'!H266="","",'12 - Deployments &amp; Config'!H266)</f>
        <v/>
      </c>
      <c r="D261" s="32" t="str">
        <f>IF('12 - Deployments &amp; Config'!AF266="","",'12 - Deployments &amp; Config'!AF266)</f>
        <v/>
      </c>
      <c r="E261" s="32" t="str">
        <f>IF('12 - Deployments &amp; Config'!AG266="","",'12 - Deployments &amp; Config'!AG266)</f>
        <v/>
      </c>
      <c r="F261" s="32" t="str">
        <f>IF('12 - Deployments &amp; Config'!AH266="","",'12 - Deployments &amp; Config'!AH266)</f>
        <v/>
      </c>
      <c r="G261" s="32" t="str">
        <f>IF('12 - Deployments &amp; Config'!AI266="","",'12 - Deployments &amp; Config'!AI266)</f>
        <v/>
      </c>
      <c r="H261" s="32" t="str">
        <f>IF('12 - Deployments &amp; Config'!A266="","",'12 - Deployments &amp; Config'!A266)</f>
        <v/>
      </c>
      <c r="I261" s="32" t="str">
        <f>IF('12 - Deployments &amp; Config'!AJ266="","",'12 - Deployments &amp; Config'!AJ266)</f>
        <v/>
      </c>
      <c r="J261" s="32" t="str">
        <f>IF('12 - Deployments &amp; Config'!AK266="","",'12 - Deployments &amp; Config'!AK266)</f>
        <v/>
      </c>
      <c r="K261" s="32" t="str">
        <f>IF('12 - Deployments &amp; Config'!AA266="","",'12 - Deployments &amp; Config'!AA266)</f>
        <v/>
      </c>
      <c r="L261" s="32" t="str">
        <f>IF('12 - Deployments &amp; Config'!I266="","",'12 - Deployments &amp; Config'!I266)</f>
        <v/>
      </c>
      <c r="M261" s="33"/>
      <c r="N261" s="32" t="str">
        <f>IF('12 - Deployments &amp; Config'!J266="","",'12 - Deployments &amp; Config'!J266)</f>
        <v/>
      </c>
      <c r="O261" s="32" t="str">
        <f>IF('12 - Deployments &amp; Config'!K266="","",'12 - Deployments &amp; Config'!K266)</f>
        <v/>
      </c>
      <c r="P261" s="32" t="str">
        <f>IF('12 - Deployments &amp; Config'!L266="","",'12 - Deployments &amp; Config'!L266)</f>
        <v/>
      </c>
      <c r="Q261" s="33"/>
      <c r="R261" s="32" t="str">
        <f>IF('12 - Deployments &amp; Config'!AZ266="","",'12 - Deployments &amp; Config'!AZ266)</f>
        <v/>
      </c>
      <c r="S261" s="32" t="str">
        <f>IF('12 - Deployments &amp; Config'!AY266="","",'12 - Deployments &amp; Config'!AY266)</f>
        <v/>
      </c>
      <c r="T261" s="32" t="str">
        <f>IF('12 - Deployments &amp; Config'!AW266="","",'12 - Deployments &amp; Config'!AW266)</f>
        <v/>
      </c>
      <c r="U261" s="32" t="str">
        <f>IF('12 - Deployments &amp; Config'!AX266="","",'12 - Deployments &amp; Config'!AX266)</f>
        <v/>
      </c>
      <c r="V261" s="32" t="str">
        <f>IF('12 - Deployments &amp; Config'!BB266="","",'12 - Deployments &amp; Config'!BB266)</f>
        <v/>
      </c>
      <c r="W261" s="32" t="str">
        <f>IF('12 - Deployments &amp; Config'!BD266="","",'12 - Deployments &amp; Config'!BD266)</f>
        <v/>
      </c>
      <c r="X261" s="32" t="str">
        <f>IF('12 - Deployments &amp; Config'!BL266="","",'12 - Deployments &amp; Config'!BL266)</f>
        <v/>
      </c>
      <c r="Y261" s="32" t="str">
        <f>IF('12 - Deployments &amp; Config'!BC266="","",'12 - Deployments &amp; Config'!BC266)</f>
        <v/>
      </c>
      <c r="Z261" s="32" t="str">
        <f>IF('12 - Deployments &amp; Config'!P266="","",'12 - Deployments &amp; Config'!P266)</f>
        <v/>
      </c>
      <c r="AA261" s="32" t="str">
        <f>IF('12 - Deployments &amp; Config'!Q266="","",'12 - Deployments &amp; Config'!Q266)</f>
        <v/>
      </c>
    </row>
    <row r="262" spans="1:27">
      <c r="A262" s="33"/>
      <c r="B262" s="33"/>
      <c r="C262" s="32" t="str">
        <f>IF('12 - Deployments &amp; Config'!H267="","",'12 - Deployments &amp; Config'!H267)</f>
        <v/>
      </c>
      <c r="D262" s="32" t="str">
        <f>IF('12 - Deployments &amp; Config'!AF267="","",'12 - Deployments &amp; Config'!AF267)</f>
        <v/>
      </c>
      <c r="E262" s="32" t="str">
        <f>IF('12 - Deployments &amp; Config'!AG267="","",'12 - Deployments &amp; Config'!AG267)</f>
        <v/>
      </c>
      <c r="F262" s="32" t="str">
        <f>IF('12 - Deployments &amp; Config'!AH267="","",'12 - Deployments &amp; Config'!AH267)</f>
        <v/>
      </c>
      <c r="G262" s="32" t="str">
        <f>IF('12 - Deployments &amp; Config'!AI267="","",'12 - Deployments &amp; Config'!AI267)</f>
        <v/>
      </c>
      <c r="H262" s="32" t="str">
        <f>IF('12 - Deployments &amp; Config'!A267="","",'12 - Deployments &amp; Config'!A267)</f>
        <v/>
      </c>
      <c r="I262" s="32" t="str">
        <f>IF('12 - Deployments &amp; Config'!AJ267="","",'12 - Deployments &amp; Config'!AJ267)</f>
        <v/>
      </c>
      <c r="J262" s="32" t="str">
        <f>IF('12 - Deployments &amp; Config'!AK267="","",'12 - Deployments &amp; Config'!AK267)</f>
        <v/>
      </c>
      <c r="K262" s="32" t="str">
        <f>IF('12 - Deployments &amp; Config'!AA267="","",'12 - Deployments &amp; Config'!AA267)</f>
        <v/>
      </c>
      <c r="L262" s="32" t="str">
        <f>IF('12 - Deployments &amp; Config'!I267="","",'12 - Deployments &amp; Config'!I267)</f>
        <v/>
      </c>
      <c r="M262" s="33"/>
      <c r="N262" s="32" t="str">
        <f>IF('12 - Deployments &amp; Config'!J267="","",'12 - Deployments &amp; Config'!J267)</f>
        <v/>
      </c>
      <c r="O262" s="32" t="str">
        <f>IF('12 - Deployments &amp; Config'!K267="","",'12 - Deployments &amp; Config'!K267)</f>
        <v/>
      </c>
      <c r="P262" s="32" t="str">
        <f>IF('12 - Deployments &amp; Config'!L267="","",'12 - Deployments &amp; Config'!L267)</f>
        <v/>
      </c>
      <c r="Q262" s="33"/>
      <c r="R262" s="32" t="str">
        <f>IF('12 - Deployments &amp; Config'!AZ267="","",'12 - Deployments &amp; Config'!AZ267)</f>
        <v/>
      </c>
      <c r="S262" s="32" t="str">
        <f>IF('12 - Deployments &amp; Config'!AY267="","",'12 - Deployments &amp; Config'!AY267)</f>
        <v/>
      </c>
      <c r="T262" s="32" t="str">
        <f>IF('12 - Deployments &amp; Config'!AW267="","",'12 - Deployments &amp; Config'!AW267)</f>
        <v/>
      </c>
      <c r="U262" s="32" t="str">
        <f>IF('12 - Deployments &amp; Config'!AX267="","",'12 - Deployments &amp; Config'!AX267)</f>
        <v/>
      </c>
      <c r="V262" s="32" t="str">
        <f>IF('12 - Deployments &amp; Config'!BB267="","",'12 - Deployments &amp; Config'!BB267)</f>
        <v/>
      </c>
      <c r="W262" s="32" t="str">
        <f>IF('12 - Deployments &amp; Config'!BD267="","",'12 - Deployments &amp; Config'!BD267)</f>
        <v/>
      </c>
      <c r="X262" s="32" t="str">
        <f>IF('12 - Deployments &amp; Config'!BL267="","",'12 - Deployments &amp; Config'!BL267)</f>
        <v/>
      </c>
      <c r="Y262" s="32" t="str">
        <f>IF('12 - Deployments &amp; Config'!BC267="","",'12 - Deployments &amp; Config'!BC267)</f>
        <v/>
      </c>
      <c r="Z262" s="32" t="str">
        <f>IF('12 - Deployments &amp; Config'!P267="","",'12 - Deployments &amp; Config'!P267)</f>
        <v/>
      </c>
      <c r="AA262" s="32" t="str">
        <f>IF('12 - Deployments &amp; Config'!Q267="","",'12 - Deployments &amp; Config'!Q267)</f>
        <v/>
      </c>
    </row>
    <row r="263" spans="1:27">
      <c r="A263" s="33"/>
      <c r="B263" s="33"/>
      <c r="C263" s="32" t="str">
        <f>IF('12 - Deployments &amp; Config'!H268="","",'12 - Deployments &amp; Config'!H268)</f>
        <v/>
      </c>
      <c r="D263" s="32" t="str">
        <f>IF('12 - Deployments &amp; Config'!AF268="","",'12 - Deployments &amp; Config'!AF268)</f>
        <v/>
      </c>
      <c r="E263" s="32" t="str">
        <f>IF('12 - Deployments &amp; Config'!AG268="","",'12 - Deployments &amp; Config'!AG268)</f>
        <v/>
      </c>
      <c r="F263" s="32" t="str">
        <f>IF('12 - Deployments &amp; Config'!AH268="","",'12 - Deployments &amp; Config'!AH268)</f>
        <v/>
      </c>
      <c r="G263" s="32" t="str">
        <f>IF('12 - Deployments &amp; Config'!AI268="","",'12 - Deployments &amp; Config'!AI268)</f>
        <v/>
      </c>
      <c r="H263" s="32" t="str">
        <f>IF('12 - Deployments &amp; Config'!A268="","",'12 - Deployments &amp; Config'!A268)</f>
        <v/>
      </c>
      <c r="I263" s="32" t="str">
        <f>IF('12 - Deployments &amp; Config'!AJ268="","",'12 - Deployments &amp; Config'!AJ268)</f>
        <v/>
      </c>
      <c r="J263" s="32" t="str">
        <f>IF('12 - Deployments &amp; Config'!AK268="","",'12 - Deployments &amp; Config'!AK268)</f>
        <v/>
      </c>
      <c r="K263" s="32" t="str">
        <f>IF('12 - Deployments &amp; Config'!AA268="","",'12 - Deployments &amp; Config'!AA268)</f>
        <v/>
      </c>
      <c r="L263" s="32" t="str">
        <f>IF('12 - Deployments &amp; Config'!I268="","",'12 - Deployments &amp; Config'!I268)</f>
        <v/>
      </c>
      <c r="M263" s="33"/>
      <c r="N263" s="32" t="str">
        <f>IF('12 - Deployments &amp; Config'!J268="","",'12 - Deployments &amp; Config'!J268)</f>
        <v/>
      </c>
      <c r="O263" s="32" t="str">
        <f>IF('12 - Deployments &amp; Config'!K268="","",'12 - Deployments &amp; Config'!K268)</f>
        <v/>
      </c>
      <c r="P263" s="32" t="str">
        <f>IF('12 - Deployments &amp; Config'!L268="","",'12 - Deployments &amp; Config'!L268)</f>
        <v/>
      </c>
      <c r="Q263" s="33"/>
      <c r="R263" s="32" t="str">
        <f>IF('12 - Deployments &amp; Config'!AZ268="","",'12 - Deployments &amp; Config'!AZ268)</f>
        <v/>
      </c>
      <c r="S263" s="32" t="str">
        <f>IF('12 - Deployments &amp; Config'!AY268="","",'12 - Deployments &amp; Config'!AY268)</f>
        <v/>
      </c>
      <c r="T263" s="32" t="str">
        <f>IF('12 - Deployments &amp; Config'!AW268="","",'12 - Deployments &amp; Config'!AW268)</f>
        <v/>
      </c>
      <c r="U263" s="32" t="str">
        <f>IF('12 - Deployments &amp; Config'!AX268="","",'12 - Deployments &amp; Config'!AX268)</f>
        <v/>
      </c>
      <c r="V263" s="32" t="str">
        <f>IF('12 - Deployments &amp; Config'!BB268="","",'12 - Deployments &amp; Config'!BB268)</f>
        <v/>
      </c>
      <c r="W263" s="32" t="str">
        <f>IF('12 - Deployments &amp; Config'!BD268="","",'12 - Deployments &amp; Config'!BD268)</f>
        <v/>
      </c>
      <c r="X263" s="32" t="str">
        <f>IF('12 - Deployments &amp; Config'!BL268="","",'12 - Deployments &amp; Config'!BL268)</f>
        <v/>
      </c>
      <c r="Y263" s="32" t="str">
        <f>IF('12 - Deployments &amp; Config'!BC268="","",'12 - Deployments &amp; Config'!BC268)</f>
        <v/>
      </c>
      <c r="Z263" s="32" t="str">
        <f>IF('12 - Deployments &amp; Config'!P268="","",'12 - Deployments &amp; Config'!P268)</f>
        <v/>
      </c>
      <c r="AA263" s="32" t="str">
        <f>IF('12 - Deployments &amp; Config'!Q268="","",'12 - Deployments &amp; Config'!Q268)</f>
        <v/>
      </c>
    </row>
    <row r="264" spans="1:27">
      <c r="A264" s="33"/>
      <c r="B264" s="33"/>
      <c r="C264" s="32" t="str">
        <f>IF('12 - Deployments &amp; Config'!H269="","",'12 - Deployments &amp; Config'!H269)</f>
        <v/>
      </c>
      <c r="D264" s="32" t="str">
        <f>IF('12 - Deployments &amp; Config'!AF269="","",'12 - Deployments &amp; Config'!AF269)</f>
        <v/>
      </c>
      <c r="E264" s="32" t="str">
        <f>IF('12 - Deployments &amp; Config'!AG269="","",'12 - Deployments &amp; Config'!AG269)</f>
        <v/>
      </c>
      <c r="F264" s="32" t="str">
        <f>IF('12 - Deployments &amp; Config'!AH269="","",'12 - Deployments &amp; Config'!AH269)</f>
        <v/>
      </c>
      <c r="G264" s="32" t="str">
        <f>IF('12 - Deployments &amp; Config'!AI269="","",'12 - Deployments &amp; Config'!AI269)</f>
        <v/>
      </c>
      <c r="H264" s="32" t="str">
        <f>IF('12 - Deployments &amp; Config'!A269="","",'12 - Deployments &amp; Config'!A269)</f>
        <v/>
      </c>
      <c r="I264" s="32" t="str">
        <f>IF('12 - Deployments &amp; Config'!AJ269="","",'12 - Deployments &amp; Config'!AJ269)</f>
        <v/>
      </c>
      <c r="J264" s="32" t="str">
        <f>IF('12 - Deployments &amp; Config'!AK269="","",'12 - Deployments &amp; Config'!AK269)</f>
        <v/>
      </c>
      <c r="K264" s="32" t="str">
        <f>IF('12 - Deployments &amp; Config'!AA269="","",'12 - Deployments &amp; Config'!AA269)</f>
        <v/>
      </c>
      <c r="L264" s="32" t="str">
        <f>IF('12 - Deployments &amp; Config'!I269="","",'12 - Deployments &amp; Config'!I269)</f>
        <v/>
      </c>
      <c r="M264" s="33"/>
      <c r="N264" s="32" t="str">
        <f>IF('12 - Deployments &amp; Config'!J269="","",'12 - Deployments &amp; Config'!J269)</f>
        <v/>
      </c>
      <c r="O264" s="32" t="str">
        <f>IF('12 - Deployments &amp; Config'!K269="","",'12 - Deployments &amp; Config'!K269)</f>
        <v/>
      </c>
      <c r="P264" s="32" t="str">
        <f>IF('12 - Deployments &amp; Config'!L269="","",'12 - Deployments &amp; Config'!L269)</f>
        <v/>
      </c>
      <c r="Q264" s="33"/>
      <c r="R264" s="32" t="str">
        <f>IF('12 - Deployments &amp; Config'!AZ269="","",'12 - Deployments &amp; Config'!AZ269)</f>
        <v/>
      </c>
      <c r="S264" s="32" t="str">
        <f>IF('12 - Deployments &amp; Config'!AY269="","",'12 - Deployments &amp; Config'!AY269)</f>
        <v/>
      </c>
      <c r="T264" s="32" t="str">
        <f>IF('12 - Deployments &amp; Config'!AW269="","",'12 - Deployments &amp; Config'!AW269)</f>
        <v/>
      </c>
      <c r="U264" s="32" t="str">
        <f>IF('12 - Deployments &amp; Config'!AX269="","",'12 - Deployments &amp; Config'!AX269)</f>
        <v/>
      </c>
      <c r="V264" s="32" t="str">
        <f>IF('12 - Deployments &amp; Config'!BB269="","",'12 - Deployments &amp; Config'!BB269)</f>
        <v/>
      </c>
      <c r="W264" s="32" t="str">
        <f>IF('12 - Deployments &amp; Config'!BD269="","",'12 - Deployments &amp; Config'!BD269)</f>
        <v/>
      </c>
      <c r="X264" s="32" t="str">
        <f>IF('12 - Deployments &amp; Config'!BL269="","",'12 - Deployments &amp; Config'!BL269)</f>
        <v/>
      </c>
      <c r="Y264" s="32" t="str">
        <f>IF('12 - Deployments &amp; Config'!BC269="","",'12 - Deployments &amp; Config'!BC269)</f>
        <v/>
      </c>
      <c r="Z264" s="32" t="str">
        <f>IF('12 - Deployments &amp; Config'!P269="","",'12 - Deployments &amp; Config'!P269)</f>
        <v/>
      </c>
      <c r="AA264" s="32" t="str">
        <f>IF('12 - Deployments &amp; Config'!Q269="","",'12 - Deployments &amp; Config'!Q269)</f>
        <v/>
      </c>
    </row>
    <row r="265" spans="1:27">
      <c r="A265" s="33"/>
      <c r="B265" s="33"/>
      <c r="C265" s="32" t="str">
        <f>IF('12 - Deployments &amp; Config'!H270="","",'12 - Deployments &amp; Config'!H270)</f>
        <v/>
      </c>
      <c r="D265" s="32" t="str">
        <f>IF('12 - Deployments &amp; Config'!AF270="","",'12 - Deployments &amp; Config'!AF270)</f>
        <v/>
      </c>
      <c r="E265" s="32" t="str">
        <f>IF('12 - Deployments &amp; Config'!AG270="","",'12 - Deployments &amp; Config'!AG270)</f>
        <v/>
      </c>
      <c r="F265" s="32" t="str">
        <f>IF('12 - Deployments &amp; Config'!AH270="","",'12 - Deployments &amp; Config'!AH270)</f>
        <v/>
      </c>
      <c r="G265" s="32" t="str">
        <f>IF('12 - Deployments &amp; Config'!AI270="","",'12 - Deployments &amp; Config'!AI270)</f>
        <v/>
      </c>
      <c r="H265" s="32" t="str">
        <f>IF('12 - Deployments &amp; Config'!A270="","",'12 - Deployments &amp; Config'!A270)</f>
        <v/>
      </c>
      <c r="I265" s="32" t="str">
        <f>IF('12 - Deployments &amp; Config'!AJ270="","",'12 - Deployments &amp; Config'!AJ270)</f>
        <v/>
      </c>
      <c r="J265" s="32" t="str">
        <f>IF('12 - Deployments &amp; Config'!AK270="","",'12 - Deployments &amp; Config'!AK270)</f>
        <v/>
      </c>
      <c r="K265" s="32" t="str">
        <f>IF('12 - Deployments &amp; Config'!AA270="","",'12 - Deployments &amp; Config'!AA270)</f>
        <v/>
      </c>
      <c r="L265" s="32" t="str">
        <f>IF('12 - Deployments &amp; Config'!I270="","",'12 - Deployments &amp; Config'!I270)</f>
        <v/>
      </c>
      <c r="M265" s="33"/>
      <c r="N265" s="32" t="str">
        <f>IF('12 - Deployments &amp; Config'!J270="","",'12 - Deployments &amp; Config'!J270)</f>
        <v/>
      </c>
      <c r="O265" s="32" t="str">
        <f>IF('12 - Deployments &amp; Config'!K270="","",'12 - Deployments &amp; Config'!K270)</f>
        <v/>
      </c>
      <c r="P265" s="32" t="str">
        <f>IF('12 - Deployments &amp; Config'!L270="","",'12 - Deployments &amp; Config'!L270)</f>
        <v/>
      </c>
      <c r="Q265" s="33"/>
      <c r="R265" s="32" t="str">
        <f>IF('12 - Deployments &amp; Config'!AZ270="","",'12 - Deployments &amp; Config'!AZ270)</f>
        <v/>
      </c>
      <c r="S265" s="32" t="str">
        <f>IF('12 - Deployments &amp; Config'!AY270="","",'12 - Deployments &amp; Config'!AY270)</f>
        <v/>
      </c>
      <c r="T265" s="32" t="str">
        <f>IF('12 - Deployments &amp; Config'!AW270="","",'12 - Deployments &amp; Config'!AW270)</f>
        <v/>
      </c>
      <c r="U265" s="32" t="str">
        <f>IF('12 - Deployments &amp; Config'!AX270="","",'12 - Deployments &amp; Config'!AX270)</f>
        <v/>
      </c>
      <c r="V265" s="32" t="str">
        <f>IF('12 - Deployments &amp; Config'!BB270="","",'12 - Deployments &amp; Config'!BB270)</f>
        <v/>
      </c>
      <c r="W265" s="32" t="str">
        <f>IF('12 - Deployments &amp; Config'!BD270="","",'12 - Deployments &amp; Config'!BD270)</f>
        <v/>
      </c>
      <c r="X265" s="32" t="str">
        <f>IF('12 - Deployments &amp; Config'!BL270="","",'12 - Deployments &amp; Config'!BL270)</f>
        <v/>
      </c>
      <c r="Y265" s="32" t="str">
        <f>IF('12 - Deployments &amp; Config'!BC270="","",'12 - Deployments &amp; Config'!BC270)</f>
        <v/>
      </c>
      <c r="Z265" s="32" t="str">
        <f>IF('12 - Deployments &amp; Config'!P270="","",'12 - Deployments &amp; Config'!P270)</f>
        <v/>
      </c>
      <c r="AA265" s="32" t="str">
        <f>IF('12 - Deployments &amp; Config'!Q270="","",'12 - Deployments &amp; Config'!Q270)</f>
        <v/>
      </c>
    </row>
    <row r="266" spans="1:27">
      <c r="A266" s="33"/>
      <c r="B266" s="33"/>
      <c r="C266" s="32" t="str">
        <f>IF('12 - Deployments &amp; Config'!H271="","",'12 - Deployments &amp; Config'!H271)</f>
        <v/>
      </c>
      <c r="D266" s="32" t="str">
        <f>IF('12 - Deployments &amp; Config'!AF271="","",'12 - Deployments &amp; Config'!AF271)</f>
        <v/>
      </c>
      <c r="E266" s="32" t="str">
        <f>IF('12 - Deployments &amp; Config'!AG271="","",'12 - Deployments &amp; Config'!AG271)</f>
        <v/>
      </c>
      <c r="F266" s="32" t="str">
        <f>IF('12 - Deployments &amp; Config'!AH271="","",'12 - Deployments &amp; Config'!AH271)</f>
        <v/>
      </c>
      <c r="G266" s="32" t="str">
        <f>IF('12 - Deployments &amp; Config'!AI271="","",'12 - Deployments &amp; Config'!AI271)</f>
        <v/>
      </c>
      <c r="H266" s="32" t="str">
        <f>IF('12 - Deployments &amp; Config'!A271="","",'12 - Deployments &amp; Config'!A271)</f>
        <v/>
      </c>
      <c r="I266" s="32" t="str">
        <f>IF('12 - Deployments &amp; Config'!AJ271="","",'12 - Deployments &amp; Config'!AJ271)</f>
        <v/>
      </c>
      <c r="J266" s="32" t="str">
        <f>IF('12 - Deployments &amp; Config'!AK271="","",'12 - Deployments &amp; Config'!AK271)</f>
        <v/>
      </c>
      <c r="K266" s="32" t="str">
        <f>IF('12 - Deployments &amp; Config'!AA271="","",'12 - Deployments &amp; Config'!AA271)</f>
        <v/>
      </c>
      <c r="L266" s="32" t="str">
        <f>IF('12 - Deployments &amp; Config'!I271="","",'12 - Deployments &amp; Config'!I271)</f>
        <v/>
      </c>
      <c r="M266" s="33"/>
      <c r="N266" s="32" t="str">
        <f>IF('12 - Deployments &amp; Config'!J271="","",'12 - Deployments &amp; Config'!J271)</f>
        <v/>
      </c>
      <c r="O266" s="32" t="str">
        <f>IF('12 - Deployments &amp; Config'!K271="","",'12 - Deployments &amp; Config'!K271)</f>
        <v/>
      </c>
      <c r="P266" s="32" t="str">
        <f>IF('12 - Deployments &amp; Config'!L271="","",'12 - Deployments &amp; Config'!L271)</f>
        <v/>
      </c>
      <c r="Q266" s="33"/>
      <c r="R266" s="32" t="str">
        <f>IF('12 - Deployments &amp; Config'!AZ271="","",'12 - Deployments &amp; Config'!AZ271)</f>
        <v/>
      </c>
      <c r="S266" s="32" t="str">
        <f>IF('12 - Deployments &amp; Config'!AY271="","",'12 - Deployments &amp; Config'!AY271)</f>
        <v/>
      </c>
      <c r="T266" s="32" t="str">
        <f>IF('12 - Deployments &amp; Config'!AW271="","",'12 - Deployments &amp; Config'!AW271)</f>
        <v/>
      </c>
      <c r="U266" s="32" t="str">
        <f>IF('12 - Deployments &amp; Config'!AX271="","",'12 - Deployments &amp; Config'!AX271)</f>
        <v/>
      </c>
      <c r="V266" s="32" t="str">
        <f>IF('12 - Deployments &amp; Config'!BB271="","",'12 - Deployments &amp; Config'!BB271)</f>
        <v/>
      </c>
      <c r="W266" s="32" t="str">
        <f>IF('12 - Deployments &amp; Config'!BD271="","",'12 - Deployments &amp; Config'!BD271)</f>
        <v/>
      </c>
      <c r="X266" s="32" t="str">
        <f>IF('12 - Deployments &amp; Config'!BL271="","",'12 - Deployments &amp; Config'!BL271)</f>
        <v/>
      </c>
      <c r="Y266" s="32" t="str">
        <f>IF('12 - Deployments &amp; Config'!BC271="","",'12 - Deployments &amp; Config'!BC271)</f>
        <v/>
      </c>
      <c r="Z266" s="32" t="str">
        <f>IF('12 - Deployments &amp; Config'!P271="","",'12 - Deployments &amp; Config'!P271)</f>
        <v/>
      </c>
      <c r="AA266" s="32" t="str">
        <f>IF('12 - Deployments &amp; Config'!Q271="","",'12 - Deployments &amp; Config'!Q271)</f>
        <v/>
      </c>
    </row>
    <row r="267" spans="1:27">
      <c r="A267" s="33"/>
      <c r="B267" s="33"/>
      <c r="C267" s="32" t="str">
        <f>IF('12 - Deployments &amp; Config'!H272="","",'12 - Deployments &amp; Config'!H272)</f>
        <v/>
      </c>
      <c r="D267" s="32" t="str">
        <f>IF('12 - Deployments &amp; Config'!AF272="","",'12 - Deployments &amp; Config'!AF272)</f>
        <v/>
      </c>
      <c r="E267" s="32" t="str">
        <f>IF('12 - Deployments &amp; Config'!AG272="","",'12 - Deployments &amp; Config'!AG272)</f>
        <v/>
      </c>
      <c r="F267" s="32" t="str">
        <f>IF('12 - Deployments &amp; Config'!AH272="","",'12 - Deployments &amp; Config'!AH272)</f>
        <v/>
      </c>
      <c r="G267" s="32" t="str">
        <f>IF('12 - Deployments &amp; Config'!AI272="","",'12 - Deployments &amp; Config'!AI272)</f>
        <v/>
      </c>
      <c r="H267" s="32" t="str">
        <f>IF('12 - Deployments &amp; Config'!A272="","",'12 - Deployments &amp; Config'!A272)</f>
        <v/>
      </c>
      <c r="I267" s="32" t="str">
        <f>IF('12 - Deployments &amp; Config'!AJ272="","",'12 - Deployments &amp; Config'!AJ272)</f>
        <v/>
      </c>
      <c r="J267" s="32" t="str">
        <f>IF('12 - Deployments &amp; Config'!AK272="","",'12 - Deployments &amp; Config'!AK272)</f>
        <v/>
      </c>
      <c r="K267" s="32" t="str">
        <f>IF('12 - Deployments &amp; Config'!AA272="","",'12 - Deployments &amp; Config'!AA272)</f>
        <v/>
      </c>
      <c r="L267" s="32" t="str">
        <f>IF('12 - Deployments &amp; Config'!I272="","",'12 - Deployments &amp; Config'!I272)</f>
        <v/>
      </c>
      <c r="M267" s="33"/>
      <c r="N267" s="32" t="str">
        <f>IF('12 - Deployments &amp; Config'!J272="","",'12 - Deployments &amp; Config'!J272)</f>
        <v/>
      </c>
      <c r="O267" s="32" t="str">
        <f>IF('12 - Deployments &amp; Config'!K272="","",'12 - Deployments &amp; Config'!K272)</f>
        <v/>
      </c>
      <c r="P267" s="32" t="str">
        <f>IF('12 - Deployments &amp; Config'!L272="","",'12 - Deployments &amp; Config'!L272)</f>
        <v/>
      </c>
      <c r="Q267" s="33"/>
      <c r="R267" s="32" t="str">
        <f>IF('12 - Deployments &amp; Config'!AZ272="","",'12 - Deployments &amp; Config'!AZ272)</f>
        <v/>
      </c>
      <c r="S267" s="32" t="str">
        <f>IF('12 - Deployments &amp; Config'!AY272="","",'12 - Deployments &amp; Config'!AY272)</f>
        <v/>
      </c>
      <c r="T267" s="32" t="str">
        <f>IF('12 - Deployments &amp; Config'!AW272="","",'12 - Deployments &amp; Config'!AW272)</f>
        <v/>
      </c>
      <c r="U267" s="32" t="str">
        <f>IF('12 - Deployments &amp; Config'!AX272="","",'12 - Deployments &amp; Config'!AX272)</f>
        <v/>
      </c>
      <c r="V267" s="32" t="str">
        <f>IF('12 - Deployments &amp; Config'!BB272="","",'12 - Deployments &amp; Config'!BB272)</f>
        <v/>
      </c>
      <c r="W267" s="32" t="str">
        <f>IF('12 - Deployments &amp; Config'!BD272="","",'12 - Deployments &amp; Config'!BD272)</f>
        <v/>
      </c>
      <c r="X267" s="32" t="str">
        <f>IF('12 - Deployments &amp; Config'!BL272="","",'12 - Deployments &amp; Config'!BL272)</f>
        <v/>
      </c>
      <c r="Y267" s="32" t="str">
        <f>IF('12 - Deployments &amp; Config'!BC272="","",'12 - Deployments &amp; Config'!BC272)</f>
        <v/>
      </c>
      <c r="Z267" s="32" t="str">
        <f>IF('12 - Deployments &amp; Config'!P272="","",'12 - Deployments &amp; Config'!P272)</f>
        <v/>
      </c>
      <c r="AA267" s="32" t="str">
        <f>IF('12 - Deployments &amp; Config'!Q272="","",'12 - Deployments &amp; Config'!Q272)</f>
        <v/>
      </c>
    </row>
    <row r="268" spans="1:27">
      <c r="A268" s="33"/>
      <c r="B268" s="33"/>
      <c r="C268" s="32" t="str">
        <f>IF('12 - Deployments &amp; Config'!H273="","",'12 - Deployments &amp; Config'!H273)</f>
        <v/>
      </c>
      <c r="D268" s="32" t="str">
        <f>IF('12 - Deployments &amp; Config'!AF273="","",'12 - Deployments &amp; Config'!AF273)</f>
        <v/>
      </c>
      <c r="E268" s="32" t="str">
        <f>IF('12 - Deployments &amp; Config'!AG273="","",'12 - Deployments &amp; Config'!AG273)</f>
        <v/>
      </c>
      <c r="F268" s="32" t="str">
        <f>IF('12 - Deployments &amp; Config'!AH273="","",'12 - Deployments &amp; Config'!AH273)</f>
        <v/>
      </c>
      <c r="G268" s="32" t="str">
        <f>IF('12 - Deployments &amp; Config'!AI273="","",'12 - Deployments &amp; Config'!AI273)</f>
        <v/>
      </c>
      <c r="H268" s="32" t="str">
        <f>IF('12 - Deployments &amp; Config'!A273="","",'12 - Deployments &amp; Config'!A273)</f>
        <v/>
      </c>
      <c r="I268" s="32" t="str">
        <f>IF('12 - Deployments &amp; Config'!AJ273="","",'12 - Deployments &amp; Config'!AJ273)</f>
        <v/>
      </c>
      <c r="J268" s="32" t="str">
        <f>IF('12 - Deployments &amp; Config'!AK273="","",'12 - Deployments &amp; Config'!AK273)</f>
        <v/>
      </c>
      <c r="K268" s="32" t="str">
        <f>IF('12 - Deployments &amp; Config'!AA273="","",'12 - Deployments &amp; Config'!AA273)</f>
        <v/>
      </c>
      <c r="L268" s="32" t="str">
        <f>IF('12 - Deployments &amp; Config'!I273="","",'12 - Deployments &amp; Config'!I273)</f>
        <v/>
      </c>
      <c r="M268" s="33"/>
      <c r="N268" s="32" t="str">
        <f>IF('12 - Deployments &amp; Config'!J273="","",'12 - Deployments &amp; Config'!J273)</f>
        <v/>
      </c>
      <c r="O268" s="32" t="str">
        <f>IF('12 - Deployments &amp; Config'!K273="","",'12 - Deployments &amp; Config'!K273)</f>
        <v/>
      </c>
      <c r="P268" s="32" t="str">
        <f>IF('12 - Deployments &amp; Config'!L273="","",'12 - Deployments &amp; Config'!L273)</f>
        <v/>
      </c>
      <c r="Q268" s="33"/>
      <c r="R268" s="32" t="str">
        <f>IF('12 - Deployments &amp; Config'!AZ273="","",'12 - Deployments &amp; Config'!AZ273)</f>
        <v/>
      </c>
      <c r="S268" s="32" t="str">
        <f>IF('12 - Deployments &amp; Config'!AY273="","",'12 - Deployments &amp; Config'!AY273)</f>
        <v/>
      </c>
      <c r="T268" s="32" t="str">
        <f>IF('12 - Deployments &amp; Config'!AW273="","",'12 - Deployments &amp; Config'!AW273)</f>
        <v/>
      </c>
      <c r="U268" s="32" t="str">
        <f>IF('12 - Deployments &amp; Config'!AX273="","",'12 - Deployments &amp; Config'!AX273)</f>
        <v/>
      </c>
      <c r="V268" s="32" t="str">
        <f>IF('12 - Deployments &amp; Config'!BB273="","",'12 - Deployments &amp; Config'!BB273)</f>
        <v/>
      </c>
      <c r="W268" s="32" t="str">
        <f>IF('12 - Deployments &amp; Config'!BD273="","",'12 - Deployments &amp; Config'!BD273)</f>
        <v/>
      </c>
      <c r="X268" s="32" t="str">
        <f>IF('12 - Deployments &amp; Config'!BL273="","",'12 - Deployments &amp; Config'!BL273)</f>
        <v/>
      </c>
      <c r="Y268" s="32" t="str">
        <f>IF('12 - Deployments &amp; Config'!BC273="","",'12 - Deployments &amp; Config'!BC273)</f>
        <v/>
      </c>
      <c r="Z268" s="32" t="str">
        <f>IF('12 - Deployments &amp; Config'!P273="","",'12 - Deployments &amp; Config'!P273)</f>
        <v/>
      </c>
      <c r="AA268" s="32" t="str">
        <f>IF('12 - Deployments &amp; Config'!Q273="","",'12 - Deployments &amp; Config'!Q273)</f>
        <v/>
      </c>
    </row>
    <row r="269" spans="1:27">
      <c r="A269" s="33"/>
      <c r="B269" s="33"/>
      <c r="C269" s="32" t="str">
        <f>IF('12 - Deployments &amp; Config'!H274="","",'12 - Deployments &amp; Config'!H274)</f>
        <v/>
      </c>
      <c r="D269" s="32" t="str">
        <f>IF('12 - Deployments &amp; Config'!AF274="","",'12 - Deployments &amp; Config'!AF274)</f>
        <v/>
      </c>
      <c r="E269" s="32" t="str">
        <f>IF('12 - Deployments &amp; Config'!AG274="","",'12 - Deployments &amp; Config'!AG274)</f>
        <v/>
      </c>
      <c r="F269" s="32" t="str">
        <f>IF('12 - Deployments &amp; Config'!AH274="","",'12 - Deployments &amp; Config'!AH274)</f>
        <v/>
      </c>
      <c r="G269" s="32" t="str">
        <f>IF('12 - Deployments &amp; Config'!AI274="","",'12 - Deployments &amp; Config'!AI274)</f>
        <v/>
      </c>
      <c r="H269" s="32" t="str">
        <f>IF('12 - Deployments &amp; Config'!A274="","",'12 - Deployments &amp; Config'!A274)</f>
        <v/>
      </c>
      <c r="I269" s="32" t="str">
        <f>IF('12 - Deployments &amp; Config'!AJ274="","",'12 - Deployments &amp; Config'!AJ274)</f>
        <v/>
      </c>
      <c r="J269" s="32" t="str">
        <f>IF('12 - Deployments &amp; Config'!AK274="","",'12 - Deployments &amp; Config'!AK274)</f>
        <v/>
      </c>
      <c r="K269" s="32" t="str">
        <f>IF('12 - Deployments &amp; Config'!AA274="","",'12 - Deployments &amp; Config'!AA274)</f>
        <v/>
      </c>
      <c r="L269" s="32" t="str">
        <f>IF('12 - Deployments &amp; Config'!I274="","",'12 - Deployments &amp; Config'!I274)</f>
        <v/>
      </c>
      <c r="M269" s="33"/>
      <c r="N269" s="32" t="str">
        <f>IF('12 - Deployments &amp; Config'!J274="","",'12 - Deployments &amp; Config'!J274)</f>
        <v/>
      </c>
      <c r="O269" s="32" t="str">
        <f>IF('12 - Deployments &amp; Config'!K274="","",'12 - Deployments &amp; Config'!K274)</f>
        <v/>
      </c>
      <c r="P269" s="32" t="str">
        <f>IF('12 - Deployments &amp; Config'!L274="","",'12 - Deployments &amp; Config'!L274)</f>
        <v/>
      </c>
      <c r="Q269" s="33"/>
      <c r="R269" s="32" t="str">
        <f>IF('12 - Deployments &amp; Config'!AZ274="","",'12 - Deployments &amp; Config'!AZ274)</f>
        <v/>
      </c>
      <c r="S269" s="32" t="str">
        <f>IF('12 - Deployments &amp; Config'!AY274="","",'12 - Deployments &amp; Config'!AY274)</f>
        <v/>
      </c>
      <c r="T269" s="32" t="str">
        <f>IF('12 - Deployments &amp; Config'!AW274="","",'12 - Deployments &amp; Config'!AW274)</f>
        <v/>
      </c>
      <c r="U269" s="32" t="str">
        <f>IF('12 - Deployments &amp; Config'!AX274="","",'12 - Deployments &amp; Config'!AX274)</f>
        <v/>
      </c>
      <c r="V269" s="32" t="str">
        <f>IF('12 - Deployments &amp; Config'!BB274="","",'12 - Deployments &amp; Config'!BB274)</f>
        <v/>
      </c>
      <c r="W269" s="32" t="str">
        <f>IF('12 - Deployments &amp; Config'!BD274="","",'12 - Deployments &amp; Config'!BD274)</f>
        <v/>
      </c>
      <c r="X269" s="32" t="str">
        <f>IF('12 - Deployments &amp; Config'!BL274="","",'12 - Deployments &amp; Config'!BL274)</f>
        <v/>
      </c>
      <c r="Y269" s="32" t="str">
        <f>IF('12 - Deployments &amp; Config'!BC274="","",'12 - Deployments &amp; Config'!BC274)</f>
        <v/>
      </c>
      <c r="Z269" s="32" t="str">
        <f>IF('12 - Deployments &amp; Config'!P274="","",'12 - Deployments &amp; Config'!P274)</f>
        <v/>
      </c>
      <c r="AA269" s="32" t="str">
        <f>IF('12 - Deployments &amp; Config'!Q274="","",'12 - Deployments &amp; Config'!Q274)</f>
        <v/>
      </c>
    </row>
    <row r="270" spans="1:27">
      <c r="A270" s="33"/>
      <c r="B270" s="33"/>
      <c r="C270" s="32" t="str">
        <f>IF('12 - Deployments &amp; Config'!H275="","",'12 - Deployments &amp; Config'!H275)</f>
        <v/>
      </c>
      <c r="D270" s="32" t="str">
        <f>IF('12 - Deployments &amp; Config'!AF275="","",'12 - Deployments &amp; Config'!AF275)</f>
        <v/>
      </c>
      <c r="E270" s="32" t="str">
        <f>IF('12 - Deployments &amp; Config'!AG275="","",'12 - Deployments &amp; Config'!AG275)</f>
        <v/>
      </c>
      <c r="F270" s="32" t="str">
        <f>IF('12 - Deployments &amp; Config'!AH275="","",'12 - Deployments &amp; Config'!AH275)</f>
        <v/>
      </c>
      <c r="G270" s="32" t="str">
        <f>IF('12 - Deployments &amp; Config'!AI275="","",'12 - Deployments &amp; Config'!AI275)</f>
        <v/>
      </c>
      <c r="H270" s="32" t="str">
        <f>IF('12 - Deployments &amp; Config'!A275="","",'12 - Deployments &amp; Config'!A275)</f>
        <v/>
      </c>
      <c r="I270" s="32" t="str">
        <f>IF('12 - Deployments &amp; Config'!AJ275="","",'12 - Deployments &amp; Config'!AJ275)</f>
        <v/>
      </c>
      <c r="J270" s="32" t="str">
        <f>IF('12 - Deployments &amp; Config'!AK275="","",'12 - Deployments &amp; Config'!AK275)</f>
        <v/>
      </c>
      <c r="K270" s="32" t="str">
        <f>IF('12 - Deployments &amp; Config'!AA275="","",'12 - Deployments &amp; Config'!AA275)</f>
        <v/>
      </c>
      <c r="L270" s="32" t="str">
        <f>IF('12 - Deployments &amp; Config'!I275="","",'12 - Deployments &amp; Config'!I275)</f>
        <v/>
      </c>
      <c r="M270" s="33"/>
      <c r="N270" s="32" t="str">
        <f>IF('12 - Deployments &amp; Config'!J275="","",'12 - Deployments &amp; Config'!J275)</f>
        <v/>
      </c>
      <c r="O270" s="32" t="str">
        <f>IF('12 - Deployments &amp; Config'!K275="","",'12 - Deployments &amp; Config'!K275)</f>
        <v/>
      </c>
      <c r="P270" s="32" t="str">
        <f>IF('12 - Deployments &amp; Config'!L275="","",'12 - Deployments &amp; Config'!L275)</f>
        <v/>
      </c>
      <c r="Q270" s="33"/>
      <c r="R270" s="32" t="str">
        <f>IF('12 - Deployments &amp; Config'!AZ275="","",'12 - Deployments &amp; Config'!AZ275)</f>
        <v/>
      </c>
      <c r="S270" s="32" t="str">
        <f>IF('12 - Deployments &amp; Config'!AY275="","",'12 - Deployments &amp; Config'!AY275)</f>
        <v/>
      </c>
      <c r="T270" s="32" t="str">
        <f>IF('12 - Deployments &amp; Config'!AW275="","",'12 - Deployments &amp; Config'!AW275)</f>
        <v/>
      </c>
      <c r="U270" s="32" t="str">
        <f>IF('12 - Deployments &amp; Config'!AX275="","",'12 - Deployments &amp; Config'!AX275)</f>
        <v/>
      </c>
      <c r="V270" s="32" t="str">
        <f>IF('12 - Deployments &amp; Config'!BB275="","",'12 - Deployments &amp; Config'!BB275)</f>
        <v/>
      </c>
      <c r="W270" s="32" t="str">
        <f>IF('12 - Deployments &amp; Config'!BD275="","",'12 - Deployments &amp; Config'!BD275)</f>
        <v/>
      </c>
      <c r="X270" s="32" t="str">
        <f>IF('12 - Deployments &amp; Config'!BL275="","",'12 - Deployments &amp; Config'!BL275)</f>
        <v/>
      </c>
      <c r="Y270" s="32" t="str">
        <f>IF('12 - Deployments &amp; Config'!BC275="","",'12 - Deployments &amp; Config'!BC275)</f>
        <v/>
      </c>
      <c r="Z270" s="32" t="str">
        <f>IF('12 - Deployments &amp; Config'!P275="","",'12 - Deployments &amp; Config'!P275)</f>
        <v/>
      </c>
      <c r="AA270" s="32" t="str">
        <f>IF('12 - Deployments &amp; Config'!Q275="","",'12 - Deployments &amp; Config'!Q275)</f>
        <v/>
      </c>
    </row>
    <row r="271" spans="1:27">
      <c r="A271" s="33"/>
      <c r="B271" s="33"/>
      <c r="C271" s="32" t="str">
        <f>IF('12 - Deployments &amp; Config'!H276="","",'12 - Deployments &amp; Config'!H276)</f>
        <v/>
      </c>
      <c r="D271" s="32" t="str">
        <f>IF('12 - Deployments &amp; Config'!AF276="","",'12 - Deployments &amp; Config'!AF276)</f>
        <v/>
      </c>
      <c r="E271" s="32" t="str">
        <f>IF('12 - Deployments &amp; Config'!AG276="","",'12 - Deployments &amp; Config'!AG276)</f>
        <v/>
      </c>
      <c r="F271" s="32" t="str">
        <f>IF('12 - Deployments &amp; Config'!AH276="","",'12 - Deployments &amp; Config'!AH276)</f>
        <v/>
      </c>
      <c r="G271" s="32" t="str">
        <f>IF('12 - Deployments &amp; Config'!AI276="","",'12 - Deployments &amp; Config'!AI276)</f>
        <v/>
      </c>
      <c r="H271" s="32" t="str">
        <f>IF('12 - Deployments &amp; Config'!A276="","",'12 - Deployments &amp; Config'!A276)</f>
        <v/>
      </c>
      <c r="I271" s="32" t="str">
        <f>IF('12 - Deployments &amp; Config'!AJ276="","",'12 - Deployments &amp; Config'!AJ276)</f>
        <v/>
      </c>
      <c r="J271" s="32" t="str">
        <f>IF('12 - Deployments &amp; Config'!AK276="","",'12 - Deployments &amp; Config'!AK276)</f>
        <v/>
      </c>
      <c r="K271" s="32" t="str">
        <f>IF('12 - Deployments &amp; Config'!AA276="","",'12 - Deployments &amp; Config'!AA276)</f>
        <v/>
      </c>
      <c r="L271" s="32" t="str">
        <f>IF('12 - Deployments &amp; Config'!I276="","",'12 - Deployments &amp; Config'!I276)</f>
        <v/>
      </c>
      <c r="M271" s="33"/>
      <c r="N271" s="32" t="str">
        <f>IF('12 - Deployments &amp; Config'!J276="","",'12 - Deployments &amp; Config'!J276)</f>
        <v/>
      </c>
      <c r="O271" s="32" t="str">
        <f>IF('12 - Deployments &amp; Config'!K276="","",'12 - Deployments &amp; Config'!K276)</f>
        <v/>
      </c>
      <c r="P271" s="32" t="str">
        <f>IF('12 - Deployments &amp; Config'!L276="","",'12 - Deployments &amp; Config'!L276)</f>
        <v/>
      </c>
      <c r="Q271" s="33"/>
      <c r="R271" s="32" t="str">
        <f>IF('12 - Deployments &amp; Config'!AZ276="","",'12 - Deployments &amp; Config'!AZ276)</f>
        <v/>
      </c>
      <c r="S271" s="32" t="str">
        <f>IF('12 - Deployments &amp; Config'!AY276="","",'12 - Deployments &amp; Config'!AY276)</f>
        <v/>
      </c>
      <c r="T271" s="32" t="str">
        <f>IF('12 - Deployments &amp; Config'!AW276="","",'12 - Deployments &amp; Config'!AW276)</f>
        <v/>
      </c>
      <c r="U271" s="32" t="str">
        <f>IF('12 - Deployments &amp; Config'!AX276="","",'12 - Deployments &amp; Config'!AX276)</f>
        <v/>
      </c>
      <c r="V271" s="32" t="str">
        <f>IF('12 - Deployments &amp; Config'!BB276="","",'12 - Deployments &amp; Config'!BB276)</f>
        <v/>
      </c>
      <c r="W271" s="32" t="str">
        <f>IF('12 - Deployments &amp; Config'!BD276="","",'12 - Deployments &amp; Config'!BD276)</f>
        <v/>
      </c>
      <c r="X271" s="32" t="str">
        <f>IF('12 - Deployments &amp; Config'!BL276="","",'12 - Deployments &amp; Config'!BL276)</f>
        <v/>
      </c>
      <c r="Y271" s="32" t="str">
        <f>IF('12 - Deployments &amp; Config'!BC276="","",'12 - Deployments &amp; Config'!BC276)</f>
        <v/>
      </c>
      <c r="Z271" s="32" t="str">
        <f>IF('12 - Deployments &amp; Config'!P276="","",'12 - Deployments &amp; Config'!P276)</f>
        <v/>
      </c>
      <c r="AA271" s="32" t="str">
        <f>IF('12 - Deployments &amp; Config'!Q276="","",'12 - Deployments &amp; Config'!Q276)</f>
        <v/>
      </c>
    </row>
    <row r="272" spans="1:27">
      <c r="A272" s="33"/>
      <c r="B272" s="33"/>
      <c r="C272" s="32" t="str">
        <f>IF('12 - Deployments &amp; Config'!H277="","",'12 - Deployments &amp; Config'!H277)</f>
        <v/>
      </c>
      <c r="D272" s="32" t="str">
        <f>IF('12 - Deployments &amp; Config'!AF277="","",'12 - Deployments &amp; Config'!AF277)</f>
        <v/>
      </c>
      <c r="E272" s="32" t="str">
        <f>IF('12 - Deployments &amp; Config'!AG277="","",'12 - Deployments &amp; Config'!AG277)</f>
        <v/>
      </c>
      <c r="F272" s="32" t="str">
        <f>IF('12 - Deployments &amp; Config'!AH277="","",'12 - Deployments &amp; Config'!AH277)</f>
        <v/>
      </c>
      <c r="G272" s="32" t="str">
        <f>IF('12 - Deployments &amp; Config'!AI277="","",'12 - Deployments &amp; Config'!AI277)</f>
        <v/>
      </c>
      <c r="H272" s="32" t="str">
        <f>IF('12 - Deployments &amp; Config'!A277="","",'12 - Deployments &amp; Config'!A277)</f>
        <v/>
      </c>
      <c r="I272" s="32" t="str">
        <f>IF('12 - Deployments &amp; Config'!AJ277="","",'12 - Deployments &amp; Config'!AJ277)</f>
        <v/>
      </c>
      <c r="J272" s="32" t="str">
        <f>IF('12 - Deployments &amp; Config'!AK277="","",'12 - Deployments &amp; Config'!AK277)</f>
        <v/>
      </c>
      <c r="K272" s="32" t="str">
        <f>IF('12 - Deployments &amp; Config'!AA277="","",'12 - Deployments &amp; Config'!AA277)</f>
        <v/>
      </c>
      <c r="L272" s="32" t="str">
        <f>IF('12 - Deployments &amp; Config'!I277="","",'12 - Deployments &amp; Config'!I277)</f>
        <v/>
      </c>
      <c r="M272" s="33"/>
      <c r="N272" s="32" t="str">
        <f>IF('12 - Deployments &amp; Config'!J277="","",'12 - Deployments &amp; Config'!J277)</f>
        <v/>
      </c>
      <c r="O272" s="32" t="str">
        <f>IF('12 - Deployments &amp; Config'!K277="","",'12 - Deployments &amp; Config'!K277)</f>
        <v/>
      </c>
      <c r="P272" s="32" t="str">
        <f>IF('12 - Deployments &amp; Config'!L277="","",'12 - Deployments &amp; Config'!L277)</f>
        <v/>
      </c>
      <c r="Q272" s="33"/>
      <c r="R272" s="32" t="str">
        <f>IF('12 - Deployments &amp; Config'!AZ277="","",'12 - Deployments &amp; Config'!AZ277)</f>
        <v/>
      </c>
      <c r="S272" s="32" t="str">
        <f>IF('12 - Deployments &amp; Config'!AY277="","",'12 - Deployments &amp; Config'!AY277)</f>
        <v/>
      </c>
      <c r="T272" s="32" t="str">
        <f>IF('12 - Deployments &amp; Config'!AW277="","",'12 - Deployments &amp; Config'!AW277)</f>
        <v/>
      </c>
      <c r="U272" s="32" t="str">
        <f>IF('12 - Deployments &amp; Config'!AX277="","",'12 - Deployments &amp; Config'!AX277)</f>
        <v/>
      </c>
      <c r="V272" s="32" t="str">
        <f>IF('12 - Deployments &amp; Config'!BB277="","",'12 - Deployments &amp; Config'!BB277)</f>
        <v/>
      </c>
      <c r="W272" s="32" t="str">
        <f>IF('12 - Deployments &amp; Config'!BD277="","",'12 - Deployments &amp; Config'!BD277)</f>
        <v/>
      </c>
      <c r="X272" s="32" t="str">
        <f>IF('12 - Deployments &amp; Config'!BL277="","",'12 - Deployments &amp; Config'!BL277)</f>
        <v/>
      </c>
      <c r="Y272" s="32" t="str">
        <f>IF('12 - Deployments &amp; Config'!BC277="","",'12 - Deployments &amp; Config'!BC277)</f>
        <v/>
      </c>
      <c r="Z272" s="32" t="str">
        <f>IF('12 - Deployments &amp; Config'!P277="","",'12 - Deployments &amp; Config'!P277)</f>
        <v/>
      </c>
      <c r="AA272" s="32" t="str">
        <f>IF('12 - Deployments &amp; Config'!Q277="","",'12 - Deployments &amp; Config'!Q277)</f>
        <v/>
      </c>
    </row>
    <row r="273" spans="1:27">
      <c r="A273" s="33"/>
      <c r="B273" s="33"/>
      <c r="C273" s="32" t="str">
        <f>IF('12 - Deployments &amp; Config'!H278="","",'12 - Deployments &amp; Config'!H278)</f>
        <v/>
      </c>
      <c r="D273" s="32" t="str">
        <f>IF('12 - Deployments &amp; Config'!AF278="","",'12 - Deployments &amp; Config'!AF278)</f>
        <v/>
      </c>
      <c r="E273" s="32" t="str">
        <f>IF('12 - Deployments &amp; Config'!AG278="","",'12 - Deployments &amp; Config'!AG278)</f>
        <v/>
      </c>
      <c r="F273" s="32" t="str">
        <f>IF('12 - Deployments &amp; Config'!AH278="","",'12 - Deployments &amp; Config'!AH278)</f>
        <v/>
      </c>
      <c r="G273" s="32" t="str">
        <f>IF('12 - Deployments &amp; Config'!AI278="","",'12 - Deployments &amp; Config'!AI278)</f>
        <v/>
      </c>
      <c r="H273" s="32" t="str">
        <f>IF('12 - Deployments &amp; Config'!A278="","",'12 - Deployments &amp; Config'!A278)</f>
        <v/>
      </c>
      <c r="I273" s="32" t="str">
        <f>IF('12 - Deployments &amp; Config'!AJ278="","",'12 - Deployments &amp; Config'!AJ278)</f>
        <v/>
      </c>
      <c r="J273" s="32" t="str">
        <f>IF('12 - Deployments &amp; Config'!AK278="","",'12 - Deployments &amp; Config'!AK278)</f>
        <v/>
      </c>
      <c r="K273" s="32" t="str">
        <f>IF('12 - Deployments &amp; Config'!AA278="","",'12 - Deployments &amp; Config'!AA278)</f>
        <v/>
      </c>
      <c r="L273" s="32" t="str">
        <f>IF('12 - Deployments &amp; Config'!I278="","",'12 - Deployments &amp; Config'!I278)</f>
        <v/>
      </c>
      <c r="M273" s="33"/>
      <c r="N273" s="32" t="str">
        <f>IF('12 - Deployments &amp; Config'!J278="","",'12 - Deployments &amp; Config'!J278)</f>
        <v/>
      </c>
      <c r="O273" s="32" t="str">
        <f>IF('12 - Deployments &amp; Config'!K278="","",'12 - Deployments &amp; Config'!K278)</f>
        <v/>
      </c>
      <c r="P273" s="32" t="str">
        <f>IF('12 - Deployments &amp; Config'!L278="","",'12 - Deployments &amp; Config'!L278)</f>
        <v/>
      </c>
      <c r="Q273" s="33"/>
      <c r="R273" s="32" t="str">
        <f>IF('12 - Deployments &amp; Config'!AZ278="","",'12 - Deployments &amp; Config'!AZ278)</f>
        <v/>
      </c>
      <c r="S273" s="32" t="str">
        <f>IF('12 - Deployments &amp; Config'!AY278="","",'12 - Deployments &amp; Config'!AY278)</f>
        <v/>
      </c>
      <c r="T273" s="32" t="str">
        <f>IF('12 - Deployments &amp; Config'!AW278="","",'12 - Deployments &amp; Config'!AW278)</f>
        <v/>
      </c>
      <c r="U273" s="32" t="str">
        <f>IF('12 - Deployments &amp; Config'!AX278="","",'12 - Deployments &amp; Config'!AX278)</f>
        <v/>
      </c>
      <c r="V273" s="32" t="str">
        <f>IF('12 - Deployments &amp; Config'!BB278="","",'12 - Deployments &amp; Config'!BB278)</f>
        <v/>
      </c>
      <c r="W273" s="32" t="str">
        <f>IF('12 - Deployments &amp; Config'!BD278="","",'12 - Deployments &amp; Config'!BD278)</f>
        <v/>
      </c>
      <c r="X273" s="32" t="str">
        <f>IF('12 - Deployments &amp; Config'!BL278="","",'12 - Deployments &amp; Config'!BL278)</f>
        <v/>
      </c>
      <c r="Y273" s="32" t="str">
        <f>IF('12 - Deployments &amp; Config'!BC278="","",'12 - Deployments &amp; Config'!BC278)</f>
        <v/>
      </c>
      <c r="Z273" s="32" t="str">
        <f>IF('12 - Deployments &amp; Config'!P278="","",'12 - Deployments &amp; Config'!P278)</f>
        <v/>
      </c>
      <c r="AA273" s="32" t="str">
        <f>IF('12 - Deployments &amp; Config'!Q278="","",'12 - Deployments &amp; Config'!Q278)</f>
        <v/>
      </c>
    </row>
    <row r="274" spans="1:27">
      <c r="A274" s="33"/>
      <c r="B274" s="33"/>
      <c r="C274" s="32" t="str">
        <f>IF('12 - Deployments &amp; Config'!H279="","",'12 - Deployments &amp; Config'!H279)</f>
        <v/>
      </c>
      <c r="D274" s="32" t="str">
        <f>IF('12 - Deployments &amp; Config'!AF279="","",'12 - Deployments &amp; Config'!AF279)</f>
        <v/>
      </c>
      <c r="E274" s="32" t="str">
        <f>IF('12 - Deployments &amp; Config'!AG279="","",'12 - Deployments &amp; Config'!AG279)</f>
        <v/>
      </c>
      <c r="F274" s="32" t="str">
        <f>IF('12 - Deployments &amp; Config'!AH279="","",'12 - Deployments &amp; Config'!AH279)</f>
        <v/>
      </c>
      <c r="G274" s="32" t="str">
        <f>IF('12 - Deployments &amp; Config'!AI279="","",'12 - Deployments &amp; Config'!AI279)</f>
        <v/>
      </c>
      <c r="H274" s="32" t="str">
        <f>IF('12 - Deployments &amp; Config'!A279="","",'12 - Deployments &amp; Config'!A279)</f>
        <v/>
      </c>
      <c r="I274" s="32" t="str">
        <f>IF('12 - Deployments &amp; Config'!AJ279="","",'12 - Deployments &amp; Config'!AJ279)</f>
        <v/>
      </c>
      <c r="J274" s="32" t="str">
        <f>IF('12 - Deployments &amp; Config'!AK279="","",'12 - Deployments &amp; Config'!AK279)</f>
        <v/>
      </c>
      <c r="K274" s="32" t="str">
        <f>IF('12 - Deployments &amp; Config'!AA279="","",'12 - Deployments &amp; Config'!AA279)</f>
        <v/>
      </c>
      <c r="L274" s="32" t="str">
        <f>IF('12 - Deployments &amp; Config'!I279="","",'12 - Deployments &amp; Config'!I279)</f>
        <v/>
      </c>
      <c r="M274" s="33"/>
      <c r="N274" s="32" t="str">
        <f>IF('12 - Deployments &amp; Config'!J279="","",'12 - Deployments &amp; Config'!J279)</f>
        <v/>
      </c>
      <c r="O274" s="32" t="str">
        <f>IF('12 - Deployments &amp; Config'!K279="","",'12 - Deployments &amp; Config'!K279)</f>
        <v/>
      </c>
      <c r="P274" s="32" t="str">
        <f>IF('12 - Deployments &amp; Config'!L279="","",'12 - Deployments &amp; Config'!L279)</f>
        <v/>
      </c>
      <c r="Q274" s="33"/>
      <c r="R274" s="32" t="str">
        <f>IF('12 - Deployments &amp; Config'!AZ279="","",'12 - Deployments &amp; Config'!AZ279)</f>
        <v/>
      </c>
      <c r="S274" s="32" t="str">
        <f>IF('12 - Deployments &amp; Config'!AY279="","",'12 - Deployments &amp; Config'!AY279)</f>
        <v/>
      </c>
      <c r="T274" s="32" t="str">
        <f>IF('12 - Deployments &amp; Config'!AW279="","",'12 - Deployments &amp; Config'!AW279)</f>
        <v/>
      </c>
      <c r="U274" s="32" t="str">
        <f>IF('12 - Deployments &amp; Config'!AX279="","",'12 - Deployments &amp; Config'!AX279)</f>
        <v/>
      </c>
      <c r="V274" s="32" t="str">
        <f>IF('12 - Deployments &amp; Config'!BB279="","",'12 - Deployments &amp; Config'!BB279)</f>
        <v/>
      </c>
      <c r="W274" s="32" t="str">
        <f>IF('12 - Deployments &amp; Config'!BD279="","",'12 - Deployments &amp; Config'!BD279)</f>
        <v/>
      </c>
      <c r="X274" s="32" t="str">
        <f>IF('12 - Deployments &amp; Config'!BL279="","",'12 - Deployments &amp; Config'!BL279)</f>
        <v/>
      </c>
      <c r="Y274" s="32" t="str">
        <f>IF('12 - Deployments &amp; Config'!BC279="","",'12 - Deployments &amp; Config'!BC279)</f>
        <v/>
      </c>
      <c r="Z274" s="32" t="str">
        <f>IF('12 - Deployments &amp; Config'!P279="","",'12 - Deployments &amp; Config'!P279)</f>
        <v/>
      </c>
      <c r="AA274" s="32" t="str">
        <f>IF('12 - Deployments &amp; Config'!Q279="","",'12 - Deployments &amp; Config'!Q279)</f>
        <v/>
      </c>
    </row>
    <row r="275" spans="1:27">
      <c r="A275" s="33"/>
      <c r="B275" s="33"/>
      <c r="C275" s="32" t="str">
        <f>IF('12 - Deployments &amp; Config'!H280="","",'12 - Deployments &amp; Config'!H280)</f>
        <v/>
      </c>
      <c r="D275" s="32" t="str">
        <f>IF('12 - Deployments &amp; Config'!AF280="","",'12 - Deployments &amp; Config'!AF280)</f>
        <v/>
      </c>
      <c r="E275" s="32" t="str">
        <f>IF('12 - Deployments &amp; Config'!AG280="","",'12 - Deployments &amp; Config'!AG280)</f>
        <v/>
      </c>
      <c r="F275" s="32" t="str">
        <f>IF('12 - Deployments &amp; Config'!AH280="","",'12 - Deployments &amp; Config'!AH280)</f>
        <v/>
      </c>
      <c r="G275" s="32" t="str">
        <f>IF('12 - Deployments &amp; Config'!AI280="","",'12 - Deployments &amp; Config'!AI280)</f>
        <v/>
      </c>
      <c r="H275" s="32" t="str">
        <f>IF('12 - Deployments &amp; Config'!A280="","",'12 - Deployments &amp; Config'!A280)</f>
        <v/>
      </c>
      <c r="I275" s="32" t="str">
        <f>IF('12 - Deployments &amp; Config'!AJ280="","",'12 - Deployments &amp; Config'!AJ280)</f>
        <v/>
      </c>
      <c r="J275" s="32" t="str">
        <f>IF('12 - Deployments &amp; Config'!AK280="","",'12 - Deployments &amp; Config'!AK280)</f>
        <v/>
      </c>
      <c r="K275" s="32" t="str">
        <f>IF('12 - Deployments &amp; Config'!AA280="","",'12 - Deployments &amp; Config'!AA280)</f>
        <v/>
      </c>
      <c r="L275" s="32" t="str">
        <f>IF('12 - Deployments &amp; Config'!I280="","",'12 - Deployments &amp; Config'!I280)</f>
        <v/>
      </c>
      <c r="M275" s="33"/>
      <c r="N275" s="32" t="str">
        <f>IF('12 - Deployments &amp; Config'!J280="","",'12 - Deployments &amp; Config'!J280)</f>
        <v/>
      </c>
      <c r="O275" s="32" t="str">
        <f>IF('12 - Deployments &amp; Config'!K280="","",'12 - Deployments &amp; Config'!K280)</f>
        <v/>
      </c>
      <c r="P275" s="32" t="str">
        <f>IF('12 - Deployments &amp; Config'!L280="","",'12 - Deployments &amp; Config'!L280)</f>
        <v/>
      </c>
      <c r="Q275" s="33"/>
      <c r="R275" s="32" t="str">
        <f>IF('12 - Deployments &amp; Config'!AZ280="","",'12 - Deployments &amp; Config'!AZ280)</f>
        <v/>
      </c>
      <c r="S275" s="32" t="str">
        <f>IF('12 - Deployments &amp; Config'!AY280="","",'12 - Deployments &amp; Config'!AY280)</f>
        <v/>
      </c>
      <c r="T275" s="32" t="str">
        <f>IF('12 - Deployments &amp; Config'!AW280="","",'12 - Deployments &amp; Config'!AW280)</f>
        <v/>
      </c>
      <c r="U275" s="32" t="str">
        <f>IF('12 - Deployments &amp; Config'!AX280="","",'12 - Deployments &amp; Config'!AX280)</f>
        <v/>
      </c>
      <c r="V275" s="32" t="str">
        <f>IF('12 - Deployments &amp; Config'!BB280="","",'12 - Deployments &amp; Config'!BB280)</f>
        <v/>
      </c>
      <c r="W275" s="32" t="str">
        <f>IF('12 - Deployments &amp; Config'!BD280="","",'12 - Deployments &amp; Config'!BD280)</f>
        <v/>
      </c>
      <c r="X275" s="32" t="str">
        <f>IF('12 - Deployments &amp; Config'!BL280="","",'12 - Deployments &amp; Config'!BL280)</f>
        <v/>
      </c>
      <c r="Y275" s="32" t="str">
        <f>IF('12 - Deployments &amp; Config'!BC280="","",'12 - Deployments &amp; Config'!BC280)</f>
        <v/>
      </c>
      <c r="Z275" s="32" t="str">
        <f>IF('12 - Deployments &amp; Config'!P280="","",'12 - Deployments &amp; Config'!P280)</f>
        <v/>
      </c>
      <c r="AA275" s="32" t="str">
        <f>IF('12 - Deployments &amp; Config'!Q280="","",'12 - Deployments &amp; Config'!Q280)</f>
        <v/>
      </c>
    </row>
    <row r="276" spans="1:27">
      <c r="A276" s="33"/>
      <c r="B276" s="33"/>
      <c r="C276" s="32" t="str">
        <f>IF('12 - Deployments &amp; Config'!H281="","",'12 - Deployments &amp; Config'!H281)</f>
        <v/>
      </c>
      <c r="D276" s="32" t="str">
        <f>IF('12 - Deployments &amp; Config'!AF281="","",'12 - Deployments &amp; Config'!AF281)</f>
        <v/>
      </c>
      <c r="E276" s="32" t="str">
        <f>IF('12 - Deployments &amp; Config'!AG281="","",'12 - Deployments &amp; Config'!AG281)</f>
        <v/>
      </c>
      <c r="F276" s="32" t="str">
        <f>IF('12 - Deployments &amp; Config'!AH281="","",'12 - Deployments &amp; Config'!AH281)</f>
        <v/>
      </c>
      <c r="G276" s="32" t="str">
        <f>IF('12 - Deployments &amp; Config'!AI281="","",'12 - Deployments &amp; Config'!AI281)</f>
        <v/>
      </c>
      <c r="H276" s="32" t="str">
        <f>IF('12 - Deployments &amp; Config'!A281="","",'12 - Deployments &amp; Config'!A281)</f>
        <v/>
      </c>
      <c r="I276" s="32" t="str">
        <f>IF('12 - Deployments &amp; Config'!AJ281="","",'12 - Deployments &amp; Config'!AJ281)</f>
        <v/>
      </c>
      <c r="J276" s="32" t="str">
        <f>IF('12 - Deployments &amp; Config'!AK281="","",'12 - Deployments &amp; Config'!AK281)</f>
        <v/>
      </c>
      <c r="K276" s="32" t="str">
        <f>IF('12 - Deployments &amp; Config'!AA281="","",'12 - Deployments &amp; Config'!AA281)</f>
        <v/>
      </c>
      <c r="L276" s="32" t="str">
        <f>IF('12 - Deployments &amp; Config'!I281="","",'12 - Deployments &amp; Config'!I281)</f>
        <v/>
      </c>
      <c r="M276" s="33"/>
      <c r="N276" s="32" t="str">
        <f>IF('12 - Deployments &amp; Config'!J281="","",'12 - Deployments &amp; Config'!J281)</f>
        <v/>
      </c>
      <c r="O276" s="32" t="str">
        <f>IF('12 - Deployments &amp; Config'!K281="","",'12 - Deployments &amp; Config'!K281)</f>
        <v/>
      </c>
      <c r="P276" s="32" t="str">
        <f>IF('12 - Deployments &amp; Config'!L281="","",'12 - Deployments &amp; Config'!L281)</f>
        <v/>
      </c>
      <c r="Q276" s="33"/>
      <c r="R276" s="32" t="str">
        <f>IF('12 - Deployments &amp; Config'!AZ281="","",'12 - Deployments &amp; Config'!AZ281)</f>
        <v/>
      </c>
      <c r="S276" s="32" t="str">
        <f>IF('12 - Deployments &amp; Config'!AY281="","",'12 - Deployments &amp; Config'!AY281)</f>
        <v/>
      </c>
      <c r="T276" s="32" t="str">
        <f>IF('12 - Deployments &amp; Config'!AW281="","",'12 - Deployments &amp; Config'!AW281)</f>
        <v/>
      </c>
      <c r="U276" s="32" t="str">
        <f>IF('12 - Deployments &amp; Config'!AX281="","",'12 - Deployments &amp; Config'!AX281)</f>
        <v/>
      </c>
      <c r="V276" s="32" t="str">
        <f>IF('12 - Deployments &amp; Config'!BB281="","",'12 - Deployments &amp; Config'!BB281)</f>
        <v/>
      </c>
      <c r="W276" s="32" t="str">
        <f>IF('12 - Deployments &amp; Config'!BD281="","",'12 - Deployments &amp; Config'!BD281)</f>
        <v/>
      </c>
      <c r="X276" s="32" t="str">
        <f>IF('12 - Deployments &amp; Config'!BL281="","",'12 - Deployments &amp; Config'!BL281)</f>
        <v/>
      </c>
      <c r="Y276" s="32" t="str">
        <f>IF('12 - Deployments &amp; Config'!BC281="","",'12 - Deployments &amp; Config'!BC281)</f>
        <v/>
      </c>
      <c r="Z276" s="32" t="str">
        <f>IF('12 - Deployments &amp; Config'!P281="","",'12 - Deployments &amp; Config'!P281)</f>
        <v/>
      </c>
      <c r="AA276" s="32" t="str">
        <f>IF('12 - Deployments &amp; Config'!Q281="","",'12 - Deployments &amp; Config'!Q281)</f>
        <v/>
      </c>
    </row>
    <row r="277" spans="1:27">
      <c r="A277" s="33"/>
      <c r="B277" s="33"/>
      <c r="C277" s="32" t="str">
        <f>IF('12 - Deployments &amp; Config'!H282="","",'12 - Deployments &amp; Config'!H282)</f>
        <v/>
      </c>
      <c r="D277" s="32" t="str">
        <f>IF('12 - Deployments &amp; Config'!AF282="","",'12 - Deployments &amp; Config'!AF282)</f>
        <v/>
      </c>
      <c r="E277" s="32" t="str">
        <f>IF('12 - Deployments &amp; Config'!AG282="","",'12 - Deployments &amp; Config'!AG282)</f>
        <v/>
      </c>
      <c r="F277" s="32" t="str">
        <f>IF('12 - Deployments &amp; Config'!AH282="","",'12 - Deployments &amp; Config'!AH282)</f>
        <v/>
      </c>
      <c r="G277" s="32" t="str">
        <f>IF('12 - Deployments &amp; Config'!AI282="","",'12 - Deployments &amp; Config'!AI282)</f>
        <v/>
      </c>
      <c r="H277" s="32" t="str">
        <f>IF('12 - Deployments &amp; Config'!A282="","",'12 - Deployments &amp; Config'!A282)</f>
        <v/>
      </c>
      <c r="I277" s="32" t="str">
        <f>IF('12 - Deployments &amp; Config'!AJ282="","",'12 - Deployments &amp; Config'!AJ282)</f>
        <v/>
      </c>
      <c r="J277" s="32" t="str">
        <f>IF('12 - Deployments &amp; Config'!AK282="","",'12 - Deployments &amp; Config'!AK282)</f>
        <v/>
      </c>
      <c r="K277" s="32" t="str">
        <f>IF('12 - Deployments &amp; Config'!AA282="","",'12 - Deployments &amp; Config'!AA282)</f>
        <v/>
      </c>
      <c r="L277" s="32" t="str">
        <f>IF('12 - Deployments &amp; Config'!I282="","",'12 - Deployments &amp; Config'!I282)</f>
        <v/>
      </c>
      <c r="M277" s="33"/>
      <c r="N277" s="32" t="str">
        <f>IF('12 - Deployments &amp; Config'!J282="","",'12 - Deployments &amp; Config'!J282)</f>
        <v/>
      </c>
      <c r="O277" s="32" t="str">
        <f>IF('12 - Deployments &amp; Config'!K282="","",'12 - Deployments &amp; Config'!K282)</f>
        <v/>
      </c>
      <c r="P277" s="32" t="str">
        <f>IF('12 - Deployments &amp; Config'!L282="","",'12 - Deployments &amp; Config'!L282)</f>
        <v/>
      </c>
      <c r="Q277" s="33"/>
      <c r="R277" s="32" t="str">
        <f>IF('12 - Deployments &amp; Config'!AZ282="","",'12 - Deployments &amp; Config'!AZ282)</f>
        <v/>
      </c>
      <c r="S277" s="32" t="str">
        <f>IF('12 - Deployments &amp; Config'!AY282="","",'12 - Deployments &amp; Config'!AY282)</f>
        <v/>
      </c>
      <c r="T277" s="32" t="str">
        <f>IF('12 - Deployments &amp; Config'!AW282="","",'12 - Deployments &amp; Config'!AW282)</f>
        <v/>
      </c>
      <c r="U277" s="32" t="str">
        <f>IF('12 - Deployments &amp; Config'!AX282="","",'12 - Deployments &amp; Config'!AX282)</f>
        <v/>
      </c>
      <c r="V277" s="32" t="str">
        <f>IF('12 - Deployments &amp; Config'!BB282="","",'12 - Deployments &amp; Config'!BB282)</f>
        <v/>
      </c>
      <c r="W277" s="32" t="str">
        <f>IF('12 - Deployments &amp; Config'!BD282="","",'12 - Deployments &amp; Config'!BD282)</f>
        <v/>
      </c>
      <c r="X277" s="32" t="str">
        <f>IF('12 - Deployments &amp; Config'!BL282="","",'12 - Deployments &amp; Config'!BL282)</f>
        <v/>
      </c>
      <c r="Y277" s="32" t="str">
        <f>IF('12 - Deployments &amp; Config'!BC282="","",'12 - Deployments &amp; Config'!BC282)</f>
        <v/>
      </c>
      <c r="Z277" s="32" t="str">
        <f>IF('12 - Deployments &amp; Config'!P282="","",'12 - Deployments &amp; Config'!P282)</f>
        <v/>
      </c>
      <c r="AA277" s="32" t="str">
        <f>IF('12 - Deployments &amp; Config'!Q282="","",'12 - Deployments &amp; Config'!Q282)</f>
        <v/>
      </c>
    </row>
    <row r="278" spans="1:27">
      <c r="A278" s="33"/>
      <c r="B278" s="33"/>
      <c r="C278" s="32" t="str">
        <f>IF('12 - Deployments &amp; Config'!H283="","",'12 - Deployments &amp; Config'!H283)</f>
        <v/>
      </c>
      <c r="D278" s="32" t="str">
        <f>IF('12 - Deployments &amp; Config'!AF283="","",'12 - Deployments &amp; Config'!AF283)</f>
        <v/>
      </c>
      <c r="E278" s="32" t="str">
        <f>IF('12 - Deployments &amp; Config'!AG283="","",'12 - Deployments &amp; Config'!AG283)</f>
        <v/>
      </c>
      <c r="F278" s="32" t="str">
        <f>IF('12 - Deployments &amp; Config'!AH283="","",'12 - Deployments &amp; Config'!AH283)</f>
        <v/>
      </c>
      <c r="G278" s="32" t="str">
        <f>IF('12 - Deployments &amp; Config'!AI283="","",'12 - Deployments &amp; Config'!AI283)</f>
        <v/>
      </c>
      <c r="H278" s="32" t="str">
        <f>IF('12 - Deployments &amp; Config'!A283="","",'12 - Deployments &amp; Config'!A283)</f>
        <v/>
      </c>
      <c r="I278" s="32" t="str">
        <f>IF('12 - Deployments &amp; Config'!AJ283="","",'12 - Deployments &amp; Config'!AJ283)</f>
        <v/>
      </c>
      <c r="J278" s="32" t="str">
        <f>IF('12 - Deployments &amp; Config'!AK283="","",'12 - Deployments &amp; Config'!AK283)</f>
        <v/>
      </c>
      <c r="K278" s="32" t="str">
        <f>IF('12 - Deployments &amp; Config'!AA283="","",'12 - Deployments &amp; Config'!AA283)</f>
        <v/>
      </c>
      <c r="L278" s="32" t="str">
        <f>IF('12 - Deployments &amp; Config'!I283="","",'12 - Deployments &amp; Config'!I283)</f>
        <v/>
      </c>
      <c r="M278" s="33"/>
      <c r="N278" s="32" t="str">
        <f>IF('12 - Deployments &amp; Config'!J283="","",'12 - Deployments &amp; Config'!J283)</f>
        <v/>
      </c>
      <c r="O278" s="32" t="str">
        <f>IF('12 - Deployments &amp; Config'!K283="","",'12 - Deployments &amp; Config'!K283)</f>
        <v/>
      </c>
      <c r="P278" s="32" t="str">
        <f>IF('12 - Deployments &amp; Config'!L283="","",'12 - Deployments &amp; Config'!L283)</f>
        <v/>
      </c>
      <c r="Q278" s="33"/>
      <c r="R278" s="32" t="str">
        <f>IF('12 - Deployments &amp; Config'!AZ283="","",'12 - Deployments &amp; Config'!AZ283)</f>
        <v/>
      </c>
      <c r="S278" s="32" t="str">
        <f>IF('12 - Deployments &amp; Config'!AY283="","",'12 - Deployments &amp; Config'!AY283)</f>
        <v/>
      </c>
      <c r="T278" s="32" t="str">
        <f>IF('12 - Deployments &amp; Config'!AW283="","",'12 - Deployments &amp; Config'!AW283)</f>
        <v/>
      </c>
      <c r="U278" s="32" t="str">
        <f>IF('12 - Deployments &amp; Config'!AX283="","",'12 - Deployments &amp; Config'!AX283)</f>
        <v/>
      </c>
      <c r="V278" s="32" t="str">
        <f>IF('12 - Deployments &amp; Config'!BB283="","",'12 - Deployments &amp; Config'!BB283)</f>
        <v/>
      </c>
      <c r="W278" s="32" t="str">
        <f>IF('12 - Deployments &amp; Config'!BD283="","",'12 - Deployments &amp; Config'!BD283)</f>
        <v/>
      </c>
      <c r="X278" s="32" t="str">
        <f>IF('12 - Deployments &amp; Config'!BL283="","",'12 - Deployments &amp; Config'!BL283)</f>
        <v/>
      </c>
      <c r="Y278" s="32" t="str">
        <f>IF('12 - Deployments &amp; Config'!BC283="","",'12 - Deployments &amp; Config'!BC283)</f>
        <v/>
      </c>
      <c r="Z278" s="32" t="str">
        <f>IF('12 - Deployments &amp; Config'!P283="","",'12 - Deployments &amp; Config'!P283)</f>
        <v/>
      </c>
      <c r="AA278" s="32" t="str">
        <f>IF('12 - Deployments &amp; Config'!Q283="","",'12 - Deployments &amp; Config'!Q283)</f>
        <v/>
      </c>
    </row>
    <row r="279" spans="1:27">
      <c r="A279" s="33"/>
      <c r="B279" s="33"/>
      <c r="C279" s="32" t="str">
        <f>IF('12 - Deployments &amp; Config'!H284="","",'12 - Deployments &amp; Config'!H284)</f>
        <v/>
      </c>
      <c r="D279" s="32" t="str">
        <f>IF('12 - Deployments &amp; Config'!AF284="","",'12 - Deployments &amp; Config'!AF284)</f>
        <v/>
      </c>
      <c r="E279" s="32" t="str">
        <f>IF('12 - Deployments &amp; Config'!AG284="","",'12 - Deployments &amp; Config'!AG284)</f>
        <v/>
      </c>
      <c r="F279" s="32" t="str">
        <f>IF('12 - Deployments &amp; Config'!AH284="","",'12 - Deployments &amp; Config'!AH284)</f>
        <v/>
      </c>
      <c r="G279" s="32" t="str">
        <f>IF('12 - Deployments &amp; Config'!AI284="","",'12 - Deployments &amp; Config'!AI284)</f>
        <v/>
      </c>
      <c r="H279" s="32" t="str">
        <f>IF('12 - Deployments &amp; Config'!A284="","",'12 - Deployments &amp; Config'!A284)</f>
        <v/>
      </c>
      <c r="I279" s="32" t="str">
        <f>IF('12 - Deployments &amp; Config'!AJ284="","",'12 - Deployments &amp; Config'!AJ284)</f>
        <v/>
      </c>
      <c r="J279" s="32" t="str">
        <f>IF('12 - Deployments &amp; Config'!AK284="","",'12 - Deployments &amp; Config'!AK284)</f>
        <v/>
      </c>
      <c r="K279" s="32" t="str">
        <f>IF('12 - Deployments &amp; Config'!AA284="","",'12 - Deployments &amp; Config'!AA284)</f>
        <v/>
      </c>
      <c r="L279" s="32" t="str">
        <f>IF('12 - Deployments &amp; Config'!I284="","",'12 - Deployments &amp; Config'!I284)</f>
        <v/>
      </c>
      <c r="M279" s="33"/>
      <c r="N279" s="32" t="str">
        <f>IF('12 - Deployments &amp; Config'!J284="","",'12 - Deployments &amp; Config'!J284)</f>
        <v/>
      </c>
      <c r="O279" s="32" t="str">
        <f>IF('12 - Deployments &amp; Config'!K284="","",'12 - Deployments &amp; Config'!K284)</f>
        <v/>
      </c>
      <c r="P279" s="32" t="str">
        <f>IF('12 - Deployments &amp; Config'!L284="","",'12 - Deployments &amp; Config'!L284)</f>
        <v/>
      </c>
      <c r="Q279" s="33"/>
      <c r="R279" s="32" t="str">
        <f>IF('12 - Deployments &amp; Config'!AZ284="","",'12 - Deployments &amp; Config'!AZ284)</f>
        <v/>
      </c>
      <c r="S279" s="32" t="str">
        <f>IF('12 - Deployments &amp; Config'!AY284="","",'12 - Deployments &amp; Config'!AY284)</f>
        <v/>
      </c>
      <c r="T279" s="32" t="str">
        <f>IF('12 - Deployments &amp; Config'!AW284="","",'12 - Deployments &amp; Config'!AW284)</f>
        <v/>
      </c>
      <c r="U279" s="32" t="str">
        <f>IF('12 - Deployments &amp; Config'!AX284="","",'12 - Deployments &amp; Config'!AX284)</f>
        <v/>
      </c>
      <c r="V279" s="32" t="str">
        <f>IF('12 - Deployments &amp; Config'!BB284="","",'12 - Deployments &amp; Config'!BB284)</f>
        <v/>
      </c>
      <c r="W279" s="32" t="str">
        <f>IF('12 - Deployments &amp; Config'!BD284="","",'12 - Deployments &amp; Config'!BD284)</f>
        <v/>
      </c>
      <c r="X279" s="32" t="str">
        <f>IF('12 - Deployments &amp; Config'!BL284="","",'12 - Deployments &amp; Config'!BL284)</f>
        <v/>
      </c>
      <c r="Y279" s="32" t="str">
        <f>IF('12 - Deployments &amp; Config'!BC284="","",'12 - Deployments &amp; Config'!BC284)</f>
        <v/>
      </c>
      <c r="Z279" s="32" t="str">
        <f>IF('12 - Deployments &amp; Config'!P284="","",'12 - Deployments &amp; Config'!P284)</f>
        <v/>
      </c>
      <c r="AA279" s="32" t="str">
        <f>IF('12 - Deployments &amp; Config'!Q284="","",'12 - Deployments &amp; Config'!Q284)</f>
        <v/>
      </c>
    </row>
    <row r="280" spans="1:27">
      <c r="A280" s="33"/>
      <c r="B280" s="33"/>
      <c r="C280" s="32" t="str">
        <f>IF('12 - Deployments &amp; Config'!H285="","",'12 - Deployments &amp; Config'!H285)</f>
        <v/>
      </c>
      <c r="D280" s="32" t="str">
        <f>IF('12 - Deployments &amp; Config'!AF285="","",'12 - Deployments &amp; Config'!AF285)</f>
        <v/>
      </c>
      <c r="E280" s="32" t="str">
        <f>IF('12 - Deployments &amp; Config'!AG285="","",'12 - Deployments &amp; Config'!AG285)</f>
        <v/>
      </c>
      <c r="F280" s="32" t="str">
        <f>IF('12 - Deployments &amp; Config'!AH285="","",'12 - Deployments &amp; Config'!AH285)</f>
        <v/>
      </c>
      <c r="G280" s="32" t="str">
        <f>IF('12 - Deployments &amp; Config'!AI285="","",'12 - Deployments &amp; Config'!AI285)</f>
        <v/>
      </c>
      <c r="H280" s="32" t="str">
        <f>IF('12 - Deployments &amp; Config'!A285="","",'12 - Deployments &amp; Config'!A285)</f>
        <v/>
      </c>
      <c r="I280" s="32" t="str">
        <f>IF('12 - Deployments &amp; Config'!AJ285="","",'12 - Deployments &amp; Config'!AJ285)</f>
        <v/>
      </c>
      <c r="J280" s="32" t="str">
        <f>IF('12 - Deployments &amp; Config'!AK285="","",'12 - Deployments &amp; Config'!AK285)</f>
        <v/>
      </c>
      <c r="K280" s="32" t="str">
        <f>IF('12 - Deployments &amp; Config'!AA285="","",'12 - Deployments &amp; Config'!AA285)</f>
        <v/>
      </c>
      <c r="L280" s="32" t="str">
        <f>IF('12 - Deployments &amp; Config'!I285="","",'12 - Deployments &amp; Config'!I285)</f>
        <v/>
      </c>
      <c r="M280" s="33"/>
      <c r="N280" s="32" t="str">
        <f>IF('12 - Deployments &amp; Config'!J285="","",'12 - Deployments &amp; Config'!J285)</f>
        <v/>
      </c>
      <c r="O280" s="32" t="str">
        <f>IF('12 - Deployments &amp; Config'!K285="","",'12 - Deployments &amp; Config'!K285)</f>
        <v/>
      </c>
      <c r="P280" s="32" t="str">
        <f>IF('12 - Deployments &amp; Config'!L285="","",'12 - Deployments &amp; Config'!L285)</f>
        <v/>
      </c>
      <c r="Q280" s="33"/>
      <c r="R280" s="32" t="str">
        <f>IF('12 - Deployments &amp; Config'!AZ285="","",'12 - Deployments &amp; Config'!AZ285)</f>
        <v/>
      </c>
      <c r="S280" s="32" t="str">
        <f>IF('12 - Deployments &amp; Config'!AY285="","",'12 - Deployments &amp; Config'!AY285)</f>
        <v/>
      </c>
      <c r="T280" s="32" t="str">
        <f>IF('12 - Deployments &amp; Config'!AW285="","",'12 - Deployments &amp; Config'!AW285)</f>
        <v/>
      </c>
      <c r="U280" s="32" t="str">
        <f>IF('12 - Deployments &amp; Config'!AX285="","",'12 - Deployments &amp; Config'!AX285)</f>
        <v/>
      </c>
      <c r="V280" s="32" t="str">
        <f>IF('12 - Deployments &amp; Config'!BB285="","",'12 - Deployments &amp; Config'!BB285)</f>
        <v/>
      </c>
      <c r="W280" s="32" t="str">
        <f>IF('12 - Deployments &amp; Config'!BD285="","",'12 - Deployments &amp; Config'!BD285)</f>
        <v/>
      </c>
      <c r="X280" s="32" t="str">
        <f>IF('12 - Deployments &amp; Config'!BL285="","",'12 - Deployments &amp; Config'!BL285)</f>
        <v/>
      </c>
      <c r="Y280" s="32" t="str">
        <f>IF('12 - Deployments &amp; Config'!BC285="","",'12 - Deployments &amp; Config'!BC285)</f>
        <v/>
      </c>
      <c r="Z280" s="32" t="str">
        <f>IF('12 - Deployments &amp; Config'!P285="","",'12 - Deployments &amp; Config'!P285)</f>
        <v/>
      </c>
      <c r="AA280" s="32" t="str">
        <f>IF('12 - Deployments &amp; Config'!Q285="","",'12 - Deployments &amp; Config'!Q285)</f>
        <v/>
      </c>
    </row>
    <row r="281" spans="1:27">
      <c r="A281" s="33"/>
      <c r="B281" s="33"/>
      <c r="C281" s="32" t="str">
        <f>IF('12 - Deployments &amp; Config'!H286="","",'12 - Deployments &amp; Config'!H286)</f>
        <v/>
      </c>
      <c r="D281" s="32" t="str">
        <f>IF('12 - Deployments &amp; Config'!AF286="","",'12 - Deployments &amp; Config'!AF286)</f>
        <v/>
      </c>
      <c r="E281" s="32" t="str">
        <f>IF('12 - Deployments &amp; Config'!AG286="","",'12 - Deployments &amp; Config'!AG286)</f>
        <v/>
      </c>
      <c r="F281" s="32" t="str">
        <f>IF('12 - Deployments &amp; Config'!AH286="","",'12 - Deployments &amp; Config'!AH286)</f>
        <v/>
      </c>
      <c r="G281" s="32" t="str">
        <f>IF('12 - Deployments &amp; Config'!AI286="","",'12 - Deployments &amp; Config'!AI286)</f>
        <v/>
      </c>
      <c r="H281" s="32" t="str">
        <f>IF('12 - Deployments &amp; Config'!A286="","",'12 - Deployments &amp; Config'!A286)</f>
        <v/>
      </c>
      <c r="I281" s="32" t="str">
        <f>IF('12 - Deployments &amp; Config'!AJ286="","",'12 - Deployments &amp; Config'!AJ286)</f>
        <v/>
      </c>
      <c r="J281" s="32" t="str">
        <f>IF('12 - Deployments &amp; Config'!AK286="","",'12 - Deployments &amp; Config'!AK286)</f>
        <v/>
      </c>
      <c r="K281" s="32" t="str">
        <f>IF('12 - Deployments &amp; Config'!AA286="","",'12 - Deployments &amp; Config'!AA286)</f>
        <v/>
      </c>
      <c r="L281" s="32" t="str">
        <f>IF('12 - Deployments &amp; Config'!I286="","",'12 - Deployments &amp; Config'!I286)</f>
        <v/>
      </c>
      <c r="M281" s="33"/>
      <c r="N281" s="32" t="str">
        <f>IF('12 - Deployments &amp; Config'!J286="","",'12 - Deployments &amp; Config'!J286)</f>
        <v/>
      </c>
      <c r="O281" s="32" t="str">
        <f>IF('12 - Deployments &amp; Config'!K286="","",'12 - Deployments &amp; Config'!K286)</f>
        <v/>
      </c>
      <c r="P281" s="32" t="str">
        <f>IF('12 - Deployments &amp; Config'!L286="","",'12 - Deployments &amp; Config'!L286)</f>
        <v/>
      </c>
      <c r="Q281" s="33"/>
      <c r="R281" s="32" t="str">
        <f>IF('12 - Deployments &amp; Config'!AZ286="","",'12 - Deployments &amp; Config'!AZ286)</f>
        <v/>
      </c>
      <c r="S281" s="32" t="str">
        <f>IF('12 - Deployments &amp; Config'!AY286="","",'12 - Deployments &amp; Config'!AY286)</f>
        <v/>
      </c>
      <c r="T281" s="32" t="str">
        <f>IF('12 - Deployments &amp; Config'!AW286="","",'12 - Deployments &amp; Config'!AW286)</f>
        <v/>
      </c>
      <c r="U281" s="32" t="str">
        <f>IF('12 - Deployments &amp; Config'!AX286="","",'12 - Deployments &amp; Config'!AX286)</f>
        <v/>
      </c>
      <c r="V281" s="32" t="str">
        <f>IF('12 - Deployments &amp; Config'!BB286="","",'12 - Deployments &amp; Config'!BB286)</f>
        <v/>
      </c>
      <c r="W281" s="32" t="str">
        <f>IF('12 - Deployments &amp; Config'!BD286="","",'12 - Deployments &amp; Config'!BD286)</f>
        <v/>
      </c>
      <c r="X281" s="32" t="str">
        <f>IF('12 - Deployments &amp; Config'!BL286="","",'12 - Deployments &amp; Config'!BL286)</f>
        <v/>
      </c>
      <c r="Y281" s="32" t="str">
        <f>IF('12 - Deployments &amp; Config'!BC286="","",'12 - Deployments &amp; Config'!BC286)</f>
        <v/>
      </c>
      <c r="Z281" s="32" t="str">
        <f>IF('12 - Deployments &amp; Config'!P286="","",'12 - Deployments &amp; Config'!P286)</f>
        <v/>
      </c>
      <c r="AA281" s="32" t="str">
        <f>IF('12 - Deployments &amp; Config'!Q286="","",'12 - Deployments &amp; Config'!Q286)</f>
        <v/>
      </c>
    </row>
    <row r="282" spans="1:27">
      <c r="A282" s="33"/>
      <c r="B282" s="33"/>
      <c r="C282" s="32" t="str">
        <f>IF('12 - Deployments &amp; Config'!H287="","",'12 - Deployments &amp; Config'!H287)</f>
        <v/>
      </c>
      <c r="D282" s="32" t="str">
        <f>IF('12 - Deployments &amp; Config'!AF287="","",'12 - Deployments &amp; Config'!AF287)</f>
        <v/>
      </c>
      <c r="E282" s="32" t="str">
        <f>IF('12 - Deployments &amp; Config'!AG287="","",'12 - Deployments &amp; Config'!AG287)</f>
        <v/>
      </c>
      <c r="F282" s="32" t="str">
        <f>IF('12 - Deployments &amp; Config'!AH287="","",'12 - Deployments &amp; Config'!AH287)</f>
        <v/>
      </c>
      <c r="G282" s="32" t="str">
        <f>IF('12 - Deployments &amp; Config'!AI287="","",'12 - Deployments &amp; Config'!AI287)</f>
        <v/>
      </c>
      <c r="H282" s="32" t="str">
        <f>IF('12 - Deployments &amp; Config'!A287="","",'12 - Deployments &amp; Config'!A287)</f>
        <v/>
      </c>
      <c r="I282" s="32" t="str">
        <f>IF('12 - Deployments &amp; Config'!AJ287="","",'12 - Deployments &amp; Config'!AJ287)</f>
        <v/>
      </c>
      <c r="J282" s="32" t="str">
        <f>IF('12 - Deployments &amp; Config'!AK287="","",'12 - Deployments &amp; Config'!AK287)</f>
        <v/>
      </c>
      <c r="K282" s="32" t="str">
        <f>IF('12 - Deployments &amp; Config'!AA287="","",'12 - Deployments &amp; Config'!AA287)</f>
        <v/>
      </c>
      <c r="L282" s="32" t="str">
        <f>IF('12 - Deployments &amp; Config'!I287="","",'12 - Deployments &amp; Config'!I287)</f>
        <v/>
      </c>
      <c r="M282" s="33"/>
      <c r="N282" s="32" t="str">
        <f>IF('12 - Deployments &amp; Config'!J287="","",'12 - Deployments &amp; Config'!J287)</f>
        <v/>
      </c>
      <c r="O282" s="32" t="str">
        <f>IF('12 - Deployments &amp; Config'!K287="","",'12 - Deployments &amp; Config'!K287)</f>
        <v/>
      </c>
      <c r="P282" s="32" t="str">
        <f>IF('12 - Deployments &amp; Config'!L287="","",'12 - Deployments &amp; Config'!L287)</f>
        <v/>
      </c>
      <c r="Q282" s="33"/>
      <c r="R282" s="32" t="str">
        <f>IF('12 - Deployments &amp; Config'!AZ287="","",'12 - Deployments &amp; Config'!AZ287)</f>
        <v/>
      </c>
      <c r="S282" s="32" t="str">
        <f>IF('12 - Deployments &amp; Config'!AY287="","",'12 - Deployments &amp; Config'!AY287)</f>
        <v/>
      </c>
      <c r="T282" s="32" t="str">
        <f>IF('12 - Deployments &amp; Config'!AW287="","",'12 - Deployments &amp; Config'!AW287)</f>
        <v/>
      </c>
      <c r="U282" s="32" t="str">
        <f>IF('12 - Deployments &amp; Config'!AX287="","",'12 - Deployments &amp; Config'!AX287)</f>
        <v/>
      </c>
      <c r="V282" s="32" t="str">
        <f>IF('12 - Deployments &amp; Config'!BB287="","",'12 - Deployments &amp; Config'!BB287)</f>
        <v/>
      </c>
      <c r="W282" s="32" t="str">
        <f>IF('12 - Deployments &amp; Config'!BD287="","",'12 - Deployments &amp; Config'!BD287)</f>
        <v/>
      </c>
      <c r="X282" s="32" t="str">
        <f>IF('12 - Deployments &amp; Config'!BL287="","",'12 - Deployments &amp; Config'!BL287)</f>
        <v/>
      </c>
      <c r="Y282" s="32" t="str">
        <f>IF('12 - Deployments &amp; Config'!BC287="","",'12 - Deployments &amp; Config'!BC287)</f>
        <v/>
      </c>
      <c r="Z282" s="32" t="str">
        <f>IF('12 - Deployments &amp; Config'!P287="","",'12 - Deployments &amp; Config'!P287)</f>
        <v/>
      </c>
      <c r="AA282" s="32" t="str">
        <f>IF('12 - Deployments &amp; Config'!Q287="","",'12 - Deployments &amp; Config'!Q287)</f>
        <v/>
      </c>
    </row>
    <row r="283" spans="1:27">
      <c r="A283" s="33"/>
      <c r="B283" s="33"/>
      <c r="C283" s="32" t="str">
        <f>IF('12 - Deployments &amp; Config'!H288="","",'12 - Deployments &amp; Config'!H288)</f>
        <v/>
      </c>
      <c r="D283" s="32" t="str">
        <f>IF('12 - Deployments &amp; Config'!AF288="","",'12 - Deployments &amp; Config'!AF288)</f>
        <v/>
      </c>
      <c r="E283" s="32" t="str">
        <f>IF('12 - Deployments &amp; Config'!AG288="","",'12 - Deployments &amp; Config'!AG288)</f>
        <v/>
      </c>
      <c r="F283" s="32" t="str">
        <f>IF('12 - Deployments &amp; Config'!AH288="","",'12 - Deployments &amp; Config'!AH288)</f>
        <v/>
      </c>
      <c r="G283" s="32" t="str">
        <f>IF('12 - Deployments &amp; Config'!AI288="","",'12 - Deployments &amp; Config'!AI288)</f>
        <v/>
      </c>
      <c r="H283" s="32" t="str">
        <f>IF('12 - Deployments &amp; Config'!A288="","",'12 - Deployments &amp; Config'!A288)</f>
        <v/>
      </c>
      <c r="I283" s="32" t="str">
        <f>IF('12 - Deployments &amp; Config'!AJ288="","",'12 - Deployments &amp; Config'!AJ288)</f>
        <v/>
      </c>
      <c r="J283" s="32" t="str">
        <f>IF('12 - Deployments &amp; Config'!AK288="","",'12 - Deployments &amp; Config'!AK288)</f>
        <v/>
      </c>
      <c r="K283" s="32" t="str">
        <f>IF('12 - Deployments &amp; Config'!AA288="","",'12 - Deployments &amp; Config'!AA288)</f>
        <v/>
      </c>
      <c r="L283" s="32" t="str">
        <f>IF('12 - Deployments &amp; Config'!I288="","",'12 - Deployments &amp; Config'!I288)</f>
        <v/>
      </c>
      <c r="M283" s="33"/>
      <c r="N283" s="32" t="str">
        <f>IF('12 - Deployments &amp; Config'!J288="","",'12 - Deployments &amp; Config'!J288)</f>
        <v/>
      </c>
      <c r="O283" s="32" t="str">
        <f>IF('12 - Deployments &amp; Config'!K288="","",'12 - Deployments &amp; Config'!K288)</f>
        <v/>
      </c>
      <c r="P283" s="32" t="str">
        <f>IF('12 - Deployments &amp; Config'!L288="","",'12 - Deployments &amp; Config'!L288)</f>
        <v/>
      </c>
      <c r="Q283" s="33"/>
      <c r="R283" s="32" t="str">
        <f>IF('12 - Deployments &amp; Config'!AZ288="","",'12 - Deployments &amp; Config'!AZ288)</f>
        <v/>
      </c>
      <c r="S283" s="32" t="str">
        <f>IF('12 - Deployments &amp; Config'!AY288="","",'12 - Deployments &amp; Config'!AY288)</f>
        <v/>
      </c>
      <c r="T283" s="32" t="str">
        <f>IF('12 - Deployments &amp; Config'!AW288="","",'12 - Deployments &amp; Config'!AW288)</f>
        <v/>
      </c>
      <c r="U283" s="32" t="str">
        <f>IF('12 - Deployments &amp; Config'!AX288="","",'12 - Deployments &amp; Config'!AX288)</f>
        <v/>
      </c>
      <c r="V283" s="32" t="str">
        <f>IF('12 - Deployments &amp; Config'!BB288="","",'12 - Deployments &amp; Config'!BB288)</f>
        <v/>
      </c>
      <c r="W283" s="32" t="str">
        <f>IF('12 - Deployments &amp; Config'!BD288="","",'12 - Deployments &amp; Config'!BD288)</f>
        <v/>
      </c>
      <c r="X283" s="32" t="str">
        <f>IF('12 - Deployments &amp; Config'!BL288="","",'12 - Deployments &amp; Config'!BL288)</f>
        <v/>
      </c>
      <c r="Y283" s="32" t="str">
        <f>IF('12 - Deployments &amp; Config'!BC288="","",'12 - Deployments &amp; Config'!BC288)</f>
        <v/>
      </c>
      <c r="Z283" s="32" t="str">
        <f>IF('12 - Deployments &amp; Config'!P288="","",'12 - Deployments &amp; Config'!P288)</f>
        <v/>
      </c>
      <c r="AA283" s="32" t="str">
        <f>IF('12 - Deployments &amp; Config'!Q288="","",'12 - Deployments &amp; Config'!Q288)</f>
        <v/>
      </c>
    </row>
    <row r="284" spans="1:27">
      <c r="A284" s="33"/>
      <c r="B284" s="33"/>
      <c r="C284" s="32" t="str">
        <f>IF('12 - Deployments &amp; Config'!H289="","",'12 - Deployments &amp; Config'!H289)</f>
        <v/>
      </c>
      <c r="D284" s="32" t="str">
        <f>IF('12 - Deployments &amp; Config'!AF289="","",'12 - Deployments &amp; Config'!AF289)</f>
        <v/>
      </c>
      <c r="E284" s="32" t="str">
        <f>IF('12 - Deployments &amp; Config'!AG289="","",'12 - Deployments &amp; Config'!AG289)</f>
        <v/>
      </c>
      <c r="F284" s="32" t="str">
        <f>IF('12 - Deployments &amp; Config'!AH289="","",'12 - Deployments &amp; Config'!AH289)</f>
        <v/>
      </c>
      <c r="G284" s="32" t="str">
        <f>IF('12 - Deployments &amp; Config'!AI289="","",'12 - Deployments &amp; Config'!AI289)</f>
        <v/>
      </c>
      <c r="H284" s="32" t="str">
        <f>IF('12 - Deployments &amp; Config'!A289="","",'12 - Deployments &amp; Config'!A289)</f>
        <v/>
      </c>
      <c r="I284" s="32" t="str">
        <f>IF('12 - Deployments &amp; Config'!AJ289="","",'12 - Deployments &amp; Config'!AJ289)</f>
        <v/>
      </c>
      <c r="J284" s="32" t="str">
        <f>IF('12 - Deployments &amp; Config'!AK289="","",'12 - Deployments &amp; Config'!AK289)</f>
        <v/>
      </c>
      <c r="K284" s="32" t="str">
        <f>IF('12 - Deployments &amp; Config'!AA289="","",'12 - Deployments &amp; Config'!AA289)</f>
        <v/>
      </c>
      <c r="L284" s="32" t="str">
        <f>IF('12 - Deployments &amp; Config'!I289="","",'12 - Deployments &amp; Config'!I289)</f>
        <v/>
      </c>
      <c r="M284" s="33"/>
      <c r="N284" s="32" t="str">
        <f>IF('12 - Deployments &amp; Config'!J289="","",'12 - Deployments &amp; Config'!J289)</f>
        <v/>
      </c>
      <c r="O284" s="32" t="str">
        <f>IF('12 - Deployments &amp; Config'!K289="","",'12 - Deployments &amp; Config'!K289)</f>
        <v/>
      </c>
      <c r="P284" s="32" t="str">
        <f>IF('12 - Deployments &amp; Config'!L289="","",'12 - Deployments &amp; Config'!L289)</f>
        <v/>
      </c>
      <c r="Q284" s="33"/>
      <c r="R284" s="32" t="str">
        <f>IF('12 - Deployments &amp; Config'!AZ289="","",'12 - Deployments &amp; Config'!AZ289)</f>
        <v/>
      </c>
      <c r="S284" s="32" t="str">
        <f>IF('12 - Deployments &amp; Config'!AY289="","",'12 - Deployments &amp; Config'!AY289)</f>
        <v/>
      </c>
      <c r="T284" s="32" t="str">
        <f>IF('12 - Deployments &amp; Config'!AW289="","",'12 - Deployments &amp; Config'!AW289)</f>
        <v/>
      </c>
      <c r="U284" s="32" t="str">
        <f>IF('12 - Deployments &amp; Config'!AX289="","",'12 - Deployments &amp; Config'!AX289)</f>
        <v/>
      </c>
      <c r="V284" s="32" t="str">
        <f>IF('12 - Deployments &amp; Config'!BB289="","",'12 - Deployments &amp; Config'!BB289)</f>
        <v/>
      </c>
      <c r="W284" s="32" t="str">
        <f>IF('12 - Deployments &amp; Config'!BD289="","",'12 - Deployments &amp; Config'!BD289)</f>
        <v/>
      </c>
      <c r="X284" s="32" t="str">
        <f>IF('12 - Deployments &amp; Config'!BL289="","",'12 - Deployments &amp; Config'!BL289)</f>
        <v/>
      </c>
      <c r="Y284" s="32" t="str">
        <f>IF('12 - Deployments &amp; Config'!BC289="","",'12 - Deployments &amp; Config'!BC289)</f>
        <v/>
      </c>
      <c r="Z284" s="32" t="str">
        <f>IF('12 - Deployments &amp; Config'!P289="","",'12 - Deployments &amp; Config'!P289)</f>
        <v/>
      </c>
      <c r="AA284" s="32" t="str">
        <f>IF('12 - Deployments &amp; Config'!Q289="","",'12 - Deployments &amp; Config'!Q289)</f>
        <v/>
      </c>
    </row>
    <row r="285" spans="1:27">
      <c r="A285" s="33"/>
      <c r="B285" s="33"/>
      <c r="C285" s="32" t="str">
        <f>IF('12 - Deployments &amp; Config'!H290="","",'12 - Deployments &amp; Config'!H290)</f>
        <v/>
      </c>
      <c r="D285" s="32" t="str">
        <f>IF('12 - Deployments &amp; Config'!AF290="","",'12 - Deployments &amp; Config'!AF290)</f>
        <v/>
      </c>
      <c r="E285" s="32" t="str">
        <f>IF('12 - Deployments &amp; Config'!AG290="","",'12 - Deployments &amp; Config'!AG290)</f>
        <v/>
      </c>
      <c r="F285" s="32" t="str">
        <f>IF('12 - Deployments &amp; Config'!AH290="","",'12 - Deployments &amp; Config'!AH290)</f>
        <v/>
      </c>
      <c r="G285" s="32" t="str">
        <f>IF('12 - Deployments &amp; Config'!AI290="","",'12 - Deployments &amp; Config'!AI290)</f>
        <v/>
      </c>
      <c r="H285" s="32" t="str">
        <f>IF('12 - Deployments &amp; Config'!A290="","",'12 - Deployments &amp; Config'!A290)</f>
        <v/>
      </c>
      <c r="I285" s="32" t="str">
        <f>IF('12 - Deployments &amp; Config'!AJ290="","",'12 - Deployments &amp; Config'!AJ290)</f>
        <v/>
      </c>
      <c r="J285" s="32" t="str">
        <f>IF('12 - Deployments &amp; Config'!AK290="","",'12 - Deployments &amp; Config'!AK290)</f>
        <v/>
      </c>
      <c r="K285" s="32" t="str">
        <f>IF('12 - Deployments &amp; Config'!AA290="","",'12 - Deployments &amp; Config'!AA290)</f>
        <v/>
      </c>
      <c r="L285" s="32" t="str">
        <f>IF('12 - Deployments &amp; Config'!I290="","",'12 - Deployments &amp; Config'!I290)</f>
        <v/>
      </c>
      <c r="M285" s="33"/>
      <c r="N285" s="32" t="str">
        <f>IF('12 - Deployments &amp; Config'!J290="","",'12 - Deployments &amp; Config'!J290)</f>
        <v/>
      </c>
      <c r="O285" s="32" t="str">
        <f>IF('12 - Deployments &amp; Config'!K290="","",'12 - Deployments &amp; Config'!K290)</f>
        <v/>
      </c>
      <c r="P285" s="32" t="str">
        <f>IF('12 - Deployments &amp; Config'!L290="","",'12 - Deployments &amp; Config'!L290)</f>
        <v/>
      </c>
      <c r="Q285" s="33"/>
      <c r="R285" s="32" t="str">
        <f>IF('12 - Deployments &amp; Config'!AZ290="","",'12 - Deployments &amp; Config'!AZ290)</f>
        <v/>
      </c>
      <c r="S285" s="32" t="str">
        <f>IF('12 - Deployments &amp; Config'!AY290="","",'12 - Deployments &amp; Config'!AY290)</f>
        <v/>
      </c>
      <c r="T285" s="32" t="str">
        <f>IF('12 - Deployments &amp; Config'!AW290="","",'12 - Deployments &amp; Config'!AW290)</f>
        <v/>
      </c>
      <c r="U285" s="32" t="str">
        <f>IF('12 - Deployments &amp; Config'!AX290="","",'12 - Deployments &amp; Config'!AX290)</f>
        <v/>
      </c>
      <c r="V285" s="32" t="str">
        <f>IF('12 - Deployments &amp; Config'!BB290="","",'12 - Deployments &amp; Config'!BB290)</f>
        <v/>
      </c>
      <c r="W285" s="32" t="str">
        <f>IF('12 - Deployments &amp; Config'!BD290="","",'12 - Deployments &amp; Config'!BD290)</f>
        <v/>
      </c>
      <c r="X285" s="32" t="str">
        <f>IF('12 - Deployments &amp; Config'!BL290="","",'12 - Deployments &amp; Config'!BL290)</f>
        <v/>
      </c>
      <c r="Y285" s="32" t="str">
        <f>IF('12 - Deployments &amp; Config'!BC290="","",'12 - Deployments &amp; Config'!BC290)</f>
        <v/>
      </c>
      <c r="Z285" s="32" t="str">
        <f>IF('12 - Deployments &amp; Config'!P290="","",'12 - Deployments &amp; Config'!P290)</f>
        <v/>
      </c>
      <c r="AA285" s="32" t="str">
        <f>IF('12 - Deployments &amp; Config'!Q290="","",'12 - Deployments &amp; Config'!Q290)</f>
        <v/>
      </c>
    </row>
    <row r="286" spans="1:27">
      <c r="A286" s="33"/>
      <c r="B286" s="33"/>
      <c r="C286" s="32" t="str">
        <f>IF('12 - Deployments &amp; Config'!H291="","",'12 - Deployments &amp; Config'!H291)</f>
        <v/>
      </c>
      <c r="D286" s="32" t="str">
        <f>IF('12 - Deployments &amp; Config'!AF291="","",'12 - Deployments &amp; Config'!AF291)</f>
        <v/>
      </c>
      <c r="E286" s="32" t="str">
        <f>IF('12 - Deployments &amp; Config'!AG291="","",'12 - Deployments &amp; Config'!AG291)</f>
        <v/>
      </c>
      <c r="F286" s="32" t="str">
        <f>IF('12 - Deployments &amp; Config'!AH291="","",'12 - Deployments &amp; Config'!AH291)</f>
        <v/>
      </c>
      <c r="G286" s="32" t="str">
        <f>IF('12 - Deployments &amp; Config'!AI291="","",'12 - Deployments &amp; Config'!AI291)</f>
        <v/>
      </c>
      <c r="H286" s="32" t="str">
        <f>IF('12 - Deployments &amp; Config'!A291="","",'12 - Deployments &amp; Config'!A291)</f>
        <v/>
      </c>
      <c r="I286" s="32" t="str">
        <f>IF('12 - Deployments &amp; Config'!AJ291="","",'12 - Deployments &amp; Config'!AJ291)</f>
        <v/>
      </c>
      <c r="J286" s="32" t="str">
        <f>IF('12 - Deployments &amp; Config'!AK291="","",'12 - Deployments &amp; Config'!AK291)</f>
        <v/>
      </c>
      <c r="K286" s="32" t="str">
        <f>IF('12 - Deployments &amp; Config'!AA291="","",'12 - Deployments &amp; Config'!AA291)</f>
        <v/>
      </c>
      <c r="L286" s="32" t="str">
        <f>IF('12 - Deployments &amp; Config'!I291="","",'12 - Deployments &amp; Config'!I291)</f>
        <v/>
      </c>
      <c r="M286" s="33"/>
      <c r="N286" s="32" t="str">
        <f>IF('12 - Deployments &amp; Config'!J291="","",'12 - Deployments &amp; Config'!J291)</f>
        <v/>
      </c>
      <c r="O286" s="32" t="str">
        <f>IF('12 - Deployments &amp; Config'!K291="","",'12 - Deployments &amp; Config'!K291)</f>
        <v/>
      </c>
      <c r="P286" s="32" t="str">
        <f>IF('12 - Deployments &amp; Config'!L291="","",'12 - Deployments &amp; Config'!L291)</f>
        <v/>
      </c>
      <c r="Q286" s="33"/>
      <c r="R286" s="32" t="str">
        <f>IF('12 - Deployments &amp; Config'!AZ291="","",'12 - Deployments &amp; Config'!AZ291)</f>
        <v/>
      </c>
      <c r="S286" s="32" t="str">
        <f>IF('12 - Deployments &amp; Config'!AY291="","",'12 - Deployments &amp; Config'!AY291)</f>
        <v/>
      </c>
      <c r="T286" s="32" t="str">
        <f>IF('12 - Deployments &amp; Config'!AW291="","",'12 - Deployments &amp; Config'!AW291)</f>
        <v/>
      </c>
      <c r="U286" s="32" t="str">
        <f>IF('12 - Deployments &amp; Config'!AX291="","",'12 - Deployments &amp; Config'!AX291)</f>
        <v/>
      </c>
      <c r="V286" s="32" t="str">
        <f>IF('12 - Deployments &amp; Config'!BB291="","",'12 - Deployments &amp; Config'!BB291)</f>
        <v/>
      </c>
      <c r="W286" s="32" t="str">
        <f>IF('12 - Deployments &amp; Config'!BD291="","",'12 - Deployments &amp; Config'!BD291)</f>
        <v/>
      </c>
      <c r="X286" s="32" t="str">
        <f>IF('12 - Deployments &amp; Config'!BL291="","",'12 - Deployments &amp; Config'!BL291)</f>
        <v/>
      </c>
      <c r="Y286" s="32" t="str">
        <f>IF('12 - Deployments &amp; Config'!BC291="","",'12 - Deployments &amp; Config'!BC291)</f>
        <v/>
      </c>
      <c r="Z286" s="32" t="str">
        <f>IF('12 - Deployments &amp; Config'!P291="","",'12 - Deployments &amp; Config'!P291)</f>
        <v/>
      </c>
      <c r="AA286" s="32" t="str">
        <f>IF('12 - Deployments &amp; Config'!Q291="","",'12 - Deployments &amp; Config'!Q291)</f>
        <v/>
      </c>
    </row>
    <row r="287" spans="1:27">
      <c r="A287" s="33"/>
      <c r="B287" s="33"/>
      <c r="C287" s="32" t="str">
        <f>IF('12 - Deployments &amp; Config'!H292="","",'12 - Deployments &amp; Config'!H292)</f>
        <v/>
      </c>
      <c r="D287" s="32" t="str">
        <f>IF('12 - Deployments &amp; Config'!AF292="","",'12 - Deployments &amp; Config'!AF292)</f>
        <v/>
      </c>
      <c r="E287" s="32" t="str">
        <f>IF('12 - Deployments &amp; Config'!AG292="","",'12 - Deployments &amp; Config'!AG292)</f>
        <v/>
      </c>
      <c r="F287" s="32" t="str">
        <f>IF('12 - Deployments &amp; Config'!AH292="","",'12 - Deployments &amp; Config'!AH292)</f>
        <v/>
      </c>
      <c r="G287" s="32" t="str">
        <f>IF('12 - Deployments &amp; Config'!AI292="","",'12 - Deployments &amp; Config'!AI292)</f>
        <v/>
      </c>
      <c r="H287" s="32" t="str">
        <f>IF('12 - Deployments &amp; Config'!A292="","",'12 - Deployments &amp; Config'!A292)</f>
        <v/>
      </c>
      <c r="I287" s="32" t="str">
        <f>IF('12 - Deployments &amp; Config'!AJ292="","",'12 - Deployments &amp; Config'!AJ292)</f>
        <v/>
      </c>
      <c r="J287" s="32" t="str">
        <f>IF('12 - Deployments &amp; Config'!AK292="","",'12 - Deployments &amp; Config'!AK292)</f>
        <v/>
      </c>
      <c r="K287" s="32" t="str">
        <f>IF('12 - Deployments &amp; Config'!AA292="","",'12 - Deployments &amp; Config'!AA292)</f>
        <v/>
      </c>
      <c r="L287" s="32" t="str">
        <f>IF('12 - Deployments &amp; Config'!I292="","",'12 - Deployments &amp; Config'!I292)</f>
        <v/>
      </c>
      <c r="M287" s="33"/>
      <c r="N287" s="32" t="str">
        <f>IF('12 - Deployments &amp; Config'!J292="","",'12 - Deployments &amp; Config'!J292)</f>
        <v/>
      </c>
      <c r="O287" s="32" t="str">
        <f>IF('12 - Deployments &amp; Config'!K292="","",'12 - Deployments &amp; Config'!K292)</f>
        <v/>
      </c>
      <c r="P287" s="32" t="str">
        <f>IF('12 - Deployments &amp; Config'!L292="","",'12 - Deployments &amp; Config'!L292)</f>
        <v/>
      </c>
      <c r="Q287" s="33"/>
      <c r="R287" s="32" t="str">
        <f>IF('12 - Deployments &amp; Config'!AZ292="","",'12 - Deployments &amp; Config'!AZ292)</f>
        <v/>
      </c>
      <c r="S287" s="32" t="str">
        <f>IF('12 - Deployments &amp; Config'!AY292="","",'12 - Deployments &amp; Config'!AY292)</f>
        <v/>
      </c>
      <c r="T287" s="32" t="str">
        <f>IF('12 - Deployments &amp; Config'!AW292="","",'12 - Deployments &amp; Config'!AW292)</f>
        <v/>
      </c>
      <c r="U287" s="32" t="str">
        <f>IF('12 - Deployments &amp; Config'!AX292="","",'12 - Deployments &amp; Config'!AX292)</f>
        <v/>
      </c>
      <c r="V287" s="32" t="str">
        <f>IF('12 - Deployments &amp; Config'!BB292="","",'12 - Deployments &amp; Config'!BB292)</f>
        <v/>
      </c>
      <c r="W287" s="32" t="str">
        <f>IF('12 - Deployments &amp; Config'!BD292="","",'12 - Deployments &amp; Config'!BD292)</f>
        <v/>
      </c>
      <c r="X287" s="32" t="str">
        <f>IF('12 - Deployments &amp; Config'!BL292="","",'12 - Deployments &amp; Config'!BL292)</f>
        <v/>
      </c>
      <c r="Y287" s="32" t="str">
        <f>IF('12 - Deployments &amp; Config'!BC292="","",'12 - Deployments &amp; Config'!BC292)</f>
        <v/>
      </c>
      <c r="Z287" s="32" t="str">
        <f>IF('12 - Deployments &amp; Config'!P292="","",'12 - Deployments &amp; Config'!P292)</f>
        <v/>
      </c>
      <c r="AA287" s="32" t="str">
        <f>IF('12 - Deployments &amp; Config'!Q292="","",'12 - Deployments &amp; Config'!Q292)</f>
        <v/>
      </c>
    </row>
    <row r="288" spans="1:27">
      <c r="A288" s="33"/>
      <c r="B288" s="33"/>
      <c r="C288" s="32" t="str">
        <f>IF('12 - Deployments &amp; Config'!H293="","",'12 - Deployments &amp; Config'!H293)</f>
        <v/>
      </c>
      <c r="D288" s="32" t="str">
        <f>IF('12 - Deployments &amp; Config'!AF293="","",'12 - Deployments &amp; Config'!AF293)</f>
        <v/>
      </c>
      <c r="E288" s="32" t="str">
        <f>IF('12 - Deployments &amp; Config'!AG293="","",'12 - Deployments &amp; Config'!AG293)</f>
        <v/>
      </c>
      <c r="F288" s="32" t="str">
        <f>IF('12 - Deployments &amp; Config'!AH293="","",'12 - Deployments &amp; Config'!AH293)</f>
        <v/>
      </c>
      <c r="G288" s="32" t="str">
        <f>IF('12 - Deployments &amp; Config'!AI293="","",'12 - Deployments &amp; Config'!AI293)</f>
        <v/>
      </c>
      <c r="H288" s="32" t="str">
        <f>IF('12 - Deployments &amp; Config'!A293="","",'12 - Deployments &amp; Config'!A293)</f>
        <v/>
      </c>
      <c r="I288" s="32" t="str">
        <f>IF('12 - Deployments &amp; Config'!AJ293="","",'12 - Deployments &amp; Config'!AJ293)</f>
        <v/>
      </c>
      <c r="J288" s="32" t="str">
        <f>IF('12 - Deployments &amp; Config'!AK293="","",'12 - Deployments &amp; Config'!AK293)</f>
        <v/>
      </c>
      <c r="K288" s="32" t="str">
        <f>IF('12 - Deployments &amp; Config'!AA293="","",'12 - Deployments &amp; Config'!AA293)</f>
        <v/>
      </c>
      <c r="L288" s="32" t="str">
        <f>IF('12 - Deployments &amp; Config'!I293="","",'12 - Deployments &amp; Config'!I293)</f>
        <v/>
      </c>
      <c r="M288" s="33"/>
      <c r="N288" s="32" t="str">
        <f>IF('12 - Deployments &amp; Config'!J293="","",'12 - Deployments &amp; Config'!J293)</f>
        <v/>
      </c>
      <c r="O288" s="32" t="str">
        <f>IF('12 - Deployments &amp; Config'!K293="","",'12 - Deployments &amp; Config'!K293)</f>
        <v/>
      </c>
      <c r="P288" s="32" t="str">
        <f>IF('12 - Deployments &amp; Config'!L293="","",'12 - Deployments &amp; Config'!L293)</f>
        <v/>
      </c>
      <c r="Q288" s="33"/>
      <c r="R288" s="32" t="str">
        <f>IF('12 - Deployments &amp; Config'!AZ293="","",'12 - Deployments &amp; Config'!AZ293)</f>
        <v/>
      </c>
      <c r="S288" s="32" t="str">
        <f>IF('12 - Deployments &amp; Config'!AY293="","",'12 - Deployments &amp; Config'!AY293)</f>
        <v/>
      </c>
      <c r="T288" s="32" t="str">
        <f>IF('12 - Deployments &amp; Config'!AW293="","",'12 - Deployments &amp; Config'!AW293)</f>
        <v/>
      </c>
      <c r="U288" s="32" t="str">
        <f>IF('12 - Deployments &amp; Config'!AX293="","",'12 - Deployments &amp; Config'!AX293)</f>
        <v/>
      </c>
      <c r="V288" s="32" t="str">
        <f>IF('12 - Deployments &amp; Config'!BB293="","",'12 - Deployments &amp; Config'!BB293)</f>
        <v/>
      </c>
      <c r="W288" s="32" t="str">
        <f>IF('12 - Deployments &amp; Config'!BD293="","",'12 - Deployments &amp; Config'!BD293)</f>
        <v/>
      </c>
      <c r="X288" s="32" t="str">
        <f>IF('12 - Deployments &amp; Config'!BL293="","",'12 - Deployments &amp; Config'!BL293)</f>
        <v/>
      </c>
      <c r="Y288" s="32" t="str">
        <f>IF('12 - Deployments &amp; Config'!BC293="","",'12 - Deployments &amp; Config'!BC293)</f>
        <v/>
      </c>
      <c r="Z288" s="32" t="str">
        <f>IF('12 - Deployments &amp; Config'!P293="","",'12 - Deployments &amp; Config'!P293)</f>
        <v/>
      </c>
      <c r="AA288" s="32" t="str">
        <f>IF('12 - Deployments &amp; Config'!Q293="","",'12 - Deployments &amp; Config'!Q293)</f>
        <v/>
      </c>
    </row>
    <row r="289" spans="1:27">
      <c r="A289" s="33"/>
      <c r="B289" s="33"/>
      <c r="C289" s="32" t="str">
        <f>IF('12 - Deployments &amp; Config'!H294="","",'12 - Deployments &amp; Config'!H294)</f>
        <v/>
      </c>
      <c r="D289" s="32" t="str">
        <f>IF('12 - Deployments &amp; Config'!AF294="","",'12 - Deployments &amp; Config'!AF294)</f>
        <v/>
      </c>
      <c r="E289" s="32" t="str">
        <f>IF('12 - Deployments &amp; Config'!AG294="","",'12 - Deployments &amp; Config'!AG294)</f>
        <v/>
      </c>
      <c r="F289" s="32" t="str">
        <f>IF('12 - Deployments &amp; Config'!AH294="","",'12 - Deployments &amp; Config'!AH294)</f>
        <v/>
      </c>
      <c r="G289" s="32" t="str">
        <f>IF('12 - Deployments &amp; Config'!AI294="","",'12 - Deployments &amp; Config'!AI294)</f>
        <v/>
      </c>
      <c r="H289" s="32" t="str">
        <f>IF('12 - Deployments &amp; Config'!A294="","",'12 - Deployments &amp; Config'!A294)</f>
        <v/>
      </c>
      <c r="I289" s="32" t="str">
        <f>IF('12 - Deployments &amp; Config'!AJ294="","",'12 - Deployments &amp; Config'!AJ294)</f>
        <v/>
      </c>
      <c r="J289" s="32" t="str">
        <f>IF('12 - Deployments &amp; Config'!AK294="","",'12 - Deployments &amp; Config'!AK294)</f>
        <v/>
      </c>
      <c r="K289" s="32" t="str">
        <f>IF('12 - Deployments &amp; Config'!AA294="","",'12 - Deployments &amp; Config'!AA294)</f>
        <v/>
      </c>
      <c r="L289" s="32" t="str">
        <f>IF('12 - Deployments &amp; Config'!I294="","",'12 - Deployments &amp; Config'!I294)</f>
        <v/>
      </c>
      <c r="M289" s="33"/>
      <c r="N289" s="32" t="str">
        <f>IF('12 - Deployments &amp; Config'!J294="","",'12 - Deployments &amp; Config'!J294)</f>
        <v/>
      </c>
      <c r="O289" s="32" t="str">
        <f>IF('12 - Deployments &amp; Config'!K294="","",'12 - Deployments &amp; Config'!K294)</f>
        <v/>
      </c>
      <c r="P289" s="32" t="str">
        <f>IF('12 - Deployments &amp; Config'!L294="","",'12 - Deployments &amp; Config'!L294)</f>
        <v/>
      </c>
      <c r="Q289" s="33"/>
      <c r="R289" s="32" t="str">
        <f>IF('12 - Deployments &amp; Config'!AZ294="","",'12 - Deployments &amp; Config'!AZ294)</f>
        <v/>
      </c>
      <c r="S289" s="32" t="str">
        <f>IF('12 - Deployments &amp; Config'!AY294="","",'12 - Deployments &amp; Config'!AY294)</f>
        <v/>
      </c>
      <c r="T289" s="32" t="str">
        <f>IF('12 - Deployments &amp; Config'!AW294="","",'12 - Deployments &amp; Config'!AW294)</f>
        <v/>
      </c>
      <c r="U289" s="32" t="str">
        <f>IF('12 - Deployments &amp; Config'!AX294="","",'12 - Deployments &amp; Config'!AX294)</f>
        <v/>
      </c>
      <c r="V289" s="32" t="str">
        <f>IF('12 - Deployments &amp; Config'!BB294="","",'12 - Deployments &amp; Config'!BB294)</f>
        <v/>
      </c>
      <c r="W289" s="32" t="str">
        <f>IF('12 - Deployments &amp; Config'!BD294="","",'12 - Deployments &amp; Config'!BD294)</f>
        <v/>
      </c>
      <c r="X289" s="32" t="str">
        <f>IF('12 - Deployments &amp; Config'!BL294="","",'12 - Deployments &amp; Config'!BL294)</f>
        <v/>
      </c>
      <c r="Y289" s="32" t="str">
        <f>IF('12 - Deployments &amp; Config'!BC294="","",'12 - Deployments &amp; Config'!BC294)</f>
        <v/>
      </c>
      <c r="Z289" s="32" t="str">
        <f>IF('12 - Deployments &amp; Config'!P294="","",'12 - Deployments &amp; Config'!P294)</f>
        <v/>
      </c>
      <c r="AA289" s="32" t="str">
        <f>IF('12 - Deployments &amp; Config'!Q294="","",'12 - Deployments &amp; Config'!Q294)</f>
        <v/>
      </c>
    </row>
    <row r="290" spans="1:27">
      <c r="A290" s="33"/>
      <c r="B290" s="33"/>
      <c r="C290" s="32" t="str">
        <f>IF('12 - Deployments &amp; Config'!H295="","",'12 - Deployments &amp; Config'!H295)</f>
        <v/>
      </c>
      <c r="D290" s="32" t="str">
        <f>IF('12 - Deployments &amp; Config'!AF295="","",'12 - Deployments &amp; Config'!AF295)</f>
        <v/>
      </c>
      <c r="E290" s="32" t="str">
        <f>IF('12 - Deployments &amp; Config'!AG295="","",'12 - Deployments &amp; Config'!AG295)</f>
        <v/>
      </c>
      <c r="F290" s="32" t="str">
        <f>IF('12 - Deployments &amp; Config'!AH295="","",'12 - Deployments &amp; Config'!AH295)</f>
        <v/>
      </c>
      <c r="G290" s="32" t="str">
        <f>IF('12 - Deployments &amp; Config'!AI295="","",'12 - Deployments &amp; Config'!AI295)</f>
        <v/>
      </c>
      <c r="H290" s="32" t="str">
        <f>IF('12 - Deployments &amp; Config'!A295="","",'12 - Deployments &amp; Config'!A295)</f>
        <v/>
      </c>
      <c r="I290" s="32" t="str">
        <f>IF('12 - Deployments &amp; Config'!AJ295="","",'12 - Deployments &amp; Config'!AJ295)</f>
        <v/>
      </c>
      <c r="J290" s="32" t="str">
        <f>IF('12 - Deployments &amp; Config'!AK295="","",'12 - Deployments &amp; Config'!AK295)</f>
        <v/>
      </c>
      <c r="K290" s="32" t="str">
        <f>IF('12 - Deployments &amp; Config'!AA295="","",'12 - Deployments &amp; Config'!AA295)</f>
        <v/>
      </c>
      <c r="L290" s="32" t="str">
        <f>IF('12 - Deployments &amp; Config'!I295="","",'12 - Deployments &amp; Config'!I295)</f>
        <v/>
      </c>
      <c r="M290" s="33"/>
      <c r="N290" s="32" t="str">
        <f>IF('12 - Deployments &amp; Config'!J295="","",'12 - Deployments &amp; Config'!J295)</f>
        <v/>
      </c>
      <c r="O290" s="32" t="str">
        <f>IF('12 - Deployments &amp; Config'!K295="","",'12 - Deployments &amp; Config'!K295)</f>
        <v/>
      </c>
      <c r="P290" s="32" t="str">
        <f>IF('12 - Deployments &amp; Config'!L295="","",'12 - Deployments &amp; Config'!L295)</f>
        <v/>
      </c>
      <c r="Q290" s="33"/>
      <c r="R290" s="32" t="str">
        <f>IF('12 - Deployments &amp; Config'!AZ295="","",'12 - Deployments &amp; Config'!AZ295)</f>
        <v/>
      </c>
      <c r="S290" s="32" t="str">
        <f>IF('12 - Deployments &amp; Config'!AY295="","",'12 - Deployments &amp; Config'!AY295)</f>
        <v/>
      </c>
      <c r="T290" s="32" t="str">
        <f>IF('12 - Deployments &amp; Config'!AW295="","",'12 - Deployments &amp; Config'!AW295)</f>
        <v/>
      </c>
      <c r="U290" s="32" t="str">
        <f>IF('12 - Deployments &amp; Config'!AX295="","",'12 - Deployments &amp; Config'!AX295)</f>
        <v/>
      </c>
      <c r="V290" s="32" t="str">
        <f>IF('12 - Deployments &amp; Config'!BB295="","",'12 - Deployments &amp; Config'!BB295)</f>
        <v/>
      </c>
      <c r="W290" s="32" t="str">
        <f>IF('12 - Deployments &amp; Config'!BD295="","",'12 - Deployments &amp; Config'!BD295)</f>
        <v/>
      </c>
      <c r="X290" s="32" t="str">
        <f>IF('12 - Deployments &amp; Config'!BL295="","",'12 - Deployments &amp; Config'!BL295)</f>
        <v/>
      </c>
      <c r="Y290" s="32" t="str">
        <f>IF('12 - Deployments &amp; Config'!BC295="","",'12 - Deployments &amp; Config'!BC295)</f>
        <v/>
      </c>
      <c r="Z290" s="32" t="str">
        <f>IF('12 - Deployments &amp; Config'!P295="","",'12 - Deployments &amp; Config'!P295)</f>
        <v/>
      </c>
      <c r="AA290" s="32" t="str">
        <f>IF('12 - Deployments &amp; Config'!Q295="","",'12 - Deployments &amp; Config'!Q295)</f>
        <v/>
      </c>
    </row>
    <row r="291" spans="1:27">
      <c r="A291" s="33"/>
      <c r="B291" s="33"/>
      <c r="C291" s="32" t="str">
        <f>IF('12 - Deployments &amp; Config'!H296="","",'12 - Deployments &amp; Config'!H296)</f>
        <v/>
      </c>
      <c r="D291" s="32" t="str">
        <f>IF('12 - Deployments &amp; Config'!AF296="","",'12 - Deployments &amp; Config'!AF296)</f>
        <v/>
      </c>
      <c r="E291" s="32" t="str">
        <f>IF('12 - Deployments &amp; Config'!AG296="","",'12 - Deployments &amp; Config'!AG296)</f>
        <v/>
      </c>
      <c r="F291" s="32" t="str">
        <f>IF('12 - Deployments &amp; Config'!AH296="","",'12 - Deployments &amp; Config'!AH296)</f>
        <v/>
      </c>
      <c r="G291" s="32" t="str">
        <f>IF('12 - Deployments &amp; Config'!AI296="","",'12 - Deployments &amp; Config'!AI296)</f>
        <v/>
      </c>
      <c r="H291" s="32" t="str">
        <f>IF('12 - Deployments &amp; Config'!A296="","",'12 - Deployments &amp; Config'!A296)</f>
        <v/>
      </c>
      <c r="I291" s="32" t="str">
        <f>IF('12 - Deployments &amp; Config'!AJ296="","",'12 - Deployments &amp; Config'!AJ296)</f>
        <v/>
      </c>
      <c r="J291" s="32" t="str">
        <f>IF('12 - Deployments &amp; Config'!AK296="","",'12 - Deployments &amp; Config'!AK296)</f>
        <v/>
      </c>
      <c r="K291" s="32" t="str">
        <f>IF('12 - Deployments &amp; Config'!AA296="","",'12 - Deployments &amp; Config'!AA296)</f>
        <v/>
      </c>
      <c r="L291" s="32" t="str">
        <f>IF('12 - Deployments &amp; Config'!I296="","",'12 - Deployments &amp; Config'!I296)</f>
        <v/>
      </c>
      <c r="M291" s="33"/>
      <c r="N291" s="32" t="str">
        <f>IF('12 - Deployments &amp; Config'!J296="","",'12 - Deployments &amp; Config'!J296)</f>
        <v/>
      </c>
      <c r="O291" s="32" t="str">
        <f>IF('12 - Deployments &amp; Config'!K296="","",'12 - Deployments &amp; Config'!K296)</f>
        <v/>
      </c>
      <c r="P291" s="32" t="str">
        <f>IF('12 - Deployments &amp; Config'!L296="","",'12 - Deployments &amp; Config'!L296)</f>
        <v/>
      </c>
      <c r="Q291" s="33"/>
      <c r="R291" s="32" t="str">
        <f>IF('12 - Deployments &amp; Config'!AZ296="","",'12 - Deployments &amp; Config'!AZ296)</f>
        <v/>
      </c>
      <c r="S291" s="32" t="str">
        <f>IF('12 - Deployments &amp; Config'!AY296="","",'12 - Deployments &amp; Config'!AY296)</f>
        <v/>
      </c>
      <c r="T291" s="32" t="str">
        <f>IF('12 - Deployments &amp; Config'!AW296="","",'12 - Deployments &amp; Config'!AW296)</f>
        <v/>
      </c>
      <c r="U291" s="32" t="str">
        <f>IF('12 - Deployments &amp; Config'!AX296="","",'12 - Deployments &amp; Config'!AX296)</f>
        <v/>
      </c>
      <c r="V291" s="32" t="str">
        <f>IF('12 - Deployments &amp; Config'!BB296="","",'12 - Deployments &amp; Config'!BB296)</f>
        <v/>
      </c>
      <c r="W291" s="32" t="str">
        <f>IF('12 - Deployments &amp; Config'!BD296="","",'12 - Deployments &amp; Config'!BD296)</f>
        <v/>
      </c>
      <c r="X291" s="32" t="str">
        <f>IF('12 - Deployments &amp; Config'!BL296="","",'12 - Deployments &amp; Config'!BL296)</f>
        <v/>
      </c>
      <c r="Y291" s="32" t="str">
        <f>IF('12 - Deployments &amp; Config'!BC296="","",'12 - Deployments &amp; Config'!BC296)</f>
        <v/>
      </c>
      <c r="Z291" s="32" t="str">
        <f>IF('12 - Deployments &amp; Config'!P296="","",'12 - Deployments &amp; Config'!P296)</f>
        <v/>
      </c>
      <c r="AA291" s="32" t="str">
        <f>IF('12 - Deployments &amp; Config'!Q296="","",'12 - Deployments &amp; Config'!Q296)</f>
        <v/>
      </c>
    </row>
    <row r="292" spans="1:27">
      <c r="A292" s="33"/>
      <c r="B292" s="33"/>
      <c r="C292" s="32" t="str">
        <f>IF('12 - Deployments &amp; Config'!H297="","",'12 - Deployments &amp; Config'!H297)</f>
        <v/>
      </c>
      <c r="D292" s="32" t="str">
        <f>IF('12 - Deployments &amp; Config'!AF297="","",'12 - Deployments &amp; Config'!AF297)</f>
        <v/>
      </c>
      <c r="E292" s="32" t="str">
        <f>IF('12 - Deployments &amp; Config'!AG297="","",'12 - Deployments &amp; Config'!AG297)</f>
        <v/>
      </c>
      <c r="F292" s="32" t="str">
        <f>IF('12 - Deployments &amp; Config'!AH297="","",'12 - Deployments &amp; Config'!AH297)</f>
        <v/>
      </c>
      <c r="G292" s="32" t="str">
        <f>IF('12 - Deployments &amp; Config'!AI297="","",'12 - Deployments &amp; Config'!AI297)</f>
        <v/>
      </c>
      <c r="H292" s="32" t="str">
        <f>IF('12 - Deployments &amp; Config'!A297="","",'12 - Deployments &amp; Config'!A297)</f>
        <v/>
      </c>
      <c r="I292" s="32" t="str">
        <f>IF('12 - Deployments &amp; Config'!AJ297="","",'12 - Deployments &amp; Config'!AJ297)</f>
        <v/>
      </c>
      <c r="J292" s="32" t="str">
        <f>IF('12 - Deployments &amp; Config'!AK297="","",'12 - Deployments &amp; Config'!AK297)</f>
        <v/>
      </c>
      <c r="K292" s="32" t="str">
        <f>IF('12 - Deployments &amp; Config'!AA297="","",'12 - Deployments &amp; Config'!AA297)</f>
        <v/>
      </c>
      <c r="L292" s="32" t="str">
        <f>IF('12 - Deployments &amp; Config'!I297="","",'12 - Deployments &amp; Config'!I297)</f>
        <v/>
      </c>
      <c r="M292" s="33"/>
      <c r="N292" s="32" t="str">
        <f>IF('12 - Deployments &amp; Config'!J297="","",'12 - Deployments &amp; Config'!J297)</f>
        <v/>
      </c>
      <c r="O292" s="32" t="str">
        <f>IF('12 - Deployments &amp; Config'!K297="","",'12 - Deployments &amp; Config'!K297)</f>
        <v/>
      </c>
      <c r="P292" s="32" t="str">
        <f>IF('12 - Deployments &amp; Config'!L297="","",'12 - Deployments &amp; Config'!L297)</f>
        <v/>
      </c>
      <c r="Q292" s="33"/>
      <c r="R292" s="32" t="str">
        <f>IF('12 - Deployments &amp; Config'!AZ297="","",'12 - Deployments &amp; Config'!AZ297)</f>
        <v/>
      </c>
      <c r="S292" s="32" t="str">
        <f>IF('12 - Deployments &amp; Config'!AY297="","",'12 - Deployments &amp; Config'!AY297)</f>
        <v/>
      </c>
      <c r="T292" s="32" t="str">
        <f>IF('12 - Deployments &amp; Config'!AW297="","",'12 - Deployments &amp; Config'!AW297)</f>
        <v/>
      </c>
      <c r="U292" s="32" t="str">
        <f>IF('12 - Deployments &amp; Config'!AX297="","",'12 - Deployments &amp; Config'!AX297)</f>
        <v/>
      </c>
      <c r="V292" s="32" t="str">
        <f>IF('12 - Deployments &amp; Config'!BB297="","",'12 - Deployments &amp; Config'!BB297)</f>
        <v/>
      </c>
      <c r="W292" s="32" t="str">
        <f>IF('12 - Deployments &amp; Config'!BD297="","",'12 - Deployments &amp; Config'!BD297)</f>
        <v/>
      </c>
      <c r="X292" s="32" t="str">
        <f>IF('12 - Deployments &amp; Config'!BL297="","",'12 - Deployments &amp; Config'!BL297)</f>
        <v/>
      </c>
      <c r="Y292" s="32" t="str">
        <f>IF('12 - Deployments &amp; Config'!BC297="","",'12 - Deployments &amp; Config'!BC297)</f>
        <v/>
      </c>
      <c r="Z292" s="32" t="str">
        <f>IF('12 - Deployments &amp; Config'!P297="","",'12 - Deployments &amp; Config'!P297)</f>
        <v/>
      </c>
      <c r="AA292" s="32" t="str">
        <f>IF('12 - Deployments &amp; Config'!Q297="","",'12 - Deployments &amp; Config'!Q297)</f>
        <v/>
      </c>
    </row>
    <row r="293" spans="1:27">
      <c r="A293" s="33"/>
      <c r="B293" s="33"/>
      <c r="C293" s="32" t="str">
        <f>IF('12 - Deployments &amp; Config'!H298="","",'12 - Deployments &amp; Config'!H298)</f>
        <v/>
      </c>
      <c r="D293" s="32" t="str">
        <f>IF('12 - Deployments &amp; Config'!AF298="","",'12 - Deployments &amp; Config'!AF298)</f>
        <v/>
      </c>
      <c r="E293" s="32" t="str">
        <f>IF('12 - Deployments &amp; Config'!AG298="","",'12 - Deployments &amp; Config'!AG298)</f>
        <v/>
      </c>
      <c r="F293" s="32" t="str">
        <f>IF('12 - Deployments &amp; Config'!AH298="","",'12 - Deployments &amp; Config'!AH298)</f>
        <v/>
      </c>
      <c r="G293" s="32" t="str">
        <f>IF('12 - Deployments &amp; Config'!AI298="","",'12 - Deployments &amp; Config'!AI298)</f>
        <v/>
      </c>
      <c r="H293" s="32" t="str">
        <f>IF('12 - Deployments &amp; Config'!A298="","",'12 - Deployments &amp; Config'!A298)</f>
        <v/>
      </c>
      <c r="I293" s="32" t="str">
        <f>IF('12 - Deployments &amp; Config'!AJ298="","",'12 - Deployments &amp; Config'!AJ298)</f>
        <v/>
      </c>
      <c r="J293" s="32" t="str">
        <f>IF('12 - Deployments &amp; Config'!AK298="","",'12 - Deployments &amp; Config'!AK298)</f>
        <v/>
      </c>
      <c r="K293" s="32" t="str">
        <f>IF('12 - Deployments &amp; Config'!AA298="","",'12 - Deployments &amp; Config'!AA298)</f>
        <v/>
      </c>
      <c r="L293" s="32" t="str">
        <f>IF('12 - Deployments &amp; Config'!I298="","",'12 - Deployments &amp; Config'!I298)</f>
        <v/>
      </c>
      <c r="M293" s="33"/>
      <c r="N293" s="32" t="str">
        <f>IF('12 - Deployments &amp; Config'!J298="","",'12 - Deployments &amp; Config'!J298)</f>
        <v/>
      </c>
      <c r="O293" s="32" t="str">
        <f>IF('12 - Deployments &amp; Config'!K298="","",'12 - Deployments &amp; Config'!K298)</f>
        <v/>
      </c>
      <c r="P293" s="32" t="str">
        <f>IF('12 - Deployments &amp; Config'!L298="","",'12 - Deployments &amp; Config'!L298)</f>
        <v/>
      </c>
      <c r="Q293" s="33"/>
      <c r="R293" s="32" t="str">
        <f>IF('12 - Deployments &amp; Config'!AZ298="","",'12 - Deployments &amp; Config'!AZ298)</f>
        <v/>
      </c>
      <c r="S293" s="32" t="str">
        <f>IF('12 - Deployments &amp; Config'!AY298="","",'12 - Deployments &amp; Config'!AY298)</f>
        <v/>
      </c>
      <c r="T293" s="32" t="str">
        <f>IF('12 - Deployments &amp; Config'!AW298="","",'12 - Deployments &amp; Config'!AW298)</f>
        <v/>
      </c>
      <c r="U293" s="32" t="str">
        <f>IF('12 - Deployments &amp; Config'!AX298="","",'12 - Deployments &amp; Config'!AX298)</f>
        <v/>
      </c>
      <c r="V293" s="32" t="str">
        <f>IF('12 - Deployments &amp; Config'!BB298="","",'12 - Deployments &amp; Config'!BB298)</f>
        <v/>
      </c>
      <c r="W293" s="32" t="str">
        <f>IF('12 - Deployments &amp; Config'!BD298="","",'12 - Deployments &amp; Config'!BD298)</f>
        <v/>
      </c>
      <c r="X293" s="32" t="str">
        <f>IF('12 - Deployments &amp; Config'!BL298="","",'12 - Deployments &amp; Config'!BL298)</f>
        <v/>
      </c>
      <c r="Y293" s="32" t="str">
        <f>IF('12 - Deployments &amp; Config'!BC298="","",'12 - Deployments &amp; Config'!BC298)</f>
        <v/>
      </c>
      <c r="Z293" s="32" t="str">
        <f>IF('12 - Deployments &amp; Config'!P298="","",'12 - Deployments &amp; Config'!P298)</f>
        <v/>
      </c>
      <c r="AA293" s="32" t="str">
        <f>IF('12 - Deployments &amp; Config'!Q298="","",'12 - Deployments &amp; Config'!Q298)</f>
        <v/>
      </c>
    </row>
    <row r="294" spans="1:27">
      <c r="A294" s="33"/>
      <c r="B294" s="33"/>
      <c r="C294" s="32" t="str">
        <f>IF('12 - Deployments &amp; Config'!H299="","",'12 - Deployments &amp; Config'!H299)</f>
        <v/>
      </c>
      <c r="D294" s="32" t="str">
        <f>IF('12 - Deployments &amp; Config'!AF299="","",'12 - Deployments &amp; Config'!AF299)</f>
        <v/>
      </c>
      <c r="E294" s="32" t="str">
        <f>IF('12 - Deployments &amp; Config'!AG299="","",'12 - Deployments &amp; Config'!AG299)</f>
        <v/>
      </c>
      <c r="F294" s="32" t="str">
        <f>IF('12 - Deployments &amp; Config'!AH299="","",'12 - Deployments &amp; Config'!AH299)</f>
        <v/>
      </c>
      <c r="G294" s="32" t="str">
        <f>IF('12 - Deployments &amp; Config'!AI299="","",'12 - Deployments &amp; Config'!AI299)</f>
        <v/>
      </c>
      <c r="H294" s="32" t="str">
        <f>IF('12 - Deployments &amp; Config'!A299="","",'12 - Deployments &amp; Config'!A299)</f>
        <v/>
      </c>
      <c r="I294" s="32" t="str">
        <f>IF('12 - Deployments &amp; Config'!AJ299="","",'12 - Deployments &amp; Config'!AJ299)</f>
        <v/>
      </c>
      <c r="J294" s="32" t="str">
        <f>IF('12 - Deployments &amp; Config'!AK299="","",'12 - Deployments &amp; Config'!AK299)</f>
        <v/>
      </c>
      <c r="K294" s="32" t="str">
        <f>IF('12 - Deployments &amp; Config'!AA299="","",'12 - Deployments &amp; Config'!AA299)</f>
        <v/>
      </c>
      <c r="L294" s="32" t="str">
        <f>IF('12 - Deployments &amp; Config'!I299="","",'12 - Deployments &amp; Config'!I299)</f>
        <v/>
      </c>
      <c r="M294" s="33"/>
      <c r="N294" s="32" t="str">
        <f>IF('12 - Deployments &amp; Config'!J299="","",'12 - Deployments &amp; Config'!J299)</f>
        <v/>
      </c>
      <c r="O294" s="32" t="str">
        <f>IF('12 - Deployments &amp; Config'!K299="","",'12 - Deployments &amp; Config'!K299)</f>
        <v/>
      </c>
      <c r="P294" s="32" t="str">
        <f>IF('12 - Deployments &amp; Config'!L299="","",'12 - Deployments &amp; Config'!L299)</f>
        <v/>
      </c>
      <c r="Q294" s="33"/>
      <c r="R294" s="32" t="str">
        <f>IF('12 - Deployments &amp; Config'!AZ299="","",'12 - Deployments &amp; Config'!AZ299)</f>
        <v/>
      </c>
      <c r="S294" s="32" t="str">
        <f>IF('12 - Deployments &amp; Config'!AY299="","",'12 - Deployments &amp; Config'!AY299)</f>
        <v/>
      </c>
      <c r="T294" s="32" t="str">
        <f>IF('12 - Deployments &amp; Config'!AW299="","",'12 - Deployments &amp; Config'!AW299)</f>
        <v/>
      </c>
      <c r="U294" s="32" t="str">
        <f>IF('12 - Deployments &amp; Config'!AX299="","",'12 - Deployments &amp; Config'!AX299)</f>
        <v/>
      </c>
      <c r="V294" s="32" t="str">
        <f>IF('12 - Deployments &amp; Config'!BB299="","",'12 - Deployments &amp; Config'!BB299)</f>
        <v/>
      </c>
      <c r="W294" s="32" t="str">
        <f>IF('12 - Deployments &amp; Config'!BD299="","",'12 - Deployments &amp; Config'!BD299)</f>
        <v/>
      </c>
      <c r="X294" s="32" t="str">
        <f>IF('12 - Deployments &amp; Config'!BL299="","",'12 - Deployments &amp; Config'!BL299)</f>
        <v/>
      </c>
      <c r="Y294" s="32" t="str">
        <f>IF('12 - Deployments &amp; Config'!BC299="","",'12 - Deployments &amp; Config'!BC299)</f>
        <v/>
      </c>
      <c r="Z294" s="32" t="str">
        <f>IF('12 - Deployments &amp; Config'!P299="","",'12 - Deployments &amp; Config'!P299)</f>
        <v/>
      </c>
      <c r="AA294" s="32" t="str">
        <f>IF('12 - Deployments &amp; Config'!Q299="","",'12 - Deployments &amp; Config'!Q299)</f>
        <v/>
      </c>
    </row>
    <row r="295" spans="1:27">
      <c r="A295" s="33"/>
      <c r="B295" s="33"/>
      <c r="C295" s="32" t="str">
        <f>IF('12 - Deployments &amp; Config'!H300="","",'12 - Deployments &amp; Config'!H300)</f>
        <v/>
      </c>
      <c r="D295" s="32" t="str">
        <f>IF('12 - Deployments &amp; Config'!AF300="","",'12 - Deployments &amp; Config'!AF300)</f>
        <v/>
      </c>
      <c r="E295" s="32" t="str">
        <f>IF('12 - Deployments &amp; Config'!AG300="","",'12 - Deployments &amp; Config'!AG300)</f>
        <v/>
      </c>
      <c r="F295" s="32" t="str">
        <f>IF('12 - Deployments &amp; Config'!AH300="","",'12 - Deployments &amp; Config'!AH300)</f>
        <v/>
      </c>
      <c r="G295" s="32" t="str">
        <f>IF('12 - Deployments &amp; Config'!AI300="","",'12 - Deployments &amp; Config'!AI300)</f>
        <v/>
      </c>
      <c r="H295" s="32" t="str">
        <f>IF('12 - Deployments &amp; Config'!A300="","",'12 - Deployments &amp; Config'!A300)</f>
        <v/>
      </c>
      <c r="I295" s="32" t="str">
        <f>IF('12 - Deployments &amp; Config'!AJ300="","",'12 - Deployments &amp; Config'!AJ300)</f>
        <v/>
      </c>
      <c r="J295" s="32" t="str">
        <f>IF('12 - Deployments &amp; Config'!AK300="","",'12 - Deployments &amp; Config'!AK300)</f>
        <v/>
      </c>
      <c r="K295" s="32" t="str">
        <f>IF('12 - Deployments &amp; Config'!AA300="","",'12 - Deployments &amp; Config'!AA300)</f>
        <v/>
      </c>
      <c r="L295" s="32" t="str">
        <f>IF('12 - Deployments &amp; Config'!I300="","",'12 - Deployments &amp; Config'!I300)</f>
        <v/>
      </c>
      <c r="M295" s="33"/>
      <c r="N295" s="32" t="str">
        <f>IF('12 - Deployments &amp; Config'!J300="","",'12 - Deployments &amp; Config'!J300)</f>
        <v/>
      </c>
      <c r="O295" s="32" t="str">
        <f>IF('12 - Deployments &amp; Config'!K300="","",'12 - Deployments &amp; Config'!K300)</f>
        <v/>
      </c>
      <c r="P295" s="32" t="str">
        <f>IF('12 - Deployments &amp; Config'!L300="","",'12 - Deployments &amp; Config'!L300)</f>
        <v/>
      </c>
      <c r="Q295" s="33"/>
      <c r="R295" s="32" t="str">
        <f>IF('12 - Deployments &amp; Config'!AZ300="","",'12 - Deployments &amp; Config'!AZ300)</f>
        <v/>
      </c>
      <c r="S295" s="32" t="str">
        <f>IF('12 - Deployments &amp; Config'!AY300="","",'12 - Deployments &amp; Config'!AY300)</f>
        <v/>
      </c>
      <c r="T295" s="32" t="str">
        <f>IF('12 - Deployments &amp; Config'!AW300="","",'12 - Deployments &amp; Config'!AW300)</f>
        <v/>
      </c>
      <c r="U295" s="32" t="str">
        <f>IF('12 - Deployments &amp; Config'!AX300="","",'12 - Deployments &amp; Config'!AX300)</f>
        <v/>
      </c>
      <c r="V295" s="32" t="str">
        <f>IF('12 - Deployments &amp; Config'!BB300="","",'12 - Deployments &amp; Config'!BB300)</f>
        <v/>
      </c>
      <c r="W295" s="32" t="str">
        <f>IF('12 - Deployments &amp; Config'!BD300="","",'12 - Deployments &amp; Config'!BD300)</f>
        <v/>
      </c>
      <c r="X295" s="32" t="str">
        <f>IF('12 - Deployments &amp; Config'!BL300="","",'12 - Deployments &amp; Config'!BL300)</f>
        <v/>
      </c>
      <c r="Y295" s="32" t="str">
        <f>IF('12 - Deployments &amp; Config'!BC300="","",'12 - Deployments &amp; Config'!BC300)</f>
        <v/>
      </c>
      <c r="Z295" s="32" t="str">
        <f>IF('12 - Deployments &amp; Config'!P300="","",'12 - Deployments &amp; Config'!P300)</f>
        <v/>
      </c>
      <c r="AA295" s="32" t="str">
        <f>IF('12 - Deployments &amp; Config'!Q300="","",'12 - Deployments &amp; Config'!Q300)</f>
        <v/>
      </c>
    </row>
    <row r="296" spans="1:27">
      <c r="A296" s="33"/>
      <c r="B296" s="33"/>
      <c r="C296" s="32" t="str">
        <f>IF('12 - Deployments &amp; Config'!H301="","",'12 - Deployments &amp; Config'!H301)</f>
        <v/>
      </c>
      <c r="D296" s="32" t="str">
        <f>IF('12 - Deployments &amp; Config'!AF301="","",'12 - Deployments &amp; Config'!AF301)</f>
        <v/>
      </c>
      <c r="E296" s="32" t="str">
        <f>IF('12 - Deployments &amp; Config'!AG301="","",'12 - Deployments &amp; Config'!AG301)</f>
        <v/>
      </c>
      <c r="F296" s="32" t="str">
        <f>IF('12 - Deployments &amp; Config'!AH301="","",'12 - Deployments &amp; Config'!AH301)</f>
        <v/>
      </c>
      <c r="G296" s="32" t="str">
        <f>IF('12 - Deployments &amp; Config'!AI301="","",'12 - Deployments &amp; Config'!AI301)</f>
        <v/>
      </c>
      <c r="H296" s="32" t="str">
        <f>IF('12 - Deployments &amp; Config'!A301="","",'12 - Deployments &amp; Config'!A301)</f>
        <v/>
      </c>
      <c r="I296" s="32" t="str">
        <f>IF('12 - Deployments &amp; Config'!AJ301="","",'12 - Deployments &amp; Config'!AJ301)</f>
        <v/>
      </c>
      <c r="J296" s="32" t="str">
        <f>IF('12 - Deployments &amp; Config'!AK301="","",'12 - Deployments &amp; Config'!AK301)</f>
        <v/>
      </c>
      <c r="K296" s="32" t="str">
        <f>IF('12 - Deployments &amp; Config'!AA301="","",'12 - Deployments &amp; Config'!AA301)</f>
        <v/>
      </c>
      <c r="L296" s="32" t="str">
        <f>IF('12 - Deployments &amp; Config'!I301="","",'12 - Deployments &amp; Config'!I301)</f>
        <v/>
      </c>
      <c r="M296" s="33"/>
      <c r="N296" s="32" t="str">
        <f>IF('12 - Deployments &amp; Config'!J301="","",'12 - Deployments &amp; Config'!J301)</f>
        <v/>
      </c>
      <c r="O296" s="32" t="str">
        <f>IF('12 - Deployments &amp; Config'!K301="","",'12 - Deployments &amp; Config'!K301)</f>
        <v/>
      </c>
      <c r="P296" s="32" t="str">
        <f>IF('12 - Deployments &amp; Config'!L301="","",'12 - Deployments &amp; Config'!L301)</f>
        <v/>
      </c>
      <c r="Q296" s="33"/>
      <c r="R296" s="32" t="str">
        <f>IF('12 - Deployments &amp; Config'!AZ301="","",'12 - Deployments &amp; Config'!AZ301)</f>
        <v/>
      </c>
      <c r="S296" s="32" t="str">
        <f>IF('12 - Deployments &amp; Config'!AY301="","",'12 - Deployments &amp; Config'!AY301)</f>
        <v/>
      </c>
      <c r="T296" s="32" t="str">
        <f>IF('12 - Deployments &amp; Config'!AW301="","",'12 - Deployments &amp; Config'!AW301)</f>
        <v/>
      </c>
      <c r="U296" s="32" t="str">
        <f>IF('12 - Deployments &amp; Config'!AX301="","",'12 - Deployments &amp; Config'!AX301)</f>
        <v/>
      </c>
      <c r="V296" s="32" t="str">
        <f>IF('12 - Deployments &amp; Config'!BB301="","",'12 - Deployments &amp; Config'!BB301)</f>
        <v/>
      </c>
      <c r="W296" s="32" t="str">
        <f>IF('12 - Deployments &amp; Config'!BD301="","",'12 - Deployments &amp; Config'!BD301)</f>
        <v/>
      </c>
      <c r="X296" s="32" t="str">
        <f>IF('12 - Deployments &amp; Config'!BL301="","",'12 - Deployments &amp; Config'!BL301)</f>
        <v/>
      </c>
      <c r="Y296" s="32" t="str">
        <f>IF('12 - Deployments &amp; Config'!BC301="","",'12 - Deployments &amp; Config'!BC301)</f>
        <v/>
      </c>
      <c r="Z296" s="32" t="str">
        <f>IF('12 - Deployments &amp; Config'!P301="","",'12 - Deployments &amp; Config'!P301)</f>
        <v/>
      </c>
      <c r="AA296" s="32" t="str">
        <f>IF('12 - Deployments &amp; Config'!Q301="","",'12 - Deployments &amp; Config'!Q301)</f>
        <v/>
      </c>
    </row>
    <row r="297" spans="1:27">
      <c r="A297" s="33"/>
      <c r="B297" s="33"/>
      <c r="C297" s="32" t="str">
        <f>IF('12 - Deployments &amp; Config'!H302="","",'12 - Deployments &amp; Config'!H302)</f>
        <v/>
      </c>
      <c r="D297" s="32" t="str">
        <f>IF('12 - Deployments &amp; Config'!AF302="","",'12 - Deployments &amp; Config'!AF302)</f>
        <v/>
      </c>
      <c r="E297" s="32" t="str">
        <f>IF('12 - Deployments &amp; Config'!AG302="","",'12 - Deployments &amp; Config'!AG302)</f>
        <v/>
      </c>
      <c r="F297" s="32" t="str">
        <f>IF('12 - Deployments &amp; Config'!AH302="","",'12 - Deployments &amp; Config'!AH302)</f>
        <v/>
      </c>
      <c r="G297" s="32" t="str">
        <f>IF('12 - Deployments &amp; Config'!AI302="","",'12 - Deployments &amp; Config'!AI302)</f>
        <v/>
      </c>
      <c r="H297" s="32" t="str">
        <f>IF('12 - Deployments &amp; Config'!A302="","",'12 - Deployments &amp; Config'!A302)</f>
        <v/>
      </c>
      <c r="I297" s="32" t="str">
        <f>IF('12 - Deployments &amp; Config'!AJ302="","",'12 - Deployments &amp; Config'!AJ302)</f>
        <v/>
      </c>
      <c r="J297" s="32" t="str">
        <f>IF('12 - Deployments &amp; Config'!AK302="","",'12 - Deployments &amp; Config'!AK302)</f>
        <v/>
      </c>
      <c r="K297" s="32" t="str">
        <f>IF('12 - Deployments &amp; Config'!AA302="","",'12 - Deployments &amp; Config'!AA302)</f>
        <v/>
      </c>
      <c r="L297" s="32" t="str">
        <f>IF('12 - Deployments &amp; Config'!I302="","",'12 - Deployments &amp; Config'!I302)</f>
        <v/>
      </c>
      <c r="M297" s="33"/>
      <c r="N297" s="32" t="str">
        <f>IF('12 - Deployments &amp; Config'!J302="","",'12 - Deployments &amp; Config'!J302)</f>
        <v/>
      </c>
      <c r="O297" s="32" t="str">
        <f>IF('12 - Deployments &amp; Config'!K302="","",'12 - Deployments &amp; Config'!K302)</f>
        <v/>
      </c>
      <c r="P297" s="32" t="str">
        <f>IF('12 - Deployments &amp; Config'!L302="","",'12 - Deployments &amp; Config'!L302)</f>
        <v/>
      </c>
      <c r="Q297" s="33"/>
      <c r="R297" s="32" t="str">
        <f>IF('12 - Deployments &amp; Config'!AZ302="","",'12 - Deployments &amp; Config'!AZ302)</f>
        <v/>
      </c>
      <c r="S297" s="32" t="str">
        <f>IF('12 - Deployments &amp; Config'!AY302="","",'12 - Deployments &amp; Config'!AY302)</f>
        <v/>
      </c>
      <c r="T297" s="32" t="str">
        <f>IF('12 - Deployments &amp; Config'!AW302="","",'12 - Deployments &amp; Config'!AW302)</f>
        <v/>
      </c>
      <c r="U297" s="32" t="str">
        <f>IF('12 - Deployments &amp; Config'!AX302="","",'12 - Deployments &amp; Config'!AX302)</f>
        <v/>
      </c>
      <c r="V297" s="32" t="str">
        <f>IF('12 - Deployments &amp; Config'!BB302="","",'12 - Deployments &amp; Config'!BB302)</f>
        <v/>
      </c>
      <c r="W297" s="32" t="str">
        <f>IF('12 - Deployments &amp; Config'!BD302="","",'12 - Deployments &amp; Config'!BD302)</f>
        <v/>
      </c>
      <c r="X297" s="32" t="str">
        <f>IF('12 - Deployments &amp; Config'!BL302="","",'12 - Deployments &amp; Config'!BL302)</f>
        <v/>
      </c>
      <c r="Y297" s="32" t="str">
        <f>IF('12 - Deployments &amp; Config'!BC302="","",'12 - Deployments &amp; Config'!BC302)</f>
        <v/>
      </c>
      <c r="Z297" s="32" t="str">
        <f>IF('12 - Deployments &amp; Config'!P302="","",'12 - Deployments &amp; Config'!P302)</f>
        <v/>
      </c>
      <c r="AA297" s="32" t="str">
        <f>IF('12 - Deployments &amp; Config'!Q302="","",'12 - Deployments &amp; Config'!Q302)</f>
        <v/>
      </c>
    </row>
    <row r="298" spans="1:27">
      <c r="A298" s="33"/>
      <c r="B298" s="33"/>
      <c r="C298" s="32" t="str">
        <f>IF('12 - Deployments &amp; Config'!H303="","",'12 - Deployments &amp; Config'!H303)</f>
        <v/>
      </c>
      <c r="D298" s="32" t="str">
        <f>IF('12 - Deployments &amp; Config'!AF303="","",'12 - Deployments &amp; Config'!AF303)</f>
        <v/>
      </c>
      <c r="E298" s="32" t="str">
        <f>IF('12 - Deployments &amp; Config'!AG303="","",'12 - Deployments &amp; Config'!AG303)</f>
        <v/>
      </c>
      <c r="F298" s="32" t="str">
        <f>IF('12 - Deployments &amp; Config'!AH303="","",'12 - Deployments &amp; Config'!AH303)</f>
        <v/>
      </c>
      <c r="G298" s="32" t="str">
        <f>IF('12 - Deployments &amp; Config'!AI303="","",'12 - Deployments &amp; Config'!AI303)</f>
        <v/>
      </c>
      <c r="H298" s="32" t="str">
        <f>IF('12 - Deployments &amp; Config'!A303="","",'12 - Deployments &amp; Config'!A303)</f>
        <v/>
      </c>
      <c r="I298" s="32" t="str">
        <f>IF('12 - Deployments &amp; Config'!AJ303="","",'12 - Deployments &amp; Config'!AJ303)</f>
        <v/>
      </c>
      <c r="J298" s="32" t="str">
        <f>IF('12 - Deployments &amp; Config'!AK303="","",'12 - Deployments &amp; Config'!AK303)</f>
        <v/>
      </c>
      <c r="K298" s="32" t="str">
        <f>IF('12 - Deployments &amp; Config'!AA303="","",'12 - Deployments &amp; Config'!AA303)</f>
        <v/>
      </c>
      <c r="L298" s="32" t="str">
        <f>IF('12 - Deployments &amp; Config'!I303="","",'12 - Deployments &amp; Config'!I303)</f>
        <v/>
      </c>
      <c r="M298" s="33"/>
      <c r="N298" s="32" t="str">
        <f>IF('12 - Deployments &amp; Config'!J303="","",'12 - Deployments &amp; Config'!J303)</f>
        <v/>
      </c>
      <c r="O298" s="32" t="str">
        <f>IF('12 - Deployments &amp; Config'!K303="","",'12 - Deployments &amp; Config'!K303)</f>
        <v/>
      </c>
      <c r="P298" s="32" t="str">
        <f>IF('12 - Deployments &amp; Config'!L303="","",'12 - Deployments &amp; Config'!L303)</f>
        <v/>
      </c>
      <c r="Q298" s="33"/>
      <c r="R298" s="32" t="str">
        <f>IF('12 - Deployments &amp; Config'!AZ303="","",'12 - Deployments &amp; Config'!AZ303)</f>
        <v/>
      </c>
      <c r="S298" s="32" t="str">
        <f>IF('12 - Deployments &amp; Config'!AY303="","",'12 - Deployments &amp; Config'!AY303)</f>
        <v/>
      </c>
      <c r="T298" s="32" t="str">
        <f>IF('12 - Deployments &amp; Config'!AW303="","",'12 - Deployments &amp; Config'!AW303)</f>
        <v/>
      </c>
      <c r="U298" s="32" t="str">
        <f>IF('12 - Deployments &amp; Config'!AX303="","",'12 - Deployments &amp; Config'!AX303)</f>
        <v/>
      </c>
      <c r="V298" s="32" t="str">
        <f>IF('12 - Deployments &amp; Config'!BB303="","",'12 - Deployments &amp; Config'!BB303)</f>
        <v/>
      </c>
      <c r="W298" s="32" t="str">
        <f>IF('12 - Deployments &amp; Config'!BD303="","",'12 - Deployments &amp; Config'!BD303)</f>
        <v/>
      </c>
      <c r="X298" s="32" t="str">
        <f>IF('12 - Deployments &amp; Config'!BL303="","",'12 - Deployments &amp; Config'!BL303)</f>
        <v/>
      </c>
      <c r="Y298" s="32" t="str">
        <f>IF('12 - Deployments &amp; Config'!BC303="","",'12 - Deployments &amp; Config'!BC303)</f>
        <v/>
      </c>
      <c r="Z298" s="32" t="str">
        <f>IF('12 - Deployments &amp; Config'!P303="","",'12 - Deployments &amp; Config'!P303)</f>
        <v/>
      </c>
      <c r="AA298" s="32" t="str">
        <f>IF('12 - Deployments &amp; Config'!Q303="","",'12 - Deployments &amp; Config'!Q303)</f>
        <v/>
      </c>
    </row>
    <row r="299" spans="1:27">
      <c r="A299" s="33"/>
      <c r="B299" s="33"/>
      <c r="C299" s="32" t="str">
        <f>IF('12 - Deployments &amp; Config'!H304="","",'12 - Deployments &amp; Config'!H304)</f>
        <v/>
      </c>
      <c r="D299" s="32" t="str">
        <f>IF('12 - Deployments &amp; Config'!AF304="","",'12 - Deployments &amp; Config'!AF304)</f>
        <v/>
      </c>
      <c r="E299" s="32" t="str">
        <f>IF('12 - Deployments &amp; Config'!AG304="","",'12 - Deployments &amp; Config'!AG304)</f>
        <v/>
      </c>
      <c r="F299" s="32" t="str">
        <f>IF('12 - Deployments &amp; Config'!AH304="","",'12 - Deployments &amp; Config'!AH304)</f>
        <v/>
      </c>
      <c r="G299" s="32" t="str">
        <f>IF('12 - Deployments &amp; Config'!AI304="","",'12 - Deployments &amp; Config'!AI304)</f>
        <v/>
      </c>
      <c r="H299" s="32" t="str">
        <f>IF('12 - Deployments &amp; Config'!A304="","",'12 - Deployments &amp; Config'!A304)</f>
        <v/>
      </c>
      <c r="I299" s="32" t="str">
        <f>IF('12 - Deployments &amp; Config'!AJ304="","",'12 - Deployments &amp; Config'!AJ304)</f>
        <v/>
      </c>
      <c r="J299" s="32" t="str">
        <f>IF('12 - Deployments &amp; Config'!AK304="","",'12 - Deployments &amp; Config'!AK304)</f>
        <v/>
      </c>
      <c r="K299" s="32" t="str">
        <f>IF('12 - Deployments &amp; Config'!AA304="","",'12 - Deployments &amp; Config'!AA304)</f>
        <v/>
      </c>
      <c r="L299" s="32" t="str">
        <f>IF('12 - Deployments &amp; Config'!I304="","",'12 - Deployments &amp; Config'!I304)</f>
        <v/>
      </c>
      <c r="M299" s="33"/>
      <c r="N299" s="32" t="str">
        <f>IF('12 - Deployments &amp; Config'!J304="","",'12 - Deployments &amp; Config'!J304)</f>
        <v/>
      </c>
      <c r="O299" s="32" t="str">
        <f>IF('12 - Deployments &amp; Config'!K304="","",'12 - Deployments &amp; Config'!K304)</f>
        <v/>
      </c>
      <c r="P299" s="32" t="str">
        <f>IF('12 - Deployments &amp; Config'!L304="","",'12 - Deployments &amp; Config'!L304)</f>
        <v/>
      </c>
      <c r="Q299" s="33"/>
      <c r="R299" s="32" t="str">
        <f>IF('12 - Deployments &amp; Config'!AZ304="","",'12 - Deployments &amp; Config'!AZ304)</f>
        <v/>
      </c>
      <c r="S299" s="32" t="str">
        <f>IF('12 - Deployments &amp; Config'!AY304="","",'12 - Deployments &amp; Config'!AY304)</f>
        <v/>
      </c>
      <c r="T299" s="32" t="str">
        <f>IF('12 - Deployments &amp; Config'!AW304="","",'12 - Deployments &amp; Config'!AW304)</f>
        <v/>
      </c>
      <c r="U299" s="32" t="str">
        <f>IF('12 - Deployments &amp; Config'!AX304="","",'12 - Deployments &amp; Config'!AX304)</f>
        <v/>
      </c>
      <c r="V299" s="32" t="str">
        <f>IF('12 - Deployments &amp; Config'!BB304="","",'12 - Deployments &amp; Config'!BB304)</f>
        <v/>
      </c>
      <c r="W299" s="32" t="str">
        <f>IF('12 - Deployments &amp; Config'!BD304="","",'12 - Deployments &amp; Config'!BD304)</f>
        <v/>
      </c>
      <c r="X299" s="32" t="str">
        <f>IF('12 - Deployments &amp; Config'!BL304="","",'12 - Deployments &amp; Config'!BL304)</f>
        <v/>
      </c>
      <c r="Y299" s="32" t="str">
        <f>IF('12 - Deployments &amp; Config'!BC304="","",'12 - Deployments &amp; Config'!BC304)</f>
        <v/>
      </c>
      <c r="Z299" s="32" t="str">
        <f>IF('12 - Deployments &amp; Config'!P304="","",'12 - Deployments &amp; Config'!P304)</f>
        <v/>
      </c>
      <c r="AA299" s="32" t="str">
        <f>IF('12 - Deployments &amp; Config'!Q304="","",'12 - Deployments &amp; Config'!Q304)</f>
        <v/>
      </c>
    </row>
    <row r="300" spans="1:27">
      <c r="A300" s="33"/>
      <c r="B300" s="33"/>
      <c r="C300" s="32" t="str">
        <f>IF('12 - Deployments &amp; Config'!H305="","",'12 - Deployments &amp; Config'!H305)</f>
        <v/>
      </c>
      <c r="D300" s="32" t="str">
        <f>IF('12 - Deployments &amp; Config'!AF305="","",'12 - Deployments &amp; Config'!AF305)</f>
        <v/>
      </c>
      <c r="E300" s="32" t="str">
        <f>IF('12 - Deployments &amp; Config'!AG305="","",'12 - Deployments &amp; Config'!AG305)</f>
        <v/>
      </c>
      <c r="F300" s="32" t="str">
        <f>IF('12 - Deployments &amp; Config'!AH305="","",'12 - Deployments &amp; Config'!AH305)</f>
        <v/>
      </c>
      <c r="G300" s="32" t="str">
        <f>IF('12 - Deployments &amp; Config'!AI305="","",'12 - Deployments &amp; Config'!AI305)</f>
        <v/>
      </c>
      <c r="H300" s="32" t="str">
        <f>IF('12 - Deployments &amp; Config'!A305="","",'12 - Deployments &amp; Config'!A305)</f>
        <v/>
      </c>
      <c r="I300" s="32" t="str">
        <f>IF('12 - Deployments &amp; Config'!AJ305="","",'12 - Deployments &amp; Config'!AJ305)</f>
        <v/>
      </c>
      <c r="J300" s="32" t="str">
        <f>IF('12 - Deployments &amp; Config'!AK305="","",'12 - Deployments &amp; Config'!AK305)</f>
        <v/>
      </c>
      <c r="K300" s="32" t="str">
        <f>IF('12 - Deployments &amp; Config'!AA305="","",'12 - Deployments &amp; Config'!AA305)</f>
        <v/>
      </c>
      <c r="L300" s="32" t="str">
        <f>IF('12 - Deployments &amp; Config'!I305="","",'12 - Deployments &amp; Config'!I305)</f>
        <v/>
      </c>
      <c r="M300" s="33"/>
      <c r="N300" s="32" t="str">
        <f>IF('12 - Deployments &amp; Config'!J305="","",'12 - Deployments &amp; Config'!J305)</f>
        <v/>
      </c>
      <c r="O300" s="32" t="str">
        <f>IF('12 - Deployments &amp; Config'!K305="","",'12 - Deployments &amp; Config'!K305)</f>
        <v/>
      </c>
      <c r="P300" s="32" t="str">
        <f>IF('12 - Deployments &amp; Config'!L305="","",'12 - Deployments &amp; Config'!L305)</f>
        <v/>
      </c>
      <c r="Q300" s="33"/>
      <c r="R300" s="32" t="str">
        <f>IF('12 - Deployments &amp; Config'!AZ305="","",'12 - Deployments &amp; Config'!AZ305)</f>
        <v/>
      </c>
      <c r="S300" s="32" t="str">
        <f>IF('12 - Deployments &amp; Config'!AY305="","",'12 - Deployments &amp; Config'!AY305)</f>
        <v/>
      </c>
      <c r="T300" s="32" t="str">
        <f>IF('12 - Deployments &amp; Config'!AW305="","",'12 - Deployments &amp; Config'!AW305)</f>
        <v/>
      </c>
      <c r="U300" s="32" t="str">
        <f>IF('12 - Deployments &amp; Config'!AX305="","",'12 - Deployments &amp; Config'!AX305)</f>
        <v/>
      </c>
      <c r="V300" s="32" t="str">
        <f>IF('12 - Deployments &amp; Config'!BB305="","",'12 - Deployments &amp; Config'!BB305)</f>
        <v/>
      </c>
      <c r="W300" s="32" t="str">
        <f>IF('12 - Deployments &amp; Config'!BD305="","",'12 - Deployments &amp; Config'!BD305)</f>
        <v/>
      </c>
      <c r="X300" s="32" t="str">
        <f>IF('12 - Deployments &amp; Config'!BL305="","",'12 - Deployments &amp; Config'!BL305)</f>
        <v/>
      </c>
      <c r="Y300" s="32" t="str">
        <f>IF('12 - Deployments &amp; Config'!BC305="","",'12 - Deployments &amp; Config'!BC305)</f>
        <v/>
      </c>
      <c r="Z300" s="32" t="str">
        <f>IF('12 - Deployments &amp; Config'!P305="","",'12 - Deployments &amp; Config'!P305)</f>
        <v/>
      </c>
      <c r="AA300" s="32" t="str">
        <f>IF('12 - Deployments &amp; Config'!Q305="","",'12 - Deployments &amp; Config'!Q305)</f>
        <v/>
      </c>
    </row>
    <row r="301" spans="1:27">
      <c r="A301" s="33"/>
      <c r="B301" s="33"/>
      <c r="C301" s="32" t="str">
        <f>IF('12 - Deployments &amp; Config'!H306="","",'12 - Deployments &amp; Config'!H306)</f>
        <v/>
      </c>
      <c r="D301" s="32" t="str">
        <f>IF('12 - Deployments &amp; Config'!AF306="","",'12 - Deployments &amp; Config'!AF306)</f>
        <v/>
      </c>
      <c r="E301" s="32" t="str">
        <f>IF('12 - Deployments &amp; Config'!AG306="","",'12 - Deployments &amp; Config'!AG306)</f>
        <v/>
      </c>
      <c r="F301" s="32" t="str">
        <f>IF('12 - Deployments &amp; Config'!AH306="","",'12 - Deployments &amp; Config'!AH306)</f>
        <v/>
      </c>
      <c r="G301" s="32" t="str">
        <f>IF('12 - Deployments &amp; Config'!AI306="","",'12 - Deployments &amp; Config'!AI306)</f>
        <v/>
      </c>
      <c r="H301" s="32" t="str">
        <f>IF('12 - Deployments &amp; Config'!A306="","",'12 - Deployments &amp; Config'!A306)</f>
        <v/>
      </c>
      <c r="I301" s="32" t="str">
        <f>IF('12 - Deployments &amp; Config'!AJ306="","",'12 - Deployments &amp; Config'!AJ306)</f>
        <v/>
      </c>
      <c r="J301" s="32" t="str">
        <f>IF('12 - Deployments &amp; Config'!AK306="","",'12 - Deployments &amp; Config'!AK306)</f>
        <v/>
      </c>
      <c r="K301" s="32" t="str">
        <f>IF('12 - Deployments &amp; Config'!AA306="","",'12 - Deployments &amp; Config'!AA306)</f>
        <v/>
      </c>
      <c r="L301" s="32" t="str">
        <f>IF('12 - Deployments &amp; Config'!I306="","",'12 - Deployments &amp; Config'!I306)</f>
        <v/>
      </c>
      <c r="M301" s="33"/>
      <c r="N301" s="32" t="str">
        <f>IF('12 - Deployments &amp; Config'!J306="","",'12 - Deployments &amp; Config'!J306)</f>
        <v/>
      </c>
      <c r="O301" s="32" t="str">
        <f>IF('12 - Deployments &amp; Config'!K306="","",'12 - Deployments &amp; Config'!K306)</f>
        <v/>
      </c>
      <c r="P301" s="32" t="str">
        <f>IF('12 - Deployments &amp; Config'!L306="","",'12 - Deployments &amp; Config'!L306)</f>
        <v/>
      </c>
      <c r="Q301" s="33"/>
      <c r="R301" s="32" t="str">
        <f>IF('12 - Deployments &amp; Config'!AZ306="","",'12 - Deployments &amp; Config'!AZ306)</f>
        <v/>
      </c>
      <c r="S301" s="32" t="str">
        <f>IF('12 - Deployments &amp; Config'!AY306="","",'12 - Deployments &amp; Config'!AY306)</f>
        <v/>
      </c>
      <c r="T301" s="32" t="str">
        <f>IF('12 - Deployments &amp; Config'!AW306="","",'12 - Deployments &amp; Config'!AW306)</f>
        <v/>
      </c>
      <c r="U301" s="32" t="str">
        <f>IF('12 - Deployments &amp; Config'!AX306="","",'12 - Deployments &amp; Config'!AX306)</f>
        <v/>
      </c>
      <c r="V301" s="32" t="str">
        <f>IF('12 - Deployments &amp; Config'!BB306="","",'12 - Deployments &amp; Config'!BB306)</f>
        <v/>
      </c>
      <c r="W301" s="32" t="str">
        <f>IF('12 - Deployments &amp; Config'!BD306="","",'12 - Deployments &amp; Config'!BD306)</f>
        <v/>
      </c>
      <c r="X301" s="32" t="str">
        <f>IF('12 - Deployments &amp; Config'!BL306="","",'12 - Deployments &amp; Config'!BL306)</f>
        <v/>
      </c>
      <c r="Y301" s="32" t="str">
        <f>IF('12 - Deployments &amp; Config'!BC306="","",'12 - Deployments &amp; Config'!BC306)</f>
        <v/>
      </c>
      <c r="Z301" s="32" t="str">
        <f>IF('12 - Deployments &amp; Config'!P306="","",'12 - Deployments &amp; Config'!P306)</f>
        <v/>
      </c>
      <c r="AA301" s="32" t="str">
        <f>IF('12 - Deployments &amp; Config'!Q306="","",'12 - Deployments &amp; Config'!Q306)</f>
        <v/>
      </c>
    </row>
    <row r="302" spans="1:27">
      <c r="A302" s="33"/>
      <c r="B302" s="33"/>
      <c r="C302" s="32" t="str">
        <f>IF('12 - Deployments &amp; Config'!H307="","",'12 - Deployments &amp; Config'!H307)</f>
        <v/>
      </c>
      <c r="D302" s="32" t="str">
        <f>IF('12 - Deployments &amp; Config'!AF307="","",'12 - Deployments &amp; Config'!AF307)</f>
        <v/>
      </c>
      <c r="E302" s="32" t="str">
        <f>IF('12 - Deployments &amp; Config'!AG307="","",'12 - Deployments &amp; Config'!AG307)</f>
        <v/>
      </c>
      <c r="F302" s="32" t="str">
        <f>IF('12 - Deployments &amp; Config'!AH307="","",'12 - Deployments &amp; Config'!AH307)</f>
        <v/>
      </c>
      <c r="G302" s="32" t="str">
        <f>IF('12 - Deployments &amp; Config'!AI307="","",'12 - Deployments &amp; Config'!AI307)</f>
        <v/>
      </c>
      <c r="H302" s="32" t="str">
        <f>IF('12 - Deployments &amp; Config'!A307="","",'12 - Deployments &amp; Config'!A307)</f>
        <v/>
      </c>
      <c r="I302" s="32" t="str">
        <f>IF('12 - Deployments &amp; Config'!AJ307="","",'12 - Deployments &amp; Config'!AJ307)</f>
        <v/>
      </c>
      <c r="J302" s="32" t="str">
        <f>IF('12 - Deployments &amp; Config'!AK307="","",'12 - Deployments &amp; Config'!AK307)</f>
        <v/>
      </c>
      <c r="K302" s="32" t="str">
        <f>IF('12 - Deployments &amp; Config'!AA307="","",'12 - Deployments &amp; Config'!AA307)</f>
        <v/>
      </c>
      <c r="L302" s="32" t="str">
        <f>IF('12 - Deployments &amp; Config'!I307="","",'12 - Deployments &amp; Config'!I307)</f>
        <v/>
      </c>
      <c r="M302" s="33"/>
      <c r="N302" s="32" t="str">
        <f>IF('12 - Deployments &amp; Config'!J307="","",'12 - Deployments &amp; Config'!J307)</f>
        <v/>
      </c>
      <c r="O302" s="32" t="str">
        <f>IF('12 - Deployments &amp; Config'!K307="","",'12 - Deployments &amp; Config'!K307)</f>
        <v/>
      </c>
      <c r="P302" s="32" t="str">
        <f>IF('12 - Deployments &amp; Config'!L307="","",'12 - Deployments &amp; Config'!L307)</f>
        <v/>
      </c>
      <c r="Q302" s="33"/>
      <c r="R302" s="32" t="str">
        <f>IF('12 - Deployments &amp; Config'!AZ307="","",'12 - Deployments &amp; Config'!AZ307)</f>
        <v/>
      </c>
      <c r="S302" s="32" t="str">
        <f>IF('12 - Deployments &amp; Config'!AY307="","",'12 - Deployments &amp; Config'!AY307)</f>
        <v/>
      </c>
      <c r="T302" s="32" t="str">
        <f>IF('12 - Deployments &amp; Config'!AW307="","",'12 - Deployments &amp; Config'!AW307)</f>
        <v/>
      </c>
      <c r="U302" s="32" t="str">
        <f>IF('12 - Deployments &amp; Config'!AX307="","",'12 - Deployments &amp; Config'!AX307)</f>
        <v/>
      </c>
      <c r="V302" s="32" t="str">
        <f>IF('12 - Deployments &amp; Config'!BB307="","",'12 - Deployments &amp; Config'!BB307)</f>
        <v/>
      </c>
      <c r="W302" s="32" t="str">
        <f>IF('12 - Deployments &amp; Config'!BD307="","",'12 - Deployments &amp; Config'!BD307)</f>
        <v/>
      </c>
      <c r="X302" s="32" t="str">
        <f>IF('12 - Deployments &amp; Config'!BL307="","",'12 - Deployments &amp; Config'!BL307)</f>
        <v/>
      </c>
      <c r="Y302" s="32" t="str">
        <f>IF('12 - Deployments &amp; Config'!BC307="","",'12 - Deployments &amp; Config'!BC307)</f>
        <v/>
      </c>
      <c r="Z302" s="32" t="str">
        <f>IF('12 - Deployments &amp; Config'!P307="","",'12 - Deployments &amp; Config'!P307)</f>
        <v/>
      </c>
      <c r="AA302" s="32" t="str">
        <f>IF('12 - Deployments &amp; Config'!Q307="","",'12 - Deployments &amp; Config'!Q307)</f>
        <v/>
      </c>
    </row>
    <row r="303" spans="1:27">
      <c r="A303" s="33"/>
      <c r="B303" s="33"/>
      <c r="C303" s="32" t="str">
        <f>IF('12 - Deployments &amp; Config'!H308="","",'12 - Deployments &amp; Config'!H308)</f>
        <v/>
      </c>
      <c r="D303" s="32" t="str">
        <f>IF('12 - Deployments &amp; Config'!AF308="","",'12 - Deployments &amp; Config'!AF308)</f>
        <v/>
      </c>
      <c r="E303" s="32" t="str">
        <f>IF('12 - Deployments &amp; Config'!AG308="","",'12 - Deployments &amp; Config'!AG308)</f>
        <v/>
      </c>
      <c r="F303" s="32" t="str">
        <f>IF('12 - Deployments &amp; Config'!AH308="","",'12 - Deployments &amp; Config'!AH308)</f>
        <v/>
      </c>
      <c r="G303" s="32" t="str">
        <f>IF('12 - Deployments &amp; Config'!AI308="","",'12 - Deployments &amp; Config'!AI308)</f>
        <v/>
      </c>
      <c r="H303" s="32" t="str">
        <f>IF('12 - Deployments &amp; Config'!A308="","",'12 - Deployments &amp; Config'!A308)</f>
        <v/>
      </c>
      <c r="I303" s="32" t="str">
        <f>IF('12 - Deployments &amp; Config'!AJ308="","",'12 - Deployments &amp; Config'!AJ308)</f>
        <v/>
      </c>
      <c r="J303" s="32" t="str">
        <f>IF('12 - Deployments &amp; Config'!AK308="","",'12 - Deployments &amp; Config'!AK308)</f>
        <v/>
      </c>
      <c r="K303" s="32" t="str">
        <f>IF('12 - Deployments &amp; Config'!AA308="","",'12 - Deployments &amp; Config'!AA308)</f>
        <v/>
      </c>
      <c r="L303" s="32" t="str">
        <f>IF('12 - Deployments &amp; Config'!I308="","",'12 - Deployments &amp; Config'!I308)</f>
        <v/>
      </c>
      <c r="M303" s="33"/>
      <c r="N303" s="32" t="str">
        <f>IF('12 - Deployments &amp; Config'!J308="","",'12 - Deployments &amp; Config'!J308)</f>
        <v/>
      </c>
      <c r="O303" s="32" t="str">
        <f>IF('12 - Deployments &amp; Config'!K308="","",'12 - Deployments &amp; Config'!K308)</f>
        <v/>
      </c>
      <c r="P303" s="32" t="str">
        <f>IF('12 - Deployments &amp; Config'!L308="","",'12 - Deployments &amp; Config'!L308)</f>
        <v/>
      </c>
      <c r="Q303" s="33"/>
      <c r="R303" s="32" t="str">
        <f>IF('12 - Deployments &amp; Config'!AZ308="","",'12 - Deployments &amp; Config'!AZ308)</f>
        <v/>
      </c>
      <c r="S303" s="32" t="str">
        <f>IF('12 - Deployments &amp; Config'!AY308="","",'12 - Deployments &amp; Config'!AY308)</f>
        <v/>
      </c>
      <c r="T303" s="32" t="str">
        <f>IF('12 - Deployments &amp; Config'!AW308="","",'12 - Deployments &amp; Config'!AW308)</f>
        <v/>
      </c>
      <c r="U303" s="32" t="str">
        <f>IF('12 - Deployments &amp; Config'!AX308="","",'12 - Deployments &amp; Config'!AX308)</f>
        <v/>
      </c>
      <c r="V303" s="32" t="str">
        <f>IF('12 - Deployments &amp; Config'!BB308="","",'12 - Deployments &amp; Config'!BB308)</f>
        <v/>
      </c>
      <c r="W303" s="32" t="str">
        <f>IF('12 - Deployments &amp; Config'!BD308="","",'12 - Deployments &amp; Config'!BD308)</f>
        <v/>
      </c>
      <c r="X303" s="32" t="str">
        <f>IF('12 - Deployments &amp; Config'!BL308="","",'12 - Deployments &amp; Config'!BL308)</f>
        <v/>
      </c>
      <c r="Y303" s="32" t="str">
        <f>IF('12 - Deployments &amp; Config'!BC308="","",'12 - Deployments &amp; Config'!BC308)</f>
        <v/>
      </c>
      <c r="Z303" s="32" t="str">
        <f>IF('12 - Deployments &amp; Config'!P308="","",'12 - Deployments &amp; Config'!P308)</f>
        <v/>
      </c>
      <c r="AA303" s="32" t="str">
        <f>IF('12 - Deployments &amp; Config'!Q308="","",'12 - Deployments &amp; Config'!Q308)</f>
        <v/>
      </c>
    </row>
    <row r="304" spans="1:27">
      <c r="A304" s="33"/>
      <c r="B304" s="33"/>
      <c r="C304" s="32" t="str">
        <f>IF('12 - Deployments &amp; Config'!H309="","",'12 - Deployments &amp; Config'!H309)</f>
        <v/>
      </c>
      <c r="D304" s="32" t="str">
        <f>IF('12 - Deployments &amp; Config'!AF309="","",'12 - Deployments &amp; Config'!AF309)</f>
        <v/>
      </c>
      <c r="E304" s="32" t="str">
        <f>IF('12 - Deployments &amp; Config'!AG309="","",'12 - Deployments &amp; Config'!AG309)</f>
        <v/>
      </c>
      <c r="F304" s="32" t="str">
        <f>IF('12 - Deployments &amp; Config'!AH309="","",'12 - Deployments &amp; Config'!AH309)</f>
        <v/>
      </c>
      <c r="G304" s="32" t="str">
        <f>IF('12 - Deployments &amp; Config'!AI309="","",'12 - Deployments &amp; Config'!AI309)</f>
        <v/>
      </c>
      <c r="H304" s="32" t="str">
        <f>IF('12 - Deployments &amp; Config'!A309="","",'12 - Deployments &amp; Config'!A309)</f>
        <v/>
      </c>
      <c r="I304" s="32" t="str">
        <f>IF('12 - Deployments &amp; Config'!AJ309="","",'12 - Deployments &amp; Config'!AJ309)</f>
        <v/>
      </c>
      <c r="J304" s="32" t="str">
        <f>IF('12 - Deployments &amp; Config'!AK309="","",'12 - Deployments &amp; Config'!AK309)</f>
        <v/>
      </c>
      <c r="K304" s="32" t="str">
        <f>IF('12 - Deployments &amp; Config'!AA309="","",'12 - Deployments &amp; Config'!AA309)</f>
        <v/>
      </c>
      <c r="L304" s="32" t="str">
        <f>IF('12 - Deployments &amp; Config'!I309="","",'12 - Deployments &amp; Config'!I309)</f>
        <v/>
      </c>
      <c r="M304" s="33"/>
      <c r="N304" s="32" t="str">
        <f>IF('12 - Deployments &amp; Config'!J309="","",'12 - Deployments &amp; Config'!J309)</f>
        <v/>
      </c>
      <c r="O304" s="32" t="str">
        <f>IF('12 - Deployments &amp; Config'!K309="","",'12 - Deployments &amp; Config'!K309)</f>
        <v/>
      </c>
      <c r="P304" s="32" t="str">
        <f>IF('12 - Deployments &amp; Config'!L309="","",'12 - Deployments &amp; Config'!L309)</f>
        <v/>
      </c>
      <c r="Q304" s="33"/>
      <c r="R304" s="32" t="str">
        <f>IF('12 - Deployments &amp; Config'!AZ309="","",'12 - Deployments &amp; Config'!AZ309)</f>
        <v/>
      </c>
      <c r="S304" s="32" t="str">
        <f>IF('12 - Deployments &amp; Config'!AY309="","",'12 - Deployments &amp; Config'!AY309)</f>
        <v/>
      </c>
      <c r="T304" s="32" t="str">
        <f>IF('12 - Deployments &amp; Config'!AW309="","",'12 - Deployments &amp; Config'!AW309)</f>
        <v/>
      </c>
      <c r="U304" s="32" t="str">
        <f>IF('12 - Deployments &amp; Config'!AX309="","",'12 - Deployments &amp; Config'!AX309)</f>
        <v/>
      </c>
      <c r="V304" s="32" t="str">
        <f>IF('12 - Deployments &amp; Config'!BB309="","",'12 - Deployments &amp; Config'!BB309)</f>
        <v/>
      </c>
      <c r="W304" s="32" t="str">
        <f>IF('12 - Deployments &amp; Config'!BD309="","",'12 - Deployments &amp; Config'!BD309)</f>
        <v/>
      </c>
      <c r="X304" s="32" t="str">
        <f>IF('12 - Deployments &amp; Config'!BL309="","",'12 - Deployments &amp; Config'!BL309)</f>
        <v/>
      </c>
      <c r="Y304" s="32" t="str">
        <f>IF('12 - Deployments &amp; Config'!BC309="","",'12 - Deployments &amp; Config'!BC309)</f>
        <v/>
      </c>
      <c r="Z304" s="32" t="str">
        <f>IF('12 - Deployments &amp; Config'!P309="","",'12 - Deployments &amp; Config'!P309)</f>
        <v/>
      </c>
      <c r="AA304" s="32" t="str">
        <f>IF('12 - Deployments &amp; Config'!Q309="","",'12 - Deployments &amp; Config'!Q309)</f>
        <v/>
      </c>
    </row>
    <row r="305" spans="1:27">
      <c r="A305" s="33"/>
      <c r="B305" s="33"/>
      <c r="C305" s="32" t="str">
        <f>IF('12 - Deployments &amp; Config'!H310="","",'12 - Deployments &amp; Config'!H310)</f>
        <v/>
      </c>
      <c r="D305" s="32" t="str">
        <f>IF('12 - Deployments &amp; Config'!AF310="","",'12 - Deployments &amp; Config'!AF310)</f>
        <v/>
      </c>
      <c r="E305" s="32" t="str">
        <f>IF('12 - Deployments &amp; Config'!AG310="","",'12 - Deployments &amp; Config'!AG310)</f>
        <v/>
      </c>
      <c r="F305" s="32" t="str">
        <f>IF('12 - Deployments &amp; Config'!AH310="","",'12 - Deployments &amp; Config'!AH310)</f>
        <v/>
      </c>
      <c r="G305" s="32" t="str">
        <f>IF('12 - Deployments &amp; Config'!AI310="","",'12 - Deployments &amp; Config'!AI310)</f>
        <v/>
      </c>
      <c r="H305" s="32" t="str">
        <f>IF('12 - Deployments &amp; Config'!A310="","",'12 - Deployments &amp; Config'!A310)</f>
        <v/>
      </c>
      <c r="I305" s="32" t="str">
        <f>IF('12 - Deployments &amp; Config'!AJ310="","",'12 - Deployments &amp; Config'!AJ310)</f>
        <v/>
      </c>
      <c r="J305" s="32" t="str">
        <f>IF('12 - Deployments &amp; Config'!AK310="","",'12 - Deployments &amp; Config'!AK310)</f>
        <v/>
      </c>
      <c r="K305" s="32" t="str">
        <f>IF('12 - Deployments &amp; Config'!AA310="","",'12 - Deployments &amp; Config'!AA310)</f>
        <v/>
      </c>
      <c r="L305" s="32" t="str">
        <f>IF('12 - Deployments &amp; Config'!I310="","",'12 - Deployments &amp; Config'!I310)</f>
        <v/>
      </c>
      <c r="M305" s="33"/>
      <c r="N305" s="32" t="str">
        <f>IF('12 - Deployments &amp; Config'!J310="","",'12 - Deployments &amp; Config'!J310)</f>
        <v/>
      </c>
      <c r="O305" s="32" t="str">
        <f>IF('12 - Deployments &amp; Config'!K310="","",'12 - Deployments &amp; Config'!K310)</f>
        <v/>
      </c>
      <c r="P305" s="32" t="str">
        <f>IF('12 - Deployments &amp; Config'!L310="","",'12 - Deployments &amp; Config'!L310)</f>
        <v/>
      </c>
      <c r="Q305" s="33"/>
      <c r="R305" s="32" t="str">
        <f>IF('12 - Deployments &amp; Config'!AZ310="","",'12 - Deployments &amp; Config'!AZ310)</f>
        <v/>
      </c>
      <c r="S305" s="32" t="str">
        <f>IF('12 - Deployments &amp; Config'!AY310="","",'12 - Deployments &amp; Config'!AY310)</f>
        <v/>
      </c>
      <c r="T305" s="32" t="str">
        <f>IF('12 - Deployments &amp; Config'!AW310="","",'12 - Deployments &amp; Config'!AW310)</f>
        <v/>
      </c>
      <c r="U305" s="32" t="str">
        <f>IF('12 - Deployments &amp; Config'!AX310="","",'12 - Deployments &amp; Config'!AX310)</f>
        <v/>
      </c>
      <c r="V305" s="32" t="str">
        <f>IF('12 - Deployments &amp; Config'!BB310="","",'12 - Deployments &amp; Config'!BB310)</f>
        <v/>
      </c>
      <c r="W305" s="32" t="str">
        <f>IF('12 - Deployments &amp; Config'!BD310="","",'12 - Deployments &amp; Config'!BD310)</f>
        <v/>
      </c>
      <c r="X305" s="32" t="str">
        <f>IF('12 - Deployments &amp; Config'!BL310="","",'12 - Deployments &amp; Config'!BL310)</f>
        <v/>
      </c>
      <c r="Y305" s="32" t="str">
        <f>IF('12 - Deployments &amp; Config'!BC310="","",'12 - Deployments &amp; Config'!BC310)</f>
        <v/>
      </c>
      <c r="Z305" s="32" t="str">
        <f>IF('12 - Deployments &amp; Config'!P310="","",'12 - Deployments &amp; Config'!P310)</f>
        <v/>
      </c>
      <c r="AA305" s="32" t="str">
        <f>IF('12 - Deployments &amp; Config'!Q310="","",'12 - Deployments &amp; Config'!Q310)</f>
        <v/>
      </c>
    </row>
    <row r="306" spans="1:27">
      <c r="A306" s="33"/>
      <c r="B306" s="33"/>
      <c r="C306" s="32" t="str">
        <f>IF('12 - Deployments &amp; Config'!H311="","",'12 - Deployments &amp; Config'!H311)</f>
        <v/>
      </c>
      <c r="D306" s="32" t="str">
        <f>IF('12 - Deployments &amp; Config'!AF311="","",'12 - Deployments &amp; Config'!AF311)</f>
        <v/>
      </c>
      <c r="E306" s="32" t="str">
        <f>IF('12 - Deployments &amp; Config'!AG311="","",'12 - Deployments &amp; Config'!AG311)</f>
        <v/>
      </c>
      <c r="F306" s="32" t="str">
        <f>IF('12 - Deployments &amp; Config'!AH311="","",'12 - Deployments &amp; Config'!AH311)</f>
        <v/>
      </c>
      <c r="G306" s="32" t="str">
        <f>IF('12 - Deployments &amp; Config'!AI311="","",'12 - Deployments &amp; Config'!AI311)</f>
        <v/>
      </c>
      <c r="H306" s="32" t="str">
        <f>IF('12 - Deployments &amp; Config'!A311="","",'12 - Deployments &amp; Config'!A311)</f>
        <v/>
      </c>
      <c r="I306" s="32" t="str">
        <f>IF('12 - Deployments &amp; Config'!AJ311="","",'12 - Deployments &amp; Config'!AJ311)</f>
        <v/>
      </c>
      <c r="J306" s="32" t="str">
        <f>IF('12 - Deployments &amp; Config'!AK311="","",'12 - Deployments &amp; Config'!AK311)</f>
        <v/>
      </c>
      <c r="K306" s="32" t="str">
        <f>IF('12 - Deployments &amp; Config'!AA311="","",'12 - Deployments &amp; Config'!AA311)</f>
        <v/>
      </c>
      <c r="L306" s="32" t="str">
        <f>IF('12 - Deployments &amp; Config'!I311="","",'12 - Deployments &amp; Config'!I311)</f>
        <v/>
      </c>
      <c r="M306" s="33"/>
      <c r="N306" s="32" t="str">
        <f>IF('12 - Deployments &amp; Config'!J311="","",'12 - Deployments &amp; Config'!J311)</f>
        <v/>
      </c>
      <c r="O306" s="32" t="str">
        <f>IF('12 - Deployments &amp; Config'!K311="","",'12 - Deployments &amp; Config'!K311)</f>
        <v/>
      </c>
      <c r="P306" s="32" t="str">
        <f>IF('12 - Deployments &amp; Config'!L311="","",'12 - Deployments &amp; Config'!L311)</f>
        <v/>
      </c>
      <c r="Q306" s="33"/>
      <c r="R306" s="32" t="str">
        <f>IF('12 - Deployments &amp; Config'!AZ311="","",'12 - Deployments &amp; Config'!AZ311)</f>
        <v/>
      </c>
      <c r="S306" s="32" t="str">
        <f>IF('12 - Deployments &amp; Config'!AY311="","",'12 - Deployments &amp; Config'!AY311)</f>
        <v/>
      </c>
      <c r="T306" s="32" t="str">
        <f>IF('12 - Deployments &amp; Config'!AW311="","",'12 - Deployments &amp; Config'!AW311)</f>
        <v/>
      </c>
      <c r="U306" s="32" t="str">
        <f>IF('12 - Deployments &amp; Config'!AX311="","",'12 - Deployments &amp; Config'!AX311)</f>
        <v/>
      </c>
      <c r="V306" s="32" t="str">
        <f>IF('12 - Deployments &amp; Config'!BB311="","",'12 - Deployments &amp; Config'!BB311)</f>
        <v/>
      </c>
      <c r="W306" s="32" t="str">
        <f>IF('12 - Deployments &amp; Config'!BD311="","",'12 - Deployments &amp; Config'!BD311)</f>
        <v/>
      </c>
      <c r="X306" s="32" t="str">
        <f>IF('12 - Deployments &amp; Config'!BL311="","",'12 - Deployments &amp; Config'!BL311)</f>
        <v/>
      </c>
      <c r="Y306" s="32" t="str">
        <f>IF('12 - Deployments &amp; Config'!BC311="","",'12 - Deployments &amp; Config'!BC311)</f>
        <v/>
      </c>
      <c r="Z306" s="32" t="str">
        <f>IF('12 - Deployments &amp; Config'!P311="","",'12 - Deployments &amp; Config'!P311)</f>
        <v/>
      </c>
      <c r="AA306" s="32" t="str">
        <f>IF('12 - Deployments &amp; Config'!Q311="","",'12 - Deployments &amp; Config'!Q311)</f>
        <v/>
      </c>
    </row>
    <row r="307" spans="1:27">
      <c r="A307" s="33"/>
      <c r="B307" s="33"/>
      <c r="C307" s="32" t="str">
        <f>IF('12 - Deployments &amp; Config'!H312="","",'12 - Deployments &amp; Config'!H312)</f>
        <v/>
      </c>
      <c r="D307" s="32" t="str">
        <f>IF('12 - Deployments &amp; Config'!AF312="","",'12 - Deployments &amp; Config'!AF312)</f>
        <v/>
      </c>
      <c r="E307" s="32" t="str">
        <f>IF('12 - Deployments &amp; Config'!AG312="","",'12 - Deployments &amp; Config'!AG312)</f>
        <v/>
      </c>
      <c r="F307" s="32" t="str">
        <f>IF('12 - Deployments &amp; Config'!AH312="","",'12 - Deployments &amp; Config'!AH312)</f>
        <v/>
      </c>
      <c r="G307" s="32" t="str">
        <f>IF('12 - Deployments &amp; Config'!AI312="","",'12 - Deployments &amp; Config'!AI312)</f>
        <v/>
      </c>
      <c r="H307" s="32" t="str">
        <f>IF('12 - Deployments &amp; Config'!A312="","",'12 - Deployments &amp; Config'!A312)</f>
        <v/>
      </c>
      <c r="I307" s="32" t="str">
        <f>IF('12 - Deployments &amp; Config'!AJ312="","",'12 - Deployments &amp; Config'!AJ312)</f>
        <v/>
      </c>
      <c r="J307" s="32" t="str">
        <f>IF('12 - Deployments &amp; Config'!AK312="","",'12 - Deployments &amp; Config'!AK312)</f>
        <v/>
      </c>
      <c r="K307" s="32" t="str">
        <f>IF('12 - Deployments &amp; Config'!AA312="","",'12 - Deployments &amp; Config'!AA312)</f>
        <v/>
      </c>
      <c r="L307" s="32" t="str">
        <f>IF('12 - Deployments &amp; Config'!I312="","",'12 - Deployments &amp; Config'!I312)</f>
        <v/>
      </c>
      <c r="M307" s="33"/>
      <c r="N307" s="32" t="str">
        <f>IF('12 - Deployments &amp; Config'!J312="","",'12 - Deployments &amp; Config'!J312)</f>
        <v/>
      </c>
      <c r="O307" s="32" t="str">
        <f>IF('12 - Deployments &amp; Config'!K312="","",'12 - Deployments &amp; Config'!K312)</f>
        <v/>
      </c>
      <c r="P307" s="32" t="str">
        <f>IF('12 - Deployments &amp; Config'!L312="","",'12 - Deployments &amp; Config'!L312)</f>
        <v/>
      </c>
      <c r="Q307" s="33"/>
      <c r="R307" s="32" t="str">
        <f>IF('12 - Deployments &amp; Config'!AZ312="","",'12 - Deployments &amp; Config'!AZ312)</f>
        <v/>
      </c>
      <c r="S307" s="32" t="str">
        <f>IF('12 - Deployments &amp; Config'!AY312="","",'12 - Deployments &amp; Config'!AY312)</f>
        <v/>
      </c>
      <c r="T307" s="32" t="str">
        <f>IF('12 - Deployments &amp; Config'!AW312="","",'12 - Deployments &amp; Config'!AW312)</f>
        <v/>
      </c>
      <c r="U307" s="32" t="str">
        <f>IF('12 - Deployments &amp; Config'!AX312="","",'12 - Deployments &amp; Config'!AX312)</f>
        <v/>
      </c>
      <c r="V307" s="32" t="str">
        <f>IF('12 - Deployments &amp; Config'!BB312="","",'12 - Deployments &amp; Config'!BB312)</f>
        <v/>
      </c>
      <c r="W307" s="32" t="str">
        <f>IF('12 - Deployments &amp; Config'!BD312="","",'12 - Deployments &amp; Config'!BD312)</f>
        <v/>
      </c>
      <c r="X307" s="32" t="str">
        <f>IF('12 - Deployments &amp; Config'!BL312="","",'12 - Deployments &amp; Config'!BL312)</f>
        <v/>
      </c>
      <c r="Y307" s="32" t="str">
        <f>IF('12 - Deployments &amp; Config'!BC312="","",'12 - Deployments &amp; Config'!BC312)</f>
        <v/>
      </c>
      <c r="Z307" s="32" t="str">
        <f>IF('12 - Deployments &amp; Config'!P312="","",'12 - Deployments &amp; Config'!P312)</f>
        <v/>
      </c>
      <c r="AA307" s="32" t="str">
        <f>IF('12 - Deployments &amp; Config'!Q312="","",'12 - Deployments &amp; Config'!Q312)</f>
        <v/>
      </c>
    </row>
    <row r="308" spans="1:27">
      <c r="A308" s="33"/>
      <c r="B308" s="33"/>
      <c r="C308" s="32" t="str">
        <f>IF('12 - Deployments &amp; Config'!H313="","",'12 - Deployments &amp; Config'!H313)</f>
        <v/>
      </c>
      <c r="D308" s="32" t="str">
        <f>IF('12 - Deployments &amp; Config'!AF313="","",'12 - Deployments &amp; Config'!AF313)</f>
        <v/>
      </c>
      <c r="E308" s="32" t="str">
        <f>IF('12 - Deployments &amp; Config'!AG313="","",'12 - Deployments &amp; Config'!AG313)</f>
        <v/>
      </c>
      <c r="F308" s="32" t="str">
        <f>IF('12 - Deployments &amp; Config'!AH313="","",'12 - Deployments &amp; Config'!AH313)</f>
        <v/>
      </c>
      <c r="G308" s="32" t="str">
        <f>IF('12 - Deployments &amp; Config'!AI313="","",'12 - Deployments &amp; Config'!AI313)</f>
        <v/>
      </c>
      <c r="H308" s="32" t="str">
        <f>IF('12 - Deployments &amp; Config'!A313="","",'12 - Deployments &amp; Config'!A313)</f>
        <v/>
      </c>
      <c r="I308" s="32" t="str">
        <f>IF('12 - Deployments &amp; Config'!AJ313="","",'12 - Deployments &amp; Config'!AJ313)</f>
        <v/>
      </c>
      <c r="J308" s="32" t="str">
        <f>IF('12 - Deployments &amp; Config'!AK313="","",'12 - Deployments &amp; Config'!AK313)</f>
        <v/>
      </c>
      <c r="K308" s="32" t="str">
        <f>IF('12 - Deployments &amp; Config'!AA313="","",'12 - Deployments &amp; Config'!AA313)</f>
        <v/>
      </c>
      <c r="L308" s="32" t="str">
        <f>IF('12 - Deployments &amp; Config'!I313="","",'12 - Deployments &amp; Config'!I313)</f>
        <v/>
      </c>
      <c r="M308" s="33"/>
      <c r="N308" s="32" t="str">
        <f>IF('12 - Deployments &amp; Config'!J313="","",'12 - Deployments &amp; Config'!J313)</f>
        <v/>
      </c>
      <c r="O308" s="32" t="str">
        <f>IF('12 - Deployments &amp; Config'!K313="","",'12 - Deployments &amp; Config'!K313)</f>
        <v/>
      </c>
      <c r="P308" s="32" t="str">
        <f>IF('12 - Deployments &amp; Config'!L313="","",'12 - Deployments &amp; Config'!L313)</f>
        <v/>
      </c>
      <c r="Q308" s="33"/>
      <c r="R308" s="32" t="str">
        <f>IF('12 - Deployments &amp; Config'!AZ313="","",'12 - Deployments &amp; Config'!AZ313)</f>
        <v/>
      </c>
      <c r="S308" s="32" t="str">
        <f>IF('12 - Deployments &amp; Config'!AY313="","",'12 - Deployments &amp; Config'!AY313)</f>
        <v/>
      </c>
      <c r="T308" s="32" t="str">
        <f>IF('12 - Deployments &amp; Config'!AW313="","",'12 - Deployments &amp; Config'!AW313)</f>
        <v/>
      </c>
      <c r="U308" s="32" t="str">
        <f>IF('12 - Deployments &amp; Config'!AX313="","",'12 - Deployments &amp; Config'!AX313)</f>
        <v/>
      </c>
      <c r="V308" s="32" t="str">
        <f>IF('12 - Deployments &amp; Config'!BB313="","",'12 - Deployments &amp; Config'!BB313)</f>
        <v/>
      </c>
      <c r="W308" s="32" t="str">
        <f>IF('12 - Deployments &amp; Config'!BD313="","",'12 - Deployments &amp; Config'!BD313)</f>
        <v/>
      </c>
      <c r="X308" s="32" t="str">
        <f>IF('12 - Deployments &amp; Config'!BL313="","",'12 - Deployments &amp; Config'!BL313)</f>
        <v/>
      </c>
      <c r="Y308" s="32" t="str">
        <f>IF('12 - Deployments &amp; Config'!BC313="","",'12 - Deployments &amp; Config'!BC313)</f>
        <v/>
      </c>
      <c r="Z308" s="32" t="str">
        <f>IF('12 - Deployments &amp; Config'!P313="","",'12 - Deployments &amp; Config'!P313)</f>
        <v/>
      </c>
      <c r="AA308" s="32" t="str">
        <f>IF('12 - Deployments &amp; Config'!Q313="","",'12 - Deployments &amp; Config'!Q313)</f>
        <v/>
      </c>
    </row>
    <row r="309" spans="1:27">
      <c r="A309" s="33"/>
      <c r="B309" s="33"/>
      <c r="C309" s="32" t="str">
        <f>IF('12 - Deployments &amp; Config'!H314="","",'12 - Deployments &amp; Config'!H314)</f>
        <v/>
      </c>
      <c r="D309" s="32" t="str">
        <f>IF('12 - Deployments &amp; Config'!AF314="","",'12 - Deployments &amp; Config'!AF314)</f>
        <v/>
      </c>
      <c r="E309" s="32" t="str">
        <f>IF('12 - Deployments &amp; Config'!AG314="","",'12 - Deployments &amp; Config'!AG314)</f>
        <v/>
      </c>
      <c r="F309" s="32" t="str">
        <f>IF('12 - Deployments &amp; Config'!AH314="","",'12 - Deployments &amp; Config'!AH314)</f>
        <v/>
      </c>
      <c r="G309" s="32" t="str">
        <f>IF('12 - Deployments &amp; Config'!AI314="","",'12 - Deployments &amp; Config'!AI314)</f>
        <v/>
      </c>
      <c r="H309" s="32" t="str">
        <f>IF('12 - Deployments &amp; Config'!A314="","",'12 - Deployments &amp; Config'!A314)</f>
        <v/>
      </c>
      <c r="I309" s="32" t="str">
        <f>IF('12 - Deployments &amp; Config'!AJ314="","",'12 - Deployments &amp; Config'!AJ314)</f>
        <v/>
      </c>
      <c r="J309" s="32" t="str">
        <f>IF('12 - Deployments &amp; Config'!AK314="","",'12 - Deployments &amp; Config'!AK314)</f>
        <v/>
      </c>
      <c r="K309" s="32" t="str">
        <f>IF('12 - Deployments &amp; Config'!AA314="","",'12 - Deployments &amp; Config'!AA314)</f>
        <v/>
      </c>
      <c r="L309" s="32" t="str">
        <f>IF('12 - Deployments &amp; Config'!I314="","",'12 - Deployments &amp; Config'!I314)</f>
        <v/>
      </c>
      <c r="M309" s="33"/>
      <c r="N309" s="32" t="str">
        <f>IF('12 - Deployments &amp; Config'!J314="","",'12 - Deployments &amp; Config'!J314)</f>
        <v/>
      </c>
      <c r="O309" s="32" t="str">
        <f>IF('12 - Deployments &amp; Config'!K314="","",'12 - Deployments &amp; Config'!K314)</f>
        <v/>
      </c>
      <c r="P309" s="32" t="str">
        <f>IF('12 - Deployments &amp; Config'!L314="","",'12 - Deployments &amp; Config'!L314)</f>
        <v/>
      </c>
      <c r="Q309" s="33"/>
      <c r="R309" s="32" t="str">
        <f>IF('12 - Deployments &amp; Config'!AZ314="","",'12 - Deployments &amp; Config'!AZ314)</f>
        <v/>
      </c>
      <c r="S309" s="32" t="str">
        <f>IF('12 - Deployments &amp; Config'!AY314="","",'12 - Deployments &amp; Config'!AY314)</f>
        <v/>
      </c>
      <c r="T309" s="32" t="str">
        <f>IF('12 - Deployments &amp; Config'!AW314="","",'12 - Deployments &amp; Config'!AW314)</f>
        <v/>
      </c>
      <c r="U309" s="32" t="str">
        <f>IF('12 - Deployments &amp; Config'!AX314="","",'12 - Deployments &amp; Config'!AX314)</f>
        <v/>
      </c>
      <c r="V309" s="32" t="str">
        <f>IF('12 - Deployments &amp; Config'!BB314="","",'12 - Deployments &amp; Config'!BB314)</f>
        <v/>
      </c>
      <c r="W309" s="32" t="str">
        <f>IF('12 - Deployments &amp; Config'!BD314="","",'12 - Deployments &amp; Config'!BD314)</f>
        <v/>
      </c>
      <c r="X309" s="32" t="str">
        <f>IF('12 - Deployments &amp; Config'!BL314="","",'12 - Deployments &amp; Config'!BL314)</f>
        <v/>
      </c>
      <c r="Y309" s="32" t="str">
        <f>IF('12 - Deployments &amp; Config'!BC314="","",'12 - Deployments &amp; Config'!BC314)</f>
        <v/>
      </c>
      <c r="Z309" s="32" t="str">
        <f>IF('12 - Deployments &amp; Config'!P314="","",'12 - Deployments &amp; Config'!P314)</f>
        <v/>
      </c>
      <c r="AA309" s="32" t="str">
        <f>IF('12 - Deployments &amp; Config'!Q314="","",'12 - Deployments &amp; Config'!Q314)</f>
        <v/>
      </c>
    </row>
    <row r="310" spans="1:27">
      <c r="A310" s="33"/>
      <c r="B310" s="33"/>
      <c r="C310" s="32" t="str">
        <f>IF('12 - Deployments &amp; Config'!H315="","",'12 - Deployments &amp; Config'!H315)</f>
        <v/>
      </c>
      <c r="D310" s="32" t="str">
        <f>IF('12 - Deployments &amp; Config'!AF315="","",'12 - Deployments &amp; Config'!AF315)</f>
        <v/>
      </c>
      <c r="E310" s="32" t="str">
        <f>IF('12 - Deployments &amp; Config'!AG315="","",'12 - Deployments &amp; Config'!AG315)</f>
        <v/>
      </c>
      <c r="F310" s="32" t="str">
        <f>IF('12 - Deployments &amp; Config'!AH315="","",'12 - Deployments &amp; Config'!AH315)</f>
        <v/>
      </c>
      <c r="G310" s="32" t="str">
        <f>IF('12 - Deployments &amp; Config'!AI315="","",'12 - Deployments &amp; Config'!AI315)</f>
        <v/>
      </c>
      <c r="H310" s="32" t="str">
        <f>IF('12 - Deployments &amp; Config'!A315="","",'12 - Deployments &amp; Config'!A315)</f>
        <v/>
      </c>
      <c r="I310" s="32" t="str">
        <f>IF('12 - Deployments &amp; Config'!AJ315="","",'12 - Deployments &amp; Config'!AJ315)</f>
        <v/>
      </c>
      <c r="J310" s="32" t="str">
        <f>IF('12 - Deployments &amp; Config'!AK315="","",'12 - Deployments &amp; Config'!AK315)</f>
        <v/>
      </c>
      <c r="K310" s="32" t="str">
        <f>IF('12 - Deployments &amp; Config'!AA315="","",'12 - Deployments &amp; Config'!AA315)</f>
        <v/>
      </c>
      <c r="L310" s="32" t="str">
        <f>IF('12 - Deployments &amp; Config'!I315="","",'12 - Deployments &amp; Config'!I315)</f>
        <v/>
      </c>
      <c r="M310" s="33"/>
      <c r="N310" s="32" t="str">
        <f>IF('12 - Deployments &amp; Config'!J315="","",'12 - Deployments &amp; Config'!J315)</f>
        <v/>
      </c>
      <c r="O310" s="32" t="str">
        <f>IF('12 - Deployments &amp; Config'!K315="","",'12 - Deployments &amp; Config'!K315)</f>
        <v/>
      </c>
      <c r="P310" s="32" t="str">
        <f>IF('12 - Deployments &amp; Config'!L315="","",'12 - Deployments &amp; Config'!L315)</f>
        <v/>
      </c>
      <c r="Q310" s="33"/>
      <c r="R310" s="32" t="str">
        <f>IF('12 - Deployments &amp; Config'!AZ315="","",'12 - Deployments &amp; Config'!AZ315)</f>
        <v/>
      </c>
      <c r="S310" s="32" t="str">
        <f>IF('12 - Deployments &amp; Config'!AY315="","",'12 - Deployments &amp; Config'!AY315)</f>
        <v/>
      </c>
      <c r="T310" s="32" t="str">
        <f>IF('12 - Deployments &amp; Config'!AW315="","",'12 - Deployments &amp; Config'!AW315)</f>
        <v/>
      </c>
      <c r="U310" s="32" t="str">
        <f>IF('12 - Deployments &amp; Config'!AX315="","",'12 - Deployments &amp; Config'!AX315)</f>
        <v/>
      </c>
      <c r="V310" s="32" t="str">
        <f>IF('12 - Deployments &amp; Config'!BB315="","",'12 - Deployments &amp; Config'!BB315)</f>
        <v/>
      </c>
      <c r="W310" s="32" t="str">
        <f>IF('12 - Deployments &amp; Config'!BD315="","",'12 - Deployments &amp; Config'!BD315)</f>
        <v/>
      </c>
      <c r="X310" s="32" t="str">
        <f>IF('12 - Deployments &amp; Config'!BL315="","",'12 - Deployments &amp; Config'!BL315)</f>
        <v/>
      </c>
      <c r="Y310" s="32" t="str">
        <f>IF('12 - Deployments &amp; Config'!BC315="","",'12 - Deployments &amp; Config'!BC315)</f>
        <v/>
      </c>
      <c r="Z310" s="32" t="str">
        <f>IF('12 - Deployments &amp; Config'!P315="","",'12 - Deployments &amp; Config'!P315)</f>
        <v/>
      </c>
      <c r="AA310" s="32" t="str">
        <f>IF('12 - Deployments &amp; Config'!Q315="","",'12 - Deployments &amp; Config'!Q315)</f>
        <v/>
      </c>
    </row>
    <row r="311" spans="1:27">
      <c r="A311" s="33"/>
      <c r="B311" s="33"/>
      <c r="C311" s="32" t="str">
        <f>IF('12 - Deployments &amp; Config'!H316="","",'12 - Deployments &amp; Config'!H316)</f>
        <v/>
      </c>
      <c r="D311" s="32" t="str">
        <f>IF('12 - Deployments &amp; Config'!AF316="","",'12 - Deployments &amp; Config'!AF316)</f>
        <v/>
      </c>
      <c r="E311" s="32" t="str">
        <f>IF('12 - Deployments &amp; Config'!AG316="","",'12 - Deployments &amp; Config'!AG316)</f>
        <v/>
      </c>
      <c r="F311" s="32" t="str">
        <f>IF('12 - Deployments &amp; Config'!AH316="","",'12 - Deployments &amp; Config'!AH316)</f>
        <v/>
      </c>
      <c r="G311" s="32" t="str">
        <f>IF('12 - Deployments &amp; Config'!AI316="","",'12 - Deployments &amp; Config'!AI316)</f>
        <v/>
      </c>
      <c r="H311" s="32" t="str">
        <f>IF('12 - Deployments &amp; Config'!A316="","",'12 - Deployments &amp; Config'!A316)</f>
        <v/>
      </c>
      <c r="I311" s="32" t="str">
        <f>IF('12 - Deployments &amp; Config'!AJ316="","",'12 - Deployments &amp; Config'!AJ316)</f>
        <v/>
      </c>
      <c r="J311" s="32" t="str">
        <f>IF('12 - Deployments &amp; Config'!AK316="","",'12 - Deployments &amp; Config'!AK316)</f>
        <v/>
      </c>
      <c r="K311" s="32" t="str">
        <f>IF('12 - Deployments &amp; Config'!AA316="","",'12 - Deployments &amp; Config'!AA316)</f>
        <v/>
      </c>
      <c r="L311" s="32" t="str">
        <f>IF('12 - Deployments &amp; Config'!I316="","",'12 - Deployments &amp; Config'!I316)</f>
        <v/>
      </c>
      <c r="M311" s="33"/>
      <c r="N311" s="32" t="str">
        <f>IF('12 - Deployments &amp; Config'!J316="","",'12 - Deployments &amp; Config'!J316)</f>
        <v/>
      </c>
      <c r="O311" s="32" t="str">
        <f>IF('12 - Deployments &amp; Config'!K316="","",'12 - Deployments &amp; Config'!K316)</f>
        <v/>
      </c>
      <c r="P311" s="32" t="str">
        <f>IF('12 - Deployments &amp; Config'!L316="","",'12 - Deployments &amp; Config'!L316)</f>
        <v/>
      </c>
      <c r="Q311" s="33"/>
      <c r="R311" s="32" t="str">
        <f>IF('12 - Deployments &amp; Config'!AZ316="","",'12 - Deployments &amp; Config'!AZ316)</f>
        <v/>
      </c>
      <c r="S311" s="32" t="str">
        <f>IF('12 - Deployments &amp; Config'!AY316="","",'12 - Deployments &amp; Config'!AY316)</f>
        <v/>
      </c>
      <c r="T311" s="32" t="str">
        <f>IF('12 - Deployments &amp; Config'!AW316="","",'12 - Deployments &amp; Config'!AW316)</f>
        <v/>
      </c>
      <c r="U311" s="32" t="str">
        <f>IF('12 - Deployments &amp; Config'!AX316="","",'12 - Deployments &amp; Config'!AX316)</f>
        <v/>
      </c>
      <c r="V311" s="32" t="str">
        <f>IF('12 - Deployments &amp; Config'!BB316="","",'12 - Deployments &amp; Config'!BB316)</f>
        <v/>
      </c>
      <c r="W311" s="32" t="str">
        <f>IF('12 - Deployments &amp; Config'!BD316="","",'12 - Deployments &amp; Config'!BD316)</f>
        <v/>
      </c>
      <c r="X311" s="32" t="str">
        <f>IF('12 - Deployments &amp; Config'!BL316="","",'12 - Deployments &amp; Config'!BL316)</f>
        <v/>
      </c>
      <c r="Y311" s="32" t="str">
        <f>IF('12 - Deployments &amp; Config'!BC316="","",'12 - Deployments &amp; Config'!BC316)</f>
        <v/>
      </c>
      <c r="Z311" s="32" t="str">
        <f>IF('12 - Deployments &amp; Config'!P316="","",'12 - Deployments &amp; Config'!P316)</f>
        <v/>
      </c>
      <c r="AA311" s="32" t="str">
        <f>IF('12 - Deployments &amp; Config'!Q316="","",'12 - Deployments &amp; Config'!Q316)</f>
        <v/>
      </c>
    </row>
    <row r="312" spans="1:27">
      <c r="A312" s="33"/>
      <c r="B312" s="33"/>
      <c r="C312" s="32" t="str">
        <f>IF('12 - Deployments &amp; Config'!H317="","",'12 - Deployments &amp; Config'!H317)</f>
        <v/>
      </c>
      <c r="D312" s="32" t="str">
        <f>IF('12 - Deployments &amp; Config'!AF317="","",'12 - Deployments &amp; Config'!AF317)</f>
        <v/>
      </c>
      <c r="E312" s="32" t="str">
        <f>IF('12 - Deployments &amp; Config'!AG317="","",'12 - Deployments &amp; Config'!AG317)</f>
        <v/>
      </c>
      <c r="F312" s="32" t="str">
        <f>IF('12 - Deployments &amp; Config'!AH317="","",'12 - Deployments &amp; Config'!AH317)</f>
        <v/>
      </c>
      <c r="G312" s="32" t="str">
        <f>IF('12 - Deployments &amp; Config'!AI317="","",'12 - Deployments &amp; Config'!AI317)</f>
        <v/>
      </c>
      <c r="H312" s="32" t="str">
        <f>IF('12 - Deployments &amp; Config'!A317="","",'12 - Deployments &amp; Config'!A317)</f>
        <v/>
      </c>
      <c r="I312" s="32" t="str">
        <f>IF('12 - Deployments &amp; Config'!AJ317="","",'12 - Deployments &amp; Config'!AJ317)</f>
        <v/>
      </c>
      <c r="J312" s="32" t="str">
        <f>IF('12 - Deployments &amp; Config'!AK317="","",'12 - Deployments &amp; Config'!AK317)</f>
        <v/>
      </c>
      <c r="K312" s="32" t="str">
        <f>IF('12 - Deployments &amp; Config'!AA317="","",'12 - Deployments &amp; Config'!AA317)</f>
        <v/>
      </c>
      <c r="L312" s="32" t="str">
        <f>IF('12 - Deployments &amp; Config'!I317="","",'12 - Deployments &amp; Config'!I317)</f>
        <v/>
      </c>
      <c r="M312" s="33"/>
      <c r="N312" s="32" t="str">
        <f>IF('12 - Deployments &amp; Config'!J317="","",'12 - Deployments &amp; Config'!J317)</f>
        <v/>
      </c>
      <c r="O312" s="32" t="str">
        <f>IF('12 - Deployments &amp; Config'!K317="","",'12 - Deployments &amp; Config'!K317)</f>
        <v/>
      </c>
      <c r="P312" s="32" t="str">
        <f>IF('12 - Deployments &amp; Config'!L317="","",'12 - Deployments &amp; Config'!L317)</f>
        <v/>
      </c>
      <c r="Q312" s="33"/>
      <c r="R312" s="32" t="str">
        <f>IF('12 - Deployments &amp; Config'!AZ317="","",'12 - Deployments &amp; Config'!AZ317)</f>
        <v/>
      </c>
      <c r="S312" s="32" t="str">
        <f>IF('12 - Deployments &amp; Config'!AY317="","",'12 - Deployments &amp; Config'!AY317)</f>
        <v/>
      </c>
      <c r="T312" s="32" t="str">
        <f>IF('12 - Deployments &amp; Config'!AW317="","",'12 - Deployments &amp; Config'!AW317)</f>
        <v/>
      </c>
      <c r="U312" s="32" t="str">
        <f>IF('12 - Deployments &amp; Config'!AX317="","",'12 - Deployments &amp; Config'!AX317)</f>
        <v/>
      </c>
      <c r="V312" s="32" t="str">
        <f>IF('12 - Deployments &amp; Config'!BB317="","",'12 - Deployments &amp; Config'!BB317)</f>
        <v/>
      </c>
      <c r="W312" s="32" t="str">
        <f>IF('12 - Deployments &amp; Config'!BD317="","",'12 - Deployments &amp; Config'!BD317)</f>
        <v/>
      </c>
      <c r="X312" s="32" t="str">
        <f>IF('12 - Deployments &amp; Config'!BL317="","",'12 - Deployments &amp; Config'!BL317)</f>
        <v/>
      </c>
      <c r="Y312" s="32" t="str">
        <f>IF('12 - Deployments &amp; Config'!BC317="","",'12 - Deployments &amp; Config'!BC317)</f>
        <v/>
      </c>
      <c r="Z312" s="32" t="str">
        <f>IF('12 - Deployments &amp; Config'!P317="","",'12 - Deployments &amp; Config'!P317)</f>
        <v/>
      </c>
      <c r="AA312" s="32" t="str">
        <f>IF('12 - Deployments &amp; Config'!Q317="","",'12 - Deployments &amp; Config'!Q317)</f>
        <v/>
      </c>
    </row>
    <row r="313" spans="1:27">
      <c r="A313" s="33"/>
      <c r="B313" s="33"/>
      <c r="C313" s="32" t="str">
        <f>IF('12 - Deployments &amp; Config'!H318="","",'12 - Deployments &amp; Config'!H318)</f>
        <v/>
      </c>
      <c r="D313" s="32" t="str">
        <f>IF('12 - Deployments &amp; Config'!AF318="","",'12 - Deployments &amp; Config'!AF318)</f>
        <v/>
      </c>
      <c r="E313" s="32" t="str">
        <f>IF('12 - Deployments &amp; Config'!AG318="","",'12 - Deployments &amp; Config'!AG318)</f>
        <v/>
      </c>
      <c r="F313" s="32" t="str">
        <f>IF('12 - Deployments &amp; Config'!AH318="","",'12 - Deployments &amp; Config'!AH318)</f>
        <v/>
      </c>
      <c r="G313" s="32" t="str">
        <f>IF('12 - Deployments &amp; Config'!AI318="","",'12 - Deployments &amp; Config'!AI318)</f>
        <v/>
      </c>
      <c r="H313" s="32" t="str">
        <f>IF('12 - Deployments &amp; Config'!A318="","",'12 - Deployments &amp; Config'!A318)</f>
        <v/>
      </c>
      <c r="I313" s="32" t="str">
        <f>IF('12 - Deployments &amp; Config'!AJ318="","",'12 - Deployments &amp; Config'!AJ318)</f>
        <v/>
      </c>
      <c r="J313" s="32" t="str">
        <f>IF('12 - Deployments &amp; Config'!AK318="","",'12 - Deployments &amp; Config'!AK318)</f>
        <v/>
      </c>
      <c r="K313" s="32" t="str">
        <f>IF('12 - Deployments &amp; Config'!AA318="","",'12 - Deployments &amp; Config'!AA318)</f>
        <v/>
      </c>
      <c r="L313" s="32" t="str">
        <f>IF('12 - Deployments &amp; Config'!I318="","",'12 - Deployments &amp; Config'!I318)</f>
        <v/>
      </c>
      <c r="M313" s="33"/>
      <c r="N313" s="32" t="str">
        <f>IF('12 - Deployments &amp; Config'!J318="","",'12 - Deployments &amp; Config'!J318)</f>
        <v/>
      </c>
      <c r="O313" s="32" t="str">
        <f>IF('12 - Deployments &amp; Config'!K318="","",'12 - Deployments &amp; Config'!K318)</f>
        <v/>
      </c>
      <c r="P313" s="32" t="str">
        <f>IF('12 - Deployments &amp; Config'!L318="","",'12 - Deployments &amp; Config'!L318)</f>
        <v/>
      </c>
      <c r="Q313" s="33"/>
      <c r="R313" s="32" t="str">
        <f>IF('12 - Deployments &amp; Config'!AZ318="","",'12 - Deployments &amp; Config'!AZ318)</f>
        <v/>
      </c>
      <c r="S313" s="32" t="str">
        <f>IF('12 - Deployments &amp; Config'!AY318="","",'12 - Deployments &amp; Config'!AY318)</f>
        <v/>
      </c>
      <c r="T313" s="32" t="str">
        <f>IF('12 - Deployments &amp; Config'!AW318="","",'12 - Deployments &amp; Config'!AW318)</f>
        <v/>
      </c>
      <c r="U313" s="32" t="str">
        <f>IF('12 - Deployments &amp; Config'!AX318="","",'12 - Deployments &amp; Config'!AX318)</f>
        <v/>
      </c>
      <c r="V313" s="32" t="str">
        <f>IF('12 - Deployments &amp; Config'!BB318="","",'12 - Deployments &amp; Config'!BB318)</f>
        <v/>
      </c>
      <c r="W313" s="32" t="str">
        <f>IF('12 - Deployments &amp; Config'!BD318="","",'12 - Deployments &amp; Config'!BD318)</f>
        <v/>
      </c>
      <c r="X313" s="32" t="str">
        <f>IF('12 - Deployments &amp; Config'!BL318="","",'12 - Deployments &amp; Config'!BL318)</f>
        <v/>
      </c>
      <c r="Y313" s="32" t="str">
        <f>IF('12 - Deployments &amp; Config'!BC318="","",'12 - Deployments &amp; Config'!BC318)</f>
        <v/>
      </c>
      <c r="Z313" s="32" t="str">
        <f>IF('12 - Deployments &amp; Config'!P318="","",'12 - Deployments &amp; Config'!P318)</f>
        <v/>
      </c>
      <c r="AA313" s="32" t="str">
        <f>IF('12 - Deployments &amp; Config'!Q318="","",'12 - Deployments &amp; Config'!Q318)</f>
        <v/>
      </c>
    </row>
    <row r="314" spans="1:27">
      <c r="A314" s="33"/>
      <c r="B314" s="33"/>
      <c r="C314" s="32" t="str">
        <f>IF('12 - Deployments &amp; Config'!H319="","",'12 - Deployments &amp; Config'!H319)</f>
        <v/>
      </c>
      <c r="D314" s="32" t="str">
        <f>IF('12 - Deployments &amp; Config'!AF319="","",'12 - Deployments &amp; Config'!AF319)</f>
        <v/>
      </c>
      <c r="E314" s="32" t="str">
        <f>IF('12 - Deployments &amp; Config'!AG319="","",'12 - Deployments &amp; Config'!AG319)</f>
        <v/>
      </c>
      <c r="F314" s="32" t="str">
        <f>IF('12 - Deployments &amp; Config'!AH319="","",'12 - Deployments &amp; Config'!AH319)</f>
        <v/>
      </c>
      <c r="G314" s="32" t="str">
        <f>IF('12 - Deployments &amp; Config'!AI319="","",'12 - Deployments &amp; Config'!AI319)</f>
        <v/>
      </c>
      <c r="H314" s="32" t="str">
        <f>IF('12 - Deployments &amp; Config'!A319="","",'12 - Deployments &amp; Config'!A319)</f>
        <v/>
      </c>
      <c r="I314" s="32" t="str">
        <f>IF('12 - Deployments &amp; Config'!AJ319="","",'12 - Deployments &amp; Config'!AJ319)</f>
        <v/>
      </c>
      <c r="J314" s="32" t="str">
        <f>IF('12 - Deployments &amp; Config'!AK319="","",'12 - Deployments &amp; Config'!AK319)</f>
        <v/>
      </c>
      <c r="K314" s="32" t="str">
        <f>IF('12 - Deployments &amp; Config'!AA319="","",'12 - Deployments &amp; Config'!AA319)</f>
        <v/>
      </c>
      <c r="L314" s="32" t="str">
        <f>IF('12 - Deployments &amp; Config'!I319="","",'12 - Deployments &amp; Config'!I319)</f>
        <v/>
      </c>
      <c r="M314" s="33"/>
      <c r="N314" s="32" t="str">
        <f>IF('12 - Deployments &amp; Config'!J319="","",'12 - Deployments &amp; Config'!J319)</f>
        <v/>
      </c>
      <c r="O314" s="32" t="str">
        <f>IF('12 - Deployments &amp; Config'!K319="","",'12 - Deployments &amp; Config'!K319)</f>
        <v/>
      </c>
      <c r="P314" s="32" t="str">
        <f>IF('12 - Deployments &amp; Config'!L319="","",'12 - Deployments &amp; Config'!L319)</f>
        <v/>
      </c>
      <c r="Q314" s="33"/>
      <c r="R314" s="32" t="str">
        <f>IF('12 - Deployments &amp; Config'!AZ319="","",'12 - Deployments &amp; Config'!AZ319)</f>
        <v/>
      </c>
      <c r="S314" s="32" t="str">
        <f>IF('12 - Deployments &amp; Config'!AY319="","",'12 - Deployments &amp; Config'!AY319)</f>
        <v/>
      </c>
      <c r="T314" s="32" t="str">
        <f>IF('12 - Deployments &amp; Config'!AW319="","",'12 - Deployments &amp; Config'!AW319)</f>
        <v/>
      </c>
      <c r="U314" s="32" t="str">
        <f>IF('12 - Deployments &amp; Config'!AX319="","",'12 - Deployments &amp; Config'!AX319)</f>
        <v/>
      </c>
      <c r="V314" s="32" t="str">
        <f>IF('12 - Deployments &amp; Config'!BB319="","",'12 - Deployments &amp; Config'!BB319)</f>
        <v/>
      </c>
      <c r="W314" s="32" t="str">
        <f>IF('12 - Deployments &amp; Config'!BD319="","",'12 - Deployments &amp; Config'!BD319)</f>
        <v/>
      </c>
      <c r="X314" s="32" t="str">
        <f>IF('12 - Deployments &amp; Config'!BL319="","",'12 - Deployments &amp; Config'!BL319)</f>
        <v/>
      </c>
      <c r="Y314" s="32" t="str">
        <f>IF('12 - Deployments &amp; Config'!BC319="","",'12 - Deployments &amp; Config'!BC319)</f>
        <v/>
      </c>
      <c r="Z314" s="32" t="str">
        <f>IF('12 - Deployments &amp; Config'!P319="","",'12 - Deployments &amp; Config'!P319)</f>
        <v/>
      </c>
      <c r="AA314" s="32" t="str">
        <f>IF('12 - Deployments &amp; Config'!Q319="","",'12 - Deployments &amp; Config'!Q319)</f>
        <v/>
      </c>
    </row>
    <row r="315" spans="1:27">
      <c r="A315" s="33"/>
      <c r="B315" s="33"/>
      <c r="C315" s="32" t="str">
        <f>IF('12 - Deployments &amp; Config'!H320="","",'12 - Deployments &amp; Config'!H320)</f>
        <v/>
      </c>
      <c r="D315" s="32" t="str">
        <f>IF('12 - Deployments &amp; Config'!AF320="","",'12 - Deployments &amp; Config'!AF320)</f>
        <v/>
      </c>
      <c r="E315" s="32" t="str">
        <f>IF('12 - Deployments &amp; Config'!AG320="","",'12 - Deployments &amp; Config'!AG320)</f>
        <v/>
      </c>
      <c r="F315" s="32" t="str">
        <f>IF('12 - Deployments &amp; Config'!AH320="","",'12 - Deployments &amp; Config'!AH320)</f>
        <v/>
      </c>
      <c r="G315" s="32" t="str">
        <f>IF('12 - Deployments &amp; Config'!AI320="","",'12 - Deployments &amp; Config'!AI320)</f>
        <v/>
      </c>
      <c r="H315" s="32" t="str">
        <f>IF('12 - Deployments &amp; Config'!A320="","",'12 - Deployments &amp; Config'!A320)</f>
        <v/>
      </c>
      <c r="I315" s="32" t="str">
        <f>IF('12 - Deployments &amp; Config'!AJ320="","",'12 - Deployments &amp; Config'!AJ320)</f>
        <v/>
      </c>
      <c r="J315" s="32" t="str">
        <f>IF('12 - Deployments &amp; Config'!AK320="","",'12 - Deployments &amp; Config'!AK320)</f>
        <v/>
      </c>
      <c r="K315" s="32" t="str">
        <f>IF('12 - Deployments &amp; Config'!AA320="","",'12 - Deployments &amp; Config'!AA320)</f>
        <v/>
      </c>
      <c r="L315" s="32" t="str">
        <f>IF('12 - Deployments &amp; Config'!I320="","",'12 - Deployments &amp; Config'!I320)</f>
        <v/>
      </c>
      <c r="M315" s="33"/>
      <c r="N315" s="32" t="str">
        <f>IF('12 - Deployments &amp; Config'!J320="","",'12 - Deployments &amp; Config'!J320)</f>
        <v/>
      </c>
      <c r="O315" s="32" t="str">
        <f>IF('12 - Deployments &amp; Config'!K320="","",'12 - Deployments &amp; Config'!K320)</f>
        <v/>
      </c>
      <c r="P315" s="32" t="str">
        <f>IF('12 - Deployments &amp; Config'!L320="","",'12 - Deployments &amp; Config'!L320)</f>
        <v/>
      </c>
      <c r="Q315" s="33"/>
      <c r="R315" s="32" t="str">
        <f>IF('12 - Deployments &amp; Config'!AZ320="","",'12 - Deployments &amp; Config'!AZ320)</f>
        <v/>
      </c>
      <c r="S315" s="32" t="str">
        <f>IF('12 - Deployments &amp; Config'!AY320="","",'12 - Deployments &amp; Config'!AY320)</f>
        <v/>
      </c>
      <c r="T315" s="32" t="str">
        <f>IF('12 - Deployments &amp; Config'!AW320="","",'12 - Deployments &amp; Config'!AW320)</f>
        <v/>
      </c>
      <c r="U315" s="32" t="str">
        <f>IF('12 - Deployments &amp; Config'!AX320="","",'12 - Deployments &amp; Config'!AX320)</f>
        <v/>
      </c>
      <c r="V315" s="32" t="str">
        <f>IF('12 - Deployments &amp; Config'!BB320="","",'12 - Deployments &amp; Config'!BB320)</f>
        <v/>
      </c>
      <c r="W315" s="32" t="str">
        <f>IF('12 - Deployments &amp; Config'!BD320="","",'12 - Deployments &amp; Config'!BD320)</f>
        <v/>
      </c>
      <c r="X315" s="32" t="str">
        <f>IF('12 - Deployments &amp; Config'!BL320="","",'12 - Deployments &amp; Config'!BL320)</f>
        <v/>
      </c>
      <c r="Y315" s="32" t="str">
        <f>IF('12 - Deployments &amp; Config'!BC320="","",'12 - Deployments &amp; Config'!BC320)</f>
        <v/>
      </c>
      <c r="Z315" s="32" t="str">
        <f>IF('12 - Deployments &amp; Config'!P320="","",'12 - Deployments &amp; Config'!P320)</f>
        <v/>
      </c>
      <c r="AA315" s="32" t="str">
        <f>IF('12 - Deployments &amp; Config'!Q320="","",'12 - Deployments &amp; Config'!Q320)</f>
        <v/>
      </c>
    </row>
    <row r="316" spans="1:27">
      <c r="A316" s="33"/>
      <c r="B316" s="33"/>
      <c r="C316" s="32" t="str">
        <f>IF('12 - Deployments &amp; Config'!H321="","",'12 - Deployments &amp; Config'!H321)</f>
        <v/>
      </c>
      <c r="D316" s="32" t="str">
        <f>IF('12 - Deployments &amp; Config'!AF321="","",'12 - Deployments &amp; Config'!AF321)</f>
        <v/>
      </c>
      <c r="E316" s="32" t="str">
        <f>IF('12 - Deployments &amp; Config'!AG321="","",'12 - Deployments &amp; Config'!AG321)</f>
        <v/>
      </c>
      <c r="F316" s="32" t="str">
        <f>IF('12 - Deployments &amp; Config'!AH321="","",'12 - Deployments &amp; Config'!AH321)</f>
        <v/>
      </c>
      <c r="G316" s="32" t="str">
        <f>IF('12 - Deployments &amp; Config'!AI321="","",'12 - Deployments &amp; Config'!AI321)</f>
        <v/>
      </c>
      <c r="H316" s="32" t="str">
        <f>IF('12 - Deployments &amp; Config'!A321="","",'12 - Deployments &amp; Config'!A321)</f>
        <v/>
      </c>
      <c r="I316" s="32" t="str">
        <f>IF('12 - Deployments &amp; Config'!AJ321="","",'12 - Deployments &amp; Config'!AJ321)</f>
        <v/>
      </c>
      <c r="J316" s="32" t="str">
        <f>IF('12 - Deployments &amp; Config'!AK321="","",'12 - Deployments &amp; Config'!AK321)</f>
        <v/>
      </c>
      <c r="K316" s="32" t="str">
        <f>IF('12 - Deployments &amp; Config'!AA321="","",'12 - Deployments &amp; Config'!AA321)</f>
        <v/>
      </c>
      <c r="L316" s="32" t="str">
        <f>IF('12 - Deployments &amp; Config'!I321="","",'12 - Deployments &amp; Config'!I321)</f>
        <v/>
      </c>
      <c r="M316" s="33"/>
      <c r="N316" s="32" t="str">
        <f>IF('12 - Deployments &amp; Config'!J321="","",'12 - Deployments &amp; Config'!J321)</f>
        <v/>
      </c>
      <c r="O316" s="32" t="str">
        <f>IF('12 - Deployments &amp; Config'!K321="","",'12 - Deployments &amp; Config'!K321)</f>
        <v/>
      </c>
      <c r="P316" s="32" t="str">
        <f>IF('12 - Deployments &amp; Config'!L321="","",'12 - Deployments &amp; Config'!L321)</f>
        <v/>
      </c>
      <c r="Q316" s="33"/>
      <c r="R316" s="32" t="str">
        <f>IF('12 - Deployments &amp; Config'!AZ321="","",'12 - Deployments &amp; Config'!AZ321)</f>
        <v/>
      </c>
      <c r="S316" s="32" t="str">
        <f>IF('12 - Deployments &amp; Config'!AY321="","",'12 - Deployments &amp; Config'!AY321)</f>
        <v/>
      </c>
      <c r="T316" s="32" t="str">
        <f>IF('12 - Deployments &amp; Config'!AW321="","",'12 - Deployments &amp; Config'!AW321)</f>
        <v/>
      </c>
      <c r="U316" s="32" t="str">
        <f>IF('12 - Deployments &amp; Config'!AX321="","",'12 - Deployments &amp; Config'!AX321)</f>
        <v/>
      </c>
      <c r="V316" s="32" t="str">
        <f>IF('12 - Deployments &amp; Config'!BB321="","",'12 - Deployments &amp; Config'!BB321)</f>
        <v/>
      </c>
      <c r="W316" s="32" t="str">
        <f>IF('12 - Deployments &amp; Config'!BD321="","",'12 - Deployments &amp; Config'!BD321)</f>
        <v/>
      </c>
      <c r="X316" s="32" t="str">
        <f>IF('12 - Deployments &amp; Config'!BL321="","",'12 - Deployments &amp; Config'!BL321)</f>
        <v/>
      </c>
      <c r="Y316" s="32" t="str">
        <f>IF('12 - Deployments &amp; Config'!BC321="","",'12 - Deployments &amp; Config'!BC321)</f>
        <v/>
      </c>
      <c r="Z316" s="32" t="str">
        <f>IF('12 - Deployments &amp; Config'!P321="","",'12 - Deployments &amp; Config'!P321)</f>
        <v/>
      </c>
      <c r="AA316" s="32" t="str">
        <f>IF('12 - Deployments &amp; Config'!Q321="","",'12 - Deployments &amp; Config'!Q321)</f>
        <v/>
      </c>
    </row>
    <row r="317" spans="1:27">
      <c r="A317" s="33"/>
      <c r="B317" s="33"/>
      <c r="C317" s="32" t="str">
        <f>IF('12 - Deployments &amp; Config'!H322="","",'12 - Deployments &amp; Config'!H322)</f>
        <v/>
      </c>
      <c r="D317" s="32" t="str">
        <f>IF('12 - Deployments &amp; Config'!AF322="","",'12 - Deployments &amp; Config'!AF322)</f>
        <v/>
      </c>
      <c r="E317" s="32" t="str">
        <f>IF('12 - Deployments &amp; Config'!AG322="","",'12 - Deployments &amp; Config'!AG322)</f>
        <v/>
      </c>
      <c r="F317" s="32" t="str">
        <f>IF('12 - Deployments &amp; Config'!AH322="","",'12 - Deployments &amp; Config'!AH322)</f>
        <v/>
      </c>
      <c r="G317" s="32" t="str">
        <f>IF('12 - Deployments &amp; Config'!AI322="","",'12 - Deployments &amp; Config'!AI322)</f>
        <v/>
      </c>
      <c r="H317" s="32" t="str">
        <f>IF('12 - Deployments &amp; Config'!A322="","",'12 - Deployments &amp; Config'!A322)</f>
        <v/>
      </c>
      <c r="I317" s="32" t="str">
        <f>IF('12 - Deployments &amp; Config'!AJ322="","",'12 - Deployments &amp; Config'!AJ322)</f>
        <v/>
      </c>
      <c r="J317" s="32" t="str">
        <f>IF('12 - Deployments &amp; Config'!AK322="","",'12 - Deployments &amp; Config'!AK322)</f>
        <v/>
      </c>
      <c r="K317" s="32" t="str">
        <f>IF('12 - Deployments &amp; Config'!AA322="","",'12 - Deployments &amp; Config'!AA322)</f>
        <v/>
      </c>
      <c r="L317" s="32" t="str">
        <f>IF('12 - Deployments &amp; Config'!I322="","",'12 - Deployments &amp; Config'!I322)</f>
        <v/>
      </c>
      <c r="M317" s="33"/>
      <c r="N317" s="32" t="str">
        <f>IF('12 - Deployments &amp; Config'!J322="","",'12 - Deployments &amp; Config'!J322)</f>
        <v/>
      </c>
      <c r="O317" s="32" t="str">
        <f>IF('12 - Deployments &amp; Config'!K322="","",'12 - Deployments &amp; Config'!K322)</f>
        <v/>
      </c>
      <c r="P317" s="32" t="str">
        <f>IF('12 - Deployments &amp; Config'!L322="","",'12 - Deployments &amp; Config'!L322)</f>
        <v/>
      </c>
      <c r="Q317" s="33"/>
      <c r="R317" s="32" t="str">
        <f>IF('12 - Deployments &amp; Config'!AZ322="","",'12 - Deployments &amp; Config'!AZ322)</f>
        <v/>
      </c>
      <c r="S317" s="32" t="str">
        <f>IF('12 - Deployments &amp; Config'!AY322="","",'12 - Deployments &amp; Config'!AY322)</f>
        <v/>
      </c>
      <c r="T317" s="32" t="str">
        <f>IF('12 - Deployments &amp; Config'!AW322="","",'12 - Deployments &amp; Config'!AW322)</f>
        <v/>
      </c>
      <c r="U317" s="32" t="str">
        <f>IF('12 - Deployments &amp; Config'!AX322="","",'12 - Deployments &amp; Config'!AX322)</f>
        <v/>
      </c>
      <c r="V317" s="32" t="str">
        <f>IF('12 - Deployments &amp; Config'!BB322="","",'12 - Deployments &amp; Config'!BB322)</f>
        <v/>
      </c>
      <c r="W317" s="32" t="str">
        <f>IF('12 - Deployments &amp; Config'!BD322="","",'12 - Deployments &amp; Config'!BD322)</f>
        <v/>
      </c>
      <c r="X317" s="32" t="str">
        <f>IF('12 - Deployments &amp; Config'!BL322="","",'12 - Deployments &amp; Config'!BL322)</f>
        <v/>
      </c>
      <c r="Y317" s="32" t="str">
        <f>IF('12 - Deployments &amp; Config'!BC322="","",'12 - Deployments &amp; Config'!BC322)</f>
        <v/>
      </c>
      <c r="Z317" s="32" t="str">
        <f>IF('12 - Deployments &amp; Config'!P322="","",'12 - Deployments &amp; Config'!P322)</f>
        <v/>
      </c>
      <c r="AA317" s="32" t="str">
        <f>IF('12 - Deployments &amp; Config'!Q322="","",'12 - Deployments &amp; Config'!Q322)</f>
        <v/>
      </c>
    </row>
    <row r="318" spans="1:27">
      <c r="A318" s="33"/>
      <c r="B318" s="33"/>
      <c r="C318" s="32" t="str">
        <f>IF('12 - Deployments &amp; Config'!H323="","",'12 - Deployments &amp; Config'!H323)</f>
        <v/>
      </c>
      <c r="D318" s="32" t="str">
        <f>IF('12 - Deployments &amp; Config'!AF323="","",'12 - Deployments &amp; Config'!AF323)</f>
        <v/>
      </c>
      <c r="E318" s="32" t="str">
        <f>IF('12 - Deployments &amp; Config'!AG323="","",'12 - Deployments &amp; Config'!AG323)</f>
        <v/>
      </c>
      <c r="F318" s="32" t="str">
        <f>IF('12 - Deployments &amp; Config'!AH323="","",'12 - Deployments &amp; Config'!AH323)</f>
        <v/>
      </c>
      <c r="G318" s="32" t="str">
        <f>IF('12 - Deployments &amp; Config'!AI323="","",'12 - Deployments &amp; Config'!AI323)</f>
        <v/>
      </c>
      <c r="H318" s="32" t="str">
        <f>IF('12 - Deployments &amp; Config'!A323="","",'12 - Deployments &amp; Config'!A323)</f>
        <v/>
      </c>
      <c r="I318" s="32" t="str">
        <f>IF('12 - Deployments &amp; Config'!AJ323="","",'12 - Deployments &amp; Config'!AJ323)</f>
        <v/>
      </c>
      <c r="J318" s="32" t="str">
        <f>IF('12 - Deployments &amp; Config'!AK323="","",'12 - Deployments &amp; Config'!AK323)</f>
        <v/>
      </c>
      <c r="K318" s="32" t="str">
        <f>IF('12 - Deployments &amp; Config'!AA323="","",'12 - Deployments &amp; Config'!AA323)</f>
        <v/>
      </c>
      <c r="L318" s="32" t="str">
        <f>IF('12 - Deployments &amp; Config'!I323="","",'12 - Deployments &amp; Config'!I323)</f>
        <v/>
      </c>
      <c r="M318" s="33"/>
      <c r="N318" s="32" t="str">
        <f>IF('12 - Deployments &amp; Config'!J323="","",'12 - Deployments &amp; Config'!J323)</f>
        <v/>
      </c>
      <c r="O318" s="32" t="str">
        <f>IF('12 - Deployments &amp; Config'!K323="","",'12 - Deployments &amp; Config'!K323)</f>
        <v/>
      </c>
      <c r="P318" s="32" t="str">
        <f>IF('12 - Deployments &amp; Config'!L323="","",'12 - Deployments &amp; Config'!L323)</f>
        <v/>
      </c>
      <c r="Q318" s="33"/>
      <c r="R318" s="32" t="str">
        <f>IF('12 - Deployments &amp; Config'!AZ323="","",'12 - Deployments &amp; Config'!AZ323)</f>
        <v/>
      </c>
      <c r="S318" s="32" t="str">
        <f>IF('12 - Deployments &amp; Config'!AY323="","",'12 - Deployments &amp; Config'!AY323)</f>
        <v/>
      </c>
      <c r="T318" s="32" t="str">
        <f>IF('12 - Deployments &amp; Config'!AW323="","",'12 - Deployments &amp; Config'!AW323)</f>
        <v/>
      </c>
      <c r="U318" s="32" t="str">
        <f>IF('12 - Deployments &amp; Config'!AX323="","",'12 - Deployments &amp; Config'!AX323)</f>
        <v/>
      </c>
      <c r="V318" s="32" t="str">
        <f>IF('12 - Deployments &amp; Config'!BB323="","",'12 - Deployments &amp; Config'!BB323)</f>
        <v/>
      </c>
      <c r="W318" s="32" t="str">
        <f>IF('12 - Deployments &amp; Config'!BD323="","",'12 - Deployments &amp; Config'!BD323)</f>
        <v/>
      </c>
      <c r="X318" s="32" t="str">
        <f>IF('12 - Deployments &amp; Config'!BL323="","",'12 - Deployments &amp; Config'!BL323)</f>
        <v/>
      </c>
      <c r="Y318" s="32" t="str">
        <f>IF('12 - Deployments &amp; Config'!BC323="","",'12 - Deployments &amp; Config'!BC323)</f>
        <v/>
      </c>
      <c r="Z318" s="32" t="str">
        <f>IF('12 - Deployments &amp; Config'!P323="","",'12 - Deployments &amp; Config'!P323)</f>
        <v/>
      </c>
      <c r="AA318" s="32" t="str">
        <f>IF('12 - Deployments &amp; Config'!Q323="","",'12 - Deployments &amp; Config'!Q323)</f>
        <v/>
      </c>
    </row>
    <row r="319" spans="1:27">
      <c r="A319" s="33"/>
      <c r="B319" s="33"/>
      <c r="C319" s="32" t="str">
        <f>IF('12 - Deployments &amp; Config'!H324="","",'12 - Deployments &amp; Config'!H324)</f>
        <v/>
      </c>
      <c r="D319" s="32" t="str">
        <f>IF('12 - Deployments &amp; Config'!AF324="","",'12 - Deployments &amp; Config'!AF324)</f>
        <v/>
      </c>
      <c r="E319" s="32" t="str">
        <f>IF('12 - Deployments &amp; Config'!AG324="","",'12 - Deployments &amp; Config'!AG324)</f>
        <v/>
      </c>
      <c r="F319" s="32" t="str">
        <f>IF('12 - Deployments &amp; Config'!AH324="","",'12 - Deployments &amp; Config'!AH324)</f>
        <v/>
      </c>
      <c r="G319" s="32" t="str">
        <f>IF('12 - Deployments &amp; Config'!AI324="","",'12 - Deployments &amp; Config'!AI324)</f>
        <v/>
      </c>
      <c r="H319" s="32" t="str">
        <f>IF('12 - Deployments &amp; Config'!A324="","",'12 - Deployments &amp; Config'!A324)</f>
        <v/>
      </c>
      <c r="I319" s="32" t="str">
        <f>IF('12 - Deployments &amp; Config'!AJ324="","",'12 - Deployments &amp; Config'!AJ324)</f>
        <v/>
      </c>
      <c r="J319" s="32" t="str">
        <f>IF('12 - Deployments &amp; Config'!AK324="","",'12 - Deployments &amp; Config'!AK324)</f>
        <v/>
      </c>
      <c r="K319" s="32" t="str">
        <f>IF('12 - Deployments &amp; Config'!AA324="","",'12 - Deployments &amp; Config'!AA324)</f>
        <v/>
      </c>
      <c r="L319" s="32" t="str">
        <f>IF('12 - Deployments &amp; Config'!I324="","",'12 - Deployments &amp; Config'!I324)</f>
        <v/>
      </c>
      <c r="M319" s="33"/>
      <c r="N319" s="32" t="str">
        <f>IF('12 - Deployments &amp; Config'!J324="","",'12 - Deployments &amp; Config'!J324)</f>
        <v/>
      </c>
      <c r="O319" s="32" t="str">
        <f>IF('12 - Deployments &amp; Config'!K324="","",'12 - Deployments &amp; Config'!K324)</f>
        <v/>
      </c>
      <c r="P319" s="32" t="str">
        <f>IF('12 - Deployments &amp; Config'!L324="","",'12 - Deployments &amp; Config'!L324)</f>
        <v/>
      </c>
      <c r="Q319" s="33"/>
      <c r="R319" s="32" t="str">
        <f>IF('12 - Deployments &amp; Config'!AZ324="","",'12 - Deployments &amp; Config'!AZ324)</f>
        <v/>
      </c>
      <c r="S319" s="32" t="str">
        <f>IF('12 - Deployments &amp; Config'!AY324="","",'12 - Deployments &amp; Config'!AY324)</f>
        <v/>
      </c>
      <c r="T319" s="32" t="str">
        <f>IF('12 - Deployments &amp; Config'!AW324="","",'12 - Deployments &amp; Config'!AW324)</f>
        <v/>
      </c>
      <c r="U319" s="32" t="str">
        <f>IF('12 - Deployments &amp; Config'!AX324="","",'12 - Deployments &amp; Config'!AX324)</f>
        <v/>
      </c>
      <c r="V319" s="32" t="str">
        <f>IF('12 - Deployments &amp; Config'!BB324="","",'12 - Deployments &amp; Config'!BB324)</f>
        <v/>
      </c>
      <c r="W319" s="32" t="str">
        <f>IF('12 - Deployments &amp; Config'!BD324="","",'12 - Deployments &amp; Config'!BD324)</f>
        <v/>
      </c>
      <c r="X319" s="32" t="str">
        <f>IF('12 - Deployments &amp; Config'!BL324="","",'12 - Deployments &amp; Config'!BL324)</f>
        <v/>
      </c>
      <c r="Y319" s="32" t="str">
        <f>IF('12 - Deployments &amp; Config'!BC324="","",'12 - Deployments &amp; Config'!BC324)</f>
        <v/>
      </c>
      <c r="Z319" s="32" t="str">
        <f>IF('12 - Deployments &amp; Config'!P324="","",'12 - Deployments &amp; Config'!P324)</f>
        <v/>
      </c>
      <c r="AA319" s="32" t="str">
        <f>IF('12 - Deployments &amp; Config'!Q324="","",'12 - Deployments &amp; Config'!Q324)</f>
        <v/>
      </c>
    </row>
    <row r="320" spans="1:27">
      <c r="A320" s="33"/>
      <c r="B320" s="33"/>
      <c r="C320" s="32" t="str">
        <f>IF('12 - Deployments &amp; Config'!H325="","",'12 - Deployments &amp; Config'!H325)</f>
        <v/>
      </c>
      <c r="D320" s="32" t="str">
        <f>IF('12 - Deployments &amp; Config'!AF325="","",'12 - Deployments &amp; Config'!AF325)</f>
        <v/>
      </c>
      <c r="E320" s="32" t="str">
        <f>IF('12 - Deployments &amp; Config'!AG325="","",'12 - Deployments &amp; Config'!AG325)</f>
        <v/>
      </c>
      <c r="F320" s="32" t="str">
        <f>IF('12 - Deployments &amp; Config'!AH325="","",'12 - Deployments &amp; Config'!AH325)</f>
        <v/>
      </c>
      <c r="G320" s="32" t="str">
        <f>IF('12 - Deployments &amp; Config'!AI325="","",'12 - Deployments &amp; Config'!AI325)</f>
        <v/>
      </c>
      <c r="H320" s="32" t="str">
        <f>IF('12 - Deployments &amp; Config'!A325="","",'12 - Deployments &amp; Config'!A325)</f>
        <v/>
      </c>
      <c r="I320" s="32" t="str">
        <f>IF('12 - Deployments &amp; Config'!AJ325="","",'12 - Deployments &amp; Config'!AJ325)</f>
        <v/>
      </c>
      <c r="J320" s="32" t="str">
        <f>IF('12 - Deployments &amp; Config'!AK325="","",'12 - Deployments &amp; Config'!AK325)</f>
        <v/>
      </c>
      <c r="K320" s="32" t="str">
        <f>IF('12 - Deployments &amp; Config'!AA325="","",'12 - Deployments &amp; Config'!AA325)</f>
        <v/>
      </c>
      <c r="L320" s="32" t="str">
        <f>IF('12 - Deployments &amp; Config'!I325="","",'12 - Deployments &amp; Config'!I325)</f>
        <v/>
      </c>
      <c r="M320" s="33"/>
      <c r="N320" s="32" t="str">
        <f>IF('12 - Deployments &amp; Config'!J325="","",'12 - Deployments &amp; Config'!J325)</f>
        <v/>
      </c>
      <c r="O320" s="32" t="str">
        <f>IF('12 - Deployments &amp; Config'!K325="","",'12 - Deployments &amp; Config'!K325)</f>
        <v/>
      </c>
      <c r="P320" s="32" t="str">
        <f>IF('12 - Deployments &amp; Config'!L325="","",'12 - Deployments &amp; Config'!L325)</f>
        <v/>
      </c>
      <c r="Q320" s="33"/>
      <c r="R320" s="32" t="str">
        <f>IF('12 - Deployments &amp; Config'!AZ325="","",'12 - Deployments &amp; Config'!AZ325)</f>
        <v/>
      </c>
      <c r="S320" s="32" t="str">
        <f>IF('12 - Deployments &amp; Config'!AY325="","",'12 - Deployments &amp; Config'!AY325)</f>
        <v/>
      </c>
      <c r="T320" s="32" t="str">
        <f>IF('12 - Deployments &amp; Config'!AW325="","",'12 - Deployments &amp; Config'!AW325)</f>
        <v/>
      </c>
      <c r="U320" s="32" t="str">
        <f>IF('12 - Deployments &amp; Config'!AX325="","",'12 - Deployments &amp; Config'!AX325)</f>
        <v/>
      </c>
      <c r="V320" s="32" t="str">
        <f>IF('12 - Deployments &amp; Config'!BB325="","",'12 - Deployments &amp; Config'!BB325)</f>
        <v/>
      </c>
      <c r="W320" s="32" t="str">
        <f>IF('12 - Deployments &amp; Config'!BD325="","",'12 - Deployments &amp; Config'!BD325)</f>
        <v/>
      </c>
      <c r="X320" s="32" t="str">
        <f>IF('12 - Deployments &amp; Config'!BL325="","",'12 - Deployments &amp; Config'!BL325)</f>
        <v/>
      </c>
      <c r="Y320" s="32" t="str">
        <f>IF('12 - Deployments &amp; Config'!BC325="","",'12 - Deployments &amp; Config'!BC325)</f>
        <v/>
      </c>
      <c r="Z320" s="32" t="str">
        <f>IF('12 - Deployments &amp; Config'!P325="","",'12 - Deployments &amp; Config'!P325)</f>
        <v/>
      </c>
      <c r="AA320" s="32" t="str">
        <f>IF('12 - Deployments &amp; Config'!Q325="","",'12 - Deployments &amp; Config'!Q325)</f>
        <v/>
      </c>
    </row>
    <row r="321" spans="1:27">
      <c r="A321" s="33"/>
      <c r="B321" s="33"/>
      <c r="C321" s="32" t="str">
        <f>IF('12 - Deployments &amp; Config'!H326="","",'12 - Deployments &amp; Config'!H326)</f>
        <v/>
      </c>
      <c r="D321" s="32" t="str">
        <f>IF('12 - Deployments &amp; Config'!AF326="","",'12 - Deployments &amp; Config'!AF326)</f>
        <v/>
      </c>
      <c r="E321" s="32" t="str">
        <f>IF('12 - Deployments &amp; Config'!AG326="","",'12 - Deployments &amp; Config'!AG326)</f>
        <v/>
      </c>
      <c r="F321" s="32" t="str">
        <f>IF('12 - Deployments &amp; Config'!AH326="","",'12 - Deployments &amp; Config'!AH326)</f>
        <v/>
      </c>
      <c r="G321" s="32" t="str">
        <f>IF('12 - Deployments &amp; Config'!AI326="","",'12 - Deployments &amp; Config'!AI326)</f>
        <v/>
      </c>
      <c r="H321" s="32" t="str">
        <f>IF('12 - Deployments &amp; Config'!A326="","",'12 - Deployments &amp; Config'!A326)</f>
        <v/>
      </c>
      <c r="I321" s="32" t="str">
        <f>IF('12 - Deployments &amp; Config'!AJ326="","",'12 - Deployments &amp; Config'!AJ326)</f>
        <v/>
      </c>
      <c r="J321" s="32" t="str">
        <f>IF('12 - Deployments &amp; Config'!AK326="","",'12 - Deployments &amp; Config'!AK326)</f>
        <v/>
      </c>
      <c r="K321" s="32" t="str">
        <f>IF('12 - Deployments &amp; Config'!AA326="","",'12 - Deployments &amp; Config'!AA326)</f>
        <v/>
      </c>
      <c r="L321" s="32" t="str">
        <f>IF('12 - Deployments &amp; Config'!I326="","",'12 - Deployments &amp; Config'!I326)</f>
        <v/>
      </c>
      <c r="M321" s="33"/>
      <c r="N321" s="32" t="str">
        <f>IF('12 - Deployments &amp; Config'!J326="","",'12 - Deployments &amp; Config'!J326)</f>
        <v/>
      </c>
      <c r="O321" s="32" t="str">
        <f>IF('12 - Deployments &amp; Config'!K326="","",'12 - Deployments &amp; Config'!K326)</f>
        <v/>
      </c>
      <c r="P321" s="32" t="str">
        <f>IF('12 - Deployments &amp; Config'!L326="","",'12 - Deployments &amp; Config'!L326)</f>
        <v/>
      </c>
      <c r="Q321" s="33"/>
      <c r="R321" s="32" t="str">
        <f>IF('12 - Deployments &amp; Config'!AZ326="","",'12 - Deployments &amp; Config'!AZ326)</f>
        <v/>
      </c>
      <c r="S321" s="32" t="str">
        <f>IF('12 - Deployments &amp; Config'!AY326="","",'12 - Deployments &amp; Config'!AY326)</f>
        <v/>
      </c>
      <c r="T321" s="32" t="str">
        <f>IF('12 - Deployments &amp; Config'!AW326="","",'12 - Deployments &amp; Config'!AW326)</f>
        <v/>
      </c>
      <c r="U321" s="32" t="str">
        <f>IF('12 - Deployments &amp; Config'!AX326="","",'12 - Deployments &amp; Config'!AX326)</f>
        <v/>
      </c>
      <c r="V321" s="32" t="str">
        <f>IF('12 - Deployments &amp; Config'!BB326="","",'12 - Deployments &amp; Config'!BB326)</f>
        <v/>
      </c>
      <c r="W321" s="32" t="str">
        <f>IF('12 - Deployments &amp; Config'!BD326="","",'12 - Deployments &amp; Config'!BD326)</f>
        <v/>
      </c>
      <c r="X321" s="32" t="str">
        <f>IF('12 - Deployments &amp; Config'!BL326="","",'12 - Deployments &amp; Config'!BL326)</f>
        <v/>
      </c>
      <c r="Y321" s="32" t="str">
        <f>IF('12 - Deployments &amp; Config'!BC326="","",'12 - Deployments &amp; Config'!BC326)</f>
        <v/>
      </c>
      <c r="Z321" s="32" t="str">
        <f>IF('12 - Deployments &amp; Config'!P326="","",'12 - Deployments &amp; Config'!P326)</f>
        <v/>
      </c>
      <c r="AA321" s="32" t="str">
        <f>IF('12 - Deployments &amp; Config'!Q326="","",'12 - Deployments &amp; Config'!Q326)</f>
        <v/>
      </c>
    </row>
    <row r="322" spans="1:27">
      <c r="A322" s="33"/>
      <c r="B322" s="33"/>
      <c r="C322" s="32" t="str">
        <f>IF('12 - Deployments &amp; Config'!H327="","",'12 - Deployments &amp; Config'!H327)</f>
        <v/>
      </c>
      <c r="D322" s="32" t="str">
        <f>IF('12 - Deployments &amp; Config'!AF327="","",'12 - Deployments &amp; Config'!AF327)</f>
        <v/>
      </c>
      <c r="E322" s="32" t="str">
        <f>IF('12 - Deployments &amp; Config'!AG327="","",'12 - Deployments &amp; Config'!AG327)</f>
        <v/>
      </c>
      <c r="F322" s="32" t="str">
        <f>IF('12 - Deployments &amp; Config'!AH327="","",'12 - Deployments &amp; Config'!AH327)</f>
        <v/>
      </c>
      <c r="G322" s="32" t="str">
        <f>IF('12 - Deployments &amp; Config'!AI327="","",'12 - Deployments &amp; Config'!AI327)</f>
        <v/>
      </c>
      <c r="H322" s="32" t="str">
        <f>IF('12 - Deployments &amp; Config'!A327="","",'12 - Deployments &amp; Config'!A327)</f>
        <v/>
      </c>
      <c r="I322" s="32" t="str">
        <f>IF('12 - Deployments &amp; Config'!AJ327="","",'12 - Deployments &amp; Config'!AJ327)</f>
        <v/>
      </c>
      <c r="J322" s="32" t="str">
        <f>IF('12 - Deployments &amp; Config'!AK327="","",'12 - Deployments &amp; Config'!AK327)</f>
        <v/>
      </c>
      <c r="K322" s="32" t="str">
        <f>IF('12 - Deployments &amp; Config'!AA327="","",'12 - Deployments &amp; Config'!AA327)</f>
        <v/>
      </c>
      <c r="L322" s="32" t="str">
        <f>IF('12 - Deployments &amp; Config'!I327="","",'12 - Deployments &amp; Config'!I327)</f>
        <v/>
      </c>
      <c r="M322" s="33"/>
      <c r="N322" s="32" t="str">
        <f>IF('12 - Deployments &amp; Config'!J327="","",'12 - Deployments &amp; Config'!J327)</f>
        <v/>
      </c>
      <c r="O322" s="32" t="str">
        <f>IF('12 - Deployments &amp; Config'!K327="","",'12 - Deployments &amp; Config'!K327)</f>
        <v/>
      </c>
      <c r="P322" s="32" t="str">
        <f>IF('12 - Deployments &amp; Config'!L327="","",'12 - Deployments &amp; Config'!L327)</f>
        <v/>
      </c>
      <c r="Q322" s="33"/>
      <c r="R322" s="32" t="str">
        <f>IF('12 - Deployments &amp; Config'!AZ327="","",'12 - Deployments &amp; Config'!AZ327)</f>
        <v/>
      </c>
      <c r="S322" s="32" t="str">
        <f>IF('12 - Deployments &amp; Config'!AY327="","",'12 - Deployments &amp; Config'!AY327)</f>
        <v/>
      </c>
      <c r="T322" s="32" t="str">
        <f>IF('12 - Deployments &amp; Config'!AW327="","",'12 - Deployments &amp; Config'!AW327)</f>
        <v/>
      </c>
      <c r="U322" s="32" t="str">
        <f>IF('12 - Deployments &amp; Config'!AX327="","",'12 - Deployments &amp; Config'!AX327)</f>
        <v/>
      </c>
      <c r="V322" s="32" t="str">
        <f>IF('12 - Deployments &amp; Config'!BB327="","",'12 - Deployments &amp; Config'!BB327)</f>
        <v/>
      </c>
      <c r="W322" s="32" t="str">
        <f>IF('12 - Deployments &amp; Config'!BD327="","",'12 - Deployments &amp; Config'!BD327)</f>
        <v/>
      </c>
      <c r="X322" s="32" t="str">
        <f>IF('12 - Deployments &amp; Config'!BL327="","",'12 - Deployments &amp; Config'!BL327)</f>
        <v/>
      </c>
      <c r="Y322" s="32" t="str">
        <f>IF('12 - Deployments &amp; Config'!BC327="","",'12 - Deployments &amp; Config'!BC327)</f>
        <v/>
      </c>
      <c r="Z322" s="32" t="str">
        <f>IF('12 - Deployments &amp; Config'!P327="","",'12 - Deployments &amp; Config'!P327)</f>
        <v/>
      </c>
      <c r="AA322" s="32" t="str">
        <f>IF('12 - Deployments &amp; Config'!Q327="","",'12 - Deployments &amp; Config'!Q327)</f>
        <v/>
      </c>
    </row>
    <row r="323" spans="1:27">
      <c r="A323" s="33"/>
      <c r="B323" s="33"/>
      <c r="C323" s="32" t="str">
        <f>IF('12 - Deployments &amp; Config'!H328="","",'12 - Deployments &amp; Config'!H328)</f>
        <v/>
      </c>
      <c r="D323" s="32" t="str">
        <f>IF('12 - Deployments &amp; Config'!AF328="","",'12 - Deployments &amp; Config'!AF328)</f>
        <v/>
      </c>
      <c r="E323" s="32" t="str">
        <f>IF('12 - Deployments &amp; Config'!AG328="","",'12 - Deployments &amp; Config'!AG328)</f>
        <v/>
      </c>
      <c r="F323" s="32" t="str">
        <f>IF('12 - Deployments &amp; Config'!AH328="","",'12 - Deployments &amp; Config'!AH328)</f>
        <v/>
      </c>
      <c r="G323" s="32" t="str">
        <f>IF('12 - Deployments &amp; Config'!AI328="","",'12 - Deployments &amp; Config'!AI328)</f>
        <v/>
      </c>
      <c r="H323" s="32" t="str">
        <f>IF('12 - Deployments &amp; Config'!A328="","",'12 - Deployments &amp; Config'!A328)</f>
        <v/>
      </c>
      <c r="I323" s="32" t="str">
        <f>IF('12 - Deployments &amp; Config'!AJ328="","",'12 - Deployments &amp; Config'!AJ328)</f>
        <v/>
      </c>
      <c r="J323" s="32" t="str">
        <f>IF('12 - Deployments &amp; Config'!AK328="","",'12 - Deployments &amp; Config'!AK328)</f>
        <v/>
      </c>
      <c r="K323" s="32" t="str">
        <f>IF('12 - Deployments &amp; Config'!AA328="","",'12 - Deployments &amp; Config'!AA328)</f>
        <v/>
      </c>
      <c r="L323" s="32" t="str">
        <f>IF('12 - Deployments &amp; Config'!I328="","",'12 - Deployments &amp; Config'!I328)</f>
        <v/>
      </c>
      <c r="M323" s="33"/>
      <c r="N323" s="32" t="str">
        <f>IF('12 - Deployments &amp; Config'!J328="","",'12 - Deployments &amp; Config'!J328)</f>
        <v/>
      </c>
      <c r="O323" s="32" t="str">
        <f>IF('12 - Deployments &amp; Config'!K328="","",'12 - Deployments &amp; Config'!K328)</f>
        <v/>
      </c>
      <c r="P323" s="32" t="str">
        <f>IF('12 - Deployments &amp; Config'!L328="","",'12 - Deployments &amp; Config'!L328)</f>
        <v/>
      </c>
      <c r="Q323" s="33"/>
      <c r="R323" s="32" t="str">
        <f>IF('12 - Deployments &amp; Config'!AZ328="","",'12 - Deployments &amp; Config'!AZ328)</f>
        <v/>
      </c>
      <c r="S323" s="32" t="str">
        <f>IF('12 - Deployments &amp; Config'!AY328="","",'12 - Deployments &amp; Config'!AY328)</f>
        <v/>
      </c>
      <c r="T323" s="32" t="str">
        <f>IF('12 - Deployments &amp; Config'!AW328="","",'12 - Deployments &amp; Config'!AW328)</f>
        <v/>
      </c>
      <c r="U323" s="32" t="str">
        <f>IF('12 - Deployments &amp; Config'!AX328="","",'12 - Deployments &amp; Config'!AX328)</f>
        <v/>
      </c>
      <c r="V323" s="32" t="str">
        <f>IF('12 - Deployments &amp; Config'!BB328="","",'12 - Deployments &amp; Config'!BB328)</f>
        <v/>
      </c>
      <c r="W323" s="32" t="str">
        <f>IF('12 - Deployments &amp; Config'!BD328="","",'12 - Deployments &amp; Config'!BD328)</f>
        <v/>
      </c>
      <c r="X323" s="32" t="str">
        <f>IF('12 - Deployments &amp; Config'!BL328="","",'12 - Deployments &amp; Config'!BL328)</f>
        <v/>
      </c>
      <c r="Y323" s="32" t="str">
        <f>IF('12 - Deployments &amp; Config'!BC328="","",'12 - Deployments &amp; Config'!BC328)</f>
        <v/>
      </c>
      <c r="Z323" s="32" t="str">
        <f>IF('12 - Deployments &amp; Config'!P328="","",'12 - Deployments &amp; Config'!P328)</f>
        <v/>
      </c>
      <c r="AA323" s="32" t="str">
        <f>IF('12 - Deployments &amp; Config'!Q328="","",'12 - Deployments &amp; Config'!Q328)</f>
        <v/>
      </c>
    </row>
    <row r="324" spans="1:27">
      <c r="A324" s="33"/>
      <c r="B324" s="33"/>
      <c r="C324" s="32" t="str">
        <f>IF('12 - Deployments &amp; Config'!H329="","",'12 - Deployments &amp; Config'!H329)</f>
        <v/>
      </c>
      <c r="D324" s="32" t="str">
        <f>IF('12 - Deployments &amp; Config'!AF329="","",'12 - Deployments &amp; Config'!AF329)</f>
        <v/>
      </c>
      <c r="E324" s="32" t="str">
        <f>IF('12 - Deployments &amp; Config'!AG329="","",'12 - Deployments &amp; Config'!AG329)</f>
        <v/>
      </c>
      <c r="F324" s="32" t="str">
        <f>IF('12 - Deployments &amp; Config'!AH329="","",'12 - Deployments &amp; Config'!AH329)</f>
        <v/>
      </c>
      <c r="G324" s="32" t="str">
        <f>IF('12 - Deployments &amp; Config'!AI329="","",'12 - Deployments &amp; Config'!AI329)</f>
        <v/>
      </c>
      <c r="H324" s="32" t="str">
        <f>IF('12 - Deployments &amp; Config'!A329="","",'12 - Deployments &amp; Config'!A329)</f>
        <v/>
      </c>
      <c r="I324" s="32" t="str">
        <f>IF('12 - Deployments &amp; Config'!AJ329="","",'12 - Deployments &amp; Config'!AJ329)</f>
        <v/>
      </c>
      <c r="J324" s="32" t="str">
        <f>IF('12 - Deployments &amp; Config'!AK329="","",'12 - Deployments &amp; Config'!AK329)</f>
        <v/>
      </c>
      <c r="K324" s="32" t="str">
        <f>IF('12 - Deployments &amp; Config'!AA329="","",'12 - Deployments &amp; Config'!AA329)</f>
        <v/>
      </c>
      <c r="L324" s="32" t="str">
        <f>IF('12 - Deployments &amp; Config'!I329="","",'12 - Deployments &amp; Config'!I329)</f>
        <v/>
      </c>
      <c r="M324" s="33"/>
      <c r="N324" s="32" t="str">
        <f>IF('12 - Deployments &amp; Config'!J329="","",'12 - Deployments &amp; Config'!J329)</f>
        <v/>
      </c>
      <c r="O324" s="32" t="str">
        <f>IF('12 - Deployments &amp; Config'!K329="","",'12 - Deployments &amp; Config'!K329)</f>
        <v/>
      </c>
      <c r="P324" s="32" t="str">
        <f>IF('12 - Deployments &amp; Config'!L329="","",'12 - Deployments &amp; Config'!L329)</f>
        <v/>
      </c>
      <c r="Q324" s="33"/>
      <c r="R324" s="32" t="str">
        <f>IF('12 - Deployments &amp; Config'!AZ329="","",'12 - Deployments &amp; Config'!AZ329)</f>
        <v/>
      </c>
      <c r="S324" s="32" t="str">
        <f>IF('12 - Deployments &amp; Config'!AY329="","",'12 - Deployments &amp; Config'!AY329)</f>
        <v/>
      </c>
      <c r="T324" s="32" t="str">
        <f>IF('12 - Deployments &amp; Config'!AW329="","",'12 - Deployments &amp; Config'!AW329)</f>
        <v/>
      </c>
      <c r="U324" s="32" t="str">
        <f>IF('12 - Deployments &amp; Config'!AX329="","",'12 - Deployments &amp; Config'!AX329)</f>
        <v/>
      </c>
      <c r="V324" s="32" t="str">
        <f>IF('12 - Deployments &amp; Config'!BB329="","",'12 - Deployments &amp; Config'!BB329)</f>
        <v/>
      </c>
      <c r="W324" s="32" t="str">
        <f>IF('12 - Deployments &amp; Config'!BD329="","",'12 - Deployments &amp; Config'!BD329)</f>
        <v/>
      </c>
      <c r="X324" s="32" t="str">
        <f>IF('12 - Deployments &amp; Config'!BL329="","",'12 - Deployments &amp; Config'!BL329)</f>
        <v/>
      </c>
      <c r="Y324" s="32" t="str">
        <f>IF('12 - Deployments &amp; Config'!BC329="","",'12 - Deployments &amp; Config'!BC329)</f>
        <v/>
      </c>
      <c r="Z324" s="32" t="str">
        <f>IF('12 - Deployments &amp; Config'!P329="","",'12 - Deployments &amp; Config'!P329)</f>
        <v/>
      </c>
      <c r="AA324" s="32" t="str">
        <f>IF('12 - Deployments &amp; Config'!Q329="","",'12 - Deployments &amp; Config'!Q329)</f>
        <v/>
      </c>
    </row>
    <row r="325" spans="1:27">
      <c r="A325" s="33"/>
      <c r="B325" s="33"/>
      <c r="C325" s="32" t="str">
        <f>IF('12 - Deployments &amp; Config'!H330="","",'12 - Deployments &amp; Config'!H330)</f>
        <v/>
      </c>
      <c r="D325" s="32" t="str">
        <f>IF('12 - Deployments &amp; Config'!AF330="","",'12 - Deployments &amp; Config'!AF330)</f>
        <v/>
      </c>
      <c r="E325" s="32" t="str">
        <f>IF('12 - Deployments &amp; Config'!AG330="","",'12 - Deployments &amp; Config'!AG330)</f>
        <v/>
      </c>
      <c r="F325" s="32" t="str">
        <f>IF('12 - Deployments &amp; Config'!AH330="","",'12 - Deployments &amp; Config'!AH330)</f>
        <v/>
      </c>
      <c r="G325" s="32" t="str">
        <f>IF('12 - Deployments &amp; Config'!AI330="","",'12 - Deployments &amp; Config'!AI330)</f>
        <v/>
      </c>
      <c r="H325" s="32" t="str">
        <f>IF('12 - Deployments &amp; Config'!A330="","",'12 - Deployments &amp; Config'!A330)</f>
        <v/>
      </c>
      <c r="I325" s="32" t="str">
        <f>IF('12 - Deployments &amp; Config'!AJ330="","",'12 - Deployments &amp; Config'!AJ330)</f>
        <v/>
      </c>
      <c r="J325" s="32" t="str">
        <f>IF('12 - Deployments &amp; Config'!AK330="","",'12 - Deployments &amp; Config'!AK330)</f>
        <v/>
      </c>
      <c r="K325" s="32" t="str">
        <f>IF('12 - Deployments &amp; Config'!AA330="","",'12 - Deployments &amp; Config'!AA330)</f>
        <v/>
      </c>
      <c r="L325" s="32" t="str">
        <f>IF('12 - Deployments &amp; Config'!I330="","",'12 - Deployments &amp; Config'!I330)</f>
        <v/>
      </c>
      <c r="M325" s="33"/>
      <c r="N325" s="32" t="str">
        <f>IF('12 - Deployments &amp; Config'!J330="","",'12 - Deployments &amp; Config'!J330)</f>
        <v/>
      </c>
      <c r="O325" s="32" t="str">
        <f>IF('12 - Deployments &amp; Config'!K330="","",'12 - Deployments &amp; Config'!K330)</f>
        <v/>
      </c>
      <c r="P325" s="32" t="str">
        <f>IF('12 - Deployments &amp; Config'!L330="","",'12 - Deployments &amp; Config'!L330)</f>
        <v/>
      </c>
      <c r="Q325" s="33"/>
      <c r="R325" s="32" t="str">
        <f>IF('12 - Deployments &amp; Config'!AZ330="","",'12 - Deployments &amp; Config'!AZ330)</f>
        <v/>
      </c>
      <c r="S325" s="32" t="str">
        <f>IF('12 - Deployments &amp; Config'!AY330="","",'12 - Deployments &amp; Config'!AY330)</f>
        <v/>
      </c>
      <c r="T325" s="32" t="str">
        <f>IF('12 - Deployments &amp; Config'!AW330="","",'12 - Deployments &amp; Config'!AW330)</f>
        <v/>
      </c>
      <c r="U325" s="32" t="str">
        <f>IF('12 - Deployments &amp; Config'!AX330="","",'12 - Deployments &amp; Config'!AX330)</f>
        <v/>
      </c>
      <c r="V325" s="32" t="str">
        <f>IF('12 - Deployments &amp; Config'!BB330="","",'12 - Deployments &amp; Config'!BB330)</f>
        <v/>
      </c>
      <c r="W325" s="32" t="str">
        <f>IF('12 - Deployments &amp; Config'!BD330="","",'12 - Deployments &amp; Config'!BD330)</f>
        <v/>
      </c>
      <c r="X325" s="32" t="str">
        <f>IF('12 - Deployments &amp; Config'!BL330="","",'12 - Deployments &amp; Config'!BL330)</f>
        <v/>
      </c>
      <c r="Y325" s="32" t="str">
        <f>IF('12 - Deployments &amp; Config'!BC330="","",'12 - Deployments &amp; Config'!BC330)</f>
        <v/>
      </c>
      <c r="Z325" s="32" t="str">
        <f>IF('12 - Deployments &amp; Config'!P330="","",'12 - Deployments &amp; Config'!P330)</f>
        <v/>
      </c>
      <c r="AA325" s="32" t="str">
        <f>IF('12 - Deployments &amp; Config'!Q330="","",'12 - Deployments &amp; Config'!Q330)</f>
        <v/>
      </c>
    </row>
    <row r="326" spans="1:27">
      <c r="A326" s="33"/>
      <c r="B326" s="33"/>
      <c r="C326" s="32" t="str">
        <f>IF('12 - Deployments &amp; Config'!H331="","",'12 - Deployments &amp; Config'!H331)</f>
        <v/>
      </c>
      <c r="D326" s="32" t="str">
        <f>IF('12 - Deployments &amp; Config'!AF331="","",'12 - Deployments &amp; Config'!AF331)</f>
        <v/>
      </c>
      <c r="E326" s="32" t="str">
        <f>IF('12 - Deployments &amp; Config'!AG331="","",'12 - Deployments &amp; Config'!AG331)</f>
        <v/>
      </c>
      <c r="F326" s="32" t="str">
        <f>IF('12 - Deployments &amp; Config'!AH331="","",'12 - Deployments &amp; Config'!AH331)</f>
        <v/>
      </c>
      <c r="G326" s="32" t="str">
        <f>IF('12 - Deployments &amp; Config'!AI331="","",'12 - Deployments &amp; Config'!AI331)</f>
        <v/>
      </c>
      <c r="H326" s="32" t="str">
        <f>IF('12 - Deployments &amp; Config'!A331="","",'12 - Deployments &amp; Config'!A331)</f>
        <v/>
      </c>
      <c r="I326" s="32" t="str">
        <f>IF('12 - Deployments &amp; Config'!AJ331="","",'12 - Deployments &amp; Config'!AJ331)</f>
        <v/>
      </c>
      <c r="J326" s="32" t="str">
        <f>IF('12 - Deployments &amp; Config'!AK331="","",'12 - Deployments &amp; Config'!AK331)</f>
        <v/>
      </c>
      <c r="K326" s="32" t="str">
        <f>IF('12 - Deployments &amp; Config'!AA331="","",'12 - Deployments &amp; Config'!AA331)</f>
        <v/>
      </c>
      <c r="L326" s="32" t="str">
        <f>IF('12 - Deployments &amp; Config'!I331="","",'12 - Deployments &amp; Config'!I331)</f>
        <v/>
      </c>
      <c r="M326" s="33"/>
      <c r="N326" s="32" t="str">
        <f>IF('12 - Deployments &amp; Config'!J331="","",'12 - Deployments &amp; Config'!J331)</f>
        <v/>
      </c>
      <c r="O326" s="32" t="str">
        <f>IF('12 - Deployments &amp; Config'!K331="","",'12 - Deployments &amp; Config'!K331)</f>
        <v/>
      </c>
      <c r="P326" s="32" t="str">
        <f>IF('12 - Deployments &amp; Config'!L331="","",'12 - Deployments &amp; Config'!L331)</f>
        <v/>
      </c>
      <c r="Q326" s="33"/>
      <c r="R326" s="32" t="str">
        <f>IF('12 - Deployments &amp; Config'!AZ331="","",'12 - Deployments &amp; Config'!AZ331)</f>
        <v/>
      </c>
      <c r="S326" s="32" t="str">
        <f>IF('12 - Deployments &amp; Config'!AY331="","",'12 - Deployments &amp; Config'!AY331)</f>
        <v/>
      </c>
      <c r="T326" s="32" t="str">
        <f>IF('12 - Deployments &amp; Config'!AW331="","",'12 - Deployments &amp; Config'!AW331)</f>
        <v/>
      </c>
      <c r="U326" s="32" t="str">
        <f>IF('12 - Deployments &amp; Config'!AX331="","",'12 - Deployments &amp; Config'!AX331)</f>
        <v/>
      </c>
      <c r="V326" s="32" t="str">
        <f>IF('12 - Deployments &amp; Config'!BB331="","",'12 - Deployments &amp; Config'!BB331)</f>
        <v/>
      </c>
      <c r="W326" s="32" t="str">
        <f>IF('12 - Deployments &amp; Config'!BD331="","",'12 - Deployments &amp; Config'!BD331)</f>
        <v/>
      </c>
      <c r="X326" s="32" t="str">
        <f>IF('12 - Deployments &amp; Config'!BL331="","",'12 - Deployments &amp; Config'!BL331)</f>
        <v/>
      </c>
      <c r="Y326" s="32" t="str">
        <f>IF('12 - Deployments &amp; Config'!BC331="","",'12 - Deployments &amp; Config'!BC331)</f>
        <v/>
      </c>
      <c r="Z326" s="32" t="str">
        <f>IF('12 - Deployments &amp; Config'!P331="","",'12 - Deployments &amp; Config'!P331)</f>
        <v/>
      </c>
      <c r="AA326" s="32" t="str">
        <f>IF('12 - Deployments &amp; Config'!Q331="","",'12 - Deployments &amp; Config'!Q331)</f>
        <v/>
      </c>
    </row>
    <row r="327" spans="1:27">
      <c r="A327" s="33"/>
      <c r="B327" s="33"/>
      <c r="C327" s="32" t="str">
        <f>IF('12 - Deployments &amp; Config'!H332="","",'12 - Deployments &amp; Config'!H332)</f>
        <v/>
      </c>
      <c r="D327" s="32" t="str">
        <f>IF('12 - Deployments &amp; Config'!AF332="","",'12 - Deployments &amp; Config'!AF332)</f>
        <v/>
      </c>
      <c r="E327" s="32" t="str">
        <f>IF('12 - Deployments &amp; Config'!AG332="","",'12 - Deployments &amp; Config'!AG332)</f>
        <v/>
      </c>
      <c r="F327" s="32" t="str">
        <f>IF('12 - Deployments &amp; Config'!AH332="","",'12 - Deployments &amp; Config'!AH332)</f>
        <v/>
      </c>
      <c r="G327" s="32" t="str">
        <f>IF('12 - Deployments &amp; Config'!AI332="","",'12 - Deployments &amp; Config'!AI332)</f>
        <v/>
      </c>
      <c r="H327" s="32" t="str">
        <f>IF('12 - Deployments &amp; Config'!A332="","",'12 - Deployments &amp; Config'!A332)</f>
        <v/>
      </c>
      <c r="I327" s="32" t="str">
        <f>IF('12 - Deployments &amp; Config'!AJ332="","",'12 - Deployments &amp; Config'!AJ332)</f>
        <v/>
      </c>
      <c r="J327" s="32" t="str">
        <f>IF('12 - Deployments &amp; Config'!AK332="","",'12 - Deployments &amp; Config'!AK332)</f>
        <v/>
      </c>
      <c r="K327" s="32" t="str">
        <f>IF('12 - Deployments &amp; Config'!AA332="","",'12 - Deployments &amp; Config'!AA332)</f>
        <v/>
      </c>
      <c r="L327" s="32" t="str">
        <f>IF('12 - Deployments &amp; Config'!I332="","",'12 - Deployments &amp; Config'!I332)</f>
        <v/>
      </c>
      <c r="M327" s="33"/>
      <c r="N327" s="32" t="str">
        <f>IF('12 - Deployments &amp; Config'!J332="","",'12 - Deployments &amp; Config'!J332)</f>
        <v/>
      </c>
      <c r="O327" s="32" t="str">
        <f>IF('12 - Deployments &amp; Config'!K332="","",'12 - Deployments &amp; Config'!K332)</f>
        <v/>
      </c>
      <c r="P327" s="32" t="str">
        <f>IF('12 - Deployments &amp; Config'!L332="","",'12 - Deployments &amp; Config'!L332)</f>
        <v/>
      </c>
      <c r="Q327" s="33"/>
      <c r="R327" s="32" t="str">
        <f>IF('12 - Deployments &amp; Config'!AZ332="","",'12 - Deployments &amp; Config'!AZ332)</f>
        <v/>
      </c>
      <c r="S327" s="32" t="str">
        <f>IF('12 - Deployments &amp; Config'!AY332="","",'12 - Deployments &amp; Config'!AY332)</f>
        <v/>
      </c>
      <c r="T327" s="32" t="str">
        <f>IF('12 - Deployments &amp; Config'!AW332="","",'12 - Deployments &amp; Config'!AW332)</f>
        <v/>
      </c>
      <c r="U327" s="32" t="str">
        <f>IF('12 - Deployments &amp; Config'!AX332="","",'12 - Deployments &amp; Config'!AX332)</f>
        <v/>
      </c>
      <c r="V327" s="32" t="str">
        <f>IF('12 - Deployments &amp; Config'!BB332="","",'12 - Deployments &amp; Config'!BB332)</f>
        <v/>
      </c>
      <c r="W327" s="32" t="str">
        <f>IF('12 - Deployments &amp; Config'!BD332="","",'12 - Deployments &amp; Config'!BD332)</f>
        <v/>
      </c>
      <c r="X327" s="32" t="str">
        <f>IF('12 - Deployments &amp; Config'!BL332="","",'12 - Deployments &amp; Config'!BL332)</f>
        <v/>
      </c>
      <c r="Y327" s="32" t="str">
        <f>IF('12 - Deployments &amp; Config'!BC332="","",'12 - Deployments &amp; Config'!BC332)</f>
        <v/>
      </c>
      <c r="Z327" s="32" t="str">
        <f>IF('12 - Deployments &amp; Config'!P332="","",'12 - Deployments &amp; Config'!P332)</f>
        <v/>
      </c>
      <c r="AA327" s="32" t="str">
        <f>IF('12 - Deployments &amp; Config'!Q332="","",'12 - Deployments &amp; Config'!Q332)</f>
        <v/>
      </c>
    </row>
    <row r="328" spans="1:27">
      <c r="A328" s="33"/>
      <c r="B328" s="33"/>
      <c r="C328" s="32" t="str">
        <f>IF('12 - Deployments &amp; Config'!H333="","",'12 - Deployments &amp; Config'!H333)</f>
        <v/>
      </c>
      <c r="D328" s="32" t="str">
        <f>IF('12 - Deployments &amp; Config'!AF333="","",'12 - Deployments &amp; Config'!AF333)</f>
        <v/>
      </c>
      <c r="E328" s="32" t="str">
        <f>IF('12 - Deployments &amp; Config'!AG333="","",'12 - Deployments &amp; Config'!AG333)</f>
        <v/>
      </c>
      <c r="F328" s="32" t="str">
        <f>IF('12 - Deployments &amp; Config'!AH333="","",'12 - Deployments &amp; Config'!AH333)</f>
        <v/>
      </c>
      <c r="G328" s="32" t="str">
        <f>IF('12 - Deployments &amp; Config'!AI333="","",'12 - Deployments &amp; Config'!AI333)</f>
        <v/>
      </c>
      <c r="H328" s="32" t="str">
        <f>IF('12 - Deployments &amp; Config'!A333="","",'12 - Deployments &amp; Config'!A333)</f>
        <v/>
      </c>
      <c r="I328" s="32" t="str">
        <f>IF('12 - Deployments &amp; Config'!AJ333="","",'12 - Deployments &amp; Config'!AJ333)</f>
        <v/>
      </c>
      <c r="J328" s="32" t="str">
        <f>IF('12 - Deployments &amp; Config'!AK333="","",'12 - Deployments &amp; Config'!AK333)</f>
        <v/>
      </c>
      <c r="K328" s="32" t="str">
        <f>IF('12 - Deployments &amp; Config'!AA333="","",'12 - Deployments &amp; Config'!AA333)</f>
        <v/>
      </c>
      <c r="L328" s="32" t="str">
        <f>IF('12 - Deployments &amp; Config'!I333="","",'12 - Deployments &amp; Config'!I333)</f>
        <v/>
      </c>
      <c r="M328" s="33"/>
      <c r="N328" s="32" t="str">
        <f>IF('12 - Deployments &amp; Config'!J333="","",'12 - Deployments &amp; Config'!J333)</f>
        <v/>
      </c>
      <c r="O328" s="32" t="str">
        <f>IF('12 - Deployments &amp; Config'!K333="","",'12 - Deployments &amp; Config'!K333)</f>
        <v/>
      </c>
      <c r="P328" s="32" t="str">
        <f>IF('12 - Deployments &amp; Config'!L333="","",'12 - Deployments &amp; Config'!L333)</f>
        <v/>
      </c>
      <c r="Q328" s="33"/>
      <c r="R328" s="32" t="str">
        <f>IF('12 - Deployments &amp; Config'!AZ333="","",'12 - Deployments &amp; Config'!AZ333)</f>
        <v/>
      </c>
      <c r="S328" s="32" t="str">
        <f>IF('12 - Deployments &amp; Config'!AY333="","",'12 - Deployments &amp; Config'!AY333)</f>
        <v/>
      </c>
      <c r="T328" s="32" t="str">
        <f>IF('12 - Deployments &amp; Config'!AW333="","",'12 - Deployments &amp; Config'!AW333)</f>
        <v/>
      </c>
      <c r="U328" s="32" t="str">
        <f>IF('12 - Deployments &amp; Config'!AX333="","",'12 - Deployments &amp; Config'!AX333)</f>
        <v/>
      </c>
      <c r="V328" s="32" t="str">
        <f>IF('12 - Deployments &amp; Config'!BB333="","",'12 - Deployments &amp; Config'!BB333)</f>
        <v/>
      </c>
      <c r="W328" s="32" t="str">
        <f>IF('12 - Deployments &amp; Config'!BD333="","",'12 - Deployments &amp; Config'!BD333)</f>
        <v/>
      </c>
      <c r="X328" s="32" t="str">
        <f>IF('12 - Deployments &amp; Config'!BL333="","",'12 - Deployments &amp; Config'!BL333)</f>
        <v/>
      </c>
      <c r="Y328" s="32" t="str">
        <f>IF('12 - Deployments &amp; Config'!BC333="","",'12 - Deployments &amp; Config'!BC333)</f>
        <v/>
      </c>
      <c r="Z328" s="32" t="str">
        <f>IF('12 - Deployments &amp; Config'!P333="","",'12 - Deployments &amp; Config'!P333)</f>
        <v/>
      </c>
      <c r="AA328" s="32" t="str">
        <f>IF('12 - Deployments &amp; Config'!Q333="","",'12 - Deployments &amp; Config'!Q333)</f>
        <v/>
      </c>
    </row>
    <row r="329" spans="1:27">
      <c r="A329" s="33"/>
      <c r="B329" s="33"/>
      <c r="C329" s="32" t="str">
        <f>IF('12 - Deployments &amp; Config'!H334="","",'12 - Deployments &amp; Config'!H334)</f>
        <v/>
      </c>
      <c r="D329" s="32" t="str">
        <f>IF('12 - Deployments &amp; Config'!AF334="","",'12 - Deployments &amp; Config'!AF334)</f>
        <v/>
      </c>
      <c r="E329" s="32" t="str">
        <f>IF('12 - Deployments &amp; Config'!AG334="","",'12 - Deployments &amp; Config'!AG334)</f>
        <v/>
      </c>
      <c r="F329" s="32" t="str">
        <f>IF('12 - Deployments &amp; Config'!AH334="","",'12 - Deployments &amp; Config'!AH334)</f>
        <v/>
      </c>
      <c r="G329" s="32" t="str">
        <f>IF('12 - Deployments &amp; Config'!AI334="","",'12 - Deployments &amp; Config'!AI334)</f>
        <v/>
      </c>
      <c r="H329" s="32" t="str">
        <f>IF('12 - Deployments &amp; Config'!A334="","",'12 - Deployments &amp; Config'!A334)</f>
        <v/>
      </c>
      <c r="I329" s="32" t="str">
        <f>IF('12 - Deployments &amp; Config'!AJ334="","",'12 - Deployments &amp; Config'!AJ334)</f>
        <v/>
      </c>
      <c r="J329" s="32" t="str">
        <f>IF('12 - Deployments &amp; Config'!AK334="","",'12 - Deployments &amp; Config'!AK334)</f>
        <v/>
      </c>
      <c r="K329" s="32" t="str">
        <f>IF('12 - Deployments &amp; Config'!AA334="","",'12 - Deployments &amp; Config'!AA334)</f>
        <v/>
      </c>
      <c r="L329" s="32" t="str">
        <f>IF('12 - Deployments &amp; Config'!I334="","",'12 - Deployments &amp; Config'!I334)</f>
        <v/>
      </c>
      <c r="M329" s="33"/>
      <c r="N329" s="32" t="str">
        <f>IF('12 - Deployments &amp; Config'!J334="","",'12 - Deployments &amp; Config'!J334)</f>
        <v/>
      </c>
      <c r="O329" s="32" t="str">
        <f>IF('12 - Deployments &amp; Config'!K334="","",'12 - Deployments &amp; Config'!K334)</f>
        <v/>
      </c>
      <c r="P329" s="32" t="str">
        <f>IF('12 - Deployments &amp; Config'!L334="","",'12 - Deployments &amp; Config'!L334)</f>
        <v/>
      </c>
      <c r="Q329" s="33"/>
      <c r="R329" s="32" t="str">
        <f>IF('12 - Deployments &amp; Config'!AZ334="","",'12 - Deployments &amp; Config'!AZ334)</f>
        <v/>
      </c>
      <c r="S329" s="32" t="str">
        <f>IF('12 - Deployments &amp; Config'!AY334="","",'12 - Deployments &amp; Config'!AY334)</f>
        <v/>
      </c>
      <c r="T329" s="32" t="str">
        <f>IF('12 - Deployments &amp; Config'!AW334="","",'12 - Deployments &amp; Config'!AW334)</f>
        <v/>
      </c>
      <c r="U329" s="32" t="str">
        <f>IF('12 - Deployments &amp; Config'!AX334="","",'12 - Deployments &amp; Config'!AX334)</f>
        <v/>
      </c>
      <c r="V329" s="32" t="str">
        <f>IF('12 - Deployments &amp; Config'!BB334="","",'12 - Deployments &amp; Config'!BB334)</f>
        <v/>
      </c>
      <c r="W329" s="32" t="str">
        <f>IF('12 - Deployments &amp; Config'!BD334="","",'12 - Deployments &amp; Config'!BD334)</f>
        <v/>
      </c>
      <c r="X329" s="32" t="str">
        <f>IF('12 - Deployments &amp; Config'!BL334="","",'12 - Deployments &amp; Config'!BL334)</f>
        <v/>
      </c>
      <c r="Y329" s="32" t="str">
        <f>IF('12 - Deployments &amp; Config'!BC334="","",'12 - Deployments &amp; Config'!BC334)</f>
        <v/>
      </c>
      <c r="Z329" s="32" t="str">
        <f>IF('12 - Deployments &amp; Config'!P334="","",'12 - Deployments &amp; Config'!P334)</f>
        <v/>
      </c>
      <c r="AA329" s="32" t="str">
        <f>IF('12 - Deployments &amp; Config'!Q334="","",'12 - Deployments &amp; Config'!Q334)</f>
        <v/>
      </c>
    </row>
    <row r="330" spans="1:27">
      <c r="A330" s="33"/>
      <c r="B330" s="33"/>
      <c r="C330" s="32" t="str">
        <f>IF('12 - Deployments &amp; Config'!H335="","",'12 - Deployments &amp; Config'!H335)</f>
        <v/>
      </c>
      <c r="D330" s="32" t="str">
        <f>IF('12 - Deployments &amp; Config'!AF335="","",'12 - Deployments &amp; Config'!AF335)</f>
        <v/>
      </c>
      <c r="E330" s="32" t="str">
        <f>IF('12 - Deployments &amp; Config'!AG335="","",'12 - Deployments &amp; Config'!AG335)</f>
        <v/>
      </c>
      <c r="F330" s="32" t="str">
        <f>IF('12 - Deployments &amp; Config'!AH335="","",'12 - Deployments &amp; Config'!AH335)</f>
        <v/>
      </c>
      <c r="G330" s="32" t="str">
        <f>IF('12 - Deployments &amp; Config'!AI335="","",'12 - Deployments &amp; Config'!AI335)</f>
        <v/>
      </c>
      <c r="H330" s="32" t="str">
        <f>IF('12 - Deployments &amp; Config'!A335="","",'12 - Deployments &amp; Config'!A335)</f>
        <v/>
      </c>
      <c r="I330" s="32" t="str">
        <f>IF('12 - Deployments &amp; Config'!AJ335="","",'12 - Deployments &amp; Config'!AJ335)</f>
        <v/>
      </c>
      <c r="J330" s="32" t="str">
        <f>IF('12 - Deployments &amp; Config'!AK335="","",'12 - Deployments &amp; Config'!AK335)</f>
        <v/>
      </c>
      <c r="K330" s="32" t="str">
        <f>IF('12 - Deployments &amp; Config'!AA335="","",'12 - Deployments &amp; Config'!AA335)</f>
        <v/>
      </c>
      <c r="L330" s="32" t="str">
        <f>IF('12 - Deployments &amp; Config'!I335="","",'12 - Deployments &amp; Config'!I335)</f>
        <v/>
      </c>
      <c r="M330" s="33"/>
      <c r="N330" s="32" t="str">
        <f>IF('12 - Deployments &amp; Config'!J335="","",'12 - Deployments &amp; Config'!J335)</f>
        <v/>
      </c>
      <c r="O330" s="32" t="str">
        <f>IF('12 - Deployments &amp; Config'!K335="","",'12 - Deployments &amp; Config'!K335)</f>
        <v/>
      </c>
      <c r="P330" s="32" t="str">
        <f>IF('12 - Deployments &amp; Config'!L335="","",'12 - Deployments &amp; Config'!L335)</f>
        <v/>
      </c>
      <c r="Q330" s="33"/>
      <c r="R330" s="32" t="str">
        <f>IF('12 - Deployments &amp; Config'!AZ335="","",'12 - Deployments &amp; Config'!AZ335)</f>
        <v/>
      </c>
      <c r="S330" s="32" t="str">
        <f>IF('12 - Deployments &amp; Config'!AY335="","",'12 - Deployments &amp; Config'!AY335)</f>
        <v/>
      </c>
      <c r="T330" s="32" t="str">
        <f>IF('12 - Deployments &amp; Config'!AW335="","",'12 - Deployments &amp; Config'!AW335)</f>
        <v/>
      </c>
      <c r="U330" s="32" t="str">
        <f>IF('12 - Deployments &amp; Config'!AX335="","",'12 - Deployments &amp; Config'!AX335)</f>
        <v/>
      </c>
      <c r="V330" s="32" t="str">
        <f>IF('12 - Deployments &amp; Config'!BB335="","",'12 - Deployments &amp; Config'!BB335)</f>
        <v/>
      </c>
      <c r="W330" s="32" t="str">
        <f>IF('12 - Deployments &amp; Config'!BD335="","",'12 - Deployments &amp; Config'!BD335)</f>
        <v/>
      </c>
      <c r="X330" s="32" t="str">
        <f>IF('12 - Deployments &amp; Config'!BL335="","",'12 - Deployments &amp; Config'!BL335)</f>
        <v/>
      </c>
      <c r="Y330" s="32" t="str">
        <f>IF('12 - Deployments &amp; Config'!BC335="","",'12 - Deployments &amp; Config'!BC335)</f>
        <v/>
      </c>
      <c r="Z330" s="32" t="str">
        <f>IF('12 - Deployments &amp; Config'!P335="","",'12 - Deployments &amp; Config'!P335)</f>
        <v/>
      </c>
      <c r="AA330" s="32" t="str">
        <f>IF('12 - Deployments &amp; Config'!Q335="","",'12 - Deployments &amp; Config'!Q335)</f>
        <v/>
      </c>
    </row>
    <row r="331" spans="1:27">
      <c r="A331" s="33"/>
      <c r="B331" s="33"/>
      <c r="C331" s="32" t="str">
        <f>IF('12 - Deployments &amp; Config'!H336="","",'12 - Deployments &amp; Config'!H336)</f>
        <v/>
      </c>
      <c r="D331" s="32" t="str">
        <f>IF('12 - Deployments &amp; Config'!AF336="","",'12 - Deployments &amp; Config'!AF336)</f>
        <v/>
      </c>
      <c r="E331" s="32" t="str">
        <f>IF('12 - Deployments &amp; Config'!AG336="","",'12 - Deployments &amp; Config'!AG336)</f>
        <v/>
      </c>
      <c r="F331" s="32" t="str">
        <f>IF('12 - Deployments &amp; Config'!AH336="","",'12 - Deployments &amp; Config'!AH336)</f>
        <v/>
      </c>
      <c r="G331" s="32" t="str">
        <f>IF('12 - Deployments &amp; Config'!AI336="","",'12 - Deployments &amp; Config'!AI336)</f>
        <v/>
      </c>
      <c r="H331" s="32" t="str">
        <f>IF('12 - Deployments &amp; Config'!A336="","",'12 - Deployments &amp; Config'!A336)</f>
        <v/>
      </c>
      <c r="I331" s="32" t="str">
        <f>IF('12 - Deployments &amp; Config'!AJ336="","",'12 - Deployments &amp; Config'!AJ336)</f>
        <v/>
      </c>
      <c r="J331" s="32" t="str">
        <f>IF('12 - Deployments &amp; Config'!AK336="","",'12 - Deployments &amp; Config'!AK336)</f>
        <v/>
      </c>
      <c r="K331" s="32" t="str">
        <f>IF('12 - Deployments &amp; Config'!AA336="","",'12 - Deployments &amp; Config'!AA336)</f>
        <v/>
      </c>
      <c r="L331" s="32" t="str">
        <f>IF('12 - Deployments &amp; Config'!I336="","",'12 - Deployments &amp; Config'!I336)</f>
        <v/>
      </c>
      <c r="M331" s="33"/>
      <c r="N331" s="32" t="str">
        <f>IF('12 - Deployments &amp; Config'!J336="","",'12 - Deployments &amp; Config'!J336)</f>
        <v/>
      </c>
      <c r="O331" s="32" t="str">
        <f>IF('12 - Deployments &amp; Config'!K336="","",'12 - Deployments &amp; Config'!K336)</f>
        <v/>
      </c>
      <c r="P331" s="32" t="str">
        <f>IF('12 - Deployments &amp; Config'!L336="","",'12 - Deployments &amp; Config'!L336)</f>
        <v/>
      </c>
      <c r="Q331" s="33"/>
      <c r="R331" s="32" t="str">
        <f>IF('12 - Deployments &amp; Config'!AZ336="","",'12 - Deployments &amp; Config'!AZ336)</f>
        <v/>
      </c>
      <c r="S331" s="32" t="str">
        <f>IF('12 - Deployments &amp; Config'!AY336="","",'12 - Deployments &amp; Config'!AY336)</f>
        <v/>
      </c>
      <c r="T331" s="32" t="str">
        <f>IF('12 - Deployments &amp; Config'!AW336="","",'12 - Deployments &amp; Config'!AW336)</f>
        <v/>
      </c>
      <c r="U331" s="32" t="str">
        <f>IF('12 - Deployments &amp; Config'!AX336="","",'12 - Deployments &amp; Config'!AX336)</f>
        <v/>
      </c>
      <c r="V331" s="32" t="str">
        <f>IF('12 - Deployments &amp; Config'!BB336="","",'12 - Deployments &amp; Config'!BB336)</f>
        <v/>
      </c>
      <c r="W331" s="32" t="str">
        <f>IF('12 - Deployments &amp; Config'!BD336="","",'12 - Deployments &amp; Config'!BD336)</f>
        <v/>
      </c>
      <c r="X331" s="32" t="str">
        <f>IF('12 - Deployments &amp; Config'!BL336="","",'12 - Deployments &amp; Config'!BL336)</f>
        <v/>
      </c>
      <c r="Y331" s="32" t="str">
        <f>IF('12 - Deployments &amp; Config'!BC336="","",'12 - Deployments &amp; Config'!BC336)</f>
        <v/>
      </c>
      <c r="Z331" s="32" t="str">
        <f>IF('12 - Deployments &amp; Config'!P336="","",'12 - Deployments &amp; Config'!P336)</f>
        <v/>
      </c>
      <c r="AA331" s="32" t="str">
        <f>IF('12 - Deployments &amp; Config'!Q336="","",'12 - Deployments &amp; Config'!Q336)</f>
        <v/>
      </c>
    </row>
    <row r="332" spans="1:27">
      <c r="A332" s="33"/>
      <c r="B332" s="33"/>
      <c r="C332" s="32" t="str">
        <f>IF('12 - Deployments &amp; Config'!H337="","",'12 - Deployments &amp; Config'!H337)</f>
        <v/>
      </c>
      <c r="D332" s="32" t="str">
        <f>IF('12 - Deployments &amp; Config'!AF337="","",'12 - Deployments &amp; Config'!AF337)</f>
        <v/>
      </c>
      <c r="E332" s="32" t="str">
        <f>IF('12 - Deployments &amp; Config'!AG337="","",'12 - Deployments &amp; Config'!AG337)</f>
        <v/>
      </c>
      <c r="F332" s="32" t="str">
        <f>IF('12 - Deployments &amp; Config'!AH337="","",'12 - Deployments &amp; Config'!AH337)</f>
        <v/>
      </c>
      <c r="G332" s="32" t="str">
        <f>IF('12 - Deployments &amp; Config'!AI337="","",'12 - Deployments &amp; Config'!AI337)</f>
        <v/>
      </c>
      <c r="H332" s="32" t="str">
        <f>IF('12 - Deployments &amp; Config'!A337="","",'12 - Deployments &amp; Config'!A337)</f>
        <v/>
      </c>
      <c r="I332" s="32" t="str">
        <f>IF('12 - Deployments &amp; Config'!AJ337="","",'12 - Deployments &amp; Config'!AJ337)</f>
        <v/>
      </c>
      <c r="J332" s="32" t="str">
        <f>IF('12 - Deployments &amp; Config'!AK337="","",'12 - Deployments &amp; Config'!AK337)</f>
        <v/>
      </c>
      <c r="K332" s="32" t="str">
        <f>IF('12 - Deployments &amp; Config'!AA337="","",'12 - Deployments &amp; Config'!AA337)</f>
        <v/>
      </c>
      <c r="L332" s="32" t="str">
        <f>IF('12 - Deployments &amp; Config'!I337="","",'12 - Deployments &amp; Config'!I337)</f>
        <v/>
      </c>
      <c r="M332" s="33"/>
      <c r="N332" s="32" t="str">
        <f>IF('12 - Deployments &amp; Config'!J337="","",'12 - Deployments &amp; Config'!J337)</f>
        <v/>
      </c>
      <c r="O332" s="32" t="str">
        <f>IF('12 - Deployments &amp; Config'!K337="","",'12 - Deployments &amp; Config'!K337)</f>
        <v/>
      </c>
      <c r="P332" s="32" t="str">
        <f>IF('12 - Deployments &amp; Config'!L337="","",'12 - Deployments &amp; Config'!L337)</f>
        <v/>
      </c>
      <c r="Q332" s="33"/>
      <c r="R332" s="32" t="str">
        <f>IF('12 - Deployments &amp; Config'!AZ337="","",'12 - Deployments &amp; Config'!AZ337)</f>
        <v/>
      </c>
      <c r="S332" s="32" t="str">
        <f>IF('12 - Deployments &amp; Config'!AY337="","",'12 - Deployments &amp; Config'!AY337)</f>
        <v/>
      </c>
      <c r="T332" s="32" t="str">
        <f>IF('12 - Deployments &amp; Config'!AW337="","",'12 - Deployments &amp; Config'!AW337)</f>
        <v/>
      </c>
      <c r="U332" s="32" t="str">
        <f>IF('12 - Deployments &amp; Config'!AX337="","",'12 - Deployments &amp; Config'!AX337)</f>
        <v/>
      </c>
      <c r="V332" s="32" t="str">
        <f>IF('12 - Deployments &amp; Config'!BB337="","",'12 - Deployments &amp; Config'!BB337)</f>
        <v/>
      </c>
      <c r="W332" s="32" t="str">
        <f>IF('12 - Deployments &amp; Config'!BD337="","",'12 - Deployments &amp; Config'!BD337)</f>
        <v/>
      </c>
      <c r="X332" s="32" t="str">
        <f>IF('12 - Deployments &amp; Config'!BL337="","",'12 - Deployments &amp; Config'!BL337)</f>
        <v/>
      </c>
      <c r="Y332" s="32" t="str">
        <f>IF('12 - Deployments &amp; Config'!BC337="","",'12 - Deployments &amp; Config'!BC337)</f>
        <v/>
      </c>
      <c r="Z332" s="32" t="str">
        <f>IF('12 - Deployments &amp; Config'!P337="","",'12 - Deployments &amp; Config'!P337)</f>
        <v/>
      </c>
      <c r="AA332" s="32" t="str">
        <f>IF('12 - Deployments &amp; Config'!Q337="","",'12 - Deployments &amp; Config'!Q337)</f>
        <v/>
      </c>
    </row>
    <row r="333" spans="1:27">
      <c r="A333" s="33"/>
      <c r="B333" s="33"/>
      <c r="C333" s="32" t="str">
        <f>IF('12 - Deployments &amp; Config'!H338="","",'12 - Deployments &amp; Config'!H338)</f>
        <v/>
      </c>
      <c r="D333" s="32" t="str">
        <f>IF('12 - Deployments &amp; Config'!AF338="","",'12 - Deployments &amp; Config'!AF338)</f>
        <v/>
      </c>
      <c r="E333" s="32" t="str">
        <f>IF('12 - Deployments &amp; Config'!AG338="","",'12 - Deployments &amp; Config'!AG338)</f>
        <v/>
      </c>
      <c r="F333" s="32" t="str">
        <f>IF('12 - Deployments &amp; Config'!AH338="","",'12 - Deployments &amp; Config'!AH338)</f>
        <v/>
      </c>
      <c r="G333" s="32" t="str">
        <f>IF('12 - Deployments &amp; Config'!AI338="","",'12 - Deployments &amp; Config'!AI338)</f>
        <v/>
      </c>
      <c r="H333" s="32" t="str">
        <f>IF('12 - Deployments &amp; Config'!A338="","",'12 - Deployments &amp; Config'!A338)</f>
        <v/>
      </c>
      <c r="I333" s="32" t="str">
        <f>IF('12 - Deployments &amp; Config'!AJ338="","",'12 - Deployments &amp; Config'!AJ338)</f>
        <v/>
      </c>
      <c r="J333" s="32" t="str">
        <f>IF('12 - Deployments &amp; Config'!AK338="","",'12 - Deployments &amp; Config'!AK338)</f>
        <v/>
      </c>
      <c r="K333" s="32" t="str">
        <f>IF('12 - Deployments &amp; Config'!AA338="","",'12 - Deployments &amp; Config'!AA338)</f>
        <v/>
      </c>
      <c r="L333" s="32" t="str">
        <f>IF('12 - Deployments &amp; Config'!I338="","",'12 - Deployments &amp; Config'!I338)</f>
        <v/>
      </c>
      <c r="M333" s="33"/>
      <c r="N333" s="32" t="str">
        <f>IF('12 - Deployments &amp; Config'!J338="","",'12 - Deployments &amp; Config'!J338)</f>
        <v/>
      </c>
      <c r="O333" s="32" t="str">
        <f>IF('12 - Deployments &amp; Config'!K338="","",'12 - Deployments &amp; Config'!K338)</f>
        <v/>
      </c>
      <c r="P333" s="32" t="str">
        <f>IF('12 - Deployments &amp; Config'!L338="","",'12 - Deployments &amp; Config'!L338)</f>
        <v/>
      </c>
      <c r="Q333" s="33"/>
      <c r="R333" s="32" t="str">
        <f>IF('12 - Deployments &amp; Config'!AZ338="","",'12 - Deployments &amp; Config'!AZ338)</f>
        <v/>
      </c>
      <c r="S333" s="32" t="str">
        <f>IF('12 - Deployments &amp; Config'!AY338="","",'12 - Deployments &amp; Config'!AY338)</f>
        <v/>
      </c>
      <c r="T333" s="32" t="str">
        <f>IF('12 - Deployments &amp; Config'!AW338="","",'12 - Deployments &amp; Config'!AW338)</f>
        <v/>
      </c>
      <c r="U333" s="32" t="str">
        <f>IF('12 - Deployments &amp; Config'!AX338="","",'12 - Deployments &amp; Config'!AX338)</f>
        <v/>
      </c>
      <c r="V333" s="32" t="str">
        <f>IF('12 - Deployments &amp; Config'!BB338="","",'12 - Deployments &amp; Config'!BB338)</f>
        <v/>
      </c>
      <c r="W333" s="32" t="str">
        <f>IF('12 - Deployments &amp; Config'!BD338="","",'12 - Deployments &amp; Config'!BD338)</f>
        <v/>
      </c>
      <c r="X333" s="32" t="str">
        <f>IF('12 - Deployments &amp; Config'!BL338="","",'12 - Deployments &amp; Config'!BL338)</f>
        <v/>
      </c>
      <c r="Y333" s="32" t="str">
        <f>IF('12 - Deployments &amp; Config'!BC338="","",'12 - Deployments &amp; Config'!BC338)</f>
        <v/>
      </c>
      <c r="Z333" s="32" t="str">
        <f>IF('12 - Deployments &amp; Config'!P338="","",'12 - Deployments &amp; Config'!P338)</f>
        <v/>
      </c>
      <c r="AA333" s="32" t="str">
        <f>IF('12 - Deployments &amp; Config'!Q338="","",'12 - Deployments &amp; Config'!Q338)</f>
        <v/>
      </c>
    </row>
    <row r="334" spans="1:27">
      <c r="A334" s="33"/>
      <c r="B334" s="33"/>
      <c r="C334" s="32" t="str">
        <f>IF('12 - Deployments &amp; Config'!H339="","",'12 - Deployments &amp; Config'!H339)</f>
        <v/>
      </c>
      <c r="D334" s="32" t="str">
        <f>IF('12 - Deployments &amp; Config'!AF339="","",'12 - Deployments &amp; Config'!AF339)</f>
        <v/>
      </c>
      <c r="E334" s="32" t="str">
        <f>IF('12 - Deployments &amp; Config'!AG339="","",'12 - Deployments &amp; Config'!AG339)</f>
        <v/>
      </c>
      <c r="F334" s="32" t="str">
        <f>IF('12 - Deployments &amp; Config'!AH339="","",'12 - Deployments &amp; Config'!AH339)</f>
        <v/>
      </c>
      <c r="G334" s="32" t="str">
        <f>IF('12 - Deployments &amp; Config'!AI339="","",'12 - Deployments &amp; Config'!AI339)</f>
        <v/>
      </c>
      <c r="H334" s="32" t="str">
        <f>IF('12 - Deployments &amp; Config'!A339="","",'12 - Deployments &amp; Config'!A339)</f>
        <v/>
      </c>
      <c r="I334" s="32" t="str">
        <f>IF('12 - Deployments &amp; Config'!AJ339="","",'12 - Deployments &amp; Config'!AJ339)</f>
        <v/>
      </c>
      <c r="J334" s="32" t="str">
        <f>IF('12 - Deployments &amp; Config'!AK339="","",'12 - Deployments &amp; Config'!AK339)</f>
        <v/>
      </c>
      <c r="K334" s="32" t="str">
        <f>IF('12 - Deployments &amp; Config'!AA339="","",'12 - Deployments &amp; Config'!AA339)</f>
        <v/>
      </c>
      <c r="L334" s="32" t="str">
        <f>IF('12 - Deployments &amp; Config'!I339="","",'12 - Deployments &amp; Config'!I339)</f>
        <v/>
      </c>
      <c r="M334" s="33"/>
      <c r="N334" s="32" t="str">
        <f>IF('12 - Deployments &amp; Config'!J339="","",'12 - Deployments &amp; Config'!J339)</f>
        <v/>
      </c>
      <c r="O334" s="32" t="str">
        <f>IF('12 - Deployments &amp; Config'!K339="","",'12 - Deployments &amp; Config'!K339)</f>
        <v/>
      </c>
      <c r="P334" s="32" t="str">
        <f>IF('12 - Deployments &amp; Config'!L339="","",'12 - Deployments &amp; Config'!L339)</f>
        <v/>
      </c>
      <c r="Q334" s="33"/>
      <c r="R334" s="32" t="str">
        <f>IF('12 - Deployments &amp; Config'!AZ339="","",'12 - Deployments &amp; Config'!AZ339)</f>
        <v/>
      </c>
      <c r="S334" s="32" t="str">
        <f>IF('12 - Deployments &amp; Config'!AY339="","",'12 - Deployments &amp; Config'!AY339)</f>
        <v/>
      </c>
      <c r="T334" s="32" t="str">
        <f>IF('12 - Deployments &amp; Config'!AW339="","",'12 - Deployments &amp; Config'!AW339)</f>
        <v/>
      </c>
      <c r="U334" s="32" t="str">
        <f>IF('12 - Deployments &amp; Config'!AX339="","",'12 - Deployments &amp; Config'!AX339)</f>
        <v/>
      </c>
      <c r="V334" s="32" t="str">
        <f>IF('12 - Deployments &amp; Config'!BB339="","",'12 - Deployments &amp; Config'!BB339)</f>
        <v/>
      </c>
      <c r="W334" s="32" t="str">
        <f>IF('12 - Deployments &amp; Config'!BD339="","",'12 - Deployments &amp; Config'!BD339)</f>
        <v/>
      </c>
      <c r="X334" s="32" t="str">
        <f>IF('12 - Deployments &amp; Config'!BL339="","",'12 - Deployments &amp; Config'!BL339)</f>
        <v/>
      </c>
      <c r="Y334" s="32" t="str">
        <f>IF('12 - Deployments &amp; Config'!BC339="","",'12 - Deployments &amp; Config'!BC339)</f>
        <v/>
      </c>
      <c r="Z334" s="32" t="str">
        <f>IF('12 - Deployments &amp; Config'!P339="","",'12 - Deployments &amp; Config'!P339)</f>
        <v/>
      </c>
      <c r="AA334" s="32" t="str">
        <f>IF('12 - Deployments &amp; Config'!Q339="","",'12 - Deployments &amp; Config'!Q339)</f>
        <v/>
      </c>
    </row>
    <row r="335" spans="1:27">
      <c r="A335" s="33"/>
      <c r="B335" s="33"/>
      <c r="C335" s="32" t="str">
        <f>IF('12 - Deployments &amp; Config'!H340="","",'12 - Deployments &amp; Config'!H340)</f>
        <v/>
      </c>
      <c r="D335" s="32" t="str">
        <f>IF('12 - Deployments &amp; Config'!AF340="","",'12 - Deployments &amp; Config'!AF340)</f>
        <v/>
      </c>
      <c r="E335" s="32" t="str">
        <f>IF('12 - Deployments &amp; Config'!AG340="","",'12 - Deployments &amp; Config'!AG340)</f>
        <v/>
      </c>
      <c r="F335" s="32" t="str">
        <f>IF('12 - Deployments &amp; Config'!AH340="","",'12 - Deployments &amp; Config'!AH340)</f>
        <v/>
      </c>
      <c r="G335" s="32" t="str">
        <f>IF('12 - Deployments &amp; Config'!AI340="","",'12 - Deployments &amp; Config'!AI340)</f>
        <v/>
      </c>
      <c r="H335" s="32" t="str">
        <f>IF('12 - Deployments &amp; Config'!A340="","",'12 - Deployments &amp; Config'!A340)</f>
        <v/>
      </c>
      <c r="I335" s="32" t="str">
        <f>IF('12 - Deployments &amp; Config'!AJ340="","",'12 - Deployments &amp; Config'!AJ340)</f>
        <v/>
      </c>
      <c r="J335" s="32" t="str">
        <f>IF('12 - Deployments &amp; Config'!AK340="","",'12 - Deployments &amp; Config'!AK340)</f>
        <v/>
      </c>
      <c r="K335" s="32" t="str">
        <f>IF('12 - Deployments &amp; Config'!AA340="","",'12 - Deployments &amp; Config'!AA340)</f>
        <v/>
      </c>
      <c r="L335" s="32" t="str">
        <f>IF('12 - Deployments &amp; Config'!I340="","",'12 - Deployments &amp; Config'!I340)</f>
        <v/>
      </c>
      <c r="M335" s="33"/>
      <c r="N335" s="32" t="str">
        <f>IF('12 - Deployments &amp; Config'!J340="","",'12 - Deployments &amp; Config'!J340)</f>
        <v/>
      </c>
      <c r="O335" s="32" t="str">
        <f>IF('12 - Deployments &amp; Config'!K340="","",'12 - Deployments &amp; Config'!K340)</f>
        <v/>
      </c>
      <c r="P335" s="32" t="str">
        <f>IF('12 - Deployments &amp; Config'!L340="","",'12 - Deployments &amp; Config'!L340)</f>
        <v/>
      </c>
      <c r="Q335" s="33"/>
      <c r="R335" s="32" t="str">
        <f>IF('12 - Deployments &amp; Config'!AZ340="","",'12 - Deployments &amp; Config'!AZ340)</f>
        <v/>
      </c>
      <c r="S335" s="32" t="str">
        <f>IF('12 - Deployments &amp; Config'!AY340="","",'12 - Deployments &amp; Config'!AY340)</f>
        <v/>
      </c>
      <c r="T335" s="32" t="str">
        <f>IF('12 - Deployments &amp; Config'!AW340="","",'12 - Deployments &amp; Config'!AW340)</f>
        <v/>
      </c>
      <c r="U335" s="32" t="str">
        <f>IF('12 - Deployments &amp; Config'!AX340="","",'12 - Deployments &amp; Config'!AX340)</f>
        <v/>
      </c>
      <c r="V335" s="32" t="str">
        <f>IF('12 - Deployments &amp; Config'!BB340="","",'12 - Deployments &amp; Config'!BB340)</f>
        <v/>
      </c>
      <c r="W335" s="32" t="str">
        <f>IF('12 - Deployments &amp; Config'!BD340="","",'12 - Deployments &amp; Config'!BD340)</f>
        <v/>
      </c>
      <c r="X335" s="32" t="str">
        <f>IF('12 - Deployments &amp; Config'!BL340="","",'12 - Deployments &amp; Config'!BL340)</f>
        <v/>
      </c>
      <c r="Y335" s="32" t="str">
        <f>IF('12 - Deployments &amp; Config'!BC340="","",'12 - Deployments &amp; Config'!BC340)</f>
        <v/>
      </c>
      <c r="Z335" s="32" t="str">
        <f>IF('12 - Deployments &amp; Config'!P340="","",'12 - Deployments &amp; Config'!P340)</f>
        <v/>
      </c>
      <c r="AA335" s="32" t="str">
        <f>IF('12 - Deployments &amp; Config'!Q340="","",'12 - Deployments &amp; Config'!Q340)</f>
        <v/>
      </c>
    </row>
    <row r="336" spans="1:27">
      <c r="A336" s="33"/>
      <c r="B336" s="33"/>
      <c r="C336" s="32" t="str">
        <f>IF('12 - Deployments &amp; Config'!H341="","",'12 - Deployments &amp; Config'!H341)</f>
        <v/>
      </c>
      <c r="D336" s="32" t="str">
        <f>IF('12 - Deployments &amp; Config'!AF341="","",'12 - Deployments &amp; Config'!AF341)</f>
        <v/>
      </c>
      <c r="E336" s="32" t="str">
        <f>IF('12 - Deployments &amp; Config'!AG341="","",'12 - Deployments &amp; Config'!AG341)</f>
        <v/>
      </c>
      <c r="F336" s="32" t="str">
        <f>IF('12 - Deployments &amp; Config'!AH341="","",'12 - Deployments &amp; Config'!AH341)</f>
        <v/>
      </c>
      <c r="G336" s="32" t="str">
        <f>IF('12 - Deployments &amp; Config'!AI341="","",'12 - Deployments &amp; Config'!AI341)</f>
        <v/>
      </c>
      <c r="H336" s="32" t="str">
        <f>IF('12 - Deployments &amp; Config'!A341="","",'12 - Deployments &amp; Config'!A341)</f>
        <v/>
      </c>
      <c r="I336" s="32" t="str">
        <f>IF('12 - Deployments &amp; Config'!AJ341="","",'12 - Deployments &amp; Config'!AJ341)</f>
        <v/>
      </c>
      <c r="J336" s="32" t="str">
        <f>IF('12 - Deployments &amp; Config'!AK341="","",'12 - Deployments &amp; Config'!AK341)</f>
        <v/>
      </c>
      <c r="K336" s="32" t="str">
        <f>IF('12 - Deployments &amp; Config'!AA341="","",'12 - Deployments &amp; Config'!AA341)</f>
        <v/>
      </c>
      <c r="L336" s="32" t="str">
        <f>IF('12 - Deployments &amp; Config'!I341="","",'12 - Deployments &amp; Config'!I341)</f>
        <v/>
      </c>
      <c r="M336" s="33"/>
      <c r="N336" s="32" t="str">
        <f>IF('12 - Deployments &amp; Config'!J341="","",'12 - Deployments &amp; Config'!J341)</f>
        <v/>
      </c>
      <c r="O336" s="32" t="str">
        <f>IF('12 - Deployments &amp; Config'!K341="","",'12 - Deployments &amp; Config'!K341)</f>
        <v/>
      </c>
      <c r="P336" s="32" t="str">
        <f>IF('12 - Deployments &amp; Config'!L341="","",'12 - Deployments &amp; Config'!L341)</f>
        <v/>
      </c>
      <c r="Q336" s="33"/>
      <c r="R336" s="32" t="str">
        <f>IF('12 - Deployments &amp; Config'!AZ341="","",'12 - Deployments &amp; Config'!AZ341)</f>
        <v/>
      </c>
      <c r="S336" s="32" t="str">
        <f>IF('12 - Deployments &amp; Config'!AY341="","",'12 - Deployments &amp; Config'!AY341)</f>
        <v/>
      </c>
      <c r="T336" s="32" t="str">
        <f>IF('12 - Deployments &amp; Config'!AW341="","",'12 - Deployments &amp; Config'!AW341)</f>
        <v/>
      </c>
      <c r="U336" s="32" t="str">
        <f>IF('12 - Deployments &amp; Config'!AX341="","",'12 - Deployments &amp; Config'!AX341)</f>
        <v/>
      </c>
      <c r="V336" s="32" t="str">
        <f>IF('12 - Deployments &amp; Config'!BB341="","",'12 - Deployments &amp; Config'!BB341)</f>
        <v/>
      </c>
      <c r="W336" s="32" t="str">
        <f>IF('12 - Deployments &amp; Config'!BD341="","",'12 - Deployments &amp; Config'!BD341)</f>
        <v/>
      </c>
      <c r="X336" s="32" t="str">
        <f>IF('12 - Deployments &amp; Config'!BL341="","",'12 - Deployments &amp; Config'!BL341)</f>
        <v/>
      </c>
      <c r="Y336" s="32" t="str">
        <f>IF('12 - Deployments &amp; Config'!BC341="","",'12 - Deployments &amp; Config'!BC341)</f>
        <v/>
      </c>
      <c r="Z336" s="32" t="str">
        <f>IF('12 - Deployments &amp; Config'!P341="","",'12 - Deployments &amp; Config'!P341)</f>
        <v/>
      </c>
      <c r="AA336" s="32" t="str">
        <f>IF('12 - Deployments &amp; Config'!Q341="","",'12 - Deployments &amp; Config'!Q341)</f>
        <v/>
      </c>
    </row>
    <row r="337" spans="1:27">
      <c r="A337" s="33"/>
      <c r="B337" s="33"/>
      <c r="C337" s="32" t="str">
        <f>IF('12 - Deployments &amp; Config'!H342="","",'12 - Deployments &amp; Config'!H342)</f>
        <v/>
      </c>
      <c r="D337" s="32" t="str">
        <f>IF('12 - Deployments &amp; Config'!AF342="","",'12 - Deployments &amp; Config'!AF342)</f>
        <v/>
      </c>
      <c r="E337" s="32" t="str">
        <f>IF('12 - Deployments &amp; Config'!AG342="","",'12 - Deployments &amp; Config'!AG342)</f>
        <v/>
      </c>
      <c r="F337" s="32" t="str">
        <f>IF('12 - Deployments &amp; Config'!AH342="","",'12 - Deployments &amp; Config'!AH342)</f>
        <v/>
      </c>
      <c r="G337" s="32" t="str">
        <f>IF('12 - Deployments &amp; Config'!AI342="","",'12 - Deployments &amp; Config'!AI342)</f>
        <v/>
      </c>
      <c r="H337" s="32" t="str">
        <f>IF('12 - Deployments &amp; Config'!A342="","",'12 - Deployments &amp; Config'!A342)</f>
        <v/>
      </c>
      <c r="I337" s="32" t="str">
        <f>IF('12 - Deployments &amp; Config'!AJ342="","",'12 - Deployments &amp; Config'!AJ342)</f>
        <v/>
      </c>
      <c r="J337" s="32" t="str">
        <f>IF('12 - Deployments &amp; Config'!AK342="","",'12 - Deployments &amp; Config'!AK342)</f>
        <v/>
      </c>
      <c r="K337" s="32" t="str">
        <f>IF('12 - Deployments &amp; Config'!AA342="","",'12 - Deployments &amp; Config'!AA342)</f>
        <v/>
      </c>
      <c r="L337" s="32" t="str">
        <f>IF('12 - Deployments &amp; Config'!I342="","",'12 - Deployments &amp; Config'!I342)</f>
        <v/>
      </c>
      <c r="M337" s="33"/>
      <c r="N337" s="32" t="str">
        <f>IF('12 - Deployments &amp; Config'!J342="","",'12 - Deployments &amp; Config'!J342)</f>
        <v/>
      </c>
      <c r="O337" s="32" t="str">
        <f>IF('12 - Deployments &amp; Config'!K342="","",'12 - Deployments &amp; Config'!K342)</f>
        <v/>
      </c>
      <c r="P337" s="32" t="str">
        <f>IF('12 - Deployments &amp; Config'!L342="","",'12 - Deployments &amp; Config'!L342)</f>
        <v/>
      </c>
      <c r="Q337" s="33"/>
      <c r="R337" s="32" t="str">
        <f>IF('12 - Deployments &amp; Config'!AZ342="","",'12 - Deployments &amp; Config'!AZ342)</f>
        <v/>
      </c>
      <c r="S337" s="32" t="str">
        <f>IF('12 - Deployments &amp; Config'!AY342="","",'12 - Deployments &amp; Config'!AY342)</f>
        <v/>
      </c>
      <c r="T337" s="32" t="str">
        <f>IF('12 - Deployments &amp; Config'!AW342="","",'12 - Deployments &amp; Config'!AW342)</f>
        <v/>
      </c>
      <c r="U337" s="32" t="str">
        <f>IF('12 - Deployments &amp; Config'!AX342="","",'12 - Deployments &amp; Config'!AX342)</f>
        <v/>
      </c>
      <c r="V337" s="32" t="str">
        <f>IF('12 - Deployments &amp; Config'!BB342="","",'12 - Deployments &amp; Config'!BB342)</f>
        <v/>
      </c>
      <c r="W337" s="32" t="str">
        <f>IF('12 - Deployments &amp; Config'!BD342="","",'12 - Deployments &amp; Config'!BD342)</f>
        <v/>
      </c>
      <c r="X337" s="32" t="str">
        <f>IF('12 - Deployments &amp; Config'!BL342="","",'12 - Deployments &amp; Config'!BL342)</f>
        <v/>
      </c>
      <c r="Y337" s="32" t="str">
        <f>IF('12 - Deployments &amp; Config'!BC342="","",'12 - Deployments &amp; Config'!BC342)</f>
        <v/>
      </c>
      <c r="Z337" s="32" t="str">
        <f>IF('12 - Deployments &amp; Config'!P342="","",'12 - Deployments &amp; Config'!P342)</f>
        <v/>
      </c>
      <c r="AA337" s="32" t="str">
        <f>IF('12 - Deployments &amp; Config'!Q342="","",'12 - Deployments &amp; Config'!Q342)</f>
        <v/>
      </c>
    </row>
    <row r="338" spans="1:27">
      <c r="A338" s="33"/>
      <c r="B338" s="33"/>
      <c r="C338" s="32" t="str">
        <f>IF('12 - Deployments &amp; Config'!H343="","",'12 - Deployments &amp; Config'!H343)</f>
        <v/>
      </c>
      <c r="D338" s="32" t="str">
        <f>IF('12 - Deployments &amp; Config'!AF343="","",'12 - Deployments &amp; Config'!AF343)</f>
        <v/>
      </c>
      <c r="E338" s="32" t="str">
        <f>IF('12 - Deployments &amp; Config'!AG343="","",'12 - Deployments &amp; Config'!AG343)</f>
        <v/>
      </c>
      <c r="F338" s="32" t="str">
        <f>IF('12 - Deployments &amp; Config'!AH343="","",'12 - Deployments &amp; Config'!AH343)</f>
        <v/>
      </c>
      <c r="G338" s="32" t="str">
        <f>IF('12 - Deployments &amp; Config'!AI343="","",'12 - Deployments &amp; Config'!AI343)</f>
        <v/>
      </c>
      <c r="H338" s="32" t="str">
        <f>IF('12 - Deployments &amp; Config'!A343="","",'12 - Deployments &amp; Config'!A343)</f>
        <v/>
      </c>
      <c r="I338" s="32" t="str">
        <f>IF('12 - Deployments &amp; Config'!AJ343="","",'12 - Deployments &amp; Config'!AJ343)</f>
        <v/>
      </c>
      <c r="J338" s="32" t="str">
        <f>IF('12 - Deployments &amp; Config'!AK343="","",'12 - Deployments &amp; Config'!AK343)</f>
        <v/>
      </c>
      <c r="K338" s="32" t="str">
        <f>IF('12 - Deployments &amp; Config'!AA343="","",'12 - Deployments &amp; Config'!AA343)</f>
        <v/>
      </c>
      <c r="L338" s="32" t="str">
        <f>IF('12 - Deployments &amp; Config'!I343="","",'12 - Deployments &amp; Config'!I343)</f>
        <v/>
      </c>
      <c r="M338" s="33"/>
      <c r="N338" s="32" t="str">
        <f>IF('12 - Deployments &amp; Config'!J343="","",'12 - Deployments &amp; Config'!J343)</f>
        <v/>
      </c>
      <c r="O338" s="32" t="str">
        <f>IF('12 - Deployments &amp; Config'!K343="","",'12 - Deployments &amp; Config'!K343)</f>
        <v/>
      </c>
      <c r="P338" s="32" t="str">
        <f>IF('12 - Deployments &amp; Config'!L343="","",'12 - Deployments &amp; Config'!L343)</f>
        <v/>
      </c>
      <c r="Q338" s="33"/>
      <c r="R338" s="32" t="str">
        <f>IF('12 - Deployments &amp; Config'!AZ343="","",'12 - Deployments &amp; Config'!AZ343)</f>
        <v/>
      </c>
      <c r="S338" s="32" t="str">
        <f>IF('12 - Deployments &amp; Config'!AY343="","",'12 - Deployments &amp; Config'!AY343)</f>
        <v/>
      </c>
      <c r="T338" s="32" t="str">
        <f>IF('12 - Deployments &amp; Config'!AW343="","",'12 - Deployments &amp; Config'!AW343)</f>
        <v/>
      </c>
      <c r="U338" s="32" t="str">
        <f>IF('12 - Deployments &amp; Config'!AX343="","",'12 - Deployments &amp; Config'!AX343)</f>
        <v/>
      </c>
      <c r="V338" s="32" t="str">
        <f>IF('12 - Deployments &amp; Config'!BB343="","",'12 - Deployments &amp; Config'!BB343)</f>
        <v/>
      </c>
      <c r="W338" s="32" t="str">
        <f>IF('12 - Deployments &amp; Config'!BD343="","",'12 - Deployments &amp; Config'!BD343)</f>
        <v/>
      </c>
      <c r="X338" s="32" t="str">
        <f>IF('12 - Deployments &amp; Config'!BL343="","",'12 - Deployments &amp; Config'!BL343)</f>
        <v/>
      </c>
      <c r="Y338" s="32" t="str">
        <f>IF('12 - Deployments &amp; Config'!BC343="","",'12 - Deployments &amp; Config'!BC343)</f>
        <v/>
      </c>
      <c r="Z338" s="32" t="str">
        <f>IF('12 - Deployments &amp; Config'!P343="","",'12 - Deployments &amp; Config'!P343)</f>
        <v/>
      </c>
      <c r="AA338" s="32" t="str">
        <f>IF('12 - Deployments &amp; Config'!Q343="","",'12 - Deployments &amp; Config'!Q343)</f>
        <v/>
      </c>
    </row>
    <row r="339" spans="1:27">
      <c r="A339" s="33"/>
      <c r="B339" s="33"/>
      <c r="C339" s="32" t="str">
        <f>IF('12 - Deployments &amp; Config'!H344="","",'12 - Deployments &amp; Config'!H344)</f>
        <v/>
      </c>
      <c r="D339" s="32" t="str">
        <f>IF('12 - Deployments &amp; Config'!AF344="","",'12 - Deployments &amp; Config'!AF344)</f>
        <v/>
      </c>
      <c r="E339" s="32" t="str">
        <f>IF('12 - Deployments &amp; Config'!AG344="","",'12 - Deployments &amp; Config'!AG344)</f>
        <v/>
      </c>
      <c r="F339" s="32" t="str">
        <f>IF('12 - Deployments &amp; Config'!AH344="","",'12 - Deployments &amp; Config'!AH344)</f>
        <v/>
      </c>
      <c r="G339" s="32" t="str">
        <f>IF('12 - Deployments &amp; Config'!AI344="","",'12 - Deployments &amp; Config'!AI344)</f>
        <v/>
      </c>
      <c r="H339" s="32" t="str">
        <f>IF('12 - Deployments &amp; Config'!A344="","",'12 - Deployments &amp; Config'!A344)</f>
        <v/>
      </c>
      <c r="I339" s="32" t="str">
        <f>IF('12 - Deployments &amp; Config'!AJ344="","",'12 - Deployments &amp; Config'!AJ344)</f>
        <v/>
      </c>
      <c r="J339" s="32" t="str">
        <f>IF('12 - Deployments &amp; Config'!AK344="","",'12 - Deployments &amp; Config'!AK344)</f>
        <v/>
      </c>
      <c r="K339" s="32" t="str">
        <f>IF('12 - Deployments &amp; Config'!AA344="","",'12 - Deployments &amp; Config'!AA344)</f>
        <v/>
      </c>
      <c r="L339" s="32" t="str">
        <f>IF('12 - Deployments &amp; Config'!I344="","",'12 - Deployments &amp; Config'!I344)</f>
        <v/>
      </c>
      <c r="M339" s="33"/>
      <c r="N339" s="32" t="str">
        <f>IF('12 - Deployments &amp; Config'!J344="","",'12 - Deployments &amp; Config'!J344)</f>
        <v/>
      </c>
      <c r="O339" s="32" t="str">
        <f>IF('12 - Deployments &amp; Config'!K344="","",'12 - Deployments &amp; Config'!K344)</f>
        <v/>
      </c>
      <c r="P339" s="32" t="str">
        <f>IF('12 - Deployments &amp; Config'!L344="","",'12 - Deployments &amp; Config'!L344)</f>
        <v/>
      </c>
      <c r="Q339" s="33"/>
      <c r="R339" s="32" t="str">
        <f>IF('12 - Deployments &amp; Config'!AZ344="","",'12 - Deployments &amp; Config'!AZ344)</f>
        <v/>
      </c>
      <c r="S339" s="32" t="str">
        <f>IF('12 - Deployments &amp; Config'!AY344="","",'12 - Deployments &amp; Config'!AY344)</f>
        <v/>
      </c>
      <c r="T339" s="32" t="str">
        <f>IF('12 - Deployments &amp; Config'!AW344="","",'12 - Deployments &amp; Config'!AW344)</f>
        <v/>
      </c>
      <c r="U339" s="32" t="str">
        <f>IF('12 - Deployments &amp; Config'!AX344="","",'12 - Deployments &amp; Config'!AX344)</f>
        <v/>
      </c>
      <c r="V339" s="32" t="str">
        <f>IF('12 - Deployments &amp; Config'!BB344="","",'12 - Deployments &amp; Config'!BB344)</f>
        <v/>
      </c>
      <c r="W339" s="32" t="str">
        <f>IF('12 - Deployments &amp; Config'!BD344="","",'12 - Deployments &amp; Config'!BD344)</f>
        <v/>
      </c>
      <c r="X339" s="32" t="str">
        <f>IF('12 - Deployments &amp; Config'!BL344="","",'12 - Deployments &amp; Config'!BL344)</f>
        <v/>
      </c>
      <c r="Y339" s="32" t="str">
        <f>IF('12 - Deployments &amp; Config'!BC344="","",'12 - Deployments &amp; Config'!BC344)</f>
        <v/>
      </c>
      <c r="Z339" s="32" t="str">
        <f>IF('12 - Deployments &amp; Config'!P344="","",'12 - Deployments &amp; Config'!P344)</f>
        <v/>
      </c>
      <c r="AA339" s="32" t="str">
        <f>IF('12 - Deployments &amp; Config'!Q344="","",'12 - Deployments &amp; Config'!Q344)</f>
        <v/>
      </c>
    </row>
    <row r="340" spans="1:27">
      <c r="A340" s="33"/>
      <c r="B340" s="33"/>
      <c r="C340" s="32" t="str">
        <f>IF('12 - Deployments &amp; Config'!H345="","",'12 - Deployments &amp; Config'!H345)</f>
        <v/>
      </c>
      <c r="D340" s="32" t="str">
        <f>IF('12 - Deployments &amp; Config'!AF345="","",'12 - Deployments &amp; Config'!AF345)</f>
        <v/>
      </c>
      <c r="E340" s="32" t="str">
        <f>IF('12 - Deployments &amp; Config'!AG345="","",'12 - Deployments &amp; Config'!AG345)</f>
        <v/>
      </c>
      <c r="F340" s="32" t="str">
        <f>IF('12 - Deployments &amp; Config'!AH345="","",'12 - Deployments &amp; Config'!AH345)</f>
        <v/>
      </c>
      <c r="G340" s="32" t="str">
        <f>IF('12 - Deployments &amp; Config'!AI345="","",'12 - Deployments &amp; Config'!AI345)</f>
        <v/>
      </c>
      <c r="H340" s="32" t="str">
        <f>IF('12 - Deployments &amp; Config'!A345="","",'12 - Deployments &amp; Config'!A345)</f>
        <v/>
      </c>
      <c r="I340" s="32" t="str">
        <f>IF('12 - Deployments &amp; Config'!AJ345="","",'12 - Deployments &amp; Config'!AJ345)</f>
        <v/>
      </c>
      <c r="J340" s="32" t="str">
        <f>IF('12 - Deployments &amp; Config'!AK345="","",'12 - Deployments &amp; Config'!AK345)</f>
        <v/>
      </c>
      <c r="K340" s="32" t="str">
        <f>IF('12 - Deployments &amp; Config'!AA345="","",'12 - Deployments &amp; Config'!AA345)</f>
        <v/>
      </c>
      <c r="L340" s="32" t="str">
        <f>IF('12 - Deployments &amp; Config'!I345="","",'12 - Deployments &amp; Config'!I345)</f>
        <v/>
      </c>
      <c r="M340" s="33"/>
      <c r="N340" s="32" t="str">
        <f>IF('12 - Deployments &amp; Config'!J345="","",'12 - Deployments &amp; Config'!J345)</f>
        <v/>
      </c>
      <c r="O340" s="32" t="str">
        <f>IF('12 - Deployments &amp; Config'!K345="","",'12 - Deployments &amp; Config'!K345)</f>
        <v/>
      </c>
      <c r="P340" s="32" t="str">
        <f>IF('12 - Deployments &amp; Config'!L345="","",'12 - Deployments &amp; Config'!L345)</f>
        <v/>
      </c>
      <c r="Q340" s="33"/>
      <c r="R340" s="32" t="str">
        <f>IF('12 - Deployments &amp; Config'!AZ345="","",'12 - Deployments &amp; Config'!AZ345)</f>
        <v/>
      </c>
      <c r="S340" s="32" t="str">
        <f>IF('12 - Deployments &amp; Config'!AY345="","",'12 - Deployments &amp; Config'!AY345)</f>
        <v/>
      </c>
      <c r="T340" s="32" t="str">
        <f>IF('12 - Deployments &amp; Config'!AW345="","",'12 - Deployments &amp; Config'!AW345)</f>
        <v/>
      </c>
      <c r="U340" s="32" t="str">
        <f>IF('12 - Deployments &amp; Config'!AX345="","",'12 - Deployments &amp; Config'!AX345)</f>
        <v/>
      </c>
      <c r="V340" s="32" t="str">
        <f>IF('12 - Deployments &amp; Config'!BB345="","",'12 - Deployments &amp; Config'!BB345)</f>
        <v/>
      </c>
      <c r="W340" s="32" t="str">
        <f>IF('12 - Deployments &amp; Config'!BD345="","",'12 - Deployments &amp; Config'!BD345)</f>
        <v/>
      </c>
      <c r="X340" s="32" t="str">
        <f>IF('12 - Deployments &amp; Config'!BL345="","",'12 - Deployments &amp; Config'!BL345)</f>
        <v/>
      </c>
      <c r="Y340" s="32" t="str">
        <f>IF('12 - Deployments &amp; Config'!BC345="","",'12 - Deployments &amp; Config'!BC345)</f>
        <v/>
      </c>
      <c r="Z340" s="32" t="str">
        <f>IF('12 - Deployments &amp; Config'!P345="","",'12 - Deployments &amp; Config'!P345)</f>
        <v/>
      </c>
      <c r="AA340" s="32" t="str">
        <f>IF('12 - Deployments &amp; Config'!Q345="","",'12 - Deployments &amp; Config'!Q345)</f>
        <v/>
      </c>
    </row>
    <row r="341" spans="1:27">
      <c r="A341" s="33"/>
      <c r="B341" s="33"/>
      <c r="C341" s="32" t="str">
        <f>IF('12 - Deployments &amp; Config'!H346="","",'12 - Deployments &amp; Config'!H346)</f>
        <v/>
      </c>
      <c r="D341" s="32" t="str">
        <f>IF('12 - Deployments &amp; Config'!AF346="","",'12 - Deployments &amp; Config'!AF346)</f>
        <v/>
      </c>
      <c r="E341" s="32" t="str">
        <f>IF('12 - Deployments &amp; Config'!AG346="","",'12 - Deployments &amp; Config'!AG346)</f>
        <v/>
      </c>
      <c r="F341" s="32" t="str">
        <f>IF('12 - Deployments &amp; Config'!AH346="","",'12 - Deployments &amp; Config'!AH346)</f>
        <v/>
      </c>
      <c r="G341" s="32" t="str">
        <f>IF('12 - Deployments &amp; Config'!AI346="","",'12 - Deployments &amp; Config'!AI346)</f>
        <v/>
      </c>
      <c r="H341" s="32" t="str">
        <f>IF('12 - Deployments &amp; Config'!A346="","",'12 - Deployments &amp; Config'!A346)</f>
        <v/>
      </c>
      <c r="I341" s="32" t="str">
        <f>IF('12 - Deployments &amp; Config'!AJ346="","",'12 - Deployments &amp; Config'!AJ346)</f>
        <v/>
      </c>
      <c r="J341" s="32" t="str">
        <f>IF('12 - Deployments &amp; Config'!AK346="","",'12 - Deployments &amp; Config'!AK346)</f>
        <v/>
      </c>
      <c r="K341" s="32" t="str">
        <f>IF('12 - Deployments &amp; Config'!AA346="","",'12 - Deployments &amp; Config'!AA346)</f>
        <v/>
      </c>
      <c r="L341" s="32" t="str">
        <f>IF('12 - Deployments &amp; Config'!I346="","",'12 - Deployments &amp; Config'!I346)</f>
        <v/>
      </c>
      <c r="M341" s="33"/>
      <c r="N341" s="32" t="str">
        <f>IF('12 - Deployments &amp; Config'!J346="","",'12 - Deployments &amp; Config'!J346)</f>
        <v/>
      </c>
      <c r="O341" s="32" t="str">
        <f>IF('12 - Deployments &amp; Config'!K346="","",'12 - Deployments &amp; Config'!K346)</f>
        <v/>
      </c>
      <c r="P341" s="32" t="str">
        <f>IF('12 - Deployments &amp; Config'!L346="","",'12 - Deployments &amp; Config'!L346)</f>
        <v/>
      </c>
      <c r="Q341" s="33"/>
      <c r="R341" s="32" t="str">
        <f>IF('12 - Deployments &amp; Config'!AZ346="","",'12 - Deployments &amp; Config'!AZ346)</f>
        <v/>
      </c>
      <c r="S341" s="32" t="str">
        <f>IF('12 - Deployments &amp; Config'!AY346="","",'12 - Deployments &amp; Config'!AY346)</f>
        <v/>
      </c>
      <c r="T341" s="32" t="str">
        <f>IF('12 - Deployments &amp; Config'!AW346="","",'12 - Deployments &amp; Config'!AW346)</f>
        <v/>
      </c>
      <c r="U341" s="32" t="str">
        <f>IF('12 - Deployments &amp; Config'!AX346="","",'12 - Deployments &amp; Config'!AX346)</f>
        <v/>
      </c>
      <c r="V341" s="32" t="str">
        <f>IF('12 - Deployments &amp; Config'!BB346="","",'12 - Deployments &amp; Config'!BB346)</f>
        <v/>
      </c>
      <c r="W341" s="32" t="str">
        <f>IF('12 - Deployments &amp; Config'!BD346="","",'12 - Deployments &amp; Config'!BD346)</f>
        <v/>
      </c>
      <c r="X341" s="32" t="str">
        <f>IF('12 - Deployments &amp; Config'!BL346="","",'12 - Deployments &amp; Config'!BL346)</f>
        <v/>
      </c>
      <c r="Y341" s="32" t="str">
        <f>IF('12 - Deployments &amp; Config'!BC346="","",'12 - Deployments &amp; Config'!BC346)</f>
        <v/>
      </c>
      <c r="Z341" s="32" t="str">
        <f>IF('12 - Deployments &amp; Config'!P346="","",'12 - Deployments &amp; Config'!P346)</f>
        <v/>
      </c>
      <c r="AA341" s="32" t="str">
        <f>IF('12 - Deployments &amp; Config'!Q346="","",'12 - Deployments &amp; Config'!Q346)</f>
        <v/>
      </c>
    </row>
    <row r="342" spans="1:27">
      <c r="A342" s="33"/>
      <c r="B342" s="33"/>
      <c r="C342" s="32" t="str">
        <f>IF('12 - Deployments &amp; Config'!H347="","",'12 - Deployments &amp; Config'!H347)</f>
        <v/>
      </c>
      <c r="D342" s="32" t="str">
        <f>IF('12 - Deployments &amp; Config'!AF347="","",'12 - Deployments &amp; Config'!AF347)</f>
        <v/>
      </c>
      <c r="E342" s="32" t="str">
        <f>IF('12 - Deployments &amp; Config'!AG347="","",'12 - Deployments &amp; Config'!AG347)</f>
        <v/>
      </c>
      <c r="F342" s="32" t="str">
        <f>IF('12 - Deployments &amp; Config'!AH347="","",'12 - Deployments &amp; Config'!AH347)</f>
        <v/>
      </c>
      <c r="G342" s="32" t="str">
        <f>IF('12 - Deployments &amp; Config'!AI347="","",'12 - Deployments &amp; Config'!AI347)</f>
        <v/>
      </c>
      <c r="H342" s="32" t="str">
        <f>IF('12 - Deployments &amp; Config'!A347="","",'12 - Deployments &amp; Config'!A347)</f>
        <v/>
      </c>
      <c r="I342" s="32" t="str">
        <f>IF('12 - Deployments &amp; Config'!AJ347="","",'12 - Deployments &amp; Config'!AJ347)</f>
        <v/>
      </c>
      <c r="J342" s="32" t="str">
        <f>IF('12 - Deployments &amp; Config'!AK347="","",'12 - Deployments &amp; Config'!AK347)</f>
        <v/>
      </c>
      <c r="K342" s="32" t="str">
        <f>IF('12 - Deployments &amp; Config'!AA347="","",'12 - Deployments &amp; Config'!AA347)</f>
        <v/>
      </c>
      <c r="L342" s="32" t="str">
        <f>IF('12 - Deployments &amp; Config'!I347="","",'12 - Deployments &amp; Config'!I347)</f>
        <v/>
      </c>
      <c r="M342" s="33"/>
      <c r="N342" s="32" t="str">
        <f>IF('12 - Deployments &amp; Config'!J347="","",'12 - Deployments &amp; Config'!J347)</f>
        <v/>
      </c>
      <c r="O342" s="32" t="str">
        <f>IF('12 - Deployments &amp; Config'!K347="","",'12 - Deployments &amp; Config'!K347)</f>
        <v/>
      </c>
      <c r="P342" s="32" t="str">
        <f>IF('12 - Deployments &amp; Config'!L347="","",'12 - Deployments &amp; Config'!L347)</f>
        <v/>
      </c>
      <c r="Q342" s="33"/>
      <c r="R342" s="32" t="str">
        <f>IF('12 - Deployments &amp; Config'!AZ347="","",'12 - Deployments &amp; Config'!AZ347)</f>
        <v/>
      </c>
      <c r="S342" s="32" t="str">
        <f>IF('12 - Deployments &amp; Config'!AY347="","",'12 - Deployments &amp; Config'!AY347)</f>
        <v/>
      </c>
      <c r="T342" s="32" t="str">
        <f>IF('12 - Deployments &amp; Config'!AW347="","",'12 - Deployments &amp; Config'!AW347)</f>
        <v/>
      </c>
      <c r="U342" s="32" t="str">
        <f>IF('12 - Deployments &amp; Config'!AX347="","",'12 - Deployments &amp; Config'!AX347)</f>
        <v/>
      </c>
      <c r="V342" s="32" t="str">
        <f>IF('12 - Deployments &amp; Config'!BB347="","",'12 - Deployments &amp; Config'!BB347)</f>
        <v/>
      </c>
      <c r="W342" s="32" t="str">
        <f>IF('12 - Deployments &amp; Config'!BD347="","",'12 - Deployments &amp; Config'!BD347)</f>
        <v/>
      </c>
      <c r="X342" s="32" t="str">
        <f>IF('12 - Deployments &amp; Config'!BL347="","",'12 - Deployments &amp; Config'!BL347)</f>
        <v/>
      </c>
      <c r="Y342" s="32" t="str">
        <f>IF('12 - Deployments &amp; Config'!BC347="","",'12 - Deployments &amp; Config'!BC347)</f>
        <v/>
      </c>
      <c r="Z342" s="32" t="str">
        <f>IF('12 - Deployments &amp; Config'!P347="","",'12 - Deployments &amp; Config'!P347)</f>
        <v/>
      </c>
      <c r="AA342" s="32" t="str">
        <f>IF('12 - Deployments &amp; Config'!Q347="","",'12 - Deployments &amp; Config'!Q347)</f>
        <v/>
      </c>
    </row>
    <row r="343" spans="1:27">
      <c r="A343" s="33"/>
      <c r="B343" s="33"/>
      <c r="C343" s="32" t="str">
        <f>IF('12 - Deployments &amp; Config'!H348="","",'12 - Deployments &amp; Config'!H348)</f>
        <v/>
      </c>
      <c r="D343" s="32" t="str">
        <f>IF('12 - Deployments &amp; Config'!AF348="","",'12 - Deployments &amp; Config'!AF348)</f>
        <v/>
      </c>
      <c r="E343" s="32" t="str">
        <f>IF('12 - Deployments &amp; Config'!AG348="","",'12 - Deployments &amp; Config'!AG348)</f>
        <v/>
      </c>
      <c r="F343" s="32" t="str">
        <f>IF('12 - Deployments &amp; Config'!AH348="","",'12 - Deployments &amp; Config'!AH348)</f>
        <v/>
      </c>
      <c r="G343" s="32" t="str">
        <f>IF('12 - Deployments &amp; Config'!AI348="","",'12 - Deployments &amp; Config'!AI348)</f>
        <v/>
      </c>
      <c r="H343" s="32" t="str">
        <f>IF('12 - Deployments &amp; Config'!A348="","",'12 - Deployments &amp; Config'!A348)</f>
        <v/>
      </c>
      <c r="I343" s="32" t="str">
        <f>IF('12 - Deployments &amp; Config'!AJ348="","",'12 - Deployments &amp; Config'!AJ348)</f>
        <v/>
      </c>
      <c r="J343" s="32" t="str">
        <f>IF('12 - Deployments &amp; Config'!AK348="","",'12 - Deployments &amp; Config'!AK348)</f>
        <v/>
      </c>
      <c r="K343" s="32" t="str">
        <f>IF('12 - Deployments &amp; Config'!AA348="","",'12 - Deployments &amp; Config'!AA348)</f>
        <v/>
      </c>
      <c r="L343" s="32" t="str">
        <f>IF('12 - Deployments &amp; Config'!I348="","",'12 - Deployments &amp; Config'!I348)</f>
        <v/>
      </c>
      <c r="M343" s="33"/>
      <c r="N343" s="32" t="str">
        <f>IF('12 - Deployments &amp; Config'!J348="","",'12 - Deployments &amp; Config'!J348)</f>
        <v/>
      </c>
      <c r="O343" s="32" t="str">
        <f>IF('12 - Deployments &amp; Config'!K348="","",'12 - Deployments &amp; Config'!K348)</f>
        <v/>
      </c>
      <c r="P343" s="32" t="str">
        <f>IF('12 - Deployments &amp; Config'!L348="","",'12 - Deployments &amp; Config'!L348)</f>
        <v/>
      </c>
      <c r="Q343" s="33"/>
      <c r="R343" s="32" t="str">
        <f>IF('12 - Deployments &amp; Config'!AZ348="","",'12 - Deployments &amp; Config'!AZ348)</f>
        <v/>
      </c>
      <c r="S343" s="32" t="str">
        <f>IF('12 - Deployments &amp; Config'!AY348="","",'12 - Deployments &amp; Config'!AY348)</f>
        <v/>
      </c>
      <c r="T343" s="32" t="str">
        <f>IF('12 - Deployments &amp; Config'!AW348="","",'12 - Deployments &amp; Config'!AW348)</f>
        <v/>
      </c>
      <c r="U343" s="32" t="str">
        <f>IF('12 - Deployments &amp; Config'!AX348="","",'12 - Deployments &amp; Config'!AX348)</f>
        <v/>
      </c>
      <c r="V343" s="32" t="str">
        <f>IF('12 - Deployments &amp; Config'!BB348="","",'12 - Deployments &amp; Config'!BB348)</f>
        <v/>
      </c>
      <c r="W343" s="32" t="str">
        <f>IF('12 - Deployments &amp; Config'!BD348="","",'12 - Deployments &amp; Config'!BD348)</f>
        <v/>
      </c>
      <c r="X343" s="32" t="str">
        <f>IF('12 - Deployments &amp; Config'!BL348="","",'12 - Deployments &amp; Config'!BL348)</f>
        <v/>
      </c>
      <c r="Y343" s="32" t="str">
        <f>IF('12 - Deployments &amp; Config'!BC348="","",'12 - Deployments &amp; Config'!BC348)</f>
        <v/>
      </c>
      <c r="Z343" s="32" t="str">
        <f>IF('12 - Deployments &amp; Config'!P348="","",'12 - Deployments &amp; Config'!P348)</f>
        <v/>
      </c>
      <c r="AA343" s="32" t="str">
        <f>IF('12 - Deployments &amp; Config'!Q348="","",'12 - Deployments &amp; Config'!Q348)</f>
        <v/>
      </c>
    </row>
    <row r="344" spans="1:27">
      <c r="A344" s="33"/>
      <c r="B344" s="33"/>
      <c r="C344" s="32" t="str">
        <f>IF('12 - Deployments &amp; Config'!H349="","",'12 - Deployments &amp; Config'!H349)</f>
        <v/>
      </c>
      <c r="D344" s="32" t="str">
        <f>IF('12 - Deployments &amp; Config'!AF349="","",'12 - Deployments &amp; Config'!AF349)</f>
        <v/>
      </c>
      <c r="E344" s="32" t="str">
        <f>IF('12 - Deployments &amp; Config'!AG349="","",'12 - Deployments &amp; Config'!AG349)</f>
        <v/>
      </c>
      <c r="F344" s="32" t="str">
        <f>IF('12 - Deployments &amp; Config'!AH349="","",'12 - Deployments &amp; Config'!AH349)</f>
        <v/>
      </c>
      <c r="G344" s="32" t="str">
        <f>IF('12 - Deployments &amp; Config'!AI349="","",'12 - Deployments &amp; Config'!AI349)</f>
        <v/>
      </c>
      <c r="H344" s="32" t="str">
        <f>IF('12 - Deployments &amp; Config'!A349="","",'12 - Deployments &amp; Config'!A349)</f>
        <v/>
      </c>
      <c r="I344" s="32" t="str">
        <f>IF('12 - Deployments &amp; Config'!AJ349="","",'12 - Deployments &amp; Config'!AJ349)</f>
        <v/>
      </c>
      <c r="J344" s="32" t="str">
        <f>IF('12 - Deployments &amp; Config'!AK349="","",'12 - Deployments &amp; Config'!AK349)</f>
        <v/>
      </c>
      <c r="K344" s="32" t="str">
        <f>IF('12 - Deployments &amp; Config'!AA349="","",'12 - Deployments &amp; Config'!AA349)</f>
        <v/>
      </c>
      <c r="L344" s="32" t="str">
        <f>IF('12 - Deployments &amp; Config'!I349="","",'12 - Deployments &amp; Config'!I349)</f>
        <v/>
      </c>
      <c r="M344" s="33"/>
      <c r="N344" s="32" t="str">
        <f>IF('12 - Deployments &amp; Config'!J349="","",'12 - Deployments &amp; Config'!J349)</f>
        <v/>
      </c>
      <c r="O344" s="32" t="str">
        <f>IF('12 - Deployments &amp; Config'!K349="","",'12 - Deployments &amp; Config'!K349)</f>
        <v/>
      </c>
      <c r="P344" s="32" t="str">
        <f>IF('12 - Deployments &amp; Config'!L349="","",'12 - Deployments &amp; Config'!L349)</f>
        <v/>
      </c>
      <c r="Q344" s="33"/>
      <c r="R344" s="32" t="str">
        <f>IF('12 - Deployments &amp; Config'!AZ349="","",'12 - Deployments &amp; Config'!AZ349)</f>
        <v/>
      </c>
      <c r="S344" s="32" t="str">
        <f>IF('12 - Deployments &amp; Config'!AY349="","",'12 - Deployments &amp; Config'!AY349)</f>
        <v/>
      </c>
      <c r="T344" s="32" t="str">
        <f>IF('12 - Deployments &amp; Config'!AW349="","",'12 - Deployments &amp; Config'!AW349)</f>
        <v/>
      </c>
      <c r="U344" s="32" t="str">
        <f>IF('12 - Deployments &amp; Config'!AX349="","",'12 - Deployments &amp; Config'!AX349)</f>
        <v/>
      </c>
      <c r="V344" s="32" t="str">
        <f>IF('12 - Deployments &amp; Config'!BB349="","",'12 - Deployments &amp; Config'!BB349)</f>
        <v/>
      </c>
      <c r="W344" s="32" t="str">
        <f>IF('12 - Deployments &amp; Config'!BD349="","",'12 - Deployments &amp; Config'!BD349)</f>
        <v/>
      </c>
      <c r="X344" s="32" t="str">
        <f>IF('12 - Deployments &amp; Config'!BL349="","",'12 - Deployments &amp; Config'!BL349)</f>
        <v/>
      </c>
      <c r="Y344" s="32" t="str">
        <f>IF('12 - Deployments &amp; Config'!BC349="","",'12 - Deployments &amp; Config'!BC349)</f>
        <v/>
      </c>
      <c r="Z344" s="32" t="str">
        <f>IF('12 - Deployments &amp; Config'!P349="","",'12 - Deployments &amp; Config'!P349)</f>
        <v/>
      </c>
      <c r="AA344" s="32" t="str">
        <f>IF('12 - Deployments &amp; Config'!Q349="","",'12 - Deployments &amp; Config'!Q349)</f>
        <v/>
      </c>
    </row>
    <row r="345" spans="1:27">
      <c r="A345" s="33"/>
      <c r="B345" s="33"/>
      <c r="C345" s="32" t="str">
        <f>IF('12 - Deployments &amp; Config'!H350="","",'12 - Deployments &amp; Config'!H350)</f>
        <v/>
      </c>
      <c r="D345" s="32" t="str">
        <f>IF('12 - Deployments &amp; Config'!AF350="","",'12 - Deployments &amp; Config'!AF350)</f>
        <v/>
      </c>
      <c r="E345" s="32" t="str">
        <f>IF('12 - Deployments &amp; Config'!AG350="","",'12 - Deployments &amp; Config'!AG350)</f>
        <v/>
      </c>
      <c r="F345" s="32" t="str">
        <f>IF('12 - Deployments &amp; Config'!AH350="","",'12 - Deployments &amp; Config'!AH350)</f>
        <v/>
      </c>
      <c r="G345" s="32" t="str">
        <f>IF('12 - Deployments &amp; Config'!AI350="","",'12 - Deployments &amp; Config'!AI350)</f>
        <v/>
      </c>
      <c r="H345" s="32" t="str">
        <f>IF('12 - Deployments &amp; Config'!A350="","",'12 - Deployments &amp; Config'!A350)</f>
        <v/>
      </c>
      <c r="I345" s="32" t="str">
        <f>IF('12 - Deployments &amp; Config'!AJ350="","",'12 - Deployments &amp; Config'!AJ350)</f>
        <v/>
      </c>
      <c r="J345" s="32" t="str">
        <f>IF('12 - Deployments &amp; Config'!AK350="","",'12 - Deployments &amp; Config'!AK350)</f>
        <v/>
      </c>
      <c r="K345" s="32" t="str">
        <f>IF('12 - Deployments &amp; Config'!AA350="","",'12 - Deployments &amp; Config'!AA350)</f>
        <v/>
      </c>
      <c r="L345" s="32" t="str">
        <f>IF('12 - Deployments &amp; Config'!I350="","",'12 - Deployments &amp; Config'!I350)</f>
        <v/>
      </c>
      <c r="M345" s="33"/>
      <c r="N345" s="32" t="str">
        <f>IF('12 - Deployments &amp; Config'!J350="","",'12 - Deployments &amp; Config'!J350)</f>
        <v/>
      </c>
      <c r="O345" s="32" t="str">
        <f>IF('12 - Deployments &amp; Config'!K350="","",'12 - Deployments &amp; Config'!K350)</f>
        <v/>
      </c>
      <c r="P345" s="32" t="str">
        <f>IF('12 - Deployments &amp; Config'!L350="","",'12 - Deployments &amp; Config'!L350)</f>
        <v/>
      </c>
      <c r="Q345" s="33"/>
      <c r="R345" s="32" t="str">
        <f>IF('12 - Deployments &amp; Config'!AZ350="","",'12 - Deployments &amp; Config'!AZ350)</f>
        <v/>
      </c>
      <c r="S345" s="32" t="str">
        <f>IF('12 - Deployments &amp; Config'!AY350="","",'12 - Deployments &amp; Config'!AY350)</f>
        <v/>
      </c>
      <c r="T345" s="32" t="str">
        <f>IF('12 - Deployments &amp; Config'!AW350="","",'12 - Deployments &amp; Config'!AW350)</f>
        <v/>
      </c>
      <c r="U345" s="32" t="str">
        <f>IF('12 - Deployments &amp; Config'!AX350="","",'12 - Deployments &amp; Config'!AX350)</f>
        <v/>
      </c>
      <c r="V345" s="32" t="str">
        <f>IF('12 - Deployments &amp; Config'!BB350="","",'12 - Deployments &amp; Config'!BB350)</f>
        <v/>
      </c>
      <c r="W345" s="32" t="str">
        <f>IF('12 - Deployments &amp; Config'!BD350="","",'12 - Deployments &amp; Config'!BD350)</f>
        <v/>
      </c>
      <c r="X345" s="32" t="str">
        <f>IF('12 - Deployments &amp; Config'!BL350="","",'12 - Deployments &amp; Config'!BL350)</f>
        <v/>
      </c>
      <c r="Y345" s="32" t="str">
        <f>IF('12 - Deployments &amp; Config'!BC350="","",'12 - Deployments &amp; Config'!BC350)</f>
        <v/>
      </c>
      <c r="Z345" s="32" t="str">
        <f>IF('12 - Deployments &amp; Config'!P350="","",'12 - Deployments &amp; Config'!P350)</f>
        <v/>
      </c>
      <c r="AA345" s="32" t="str">
        <f>IF('12 - Deployments &amp; Config'!Q350="","",'12 - Deployments &amp; Config'!Q350)</f>
        <v/>
      </c>
    </row>
    <row r="346" spans="1:27">
      <c r="A346" s="33"/>
      <c r="B346" s="33"/>
      <c r="C346" s="32" t="str">
        <f>IF('12 - Deployments &amp; Config'!H351="","",'12 - Deployments &amp; Config'!H351)</f>
        <v/>
      </c>
      <c r="D346" s="32" t="str">
        <f>IF('12 - Deployments &amp; Config'!AF351="","",'12 - Deployments &amp; Config'!AF351)</f>
        <v/>
      </c>
      <c r="E346" s="32" t="str">
        <f>IF('12 - Deployments &amp; Config'!AG351="","",'12 - Deployments &amp; Config'!AG351)</f>
        <v/>
      </c>
      <c r="F346" s="32" t="str">
        <f>IF('12 - Deployments &amp; Config'!AH351="","",'12 - Deployments &amp; Config'!AH351)</f>
        <v/>
      </c>
      <c r="G346" s="32" t="str">
        <f>IF('12 - Deployments &amp; Config'!AI351="","",'12 - Deployments &amp; Config'!AI351)</f>
        <v/>
      </c>
      <c r="H346" s="32" t="str">
        <f>IF('12 - Deployments &amp; Config'!A351="","",'12 - Deployments &amp; Config'!A351)</f>
        <v/>
      </c>
      <c r="I346" s="32" t="str">
        <f>IF('12 - Deployments &amp; Config'!AJ351="","",'12 - Deployments &amp; Config'!AJ351)</f>
        <v/>
      </c>
      <c r="J346" s="32" t="str">
        <f>IF('12 - Deployments &amp; Config'!AK351="","",'12 - Deployments &amp; Config'!AK351)</f>
        <v/>
      </c>
      <c r="K346" s="32" t="str">
        <f>IF('12 - Deployments &amp; Config'!AA351="","",'12 - Deployments &amp; Config'!AA351)</f>
        <v/>
      </c>
      <c r="L346" s="32" t="str">
        <f>IF('12 - Deployments &amp; Config'!I351="","",'12 - Deployments &amp; Config'!I351)</f>
        <v/>
      </c>
      <c r="M346" s="33"/>
      <c r="N346" s="32" t="str">
        <f>IF('12 - Deployments &amp; Config'!J351="","",'12 - Deployments &amp; Config'!J351)</f>
        <v/>
      </c>
      <c r="O346" s="32" t="str">
        <f>IF('12 - Deployments &amp; Config'!K351="","",'12 - Deployments &amp; Config'!K351)</f>
        <v/>
      </c>
      <c r="P346" s="32" t="str">
        <f>IF('12 - Deployments &amp; Config'!L351="","",'12 - Deployments &amp; Config'!L351)</f>
        <v/>
      </c>
      <c r="Q346" s="33"/>
      <c r="R346" s="32" t="str">
        <f>IF('12 - Deployments &amp; Config'!AZ351="","",'12 - Deployments &amp; Config'!AZ351)</f>
        <v/>
      </c>
      <c r="S346" s="32" t="str">
        <f>IF('12 - Deployments &amp; Config'!AY351="","",'12 - Deployments &amp; Config'!AY351)</f>
        <v/>
      </c>
      <c r="T346" s="32" t="str">
        <f>IF('12 - Deployments &amp; Config'!AW351="","",'12 - Deployments &amp; Config'!AW351)</f>
        <v/>
      </c>
      <c r="U346" s="32" t="str">
        <f>IF('12 - Deployments &amp; Config'!AX351="","",'12 - Deployments &amp; Config'!AX351)</f>
        <v/>
      </c>
      <c r="V346" s="32" t="str">
        <f>IF('12 - Deployments &amp; Config'!BB351="","",'12 - Deployments &amp; Config'!BB351)</f>
        <v/>
      </c>
      <c r="W346" s="32" t="str">
        <f>IF('12 - Deployments &amp; Config'!BD351="","",'12 - Deployments &amp; Config'!BD351)</f>
        <v/>
      </c>
      <c r="X346" s="32" t="str">
        <f>IF('12 - Deployments &amp; Config'!BL351="","",'12 - Deployments &amp; Config'!BL351)</f>
        <v/>
      </c>
      <c r="Y346" s="32" t="str">
        <f>IF('12 - Deployments &amp; Config'!BC351="","",'12 - Deployments &amp; Config'!BC351)</f>
        <v/>
      </c>
      <c r="Z346" s="32" t="str">
        <f>IF('12 - Deployments &amp; Config'!P351="","",'12 - Deployments &amp; Config'!P351)</f>
        <v/>
      </c>
      <c r="AA346" s="32" t="str">
        <f>IF('12 - Deployments &amp; Config'!Q351="","",'12 - Deployments &amp; Config'!Q351)</f>
        <v/>
      </c>
    </row>
    <row r="347" spans="1:27">
      <c r="A347" s="33"/>
      <c r="B347" s="33"/>
      <c r="C347" s="32" t="str">
        <f>IF('12 - Deployments &amp; Config'!H352="","",'12 - Deployments &amp; Config'!H352)</f>
        <v/>
      </c>
      <c r="D347" s="32" t="str">
        <f>IF('12 - Deployments &amp; Config'!AF352="","",'12 - Deployments &amp; Config'!AF352)</f>
        <v/>
      </c>
      <c r="E347" s="32" t="str">
        <f>IF('12 - Deployments &amp; Config'!AG352="","",'12 - Deployments &amp; Config'!AG352)</f>
        <v/>
      </c>
      <c r="F347" s="32" t="str">
        <f>IF('12 - Deployments &amp; Config'!AH352="","",'12 - Deployments &amp; Config'!AH352)</f>
        <v/>
      </c>
      <c r="G347" s="32" t="str">
        <f>IF('12 - Deployments &amp; Config'!AI352="","",'12 - Deployments &amp; Config'!AI352)</f>
        <v/>
      </c>
      <c r="H347" s="32" t="str">
        <f>IF('12 - Deployments &amp; Config'!A352="","",'12 - Deployments &amp; Config'!A352)</f>
        <v/>
      </c>
      <c r="I347" s="32" t="str">
        <f>IF('12 - Deployments &amp; Config'!AJ352="","",'12 - Deployments &amp; Config'!AJ352)</f>
        <v/>
      </c>
      <c r="J347" s="32" t="str">
        <f>IF('12 - Deployments &amp; Config'!AK352="","",'12 - Deployments &amp; Config'!AK352)</f>
        <v/>
      </c>
      <c r="K347" s="32" t="str">
        <f>IF('12 - Deployments &amp; Config'!AA352="","",'12 - Deployments &amp; Config'!AA352)</f>
        <v/>
      </c>
      <c r="L347" s="32" t="str">
        <f>IF('12 - Deployments &amp; Config'!I352="","",'12 - Deployments &amp; Config'!I352)</f>
        <v/>
      </c>
      <c r="M347" s="33"/>
      <c r="N347" s="32" t="str">
        <f>IF('12 - Deployments &amp; Config'!J352="","",'12 - Deployments &amp; Config'!J352)</f>
        <v/>
      </c>
      <c r="O347" s="32" t="str">
        <f>IF('12 - Deployments &amp; Config'!K352="","",'12 - Deployments &amp; Config'!K352)</f>
        <v/>
      </c>
      <c r="P347" s="32" t="str">
        <f>IF('12 - Deployments &amp; Config'!L352="","",'12 - Deployments &amp; Config'!L352)</f>
        <v/>
      </c>
      <c r="Q347" s="33"/>
      <c r="R347" s="32" t="str">
        <f>IF('12 - Deployments &amp; Config'!AZ352="","",'12 - Deployments &amp; Config'!AZ352)</f>
        <v/>
      </c>
      <c r="S347" s="32" t="str">
        <f>IF('12 - Deployments &amp; Config'!AY352="","",'12 - Deployments &amp; Config'!AY352)</f>
        <v/>
      </c>
      <c r="T347" s="32" t="str">
        <f>IF('12 - Deployments &amp; Config'!AW352="","",'12 - Deployments &amp; Config'!AW352)</f>
        <v/>
      </c>
      <c r="U347" s="32" t="str">
        <f>IF('12 - Deployments &amp; Config'!AX352="","",'12 - Deployments &amp; Config'!AX352)</f>
        <v/>
      </c>
      <c r="V347" s="32" t="str">
        <f>IF('12 - Deployments &amp; Config'!BB352="","",'12 - Deployments &amp; Config'!BB352)</f>
        <v/>
      </c>
      <c r="W347" s="32" t="str">
        <f>IF('12 - Deployments &amp; Config'!BD352="","",'12 - Deployments &amp; Config'!BD352)</f>
        <v/>
      </c>
      <c r="X347" s="32" t="str">
        <f>IF('12 - Deployments &amp; Config'!BL352="","",'12 - Deployments &amp; Config'!BL352)</f>
        <v/>
      </c>
      <c r="Y347" s="32" t="str">
        <f>IF('12 - Deployments &amp; Config'!BC352="","",'12 - Deployments &amp; Config'!BC352)</f>
        <v/>
      </c>
      <c r="Z347" s="32" t="str">
        <f>IF('12 - Deployments &amp; Config'!P352="","",'12 - Deployments &amp; Config'!P352)</f>
        <v/>
      </c>
      <c r="AA347" s="32" t="str">
        <f>IF('12 - Deployments &amp; Config'!Q352="","",'12 - Deployments &amp; Config'!Q352)</f>
        <v/>
      </c>
    </row>
    <row r="348" spans="1:27">
      <c r="A348" s="33"/>
      <c r="B348" s="33"/>
      <c r="C348" s="32" t="str">
        <f>IF('12 - Deployments &amp; Config'!H353="","",'12 - Deployments &amp; Config'!H353)</f>
        <v/>
      </c>
      <c r="D348" s="32" t="str">
        <f>IF('12 - Deployments &amp; Config'!AF353="","",'12 - Deployments &amp; Config'!AF353)</f>
        <v/>
      </c>
      <c r="E348" s="32" t="str">
        <f>IF('12 - Deployments &amp; Config'!AG353="","",'12 - Deployments &amp; Config'!AG353)</f>
        <v/>
      </c>
      <c r="F348" s="32" t="str">
        <f>IF('12 - Deployments &amp; Config'!AH353="","",'12 - Deployments &amp; Config'!AH353)</f>
        <v/>
      </c>
      <c r="G348" s="32" t="str">
        <f>IF('12 - Deployments &amp; Config'!AI353="","",'12 - Deployments &amp; Config'!AI353)</f>
        <v/>
      </c>
      <c r="H348" s="32" t="str">
        <f>IF('12 - Deployments &amp; Config'!A353="","",'12 - Deployments &amp; Config'!A353)</f>
        <v/>
      </c>
      <c r="I348" s="32" t="str">
        <f>IF('12 - Deployments &amp; Config'!AJ353="","",'12 - Deployments &amp; Config'!AJ353)</f>
        <v/>
      </c>
      <c r="J348" s="32" t="str">
        <f>IF('12 - Deployments &amp; Config'!AK353="","",'12 - Deployments &amp; Config'!AK353)</f>
        <v/>
      </c>
      <c r="K348" s="32" t="str">
        <f>IF('12 - Deployments &amp; Config'!AA353="","",'12 - Deployments &amp; Config'!AA353)</f>
        <v/>
      </c>
      <c r="L348" s="32" t="str">
        <f>IF('12 - Deployments &amp; Config'!I353="","",'12 - Deployments &amp; Config'!I353)</f>
        <v/>
      </c>
      <c r="M348" s="33"/>
      <c r="N348" s="32" t="str">
        <f>IF('12 - Deployments &amp; Config'!J353="","",'12 - Deployments &amp; Config'!J353)</f>
        <v/>
      </c>
      <c r="O348" s="32" t="str">
        <f>IF('12 - Deployments &amp; Config'!K353="","",'12 - Deployments &amp; Config'!K353)</f>
        <v/>
      </c>
      <c r="P348" s="32" t="str">
        <f>IF('12 - Deployments &amp; Config'!L353="","",'12 - Deployments &amp; Config'!L353)</f>
        <v/>
      </c>
      <c r="Q348" s="33"/>
      <c r="R348" s="32" t="str">
        <f>IF('12 - Deployments &amp; Config'!AZ353="","",'12 - Deployments &amp; Config'!AZ353)</f>
        <v/>
      </c>
      <c r="S348" s="32" t="str">
        <f>IF('12 - Deployments &amp; Config'!AY353="","",'12 - Deployments &amp; Config'!AY353)</f>
        <v/>
      </c>
      <c r="T348" s="32" t="str">
        <f>IF('12 - Deployments &amp; Config'!AW353="","",'12 - Deployments &amp; Config'!AW353)</f>
        <v/>
      </c>
      <c r="U348" s="32" t="str">
        <f>IF('12 - Deployments &amp; Config'!AX353="","",'12 - Deployments &amp; Config'!AX353)</f>
        <v/>
      </c>
      <c r="V348" s="32" t="str">
        <f>IF('12 - Deployments &amp; Config'!BB353="","",'12 - Deployments &amp; Config'!BB353)</f>
        <v/>
      </c>
      <c r="W348" s="32" t="str">
        <f>IF('12 - Deployments &amp; Config'!BD353="","",'12 - Deployments &amp; Config'!BD353)</f>
        <v/>
      </c>
      <c r="X348" s="32" t="str">
        <f>IF('12 - Deployments &amp; Config'!BL353="","",'12 - Deployments &amp; Config'!BL353)</f>
        <v/>
      </c>
      <c r="Y348" s="32" t="str">
        <f>IF('12 - Deployments &amp; Config'!BC353="","",'12 - Deployments &amp; Config'!BC353)</f>
        <v/>
      </c>
      <c r="Z348" s="32" t="str">
        <f>IF('12 - Deployments &amp; Config'!P353="","",'12 - Deployments &amp; Config'!P353)</f>
        <v/>
      </c>
      <c r="AA348" s="32" t="str">
        <f>IF('12 - Deployments &amp; Config'!Q353="","",'12 - Deployments &amp; Config'!Q353)</f>
        <v/>
      </c>
    </row>
    <row r="349" spans="1:27">
      <c r="A349" s="33"/>
      <c r="B349" s="33"/>
      <c r="C349" s="32" t="str">
        <f>IF('12 - Deployments &amp; Config'!H354="","",'12 - Deployments &amp; Config'!H354)</f>
        <v/>
      </c>
      <c r="D349" s="32" t="str">
        <f>IF('12 - Deployments &amp; Config'!AF354="","",'12 - Deployments &amp; Config'!AF354)</f>
        <v/>
      </c>
      <c r="E349" s="32" t="str">
        <f>IF('12 - Deployments &amp; Config'!AG354="","",'12 - Deployments &amp; Config'!AG354)</f>
        <v/>
      </c>
      <c r="F349" s="32" t="str">
        <f>IF('12 - Deployments &amp; Config'!AH354="","",'12 - Deployments &amp; Config'!AH354)</f>
        <v/>
      </c>
      <c r="G349" s="32" t="str">
        <f>IF('12 - Deployments &amp; Config'!AI354="","",'12 - Deployments &amp; Config'!AI354)</f>
        <v/>
      </c>
      <c r="H349" s="32" t="str">
        <f>IF('12 - Deployments &amp; Config'!A354="","",'12 - Deployments &amp; Config'!A354)</f>
        <v/>
      </c>
      <c r="I349" s="32" t="str">
        <f>IF('12 - Deployments &amp; Config'!AJ354="","",'12 - Deployments &amp; Config'!AJ354)</f>
        <v/>
      </c>
      <c r="J349" s="32" t="str">
        <f>IF('12 - Deployments &amp; Config'!AK354="","",'12 - Deployments &amp; Config'!AK354)</f>
        <v/>
      </c>
      <c r="K349" s="32" t="str">
        <f>IF('12 - Deployments &amp; Config'!AA354="","",'12 - Deployments &amp; Config'!AA354)</f>
        <v/>
      </c>
      <c r="L349" s="32" t="str">
        <f>IF('12 - Deployments &amp; Config'!I354="","",'12 - Deployments &amp; Config'!I354)</f>
        <v/>
      </c>
      <c r="M349" s="33"/>
      <c r="N349" s="32" t="str">
        <f>IF('12 - Deployments &amp; Config'!J354="","",'12 - Deployments &amp; Config'!J354)</f>
        <v/>
      </c>
      <c r="O349" s="32" t="str">
        <f>IF('12 - Deployments &amp; Config'!K354="","",'12 - Deployments &amp; Config'!K354)</f>
        <v/>
      </c>
      <c r="P349" s="32" t="str">
        <f>IF('12 - Deployments &amp; Config'!L354="","",'12 - Deployments &amp; Config'!L354)</f>
        <v/>
      </c>
      <c r="Q349" s="33"/>
      <c r="R349" s="32" t="str">
        <f>IF('12 - Deployments &amp; Config'!AZ354="","",'12 - Deployments &amp; Config'!AZ354)</f>
        <v/>
      </c>
      <c r="S349" s="32" t="str">
        <f>IF('12 - Deployments &amp; Config'!AY354="","",'12 - Deployments &amp; Config'!AY354)</f>
        <v/>
      </c>
      <c r="T349" s="32" t="str">
        <f>IF('12 - Deployments &amp; Config'!AW354="","",'12 - Deployments &amp; Config'!AW354)</f>
        <v/>
      </c>
      <c r="U349" s="32" t="str">
        <f>IF('12 - Deployments &amp; Config'!AX354="","",'12 - Deployments &amp; Config'!AX354)</f>
        <v/>
      </c>
      <c r="V349" s="32" t="str">
        <f>IF('12 - Deployments &amp; Config'!BB354="","",'12 - Deployments &amp; Config'!BB354)</f>
        <v/>
      </c>
      <c r="W349" s="32" t="str">
        <f>IF('12 - Deployments &amp; Config'!BD354="","",'12 - Deployments &amp; Config'!BD354)</f>
        <v/>
      </c>
      <c r="X349" s="32" t="str">
        <f>IF('12 - Deployments &amp; Config'!BL354="","",'12 - Deployments &amp; Config'!BL354)</f>
        <v/>
      </c>
      <c r="Y349" s="32" t="str">
        <f>IF('12 - Deployments &amp; Config'!BC354="","",'12 - Deployments &amp; Config'!BC354)</f>
        <v/>
      </c>
      <c r="Z349" s="32" t="str">
        <f>IF('12 - Deployments &amp; Config'!P354="","",'12 - Deployments &amp; Config'!P354)</f>
        <v/>
      </c>
      <c r="AA349" s="32" t="str">
        <f>IF('12 - Deployments &amp; Config'!Q354="","",'12 - Deployments &amp; Config'!Q354)</f>
        <v/>
      </c>
    </row>
    <row r="350" spans="1:27">
      <c r="A350" s="33"/>
      <c r="B350" s="33"/>
      <c r="C350" s="32" t="str">
        <f>IF('12 - Deployments &amp; Config'!H355="","",'12 - Deployments &amp; Config'!H355)</f>
        <v/>
      </c>
      <c r="D350" s="32" t="str">
        <f>IF('12 - Deployments &amp; Config'!AF355="","",'12 - Deployments &amp; Config'!AF355)</f>
        <v/>
      </c>
      <c r="E350" s="32" t="str">
        <f>IF('12 - Deployments &amp; Config'!AG355="","",'12 - Deployments &amp; Config'!AG355)</f>
        <v/>
      </c>
      <c r="F350" s="32" t="str">
        <f>IF('12 - Deployments &amp; Config'!AH355="","",'12 - Deployments &amp; Config'!AH355)</f>
        <v/>
      </c>
      <c r="G350" s="32" t="str">
        <f>IF('12 - Deployments &amp; Config'!AI355="","",'12 - Deployments &amp; Config'!AI355)</f>
        <v/>
      </c>
      <c r="H350" s="32" t="str">
        <f>IF('12 - Deployments &amp; Config'!A355="","",'12 - Deployments &amp; Config'!A355)</f>
        <v/>
      </c>
      <c r="I350" s="32" t="str">
        <f>IF('12 - Deployments &amp; Config'!AJ355="","",'12 - Deployments &amp; Config'!AJ355)</f>
        <v/>
      </c>
      <c r="J350" s="32" t="str">
        <f>IF('12 - Deployments &amp; Config'!AK355="","",'12 - Deployments &amp; Config'!AK355)</f>
        <v/>
      </c>
      <c r="K350" s="32" t="str">
        <f>IF('12 - Deployments &amp; Config'!AA355="","",'12 - Deployments &amp; Config'!AA355)</f>
        <v/>
      </c>
      <c r="L350" s="32" t="str">
        <f>IF('12 - Deployments &amp; Config'!I355="","",'12 - Deployments &amp; Config'!I355)</f>
        <v/>
      </c>
      <c r="M350" s="33"/>
      <c r="N350" s="32" t="str">
        <f>IF('12 - Deployments &amp; Config'!J355="","",'12 - Deployments &amp; Config'!J355)</f>
        <v/>
      </c>
      <c r="O350" s="32" t="str">
        <f>IF('12 - Deployments &amp; Config'!K355="","",'12 - Deployments &amp; Config'!K355)</f>
        <v/>
      </c>
      <c r="P350" s="32" t="str">
        <f>IF('12 - Deployments &amp; Config'!L355="","",'12 - Deployments &amp; Config'!L355)</f>
        <v/>
      </c>
      <c r="Q350" s="33"/>
      <c r="R350" s="32" t="str">
        <f>IF('12 - Deployments &amp; Config'!AZ355="","",'12 - Deployments &amp; Config'!AZ355)</f>
        <v/>
      </c>
      <c r="S350" s="32" t="str">
        <f>IF('12 - Deployments &amp; Config'!AY355="","",'12 - Deployments &amp; Config'!AY355)</f>
        <v/>
      </c>
      <c r="T350" s="32" t="str">
        <f>IF('12 - Deployments &amp; Config'!AW355="","",'12 - Deployments &amp; Config'!AW355)</f>
        <v/>
      </c>
      <c r="U350" s="32" t="str">
        <f>IF('12 - Deployments &amp; Config'!AX355="","",'12 - Deployments &amp; Config'!AX355)</f>
        <v/>
      </c>
      <c r="V350" s="32" t="str">
        <f>IF('12 - Deployments &amp; Config'!BB355="","",'12 - Deployments &amp; Config'!BB355)</f>
        <v/>
      </c>
      <c r="W350" s="32" t="str">
        <f>IF('12 - Deployments &amp; Config'!BD355="","",'12 - Deployments &amp; Config'!BD355)</f>
        <v/>
      </c>
      <c r="X350" s="32" t="str">
        <f>IF('12 - Deployments &amp; Config'!BL355="","",'12 - Deployments &amp; Config'!BL355)</f>
        <v/>
      </c>
      <c r="Y350" s="32" t="str">
        <f>IF('12 - Deployments &amp; Config'!BC355="","",'12 - Deployments &amp; Config'!BC355)</f>
        <v/>
      </c>
      <c r="Z350" s="32" t="str">
        <f>IF('12 - Deployments &amp; Config'!P355="","",'12 - Deployments &amp; Config'!P355)</f>
        <v/>
      </c>
      <c r="AA350" s="32" t="str">
        <f>IF('12 - Deployments &amp; Config'!Q355="","",'12 - Deployments &amp; Config'!Q355)</f>
        <v/>
      </c>
    </row>
    <row r="351" spans="1:27">
      <c r="A351" s="33"/>
      <c r="B351" s="33"/>
      <c r="C351" s="32" t="str">
        <f>IF('12 - Deployments &amp; Config'!H356="","",'12 - Deployments &amp; Config'!H356)</f>
        <v/>
      </c>
      <c r="D351" s="32" t="str">
        <f>IF('12 - Deployments &amp; Config'!AF356="","",'12 - Deployments &amp; Config'!AF356)</f>
        <v/>
      </c>
      <c r="E351" s="32" t="str">
        <f>IF('12 - Deployments &amp; Config'!AG356="","",'12 - Deployments &amp; Config'!AG356)</f>
        <v/>
      </c>
      <c r="F351" s="32" t="str">
        <f>IF('12 - Deployments &amp; Config'!AH356="","",'12 - Deployments &amp; Config'!AH356)</f>
        <v/>
      </c>
      <c r="G351" s="32" t="str">
        <f>IF('12 - Deployments &amp; Config'!AI356="","",'12 - Deployments &amp; Config'!AI356)</f>
        <v/>
      </c>
      <c r="H351" s="32" t="str">
        <f>IF('12 - Deployments &amp; Config'!A356="","",'12 - Deployments &amp; Config'!A356)</f>
        <v/>
      </c>
      <c r="I351" s="32" t="str">
        <f>IF('12 - Deployments &amp; Config'!AJ356="","",'12 - Deployments &amp; Config'!AJ356)</f>
        <v/>
      </c>
      <c r="J351" s="32" t="str">
        <f>IF('12 - Deployments &amp; Config'!AK356="","",'12 - Deployments &amp; Config'!AK356)</f>
        <v/>
      </c>
      <c r="K351" s="32" t="str">
        <f>IF('12 - Deployments &amp; Config'!AA356="","",'12 - Deployments &amp; Config'!AA356)</f>
        <v/>
      </c>
      <c r="L351" s="32" t="str">
        <f>IF('12 - Deployments &amp; Config'!I356="","",'12 - Deployments &amp; Config'!I356)</f>
        <v/>
      </c>
      <c r="M351" s="33"/>
      <c r="N351" s="32" t="str">
        <f>IF('12 - Deployments &amp; Config'!J356="","",'12 - Deployments &amp; Config'!J356)</f>
        <v/>
      </c>
      <c r="O351" s="32" t="str">
        <f>IF('12 - Deployments &amp; Config'!K356="","",'12 - Deployments &amp; Config'!K356)</f>
        <v/>
      </c>
      <c r="P351" s="32" t="str">
        <f>IF('12 - Deployments &amp; Config'!L356="","",'12 - Deployments &amp; Config'!L356)</f>
        <v/>
      </c>
      <c r="Q351" s="33"/>
      <c r="R351" s="32" t="str">
        <f>IF('12 - Deployments &amp; Config'!AZ356="","",'12 - Deployments &amp; Config'!AZ356)</f>
        <v/>
      </c>
      <c r="S351" s="32" t="str">
        <f>IF('12 - Deployments &amp; Config'!AY356="","",'12 - Deployments &amp; Config'!AY356)</f>
        <v/>
      </c>
      <c r="T351" s="32" t="str">
        <f>IF('12 - Deployments &amp; Config'!AW356="","",'12 - Deployments &amp; Config'!AW356)</f>
        <v/>
      </c>
      <c r="U351" s="32" t="str">
        <f>IF('12 - Deployments &amp; Config'!AX356="","",'12 - Deployments &amp; Config'!AX356)</f>
        <v/>
      </c>
      <c r="V351" s="32" t="str">
        <f>IF('12 - Deployments &amp; Config'!BB356="","",'12 - Deployments &amp; Config'!BB356)</f>
        <v/>
      </c>
      <c r="W351" s="32" t="str">
        <f>IF('12 - Deployments &amp; Config'!BD356="","",'12 - Deployments &amp; Config'!BD356)</f>
        <v/>
      </c>
      <c r="X351" s="32" t="str">
        <f>IF('12 - Deployments &amp; Config'!BL356="","",'12 - Deployments &amp; Config'!BL356)</f>
        <v/>
      </c>
      <c r="Y351" s="32" t="str">
        <f>IF('12 - Deployments &amp; Config'!BC356="","",'12 - Deployments &amp; Config'!BC356)</f>
        <v/>
      </c>
      <c r="Z351" s="32" t="str">
        <f>IF('12 - Deployments &amp; Config'!P356="","",'12 - Deployments &amp; Config'!P356)</f>
        <v/>
      </c>
      <c r="AA351" s="32" t="str">
        <f>IF('12 - Deployments &amp; Config'!Q356="","",'12 - Deployments &amp; Config'!Q356)</f>
        <v/>
      </c>
    </row>
    <row r="352" spans="1:27">
      <c r="A352" s="33"/>
      <c r="B352" s="33"/>
      <c r="C352" s="32" t="str">
        <f>IF('12 - Deployments &amp; Config'!H357="","",'12 - Deployments &amp; Config'!H357)</f>
        <v/>
      </c>
      <c r="D352" s="32" t="str">
        <f>IF('12 - Deployments &amp; Config'!AF357="","",'12 - Deployments &amp; Config'!AF357)</f>
        <v/>
      </c>
      <c r="E352" s="32" t="str">
        <f>IF('12 - Deployments &amp; Config'!AG357="","",'12 - Deployments &amp; Config'!AG357)</f>
        <v/>
      </c>
      <c r="F352" s="32" t="str">
        <f>IF('12 - Deployments &amp; Config'!AH357="","",'12 - Deployments &amp; Config'!AH357)</f>
        <v/>
      </c>
      <c r="G352" s="32" t="str">
        <f>IF('12 - Deployments &amp; Config'!AI357="","",'12 - Deployments &amp; Config'!AI357)</f>
        <v/>
      </c>
      <c r="H352" s="32" t="str">
        <f>IF('12 - Deployments &amp; Config'!A357="","",'12 - Deployments &amp; Config'!A357)</f>
        <v/>
      </c>
      <c r="I352" s="32" t="str">
        <f>IF('12 - Deployments &amp; Config'!AJ357="","",'12 - Deployments &amp; Config'!AJ357)</f>
        <v/>
      </c>
      <c r="J352" s="32" t="str">
        <f>IF('12 - Deployments &amp; Config'!AK357="","",'12 - Deployments &amp; Config'!AK357)</f>
        <v/>
      </c>
      <c r="K352" s="32" t="str">
        <f>IF('12 - Deployments &amp; Config'!AA357="","",'12 - Deployments &amp; Config'!AA357)</f>
        <v/>
      </c>
      <c r="L352" s="32" t="str">
        <f>IF('12 - Deployments &amp; Config'!I357="","",'12 - Deployments &amp; Config'!I357)</f>
        <v/>
      </c>
      <c r="M352" s="33"/>
      <c r="N352" s="32" t="str">
        <f>IF('12 - Deployments &amp; Config'!J357="","",'12 - Deployments &amp; Config'!J357)</f>
        <v/>
      </c>
      <c r="O352" s="32" t="str">
        <f>IF('12 - Deployments &amp; Config'!K357="","",'12 - Deployments &amp; Config'!K357)</f>
        <v/>
      </c>
      <c r="P352" s="32" t="str">
        <f>IF('12 - Deployments &amp; Config'!L357="","",'12 - Deployments &amp; Config'!L357)</f>
        <v/>
      </c>
      <c r="Q352" s="33"/>
      <c r="R352" s="32" t="str">
        <f>IF('12 - Deployments &amp; Config'!AZ357="","",'12 - Deployments &amp; Config'!AZ357)</f>
        <v/>
      </c>
      <c r="S352" s="32" t="str">
        <f>IF('12 - Deployments &amp; Config'!AY357="","",'12 - Deployments &amp; Config'!AY357)</f>
        <v/>
      </c>
      <c r="T352" s="32" t="str">
        <f>IF('12 - Deployments &amp; Config'!AW357="","",'12 - Deployments &amp; Config'!AW357)</f>
        <v/>
      </c>
      <c r="U352" s="32" t="str">
        <f>IF('12 - Deployments &amp; Config'!AX357="","",'12 - Deployments &amp; Config'!AX357)</f>
        <v/>
      </c>
      <c r="V352" s="32" t="str">
        <f>IF('12 - Deployments &amp; Config'!BB357="","",'12 - Deployments &amp; Config'!BB357)</f>
        <v/>
      </c>
      <c r="W352" s="32" t="str">
        <f>IF('12 - Deployments &amp; Config'!BD357="","",'12 - Deployments &amp; Config'!BD357)</f>
        <v/>
      </c>
      <c r="X352" s="32" t="str">
        <f>IF('12 - Deployments &amp; Config'!BL357="","",'12 - Deployments &amp; Config'!BL357)</f>
        <v/>
      </c>
      <c r="Y352" s="32" t="str">
        <f>IF('12 - Deployments &amp; Config'!BC357="","",'12 - Deployments &amp; Config'!BC357)</f>
        <v/>
      </c>
      <c r="Z352" s="32" t="str">
        <f>IF('12 - Deployments &amp; Config'!P357="","",'12 - Deployments &amp; Config'!P357)</f>
        <v/>
      </c>
      <c r="AA352" s="32" t="str">
        <f>IF('12 - Deployments &amp; Config'!Q357="","",'12 - Deployments &amp; Config'!Q357)</f>
        <v/>
      </c>
    </row>
    <row r="353" spans="1:27">
      <c r="A353" s="33"/>
      <c r="B353" s="33"/>
      <c r="C353" s="32" t="str">
        <f>IF('12 - Deployments &amp; Config'!H358="","",'12 - Deployments &amp; Config'!H358)</f>
        <v/>
      </c>
      <c r="D353" s="32" t="str">
        <f>IF('12 - Deployments &amp; Config'!AF358="","",'12 - Deployments &amp; Config'!AF358)</f>
        <v/>
      </c>
      <c r="E353" s="32" t="str">
        <f>IF('12 - Deployments &amp; Config'!AG358="","",'12 - Deployments &amp; Config'!AG358)</f>
        <v/>
      </c>
      <c r="F353" s="32" t="str">
        <f>IF('12 - Deployments &amp; Config'!AH358="","",'12 - Deployments &amp; Config'!AH358)</f>
        <v/>
      </c>
      <c r="G353" s="32" t="str">
        <f>IF('12 - Deployments &amp; Config'!AI358="","",'12 - Deployments &amp; Config'!AI358)</f>
        <v/>
      </c>
      <c r="H353" s="32" t="str">
        <f>IF('12 - Deployments &amp; Config'!A358="","",'12 - Deployments &amp; Config'!A358)</f>
        <v/>
      </c>
      <c r="I353" s="32" t="str">
        <f>IF('12 - Deployments &amp; Config'!AJ358="","",'12 - Deployments &amp; Config'!AJ358)</f>
        <v/>
      </c>
      <c r="J353" s="32" t="str">
        <f>IF('12 - Deployments &amp; Config'!AK358="","",'12 - Deployments &amp; Config'!AK358)</f>
        <v/>
      </c>
      <c r="K353" s="32" t="str">
        <f>IF('12 - Deployments &amp; Config'!AA358="","",'12 - Deployments &amp; Config'!AA358)</f>
        <v/>
      </c>
      <c r="L353" s="32" t="str">
        <f>IF('12 - Deployments &amp; Config'!I358="","",'12 - Deployments &amp; Config'!I358)</f>
        <v/>
      </c>
      <c r="M353" s="33"/>
      <c r="N353" s="32" t="str">
        <f>IF('12 - Deployments &amp; Config'!J358="","",'12 - Deployments &amp; Config'!J358)</f>
        <v/>
      </c>
      <c r="O353" s="32" t="str">
        <f>IF('12 - Deployments &amp; Config'!K358="","",'12 - Deployments &amp; Config'!K358)</f>
        <v/>
      </c>
      <c r="P353" s="32" t="str">
        <f>IF('12 - Deployments &amp; Config'!L358="","",'12 - Deployments &amp; Config'!L358)</f>
        <v/>
      </c>
      <c r="Q353" s="33"/>
      <c r="R353" s="32" t="str">
        <f>IF('12 - Deployments &amp; Config'!AZ358="","",'12 - Deployments &amp; Config'!AZ358)</f>
        <v/>
      </c>
      <c r="S353" s="32" t="str">
        <f>IF('12 - Deployments &amp; Config'!AY358="","",'12 - Deployments &amp; Config'!AY358)</f>
        <v/>
      </c>
      <c r="T353" s="32" t="str">
        <f>IF('12 - Deployments &amp; Config'!AW358="","",'12 - Deployments &amp; Config'!AW358)</f>
        <v/>
      </c>
      <c r="U353" s="32" t="str">
        <f>IF('12 - Deployments &amp; Config'!AX358="","",'12 - Deployments &amp; Config'!AX358)</f>
        <v/>
      </c>
      <c r="V353" s="32" t="str">
        <f>IF('12 - Deployments &amp; Config'!BB358="","",'12 - Deployments &amp; Config'!BB358)</f>
        <v/>
      </c>
      <c r="W353" s="32" t="str">
        <f>IF('12 - Deployments &amp; Config'!BD358="","",'12 - Deployments &amp; Config'!BD358)</f>
        <v/>
      </c>
      <c r="X353" s="32" t="str">
        <f>IF('12 - Deployments &amp; Config'!BL358="","",'12 - Deployments &amp; Config'!BL358)</f>
        <v/>
      </c>
      <c r="Y353" s="32" t="str">
        <f>IF('12 - Deployments &amp; Config'!BC358="","",'12 - Deployments &amp; Config'!BC358)</f>
        <v/>
      </c>
      <c r="Z353" s="32" t="str">
        <f>IF('12 - Deployments &amp; Config'!P358="","",'12 - Deployments &amp; Config'!P358)</f>
        <v/>
      </c>
      <c r="AA353" s="32" t="str">
        <f>IF('12 - Deployments &amp; Config'!Q358="","",'12 - Deployments &amp; Config'!Q358)</f>
        <v/>
      </c>
    </row>
    <row r="354" spans="1:27">
      <c r="A354" s="33"/>
      <c r="B354" s="33"/>
      <c r="C354" s="32" t="str">
        <f>IF('12 - Deployments &amp; Config'!H359="","",'12 - Deployments &amp; Config'!H359)</f>
        <v/>
      </c>
      <c r="D354" s="32" t="str">
        <f>IF('12 - Deployments &amp; Config'!AF359="","",'12 - Deployments &amp; Config'!AF359)</f>
        <v/>
      </c>
      <c r="E354" s="32" t="str">
        <f>IF('12 - Deployments &amp; Config'!AG359="","",'12 - Deployments &amp; Config'!AG359)</f>
        <v/>
      </c>
      <c r="F354" s="32" t="str">
        <f>IF('12 - Deployments &amp; Config'!AH359="","",'12 - Deployments &amp; Config'!AH359)</f>
        <v/>
      </c>
      <c r="G354" s="32" t="str">
        <f>IF('12 - Deployments &amp; Config'!AI359="","",'12 - Deployments &amp; Config'!AI359)</f>
        <v/>
      </c>
      <c r="H354" s="32" t="str">
        <f>IF('12 - Deployments &amp; Config'!A359="","",'12 - Deployments &amp; Config'!A359)</f>
        <v/>
      </c>
      <c r="I354" s="32" t="str">
        <f>IF('12 - Deployments &amp; Config'!AJ359="","",'12 - Deployments &amp; Config'!AJ359)</f>
        <v/>
      </c>
      <c r="J354" s="32" t="str">
        <f>IF('12 - Deployments &amp; Config'!AK359="","",'12 - Deployments &amp; Config'!AK359)</f>
        <v/>
      </c>
      <c r="K354" s="32" t="str">
        <f>IF('12 - Deployments &amp; Config'!AA359="","",'12 - Deployments &amp; Config'!AA359)</f>
        <v/>
      </c>
      <c r="L354" s="32" t="str">
        <f>IF('12 - Deployments &amp; Config'!I359="","",'12 - Deployments &amp; Config'!I359)</f>
        <v/>
      </c>
      <c r="M354" s="33"/>
      <c r="N354" s="32" t="str">
        <f>IF('12 - Deployments &amp; Config'!J359="","",'12 - Deployments &amp; Config'!J359)</f>
        <v/>
      </c>
      <c r="O354" s="32" t="str">
        <f>IF('12 - Deployments &amp; Config'!K359="","",'12 - Deployments &amp; Config'!K359)</f>
        <v/>
      </c>
      <c r="P354" s="32" t="str">
        <f>IF('12 - Deployments &amp; Config'!L359="","",'12 - Deployments &amp; Config'!L359)</f>
        <v/>
      </c>
      <c r="Q354" s="33"/>
      <c r="R354" s="32" t="str">
        <f>IF('12 - Deployments &amp; Config'!AZ359="","",'12 - Deployments &amp; Config'!AZ359)</f>
        <v/>
      </c>
      <c r="S354" s="32" t="str">
        <f>IF('12 - Deployments &amp; Config'!AY359="","",'12 - Deployments &amp; Config'!AY359)</f>
        <v/>
      </c>
      <c r="T354" s="32" t="str">
        <f>IF('12 - Deployments &amp; Config'!AW359="","",'12 - Deployments &amp; Config'!AW359)</f>
        <v/>
      </c>
      <c r="U354" s="32" t="str">
        <f>IF('12 - Deployments &amp; Config'!AX359="","",'12 - Deployments &amp; Config'!AX359)</f>
        <v/>
      </c>
      <c r="V354" s="32" t="str">
        <f>IF('12 - Deployments &amp; Config'!BB359="","",'12 - Deployments &amp; Config'!BB359)</f>
        <v/>
      </c>
      <c r="W354" s="32" t="str">
        <f>IF('12 - Deployments &amp; Config'!BD359="","",'12 - Deployments &amp; Config'!BD359)</f>
        <v/>
      </c>
      <c r="X354" s="32" t="str">
        <f>IF('12 - Deployments &amp; Config'!BL359="","",'12 - Deployments &amp; Config'!BL359)</f>
        <v/>
      </c>
      <c r="Y354" s="32" t="str">
        <f>IF('12 - Deployments &amp; Config'!BC359="","",'12 - Deployments &amp; Config'!BC359)</f>
        <v/>
      </c>
      <c r="Z354" s="32" t="str">
        <f>IF('12 - Deployments &amp; Config'!P359="","",'12 - Deployments &amp; Config'!P359)</f>
        <v/>
      </c>
      <c r="AA354" s="32" t="str">
        <f>IF('12 - Deployments &amp; Config'!Q359="","",'12 - Deployments &amp; Config'!Q359)</f>
        <v/>
      </c>
    </row>
    <row r="355" spans="1:27">
      <c r="A355" s="33"/>
      <c r="B355" s="33"/>
      <c r="C355" s="32" t="str">
        <f>IF('12 - Deployments &amp; Config'!H360="","",'12 - Deployments &amp; Config'!H360)</f>
        <v/>
      </c>
      <c r="D355" s="32" t="str">
        <f>IF('12 - Deployments &amp; Config'!AF360="","",'12 - Deployments &amp; Config'!AF360)</f>
        <v/>
      </c>
      <c r="E355" s="32" t="str">
        <f>IF('12 - Deployments &amp; Config'!AG360="","",'12 - Deployments &amp; Config'!AG360)</f>
        <v/>
      </c>
      <c r="F355" s="32" t="str">
        <f>IF('12 - Deployments &amp; Config'!AH360="","",'12 - Deployments &amp; Config'!AH360)</f>
        <v/>
      </c>
      <c r="G355" s="32" t="str">
        <f>IF('12 - Deployments &amp; Config'!AI360="","",'12 - Deployments &amp; Config'!AI360)</f>
        <v/>
      </c>
      <c r="H355" s="32" t="str">
        <f>IF('12 - Deployments &amp; Config'!A360="","",'12 - Deployments &amp; Config'!A360)</f>
        <v/>
      </c>
      <c r="I355" s="32" t="str">
        <f>IF('12 - Deployments &amp; Config'!AJ360="","",'12 - Deployments &amp; Config'!AJ360)</f>
        <v/>
      </c>
      <c r="J355" s="32" t="str">
        <f>IF('12 - Deployments &amp; Config'!AK360="","",'12 - Deployments &amp; Config'!AK360)</f>
        <v/>
      </c>
      <c r="K355" s="32" t="str">
        <f>IF('12 - Deployments &amp; Config'!AA360="","",'12 - Deployments &amp; Config'!AA360)</f>
        <v/>
      </c>
      <c r="L355" s="32" t="str">
        <f>IF('12 - Deployments &amp; Config'!I360="","",'12 - Deployments &amp; Config'!I360)</f>
        <v/>
      </c>
      <c r="M355" s="33"/>
      <c r="N355" s="32" t="str">
        <f>IF('12 - Deployments &amp; Config'!J360="","",'12 - Deployments &amp; Config'!J360)</f>
        <v/>
      </c>
      <c r="O355" s="32" t="str">
        <f>IF('12 - Deployments &amp; Config'!K360="","",'12 - Deployments &amp; Config'!K360)</f>
        <v/>
      </c>
      <c r="P355" s="32" t="str">
        <f>IF('12 - Deployments &amp; Config'!L360="","",'12 - Deployments &amp; Config'!L360)</f>
        <v/>
      </c>
      <c r="Q355" s="33"/>
      <c r="R355" s="32" t="str">
        <f>IF('12 - Deployments &amp; Config'!AZ360="","",'12 - Deployments &amp; Config'!AZ360)</f>
        <v/>
      </c>
      <c r="S355" s="32" t="str">
        <f>IF('12 - Deployments &amp; Config'!AY360="","",'12 - Deployments &amp; Config'!AY360)</f>
        <v/>
      </c>
      <c r="T355" s="32" t="str">
        <f>IF('12 - Deployments &amp; Config'!AW360="","",'12 - Deployments &amp; Config'!AW360)</f>
        <v/>
      </c>
      <c r="U355" s="32" t="str">
        <f>IF('12 - Deployments &amp; Config'!AX360="","",'12 - Deployments &amp; Config'!AX360)</f>
        <v/>
      </c>
      <c r="V355" s="32" t="str">
        <f>IF('12 - Deployments &amp; Config'!BB360="","",'12 - Deployments &amp; Config'!BB360)</f>
        <v/>
      </c>
      <c r="W355" s="32" t="str">
        <f>IF('12 - Deployments &amp; Config'!BD360="","",'12 - Deployments &amp; Config'!BD360)</f>
        <v/>
      </c>
      <c r="X355" s="32" t="str">
        <f>IF('12 - Deployments &amp; Config'!BL360="","",'12 - Deployments &amp; Config'!BL360)</f>
        <v/>
      </c>
      <c r="Y355" s="32" t="str">
        <f>IF('12 - Deployments &amp; Config'!BC360="","",'12 - Deployments &amp; Config'!BC360)</f>
        <v/>
      </c>
      <c r="Z355" s="32" t="str">
        <f>IF('12 - Deployments &amp; Config'!P360="","",'12 - Deployments &amp; Config'!P360)</f>
        <v/>
      </c>
      <c r="AA355" s="32" t="str">
        <f>IF('12 - Deployments &amp; Config'!Q360="","",'12 - Deployments &amp; Config'!Q360)</f>
        <v/>
      </c>
    </row>
    <row r="356" spans="1:27">
      <c r="A356" s="33"/>
      <c r="B356" s="33"/>
      <c r="C356" s="32" t="str">
        <f>IF('12 - Deployments &amp; Config'!H361="","",'12 - Deployments &amp; Config'!H361)</f>
        <v/>
      </c>
      <c r="D356" s="32" t="str">
        <f>IF('12 - Deployments &amp; Config'!AF361="","",'12 - Deployments &amp; Config'!AF361)</f>
        <v/>
      </c>
      <c r="E356" s="32" t="str">
        <f>IF('12 - Deployments &amp; Config'!AG361="","",'12 - Deployments &amp; Config'!AG361)</f>
        <v/>
      </c>
      <c r="F356" s="32" t="str">
        <f>IF('12 - Deployments &amp; Config'!AH361="","",'12 - Deployments &amp; Config'!AH361)</f>
        <v/>
      </c>
      <c r="G356" s="32" t="str">
        <f>IF('12 - Deployments &amp; Config'!AI361="","",'12 - Deployments &amp; Config'!AI361)</f>
        <v/>
      </c>
      <c r="H356" s="32" t="str">
        <f>IF('12 - Deployments &amp; Config'!A361="","",'12 - Deployments &amp; Config'!A361)</f>
        <v/>
      </c>
      <c r="I356" s="32" t="str">
        <f>IF('12 - Deployments &amp; Config'!AJ361="","",'12 - Deployments &amp; Config'!AJ361)</f>
        <v/>
      </c>
      <c r="J356" s="32" t="str">
        <f>IF('12 - Deployments &amp; Config'!AK361="","",'12 - Deployments &amp; Config'!AK361)</f>
        <v/>
      </c>
      <c r="K356" s="32" t="str">
        <f>IF('12 - Deployments &amp; Config'!AA361="","",'12 - Deployments &amp; Config'!AA361)</f>
        <v/>
      </c>
      <c r="L356" s="32" t="str">
        <f>IF('12 - Deployments &amp; Config'!I361="","",'12 - Deployments &amp; Config'!I361)</f>
        <v/>
      </c>
      <c r="M356" s="33"/>
      <c r="N356" s="32" t="str">
        <f>IF('12 - Deployments &amp; Config'!J361="","",'12 - Deployments &amp; Config'!J361)</f>
        <v/>
      </c>
      <c r="O356" s="32" t="str">
        <f>IF('12 - Deployments &amp; Config'!K361="","",'12 - Deployments &amp; Config'!K361)</f>
        <v/>
      </c>
      <c r="P356" s="32" t="str">
        <f>IF('12 - Deployments &amp; Config'!L361="","",'12 - Deployments &amp; Config'!L361)</f>
        <v/>
      </c>
      <c r="Q356" s="33"/>
      <c r="R356" s="32" t="str">
        <f>IF('12 - Deployments &amp; Config'!AZ361="","",'12 - Deployments &amp; Config'!AZ361)</f>
        <v/>
      </c>
      <c r="S356" s="32" t="str">
        <f>IF('12 - Deployments &amp; Config'!AY361="","",'12 - Deployments &amp; Config'!AY361)</f>
        <v/>
      </c>
      <c r="T356" s="32" t="str">
        <f>IF('12 - Deployments &amp; Config'!AW361="","",'12 - Deployments &amp; Config'!AW361)</f>
        <v/>
      </c>
      <c r="U356" s="32" t="str">
        <f>IF('12 - Deployments &amp; Config'!AX361="","",'12 - Deployments &amp; Config'!AX361)</f>
        <v/>
      </c>
      <c r="V356" s="32" t="str">
        <f>IF('12 - Deployments &amp; Config'!BB361="","",'12 - Deployments &amp; Config'!BB361)</f>
        <v/>
      </c>
      <c r="W356" s="32" t="str">
        <f>IF('12 - Deployments &amp; Config'!BD361="","",'12 - Deployments &amp; Config'!BD361)</f>
        <v/>
      </c>
      <c r="X356" s="32" t="str">
        <f>IF('12 - Deployments &amp; Config'!BL361="","",'12 - Deployments &amp; Config'!BL361)</f>
        <v/>
      </c>
      <c r="Y356" s="32" t="str">
        <f>IF('12 - Deployments &amp; Config'!BC361="","",'12 - Deployments &amp; Config'!BC361)</f>
        <v/>
      </c>
      <c r="Z356" s="32" t="str">
        <f>IF('12 - Deployments &amp; Config'!P361="","",'12 - Deployments &amp; Config'!P361)</f>
        <v/>
      </c>
      <c r="AA356" s="32" t="str">
        <f>IF('12 - Deployments &amp; Config'!Q361="","",'12 - Deployments &amp; Config'!Q361)</f>
        <v/>
      </c>
    </row>
    <row r="357" spans="1:27">
      <c r="A357" s="33"/>
      <c r="B357" s="33"/>
      <c r="C357" s="32" t="str">
        <f>IF('12 - Deployments &amp; Config'!H362="","",'12 - Deployments &amp; Config'!H362)</f>
        <v/>
      </c>
      <c r="D357" s="32" t="str">
        <f>IF('12 - Deployments &amp; Config'!AF362="","",'12 - Deployments &amp; Config'!AF362)</f>
        <v/>
      </c>
      <c r="E357" s="32" t="str">
        <f>IF('12 - Deployments &amp; Config'!AG362="","",'12 - Deployments &amp; Config'!AG362)</f>
        <v/>
      </c>
      <c r="F357" s="32" t="str">
        <f>IF('12 - Deployments &amp; Config'!AH362="","",'12 - Deployments &amp; Config'!AH362)</f>
        <v/>
      </c>
      <c r="G357" s="32" t="str">
        <f>IF('12 - Deployments &amp; Config'!AI362="","",'12 - Deployments &amp; Config'!AI362)</f>
        <v/>
      </c>
      <c r="H357" s="32" t="str">
        <f>IF('12 - Deployments &amp; Config'!A362="","",'12 - Deployments &amp; Config'!A362)</f>
        <v/>
      </c>
      <c r="I357" s="32" t="str">
        <f>IF('12 - Deployments &amp; Config'!AJ362="","",'12 - Deployments &amp; Config'!AJ362)</f>
        <v/>
      </c>
      <c r="J357" s="32" t="str">
        <f>IF('12 - Deployments &amp; Config'!AK362="","",'12 - Deployments &amp; Config'!AK362)</f>
        <v/>
      </c>
      <c r="K357" s="32" t="str">
        <f>IF('12 - Deployments &amp; Config'!AA362="","",'12 - Deployments &amp; Config'!AA362)</f>
        <v/>
      </c>
      <c r="L357" s="32" t="str">
        <f>IF('12 - Deployments &amp; Config'!I362="","",'12 - Deployments &amp; Config'!I362)</f>
        <v/>
      </c>
      <c r="M357" s="33"/>
      <c r="N357" s="32" t="str">
        <f>IF('12 - Deployments &amp; Config'!J362="","",'12 - Deployments &amp; Config'!J362)</f>
        <v/>
      </c>
      <c r="O357" s="32" t="str">
        <f>IF('12 - Deployments &amp; Config'!K362="","",'12 - Deployments &amp; Config'!K362)</f>
        <v/>
      </c>
      <c r="P357" s="32" t="str">
        <f>IF('12 - Deployments &amp; Config'!L362="","",'12 - Deployments &amp; Config'!L362)</f>
        <v/>
      </c>
      <c r="Q357" s="33"/>
      <c r="R357" s="32" t="str">
        <f>IF('12 - Deployments &amp; Config'!AZ362="","",'12 - Deployments &amp; Config'!AZ362)</f>
        <v/>
      </c>
      <c r="S357" s="32" t="str">
        <f>IF('12 - Deployments &amp; Config'!AY362="","",'12 - Deployments &amp; Config'!AY362)</f>
        <v/>
      </c>
      <c r="T357" s="32" t="str">
        <f>IF('12 - Deployments &amp; Config'!AW362="","",'12 - Deployments &amp; Config'!AW362)</f>
        <v/>
      </c>
      <c r="U357" s="32" t="str">
        <f>IF('12 - Deployments &amp; Config'!AX362="","",'12 - Deployments &amp; Config'!AX362)</f>
        <v/>
      </c>
      <c r="V357" s="32" t="str">
        <f>IF('12 - Deployments &amp; Config'!BB362="","",'12 - Deployments &amp; Config'!BB362)</f>
        <v/>
      </c>
      <c r="W357" s="32" t="str">
        <f>IF('12 - Deployments &amp; Config'!BD362="","",'12 - Deployments &amp; Config'!BD362)</f>
        <v/>
      </c>
      <c r="X357" s="32" t="str">
        <f>IF('12 - Deployments &amp; Config'!BL362="","",'12 - Deployments &amp; Config'!BL362)</f>
        <v/>
      </c>
      <c r="Y357" s="32" t="str">
        <f>IF('12 - Deployments &amp; Config'!BC362="","",'12 - Deployments &amp; Config'!BC362)</f>
        <v/>
      </c>
      <c r="Z357" s="32" t="str">
        <f>IF('12 - Deployments &amp; Config'!P362="","",'12 - Deployments &amp; Config'!P362)</f>
        <v/>
      </c>
      <c r="AA357" s="32" t="str">
        <f>IF('12 - Deployments &amp; Config'!Q362="","",'12 - Deployments &amp; Config'!Q362)</f>
        <v/>
      </c>
    </row>
    <row r="358" spans="1:27">
      <c r="A358" s="33"/>
      <c r="B358" s="33"/>
      <c r="C358" s="32" t="str">
        <f>IF('12 - Deployments &amp; Config'!H363="","",'12 - Deployments &amp; Config'!H363)</f>
        <v/>
      </c>
      <c r="D358" s="32" t="str">
        <f>IF('12 - Deployments &amp; Config'!AF363="","",'12 - Deployments &amp; Config'!AF363)</f>
        <v/>
      </c>
      <c r="E358" s="32" t="str">
        <f>IF('12 - Deployments &amp; Config'!AG363="","",'12 - Deployments &amp; Config'!AG363)</f>
        <v/>
      </c>
      <c r="F358" s="32" t="str">
        <f>IF('12 - Deployments &amp; Config'!AH363="","",'12 - Deployments &amp; Config'!AH363)</f>
        <v/>
      </c>
      <c r="G358" s="32" t="str">
        <f>IF('12 - Deployments &amp; Config'!AI363="","",'12 - Deployments &amp; Config'!AI363)</f>
        <v/>
      </c>
      <c r="H358" s="32" t="str">
        <f>IF('12 - Deployments &amp; Config'!A363="","",'12 - Deployments &amp; Config'!A363)</f>
        <v/>
      </c>
      <c r="I358" s="32" t="str">
        <f>IF('12 - Deployments &amp; Config'!AJ363="","",'12 - Deployments &amp; Config'!AJ363)</f>
        <v/>
      </c>
      <c r="J358" s="32" t="str">
        <f>IF('12 - Deployments &amp; Config'!AK363="","",'12 - Deployments &amp; Config'!AK363)</f>
        <v/>
      </c>
      <c r="K358" s="32" t="str">
        <f>IF('12 - Deployments &amp; Config'!AA363="","",'12 - Deployments &amp; Config'!AA363)</f>
        <v/>
      </c>
      <c r="L358" s="32" t="str">
        <f>IF('12 - Deployments &amp; Config'!I363="","",'12 - Deployments &amp; Config'!I363)</f>
        <v/>
      </c>
      <c r="M358" s="33"/>
      <c r="N358" s="32" t="str">
        <f>IF('12 - Deployments &amp; Config'!J363="","",'12 - Deployments &amp; Config'!J363)</f>
        <v/>
      </c>
      <c r="O358" s="32" t="str">
        <f>IF('12 - Deployments &amp; Config'!K363="","",'12 - Deployments &amp; Config'!K363)</f>
        <v/>
      </c>
      <c r="P358" s="32" t="str">
        <f>IF('12 - Deployments &amp; Config'!L363="","",'12 - Deployments &amp; Config'!L363)</f>
        <v/>
      </c>
      <c r="Q358" s="33"/>
      <c r="R358" s="32" t="str">
        <f>IF('12 - Deployments &amp; Config'!AZ363="","",'12 - Deployments &amp; Config'!AZ363)</f>
        <v/>
      </c>
      <c r="S358" s="32" t="str">
        <f>IF('12 - Deployments &amp; Config'!AY363="","",'12 - Deployments &amp; Config'!AY363)</f>
        <v/>
      </c>
      <c r="T358" s="32" t="str">
        <f>IF('12 - Deployments &amp; Config'!AW363="","",'12 - Deployments &amp; Config'!AW363)</f>
        <v/>
      </c>
      <c r="U358" s="32" t="str">
        <f>IF('12 - Deployments &amp; Config'!AX363="","",'12 - Deployments &amp; Config'!AX363)</f>
        <v/>
      </c>
      <c r="V358" s="32" t="str">
        <f>IF('12 - Deployments &amp; Config'!BB363="","",'12 - Deployments &amp; Config'!BB363)</f>
        <v/>
      </c>
      <c r="W358" s="32" t="str">
        <f>IF('12 - Deployments &amp; Config'!BD363="","",'12 - Deployments &amp; Config'!BD363)</f>
        <v/>
      </c>
      <c r="X358" s="32" t="str">
        <f>IF('12 - Deployments &amp; Config'!BL363="","",'12 - Deployments &amp; Config'!BL363)</f>
        <v/>
      </c>
      <c r="Y358" s="32" t="str">
        <f>IF('12 - Deployments &amp; Config'!BC363="","",'12 - Deployments &amp; Config'!BC363)</f>
        <v/>
      </c>
      <c r="Z358" s="32" t="str">
        <f>IF('12 - Deployments &amp; Config'!P363="","",'12 - Deployments &amp; Config'!P363)</f>
        <v/>
      </c>
      <c r="AA358" s="32" t="str">
        <f>IF('12 - Deployments &amp; Config'!Q363="","",'12 - Deployments &amp; Config'!Q363)</f>
        <v/>
      </c>
    </row>
    <row r="359" spans="1:27">
      <c r="A359" s="33"/>
      <c r="B359" s="33"/>
      <c r="C359" s="32" t="str">
        <f>IF('12 - Deployments &amp; Config'!H364="","",'12 - Deployments &amp; Config'!H364)</f>
        <v/>
      </c>
      <c r="D359" s="32" t="str">
        <f>IF('12 - Deployments &amp; Config'!AF364="","",'12 - Deployments &amp; Config'!AF364)</f>
        <v/>
      </c>
      <c r="E359" s="32" t="str">
        <f>IF('12 - Deployments &amp; Config'!AG364="","",'12 - Deployments &amp; Config'!AG364)</f>
        <v/>
      </c>
      <c r="F359" s="32" t="str">
        <f>IF('12 - Deployments &amp; Config'!AH364="","",'12 - Deployments &amp; Config'!AH364)</f>
        <v/>
      </c>
      <c r="G359" s="32" t="str">
        <f>IF('12 - Deployments &amp; Config'!AI364="","",'12 - Deployments &amp; Config'!AI364)</f>
        <v/>
      </c>
      <c r="H359" s="32" t="str">
        <f>IF('12 - Deployments &amp; Config'!A364="","",'12 - Deployments &amp; Config'!A364)</f>
        <v/>
      </c>
      <c r="I359" s="32" t="str">
        <f>IF('12 - Deployments &amp; Config'!AJ364="","",'12 - Deployments &amp; Config'!AJ364)</f>
        <v/>
      </c>
      <c r="J359" s="32" t="str">
        <f>IF('12 - Deployments &amp; Config'!AK364="","",'12 - Deployments &amp; Config'!AK364)</f>
        <v/>
      </c>
      <c r="K359" s="32" t="str">
        <f>IF('12 - Deployments &amp; Config'!AA364="","",'12 - Deployments &amp; Config'!AA364)</f>
        <v/>
      </c>
      <c r="L359" s="32" t="str">
        <f>IF('12 - Deployments &amp; Config'!I364="","",'12 - Deployments &amp; Config'!I364)</f>
        <v/>
      </c>
      <c r="M359" s="33"/>
      <c r="N359" s="32" t="str">
        <f>IF('12 - Deployments &amp; Config'!J364="","",'12 - Deployments &amp; Config'!J364)</f>
        <v/>
      </c>
      <c r="O359" s="32" t="str">
        <f>IF('12 - Deployments &amp; Config'!K364="","",'12 - Deployments &amp; Config'!K364)</f>
        <v/>
      </c>
      <c r="P359" s="32" t="str">
        <f>IF('12 - Deployments &amp; Config'!L364="","",'12 - Deployments &amp; Config'!L364)</f>
        <v/>
      </c>
      <c r="Q359" s="33"/>
      <c r="R359" s="32" t="str">
        <f>IF('12 - Deployments &amp; Config'!AZ364="","",'12 - Deployments &amp; Config'!AZ364)</f>
        <v/>
      </c>
      <c r="S359" s="32" t="str">
        <f>IF('12 - Deployments &amp; Config'!AY364="","",'12 - Deployments &amp; Config'!AY364)</f>
        <v/>
      </c>
      <c r="T359" s="32" t="str">
        <f>IF('12 - Deployments &amp; Config'!AW364="","",'12 - Deployments &amp; Config'!AW364)</f>
        <v/>
      </c>
      <c r="U359" s="32" t="str">
        <f>IF('12 - Deployments &amp; Config'!AX364="","",'12 - Deployments &amp; Config'!AX364)</f>
        <v/>
      </c>
      <c r="V359" s="32" t="str">
        <f>IF('12 - Deployments &amp; Config'!BB364="","",'12 - Deployments &amp; Config'!BB364)</f>
        <v/>
      </c>
      <c r="W359" s="32" t="str">
        <f>IF('12 - Deployments &amp; Config'!BD364="","",'12 - Deployments &amp; Config'!BD364)</f>
        <v/>
      </c>
      <c r="X359" s="32" t="str">
        <f>IF('12 - Deployments &amp; Config'!BL364="","",'12 - Deployments &amp; Config'!BL364)</f>
        <v/>
      </c>
      <c r="Y359" s="32" t="str">
        <f>IF('12 - Deployments &amp; Config'!BC364="","",'12 - Deployments &amp; Config'!BC364)</f>
        <v/>
      </c>
      <c r="Z359" s="32" t="str">
        <f>IF('12 - Deployments &amp; Config'!P364="","",'12 - Deployments &amp; Config'!P364)</f>
        <v/>
      </c>
      <c r="AA359" s="32" t="str">
        <f>IF('12 - Deployments &amp; Config'!Q364="","",'12 - Deployments &amp; Config'!Q364)</f>
        <v/>
      </c>
    </row>
    <row r="360" spans="1:27">
      <c r="A360" s="33"/>
      <c r="B360" s="33"/>
      <c r="C360" s="32" t="str">
        <f>IF('12 - Deployments &amp; Config'!H365="","",'12 - Deployments &amp; Config'!H365)</f>
        <v/>
      </c>
      <c r="D360" s="32" t="str">
        <f>IF('12 - Deployments &amp; Config'!AF365="","",'12 - Deployments &amp; Config'!AF365)</f>
        <v/>
      </c>
      <c r="E360" s="32" t="str">
        <f>IF('12 - Deployments &amp; Config'!AG365="","",'12 - Deployments &amp; Config'!AG365)</f>
        <v/>
      </c>
      <c r="F360" s="32" t="str">
        <f>IF('12 - Deployments &amp; Config'!AH365="","",'12 - Deployments &amp; Config'!AH365)</f>
        <v/>
      </c>
      <c r="G360" s="32" t="str">
        <f>IF('12 - Deployments &amp; Config'!AI365="","",'12 - Deployments &amp; Config'!AI365)</f>
        <v/>
      </c>
      <c r="H360" s="32" t="str">
        <f>IF('12 - Deployments &amp; Config'!A365="","",'12 - Deployments &amp; Config'!A365)</f>
        <v/>
      </c>
      <c r="I360" s="32" t="str">
        <f>IF('12 - Deployments &amp; Config'!AJ365="","",'12 - Deployments &amp; Config'!AJ365)</f>
        <v/>
      </c>
      <c r="J360" s="32" t="str">
        <f>IF('12 - Deployments &amp; Config'!AK365="","",'12 - Deployments &amp; Config'!AK365)</f>
        <v/>
      </c>
      <c r="K360" s="32" t="str">
        <f>IF('12 - Deployments &amp; Config'!AA365="","",'12 - Deployments &amp; Config'!AA365)</f>
        <v/>
      </c>
      <c r="L360" s="32" t="str">
        <f>IF('12 - Deployments &amp; Config'!I365="","",'12 - Deployments &amp; Config'!I365)</f>
        <v/>
      </c>
      <c r="M360" s="33"/>
      <c r="N360" s="32" t="str">
        <f>IF('12 - Deployments &amp; Config'!J365="","",'12 - Deployments &amp; Config'!J365)</f>
        <v/>
      </c>
      <c r="O360" s="32" t="str">
        <f>IF('12 - Deployments &amp; Config'!K365="","",'12 - Deployments &amp; Config'!K365)</f>
        <v/>
      </c>
      <c r="P360" s="32" t="str">
        <f>IF('12 - Deployments &amp; Config'!L365="","",'12 - Deployments &amp; Config'!L365)</f>
        <v/>
      </c>
      <c r="Q360" s="33"/>
      <c r="R360" s="32" t="str">
        <f>IF('12 - Deployments &amp; Config'!AZ365="","",'12 - Deployments &amp; Config'!AZ365)</f>
        <v/>
      </c>
      <c r="S360" s="32" t="str">
        <f>IF('12 - Deployments &amp; Config'!AY365="","",'12 - Deployments &amp; Config'!AY365)</f>
        <v/>
      </c>
      <c r="T360" s="32" t="str">
        <f>IF('12 - Deployments &amp; Config'!AW365="","",'12 - Deployments &amp; Config'!AW365)</f>
        <v/>
      </c>
      <c r="U360" s="32" t="str">
        <f>IF('12 - Deployments &amp; Config'!AX365="","",'12 - Deployments &amp; Config'!AX365)</f>
        <v/>
      </c>
      <c r="V360" s="32" t="str">
        <f>IF('12 - Deployments &amp; Config'!BB365="","",'12 - Deployments &amp; Config'!BB365)</f>
        <v/>
      </c>
      <c r="W360" s="32" t="str">
        <f>IF('12 - Deployments &amp; Config'!BD365="","",'12 - Deployments &amp; Config'!BD365)</f>
        <v/>
      </c>
      <c r="X360" s="32" t="str">
        <f>IF('12 - Deployments &amp; Config'!BL365="","",'12 - Deployments &amp; Config'!BL365)</f>
        <v/>
      </c>
      <c r="Y360" s="32" t="str">
        <f>IF('12 - Deployments &amp; Config'!BC365="","",'12 - Deployments &amp; Config'!BC365)</f>
        <v/>
      </c>
      <c r="Z360" s="32" t="str">
        <f>IF('12 - Deployments &amp; Config'!P365="","",'12 - Deployments &amp; Config'!P365)</f>
        <v/>
      </c>
      <c r="AA360" s="32" t="str">
        <f>IF('12 - Deployments &amp; Config'!Q365="","",'12 - Deployments &amp; Config'!Q365)</f>
        <v/>
      </c>
    </row>
    <row r="361" spans="1:27">
      <c r="A361" s="33"/>
      <c r="B361" s="33"/>
      <c r="C361" s="32" t="str">
        <f>IF('12 - Deployments &amp; Config'!H366="","",'12 - Deployments &amp; Config'!H366)</f>
        <v/>
      </c>
      <c r="D361" s="32" t="str">
        <f>IF('12 - Deployments &amp; Config'!AF366="","",'12 - Deployments &amp; Config'!AF366)</f>
        <v/>
      </c>
      <c r="E361" s="32" t="str">
        <f>IF('12 - Deployments &amp; Config'!AG366="","",'12 - Deployments &amp; Config'!AG366)</f>
        <v/>
      </c>
      <c r="F361" s="32" t="str">
        <f>IF('12 - Deployments &amp; Config'!AH366="","",'12 - Deployments &amp; Config'!AH366)</f>
        <v/>
      </c>
      <c r="G361" s="32" t="str">
        <f>IF('12 - Deployments &amp; Config'!AI366="","",'12 - Deployments &amp; Config'!AI366)</f>
        <v/>
      </c>
      <c r="H361" s="32" t="str">
        <f>IF('12 - Deployments &amp; Config'!A366="","",'12 - Deployments &amp; Config'!A366)</f>
        <v/>
      </c>
      <c r="I361" s="32" t="str">
        <f>IF('12 - Deployments &amp; Config'!AJ366="","",'12 - Deployments &amp; Config'!AJ366)</f>
        <v/>
      </c>
      <c r="J361" s="32" t="str">
        <f>IF('12 - Deployments &amp; Config'!AK366="","",'12 - Deployments &amp; Config'!AK366)</f>
        <v/>
      </c>
      <c r="K361" s="32" t="str">
        <f>IF('12 - Deployments &amp; Config'!AA366="","",'12 - Deployments &amp; Config'!AA366)</f>
        <v/>
      </c>
      <c r="L361" s="32" t="str">
        <f>IF('12 - Deployments &amp; Config'!I366="","",'12 - Deployments &amp; Config'!I366)</f>
        <v/>
      </c>
      <c r="M361" s="33"/>
      <c r="N361" s="32" t="str">
        <f>IF('12 - Deployments &amp; Config'!J366="","",'12 - Deployments &amp; Config'!J366)</f>
        <v/>
      </c>
      <c r="O361" s="32" t="str">
        <f>IF('12 - Deployments &amp; Config'!K366="","",'12 - Deployments &amp; Config'!K366)</f>
        <v/>
      </c>
      <c r="P361" s="32" t="str">
        <f>IF('12 - Deployments &amp; Config'!L366="","",'12 - Deployments &amp; Config'!L366)</f>
        <v/>
      </c>
      <c r="Q361" s="33"/>
      <c r="R361" s="32" t="str">
        <f>IF('12 - Deployments &amp; Config'!AZ366="","",'12 - Deployments &amp; Config'!AZ366)</f>
        <v/>
      </c>
      <c r="S361" s="32" t="str">
        <f>IF('12 - Deployments &amp; Config'!AY366="","",'12 - Deployments &amp; Config'!AY366)</f>
        <v/>
      </c>
      <c r="T361" s="32" t="str">
        <f>IF('12 - Deployments &amp; Config'!AW366="","",'12 - Deployments &amp; Config'!AW366)</f>
        <v/>
      </c>
      <c r="U361" s="32" t="str">
        <f>IF('12 - Deployments &amp; Config'!AX366="","",'12 - Deployments &amp; Config'!AX366)</f>
        <v/>
      </c>
      <c r="V361" s="32" t="str">
        <f>IF('12 - Deployments &amp; Config'!BB366="","",'12 - Deployments &amp; Config'!BB366)</f>
        <v/>
      </c>
      <c r="W361" s="32" t="str">
        <f>IF('12 - Deployments &amp; Config'!BD366="","",'12 - Deployments &amp; Config'!BD366)</f>
        <v/>
      </c>
      <c r="X361" s="32" t="str">
        <f>IF('12 - Deployments &amp; Config'!BL366="","",'12 - Deployments &amp; Config'!BL366)</f>
        <v/>
      </c>
      <c r="Y361" s="32" t="str">
        <f>IF('12 - Deployments &amp; Config'!BC366="","",'12 - Deployments &amp; Config'!BC366)</f>
        <v/>
      </c>
      <c r="Z361" s="32" t="str">
        <f>IF('12 - Deployments &amp; Config'!P366="","",'12 - Deployments &amp; Config'!P366)</f>
        <v/>
      </c>
      <c r="AA361" s="32" t="str">
        <f>IF('12 - Deployments &amp; Config'!Q366="","",'12 - Deployments &amp; Config'!Q366)</f>
        <v/>
      </c>
    </row>
    <row r="362" spans="1:27">
      <c r="A362" s="33"/>
      <c r="B362" s="33"/>
      <c r="C362" s="32" t="str">
        <f>IF('12 - Deployments &amp; Config'!H367="","",'12 - Deployments &amp; Config'!H367)</f>
        <v/>
      </c>
      <c r="D362" s="32" t="str">
        <f>IF('12 - Deployments &amp; Config'!AF367="","",'12 - Deployments &amp; Config'!AF367)</f>
        <v/>
      </c>
      <c r="E362" s="32" t="str">
        <f>IF('12 - Deployments &amp; Config'!AG367="","",'12 - Deployments &amp; Config'!AG367)</f>
        <v/>
      </c>
      <c r="F362" s="32" t="str">
        <f>IF('12 - Deployments &amp; Config'!AH367="","",'12 - Deployments &amp; Config'!AH367)</f>
        <v/>
      </c>
      <c r="G362" s="32" t="str">
        <f>IF('12 - Deployments &amp; Config'!AI367="","",'12 - Deployments &amp; Config'!AI367)</f>
        <v/>
      </c>
      <c r="H362" s="32" t="str">
        <f>IF('12 - Deployments &amp; Config'!A367="","",'12 - Deployments &amp; Config'!A367)</f>
        <v/>
      </c>
      <c r="I362" s="32" t="str">
        <f>IF('12 - Deployments &amp; Config'!AJ367="","",'12 - Deployments &amp; Config'!AJ367)</f>
        <v/>
      </c>
      <c r="J362" s="32" t="str">
        <f>IF('12 - Deployments &amp; Config'!AK367="","",'12 - Deployments &amp; Config'!AK367)</f>
        <v/>
      </c>
      <c r="K362" s="32" t="str">
        <f>IF('12 - Deployments &amp; Config'!AA367="","",'12 - Deployments &amp; Config'!AA367)</f>
        <v/>
      </c>
      <c r="L362" s="32" t="str">
        <f>IF('12 - Deployments &amp; Config'!I367="","",'12 - Deployments &amp; Config'!I367)</f>
        <v/>
      </c>
      <c r="M362" s="33"/>
      <c r="N362" s="32" t="str">
        <f>IF('12 - Deployments &amp; Config'!J367="","",'12 - Deployments &amp; Config'!J367)</f>
        <v/>
      </c>
      <c r="O362" s="32" t="str">
        <f>IF('12 - Deployments &amp; Config'!K367="","",'12 - Deployments &amp; Config'!K367)</f>
        <v/>
      </c>
      <c r="P362" s="32" t="str">
        <f>IF('12 - Deployments &amp; Config'!L367="","",'12 - Deployments &amp; Config'!L367)</f>
        <v/>
      </c>
      <c r="Q362" s="33"/>
      <c r="R362" s="32" t="str">
        <f>IF('12 - Deployments &amp; Config'!AZ367="","",'12 - Deployments &amp; Config'!AZ367)</f>
        <v/>
      </c>
      <c r="S362" s="32" t="str">
        <f>IF('12 - Deployments &amp; Config'!AY367="","",'12 - Deployments &amp; Config'!AY367)</f>
        <v/>
      </c>
      <c r="T362" s="32" t="str">
        <f>IF('12 - Deployments &amp; Config'!AW367="","",'12 - Deployments &amp; Config'!AW367)</f>
        <v/>
      </c>
      <c r="U362" s="32" t="str">
        <f>IF('12 - Deployments &amp; Config'!AX367="","",'12 - Deployments &amp; Config'!AX367)</f>
        <v/>
      </c>
      <c r="V362" s="32" t="str">
        <f>IF('12 - Deployments &amp; Config'!BB367="","",'12 - Deployments &amp; Config'!BB367)</f>
        <v/>
      </c>
      <c r="W362" s="32" t="str">
        <f>IF('12 - Deployments &amp; Config'!BD367="","",'12 - Deployments &amp; Config'!BD367)</f>
        <v/>
      </c>
      <c r="X362" s="32" t="str">
        <f>IF('12 - Deployments &amp; Config'!BL367="","",'12 - Deployments &amp; Config'!BL367)</f>
        <v/>
      </c>
      <c r="Y362" s="32" t="str">
        <f>IF('12 - Deployments &amp; Config'!BC367="","",'12 - Deployments &amp; Config'!BC367)</f>
        <v/>
      </c>
      <c r="Z362" s="32" t="str">
        <f>IF('12 - Deployments &amp; Config'!P367="","",'12 - Deployments &amp; Config'!P367)</f>
        <v/>
      </c>
      <c r="AA362" s="32" t="str">
        <f>IF('12 - Deployments &amp; Config'!Q367="","",'12 - Deployments &amp; Config'!Q367)</f>
        <v/>
      </c>
    </row>
    <row r="363" spans="1:27">
      <c r="A363" s="33"/>
      <c r="B363" s="33"/>
      <c r="C363" s="32" t="str">
        <f>IF('12 - Deployments &amp; Config'!H368="","",'12 - Deployments &amp; Config'!H368)</f>
        <v/>
      </c>
      <c r="D363" s="32" t="str">
        <f>IF('12 - Deployments &amp; Config'!AF368="","",'12 - Deployments &amp; Config'!AF368)</f>
        <v/>
      </c>
      <c r="E363" s="32" t="str">
        <f>IF('12 - Deployments &amp; Config'!AG368="","",'12 - Deployments &amp; Config'!AG368)</f>
        <v/>
      </c>
      <c r="F363" s="32" t="str">
        <f>IF('12 - Deployments &amp; Config'!AH368="","",'12 - Deployments &amp; Config'!AH368)</f>
        <v/>
      </c>
      <c r="G363" s="32" t="str">
        <f>IF('12 - Deployments &amp; Config'!AI368="","",'12 - Deployments &amp; Config'!AI368)</f>
        <v/>
      </c>
      <c r="H363" s="32" t="str">
        <f>IF('12 - Deployments &amp; Config'!A368="","",'12 - Deployments &amp; Config'!A368)</f>
        <v/>
      </c>
      <c r="I363" s="32" t="str">
        <f>IF('12 - Deployments &amp; Config'!AJ368="","",'12 - Deployments &amp; Config'!AJ368)</f>
        <v/>
      </c>
      <c r="J363" s="32" t="str">
        <f>IF('12 - Deployments &amp; Config'!AK368="","",'12 - Deployments &amp; Config'!AK368)</f>
        <v/>
      </c>
      <c r="K363" s="32" t="str">
        <f>IF('12 - Deployments &amp; Config'!AA368="","",'12 - Deployments &amp; Config'!AA368)</f>
        <v/>
      </c>
      <c r="L363" s="32" t="str">
        <f>IF('12 - Deployments &amp; Config'!I368="","",'12 - Deployments &amp; Config'!I368)</f>
        <v/>
      </c>
      <c r="M363" s="33"/>
      <c r="N363" s="32" t="str">
        <f>IF('12 - Deployments &amp; Config'!J368="","",'12 - Deployments &amp; Config'!J368)</f>
        <v/>
      </c>
      <c r="O363" s="32" t="str">
        <f>IF('12 - Deployments &amp; Config'!K368="","",'12 - Deployments &amp; Config'!K368)</f>
        <v/>
      </c>
      <c r="P363" s="32" t="str">
        <f>IF('12 - Deployments &amp; Config'!L368="","",'12 - Deployments &amp; Config'!L368)</f>
        <v/>
      </c>
      <c r="Q363" s="33"/>
      <c r="R363" s="32" t="str">
        <f>IF('12 - Deployments &amp; Config'!AZ368="","",'12 - Deployments &amp; Config'!AZ368)</f>
        <v/>
      </c>
      <c r="S363" s="32" t="str">
        <f>IF('12 - Deployments &amp; Config'!AY368="","",'12 - Deployments &amp; Config'!AY368)</f>
        <v/>
      </c>
      <c r="T363" s="32" t="str">
        <f>IF('12 - Deployments &amp; Config'!AW368="","",'12 - Deployments &amp; Config'!AW368)</f>
        <v/>
      </c>
      <c r="U363" s="32" t="str">
        <f>IF('12 - Deployments &amp; Config'!AX368="","",'12 - Deployments &amp; Config'!AX368)</f>
        <v/>
      </c>
      <c r="V363" s="32" t="str">
        <f>IF('12 - Deployments &amp; Config'!BB368="","",'12 - Deployments &amp; Config'!BB368)</f>
        <v/>
      </c>
      <c r="W363" s="32" t="str">
        <f>IF('12 - Deployments &amp; Config'!BD368="","",'12 - Deployments &amp; Config'!BD368)</f>
        <v/>
      </c>
      <c r="X363" s="32" t="str">
        <f>IF('12 - Deployments &amp; Config'!BL368="","",'12 - Deployments &amp; Config'!BL368)</f>
        <v/>
      </c>
      <c r="Y363" s="32" t="str">
        <f>IF('12 - Deployments &amp; Config'!BC368="","",'12 - Deployments &amp; Config'!BC368)</f>
        <v/>
      </c>
      <c r="Z363" s="32" t="str">
        <f>IF('12 - Deployments &amp; Config'!P368="","",'12 - Deployments &amp; Config'!P368)</f>
        <v/>
      </c>
      <c r="AA363" s="32" t="str">
        <f>IF('12 - Deployments &amp; Config'!Q368="","",'12 - Deployments &amp; Config'!Q368)</f>
        <v/>
      </c>
    </row>
    <row r="364" spans="1:27">
      <c r="A364" s="33"/>
      <c r="B364" s="33"/>
      <c r="C364" s="32" t="str">
        <f>IF('12 - Deployments &amp; Config'!H369="","",'12 - Deployments &amp; Config'!H369)</f>
        <v/>
      </c>
      <c r="D364" s="32" t="str">
        <f>IF('12 - Deployments &amp; Config'!AF369="","",'12 - Deployments &amp; Config'!AF369)</f>
        <v/>
      </c>
      <c r="E364" s="32" t="str">
        <f>IF('12 - Deployments &amp; Config'!AG369="","",'12 - Deployments &amp; Config'!AG369)</f>
        <v/>
      </c>
      <c r="F364" s="32" t="str">
        <f>IF('12 - Deployments &amp; Config'!AH369="","",'12 - Deployments &amp; Config'!AH369)</f>
        <v/>
      </c>
      <c r="G364" s="32" t="str">
        <f>IF('12 - Deployments &amp; Config'!AI369="","",'12 - Deployments &amp; Config'!AI369)</f>
        <v/>
      </c>
      <c r="H364" s="32" t="str">
        <f>IF('12 - Deployments &amp; Config'!A369="","",'12 - Deployments &amp; Config'!A369)</f>
        <v/>
      </c>
      <c r="I364" s="32" t="str">
        <f>IF('12 - Deployments &amp; Config'!AJ369="","",'12 - Deployments &amp; Config'!AJ369)</f>
        <v/>
      </c>
      <c r="J364" s="32" t="str">
        <f>IF('12 - Deployments &amp; Config'!AK369="","",'12 - Deployments &amp; Config'!AK369)</f>
        <v/>
      </c>
      <c r="K364" s="32" t="str">
        <f>IF('12 - Deployments &amp; Config'!AA369="","",'12 - Deployments &amp; Config'!AA369)</f>
        <v/>
      </c>
      <c r="L364" s="32" t="str">
        <f>IF('12 - Deployments &amp; Config'!I369="","",'12 - Deployments &amp; Config'!I369)</f>
        <v/>
      </c>
      <c r="M364" s="33"/>
      <c r="N364" s="32" t="str">
        <f>IF('12 - Deployments &amp; Config'!J369="","",'12 - Deployments &amp; Config'!J369)</f>
        <v/>
      </c>
      <c r="O364" s="32" t="str">
        <f>IF('12 - Deployments &amp; Config'!K369="","",'12 - Deployments &amp; Config'!K369)</f>
        <v/>
      </c>
      <c r="P364" s="32" t="str">
        <f>IF('12 - Deployments &amp; Config'!L369="","",'12 - Deployments &amp; Config'!L369)</f>
        <v/>
      </c>
      <c r="Q364" s="33"/>
      <c r="R364" s="32" t="str">
        <f>IF('12 - Deployments &amp; Config'!AZ369="","",'12 - Deployments &amp; Config'!AZ369)</f>
        <v/>
      </c>
      <c r="S364" s="32" t="str">
        <f>IF('12 - Deployments &amp; Config'!AY369="","",'12 - Deployments &amp; Config'!AY369)</f>
        <v/>
      </c>
      <c r="T364" s="32" t="str">
        <f>IF('12 - Deployments &amp; Config'!AW369="","",'12 - Deployments &amp; Config'!AW369)</f>
        <v/>
      </c>
      <c r="U364" s="32" t="str">
        <f>IF('12 - Deployments &amp; Config'!AX369="","",'12 - Deployments &amp; Config'!AX369)</f>
        <v/>
      </c>
      <c r="V364" s="32" t="str">
        <f>IF('12 - Deployments &amp; Config'!BB369="","",'12 - Deployments &amp; Config'!BB369)</f>
        <v/>
      </c>
      <c r="W364" s="32" t="str">
        <f>IF('12 - Deployments &amp; Config'!BD369="","",'12 - Deployments &amp; Config'!BD369)</f>
        <v/>
      </c>
      <c r="X364" s="32" t="str">
        <f>IF('12 - Deployments &amp; Config'!BL369="","",'12 - Deployments &amp; Config'!BL369)</f>
        <v/>
      </c>
      <c r="Y364" s="32" t="str">
        <f>IF('12 - Deployments &amp; Config'!BC369="","",'12 - Deployments &amp; Config'!BC369)</f>
        <v/>
      </c>
      <c r="Z364" s="32" t="str">
        <f>IF('12 - Deployments &amp; Config'!P369="","",'12 - Deployments &amp; Config'!P369)</f>
        <v/>
      </c>
      <c r="AA364" s="32" t="str">
        <f>IF('12 - Deployments &amp; Config'!Q369="","",'12 - Deployments &amp; Config'!Q369)</f>
        <v/>
      </c>
    </row>
    <row r="365" spans="1:27">
      <c r="A365" s="33"/>
      <c r="B365" s="33"/>
      <c r="C365" s="32" t="str">
        <f>IF('12 - Deployments &amp; Config'!H370="","",'12 - Deployments &amp; Config'!H370)</f>
        <v/>
      </c>
      <c r="D365" s="32" t="str">
        <f>IF('12 - Deployments &amp; Config'!AF370="","",'12 - Deployments &amp; Config'!AF370)</f>
        <v/>
      </c>
      <c r="E365" s="32" t="str">
        <f>IF('12 - Deployments &amp; Config'!AG370="","",'12 - Deployments &amp; Config'!AG370)</f>
        <v/>
      </c>
      <c r="F365" s="32" t="str">
        <f>IF('12 - Deployments &amp; Config'!AH370="","",'12 - Deployments &amp; Config'!AH370)</f>
        <v/>
      </c>
      <c r="G365" s="32" t="str">
        <f>IF('12 - Deployments &amp; Config'!AI370="","",'12 - Deployments &amp; Config'!AI370)</f>
        <v/>
      </c>
      <c r="H365" s="32" t="str">
        <f>IF('12 - Deployments &amp; Config'!A370="","",'12 - Deployments &amp; Config'!A370)</f>
        <v/>
      </c>
      <c r="I365" s="32" t="str">
        <f>IF('12 - Deployments &amp; Config'!AJ370="","",'12 - Deployments &amp; Config'!AJ370)</f>
        <v/>
      </c>
      <c r="J365" s="32" t="str">
        <f>IF('12 - Deployments &amp; Config'!AK370="","",'12 - Deployments &amp; Config'!AK370)</f>
        <v/>
      </c>
      <c r="K365" s="32" t="str">
        <f>IF('12 - Deployments &amp; Config'!AA370="","",'12 - Deployments &amp; Config'!AA370)</f>
        <v/>
      </c>
      <c r="L365" s="32" t="str">
        <f>IF('12 - Deployments &amp; Config'!I370="","",'12 - Deployments &amp; Config'!I370)</f>
        <v/>
      </c>
      <c r="M365" s="33"/>
      <c r="N365" s="32" t="str">
        <f>IF('12 - Deployments &amp; Config'!J370="","",'12 - Deployments &amp; Config'!J370)</f>
        <v/>
      </c>
      <c r="O365" s="32" t="str">
        <f>IF('12 - Deployments &amp; Config'!K370="","",'12 - Deployments &amp; Config'!K370)</f>
        <v/>
      </c>
      <c r="P365" s="32" t="str">
        <f>IF('12 - Deployments &amp; Config'!L370="","",'12 - Deployments &amp; Config'!L370)</f>
        <v/>
      </c>
      <c r="Q365" s="33"/>
      <c r="R365" s="32" t="str">
        <f>IF('12 - Deployments &amp; Config'!AZ370="","",'12 - Deployments &amp; Config'!AZ370)</f>
        <v/>
      </c>
      <c r="S365" s="32" t="str">
        <f>IF('12 - Deployments &amp; Config'!AY370="","",'12 - Deployments &amp; Config'!AY370)</f>
        <v/>
      </c>
      <c r="T365" s="32" t="str">
        <f>IF('12 - Deployments &amp; Config'!AW370="","",'12 - Deployments &amp; Config'!AW370)</f>
        <v/>
      </c>
      <c r="U365" s="32" t="str">
        <f>IF('12 - Deployments &amp; Config'!AX370="","",'12 - Deployments &amp; Config'!AX370)</f>
        <v/>
      </c>
      <c r="V365" s="32" t="str">
        <f>IF('12 - Deployments &amp; Config'!BB370="","",'12 - Deployments &amp; Config'!BB370)</f>
        <v/>
      </c>
      <c r="W365" s="32" t="str">
        <f>IF('12 - Deployments &amp; Config'!BD370="","",'12 - Deployments &amp; Config'!BD370)</f>
        <v/>
      </c>
      <c r="X365" s="32" t="str">
        <f>IF('12 - Deployments &amp; Config'!BL370="","",'12 - Deployments &amp; Config'!BL370)</f>
        <v/>
      </c>
      <c r="Y365" s="32" t="str">
        <f>IF('12 - Deployments &amp; Config'!BC370="","",'12 - Deployments &amp; Config'!BC370)</f>
        <v/>
      </c>
      <c r="Z365" s="32" t="str">
        <f>IF('12 - Deployments &amp; Config'!P370="","",'12 - Deployments &amp; Config'!P370)</f>
        <v/>
      </c>
      <c r="AA365" s="32" t="str">
        <f>IF('12 - Deployments &amp; Config'!Q370="","",'12 - Deployments &amp; Config'!Q370)</f>
        <v/>
      </c>
    </row>
    <row r="366" spans="1:27">
      <c r="A366" s="33"/>
      <c r="B366" s="33"/>
      <c r="C366" s="32" t="str">
        <f>IF('12 - Deployments &amp; Config'!H371="","",'12 - Deployments &amp; Config'!H371)</f>
        <v/>
      </c>
      <c r="D366" s="32" t="str">
        <f>IF('12 - Deployments &amp; Config'!AF371="","",'12 - Deployments &amp; Config'!AF371)</f>
        <v/>
      </c>
      <c r="E366" s="32" t="str">
        <f>IF('12 - Deployments &amp; Config'!AG371="","",'12 - Deployments &amp; Config'!AG371)</f>
        <v/>
      </c>
      <c r="F366" s="32" t="str">
        <f>IF('12 - Deployments &amp; Config'!AH371="","",'12 - Deployments &amp; Config'!AH371)</f>
        <v/>
      </c>
      <c r="G366" s="32" t="str">
        <f>IF('12 - Deployments &amp; Config'!AI371="","",'12 - Deployments &amp; Config'!AI371)</f>
        <v/>
      </c>
      <c r="H366" s="32" t="str">
        <f>IF('12 - Deployments &amp; Config'!A371="","",'12 - Deployments &amp; Config'!A371)</f>
        <v/>
      </c>
      <c r="I366" s="32" t="str">
        <f>IF('12 - Deployments &amp; Config'!AJ371="","",'12 - Deployments &amp; Config'!AJ371)</f>
        <v/>
      </c>
      <c r="J366" s="32" t="str">
        <f>IF('12 - Deployments &amp; Config'!AK371="","",'12 - Deployments &amp; Config'!AK371)</f>
        <v/>
      </c>
      <c r="K366" s="32" t="str">
        <f>IF('12 - Deployments &amp; Config'!AA371="","",'12 - Deployments &amp; Config'!AA371)</f>
        <v/>
      </c>
      <c r="L366" s="32" t="str">
        <f>IF('12 - Deployments &amp; Config'!I371="","",'12 - Deployments &amp; Config'!I371)</f>
        <v/>
      </c>
      <c r="M366" s="33"/>
      <c r="N366" s="32" t="str">
        <f>IF('12 - Deployments &amp; Config'!J371="","",'12 - Deployments &amp; Config'!J371)</f>
        <v/>
      </c>
      <c r="O366" s="32" t="str">
        <f>IF('12 - Deployments &amp; Config'!K371="","",'12 - Deployments &amp; Config'!K371)</f>
        <v/>
      </c>
      <c r="P366" s="32" t="str">
        <f>IF('12 - Deployments &amp; Config'!L371="","",'12 - Deployments &amp; Config'!L371)</f>
        <v/>
      </c>
      <c r="Q366" s="33"/>
      <c r="R366" s="32" t="str">
        <f>IF('12 - Deployments &amp; Config'!AZ371="","",'12 - Deployments &amp; Config'!AZ371)</f>
        <v/>
      </c>
      <c r="S366" s="32" t="str">
        <f>IF('12 - Deployments &amp; Config'!AY371="","",'12 - Deployments &amp; Config'!AY371)</f>
        <v/>
      </c>
      <c r="T366" s="32" t="str">
        <f>IF('12 - Deployments &amp; Config'!AW371="","",'12 - Deployments &amp; Config'!AW371)</f>
        <v/>
      </c>
      <c r="U366" s="32" t="str">
        <f>IF('12 - Deployments &amp; Config'!AX371="","",'12 - Deployments &amp; Config'!AX371)</f>
        <v/>
      </c>
      <c r="V366" s="32" t="str">
        <f>IF('12 - Deployments &amp; Config'!BB371="","",'12 - Deployments &amp; Config'!BB371)</f>
        <v/>
      </c>
      <c r="W366" s="32" t="str">
        <f>IF('12 - Deployments &amp; Config'!BD371="","",'12 - Deployments &amp; Config'!BD371)</f>
        <v/>
      </c>
      <c r="X366" s="32" t="str">
        <f>IF('12 - Deployments &amp; Config'!BL371="","",'12 - Deployments &amp; Config'!BL371)</f>
        <v/>
      </c>
      <c r="Y366" s="32" t="str">
        <f>IF('12 - Deployments &amp; Config'!BC371="","",'12 - Deployments &amp; Config'!BC371)</f>
        <v/>
      </c>
      <c r="Z366" s="32" t="str">
        <f>IF('12 - Deployments &amp; Config'!P371="","",'12 - Deployments &amp; Config'!P371)</f>
        <v/>
      </c>
      <c r="AA366" s="32" t="str">
        <f>IF('12 - Deployments &amp; Config'!Q371="","",'12 - Deployments &amp; Config'!Q371)</f>
        <v/>
      </c>
    </row>
    <row r="367" spans="1:27">
      <c r="A367" s="33"/>
      <c r="B367" s="33"/>
      <c r="C367" s="32" t="str">
        <f>IF('12 - Deployments &amp; Config'!H372="","",'12 - Deployments &amp; Config'!H372)</f>
        <v/>
      </c>
      <c r="D367" s="32" t="str">
        <f>IF('12 - Deployments &amp; Config'!AF372="","",'12 - Deployments &amp; Config'!AF372)</f>
        <v/>
      </c>
      <c r="E367" s="32" t="str">
        <f>IF('12 - Deployments &amp; Config'!AG372="","",'12 - Deployments &amp; Config'!AG372)</f>
        <v/>
      </c>
      <c r="F367" s="32" t="str">
        <f>IF('12 - Deployments &amp; Config'!AH372="","",'12 - Deployments &amp; Config'!AH372)</f>
        <v/>
      </c>
      <c r="G367" s="32" t="str">
        <f>IF('12 - Deployments &amp; Config'!AI372="","",'12 - Deployments &amp; Config'!AI372)</f>
        <v/>
      </c>
      <c r="H367" s="32" t="str">
        <f>IF('12 - Deployments &amp; Config'!A372="","",'12 - Deployments &amp; Config'!A372)</f>
        <v/>
      </c>
      <c r="I367" s="32" t="str">
        <f>IF('12 - Deployments &amp; Config'!AJ372="","",'12 - Deployments &amp; Config'!AJ372)</f>
        <v/>
      </c>
      <c r="J367" s="32" t="str">
        <f>IF('12 - Deployments &amp; Config'!AK372="","",'12 - Deployments &amp; Config'!AK372)</f>
        <v/>
      </c>
      <c r="K367" s="32" t="str">
        <f>IF('12 - Deployments &amp; Config'!AA372="","",'12 - Deployments &amp; Config'!AA372)</f>
        <v/>
      </c>
      <c r="L367" s="32" t="str">
        <f>IF('12 - Deployments &amp; Config'!I372="","",'12 - Deployments &amp; Config'!I372)</f>
        <v/>
      </c>
      <c r="M367" s="33"/>
      <c r="N367" s="32" t="str">
        <f>IF('12 - Deployments &amp; Config'!J372="","",'12 - Deployments &amp; Config'!J372)</f>
        <v/>
      </c>
      <c r="O367" s="32" t="str">
        <f>IF('12 - Deployments &amp; Config'!K372="","",'12 - Deployments &amp; Config'!K372)</f>
        <v/>
      </c>
      <c r="P367" s="32" t="str">
        <f>IF('12 - Deployments &amp; Config'!L372="","",'12 - Deployments &amp; Config'!L372)</f>
        <v/>
      </c>
      <c r="Q367" s="33"/>
      <c r="R367" s="32" t="str">
        <f>IF('12 - Deployments &amp; Config'!AZ372="","",'12 - Deployments &amp; Config'!AZ372)</f>
        <v/>
      </c>
      <c r="S367" s="32" t="str">
        <f>IF('12 - Deployments &amp; Config'!AY372="","",'12 - Deployments &amp; Config'!AY372)</f>
        <v/>
      </c>
      <c r="T367" s="32" t="str">
        <f>IF('12 - Deployments &amp; Config'!AW372="","",'12 - Deployments &amp; Config'!AW372)</f>
        <v/>
      </c>
      <c r="U367" s="32" t="str">
        <f>IF('12 - Deployments &amp; Config'!AX372="","",'12 - Deployments &amp; Config'!AX372)</f>
        <v/>
      </c>
      <c r="V367" s="32" t="str">
        <f>IF('12 - Deployments &amp; Config'!BB372="","",'12 - Deployments &amp; Config'!BB372)</f>
        <v/>
      </c>
      <c r="W367" s="32" t="str">
        <f>IF('12 - Deployments &amp; Config'!BD372="","",'12 - Deployments &amp; Config'!BD372)</f>
        <v/>
      </c>
      <c r="X367" s="32" t="str">
        <f>IF('12 - Deployments &amp; Config'!BL372="","",'12 - Deployments &amp; Config'!BL372)</f>
        <v/>
      </c>
      <c r="Y367" s="32" t="str">
        <f>IF('12 - Deployments &amp; Config'!BC372="","",'12 - Deployments &amp; Config'!BC372)</f>
        <v/>
      </c>
      <c r="Z367" s="32" t="str">
        <f>IF('12 - Deployments &amp; Config'!P372="","",'12 - Deployments &amp; Config'!P372)</f>
        <v/>
      </c>
      <c r="AA367" s="32" t="str">
        <f>IF('12 - Deployments &amp; Config'!Q372="","",'12 - Deployments &amp; Config'!Q372)</f>
        <v/>
      </c>
    </row>
    <row r="368" spans="1:27">
      <c r="A368" s="33"/>
      <c r="B368" s="33"/>
      <c r="C368" s="32" t="str">
        <f>IF('12 - Deployments &amp; Config'!H373="","",'12 - Deployments &amp; Config'!H373)</f>
        <v/>
      </c>
      <c r="D368" s="32" t="str">
        <f>IF('12 - Deployments &amp; Config'!AF373="","",'12 - Deployments &amp; Config'!AF373)</f>
        <v/>
      </c>
      <c r="E368" s="32" t="str">
        <f>IF('12 - Deployments &amp; Config'!AG373="","",'12 - Deployments &amp; Config'!AG373)</f>
        <v/>
      </c>
      <c r="F368" s="32" t="str">
        <f>IF('12 - Deployments &amp; Config'!AH373="","",'12 - Deployments &amp; Config'!AH373)</f>
        <v/>
      </c>
      <c r="G368" s="32" t="str">
        <f>IF('12 - Deployments &amp; Config'!AI373="","",'12 - Deployments &amp; Config'!AI373)</f>
        <v/>
      </c>
      <c r="H368" s="32" t="str">
        <f>IF('12 - Deployments &amp; Config'!A373="","",'12 - Deployments &amp; Config'!A373)</f>
        <v/>
      </c>
      <c r="I368" s="32" t="str">
        <f>IF('12 - Deployments &amp; Config'!AJ373="","",'12 - Deployments &amp; Config'!AJ373)</f>
        <v/>
      </c>
      <c r="J368" s="32" t="str">
        <f>IF('12 - Deployments &amp; Config'!AK373="","",'12 - Deployments &amp; Config'!AK373)</f>
        <v/>
      </c>
      <c r="K368" s="32" t="str">
        <f>IF('12 - Deployments &amp; Config'!AA373="","",'12 - Deployments &amp; Config'!AA373)</f>
        <v/>
      </c>
      <c r="L368" s="32" t="str">
        <f>IF('12 - Deployments &amp; Config'!I373="","",'12 - Deployments &amp; Config'!I373)</f>
        <v/>
      </c>
      <c r="M368" s="33"/>
      <c r="N368" s="32" t="str">
        <f>IF('12 - Deployments &amp; Config'!J373="","",'12 - Deployments &amp; Config'!J373)</f>
        <v/>
      </c>
      <c r="O368" s="32" t="str">
        <f>IF('12 - Deployments &amp; Config'!K373="","",'12 - Deployments &amp; Config'!K373)</f>
        <v/>
      </c>
      <c r="P368" s="32" t="str">
        <f>IF('12 - Deployments &amp; Config'!L373="","",'12 - Deployments &amp; Config'!L373)</f>
        <v/>
      </c>
      <c r="Q368" s="33"/>
      <c r="R368" s="32" t="str">
        <f>IF('12 - Deployments &amp; Config'!AZ373="","",'12 - Deployments &amp; Config'!AZ373)</f>
        <v/>
      </c>
      <c r="S368" s="32" t="str">
        <f>IF('12 - Deployments &amp; Config'!AY373="","",'12 - Deployments &amp; Config'!AY373)</f>
        <v/>
      </c>
      <c r="T368" s="32" t="str">
        <f>IF('12 - Deployments &amp; Config'!AW373="","",'12 - Deployments &amp; Config'!AW373)</f>
        <v/>
      </c>
      <c r="U368" s="32" t="str">
        <f>IF('12 - Deployments &amp; Config'!AX373="","",'12 - Deployments &amp; Config'!AX373)</f>
        <v/>
      </c>
      <c r="V368" s="32" t="str">
        <f>IF('12 - Deployments &amp; Config'!BB373="","",'12 - Deployments &amp; Config'!BB373)</f>
        <v/>
      </c>
      <c r="W368" s="32" t="str">
        <f>IF('12 - Deployments &amp; Config'!BD373="","",'12 - Deployments &amp; Config'!BD373)</f>
        <v/>
      </c>
      <c r="X368" s="32" t="str">
        <f>IF('12 - Deployments &amp; Config'!BL373="","",'12 - Deployments &amp; Config'!BL373)</f>
        <v/>
      </c>
      <c r="Y368" s="32" t="str">
        <f>IF('12 - Deployments &amp; Config'!BC373="","",'12 - Deployments &amp; Config'!BC373)</f>
        <v/>
      </c>
      <c r="Z368" s="32" t="str">
        <f>IF('12 - Deployments &amp; Config'!P373="","",'12 - Deployments &amp; Config'!P373)</f>
        <v/>
      </c>
      <c r="AA368" s="32" t="str">
        <f>IF('12 - Deployments &amp; Config'!Q373="","",'12 - Deployments &amp; Config'!Q373)</f>
        <v/>
      </c>
    </row>
    <row r="369" spans="1:27">
      <c r="A369" s="33"/>
      <c r="B369" s="33"/>
      <c r="C369" s="32" t="str">
        <f>IF('12 - Deployments &amp; Config'!H374="","",'12 - Deployments &amp; Config'!H374)</f>
        <v/>
      </c>
      <c r="D369" s="32" t="str">
        <f>IF('12 - Deployments &amp; Config'!AF374="","",'12 - Deployments &amp; Config'!AF374)</f>
        <v/>
      </c>
      <c r="E369" s="32" t="str">
        <f>IF('12 - Deployments &amp; Config'!AG374="","",'12 - Deployments &amp; Config'!AG374)</f>
        <v/>
      </c>
      <c r="F369" s="32" t="str">
        <f>IF('12 - Deployments &amp; Config'!AH374="","",'12 - Deployments &amp; Config'!AH374)</f>
        <v/>
      </c>
      <c r="G369" s="32" t="str">
        <f>IF('12 - Deployments &amp; Config'!AI374="","",'12 - Deployments &amp; Config'!AI374)</f>
        <v/>
      </c>
      <c r="H369" s="32" t="str">
        <f>IF('12 - Deployments &amp; Config'!A374="","",'12 - Deployments &amp; Config'!A374)</f>
        <v/>
      </c>
      <c r="I369" s="32" t="str">
        <f>IF('12 - Deployments &amp; Config'!AJ374="","",'12 - Deployments &amp; Config'!AJ374)</f>
        <v/>
      </c>
      <c r="J369" s="32" t="str">
        <f>IF('12 - Deployments &amp; Config'!AK374="","",'12 - Deployments &amp; Config'!AK374)</f>
        <v/>
      </c>
      <c r="K369" s="32" t="str">
        <f>IF('12 - Deployments &amp; Config'!AA374="","",'12 - Deployments &amp; Config'!AA374)</f>
        <v/>
      </c>
      <c r="L369" s="32" t="str">
        <f>IF('12 - Deployments &amp; Config'!I374="","",'12 - Deployments &amp; Config'!I374)</f>
        <v/>
      </c>
      <c r="M369" s="33"/>
      <c r="N369" s="32" t="str">
        <f>IF('12 - Deployments &amp; Config'!J374="","",'12 - Deployments &amp; Config'!J374)</f>
        <v/>
      </c>
      <c r="O369" s="32" t="str">
        <f>IF('12 - Deployments &amp; Config'!K374="","",'12 - Deployments &amp; Config'!K374)</f>
        <v/>
      </c>
      <c r="P369" s="32" t="str">
        <f>IF('12 - Deployments &amp; Config'!L374="","",'12 - Deployments &amp; Config'!L374)</f>
        <v/>
      </c>
      <c r="Q369" s="33"/>
      <c r="R369" s="32" t="str">
        <f>IF('12 - Deployments &amp; Config'!AZ374="","",'12 - Deployments &amp; Config'!AZ374)</f>
        <v/>
      </c>
      <c r="S369" s="32" t="str">
        <f>IF('12 - Deployments &amp; Config'!AY374="","",'12 - Deployments &amp; Config'!AY374)</f>
        <v/>
      </c>
      <c r="T369" s="32" t="str">
        <f>IF('12 - Deployments &amp; Config'!AW374="","",'12 - Deployments &amp; Config'!AW374)</f>
        <v/>
      </c>
      <c r="U369" s="32" t="str">
        <f>IF('12 - Deployments &amp; Config'!AX374="","",'12 - Deployments &amp; Config'!AX374)</f>
        <v/>
      </c>
      <c r="V369" s="32" t="str">
        <f>IF('12 - Deployments &amp; Config'!BB374="","",'12 - Deployments &amp; Config'!BB374)</f>
        <v/>
      </c>
      <c r="W369" s="32" t="str">
        <f>IF('12 - Deployments &amp; Config'!BD374="","",'12 - Deployments &amp; Config'!BD374)</f>
        <v/>
      </c>
      <c r="X369" s="32" t="str">
        <f>IF('12 - Deployments &amp; Config'!BL374="","",'12 - Deployments &amp; Config'!BL374)</f>
        <v/>
      </c>
      <c r="Y369" s="32" t="str">
        <f>IF('12 - Deployments &amp; Config'!BC374="","",'12 - Deployments &amp; Config'!BC374)</f>
        <v/>
      </c>
      <c r="Z369" s="32" t="str">
        <f>IF('12 - Deployments &amp; Config'!P374="","",'12 - Deployments &amp; Config'!P374)</f>
        <v/>
      </c>
      <c r="AA369" s="32" t="str">
        <f>IF('12 - Deployments &amp; Config'!Q374="","",'12 - Deployments &amp; Config'!Q374)</f>
        <v/>
      </c>
    </row>
    <row r="370" spans="1:27">
      <c r="A370" s="33"/>
      <c r="B370" s="33"/>
      <c r="C370" s="32" t="str">
        <f>IF('12 - Deployments &amp; Config'!H375="","",'12 - Deployments &amp; Config'!H375)</f>
        <v/>
      </c>
      <c r="D370" s="32" t="str">
        <f>IF('12 - Deployments &amp; Config'!AF375="","",'12 - Deployments &amp; Config'!AF375)</f>
        <v/>
      </c>
      <c r="E370" s="32" t="str">
        <f>IF('12 - Deployments &amp; Config'!AG375="","",'12 - Deployments &amp; Config'!AG375)</f>
        <v/>
      </c>
      <c r="F370" s="32" t="str">
        <f>IF('12 - Deployments &amp; Config'!AH375="","",'12 - Deployments &amp; Config'!AH375)</f>
        <v/>
      </c>
      <c r="G370" s="32" t="str">
        <f>IF('12 - Deployments &amp; Config'!AI375="","",'12 - Deployments &amp; Config'!AI375)</f>
        <v/>
      </c>
      <c r="H370" s="32" t="str">
        <f>IF('12 - Deployments &amp; Config'!A375="","",'12 - Deployments &amp; Config'!A375)</f>
        <v/>
      </c>
      <c r="I370" s="32" t="str">
        <f>IF('12 - Deployments &amp; Config'!AJ375="","",'12 - Deployments &amp; Config'!AJ375)</f>
        <v/>
      </c>
      <c r="J370" s="32" t="str">
        <f>IF('12 - Deployments &amp; Config'!AK375="","",'12 - Deployments &amp; Config'!AK375)</f>
        <v/>
      </c>
      <c r="K370" s="32" t="str">
        <f>IF('12 - Deployments &amp; Config'!AA375="","",'12 - Deployments &amp; Config'!AA375)</f>
        <v/>
      </c>
      <c r="L370" s="32" t="str">
        <f>IF('12 - Deployments &amp; Config'!I375="","",'12 - Deployments &amp; Config'!I375)</f>
        <v/>
      </c>
      <c r="M370" s="33"/>
      <c r="N370" s="32" t="str">
        <f>IF('12 - Deployments &amp; Config'!J375="","",'12 - Deployments &amp; Config'!J375)</f>
        <v/>
      </c>
      <c r="O370" s="32" t="str">
        <f>IF('12 - Deployments &amp; Config'!K375="","",'12 - Deployments &amp; Config'!K375)</f>
        <v/>
      </c>
      <c r="P370" s="32" t="str">
        <f>IF('12 - Deployments &amp; Config'!L375="","",'12 - Deployments &amp; Config'!L375)</f>
        <v/>
      </c>
      <c r="Q370" s="33"/>
      <c r="R370" s="32" t="str">
        <f>IF('12 - Deployments &amp; Config'!AZ375="","",'12 - Deployments &amp; Config'!AZ375)</f>
        <v/>
      </c>
      <c r="S370" s="32" t="str">
        <f>IF('12 - Deployments &amp; Config'!AY375="","",'12 - Deployments &amp; Config'!AY375)</f>
        <v/>
      </c>
      <c r="T370" s="32" t="str">
        <f>IF('12 - Deployments &amp; Config'!AW375="","",'12 - Deployments &amp; Config'!AW375)</f>
        <v/>
      </c>
      <c r="U370" s="32" t="str">
        <f>IF('12 - Deployments &amp; Config'!AX375="","",'12 - Deployments &amp; Config'!AX375)</f>
        <v/>
      </c>
      <c r="V370" s="32" t="str">
        <f>IF('12 - Deployments &amp; Config'!BB375="","",'12 - Deployments &amp; Config'!BB375)</f>
        <v/>
      </c>
      <c r="W370" s="32" t="str">
        <f>IF('12 - Deployments &amp; Config'!BD375="","",'12 - Deployments &amp; Config'!BD375)</f>
        <v/>
      </c>
      <c r="X370" s="32" t="str">
        <f>IF('12 - Deployments &amp; Config'!BL375="","",'12 - Deployments &amp; Config'!BL375)</f>
        <v/>
      </c>
      <c r="Y370" s="32" t="str">
        <f>IF('12 - Deployments &amp; Config'!BC375="","",'12 - Deployments &amp; Config'!BC375)</f>
        <v/>
      </c>
      <c r="Z370" s="32" t="str">
        <f>IF('12 - Deployments &amp; Config'!P375="","",'12 - Deployments &amp; Config'!P375)</f>
        <v/>
      </c>
      <c r="AA370" s="32" t="str">
        <f>IF('12 - Deployments &amp; Config'!Q375="","",'12 - Deployments &amp; Config'!Q375)</f>
        <v/>
      </c>
    </row>
    <row r="371" spans="1:27">
      <c r="A371" s="33"/>
      <c r="B371" s="33"/>
      <c r="C371" s="32" t="str">
        <f>IF('12 - Deployments &amp; Config'!H376="","",'12 - Deployments &amp; Config'!H376)</f>
        <v/>
      </c>
      <c r="D371" s="32" t="str">
        <f>IF('12 - Deployments &amp; Config'!AF376="","",'12 - Deployments &amp; Config'!AF376)</f>
        <v/>
      </c>
      <c r="E371" s="32" t="str">
        <f>IF('12 - Deployments &amp; Config'!AG376="","",'12 - Deployments &amp; Config'!AG376)</f>
        <v/>
      </c>
      <c r="F371" s="32" t="str">
        <f>IF('12 - Deployments &amp; Config'!AH376="","",'12 - Deployments &amp; Config'!AH376)</f>
        <v/>
      </c>
      <c r="G371" s="32" t="str">
        <f>IF('12 - Deployments &amp; Config'!AI376="","",'12 - Deployments &amp; Config'!AI376)</f>
        <v/>
      </c>
      <c r="H371" s="32" t="str">
        <f>IF('12 - Deployments &amp; Config'!A376="","",'12 - Deployments &amp; Config'!A376)</f>
        <v/>
      </c>
      <c r="I371" s="32" t="str">
        <f>IF('12 - Deployments &amp; Config'!AJ376="","",'12 - Deployments &amp; Config'!AJ376)</f>
        <v/>
      </c>
      <c r="J371" s="32" t="str">
        <f>IF('12 - Deployments &amp; Config'!AK376="","",'12 - Deployments &amp; Config'!AK376)</f>
        <v/>
      </c>
      <c r="K371" s="32" t="str">
        <f>IF('12 - Deployments &amp; Config'!AA376="","",'12 - Deployments &amp; Config'!AA376)</f>
        <v/>
      </c>
      <c r="L371" s="32" t="str">
        <f>IF('12 - Deployments &amp; Config'!I376="","",'12 - Deployments &amp; Config'!I376)</f>
        <v/>
      </c>
      <c r="M371" s="33"/>
      <c r="N371" s="32" t="str">
        <f>IF('12 - Deployments &amp; Config'!J376="","",'12 - Deployments &amp; Config'!J376)</f>
        <v/>
      </c>
      <c r="O371" s="32" t="str">
        <f>IF('12 - Deployments &amp; Config'!K376="","",'12 - Deployments &amp; Config'!K376)</f>
        <v/>
      </c>
      <c r="P371" s="32" t="str">
        <f>IF('12 - Deployments &amp; Config'!L376="","",'12 - Deployments &amp; Config'!L376)</f>
        <v/>
      </c>
      <c r="Q371" s="33"/>
      <c r="R371" s="32" t="str">
        <f>IF('12 - Deployments &amp; Config'!AZ376="","",'12 - Deployments &amp; Config'!AZ376)</f>
        <v/>
      </c>
      <c r="S371" s="32" t="str">
        <f>IF('12 - Deployments &amp; Config'!AY376="","",'12 - Deployments &amp; Config'!AY376)</f>
        <v/>
      </c>
      <c r="T371" s="32" t="str">
        <f>IF('12 - Deployments &amp; Config'!AW376="","",'12 - Deployments &amp; Config'!AW376)</f>
        <v/>
      </c>
      <c r="U371" s="32" t="str">
        <f>IF('12 - Deployments &amp; Config'!AX376="","",'12 - Deployments &amp; Config'!AX376)</f>
        <v/>
      </c>
      <c r="V371" s="32" t="str">
        <f>IF('12 - Deployments &amp; Config'!BB376="","",'12 - Deployments &amp; Config'!BB376)</f>
        <v/>
      </c>
      <c r="W371" s="32" t="str">
        <f>IF('12 - Deployments &amp; Config'!BD376="","",'12 - Deployments &amp; Config'!BD376)</f>
        <v/>
      </c>
      <c r="X371" s="32" t="str">
        <f>IF('12 - Deployments &amp; Config'!BL376="","",'12 - Deployments &amp; Config'!BL376)</f>
        <v/>
      </c>
      <c r="Y371" s="32" t="str">
        <f>IF('12 - Deployments &amp; Config'!BC376="","",'12 - Deployments &amp; Config'!BC376)</f>
        <v/>
      </c>
      <c r="Z371" s="32" t="str">
        <f>IF('12 - Deployments &amp; Config'!P376="","",'12 - Deployments &amp; Config'!P376)</f>
        <v/>
      </c>
      <c r="AA371" s="32" t="str">
        <f>IF('12 - Deployments &amp; Config'!Q376="","",'12 - Deployments &amp; Config'!Q376)</f>
        <v/>
      </c>
    </row>
    <row r="372" spans="1:27">
      <c r="A372" s="33"/>
      <c r="B372" s="33"/>
      <c r="C372" s="32" t="str">
        <f>IF('12 - Deployments &amp; Config'!H377="","",'12 - Deployments &amp; Config'!H377)</f>
        <v/>
      </c>
      <c r="D372" s="32" t="str">
        <f>IF('12 - Deployments &amp; Config'!AF377="","",'12 - Deployments &amp; Config'!AF377)</f>
        <v/>
      </c>
      <c r="E372" s="32" t="str">
        <f>IF('12 - Deployments &amp; Config'!AG377="","",'12 - Deployments &amp; Config'!AG377)</f>
        <v/>
      </c>
      <c r="F372" s="32" t="str">
        <f>IF('12 - Deployments &amp; Config'!AH377="","",'12 - Deployments &amp; Config'!AH377)</f>
        <v/>
      </c>
      <c r="G372" s="32" t="str">
        <f>IF('12 - Deployments &amp; Config'!AI377="","",'12 - Deployments &amp; Config'!AI377)</f>
        <v/>
      </c>
      <c r="H372" s="32" t="str">
        <f>IF('12 - Deployments &amp; Config'!A377="","",'12 - Deployments &amp; Config'!A377)</f>
        <v/>
      </c>
      <c r="I372" s="32" t="str">
        <f>IF('12 - Deployments &amp; Config'!AJ377="","",'12 - Deployments &amp; Config'!AJ377)</f>
        <v/>
      </c>
      <c r="J372" s="32" t="str">
        <f>IF('12 - Deployments &amp; Config'!AK377="","",'12 - Deployments &amp; Config'!AK377)</f>
        <v/>
      </c>
      <c r="K372" s="32" t="str">
        <f>IF('12 - Deployments &amp; Config'!AA377="","",'12 - Deployments &amp; Config'!AA377)</f>
        <v/>
      </c>
      <c r="L372" s="32" t="str">
        <f>IF('12 - Deployments &amp; Config'!I377="","",'12 - Deployments &amp; Config'!I377)</f>
        <v/>
      </c>
      <c r="M372" s="33"/>
      <c r="N372" s="32" t="str">
        <f>IF('12 - Deployments &amp; Config'!J377="","",'12 - Deployments &amp; Config'!J377)</f>
        <v/>
      </c>
      <c r="O372" s="32" t="str">
        <f>IF('12 - Deployments &amp; Config'!K377="","",'12 - Deployments &amp; Config'!K377)</f>
        <v/>
      </c>
      <c r="P372" s="32" t="str">
        <f>IF('12 - Deployments &amp; Config'!L377="","",'12 - Deployments &amp; Config'!L377)</f>
        <v/>
      </c>
      <c r="Q372" s="33"/>
      <c r="R372" s="32" t="str">
        <f>IF('12 - Deployments &amp; Config'!AZ377="","",'12 - Deployments &amp; Config'!AZ377)</f>
        <v/>
      </c>
      <c r="S372" s="32" t="str">
        <f>IF('12 - Deployments &amp; Config'!AY377="","",'12 - Deployments &amp; Config'!AY377)</f>
        <v/>
      </c>
      <c r="T372" s="32" t="str">
        <f>IF('12 - Deployments &amp; Config'!AW377="","",'12 - Deployments &amp; Config'!AW377)</f>
        <v/>
      </c>
      <c r="U372" s="32" t="str">
        <f>IF('12 - Deployments &amp; Config'!AX377="","",'12 - Deployments &amp; Config'!AX377)</f>
        <v/>
      </c>
      <c r="V372" s="32" t="str">
        <f>IF('12 - Deployments &amp; Config'!BB377="","",'12 - Deployments &amp; Config'!BB377)</f>
        <v/>
      </c>
      <c r="W372" s="32" t="str">
        <f>IF('12 - Deployments &amp; Config'!BD377="","",'12 - Deployments &amp; Config'!BD377)</f>
        <v/>
      </c>
      <c r="X372" s="32" t="str">
        <f>IF('12 - Deployments &amp; Config'!BL377="","",'12 - Deployments &amp; Config'!BL377)</f>
        <v/>
      </c>
      <c r="Y372" s="32" t="str">
        <f>IF('12 - Deployments &amp; Config'!BC377="","",'12 - Deployments &amp; Config'!BC377)</f>
        <v/>
      </c>
      <c r="Z372" s="32" t="str">
        <f>IF('12 - Deployments &amp; Config'!P377="","",'12 - Deployments &amp; Config'!P377)</f>
        <v/>
      </c>
      <c r="AA372" s="32" t="str">
        <f>IF('12 - Deployments &amp; Config'!Q377="","",'12 - Deployments &amp; Config'!Q377)</f>
        <v/>
      </c>
    </row>
    <row r="373" spans="1:27">
      <c r="A373" s="33"/>
      <c r="B373" s="33"/>
      <c r="C373" s="32" t="str">
        <f>IF('12 - Deployments &amp; Config'!H378="","",'12 - Deployments &amp; Config'!H378)</f>
        <v/>
      </c>
      <c r="D373" s="32" t="str">
        <f>IF('12 - Deployments &amp; Config'!AF378="","",'12 - Deployments &amp; Config'!AF378)</f>
        <v/>
      </c>
      <c r="E373" s="32" t="str">
        <f>IF('12 - Deployments &amp; Config'!AG378="","",'12 - Deployments &amp; Config'!AG378)</f>
        <v/>
      </c>
      <c r="F373" s="32" t="str">
        <f>IF('12 - Deployments &amp; Config'!AH378="","",'12 - Deployments &amp; Config'!AH378)</f>
        <v/>
      </c>
      <c r="G373" s="32" t="str">
        <f>IF('12 - Deployments &amp; Config'!AI378="","",'12 - Deployments &amp; Config'!AI378)</f>
        <v/>
      </c>
      <c r="H373" s="32" t="str">
        <f>IF('12 - Deployments &amp; Config'!A378="","",'12 - Deployments &amp; Config'!A378)</f>
        <v/>
      </c>
      <c r="I373" s="32" t="str">
        <f>IF('12 - Deployments &amp; Config'!AJ378="","",'12 - Deployments &amp; Config'!AJ378)</f>
        <v/>
      </c>
      <c r="J373" s="32" t="str">
        <f>IF('12 - Deployments &amp; Config'!AK378="","",'12 - Deployments &amp; Config'!AK378)</f>
        <v/>
      </c>
      <c r="K373" s="32" t="str">
        <f>IF('12 - Deployments &amp; Config'!AA378="","",'12 - Deployments &amp; Config'!AA378)</f>
        <v/>
      </c>
      <c r="L373" s="32" t="str">
        <f>IF('12 - Deployments &amp; Config'!I378="","",'12 - Deployments &amp; Config'!I378)</f>
        <v/>
      </c>
      <c r="M373" s="33"/>
      <c r="N373" s="32" t="str">
        <f>IF('12 - Deployments &amp; Config'!J378="","",'12 - Deployments &amp; Config'!J378)</f>
        <v/>
      </c>
      <c r="O373" s="32" t="str">
        <f>IF('12 - Deployments &amp; Config'!K378="","",'12 - Deployments &amp; Config'!K378)</f>
        <v/>
      </c>
      <c r="P373" s="32" t="str">
        <f>IF('12 - Deployments &amp; Config'!L378="","",'12 - Deployments &amp; Config'!L378)</f>
        <v/>
      </c>
      <c r="Q373" s="33"/>
      <c r="R373" s="32" t="str">
        <f>IF('12 - Deployments &amp; Config'!AZ378="","",'12 - Deployments &amp; Config'!AZ378)</f>
        <v/>
      </c>
      <c r="S373" s="32" t="str">
        <f>IF('12 - Deployments &amp; Config'!AY378="","",'12 - Deployments &amp; Config'!AY378)</f>
        <v/>
      </c>
      <c r="T373" s="32" t="str">
        <f>IF('12 - Deployments &amp; Config'!AW378="","",'12 - Deployments &amp; Config'!AW378)</f>
        <v/>
      </c>
      <c r="U373" s="32" t="str">
        <f>IF('12 - Deployments &amp; Config'!AX378="","",'12 - Deployments &amp; Config'!AX378)</f>
        <v/>
      </c>
      <c r="V373" s="32" t="str">
        <f>IF('12 - Deployments &amp; Config'!BB378="","",'12 - Deployments &amp; Config'!BB378)</f>
        <v/>
      </c>
      <c r="W373" s="32" t="str">
        <f>IF('12 - Deployments &amp; Config'!BD378="","",'12 - Deployments &amp; Config'!BD378)</f>
        <v/>
      </c>
      <c r="X373" s="32" t="str">
        <f>IF('12 - Deployments &amp; Config'!BL378="","",'12 - Deployments &amp; Config'!BL378)</f>
        <v/>
      </c>
      <c r="Y373" s="32" t="str">
        <f>IF('12 - Deployments &amp; Config'!BC378="","",'12 - Deployments &amp; Config'!BC378)</f>
        <v/>
      </c>
      <c r="Z373" s="32" t="str">
        <f>IF('12 - Deployments &amp; Config'!P378="","",'12 - Deployments &amp; Config'!P378)</f>
        <v/>
      </c>
      <c r="AA373" s="32" t="str">
        <f>IF('12 - Deployments &amp; Config'!Q378="","",'12 - Deployments &amp; Config'!Q378)</f>
        <v/>
      </c>
    </row>
    <row r="374" spans="1:27">
      <c r="A374" s="33"/>
      <c r="B374" s="33"/>
      <c r="C374" s="32" t="str">
        <f>IF('12 - Deployments &amp; Config'!H379="","",'12 - Deployments &amp; Config'!H379)</f>
        <v/>
      </c>
      <c r="D374" s="32" t="str">
        <f>IF('12 - Deployments &amp; Config'!AF379="","",'12 - Deployments &amp; Config'!AF379)</f>
        <v/>
      </c>
      <c r="E374" s="32" t="str">
        <f>IF('12 - Deployments &amp; Config'!AG379="","",'12 - Deployments &amp; Config'!AG379)</f>
        <v/>
      </c>
      <c r="F374" s="32" t="str">
        <f>IF('12 - Deployments &amp; Config'!AH379="","",'12 - Deployments &amp; Config'!AH379)</f>
        <v/>
      </c>
      <c r="G374" s="32" t="str">
        <f>IF('12 - Deployments &amp; Config'!AI379="","",'12 - Deployments &amp; Config'!AI379)</f>
        <v/>
      </c>
      <c r="H374" s="32" t="str">
        <f>IF('12 - Deployments &amp; Config'!A379="","",'12 - Deployments &amp; Config'!A379)</f>
        <v/>
      </c>
      <c r="I374" s="32" t="str">
        <f>IF('12 - Deployments &amp; Config'!AJ379="","",'12 - Deployments &amp; Config'!AJ379)</f>
        <v/>
      </c>
      <c r="J374" s="32" t="str">
        <f>IF('12 - Deployments &amp; Config'!AK379="","",'12 - Deployments &amp; Config'!AK379)</f>
        <v/>
      </c>
      <c r="K374" s="32" t="str">
        <f>IF('12 - Deployments &amp; Config'!AA379="","",'12 - Deployments &amp; Config'!AA379)</f>
        <v/>
      </c>
      <c r="L374" s="32" t="str">
        <f>IF('12 - Deployments &amp; Config'!I379="","",'12 - Deployments &amp; Config'!I379)</f>
        <v/>
      </c>
      <c r="M374" s="33"/>
      <c r="N374" s="32" t="str">
        <f>IF('12 - Deployments &amp; Config'!J379="","",'12 - Deployments &amp; Config'!J379)</f>
        <v/>
      </c>
      <c r="O374" s="32" t="str">
        <f>IF('12 - Deployments &amp; Config'!K379="","",'12 - Deployments &amp; Config'!K379)</f>
        <v/>
      </c>
      <c r="P374" s="32" t="str">
        <f>IF('12 - Deployments &amp; Config'!L379="","",'12 - Deployments &amp; Config'!L379)</f>
        <v/>
      </c>
      <c r="Q374" s="33"/>
      <c r="R374" s="32" t="str">
        <f>IF('12 - Deployments &amp; Config'!AZ379="","",'12 - Deployments &amp; Config'!AZ379)</f>
        <v/>
      </c>
      <c r="S374" s="32" t="str">
        <f>IF('12 - Deployments &amp; Config'!AY379="","",'12 - Deployments &amp; Config'!AY379)</f>
        <v/>
      </c>
      <c r="T374" s="32" t="str">
        <f>IF('12 - Deployments &amp; Config'!AW379="","",'12 - Deployments &amp; Config'!AW379)</f>
        <v/>
      </c>
      <c r="U374" s="32" t="str">
        <f>IF('12 - Deployments &amp; Config'!AX379="","",'12 - Deployments &amp; Config'!AX379)</f>
        <v/>
      </c>
      <c r="V374" s="32" t="str">
        <f>IF('12 - Deployments &amp; Config'!BB379="","",'12 - Deployments &amp; Config'!BB379)</f>
        <v/>
      </c>
      <c r="W374" s="32" t="str">
        <f>IF('12 - Deployments &amp; Config'!BD379="","",'12 - Deployments &amp; Config'!BD379)</f>
        <v/>
      </c>
      <c r="X374" s="32" t="str">
        <f>IF('12 - Deployments &amp; Config'!BL379="","",'12 - Deployments &amp; Config'!BL379)</f>
        <v/>
      </c>
      <c r="Y374" s="32" t="str">
        <f>IF('12 - Deployments &amp; Config'!BC379="","",'12 - Deployments &amp; Config'!BC379)</f>
        <v/>
      </c>
      <c r="Z374" s="32" t="str">
        <f>IF('12 - Deployments &amp; Config'!P379="","",'12 - Deployments &amp; Config'!P379)</f>
        <v/>
      </c>
      <c r="AA374" s="32" t="str">
        <f>IF('12 - Deployments &amp; Config'!Q379="","",'12 - Deployments &amp; Config'!Q379)</f>
        <v/>
      </c>
    </row>
    <row r="375" spans="1:27">
      <c r="A375" s="33"/>
      <c r="B375" s="33"/>
      <c r="C375" s="32" t="str">
        <f>IF('12 - Deployments &amp; Config'!H380="","",'12 - Deployments &amp; Config'!H380)</f>
        <v/>
      </c>
      <c r="D375" s="32" t="str">
        <f>IF('12 - Deployments &amp; Config'!AF380="","",'12 - Deployments &amp; Config'!AF380)</f>
        <v/>
      </c>
      <c r="E375" s="32" t="str">
        <f>IF('12 - Deployments &amp; Config'!AG380="","",'12 - Deployments &amp; Config'!AG380)</f>
        <v/>
      </c>
      <c r="F375" s="32" t="str">
        <f>IF('12 - Deployments &amp; Config'!AH380="","",'12 - Deployments &amp; Config'!AH380)</f>
        <v/>
      </c>
      <c r="G375" s="32" t="str">
        <f>IF('12 - Deployments &amp; Config'!AI380="","",'12 - Deployments &amp; Config'!AI380)</f>
        <v/>
      </c>
      <c r="H375" s="32" t="str">
        <f>IF('12 - Deployments &amp; Config'!A380="","",'12 - Deployments &amp; Config'!A380)</f>
        <v/>
      </c>
      <c r="I375" s="32" t="str">
        <f>IF('12 - Deployments &amp; Config'!AJ380="","",'12 - Deployments &amp; Config'!AJ380)</f>
        <v/>
      </c>
      <c r="J375" s="32" t="str">
        <f>IF('12 - Deployments &amp; Config'!AK380="","",'12 - Deployments &amp; Config'!AK380)</f>
        <v/>
      </c>
      <c r="K375" s="32" t="str">
        <f>IF('12 - Deployments &amp; Config'!AA380="","",'12 - Deployments &amp; Config'!AA380)</f>
        <v/>
      </c>
      <c r="L375" s="32" t="str">
        <f>IF('12 - Deployments &amp; Config'!I380="","",'12 - Deployments &amp; Config'!I380)</f>
        <v/>
      </c>
      <c r="M375" s="33"/>
      <c r="N375" s="32" t="str">
        <f>IF('12 - Deployments &amp; Config'!J380="","",'12 - Deployments &amp; Config'!J380)</f>
        <v/>
      </c>
      <c r="O375" s="32" t="str">
        <f>IF('12 - Deployments &amp; Config'!K380="","",'12 - Deployments &amp; Config'!K380)</f>
        <v/>
      </c>
      <c r="P375" s="32" t="str">
        <f>IF('12 - Deployments &amp; Config'!L380="","",'12 - Deployments &amp; Config'!L380)</f>
        <v/>
      </c>
      <c r="Q375" s="33"/>
      <c r="R375" s="32" t="str">
        <f>IF('12 - Deployments &amp; Config'!AZ380="","",'12 - Deployments &amp; Config'!AZ380)</f>
        <v/>
      </c>
      <c r="S375" s="32" t="str">
        <f>IF('12 - Deployments &amp; Config'!AY380="","",'12 - Deployments &amp; Config'!AY380)</f>
        <v/>
      </c>
      <c r="T375" s="32" t="str">
        <f>IF('12 - Deployments &amp; Config'!AW380="","",'12 - Deployments &amp; Config'!AW380)</f>
        <v/>
      </c>
      <c r="U375" s="32" t="str">
        <f>IF('12 - Deployments &amp; Config'!AX380="","",'12 - Deployments &amp; Config'!AX380)</f>
        <v/>
      </c>
      <c r="V375" s="32" t="str">
        <f>IF('12 - Deployments &amp; Config'!BB380="","",'12 - Deployments &amp; Config'!BB380)</f>
        <v/>
      </c>
      <c r="W375" s="32" t="str">
        <f>IF('12 - Deployments &amp; Config'!BD380="","",'12 - Deployments &amp; Config'!BD380)</f>
        <v/>
      </c>
      <c r="X375" s="32" t="str">
        <f>IF('12 - Deployments &amp; Config'!BL380="","",'12 - Deployments &amp; Config'!BL380)</f>
        <v/>
      </c>
      <c r="Y375" s="32" t="str">
        <f>IF('12 - Deployments &amp; Config'!BC380="","",'12 - Deployments &amp; Config'!BC380)</f>
        <v/>
      </c>
      <c r="Z375" s="32" t="str">
        <f>IF('12 - Deployments &amp; Config'!P380="","",'12 - Deployments &amp; Config'!P380)</f>
        <v/>
      </c>
      <c r="AA375" s="32" t="str">
        <f>IF('12 - Deployments &amp; Config'!Q380="","",'12 - Deployments &amp; Config'!Q380)</f>
        <v/>
      </c>
    </row>
    <row r="376" spans="1:27">
      <c r="A376" s="33"/>
      <c r="B376" s="33"/>
      <c r="C376" s="32" t="str">
        <f>IF('12 - Deployments &amp; Config'!H381="","",'12 - Deployments &amp; Config'!H381)</f>
        <v/>
      </c>
      <c r="D376" s="32" t="str">
        <f>IF('12 - Deployments &amp; Config'!AF381="","",'12 - Deployments &amp; Config'!AF381)</f>
        <v/>
      </c>
      <c r="E376" s="32" t="str">
        <f>IF('12 - Deployments &amp; Config'!AG381="","",'12 - Deployments &amp; Config'!AG381)</f>
        <v/>
      </c>
      <c r="F376" s="32" t="str">
        <f>IF('12 - Deployments &amp; Config'!AH381="","",'12 - Deployments &amp; Config'!AH381)</f>
        <v/>
      </c>
      <c r="G376" s="32" t="str">
        <f>IF('12 - Deployments &amp; Config'!AI381="","",'12 - Deployments &amp; Config'!AI381)</f>
        <v/>
      </c>
      <c r="H376" s="32" t="str">
        <f>IF('12 - Deployments &amp; Config'!A381="","",'12 - Deployments &amp; Config'!A381)</f>
        <v/>
      </c>
      <c r="I376" s="32" t="str">
        <f>IF('12 - Deployments &amp; Config'!AJ381="","",'12 - Deployments &amp; Config'!AJ381)</f>
        <v/>
      </c>
      <c r="J376" s="32" t="str">
        <f>IF('12 - Deployments &amp; Config'!AK381="","",'12 - Deployments &amp; Config'!AK381)</f>
        <v/>
      </c>
      <c r="K376" s="32" t="str">
        <f>IF('12 - Deployments &amp; Config'!AA381="","",'12 - Deployments &amp; Config'!AA381)</f>
        <v/>
      </c>
      <c r="L376" s="32" t="str">
        <f>IF('12 - Deployments &amp; Config'!I381="","",'12 - Deployments &amp; Config'!I381)</f>
        <v/>
      </c>
      <c r="M376" s="33"/>
      <c r="N376" s="32" t="str">
        <f>IF('12 - Deployments &amp; Config'!J381="","",'12 - Deployments &amp; Config'!J381)</f>
        <v/>
      </c>
      <c r="O376" s="32" t="str">
        <f>IF('12 - Deployments &amp; Config'!K381="","",'12 - Deployments &amp; Config'!K381)</f>
        <v/>
      </c>
      <c r="P376" s="32" t="str">
        <f>IF('12 - Deployments &amp; Config'!L381="","",'12 - Deployments &amp; Config'!L381)</f>
        <v/>
      </c>
      <c r="Q376" s="33"/>
      <c r="R376" s="32" t="str">
        <f>IF('12 - Deployments &amp; Config'!AZ381="","",'12 - Deployments &amp; Config'!AZ381)</f>
        <v/>
      </c>
      <c r="S376" s="32" t="str">
        <f>IF('12 - Deployments &amp; Config'!AY381="","",'12 - Deployments &amp; Config'!AY381)</f>
        <v/>
      </c>
      <c r="T376" s="32" t="str">
        <f>IF('12 - Deployments &amp; Config'!AW381="","",'12 - Deployments &amp; Config'!AW381)</f>
        <v/>
      </c>
      <c r="U376" s="32" t="str">
        <f>IF('12 - Deployments &amp; Config'!AX381="","",'12 - Deployments &amp; Config'!AX381)</f>
        <v/>
      </c>
      <c r="V376" s="32" t="str">
        <f>IF('12 - Deployments &amp; Config'!BB381="","",'12 - Deployments &amp; Config'!BB381)</f>
        <v/>
      </c>
      <c r="W376" s="32" t="str">
        <f>IF('12 - Deployments &amp; Config'!BD381="","",'12 - Deployments &amp; Config'!BD381)</f>
        <v/>
      </c>
      <c r="X376" s="32" t="str">
        <f>IF('12 - Deployments &amp; Config'!BL381="","",'12 - Deployments &amp; Config'!BL381)</f>
        <v/>
      </c>
      <c r="Y376" s="32" t="str">
        <f>IF('12 - Deployments &amp; Config'!BC381="","",'12 - Deployments &amp; Config'!BC381)</f>
        <v/>
      </c>
      <c r="Z376" s="32" t="str">
        <f>IF('12 - Deployments &amp; Config'!P381="","",'12 - Deployments &amp; Config'!P381)</f>
        <v/>
      </c>
      <c r="AA376" s="32" t="str">
        <f>IF('12 - Deployments &amp; Config'!Q381="","",'12 - Deployments &amp; Config'!Q381)</f>
        <v/>
      </c>
    </row>
    <row r="377" spans="1:27">
      <c r="A377" s="33"/>
      <c r="B377" s="33"/>
      <c r="C377" s="32" t="str">
        <f>IF('12 - Deployments &amp; Config'!H382="","",'12 - Deployments &amp; Config'!H382)</f>
        <v/>
      </c>
      <c r="D377" s="32" t="str">
        <f>IF('12 - Deployments &amp; Config'!AF382="","",'12 - Deployments &amp; Config'!AF382)</f>
        <v/>
      </c>
      <c r="E377" s="32" t="str">
        <f>IF('12 - Deployments &amp; Config'!AG382="","",'12 - Deployments &amp; Config'!AG382)</f>
        <v/>
      </c>
      <c r="F377" s="32" t="str">
        <f>IF('12 - Deployments &amp; Config'!AH382="","",'12 - Deployments &amp; Config'!AH382)</f>
        <v/>
      </c>
      <c r="G377" s="32" t="str">
        <f>IF('12 - Deployments &amp; Config'!AI382="","",'12 - Deployments &amp; Config'!AI382)</f>
        <v/>
      </c>
      <c r="H377" s="32" t="str">
        <f>IF('12 - Deployments &amp; Config'!A382="","",'12 - Deployments &amp; Config'!A382)</f>
        <v/>
      </c>
      <c r="I377" s="32" t="str">
        <f>IF('12 - Deployments &amp; Config'!AJ382="","",'12 - Deployments &amp; Config'!AJ382)</f>
        <v/>
      </c>
      <c r="J377" s="32" t="str">
        <f>IF('12 - Deployments &amp; Config'!AK382="","",'12 - Deployments &amp; Config'!AK382)</f>
        <v/>
      </c>
      <c r="K377" s="32" t="str">
        <f>IF('12 - Deployments &amp; Config'!AA382="","",'12 - Deployments &amp; Config'!AA382)</f>
        <v/>
      </c>
      <c r="L377" s="32" t="str">
        <f>IF('12 - Deployments &amp; Config'!I382="","",'12 - Deployments &amp; Config'!I382)</f>
        <v/>
      </c>
      <c r="M377" s="33"/>
      <c r="N377" s="32" t="str">
        <f>IF('12 - Deployments &amp; Config'!J382="","",'12 - Deployments &amp; Config'!J382)</f>
        <v/>
      </c>
      <c r="O377" s="32" t="str">
        <f>IF('12 - Deployments &amp; Config'!K382="","",'12 - Deployments &amp; Config'!K382)</f>
        <v/>
      </c>
      <c r="P377" s="32" t="str">
        <f>IF('12 - Deployments &amp; Config'!L382="","",'12 - Deployments &amp; Config'!L382)</f>
        <v/>
      </c>
      <c r="Q377" s="33"/>
      <c r="R377" s="32" t="str">
        <f>IF('12 - Deployments &amp; Config'!AZ382="","",'12 - Deployments &amp; Config'!AZ382)</f>
        <v/>
      </c>
      <c r="S377" s="32" t="str">
        <f>IF('12 - Deployments &amp; Config'!AY382="","",'12 - Deployments &amp; Config'!AY382)</f>
        <v/>
      </c>
      <c r="T377" s="32" t="str">
        <f>IF('12 - Deployments &amp; Config'!AW382="","",'12 - Deployments &amp; Config'!AW382)</f>
        <v/>
      </c>
      <c r="U377" s="32" t="str">
        <f>IF('12 - Deployments &amp; Config'!AX382="","",'12 - Deployments &amp; Config'!AX382)</f>
        <v/>
      </c>
      <c r="V377" s="32" t="str">
        <f>IF('12 - Deployments &amp; Config'!BB382="","",'12 - Deployments &amp; Config'!BB382)</f>
        <v/>
      </c>
      <c r="W377" s="32" t="str">
        <f>IF('12 - Deployments &amp; Config'!BD382="","",'12 - Deployments &amp; Config'!BD382)</f>
        <v/>
      </c>
      <c r="X377" s="32" t="str">
        <f>IF('12 - Deployments &amp; Config'!BL382="","",'12 - Deployments &amp; Config'!BL382)</f>
        <v/>
      </c>
      <c r="Y377" s="32" t="str">
        <f>IF('12 - Deployments &amp; Config'!BC382="","",'12 - Deployments &amp; Config'!BC382)</f>
        <v/>
      </c>
      <c r="Z377" s="32" t="str">
        <f>IF('12 - Deployments &amp; Config'!P382="","",'12 - Deployments &amp; Config'!P382)</f>
        <v/>
      </c>
      <c r="AA377" s="32" t="str">
        <f>IF('12 - Deployments &amp; Config'!Q382="","",'12 - Deployments &amp; Config'!Q382)</f>
        <v/>
      </c>
    </row>
    <row r="378" spans="1:27">
      <c r="A378" s="33"/>
      <c r="B378" s="33"/>
      <c r="C378" s="32" t="str">
        <f>IF('12 - Deployments &amp; Config'!H383="","",'12 - Deployments &amp; Config'!H383)</f>
        <v/>
      </c>
      <c r="D378" s="32" t="str">
        <f>IF('12 - Deployments &amp; Config'!AF383="","",'12 - Deployments &amp; Config'!AF383)</f>
        <v/>
      </c>
      <c r="E378" s="32" t="str">
        <f>IF('12 - Deployments &amp; Config'!AG383="","",'12 - Deployments &amp; Config'!AG383)</f>
        <v/>
      </c>
      <c r="F378" s="32" t="str">
        <f>IF('12 - Deployments &amp; Config'!AH383="","",'12 - Deployments &amp; Config'!AH383)</f>
        <v/>
      </c>
      <c r="G378" s="32" t="str">
        <f>IF('12 - Deployments &amp; Config'!AI383="","",'12 - Deployments &amp; Config'!AI383)</f>
        <v/>
      </c>
      <c r="H378" s="32" t="str">
        <f>IF('12 - Deployments &amp; Config'!A383="","",'12 - Deployments &amp; Config'!A383)</f>
        <v/>
      </c>
      <c r="I378" s="32" t="str">
        <f>IF('12 - Deployments &amp; Config'!AJ383="","",'12 - Deployments &amp; Config'!AJ383)</f>
        <v/>
      </c>
      <c r="J378" s="32" t="str">
        <f>IF('12 - Deployments &amp; Config'!AK383="","",'12 - Deployments &amp; Config'!AK383)</f>
        <v/>
      </c>
      <c r="K378" s="32" t="str">
        <f>IF('12 - Deployments &amp; Config'!AA383="","",'12 - Deployments &amp; Config'!AA383)</f>
        <v/>
      </c>
      <c r="L378" s="32" t="str">
        <f>IF('12 - Deployments &amp; Config'!I383="","",'12 - Deployments &amp; Config'!I383)</f>
        <v/>
      </c>
      <c r="M378" s="33"/>
      <c r="N378" s="32" t="str">
        <f>IF('12 - Deployments &amp; Config'!J383="","",'12 - Deployments &amp; Config'!J383)</f>
        <v/>
      </c>
      <c r="O378" s="32" t="str">
        <f>IF('12 - Deployments &amp; Config'!K383="","",'12 - Deployments &amp; Config'!K383)</f>
        <v/>
      </c>
      <c r="P378" s="32" t="str">
        <f>IF('12 - Deployments &amp; Config'!L383="","",'12 - Deployments &amp; Config'!L383)</f>
        <v/>
      </c>
      <c r="Q378" s="33"/>
      <c r="R378" s="32" t="str">
        <f>IF('12 - Deployments &amp; Config'!AZ383="","",'12 - Deployments &amp; Config'!AZ383)</f>
        <v/>
      </c>
      <c r="S378" s="32" t="str">
        <f>IF('12 - Deployments &amp; Config'!AY383="","",'12 - Deployments &amp; Config'!AY383)</f>
        <v/>
      </c>
      <c r="T378" s="32" t="str">
        <f>IF('12 - Deployments &amp; Config'!AW383="","",'12 - Deployments &amp; Config'!AW383)</f>
        <v/>
      </c>
      <c r="U378" s="32" t="str">
        <f>IF('12 - Deployments &amp; Config'!AX383="","",'12 - Deployments &amp; Config'!AX383)</f>
        <v/>
      </c>
      <c r="V378" s="32" t="str">
        <f>IF('12 - Deployments &amp; Config'!BB383="","",'12 - Deployments &amp; Config'!BB383)</f>
        <v/>
      </c>
      <c r="W378" s="32" t="str">
        <f>IF('12 - Deployments &amp; Config'!BD383="","",'12 - Deployments &amp; Config'!BD383)</f>
        <v/>
      </c>
      <c r="X378" s="32" t="str">
        <f>IF('12 - Deployments &amp; Config'!BL383="","",'12 - Deployments &amp; Config'!BL383)</f>
        <v/>
      </c>
      <c r="Y378" s="32" t="str">
        <f>IF('12 - Deployments &amp; Config'!BC383="","",'12 - Deployments &amp; Config'!BC383)</f>
        <v/>
      </c>
      <c r="Z378" s="32" t="str">
        <f>IF('12 - Deployments &amp; Config'!P383="","",'12 - Deployments &amp; Config'!P383)</f>
        <v/>
      </c>
      <c r="AA378" s="32" t="str">
        <f>IF('12 - Deployments &amp; Config'!Q383="","",'12 - Deployments &amp; Config'!Q383)</f>
        <v/>
      </c>
    </row>
    <row r="379" spans="1:27">
      <c r="A379" s="33"/>
      <c r="B379" s="33"/>
      <c r="C379" s="32" t="str">
        <f>IF('12 - Deployments &amp; Config'!H384="","",'12 - Deployments &amp; Config'!H384)</f>
        <v/>
      </c>
      <c r="D379" s="32" t="str">
        <f>IF('12 - Deployments &amp; Config'!AF384="","",'12 - Deployments &amp; Config'!AF384)</f>
        <v/>
      </c>
      <c r="E379" s="32" t="str">
        <f>IF('12 - Deployments &amp; Config'!AG384="","",'12 - Deployments &amp; Config'!AG384)</f>
        <v/>
      </c>
      <c r="F379" s="32" t="str">
        <f>IF('12 - Deployments &amp; Config'!AH384="","",'12 - Deployments &amp; Config'!AH384)</f>
        <v/>
      </c>
      <c r="G379" s="32" t="str">
        <f>IF('12 - Deployments &amp; Config'!AI384="","",'12 - Deployments &amp; Config'!AI384)</f>
        <v/>
      </c>
      <c r="H379" s="32" t="str">
        <f>IF('12 - Deployments &amp; Config'!A384="","",'12 - Deployments &amp; Config'!A384)</f>
        <v/>
      </c>
      <c r="I379" s="32" t="str">
        <f>IF('12 - Deployments &amp; Config'!AJ384="","",'12 - Deployments &amp; Config'!AJ384)</f>
        <v/>
      </c>
      <c r="J379" s="32" t="str">
        <f>IF('12 - Deployments &amp; Config'!AK384="","",'12 - Deployments &amp; Config'!AK384)</f>
        <v/>
      </c>
      <c r="K379" s="32" t="str">
        <f>IF('12 - Deployments &amp; Config'!AA384="","",'12 - Deployments &amp; Config'!AA384)</f>
        <v/>
      </c>
      <c r="L379" s="32" t="str">
        <f>IF('12 - Deployments &amp; Config'!I384="","",'12 - Deployments &amp; Config'!I384)</f>
        <v/>
      </c>
      <c r="M379" s="33"/>
      <c r="N379" s="32" t="str">
        <f>IF('12 - Deployments &amp; Config'!J384="","",'12 - Deployments &amp; Config'!J384)</f>
        <v/>
      </c>
      <c r="O379" s="32" t="str">
        <f>IF('12 - Deployments &amp; Config'!K384="","",'12 - Deployments &amp; Config'!K384)</f>
        <v/>
      </c>
      <c r="P379" s="32" t="str">
        <f>IF('12 - Deployments &amp; Config'!L384="","",'12 - Deployments &amp; Config'!L384)</f>
        <v/>
      </c>
      <c r="Q379" s="33"/>
      <c r="R379" s="32" t="str">
        <f>IF('12 - Deployments &amp; Config'!AZ384="","",'12 - Deployments &amp; Config'!AZ384)</f>
        <v/>
      </c>
      <c r="S379" s="32" t="str">
        <f>IF('12 - Deployments &amp; Config'!AY384="","",'12 - Deployments &amp; Config'!AY384)</f>
        <v/>
      </c>
      <c r="T379" s="32" t="str">
        <f>IF('12 - Deployments &amp; Config'!AW384="","",'12 - Deployments &amp; Config'!AW384)</f>
        <v/>
      </c>
      <c r="U379" s="32" t="str">
        <f>IF('12 - Deployments &amp; Config'!AX384="","",'12 - Deployments &amp; Config'!AX384)</f>
        <v/>
      </c>
      <c r="V379" s="32" t="str">
        <f>IF('12 - Deployments &amp; Config'!BB384="","",'12 - Deployments &amp; Config'!BB384)</f>
        <v/>
      </c>
      <c r="W379" s="32" t="str">
        <f>IF('12 - Deployments &amp; Config'!BD384="","",'12 - Deployments &amp; Config'!BD384)</f>
        <v/>
      </c>
      <c r="X379" s="32" t="str">
        <f>IF('12 - Deployments &amp; Config'!BL384="","",'12 - Deployments &amp; Config'!BL384)</f>
        <v/>
      </c>
      <c r="Y379" s="32" t="str">
        <f>IF('12 - Deployments &amp; Config'!BC384="","",'12 - Deployments &amp; Config'!BC384)</f>
        <v/>
      </c>
      <c r="Z379" s="32" t="str">
        <f>IF('12 - Deployments &amp; Config'!P384="","",'12 - Deployments &amp; Config'!P384)</f>
        <v/>
      </c>
      <c r="AA379" s="32" t="str">
        <f>IF('12 - Deployments &amp; Config'!Q384="","",'12 - Deployments &amp; Config'!Q384)</f>
        <v/>
      </c>
    </row>
    <row r="380" spans="1:27">
      <c r="A380" s="33"/>
      <c r="B380" s="33"/>
      <c r="C380" s="32" t="str">
        <f>IF('12 - Deployments &amp; Config'!H385="","",'12 - Deployments &amp; Config'!H385)</f>
        <v/>
      </c>
      <c r="D380" s="32" t="str">
        <f>IF('12 - Deployments &amp; Config'!AF385="","",'12 - Deployments &amp; Config'!AF385)</f>
        <v/>
      </c>
      <c r="E380" s="32" t="str">
        <f>IF('12 - Deployments &amp; Config'!AG385="","",'12 - Deployments &amp; Config'!AG385)</f>
        <v/>
      </c>
      <c r="F380" s="32" t="str">
        <f>IF('12 - Deployments &amp; Config'!AH385="","",'12 - Deployments &amp; Config'!AH385)</f>
        <v/>
      </c>
      <c r="G380" s="32" t="str">
        <f>IF('12 - Deployments &amp; Config'!AI385="","",'12 - Deployments &amp; Config'!AI385)</f>
        <v/>
      </c>
      <c r="H380" s="32" t="str">
        <f>IF('12 - Deployments &amp; Config'!A385="","",'12 - Deployments &amp; Config'!A385)</f>
        <v/>
      </c>
      <c r="I380" s="32" t="str">
        <f>IF('12 - Deployments &amp; Config'!AJ385="","",'12 - Deployments &amp; Config'!AJ385)</f>
        <v/>
      </c>
      <c r="J380" s="32" t="str">
        <f>IF('12 - Deployments &amp; Config'!AK385="","",'12 - Deployments &amp; Config'!AK385)</f>
        <v/>
      </c>
      <c r="K380" s="32" t="str">
        <f>IF('12 - Deployments &amp; Config'!AA385="","",'12 - Deployments &amp; Config'!AA385)</f>
        <v/>
      </c>
      <c r="L380" s="32" t="str">
        <f>IF('12 - Deployments &amp; Config'!I385="","",'12 - Deployments &amp; Config'!I385)</f>
        <v/>
      </c>
      <c r="M380" s="33"/>
      <c r="N380" s="32" t="str">
        <f>IF('12 - Deployments &amp; Config'!J385="","",'12 - Deployments &amp; Config'!J385)</f>
        <v/>
      </c>
      <c r="O380" s="32" t="str">
        <f>IF('12 - Deployments &amp; Config'!K385="","",'12 - Deployments &amp; Config'!K385)</f>
        <v/>
      </c>
      <c r="P380" s="32" t="str">
        <f>IF('12 - Deployments &amp; Config'!L385="","",'12 - Deployments &amp; Config'!L385)</f>
        <v/>
      </c>
      <c r="Q380" s="33"/>
      <c r="R380" s="32" t="str">
        <f>IF('12 - Deployments &amp; Config'!AZ385="","",'12 - Deployments &amp; Config'!AZ385)</f>
        <v/>
      </c>
      <c r="S380" s="32" t="str">
        <f>IF('12 - Deployments &amp; Config'!AY385="","",'12 - Deployments &amp; Config'!AY385)</f>
        <v/>
      </c>
      <c r="T380" s="32" t="str">
        <f>IF('12 - Deployments &amp; Config'!AW385="","",'12 - Deployments &amp; Config'!AW385)</f>
        <v/>
      </c>
      <c r="U380" s="32" t="str">
        <f>IF('12 - Deployments &amp; Config'!AX385="","",'12 - Deployments &amp; Config'!AX385)</f>
        <v/>
      </c>
      <c r="V380" s="32" t="str">
        <f>IF('12 - Deployments &amp; Config'!BB385="","",'12 - Deployments &amp; Config'!BB385)</f>
        <v/>
      </c>
      <c r="W380" s="32" t="str">
        <f>IF('12 - Deployments &amp; Config'!BD385="","",'12 - Deployments &amp; Config'!BD385)</f>
        <v/>
      </c>
      <c r="X380" s="32" t="str">
        <f>IF('12 - Deployments &amp; Config'!BL385="","",'12 - Deployments &amp; Config'!BL385)</f>
        <v/>
      </c>
      <c r="Y380" s="32" t="str">
        <f>IF('12 - Deployments &amp; Config'!BC385="","",'12 - Deployments &amp; Config'!BC385)</f>
        <v/>
      </c>
      <c r="Z380" s="32" t="str">
        <f>IF('12 - Deployments &amp; Config'!P385="","",'12 - Deployments &amp; Config'!P385)</f>
        <v/>
      </c>
      <c r="AA380" s="32" t="str">
        <f>IF('12 - Deployments &amp; Config'!Q385="","",'12 - Deployments &amp; Config'!Q385)</f>
        <v/>
      </c>
    </row>
    <row r="381" spans="1:27">
      <c r="A381" s="33"/>
      <c r="B381" s="33"/>
      <c r="C381" s="32" t="str">
        <f>IF('12 - Deployments &amp; Config'!H386="","",'12 - Deployments &amp; Config'!H386)</f>
        <v/>
      </c>
      <c r="D381" s="32" t="str">
        <f>IF('12 - Deployments &amp; Config'!AF386="","",'12 - Deployments &amp; Config'!AF386)</f>
        <v/>
      </c>
      <c r="E381" s="32" t="str">
        <f>IF('12 - Deployments &amp; Config'!AG386="","",'12 - Deployments &amp; Config'!AG386)</f>
        <v/>
      </c>
      <c r="F381" s="32" t="str">
        <f>IF('12 - Deployments &amp; Config'!AH386="","",'12 - Deployments &amp; Config'!AH386)</f>
        <v/>
      </c>
      <c r="G381" s="32" t="str">
        <f>IF('12 - Deployments &amp; Config'!AI386="","",'12 - Deployments &amp; Config'!AI386)</f>
        <v/>
      </c>
      <c r="H381" s="32" t="str">
        <f>IF('12 - Deployments &amp; Config'!A386="","",'12 - Deployments &amp; Config'!A386)</f>
        <v/>
      </c>
      <c r="I381" s="32" t="str">
        <f>IF('12 - Deployments &amp; Config'!AJ386="","",'12 - Deployments &amp; Config'!AJ386)</f>
        <v/>
      </c>
      <c r="J381" s="32" t="str">
        <f>IF('12 - Deployments &amp; Config'!AK386="","",'12 - Deployments &amp; Config'!AK386)</f>
        <v/>
      </c>
      <c r="K381" s="32" t="str">
        <f>IF('12 - Deployments &amp; Config'!AA386="","",'12 - Deployments &amp; Config'!AA386)</f>
        <v/>
      </c>
      <c r="L381" s="32" t="str">
        <f>IF('12 - Deployments &amp; Config'!I386="","",'12 - Deployments &amp; Config'!I386)</f>
        <v/>
      </c>
      <c r="M381" s="33"/>
      <c r="N381" s="32" t="str">
        <f>IF('12 - Deployments &amp; Config'!J386="","",'12 - Deployments &amp; Config'!J386)</f>
        <v/>
      </c>
      <c r="O381" s="32" t="str">
        <f>IF('12 - Deployments &amp; Config'!K386="","",'12 - Deployments &amp; Config'!K386)</f>
        <v/>
      </c>
      <c r="P381" s="32" t="str">
        <f>IF('12 - Deployments &amp; Config'!L386="","",'12 - Deployments &amp; Config'!L386)</f>
        <v/>
      </c>
      <c r="Q381" s="33"/>
      <c r="R381" s="32" t="str">
        <f>IF('12 - Deployments &amp; Config'!AZ386="","",'12 - Deployments &amp; Config'!AZ386)</f>
        <v/>
      </c>
      <c r="S381" s="32" t="str">
        <f>IF('12 - Deployments &amp; Config'!AY386="","",'12 - Deployments &amp; Config'!AY386)</f>
        <v/>
      </c>
      <c r="T381" s="32" t="str">
        <f>IF('12 - Deployments &amp; Config'!AW386="","",'12 - Deployments &amp; Config'!AW386)</f>
        <v/>
      </c>
      <c r="U381" s="32" t="str">
        <f>IF('12 - Deployments &amp; Config'!AX386="","",'12 - Deployments &amp; Config'!AX386)</f>
        <v/>
      </c>
      <c r="V381" s="32" t="str">
        <f>IF('12 - Deployments &amp; Config'!BB386="","",'12 - Deployments &amp; Config'!BB386)</f>
        <v/>
      </c>
      <c r="W381" s="32" t="str">
        <f>IF('12 - Deployments &amp; Config'!BD386="","",'12 - Deployments &amp; Config'!BD386)</f>
        <v/>
      </c>
      <c r="X381" s="32" t="str">
        <f>IF('12 - Deployments &amp; Config'!BL386="","",'12 - Deployments &amp; Config'!BL386)</f>
        <v/>
      </c>
      <c r="Y381" s="32" t="str">
        <f>IF('12 - Deployments &amp; Config'!BC386="","",'12 - Deployments &amp; Config'!BC386)</f>
        <v/>
      </c>
      <c r="Z381" s="32" t="str">
        <f>IF('12 - Deployments &amp; Config'!P386="","",'12 - Deployments &amp; Config'!P386)</f>
        <v/>
      </c>
      <c r="AA381" s="32" t="str">
        <f>IF('12 - Deployments &amp; Config'!Q386="","",'12 - Deployments &amp; Config'!Q386)</f>
        <v/>
      </c>
    </row>
    <row r="382" spans="1:27">
      <c r="A382" s="33"/>
      <c r="B382" s="33"/>
      <c r="C382" s="32" t="str">
        <f>IF('12 - Deployments &amp; Config'!H387="","",'12 - Deployments &amp; Config'!H387)</f>
        <v/>
      </c>
      <c r="D382" s="32" t="str">
        <f>IF('12 - Deployments &amp; Config'!AF387="","",'12 - Deployments &amp; Config'!AF387)</f>
        <v/>
      </c>
      <c r="E382" s="32" t="str">
        <f>IF('12 - Deployments &amp; Config'!AG387="","",'12 - Deployments &amp; Config'!AG387)</f>
        <v/>
      </c>
      <c r="F382" s="32" t="str">
        <f>IF('12 - Deployments &amp; Config'!AH387="","",'12 - Deployments &amp; Config'!AH387)</f>
        <v/>
      </c>
      <c r="G382" s="32" t="str">
        <f>IF('12 - Deployments &amp; Config'!AI387="","",'12 - Deployments &amp; Config'!AI387)</f>
        <v/>
      </c>
      <c r="H382" s="32" t="str">
        <f>IF('12 - Deployments &amp; Config'!A387="","",'12 - Deployments &amp; Config'!A387)</f>
        <v/>
      </c>
      <c r="I382" s="32" t="str">
        <f>IF('12 - Deployments &amp; Config'!AJ387="","",'12 - Deployments &amp; Config'!AJ387)</f>
        <v/>
      </c>
      <c r="J382" s="32" t="str">
        <f>IF('12 - Deployments &amp; Config'!AK387="","",'12 - Deployments &amp; Config'!AK387)</f>
        <v/>
      </c>
      <c r="K382" s="32" t="str">
        <f>IF('12 - Deployments &amp; Config'!AA387="","",'12 - Deployments &amp; Config'!AA387)</f>
        <v/>
      </c>
      <c r="L382" s="32" t="str">
        <f>IF('12 - Deployments &amp; Config'!I387="","",'12 - Deployments &amp; Config'!I387)</f>
        <v/>
      </c>
      <c r="M382" s="33"/>
      <c r="N382" s="32" t="str">
        <f>IF('12 - Deployments &amp; Config'!J387="","",'12 - Deployments &amp; Config'!J387)</f>
        <v/>
      </c>
      <c r="O382" s="32" t="str">
        <f>IF('12 - Deployments &amp; Config'!K387="","",'12 - Deployments &amp; Config'!K387)</f>
        <v/>
      </c>
      <c r="P382" s="32" t="str">
        <f>IF('12 - Deployments &amp; Config'!L387="","",'12 - Deployments &amp; Config'!L387)</f>
        <v/>
      </c>
      <c r="Q382" s="33"/>
      <c r="R382" s="32" t="str">
        <f>IF('12 - Deployments &amp; Config'!AZ387="","",'12 - Deployments &amp; Config'!AZ387)</f>
        <v/>
      </c>
      <c r="S382" s="32" t="str">
        <f>IF('12 - Deployments &amp; Config'!AY387="","",'12 - Deployments &amp; Config'!AY387)</f>
        <v/>
      </c>
      <c r="T382" s="32" t="str">
        <f>IF('12 - Deployments &amp; Config'!AW387="","",'12 - Deployments &amp; Config'!AW387)</f>
        <v/>
      </c>
      <c r="U382" s="32" t="str">
        <f>IF('12 - Deployments &amp; Config'!AX387="","",'12 - Deployments &amp; Config'!AX387)</f>
        <v/>
      </c>
      <c r="V382" s="32" t="str">
        <f>IF('12 - Deployments &amp; Config'!BB387="","",'12 - Deployments &amp; Config'!BB387)</f>
        <v/>
      </c>
      <c r="W382" s="32" t="str">
        <f>IF('12 - Deployments &amp; Config'!BD387="","",'12 - Deployments &amp; Config'!BD387)</f>
        <v/>
      </c>
      <c r="X382" s="32" t="str">
        <f>IF('12 - Deployments &amp; Config'!BL387="","",'12 - Deployments &amp; Config'!BL387)</f>
        <v/>
      </c>
      <c r="Y382" s="32" t="str">
        <f>IF('12 - Deployments &amp; Config'!BC387="","",'12 - Deployments &amp; Config'!BC387)</f>
        <v/>
      </c>
      <c r="Z382" s="32" t="str">
        <f>IF('12 - Deployments &amp; Config'!P387="","",'12 - Deployments &amp; Config'!P387)</f>
        <v/>
      </c>
      <c r="AA382" s="32" t="str">
        <f>IF('12 - Deployments &amp; Config'!Q387="","",'12 - Deployments &amp; Config'!Q387)</f>
        <v/>
      </c>
    </row>
    <row r="383" spans="1:27">
      <c r="A383" s="33"/>
      <c r="B383" s="33"/>
      <c r="C383" s="32" t="str">
        <f>IF('12 - Deployments &amp; Config'!H388="","",'12 - Deployments &amp; Config'!H388)</f>
        <v/>
      </c>
      <c r="D383" s="32" t="str">
        <f>IF('12 - Deployments &amp; Config'!AF388="","",'12 - Deployments &amp; Config'!AF388)</f>
        <v/>
      </c>
      <c r="E383" s="32" t="str">
        <f>IF('12 - Deployments &amp; Config'!AG388="","",'12 - Deployments &amp; Config'!AG388)</f>
        <v/>
      </c>
      <c r="F383" s="32" t="str">
        <f>IF('12 - Deployments &amp; Config'!AH388="","",'12 - Deployments &amp; Config'!AH388)</f>
        <v/>
      </c>
      <c r="G383" s="32" t="str">
        <f>IF('12 - Deployments &amp; Config'!AI388="","",'12 - Deployments &amp; Config'!AI388)</f>
        <v/>
      </c>
      <c r="H383" s="32" t="str">
        <f>IF('12 - Deployments &amp; Config'!A388="","",'12 - Deployments &amp; Config'!A388)</f>
        <v/>
      </c>
      <c r="I383" s="32" t="str">
        <f>IF('12 - Deployments &amp; Config'!AJ388="","",'12 - Deployments &amp; Config'!AJ388)</f>
        <v/>
      </c>
      <c r="J383" s="32" t="str">
        <f>IF('12 - Deployments &amp; Config'!AK388="","",'12 - Deployments &amp; Config'!AK388)</f>
        <v/>
      </c>
      <c r="K383" s="32" t="str">
        <f>IF('12 - Deployments &amp; Config'!AA388="","",'12 - Deployments &amp; Config'!AA388)</f>
        <v/>
      </c>
      <c r="L383" s="32" t="str">
        <f>IF('12 - Deployments &amp; Config'!I388="","",'12 - Deployments &amp; Config'!I388)</f>
        <v/>
      </c>
      <c r="M383" s="33"/>
      <c r="N383" s="32" t="str">
        <f>IF('12 - Deployments &amp; Config'!J388="","",'12 - Deployments &amp; Config'!J388)</f>
        <v/>
      </c>
      <c r="O383" s="32" t="str">
        <f>IF('12 - Deployments &amp; Config'!K388="","",'12 - Deployments &amp; Config'!K388)</f>
        <v/>
      </c>
      <c r="P383" s="32" t="str">
        <f>IF('12 - Deployments &amp; Config'!L388="","",'12 - Deployments &amp; Config'!L388)</f>
        <v/>
      </c>
      <c r="Q383" s="33"/>
      <c r="R383" s="32" t="str">
        <f>IF('12 - Deployments &amp; Config'!AZ388="","",'12 - Deployments &amp; Config'!AZ388)</f>
        <v/>
      </c>
      <c r="S383" s="32" t="str">
        <f>IF('12 - Deployments &amp; Config'!AY388="","",'12 - Deployments &amp; Config'!AY388)</f>
        <v/>
      </c>
      <c r="T383" s="32" t="str">
        <f>IF('12 - Deployments &amp; Config'!AW388="","",'12 - Deployments &amp; Config'!AW388)</f>
        <v/>
      </c>
      <c r="U383" s="32" t="str">
        <f>IF('12 - Deployments &amp; Config'!AX388="","",'12 - Deployments &amp; Config'!AX388)</f>
        <v/>
      </c>
      <c r="V383" s="32" t="str">
        <f>IF('12 - Deployments &amp; Config'!BB388="","",'12 - Deployments &amp; Config'!BB388)</f>
        <v/>
      </c>
      <c r="W383" s="32" t="str">
        <f>IF('12 - Deployments &amp; Config'!BD388="","",'12 - Deployments &amp; Config'!BD388)</f>
        <v/>
      </c>
      <c r="X383" s="32" t="str">
        <f>IF('12 - Deployments &amp; Config'!BL388="","",'12 - Deployments &amp; Config'!BL388)</f>
        <v/>
      </c>
      <c r="Y383" s="32" t="str">
        <f>IF('12 - Deployments &amp; Config'!BC388="","",'12 - Deployments &amp; Config'!BC388)</f>
        <v/>
      </c>
      <c r="Z383" s="32" t="str">
        <f>IF('12 - Deployments &amp; Config'!P388="","",'12 - Deployments &amp; Config'!P388)</f>
        <v/>
      </c>
      <c r="AA383" s="32" t="str">
        <f>IF('12 - Deployments &amp; Config'!Q388="","",'12 - Deployments &amp; Config'!Q388)</f>
        <v/>
      </c>
    </row>
    <row r="384" spans="1:27">
      <c r="A384" s="33"/>
      <c r="B384" s="33"/>
      <c r="C384" s="32" t="str">
        <f>IF('12 - Deployments &amp; Config'!H389="","",'12 - Deployments &amp; Config'!H389)</f>
        <v/>
      </c>
      <c r="D384" s="32" t="str">
        <f>IF('12 - Deployments &amp; Config'!AF389="","",'12 - Deployments &amp; Config'!AF389)</f>
        <v/>
      </c>
      <c r="E384" s="32" t="str">
        <f>IF('12 - Deployments &amp; Config'!AG389="","",'12 - Deployments &amp; Config'!AG389)</f>
        <v/>
      </c>
      <c r="F384" s="32" t="str">
        <f>IF('12 - Deployments &amp; Config'!AH389="","",'12 - Deployments &amp; Config'!AH389)</f>
        <v/>
      </c>
      <c r="G384" s="32" t="str">
        <f>IF('12 - Deployments &amp; Config'!AI389="","",'12 - Deployments &amp; Config'!AI389)</f>
        <v/>
      </c>
      <c r="H384" s="32" t="str">
        <f>IF('12 - Deployments &amp; Config'!A389="","",'12 - Deployments &amp; Config'!A389)</f>
        <v/>
      </c>
      <c r="I384" s="32" t="str">
        <f>IF('12 - Deployments &amp; Config'!AJ389="","",'12 - Deployments &amp; Config'!AJ389)</f>
        <v/>
      </c>
      <c r="J384" s="32" t="str">
        <f>IF('12 - Deployments &amp; Config'!AK389="","",'12 - Deployments &amp; Config'!AK389)</f>
        <v/>
      </c>
      <c r="K384" s="32" t="str">
        <f>IF('12 - Deployments &amp; Config'!AA389="","",'12 - Deployments &amp; Config'!AA389)</f>
        <v/>
      </c>
      <c r="L384" s="32" t="str">
        <f>IF('12 - Deployments &amp; Config'!I389="","",'12 - Deployments &amp; Config'!I389)</f>
        <v/>
      </c>
      <c r="M384" s="33"/>
      <c r="N384" s="32" t="str">
        <f>IF('12 - Deployments &amp; Config'!J389="","",'12 - Deployments &amp; Config'!J389)</f>
        <v/>
      </c>
      <c r="O384" s="32" t="str">
        <f>IF('12 - Deployments &amp; Config'!K389="","",'12 - Deployments &amp; Config'!K389)</f>
        <v/>
      </c>
      <c r="P384" s="32" t="str">
        <f>IF('12 - Deployments &amp; Config'!L389="","",'12 - Deployments &amp; Config'!L389)</f>
        <v/>
      </c>
      <c r="Q384" s="33"/>
      <c r="R384" s="32" t="str">
        <f>IF('12 - Deployments &amp; Config'!AZ389="","",'12 - Deployments &amp; Config'!AZ389)</f>
        <v/>
      </c>
      <c r="S384" s="32" t="str">
        <f>IF('12 - Deployments &amp; Config'!AY389="","",'12 - Deployments &amp; Config'!AY389)</f>
        <v/>
      </c>
      <c r="T384" s="32" t="str">
        <f>IF('12 - Deployments &amp; Config'!AW389="","",'12 - Deployments &amp; Config'!AW389)</f>
        <v/>
      </c>
      <c r="U384" s="32" t="str">
        <f>IF('12 - Deployments &amp; Config'!AX389="","",'12 - Deployments &amp; Config'!AX389)</f>
        <v/>
      </c>
      <c r="V384" s="32" t="str">
        <f>IF('12 - Deployments &amp; Config'!BB389="","",'12 - Deployments &amp; Config'!BB389)</f>
        <v/>
      </c>
      <c r="W384" s="32" t="str">
        <f>IF('12 - Deployments &amp; Config'!BD389="","",'12 - Deployments &amp; Config'!BD389)</f>
        <v/>
      </c>
      <c r="X384" s="32" t="str">
        <f>IF('12 - Deployments &amp; Config'!BL389="","",'12 - Deployments &amp; Config'!BL389)</f>
        <v/>
      </c>
      <c r="Y384" s="32" t="str">
        <f>IF('12 - Deployments &amp; Config'!BC389="","",'12 - Deployments &amp; Config'!BC389)</f>
        <v/>
      </c>
      <c r="Z384" s="32" t="str">
        <f>IF('12 - Deployments &amp; Config'!P389="","",'12 - Deployments &amp; Config'!P389)</f>
        <v/>
      </c>
      <c r="AA384" s="32" t="str">
        <f>IF('12 - Deployments &amp; Config'!Q389="","",'12 - Deployments &amp; Config'!Q389)</f>
        <v/>
      </c>
    </row>
    <row r="385" spans="1:27">
      <c r="A385" s="33"/>
      <c r="B385" s="33"/>
      <c r="C385" s="32" t="str">
        <f>IF('12 - Deployments &amp; Config'!H390="","",'12 - Deployments &amp; Config'!H390)</f>
        <v/>
      </c>
      <c r="D385" s="32" t="str">
        <f>IF('12 - Deployments &amp; Config'!AF390="","",'12 - Deployments &amp; Config'!AF390)</f>
        <v/>
      </c>
      <c r="E385" s="32" t="str">
        <f>IF('12 - Deployments &amp; Config'!AG390="","",'12 - Deployments &amp; Config'!AG390)</f>
        <v/>
      </c>
      <c r="F385" s="32" t="str">
        <f>IF('12 - Deployments &amp; Config'!AH390="","",'12 - Deployments &amp; Config'!AH390)</f>
        <v/>
      </c>
      <c r="G385" s="32" t="str">
        <f>IF('12 - Deployments &amp; Config'!AI390="","",'12 - Deployments &amp; Config'!AI390)</f>
        <v/>
      </c>
      <c r="H385" s="32" t="str">
        <f>IF('12 - Deployments &amp; Config'!A390="","",'12 - Deployments &amp; Config'!A390)</f>
        <v/>
      </c>
      <c r="I385" s="32" t="str">
        <f>IF('12 - Deployments &amp; Config'!AJ390="","",'12 - Deployments &amp; Config'!AJ390)</f>
        <v/>
      </c>
      <c r="J385" s="32" t="str">
        <f>IF('12 - Deployments &amp; Config'!AK390="","",'12 - Deployments &amp; Config'!AK390)</f>
        <v/>
      </c>
      <c r="K385" s="32" t="str">
        <f>IF('12 - Deployments &amp; Config'!AA390="","",'12 - Deployments &amp; Config'!AA390)</f>
        <v/>
      </c>
      <c r="L385" s="32" t="str">
        <f>IF('12 - Deployments &amp; Config'!I390="","",'12 - Deployments &amp; Config'!I390)</f>
        <v/>
      </c>
      <c r="M385" s="33"/>
      <c r="N385" s="32" t="str">
        <f>IF('12 - Deployments &amp; Config'!J390="","",'12 - Deployments &amp; Config'!J390)</f>
        <v/>
      </c>
      <c r="O385" s="32" t="str">
        <f>IF('12 - Deployments &amp; Config'!K390="","",'12 - Deployments &amp; Config'!K390)</f>
        <v/>
      </c>
      <c r="P385" s="32" t="str">
        <f>IF('12 - Deployments &amp; Config'!L390="","",'12 - Deployments &amp; Config'!L390)</f>
        <v/>
      </c>
      <c r="Q385" s="33"/>
      <c r="R385" s="32" t="str">
        <f>IF('12 - Deployments &amp; Config'!AZ390="","",'12 - Deployments &amp; Config'!AZ390)</f>
        <v/>
      </c>
      <c r="S385" s="32" t="str">
        <f>IF('12 - Deployments &amp; Config'!AY390="","",'12 - Deployments &amp; Config'!AY390)</f>
        <v/>
      </c>
      <c r="T385" s="32" t="str">
        <f>IF('12 - Deployments &amp; Config'!AW390="","",'12 - Deployments &amp; Config'!AW390)</f>
        <v/>
      </c>
      <c r="U385" s="32" t="str">
        <f>IF('12 - Deployments &amp; Config'!AX390="","",'12 - Deployments &amp; Config'!AX390)</f>
        <v/>
      </c>
      <c r="V385" s="32" t="str">
        <f>IF('12 - Deployments &amp; Config'!BB390="","",'12 - Deployments &amp; Config'!BB390)</f>
        <v/>
      </c>
      <c r="W385" s="32" t="str">
        <f>IF('12 - Deployments &amp; Config'!BD390="","",'12 - Deployments &amp; Config'!BD390)</f>
        <v/>
      </c>
      <c r="X385" s="32" t="str">
        <f>IF('12 - Deployments &amp; Config'!BL390="","",'12 - Deployments &amp; Config'!BL390)</f>
        <v/>
      </c>
      <c r="Y385" s="32" t="str">
        <f>IF('12 - Deployments &amp; Config'!BC390="","",'12 - Deployments &amp; Config'!BC390)</f>
        <v/>
      </c>
      <c r="Z385" s="32" t="str">
        <f>IF('12 - Deployments &amp; Config'!P390="","",'12 - Deployments &amp; Config'!P390)</f>
        <v/>
      </c>
      <c r="AA385" s="32" t="str">
        <f>IF('12 - Deployments &amp; Config'!Q390="","",'12 - Deployments &amp; Config'!Q390)</f>
        <v/>
      </c>
    </row>
    <row r="386" spans="1:27">
      <c r="A386" s="33"/>
      <c r="B386" s="33"/>
      <c r="C386" s="32" t="str">
        <f>IF('12 - Deployments &amp; Config'!H391="","",'12 - Deployments &amp; Config'!H391)</f>
        <v/>
      </c>
      <c r="D386" s="32" t="str">
        <f>IF('12 - Deployments &amp; Config'!AF391="","",'12 - Deployments &amp; Config'!AF391)</f>
        <v/>
      </c>
      <c r="E386" s="32" t="str">
        <f>IF('12 - Deployments &amp; Config'!AG391="","",'12 - Deployments &amp; Config'!AG391)</f>
        <v/>
      </c>
      <c r="F386" s="32" t="str">
        <f>IF('12 - Deployments &amp; Config'!AH391="","",'12 - Deployments &amp; Config'!AH391)</f>
        <v/>
      </c>
      <c r="G386" s="32" t="str">
        <f>IF('12 - Deployments &amp; Config'!AI391="","",'12 - Deployments &amp; Config'!AI391)</f>
        <v/>
      </c>
      <c r="H386" s="32" t="str">
        <f>IF('12 - Deployments &amp; Config'!A391="","",'12 - Deployments &amp; Config'!A391)</f>
        <v/>
      </c>
      <c r="I386" s="32" t="str">
        <f>IF('12 - Deployments &amp; Config'!AJ391="","",'12 - Deployments &amp; Config'!AJ391)</f>
        <v/>
      </c>
      <c r="J386" s="32" t="str">
        <f>IF('12 - Deployments &amp; Config'!AK391="","",'12 - Deployments &amp; Config'!AK391)</f>
        <v/>
      </c>
      <c r="K386" s="32" t="str">
        <f>IF('12 - Deployments &amp; Config'!AA391="","",'12 - Deployments &amp; Config'!AA391)</f>
        <v/>
      </c>
      <c r="L386" s="32" t="str">
        <f>IF('12 - Deployments &amp; Config'!I391="","",'12 - Deployments &amp; Config'!I391)</f>
        <v/>
      </c>
      <c r="M386" s="33"/>
      <c r="N386" s="32" t="str">
        <f>IF('12 - Deployments &amp; Config'!J391="","",'12 - Deployments &amp; Config'!J391)</f>
        <v/>
      </c>
      <c r="O386" s="32" t="str">
        <f>IF('12 - Deployments &amp; Config'!K391="","",'12 - Deployments &amp; Config'!K391)</f>
        <v/>
      </c>
      <c r="P386" s="32" t="str">
        <f>IF('12 - Deployments &amp; Config'!L391="","",'12 - Deployments &amp; Config'!L391)</f>
        <v/>
      </c>
      <c r="Q386" s="33"/>
      <c r="R386" s="32" t="str">
        <f>IF('12 - Deployments &amp; Config'!AZ391="","",'12 - Deployments &amp; Config'!AZ391)</f>
        <v/>
      </c>
      <c r="S386" s="32" t="str">
        <f>IF('12 - Deployments &amp; Config'!AY391="","",'12 - Deployments &amp; Config'!AY391)</f>
        <v/>
      </c>
      <c r="T386" s="32" t="str">
        <f>IF('12 - Deployments &amp; Config'!AW391="","",'12 - Deployments &amp; Config'!AW391)</f>
        <v/>
      </c>
      <c r="U386" s="32" t="str">
        <f>IF('12 - Deployments &amp; Config'!AX391="","",'12 - Deployments &amp; Config'!AX391)</f>
        <v/>
      </c>
      <c r="V386" s="32" t="str">
        <f>IF('12 - Deployments &amp; Config'!BB391="","",'12 - Deployments &amp; Config'!BB391)</f>
        <v/>
      </c>
      <c r="W386" s="32" t="str">
        <f>IF('12 - Deployments &amp; Config'!BD391="","",'12 - Deployments &amp; Config'!BD391)</f>
        <v/>
      </c>
      <c r="X386" s="32" t="str">
        <f>IF('12 - Deployments &amp; Config'!BL391="","",'12 - Deployments &amp; Config'!BL391)</f>
        <v/>
      </c>
      <c r="Y386" s="32" t="str">
        <f>IF('12 - Deployments &amp; Config'!BC391="","",'12 - Deployments &amp; Config'!BC391)</f>
        <v/>
      </c>
      <c r="Z386" s="32" t="str">
        <f>IF('12 - Deployments &amp; Config'!P391="","",'12 - Deployments &amp; Config'!P391)</f>
        <v/>
      </c>
      <c r="AA386" s="32" t="str">
        <f>IF('12 - Deployments &amp; Config'!Q391="","",'12 - Deployments &amp; Config'!Q391)</f>
        <v/>
      </c>
    </row>
    <row r="387" spans="1:27">
      <c r="A387" s="33"/>
      <c r="B387" s="33"/>
      <c r="C387" s="32" t="str">
        <f>IF('12 - Deployments &amp; Config'!H392="","",'12 - Deployments &amp; Config'!H392)</f>
        <v/>
      </c>
      <c r="D387" s="32" t="str">
        <f>IF('12 - Deployments &amp; Config'!AF392="","",'12 - Deployments &amp; Config'!AF392)</f>
        <v/>
      </c>
      <c r="E387" s="32" t="str">
        <f>IF('12 - Deployments &amp; Config'!AG392="","",'12 - Deployments &amp; Config'!AG392)</f>
        <v/>
      </c>
      <c r="F387" s="32" t="str">
        <f>IF('12 - Deployments &amp; Config'!AH392="","",'12 - Deployments &amp; Config'!AH392)</f>
        <v/>
      </c>
      <c r="G387" s="32" t="str">
        <f>IF('12 - Deployments &amp; Config'!AI392="","",'12 - Deployments &amp; Config'!AI392)</f>
        <v/>
      </c>
      <c r="H387" s="32" t="str">
        <f>IF('12 - Deployments &amp; Config'!A392="","",'12 - Deployments &amp; Config'!A392)</f>
        <v/>
      </c>
      <c r="I387" s="32" t="str">
        <f>IF('12 - Deployments &amp; Config'!AJ392="","",'12 - Deployments &amp; Config'!AJ392)</f>
        <v/>
      </c>
      <c r="J387" s="32" t="str">
        <f>IF('12 - Deployments &amp; Config'!AK392="","",'12 - Deployments &amp; Config'!AK392)</f>
        <v/>
      </c>
      <c r="K387" s="32" t="str">
        <f>IF('12 - Deployments &amp; Config'!AA392="","",'12 - Deployments &amp; Config'!AA392)</f>
        <v/>
      </c>
      <c r="L387" s="32" t="str">
        <f>IF('12 - Deployments &amp; Config'!I392="","",'12 - Deployments &amp; Config'!I392)</f>
        <v/>
      </c>
      <c r="M387" s="33"/>
      <c r="N387" s="32" t="str">
        <f>IF('12 - Deployments &amp; Config'!J392="","",'12 - Deployments &amp; Config'!J392)</f>
        <v/>
      </c>
      <c r="O387" s="32" t="str">
        <f>IF('12 - Deployments &amp; Config'!K392="","",'12 - Deployments &amp; Config'!K392)</f>
        <v/>
      </c>
      <c r="P387" s="32" t="str">
        <f>IF('12 - Deployments &amp; Config'!L392="","",'12 - Deployments &amp; Config'!L392)</f>
        <v/>
      </c>
      <c r="Q387" s="33"/>
      <c r="R387" s="32" t="str">
        <f>IF('12 - Deployments &amp; Config'!AZ392="","",'12 - Deployments &amp; Config'!AZ392)</f>
        <v/>
      </c>
      <c r="S387" s="32" t="str">
        <f>IF('12 - Deployments &amp; Config'!AY392="","",'12 - Deployments &amp; Config'!AY392)</f>
        <v/>
      </c>
      <c r="T387" s="32" t="str">
        <f>IF('12 - Deployments &amp; Config'!AW392="","",'12 - Deployments &amp; Config'!AW392)</f>
        <v/>
      </c>
      <c r="U387" s="32" t="str">
        <f>IF('12 - Deployments &amp; Config'!AX392="","",'12 - Deployments &amp; Config'!AX392)</f>
        <v/>
      </c>
      <c r="V387" s="32" t="str">
        <f>IF('12 - Deployments &amp; Config'!BB392="","",'12 - Deployments &amp; Config'!BB392)</f>
        <v/>
      </c>
      <c r="W387" s="32" t="str">
        <f>IF('12 - Deployments &amp; Config'!BD392="","",'12 - Deployments &amp; Config'!BD392)</f>
        <v/>
      </c>
      <c r="X387" s="32" t="str">
        <f>IF('12 - Deployments &amp; Config'!BL392="","",'12 - Deployments &amp; Config'!BL392)</f>
        <v/>
      </c>
      <c r="Y387" s="32" t="str">
        <f>IF('12 - Deployments &amp; Config'!BC392="","",'12 - Deployments &amp; Config'!BC392)</f>
        <v/>
      </c>
      <c r="Z387" s="32" t="str">
        <f>IF('12 - Deployments &amp; Config'!P392="","",'12 - Deployments &amp; Config'!P392)</f>
        <v/>
      </c>
      <c r="AA387" s="32" t="str">
        <f>IF('12 - Deployments &amp; Config'!Q392="","",'12 - Deployments &amp; Config'!Q392)</f>
        <v/>
      </c>
    </row>
    <row r="388" spans="1:27">
      <c r="A388" s="33"/>
      <c r="B388" s="33"/>
      <c r="C388" s="32" t="str">
        <f>IF('12 - Deployments &amp; Config'!H393="","",'12 - Deployments &amp; Config'!H393)</f>
        <v/>
      </c>
      <c r="D388" s="32" t="str">
        <f>IF('12 - Deployments &amp; Config'!AF393="","",'12 - Deployments &amp; Config'!AF393)</f>
        <v/>
      </c>
      <c r="E388" s="32" t="str">
        <f>IF('12 - Deployments &amp; Config'!AG393="","",'12 - Deployments &amp; Config'!AG393)</f>
        <v/>
      </c>
      <c r="F388" s="32" t="str">
        <f>IF('12 - Deployments &amp; Config'!AH393="","",'12 - Deployments &amp; Config'!AH393)</f>
        <v/>
      </c>
      <c r="G388" s="32" t="str">
        <f>IF('12 - Deployments &amp; Config'!AI393="","",'12 - Deployments &amp; Config'!AI393)</f>
        <v/>
      </c>
      <c r="H388" s="32" t="str">
        <f>IF('12 - Deployments &amp; Config'!A393="","",'12 - Deployments &amp; Config'!A393)</f>
        <v/>
      </c>
      <c r="I388" s="32" t="str">
        <f>IF('12 - Deployments &amp; Config'!AJ393="","",'12 - Deployments &amp; Config'!AJ393)</f>
        <v/>
      </c>
      <c r="J388" s="32" t="str">
        <f>IF('12 - Deployments &amp; Config'!AK393="","",'12 - Deployments &amp; Config'!AK393)</f>
        <v/>
      </c>
      <c r="K388" s="32" t="str">
        <f>IF('12 - Deployments &amp; Config'!AA393="","",'12 - Deployments &amp; Config'!AA393)</f>
        <v/>
      </c>
      <c r="L388" s="32" t="str">
        <f>IF('12 - Deployments &amp; Config'!I393="","",'12 - Deployments &amp; Config'!I393)</f>
        <v/>
      </c>
      <c r="M388" s="33"/>
      <c r="N388" s="32" t="str">
        <f>IF('12 - Deployments &amp; Config'!J393="","",'12 - Deployments &amp; Config'!J393)</f>
        <v/>
      </c>
      <c r="O388" s="32" t="str">
        <f>IF('12 - Deployments &amp; Config'!K393="","",'12 - Deployments &amp; Config'!K393)</f>
        <v/>
      </c>
      <c r="P388" s="32" t="str">
        <f>IF('12 - Deployments &amp; Config'!L393="","",'12 - Deployments &amp; Config'!L393)</f>
        <v/>
      </c>
      <c r="Q388" s="33"/>
      <c r="R388" s="32" t="str">
        <f>IF('12 - Deployments &amp; Config'!AZ393="","",'12 - Deployments &amp; Config'!AZ393)</f>
        <v/>
      </c>
      <c r="S388" s="32" t="str">
        <f>IF('12 - Deployments &amp; Config'!AY393="","",'12 - Deployments &amp; Config'!AY393)</f>
        <v/>
      </c>
      <c r="T388" s="32" t="str">
        <f>IF('12 - Deployments &amp; Config'!AW393="","",'12 - Deployments &amp; Config'!AW393)</f>
        <v/>
      </c>
      <c r="U388" s="32" t="str">
        <f>IF('12 - Deployments &amp; Config'!AX393="","",'12 - Deployments &amp; Config'!AX393)</f>
        <v/>
      </c>
      <c r="V388" s="32" t="str">
        <f>IF('12 - Deployments &amp; Config'!BB393="","",'12 - Deployments &amp; Config'!BB393)</f>
        <v/>
      </c>
      <c r="W388" s="32" t="str">
        <f>IF('12 - Deployments &amp; Config'!BD393="","",'12 - Deployments &amp; Config'!BD393)</f>
        <v/>
      </c>
      <c r="X388" s="32" t="str">
        <f>IF('12 - Deployments &amp; Config'!BL393="","",'12 - Deployments &amp; Config'!BL393)</f>
        <v/>
      </c>
      <c r="Y388" s="32" t="str">
        <f>IF('12 - Deployments &amp; Config'!BC393="","",'12 - Deployments &amp; Config'!BC393)</f>
        <v/>
      </c>
      <c r="Z388" s="32" t="str">
        <f>IF('12 - Deployments &amp; Config'!P393="","",'12 - Deployments &amp; Config'!P393)</f>
        <v/>
      </c>
      <c r="AA388" s="32" t="str">
        <f>IF('12 - Deployments &amp; Config'!Q393="","",'12 - Deployments &amp; Config'!Q393)</f>
        <v/>
      </c>
    </row>
    <row r="389" spans="1:27">
      <c r="A389" s="33"/>
      <c r="B389" s="33"/>
      <c r="C389" s="32" t="str">
        <f>IF('12 - Deployments &amp; Config'!H394="","",'12 - Deployments &amp; Config'!H394)</f>
        <v/>
      </c>
      <c r="D389" s="32" t="str">
        <f>IF('12 - Deployments &amp; Config'!AF394="","",'12 - Deployments &amp; Config'!AF394)</f>
        <v/>
      </c>
      <c r="E389" s="32" t="str">
        <f>IF('12 - Deployments &amp; Config'!AG394="","",'12 - Deployments &amp; Config'!AG394)</f>
        <v/>
      </c>
      <c r="F389" s="32" t="str">
        <f>IF('12 - Deployments &amp; Config'!AH394="","",'12 - Deployments &amp; Config'!AH394)</f>
        <v/>
      </c>
      <c r="G389" s="32" t="str">
        <f>IF('12 - Deployments &amp; Config'!AI394="","",'12 - Deployments &amp; Config'!AI394)</f>
        <v/>
      </c>
      <c r="H389" s="32" t="str">
        <f>IF('12 - Deployments &amp; Config'!A394="","",'12 - Deployments &amp; Config'!A394)</f>
        <v/>
      </c>
      <c r="I389" s="32" t="str">
        <f>IF('12 - Deployments &amp; Config'!AJ394="","",'12 - Deployments &amp; Config'!AJ394)</f>
        <v/>
      </c>
      <c r="J389" s="32" t="str">
        <f>IF('12 - Deployments &amp; Config'!AK394="","",'12 - Deployments &amp; Config'!AK394)</f>
        <v/>
      </c>
      <c r="K389" s="32" t="str">
        <f>IF('12 - Deployments &amp; Config'!AA394="","",'12 - Deployments &amp; Config'!AA394)</f>
        <v/>
      </c>
      <c r="L389" s="32" t="str">
        <f>IF('12 - Deployments &amp; Config'!I394="","",'12 - Deployments &amp; Config'!I394)</f>
        <v/>
      </c>
      <c r="M389" s="33"/>
      <c r="N389" s="32" t="str">
        <f>IF('12 - Deployments &amp; Config'!J394="","",'12 - Deployments &amp; Config'!J394)</f>
        <v/>
      </c>
      <c r="O389" s="32" t="str">
        <f>IF('12 - Deployments &amp; Config'!K394="","",'12 - Deployments &amp; Config'!K394)</f>
        <v/>
      </c>
      <c r="P389" s="32" t="str">
        <f>IF('12 - Deployments &amp; Config'!L394="","",'12 - Deployments &amp; Config'!L394)</f>
        <v/>
      </c>
      <c r="Q389" s="33"/>
      <c r="R389" s="32" t="str">
        <f>IF('12 - Deployments &amp; Config'!AZ394="","",'12 - Deployments &amp; Config'!AZ394)</f>
        <v/>
      </c>
      <c r="S389" s="32" t="str">
        <f>IF('12 - Deployments &amp; Config'!AY394="","",'12 - Deployments &amp; Config'!AY394)</f>
        <v/>
      </c>
      <c r="T389" s="32" t="str">
        <f>IF('12 - Deployments &amp; Config'!AW394="","",'12 - Deployments &amp; Config'!AW394)</f>
        <v/>
      </c>
      <c r="U389" s="32" t="str">
        <f>IF('12 - Deployments &amp; Config'!AX394="","",'12 - Deployments &amp; Config'!AX394)</f>
        <v/>
      </c>
      <c r="V389" s="32" t="str">
        <f>IF('12 - Deployments &amp; Config'!BB394="","",'12 - Deployments &amp; Config'!BB394)</f>
        <v/>
      </c>
      <c r="W389" s="32" t="str">
        <f>IF('12 - Deployments &amp; Config'!BD394="","",'12 - Deployments &amp; Config'!BD394)</f>
        <v/>
      </c>
      <c r="X389" s="32" t="str">
        <f>IF('12 - Deployments &amp; Config'!BL394="","",'12 - Deployments &amp; Config'!BL394)</f>
        <v/>
      </c>
      <c r="Y389" s="32" t="str">
        <f>IF('12 - Deployments &amp; Config'!BC394="","",'12 - Deployments &amp; Config'!BC394)</f>
        <v/>
      </c>
      <c r="Z389" s="32" t="str">
        <f>IF('12 - Deployments &amp; Config'!P394="","",'12 - Deployments &amp; Config'!P394)</f>
        <v/>
      </c>
      <c r="AA389" s="32" t="str">
        <f>IF('12 - Deployments &amp; Config'!Q394="","",'12 - Deployments &amp; Config'!Q394)</f>
        <v/>
      </c>
    </row>
    <row r="390" spans="1:27">
      <c r="A390" s="33"/>
      <c r="B390" s="33"/>
      <c r="C390" s="32" t="str">
        <f>IF('12 - Deployments &amp; Config'!H395="","",'12 - Deployments &amp; Config'!H395)</f>
        <v/>
      </c>
      <c r="D390" s="32" t="str">
        <f>IF('12 - Deployments &amp; Config'!AF395="","",'12 - Deployments &amp; Config'!AF395)</f>
        <v/>
      </c>
      <c r="E390" s="32" t="str">
        <f>IF('12 - Deployments &amp; Config'!AG395="","",'12 - Deployments &amp; Config'!AG395)</f>
        <v/>
      </c>
      <c r="F390" s="32" t="str">
        <f>IF('12 - Deployments &amp; Config'!AH395="","",'12 - Deployments &amp; Config'!AH395)</f>
        <v/>
      </c>
      <c r="G390" s="32" t="str">
        <f>IF('12 - Deployments &amp; Config'!AI395="","",'12 - Deployments &amp; Config'!AI395)</f>
        <v/>
      </c>
      <c r="H390" s="32" t="str">
        <f>IF('12 - Deployments &amp; Config'!A395="","",'12 - Deployments &amp; Config'!A395)</f>
        <v/>
      </c>
      <c r="I390" s="32" t="str">
        <f>IF('12 - Deployments &amp; Config'!AJ395="","",'12 - Deployments &amp; Config'!AJ395)</f>
        <v/>
      </c>
      <c r="J390" s="32" t="str">
        <f>IF('12 - Deployments &amp; Config'!AK395="","",'12 - Deployments &amp; Config'!AK395)</f>
        <v/>
      </c>
      <c r="K390" s="32" t="str">
        <f>IF('12 - Deployments &amp; Config'!AA395="","",'12 - Deployments &amp; Config'!AA395)</f>
        <v/>
      </c>
      <c r="L390" s="32" t="str">
        <f>IF('12 - Deployments &amp; Config'!I395="","",'12 - Deployments &amp; Config'!I395)</f>
        <v/>
      </c>
      <c r="M390" s="33"/>
      <c r="N390" s="32" t="str">
        <f>IF('12 - Deployments &amp; Config'!J395="","",'12 - Deployments &amp; Config'!J395)</f>
        <v/>
      </c>
      <c r="O390" s="32" t="str">
        <f>IF('12 - Deployments &amp; Config'!K395="","",'12 - Deployments &amp; Config'!K395)</f>
        <v/>
      </c>
      <c r="P390" s="32" t="str">
        <f>IF('12 - Deployments &amp; Config'!L395="","",'12 - Deployments &amp; Config'!L395)</f>
        <v/>
      </c>
      <c r="Q390" s="33"/>
      <c r="R390" s="32" t="str">
        <f>IF('12 - Deployments &amp; Config'!AZ395="","",'12 - Deployments &amp; Config'!AZ395)</f>
        <v/>
      </c>
      <c r="S390" s="32" t="str">
        <f>IF('12 - Deployments &amp; Config'!AY395="","",'12 - Deployments &amp; Config'!AY395)</f>
        <v/>
      </c>
      <c r="T390" s="32" t="str">
        <f>IF('12 - Deployments &amp; Config'!AW395="","",'12 - Deployments &amp; Config'!AW395)</f>
        <v/>
      </c>
      <c r="U390" s="32" t="str">
        <f>IF('12 - Deployments &amp; Config'!AX395="","",'12 - Deployments &amp; Config'!AX395)</f>
        <v/>
      </c>
      <c r="V390" s="32" t="str">
        <f>IF('12 - Deployments &amp; Config'!BB395="","",'12 - Deployments &amp; Config'!BB395)</f>
        <v/>
      </c>
      <c r="W390" s="32" t="str">
        <f>IF('12 - Deployments &amp; Config'!BD395="","",'12 - Deployments &amp; Config'!BD395)</f>
        <v/>
      </c>
      <c r="X390" s="32" t="str">
        <f>IF('12 - Deployments &amp; Config'!BL395="","",'12 - Deployments &amp; Config'!BL395)</f>
        <v/>
      </c>
      <c r="Y390" s="32" t="str">
        <f>IF('12 - Deployments &amp; Config'!BC395="","",'12 - Deployments &amp; Config'!BC395)</f>
        <v/>
      </c>
      <c r="Z390" s="32" t="str">
        <f>IF('12 - Deployments &amp; Config'!P395="","",'12 - Deployments &amp; Config'!P395)</f>
        <v/>
      </c>
      <c r="AA390" s="32" t="str">
        <f>IF('12 - Deployments &amp; Config'!Q395="","",'12 - Deployments &amp; Config'!Q395)</f>
        <v/>
      </c>
    </row>
    <row r="391" spans="1:27">
      <c r="A391" s="33"/>
      <c r="B391" s="33"/>
      <c r="C391" s="32" t="str">
        <f>IF('12 - Deployments &amp; Config'!H396="","",'12 - Deployments &amp; Config'!H396)</f>
        <v/>
      </c>
      <c r="D391" s="32" t="str">
        <f>IF('12 - Deployments &amp; Config'!AF396="","",'12 - Deployments &amp; Config'!AF396)</f>
        <v/>
      </c>
      <c r="E391" s="32" t="str">
        <f>IF('12 - Deployments &amp; Config'!AG396="","",'12 - Deployments &amp; Config'!AG396)</f>
        <v/>
      </c>
      <c r="F391" s="32" t="str">
        <f>IF('12 - Deployments &amp; Config'!AH396="","",'12 - Deployments &amp; Config'!AH396)</f>
        <v/>
      </c>
      <c r="G391" s="32" t="str">
        <f>IF('12 - Deployments &amp; Config'!AI396="","",'12 - Deployments &amp; Config'!AI396)</f>
        <v/>
      </c>
      <c r="H391" s="32" t="str">
        <f>IF('12 - Deployments &amp; Config'!A396="","",'12 - Deployments &amp; Config'!A396)</f>
        <v/>
      </c>
      <c r="I391" s="32" t="str">
        <f>IF('12 - Deployments &amp; Config'!AJ396="","",'12 - Deployments &amp; Config'!AJ396)</f>
        <v/>
      </c>
      <c r="J391" s="32" t="str">
        <f>IF('12 - Deployments &amp; Config'!AK396="","",'12 - Deployments &amp; Config'!AK396)</f>
        <v/>
      </c>
      <c r="K391" s="32" t="str">
        <f>IF('12 - Deployments &amp; Config'!AA396="","",'12 - Deployments &amp; Config'!AA396)</f>
        <v/>
      </c>
      <c r="L391" s="32" t="str">
        <f>IF('12 - Deployments &amp; Config'!I396="","",'12 - Deployments &amp; Config'!I396)</f>
        <v/>
      </c>
      <c r="M391" s="33"/>
      <c r="N391" s="32" t="str">
        <f>IF('12 - Deployments &amp; Config'!J396="","",'12 - Deployments &amp; Config'!J396)</f>
        <v/>
      </c>
      <c r="O391" s="32" t="str">
        <f>IF('12 - Deployments &amp; Config'!K396="","",'12 - Deployments &amp; Config'!K396)</f>
        <v/>
      </c>
      <c r="P391" s="32" t="str">
        <f>IF('12 - Deployments &amp; Config'!L396="","",'12 - Deployments &amp; Config'!L396)</f>
        <v/>
      </c>
      <c r="Q391" s="33"/>
      <c r="R391" s="32" t="str">
        <f>IF('12 - Deployments &amp; Config'!AZ396="","",'12 - Deployments &amp; Config'!AZ396)</f>
        <v/>
      </c>
      <c r="S391" s="32" t="str">
        <f>IF('12 - Deployments &amp; Config'!AY396="","",'12 - Deployments &amp; Config'!AY396)</f>
        <v/>
      </c>
      <c r="T391" s="32" t="str">
        <f>IF('12 - Deployments &amp; Config'!AW396="","",'12 - Deployments &amp; Config'!AW396)</f>
        <v/>
      </c>
      <c r="U391" s="32" t="str">
        <f>IF('12 - Deployments &amp; Config'!AX396="","",'12 - Deployments &amp; Config'!AX396)</f>
        <v/>
      </c>
      <c r="V391" s="32" t="str">
        <f>IF('12 - Deployments &amp; Config'!BB396="","",'12 - Deployments &amp; Config'!BB396)</f>
        <v/>
      </c>
      <c r="W391" s="32" t="str">
        <f>IF('12 - Deployments &amp; Config'!BD396="","",'12 - Deployments &amp; Config'!BD396)</f>
        <v/>
      </c>
      <c r="X391" s="32" t="str">
        <f>IF('12 - Deployments &amp; Config'!BL396="","",'12 - Deployments &amp; Config'!BL396)</f>
        <v/>
      </c>
      <c r="Y391" s="32" t="str">
        <f>IF('12 - Deployments &amp; Config'!BC396="","",'12 - Deployments &amp; Config'!BC396)</f>
        <v/>
      </c>
      <c r="Z391" s="32" t="str">
        <f>IF('12 - Deployments &amp; Config'!P396="","",'12 - Deployments &amp; Config'!P396)</f>
        <v/>
      </c>
      <c r="AA391" s="32" t="str">
        <f>IF('12 - Deployments &amp; Config'!Q396="","",'12 - Deployments &amp; Config'!Q396)</f>
        <v/>
      </c>
    </row>
    <row r="392" spans="1:27">
      <c r="A392" s="33"/>
      <c r="B392" s="33"/>
      <c r="C392" s="32" t="str">
        <f>IF('12 - Deployments &amp; Config'!H397="","",'12 - Deployments &amp; Config'!H397)</f>
        <v/>
      </c>
      <c r="D392" s="32" t="str">
        <f>IF('12 - Deployments &amp; Config'!AF397="","",'12 - Deployments &amp; Config'!AF397)</f>
        <v/>
      </c>
      <c r="E392" s="32" t="str">
        <f>IF('12 - Deployments &amp; Config'!AG397="","",'12 - Deployments &amp; Config'!AG397)</f>
        <v/>
      </c>
      <c r="F392" s="32" t="str">
        <f>IF('12 - Deployments &amp; Config'!AH397="","",'12 - Deployments &amp; Config'!AH397)</f>
        <v/>
      </c>
      <c r="G392" s="32" t="str">
        <f>IF('12 - Deployments &amp; Config'!AI397="","",'12 - Deployments &amp; Config'!AI397)</f>
        <v/>
      </c>
      <c r="H392" s="32" t="str">
        <f>IF('12 - Deployments &amp; Config'!A397="","",'12 - Deployments &amp; Config'!A397)</f>
        <v/>
      </c>
      <c r="I392" s="32" t="str">
        <f>IF('12 - Deployments &amp; Config'!AJ397="","",'12 - Deployments &amp; Config'!AJ397)</f>
        <v/>
      </c>
      <c r="J392" s="32" t="str">
        <f>IF('12 - Deployments &amp; Config'!AK397="","",'12 - Deployments &amp; Config'!AK397)</f>
        <v/>
      </c>
      <c r="K392" s="32" t="str">
        <f>IF('12 - Deployments &amp; Config'!AA397="","",'12 - Deployments &amp; Config'!AA397)</f>
        <v/>
      </c>
      <c r="L392" s="32" t="str">
        <f>IF('12 - Deployments &amp; Config'!I397="","",'12 - Deployments &amp; Config'!I397)</f>
        <v/>
      </c>
      <c r="M392" s="33"/>
      <c r="N392" s="32" t="str">
        <f>IF('12 - Deployments &amp; Config'!J397="","",'12 - Deployments &amp; Config'!J397)</f>
        <v/>
      </c>
      <c r="O392" s="32" t="str">
        <f>IF('12 - Deployments &amp; Config'!K397="","",'12 - Deployments &amp; Config'!K397)</f>
        <v/>
      </c>
      <c r="P392" s="32" t="str">
        <f>IF('12 - Deployments &amp; Config'!L397="","",'12 - Deployments &amp; Config'!L397)</f>
        <v/>
      </c>
      <c r="Q392" s="33"/>
      <c r="R392" s="32" t="str">
        <f>IF('12 - Deployments &amp; Config'!AZ397="","",'12 - Deployments &amp; Config'!AZ397)</f>
        <v/>
      </c>
      <c r="S392" s="32" t="str">
        <f>IF('12 - Deployments &amp; Config'!AY397="","",'12 - Deployments &amp; Config'!AY397)</f>
        <v/>
      </c>
      <c r="T392" s="32" t="str">
        <f>IF('12 - Deployments &amp; Config'!AW397="","",'12 - Deployments &amp; Config'!AW397)</f>
        <v/>
      </c>
      <c r="U392" s="32" t="str">
        <f>IF('12 - Deployments &amp; Config'!AX397="","",'12 - Deployments &amp; Config'!AX397)</f>
        <v/>
      </c>
      <c r="V392" s="32" t="str">
        <f>IF('12 - Deployments &amp; Config'!BB397="","",'12 - Deployments &amp; Config'!BB397)</f>
        <v/>
      </c>
      <c r="W392" s="32" t="str">
        <f>IF('12 - Deployments &amp; Config'!BD397="","",'12 - Deployments &amp; Config'!BD397)</f>
        <v/>
      </c>
      <c r="X392" s="32" t="str">
        <f>IF('12 - Deployments &amp; Config'!BL397="","",'12 - Deployments &amp; Config'!BL397)</f>
        <v/>
      </c>
      <c r="Y392" s="32" t="str">
        <f>IF('12 - Deployments &amp; Config'!BC397="","",'12 - Deployments &amp; Config'!BC397)</f>
        <v/>
      </c>
      <c r="Z392" s="32" t="str">
        <f>IF('12 - Deployments &amp; Config'!P397="","",'12 - Deployments &amp; Config'!P397)</f>
        <v/>
      </c>
      <c r="AA392" s="32" t="str">
        <f>IF('12 - Deployments &amp; Config'!Q397="","",'12 - Deployments &amp; Config'!Q397)</f>
        <v/>
      </c>
    </row>
    <row r="393" spans="1:27">
      <c r="A393" s="33"/>
      <c r="B393" s="33"/>
      <c r="C393" s="32" t="str">
        <f>IF('12 - Deployments &amp; Config'!H398="","",'12 - Deployments &amp; Config'!H398)</f>
        <v/>
      </c>
      <c r="D393" s="32" t="str">
        <f>IF('12 - Deployments &amp; Config'!AF398="","",'12 - Deployments &amp; Config'!AF398)</f>
        <v/>
      </c>
      <c r="E393" s="32" t="str">
        <f>IF('12 - Deployments &amp; Config'!AG398="","",'12 - Deployments &amp; Config'!AG398)</f>
        <v/>
      </c>
      <c r="F393" s="32" t="str">
        <f>IF('12 - Deployments &amp; Config'!AH398="","",'12 - Deployments &amp; Config'!AH398)</f>
        <v/>
      </c>
      <c r="G393" s="32" t="str">
        <f>IF('12 - Deployments &amp; Config'!AI398="","",'12 - Deployments &amp; Config'!AI398)</f>
        <v/>
      </c>
      <c r="H393" s="32" t="str">
        <f>IF('12 - Deployments &amp; Config'!A398="","",'12 - Deployments &amp; Config'!A398)</f>
        <v/>
      </c>
      <c r="I393" s="32" t="str">
        <f>IF('12 - Deployments &amp; Config'!AJ398="","",'12 - Deployments &amp; Config'!AJ398)</f>
        <v/>
      </c>
      <c r="J393" s="32" t="str">
        <f>IF('12 - Deployments &amp; Config'!AK398="","",'12 - Deployments &amp; Config'!AK398)</f>
        <v/>
      </c>
      <c r="K393" s="32" t="str">
        <f>IF('12 - Deployments &amp; Config'!AA398="","",'12 - Deployments &amp; Config'!AA398)</f>
        <v/>
      </c>
      <c r="L393" s="32" t="str">
        <f>IF('12 - Deployments &amp; Config'!I398="","",'12 - Deployments &amp; Config'!I398)</f>
        <v/>
      </c>
      <c r="M393" s="33"/>
      <c r="N393" s="32" t="str">
        <f>IF('12 - Deployments &amp; Config'!J398="","",'12 - Deployments &amp; Config'!J398)</f>
        <v/>
      </c>
      <c r="O393" s="32" t="str">
        <f>IF('12 - Deployments &amp; Config'!K398="","",'12 - Deployments &amp; Config'!K398)</f>
        <v/>
      </c>
      <c r="P393" s="32" t="str">
        <f>IF('12 - Deployments &amp; Config'!L398="","",'12 - Deployments &amp; Config'!L398)</f>
        <v/>
      </c>
      <c r="Q393" s="33"/>
      <c r="R393" s="32" t="str">
        <f>IF('12 - Deployments &amp; Config'!AZ398="","",'12 - Deployments &amp; Config'!AZ398)</f>
        <v/>
      </c>
      <c r="S393" s="32" t="str">
        <f>IF('12 - Deployments &amp; Config'!AY398="","",'12 - Deployments &amp; Config'!AY398)</f>
        <v/>
      </c>
      <c r="T393" s="32" t="str">
        <f>IF('12 - Deployments &amp; Config'!AW398="","",'12 - Deployments &amp; Config'!AW398)</f>
        <v/>
      </c>
      <c r="U393" s="32" t="str">
        <f>IF('12 - Deployments &amp; Config'!AX398="","",'12 - Deployments &amp; Config'!AX398)</f>
        <v/>
      </c>
      <c r="V393" s="32" t="str">
        <f>IF('12 - Deployments &amp; Config'!BB398="","",'12 - Deployments &amp; Config'!BB398)</f>
        <v/>
      </c>
      <c r="W393" s="32" t="str">
        <f>IF('12 - Deployments &amp; Config'!BD398="","",'12 - Deployments &amp; Config'!BD398)</f>
        <v/>
      </c>
      <c r="X393" s="32" t="str">
        <f>IF('12 - Deployments &amp; Config'!BL398="","",'12 - Deployments &amp; Config'!BL398)</f>
        <v/>
      </c>
      <c r="Y393" s="32" t="str">
        <f>IF('12 - Deployments &amp; Config'!BC398="","",'12 - Deployments &amp; Config'!BC398)</f>
        <v/>
      </c>
      <c r="Z393" s="32" t="str">
        <f>IF('12 - Deployments &amp; Config'!P398="","",'12 - Deployments &amp; Config'!P398)</f>
        <v/>
      </c>
      <c r="AA393" s="32" t="str">
        <f>IF('12 - Deployments &amp; Config'!Q398="","",'12 - Deployments &amp; Config'!Q398)</f>
        <v/>
      </c>
    </row>
    <row r="394" spans="1:27">
      <c r="A394" s="33"/>
      <c r="B394" s="33"/>
      <c r="C394" s="32" t="str">
        <f>IF('12 - Deployments &amp; Config'!H399="","",'12 - Deployments &amp; Config'!H399)</f>
        <v/>
      </c>
      <c r="D394" s="32" t="str">
        <f>IF('12 - Deployments &amp; Config'!AF399="","",'12 - Deployments &amp; Config'!AF399)</f>
        <v/>
      </c>
      <c r="E394" s="32" t="str">
        <f>IF('12 - Deployments &amp; Config'!AG399="","",'12 - Deployments &amp; Config'!AG399)</f>
        <v/>
      </c>
      <c r="F394" s="32" t="str">
        <f>IF('12 - Deployments &amp; Config'!AH399="","",'12 - Deployments &amp; Config'!AH399)</f>
        <v/>
      </c>
      <c r="G394" s="32" t="str">
        <f>IF('12 - Deployments &amp; Config'!AI399="","",'12 - Deployments &amp; Config'!AI399)</f>
        <v/>
      </c>
      <c r="H394" s="32" t="str">
        <f>IF('12 - Deployments &amp; Config'!A399="","",'12 - Deployments &amp; Config'!A399)</f>
        <v/>
      </c>
      <c r="I394" s="32" t="str">
        <f>IF('12 - Deployments &amp; Config'!AJ399="","",'12 - Deployments &amp; Config'!AJ399)</f>
        <v/>
      </c>
      <c r="J394" s="32" t="str">
        <f>IF('12 - Deployments &amp; Config'!AK399="","",'12 - Deployments &amp; Config'!AK399)</f>
        <v/>
      </c>
      <c r="K394" s="32" t="str">
        <f>IF('12 - Deployments &amp; Config'!AA399="","",'12 - Deployments &amp; Config'!AA399)</f>
        <v/>
      </c>
      <c r="L394" s="32" t="str">
        <f>IF('12 - Deployments &amp; Config'!I399="","",'12 - Deployments &amp; Config'!I399)</f>
        <v/>
      </c>
      <c r="M394" s="33"/>
      <c r="N394" s="32" t="str">
        <f>IF('12 - Deployments &amp; Config'!J399="","",'12 - Deployments &amp; Config'!J399)</f>
        <v/>
      </c>
      <c r="O394" s="32" t="str">
        <f>IF('12 - Deployments &amp; Config'!K399="","",'12 - Deployments &amp; Config'!K399)</f>
        <v/>
      </c>
      <c r="P394" s="32" t="str">
        <f>IF('12 - Deployments &amp; Config'!L399="","",'12 - Deployments &amp; Config'!L399)</f>
        <v/>
      </c>
      <c r="Q394" s="33"/>
      <c r="R394" s="32" t="str">
        <f>IF('12 - Deployments &amp; Config'!AZ399="","",'12 - Deployments &amp; Config'!AZ399)</f>
        <v/>
      </c>
      <c r="S394" s="32" t="str">
        <f>IF('12 - Deployments &amp; Config'!AY399="","",'12 - Deployments &amp; Config'!AY399)</f>
        <v/>
      </c>
      <c r="T394" s="32" t="str">
        <f>IF('12 - Deployments &amp; Config'!AW399="","",'12 - Deployments &amp; Config'!AW399)</f>
        <v/>
      </c>
      <c r="U394" s="32" t="str">
        <f>IF('12 - Deployments &amp; Config'!AX399="","",'12 - Deployments &amp; Config'!AX399)</f>
        <v/>
      </c>
      <c r="V394" s="32" t="str">
        <f>IF('12 - Deployments &amp; Config'!BB399="","",'12 - Deployments &amp; Config'!BB399)</f>
        <v/>
      </c>
      <c r="W394" s="32" t="str">
        <f>IF('12 - Deployments &amp; Config'!BD399="","",'12 - Deployments &amp; Config'!BD399)</f>
        <v/>
      </c>
      <c r="X394" s="32" t="str">
        <f>IF('12 - Deployments &amp; Config'!BL399="","",'12 - Deployments &amp; Config'!BL399)</f>
        <v/>
      </c>
      <c r="Y394" s="32" t="str">
        <f>IF('12 - Deployments &amp; Config'!BC399="","",'12 - Deployments &amp; Config'!BC399)</f>
        <v/>
      </c>
      <c r="Z394" s="32" t="str">
        <f>IF('12 - Deployments &amp; Config'!P399="","",'12 - Deployments &amp; Config'!P399)</f>
        <v/>
      </c>
      <c r="AA394" s="32" t="str">
        <f>IF('12 - Deployments &amp; Config'!Q399="","",'12 - Deployments &amp; Config'!Q399)</f>
        <v/>
      </c>
    </row>
    <row r="395" spans="1:27">
      <c r="A395" s="33"/>
      <c r="B395" s="33"/>
      <c r="C395" s="32" t="str">
        <f>IF('12 - Deployments &amp; Config'!H400="","",'12 - Deployments &amp; Config'!H400)</f>
        <v/>
      </c>
      <c r="D395" s="32" t="str">
        <f>IF('12 - Deployments &amp; Config'!AF400="","",'12 - Deployments &amp; Config'!AF400)</f>
        <v/>
      </c>
      <c r="E395" s="32" t="str">
        <f>IF('12 - Deployments &amp; Config'!AG400="","",'12 - Deployments &amp; Config'!AG400)</f>
        <v/>
      </c>
      <c r="F395" s="32" t="str">
        <f>IF('12 - Deployments &amp; Config'!AH400="","",'12 - Deployments &amp; Config'!AH400)</f>
        <v/>
      </c>
      <c r="G395" s="32" t="str">
        <f>IF('12 - Deployments &amp; Config'!AI400="","",'12 - Deployments &amp; Config'!AI400)</f>
        <v/>
      </c>
      <c r="H395" s="32" t="str">
        <f>IF('12 - Deployments &amp; Config'!A400="","",'12 - Deployments &amp; Config'!A400)</f>
        <v/>
      </c>
      <c r="I395" s="32" t="str">
        <f>IF('12 - Deployments &amp; Config'!AJ400="","",'12 - Deployments &amp; Config'!AJ400)</f>
        <v/>
      </c>
      <c r="J395" s="32" t="str">
        <f>IF('12 - Deployments &amp; Config'!AK400="","",'12 - Deployments &amp; Config'!AK400)</f>
        <v/>
      </c>
      <c r="K395" s="32" t="str">
        <f>IF('12 - Deployments &amp; Config'!AA400="","",'12 - Deployments &amp; Config'!AA400)</f>
        <v/>
      </c>
      <c r="L395" s="32" t="str">
        <f>IF('12 - Deployments &amp; Config'!I400="","",'12 - Deployments &amp; Config'!I400)</f>
        <v/>
      </c>
      <c r="M395" s="33"/>
      <c r="N395" s="32" t="str">
        <f>IF('12 - Deployments &amp; Config'!J400="","",'12 - Deployments &amp; Config'!J400)</f>
        <v/>
      </c>
      <c r="O395" s="32" t="str">
        <f>IF('12 - Deployments &amp; Config'!K400="","",'12 - Deployments &amp; Config'!K400)</f>
        <v/>
      </c>
      <c r="P395" s="32" t="str">
        <f>IF('12 - Deployments &amp; Config'!L400="","",'12 - Deployments &amp; Config'!L400)</f>
        <v/>
      </c>
      <c r="Q395" s="33"/>
      <c r="R395" s="32" t="str">
        <f>IF('12 - Deployments &amp; Config'!AZ400="","",'12 - Deployments &amp; Config'!AZ400)</f>
        <v/>
      </c>
      <c r="S395" s="32" t="str">
        <f>IF('12 - Deployments &amp; Config'!AY400="","",'12 - Deployments &amp; Config'!AY400)</f>
        <v/>
      </c>
      <c r="T395" s="32" t="str">
        <f>IF('12 - Deployments &amp; Config'!AW400="","",'12 - Deployments &amp; Config'!AW400)</f>
        <v/>
      </c>
      <c r="U395" s="32" t="str">
        <f>IF('12 - Deployments &amp; Config'!AX400="","",'12 - Deployments &amp; Config'!AX400)</f>
        <v/>
      </c>
      <c r="V395" s="32" t="str">
        <f>IF('12 - Deployments &amp; Config'!BB400="","",'12 - Deployments &amp; Config'!BB400)</f>
        <v/>
      </c>
      <c r="W395" s="32" t="str">
        <f>IF('12 - Deployments &amp; Config'!BD400="","",'12 - Deployments &amp; Config'!BD400)</f>
        <v/>
      </c>
      <c r="X395" s="32" t="str">
        <f>IF('12 - Deployments &amp; Config'!BL400="","",'12 - Deployments &amp; Config'!BL400)</f>
        <v/>
      </c>
      <c r="Y395" s="32" t="str">
        <f>IF('12 - Deployments &amp; Config'!BC400="","",'12 - Deployments &amp; Config'!BC400)</f>
        <v/>
      </c>
      <c r="Z395" s="32" t="str">
        <f>IF('12 - Deployments &amp; Config'!P400="","",'12 - Deployments &amp; Config'!P400)</f>
        <v/>
      </c>
      <c r="AA395" s="32" t="str">
        <f>IF('12 - Deployments &amp; Config'!Q400="","",'12 - Deployments &amp; Config'!Q400)</f>
        <v/>
      </c>
    </row>
    <row r="396" spans="1:27">
      <c r="A396" s="33"/>
      <c r="B396" s="33"/>
      <c r="C396" s="32" t="str">
        <f>IF('12 - Deployments &amp; Config'!H401="","",'12 - Deployments &amp; Config'!H401)</f>
        <v/>
      </c>
      <c r="D396" s="32" t="str">
        <f>IF('12 - Deployments &amp; Config'!AF401="","",'12 - Deployments &amp; Config'!AF401)</f>
        <v/>
      </c>
      <c r="E396" s="32" t="str">
        <f>IF('12 - Deployments &amp; Config'!AG401="","",'12 - Deployments &amp; Config'!AG401)</f>
        <v/>
      </c>
      <c r="F396" s="32" t="str">
        <f>IF('12 - Deployments &amp; Config'!AH401="","",'12 - Deployments &amp; Config'!AH401)</f>
        <v/>
      </c>
      <c r="G396" s="32" t="str">
        <f>IF('12 - Deployments &amp; Config'!AI401="","",'12 - Deployments &amp; Config'!AI401)</f>
        <v/>
      </c>
      <c r="H396" s="32" t="str">
        <f>IF('12 - Deployments &amp; Config'!A401="","",'12 - Deployments &amp; Config'!A401)</f>
        <v/>
      </c>
      <c r="I396" s="32" t="str">
        <f>IF('12 - Deployments &amp; Config'!AJ401="","",'12 - Deployments &amp; Config'!AJ401)</f>
        <v/>
      </c>
      <c r="J396" s="32" t="str">
        <f>IF('12 - Deployments &amp; Config'!AK401="","",'12 - Deployments &amp; Config'!AK401)</f>
        <v/>
      </c>
      <c r="K396" s="32" t="str">
        <f>IF('12 - Deployments &amp; Config'!AA401="","",'12 - Deployments &amp; Config'!AA401)</f>
        <v/>
      </c>
      <c r="L396" s="32" t="str">
        <f>IF('12 - Deployments &amp; Config'!I401="","",'12 - Deployments &amp; Config'!I401)</f>
        <v/>
      </c>
      <c r="M396" s="33"/>
      <c r="N396" s="32" t="str">
        <f>IF('12 - Deployments &amp; Config'!J401="","",'12 - Deployments &amp; Config'!J401)</f>
        <v/>
      </c>
      <c r="O396" s="32" t="str">
        <f>IF('12 - Deployments &amp; Config'!K401="","",'12 - Deployments &amp; Config'!K401)</f>
        <v/>
      </c>
      <c r="P396" s="32" t="str">
        <f>IF('12 - Deployments &amp; Config'!L401="","",'12 - Deployments &amp; Config'!L401)</f>
        <v/>
      </c>
      <c r="Q396" s="33"/>
      <c r="R396" s="32" t="str">
        <f>IF('12 - Deployments &amp; Config'!AZ401="","",'12 - Deployments &amp; Config'!AZ401)</f>
        <v/>
      </c>
      <c r="S396" s="32" t="str">
        <f>IF('12 - Deployments &amp; Config'!AY401="","",'12 - Deployments &amp; Config'!AY401)</f>
        <v/>
      </c>
      <c r="T396" s="32" t="str">
        <f>IF('12 - Deployments &amp; Config'!AW401="","",'12 - Deployments &amp; Config'!AW401)</f>
        <v/>
      </c>
      <c r="U396" s="32" t="str">
        <f>IF('12 - Deployments &amp; Config'!AX401="","",'12 - Deployments &amp; Config'!AX401)</f>
        <v/>
      </c>
      <c r="V396" s="32" t="str">
        <f>IF('12 - Deployments &amp; Config'!BB401="","",'12 - Deployments &amp; Config'!BB401)</f>
        <v/>
      </c>
      <c r="W396" s="32" t="str">
        <f>IF('12 - Deployments &amp; Config'!BD401="","",'12 - Deployments &amp; Config'!BD401)</f>
        <v/>
      </c>
      <c r="X396" s="32" t="str">
        <f>IF('12 - Deployments &amp; Config'!BL401="","",'12 - Deployments &amp; Config'!BL401)</f>
        <v/>
      </c>
      <c r="Y396" s="32" t="str">
        <f>IF('12 - Deployments &amp; Config'!BC401="","",'12 - Deployments &amp; Config'!BC401)</f>
        <v/>
      </c>
      <c r="Z396" s="32" t="str">
        <f>IF('12 - Deployments &amp; Config'!P401="","",'12 - Deployments &amp; Config'!P401)</f>
        <v/>
      </c>
      <c r="AA396" s="32" t="str">
        <f>IF('12 - Deployments &amp; Config'!Q401="","",'12 - Deployments &amp; Config'!Q401)</f>
        <v/>
      </c>
    </row>
    <row r="397" spans="1:27">
      <c r="A397" s="33"/>
      <c r="B397" s="33"/>
      <c r="C397" s="32" t="str">
        <f>IF('12 - Deployments &amp; Config'!H402="","",'12 - Deployments &amp; Config'!H402)</f>
        <v/>
      </c>
      <c r="D397" s="32" t="str">
        <f>IF('12 - Deployments &amp; Config'!AF402="","",'12 - Deployments &amp; Config'!AF402)</f>
        <v/>
      </c>
      <c r="E397" s="32" t="str">
        <f>IF('12 - Deployments &amp; Config'!AG402="","",'12 - Deployments &amp; Config'!AG402)</f>
        <v/>
      </c>
      <c r="F397" s="32" t="str">
        <f>IF('12 - Deployments &amp; Config'!AH402="","",'12 - Deployments &amp; Config'!AH402)</f>
        <v/>
      </c>
      <c r="G397" s="32" t="str">
        <f>IF('12 - Deployments &amp; Config'!AI402="","",'12 - Deployments &amp; Config'!AI402)</f>
        <v/>
      </c>
      <c r="H397" s="32" t="str">
        <f>IF('12 - Deployments &amp; Config'!A402="","",'12 - Deployments &amp; Config'!A402)</f>
        <v/>
      </c>
      <c r="I397" s="32" t="str">
        <f>IF('12 - Deployments &amp; Config'!AJ402="","",'12 - Deployments &amp; Config'!AJ402)</f>
        <v/>
      </c>
      <c r="J397" s="32" t="str">
        <f>IF('12 - Deployments &amp; Config'!AK402="","",'12 - Deployments &amp; Config'!AK402)</f>
        <v/>
      </c>
      <c r="K397" s="32" t="str">
        <f>IF('12 - Deployments &amp; Config'!AA402="","",'12 - Deployments &amp; Config'!AA402)</f>
        <v/>
      </c>
      <c r="L397" s="32" t="str">
        <f>IF('12 - Deployments &amp; Config'!I402="","",'12 - Deployments &amp; Config'!I402)</f>
        <v/>
      </c>
      <c r="M397" s="33"/>
      <c r="N397" s="32" t="str">
        <f>IF('12 - Deployments &amp; Config'!J402="","",'12 - Deployments &amp; Config'!J402)</f>
        <v/>
      </c>
      <c r="O397" s="32" t="str">
        <f>IF('12 - Deployments &amp; Config'!K402="","",'12 - Deployments &amp; Config'!K402)</f>
        <v/>
      </c>
      <c r="P397" s="32" t="str">
        <f>IF('12 - Deployments &amp; Config'!L402="","",'12 - Deployments &amp; Config'!L402)</f>
        <v/>
      </c>
      <c r="Q397" s="33"/>
      <c r="R397" s="32" t="str">
        <f>IF('12 - Deployments &amp; Config'!AZ402="","",'12 - Deployments &amp; Config'!AZ402)</f>
        <v/>
      </c>
      <c r="S397" s="32" t="str">
        <f>IF('12 - Deployments &amp; Config'!AY402="","",'12 - Deployments &amp; Config'!AY402)</f>
        <v/>
      </c>
      <c r="T397" s="32" t="str">
        <f>IF('12 - Deployments &amp; Config'!AW402="","",'12 - Deployments &amp; Config'!AW402)</f>
        <v/>
      </c>
      <c r="U397" s="32" t="str">
        <f>IF('12 - Deployments &amp; Config'!AX402="","",'12 - Deployments &amp; Config'!AX402)</f>
        <v/>
      </c>
      <c r="V397" s="32" t="str">
        <f>IF('12 - Deployments &amp; Config'!BB402="","",'12 - Deployments &amp; Config'!BB402)</f>
        <v/>
      </c>
      <c r="W397" s="32" t="str">
        <f>IF('12 - Deployments &amp; Config'!BD402="","",'12 - Deployments &amp; Config'!BD402)</f>
        <v/>
      </c>
      <c r="X397" s="32" t="str">
        <f>IF('12 - Deployments &amp; Config'!BL402="","",'12 - Deployments &amp; Config'!BL402)</f>
        <v/>
      </c>
      <c r="Y397" s="32" t="str">
        <f>IF('12 - Deployments &amp; Config'!BC402="","",'12 - Deployments &amp; Config'!BC402)</f>
        <v/>
      </c>
      <c r="Z397" s="32" t="str">
        <f>IF('12 - Deployments &amp; Config'!P402="","",'12 - Deployments &amp; Config'!P402)</f>
        <v/>
      </c>
      <c r="AA397" s="32" t="str">
        <f>IF('12 - Deployments &amp; Config'!Q402="","",'12 - Deployments &amp; Config'!Q402)</f>
        <v/>
      </c>
    </row>
    <row r="398" spans="1:27">
      <c r="A398" s="33"/>
      <c r="B398" s="33"/>
      <c r="C398" s="32" t="str">
        <f>IF('12 - Deployments &amp; Config'!H403="","",'12 - Deployments &amp; Config'!H403)</f>
        <v/>
      </c>
      <c r="D398" s="32" t="str">
        <f>IF('12 - Deployments &amp; Config'!AF403="","",'12 - Deployments &amp; Config'!AF403)</f>
        <v/>
      </c>
      <c r="E398" s="32" t="str">
        <f>IF('12 - Deployments &amp; Config'!AG403="","",'12 - Deployments &amp; Config'!AG403)</f>
        <v/>
      </c>
      <c r="F398" s="32" t="str">
        <f>IF('12 - Deployments &amp; Config'!AH403="","",'12 - Deployments &amp; Config'!AH403)</f>
        <v/>
      </c>
      <c r="G398" s="32" t="str">
        <f>IF('12 - Deployments &amp; Config'!AI403="","",'12 - Deployments &amp; Config'!AI403)</f>
        <v/>
      </c>
      <c r="H398" s="32" t="str">
        <f>IF('12 - Deployments &amp; Config'!A403="","",'12 - Deployments &amp; Config'!A403)</f>
        <v/>
      </c>
      <c r="I398" s="32" t="str">
        <f>IF('12 - Deployments &amp; Config'!AJ403="","",'12 - Deployments &amp; Config'!AJ403)</f>
        <v/>
      </c>
      <c r="J398" s="32" t="str">
        <f>IF('12 - Deployments &amp; Config'!AK403="","",'12 - Deployments &amp; Config'!AK403)</f>
        <v/>
      </c>
      <c r="K398" s="32" t="str">
        <f>IF('12 - Deployments &amp; Config'!AA403="","",'12 - Deployments &amp; Config'!AA403)</f>
        <v/>
      </c>
      <c r="L398" s="32" t="str">
        <f>IF('12 - Deployments &amp; Config'!I403="","",'12 - Deployments &amp; Config'!I403)</f>
        <v/>
      </c>
      <c r="M398" s="33"/>
      <c r="N398" s="32" t="str">
        <f>IF('12 - Deployments &amp; Config'!J403="","",'12 - Deployments &amp; Config'!J403)</f>
        <v/>
      </c>
      <c r="O398" s="32" t="str">
        <f>IF('12 - Deployments &amp; Config'!K403="","",'12 - Deployments &amp; Config'!K403)</f>
        <v/>
      </c>
      <c r="P398" s="32" t="str">
        <f>IF('12 - Deployments &amp; Config'!L403="","",'12 - Deployments &amp; Config'!L403)</f>
        <v/>
      </c>
      <c r="Q398" s="33"/>
      <c r="R398" s="32" t="str">
        <f>IF('12 - Deployments &amp; Config'!AZ403="","",'12 - Deployments &amp; Config'!AZ403)</f>
        <v/>
      </c>
      <c r="S398" s="32" t="str">
        <f>IF('12 - Deployments &amp; Config'!AY403="","",'12 - Deployments &amp; Config'!AY403)</f>
        <v/>
      </c>
      <c r="T398" s="32" t="str">
        <f>IF('12 - Deployments &amp; Config'!AW403="","",'12 - Deployments &amp; Config'!AW403)</f>
        <v/>
      </c>
      <c r="U398" s="32" t="str">
        <f>IF('12 - Deployments &amp; Config'!AX403="","",'12 - Deployments &amp; Config'!AX403)</f>
        <v/>
      </c>
      <c r="V398" s="32" t="str">
        <f>IF('12 - Deployments &amp; Config'!BB403="","",'12 - Deployments &amp; Config'!BB403)</f>
        <v/>
      </c>
      <c r="W398" s="32" t="str">
        <f>IF('12 - Deployments &amp; Config'!BD403="","",'12 - Deployments &amp; Config'!BD403)</f>
        <v/>
      </c>
      <c r="X398" s="32" t="str">
        <f>IF('12 - Deployments &amp; Config'!BL403="","",'12 - Deployments &amp; Config'!BL403)</f>
        <v/>
      </c>
      <c r="Y398" s="32" t="str">
        <f>IF('12 - Deployments &amp; Config'!BC403="","",'12 - Deployments &amp; Config'!BC403)</f>
        <v/>
      </c>
      <c r="Z398" s="32" t="str">
        <f>IF('12 - Deployments &amp; Config'!P403="","",'12 - Deployments &amp; Config'!P403)</f>
        <v/>
      </c>
      <c r="AA398" s="32" t="str">
        <f>IF('12 - Deployments &amp; Config'!Q403="","",'12 - Deployments &amp; Config'!Q403)</f>
        <v/>
      </c>
    </row>
    <row r="399" spans="1:27">
      <c r="A399" s="33"/>
      <c r="B399" s="33"/>
      <c r="C399" s="32" t="str">
        <f>IF('12 - Deployments &amp; Config'!H404="","",'12 - Deployments &amp; Config'!H404)</f>
        <v/>
      </c>
      <c r="D399" s="32" t="str">
        <f>IF('12 - Deployments &amp; Config'!AF404="","",'12 - Deployments &amp; Config'!AF404)</f>
        <v/>
      </c>
      <c r="E399" s="32" t="str">
        <f>IF('12 - Deployments &amp; Config'!AG404="","",'12 - Deployments &amp; Config'!AG404)</f>
        <v/>
      </c>
      <c r="F399" s="32" t="str">
        <f>IF('12 - Deployments &amp; Config'!AH404="","",'12 - Deployments &amp; Config'!AH404)</f>
        <v/>
      </c>
      <c r="G399" s="32" t="str">
        <f>IF('12 - Deployments &amp; Config'!AI404="","",'12 - Deployments &amp; Config'!AI404)</f>
        <v/>
      </c>
      <c r="H399" s="32" t="str">
        <f>IF('12 - Deployments &amp; Config'!A404="","",'12 - Deployments &amp; Config'!A404)</f>
        <v/>
      </c>
      <c r="I399" s="32" t="str">
        <f>IF('12 - Deployments &amp; Config'!AJ404="","",'12 - Deployments &amp; Config'!AJ404)</f>
        <v/>
      </c>
      <c r="J399" s="32" t="str">
        <f>IF('12 - Deployments &amp; Config'!AK404="","",'12 - Deployments &amp; Config'!AK404)</f>
        <v/>
      </c>
      <c r="K399" s="32" t="str">
        <f>IF('12 - Deployments &amp; Config'!AA404="","",'12 - Deployments &amp; Config'!AA404)</f>
        <v/>
      </c>
      <c r="L399" s="32" t="str">
        <f>IF('12 - Deployments &amp; Config'!I404="","",'12 - Deployments &amp; Config'!I404)</f>
        <v/>
      </c>
      <c r="M399" s="33"/>
      <c r="N399" s="32" t="str">
        <f>IF('12 - Deployments &amp; Config'!J404="","",'12 - Deployments &amp; Config'!J404)</f>
        <v/>
      </c>
      <c r="O399" s="32" t="str">
        <f>IF('12 - Deployments &amp; Config'!K404="","",'12 - Deployments &amp; Config'!K404)</f>
        <v/>
      </c>
      <c r="P399" s="32" t="str">
        <f>IF('12 - Deployments &amp; Config'!L404="","",'12 - Deployments &amp; Config'!L404)</f>
        <v/>
      </c>
      <c r="Q399" s="33"/>
      <c r="R399" s="32" t="str">
        <f>IF('12 - Deployments &amp; Config'!AZ404="","",'12 - Deployments &amp; Config'!AZ404)</f>
        <v/>
      </c>
      <c r="S399" s="32" t="str">
        <f>IF('12 - Deployments &amp; Config'!AY404="","",'12 - Deployments &amp; Config'!AY404)</f>
        <v/>
      </c>
      <c r="T399" s="32" t="str">
        <f>IF('12 - Deployments &amp; Config'!AW404="","",'12 - Deployments &amp; Config'!AW404)</f>
        <v/>
      </c>
      <c r="U399" s="32" t="str">
        <f>IF('12 - Deployments &amp; Config'!AX404="","",'12 - Deployments &amp; Config'!AX404)</f>
        <v/>
      </c>
      <c r="V399" s="32" t="str">
        <f>IF('12 - Deployments &amp; Config'!BB404="","",'12 - Deployments &amp; Config'!BB404)</f>
        <v/>
      </c>
      <c r="W399" s="32" t="str">
        <f>IF('12 - Deployments &amp; Config'!BD404="","",'12 - Deployments &amp; Config'!BD404)</f>
        <v/>
      </c>
      <c r="X399" s="32" t="str">
        <f>IF('12 - Deployments &amp; Config'!BL404="","",'12 - Deployments &amp; Config'!BL404)</f>
        <v/>
      </c>
      <c r="Y399" s="32" t="str">
        <f>IF('12 - Deployments &amp; Config'!BC404="","",'12 - Deployments &amp; Config'!BC404)</f>
        <v/>
      </c>
      <c r="Z399" s="32" t="str">
        <f>IF('12 - Deployments &amp; Config'!P404="","",'12 - Deployments &amp; Config'!P404)</f>
        <v/>
      </c>
      <c r="AA399" s="32" t="str">
        <f>IF('12 - Deployments &amp; Config'!Q404="","",'12 - Deployments &amp; Config'!Q404)</f>
        <v/>
      </c>
    </row>
    <row r="400" spans="1:27">
      <c r="A400" s="33"/>
      <c r="B400" s="33"/>
      <c r="C400" s="32" t="str">
        <f>IF('12 - Deployments &amp; Config'!H405="","",'12 - Deployments &amp; Config'!H405)</f>
        <v/>
      </c>
      <c r="D400" s="32" t="str">
        <f>IF('12 - Deployments &amp; Config'!AF405="","",'12 - Deployments &amp; Config'!AF405)</f>
        <v/>
      </c>
      <c r="E400" s="32" t="str">
        <f>IF('12 - Deployments &amp; Config'!AG405="","",'12 - Deployments &amp; Config'!AG405)</f>
        <v/>
      </c>
      <c r="F400" s="32" t="str">
        <f>IF('12 - Deployments &amp; Config'!AH405="","",'12 - Deployments &amp; Config'!AH405)</f>
        <v/>
      </c>
      <c r="G400" s="32" t="str">
        <f>IF('12 - Deployments &amp; Config'!AI405="","",'12 - Deployments &amp; Config'!AI405)</f>
        <v/>
      </c>
      <c r="H400" s="32" t="str">
        <f>IF('12 - Deployments &amp; Config'!A405="","",'12 - Deployments &amp; Config'!A405)</f>
        <v/>
      </c>
      <c r="I400" s="32" t="str">
        <f>IF('12 - Deployments &amp; Config'!AJ405="","",'12 - Deployments &amp; Config'!AJ405)</f>
        <v/>
      </c>
      <c r="J400" s="32" t="str">
        <f>IF('12 - Deployments &amp; Config'!AK405="","",'12 - Deployments &amp; Config'!AK405)</f>
        <v/>
      </c>
      <c r="K400" s="32" t="str">
        <f>IF('12 - Deployments &amp; Config'!AA405="","",'12 - Deployments &amp; Config'!AA405)</f>
        <v/>
      </c>
      <c r="L400" s="32" t="str">
        <f>IF('12 - Deployments &amp; Config'!I405="","",'12 - Deployments &amp; Config'!I405)</f>
        <v/>
      </c>
      <c r="M400" s="33"/>
      <c r="N400" s="32" t="str">
        <f>IF('12 - Deployments &amp; Config'!J405="","",'12 - Deployments &amp; Config'!J405)</f>
        <v/>
      </c>
      <c r="O400" s="32" t="str">
        <f>IF('12 - Deployments &amp; Config'!K405="","",'12 - Deployments &amp; Config'!K405)</f>
        <v/>
      </c>
      <c r="P400" s="32" t="str">
        <f>IF('12 - Deployments &amp; Config'!L405="","",'12 - Deployments &amp; Config'!L405)</f>
        <v/>
      </c>
      <c r="Q400" s="33"/>
      <c r="R400" s="32" t="str">
        <f>IF('12 - Deployments &amp; Config'!AZ405="","",'12 - Deployments &amp; Config'!AZ405)</f>
        <v/>
      </c>
      <c r="S400" s="32" t="str">
        <f>IF('12 - Deployments &amp; Config'!AY405="","",'12 - Deployments &amp; Config'!AY405)</f>
        <v/>
      </c>
      <c r="T400" s="32" t="str">
        <f>IF('12 - Deployments &amp; Config'!AW405="","",'12 - Deployments &amp; Config'!AW405)</f>
        <v/>
      </c>
      <c r="U400" s="32" t="str">
        <f>IF('12 - Deployments &amp; Config'!AX405="","",'12 - Deployments &amp; Config'!AX405)</f>
        <v/>
      </c>
      <c r="V400" s="32" t="str">
        <f>IF('12 - Deployments &amp; Config'!BB405="","",'12 - Deployments &amp; Config'!BB405)</f>
        <v/>
      </c>
      <c r="W400" s="32" t="str">
        <f>IF('12 - Deployments &amp; Config'!BD405="","",'12 - Deployments &amp; Config'!BD405)</f>
        <v/>
      </c>
      <c r="X400" s="32" t="str">
        <f>IF('12 - Deployments &amp; Config'!BL405="","",'12 - Deployments &amp; Config'!BL405)</f>
        <v/>
      </c>
      <c r="Y400" s="32" t="str">
        <f>IF('12 - Deployments &amp; Config'!BC405="","",'12 - Deployments &amp; Config'!BC405)</f>
        <v/>
      </c>
      <c r="Z400" s="32" t="str">
        <f>IF('12 - Deployments &amp; Config'!P405="","",'12 - Deployments &amp; Config'!P405)</f>
        <v/>
      </c>
      <c r="AA400" s="32" t="str">
        <f>IF('12 - Deployments &amp; Config'!Q405="","",'12 - Deployments &amp; Config'!Q405)</f>
        <v/>
      </c>
    </row>
    <row r="401" spans="1:27">
      <c r="A401" s="33"/>
      <c r="B401" s="33"/>
      <c r="C401" s="32" t="str">
        <f>IF('12 - Deployments &amp; Config'!H406="","",'12 - Deployments &amp; Config'!H406)</f>
        <v/>
      </c>
      <c r="D401" s="32" t="str">
        <f>IF('12 - Deployments &amp; Config'!AF406="","",'12 - Deployments &amp; Config'!AF406)</f>
        <v/>
      </c>
      <c r="E401" s="32" t="str">
        <f>IF('12 - Deployments &amp; Config'!AG406="","",'12 - Deployments &amp; Config'!AG406)</f>
        <v/>
      </c>
      <c r="F401" s="32" t="str">
        <f>IF('12 - Deployments &amp; Config'!AH406="","",'12 - Deployments &amp; Config'!AH406)</f>
        <v/>
      </c>
      <c r="G401" s="32" t="str">
        <f>IF('12 - Deployments &amp; Config'!AI406="","",'12 - Deployments &amp; Config'!AI406)</f>
        <v/>
      </c>
      <c r="H401" s="32" t="str">
        <f>IF('12 - Deployments &amp; Config'!A406="","",'12 - Deployments &amp; Config'!A406)</f>
        <v/>
      </c>
      <c r="I401" s="32" t="str">
        <f>IF('12 - Deployments &amp; Config'!AJ406="","",'12 - Deployments &amp; Config'!AJ406)</f>
        <v/>
      </c>
      <c r="J401" s="32" t="str">
        <f>IF('12 - Deployments &amp; Config'!AK406="","",'12 - Deployments &amp; Config'!AK406)</f>
        <v/>
      </c>
      <c r="K401" s="32" t="str">
        <f>IF('12 - Deployments &amp; Config'!AA406="","",'12 - Deployments &amp; Config'!AA406)</f>
        <v/>
      </c>
      <c r="L401" s="32" t="str">
        <f>IF('12 - Deployments &amp; Config'!I406="","",'12 - Deployments &amp; Config'!I406)</f>
        <v/>
      </c>
      <c r="M401" s="33"/>
      <c r="N401" s="32" t="str">
        <f>IF('12 - Deployments &amp; Config'!J406="","",'12 - Deployments &amp; Config'!J406)</f>
        <v/>
      </c>
      <c r="O401" s="32" t="str">
        <f>IF('12 - Deployments &amp; Config'!K406="","",'12 - Deployments &amp; Config'!K406)</f>
        <v/>
      </c>
      <c r="P401" s="32" t="str">
        <f>IF('12 - Deployments &amp; Config'!L406="","",'12 - Deployments &amp; Config'!L406)</f>
        <v/>
      </c>
      <c r="Q401" s="33"/>
      <c r="R401" s="32" t="str">
        <f>IF('12 - Deployments &amp; Config'!AZ406="","",'12 - Deployments &amp; Config'!AZ406)</f>
        <v/>
      </c>
      <c r="S401" s="32" t="str">
        <f>IF('12 - Deployments &amp; Config'!AY406="","",'12 - Deployments &amp; Config'!AY406)</f>
        <v/>
      </c>
      <c r="T401" s="32" t="str">
        <f>IF('12 - Deployments &amp; Config'!AW406="","",'12 - Deployments &amp; Config'!AW406)</f>
        <v/>
      </c>
      <c r="U401" s="32" t="str">
        <f>IF('12 - Deployments &amp; Config'!AX406="","",'12 - Deployments &amp; Config'!AX406)</f>
        <v/>
      </c>
      <c r="V401" s="32" t="str">
        <f>IF('12 - Deployments &amp; Config'!BB406="","",'12 - Deployments &amp; Config'!BB406)</f>
        <v/>
      </c>
      <c r="W401" s="32" t="str">
        <f>IF('12 - Deployments &amp; Config'!BD406="","",'12 - Deployments &amp; Config'!BD406)</f>
        <v/>
      </c>
      <c r="X401" s="32" t="str">
        <f>IF('12 - Deployments &amp; Config'!BL406="","",'12 - Deployments &amp; Config'!BL406)</f>
        <v/>
      </c>
      <c r="Y401" s="32" t="str">
        <f>IF('12 - Deployments &amp; Config'!BC406="","",'12 - Deployments &amp; Config'!BC406)</f>
        <v/>
      </c>
      <c r="Z401" s="32" t="str">
        <f>IF('12 - Deployments &amp; Config'!P406="","",'12 - Deployments &amp; Config'!P406)</f>
        <v/>
      </c>
      <c r="AA401" s="32" t="str">
        <f>IF('12 - Deployments &amp; Config'!Q406="","",'12 - Deployments &amp; Config'!Q406)</f>
        <v/>
      </c>
    </row>
    <row r="402" spans="1:27">
      <c r="A402" s="33"/>
      <c r="B402" s="33"/>
      <c r="C402" s="32" t="str">
        <f>IF('12 - Deployments &amp; Config'!H407="","",'12 - Deployments &amp; Config'!H407)</f>
        <v/>
      </c>
      <c r="D402" s="32" t="str">
        <f>IF('12 - Deployments &amp; Config'!AF407="","",'12 - Deployments &amp; Config'!AF407)</f>
        <v/>
      </c>
      <c r="E402" s="32" t="str">
        <f>IF('12 - Deployments &amp; Config'!AG407="","",'12 - Deployments &amp; Config'!AG407)</f>
        <v/>
      </c>
      <c r="F402" s="32" t="str">
        <f>IF('12 - Deployments &amp; Config'!AH407="","",'12 - Deployments &amp; Config'!AH407)</f>
        <v/>
      </c>
      <c r="G402" s="32" t="str">
        <f>IF('12 - Deployments &amp; Config'!AI407="","",'12 - Deployments &amp; Config'!AI407)</f>
        <v/>
      </c>
      <c r="H402" s="32" t="str">
        <f>IF('12 - Deployments &amp; Config'!A407="","",'12 - Deployments &amp; Config'!A407)</f>
        <v/>
      </c>
      <c r="I402" s="32" t="str">
        <f>IF('12 - Deployments &amp; Config'!AJ407="","",'12 - Deployments &amp; Config'!AJ407)</f>
        <v/>
      </c>
      <c r="J402" s="32" t="str">
        <f>IF('12 - Deployments &amp; Config'!AK407="","",'12 - Deployments &amp; Config'!AK407)</f>
        <v/>
      </c>
      <c r="K402" s="32" t="str">
        <f>IF('12 - Deployments &amp; Config'!AA407="","",'12 - Deployments &amp; Config'!AA407)</f>
        <v/>
      </c>
      <c r="L402" s="32" t="str">
        <f>IF('12 - Deployments &amp; Config'!I407="","",'12 - Deployments &amp; Config'!I407)</f>
        <v/>
      </c>
      <c r="M402" s="33"/>
      <c r="N402" s="32" t="str">
        <f>IF('12 - Deployments &amp; Config'!J407="","",'12 - Deployments &amp; Config'!J407)</f>
        <v/>
      </c>
      <c r="O402" s="32" t="str">
        <f>IF('12 - Deployments &amp; Config'!K407="","",'12 - Deployments &amp; Config'!K407)</f>
        <v/>
      </c>
      <c r="P402" s="32" t="str">
        <f>IF('12 - Deployments &amp; Config'!L407="","",'12 - Deployments &amp; Config'!L407)</f>
        <v/>
      </c>
      <c r="Q402" s="33"/>
      <c r="R402" s="32" t="str">
        <f>IF('12 - Deployments &amp; Config'!AZ407="","",'12 - Deployments &amp; Config'!AZ407)</f>
        <v/>
      </c>
      <c r="S402" s="32" t="str">
        <f>IF('12 - Deployments &amp; Config'!AY407="","",'12 - Deployments &amp; Config'!AY407)</f>
        <v/>
      </c>
      <c r="T402" s="32" t="str">
        <f>IF('12 - Deployments &amp; Config'!AW407="","",'12 - Deployments &amp; Config'!AW407)</f>
        <v/>
      </c>
      <c r="U402" s="32" t="str">
        <f>IF('12 - Deployments &amp; Config'!AX407="","",'12 - Deployments &amp; Config'!AX407)</f>
        <v/>
      </c>
      <c r="V402" s="32" t="str">
        <f>IF('12 - Deployments &amp; Config'!BB407="","",'12 - Deployments &amp; Config'!BB407)</f>
        <v/>
      </c>
      <c r="W402" s="32" t="str">
        <f>IF('12 - Deployments &amp; Config'!BD407="","",'12 - Deployments &amp; Config'!BD407)</f>
        <v/>
      </c>
      <c r="X402" s="32" t="str">
        <f>IF('12 - Deployments &amp; Config'!BL407="","",'12 - Deployments &amp; Config'!BL407)</f>
        <v/>
      </c>
      <c r="Y402" s="32" t="str">
        <f>IF('12 - Deployments &amp; Config'!BC407="","",'12 - Deployments &amp; Config'!BC407)</f>
        <v/>
      </c>
      <c r="Z402" s="32" t="str">
        <f>IF('12 - Deployments &amp; Config'!P407="","",'12 - Deployments &amp; Config'!P407)</f>
        <v/>
      </c>
      <c r="AA402" s="32" t="str">
        <f>IF('12 - Deployments &amp; Config'!Q407="","",'12 - Deployments &amp; Config'!Q407)</f>
        <v/>
      </c>
    </row>
    <row r="403" spans="1:27">
      <c r="A403" s="33"/>
      <c r="B403" s="33"/>
      <c r="C403" s="32" t="str">
        <f>IF('12 - Deployments &amp; Config'!H408="","",'12 - Deployments &amp; Config'!H408)</f>
        <v/>
      </c>
      <c r="D403" s="32" t="str">
        <f>IF('12 - Deployments &amp; Config'!AF408="","",'12 - Deployments &amp; Config'!AF408)</f>
        <v/>
      </c>
      <c r="E403" s="32" t="str">
        <f>IF('12 - Deployments &amp; Config'!AG408="","",'12 - Deployments &amp; Config'!AG408)</f>
        <v/>
      </c>
      <c r="F403" s="32" t="str">
        <f>IF('12 - Deployments &amp; Config'!AH408="","",'12 - Deployments &amp; Config'!AH408)</f>
        <v/>
      </c>
      <c r="G403" s="32" t="str">
        <f>IF('12 - Deployments &amp; Config'!AI408="","",'12 - Deployments &amp; Config'!AI408)</f>
        <v/>
      </c>
      <c r="H403" s="32" t="str">
        <f>IF('12 - Deployments &amp; Config'!A408="","",'12 - Deployments &amp; Config'!A408)</f>
        <v/>
      </c>
      <c r="I403" s="32" t="str">
        <f>IF('12 - Deployments &amp; Config'!AJ408="","",'12 - Deployments &amp; Config'!AJ408)</f>
        <v/>
      </c>
      <c r="J403" s="32" t="str">
        <f>IF('12 - Deployments &amp; Config'!AK408="","",'12 - Deployments &amp; Config'!AK408)</f>
        <v/>
      </c>
      <c r="K403" s="32" t="str">
        <f>IF('12 - Deployments &amp; Config'!AA408="","",'12 - Deployments &amp; Config'!AA408)</f>
        <v/>
      </c>
      <c r="L403" s="32" t="str">
        <f>IF('12 - Deployments &amp; Config'!I408="","",'12 - Deployments &amp; Config'!I408)</f>
        <v/>
      </c>
      <c r="M403" s="33"/>
      <c r="N403" s="32" t="str">
        <f>IF('12 - Deployments &amp; Config'!J408="","",'12 - Deployments &amp; Config'!J408)</f>
        <v/>
      </c>
      <c r="O403" s="32" t="str">
        <f>IF('12 - Deployments &amp; Config'!K408="","",'12 - Deployments &amp; Config'!K408)</f>
        <v/>
      </c>
      <c r="P403" s="32" t="str">
        <f>IF('12 - Deployments &amp; Config'!L408="","",'12 - Deployments &amp; Config'!L408)</f>
        <v/>
      </c>
      <c r="Q403" s="33"/>
      <c r="R403" s="32" t="str">
        <f>IF('12 - Deployments &amp; Config'!AZ408="","",'12 - Deployments &amp; Config'!AZ408)</f>
        <v/>
      </c>
      <c r="S403" s="32" t="str">
        <f>IF('12 - Deployments &amp; Config'!AY408="","",'12 - Deployments &amp; Config'!AY408)</f>
        <v/>
      </c>
      <c r="T403" s="32" t="str">
        <f>IF('12 - Deployments &amp; Config'!AW408="","",'12 - Deployments &amp; Config'!AW408)</f>
        <v/>
      </c>
      <c r="U403" s="32" t="str">
        <f>IF('12 - Deployments &amp; Config'!AX408="","",'12 - Deployments &amp; Config'!AX408)</f>
        <v/>
      </c>
      <c r="V403" s="32" t="str">
        <f>IF('12 - Deployments &amp; Config'!BB408="","",'12 - Deployments &amp; Config'!BB408)</f>
        <v/>
      </c>
      <c r="W403" s="32" t="str">
        <f>IF('12 - Deployments &amp; Config'!BD408="","",'12 - Deployments &amp; Config'!BD408)</f>
        <v/>
      </c>
      <c r="X403" s="32" t="str">
        <f>IF('12 - Deployments &amp; Config'!BL408="","",'12 - Deployments &amp; Config'!BL408)</f>
        <v/>
      </c>
      <c r="Y403" s="32" t="str">
        <f>IF('12 - Deployments &amp; Config'!BC408="","",'12 - Deployments &amp; Config'!BC408)</f>
        <v/>
      </c>
      <c r="Z403" s="32" t="str">
        <f>IF('12 - Deployments &amp; Config'!P408="","",'12 - Deployments &amp; Config'!P408)</f>
        <v/>
      </c>
      <c r="AA403" s="32" t="str">
        <f>IF('12 - Deployments &amp; Config'!Q408="","",'12 - Deployments &amp; Config'!Q408)</f>
        <v/>
      </c>
    </row>
    <row r="404" spans="1:27">
      <c r="A404" s="33"/>
      <c r="B404" s="33"/>
      <c r="C404" s="32" t="str">
        <f>IF('12 - Deployments &amp; Config'!H409="","",'12 - Deployments &amp; Config'!H409)</f>
        <v/>
      </c>
      <c r="D404" s="32" t="str">
        <f>IF('12 - Deployments &amp; Config'!AF409="","",'12 - Deployments &amp; Config'!AF409)</f>
        <v/>
      </c>
      <c r="E404" s="32" t="str">
        <f>IF('12 - Deployments &amp; Config'!AG409="","",'12 - Deployments &amp; Config'!AG409)</f>
        <v/>
      </c>
      <c r="F404" s="32" t="str">
        <f>IF('12 - Deployments &amp; Config'!AH409="","",'12 - Deployments &amp; Config'!AH409)</f>
        <v/>
      </c>
      <c r="G404" s="32" t="str">
        <f>IF('12 - Deployments &amp; Config'!AI409="","",'12 - Deployments &amp; Config'!AI409)</f>
        <v/>
      </c>
      <c r="H404" s="32" t="str">
        <f>IF('12 - Deployments &amp; Config'!A409="","",'12 - Deployments &amp; Config'!A409)</f>
        <v/>
      </c>
      <c r="I404" s="32" t="str">
        <f>IF('12 - Deployments &amp; Config'!AJ409="","",'12 - Deployments &amp; Config'!AJ409)</f>
        <v/>
      </c>
      <c r="J404" s="32" t="str">
        <f>IF('12 - Deployments &amp; Config'!AK409="","",'12 - Deployments &amp; Config'!AK409)</f>
        <v/>
      </c>
      <c r="K404" s="32" t="str">
        <f>IF('12 - Deployments &amp; Config'!AA409="","",'12 - Deployments &amp; Config'!AA409)</f>
        <v/>
      </c>
      <c r="L404" s="32" t="str">
        <f>IF('12 - Deployments &amp; Config'!I409="","",'12 - Deployments &amp; Config'!I409)</f>
        <v/>
      </c>
      <c r="M404" s="33"/>
      <c r="N404" s="32" t="str">
        <f>IF('12 - Deployments &amp; Config'!J409="","",'12 - Deployments &amp; Config'!J409)</f>
        <v/>
      </c>
      <c r="O404" s="32" t="str">
        <f>IF('12 - Deployments &amp; Config'!K409="","",'12 - Deployments &amp; Config'!K409)</f>
        <v/>
      </c>
      <c r="P404" s="32" t="str">
        <f>IF('12 - Deployments &amp; Config'!L409="","",'12 - Deployments &amp; Config'!L409)</f>
        <v/>
      </c>
      <c r="Q404" s="33"/>
      <c r="R404" s="32" t="str">
        <f>IF('12 - Deployments &amp; Config'!AZ409="","",'12 - Deployments &amp; Config'!AZ409)</f>
        <v/>
      </c>
      <c r="S404" s="32" t="str">
        <f>IF('12 - Deployments &amp; Config'!AY409="","",'12 - Deployments &amp; Config'!AY409)</f>
        <v/>
      </c>
      <c r="T404" s="32" t="str">
        <f>IF('12 - Deployments &amp; Config'!AW409="","",'12 - Deployments &amp; Config'!AW409)</f>
        <v/>
      </c>
      <c r="U404" s="32" t="str">
        <f>IF('12 - Deployments &amp; Config'!AX409="","",'12 - Deployments &amp; Config'!AX409)</f>
        <v/>
      </c>
      <c r="V404" s="32" t="str">
        <f>IF('12 - Deployments &amp; Config'!BB409="","",'12 - Deployments &amp; Config'!BB409)</f>
        <v/>
      </c>
      <c r="W404" s="32" t="str">
        <f>IF('12 - Deployments &amp; Config'!BD409="","",'12 - Deployments &amp; Config'!BD409)</f>
        <v/>
      </c>
      <c r="X404" s="32" t="str">
        <f>IF('12 - Deployments &amp; Config'!BL409="","",'12 - Deployments &amp; Config'!BL409)</f>
        <v/>
      </c>
      <c r="Y404" s="32" t="str">
        <f>IF('12 - Deployments &amp; Config'!BC409="","",'12 - Deployments &amp; Config'!BC409)</f>
        <v/>
      </c>
      <c r="Z404" s="32" t="str">
        <f>IF('12 - Deployments &amp; Config'!P409="","",'12 - Deployments &amp; Config'!P409)</f>
        <v/>
      </c>
      <c r="AA404" s="32" t="str">
        <f>IF('12 - Deployments &amp; Config'!Q409="","",'12 - Deployments &amp; Config'!Q409)</f>
        <v/>
      </c>
    </row>
    <row r="405" spans="1:27">
      <c r="A405" s="33"/>
      <c r="B405" s="33"/>
      <c r="C405" s="32" t="str">
        <f>IF('12 - Deployments &amp; Config'!H410="","",'12 - Deployments &amp; Config'!H410)</f>
        <v/>
      </c>
      <c r="D405" s="32" t="str">
        <f>IF('12 - Deployments &amp; Config'!AF410="","",'12 - Deployments &amp; Config'!AF410)</f>
        <v/>
      </c>
      <c r="E405" s="32" t="str">
        <f>IF('12 - Deployments &amp; Config'!AG410="","",'12 - Deployments &amp; Config'!AG410)</f>
        <v/>
      </c>
      <c r="F405" s="32" t="str">
        <f>IF('12 - Deployments &amp; Config'!AH410="","",'12 - Deployments &amp; Config'!AH410)</f>
        <v/>
      </c>
      <c r="G405" s="32" t="str">
        <f>IF('12 - Deployments &amp; Config'!AI410="","",'12 - Deployments &amp; Config'!AI410)</f>
        <v/>
      </c>
      <c r="H405" s="32" t="str">
        <f>IF('12 - Deployments &amp; Config'!A410="","",'12 - Deployments &amp; Config'!A410)</f>
        <v/>
      </c>
      <c r="I405" s="32" t="str">
        <f>IF('12 - Deployments &amp; Config'!AJ410="","",'12 - Deployments &amp; Config'!AJ410)</f>
        <v/>
      </c>
      <c r="J405" s="32" t="str">
        <f>IF('12 - Deployments &amp; Config'!AK410="","",'12 - Deployments &amp; Config'!AK410)</f>
        <v/>
      </c>
      <c r="K405" s="32" t="str">
        <f>IF('12 - Deployments &amp; Config'!AA410="","",'12 - Deployments &amp; Config'!AA410)</f>
        <v/>
      </c>
      <c r="L405" s="32" t="str">
        <f>IF('12 - Deployments &amp; Config'!I410="","",'12 - Deployments &amp; Config'!I410)</f>
        <v/>
      </c>
      <c r="M405" s="33"/>
      <c r="N405" s="32" t="str">
        <f>IF('12 - Deployments &amp; Config'!J410="","",'12 - Deployments &amp; Config'!J410)</f>
        <v/>
      </c>
      <c r="O405" s="32" t="str">
        <f>IF('12 - Deployments &amp; Config'!K410="","",'12 - Deployments &amp; Config'!K410)</f>
        <v/>
      </c>
      <c r="P405" s="32" t="str">
        <f>IF('12 - Deployments &amp; Config'!L410="","",'12 - Deployments &amp; Config'!L410)</f>
        <v/>
      </c>
      <c r="Q405" s="33"/>
      <c r="R405" s="32" t="str">
        <f>IF('12 - Deployments &amp; Config'!AZ410="","",'12 - Deployments &amp; Config'!AZ410)</f>
        <v/>
      </c>
      <c r="S405" s="32" t="str">
        <f>IF('12 - Deployments &amp; Config'!AY410="","",'12 - Deployments &amp; Config'!AY410)</f>
        <v/>
      </c>
      <c r="T405" s="32" t="str">
        <f>IF('12 - Deployments &amp; Config'!AW410="","",'12 - Deployments &amp; Config'!AW410)</f>
        <v/>
      </c>
      <c r="U405" s="32" t="str">
        <f>IF('12 - Deployments &amp; Config'!AX410="","",'12 - Deployments &amp; Config'!AX410)</f>
        <v/>
      </c>
      <c r="V405" s="32" t="str">
        <f>IF('12 - Deployments &amp; Config'!BB410="","",'12 - Deployments &amp; Config'!BB410)</f>
        <v/>
      </c>
      <c r="W405" s="32" t="str">
        <f>IF('12 - Deployments &amp; Config'!BD410="","",'12 - Deployments &amp; Config'!BD410)</f>
        <v/>
      </c>
      <c r="X405" s="32" t="str">
        <f>IF('12 - Deployments &amp; Config'!BL410="","",'12 - Deployments &amp; Config'!BL410)</f>
        <v/>
      </c>
      <c r="Y405" s="32" t="str">
        <f>IF('12 - Deployments &amp; Config'!BC410="","",'12 - Deployments &amp; Config'!BC410)</f>
        <v/>
      </c>
      <c r="Z405" s="32" t="str">
        <f>IF('12 - Deployments &amp; Config'!P410="","",'12 - Deployments &amp; Config'!P410)</f>
        <v/>
      </c>
      <c r="AA405" s="32" t="str">
        <f>IF('12 - Deployments &amp; Config'!Q410="","",'12 - Deployments &amp; Config'!Q410)</f>
        <v/>
      </c>
    </row>
    <row r="406" spans="1:27">
      <c r="A406" s="33"/>
      <c r="B406" s="33"/>
      <c r="C406" s="32" t="str">
        <f>IF('12 - Deployments &amp; Config'!H411="","",'12 - Deployments &amp; Config'!H411)</f>
        <v/>
      </c>
      <c r="D406" s="32" t="str">
        <f>IF('12 - Deployments &amp; Config'!AF411="","",'12 - Deployments &amp; Config'!AF411)</f>
        <v/>
      </c>
      <c r="E406" s="32" t="str">
        <f>IF('12 - Deployments &amp; Config'!AG411="","",'12 - Deployments &amp; Config'!AG411)</f>
        <v/>
      </c>
      <c r="F406" s="32" t="str">
        <f>IF('12 - Deployments &amp; Config'!AH411="","",'12 - Deployments &amp; Config'!AH411)</f>
        <v/>
      </c>
      <c r="G406" s="32" t="str">
        <f>IF('12 - Deployments &amp; Config'!AI411="","",'12 - Deployments &amp; Config'!AI411)</f>
        <v/>
      </c>
      <c r="H406" s="32" t="str">
        <f>IF('12 - Deployments &amp; Config'!A411="","",'12 - Deployments &amp; Config'!A411)</f>
        <v/>
      </c>
      <c r="I406" s="32" t="str">
        <f>IF('12 - Deployments &amp; Config'!AJ411="","",'12 - Deployments &amp; Config'!AJ411)</f>
        <v/>
      </c>
      <c r="J406" s="32" t="str">
        <f>IF('12 - Deployments &amp; Config'!AK411="","",'12 - Deployments &amp; Config'!AK411)</f>
        <v/>
      </c>
      <c r="K406" s="32" t="str">
        <f>IF('12 - Deployments &amp; Config'!AA411="","",'12 - Deployments &amp; Config'!AA411)</f>
        <v/>
      </c>
      <c r="L406" s="32" t="str">
        <f>IF('12 - Deployments &amp; Config'!I411="","",'12 - Deployments &amp; Config'!I411)</f>
        <v/>
      </c>
      <c r="M406" s="33"/>
      <c r="N406" s="32" t="str">
        <f>IF('12 - Deployments &amp; Config'!J411="","",'12 - Deployments &amp; Config'!J411)</f>
        <v/>
      </c>
      <c r="O406" s="32" t="str">
        <f>IF('12 - Deployments &amp; Config'!K411="","",'12 - Deployments &amp; Config'!K411)</f>
        <v/>
      </c>
      <c r="P406" s="32" t="str">
        <f>IF('12 - Deployments &amp; Config'!L411="","",'12 - Deployments &amp; Config'!L411)</f>
        <v/>
      </c>
      <c r="Q406" s="33"/>
      <c r="R406" s="32" t="str">
        <f>IF('12 - Deployments &amp; Config'!AZ411="","",'12 - Deployments &amp; Config'!AZ411)</f>
        <v/>
      </c>
      <c r="S406" s="32" t="str">
        <f>IF('12 - Deployments &amp; Config'!AY411="","",'12 - Deployments &amp; Config'!AY411)</f>
        <v/>
      </c>
      <c r="T406" s="32" t="str">
        <f>IF('12 - Deployments &amp; Config'!AW411="","",'12 - Deployments &amp; Config'!AW411)</f>
        <v/>
      </c>
      <c r="U406" s="32" t="str">
        <f>IF('12 - Deployments &amp; Config'!AX411="","",'12 - Deployments &amp; Config'!AX411)</f>
        <v/>
      </c>
      <c r="V406" s="32" t="str">
        <f>IF('12 - Deployments &amp; Config'!BB411="","",'12 - Deployments &amp; Config'!BB411)</f>
        <v/>
      </c>
      <c r="W406" s="32" t="str">
        <f>IF('12 - Deployments &amp; Config'!BD411="","",'12 - Deployments &amp; Config'!BD411)</f>
        <v/>
      </c>
      <c r="X406" s="32" t="str">
        <f>IF('12 - Deployments &amp; Config'!BL411="","",'12 - Deployments &amp; Config'!BL411)</f>
        <v/>
      </c>
      <c r="Y406" s="32" t="str">
        <f>IF('12 - Deployments &amp; Config'!BC411="","",'12 - Deployments &amp; Config'!BC411)</f>
        <v/>
      </c>
      <c r="Z406" s="32" t="str">
        <f>IF('12 - Deployments &amp; Config'!P411="","",'12 - Deployments &amp; Config'!P411)</f>
        <v/>
      </c>
      <c r="AA406" s="32" t="str">
        <f>IF('12 - Deployments &amp; Config'!Q411="","",'12 - Deployments &amp; Config'!Q411)</f>
        <v/>
      </c>
    </row>
    <row r="407" spans="1:27">
      <c r="A407" s="33"/>
      <c r="B407" s="33"/>
      <c r="C407" s="32" t="str">
        <f>IF('12 - Deployments &amp; Config'!H412="","",'12 - Deployments &amp; Config'!H412)</f>
        <v/>
      </c>
      <c r="D407" s="32" t="str">
        <f>IF('12 - Deployments &amp; Config'!AF412="","",'12 - Deployments &amp; Config'!AF412)</f>
        <v/>
      </c>
      <c r="E407" s="32" t="str">
        <f>IF('12 - Deployments &amp; Config'!AG412="","",'12 - Deployments &amp; Config'!AG412)</f>
        <v/>
      </c>
      <c r="F407" s="32" t="str">
        <f>IF('12 - Deployments &amp; Config'!AH412="","",'12 - Deployments &amp; Config'!AH412)</f>
        <v/>
      </c>
      <c r="G407" s="32" t="str">
        <f>IF('12 - Deployments &amp; Config'!AI412="","",'12 - Deployments &amp; Config'!AI412)</f>
        <v/>
      </c>
      <c r="H407" s="32" t="str">
        <f>IF('12 - Deployments &amp; Config'!A412="","",'12 - Deployments &amp; Config'!A412)</f>
        <v/>
      </c>
      <c r="I407" s="32" t="str">
        <f>IF('12 - Deployments &amp; Config'!AJ412="","",'12 - Deployments &amp; Config'!AJ412)</f>
        <v/>
      </c>
      <c r="J407" s="32" t="str">
        <f>IF('12 - Deployments &amp; Config'!AK412="","",'12 - Deployments &amp; Config'!AK412)</f>
        <v/>
      </c>
      <c r="K407" s="32" t="str">
        <f>IF('12 - Deployments &amp; Config'!AA412="","",'12 - Deployments &amp; Config'!AA412)</f>
        <v/>
      </c>
      <c r="L407" s="32" t="str">
        <f>IF('12 - Deployments &amp; Config'!I412="","",'12 - Deployments &amp; Config'!I412)</f>
        <v/>
      </c>
      <c r="M407" s="33"/>
      <c r="N407" s="32" t="str">
        <f>IF('12 - Deployments &amp; Config'!J412="","",'12 - Deployments &amp; Config'!J412)</f>
        <v/>
      </c>
      <c r="O407" s="32" t="str">
        <f>IF('12 - Deployments &amp; Config'!K412="","",'12 - Deployments &amp; Config'!K412)</f>
        <v/>
      </c>
      <c r="P407" s="32" t="str">
        <f>IF('12 - Deployments &amp; Config'!L412="","",'12 - Deployments &amp; Config'!L412)</f>
        <v/>
      </c>
      <c r="Q407" s="33"/>
      <c r="R407" s="32" t="str">
        <f>IF('12 - Deployments &amp; Config'!AZ412="","",'12 - Deployments &amp; Config'!AZ412)</f>
        <v/>
      </c>
      <c r="S407" s="32" t="str">
        <f>IF('12 - Deployments &amp; Config'!AY412="","",'12 - Deployments &amp; Config'!AY412)</f>
        <v/>
      </c>
      <c r="T407" s="32" t="str">
        <f>IF('12 - Deployments &amp; Config'!AW412="","",'12 - Deployments &amp; Config'!AW412)</f>
        <v/>
      </c>
      <c r="U407" s="32" t="str">
        <f>IF('12 - Deployments &amp; Config'!AX412="","",'12 - Deployments &amp; Config'!AX412)</f>
        <v/>
      </c>
      <c r="V407" s="32" t="str">
        <f>IF('12 - Deployments &amp; Config'!BB412="","",'12 - Deployments &amp; Config'!BB412)</f>
        <v/>
      </c>
      <c r="W407" s="32" t="str">
        <f>IF('12 - Deployments &amp; Config'!BD412="","",'12 - Deployments &amp; Config'!BD412)</f>
        <v/>
      </c>
      <c r="X407" s="32" t="str">
        <f>IF('12 - Deployments &amp; Config'!BL412="","",'12 - Deployments &amp; Config'!BL412)</f>
        <v/>
      </c>
      <c r="Y407" s="32" t="str">
        <f>IF('12 - Deployments &amp; Config'!BC412="","",'12 - Deployments &amp; Config'!BC412)</f>
        <v/>
      </c>
      <c r="Z407" s="32" t="str">
        <f>IF('12 - Deployments &amp; Config'!P412="","",'12 - Deployments &amp; Config'!P412)</f>
        <v/>
      </c>
      <c r="AA407" s="32" t="str">
        <f>IF('12 - Deployments &amp; Config'!Q412="","",'12 - Deployments &amp; Config'!Q412)</f>
        <v/>
      </c>
    </row>
    <row r="408" spans="1:27">
      <c r="A408" s="33"/>
      <c r="B408" s="33"/>
      <c r="C408" s="32" t="str">
        <f>IF('12 - Deployments &amp; Config'!H413="","",'12 - Deployments &amp; Config'!H413)</f>
        <v/>
      </c>
      <c r="D408" s="32" t="str">
        <f>IF('12 - Deployments &amp; Config'!AF413="","",'12 - Deployments &amp; Config'!AF413)</f>
        <v/>
      </c>
      <c r="E408" s="32" t="str">
        <f>IF('12 - Deployments &amp; Config'!AG413="","",'12 - Deployments &amp; Config'!AG413)</f>
        <v/>
      </c>
      <c r="F408" s="32" t="str">
        <f>IF('12 - Deployments &amp; Config'!AH413="","",'12 - Deployments &amp; Config'!AH413)</f>
        <v/>
      </c>
      <c r="G408" s="32" t="str">
        <f>IF('12 - Deployments &amp; Config'!AI413="","",'12 - Deployments &amp; Config'!AI413)</f>
        <v/>
      </c>
      <c r="H408" s="32" t="str">
        <f>IF('12 - Deployments &amp; Config'!A413="","",'12 - Deployments &amp; Config'!A413)</f>
        <v/>
      </c>
      <c r="I408" s="32" t="str">
        <f>IF('12 - Deployments &amp; Config'!AJ413="","",'12 - Deployments &amp; Config'!AJ413)</f>
        <v/>
      </c>
      <c r="J408" s="32" t="str">
        <f>IF('12 - Deployments &amp; Config'!AK413="","",'12 - Deployments &amp; Config'!AK413)</f>
        <v/>
      </c>
      <c r="K408" s="32" t="str">
        <f>IF('12 - Deployments &amp; Config'!AA413="","",'12 - Deployments &amp; Config'!AA413)</f>
        <v/>
      </c>
      <c r="L408" s="32" t="str">
        <f>IF('12 - Deployments &amp; Config'!I413="","",'12 - Deployments &amp; Config'!I413)</f>
        <v/>
      </c>
      <c r="M408" s="33"/>
      <c r="N408" s="32" t="str">
        <f>IF('12 - Deployments &amp; Config'!J413="","",'12 - Deployments &amp; Config'!J413)</f>
        <v/>
      </c>
      <c r="O408" s="32" t="str">
        <f>IF('12 - Deployments &amp; Config'!K413="","",'12 - Deployments &amp; Config'!K413)</f>
        <v/>
      </c>
      <c r="P408" s="32" t="str">
        <f>IF('12 - Deployments &amp; Config'!L413="","",'12 - Deployments &amp; Config'!L413)</f>
        <v/>
      </c>
      <c r="Q408" s="33"/>
      <c r="R408" s="32" t="str">
        <f>IF('12 - Deployments &amp; Config'!AZ413="","",'12 - Deployments &amp; Config'!AZ413)</f>
        <v/>
      </c>
      <c r="S408" s="32" t="str">
        <f>IF('12 - Deployments &amp; Config'!AY413="","",'12 - Deployments &amp; Config'!AY413)</f>
        <v/>
      </c>
      <c r="T408" s="32" t="str">
        <f>IF('12 - Deployments &amp; Config'!AW413="","",'12 - Deployments &amp; Config'!AW413)</f>
        <v/>
      </c>
      <c r="U408" s="32" t="str">
        <f>IF('12 - Deployments &amp; Config'!AX413="","",'12 - Deployments &amp; Config'!AX413)</f>
        <v/>
      </c>
      <c r="V408" s="32" t="str">
        <f>IF('12 - Deployments &amp; Config'!BB413="","",'12 - Deployments &amp; Config'!BB413)</f>
        <v/>
      </c>
      <c r="W408" s="32" t="str">
        <f>IF('12 - Deployments &amp; Config'!BD413="","",'12 - Deployments &amp; Config'!BD413)</f>
        <v/>
      </c>
      <c r="X408" s="32" t="str">
        <f>IF('12 - Deployments &amp; Config'!BL413="","",'12 - Deployments &amp; Config'!BL413)</f>
        <v/>
      </c>
      <c r="Y408" s="32" t="str">
        <f>IF('12 - Deployments &amp; Config'!BC413="","",'12 - Deployments &amp; Config'!BC413)</f>
        <v/>
      </c>
      <c r="Z408" s="32" t="str">
        <f>IF('12 - Deployments &amp; Config'!P413="","",'12 - Deployments &amp; Config'!P413)</f>
        <v/>
      </c>
      <c r="AA408" s="32" t="str">
        <f>IF('12 - Deployments &amp; Config'!Q413="","",'12 - Deployments &amp; Config'!Q413)</f>
        <v/>
      </c>
    </row>
    <row r="409" spans="1:27">
      <c r="A409" s="33"/>
      <c r="B409" s="33"/>
      <c r="C409" s="32" t="str">
        <f>IF('12 - Deployments &amp; Config'!H414="","",'12 - Deployments &amp; Config'!H414)</f>
        <v/>
      </c>
      <c r="D409" s="32" t="str">
        <f>IF('12 - Deployments &amp; Config'!AF414="","",'12 - Deployments &amp; Config'!AF414)</f>
        <v/>
      </c>
      <c r="E409" s="32" t="str">
        <f>IF('12 - Deployments &amp; Config'!AG414="","",'12 - Deployments &amp; Config'!AG414)</f>
        <v/>
      </c>
      <c r="F409" s="32" t="str">
        <f>IF('12 - Deployments &amp; Config'!AH414="","",'12 - Deployments &amp; Config'!AH414)</f>
        <v/>
      </c>
      <c r="G409" s="32" t="str">
        <f>IF('12 - Deployments &amp; Config'!AI414="","",'12 - Deployments &amp; Config'!AI414)</f>
        <v/>
      </c>
      <c r="H409" s="32" t="str">
        <f>IF('12 - Deployments &amp; Config'!A414="","",'12 - Deployments &amp; Config'!A414)</f>
        <v/>
      </c>
      <c r="I409" s="32" t="str">
        <f>IF('12 - Deployments &amp; Config'!AJ414="","",'12 - Deployments &amp; Config'!AJ414)</f>
        <v/>
      </c>
      <c r="J409" s="32" t="str">
        <f>IF('12 - Deployments &amp; Config'!AK414="","",'12 - Deployments &amp; Config'!AK414)</f>
        <v/>
      </c>
      <c r="K409" s="32" t="str">
        <f>IF('12 - Deployments &amp; Config'!AA414="","",'12 - Deployments &amp; Config'!AA414)</f>
        <v/>
      </c>
      <c r="L409" s="32" t="str">
        <f>IF('12 - Deployments &amp; Config'!I414="","",'12 - Deployments &amp; Config'!I414)</f>
        <v/>
      </c>
      <c r="M409" s="33"/>
      <c r="N409" s="32" t="str">
        <f>IF('12 - Deployments &amp; Config'!J414="","",'12 - Deployments &amp; Config'!J414)</f>
        <v/>
      </c>
      <c r="O409" s="32" t="str">
        <f>IF('12 - Deployments &amp; Config'!K414="","",'12 - Deployments &amp; Config'!K414)</f>
        <v/>
      </c>
      <c r="P409" s="32" t="str">
        <f>IF('12 - Deployments &amp; Config'!L414="","",'12 - Deployments &amp; Config'!L414)</f>
        <v/>
      </c>
      <c r="Q409" s="33"/>
      <c r="R409" s="32" t="str">
        <f>IF('12 - Deployments &amp; Config'!AZ414="","",'12 - Deployments &amp; Config'!AZ414)</f>
        <v/>
      </c>
      <c r="S409" s="32" t="str">
        <f>IF('12 - Deployments &amp; Config'!AY414="","",'12 - Deployments &amp; Config'!AY414)</f>
        <v/>
      </c>
      <c r="T409" s="32" t="str">
        <f>IF('12 - Deployments &amp; Config'!AW414="","",'12 - Deployments &amp; Config'!AW414)</f>
        <v/>
      </c>
      <c r="U409" s="32" t="str">
        <f>IF('12 - Deployments &amp; Config'!AX414="","",'12 - Deployments &amp; Config'!AX414)</f>
        <v/>
      </c>
      <c r="V409" s="32" t="str">
        <f>IF('12 - Deployments &amp; Config'!BB414="","",'12 - Deployments &amp; Config'!BB414)</f>
        <v/>
      </c>
      <c r="W409" s="32" t="str">
        <f>IF('12 - Deployments &amp; Config'!BD414="","",'12 - Deployments &amp; Config'!BD414)</f>
        <v/>
      </c>
      <c r="X409" s="32" t="str">
        <f>IF('12 - Deployments &amp; Config'!BL414="","",'12 - Deployments &amp; Config'!BL414)</f>
        <v/>
      </c>
      <c r="Y409" s="32" t="str">
        <f>IF('12 - Deployments &amp; Config'!BC414="","",'12 - Deployments &amp; Config'!BC414)</f>
        <v/>
      </c>
      <c r="Z409" s="32" t="str">
        <f>IF('12 - Deployments &amp; Config'!P414="","",'12 - Deployments &amp; Config'!P414)</f>
        <v/>
      </c>
      <c r="AA409" s="32" t="str">
        <f>IF('12 - Deployments &amp; Config'!Q414="","",'12 - Deployments &amp; Config'!Q414)</f>
        <v/>
      </c>
    </row>
    <row r="410" spans="1:27">
      <c r="A410" s="33"/>
      <c r="B410" s="33"/>
      <c r="C410" s="32" t="str">
        <f>IF('12 - Deployments &amp; Config'!H415="","",'12 - Deployments &amp; Config'!H415)</f>
        <v/>
      </c>
      <c r="D410" s="32" t="str">
        <f>IF('12 - Deployments &amp; Config'!AF415="","",'12 - Deployments &amp; Config'!AF415)</f>
        <v/>
      </c>
      <c r="E410" s="32" t="str">
        <f>IF('12 - Deployments &amp; Config'!AG415="","",'12 - Deployments &amp; Config'!AG415)</f>
        <v/>
      </c>
      <c r="F410" s="32" t="str">
        <f>IF('12 - Deployments &amp; Config'!AH415="","",'12 - Deployments &amp; Config'!AH415)</f>
        <v/>
      </c>
      <c r="G410" s="32" t="str">
        <f>IF('12 - Deployments &amp; Config'!AI415="","",'12 - Deployments &amp; Config'!AI415)</f>
        <v/>
      </c>
      <c r="H410" s="32" t="str">
        <f>IF('12 - Deployments &amp; Config'!A415="","",'12 - Deployments &amp; Config'!A415)</f>
        <v/>
      </c>
      <c r="I410" s="32" t="str">
        <f>IF('12 - Deployments &amp; Config'!AJ415="","",'12 - Deployments &amp; Config'!AJ415)</f>
        <v/>
      </c>
      <c r="J410" s="32" t="str">
        <f>IF('12 - Deployments &amp; Config'!AK415="","",'12 - Deployments &amp; Config'!AK415)</f>
        <v/>
      </c>
      <c r="K410" s="32" t="str">
        <f>IF('12 - Deployments &amp; Config'!AA415="","",'12 - Deployments &amp; Config'!AA415)</f>
        <v/>
      </c>
      <c r="L410" s="32" t="str">
        <f>IF('12 - Deployments &amp; Config'!I415="","",'12 - Deployments &amp; Config'!I415)</f>
        <v/>
      </c>
      <c r="M410" s="33"/>
      <c r="N410" s="32" t="str">
        <f>IF('12 - Deployments &amp; Config'!J415="","",'12 - Deployments &amp; Config'!J415)</f>
        <v/>
      </c>
      <c r="O410" s="32" t="str">
        <f>IF('12 - Deployments &amp; Config'!K415="","",'12 - Deployments &amp; Config'!K415)</f>
        <v/>
      </c>
      <c r="P410" s="32" t="str">
        <f>IF('12 - Deployments &amp; Config'!L415="","",'12 - Deployments &amp; Config'!L415)</f>
        <v/>
      </c>
      <c r="Q410" s="33"/>
      <c r="R410" s="32" t="str">
        <f>IF('12 - Deployments &amp; Config'!AZ415="","",'12 - Deployments &amp; Config'!AZ415)</f>
        <v/>
      </c>
      <c r="S410" s="32" t="str">
        <f>IF('12 - Deployments &amp; Config'!AY415="","",'12 - Deployments &amp; Config'!AY415)</f>
        <v/>
      </c>
      <c r="T410" s="32" t="str">
        <f>IF('12 - Deployments &amp; Config'!AW415="","",'12 - Deployments &amp; Config'!AW415)</f>
        <v/>
      </c>
      <c r="U410" s="32" t="str">
        <f>IF('12 - Deployments &amp; Config'!AX415="","",'12 - Deployments &amp; Config'!AX415)</f>
        <v/>
      </c>
      <c r="V410" s="32" t="str">
        <f>IF('12 - Deployments &amp; Config'!BB415="","",'12 - Deployments &amp; Config'!BB415)</f>
        <v/>
      </c>
      <c r="W410" s="32" t="str">
        <f>IF('12 - Deployments &amp; Config'!BD415="","",'12 - Deployments &amp; Config'!BD415)</f>
        <v/>
      </c>
      <c r="X410" s="32" t="str">
        <f>IF('12 - Deployments &amp; Config'!BL415="","",'12 - Deployments &amp; Config'!BL415)</f>
        <v/>
      </c>
      <c r="Y410" s="32" t="str">
        <f>IF('12 - Deployments &amp; Config'!BC415="","",'12 - Deployments &amp; Config'!BC415)</f>
        <v/>
      </c>
      <c r="Z410" s="32" t="str">
        <f>IF('12 - Deployments &amp; Config'!P415="","",'12 - Deployments &amp; Config'!P415)</f>
        <v/>
      </c>
      <c r="AA410" s="32" t="str">
        <f>IF('12 - Deployments &amp; Config'!Q415="","",'12 - Deployments &amp; Config'!Q415)</f>
        <v/>
      </c>
    </row>
    <row r="411" spans="1:27">
      <c r="A411" s="33"/>
      <c r="B411" s="33"/>
      <c r="C411" s="32" t="str">
        <f>IF('12 - Deployments &amp; Config'!H416="","",'12 - Deployments &amp; Config'!H416)</f>
        <v/>
      </c>
      <c r="D411" s="32" t="str">
        <f>IF('12 - Deployments &amp; Config'!AF416="","",'12 - Deployments &amp; Config'!AF416)</f>
        <v/>
      </c>
      <c r="E411" s="32" t="str">
        <f>IF('12 - Deployments &amp; Config'!AG416="","",'12 - Deployments &amp; Config'!AG416)</f>
        <v/>
      </c>
      <c r="F411" s="32" t="str">
        <f>IF('12 - Deployments &amp; Config'!AH416="","",'12 - Deployments &amp; Config'!AH416)</f>
        <v/>
      </c>
      <c r="G411" s="32" t="str">
        <f>IF('12 - Deployments &amp; Config'!AI416="","",'12 - Deployments &amp; Config'!AI416)</f>
        <v/>
      </c>
      <c r="H411" s="32" t="str">
        <f>IF('12 - Deployments &amp; Config'!A416="","",'12 - Deployments &amp; Config'!A416)</f>
        <v/>
      </c>
      <c r="I411" s="32" t="str">
        <f>IF('12 - Deployments &amp; Config'!AJ416="","",'12 - Deployments &amp; Config'!AJ416)</f>
        <v/>
      </c>
      <c r="J411" s="32" t="str">
        <f>IF('12 - Deployments &amp; Config'!AK416="","",'12 - Deployments &amp; Config'!AK416)</f>
        <v/>
      </c>
      <c r="K411" s="32" t="str">
        <f>IF('12 - Deployments &amp; Config'!AA416="","",'12 - Deployments &amp; Config'!AA416)</f>
        <v/>
      </c>
      <c r="L411" s="32" t="str">
        <f>IF('12 - Deployments &amp; Config'!I416="","",'12 - Deployments &amp; Config'!I416)</f>
        <v/>
      </c>
      <c r="M411" s="33"/>
      <c r="N411" s="32" t="str">
        <f>IF('12 - Deployments &amp; Config'!J416="","",'12 - Deployments &amp; Config'!J416)</f>
        <v/>
      </c>
      <c r="O411" s="32" t="str">
        <f>IF('12 - Deployments &amp; Config'!K416="","",'12 - Deployments &amp; Config'!K416)</f>
        <v/>
      </c>
      <c r="P411" s="32" t="str">
        <f>IF('12 - Deployments &amp; Config'!L416="","",'12 - Deployments &amp; Config'!L416)</f>
        <v/>
      </c>
      <c r="Q411" s="33"/>
      <c r="R411" s="32" t="str">
        <f>IF('12 - Deployments &amp; Config'!AZ416="","",'12 - Deployments &amp; Config'!AZ416)</f>
        <v/>
      </c>
      <c r="S411" s="32" t="str">
        <f>IF('12 - Deployments &amp; Config'!AY416="","",'12 - Deployments &amp; Config'!AY416)</f>
        <v/>
      </c>
      <c r="T411" s="32" t="str">
        <f>IF('12 - Deployments &amp; Config'!AW416="","",'12 - Deployments &amp; Config'!AW416)</f>
        <v/>
      </c>
      <c r="U411" s="32" t="str">
        <f>IF('12 - Deployments &amp; Config'!AX416="","",'12 - Deployments &amp; Config'!AX416)</f>
        <v/>
      </c>
      <c r="V411" s="32" t="str">
        <f>IF('12 - Deployments &amp; Config'!BB416="","",'12 - Deployments &amp; Config'!BB416)</f>
        <v/>
      </c>
      <c r="W411" s="32" t="str">
        <f>IF('12 - Deployments &amp; Config'!BD416="","",'12 - Deployments &amp; Config'!BD416)</f>
        <v/>
      </c>
      <c r="X411" s="32" t="str">
        <f>IF('12 - Deployments &amp; Config'!BL416="","",'12 - Deployments &amp; Config'!BL416)</f>
        <v/>
      </c>
      <c r="Y411" s="32" t="str">
        <f>IF('12 - Deployments &amp; Config'!BC416="","",'12 - Deployments &amp; Config'!BC416)</f>
        <v/>
      </c>
      <c r="Z411" s="32" t="str">
        <f>IF('12 - Deployments &amp; Config'!P416="","",'12 - Deployments &amp; Config'!P416)</f>
        <v/>
      </c>
      <c r="AA411" s="32" t="str">
        <f>IF('12 - Deployments &amp; Config'!Q416="","",'12 - Deployments &amp; Config'!Q416)</f>
        <v/>
      </c>
    </row>
    <row r="412" spans="1:27">
      <c r="A412" s="33"/>
      <c r="B412" s="33"/>
      <c r="C412" s="32" t="str">
        <f>IF('12 - Deployments &amp; Config'!H417="","",'12 - Deployments &amp; Config'!H417)</f>
        <v/>
      </c>
      <c r="D412" s="32" t="str">
        <f>IF('12 - Deployments &amp; Config'!AF417="","",'12 - Deployments &amp; Config'!AF417)</f>
        <v/>
      </c>
      <c r="E412" s="32" t="str">
        <f>IF('12 - Deployments &amp; Config'!AG417="","",'12 - Deployments &amp; Config'!AG417)</f>
        <v/>
      </c>
      <c r="F412" s="32" t="str">
        <f>IF('12 - Deployments &amp; Config'!AH417="","",'12 - Deployments &amp; Config'!AH417)</f>
        <v/>
      </c>
      <c r="G412" s="32" t="str">
        <f>IF('12 - Deployments &amp; Config'!AI417="","",'12 - Deployments &amp; Config'!AI417)</f>
        <v/>
      </c>
      <c r="H412" s="32" t="str">
        <f>IF('12 - Deployments &amp; Config'!A417="","",'12 - Deployments &amp; Config'!A417)</f>
        <v/>
      </c>
      <c r="I412" s="32" t="str">
        <f>IF('12 - Deployments &amp; Config'!AJ417="","",'12 - Deployments &amp; Config'!AJ417)</f>
        <v/>
      </c>
      <c r="J412" s="32" t="str">
        <f>IF('12 - Deployments &amp; Config'!AK417="","",'12 - Deployments &amp; Config'!AK417)</f>
        <v/>
      </c>
      <c r="K412" s="32" t="str">
        <f>IF('12 - Deployments &amp; Config'!AA417="","",'12 - Deployments &amp; Config'!AA417)</f>
        <v/>
      </c>
      <c r="L412" s="32" t="str">
        <f>IF('12 - Deployments &amp; Config'!I417="","",'12 - Deployments &amp; Config'!I417)</f>
        <v/>
      </c>
      <c r="M412" s="33"/>
      <c r="N412" s="32" t="str">
        <f>IF('12 - Deployments &amp; Config'!J417="","",'12 - Deployments &amp; Config'!J417)</f>
        <v/>
      </c>
      <c r="O412" s="32" t="str">
        <f>IF('12 - Deployments &amp; Config'!K417="","",'12 - Deployments &amp; Config'!K417)</f>
        <v/>
      </c>
      <c r="P412" s="32" t="str">
        <f>IF('12 - Deployments &amp; Config'!L417="","",'12 - Deployments &amp; Config'!L417)</f>
        <v/>
      </c>
      <c r="Q412" s="33"/>
      <c r="R412" s="32" t="str">
        <f>IF('12 - Deployments &amp; Config'!AZ417="","",'12 - Deployments &amp; Config'!AZ417)</f>
        <v/>
      </c>
      <c r="S412" s="32" t="str">
        <f>IF('12 - Deployments &amp; Config'!AY417="","",'12 - Deployments &amp; Config'!AY417)</f>
        <v/>
      </c>
      <c r="T412" s="32" t="str">
        <f>IF('12 - Deployments &amp; Config'!AW417="","",'12 - Deployments &amp; Config'!AW417)</f>
        <v/>
      </c>
      <c r="U412" s="32" t="str">
        <f>IF('12 - Deployments &amp; Config'!AX417="","",'12 - Deployments &amp; Config'!AX417)</f>
        <v/>
      </c>
      <c r="V412" s="32" t="str">
        <f>IF('12 - Deployments &amp; Config'!BB417="","",'12 - Deployments &amp; Config'!BB417)</f>
        <v/>
      </c>
      <c r="W412" s="32" t="str">
        <f>IF('12 - Deployments &amp; Config'!BD417="","",'12 - Deployments &amp; Config'!BD417)</f>
        <v/>
      </c>
      <c r="X412" s="32" t="str">
        <f>IF('12 - Deployments &amp; Config'!BL417="","",'12 - Deployments &amp; Config'!BL417)</f>
        <v/>
      </c>
      <c r="Y412" s="32" t="str">
        <f>IF('12 - Deployments &amp; Config'!BC417="","",'12 - Deployments &amp; Config'!BC417)</f>
        <v/>
      </c>
      <c r="Z412" s="32" t="str">
        <f>IF('12 - Deployments &amp; Config'!P417="","",'12 - Deployments &amp; Config'!P417)</f>
        <v/>
      </c>
      <c r="AA412" s="32" t="str">
        <f>IF('12 - Deployments &amp; Config'!Q417="","",'12 - Deployments &amp; Config'!Q417)</f>
        <v/>
      </c>
    </row>
    <row r="413" spans="1:27">
      <c r="A413" s="33"/>
      <c r="B413" s="33"/>
      <c r="C413" s="32" t="str">
        <f>IF('12 - Deployments &amp; Config'!H418="","",'12 - Deployments &amp; Config'!H418)</f>
        <v/>
      </c>
      <c r="D413" s="32" t="str">
        <f>IF('12 - Deployments &amp; Config'!AF418="","",'12 - Deployments &amp; Config'!AF418)</f>
        <v/>
      </c>
      <c r="E413" s="32" t="str">
        <f>IF('12 - Deployments &amp; Config'!AG418="","",'12 - Deployments &amp; Config'!AG418)</f>
        <v/>
      </c>
      <c r="F413" s="32" t="str">
        <f>IF('12 - Deployments &amp; Config'!AH418="","",'12 - Deployments &amp; Config'!AH418)</f>
        <v/>
      </c>
      <c r="G413" s="32" t="str">
        <f>IF('12 - Deployments &amp; Config'!AI418="","",'12 - Deployments &amp; Config'!AI418)</f>
        <v/>
      </c>
      <c r="H413" s="32" t="str">
        <f>IF('12 - Deployments &amp; Config'!A418="","",'12 - Deployments &amp; Config'!A418)</f>
        <v/>
      </c>
      <c r="I413" s="32" t="str">
        <f>IF('12 - Deployments &amp; Config'!AJ418="","",'12 - Deployments &amp; Config'!AJ418)</f>
        <v/>
      </c>
      <c r="J413" s="32" t="str">
        <f>IF('12 - Deployments &amp; Config'!AK418="","",'12 - Deployments &amp; Config'!AK418)</f>
        <v/>
      </c>
      <c r="K413" s="32" t="str">
        <f>IF('12 - Deployments &amp; Config'!AA418="","",'12 - Deployments &amp; Config'!AA418)</f>
        <v/>
      </c>
      <c r="L413" s="32" t="str">
        <f>IF('12 - Deployments &amp; Config'!I418="","",'12 - Deployments &amp; Config'!I418)</f>
        <v/>
      </c>
      <c r="M413" s="33"/>
      <c r="N413" s="32" t="str">
        <f>IF('12 - Deployments &amp; Config'!J418="","",'12 - Deployments &amp; Config'!J418)</f>
        <v/>
      </c>
      <c r="O413" s="32" t="str">
        <f>IF('12 - Deployments &amp; Config'!K418="","",'12 - Deployments &amp; Config'!K418)</f>
        <v/>
      </c>
      <c r="P413" s="32" t="str">
        <f>IF('12 - Deployments &amp; Config'!L418="","",'12 - Deployments &amp; Config'!L418)</f>
        <v/>
      </c>
      <c r="Q413" s="33"/>
      <c r="R413" s="32" t="str">
        <f>IF('12 - Deployments &amp; Config'!AZ418="","",'12 - Deployments &amp; Config'!AZ418)</f>
        <v/>
      </c>
      <c r="S413" s="32" t="str">
        <f>IF('12 - Deployments &amp; Config'!AY418="","",'12 - Deployments &amp; Config'!AY418)</f>
        <v/>
      </c>
      <c r="T413" s="32" t="str">
        <f>IF('12 - Deployments &amp; Config'!AW418="","",'12 - Deployments &amp; Config'!AW418)</f>
        <v/>
      </c>
      <c r="U413" s="32" t="str">
        <f>IF('12 - Deployments &amp; Config'!AX418="","",'12 - Deployments &amp; Config'!AX418)</f>
        <v/>
      </c>
      <c r="V413" s="32" t="str">
        <f>IF('12 - Deployments &amp; Config'!BB418="","",'12 - Deployments &amp; Config'!BB418)</f>
        <v/>
      </c>
      <c r="W413" s="32" t="str">
        <f>IF('12 - Deployments &amp; Config'!BD418="","",'12 - Deployments &amp; Config'!BD418)</f>
        <v/>
      </c>
      <c r="X413" s="32" t="str">
        <f>IF('12 - Deployments &amp; Config'!BL418="","",'12 - Deployments &amp; Config'!BL418)</f>
        <v/>
      </c>
      <c r="Y413" s="32" t="str">
        <f>IF('12 - Deployments &amp; Config'!BC418="","",'12 - Deployments &amp; Config'!BC418)</f>
        <v/>
      </c>
      <c r="Z413" s="32" t="str">
        <f>IF('12 - Deployments &amp; Config'!P418="","",'12 - Deployments &amp; Config'!P418)</f>
        <v/>
      </c>
      <c r="AA413" s="32" t="str">
        <f>IF('12 - Deployments &amp; Config'!Q418="","",'12 - Deployments &amp; Config'!Q418)</f>
        <v/>
      </c>
    </row>
    <row r="414" spans="1:27">
      <c r="A414" s="33"/>
      <c r="B414" s="33"/>
      <c r="C414" s="32" t="str">
        <f>IF('12 - Deployments &amp; Config'!H419="","",'12 - Deployments &amp; Config'!H419)</f>
        <v/>
      </c>
      <c r="D414" s="32" t="str">
        <f>IF('12 - Deployments &amp; Config'!AF419="","",'12 - Deployments &amp; Config'!AF419)</f>
        <v/>
      </c>
      <c r="E414" s="32" t="str">
        <f>IF('12 - Deployments &amp; Config'!AG419="","",'12 - Deployments &amp; Config'!AG419)</f>
        <v/>
      </c>
      <c r="F414" s="32" t="str">
        <f>IF('12 - Deployments &amp; Config'!AH419="","",'12 - Deployments &amp; Config'!AH419)</f>
        <v/>
      </c>
      <c r="G414" s="32" t="str">
        <f>IF('12 - Deployments &amp; Config'!AI419="","",'12 - Deployments &amp; Config'!AI419)</f>
        <v/>
      </c>
      <c r="H414" s="32" t="str">
        <f>IF('12 - Deployments &amp; Config'!A419="","",'12 - Deployments &amp; Config'!A419)</f>
        <v/>
      </c>
      <c r="I414" s="32" t="str">
        <f>IF('12 - Deployments &amp; Config'!AJ419="","",'12 - Deployments &amp; Config'!AJ419)</f>
        <v/>
      </c>
      <c r="J414" s="32" t="str">
        <f>IF('12 - Deployments &amp; Config'!AK419="","",'12 - Deployments &amp; Config'!AK419)</f>
        <v/>
      </c>
      <c r="K414" s="32" t="str">
        <f>IF('12 - Deployments &amp; Config'!AA419="","",'12 - Deployments &amp; Config'!AA419)</f>
        <v/>
      </c>
      <c r="L414" s="32" t="str">
        <f>IF('12 - Deployments &amp; Config'!I419="","",'12 - Deployments &amp; Config'!I419)</f>
        <v/>
      </c>
      <c r="M414" s="33"/>
      <c r="N414" s="32" t="str">
        <f>IF('12 - Deployments &amp; Config'!J419="","",'12 - Deployments &amp; Config'!J419)</f>
        <v/>
      </c>
      <c r="O414" s="32" t="str">
        <f>IF('12 - Deployments &amp; Config'!K419="","",'12 - Deployments &amp; Config'!K419)</f>
        <v/>
      </c>
      <c r="P414" s="32" t="str">
        <f>IF('12 - Deployments &amp; Config'!L419="","",'12 - Deployments &amp; Config'!L419)</f>
        <v/>
      </c>
      <c r="Q414" s="33"/>
      <c r="R414" s="32" t="str">
        <f>IF('12 - Deployments &amp; Config'!AZ419="","",'12 - Deployments &amp; Config'!AZ419)</f>
        <v/>
      </c>
      <c r="S414" s="32" t="str">
        <f>IF('12 - Deployments &amp; Config'!AY419="","",'12 - Deployments &amp; Config'!AY419)</f>
        <v/>
      </c>
      <c r="T414" s="32" t="str">
        <f>IF('12 - Deployments &amp; Config'!AW419="","",'12 - Deployments &amp; Config'!AW419)</f>
        <v/>
      </c>
      <c r="U414" s="32" t="str">
        <f>IF('12 - Deployments &amp; Config'!AX419="","",'12 - Deployments &amp; Config'!AX419)</f>
        <v/>
      </c>
      <c r="V414" s="32" t="str">
        <f>IF('12 - Deployments &amp; Config'!BB419="","",'12 - Deployments &amp; Config'!BB419)</f>
        <v/>
      </c>
      <c r="W414" s="32" t="str">
        <f>IF('12 - Deployments &amp; Config'!BD419="","",'12 - Deployments &amp; Config'!BD419)</f>
        <v/>
      </c>
      <c r="X414" s="32" t="str">
        <f>IF('12 - Deployments &amp; Config'!BL419="","",'12 - Deployments &amp; Config'!BL419)</f>
        <v/>
      </c>
      <c r="Y414" s="32" t="str">
        <f>IF('12 - Deployments &amp; Config'!BC419="","",'12 - Deployments &amp; Config'!BC419)</f>
        <v/>
      </c>
      <c r="Z414" s="32" t="str">
        <f>IF('12 - Deployments &amp; Config'!P419="","",'12 - Deployments &amp; Config'!P419)</f>
        <v/>
      </c>
      <c r="AA414" s="32" t="str">
        <f>IF('12 - Deployments &amp; Config'!Q419="","",'12 - Deployments &amp; Config'!Q419)</f>
        <v/>
      </c>
    </row>
    <row r="415" spans="1:27">
      <c r="A415" s="33"/>
      <c r="B415" s="33"/>
      <c r="C415" s="32" t="str">
        <f>IF('12 - Deployments &amp; Config'!H420="","",'12 - Deployments &amp; Config'!H420)</f>
        <v/>
      </c>
      <c r="D415" s="32" t="str">
        <f>IF('12 - Deployments &amp; Config'!AF420="","",'12 - Deployments &amp; Config'!AF420)</f>
        <v/>
      </c>
      <c r="E415" s="32" t="str">
        <f>IF('12 - Deployments &amp; Config'!AG420="","",'12 - Deployments &amp; Config'!AG420)</f>
        <v/>
      </c>
      <c r="F415" s="32" t="str">
        <f>IF('12 - Deployments &amp; Config'!AH420="","",'12 - Deployments &amp; Config'!AH420)</f>
        <v/>
      </c>
      <c r="G415" s="32" t="str">
        <f>IF('12 - Deployments &amp; Config'!AI420="","",'12 - Deployments &amp; Config'!AI420)</f>
        <v/>
      </c>
      <c r="H415" s="32" t="str">
        <f>IF('12 - Deployments &amp; Config'!A420="","",'12 - Deployments &amp; Config'!A420)</f>
        <v/>
      </c>
      <c r="I415" s="32" t="str">
        <f>IF('12 - Deployments &amp; Config'!AJ420="","",'12 - Deployments &amp; Config'!AJ420)</f>
        <v/>
      </c>
      <c r="J415" s="32" t="str">
        <f>IF('12 - Deployments &amp; Config'!AK420="","",'12 - Deployments &amp; Config'!AK420)</f>
        <v/>
      </c>
      <c r="K415" s="32" t="str">
        <f>IF('12 - Deployments &amp; Config'!AA420="","",'12 - Deployments &amp; Config'!AA420)</f>
        <v/>
      </c>
      <c r="L415" s="32" t="str">
        <f>IF('12 - Deployments &amp; Config'!I420="","",'12 - Deployments &amp; Config'!I420)</f>
        <v/>
      </c>
      <c r="M415" s="33"/>
      <c r="N415" s="32" t="str">
        <f>IF('12 - Deployments &amp; Config'!J420="","",'12 - Deployments &amp; Config'!J420)</f>
        <v/>
      </c>
      <c r="O415" s="32" t="str">
        <f>IF('12 - Deployments &amp; Config'!K420="","",'12 - Deployments &amp; Config'!K420)</f>
        <v/>
      </c>
      <c r="P415" s="32" t="str">
        <f>IF('12 - Deployments &amp; Config'!L420="","",'12 - Deployments &amp; Config'!L420)</f>
        <v/>
      </c>
      <c r="Q415" s="33"/>
      <c r="R415" s="32" t="str">
        <f>IF('12 - Deployments &amp; Config'!AZ420="","",'12 - Deployments &amp; Config'!AZ420)</f>
        <v/>
      </c>
      <c r="S415" s="32" t="str">
        <f>IF('12 - Deployments &amp; Config'!AY420="","",'12 - Deployments &amp; Config'!AY420)</f>
        <v/>
      </c>
      <c r="T415" s="32" t="str">
        <f>IF('12 - Deployments &amp; Config'!AW420="","",'12 - Deployments &amp; Config'!AW420)</f>
        <v/>
      </c>
      <c r="U415" s="32" t="str">
        <f>IF('12 - Deployments &amp; Config'!AX420="","",'12 - Deployments &amp; Config'!AX420)</f>
        <v/>
      </c>
      <c r="V415" s="32" t="str">
        <f>IF('12 - Deployments &amp; Config'!BB420="","",'12 - Deployments &amp; Config'!BB420)</f>
        <v/>
      </c>
      <c r="W415" s="32" t="str">
        <f>IF('12 - Deployments &amp; Config'!BD420="","",'12 - Deployments &amp; Config'!BD420)</f>
        <v/>
      </c>
      <c r="X415" s="32" t="str">
        <f>IF('12 - Deployments &amp; Config'!BL420="","",'12 - Deployments &amp; Config'!BL420)</f>
        <v/>
      </c>
      <c r="Y415" s="32" t="str">
        <f>IF('12 - Deployments &amp; Config'!BC420="","",'12 - Deployments &amp; Config'!BC420)</f>
        <v/>
      </c>
      <c r="Z415" s="32" t="str">
        <f>IF('12 - Deployments &amp; Config'!P420="","",'12 - Deployments &amp; Config'!P420)</f>
        <v/>
      </c>
      <c r="AA415" s="32" t="str">
        <f>IF('12 - Deployments &amp; Config'!Q420="","",'12 - Deployments &amp; Config'!Q420)</f>
        <v/>
      </c>
    </row>
    <row r="416" spans="1:27">
      <c r="A416" s="33"/>
      <c r="B416" s="33"/>
      <c r="C416" s="32" t="str">
        <f>IF('12 - Deployments &amp; Config'!H421="","",'12 - Deployments &amp; Config'!H421)</f>
        <v/>
      </c>
      <c r="D416" s="32" t="str">
        <f>IF('12 - Deployments &amp; Config'!AF421="","",'12 - Deployments &amp; Config'!AF421)</f>
        <v/>
      </c>
      <c r="E416" s="32" t="str">
        <f>IF('12 - Deployments &amp; Config'!AG421="","",'12 - Deployments &amp; Config'!AG421)</f>
        <v/>
      </c>
      <c r="F416" s="32" t="str">
        <f>IF('12 - Deployments &amp; Config'!AH421="","",'12 - Deployments &amp; Config'!AH421)</f>
        <v/>
      </c>
      <c r="G416" s="32" t="str">
        <f>IF('12 - Deployments &amp; Config'!AI421="","",'12 - Deployments &amp; Config'!AI421)</f>
        <v/>
      </c>
      <c r="H416" s="32" t="str">
        <f>IF('12 - Deployments &amp; Config'!A421="","",'12 - Deployments &amp; Config'!A421)</f>
        <v/>
      </c>
      <c r="I416" s="32" t="str">
        <f>IF('12 - Deployments &amp; Config'!AJ421="","",'12 - Deployments &amp; Config'!AJ421)</f>
        <v/>
      </c>
      <c r="J416" s="32" t="str">
        <f>IF('12 - Deployments &amp; Config'!AK421="","",'12 - Deployments &amp; Config'!AK421)</f>
        <v/>
      </c>
      <c r="K416" s="32" t="str">
        <f>IF('12 - Deployments &amp; Config'!AA421="","",'12 - Deployments &amp; Config'!AA421)</f>
        <v/>
      </c>
      <c r="L416" s="32" t="str">
        <f>IF('12 - Deployments &amp; Config'!I421="","",'12 - Deployments &amp; Config'!I421)</f>
        <v/>
      </c>
      <c r="M416" s="33"/>
      <c r="N416" s="32" t="str">
        <f>IF('12 - Deployments &amp; Config'!J421="","",'12 - Deployments &amp; Config'!J421)</f>
        <v/>
      </c>
      <c r="O416" s="32" t="str">
        <f>IF('12 - Deployments &amp; Config'!K421="","",'12 - Deployments &amp; Config'!K421)</f>
        <v/>
      </c>
      <c r="P416" s="32" t="str">
        <f>IF('12 - Deployments &amp; Config'!L421="","",'12 - Deployments &amp; Config'!L421)</f>
        <v/>
      </c>
      <c r="Q416" s="33"/>
      <c r="R416" s="32" t="str">
        <f>IF('12 - Deployments &amp; Config'!AZ421="","",'12 - Deployments &amp; Config'!AZ421)</f>
        <v/>
      </c>
      <c r="S416" s="32" t="str">
        <f>IF('12 - Deployments &amp; Config'!AY421="","",'12 - Deployments &amp; Config'!AY421)</f>
        <v/>
      </c>
      <c r="T416" s="32" t="str">
        <f>IF('12 - Deployments &amp; Config'!AW421="","",'12 - Deployments &amp; Config'!AW421)</f>
        <v/>
      </c>
      <c r="U416" s="32" t="str">
        <f>IF('12 - Deployments &amp; Config'!AX421="","",'12 - Deployments &amp; Config'!AX421)</f>
        <v/>
      </c>
      <c r="V416" s="32" t="str">
        <f>IF('12 - Deployments &amp; Config'!BB421="","",'12 - Deployments &amp; Config'!BB421)</f>
        <v/>
      </c>
      <c r="W416" s="32" t="str">
        <f>IF('12 - Deployments &amp; Config'!BD421="","",'12 - Deployments &amp; Config'!BD421)</f>
        <v/>
      </c>
      <c r="X416" s="32" t="str">
        <f>IF('12 - Deployments &amp; Config'!BL421="","",'12 - Deployments &amp; Config'!BL421)</f>
        <v/>
      </c>
      <c r="Y416" s="32" t="str">
        <f>IF('12 - Deployments &amp; Config'!BC421="","",'12 - Deployments &amp; Config'!BC421)</f>
        <v/>
      </c>
      <c r="Z416" s="32" t="str">
        <f>IF('12 - Deployments &amp; Config'!P421="","",'12 - Deployments &amp; Config'!P421)</f>
        <v/>
      </c>
      <c r="AA416" s="32" t="str">
        <f>IF('12 - Deployments &amp; Config'!Q421="","",'12 - Deployments &amp; Config'!Q421)</f>
        <v/>
      </c>
    </row>
    <row r="417" spans="1:27">
      <c r="A417" s="33"/>
      <c r="B417" s="33"/>
      <c r="C417" s="32" t="str">
        <f>IF('12 - Deployments &amp; Config'!H422="","",'12 - Deployments &amp; Config'!H422)</f>
        <v/>
      </c>
      <c r="D417" s="32" t="str">
        <f>IF('12 - Deployments &amp; Config'!AF422="","",'12 - Deployments &amp; Config'!AF422)</f>
        <v/>
      </c>
      <c r="E417" s="32" t="str">
        <f>IF('12 - Deployments &amp; Config'!AG422="","",'12 - Deployments &amp; Config'!AG422)</f>
        <v/>
      </c>
      <c r="F417" s="32" t="str">
        <f>IF('12 - Deployments &amp; Config'!AH422="","",'12 - Deployments &amp; Config'!AH422)</f>
        <v/>
      </c>
      <c r="G417" s="32" t="str">
        <f>IF('12 - Deployments &amp; Config'!AI422="","",'12 - Deployments &amp; Config'!AI422)</f>
        <v/>
      </c>
      <c r="H417" s="32" t="str">
        <f>IF('12 - Deployments &amp; Config'!A422="","",'12 - Deployments &amp; Config'!A422)</f>
        <v/>
      </c>
      <c r="I417" s="32" t="str">
        <f>IF('12 - Deployments &amp; Config'!AJ422="","",'12 - Deployments &amp; Config'!AJ422)</f>
        <v/>
      </c>
      <c r="J417" s="32" t="str">
        <f>IF('12 - Deployments &amp; Config'!AK422="","",'12 - Deployments &amp; Config'!AK422)</f>
        <v/>
      </c>
      <c r="K417" s="32" t="str">
        <f>IF('12 - Deployments &amp; Config'!AA422="","",'12 - Deployments &amp; Config'!AA422)</f>
        <v/>
      </c>
      <c r="L417" s="32" t="str">
        <f>IF('12 - Deployments &amp; Config'!I422="","",'12 - Deployments &amp; Config'!I422)</f>
        <v/>
      </c>
      <c r="M417" s="33"/>
      <c r="N417" s="32" t="str">
        <f>IF('12 - Deployments &amp; Config'!J422="","",'12 - Deployments &amp; Config'!J422)</f>
        <v/>
      </c>
      <c r="O417" s="32" t="str">
        <f>IF('12 - Deployments &amp; Config'!K422="","",'12 - Deployments &amp; Config'!K422)</f>
        <v/>
      </c>
      <c r="P417" s="32" t="str">
        <f>IF('12 - Deployments &amp; Config'!L422="","",'12 - Deployments &amp; Config'!L422)</f>
        <v/>
      </c>
      <c r="Q417" s="33"/>
      <c r="R417" s="32" t="str">
        <f>IF('12 - Deployments &amp; Config'!AZ422="","",'12 - Deployments &amp; Config'!AZ422)</f>
        <v/>
      </c>
      <c r="S417" s="32" t="str">
        <f>IF('12 - Deployments &amp; Config'!AY422="","",'12 - Deployments &amp; Config'!AY422)</f>
        <v/>
      </c>
      <c r="T417" s="32" t="str">
        <f>IF('12 - Deployments &amp; Config'!AW422="","",'12 - Deployments &amp; Config'!AW422)</f>
        <v/>
      </c>
      <c r="U417" s="32" t="str">
        <f>IF('12 - Deployments &amp; Config'!AX422="","",'12 - Deployments &amp; Config'!AX422)</f>
        <v/>
      </c>
      <c r="V417" s="32" t="str">
        <f>IF('12 - Deployments &amp; Config'!BB422="","",'12 - Deployments &amp; Config'!BB422)</f>
        <v/>
      </c>
      <c r="W417" s="32" t="str">
        <f>IF('12 - Deployments &amp; Config'!BD422="","",'12 - Deployments &amp; Config'!BD422)</f>
        <v/>
      </c>
      <c r="X417" s="32" t="str">
        <f>IF('12 - Deployments &amp; Config'!BL422="","",'12 - Deployments &amp; Config'!BL422)</f>
        <v/>
      </c>
      <c r="Y417" s="32" t="str">
        <f>IF('12 - Deployments &amp; Config'!BC422="","",'12 - Deployments &amp; Config'!BC422)</f>
        <v/>
      </c>
      <c r="Z417" s="32" t="str">
        <f>IF('12 - Deployments &amp; Config'!P422="","",'12 - Deployments &amp; Config'!P422)</f>
        <v/>
      </c>
      <c r="AA417" s="32" t="str">
        <f>IF('12 - Deployments &amp; Config'!Q422="","",'12 - Deployments &amp; Config'!Q422)</f>
        <v/>
      </c>
    </row>
    <row r="418" spans="1:27">
      <c r="A418" s="33"/>
      <c r="B418" s="33"/>
      <c r="C418" s="32" t="str">
        <f>IF('12 - Deployments &amp; Config'!H423="","",'12 - Deployments &amp; Config'!H423)</f>
        <v/>
      </c>
      <c r="D418" s="32" t="str">
        <f>IF('12 - Deployments &amp; Config'!AF423="","",'12 - Deployments &amp; Config'!AF423)</f>
        <v/>
      </c>
      <c r="E418" s="32" t="str">
        <f>IF('12 - Deployments &amp; Config'!AG423="","",'12 - Deployments &amp; Config'!AG423)</f>
        <v/>
      </c>
      <c r="F418" s="32" t="str">
        <f>IF('12 - Deployments &amp; Config'!AH423="","",'12 - Deployments &amp; Config'!AH423)</f>
        <v/>
      </c>
      <c r="G418" s="32" t="str">
        <f>IF('12 - Deployments &amp; Config'!AI423="","",'12 - Deployments &amp; Config'!AI423)</f>
        <v/>
      </c>
      <c r="H418" s="32" t="str">
        <f>IF('12 - Deployments &amp; Config'!A423="","",'12 - Deployments &amp; Config'!A423)</f>
        <v/>
      </c>
      <c r="I418" s="32" t="str">
        <f>IF('12 - Deployments &amp; Config'!AJ423="","",'12 - Deployments &amp; Config'!AJ423)</f>
        <v/>
      </c>
      <c r="J418" s="32" t="str">
        <f>IF('12 - Deployments &amp; Config'!AK423="","",'12 - Deployments &amp; Config'!AK423)</f>
        <v/>
      </c>
      <c r="K418" s="32" t="str">
        <f>IF('12 - Deployments &amp; Config'!AA423="","",'12 - Deployments &amp; Config'!AA423)</f>
        <v/>
      </c>
      <c r="L418" s="32" t="str">
        <f>IF('12 - Deployments &amp; Config'!I423="","",'12 - Deployments &amp; Config'!I423)</f>
        <v/>
      </c>
      <c r="M418" s="33"/>
      <c r="N418" s="32" t="str">
        <f>IF('12 - Deployments &amp; Config'!J423="","",'12 - Deployments &amp; Config'!J423)</f>
        <v/>
      </c>
      <c r="O418" s="32" t="str">
        <f>IF('12 - Deployments &amp; Config'!K423="","",'12 - Deployments &amp; Config'!K423)</f>
        <v/>
      </c>
      <c r="P418" s="32" t="str">
        <f>IF('12 - Deployments &amp; Config'!L423="","",'12 - Deployments &amp; Config'!L423)</f>
        <v/>
      </c>
      <c r="Q418" s="33"/>
      <c r="R418" s="32" t="str">
        <f>IF('12 - Deployments &amp; Config'!AZ423="","",'12 - Deployments &amp; Config'!AZ423)</f>
        <v/>
      </c>
      <c r="S418" s="32" t="str">
        <f>IF('12 - Deployments &amp; Config'!AY423="","",'12 - Deployments &amp; Config'!AY423)</f>
        <v/>
      </c>
      <c r="T418" s="32" t="str">
        <f>IF('12 - Deployments &amp; Config'!AW423="","",'12 - Deployments &amp; Config'!AW423)</f>
        <v/>
      </c>
      <c r="U418" s="32" t="str">
        <f>IF('12 - Deployments &amp; Config'!AX423="","",'12 - Deployments &amp; Config'!AX423)</f>
        <v/>
      </c>
      <c r="V418" s="32" t="str">
        <f>IF('12 - Deployments &amp; Config'!BB423="","",'12 - Deployments &amp; Config'!BB423)</f>
        <v/>
      </c>
      <c r="W418" s="32" t="str">
        <f>IF('12 - Deployments &amp; Config'!BD423="","",'12 - Deployments &amp; Config'!BD423)</f>
        <v/>
      </c>
      <c r="X418" s="32" t="str">
        <f>IF('12 - Deployments &amp; Config'!BL423="","",'12 - Deployments &amp; Config'!BL423)</f>
        <v/>
      </c>
      <c r="Y418" s="32" t="str">
        <f>IF('12 - Deployments &amp; Config'!BC423="","",'12 - Deployments &amp; Config'!BC423)</f>
        <v/>
      </c>
      <c r="Z418" s="32" t="str">
        <f>IF('12 - Deployments &amp; Config'!P423="","",'12 - Deployments &amp; Config'!P423)</f>
        <v/>
      </c>
      <c r="AA418" s="32" t="str">
        <f>IF('12 - Deployments &amp; Config'!Q423="","",'12 - Deployments &amp; Config'!Q423)</f>
        <v/>
      </c>
    </row>
    <row r="419" spans="1:27">
      <c r="A419" s="33"/>
      <c r="B419" s="33"/>
      <c r="C419" s="32" t="str">
        <f>IF('12 - Deployments &amp; Config'!H424="","",'12 - Deployments &amp; Config'!H424)</f>
        <v/>
      </c>
      <c r="D419" s="32" t="str">
        <f>IF('12 - Deployments &amp; Config'!AF424="","",'12 - Deployments &amp; Config'!AF424)</f>
        <v/>
      </c>
      <c r="E419" s="32" t="str">
        <f>IF('12 - Deployments &amp; Config'!AG424="","",'12 - Deployments &amp; Config'!AG424)</f>
        <v/>
      </c>
      <c r="F419" s="32" t="str">
        <f>IF('12 - Deployments &amp; Config'!AH424="","",'12 - Deployments &amp; Config'!AH424)</f>
        <v/>
      </c>
      <c r="G419" s="32" t="str">
        <f>IF('12 - Deployments &amp; Config'!AI424="","",'12 - Deployments &amp; Config'!AI424)</f>
        <v/>
      </c>
      <c r="H419" s="32" t="str">
        <f>IF('12 - Deployments &amp; Config'!A424="","",'12 - Deployments &amp; Config'!A424)</f>
        <v/>
      </c>
      <c r="I419" s="32" t="str">
        <f>IF('12 - Deployments &amp; Config'!AJ424="","",'12 - Deployments &amp; Config'!AJ424)</f>
        <v/>
      </c>
      <c r="J419" s="32" t="str">
        <f>IF('12 - Deployments &amp; Config'!AK424="","",'12 - Deployments &amp; Config'!AK424)</f>
        <v/>
      </c>
      <c r="K419" s="32" t="str">
        <f>IF('12 - Deployments &amp; Config'!AA424="","",'12 - Deployments &amp; Config'!AA424)</f>
        <v/>
      </c>
      <c r="L419" s="32" t="str">
        <f>IF('12 - Deployments &amp; Config'!I424="","",'12 - Deployments &amp; Config'!I424)</f>
        <v/>
      </c>
      <c r="M419" s="33"/>
      <c r="N419" s="32" t="str">
        <f>IF('12 - Deployments &amp; Config'!J424="","",'12 - Deployments &amp; Config'!J424)</f>
        <v/>
      </c>
      <c r="O419" s="32" t="str">
        <f>IF('12 - Deployments &amp; Config'!K424="","",'12 - Deployments &amp; Config'!K424)</f>
        <v/>
      </c>
      <c r="P419" s="32" t="str">
        <f>IF('12 - Deployments &amp; Config'!L424="","",'12 - Deployments &amp; Config'!L424)</f>
        <v/>
      </c>
      <c r="Q419" s="33"/>
      <c r="R419" s="32" t="str">
        <f>IF('12 - Deployments &amp; Config'!AZ424="","",'12 - Deployments &amp; Config'!AZ424)</f>
        <v/>
      </c>
      <c r="S419" s="32" t="str">
        <f>IF('12 - Deployments &amp; Config'!AY424="","",'12 - Deployments &amp; Config'!AY424)</f>
        <v/>
      </c>
      <c r="T419" s="32" t="str">
        <f>IF('12 - Deployments &amp; Config'!AW424="","",'12 - Deployments &amp; Config'!AW424)</f>
        <v/>
      </c>
      <c r="U419" s="32" t="str">
        <f>IF('12 - Deployments &amp; Config'!AX424="","",'12 - Deployments &amp; Config'!AX424)</f>
        <v/>
      </c>
      <c r="V419" s="32" t="str">
        <f>IF('12 - Deployments &amp; Config'!BB424="","",'12 - Deployments &amp; Config'!BB424)</f>
        <v/>
      </c>
      <c r="W419" s="32" t="str">
        <f>IF('12 - Deployments &amp; Config'!BD424="","",'12 - Deployments &amp; Config'!BD424)</f>
        <v/>
      </c>
      <c r="X419" s="32" t="str">
        <f>IF('12 - Deployments &amp; Config'!BL424="","",'12 - Deployments &amp; Config'!BL424)</f>
        <v/>
      </c>
      <c r="Y419" s="32" t="str">
        <f>IF('12 - Deployments &amp; Config'!BC424="","",'12 - Deployments &amp; Config'!BC424)</f>
        <v/>
      </c>
      <c r="Z419" s="32" t="str">
        <f>IF('12 - Deployments &amp; Config'!P424="","",'12 - Deployments &amp; Config'!P424)</f>
        <v/>
      </c>
      <c r="AA419" s="32" t="str">
        <f>IF('12 - Deployments &amp; Config'!Q424="","",'12 - Deployments &amp; Config'!Q424)</f>
        <v/>
      </c>
    </row>
    <row r="420" spans="1:27">
      <c r="A420" s="33"/>
      <c r="B420" s="33"/>
      <c r="C420" s="32" t="str">
        <f>IF('12 - Deployments &amp; Config'!H425="","",'12 - Deployments &amp; Config'!H425)</f>
        <v/>
      </c>
      <c r="D420" s="32" t="str">
        <f>IF('12 - Deployments &amp; Config'!AF425="","",'12 - Deployments &amp; Config'!AF425)</f>
        <v/>
      </c>
      <c r="E420" s="32" t="str">
        <f>IF('12 - Deployments &amp; Config'!AG425="","",'12 - Deployments &amp; Config'!AG425)</f>
        <v/>
      </c>
      <c r="F420" s="32" t="str">
        <f>IF('12 - Deployments &amp; Config'!AH425="","",'12 - Deployments &amp; Config'!AH425)</f>
        <v/>
      </c>
      <c r="G420" s="32" t="str">
        <f>IF('12 - Deployments &amp; Config'!AI425="","",'12 - Deployments &amp; Config'!AI425)</f>
        <v/>
      </c>
      <c r="H420" s="32" t="str">
        <f>IF('12 - Deployments &amp; Config'!A425="","",'12 - Deployments &amp; Config'!A425)</f>
        <v/>
      </c>
      <c r="I420" s="32" t="str">
        <f>IF('12 - Deployments &amp; Config'!AJ425="","",'12 - Deployments &amp; Config'!AJ425)</f>
        <v/>
      </c>
      <c r="J420" s="32" t="str">
        <f>IF('12 - Deployments &amp; Config'!AK425="","",'12 - Deployments &amp; Config'!AK425)</f>
        <v/>
      </c>
      <c r="K420" s="32" t="str">
        <f>IF('12 - Deployments &amp; Config'!AA425="","",'12 - Deployments &amp; Config'!AA425)</f>
        <v/>
      </c>
      <c r="L420" s="32" t="str">
        <f>IF('12 - Deployments &amp; Config'!I425="","",'12 - Deployments &amp; Config'!I425)</f>
        <v/>
      </c>
      <c r="M420" s="33"/>
      <c r="N420" s="32" t="str">
        <f>IF('12 - Deployments &amp; Config'!J425="","",'12 - Deployments &amp; Config'!J425)</f>
        <v/>
      </c>
      <c r="O420" s="32" t="str">
        <f>IF('12 - Deployments &amp; Config'!K425="","",'12 - Deployments &amp; Config'!K425)</f>
        <v/>
      </c>
      <c r="P420" s="32" t="str">
        <f>IF('12 - Deployments &amp; Config'!L425="","",'12 - Deployments &amp; Config'!L425)</f>
        <v/>
      </c>
      <c r="Q420" s="33"/>
      <c r="R420" s="32" t="str">
        <f>IF('12 - Deployments &amp; Config'!AZ425="","",'12 - Deployments &amp; Config'!AZ425)</f>
        <v/>
      </c>
      <c r="S420" s="32" t="str">
        <f>IF('12 - Deployments &amp; Config'!AY425="","",'12 - Deployments &amp; Config'!AY425)</f>
        <v/>
      </c>
      <c r="T420" s="32" t="str">
        <f>IF('12 - Deployments &amp; Config'!AW425="","",'12 - Deployments &amp; Config'!AW425)</f>
        <v/>
      </c>
      <c r="U420" s="32" t="str">
        <f>IF('12 - Deployments &amp; Config'!AX425="","",'12 - Deployments &amp; Config'!AX425)</f>
        <v/>
      </c>
      <c r="V420" s="32" t="str">
        <f>IF('12 - Deployments &amp; Config'!BB425="","",'12 - Deployments &amp; Config'!BB425)</f>
        <v/>
      </c>
      <c r="W420" s="32" t="str">
        <f>IF('12 - Deployments &amp; Config'!BD425="","",'12 - Deployments &amp; Config'!BD425)</f>
        <v/>
      </c>
      <c r="X420" s="32" t="str">
        <f>IF('12 - Deployments &amp; Config'!BL425="","",'12 - Deployments &amp; Config'!BL425)</f>
        <v/>
      </c>
      <c r="Y420" s="32" t="str">
        <f>IF('12 - Deployments &amp; Config'!BC425="","",'12 - Deployments &amp; Config'!BC425)</f>
        <v/>
      </c>
      <c r="Z420" s="32" t="str">
        <f>IF('12 - Deployments &amp; Config'!P425="","",'12 - Deployments &amp; Config'!P425)</f>
        <v/>
      </c>
      <c r="AA420" s="32" t="str">
        <f>IF('12 - Deployments &amp; Config'!Q425="","",'12 - Deployments &amp; Config'!Q425)</f>
        <v/>
      </c>
    </row>
    <row r="421" spans="1:27">
      <c r="A421" s="33"/>
      <c r="B421" s="33"/>
      <c r="C421" s="32" t="str">
        <f>IF('12 - Deployments &amp; Config'!H426="","",'12 - Deployments &amp; Config'!H426)</f>
        <v/>
      </c>
      <c r="D421" s="32" t="str">
        <f>IF('12 - Deployments &amp; Config'!AF426="","",'12 - Deployments &amp; Config'!AF426)</f>
        <v/>
      </c>
      <c r="E421" s="32" t="str">
        <f>IF('12 - Deployments &amp; Config'!AG426="","",'12 - Deployments &amp; Config'!AG426)</f>
        <v/>
      </c>
      <c r="F421" s="32" t="str">
        <f>IF('12 - Deployments &amp; Config'!AH426="","",'12 - Deployments &amp; Config'!AH426)</f>
        <v/>
      </c>
      <c r="G421" s="32" t="str">
        <f>IF('12 - Deployments &amp; Config'!AI426="","",'12 - Deployments &amp; Config'!AI426)</f>
        <v/>
      </c>
      <c r="H421" s="32" t="str">
        <f>IF('12 - Deployments &amp; Config'!A426="","",'12 - Deployments &amp; Config'!A426)</f>
        <v/>
      </c>
      <c r="I421" s="32" t="str">
        <f>IF('12 - Deployments &amp; Config'!AJ426="","",'12 - Deployments &amp; Config'!AJ426)</f>
        <v/>
      </c>
      <c r="J421" s="32" t="str">
        <f>IF('12 - Deployments &amp; Config'!AK426="","",'12 - Deployments &amp; Config'!AK426)</f>
        <v/>
      </c>
      <c r="K421" s="32" t="str">
        <f>IF('12 - Deployments &amp; Config'!AA426="","",'12 - Deployments &amp; Config'!AA426)</f>
        <v/>
      </c>
      <c r="L421" s="32" t="str">
        <f>IF('12 - Deployments &amp; Config'!I426="","",'12 - Deployments &amp; Config'!I426)</f>
        <v/>
      </c>
      <c r="M421" s="33"/>
      <c r="N421" s="32" t="str">
        <f>IF('12 - Deployments &amp; Config'!J426="","",'12 - Deployments &amp; Config'!J426)</f>
        <v/>
      </c>
      <c r="O421" s="32" t="str">
        <f>IF('12 - Deployments &amp; Config'!K426="","",'12 - Deployments &amp; Config'!K426)</f>
        <v/>
      </c>
      <c r="P421" s="32" t="str">
        <f>IF('12 - Deployments &amp; Config'!L426="","",'12 - Deployments &amp; Config'!L426)</f>
        <v/>
      </c>
      <c r="Q421" s="33"/>
      <c r="R421" s="32" t="str">
        <f>IF('12 - Deployments &amp; Config'!AZ426="","",'12 - Deployments &amp; Config'!AZ426)</f>
        <v/>
      </c>
      <c r="S421" s="32" t="str">
        <f>IF('12 - Deployments &amp; Config'!AY426="","",'12 - Deployments &amp; Config'!AY426)</f>
        <v/>
      </c>
      <c r="T421" s="32" t="str">
        <f>IF('12 - Deployments &amp; Config'!AW426="","",'12 - Deployments &amp; Config'!AW426)</f>
        <v/>
      </c>
      <c r="U421" s="32" t="str">
        <f>IF('12 - Deployments &amp; Config'!AX426="","",'12 - Deployments &amp; Config'!AX426)</f>
        <v/>
      </c>
      <c r="V421" s="32" t="str">
        <f>IF('12 - Deployments &amp; Config'!BB426="","",'12 - Deployments &amp; Config'!BB426)</f>
        <v/>
      </c>
      <c r="W421" s="32" t="str">
        <f>IF('12 - Deployments &amp; Config'!BD426="","",'12 - Deployments &amp; Config'!BD426)</f>
        <v/>
      </c>
      <c r="X421" s="32" t="str">
        <f>IF('12 - Deployments &amp; Config'!BL426="","",'12 - Deployments &amp; Config'!BL426)</f>
        <v/>
      </c>
      <c r="Y421" s="32" t="str">
        <f>IF('12 - Deployments &amp; Config'!BC426="","",'12 - Deployments &amp; Config'!BC426)</f>
        <v/>
      </c>
      <c r="Z421" s="32" t="str">
        <f>IF('12 - Deployments &amp; Config'!P426="","",'12 - Deployments &amp; Config'!P426)</f>
        <v/>
      </c>
      <c r="AA421" s="32" t="str">
        <f>IF('12 - Deployments &amp; Config'!Q426="","",'12 - Deployments &amp; Config'!Q426)</f>
        <v/>
      </c>
    </row>
    <row r="422" spans="1:27">
      <c r="A422" s="33"/>
      <c r="B422" s="33"/>
      <c r="C422" s="32" t="str">
        <f>IF('12 - Deployments &amp; Config'!H427="","",'12 - Deployments &amp; Config'!H427)</f>
        <v/>
      </c>
      <c r="D422" s="32" t="str">
        <f>IF('12 - Deployments &amp; Config'!AF427="","",'12 - Deployments &amp; Config'!AF427)</f>
        <v/>
      </c>
      <c r="E422" s="32" t="str">
        <f>IF('12 - Deployments &amp; Config'!AG427="","",'12 - Deployments &amp; Config'!AG427)</f>
        <v/>
      </c>
      <c r="F422" s="32" t="str">
        <f>IF('12 - Deployments &amp; Config'!AH427="","",'12 - Deployments &amp; Config'!AH427)</f>
        <v/>
      </c>
      <c r="G422" s="32" t="str">
        <f>IF('12 - Deployments &amp; Config'!AI427="","",'12 - Deployments &amp; Config'!AI427)</f>
        <v/>
      </c>
      <c r="H422" s="32" t="str">
        <f>IF('12 - Deployments &amp; Config'!A427="","",'12 - Deployments &amp; Config'!A427)</f>
        <v/>
      </c>
      <c r="I422" s="32" t="str">
        <f>IF('12 - Deployments &amp; Config'!AJ427="","",'12 - Deployments &amp; Config'!AJ427)</f>
        <v/>
      </c>
      <c r="J422" s="32" t="str">
        <f>IF('12 - Deployments &amp; Config'!AK427="","",'12 - Deployments &amp; Config'!AK427)</f>
        <v/>
      </c>
      <c r="K422" s="32" t="str">
        <f>IF('12 - Deployments &amp; Config'!AA427="","",'12 - Deployments &amp; Config'!AA427)</f>
        <v/>
      </c>
      <c r="L422" s="32" t="str">
        <f>IF('12 - Deployments &amp; Config'!I427="","",'12 - Deployments &amp; Config'!I427)</f>
        <v/>
      </c>
      <c r="M422" s="33"/>
      <c r="N422" s="32" t="str">
        <f>IF('12 - Deployments &amp; Config'!J427="","",'12 - Deployments &amp; Config'!J427)</f>
        <v/>
      </c>
      <c r="O422" s="32" t="str">
        <f>IF('12 - Deployments &amp; Config'!K427="","",'12 - Deployments &amp; Config'!K427)</f>
        <v/>
      </c>
      <c r="P422" s="32" t="str">
        <f>IF('12 - Deployments &amp; Config'!L427="","",'12 - Deployments &amp; Config'!L427)</f>
        <v/>
      </c>
      <c r="Q422" s="33"/>
      <c r="R422" s="32" t="str">
        <f>IF('12 - Deployments &amp; Config'!AZ427="","",'12 - Deployments &amp; Config'!AZ427)</f>
        <v/>
      </c>
      <c r="S422" s="32" t="str">
        <f>IF('12 - Deployments &amp; Config'!AY427="","",'12 - Deployments &amp; Config'!AY427)</f>
        <v/>
      </c>
      <c r="T422" s="32" t="str">
        <f>IF('12 - Deployments &amp; Config'!AW427="","",'12 - Deployments &amp; Config'!AW427)</f>
        <v/>
      </c>
      <c r="U422" s="32" t="str">
        <f>IF('12 - Deployments &amp; Config'!AX427="","",'12 - Deployments &amp; Config'!AX427)</f>
        <v/>
      </c>
      <c r="V422" s="32" t="str">
        <f>IF('12 - Deployments &amp; Config'!BB427="","",'12 - Deployments &amp; Config'!BB427)</f>
        <v/>
      </c>
      <c r="W422" s="32" t="str">
        <f>IF('12 - Deployments &amp; Config'!BD427="","",'12 - Deployments &amp; Config'!BD427)</f>
        <v/>
      </c>
      <c r="X422" s="32" t="str">
        <f>IF('12 - Deployments &amp; Config'!BL427="","",'12 - Deployments &amp; Config'!BL427)</f>
        <v/>
      </c>
      <c r="Y422" s="32" t="str">
        <f>IF('12 - Deployments &amp; Config'!BC427="","",'12 - Deployments &amp; Config'!BC427)</f>
        <v/>
      </c>
      <c r="Z422" s="32" t="str">
        <f>IF('12 - Deployments &amp; Config'!P427="","",'12 - Deployments &amp; Config'!P427)</f>
        <v/>
      </c>
      <c r="AA422" s="32" t="str">
        <f>IF('12 - Deployments &amp; Config'!Q427="","",'12 - Deployments &amp; Config'!Q427)</f>
        <v/>
      </c>
    </row>
    <row r="423" spans="1:27">
      <c r="A423" s="33"/>
      <c r="B423" s="33"/>
      <c r="C423" s="32" t="str">
        <f>IF('12 - Deployments &amp; Config'!H428="","",'12 - Deployments &amp; Config'!H428)</f>
        <v/>
      </c>
      <c r="D423" s="32" t="str">
        <f>IF('12 - Deployments &amp; Config'!AF428="","",'12 - Deployments &amp; Config'!AF428)</f>
        <v/>
      </c>
      <c r="E423" s="32" t="str">
        <f>IF('12 - Deployments &amp; Config'!AG428="","",'12 - Deployments &amp; Config'!AG428)</f>
        <v/>
      </c>
      <c r="F423" s="32" t="str">
        <f>IF('12 - Deployments &amp; Config'!AH428="","",'12 - Deployments &amp; Config'!AH428)</f>
        <v/>
      </c>
      <c r="G423" s="32" t="str">
        <f>IF('12 - Deployments &amp; Config'!AI428="","",'12 - Deployments &amp; Config'!AI428)</f>
        <v/>
      </c>
      <c r="H423" s="32" t="str">
        <f>IF('12 - Deployments &amp; Config'!A428="","",'12 - Deployments &amp; Config'!A428)</f>
        <v/>
      </c>
      <c r="I423" s="32" t="str">
        <f>IF('12 - Deployments &amp; Config'!AJ428="","",'12 - Deployments &amp; Config'!AJ428)</f>
        <v/>
      </c>
      <c r="J423" s="32" t="str">
        <f>IF('12 - Deployments &amp; Config'!AK428="","",'12 - Deployments &amp; Config'!AK428)</f>
        <v/>
      </c>
      <c r="K423" s="32" t="str">
        <f>IF('12 - Deployments &amp; Config'!AA428="","",'12 - Deployments &amp; Config'!AA428)</f>
        <v/>
      </c>
      <c r="L423" s="32" t="str">
        <f>IF('12 - Deployments &amp; Config'!I428="","",'12 - Deployments &amp; Config'!I428)</f>
        <v/>
      </c>
      <c r="M423" s="33"/>
      <c r="N423" s="32" t="str">
        <f>IF('12 - Deployments &amp; Config'!J428="","",'12 - Deployments &amp; Config'!J428)</f>
        <v/>
      </c>
      <c r="O423" s="32" t="str">
        <f>IF('12 - Deployments &amp; Config'!K428="","",'12 - Deployments &amp; Config'!K428)</f>
        <v/>
      </c>
      <c r="P423" s="32" t="str">
        <f>IF('12 - Deployments &amp; Config'!L428="","",'12 - Deployments &amp; Config'!L428)</f>
        <v/>
      </c>
      <c r="Q423" s="33"/>
      <c r="R423" s="32" t="str">
        <f>IF('12 - Deployments &amp; Config'!AZ428="","",'12 - Deployments &amp; Config'!AZ428)</f>
        <v/>
      </c>
      <c r="S423" s="32" t="str">
        <f>IF('12 - Deployments &amp; Config'!AY428="","",'12 - Deployments &amp; Config'!AY428)</f>
        <v/>
      </c>
      <c r="T423" s="32" t="str">
        <f>IF('12 - Deployments &amp; Config'!AW428="","",'12 - Deployments &amp; Config'!AW428)</f>
        <v/>
      </c>
      <c r="U423" s="32" t="str">
        <f>IF('12 - Deployments &amp; Config'!AX428="","",'12 - Deployments &amp; Config'!AX428)</f>
        <v/>
      </c>
      <c r="V423" s="32" t="str">
        <f>IF('12 - Deployments &amp; Config'!BB428="","",'12 - Deployments &amp; Config'!BB428)</f>
        <v/>
      </c>
      <c r="W423" s="32" t="str">
        <f>IF('12 - Deployments &amp; Config'!BD428="","",'12 - Deployments &amp; Config'!BD428)</f>
        <v/>
      </c>
      <c r="X423" s="32" t="str">
        <f>IF('12 - Deployments &amp; Config'!BL428="","",'12 - Deployments &amp; Config'!BL428)</f>
        <v/>
      </c>
      <c r="Y423" s="32" t="str">
        <f>IF('12 - Deployments &amp; Config'!BC428="","",'12 - Deployments &amp; Config'!BC428)</f>
        <v/>
      </c>
      <c r="Z423" s="32" t="str">
        <f>IF('12 - Deployments &amp; Config'!P428="","",'12 - Deployments &amp; Config'!P428)</f>
        <v/>
      </c>
      <c r="AA423" s="32" t="str">
        <f>IF('12 - Deployments &amp; Config'!Q428="","",'12 - Deployments &amp; Config'!Q428)</f>
        <v/>
      </c>
    </row>
    <row r="424" spans="1:27">
      <c r="A424" s="33"/>
      <c r="B424" s="33"/>
      <c r="C424" s="32" t="str">
        <f>IF('12 - Deployments &amp; Config'!H429="","",'12 - Deployments &amp; Config'!H429)</f>
        <v/>
      </c>
      <c r="D424" s="32" t="str">
        <f>IF('12 - Deployments &amp; Config'!AF429="","",'12 - Deployments &amp; Config'!AF429)</f>
        <v/>
      </c>
      <c r="E424" s="32" t="str">
        <f>IF('12 - Deployments &amp; Config'!AG429="","",'12 - Deployments &amp; Config'!AG429)</f>
        <v/>
      </c>
      <c r="F424" s="32" t="str">
        <f>IF('12 - Deployments &amp; Config'!AH429="","",'12 - Deployments &amp; Config'!AH429)</f>
        <v/>
      </c>
      <c r="G424" s="32" t="str">
        <f>IF('12 - Deployments &amp; Config'!AI429="","",'12 - Deployments &amp; Config'!AI429)</f>
        <v/>
      </c>
      <c r="H424" s="32" t="str">
        <f>IF('12 - Deployments &amp; Config'!A429="","",'12 - Deployments &amp; Config'!A429)</f>
        <v/>
      </c>
      <c r="I424" s="32" t="str">
        <f>IF('12 - Deployments &amp; Config'!AJ429="","",'12 - Deployments &amp; Config'!AJ429)</f>
        <v/>
      </c>
      <c r="J424" s="32" t="str">
        <f>IF('12 - Deployments &amp; Config'!AK429="","",'12 - Deployments &amp; Config'!AK429)</f>
        <v/>
      </c>
      <c r="K424" s="32" t="str">
        <f>IF('12 - Deployments &amp; Config'!AA429="","",'12 - Deployments &amp; Config'!AA429)</f>
        <v/>
      </c>
      <c r="L424" s="32" t="str">
        <f>IF('12 - Deployments &amp; Config'!I429="","",'12 - Deployments &amp; Config'!I429)</f>
        <v/>
      </c>
      <c r="M424" s="33"/>
      <c r="N424" s="32" t="str">
        <f>IF('12 - Deployments &amp; Config'!J429="","",'12 - Deployments &amp; Config'!J429)</f>
        <v/>
      </c>
      <c r="O424" s="32" t="str">
        <f>IF('12 - Deployments &amp; Config'!K429="","",'12 - Deployments &amp; Config'!K429)</f>
        <v/>
      </c>
      <c r="P424" s="32" t="str">
        <f>IF('12 - Deployments &amp; Config'!L429="","",'12 - Deployments &amp; Config'!L429)</f>
        <v/>
      </c>
      <c r="Q424" s="33"/>
      <c r="R424" s="32" t="str">
        <f>IF('12 - Deployments &amp; Config'!AZ429="","",'12 - Deployments &amp; Config'!AZ429)</f>
        <v/>
      </c>
      <c r="S424" s="32" t="str">
        <f>IF('12 - Deployments &amp; Config'!AY429="","",'12 - Deployments &amp; Config'!AY429)</f>
        <v/>
      </c>
      <c r="T424" s="32" t="str">
        <f>IF('12 - Deployments &amp; Config'!AW429="","",'12 - Deployments &amp; Config'!AW429)</f>
        <v/>
      </c>
      <c r="U424" s="32" t="str">
        <f>IF('12 - Deployments &amp; Config'!AX429="","",'12 - Deployments &amp; Config'!AX429)</f>
        <v/>
      </c>
      <c r="V424" s="32" t="str">
        <f>IF('12 - Deployments &amp; Config'!BB429="","",'12 - Deployments &amp; Config'!BB429)</f>
        <v/>
      </c>
      <c r="W424" s="32" t="str">
        <f>IF('12 - Deployments &amp; Config'!BD429="","",'12 - Deployments &amp; Config'!BD429)</f>
        <v/>
      </c>
      <c r="X424" s="32" t="str">
        <f>IF('12 - Deployments &amp; Config'!BL429="","",'12 - Deployments &amp; Config'!BL429)</f>
        <v/>
      </c>
      <c r="Y424" s="32" t="str">
        <f>IF('12 - Deployments &amp; Config'!BC429="","",'12 - Deployments &amp; Config'!BC429)</f>
        <v/>
      </c>
      <c r="Z424" s="32" t="str">
        <f>IF('12 - Deployments &amp; Config'!P429="","",'12 - Deployments &amp; Config'!P429)</f>
        <v/>
      </c>
      <c r="AA424" s="32" t="str">
        <f>IF('12 - Deployments &amp; Config'!Q429="","",'12 - Deployments &amp; Config'!Q429)</f>
        <v/>
      </c>
    </row>
    <row r="425" spans="1:27">
      <c r="A425" s="33"/>
      <c r="B425" s="33"/>
      <c r="C425" s="32" t="str">
        <f>IF('12 - Deployments &amp; Config'!H430="","",'12 - Deployments &amp; Config'!H430)</f>
        <v/>
      </c>
      <c r="D425" s="32" t="str">
        <f>IF('12 - Deployments &amp; Config'!AF430="","",'12 - Deployments &amp; Config'!AF430)</f>
        <v/>
      </c>
      <c r="E425" s="32" t="str">
        <f>IF('12 - Deployments &amp; Config'!AG430="","",'12 - Deployments &amp; Config'!AG430)</f>
        <v/>
      </c>
      <c r="F425" s="32" t="str">
        <f>IF('12 - Deployments &amp; Config'!AH430="","",'12 - Deployments &amp; Config'!AH430)</f>
        <v/>
      </c>
      <c r="G425" s="32" t="str">
        <f>IF('12 - Deployments &amp; Config'!AI430="","",'12 - Deployments &amp; Config'!AI430)</f>
        <v/>
      </c>
      <c r="H425" s="32" t="str">
        <f>IF('12 - Deployments &amp; Config'!A430="","",'12 - Deployments &amp; Config'!A430)</f>
        <v/>
      </c>
      <c r="I425" s="32" t="str">
        <f>IF('12 - Deployments &amp; Config'!AJ430="","",'12 - Deployments &amp; Config'!AJ430)</f>
        <v/>
      </c>
      <c r="J425" s="32" t="str">
        <f>IF('12 - Deployments &amp; Config'!AK430="","",'12 - Deployments &amp; Config'!AK430)</f>
        <v/>
      </c>
      <c r="K425" s="32" t="str">
        <f>IF('12 - Deployments &amp; Config'!AA430="","",'12 - Deployments &amp; Config'!AA430)</f>
        <v/>
      </c>
      <c r="L425" s="32" t="str">
        <f>IF('12 - Deployments &amp; Config'!I430="","",'12 - Deployments &amp; Config'!I430)</f>
        <v/>
      </c>
      <c r="M425" s="33"/>
      <c r="N425" s="32" t="str">
        <f>IF('12 - Deployments &amp; Config'!J430="","",'12 - Deployments &amp; Config'!J430)</f>
        <v/>
      </c>
      <c r="O425" s="32" t="str">
        <f>IF('12 - Deployments &amp; Config'!K430="","",'12 - Deployments &amp; Config'!K430)</f>
        <v/>
      </c>
      <c r="P425" s="32" t="str">
        <f>IF('12 - Deployments &amp; Config'!L430="","",'12 - Deployments &amp; Config'!L430)</f>
        <v/>
      </c>
      <c r="Q425" s="33"/>
      <c r="R425" s="32" t="str">
        <f>IF('12 - Deployments &amp; Config'!AZ430="","",'12 - Deployments &amp; Config'!AZ430)</f>
        <v/>
      </c>
      <c r="S425" s="32" t="str">
        <f>IF('12 - Deployments &amp; Config'!AY430="","",'12 - Deployments &amp; Config'!AY430)</f>
        <v/>
      </c>
      <c r="T425" s="32" t="str">
        <f>IF('12 - Deployments &amp; Config'!AW430="","",'12 - Deployments &amp; Config'!AW430)</f>
        <v/>
      </c>
      <c r="U425" s="32" t="str">
        <f>IF('12 - Deployments &amp; Config'!AX430="","",'12 - Deployments &amp; Config'!AX430)</f>
        <v/>
      </c>
      <c r="V425" s="32" t="str">
        <f>IF('12 - Deployments &amp; Config'!BB430="","",'12 - Deployments &amp; Config'!BB430)</f>
        <v/>
      </c>
      <c r="W425" s="32" t="str">
        <f>IF('12 - Deployments &amp; Config'!BD430="","",'12 - Deployments &amp; Config'!BD430)</f>
        <v/>
      </c>
      <c r="X425" s="32" t="str">
        <f>IF('12 - Deployments &amp; Config'!BL430="","",'12 - Deployments &amp; Config'!BL430)</f>
        <v/>
      </c>
      <c r="Y425" s="32" t="str">
        <f>IF('12 - Deployments &amp; Config'!BC430="","",'12 - Deployments &amp; Config'!BC430)</f>
        <v/>
      </c>
      <c r="Z425" s="32" t="str">
        <f>IF('12 - Deployments &amp; Config'!P430="","",'12 - Deployments &amp; Config'!P430)</f>
        <v/>
      </c>
      <c r="AA425" s="32" t="str">
        <f>IF('12 - Deployments &amp; Config'!Q430="","",'12 - Deployments &amp; Config'!Q430)</f>
        <v/>
      </c>
    </row>
    <row r="426" spans="1:27">
      <c r="A426" s="33"/>
      <c r="B426" s="33"/>
      <c r="C426" s="32" t="str">
        <f>IF('12 - Deployments &amp; Config'!H431="","",'12 - Deployments &amp; Config'!H431)</f>
        <v/>
      </c>
      <c r="D426" s="32" t="str">
        <f>IF('12 - Deployments &amp; Config'!AF431="","",'12 - Deployments &amp; Config'!AF431)</f>
        <v/>
      </c>
      <c r="E426" s="32" t="str">
        <f>IF('12 - Deployments &amp; Config'!AG431="","",'12 - Deployments &amp; Config'!AG431)</f>
        <v/>
      </c>
      <c r="F426" s="32" t="str">
        <f>IF('12 - Deployments &amp; Config'!AH431="","",'12 - Deployments &amp; Config'!AH431)</f>
        <v/>
      </c>
      <c r="G426" s="32" t="str">
        <f>IF('12 - Deployments &amp; Config'!AI431="","",'12 - Deployments &amp; Config'!AI431)</f>
        <v/>
      </c>
      <c r="H426" s="32" t="str">
        <f>IF('12 - Deployments &amp; Config'!A431="","",'12 - Deployments &amp; Config'!A431)</f>
        <v/>
      </c>
      <c r="I426" s="32" t="str">
        <f>IF('12 - Deployments &amp; Config'!AJ431="","",'12 - Deployments &amp; Config'!AJ431)</f>
        <v/>
      </c>
      <c r="J426" s="32" t="str">
        <f>IF('12 - Deployments &amp; Config'!AK431="","",'12 - Deployments &amp; Config'!AK431)</f>
        <v/>
      </c>
      <c r="K426" s="32" t="str">
        <f>IF('12 - Deployments &amp; Config'!AA431="","",'12 - Deployments &amp; Config'!AA431)</f>
        <v/>
      </c>
      <c r="L426" s="32" t="str">
        <f>IF('12 - Deployments &amp; Config'!I431="","",'12 - Deployments &amp; Config'!I431)</f>
        <v/>
      </c>
      <c r="M426" s="33"/>
      <c r="N426" s="32" t="str">
        <f>IF('12 - Deployments &amp; Config'!J431="","",'12 - Deployments &amp; Config'!J431)</f>
        <v/>
      </c>
      <c r="O426" s="32" t="str">
        <f>IF('12 - Deployments &amp; Config'!K431="","",'12 - Deployments &amp; Config'!K431)</f>
        <v/>
      </c>
      <c r="P426" s="32" t="str">
        <f>IF('12 - Deployments &amp; Config'!L431="","",'12 - Deployments &amp; Config'!L431)</f>
        <v/>
      </c>
      <c r="Q426" s="33"/>
      <c r="R426" s="32" t="str">
        <f>IF('12 - Deployments &amp; Config'!AZ431="","",'12 - Deployments &amp; Config'!AZ431)</f>
        <v/>
      </c>
      <c r="S426" s="32" t="str">
        <f>IF('12 - Deployments &amp; Config'!AY431="","",'12 - Deployments &amp; Config'!AY431)</f>
        <v/>
      </c>
      <c r="T426" s="32" t="str">
        <f>IF('12 - Deployments &amp; Config'!AW431="","",'12 - Deployments &amp; Config'!AW431)</f>
        <v/>
      </c>
      <c r="U426" s="32" t="str">
        <f>IF('12 - Deployments &amp; Config'!AX431="","",'12 - Deployments &amp; Config'!AX431)</f>
        <v/>
      </c>
      <c r="V426" s="32" t="str">
        <f>IF('12 - Deployments &amp; Config'!BB431="","",'12 - Deployments &amp; Config'!BB431)</f>
        <v/>
      </c>
      <c r="W426" s="32" t="str">
        <f>IF('12 - Deployments &amp; Config'!BD431="","",'12 - Deployments &amp; Config'!BD431)</f>
        <v/>
      </c>
      <c r="X426" s="32" t="str">
        <f>IF('12 - Deployments &amp; Config'!BL431="","",'12 - Deployments &amp; Config'!BL431)</f>
        <v/>
      </c>
      <c r="Y426" s="32" t="str">
        <f>IF('12 - Deployments &amp; Config'!BC431="","",'12 - Deployments &amp; Config'!BC431)</f>
        <v/>
      </c>
      <c r="Z426" s="32" t="str">
        <f>IF('12 - Deployments &amp; Config'!P431="","",'12 - Deployments &amp; Config'!P431)</f>
        <v/>
      </c>
      <c r="AA426" s="32" t="str">
        <f>IF('12 - Deployments &amp; Config'!Q431="","",'12 - Deployments &amp; Config'!Q431)</f>
        <v/>
      </c>
    </row>
    <row r="427" spans="1:27">
      <c r="A427" s="33"/>
      <c r="B427" s="33"/>
      <c r="C427" s="32" t="str">
        <f>IF('12 - Deployments &amp; Config'!H432="","",'12 - Deployments &amp; Config'!H432)</f>
        <v/>
      </c>
      <c r="D427" s="32" t="str">
        <f>IF('12 - Deployments &amp; Config'!AF432="","",'12 - Deployments &amp; Config'!AF432)</f>
        <v/>
      </c>
      <c r="E427" s="32" t="str">
        <f>IF('12 - Deployments &amp; Config'!AG432="","",'12 - Deployments &amp; Config'!AG432)</f>
        <v/>
      </c>
      <c r="F427" s="32" t="str">
        <f>IF('12 - Deployments &amp; Config'!AH432="","",'12 - Deployments &amp; Config'!AH432)</f>
        <v/>
      </c>
      <c r="G427" s="32" t="str">
        <f>IF('12 - Deployments &amp; Config'!AI432="","",'12 - Deployments &amp; Config'!AI432)</f>
        <v/>
      </c>
      <c r="H427" s="32" t="str">
        <f>IF('12 - Deployments &amp; Config'!A432="","",'12 - Deployments &amp; Config'!A432)</f>
        <v/>
      </c>
      <c r="I427" s="32" t="str">
        <f>IF('12 - Deployments &amp; Config'!AJ432="","",'12 - Deployments &amp; Config'!AJ432)</f>
        <v/>
      </c>
      <c r="J427" s="32" t="str">
        <f>IF('12 - Deployments &amp; Config'!AK432="","",'12 - Deployments &amp; Config'!AK432)</f>
        <v/>
      </c>
      <c r="K427" s="32" t="str">
        <f>IF('12 - Deployments &amp; Config'!AA432="","",'12 - Deployments &amp; Config'!AA432)</f>
        <v/>
      </c>
      <c r="L427" s="32" t="str">
        <f>IF('12 - Deployments &amp; Config'!I432="","",'12 - Deployments &amp; Config'!I432)</f>
        <v/>
      </c>
      <c r="M427" s="33"/>
      <c r="N427" s="32" t="str">
        <f>IF('12 - Deployments &amp; Config'!J432="","",'12 - Deployments &amp; Config'!J432)</f>
        <v/>
      </c>
      <c r="O427" s="32" t="str">
        <f>IF('12 - Deployments &amp; Config'!K432="","",'12 - Deployments &amp; Config'!K432)</f>
        <v/>
      </c>
      <c r="P427" s="32" t="str">
        <f>IF('12 - Deployments &amp; Config'!L432="","",'12 - Deployments &amp; Config'!L432)</f>
        <v/>
      </c>
      <c r="Q427" s="33"/>
      <c r="R427" s="32" t="str">
        <f>IF('12 - Deployments &amp; Config'!AZ432="","",'12 - Deployments &amp; Config'!AZ432)</f>
        <v/>
      </c>
      <c r="S427" s="32" t="str">
        <f>IF('12 - Deployments &amp; Config'!AY432="","",'12 - Deployments &amp; Config'!AY432)</f>
        <v/>
      </c>
      <c r="T427" s="32" t="str">
        <f>IF('12 - Deployments &amp; Config'!AW432="","",'12 - Deployments &amp; Config'!AW432)</f>
        <v/>
      </c>
      <c r="U427" s="32" t="str">
        <f>IF('12 - Deployments &amp; Config'!AX432="","",'12 - Deployments &amp; Config'!AX432)</f>
        <v/>
      </c>
      <c r="V427" s="32" t="str">
        <f>IF('12 - Deployments &amp; Config'!BB432="","",'12 - Deployments &amp; Config'!BB432)</f>
        <v/>
      </c>
      <c r="W427" s="32" t="str">
        <f>IF('12 - Deployments &amp; Config'!BD432="","",'12 - Deployments &amp; Config'!BD432)</f>
        <v/>
      </c>
      <c r="X427" s="32" t="str">
        <f>IF('12 - Deployments &amp; Config'!BL432="","",'12 - Deployments &amp; Config'!BL432)</f>
        <v/>
      </c>
      <c r="Y427" s="32" t="str">
        <f>IF('12 - Deployments &amp; Config'!BC432="","",'12 - Deployments &amp; Config'!BC432)</f>
        <v/>
      </c>
      <c r="Z427" s="32" t="str">
        <f>IF('12 - Deployments &amp; Config'!P432="","",'12 - Deployments &amp; Config'!P432)</f>
        <v/>
      </c>
      <c r="AA427" s="32" t="str">
        <f>IF('12 - Deployments &amp; Config'!Q432="","",'12 - Deployments &amp; Config'!Q432)</f>
        <v/>
      </c>
    </row>
    <row r="428" spans="1:27">
      <c r="A428" s="33"/>
      <c r="B428" s="33"/>
      <c r="C428" s="32" t="str">
        <f>IF('12 - Deployments &amp; Config'!H433="","",'12 - Deployments &amp; Config'!H433)</f>
        <v/>
      </c>
      <c r="D428" s="32" t="str">
        <f>IF('12 - Deployments &amp; Config'!AF433="","",'12 - Deployments &amp; Config'!AF433)</f>
        <v/>
      </c>
      <c r="E428" s="32" t="str">
        <f>IF('12 - Deployments &amp; Config'!AG433="","",'12 - Deployments &amp; Config'!AG433)</f>
        <v/>
      </c>
      <c r="F428" s="32" t="str">
        <f>IF('12 - Deployments &amp; Config'!AH433="","",'12 - Deployments &amp; Config'!AH433)</f>
        <v/>
      </c>
      <c r="G428" s="32" t="str">
        <f>IF('12 - Deployments &amp; Config'!AI433="","",'12 - Deployments &amp; Config'!AI433)</f>
        <v/>
      </c>
      <c r="H428" s="32" t="str">
        <f>IF('12 - Deployments &amp; Config'!A433="","",'12 - Deployments &amp; Config'!A433)</f>
        <v/>
      </c>
      <c r="I428" s="32" t="str">
        <f>IF('12 - Deployments &amp; Config'!AJ433="","",'12 - Deployments &amp; Config'!AJ433)</f>
        <v/>
      </c>
      <c r="J428" s="32" t="str">
        <f>IF('12 - Deployments &amp; Config'!AK433="","",'12 - Deployments &amp; Config'!AK433)</f>
        <v/>
      </c>
      <c r="K428" s="32" t="str">
        <f>IF('12 - Deployments &amp; Config'!AA433="","",'12 - Deployments &amp; Config'!AA433)</f>
        <v/>
      </c>
      <c r="L428" s="32" t="str">
        <f>IF('12 - Deployments &amp; Config'!I433="","",'12 - Deployments &amp; Config'!I433)</f>
        <v/>
      </c>
      <c r="M428" s="33"/>
      <c r="N428" s="32" t="str">
        <f>IF('12 - Deployments &amp; Config'!J433="","",'12 - Deployments &amp; Config'!J433)</f>
        <v/>
      </c>
      <c r="O428" s="32" t="str">
        <f>IF('12 - Deployments &amp; Config'!K433="","",'12 - Deployments &amp; Config'!K433)</f>
        <v/>
      </c>
      <c r="P428" s="32" t="str">
        <f>IF('12 - Deployments &amp; Config'!L433="","",'12 - Deployments &amp; Config'!L433)</f>
        <v/>
      </c>
      <c r="Q428" s="33"/>
      <c r="R428" s="32" t="str">
        <f>IF('12 - Deployments &amp; Config'!AZ433="","",'12 - Deployments &amp; Config'!AZ433)</f>
        <v/>
      </c>
      <c r="S428" s="32" t="str">
        <f>IF('12 - Deployments &amp; Config'!AY433="","",'12 - Deployments &amp; Config'!AY433)</f>
        <v/>
      </c>
      <c r="T428" s="32" t="str">
        <f>IF('12 - Deployments &amp; Config'!AW433="","",'12 - Deployments &amp; Config'!AW433)</f>
        <v/>
      </c>
      <c r="U428" s="32" t="str">
        <f>IF('12 - Deployments &amp; Config'!AX433="","",'12 - Deployments &amp; Config'!AX433)</f>
        <v/>
      </c>
      <c r="V428" s="32" t="str">
        <f>IF('12 - Deployments &amp; Config'!BB433="","",'12 - Deployments &amp; Config'!BB433)</f>
        <v/>
      </c>
      <c r="W428" s="32" t="str">
        <f>IF('12 - Deployments &amp; Config'!BD433="","",'12 - Deployments &amp; Config'!BD433)</f>
        <v/>
      </c>
      <c r="X428" s="32" t="str">
        <f>IF('12 - Deployments &amp; Config'!BL433="","",'12 - Deployments &amp; Config'!BL433)</f>
        <v/>
      </c>
      <c r="Y428" s="32" t="str">
        <f>IF('12 - Deployments &amp; Config'!BC433="","",'12 - Deployments &amp; Config'!BC433)</f>
        <v/>
      </c>
      <c r="Z428" s="32" t="str">
        <f>IF('12 - Deployments &amp; Config'!P433="","",'12 - Deployments &amp; Config'!P433)</f>
        <v/>
      </c>
      <c r="AA428" s="32" t="str">
        <f>IF('12 - Deployments &amp; Config'!Q433="","",'12 - Deployments &amp; Config'!Q433)</f>
        <v/>
      </c>
    </row>
    <row r="429" spans="1:27">
      <c r="A429" s="33"/>
      <c r="B429" s="33"/>
      <c r="C429" s="32" t="str">
        <f>IF('12 - Deployments &amp; Config'!H434="","",'12 - Deployments &amp; Config'!H434)</f>
        <v/>
      </c>
      <c r="D429" s="32" t="str">
        <f>IF('12 - Deployments &amp; Config'!AF434="","",'12 - Deployments &amp; Config'!AF434)</f>
        <v/>
      </c>
      <c r="E429" s="32" t="str">
        <f>IF('12 - Deployments &amp; Config'!AG434="","",'12 - Deployments &amp; Config'!AG434)</f>
        <v/>
      </c>
      <c r="F429" s="32" t="str">
        <f>IF('12 - Deployments &amp; Config'!AH434="","",'12 - Deployments &amp; Config'!AH434)</f>
        <v/>
      </c>
      <c r="G429" s="32" t="str">
        <f>IF('12 - Deployments &amp; Config'!AI434="","",'12 - Deployments &amp; Config'!AI434)</f>
        <v/>
      </c>
      <c r="H429" s="32" t="str">
        <f>IF('12 - Deployments &amp; Config'!A434="","",'12 - Deployments &amp; Config'!A434)</f>
        <v/>
      </c>
      <c r="I429" s="32" t="str">
        <f>IF('12 - Deployments &amp; Config'!AJ434="","",'12 - Deployments &amp; Config'!AJ434)</f>
        <v/>
      </c>
      <c r="J429" s="32" t="str">
        <f>IF('12 - Deployments &amp; Config'!AK434="","",'12 - Deployments &amp; Config'!AK434)</f>
        <v/>
      </c>
      <c r="K429" s="32" t="str">
        <f>IF('12 - Deployments &amp; Config'!AA434="","",'12 - Deployments &amp; Config'!AA434)</f>
        <v/>
      </c>
      <c r="L429" s="32" t="str">
        <f>IF('12 - Deployments &amp; Config'!I434="","",'12 - Deployments &amp; Config'!I434)</f>
        <v/>
      </c>
      <c r="M429" s="33"/>
      <c r="N429" s="32" t="str">
        <f>IF('12 - Deployments &amp; Config'!J434="","",'12 - Deployments &amp; Config'!J434)</f>
        <v/>
      </c>
      <c r="O429" s="32" t="str">
        <f>IF('12 - Deployments &amp; Config'!K434="","",'12 - Deployments &amp; Config'!K434)</f>
        <v/>
      </c>
      <c r="P429" s="32" t="str">
        <f>IF('12 - Deployments &amp; Config'!L434="","",'12 - Deployments &amp; Config'!L434)</f>
        <v/>
      </c>
      <c r="Q429" s="33"/>
      <c r="R429" s="32" t="str">
        <f>IF('12 - Deployments &amp; Config'!AZ434="","",'12 - Deployments &amp; Config'!AZ434)</f>
        <v/>
      </c>
      <c r="S429" s="32" t="str">
        <f>IF('12 - Deployments &amp; Config'!AY434="","",'12 - Deployments &amp; Config'!AY434)</f>
        <v/>
      </c>
      <c r="T429" s="32" t="str">
        <f>IF('12 - Deployments &amp; Config'!AW434="","",'12 - Deployments &amp; Config'!AW434)</f>
        <v/>
      </c>
      <c r="U429" s="32" t="str">
        <f>IF('12 - Deployments &amp; Config'!AX434="","",'12 - Deployments &amp; Config'!AX434)</f>
        <v/>
      </c>
      <c r="V429" s="32" t="str">
        <f>IF('12 - Deployments &amp; Config'!BB434="","",'12 - Deployments &amp; Config'!BB434)</f>
        <v/>
      </c>
      <c r="W429" s="32" t="str">
        <f>IF('12 - Deployments &amp; Config'!BD434="","",'12 - Deployments &amp; Config'!BD434)</f>
        <v/>
      </c>
      <c r="X429" s="32" t="str">
        <f>IF('12 - Deployments &amp; Config'!BL434="","",'12 - Deployments &amp; Config'!BL434)</f>
        <v/>
      </c>
      <c r="Y429" s="32" t="str">
        <f>IF('12 - Deployments &amp; Config'!BC434="","",'12 - Deployments &amp; Config'!BC434)</f>
        <v/>
      </c>
      <c r="Z429" s="32" t="str">
        <f>IF('12 - Deployments &amp; Config'!P434="","",'12 - Deployments &amp; Config'!P434)</f>
        <v/>
      </c>
      <c r="AA429" s="32" t="str">
        <f>IF('12 - Deployments &amp; Config'!Q434="","",'12 - Deployments &amp; Config'!Q434)</f>
        <v/>
      </c>
    </row>
    <row r="430" spans="1:27">
      <c r="A430" s="33"/>
      <c r="B430" s="33"/>
      <c r="C430" s="32" t="str">
        <f>IF('12 - Deployments &amp; Config'!H435="","",'12 - Deployments &amp; Config'!H435)</f>
        <v/>
      </c>
      <c r="D430" s="32" t="str">
        <f>IF('12 - Deployments &amp; Config'!AF435="","",'12 - Deployments &amp; Config'!AF435)</f>
        <v/>
      </c>
      <c r="E430" s="32" t="str">
        <f>IF('12 - Deployments &amp; Config'!AG435="","",'12 - Deployments &amp; Config'!AG435)</f>
        <v/>
      </c>
      <c r="F430" s="32" t="str">
        <f>IF('12 - Deployments &amp; Config'!AH435="","",'12 - Deployments &amp; Config'!AH435)</f>
        <v/>
      </c>
      <c r="G430" s="32" t="str">
        <f>IF('12 - Deployments &amp; Config'!AI435="","",'12 - Deployments &amp; Config'!AI435)</f>
        <v/>
      </c>
      <c r="H430" s="32" t="str">
        <f>IF('12 - Deployments &amp; Config'!A435="","",'12 - Deployments &amp; Config'!A435)</f>
        <v/>
      </c>
      <c r="I430" s="32" t="str">
        <f>IF('12 - Deployments &amp; Config'!AJ435="","",'12 - Deployments &amp; Config'!AJ435)</f>
        <v/>
      </c>
      <c r="J430" s="32" t="str">
        <f>IF('12 - Deployments &amp; Config'!AK435="","",'12 - Deployments &amp; Config'!AK435)</f>
        <v/>
      </c>
      <c r="K430" s="32" t="str">
        <f>IF('12 - Deployments &amp; Config'!AA435="","",'12 - Deployments &amp; Config'!AA435)</f>
        <v/>
      </c>
      <c r="L430" s="32" t="str">
        <f>IF('12 - Deployments &amp; Config'!I435="","",'12 - Deployments &amp; Config'!I435)</f>
        <v/>
      </c>
      <c r="M430" s="33"/>
      <c r="N430" s="32" t="str">
        <f>IF('12 - Deployments &amp; Config'!J435="","",'12 - Deployments &amp; Config'!J435)</f>
        <v/>
      </c>
      <c r="O430" s="32" t="str">
        <f>IF('12 - Deployments &amp; Config'!K435="","",'12 - Deployments &amp; Config'!K435)</f>
        <v/>
      </c>
      <c r="P430" s="32" t="str">
        <f>IF('12 - Deployments &amp; Config'!L435="","",'12 - Deployments &amp; Config'!L435)</f>
        <v/>
      </c>
      <c r="Q430" s="33"/>
      <c r="R430" s="32" t="str">
        <f>IF('12 - Deployments &amp; Config'!AZ435="","",'12 - Deployments &amp; Config'!AZ435)</f>
        <v/>
      </c>
      <c r="S430" s="32" t="str">
        <f>IF('12 - Deployments &amp; Config'!AY435="","",'12 - Deployments &amp; Config'!AY435)</f>
        <v/>
      </c>
      <c r="T430" s="32" t="str">
        <f>IF('12 - Deployments &amp; Config'!AW435="","",'12 - Deployments &amp; Config'!AW435)</f>
        <v/>
      </c>
      <c r="U430" s="32" t="str">
        <f>IF('12 - Deployments &amp; Config'!AX435="","",'12 - Deployments &amp; Config'!AX435)</f>
        <v/>
      </c>
      <c r="V430" s="32" t="str">
        <f>IF('12 - Deployments &amp; Config'!BB435="","",'12 - Deployments &amp; Config'!BB435)</f>
        <v/>
      </c>
      <c r="W430" s="32" t="str">
        <f>IF('12 - Deployments &amp; Config'!BD435="","",'12 - Deployments &amp; Config'!BD435)</f>
        <v/>
      </c>
      <c r="X430" s="32" t="str">
        <f>IF('12 - Deployments &amp; Config'!BL435="","",'12 - Deployments &amp; Config'!BL435)</f>
        <v/>
      </c>
      <c r="Y430" s="32" t="str">
        <f>IF('12 - Deployments &amp; Config'!BC435="","",'12 - Deployments &amp; Config'!BC435)</f>
        <v/>
      </c>
      <c r="Z430" s="32" t="str">
        <f>IF('12 - Deployments &amp; Config'!P435="","",'12 - Deployments &amp; Config'!P435)</f>
        <v/>
      </c>
      <c r="AA430" s="32" t="str">
        <f>IF('12 - Deployments &amp; Config'!Q435="","",'12 - Deployments &amp; Config'!Q435)</f>
        <v/>
      </c>
    </row>
    <row r="431" spans="1:27">
      <c r="A431" s="33"/>
      <c r="B431" s="33"/>
      <c r="C431" s="32" t="str">
        <f>IF('12 - Deployments &amp; Config'!H436="","",'12 - Deployments &amp; Config'!H436)</f>
        <v/>
      </c>
      <c r="D431" s="32" t="str">
        <f>IF('12 - Deployments &amp; Config'!AF436="","",'12 - Deployments &amp; Config'!AF436)</f>
        <v/>
      </c>
      <c r="E431" s="32" t="str">
        <f>IF('12 - Deployments &amp; Config'!AG436="","",'12 - Deployments &amp; Config'!AG436)</f>
        <v/>
      </c>
      <c r="F431" s="32" t="str">
        <f>IF('12 - Deployments &amp; Config'!AH436="","",'12 - Deployments &amp; Config'!AH436)</f>
        <v/>
      </c>
      <c r="G431" s="32" t="str">
        <f>IF('12 - Deployments &amp; Config'!AI436="","",'12 - Deployments &amp; Config'!AI436)</f>
        <v/>
      </c>
      <c r="H431" s="32" t="str">
        <f>IF('12 - Deployments &amp; Config'!A436="","",'12 - Deployments &amp; Config'!A436)</f>
        <v/>
      </c>
      <c r="I431" s="32" t="str">
        <f>IF('12 - Deployments &amp; Config'!AJ436="","",'12 - Deployments &amp; Config'!AJ436)</f>
        <v/>
      </c>
      <c r="J431" s="32" t="str">
        <f>IF('12 - Deployments &amp; Config'!AK436="","",'12 - Deployments &amp; Config'!AK436)</f>
        <v/>
      </c>
      <c r="K431" s="32" t="str">
        <f>IF('12 - Deployments &amp; Config'!AA436="","",'12 - Deployments &amp; Config'!AA436)</f>
        <v/>
      </c>
      <c r="L431" s="32" t="str">
        <f>IF('12 - Deployments &amp; Config'!I436="","",'12 - Deployments &amp; Config'!I436)</f>
        <v/>
      </c>
      <c r="M431" s="33"/>
      <c r="N431" s="32" t="str">
        <f>IF('12 - Deployments &amp; Config'!J436="","",'12 - Deployments &amp; Config'!J436)</f>
        <v/>
      </c>
      <c r="O431" s="32" t="str">
        <f>IF('12 - Deployments &amp; Config'!K436="","",'12 - Deployments &amp; Config'!K436)</f>
        <v/>
      </c>
      <c r="P431" s="32" t="str">
        <f>IF('12 - Deployments &amp; Config'!L436="","",'12 - Deployments &amp; Config'!L436)</f>
        <v/>
      </c>
      <c r="Q431" s="33"/>
      <c r="R431" s="32" t="str">
        <f>IF('12 - Deployments &amp; Config'!AZ436="","",'12 - Deployments &amp; Config'!AZ436)</f>
        <v/>
      </c>
      <c r="S431" s="32" t="str">
        <f>IF('12 - Deployments &amp; Config'!AY436="","",'12 - Deployments &amp; Config'!AY436)</f>
        <v/>
      </c>
      <c r="T431" s="32" t="str">
        <f>IF('12 - Deployments &amp; Config'!AW436="","",'12 - Deployments &amp; Config'!AW436)</f>
        <v/>
      </c>
      <c r="U431" s="32" t="str">
        <f>IF('12 - Deployments &amp; Config'!AX436="","",'12 - Deployments &amp; Config'!AX436)</f>
        <v/>
      </c>
      <c r="V431" s="32" t="str">
        <f>IF('12 - Deployments &amp; Config'!BB436="","",'12 - Deployments &amp; Config'!BB436)</f>
        <v/>
      </c>
      <c r="W431" s="32" t="str">
        <f>IF('12 - Deployments &amp; Config'!BD436="","",'12 - Deployments &amp; Config'!BD436)</f>
        <v/>
      </c>
      <c r="X431" s="32" t="str">
        <f>IF('12 - Deployments &amp; Config'!BL436="","",'12 - Deployments &amp; Config'!BL436)</f>
        <v/>
      </c>
      <c r="Y431" s="32" t="str">
        <f>IF('12 - Deployments &amp; Config'!BC436="","",'12 - Deployments &amp; Config'!BC436)</f>
        <v/>
      </c>
      <c r="Z431" s="32" t="str">
        <f>IF('12 - Deployments &amp; Config'!P436="","",'12 - Deployments &amp; Config'!P436)</f>
        <v/>
      </c>
      <c r="AA431" s="32" t="str">
        <f>IF('12 - Deployments &amp; Config'!Q436="","",'12 - Deployments &amp; Config'!Q436)</f>
        <v/>
      </c>
    </row>
    <row r="432" spans="1:27">
      <c r="A432" s="33"/>
      <c r="B432" s="33"/>
      <c r="C432" s="32" t="str">
        <f>IF('12 - Deployments &amp; Config'!H437="","",'12 - Deployments &amp; Config'!H437)</f>
        <v/>
      </c>
      <c r="D432" s="32" t="str">
        <f>IF('12 - Deployments &amp; Config'!AF437="","",'12 - Deployments &amp; Config'!AF437)</f>
        <v/>
      </c>
      <c r="E432" s="32" t="str">
        <f>IF('12 - Deployments &amp; Config'!AG437="","",'12 - Deployments &amp; Config'!AG437)</f>
        <v/>
      </c>
      <c r="F432" s="32" t="str">
        <f>IF('12 - Deployments &amp; Config'!AH437="","",'12 - Deployments &amp; Config'!AH437)</f>
        <v/>
      </c>
      <c r="G432" s="32" t="str">
        <f>IF('12 - Deployments &amp; Config'!AI437="","",'12 - Deployments &amp; Config'!AI437)</f>
        <v/>
      </c>
      <c r="H432" s="32" t="str">
        <f>IF('12 - Deployments &amp; Config'!A437="","",'12 - Deployments &amp; Config'!A437)</f>
        <v/>
      </c>
      <c r="I432" s="32" t="str">
        <f>IF('12 - Deployments &amp; Config'!AJ437="","",'12 - Deployments &amp; Config'!AJ437)</f>
        <v/>
      </c>
      <c r="J432" s="32" t="str">
        <f>IF('12 - Deployments &amp; Config'!AK437="","",'12 - Deployments &amp; Config'!AK437)</f>
        <v/>
      </c>
      <c r="K432" s="32" t="str">
        <f>IF('12 - Deployments &amp; Config'!AA437="","",'12 - Deployments &amp; Config'!AA437)</f>
        <v/>
      </c>
      <c r="L432" s="32" t="str">
        <f>IF('12 - Deployments &amp; Config'!I437="","",'12 - Deployments &amp; Config'!I437)</f>
        <v/>
      </c>
      <c r="M432" s="33"/>
      <c r="N432" s="32" t="str">
        <f>IF('12 - Deployments &amp; Config'!J437="","",'12 - Deployments &amp; Config'!J437)</f>
        <v/>
      </c>
      <c r="O432" s="32" t="str">
        <f>IF('12 - Deployments &amp; Config'!K437="","",'12 - Deployments &amp; Config'!K437)</f>
        <v/>
      </c>
      <c r="P432" s="32" t="str">
        <f>IF('12 - Deployments &amp; Config'!L437="","",'12 - Deployments &amp; Config'!L437)</f>
        <v/>
      </c>
      <c r="Q432" s="33"/>
      <c r="R432" s="32" t="str">
        <f>IF('12 - Deployments &amp; Config'!AZ437="","",'12 - Deployments &amp; Config'!AZ437)</f>
        <v/>
      </c>
      <c r="S432" s="32" t="str">
        <f>IF('12 - Deployments &amp; Config'!AY437="","",'12 - Deployments &amp; Config'!AY437)</f>
        <v/>
      </c>
      <c r="T432" s="32" t="str">
        <f>IF('12 - Deployments &amp; Config'!AW437="","",'12 - Deployments &amp; Config'!AW437)</f>
        <v/>
      </c>
      <c r="U432" s="32" t="str">
        <f>IF('12 - Deployments &amp; Config'!AX437="","",'12 - Deployments &amp; Config'!AX437)</f>
        <v/>
      </c>
      <c r="V432" s="32" t="str">
        <f>IF('12 - Deployments &amp; Config'!BB437="","",'12 - Deployments &amp; Config'!BB437)</f>
        <v/>
      </c>
      <c r="W432" s="32" t="str">
        <f>IF('12 - Deployments &amp; Config'!BD437="","",'12 - Deployments &amp; Config'!BD437)</f>
        <v/>
      </c>
      <c r="X432" s="32" t="str">
        <f>IF('12 - Deployments &amp; Config'!BL437="","",'12 - Deployments &amp; Config'!BL437)</f>
        <v/>
      </c>
      <c r="Y432" s="32" t="str">
        <f>IF('12 - Deployments &amp; Config'!BC437="","",'12 - Deployments &amp; Config'!BC437)</f>
        <v/>
      </c>
      <c r="Z432" s="32" t="str">
        <f>IF('12 - Deployments &amp; Config'!P437="","",'12 - Deployments &amp; Config'!P437)</f>
        <v/>
      </c>
      <c r="AA432" s="32" t="str">
        <f>IF('12 - Deployments &amp; Config'!Q437="","",'12 - Deployments &amp; Config'!Q437)</f>
        <v/>
      </c>
    </row>
    <row r="433" spans="1:27">
      <c r="A433" s="33"/>
      <c r="B433" s="33"/>
      <c r="C433" s="32" t="str">
        <f>IF('12 - Deployments &amp; Config'!H438="","",'12 - Deployments &amp; Config'!H438)</f>
        <v/>
      </c>
      <c r="D433" s="32" t="str">
        <f>IF('12 - Deployments &amp; Config'!AF438="","",'12 - Deployments &amp; Config'!AF438)</f>
        <v/>
      </c>
      <c r="E433" s="32" t="str">
        <f>IF('12 - Deployments &amp; Config'!AG438="","",'12 - Deployments &amp; Config'!AG438)</f>
        <v/>
      </c>
      <c r="F433" s="32" t="str">
        <f>IF('12 - Deployments &amp; Config'!AH438="","",'12 - Deployments &amp; Config'!AH438)</f>
        <v/>
      </c>
      <c r="G433" s="32" t="str">
        <f>IF('12 - Deployments &amp; Config'!AI438="","",'12 - Deployments &amp; Config'!AI438)</f>
        <v/>
      </c>
      <c r="H433" s="32" t="str">
        <f>IF('12 - Deployments &amp; Config'!A438="","",'12 - Deployments &amp; Config'!A438)</f>
        <v/>
      </c>
      <c r="I433" s="32" t="str">
        <f>IF('12 - Deployments &amp; Config'!AJ438="","",'12 - Deployments &amp; Config'!AJ438)</f>
        <v/>
      </c>
      <c r="J433" s="32" t="str">
        <f>IF('12 - Deployments &amp; Config'!AK438="","",'12 - Deployments &amp; Config'!AK438)</f>
        <v/>
      </c>
      <c r="K433" s="32" t="str">
        <f>IF('12 - Deployments &amp; Config'!AA438="","",'12 - Deployments &amp; Config'!AA438)</f>
        <v/>
      </c>
      <c r="L433" s="32" t="str">
        <f>IF('12 - Deployments &amp; Config'!I438="","",'12 - Deployments &amp; Config'!I438)</f>
        <v/>
      </c>
      <c r="M433" s="33"/>
      <c r="N433" s="32" t="str">
        <f>IF('12 - Deployments &amp; Config'!J438="","",'12 - Deployments &amp; Config'!J438)</f>
        <v/>
      </c>
      <c r="O433" s="32" t="str">
        <f>IF('12 - Deployments &amp; Config'!K438="","",'12 - Deployments &amp; Config'!K438)</f>
        <v/>
      </c>
      <c r="P433" s="32" t="str">
        <f>IF('12 - Deployments &amp; Config'!L438="","",'12 - Deployments &amp; Config'!L438)</f>
        <v/>
      </c>
      <c r="Q433" s="33"/>
      <c r="R433" s="32" t="str">
        <f>IF('12 - Deployments &amp; Config'!AZ438="","",'12 - Deployments &amp; Config'!AZ438)</f>
        <v/>
      </c>
      <c r="S433" s="32" t="str">
        <f>IF('12 - Deployments &amp; Config'!AY438="","",'12 - Deployments &amp; Config'!AY438)</f>
        <v/>
      </c>
      <c r="T433" s="32" t="str">
        <f>IF('12 - Deployments &amp; Config'!AW438="","",'12 - Deployments &amp; Config'!AW438)</f>
        <v/>
      </c>
      <c r="U433" s="32" t="str">
        <f>IF('12 - Deployments &amp; Config'!AX438="","",'12 - Deployments &amp; Config'!AX438)</f>
        <v/>
      </c>
      <c r="V433" s="32" t="str">
        <f>IF('12 - Deployments &amp; Config'!BB438="","",'12 - Deployments &amp; Config'!BB438)</f>
        <v/>
      </c>
      <c r="W433" s="32" t="str">
        <f>IF('12 - Deployments &amp; Config'!BD438="","",'12 - Deployments &amp; Config'!BD438)</f>
        <v/>
      </c>
      <c r="X433" s="32" t="str">
        <f>IF('12 - Deployments &amp; Config'!BL438="","",'12 - Deployments &amp; Config'!BL438)</f>
        <v/>
      </c>
      <c r="Y433" s="32" t="str">
        <f>IF('12 - Deployments &amp; Config'!BC438="","",'12 - Deployments &amp; Config'!BC438)</f>
        <v/>
      </c>
      <c r="Z433" s="32" t="str">
        <f>IF('12 - Deployments &amp; Config'!P438="","",'12 - Deployments &amp; Config'!P438)</f>
        <v/>
      </c>
      <c r="AA433" s="32" t="str">
        <f>IF('12 - Deployments &amp; Config'!Q438="","",'12 - Deployments &amp; Config'!Q438)</f>
        <v/>
      </c>
    </row>
    <row r="434" spans="1:27">
      <c r="A434" s="33"/>
      <c r="B434" s="33"/>
      <c r="C434" s="32" t="str">
        <f>IF('12 - Deployments &amp; Config'!H439="","",'12 - Deployments &amp; Config'!H439)</f>
        <v/>
      </c>
      <c r="D434" s="32" t="str">
        <f>IF('12 - Deployments &amp; Config'!AF439="","",'12 - Deployments &amp; Config'!AF439)</f>
        <v/>
      </c>
      <c r="E434" s="32" t="str">
        <f>IF('12 - Deployments &amp; Config'!AG439="","",'12 - Deployments &amp; Config'!AG439)</f>
        <v/>
      </c>
      <c r="F434" s="32" t="str">
        <f>IF('12 - Deployments &amp; Config'!AH439="","",'12 - Deployments &amp; Config'!AH439)</f>
        <v/>
      </c>
      <c r="G434" s="32" t="str">
        <f>IF('12 - Deployments &amp; Config'!AI439="","",'12 - Deployments &amp; Config'!AI439)</f>
        <v/>
      </c>
      <c r="H434" s="32" t="str">
        <f>IF('12 - Deployments &amp; Config'!A439="","",'12 - Deployments &amp; Config'!A439)</f>
        <v/>
      </c>
      <c r="I434" s="32" t="str">
        <f>IF('12 - Deployments &amp; Config'!AJ439="","",'12 - Deployments &amp; Config'!AJ439)</f>
        <v/>
      </c>
      <c r="J434" s="32" t="str">
        <f>IF('12 - Deployments &amp; Config'!AK439="","",'12 - Deployments &amp; Config'!AK439)</f>
        <v/>
      </c>
      <c r="K434" s="32" t="str">
        <f>IF('12 - Deployments &amp; Config'!AA439="","",'12 - Deployments &amp; Config'!AA439)</f>
        <v/>
      </c>
      <c r="L434" s="32" t="str">
        <f>IF('12 - Deployments &amp; Config'!I439="","",'12 - Deployments &amp; Config'!I439)</f>
        <v/>
      </c>
      <c r="M434" s="33"/>
      <c r="N434" s="32" t="str">
        <f>IF('12 - Deployments &amp; Config'!J439="","",'12 - Deployments &amp; Config'!J439)</f>
        <v/>
      </c>
      <c r="O434" s="32" t="str">
        <f>IF('12 - Deployments &amp; Config'!K439="","",'12 - Deployments &amp; Config'!K439)</f>
        <v/>
      </c>
      <c r="P434" s="32" t="str">
        <f>IF('12 - Deployments &amp; Config'!L439="","",'12 - Deployments &amp; Config'!L439)</f>
        <v/>
      </c>
      <c r="Q434" s="33"/>
      <c r="R434" s="32" t="str">
        <f>IF('12 - Deployments &amp; Config'!AZ439="","",'12 - Deployments &amp; Config'!AZ439)</f>
        <v/>
      </c>
      <c r="S434" s="32" t="str">
        <f>IF('12 - Deployments &amp; Config'!AY439="","",'12 - Deployments &amp; Config'!AY439)</f>
        <v/>
      </c>
      <c r="T434" s="32" t="str">
        <f>IF('12 - Deployments &amp; Config'!AW439="","",'12 - Deployments &amp; Config'!AW439)</f>
        <v/>
      </c>
      <c r="U434" s="32" t="str">
        <f>IF('12 - Deployments &amp; Config'!AX439="","",'12 - Deployments &amp; Config'!AX439)</f>
        <v/>
      </c>
      <c r="V434" s="32" t="str">
        <f>IF('12 - Deployments &amp; Config'!BB439="","",'12 - Deployments &amp; Config'!BB439)</f>
        <v/>
      </c>
      <c r="W434" s="32" t="str">
        <f>IF('12 - Deployments &amp; Config'!BD439="","",'12 - Deployments &amp; Config'!BD439)</f>
        <v/>
      </c>
      <c r="X434" s="32" t="str">
        <f>IF('12 - Deployments &amp; Config'!BL439="","",'12 - Deployments &amp; Config'!BL439)</f>
        <v/>
      </c>
      <c r="Y434" s="32" t="str">
        <f>IF('12 - Deployments &amp; Config'!BC439="","",'12 - Deployments &amp; Config'!BC439)</f>
        <v/>
      </c>
      <c r="Z434" s="32" t="str">
        <f>IF('12 - Deployments &amp; Config'!P439="","",'12 - Deployments &amp; Config'!P439)</f>
        <v/>
      </c>
      <c r="AA434" s="32" t="str">
        <f>IF('12 - Deployments &amp; Config'!Q439="","",'12 - Deployments &amp; Config'!Q439)</f>
        <v/>
      </c>
    </row>
    <row r="435" spans="1:27">
      <c r="A435" s="33"/>
      <c r="B435" s="33"/>
      <c r="C435" s="32" t="str">
        <f>IF('12 - Deployments &amp; Config'!H440="","",'12 - Deployments &amp; Config'!H440)</f>
        <v/>
      </c>
      <c r="D435" s="32" t="str">
        <f>IF('12 - Deployments &amp; Config'!AF440="","",'12 - Deployments &amp; Config'!AF440)</f>
        <v/>
      </c>
      <c r="E435" s="32" t="str">
        <f>IF('12 - Deployments &amp; Config'!AG440="","",'12 - Deployments &amp; Config'!AG440)</f>
        <v/>
      </c>
      <c r="F435" s="32" t="str">
        <f>IF('12 - Deployments &amp; Config'!AH440="","",'12 - Deployments &amp; Config'!AH440)</f>
        <v/>
      </c>
      <c r="G435" s="32" t="str">
        <f>IF('12 - Deployments &amp; Config'!AI440="","",'12 - Deployments &amp; Config'!AI440)</f>
        <v/>
      </c>
      <c r="H435" s="32" t="str">
        <f>IF('12 - Deployments &amp; Config'!A440="","",'12 - Deployments &amp; Config'!A440)</f>
        <v/>
      </c>
      <c r="I435" s="32" t="str">
        <f>IF('12 - Deployments &amp; Config'!AJ440="","",'12 - Deployments &amp; Config'!AJ440)</f>
        <v/>
      </c>
      <c r="J435" s="32" t="str">
        <f>IF('12 - Deployments &amp; Config'!AK440="","",'12 - Deployments &amp; Config'!AK440)</f>
        <v/>
      </c>
      <c r="K435" s="32" t="str">
        <f>IF('12 - Deployments &amp; Config'!AA440="","",'12 - Deployments &amp; Config'!AA440)</f>
        <v/>
      </c>
      <c r="L435" s="32" t="str">
        <f>IF('12 - Deployments &amp; Config'!I440="","",'12 - Deployments &amp; Config'!I440)</f>
        <v/>
      </c>
      <c r="M435" s="33"/>
      <c r="N435" s="32" t="str">
        <f>IF('12 - Deployments &amp; Config'!J440="","",'12 - Deployments &amp; Config'!J440)</f>
        <v/>
      </c>
      <c r="O435" s="32" t="str">
        <f>IF('12 - Deployments &amp; Config'!K440="","",'12 - Deployments &amp; Config'!K440)</f>
        <v/>
      </c>
      <c r="P435" s="32" t="str">
        <f>IF('12 - Deployments &amp; Config'!L440="","",'12 - Deployments &amp; Config'!L440)</f>
        <v/>
      </c>
      <c r="Q435" s="33"/>
      <c r="R435" s="32" t="str">
        <f>IF('12 - Deployments &amp; Config'!AZ440="","",'12 - Deployments &amp; Config'!AZ440)</f>
        <v/>
      </c>
      <c r="S435" s="32" t="str">
        <f>IF('12 - Deployments &amp; Config'!AY440="","",'12 - Deployments &amp; Config'!AY440)</f>
        <v/>
      </c>
      <c r="T435" s="32" t="str">
        <f>IF('12 - Deployments &amp; Config'!AW440="","",'12 - Deployments &amp; Config'!AW440)</f>
        <v/>
      </c>
      <c r="U435" s="32" t="str">
        <f>IF('12 - Deployments &amp; Config'!AX440="","",'12 - Deployments &amp; Config'!AX440)</f>
        <v/>
      </c>
      <c r="V435" s="32" t="str">
        <f>IF('12 - Deployments &amp; Config'!BB440="","",'12 - Deployments &amp; Config'!BB440)</f>
        <v/>
      </c>
      <c r="W435" s="32" t="str">
        <f>IF('12 - Deployments &amp; Config'!BD440="","",'12 - Deployments &amp; Config'!BD440)</f>
        <v/>
      </c>
      <c r="X435" s="32" t="str">
        <f>IF('12 - Deployments &amp; Config'!BL440="","",'12 - Deployments &amp; Config'!BL440)</f>
        <v/>
      </c>
      <c r="Y435" s="32" t="str">
        <f>IF('12 - Deployments &amp; Config'!BC440="","",'12 - Deployments &amp; Config'!BC440)</f>
        <v/>
      </c>
      <c r="Z435" s="32" t="str">
        <f>IF('12 - Deployments &amp; Config'!P440="","",'12 - Deployments &amp; Config'!P440)</f>
        <v/>
      </c>
      <c r="AA435" s="32" t="str">
        <f>IF('12 - Deployments &amp; Config'!Q440="","",'12 - Deployments &amp; Config'!Q440)</f>
        <v/>
      </c>
    </row>
    <row r="436" spans="1:27">
      <c r="A436" s="33"/>
      <c r="B436" s="33"/>
      <c r="C436" s="32" t="str">
        <f>IF('12 - Deployments &amp; Config'!H441="","",'12 - Deployments &amp; Config'!H441)</f>
        <v/>
      </c>
      <c r="D436" s="32" t="str">
        <f>IF('12 - Deployments &amp; Config'!AF441="","",'12 - Deployments &amp; Config'!AF441)</f>
        <v/>
      </c>
      <c r="E436" s="32" t="str">
        <f>IF('12 - Deployments &amp; Config'!AG441="","",'12 - Deployments &amp; Config'!AG441)</f>
        <v/>
      </c>
      <c r="F436" s="32" t="str">
        <f>IF('12 - Deployments &amp; Config'!AH441="","",'12 - Deployments &amp; Config'!AH441)</f>
        <v/>
      </c>
      <c r="G436" s="32" t="str">
        <f>IF('12 - Deployments &amp; Config'!AI441="","",'12 - Deployments &amp; Config'!AI441)</f>
        <v/>
      </c>
      <c r="H436" s="32" t="str">
        <f>IF('12 - Deployments &amp; Config'!A441="","",'12 - Deployments &amp; Config'!A441)</f>
        <v/>
      </c>
      <c r="I436" s="32" t="str">
        <f>IF('12 - Deployments &amp; Config'!AJ441="","",'12 - Deployments &amp; Config'!AJ441)</f>
        <v/>
      </c>
      <c r="J436" s="32" t="str">
        <f>IF('12 - Deployments &amp; Config'!AK441="","",'12 - Deployments &amp; Config'!AK441)</f>
        <v/>
      </c>
      <c r="K436" s="32" t="str">
        <f>IF('12 - Deployments &amp; Config'!AA441="","",'12 - Deployments &amp; Config'!AA441)</f>
        <v/>
      </c>
      <c r="L436" s="32" t="str">
        <f>IF('12 - Deployments &amp; Config'!I441="","",'12 - Deployments &amp; Config'!I441)</f>
        <v/>
      </c>
      <c r="M436" s="33"/>
      <c r="N436" s="32" t="str">
        <f>IF('12 - Deployments &amp; Config'!J441="","",'12 - Deployments &amp; Config'!J441)</f>
        <v/>
      </c>
      <c r="O436" s="32" t="str">
        <f>IF('12 - Deployments &amp; Config'!K441="","",'12 - Deployments &amp; Config'!K441)</f>
        <v/>
      </c>
      <c r="P436" s="32" t="str">
        <f>IF('12 - Deployments &amp; Config'!L441="","",'12 - Deployments &amp; Config'!L441)</f>
        <v/>
      </c>
      <c r="Q436" s="33"/>
      <c r="R436" s="32" t="str">
        <f>IF('12 - Deployments &amp; Config'!AZ441="","",'12 - Deployments &amp; Config'!AZ441)</f>
        <v/>
      </c>
      <c r="S436" s="32" t="str">
        <f>IF('12 - Deployments &amp; Config'!AY441="","",'12 - Deployments &amp; Config'!AY441)</f>
        <v/>
      </c>
      <c r="T436" s="32" t="str">
        <f>IF('12 - Deployments &amp; Config'!AW441="","",'12 - Deployments &amp; Config'!AW441)</f>
        <v/>
      </c>
      <c r="U436" s="32" t="str">
        <f>IF('12 - Deployments &amp; Config'!AX441="","",'12 - Deployments &amp; Config'!AX441)</f>
        <v/>
      </c>
      <c r="V436" s="32" t="str">
        <f>IF('12 - Deployments &amp; Config'!BB441="","",'12 - Deployments &amp; Config'!BB441)</f>
        <v/>
      </c>
      <c r="W436" s="32" t="str">
        <f>IF('12 - Deployments &amp; Config'!BD441="","",'12 - Deployments &amp; Config'!BD441)</f>
        <v/>
      </c>
      <c r="X436" s="32" t="str">
        <f>IF('12 - Deployments &amp; Config'!BL441="","",'12 - Deployments &amp; Config'!BL441)</f>
        <v/>
      </c>
      <c r="Y436" s="32" t="str">
        <f>IF('12 - Deployments &amp; Config'!BC441="","",'12 - Deployments &amp; Config'!BC441)</f>
        <v/>
      </c>
      <c r="Z436" s="32" t="str">
        <f>IF('12 - Deployments &amp; Config'!P441="","",'12 - Deployments &amp; Config'!P441)</f>
        <v/>
      </c>
      <c r="AA436" s="32" t="str">
        <f>IF('12 - Deployments &amp; Config'!Q441="","",'12 - Deployments &amp; Config'!Q441)</f>
        <v/>
      </c>
    </row>
    <row r="437" spans="1:27">
      <c r="A437" s="33"/>
      <c r="B437" s="33"/>
      <c r="C437" s="32" t="str">
        <f>IF('12 - Deployments &amp; Config'!H442="","",'12 - Deployments &amp; Config'!H442)</f>
        <v/>
      </c>
      <c r="D437" s="32" t="str">
        <f>IF('12 - Deployments &amp; Config'!AF442="","",'12 - Deployments &amp; Config'!AF442)</f>
        <v/>
      </c>
      <c r="E437" s="32" t="str">
        <f>IF('12 - Deployments &amp; Config'!AG442="","",'12 - Deployments &amp; Config'!AG442)</f>
        <v/>
      </c>
      <c r="F437" s="32" t="str">
        <f>IF('12 - Deployments &amp; Config'!AH442="","",'12 - Deployments &amp; Config'!AH442)</f>
        <v/>
      </c>
      <c r="G437" s="32" t="str">
        <f>IF('12 - Deployments &amp; Config'!AI442="","",'12 - Deployments &amp; Config'!AI442)</f>
        <v/>
      </c>
      <c r="H437" s="32" t="str">
        <f>IF('12 - Deployments &amp; Config'!A442="","",'12 - Deployments &amp; Config'!A442)</f>
        <v/>
      </c>
      <c r="I437" s="32" t="str">
        <f>IF('12 - Deployments &amp; Config'!AJ442="","",'12 - Deployments &amp; Config'!AJ442)</f>
        <v/>
      </c>
      <c r="J437" s="32" t="str">
        <f>IF('12 - Deployments &amp; Config'!AK442="","",'12 - Deployments &amp; Config'!AK442)</f>
        <v/>
      </c>
      <c r="K437" s="32" t="str">
        <f>IF('12 - Deployments &amp; Config'!AA442="","",'12 - Deployments &amp; Config'!AA442)</f>
        <v/>
      </c>
      <c r="L437" s="32" t="str">
        <f>IF('12 - Deployments &amp; Config'!I442="","",'12 - Deployments &amp; Config'!I442)</f>
        <v/>
      </c>
      <c r="M437" s="33"/>
      <c r="N437" s="32" t="str">
        <f>IF('12 - Deployments &amp; Config'!J442="","",'12 - Deployments &amp; Config'!J442)</f>
        <v/>
      </c>
      <c r="O437" s="32" t="str">
        <f>IF('12 - Deployments &amp; Config'!K442="","",'12 - Deployments &amp; Config'!K442)</f>
        <v/>
      </c>
      <c r="P437" s="32" t="str">
        <f>IF('12 - Deployments &amp; Config'!L442="","",'12 - Deployments &amp; Config'!L442)</f>
        <v/>
      </c>
      <c r="Q437" s="33"/>
      <c r="R437" s="32" t="str">
        <f>IF('12 - Deployments &amp; Config'!AZ442="","",'12 - Deployments &amp; Config'!AZ442)</f>
        <v/>
      </c>
      <c r="S437" s="32" t="str">
        <f>IF('12 - Deployments &amp; Config'!AY442="","",'12 - Deployments &amp; Config'!AY442)</f>
        <v/>
      </c>
      <c r="T437" s="32" t="str">
        <f>IF('12 - Deployments &amp; Config'!AW442="","",'12 - Deployments &amp; Config'!AW442)</f>
        <v/>
      </c>
      <c r="U437" s="32" t="str">
        <f>IF('12 - Deployments &amp; Config'!AX442="","",'12 - Deployments &amp; Config'!AX442)</f>
        <v/>
      </c>
      <c r="V437" s="32" t="str">
        <f>IF('12 - Deployments &amp; Config'!BB442="","",'12 - Deployments &amp; Config'!BB442)</f>
        <v/>
      </c>
      <c r="W437" s="32" t="str">
        <f>IF('12 - Deployments &amp; Config'!BD442="","",'12 - Deployments &amp; Config'!BD442)</f>
        <v/>
      </c>
      <c r="X437" s="32" t="str">
        <f>IF('12 - Deployments &amp; Config'!BL442="","",'12 - Deployments &amp; Config'!BL442)</f>
        <v/>
      </c>
      <c r="Y437" s="32" t="str">
        <f>IF('12 - Deployments &amp; Config'!BC442="","",'12 - Deployments &amp; Config'!BC442)</f>
        <v/>
      </c>
      <c r="Z437" s="32" t="str">
        <f>IF('12 - Deployments &amp; Config'!P442="","",'12 - Deployments &amp; Config'!P442)</f>
        <v/>
      </c>
      <c r="AA437" s="32" t="str">
        <f>IF('12 - Deployments &amp; Config'!Q442="","",'12 - Deployments &amp; Config'!Q442)</f>
        <v/>
      </c>
    </row>
    <row r="438" spans="1:27">
      <c r="A438" s="33"/>
      <c r="B438" s="33"/>
      <c r="C438" s="32" t="str">
        <f>IF('12 - Deployments &amp; Config'!H443="","",'12 - Deployments &amp; Config'!H443)</f>
        <v/>
      </c>
      <c r="D438" s="32" t="str">
        <f>IF('12 - Deployments &amp; Config'!AF443="","",'12 - Deployments &amp; Config'!AF443)</f>
        <v/>
      </c>
      <c r="E438" s="32" t="str">
        <f>IF('12 - Deployments &amp; Config'!AG443="","",'12 - Deployments &amp; Config'!AG443)</f>
        <v/>
      </c>
      <c r="F438" s="32" t="str">
        <f>IF('12 - Deployments &amp; Config'!AH443="","",'12 - Deployments &amp; Config'!AH443)</f>
        <v/>
      </c>
      <c r="G438" s="32" t="str">
        <f>IF('12 - Deployments &amp; Config'!AI443="","",'12 - Deployments &amp; Config'!AI443)</f>
        <v/>
      </c>
      <c r="H438" s="32" t="str">
        <f>IF('12 - Deployments &amp; Config'!A443="","",'12 - Deployments &amp; Config'!A443)</f>
        <v/>
      </c>
      <c r="I438" s="32" t="str">
        <f>IF('12 - Deployments &amp; Config'!AJ443="","",'12 - Deployments &amp; Config'!AJ443)</f>
        <v/>
      </c>
      <c r="J438" s="32" t="str">
        <f>IF('12 - Deployments &amp; Config'!AK443="","",'12 - Deployments &amp; Config'!AK443)</f>
        <v/>
      </c>
      <c r="K438" s="32" t="str">
        <f>IF('12 - Deployments &amp; Config'!AA443="","",'12 - Deployments &amp; Config'!AA443)</f>
        <v/>
      </c>
      <c r="L438" s="32" t="str">
        <f>IF('12 - Deployments &amp; Config'!I443="","",'12 - Deployments &amp; Config'!I443)</f>
        <v/>
      </c>
      <c r="M438" s="33"/>
      <c r="N438" s="32" t="str">
        <f>IF('12 - Deployments &amp; Config'!J443="","",'12 - Deployments &amp; Config'!J443)</f>
        <v/>
      </c>
      <c r="O438" s="32" t="str">
        <f>IF('12 - Deployments &amp; Config'!K443="","",'12 - Deployments &amp; Config'!K443)</f>
        <v/>
      </c>
      <c r="P438" s="32" t="str">
        <f>IF('12 - Deployments &amp; Config'!L443="","",'12 - Deployments &amp; Config'!L443)</f>
        <v/>
      </c>
      <c r="Q438" s="33"/>
      <c r="R438" s="32" t="str">
        <f>IF('12 - Deployments &amp; Config'!AZ443="","",'12 - Deployments &amp; Config'!AZ443)</f>
        <v/>
      </c>
      <c r="S438" s="32" t="str">
        <f>IF('12 - Deployments &amp; Config'!AY443="","",'12 - Deployments &amp; Config'!AY443)</f>
        <v/>
      </c>
      <c r="T438" s="32" t="str">
        <f>IF('12 - Deployments &amp; Config'!AW443="","",'12 - Deployments &amp; Config'!AW443)</f>
        <v/>
      </c>
      <c r="U438" s="32" t="str">
        <f>IF('12 - Deployments &amp; Config'!AX443="","",'12 - Deployments &amp; Config'!AX443)</f>
        <v/>
      </c>
      <c r="V438" s="32" t="str">
        <f>IF('12 - Deployments &amp; Config'!BB443="","",'12 - Deployments &amp; Config'!BB443)</f>
        <v/>
      </c>
      <c r="W438" s="32" t="str">
        <f>IF('12 - Deployments &amp; Config'!BD443="","",'12 - Deployments &amp; Config'!BD443)</f>
        <v/>
      </c>
      <c r="X438" s="32" t="str">
        <f>IF('12 - Deployments &amp; Config'!BL443="","",'12 - Deployments &amp; Config'!BL443)</f>
        <v/>
      </c>
      <c r="Y438" s="32" t="str">
        <f>IF('12 - Deployments &amp; Config'!BC443="","",'12 - Deployments &amp; Config'!BC443)</f>
        <v/>
      </c>
      <c r="Z438" s="32" t="str">
        <f>IF('12 - Deployments &amp; Config'!P443="","",'12 - Deployments &amp; Config'!P443)</f>
        <v/>
      </c>
      <c r="AA438" s="32" t="str">
        <f>IF('12 - Deployments &amp; Config'!Q443="","",'12 - Deployments &amp; Config'!Q443)</f>
        <v/>
      </c>
    </row>
    <row r="439" spans="1:27">
      <c r="A439" s="33"/>
      <c r="B439" s="33"/>
      <c r="C439" s="32" t="str">
        <f>IF('12 - Deployments &amp; Config'!H444="","",'12 - Deployments &amp; Config'!H444)</f>
        <v/>
      </c>
      <c r="D439" s="32" t="str">
        <f>IF('12 - Deployments &amp; Config'!AF444="","",'12 - Deployments &amp; Config'!AF444)</f>
        <v/>
      </c>
      <c r="E439" s="32" t="str">
        <f>IF('12 - Deployments &amp; Config'!AG444="","",'12 - Deployments &amp; Config'!AG444)</f>
        <v/>
      </c>
      <c r="F439" s="32" t="str">
        <f>IF('12 - Deployments &amp; Config'!AH444="","",'12 - Deployments &amp; Config'!AH444)</f>
        <v/>
      </c>
      <c r="G439" s="32" t="str">
        <f>IF('12 - Deployments &amp; Config'!AI444="","",'12 - Deployments &amp; Config'!AI444)</f>
        <v/>
      </c>
      <c r="H439" s="32" t="str">
        <f>IF('12 - Deployments &amp; Config'!A444="","",'12 - Deployments &amp; Config'!A444)</f>
        <v/>
      </c>
      <c r="I439" s="32" t="str">
        <f>IF('12 - Deployments &amp; Config'!AJ444="","",'12 - Deployments &amp; Config'!AJ444)</f>
        <v/>
      </c>
      <c r="J439" s="32" t="str">
        <f>IF('12 - Deployments &amp; Config'!AK444="","",'12 - Deployments &amp; Config'!AK444)</f>
        <v/>
      </c>
      <c r="K439" s="32" t="str">
        <f>IF('12 - Deployments &amp; Config'!AA444="","",'12 - Deployments &amp; Config'!AA444)</f>
        <v/>
      </c>
      <c r="L439" s="32" t="str">
        <f>IF('12 - Deployments &amp; Config'!I444="","",'12 - Deployments &amp; Config'!I444)</f>
        <v/>
      </c>
      <c r="M439" s="33"/>
      <c r="N439" s="32" t="str">
        <f>IF('12 - Deployments &amp; Config'!J444="","",'12 - Deployments &amp; Config'!J444)</f>
        <v/>
      </c>
      <c r="O439" s="32" t="str">
        <f>IF('12 - Deployments &amp; Config'!K444="","",'12 - Deployments &amp; Config'!K444)</f>
        <v/>
      </c>
      <c r="P439" s="32" t="str">
        <f>IF('12 - Deployments &amp; Config'!L444="","",'12 - Deployments &amp; Config'!L444)</f>
        <v/>
      </c>
      <c r="Q439" s="33"/>
      <c r="R439" s="32" t="str">
        <f>IF('12 - Deployments &amp; Config'!AZ444="","",'12 - Deployments &amp; Config'!AZ444)</f>
        <v/>
      </c>
      <c r="S439" s="32" t="str">
        <f>IF('12 - Deployments &amp; Config'!AY444="","",'12 - Deployments &amp; Config'!AY444)</f>
        <v/>
      </c>
      <c r="T439" s="32" t="str">
        <f>IF('12 - Deployments &amp; Config'!AW444="","",'12 - Deployments &amp; Config'!AW444)</f>
        <v/>
      </c>
      <c r="U439" s="32" t="str">
        <f>IF('12 - Deployments &amp; Config'!AX444="","",'12 - Deployments &amp; Config'!AX444)</f>
        <v/>
      </c>
      <c r="V439" s="32" t="str">
        <f>IF('12 - Deployments &amp; Config'!BB444="","",'12 - Deployments &amp; Config'!BB444)</f>
        <v/>
      </c>
      <c r="W439" s="32" t="str">
        <f>IF('12 - Deployments &amp; Config'!BD444="","",'12 - Deployments &amp; Config'!BD444)</f>
        <v/>
      </c>
      <c r="X439" s="32" t="str">
        <f>IF('12 - Deployments &amp; Config'!BL444="","",'12 - Deployments &amp; Config'!BL444)</f>
        <v/>
      </c>
      <c r="Y439" s="32" t="str">
        <f>IF('12 - Deployments &amp; Config'!BC444="","",'12 - Deployments &amp; Config'!BC444)</f>
        <v/>
      </c>
      <c r="Z439" s="32" t="str">
        <f>IF('12 - Deployments &amp; Config'!P444="","",'12 - Deployments &amp; Config'!P444)</f>
        <v/>
      </c>
      <c r="AA439" s="32" t="str">
        <f>IF('12 - Deployments &amp; Config'!Q444="","",'12 - Deployments &amp; Config'!Q444)</f>
        <v/>
      </c>
    </row>
    <row r="440" spans="1:27">
      <c r="A440" s="33"/>
      <c r="B440" s="33"/>
      <c r="C440" s="32" t="str">
        <f>IF('12 - Deployments &amp; Config'!H445="","",'12 - Deployments &amp; Config'!H445)</f>
        <v/>
      </c>
      <c r="D440" s="32" t="str">
        <f>IF('12 - Deployments &amp; Config'!AF445="","",'12 - Deployments &amp; Config'!AF445)</f>
        <v/>
      </c>
      <c r="E440" s="32" t="str">
        <f>IF('12 - Deployments &amp; Config'!AG445="","",'12 - Deployments &amp; Config'!AG445)</f>
        <v/>
      </c>
      <c r="F440" s="32" t="str">
        <f>IF('12 - Deployments &amp; Config'!AH445="","",'12 - Deployments &amp; Config'!AH445)</f>
        <v/>
      </c>
      <c r="G440" s="32" t="str">
        <f>IF('12 - Deployments &amp; Config'!AI445="","",'12 - Deployments &amp; Config'!AI445)</f>
        <v/>
      </c>
      <c r="H440" s="32" t="str">
        <f>IF('12 - Deployments &amp; Config'!A445="","",'12 - Deployments &amp; Config'!A445)</f>
        <v/>
      </c>
      <c r="I440" s="32" t="str">
        <f>IF('12 - Deployments &amp; Config'!AJ445="","",'12 - Deployments &amp; Config'!AJ445)</f>
        <v/>
      </c>
      <c r="J440" s="32" t="str">
        <f>IF('12 - Deployments &amp; Config'!AK445="","",'12 - Deployments &amp; Config'!AK445)</f>
        <v/>
      </c>
      <c r="K440" s="32" t="str">
        <f>IF('12 - Deployments &amp; Config'!AA445="","",'12 - Deployments &amp; Config'!AA445)</f>
        <v/>
      </c>
      <c r="L440" s="32" t="str">
        <f>IF('12 - Deployments &amp; Config'!I445="","",'12 - Deployments &amp; Config'!I445)</f>
        <v/>
      </c>
      <c r="M440" s="33"/>
      <c r="N440" s="32" t="str">
        <f>IF('12 - Deployments &amp; Config'!J445="","",'12 - Deployments &amp; Config'!J445)</f>
        <v/>
      </c>
      <c r="O440" s="32" t="str">
        <f>IF('12 - Deployments &amp; Config'!K445="","",'12 - Deployments &amp; Config'!K445)</f>
        <v/>
      </c>
      <c r="P440" s="32" t="str">
        <f>IF('12 - Deployments &amp; Config'!L445="","",'12 - Deployments &amp; Config'!L445)</f>
        <v/>
      </c>
      <c r="Q440" s="33"/>
      <c r="R440" s="32" t="str">
        <f>IF('12 - Deployments &amp; Config'!AZ445="","",'12 - Deployments &amp; Config'!AZ445)</f>
        <v/>
      </c>
      <c r="S440" s="32" t="str">
        <f>IF('12 - Deployments &amp; Config'!AY445="","",'12 - Deployments &amp; Config'!AY445)</f>
        <v/>
      </c>
      <c r="T440" s="32" t="str">
        <f>IF('12 - Deployments &amp; Config'!AW445="","",'12 - Deployments &amp; Config'!AW445)</f>
        <v/>
      </c>
      <c r="U440" s="32" t="str">
        <f>IF('12 - Deployments &amp; Config'!AX445="","",'12 - Deployments &amp; Config'!AX445)</f>
        <v/>
      </c>
      <c r="V440" s="32" t="str">
        <f>IF('12 - Deployments &amp; Config'!BB445="","",'12 - Deployments &amp; Config'!BB445)</f>
        <v/>
      </c>
      <c r="W440" s="32" t="str">
        <f>IF('12 - Deployments &amp; Config'!BD445="","",'12 - Deployments &amp; Config'!BD445)</f>
        <v/>
      </c>
      <c r="X440" s="32" t="str">
        <f>IF('12 - Deployments &amp; Config'!BL445="","",'12 - Deployments &amp; Config'!BL445)</f>
        <v/>
      </c>
      <c r="Y440" s="32" t="str">
        <f>IF('12 - Deployments &amp; Config'!BC445="","",'12 - Deployments &amp; Config'!BC445)</f>
        <v/>
      </c>
      <c r="Z440" s="32" t="str">
        <f>IF('12 - Deployments &amp; Config'!P445="","",'12 - Deployments &amp; Config'!P445)</f>
        <v/>
      </c>
      <c r="AA440" s="32" t="str">
        <f>IF('12 - Deployments &amp; Config'!Q445="","",'12 - Deployments &amp; Config'!Q445)</f>
        <v/>
      </c>
    </row>
    <row r="441" spans="1:27">
      <c r="A441" s="33"/>
      <c r="B441" s="33"/>
      <c r="C441" s="32" t="str">
        <f>IF('12 - Deployments &amp; Config'!H446="","",'12 - Deployments &amp; Config'!H446)</f>
        <v/>
      </c>
      <c r="D441" s="32" t="str">
        <f>IF('12 - Deployments &amp; Config'!AF446="","",'12 - Deployments &amp; Config'!AF446)</f>
        <v/>
      </c>
      <c r="E441" s="32" t="str">
        <f>IF('12 - Deployments &amp; Config'!AG446="","",'12 - Deployments &amp; Config'!AG446)</f>
        <v/>
      </c>
      <c r="F441" s="32" t="str">
        <f>IF('12 - Deployments &amp; Config'!AH446="","",'12 - Deployments &amp; Config'!AH446)</f>
        <v/>
      </c>
      <c r="G441" s="32" t="str">
        <f>IF('12 - Deployments &amp; Config'!AI446="","",'12 - Deployments &amp; Config'!AI446)</f>
        <v/>
      </c>
      <c r="H441" s="32" t="str">
        <f>IF('12 - Deployments &amp; Config'!A446="","",'12 - Deployments &amp; Config'!A446)</f>
        <v/>
      </c>
      <c r="I441" s="32" t="str">
        <f>IF('12 - Deployments &amp; Config'!AJ446="","",'12 - Deployments &amp; Config'!AJ446)</f>
        <v/>
      </c>
      <c r="J441" s="32" t="str">
        <f>IF('12 - Deployments &amp; Config'!AK446="","",'12 - Deployments &amp; Config'!AK446)</f>
        <v/>
      </c>
      <c r="K441" s="32" t="str">
        <f>IF('12 - Deployments &amp; Config'!AA446="","",'12 - Deployments &amp; Config'!AA446)</f>
        <v/>
      </c>
      <c r="L441" s="32" t="str">
        <f>IF('12 - Deployments &amp; Config'!I446="","",'12 - Deployments &amp; Config'!I446)</f>
        <v/>
      </c>
      <c r="M441" s="33"/>
      <c r="N441" s="32" t="str">
        <f>IF('12 - Deployments &amp; Config'!J446="","",'12 - Deployments &amp; Config'!J446)</f>
        <v/>
      </c>
      <c r="O441" s="32" t="str">
        <f>IF('12 - Deployments &amp; Config'!K446="","",'12 - Deployments &amp; Config'!K446)</f>
        <v/>
      </c>
      <c r="P441" s="32" t="str">
        <f>IF('12 - Deployments &amp; Config'!L446="","",'12 - Deployments &amp; Config'!L446)</f>
        <v/>
      </c>
      <c r="Q441" s="33"/>
      <c r="R441" s="32" t="str">
        <f>IF('12 - Deployments &amp; Config'!AZ446="","",'12 - Deployments &amp; Config'!AZ446)</f>
        <v/>
      </c>
      <c r="S441" s="32" t="str">
        <f>IF('12 - Deployments &amp; Config'!AY446="","",'12 - Deployments &amp; Config'!AY446)</f>
        <v/>
      </c>
      <c r="T441" s="32" t="str">
        <f>IF('12 - Deployments &amp; Config'!AW446="","",'12 - Deployments &amp; Config'!AW446)</f>
        <v/>
      </c>
      <c r="U441" s="32" t="str">
        <f>IF('12 - Deployments &amp; Config'!AX446="","",'12 - Deployments &amp; Config'!AX446)</f>
        <v/>
      </c>
      <c r="V441" s="32" t="str">
        <f>IF('12 - Deployments &amp; Config'!BB446="","",'12 - Deployments &amp; Config'!BB446)</f>
        <v/>
      </c>
      <c r="W441" s="32" t="str">
        <f>IF('12 - Deployments &amp; Config'!BD446="","",'12 - Deployments &amp; Config'!BD446)</f>
        <v/>
      </c>
      <c r="X441" s="32" t="str">
        <f>IF('12 - Deployments &amp; Config'!BL446="","",'12 - Deployments &amp; Config'!BL446)</f>
        <v/>
      </c>
      <c r="Y441" s="32" t="str">
        <f>IF('12 - Deployments &amp; Config'!BC446="","",'12 - Deployments &amp; Config'!BC446)</f>
        <v/>
      </c>
      <c r="Z441" s="32" t="str">
        <f>IF('12 - Deployments &amp; Config'!P446="","",'12 - Deployments &amp; Config'!P446)</f>
        <v/>
      </c>
      <c r="AA441" s="32" t="str">
        <f>IF('12 - Deployments &amp; Config'!Q446="","",'12 - Deployments &amp; Config'!Q446)</f>
        <v/>
      </c>
    </row>
    <row r="442" spans="1:27">
      <c r="A442" s="33"/>
      <c r="B442" s="33"/>
      <c r="C442" s="32" t="str">
        <f>IF('12 - Deployments &amp; Config'!H447="","",'12 - Deployments &amp; Config'!H447)</f>
        <v/>
      </c>
      <c r="D442" s="32" t="str">
        <f>IF('12 - Deployments &amp; Config'!AF447="","",'12 - Deployments &amp; Config'!AF447)</f>
        <v/>
      </c>
      <c r="E442" s="32" t="str">
        <f>IF('12 - Deployments &amp; Config'!AG447="","",'12 - Deployments &amp; Config'!AG447)</f>
        <v/>
      </c>
      <c r="F442" s="32" t="str">
        <f>IF('12 - Deployments &amp; Config'!AH447="","",'12 - Deployments &amp; Config'!AH447)</f>
        <v/>
      </c>
      <c r="G442" s="32" t="str">
        <f>IF('12 - Deployments &amp; Config'!AI447="","",'12 - Deployments &amp; Config'!AI447)</f>
        <v/>
      </c>
      <c r="H442" s="32" t="str">
        <f>IF('12 - Deployments &amp; Config'!A447="","",'12 - Deployments &amp; Config'!A447)</f>
        <v/>
      </c>
      <c r="I442" s="32" t="str">
        <f>IF('12 - Deployments &amp; Config'!AJ447="","",'12 - Deployments &amp; Config'!AJ447)</f>
        <v/>
      </c>
      <c r="J442" s="32" t="str">
        <f>IF('12 - Deployments &amp; Config'!AK447="","",'12 - Deployments &amp; Config'!AK447)</f>
        <v/>
      </c>
      <c r="K442" s="32" t="str">
        <f>IF('12 - Deployments &amp; Config'!AA447="","",'12 - Deployments &amp; Config'!AA447)</f>
        <v/>
      </c>
      <c r="L442" s="32" t="str">
        <f>IF('12 - Deployments &amp; Config'!I447="","",'12 - Deployments &amp; Config'!I447)</f>
        <v/>
      </c>
      <c r="M442" s="33"/>
      <c r="N442" s="32" t="str">
        <f>IF('12 - Deployments &amp; Config'!J447="","",'12 - Deployments &amp; Config'!J447)</f>
        <v/>
      </c>
      <c r="O442" s="32" t="str">
        <f>IF('12 - Deployments &amp; Config'!K447="","",'12 - Deployments &amp; Config'!K447)</f>
        <v/>
      </c>
      <c r="P442" s="32" t="str">
        <f>IF('12 - Deployments &amp; Config'!L447="","",'12 - Deployments &amp; Config'!L447)</f>
        <v/>
      </c>
      <c r="Q442" s="33"/>
      <c r="R442" s="32" t="str">
        <f>IF('12 - Deployments &amp; Config'!AZ447="","",'12 - Deployments &amp; Config'!AZ447)</f>
        <v/>
      </c>
      <c r="S442" s="32" t="str">
        <f>IF('12 - Deployments &amp; Config'!AY447="","",'12 - Deployments &amp; Config'!AY447)</f>
        <v/>
      </c>
      <c r="T442" s="32" t="str">
        <f>IF('12 - Deployments &amp; Config'!AW447="","",'12 - Deployments &amp; Config'!AW447)</f>
        <v/>
      </c>
      <c r="U442" s="32" t="str">
        <f>IF('12 - Deployments &amp; Config'!AX447="","",'12 - Deployments &amp; Config'!AX447)</f>
        <v/>
      </c>
      <c r="V442" s="32" t="str">
        <f>IF('12 - Deployments &amp; Config'!BB447="","",'12 - Deployments &amp; Config'!BB447)</f>
        <v/>
      </c>
      <c r="W442" s="32" t="str">
        <f>IF('12 - Deployments &amp; Config'!BD447="","",'12 - Deployments &amp; Config'!BD447)</f>
        <v/>
      </c>
      <c r="X442" s="32" t="str">
        <f>IF('12 - Deployments &amp; Config'!BL447="","",'12 - Deployments &amp; Config'!BL447)</f>
        <v/>
      </c>
      <c r="Y442" s="32" t="str">
        <f>IF('12 - Deployments &amp; Config'!BC447="","",'12 - Deployments &amp; Config'!BC447)</f>
        <v/>
      </c>
      <c r="Z442" s="32" t="str">
        <f>IF('12 - Deployments &amp; Config'!P447="","",'12 - Deployments &amp; Config'!P447)</f>
        <v/>
      </c>
      <c r="AA442" s="32" t="str">
        <f>IF('12 - Deployments &amp; Config'!Q447="","",'12 - Deployments &amp; Config'!Q447)</f>
        <v/>
      </c>
    </row>
    <row r="443" spans="1:27">
      <c r="A443" s="33"/>
      <c r="B443" s="33"/>
      <c r="C443" s="32" t="str">
        <f>IF('12 - Deployments &amp; Config'!H448="","",'12 - Deployments &amp; Config'!H448)</f>
        <v/>
      </c>
      <c r="D443" s="32" t="str">
        <f>IF('12 - Deployments &amp; Config'!AF448="","",'12 - Deployments &amp; Config'!AF448)</f>
        <v/>
      </c>
      <c r="E443" s="32" t="str">
        <f>IF('12 - Deployments &amp; Config'!AG448="","",'12 - Deployments &amp; Config'!AG448)</f>
        <v/>
      </c>
      <c r="F443" s="32" t="str">
        <f>IF('12 - Deployments &amp; Config'!AH448="","",'12 - Deployments &amp; Config'!AH448)</f>
        <v/>
      </c>
      <c r="G443" s="32" t="str">
        <f>IF('12 - Deployments &amp; Config'!AI448="","",'12 - Deployments &amp; Config'!AI448)</f>
        <v/>
      </c>
      <c r="H443" s="32" t="str">
        <f>IF('12 - Deployments &amp; Config'!A448="","",'12 - Deployments &amp; Config'!A448)</f>
        <v/>
      </c>
      <c r="I443" s="32" t="str">
        <f>IF('12 - Deployments &amp; Config'!AJ448="","",'12 - Deployments &amp; Config'!AJ448)</f>
        <v/>
      </c>
      <c r="J443" s="32" t="str">
        <f>IF('12 - Deployments &amp; Config'!AK448="","",'12 - Deployments &amp; Config'!AK448)</f>
        <v/>
      </c>
      <c r="K443" s="32" t="str">
        <f>IF('12 - Deployments &amp; Config'!AA448="","",'12 - Deployments &amp; Config'!AA448)</f>
        <v/>
      </c>
      <c r="L443" s="32" t="str">
        <f>IF('12 - Deployments &amp; Config'!I448="","",'12 - Deployments &amp; Config'!I448)</f>
        <v/>
      </c>
      <c r="M443" s="33"/>
      <c r="N443" s="32" t="str">
        <f>IF('12 - Deployments &amp; Config'!J448="","",'12 - Deployments &amp; Config'!J448)</f>
        <v/>
      </c>
      <c r="O443" s="32" t="str">
        <f>IF('12 - Deployments &amp; Config'!K448="","",'12 - Deployments &amp; Config'!K448)</f>
        <v/>
      </c>
      <c r="P443" s="32" t="str">
        <f>IF('12 - Deployments &amp; Config'!L448="","",'12 - Deployments &amp; Config'!L448)</f>
        <v/>
      </c>
      <c r="Q443" s="33"/>
      <c r="R443" s="32" t="str">
        <f>IF('12 - Deployments &amp; Config'!AZ448="","",'12 - Deployments &amp; Config'!AZ448)</f>
        <v/>
      </c>
      <c r="S443" s="32" t="str">
        <f>IF('12 - Deployments &amp; Config'!AY448="","",'12 - Deployments &amp; Config'!AY448)</f>
        <v/>
      </c>
      <c r="T443" s="32" t="str">
        <f>IF('12 - Deployments &amp; Config'!AW448="","",'12 - Deployments &amp; Config'!AW448)</f>
        <v/>
      </c>
      <c r="U443" s="32" t="str">
        <f>IF('12 - Deployments &amp; Config'!AX448="","",'12 - Deployments &amp; Config'!AX448)</f>
        <v/>
      </c>
      <c r="V443" s="32" t="str">
        <f>IF('12 - Deployments &amp; Config'!BB448="","",'12 - Deployments &amp; Config'!BB448)</f>
        <v/>
      </c>
      <c r="W443" s="32" t="str">
        <f>IF('12 - Deployments &amp; Config'!BD448="","",'12 - Deployments &amp; Config'!BD448)</f>
        <v/>
      </c>
      <c r="X443" s="32" t="str">
        <f>IF('12 - Deployments &amp; Config'!BL448="","",'12 - Deployments &amp; Config'!BL448)</f>
        <v/>
      </c>
      <c r="Y443" s="32" t="str">
        <f>IF('12 - Deployments &amp; Config'!BC448="","",'12 - Deployments &amp; Config'!BC448)</f>
        <v/>
      </c>
      <c r="Z443" s="32" t="str">
        <f>IF('12 - Deployments &amp; Config'!P448="","",'12 - Deployments &amp; Config'!P448)</f>
        <v/>
      </c>
      <c r="AA443" s="32" t="str">
        <f>IF('12 - Deployments &amp; Config'!Q448="","",'12 - Deployments &amp; Config'!Q448)</f>
        <v/>
      </c>
    </row>
    <row r="444" spans="1:27">
      <c r="A444" s="33"/>
      <c r="B444" s="33"/>
      <c r="C444" s="32" t="str">
        <f>IF('12 - Deployments &amp; Config'!H449="","",'12 - Deployments &amp; Config'!H449)</f>
        <v/>
      </c>
      <c r="D444" s="32" t="str">
        <f>IF('12 - Deployments &amp; Config'!AF449="","",'12 - Deployments &amp; Config'!AF449)</f>
        <v/>
      </c>
      <c r="E444" s="32" t="str">
        <f>IF('12 - Deployments &amp; Config'!AG449="","",'12 - Deployments &amp; Config'!AG449)</f>
        <v/>
      </c>
      <c r="F444" s="32" t="str">
        <f>IF('12 - Deployments &amp; Config'!AH449="","",'12 - Deployments &amp; Config'!AH449)</f>
        <v/>
      </c>
      <c r="G444" s="32" t="str">
        <f>IF('12 - Deployments &amp; Config'!AI449="","",'12 - Deployments &amp; Config'!AI449)</f>
        <v/>
      </c>
      <c r="H444" s="32" t="str">
        <f>IF('12 - Deployments &amp; Config'!A449="","",'12 - Deployments &amp; Config'!A449)</f>
        <v/>
      </c>
      <c r="I444" s="32" t="str">
        <f>IF('12 - Deployments &amp; Config'!AJ449="","",'12 - Deployments &amp; Config'!AJ449)</f>
        <v/>
      </c>
      <c r="J444" s="32" t="str">
        <f>IF('12 - Deployments &amp; Config'!AK449="","",'12 - Deployments &amp; Config'!AK449)</f>
        <v/>
      </c>
      <c r="K444" s="32" t="str">
        <f>IF('12 - Deployments &amp; Config'!AA449="","",'12 - Deployments &amp; Config'!AA449)</f>
        <v/>
      </c>
      <c r="L444" s="32" t="str">
        <f>IF('12 - Deployments &amp; Config'!I449="","",'12 - Deployments &amp; Config'!I449)</f>
        <v/>
      </c>
      <c r="M444" s="33"/>
      <c r="N444" s="32" t="str">
        <f>IF('12 - Deployments &amp; Config'!J449="","",'12 - Deployments &amp; Config'!J449)</f>
        <v/>
      </c>
      <c r="O444" s="32" t="str">
        <f>IF('12 - Deployments &amp; Config'!K449="","",'12 - Deployments &amp; Config'!K449)</f>
        <v/>
      </c>
      <c r="P444" s="32" t="str">
        <f>IF('12 - Deployments &amp; Config'!L449="","",'12 - Deployments &amp; Config'!L449)</f>
        <v/>
      </c>
      <c r="Q444" s="33"/>
      <c r="R444" s="32" t="str">
        <f>IF('12 - Deployments &amp; Config'!AZ449="","",'12 - Deployments &amp; Config'!AZ449)</f>
        <v/>
      </c>
      <c r="S444" s="32" t="str">
        <f>IF('12 - Deployments &amp; Config'!AY449="","",'12 - Deployments &amp; Config'!AY449)</f>
        <v/>
      </c>
      <c r="T444" s="32" t="str">
        <f>IF('12 - Deployments &amp; Config'!AW449="","",'12 - Deployments &amp; Config'!AW449)</f>
        <v/>
      </c>
      <c r="U444" s="32" t="str">
        <f>IF('12 - Deployments &amp; Config'!AX449="","",'12 - Deployments &amp; Config'!AX449)</f>
        <v/>
      </c>
      <c r="V444" s="32" t="str">
        <f>IF('12 - Deployments &amp; Config'!BB449="","",'12 - Deployments &amp; Config'!BB449)</f>
        <v/>
      </c>
      <c r="W444" s="32" t="str">
        <f>IF('12 - Deployments &amp; Config'!BD449="","",'12 - Deployments &amp; Config'!BD449)</f>
        <v/>
      </c>
      <c r="X444" s="32" t="str">
        <f>IF('12 - Deployments &amp; Config'!BL449="","",'12 - Deployments &amp; Config'!BL449)</f>
        <v/>
      </c>
      <c r="Y444" s="32" t="str">
        <f>IF('12 - Deployments &amp; Config'!BC449="","",'12 - Deployments &amp; Config'!BC449)</f>
        <v/>
      </c>
      <c r="Z444" s="32" t="str">
        <f>IF('12 - Deployments &amp; Config'!P449="","",'12 - Deployments &amp; Config'!P449)</f>
        <v/>
      </c>
      <c r="AA444" s="32" t="str">
        <f>IF('12 - Deployments &amp; Config'!Q449="","",'12 - Deployments &amp; Config'!Q449)</f>
        <v/>
      </c>
    </row>
    <row r="445" spans="1:27">
      <c r="A445" s="33"/>
      <c r="B445" s="33"/>
      <c r="C445" s="32" t="str">
        <f>IF('12 - Deployments &amp; Config'!H450="","",'12 - Deployments &amp; Config'!H450)</f>
        <v/>
      </c>
      <c r="D445" s="32" t="str">
        <f>IF('12 - Deployments &amp; Config'!AF450="","",'12 - Deployments &amp; Config'!AF450)</f>
        <v/>
      </c>
      <c r="E445" s="32" t="str">
        <f>IF('12 - Deployments &amp; Config'!AG450="","",'12 - Deployments &amp; Config'!AG450)</f>
        <v/>
      </c>
      <c r="F445" s="32" t="str">
        <f>IF('12 - Deployments &amp; Config'!AH450="","",'12 - Deployments &amp; Config'!AH450)</f>
        <v/>
      </c>
      <c r="G445" s="32" t="str">
        <f>IF('12 - Deployments &amp; Config'!AI450="","",'12 - Deployments &amp; Config'!AI450)</f>
        <v/>
      </c>
      <c r="H445" s="32" t="str">
        <f>IF('12 - Deployments &amp; Config'!A450="","",'12 - Deployments &amp; Config'!A450)</f>
        <v/>
      </c>
      <c r="I445" s="32" t="str">
        <f>IF('12 - Deployments &amp; Config'!AJ450="","",'12 - Deployments &amp; Config'!AJ450)</f>
        <v/>
      </c>
      <c r="J445" s="32" t="str">
        <f>IF('12 - Deployments &amp; Config'!AK450="","",'12 - Deployments &amp; Config'!AK450)</f>
        <v/>
      </c>
      <c r="K445" s="32" t="str">
        <f>IF('12 - Deployments &amp; Config'!AA450="","",'12 - Deployments &amp; Config'!AA450)</f>
        <v/>
      </c>
      <c r="L445" s="32" t="str">
        <f>IF('12 - Deployments &amp; Config'!I450="","",'12 - Deployments &amp; Config'!I450)</f>
        <v/>
      </c>
      <c r="M445" s="33"/>
      <c r="N445" s="32" t="str">
        <f>IF('12 - Deployments &amp; Config'!J450="","",'12 - Deployments &amp; Config'!J450)</f>
        <v/>
      </c>
      <c r="O445" s="32" t="str">
        <f>IF('12 - Deployments &amp; Config'!K450="","",'12 - Deployments &amp; Config'!K450)</f>
        <v/>
      </c>
      <c r="P445" s="32" t="str">
        <f>IF('12 - Deployments &amp; Config'!L450="","",'12 - Deployments &amp; Config'!L450)</f>
        <v/>
      </c>
      <c r="Q445" s="33"/>
      <c r="R445" s="32" t="str">
        <f>IF('12 - Deployments &amp; Config'!AZ450="","",'12 - Deployments &amp; Config'!AZ450)</f>
        <v/>
      </c>
      <c r="S445" s="32" t="str">
        <f>IF('12 - Deployments &amp; Config'!AY450="","",'12 - Deployments &amp; Config'!AY450)</f>
        <v/>
      </c>
      <c r="T445" s="32" t="str">
        <f>IF('12 - Deployments &amp; Config'!AW450="","",'12 - Deployments &amp; Config'!AW450)</f>
        <v/>
      </c>
      <c r="U445" s="32" t="str">
        <f>IF('12 - Deployments &amp; Config'!AX450="","",'12 - Deployments &amp; Config'!AX450)</f>
        <v/>
      </c>
      <c r="V445" s="32" t="str">
        <f>IF('12 - Deployments &amp; Config'!BB450="","",'12 - Deployments &amp; Config'!BB450)</f>
        <v/>
      </c>
      <c r="W445" s="32" t="str">
        <f>IF('12 - Deployments &amp; Config'!BD450="","",'12 - Deployments &amp; Config'!BD450)</f>
        <v/>
      </c>
      <c r="X445" s="32" t="str">
        <f>IF('12 - Deployments &amp; Config'!BL450="","",'12 - Deployments &amp; Config'!BL450)</f>
        <v/>
      </c>
      <c r="Y445" s="32" t="str">
        <f>IF('12 - Deployments &amp; Config'!BC450="","",'12 - Deployments &amp; Config'!BC450)</f>
        <v/>
      </c>
      <c r="Z445" s="32" t="str">
        <f>IF('12 - Deployments &amp; Config'!P450="","",'12 - Deployments &amp; Config'!P450)</f>
        <v/>
      </c>
      <c r="AA445" s="32" t="str">
        <f>IF('12 - Deployments &amp; Config'!Q450="","",'12 - Deployments &amp; Config'!Q450)</f>
        <v/>
      </c>
    </row>
    <row r="446" spans="1:27">
      <c r="A446" s="33"/>
      <c r="B446" s="33"/>
      <c r="C446" s="32" t="str">
        <f>IF('12 - Deployments &amp; Config'!H451="","",'12 - Deployments &amp; Config'!H451)</f>
        <v/>
      </c>
      <c r="D446" s="32" t="str">
        <f>IF('12 - Deployments &amp; Config'!AF451="","",'12 - Deployments &amp; Config'!AF451)</f>
        <v/>
      </c>
      <c r="E446" s="32" t="str">
        <f>IF('12 - Deployments &amp; Config'!AG451="","",'12 - Deployments &amp; Config'!AG451)</f>
        <v/>
      </c>
      <c r="F446" s="32" t="str">
        <f>IF('12 - Deployments &amp; Config'!AH451="","",'12 - Deployments &amp; Config'!AH451)</f>
        <v/>
      </c>
      <c r="G446" s="32" t="str">
        <f>IF('12 - Deployments &amp; Config'!AI451="","",'12 - Deployments &amp; Config'!AI451)</f>
        <v/>
      </c>
      <c r="H446" s="32" t="str">
        <f>IF('12 - Deployments &amp; Config'!A451="","",'12 - Deployments &amp; Config'!A451)</f>
        <v/>
      </c>
      <c r="I446" s="32" t="str">
        <f>IF('12 - Deployments &amp; Config'!AJ451="","",'12 - Deployments &amp; Config'!AJ451)</f>
        <v/>
      </c>
      <c r="J446" s="32" t="str">
        <f>IF('12 - Deployments &amp; Config'!AK451="","",'12 - Deployments &amp; Config'!AK451)</f>
        <v/>
      </c>
      <c r="K446" s="32" t="str">
        <f>IF('12 - Deployments &amp; Config'!AA451="","",'12 - Deployments &amp; Config'!AA451)</f>
        <v/>
      </c>
      <c r="L446" s="32" t="str">
        <f>IF('12 - Deployments &amp; Config'!I451="","",'12 - Deployments &amp; Config'!I451)</f>
        <v/>
      </c>
      <c r="M446" s="33"/>
      <c r="N446" s="32" t="str">
        <f>IF('12 - Deployments &amp; Config'!J451="","",'12 - Deployments &amp; Config'!J451)</f>
        <v/>
      </c>
      <c r="O446" s="32" t="str">
        <f>IF('12 - Deployments &amp; Config'!K451="","",'12 - Deployments &amp; Config'!K451)</f>
        <v/>
      </c>
      <c r="P446" s="32" t="str">
        <f>IF('12 - Deployments &amp; Config'!L451="","",'12 - Deployments &amp; Config'!L451)</f>
        <v/>
      </c>
      <c r="Q446" s="33"/>
      <c r="R446" s="32" t="str">
        <f>IF('12 - Deployments &amp; Config'!AZ451="","",'12 - Deployments &amp; Config'!AZ451)</f>
        <v/>
      </c>
      <c r="S446" s="32" t="str">
        <f>IF('12 - Deployments &amp; Config'!AY451="","",'12 - Deployments &amp; Config'!AY451)</f>
        <v/>
      </c>
      <c r="T446" s="32" t="str">
        <f>IF('12 - Deployments &amp; Config'!AW451="","",'12 - Deployments &amp; Config'!AW451)</f>
        <v/>
      </c>
      <c r="U446" s="32" t="str">
        <f>IF('12 - Deployments &amp; Config'!AX451="","",'12 - Deployments &amp; Config'!AX451)</f>
        <v/>
      </c>
      <c r="V446" s="32" t="str">
        <f>IF('12 - Deployments &amp; Config'!BB451="","",'12 - Deployments &amp; Config'!BB451)</f>
        <v/>
      </c>
      <c r="W446" s="32" t="str">
        <f>IF('12 - Deployments &amp; Config'!BD451="","",'12 - Deployments &amp; Config'!BD451)</f>
        <v/>
      </c>
      <c r="X446" s="32" t="str">
        <f>IF('12 - Deployments &amp; Config'!BL451="","",'12 - Deployments &amp; Config'!BL451)</f>
        <v/>
      </c>
      <c r="Y446" s="32" t="str">
        <f>IF('12 - Deployments &amp; Config'!BC451="","",'12 - Deployments &amp; Config'!BC451)</f>
        <v/>
      </c>
      <c r="Z446" s="32" t="str">
        <f>IF('12 - Deployments &amp; Config'!P451="","",'12 - Deployments &amp; Config'!P451)</f>
        <v/>
      </c>
      <c r="AA446" s="32" t="str">
        <f>IF('12 - Deployments &amp; Config'!Q451="","",'12 - Deployments &amp; Config'!Q451)</f>
        <v/>
      </c>
    </row>
    <row r="447" spans="1:27">
      <c r="A447" s="33"/>
      <c r="B447" s="33"/>
      <c r="C447" s="32" t="str">
        <f>IF('12 - Deployments &amp; Config'!H452="","",'12 - Deployments &amp; Config'!H452)</f>
        <v/>
      </c>
      <c r="D447" s="32" t="str">
        <f>IF('12 - Deployments &amp; Config'!AF452="","",'12 - Deployments &amp; Config'!AF452)</f>
        <v/>
      </c>
      <c r="E447" s="32" t="str">
        <f>IF('12 - Deployments &amp; Config'!AG452="","",'12 - Deployments &amp; Config'!AG452)</f>
        <v/>
      </c>
      <c r="F447" s="32" t="str">
        <f>IF('12 - Deployments &amp; Config'!AH452="","",'12 - Deployments &amp; Config'!AH452)</f>
        <v/>
      </c>
      <c r="G447" s="32" t="str">
        <f>IF('12 - Deployments &amp; Config'!AI452="","",'12 - Deployments &amp; Config'!AI452)</f>
        <v/>
      </c>
      <c r="H447" s="32" t="str">
        <f>IF('12 - Deployments &amp; Config'!A452="","",'12 - Deployments &amp; Config'!A452)</f>
        <v/>
      </c>
      <c r="I447" s="32" t="str">
        <f>IF('12 - Deployments &amp; Config'!AJ452="","",'12 - Deployments &amp; Config'!AJ452)</f>
        <v/>
      </c>
      <c r="J447" s="32" t="str">
        <f>IF('12 - Deployments &amp; Config'!AK452="","",'12 - Deployments &amp; Config'!AK452)</f>
        <v/>
      </c>
      <c r="K447" s="32" t="str">
        <f>IF('12 - Deployments &amp; Config'!AA452="","",'12 - Deployments &amp; Config'!AA452)</f>
        <v/>
      </c>
      <c r="L447" s="32" t="str">
        <f>IF('12 - Deployments &amp; Config'!I452="","",'12 - Deployments &amp; Config'!I452)</f>
        <v/>
      </c>
      <c r="M447" s="33"/>
      <c r="N447" s="32" t="str">
        <f>IF('12 - Deployments &amp; Config'!J452="","",'12 - Deployments &amp; Config'!J452)</f>
        <v/>
      </c>
      <c r="O447" s="32" t="str">
        <f>IF('12 - Deployments &amp; Config'!K452="","",'12 - Deployments &amp; Config'!K452)</f>
        <v/>
      </c>
      <c r="P447" s="32" t="str">
        <f>IF('12 - Deployments &amp; Config'!L452="","",'12 - Deployments &amp; Config'!L452)</f>
        <v/>
      </c>
      <c r="Q447" s="33"/>
      <c r="R447" s="32" t="str">
        <f>IF('12 - Deployments &amp; Config'!AZ452="","",'12 - Deployments &amp; Config'!AZ452)</f>
        <v/>
      </c>
      <c r="S447" s="32" t="str">
        <f>IF('12 - Deployments &amp; Config'!AY452="","",'12 - Deployments &amp; Config'!AY452)</f>
        <v/>
      </c>
      <c r="T447" s="32" t="str">
        <f>IF('12 - Deployments &amp; Config'!AW452="","",'12 - Deployments &amp; Config'!AW452)</f>
        <v/>
      </c>
      <c r="U447" s="32" t="str">
        <f>IF('12 - Deployments &amp; Config'!AX452="","",'12 - Deployments &amp; Config'!AX452)</f>
        <v/>
      </c>
      <c r="V447" s="32" t="str">
        <f>IF('12 - Deployments &amp; Config'!BB452="","",'12 - Deployments &amp; Config'!BB452)</f>
        <v/>
      </c>
      <c r="W447" s="32" t="str">
        <f>IF('12 - Deployments &amp; Config'!BD452="","",'12 - Deployments &amp; Config'!BD452)</f>
        <v/>
      </c>
      <c r="X447" s="32" t="str">
        <f>IF('12 - Deployments &amp; Config'!BL452="","",'12 - Deployments &amp; Config'!BL452)</f>
        <v/>
      </c>
      <c r="Y447" s="32" t="str">
        <f>IF('12 - Deployments &amp; Config'!BC452="","",'12 - Deployments &amp; Config'!BC452)</f>
        <v/>
      </c>
      <c r="Z447" s="32" t="str">
        <f>IF('12 - Deployments &amp; Config'!P452="","",'12 - Deployments &amp; Config'!P452)</f>
        <v/>
      </c>
      <c r="AA447" s="32" t="str">
        <f>IF('12 - Deployments &amp; Config'!Q452="","",'12 - Deployments &amp; Config'!Q452)</f>
        <v/>
      </c>
    </row>
    <row r="448" spans="1:27">
      <c r="A448" s="33"/>
      <c r="B448" s="33"/>
      <c r="C448" s="32" t="str">
        <f>IF('12 - Deployments &amp; Config'!H453="","",'12 - Deployments &amp; Config'!H453)</f>
        <v/>
      </c>
      <c r="D448" s="32" t="str">
        <f>IF('12 - Deployments &amp; Config'!AF453="","",'12 - Deployments &amp; Config'!AF453)</f>
        <v/>
      </c>
      <c r="E448" s="32" t="str">
        <f>IF('12 - Deployments &amp; Config'!AG453="","",'12 - Deployments &amp; Config'!AG453)</f>
        <v/>
      </c>
      <c r="F448" s="32" t="str">
        <f>IF('12 - Deployments &amp; Config'!AH453="","",'12 - Deployments &amp; Config'!AH453)</f>
        <v/>
      </c>
      <c r="G448" s="32" t="str">
        <f>IF('12 - Deployments &amp; Config'!AI453="","",'12 - Deployments &amp; Config'!AI453)</f>
        <v/>
      </c>
      <c r="H448" s="32" t="str">
        <f>IF('12 - Deployments &amp; Config'!A453="","",'12 - Deployments &amp; Config'!A453)</f>
        <v/>
      </c>
      <c r="I448" s="32" t="str">
        <f>IF('12 - Deployments &amp; Config'!AJ453="","",'12 - Deployments &amp; Config'!AJ453)</f>
        <v/>
      </c>
      <c r="J448" s="32" t="str">
        <f>IF('12 - Deployments &amp; Config'!AK453="","",'12 - Deployments &amp; Config'!AK453)</f>
        <v/>
      </c>
      <c r="K448" s="32" t="str">
        <f>IF('12 - Deployments &amp; Config'!AA453="","",'12 - Deployments &amp; Config'!AA453)</f>
        <v/>
      </c>
      <c r="L448" s="32" t="str">
        <f>IF('12 - Deployments &amp; Config'!I453="","",'12 - Deployments &amp; Config'!I453)</f>
        <v/>
      </c>
      <c r="M448" s="33"/>
      <c r="N448" s="32" t="str">
        <f>IF('12 - Deployments &amp; Config'!J453="","",'12 - Deployments &amp; Config'!J453)</f>
        <v/>
      </c>
      <c r="O448" s="32" t="str">
        <f>IF('12 - Deployments &amp; Config'!K453="","",'12 - Deployments &amp; Config'!K453)</f>
        <v/>
      </c>
      <c r="P448" s="32" t="str">
        <f>IF('12 - Deployments &amp; Config'!L453="","",'12 - Deployments &amp; Config'!L453)</f>
        <v/>
      </c>
      <c r="Q448" s="33"/>
      <c r="R448" s="32" t="str">
        <f>IF('12 - Deployments &amp; Config'!AZ453="","",'12 - Deployments &amp; Config'!AZ453)</f>
        <v/>
      </c>
      <c r="S448" s="32" t="str">
        <f>IF('12 - Deployments &amp; Config'!AY453="","",'12 - Deployments &amp; Config'!AY453)</f>
        <v/>
      </c>
      <c r="T448" s="32" t="str">
        <f>IF('12 - Deployments &amp; Config'!AW453="","",'12 - Deployments &amp; Config'!AW453)</f>
        <v/>
      </c>
      <c r="U448" s="32" t="str">
        <f>IF('12 - Deployments &amp; Config'!AX453="","",'12 - Deployments &amp; Config'!AX453)</f>
        <v/>
      </c>
      <c r="V448" s="32" t="str">
        <f>IF('12 - Deployments &amp; Config'!BB453="","",'12 - Deployments &amp; Config'!BB453)</f>
        <v/>
      </c>
      <c r="W448" s="32" t="str">
        <f>IF('12 - Deployments &amp; Config'!BD453="","",'12 - Deployments &amp; Config'!BD453)</f>
        <v/>
      </c>
      <c r="X448" s="32" t="str">
        <f>IF('12 - Deployments &amp; Config'!BL453="","",'12 - Deployments &amp; Config'!BL453)</f>
        <v/>
      </c>
      <c r="Y448" s="32" t="str">
        <f>IF('12 - Deployments &amp; Config'!BC453="","",'12 - Deployments &amp; Config'!BC453)</f>
        <v/>
      </c>
      <c r="Z448" s="32" t="str">
        <f>IF('12 - Deployments &amp; Config'!P453="","",'12 - Deployments &amp; Config'!P453)</f>
        <v/>
      </c>
      <c r="AA448" s="32" t="str">
        <f>IF('12 - Deployments &amp; Config'!Q453="","",'12 - Deployments &amp; Config'!Q453)</f>
        <v/>
      </c>
    </row>
    <row r="449" spans="1:27">
      <c r="A449" s="33"/>
      <c r="B449" s="33"/>
      <c r="C449" s="32" t="str">
        <f>IF('12 - Deployments &amp; Config'!H454="","",'12 - Deployments &amp; Config'!H454)</f>
        <v/>
      </c>
      <c r="D449" s="32" t="str">
        <f>IF('12 - Deployments &amp; Config'!AF454="","",'12 - Deployments &amp; Config'!AF454)</f>
        <v/>
      </c>
      <c r="E449" s="32" t="str">
        <f>IF('12 - Deployments &amp; Config'!AG454="","",'12 - Deployments &amp; Config'!AG454)</f>
        <v/>
      </c>
      <c r="F449" s="32" t="str">
        <f>IF('12 - Deployments &amp; Config'!AH454="","",'12 - Deployments &amp; Config'!AH454)</f>
        <v/>
      </c>
      <c r="G449" s="32" t="str">
        <f>IF('12 - Deployments &amp; Config'!AI454="","",'12 - Deployments &amp; Config'!AI454)</f>
        <v/>
      </c>
      <c r="H449" s="32" t="str">
        <f>IF('12 - Deployments &amp; Config'!A454="","",'12 - Deployments &amp; Config'!A454)</f>
        <v/>
      </c>
      <c r="I449" s="32" t="str">
        <f>IF('12 - Deployments &amp; Config'!AJ454="","",'12 - Deployments &amp; Config'!AJ454)</f>
        <v/>
      </c>
      <c r="J449" s="32" t="str">
        <f>IF('12 - Deployments &amp; Config'!AK454="","",'12 - Deployments &amp; Config'!AK454)</f>
        <v/>
      </c>
      <c r="K449" s="32" t="str">
        <f>IF('12 - Deployments &amp; Config'!AA454="","",'12 - Deployments &amp; Config'!AA454)</f>
        <v/>
      </c>
      <c r="L449" s="32" t="str">
        <f>IF('12 - Deployments &amp; Config'!I454="","",'12 - Deployments &amp; Config'!I454)</f>
        <v/>
      </c>
      <c r="M449" s="33"/>
      <c r="N449" s="32" t="str">
        <f>IF('12 - Deployments &amp; Config'!J454="","",'12 - Deployments &amp; Config'!J454)</f>
        <v/>
      </c>
      <c r="O449" s="32" t="str">
        <f>IF('12 - Deployments &amp; Config'!K454="","",'12 - Deployments &amp; Config'!K454)</f>
        <v/>
      </c>
      <c r="P449" s="32" t="str">
        <f>IF('12 - Deployments &amp; Config'!L454="","",'12 - Deployments &amp; Config'!L454)</f>
        <v/>
      </c>
      <c r="Q449" s="33"/>
      <c r="R449" s="32" t="str">
        <f>IF('12 - Deployments &amp; Config'!AZ454="","",'12 - Deployments &amp; Config'!AZ454)</f>
        <v/>
      </c>
      <c r="S449" s="32" t="str">
        <f>IF('12 - Deployments &amp; Config'!AY454="","",'12 - Deployments &amp; Config'!AY454)</f>
        <v/>
      </c>
      <c r="T449" s="32" t="str">
        <f>IF('12 - Deployments &amp; Config'!AW454="","",'12 - Deployments &amp; Config'!AW454)</f>
        <v/>
      </c>
      <c r="U449" s="32" t="str">
        <f>IF('12 - Deployments &amp; Config'!AX454="","",'12 - Deployments &amp; Config'!AX454)</f>
        <v/>
      </c>
      <c r="V449" s="32" t="str">
        <f>IF('12 - Deployments &amp; Config'!BB454="","",'12 - Deployments &amp; Config'!BB454)</f>
        <v/>
      </c>
      <c r="W449" s="32" t="str">
        <f>IF('12 - Deployments &amp; Config'!BD454="","",'12 - Deployments &amp; Config'!BD454)</f>
        <v/>
      </c>
      <c r="X449" s="32" t="str">
        <f>IF('12 - Deployments &amp; Config'!BL454="","",'12 - Deployments &amp; Config'!BL454)</f>
        <v/>
      </c>
      <c r="Y449" s="32" t="str">
        <f>IF('12 - Deployments &amp; Config'!BC454="","",'12 - Deployments &amp; Config'!BC454)</f>
        <v/>
      </c>
      <c r="Z449" s="32" t="str">
        <f>IF('12 - Deployments &amp; Config'!P454="","",'12 - Deployments &amp; Config'!P454)</f>
        <v/>
      </c>
      <c r="AA449" s="32" t="str">
        <f>IF('12 - Deployments &amp; Config'!Q454="","",'12 - Deployments &amp; Config'!Q454)</f>
        <v/>
      </c>
    </row>
    <row r="450" spans="1:27">
      <c r="A450" s="33"/>
      <c r="B450" s="33"/>
      <c r="C450" s="32" t="str">
        <f>IF('12 - Deployments &amp; Config'!H455="","",'12 - Deployments &amp; Config'!H455)</f>
        <v/>
      </c>
      <c r="D450" s="32" t="str">
        <f>IF('12 - Deployments &amp; Config'!AF455="","",'12 - Deployments &amp; Config'!AF455)</f>
        <v/>
      </c>
      <c r="E450" s="32" t="str">
        <f>IF('12 - Deployments &amp; Config'!AG455="","",'12 - Deployments &amp; Config'!AG455)</f>
        <v/>
      </c>
      <c r="F450" s="32" t="str">
        <f>IF('12 - Deployments &amp; Config'!AH455="","",'12 - Deployments &amp; Config'!AH455)</f>
        <v/>
      </c>
      <c r="G450" s="32" t="str">
        <f>IF('12 - Deployments &amp; Config'!AI455="","",'12 - Deployments &amp; Config'!AI455)</f>
        <v/>
      </c>
      <c r="H450" s="32" t="str">
        <f>IF('12 - Deployments &amp; Config'!A455="","",'12 - Deployments &amp; Config'!A455)</f>
        <v/>
      </c>
      <c r="I450" s="32" t="str">
        <f>IF('12 - Deployments &amp; Config'!AJ455="","",'12 - Deployments &amp; Config'!AJ455)</f>
        <v/>
      </c>
      <c r="J450" s="32" t="str">
        <f>IF('12 - Deployments &amp; Config'!AK455="","",'12 - Deployments &amp; Config'!AK455)</f>
        <v/>
      </c>
      <c r="K450" s="32" t="str">
        <f>IF('12 - Deployments &amp; Config'!AA455="","",'12 - Deployments &amp; Config'!AA455)</f>
        <v/>
      </c>
      <c r="L450" s="32" t="str">
        <f>IF('12 - Deployments &amp; Config'!I455="","",'12 - Deployments &amp; Config'!I455)</f>
        <v/>
      </c>
      <c r="M450" s="33"/>
      <c r="N450" s="32" t="str">
        <f>IF('12 - Deployments &amp; Config'!J455="","",'12 - Deployments &amp; Config'!J455)</f>
        <v/>
      </c>
      <c r="O450" s="32" t="str">
        <f>IF('12 - Deployments &amp; Config'!K455="","",'12 - Deployments &amp; Config'!K455)</f>
        <v/>
      </c>
      <c r="P450" s="32" t="str">
        <f>IF('12 - Deployments &amp; Config'!L455="","",'12 - Deployments &amp; Config'!L455)</f>
        <v/>
      </c>
      <c r="Q450" s="33"/>
      <c r="R450" s="32" t="str">
        <f>IF('12 - Deployments &amp; Config'!AZ455="","",'12 - Deployments &amp; Config'!AZ455)</f>
        <v/>
      </c>
      <c r="S450" s="32" t="str">
        <f>IF('12 - Deployments &amp; Config'!AY455="","",'12 - Deployments &amp; Config'!AY455)</f>
        <v/>
      </c>
      <c r="T450" s="32" t="str">
        <f>IF('12 - Deployments &amp; Config'!AW455="","",'12 - Deployments &amp; Config'!AW455)</f>
        <v/>
      </c>
      <c r="U450" s="32" t="str">
        <f>IF('12 - Deployments &amp; Config'!AX455="","",'12 - Deployments &amp; Config'!AX455)</f>
        <v/>
      </c>
      <c r="V450" s="32" t="str">
        <f>IF('12 - Deployments &amp; Config'!BB455="","",'12 - Deployments &amp; Config'!BB455)</f>
        <v/>
      </c>
      <c r="W450" s="32" t="str">
        <f>IF('12 - Deployments &amp; Config'!BD455="","",'12 - Deployments &amp; Config'!BD455)</f>
        <v/>
      </c>
      <c r="X450" s="32" t="str">
        <f>IF('12 - Deployments &amp; Config'!BL455="","",'12 - Deployments &amp; Config'!BL455)</f>
        <v/>
      </c>
      <c r="Y450" s="32" t="str">
        <f>IF('12 - Deployments &amp; Config'!BC455="","",'12 - Deployments &amp; Config'!BC455)</f>
        <v/>
      </c>
      <c r="Z450" s="32" t="str">
        <f>IF('12 - Deployments &amp; Config'!P455="","",'12 - Deployments &amp; Config'!P455)</f>
        <v/>
      </c>
      <c r="AA450" s="32" t="str">
        <f>IF('12 - Deployments &amp; Config'!Q455="","",'12 - Deployments &amp; Config'!Q455)</f>
        <v/>
      </c>
    </row>
    <row r="451" spans="1:27">
      <c r="A451" s="33"/>
      <c r="B451" s="33"/>
      <c r="C451" s="32" t="str">
        <f>IF('12 - Deployments &amp; Config'!H456="","",'12 - Deployments &amp; Config'!H456)</f>
        <v/>
      </c>
      <c r="D451" s="32" t="str">
        <f>IF('12 - Deployments &amp; Config'!AF456="","",'12 - Deployments &amp; Config'!AF456)</f>
        <v/>
      </c>
      <c r="E451" s="32" t="str">
        <f>IF('12 - Deployments &amp; Config'!AG456="","",'12 - Deployments &amp; Config'!AG456)</f>
        <v/>
      </c>
      <c r="F451" s="32" t="str">
        <f>IF('12 - Deployments &amp; Config'!AH456="","",'12 - Deployments &amp; Config'!AH456)</f>
        <v/>
      </c>
      <c r="G451" s="32" t="str">
        <f>IF('12 - Deployments &amp; Config'!AI456="","",'12 - Deployments &amp; Config'!AI456)</f>
        <v/>
      </c>
      <c r="H451" s="32" t="str">
        <f>IF('12 - Deployments &amp; Config'!A456="","",'12 - Deployments &amp; Config'!A456)</f>
        <v/>
      </c>
      <c r="I451" s="32" t="str">
        <f>IF('12 - Deployments &amp; Config'!AJ456="","",'12 - Deployments &amp; Config'!AJ456)</f>
        <v/>
      </c>
      <c r="J451" s="32" t="str">
        <f>IF('12 - Deployments &amp; Config'!AK456="","",'12 - Deployments &amp; Config'!AK456)</f>
        <v/>
      </c>
      <c r="K451" s="32" t="str">
        <f>IF('12 - Deployments &amp; Config'!AA456="","",'12 - Deployments &amp; Config'!AA456)</f>
        <v/>
      </c>
      <c r="L451" s="32" t="str">
        <f>IF('12 - Deployments &amp; Config'!I456="","",'12 - Deployments &amp; Config'!I456)</f>
        <v/>
      </c>
      <c r="M451" s="33"/>
      <c r="N451" s="32" t="str">
        <f>IF('12 - Deployments &amp; Config'!J456="","",'12 - Deployments &amp; Config'!J456)</f>
        <v/>
      </c>
      <c r="O451" s="32" t="str">
        <f>IF('12 - Deployments &amp; Config'!K456="","",'12 - Deployments &amp; Config'!K456)</f>
        <v/>
      </c>
      <c r="P451" s="32" t="str">
        <f>IF('12 - Deployments &amp; Config'!L456="","",'12 - Deployments &amp; Config'!L456)</f>
        <v/>
      </c>
      <c r="Q451" s="33"/>
      <c r="R451" s="32" t="str">
        <f>IF('12 - Deployments &amp; Config'!AZ456="","",'12 - Deployments &amp; Config'!AZ456)</f>
        <v/>
      </c>
      <c r="S451" s="32" t="str">
        <f>IF('12 - Deployments &amp; Config'!AY456="","",'12 - Deployments &amp; Config'!AY456)</f>
        <v/>
      </c>
      <c r="T451" s="32" t="str">
        <f>IF('12 - Deployments &amp; Config'!AW456="","",'12 - Deployments &amp; Config'!AW456)</f>
        <v/>
      </c>
      <c r="U451" s="32" t="str">
        <f>IF('12 - Deployments &amp; Config'!AX456="","",'12 - Deployments &amp; Config'!AX456)</f>
        <v/>
      </c>
      <c r="V451" s="32" t="str">
        <f>IF('12 - Deployments &amp; Config'!BB456="","",'12 - Deployments &amp; Config'!BB456)</f>
        <v/>
      </c>
      <c r="W451" s="32" t="str">
        <f>IF('12 - Deployments &amp; Config'!BD456="","",'12 - Deployments &amp; Config'!BD456)</f>
        <v/>
      </c>
      <c r="X451" s="32" t="str">
        <f>IF('12 - Deployments &amp; Config'!BL456="","",'12 - Deployments &amp; Config'!BL456)</f>
        <v/>
      </c>
      <c r="Y451" s="32" t="str">
        <f>IF('12 - Deployments &amp; Config'!BC456="","",'12 - Deployments &amp; Config'!BC456)</f>
        <v/>
      </c>
      <c r="Z451" s="32" t="str">
        <f>IF('12 - Deployments &amp; Config'!P456="","",'12 - Deployments &amp; Config'!P456)</f>
        <v/>
      </c>
      <c r="AA451" s="32" t="str">
        <f>IF('12 - Deployments &amp; Config'!Q456="","",'12 - Deployments &amp; Config'!Q456)</f>
        <v/>
      </c>
    </row>
    <row r="452" spans="1:27">
      <c r="A452" s="33"/>
      <c r="B452" s="33"/>
      <c r="C452" s="32" t="str">
        <f>IF('12 - Deployments &amp; Config'!H457="","",'12 - Deployments &amp; Config'!H457)</f>
        <v/>
      </c>
      <c r="D452" s="32" t="str">
        <f>IF('12 - Deployments &amp; Config'!AF457="","",'12 - Deployments &amp; Config'!AF457)</f>
        <v/>
      </c>
      <c r="E452" s="32" t="str">
        <f>IF('12 - Deployments &amp; Config'!AG457="","",'12 - Deployments &amp; Config'!AG457)</f>
        <v/>
      </c>
      <c r="F452" s="32" t="str">
        <f>IF('12 - Deployments &amp; Config'!AH457="","",'12 - Deployments &amp; Config'!AH457)</f>
        <v/>
      </c>
      <c r="G452" s="32" t="str">
        <f>IF('12 - Deployments &amp; Config'!AI457="","",'12 - Deployments &amp; Config'!AI457)</f>
        <v/>
      </c>
      <c r="H452" s="32" t="str">
        <f>IF('12 - Deployments &amp; Config'!A457="","",'12 - Deployments &amp; Config'!A457)</f>
        <v/>
      </c>
      <c r="I452" s="32" t="str">
        <f>IF('12 - Deployments &amp; Config'!AJ457="","",'12 - Deployments &amp; Config'!AJ457)</f>
        <v/>
      </c>
      <c r="J452" s="32" t="str">
        <f>IF('12 - Deployments &amp; Config'!AK457="","",'12 - Deployments &amp; Config'!AK457)</f>
        <v/>
      </c>
      <c r="K452" s="32" t="str">
        <f>IF('12 - Deployments &amp; Config'!AA457="","",'12 - Deployments &amp; Config'!AA457)</f>
        <v/>
      </c>
      <c r="L452" s="32" t="str">
        <f>IF('12 - Deployments &amp; Config'!I457="","",'12 - Deployments &amp; Config'!I457)</f>
        <v/>
      </c>
      <c r="M452" s="33"/>
      <c r="N452" s="32" t="str">
        <f>IF('12 - Deployments &amp; Config'!J457="","",'12 - Deployments &amp; Config'!J457)</f>
        <v/>
      </c>
      <c r="O452" s="32" t="str">
        <f>IF('12 - Deployments &amp; Config'!K457="","",'12 - Deployments &amp; Config'!K457)</f>
        <v/>
      </c>
      <c r="P452" s="32" t="str">
        <f>IF('12 - Deployments &amp; Config'!L457="","",'12 - Deployments &amp; Config'!L457)</f>
        <v/>
      </c>
      <c r="Q452" s="33"/>
      <c r="R452" s="32" t="str">
        <f>IF('12 - Deployments &amp; Config'!AZ457="","",'12 - Deployments &amp; Config'!AZ457)</f>
        <v/>
      </c>
      <c r="S452" s="32" t="str">
        <f>IF('12 - Deployments &amp; Config'!AY457="","",'12 - Deployments &amp; Config'!AY457)</f>
        <v/>
      </c>
      <c r="T452" s="32" t="str">
        <f>IF('12 - Deployments &amp; Config'!AW457="","",'12 - Deployments &amp; Config'!AW457)</f>
        <v/>
      </c>
      <c r="U452" s="32" t="str">
        <f>IF('12 - Deployments &amp; Config'!AX457="","",'12 - Deployments &amp; Config'!AX457)</f>
        <v/>
      </c>
      <c r="V452" s="32" t="str">
        <f>IF('12 - Deployments &amp; Config'!BB457="","",'12 - Deployments &amp; Config'!BB457)</f>
        <v/>
      </c>
      <c r="W452" s="32" t="str">
        <f>IF('12 - Deployments &amp; Config'!BD457="","",'12 - Deployments &amp; Config'!BD457)</f>
        <v/>
      </c>
      <c r="X452" s="32" t="str">
        <f>IF('12 - Deployments &amp; Config'!BL457="","",'12 - Deployments &amp; Config'!BL457)</f>
        <v/>
      </c>
      <c r="Y452" s="32" t="str">
        <f>IF('12 - Deployments &amp; Config'!BC457="","",'12 - Deployments &amp; Config'!BC457)</f>
        <v/>
      </c>
      <c r="Z452" s="32" t="str">
        <f>IF('12 - Deployments &amp; Config'!P457="","",'12 - Deployments &amp; Config'!P457)</f>
        <v/>
      </c>
      <c r="AA452" s="32" t="str">
        <f>IF('12 - Deployments &amp; Config'!Q457="","",'12 - Deployments &amp; Config'!Q457)</f>
        <v/>
      </c>
    </row>
    <row r="453" spans="1:27">
      <c r="A453" s="33"/>
      <c r="B453" s="33"/>
      <c r="C453" s="32" t="str">
        <f>IF('12 - Deployments &amp; Config'!H458="","",'12 - Deployments &amp; Config'!H458)</f>
        <v/>
      </c>
      <c r="D453" s="32" t="str">
        <f>IF('12 - Deployments &amp; Config'!AF458="","",'12 - Deployments &amp; Config'!AF458)</f>
        <v/>
      </c>
      <c r="E453" s="32" t="str">
        <f>IF('12 - Deployments &amp; Config'!AG458="","",'12 - Deployments &amp; Config'!AG458)</f>
        <v/>
      </c>
      <c r="F453" s="32" t="str">
        <f>IF('12 - Deployments &amp; Config'!AH458="","",'12 - Deployments &amp; Config'!AH458)</f>
        <v/>
      </c>
      <c r="G453" s="32" t="str">
        <f>IF('12 - Deployments &amp; Config'!AI458="","",'12 - Deployments &amp; Config'!AI458)</f>
        <v/>
      </c>
      <c r="H453" s="32" t="str">
        <f>IF('12 - Deployments &amp; Config'!A458="","",'12 - Deployments &amp; Config'!A458)</f>
        <v/>
      </c>
      <c r="I453" s="32" t="str">
        <f>IF('12 - Deployments &amp; Config'!AJ458="","",'12 - Deployments &amp; Config'!AJ458)</f>
        <v/>
      </c>
      <c r="J453" s="32" t="str">
        <f>IF('12 - Deployments &amp; Config'!AK458="","",'12 - Deployments &amp; Config'!AK458)</f>
        <v/>
      </c>
      <c r="K453" s="32" t="str">
        <f>IF('12 - Deployments &amp; Config'!AA458="","",'12 - Deployments &amp; Config'!AA458)</f>
        <v/>
      </c>
      <c r="L453" s="32" t="str">
        <f>IF('12 - Deployments &amp; Config'!I458="","",'12 - Deployments &amp; Config'!I458)</f>
        <v/>
      </c>
      <c r="M453" s="33"/>
      <c r="N453" s="32" t="str">
        <f>IF('12 - Deployments &amp; Config'!J458="","",'12 - Deployments &amp; Config'!J458)</f>
        <v/>
      </c>
      <c r="O453" s="32" t="str">
        <f>IF('12 - Deployments &amp; Config'!K458="","",'12 - Deployments &amp; Config'!K458)</f>
        <v/>
      </c>
      <c r="P453" s="32" t="str">
        <f>IF('12 - Deployments &amp; Config'!L458="","",'12 - Deployments &amp; Config'!L458)</f>
        <v/>
      </c>
      <c r="Q453" s="33"/>
      <c r="R453" s="32" t="str">
        <f>IF('12 - Deployments &amp; Config'!AZ458="","",'12 - Deployments &amp; Config'!AZ458)</f>
        <v/>
      </c>
      <c r="S453" s="32" t="str">
        <f>IF('12 - Deployments &amp; Config'!AY458="","",'12 - Deployments &amp; Config'!AY458)</f>
        <v/>
      </c>
      <c r="T453" s="32" t="str">
        <f>IF('12 - Deployments &amp; Config'!AW458="","",'12 - Deployments &amp; Config'!AW458)</f>
        <v/>
      </c>
      <c r="U453" s="32" t="str">
        <f>IF('12 - Deployments &amp; Config'!AX458="","",'12 - Deployments &amp; Config'!AX458)</f>
        <v/>
      </c>
      <c r="V453" s="32" t="str">
        <f>IF('12 - Deployments &amp; Config'!BB458="","",'12 - Deployments &amp; Config'!BB458)</f>
        <v/>
      </c>
      <c r="W453" s="32" t="str">
        <f>IF('12 - Deployments &amp; Config'!BD458="","",'12 - Deployments &amp; Config'!BD458)</f>
        <v/>
      </c>
      <c r="X453" s="32" t="str">
        <f>IF('12 - Deployments &amp; Config'!BL458="","",'12 - Deployments &amp; Config'!BL458)</f>
        <v/>
      </c>
      <c r="Y453" s="32" t="str">
        <f>IF('12 - Deployments &amp; Config'!BC458="","",'12 - Deployments &amp; Config'!BC458)</f>
        <v/>
      </c>
      <c r="Z453" s="32" t="str">
        <f>IF('12 - Deployments &amp; Config'!P458="","",'12 - Deployments &amp; Config'!P458)</f>
        <v/>
      </c>
      <c r="AA453" s="32" t="str">
        <f>IF('12 - Deployments &amp; Config'!Q458="","",'12 - Deployments &amp; Config'!Q458)</f>
        <v/>
      </c>
    </row>
    <row r="454" spans="1:27">
      <c r="A454" s="33"/>
      <c r="B454" s="33"/>
      <c r="C454" s="32" t="str">
        <f>IF('12 - Deployments &amp; Config'!H459="","",'12 - Deployments &amp; Config'!H459)</f>
        <v/>
      </c>
      <c r="D454" s="32" t="str">
        <f>IF('12 - Deployments &amp; Config'!AF459="","",'12 - Deployments &amp; Config'!AF459)</f>
        <v/>
      </c>
      <c r="E454" s="32" t="str">
        <f>IF('12 - Deployments &amp; Config'!AG459="","",'12 - Deployments &amp; Config'!AG459)</f>
        <v/>
      </c>
      <c r="F454" s="32" t="str">
        <f>IF('12 - Deployments &amp; Config'!AH459="","",'12 - Deployments &amp; Config'!AH459)</f>
        <v/>
      </c>
      <c r="G454" s="32" t="str">
        <f>IF('12 - Deployments &amp; Config'!AI459="","",'12 - Deployments &amp; Config'!AI459)</f>
        <v/>
      </c>
      <c r="H454" s="32" t="str">
        <f>IF('12 - Deployments &amp; Config'!A459="","",'12 - Deployments &amp; Config'!A459)</f>
        <v/>
      </c>
      <c r="I454" s="32" t="str">
        <f>IF('12 - Deployments &amp; Config'!AJ459="","",'12 - Deployments &amp; Config'!AJ459)</f>
        <v/>
      </c>
      <c r="J454" s="32" t="str">
        <f>IF('12 - Deployments &amp; Config'!AK459="","",'12 - Deployments &amp; Config'!AK459)</f>
        <v/>
      </c>
      <c r="K454" s="32" t="str">
        <f>IF('12 - Deployments &amp; Config'!AA459="","",'12 - Deployments &amp; Config'!AA459)</f>
        <v/>
      </c>
      <c r="L454" s="32" t="str">
        <f>IF('12 - Deployments &amp; Config'!I459="","",'12 - Deployments &amp; Config'!I459)</f>
        <v/>
      </c>
      <c r="M454" s="33"/>
      <c r="N454" s="32" t="str">
        <f>IF('12 - Deployments &amp; Config'!J459="","",'12 - Deployments &amp; Config'!J459)</f>
        <v/>
      </c>
      <c r="O454" s="32" t="str">
        <f>IF('12 - Deployments &amp; Config'!K459="","",'12 - Deployments &amp; Config'!K459)</f>
        <v/>
      </c>
      <c r="P454" s="32" t="str">
        <f>IF('12 - Deployments &amp; Config'!L459="","",'12 - Deployments &amp; Config'!L459)</f>
        <v/>
      </c>
      <c r="Q454" s="33"/>
      <c r="R454" s="32" t="str">
        <f>IF('12 - Deployments &amp; Config'!AZ459="","",'12 - Deployments &amp; Config'!AZ459)</f>
        <v/>
      </c>
      <c r="S454" s="32" t="str">
        <f>IF('12 - Deployments &amp; Config'!AY459="","",'12 - Deployments &amp; Config'!AY459)</f>
        <v/>
      </c>
      <c r="T454" s="32" t="str">
        <f>IF('12 - Deployments &amp; Config'!AW459="","",'12 - Deployments &amp; Config'!AW459)</f>
        <v/>
      </c>
      <c r="U454" s="32" t="str">
        <f>IF('12 - Deployments &amp; Config'!AX459="","",'12 - Deployments &amp; Config'!AX459)</f>
        <v/>
      </c>
      <c r="V454" s="32" t="str">
        <f>IF('12 - Deployments &amp; Config'!BB459="","",'12 - Deployments &amp; Config'!BB459)</f>
        <v/>
      </c>
      <c r="W454" s="32" t="str">
        <f>IF('12 - Deployments &amp; Config'!BD459="","",'12 - Deployments &amp; Config'!BD459)</f>
        <v/>
      </c>
      <c r="X454" s="32" t="str">
        <f>IF('12 - Deployments &amp; Config'!BL459="","",'12 - Deployments &amp; Config'!BL459)</f>
        <v/>
      </c>
      <c r="Y454" s="32" t="str">
        <f>IF('12 - Deployments &amp; Config'!BC459="","",'12 - Deployments &amp; Config'!BC459)</f>
        <v/>
      </c>
      <c r="Z454" s="32" t="str">
        <f>IF('12 - Deployments &amp; Config'!P459="","",'12 - Deployments &amp; Config'!P459)</f>
        <v/>
      </c>
      <c r="AA454" s="32" t="str">
        <f>IF('12 - Deployments &amp; Config'!Q459="","",'12 - Deployments &amp; Config'!Q459)</f>
        <v/>
      </c>
    </row>
    <row r="455" spans="1:27">
      <c r="A455" s="33"/>
      <c r="B455" s="33"/>
      <c r="C455" s="32" t="str">
        <f>IF('12 - Deployments &amp; Config'!H460="","",'12 - Deployments &amp; Config'!H460)</f>
        <v/>
      </c>
      <c r="D455" s="32" t="str">
        <f>IF('12 - Deployments &amp; Config'!AF460="","",'12 - Deployments &amp; Config'!AF460)</f>
        <v/>
      </c>
      <c r="E455" s="32" t="str">
        <f>IF('12 - Deployments &amp; Config'!AG460="","",'12 - Deployments &amp; Config'!AG460)</f>
        <v/>
      </c>
      <c r="F455" s="32" t="str">
        <f>IF('12 - Deployments &amp; Config'!AH460="","",'12 - Deployments &amp; Config'!AH460)</f>
        <v/>
      </c>
      <c r="G455" s="32" t="str">
        <f>IF('12 - Deployments &amp; Config'!AI460="","",'12 - Deployments &amp; Config'!AI460)</f>
        <v/>
      </c>
      <c r="H455" s="32" t="str">
        <f>IF('12 - Deployments &amp; Config'!A460="","",'12 - Deployments &amp; Config'!A460)</f>
        <v/>
      </c>
      <c r="I455" s="32" t="str">
        <f>IF('12 - Deployments &amp; Config'!AJ460="","",'12 - Deployments &amp; Config'!AJ460)</f>
        <v/>
      </c>
      <c r="J455" s="32" t="str">
        <f>IF('12 - Deployments &amp; Config'!AK460="","",'12 - Deployments &amp; Config'!AK460)</f>
        <v/>
      </c>
      <c r="K455" s="32" t="str">
        <f>IF('12 - Deployments &amp; Config'!AA460="","",'12 - Deployments &amp; Config'!AA460)</f>
        <v/>
      </c>
      <c r="L455" s="32" t="str">
        <f>IF('12 - Deployments &amp; Config'!I460="","",'12 - Deployments &amp; Config'!I460)</f>
        <v/>
      </c>
      <c r="M455" s="33"/>
      <c r="N455" s="32" t="str">
        <f>IF('12 - Deployments &amp; Config'!J460="","",'12 - Deployments &amp; Config'!J460)</f>
        <v/>
      </c>
      <c r="O455" s="32" t="str">
        <f>IF('12 - Deployments &amp; Config'!K460="","",'12 - Deployments &amp; Config'!K460)</f>
        <v/>
      </c>
      <c r="P455" s="32" t="str">
        <f>IF('12 - Deployments &amp; Config'!L460="","",'12 - Deployments &amp; Config'!L460)</f>
        <v/>
      </c>
      <c r="Q455" s="33"/>
      <c r="R455" s="32" t="str">
        <f>IF('12 - Deployments &amp; Config'!AZ460="","",'12 - Deployments &amp; Config'!AZ460)</f>
        <v/>
      </c>
      <c r="S455" s="32" t="str">
        <f>IF('12 - Deployments &amp; Config'!AY460="","",'12 - Deployments &amp; Config'!AY460)</f>
        <v/>
      </c>
      <c r="T455" s="32" t="str">
        <f>IF('12 - Deployments &amp; Config'!AW460="","",'12 - Deployments &amp; Config'!AW460)</f>
        <v/>
      </c>
      <c r="U455" s="32" t="str">
        <f>IF('12 - Deployments &amp; Config'!AX460="","",'12 - Deployments &amp; Config'!AX460)</f>
        <v/>
      </c>
      <c r="V455" s="32" t="str">
        <f>IF('12 - Deployments &amp; Config'!BB460="","",'12 - Deployments &amp; Config'!BB460)</f>
        <v/>
      </c>
      <c r="W455" s="32" t="str">
        <f>IF('12 - Deployments &amp; Config'!BD460="","",'12 - Deployments &amp; Config'!BD460)</f>
        <v/>
      </c>
      <c r="X455" s="32" t="str">
        <f>IF('12 - Deployments &amp; Config'!BL460="","",'12 - Deployments &amp; Config'!BL460)</f>
        <v/>
      </c>
      <c r="Y455" s="32" t="str">
        <f>IF('12 - Deployments &amp; Config'!BC460="","",'12 - Deployments &amp; Config'!BC460)</f>
        <v/>
      </c>
      <c r="Z455" s="32" t="str">
        <f>IF('12 - Deployments &amp; Config'!P460="","",'12 - Deployments &amp; Config'!P460)</f>
        <v/>
      </c>
      <c r="AA455" s="32" t="str">
        <f>IF('12 - Deployments &amp; Config'!Q460="","",'12 - Deployments &amp; Config'!Q460)</f>
        <v/>
      </c>
    </row>
    <row r="456" spans="1:27">
      <c r="A456" s="33"/>
      <c r="B456" s="33"/>
      <c r="C456" s="32" t="str">
        <f>IF('12 - Deployments &amp; Config'!H461="","",'12 - Deployments &amp; Config'!H461)</f>
        <v/>
      </c>
      <c r="D456" s="32" t="str">
        <f>IF('12 - Deployments &amp; Config'!AF461="","",'12 - Deployments &amp; Config'!AF461)</f>
        <v/>
      </c>
      <c r="E456" s="32" t="str">
        <f>IF('12 - Deployments &amp; Config'!AG461="","",'12 - Deployments &amp; Config'!AG461)</f>
        <v/>
      </c>
      <c r="F456" s="32" t="str">
        <f>IF('12 - Deployments &amp; Config'!AH461="","",'12 - Deployments &amp; Config'!AH461)</f>
        <v/>
      </c>
      <c r="G456" s="32" t="str">
        <f>IF('12 - Deployments &amp; Config'!AI461="","",'12 - Deployments &amp; Config'!AI461)</f>
        <v/>
      </c>
      <c r="H456" s="32" t="str">
        <f>IF('12 - Deployments &amp; Config'!A461="","",'12 - Deployments &amp; Config'!A461)</f>
        <v/>
      </c>
      <c r="I456" s="32" t="str">
        <f>IF('12 - Deployments &amp; Config'!AJ461="","",'12 - Deployments &amp; Config'!AJ461)</f>
        <v/>
      </c>
      <c r="J456" s="32" t="str">
        <f>IF('12 - Deployments &amp; Config'!AK461="","",'12 - Deployments &amp; Config'!AK461)</f>
        <v/>
      </c>
      <c r="K456" s="32" t="str">
        <f>IF('12 - Deployments &amp; Config'!AA461="","",'12 - Deployments &amp; Config'!AA461)</f>
        <v/>
      </c>
      <c r="L456" s="32" t="str">
        <f>IF('12 - Deployments &amp; Config'!I461="","",'12 - Deployments &amp; Config'!I461)</f>
        <v/>
      </c>
      <c r="M456" s="33"/>
      <c r="N456" s="32" t="str">
        <f>IF('12 - Deployments &amp; Config'!J461="","",'12 - Deployments &amp; Config'!J461)</f>
        <v/>
      </c>
      <c r="O456" s="32" t="str">
        <f>IF('12 - Deployments &amp; Config'!K461="","",'12 - Deployments &amp; Config'!K461)</f>
        <v/>
      </c>
      <c r="P456" s="32" t="str">
        <f>IF('12 - Deployments &amp; Config'!L461="","",'12 - Deployments &amp; Config'!L461)</f>
        <v/>
      </c>
      <c r="Q456" s="33"/>
      <c r="R456" s="32" t="str">
        <f>IF('12 - Deployments &amp; Config'!AZ461="","",'12 - Deployments &amp; Config'!AZ461)</f>
        <v/>
      </c>
      <c r="S456" s="32" t="str">
        <f>IF('12 - Deployments &amp; Config'!AY461="","",'12 - Deployments &amp; Config'!AY461)</f>
        <v/>
      </c>
      <c r="T456" s="32" t="str">
        <f>IF('12 - Deployments &amp; Config'!AW461="","",'12 - Deployments &amp; Config'!AW461)</f>
        <v/>
      </c>
      <c r="U456" s="32" t="str">
        <f>IF('12 - Deployments &amp; Config'!AX461="","",'12 - Deployments &amp; Config'!AX461)</f>
        <v/>
      </c>
      <c r="V456" s="32" t="str">
        <f>IF('12 - Deployments &amp; Config'!BB461="","",'12 - Deployments &amp; Config'!BB461)</f>
        <v/>
      </c>
      <c r="W456" s="32" t="str">
        <f>IF('12 - Deployments &amp; Config'!BD461="","",'12 - Deployments &amp; Config'!BD461)</f>
        <v/>
      </c>
      <c r="X456" s="32" t="str">
        <f>IF('12 - Deployments &amp; Config'!BL461="","",'12 - Deployments &amp; Config'!BL461)</f>
        <v/>
      </c>
      <c r="Y456" s="32" t="str">
        <f>IF('12 - Deployments &amp; Config'!BC461="","",'12 - Deployments &amp; Config'!BC461)</f>
        <v/>
      </c>
      <c r="Z456" s="32" t="str">
        <f>IF('12 - Deployments &amp; Config'!P461="","",'12 - Deployments &amp; Config'!P461)</f>
        <v/>
      </c>
      <c r="AA456" s="32" t="str">
        <f>IF('12 - Deployments &amp; Config'!Q461="","",'12 - Deployments &amp; Config'!Q461)</f>
        <v/>
      </c>
    </row>
    <row r="457" spans="1:27">
      <c r="A457" s="33"/>
      <c r="B457" s="33"/>
      <c r="C457" s="32" t="str">
        <f>IF('12 - Deployments &amp; Config'!H462="","",'12 - Deployments &amp; Config'!H462)</f>
        <v/>
      </c>
      <c r="D457" s="32" t="str">
        <f>IF('12 - Deployments &amp; Config'!AF462="","",'12 - Deployments &amp; Config'!AF462)</f>
        <v/>
      </c>
      <c r="E457" s="32" t="str">
        <f>IF('12 - Deployments &amp; Config'!AG462="","",'12 - Deployments &amp; Config'!AG462)</f>
        <v/>
      </c>
      <c r="F457" s="32" t="str">
        <f>IF('12 - Deployments &amp; Config'!AH462="","",'12 - Deployments &amp; Config'!AH462)</f>
        <v/>
      </c>
      <c r="G457" s="32" t="str">
        <f>IF('12 - Deployments &amp; Config'!AI462="","",'12 - Deployments &amp; Config'!AI462)</f>
        <v/>
      </c>
      <c r="H457" s="32" t="str">
        <f>IF('12 - Deployments &amp; Config'!A462="","",'12 - Deployments &amp; Config'!A462)</f>
        <v/>
      </c>
      <c r="I457" s="32" t="str">
        <f>IF('12 - Deployments &amp; Config'!AJ462="","",'12 - Deployments &amp; Config'!AJ462)</f>
        <v/>
      </c>
      <c r="J457" s="32" t="str">
        <f>IF('12 - Deployments &amp; Config'!AK462="","",'12 - Deployments &amp; Config'!AK462)</f>
        <v/>
      </c>
      <c r="K457" s="32" t="str">
        <f>IF('12 - Deployments &amp; Config'!AA462="","",'12 - Deployments &amp; Config'!AA462)</f>
        <v/>
      </c>
      <c r="L457" s="32" t="str">
        <f>IF('12 - Deployments &amp; Config'!I462="","",'12 - Deployments &amp; Config'!I462)</f>
        <v/>
      </c>
      <c r="M457" s="33"/>
      <c r="N457" s="32" t="str">
        <f>IF('12 - Deployments &amp; Config'!J462="","",'12 - Deployments &amp; Config'!J462)</f>
        <v/>
      </c>
      <c r="O457" s="32" t="str">
        <f>IF('12 - Deployments &amp; Config'!K462="","",'12 - Deployments &amp; Config'!K462)</f>
        <v/>
      </c>
      <c r="P457" s="32" t="str">
        <f>IF('12 - Deployments &amp; Config'!L462="","",'12 - Deployments &amp; Config'!L462)</f>
        <v/>
      </c>
      <c r="Q457" s="33"/>
      <c r="R457" s="32" t="str">
        <f>IF('12 - Deployments &amp; Config'!AZ462="","",'12 - Deployments &amp; Config'!AZ462)</f>
        <v/>
      </c>
      <c r="S457" s="32" t="str">
        <f>IF('12 - Deployments &amp; Config'!AY462="","",'12 - Deployments &amp; Config'!AY462)</f>
        <v/>
      </c>
      <c r="T457" s="32" t="str">
        <f>IF('12 - Deployments &amp; Config'!AW462="","",'12 - Deployments &amp; Config'!AW462)</f>
        <v/>
      </c>
      <c r="U457" s="32" t="str">
        <f>IF('12 - Deployments &amp; Config'!AX462="","",'12 - Deployments &amp; Config'!AX462)</f>
        <v/>
      </c>
      <c r="V457" s="32" t="str">
        <f>IF('12 - Deployments &amp; Config'!BB462="","",'12 - Deployments &amp; Config'!BB462)</f>
        <v/>
      </c>
      <c r="W457" s="32" t="str">
        <f>IF('12 - Deployments &amp; Config'!BD462="","",'12 - Deployments &amp; Config'!BD462)</f>
        <v/>
      </c>
      <c r="X457" s="32" t="str">
        <f>IF('12 - Deployments &amp; Config'!BL462="","",'12 - Deployments &amp; Config'!BL462)</f>
        <v/>
      </c>
      <c r="Y457" s="32" t="str">
        <f>IF('12 - Deployments &amp; Config'!BC462="","",'12 - Deployments &amp; Config'!BC462)</f>
        <v/>
      </c>
      <c r="Z457" s="32" t="str">
        <f>IF('12 - Deployments &amp; Config'!P462="","",'12 - Deployments &amp; Config'!P462)</f>
        <v/>
      </c>
      <c r="AA457" s="32" t="str">
        <f>IF('12 - Deployments &amp; Config'!Q462="","",'12 - Deployments &amp; Config'!Q462)</f>
        <v/>
      </c>
    </row>
    <row r="458" spans="1:27">
      <c r="A458" s="33"/>
      <c r="B458" s="33"/>
      <c r="C458" s="32" t="str">
        <f>IF('12 - Deployments &amp; Config'!H463="","",'12 - Deployments &amp; Config'!H463)</f>
        <v/>
      </c>
      <c r="D458" s="32" t="str">
        <f>IF('12 - Deployments &amp; Config'!AF463="","",'12 - Deployments &amp; Config'!AF463)</f>
        <v/>
      </c>
      <c r="E458" s="32" t="str">
        <f>IF('12 - Deployments &amp; Config'!AG463="","",'12 - Deployments &amp; Config'!AG463)</f>
        <v/>
      </c>
      <c r="F458" s="32" t="str">
        <f>IF('12 - Deployments &amp; Config'!AH463="","",'12 - Deployments &amp; Config'!AH463)</f>
        <v/>
      </c>
      <c r="G458" s="32" t="str">
        <f>IF('12 - Deployments &amp; Config'!AI463="","",'12 - Deployments &amp; Config'!AI463)</f>
        <v/>
      </c>
      <c r="H458" s="32" t="str">
        <f>IF('12 - Deployments &amp; Config'!A463="","",'12 - Deployments &amp; Config'!A463)</f>
        <v/>
      </c>
      <c r="I458" s="32" t="str">
        <f>IF('12 - Deployments &amp; Config'!AJ463="","",'12 - Deployments &amp; Config'!AJ463)</f>
        <v/>
      </c>
      <c r="J458" s="32" t="str">
        <f>IF('12 - Deployments &amp; Config'!AK463="","",'12 - Deployments &amp; Config'!AK463)</f>
        <v/>
      </c>
      <c r="K458" s="32" t="str">
        <f>IF('12 - Deployments &amp; Config'!AA463="","",'12 - Deployments &amp; Config'!AA463)</f>
        <v/>
      </c>
      <c r="L458" s="32" t="str">
        <f>IF('12 - Deployments &amp; Config'!I463="","",'12 - Deployments &amp; Config'!I463)</f>
        <v/>
      </c>
      <c r="M458" s="33"/>
      <c r="N458" s="32" t="str">
        <f>IF('12 - Deployments &amp; Config'!J463="","",'12 - Deployments &amp; Config'!J463)</f>
        <v/>
      </c>
      <c r="O458" s="32" t="str">
        <f>IF('12 - Deployments &amp; Config'!K463="","",'12 - Deployments &amp; Config'!K463)</f>
        <v/>
      </c>
      <c r="P458" s="32" t="str">
        <f>IF('12 - Deployments &amp; Config'!L463="","",'12 - Deployments &amp; Config'!L463)</f>
        <v/>
      </c>
      <c r="Q458" s="33"/>
      <c r="R458" s="32" t="str">
        <f>IF('12 - Deployments &amp; Config'!AZ463="","",'12 - Deployments &amp; Config'!AZ463)</f>
        <v/>
      </c>
      <c r="S458" s="32" t="str">
        <f>IF('12 - Deployments &amp; Config'!AY463="","",'12 - Deployments &amp; Config'!AY463)</f>
        <v/>
      </c>
      <c r="T458" s="32" t="str">
        <f>IF('12 - Deployments &amp; Config'!AW463="","",'12 - Deployments &amp; Config'!AW463)</f>
        <v/>
      </c>
      <c r="U458" s="32" t="str">
        <f>IF('12 - Deployments &amp; Config'!AX463="","",'12 - Deployments &amp; Config'!AX463)</f>
        <v/>
      </c>
      <c r="V458" s="32" t="str">
        <f>IF('12 - Deployments &amp; Config'!BB463="","",'12 - Deployments &amp; Config'!BB463)</f>
        <v/>
      </c>
      <c r="W458" s="32" t="str">
        <f>IF('12 - Deployments &amp; Config'!BD463="","",'12 - Deployments &amp; Config'!BD463)</f>
        <v/>
      </c>
      <c r="X458" s="32" t="str">
        <f>IF('12 - Deployments &amp; Config'!BL463="","",'12 - Deployments &amp; Config'!BL463)</f>
        <v/>
      </c>
      <c r="Y458" s="32" t="str">
        <f>IF('12 - Deployments &amp; Config'!BC463="","",'12 - Deployments &amp; Config'!BC463)</f>
        <v/>
      </c>
      <c r="Z458" s="32" t="str">
        <f>IF('12 - Deployments &amp; Config'!P463="","",'12 - Deployments &amp; Config'!P463)</f>
        <v/>
      </c>
      <c r="AA458" s="32" t="str">
        <f>IF('12 - Deployments &amp; Config'!Q463="","",'12 - Deployments &amp; Config'!Q463)</f>
        <v/>
      </c>
    </row>
    <row r="459" spans="1:27">
      <c r="A459" s="33"/>
      <c r="B459" s="33"/>
      <c r="C459" s="32" t="str">
        <f>IF('12 - Deployments &amp; Config'!H464="","",'12 - Deployments &amp; Config'!H464)</f>
        <v/>
      </c>
      <c r="D459" s="32" t="str">
        <f>IF('12 - Deployments &amp; Config'!AF464="","",'12 - Deployments &amp; Config'!AF464)</f>
        <v/>
      </c>
      <c r="E459" s="32" t="str">
        <f>IF('12 - Deployments &amp; Config'!AG464="","",'12 - Deployments &amp; Config'!AG464)</f>
        <v/>
      </c>
      <c r="F459" s="32" t="str">
        <f>IF('12 - Deployments &amp; Config'!AH464="","",'12 - Deployments &amp; Config'!AH464)</f>
        <v/>
      </c>
      <c r="G459" s="32" t="str">
        <f>IF('12 - Deployments &amp; Config'!AI464="","",'12 - Deployments &amp; Config'!AI464)</f>
        <v/>
      </c>
      <c r="H459" s="32" t="str">
        <f>IF('12 - Deployments &amp; Config'!A464="","",'12 - Deployments &amp; Config'!A464)</f>
        <v/>
      </c>
      <c r="I459" s="32" t="str">
        <f>IF('12 - Deployments &amp; Config'!AJ464="","",'12 - Deployments &amp; Config'!AJ464)</f>
        <v/>
      </c>
      <c r="J459" s="32" t="str">
        <f>IF('12 - Deployments &amp; Config'!AK464="","",'12 - Deployments &amp; Config'!AK464)</f>
        <v/>
      </c>
      <c r="K459" s="32" t="str">
        <f>IF('12 - Deployments &amp; Config'!AA464="","",'12 - Deployments &amp; Config'!AA464)</f>
        <v/>
      </c>
      <c r="L459" s="32" t="str">
        <f>IF('12 - Deployments &amp; Config'!I464="","",'12 - Deployments &amp; Config'!I464)</f>
        <v/>
      </c>
      <c r="M459" s="33"/>
      <c r="N459" s="32" t="str">
        <f>IF('12 - Deployments &amp; Config'!J464="","",'12 - Deployments &amp; Config'!J464)</f>
        <v/>
      </c>
      <c r="O459" s="32" t="str">
        <f>IF('12 - Deployments &amp; Config'!K464="","",'12 - Deployments &amp; Config'!K464)</f>
        <v/>
      </c>
      <c r="P459" s="32" t="str">
        <f>IF('12 - Deployments &amp; Config'!L464="","",'12 - Deployments &amp; Config'!L464)</f>
        <v/>
      </c>
      <c r="Q459" s="33"/>
      <c r="R459" s="32" t="str">
        <f>IF('12 - Deployments &amp; Config'!AZ464="","",'12 - Deployments &amp; Config'!AZ464)</f>
        <v/>
      </c>
      <c r="S459" s="32" t="str">
        <f>IF('12 - Deployments &amp; Config'!AY464="","",'12 - Deployments &amp; Config'!AY464)</f>
        <v/>
      </c>
      <c r="T459" s="32" t="str">
        <f>IF('12 - Deployments &amp; Config'!AW464="","",'12 - Deployments &amp; Config'!AW464)</f>
        <v/>
      </c>
      <c r="U459" s="32" t="str">
        <f>IF('12 - Deployments &amp; Config'!AX464="","",'12 - Deployments &amp; Config'!AX464)</f>
        <v/>
      </c>
      <c r="V459" s="32" t="str">
        <f>IF('12 - Deployments &amp; Config'!BB464="","",'12 - Deployments &amp; Config'!BB464)</f>
        <v/>
      </c>
      <c r="W459" s="32" t="str">
        <f>IF('12 - Deployments &amp; Config'!BD464="","",'12 - Deployments &amp; Config'!BD464)</f>
        <v/>
      </c>
      <c r="X459" s="32" t="str">
        <f>IF('12 - Deployments &amp; Config'!BL464="","",'12 - Deployments &amp; Config'!BL464)</f>
        <v/>
      </c>
      <c r="Y459" s="32" t="str">
        <f>IF('12 - Deployments &amp; Config'!BC464="","",'12 - Deployments &amp; Config'!BC464)</f>
        <v/>
      </c>
      <c r="Z459" s="32" t="str">
        <f>IF('12 - Deployments &amp; Config'!P464="","",'12 - Deployments &amp; Config'!P464)</f>
        <v/>
      </c>
      <c r="AA459" s="32" t="str">
        <f>IF('12 - Deployments &amp; Config'!Q464="","",'12 - Deployments &amp; Config'!Q464)</f>
        <v/>
      </c>
    </row>
    <row r="460" spans="1:27">
      <c r="A460" s="33"/>
      <c r="B460" s="33"/>
      <c r="C460" s="32" t="str">
        <f>IF('12 - Deployments &amp; Config'!H465="","",'12 - Deployments &amp; Config'!H465)</f>
        <v/>
      </c>
      <c r="D460" s="32" t="str">
        <f>IF('12 - Deployments &amp; Config'!AF465="","",'12 - Deployments &amp; Config'!AF465)</f>
        <v/>
      </c>
      <c r="E460" s="32" t="str">
        <f>IF('12 - Deployments &amp; Config'!AG465="","",'12 - Deployments &amp; Config'!AG465)</f>
        <v/>
      </c>
      <c r="F460" s="32" t="str">
        <f>IF('12 - Deployments &amp; Config'!AH465="","",'12 - Deployments &amp; Config'!AH465)</f>
        <v/>
      </c>
      <c r="G460" s="32" t="str">
        <f>IF('12 - Deployments &amp; Config'!AI465="","",'12 - Deployments &amp; Config'!AI465)</f>
        <v/>
      </c>
      <c r="H460" s="32" t="str">
        <f>IF('12 - Deployments &amp; Config'!A465="","",'12 - Deployments &amp; Config'!A465)</f>
        <v/>
      </c>
      <c r="I460" s="32" t="str">
        <f>IF('12 - Deployments &amp; Config'!AJ465="","",'12 - Deployments &amp; Config'!AJ465)</f>
        <v/>
      </c>
      <c r="J460" s="32" t="str">
        <f>IF('12 - Deployments &amp; Config'!AK465="","",'12 - Deployments &amp; Config'!AK465)</f>
        <v/>
      </c>
      <c r="K460" s="32" t="str">
        <f>IF('12 - Deployments &amp; Config'!AA465="","",'12 - Deployments &amp; Config'!AA465)</f>
        <v/>
      </c>
      <c r="L460" s="32" t="str">
        <f>IF('12 - Deployments &amp; Config'!I465="","",'12 - Deployments &amp; Config'!I465)</f>
        <v/>
      </c>
      <c r="M460" s="33"/>
      <c r="N460" s="32" t="str">
        <f>IF('12 - Deployments &amp; Config'!J465="","",'12 - Deployments &amp; Config'!J465)</f>
        <v/>
      </c>
      <c r="O460" s="32" t="str">
        <f>IF('12 - Deployments &amp; Config'!K465="","",'12 - Deployments &amp; Config'!K465)</f>
        <v/>
      </c>
      <c r="P460" s="32" t="str">
        <f>IF('12 - Deployments &amp; Config'!L465="","",'12 - Deployments &amp; Config'!L465)</f>
        <v/>
      </c>
      <c r="Q460" s="33"/>
      <c r="R460" s="32" t="str">
        <f>IF('12 - Deployments &amp; Config'!AZ465="","",'12 - Deployments &amp; Config'!AZ465)</f>
        <v/>
      </c>
      <c r="S460" s="32" t="str">
        <f>IF('12 - Deployments &amp; Config'!AY465="","",'12 - Deployments &amp; Config'!AY465)</f>
        <v/>
      </c>
      <c r="T460" s="32" t="str">
        <f>IF('12 - Deployments &amp; Config'!AW465="","",'12 - Deployments &amp; Config'!AW465)</f>
        <v/>
      </c>
      <c r="U460" s="32" t="str">
        <f>IF('12 - Deployments &amp; Config'!AX465="","",'12 - Deployments &amp; Config'!AX465)</f>
        <v/>
      </c>
      <c r="V460" s="32" t="str">
        <f>IF('12 - Deployments &amp; Config'!BB465="","",'12 - Deployments &amp; Config'!BB465)</f>
        <v/>
      </c>
      <c r="W460" s="32" t="str">
        <f>IF('12 - Deployments &amp; Config'!BD465="","",'12 - Deployments &amp; Config'!BD465)</f>
        <v/>
      </c>
      <c r="X460" s="32" t="str">
        <f>IF('12 - Deployments &amp; Config'!BL465="","",'12 - Deployments &amp; Config'!BL465)</f>
        <v/>
      </c>
      <c r="Y460" s="32" t="str">
        <f>IF('12 - Deployments &amp; Config'!BC465="","",'12 - Deployments &amp; Config'!BC465)</f>
        <v/>
      </c>
      <c r="Z460" s="32" t="str">
        <f>IF('12 - Deployments &amp; Config'!P465="","",'12 - Deployments &amp; Config'!P465)</f>
        <v/>
      </c>
      <c r="AA460" s="32" t="str">
        <f>IF('12 - Deployments &amp; Config'!Q465="","",'12 - Deployments &amp; Config'!Q465)</f>
        <v/>
      </c>
    </row>
    <row r="461" spans="1:27">
      <c r="A461" s="33"/>
      <c r="B461" s="33"/>
      <c r="C461" s="32" t="str">
        <f>IF('12 - Deployments &amp; Config'!H466="","",'12 - Deployments &amp; Config'!H466)</f>
        <v/>
      </c>
      <c r="D461" s="32" t="str">
        <f>IF('12 - Deployments &amp; Config'!AF466="","",'12 - Deployments &amp; Config'!AF466)</f>
        <v/>
      </c>
      <c r="E461" s="32" t="str">
        <f>IF('12 - Deployments &amp; Config'!AG466="","",'12 - Deployments &amp; Config'!AG466)</f>
        <v/>
      </c>
      <c r="F461" s="32" t="str">
        <f>IF('12 - Deployments &amp; Config'!AH466="","",'12 - Deployments &amp; Config'!AH466)</f>
        <v/>
      </c>
      <c r="G461" s="32" t="str">
        <f>IF('12 - Deployments &amp; Config'!AI466="","",'12 - Deployments &amp; Config'!AI466)</f>
        <v/>
      </c>
      <c r="H461" s="32" t="str">
        <f>IF('12 - Deployments &amp; Config'!A466="","",'12 - Deployments &amp; Config'!A466)</f>
        <v/>
      </c>
      <c r="I461" s="32" t="str">
        <f>IF('12 - Deployments &amp; Config'!AJ466="","",'12 - Deployments &amp; Config'!AJ466)</f>
        <v/>
      </c>
      <c r="J461" s="32" t="str">
        <f>IF('12 - Deployments &amp; Config'!AK466="","",'12 - Deployments &amp; Config'!AK466)</f>
        <v/>
      </c>
      <c r="K461" s="32" t="str">
        <f>IF('12 - Deployments &amp; Config'!AA466="","",'12 - Deployments &amp; Config'!AA466)</f>
        <v/>
      </c>
      <c r="L461" s="32" t="str">
        <f>IF('12 - Deployments &amp; Config'!I466="","",'12 - Deployments &amp; Config'!I466)</f>
        <v/>
      </c>
      <c r="M461" s="33"/>
      <c r="N461" s="32" t="str">
        <f>IF('12 - Deployments &amp; Config'!J466="","",'12 - Deployments &amp; Config'!J466)</f>
        <v/>
      </c>
      <c r="O461" s="32" t="str">
        <f>IF('12 - Deployments &amp; Config'!K466="","",'12 - Deployments &amp; Config'!K466)</f>
        <v/>
      </c>
      <c r="P461" s="32" t="str">
        <f>IF('12 - Deployments &amp; Config'!L466="","",'12 - Deployments &amp; Config'!L466)</f>
        <v/>
      </c>
      <c r="Q461" s="33"/>
      <c r="R461" s="32" t="str">
        <f>IF('12 - Deployments &amp; Config'!AZ466="","",'12 - Deployments &amp; Config'!AZ466)</f>
        <v/>
      </c>
      <c r="S461" s="32" t="str">
        <f>IF('12 - Deployments &amp; Config'!AY466="","",'12 - Deployments &amp; Config'!AY466)</f>
        <v/>
      </c>
      <c r="T461" s="32" t="str">
        <f>IF('12 - Deployments &amp; Config'!AW466="","",'12 - Deployments &amp; Config'!AW466)</f>
        <v/>
      </c>
      <c r="U461" s="32" t="str">
        <f>IF('12 - Deployments &amp; Config'!AX466="","",'12 - Deployments &amp; Config'!AX466)</f>
        <v/>
      </c>
      <c r="V461" s="32" t="str">
        <f>IF('12 - Deployments &amp; Config'!BB466="","",'12 - Deployments &amp; Config'!BB466)</f>
        <v/>
      </c>
      <c r="W461" s="32" t="str">
        <f>IF('12 - Deployments &amp; Config'!BD466="","",'12 - Deployments &amp; Config'!BD466)</f>
        <v/>
      </c>
      <c r="X461" s="32" t="str">
        <f>IF('12 - Deployments &amp; Config'!BL466="","",'12 - Deployments &amp; Config'!BL466)</f>
        <v/>
      </c>
      <c r="Y461" s="32" t="str">
        <f>IF('12 - Deployments &amp; Config'!BC466="","",'12 - Deployments &amp; Config'!BC466)</f>
        <v/>
      </c>
      <c r="Z461" s="32" t="str">
        <f>IF('12 - Deployments &amp; Config'!P466="","",'12 - Deployments &amp; Config'!P466)</f>
        <v/>
      </c>
      <c r="AA461" s="32" t="str">
        <f>IF('12 - Deployments &amp; Config'!Q466="","",'12 - Deployments &amp; Config'!Q466)</f>
        <v/>
      </c>
    </row>
    <row r="462" spans="1:27">
      <c r="A462" s="33"/>
      <c r="B462" s="33"/>
      <c r="C462" s="32" t="str">
        <f>IF('12 - Deployments &amp; Config'!H467="","",'12 - Deployments &amp; Config'!H467)</f>
        <v/>
      </c>
      <c r="D462" s="32" t="str">
        <f>IF('12 - Deployments &amp; Config'!AF467="","",'12 - Deployments &amp; Config'!AF467)</f>
        <v/>
      </c>
      <c r="E462" s="32" t="str">
        <f>IF('12 - Deployments &amp; Config'!AG467="","",'12 - Deployments &amp; Config'!AG467)</f>
        <v/>
      </c>
      <c r="F462" s="32" t="str">
        <f>IF('12 - Deployments &amp; Config'!AH467="","",'12 - Deployments &amp; Config'!AH467)</f>
        <v/>
      </c>
      <c r="G462" s="32" t="str">
        <f>IF('12 - Deployments &amp; Config'!AI467="","",'12 - Deployments &amp; Config'!AI467)</f>
        <v/>
      </c>
      <c r="H462" s="32" t="str">
        <f>IF('12 - Deployments &amp; Config'!A467="","",'12 - Deployments &amp; Config'!A467)</f>
        <v/>
      </c>
      <c r="I462" s="32" t="str">
        <f>IF('12 - Deployments &amp; Config'!AJ467="","",'12 - Deployments &amp; Config'!AJ467)</f>
        <v/>
      </c>
      <c r="J462" s="32" t="str">
        <f>IF('12 - Deployments &amp; Config'!AK467="","",'12 - Deployments &amp; Config'!AK467)</f>
        <v/>
      </c>
      <c r="K462" s="32" t="str">
        <f>IF('12 - Deployments &amp; Config'!AA467="","",'12 - Deployments &amp; Config'!AA467)</f>
        <v/>
      </c>
      <c r="L462" s="32" t="str">
        <f>IF('12 - Deployments &amp; Config'!I467="","",'12 - Deployments &amp; Config'!I467)</f>
        <v/>
      </c>
      <c r="M462" s="33"/>
      <c r="N462" s="32" t="str">
        <f>IF('12 - Deployments &amp; Config'!J467="","",'12 - Deployments &amp; Config'!J467)</f>
        <v/>
      </c>
      <c r="O462" s="32" t="str">
        <f>IF('12 - Deployments &amp; Config'!K467="","",'12 - Deployments &amp; Config'!K467)</f>
        <v/>
      </c>
      <c r="P462" s="32" t="str">
        <f>IF('12 - Deployments &amp; Config'!L467="","",'12 - Deployments &amp; Config'!L467)</f>
        <v/>
      </c>
      <c r="Q462" s="33"/>
      <c r="R462" s="32" t="str">
        <f>IF('12 - Deployments &amp; Config'!AZ467="","",'12 - Deployments &amp; Config'!AZ467)</f>
        <v/>
      </c>
      <c r="S462" s="32" t="str">
        <f>IF('12 - Deployments &amp; Config'!AY467="","",'12 - Deployments &amp; Config'!AY467)</f>
        <v/>
      </c>
      <c r="T462" s="32" t="str">
        <f>IF('12 - Deployments &amp; Config'!AW467="","",'12 - Deployments &amp; Config'!AW467)</f>
        <v/>
      </c>
      <c r="U462" s="32" t="str">
        <f>IF('12 - Deployments &amp; Config'!AX467="","",'12 - Deployments &amp; Config'!AX467)</f>
        <v/>
      </c>
      <c r="V462" s="32" t="str">
        <f>IF('12 - Deployments &amp; Config'!BB467="","",'12 - Deployments &amp; Config'!BB467)</f>
        <v/>
      </c>
      <c r="W462" s="32" t="str">
        <f>IF('12 - Deployments &amp; Config'!BD467="","",'12 - Deployments &amp; Config'!BD467)</f>
        <v/>
      </c>
      <c r="X462" s="32" t="str">
        <f>IF('12 - Deployments &amp; Config'!BL467="","",'12 - Deployments &amp; Config'!BL467)</f>
        <v/>
      </c>
      <c r="Y462" s="32" t="str">
        <f>IF('12 - Deployments &amp; Config'!BC467="","",'12 - Deployments &amp; Config'!BC467)</f>
        <v/>
      </c>
      <c r="Z462" s="32" t="str">
        <f>IF('12 - Deployments &amp; Config'!P467="","",'12 - Deployments &amp; Config'!P467)</f>
        <v/>
      </c>
      <c r="AA462" s="32" t="str">
        <f>IF('12 - Deployments &amp; Config'!Q467="","",'12 - Deployments &amp; Config'!Q467)</f>
        <v/>
      </c>
    </row>
    <row r="463" spans="1:27">
      <c r="A463" s="33"/>
      <c r="B463" s="33"/>
      <c r="C463" s="32" t="str">
        <f>IF('12 - Deployments &amp; Config'!H468="","",'12 - Deployments &amp; Config'!H468)</f>
        <v/>
      </c>
      <c r="D463" s="32" t="str">
        <f>IF('12 - Deployments &amp; Config'!AF468="","",'12 - Deployments &amp; Config'!AF468)</f>
        <v/>
      </c>
      <c r="E463" s="32" t="str">
        <f>IF('12 - Deployments &amp; Config'!AG468="","",'12 - Deployments &amp; Config'!AG468)</f>
        <v/>
      </c>
      <c r="F463" s="32" t="str">
        <f>IF('12 - Deployments &amp; Config'!AH468="","",'12 - Deployments &amp; Config'!AH468)</f>
        <v/>
      </c>
      <c r="G463" s="32" t="str">
        <f>IF('12 - Deployments &amp; Config'!AI468="","",'12 - Deployments &amp; Config'!AI468)</f>
        <v/>
      </c>
      <c r="H463" s="32" t="str">
        <f>IF('12 - Deployments &amp; Config'!A468="","",'12 - Deployments &amp; Config'!A468)</f>
        <v/>
      </c>
      <c r="I463" s="32" t="str">
        <f>IF('12 - Deployments &amp; Config'!AJ468="","",'12 - Deployments &amp; Config'!AJ468)</f>
        <v/>
      </c>
      <c r="J463" s="32" t="str">
        <f>IF('12 - Deployments &amp; Config'!AK468="","",'12 - Deployments &amp; Config'!AK468)</f>
        <v/>
      </c>
      <c r="K463" s="32" t="str">
        <f>IF('12 - Deployments &amp; Config'!AA468="","",'12 - Deployments &amp; Config'!AA468)</f>
        <v/>
      </c>
      <c r="L463" s="32" t="str">
        <f>IF('12 - Deployments &amp; Config'!I468="","",'12 - Deployments &amp; Config'!I468)</f>
        <v/>
      </c>
      <c r="M463" s="33"/>
      <c r="N463" s="32" t="str">
        <f>IF('12 - Deployments &amp; Config'!J468="","",'12 - Deployments &amp; Config'!J468)</f>
        <v/>
      </c>
      <c r="O463" s="32" t="str">
        <f>IF('12 - Deployments &amp; Config'!K468="","",'12 - Deployments &amp; Config'!K468)</f>
        <v/>
      </c>
      <c r="P463" s="32" t="str">
        <f>IF('12 - Deployments &amp; Config'!L468="","",'12 - Deployments &amp; Config'!L468)</f>
        <v/>
      </c>
      <c r="Q463" s="33"/>
      <c r="R463" s="32" t="str">
        <f>IF('12 - Deployments &amp; Config'!AZ468="","",'12 - Deployments &amp; Config'!AZ468)</f>
        <v/>
      </c>
      <c r="S463" s="32" t="str">
        <f>IF('12 - Deployments &amp; Config'!AY468="","",'12 - Deployments &amp; Config'!AY468)</f>
        <v/>
      </c>
      <c r="T463" s="32" t="str">
        <f>IF('12 - Deployments &amp; Config'!AW468="","",'12 - Deployments &amp; Config'!AW468)</f>
        <v/>
      </c>
      <c r="U463" s="32" t="str">
        <f>IF('12 - Deployments &amp; Config'!AX468="","",'12 - Deployments &amp; Config'!AX468)</f>
        <v/>
      </c>
      <c r="V463" s="32" t="str">
        <f>IF('12 - Deployments &amp; Config'!BB468="","",'12 - Deployments &amp; Config'!BB468)</f>
        <v/>
      </c>
      <c r="W463" s="32" t="str">
        <f>IF('12 - Deployments &amp; Config'!BD468="","",'12 - Deployments &amp; Config'!BD468)</f>
        <v/>
      </c>
      <c r="X463" s="32" t="str">
        <f>IF('12 - Deployments &amp; Config'!BL468="","",'12 - Deployments &amp; Config'!BL468)</f>
        <v/>
      </c>
      <c r="Y463" s="32" t="str">
        <f>IF('12 - Deployments &amp; Config'!BC468="","",'12 - Deployments &amp; Config'!BC468)</f>
        <v/>
      </c>
      <c r="Z463" s="32" t="str">
        <f>IF('12 - Deployments &amp; Config'!P468="","",'12 - Deployments &amp; Config'!P468)</f>
        <v/>
      </c>
      <c r="AA463" s="32" t="str">
        <f>IF('12 - Deployments &amp; Config'!Q468="","",'12 - Deployments &amp; Config'!Q468)</f>
        <v/>
      </c>
    </row>
    <row r="464" spans="1:27">
      <c r="A464" s="33"/>
      <c r="B464" s="33"/>
      <c r="C464" s="32" t="str">
        <f>IF('12 - Deployments &amp; Config'!H469="","",'12 - Deployments &amp; Config'!H469)</f>
        <v/>
      </c>
      <c r="D464" s="32" t="str">
        <f>IF('12 - Deployments &amp; Config'!AF469="","",'12 - Deployments &amp; Config'!AF469)</f>
        <v/>
      </c>
      <c r="E464" s="32" t="str">
        <f>IF('12 - Deployments &amp; Config'!AG469="","",'12 - Deployments &amp; Config'!AG469)</f>
        <v/>
      </c>
      <c r="F464" s="32" t="str">
        <f>IF('12 - Deployments &amp; Config'!AH469="","",'12 - Deployments &amp; Config'!AH469)</f>
        <v/>
      </c>
      <c r="G464" s="32" t="str">
        <f>IF('12 - Deployments &amp; Config'!AI469="","",'12 - Deployments &amp; Config'!AI469)</f>
        <v/>
      </c>
      <c r="H464" s="32" t="str">
        <f>IF('12 - Deployments &amp; Config'!A469="","",'12 - Deployments &amp; Config'!A469)</f>
        <v/>
      </c>
      <c r="I464" s="32" t="str">
        <f>IF('12 - Deployments &amp; Config'!AJ469="","",'12 - Deployments &amp; Config'!AJ469)</f>
        <v/>
      </c>
      <c r="J464" s="32" t="str">
        <f>IF('12 - Deployments &amp; Config'!AK469="","",'12 - Deployments &amp; Config'!AK469)</f>
        <v/>
      </c>
      <c r="K464" s="32" t="str">
        <f>IF('12 - Deployments &amp; Config'!AA469="","",'12 - Deployments &amp; Config'!AA469)</f>
        <v/>
      </c>
      <c r="L464" s="32" t="str">
        <f>IF('12 - Deployments &amp; Config'!I469="","",'12 - Deployments &amp; Config'!I469)</f>
        <v/>
      </c>
      <c r="M464" s="33"/>
      <c r="N464" s="32" t="str">
        <f>IF('12 - Deployments &amp; Config'!J469="","",'12 - Deployments &amp; Config'!J469)</f>
        <v/>
      </c>
      <c r="O464" s="32" t="str">
        <f>IF('12 - Deployments &amp; Config'!K469="","",'12 - Deployments &amp; Config'!K469)</f>
        <v/>
      </c>
      <c r="P464" s="32" t="str">
        <f>IF('12 - Deployments &amp; Config'!L469="","",'12 - Deployments &amp; Config'!L469)</f>
        <v/>
      </c>
      <c r="Q464" s="33"/>
      <c r="R464" s="32" t="str">
        <f>IF('12 - Deployments &amp; Config'!AZ469="","",'12 - Deployments &amp; Config'!AZ469)</f>
        <v/>
      </c>
      <c r="S464" s="32" t="str">
        <f>IF('12 - Deployments &amp; Config'!AY469="","",'12 - Deployments &amp; Config'!AY469)</f>
        <v/>
      </c>
      <c r="T464" s="32" t="str">
        <f>IF('12 - Deployments &amp; Config'!AW469="","",'12 - Deployments &amp; Config'!AW469)</f>
        <v/>
      </c>
      <c r="U464" s="32" t="str">
        <f>IF('12 - Deployments &amp; Config'!AX469="","",'12 - Deployments &amp; Config'!AX469)</f>
        <v/>
      </c>
      <c r="V464" s="32" t="str">
        <f>IF('12 - Deployments &amp; Config'!BB469="","",'12 - Deployments &amp; Config'!BB469)</f>
        <v/>
      </c>
      <c r="W464" s="32" t="str">
        <f>IF('12 - Deployments &amp; Config'!BD469="","",'12 - Deployments &amp; Config'!BD469)</f>
        <v/>
      </c>
      <c r="X464" s="32" t="str">
        <f>IF('12 - Deployments &amp; Config'!BL469="","",'12 - Deployments &amp; Config'!BL469)</f>
        <v/>
      </c>
      <c r="Y464" s="32" t="str">
        <f>IF('12 - Deployments &amp; Config'!BC469="","",'12 - Deployments &amp; Config'!BC469)</f>
        <v/>
      </c>
      <c r="Z464" s="32" t="str">
        <f>IF('12 - Deployments &amp; Config'!P469="","",'12 - Deployments &amp; Config'!P469)</f>
        <v/>
      </c>
      <c r="AA464" s="32" t="str">
        <f>IF('12 - Deployments &amp; Config'!Q469="","",'12 - Deployments &amp; Config'!Q469)</f>
        <v/>
      </c>
    </row>
    <row r="465" spans="1:27">
      <c r="A465" s="33"/>
      <c r="B465" s="33"/>
      <c r="C465" s="32" t="str">
        <f>IF('12 - Deployments &amp; Config'!H470="","",'12 - Deployments &amp; Config'!H470)</f>
        <v/>
      </c>
      <c r="D465" s="32" t="str">
        <f>IF('12 - Deployments &amp; Config'!AF470="","",'12 - Deployments &amp; Config'!AF470)</f>
        <v/>
      </c>
      <c r="E465" s="32" t="str">
        <f>IF('12 - Deployments &amp; Config'!AG470="","",'12 - Deployments &amp; Config'!AG470)</f>
        <v/>
      </c>
      <c r="F465" s="32" t="str">
        <f>IF('12 - Deployments &amp; Config'!AH470="","",'12 - Deployments &amp; Config'!AH470)</f>
        <v/>
      </c>
      <c r="G465" s="32" t="str">
        <f>IF('12 - Deployments &amp; Config'!AI470="","",'12 - Deployments &amp; Config'!AI470)</f>
        <v/>
      </c>
      <c r="H465" s="32" t="str">
        <f>IF('12 - Deployments &amp; Config'!A470="","",'12 - Deployments &amp; Config'!A470)</f>
        <v/>
      </c>
      <c r="I465" s="32" t="str">
        <f>IF('12 - Deployments &amp; Config'!AJ470="","",'12 - Deployments &amp; Config'!AJ470)</f>
        <v/>
      </c>
      <c r="J465" s="32" t="str">
        <f>IF('12 - Deployments &amp; Config'!AK470="","",'12 - Deployments &amp; Config'!AK470)</f>
        <v/>
      </c>
      <c r="K465" s="32" t="str">
        <f>IF('12 - Deployments &amp; Config'!AA470="","",'12 - Deployments &amp; Config'!AA470)</f>
        <v/>
      </c>
      <c r="L465" s="32" t="str">
        <f>IF('12 - Deployments &amp; Config'!I470="","",'12 - Deployments &amp; Config'!I470)</f>
        <v/>
      </c>
      <c r="M465" s="33"/>
      <c r="N465" s="32" t="str">
        <f>IF('12 - Deployments &amp; Config'!J470="","",'12 - Deployments &amp; Config'!J470)</f>
        <v/>
      </c>
      <c r="O465" s="32" t="str">
        <f>IF('12 - Deployments &amp; Config'!K470="","",'12 - Deployments &amp; Config'!K470)</f>
        <v/>
      </c>
      <c r="P465" s="32" t="str">
        <f>IF('12 - Deployments &amp; Config'!L470="","",'12 - Deployments &amp; Config'!L470)</f>
        <v/>
      </c>
      <c r="Q465" s="33"/>
      <c r="R465" s="32" t="str">
        <f>IF('12 - Deployments &amp; Config'!AZ470="","",'12 - Deployments &amp; Config'!AZ470)</f>
        <v/>
      </c>
      <c r="S465" s="32" t="str">
        <f>IF('12 - Deployments &amp; Config'!AY470="","",'12 - Deployments &amp; Config'!AY470)</f>
        <v/>
      </c>
      <c r="T465" s="32" t="str">
        <f>IF('12 - Deployments &amp; Config'!AW470="","",'12 - Deployments &amp; Config'!AW470)</f>
        <v/>
      </c>
      <c r="U465" s="32" t="str">
        <f>IF('12 - Deployments &amp; Config'!AX470="","",'12 - Deployments &amp; Config'!AX470)</f>
        <v/>
      </c>
      <c r="V465" s="32" t="str">
        <f>IF('12 - Deployments &amp; Config'!BB470="","",'12 - Deployments &amp; Config'!BB470)</f>
        <v/>
      </c>
      <c r="W465" s="32" t="str">
        <f>IF('12 - Deployments &amp; Config'!BD470="","",'12 - Deployments &amp; Config'!BD470)</f>
        <v/>
      </c>
      <c r="X465" s="32" t="str">
        <f>IF('12 - Deployments &amp; Config'!BL470="","",'12 - Deployments &amp; Config'!BL470)</f>
        <v/>
      </c>
      <c r="Y465" s="32" t="str">
        <f>IF('12 - Deployments &amp; Config'!BC470="","",'12 - Deployments &amp; Config'!BC470)</f>
        <v/>
      </c>
      <c r="Z465" s="32" t="str">
        <f>IF('12 - Deployments &amp; Config'!P470="","",'12 - Deployments &amp; Config'!P470)</f>
        <v/>
      </c>
      <c r="AA465" s="32" t="str">
        <f>IF('12 - Deployments &amp; Config'!Q470="","",'12 - Deployments &amp; Config'!Q470)</f>
        <v/>
      </c>
    </row>
    <row r="466" spans="1:27">
      <c r="A466" s="33"/>
      <c r="B466" s="33"/>
      <c r="C466" s="32" t="str">
        <f>IF('12 - Deployments &amp; Config'!H471="","",'12 - Deployments &amp; Config'!H471)</f>
        <v/>
      </c>
      <c r="D466" s="32" t="str">
        <f>IF('12 - Deployments &amp; Config'!AF471="","",'12 - Deployments &amp; Config'!AF471)</f>
        <v/>
      </c>
      <c r="E466" s="32" t="str">
        <f>IF('12 - Deployments &amp; Config'!AG471="","",'12 - Deployments &amp; Config'!AG471)</f>
        <v/>
      </c>
      <c r="F466" s="32" t="str">
        <f>IF('12 - Deployments &amp; Config'!AH471="","",'12 - Deployments &amp; Config'!AH471)</f>
        <v/>
      </c>
      <c r="G466" s="32" t="str">
        <f>IF('12 - Deployments &amp; Config'!AI471="","",'12 - Deployments &amp; Config'!AI471)</f>
        <v/>
      </c>
      <c r="H466" s="32" t="str">
        <f>IF('12 - Deployments &amp; Config'!A471="","",'12 - Deployments &amp; Config'!A471)</f>
        <v/>
      </c>
      <c r="I466" s="32" t="str">
        <f>IF('12 - Deployments &amp; Config'!AJ471="","",'12 - Deployments &amp; Config'!AJ471)</f>
        <v/>
      </c>
      <c r="J466" s="32" t="str">
        <f>IF('12 - Deployments &amp; Config'!AK471="","",'12 - Deployments &amp; Config'!AK471)</f>
        <v/>
      </c>
      <c r="K466" s="32" t="str">
        <f>IF('12 - Deployments &amp; Config'!AA471="","",'12 - Deployments &amp; Config'!AA471)</f>
        <v/>
      </c>
      <c r="L466" s="32" t="str">
        <f>IF('12 - Deployments &amp; Config'!I471="","",'12 - Deployments &amp; Config'!I471)</f>
        <v/>
      </c>
      <c r="M466" s="33"/>
      <c r="N466" s="32" t="str">
        <f>IF('12 - Deployments &amp; Config'!J471="","",'12 - Deployments &amp; Config'!J471)</f>
        <v/>
      </c>
      <c r="O466" s="32" t="str">
        <f>IF('12 - Deployments &amp; Config'!K471="","",'12 - Deployments &amp; Config'!K471)</f>
        <v/>
      </c>
      <c r="P466" s="32" t="str">
        <f>IF('12 - Deployments &amp; Config'!L471="","",'12 - Deployments &amp; Config'!L471)</f>
        <v/>
      </c>
      <c r="Q466" s="33"/>
      <c r="R466" s="32" t="str">
        <f>IF('12 - Deployments &amp; Config'!AZ471="","",'12 - Deployments &amp; Config'!AZ471)</f>
        <v/>
      </c>
      <c r="S466" s="32" t="str">
        <f>IF('12 - Deployments &amp; Config'!AY471="","",'12 - Deployments &amp; Config'!AY471)</f>
        <v/>
      </c>
      <c r="T466" s="32" t="str">
        <f>IF('12 - Deployments &amp; Config'!AW471="","",'12 - Deployments &amp; Config'!AW471)</f>
        <v/>
      </c>
      <c r="U466" s="32" t="str">
        <f>IF('12 - Deployments &amp; Config'!AX471="","",'12 - Deployments &amp; Config'!AX471)</f>
        <v/>
      </c>
      <c r="V466" s="32" t="str">
        <f>IF('12 - Deployments &amp; Config'!BB471="","",'12 - Deployments &amp; Config'!BB471)</f>
        <v/>
      </c>
      <c r="W466" s="32" t="str">
        <f>IF('12 - Deployments &amp; Config'!BD471="","",'12 - Deployments &amp; Config'!BD471)</f>
        <v/>
      </c>
      <c r="X466" s="32" t="str">
        <f>IF('12 - Deployments &amp; Config'!BL471="","",'12 - Deployments &amp; Config'!BL471)</f>
        <v/>
      </c>
      <c r="Y466" s="32" t="str">
        <f>IF('12 - Deployments &amp; Config'!BC471="","",'12 - Deployments &amp; Config'!BC471)</f>
        <v/>
      </c>
      <c r="Z466" s="32" t="str">
        <f>IF('12 - Deployments &amp; Config'!P471="","",'12 - Deployments &amp; Config'!P471)</f>
        <v/>
      </c>
      <c r="AA466" s="32" t="str">
        <f>IF('12 - Deployments &amp; Config'!Q471="","",'12 - Deployments &amp; Config'!Q471)</f>
        <v/>
      </c>
    </row>
    <row r="467" spans="1:27">
      <c r="A467" s="33"/>
      <c r="B467" s="33"/>
      <c r="C467" s="32" t="str">
        <f>IF('12 - Deployments &amp; Config'!H472="","",'12 - Deployments &amp; Config'!H472)</f>
        <v/>
      </c>
      <c r="D467" s="32" t="str">
        <f>IF('12 - Deployments &amp; Config'!AF472="","",'12 - Deployments &amp; Config'!AF472)</f>
        <v/>
      </c>
      <c r="E467" s="32" t="str">
        <f>IF('12 - Deployments &amp; Config'!AG472="","",'12 - Deployments &amp; Config'!AG472)</f>
        <v/>
      </c>
      <c r="F467" s="32" t="str">
        <f>IF('12 - Deployments &amp; Config'!AH472="","",'12 - Deployments &amp; Config'!AH472)</f>
        <v/>
      </c>
      <c r="G467" s="32" t="str">
        <f>IF('12 - Deployments &amp; Config'!AI472="","",'12 - Deployments &amp; Config'!AI472)</f>
        <v/>
      </c>
      <c r="H467" s="32" t="str">
        <f>IF('12 - Deployments &amp; Config'!A472="","",'12 - Deployments &amp; Config'!A472)</f>
        <v/>
      </c>
      <c r="I467" s="32" t="str">
        <f>IF('12 - Deployments &amp; Config'!AJ472="","",'12 - Deployments &amp; Config'!AJ472)</f>
        <v/>
      </c>
      <c r="J467" s="32" t="str">
        <f>IF('12 - Deployments &amp; Config'!AK472="","",'12 - Deployments &amp; Config'!AK472)</f>
        <v/>
      </c>
      <c r="K467" s="32" t="str">
        <f>IF('12 - Deployments &amp; Config'!AA472="","",'12 - Deployments &amp; Config'!AA472)</f>
        <v/>
      </c>
      <c r="L467" s="32" t="str">
        <f>IF('12 - Deployments &amp; Config'!I472="","",'12 - Deployments &amp; Config'!I472)</f>
        <v/>
      </c>
      <c r="M467" s="33"/>
      <c r="N467" s="32" t="str">
        <f>IF('12 - Deployments &amp; Config'!J472="","",'12 - Deployments &amp; Config'!J472)</f>
        <v/>
      </c>
      <c r="O467" s="32" t="str">
        <f>IF('12 - Deployments &amp; Config'!K472="","",'12 - Deployments &amp; Config'!K472)</f>
        <v/>
      </c>
      <c r="P467" s="32" t="str">
        <f>IF('12 - Deployments &amp; Config'!L472="","",'12 - Deployments &amp; Config'!L472)</f>
        <v/>
      </c>
      <c r="Q467" s="33"/>
      <c r="R467" s="32" t="str">
        <f>IF('12 - Deployments &amp; Config'!AZ472="","",'12 - Deployments &amp; Config'!AZ472)</f>
        <v/>
      </c>
      <c r="S467" s="32" t="str">
        <f>IF('12 - Deployments &amp; Config'!AY472="","",'12 - Deployments &amp; Config'!AY472)</f>
        <v/>
      </c>
      <c r="T467" s="32" t="str">
        <f>IF('12 - Deployments &amp; Config'!AW472="","",'12 - Deployments &amp; Config'!AW472)</f>
        <v/>
      </c>
      <c r="U467" s="32" t="str">
        <f>IF('12 - Deployments &amp; Config'!AX472="","",'12 - Deployments &amp; Config'!AX472)</f>
        <v/>
      </c>
      <c r="V467" s="32" t="str">
        <f>IF('12 - Deployments &amp; Config'!BB472="","",'12 - Deployments &amp; Config'!BB472)</f>
        <v/>
      </c>
      <c r="W467" s="32" t="str">
        <f>IF('12 - Deployments &amp; Config'!BD472="","",'12 - Deployments &amp; Config'!BD472)</f>
        <v/>
      </c>
      <c r="X467" s="32" t="str">
        <f>IF('12 - Deployments &amp; Config'!BL472="","",'12 - Deployments &amp; Config'!BL472)</f>
        <v/>
      </c>
      <c r="Y467" s="32" t="str">
        <f>IF('12 - Deployments &amp; Config'!BC472="","",'12 - Deployments &amp; Config'!BC472)</f>
        <v/>
      </c>
      <c r="Z467" s="32" t="str">
        <f>IF('12 - Deployments &amp; Config'!P472="","",'12 - Deployments &amp; Config'!P472)</f>
        <v/>
      </c>
      <c r="AA467" s="32" t="str">
        <f>IF('12 - Deployments &amp; Config'!Q472="","",'12 - Deployments &amp; Config'!Q472)</f>
        <v/>
      </c>
    </row>
    <row r="468" spans="1:27">
      <c r="A468" s="33"/>
      <c r="B468" s="33"/>
      <c r="C468" s="32" t="str">
        <f>IF('12 - Deployments &amp; Config'!H473="","",'12 - Deployments &amp; Config'!H473)</f>
        <v/>
      </c>
      <c r="D468" s="32" t="str">
        <f>IF('12 - Deployments &amp; Config'!AF473="","",'12 - Deployments &amp; Config'!AF473)</f>
        <v/>
      </c>
      <c r="E468" s="32" t="str">
        <f>IF('12 - Deployments &amp; Config'!AG473="","",'12 - Deployments &amp; Config'!AG473)</f>
        <v/>
      </c>
      <c r="F468" s="32" t="str">
        <f>IF('12 - Deployments &amp; Config'!AH473="","",'12 - Deployments &amp; Config'!AH473)</f>
        <v/>
      </c>
      <c r="G468" s="32" t="str">
        <f>IF('12 - Deployments &amp; Config'!AI473="","",'12 - Deployments &amp; Config'!AI473)</f>
        <v/>
      </c>
      <c r="H468" s="32" t="str">
        <f>IF('12 - Deployments &amp; Config'!A473="","",'12 - Deployments &amp; Config'!A473)</f>
        <v/>
      </c>
      <c r="I468" s="32" t="str">
        <f>IF('12 - Deployments &amp; Config'!AJ473="","",'12 - Deployments &amp; Config'!AJ473)</f>
        <v/>
      </c>
      <c r="J468" s="32" t="str">
        <f>IF('12 - Deployments &amp; Config'!AK473="","",'12 - Deployments &amp; Config'!AK473)</f>
        <v/>
      </c>
      <c r="K468" s="32" t="str">
        <f>IF('12 - Deployments &amp; Config'!AA473="","",'12 - Deployments &amp; Config'!AA473)</f>
        <v/>
      </c>
      <c r="L468" s="32" t="str">
        <f>IF('12 - Deployments &amp; Config'!I473="","",'12 - Deployments &amp; Config'!I473)</f>
        <v/>
      </c>
      <c r="M468" s="33"/>
      <c r="N468" s="32" t="str">
        <f>IF('12 - Deployments &amp; Config'!J473="","",'12 - Deployments &amp; Config'!J473)</f>
        <v/>
      </c>
      <c r="O468" s="32" t="str">
        <f>IF('12 - Deployments &amp; Config'!K473="","",'12 - Deployments &amp; Config'!K473)</f>
        <v/>
      </c>
      <c r="P468" s="32" t="str">
        <f>IF('12 - Deployments &amp; Config'!L473="","",'12 - Deployments &amp; Config'!L473)</f>
        <v/>
      </c>
      <c r="Q468" s="33"/>
      <c r="R468" s="32" t="str">
        <f>IF('12 - Deployments &amp; Config'!AZ473="","",'12 - Deployments &amp; Config'!AZ473)</f>
        <v/>
      </c>
      <c r="S468" s="32" t="str">
        <f>IF('12 - Deployments &amp; Config'!AY473="","",'12 - Deployments &amp; Config'!AY473)</f>
        <v/>
      </c>
      <c r="T468" s="32" t="str">
        <f>IF('12 - Deployments &amp; Config'!AW473="","",'12 - Deployments &amp; Config'!AW473)</f>
        <v/>
      </c>
      <c r="U468" s="32" t="str">
        <f>IF('12 - Deployments &amp; Config'!AX473="","",'12 - Deployments &amp; Config'!AX473)</f>
        <v/>
      </c>
      <c r="V468" s="32" t="str">
        <f>IF('12 - Deployments &amp; Config'!BB473="","",'12 - Deployments &amp; Config'!BB473)</f>
        <v/>
      </c>
      <c r="W468" s="32" t="str">
        <f>IF('12 - Deployments &amp; Config'!BD473="","",'12 - Deployments &amp; Config'!BD473)</f>
        <v/>
      </c>
      <c r="X468" s="32" t="str">
        <f>IF('12 - Deployments &amp; Config'!BL473="","",'12 - Deployments &amp; Config'!BL473)</f>
        <v/>
      </c>
      <c r="Y468" s="32" t="str">
        <f>IF('12 - Deployments &amp; Config'!BC473="","",'12 - Deployments &amp; Config'!BC473)</f>
        <v/>
      </c>
      <c r="Z468" s="32" t="str">
        <f>IF('12 - Deployments &amp; Config'!P473="","",'12 - Deployments &amp; Config'!P473)</f>
        <v/>
      </c>
      <c r="AA468" s="32" t="str">
        <f>IF('12 - Deployments &amp; Config'!Q473="","",'12 - Deployments &amp; Config'!Q473)</f>
        <v/>
      </c>
    </row>
    <row r="469" spans="1:27">
      <c r="A469" s="33"/>
      <c r="B469" s="33"/>
      <c r="C469" s="32" t="str">
        <f>IF('12 - Deployments &amp; Config'!H474="","",'12 - Deployments &amp; Config'!H474)</f>
        <v/>
      </c>
      <c r="D469" s="32" t="str">
        <f>IF('12 - Deployments &amp; Config'!AF474="","",'12 - Deployments &amp; Config'!AF474)</f>
        <v/>
      </c>
      <c r="E469" s="32" t="str">
        <f>IF('12 - Deployments &amp; Config'!AG474="","",'12 - Deployments &amp; Config'!AG474)</f>
        <v/>
      </c>
      <c r="F469" s="32" t="str">
        <f>IF('12 - Deployments &amp; Config'!AH474="","",'12 - Deployments &amp; Config'!AH474)</f>
        <v/>
      </c>
      <c r="G469" s="32" t="str">
        <f>IF('12 - Deployments &amp; Config'!AI474="","",'12 - Deployments &amp; Config'!AI474)</f>
        <v/>
      </c>
      <c r="H469" s="32" t="str">
        <f>IF('12 - Deployments &amp; Config'!A474="","",'12 - Deployments &amp; Config'!A474)</f>
        <v/>
      </c>
      <c r="I469" s="32" t="str">
        <f>IF('12 - Deployments &amp; Config'!AJ474="","",'12 - Deployments &amp; Config'!AJ474)</f>
        <v/>
      </c>
      <c r="J469" s="32" t="str">
        <f>IF('12 - Deployments &amp; Config'!AK474="","",'12 - Deployments &amp; Config'!AK474)</f>
        <v/>
      </c>
      <c r="K469" s="32" t="str">
        <f>IF('12 - Deployments &amp; Config'!AA474="","",'12 - Deployments &amp; Config'!AA474)</f>
        <v/>
      </c>
      <c r="L469" s="32" t="str">
        <f>IF('12 - Deployments &amp; Config'!I474="","",'12 - Deployments &amp; Config'!I474)</f>
        <v/>
      </c>
      <c r="M469" s="33"/>
      <c r="N469" s="32" t="str">
        <f>IF('12 - Deployments &amp; Config'!J474="","",'12 - Deployments &amp; Config'!J474)</f>
        <v/>
      </c>
      <c r="O469" s="32" t="str">
        <f>IF('12 - Deployments &amp; Config'!K474="","",'12 - Deployments &amp; Config'!K474)</f>
        <v/>
      </c>
      <c r="P469" s="32" t="str">
        <f>IF('12 - Deployments &amp; Config'!L474="","",'12 - Deployments &amp; Config'!L474)</f>
        <v/>
      </c>
      <c r="Q469" s="33"/>
      <c r="R469" s="32" t="str">
        <f>IF('12 - Deployments &amp; Config'!AZ474="","",'12 - Deployments &amp; Config'!AZ474)</f>
        <v/>
      </c>
      <c r="S469" s="32" t="str">
        <f>IF('12 - Deployments &amp; Config'!AY474="","",'12 - Deployments &amp; Config'!AY474)</f>
        <v/>
      </c>
      <c r="T469" s="32" t="str">
        <f>IF('12 - Deployments &amp; Config'!AW474="","",'12 - Deployments &amp; Config'!AW474)</f>
        <v/>
      </c>
      <c r="U469" s="32" t="str">
        <f>IF('12 - Deployments &amp; Config'!AX474="","",'12 - Deployments &amp; Config'!AX474)</f>
        <v/>
      </c>
      <c r="V469" s="32" t="str">
        <f>IF('12 - Deployments &amp; Config'!BB474="","",'12 - Deployments &amp; Config'!BB474)</f>
        <v/>
      </c>
      <c r="W469" s="32" t="str">
        <f>IF('12 - Deployments &amp; Config'!BD474="","",'12 - Deployments &amp; Config'!BD474)</f>
        <v/>
      </c>
      <c r="X469" s="32" t="str">
        <f>IF('12 - Deployments &amp; Config'!BL474="","",'12 - Deployments &amp; Config'!BL474)</f>
        <v/>
      </c>
      <c r="Y469" s="32" t="str">
        <f>IF('12 - Deployments &amp; Config'!BC474="","",'12 - Deployments &amp; Config'!BC474)</f>
        <v/>
      </c>
      <c r="Z469" s="32" t="str">
        <f>IF('12 - Deployments &amp; Config'!P474="","",'12 - Deployments &amp; Config'!P474)</f>
        <v/>
      </c>
      <c r="AA469" s="32" t="str">
        <f>IF('12 - Deployments &amp; Config'!Q474="","",'12 - Deployments &amp; Config'!Q474)</f>
        <v/>
      </c>
    </row>
    <row r="470" spans="1:27">
      <c r="A470" s="33"/>
      <c r="B470" s="33"/>
      <c r="C470" s="32" t="str">
        <f>IF('12 - Deployments &amp; Config'!H475="","",'12 - Deployments &amp; Config'!H475)</f>
        <v/>
      </c>
      <c r="D470" s="32" t="str">
        <f>IF('12 - Deployments &amp; Config'!AF475="","",'12 - Deployments &amp; Config'!AF475)</f>
        <v/>
      </c>
      <c r="E470" s="32" t="str">
        <f>IF('12 - Deployments &amp; Config'!AG475="","",'12 - Deployments &amp; Config'!AG475)</f>
        <v/>
      </c>
      <c r="F470" s="32" t="str">
        <f>IF('12 - Deployments &amp; Config'!AH475="","",'12 - Deployments &amp; Config'!AH475)</f>
        <v/>
      </c>
      <c r="G470" s="32" t="str">
        <f>IF('12 - Deployments &amp; Config'!AI475="","",'12 - Deployments &amp; Config'!AI475)</f>
        <v/>
      </c>
      <c r="H470" s="32" t="str">
        <f>IF('12 - Deployments &amp; Config'!A475="","",'12 - Deployments &amp; Config'!A475)</f>
        <v/>
      </c>
      <c r="I470" s="32" t="str">
        <f>IF('12 - Deployments &amp; Config'!AJ475="","",'12 - Deployments &amp; Config'!AJ475)</f>
        <v/>
      </c>
      <c r="J470" s="32" t="str">
        <f>IF('12 - Deployments &amp; Config'!AK475="","",'12 - Deployments &amp; Config'!AK475)</f>
        <v/>
      </c>
      <c r="K470" s="32" t="str">
        <f>IF('12 - Deployments &amp; Config'!AA475="","",'12 - Deployments &amp; Config'!AA475)</f>
        <v/>
      </c>
      <c r="L470" s="32" t="str">
        <f>IF('12 - Deployments &amp; Config'!I475="","",'12 - Deployments &amp; Config'!I475)</f>
        <v/>
      </c>
      <c r="M470" s="33"/>
      <c r="N470" s="32" t="str">
        <f>IF('12 - Deployments &amp; Config'!J475="","",'12 - Deployments &amp; Config'!J475)</f>
        <v/>
      </c>
      <c r="O470" s="32" t="str">
        <f>IF('12 - Deployments &amp; Config'!K475="","",'12 - Deployments &amp; Config'!K475)</f>
        <v/>
      </c>
      <c r="P470" s="32" t="str">
        <f>IF('12 - Deployments &amp; Config'!L475="","",'12 - Deployments &amp; Config'!L475)</f>
        <v/>
      </c>
      <c r="Q470" s="33"/>
      <c r="R470" s="32" t="str">
        <f>IF('12 - Deployments &amp; Config'!AZ475="","",'12 - Deployments &amp; Config'!AZ475)</f>
        <v/>
      </c>
      <c r="S470" s="32" t="str">
        <f>IF('12 - Deployments &amp; Config'!AY475="","",'12 - Deployments &amp; Config'!AY475)</f>
        <v/>
      </c>
      <c r="T470" s="32" t="str">
        <f>IF('12 - Deployments &amp; Config'!AW475="","",'12 - Deployments &amp; Config'!AW475)</f>
        <v/>
      </c>
      <c r="U470" s="32" t="str">
        <f>IF('12 - Deployments &amp; Config'!AX475="","",'12 - Deployments &amp; Config'!AX475)</f>
        <v/>
      </c>
      <c r="V470" s="32" t="str">
        <f>IF('12 - Deployments &amp; Config'!BB475="","",'12 - Deployments &amp; Config'!BB475)</f>
        <v/>
      </c>
      <c r="W470" s="32" t="str">
        <f>IF('12 - Deployments &amp; Config'!BD475="","",'12 - Deployments &amp; Config'!BD475)</f>
        <v/>
      </c>
      <c r="X470" s="32" t="str">
        <f>IF('12 - Deployments &amp; Config'!BL475="","",'12 - Deployments &amp; Config'!BL475)</f>
        <v/>
      </c>
      <c r="Y470" s="32" t="str">
        <f>IF('12 - Deployments &amp; Config'!BC475="","",'12 - Deployments &amp; Config'!BC475)</f>
        <v/>
      </c>
      <c r="Z470" s="32" t="str">
        <f>IF('12 - Deployments &amp; Config'!P475="","",'12 - Deployments &amp; Config'!P475)</f>
        <v/>
      </c>
      <c r="AA470" s="32" t="str">
        <f>IF('12 - Deployments &amp; Config'!Q475="","",'12 - Deployments &amp; Config'!Q475)</f>
        <v/>
      </c>
    </row>
    <row r="471" spans="1:27">
      <c r="A471" s="33"/>
      <c r="B471" s="33"/>
      <c r="C471" s="32" t="str">
        <f>IF('12 - Deployments &amp; Config'!H476="","",'12 - Deployments &amp; Config'!H476)</f>
        <v/>
      </c>
      <c r="D471" s="32" t="str">
        <f>IF('12 - Deployments &amp; Config'!AF476="","",'12 - Deployments &amp; Config'!AF476)</f>
        <v/>
      </c>
      <c r="E471" s="32" t="str">
        <f>IF('12 - Deployments &amp; Config'!AG476="","",'12 - Deployments &amp; Config'!AG476)</f>
        <v/>
      </c>
      <c r="F471" s="32" t="str">
        <f>IF('12 - Deployments &amp; Config'!AH476="","",'12 - Deployments &amp; Config'!AH476)</f>
        <v/>
      </c>
      <c r="G471" s="32" t="str">
        <f>IF('12 - Deployments &amp; Config'!AI476="","",'12 - Deployments &amp; Config'!AI476)</f>
        <v/>
      </c>
      <c r="H471" s="32" t="str">
        <f>IF('12 - Deployments &amp; Config'!A476="","",'12 - Deployments &amp; Config'!A476)</f>
        <v/>
      </c>
      <c r="I471" s="32" t="str">
        <f>IF('12 - Deployments &amp; Config'!AJ476="","",'12 - Deployments &amp; Config'!AJ476)</f>
        <v/>
      </c>
      <c r="J471" s="32" t="str">
        <f>IF('12 - Deployments &amp; Config'!AK476="","",'12 - Deployments &amp; Config'!AK476)</f>
        <v/>
      </c>
      <c r="K471" s="32" t="str">
        <f>IF('12 - Deployments &amp; Config'!AA476="","",'12 - Deployments &amp; Config'!AA476)</f>
        <v/>
      </c>
      <c r="L471" s="32" t="str">
        <f>IF('12 - Deployments &amp; Config'!I476="","",'12 - Deployments &amp; Config'!I476)</f>
        <v/>
      </c>
      <c r="M471" s="33"/>
      <c r="N471" s="32" t="str">
        <f>IF('12 - Deployments &amp; Config'!J476="","",'12 - Deployments &amp; Config'!J476)</f>
        <v/>
      </c>
      <c r="O471" s="32" t="str">
        <f>IF('12 - Deployments &amp; Config'!K476="","",'12 - Deployments &amp; Config'!K476)</f>
        <v/>
      </c>
      <c r="P471" s="32" t="str">
        <f>IF('12 - Deployments &amp; Config'!L476="","",'12 - Deployments &amp; Config'!L476)</f>
        <v/>
      </c>
      <c r="Q471" s="33"/>
      <c r="R471" s="32" t="str">
        <f>IF('12 - Deployments &amp; Config'!AZ476="","",'12 - Deployments &amp; Config'!AZ476)</f>
        <v/>
      </c>
      <c r="S471" s="32" t="str">
        <f>IF('12 - Deployments &amp; Config'!AY476="","",'12 - Deployments &amp; Config'!AY476)</f>
        <v/>
      </c>
      <c r="T471" s="32" t="str">
        <f>IF('12 - Deployments &amp; Config'!AW476="","",'12 - Deployments &amp; Config'!AW476)</f>
        <v/>
      </c>
      <c r="U471" s="32" t="str">
        <f>IF('12 - Deployments &amp; Config'!AX476="","",'12 - Deployments &amp; Config'!AX476)</f>
        <v/>
      </c>
      <c r="V471" s="32" t="str">
        <f>IF('12 - Deployments &amp; Config'!BB476="","",'12 - Deployments &amp; Config'!BB476)</f>
        <v/>
      </c>
      <c r="W471" s="32" t="str">
        <f>IF('12 - Deployments &amp; Config'!BD476="","",'12 - Deployments &amp; Config'!BD476)</f>
        <v/>
      </c>
      <c r="X471" s="32" t="str">
        <f>IF('12 - Deployments &amp; Config'!BL476="","",'12 - Deployments &amp; Config'!BL476)</f>
        <v/>
      </c>
      <c r="Y471" s="32" t="str">
        <f>IF('12 - Deployments &amp; Config'!BC476="","",'12 - Deployments &amp; Config'!BC476)</f>
        <v/>
      </c>
      <c r="Z471" s="32" t="str">
        <f>IF('12 - Deployments &amp; Config'!P476="","",'12 - Deployments &amp; Config'!P476)</f>
        <v/>
      </c>
      <c r="AA471" s="32" t="str">
        <f>IF('12 - Deployments &amp; Config'!Q476="","",'12 - Deployments &amp; Config'!Q476)</f>
        <v/>
      </c>
    </row>
    <row r="472" spans="1:27">
      <c r="A472" s="33"/>
      <c r="B472" s="33"/>
      <c r="C472" s="32" t="str">
        <f>IF('12 - Deployments &amp; Config'!H477="","",'12 - Deployments &amp; Config'!H477)</f>
        <v/>
      </c>
      <c r="D472" s="32" t="str">
        <f>IF('12 - Deployments &amp; Config'!AF477="","",'12 - Deployments &amp; Config'!AF477)</f>
        <v/>
      </c>
      <c r="E472" s="32" t="str">
        <f>IF('12 - Deployments &amp; Config'!AG477="","",'12 - Deployments &amp; Config'!AG477)</f>
        <v/>
      </c>
      <c r="F472" s="32" t="str">
        <f>IF('12 - Deployments &amp; Config'!AH477="","",'12 - Deployments &amp; Config'!AH477)</f>
        <v/>
      </c>
      <c r="G472" s="32" t="str">
        <f>IF('12 - Deployments &amp; Config'!AI477="","",'12 - Deployments &amp; Config'!AI477)</f>
        <v/>
      </c>
      <c r="H472" s="32" t="str">
        <f>IF('12 - Deployments &amp; Config'!A477="","",'12 - Deployments &amp; Config'!A477)</f>
        <v/>
      </c>
      <c r="I472" s="32" t="str">
        <f>IF('12 - Deployments &amp; Config'!AJ477="","",'12 - Deployments &amp; Config'!AJ477)</f>
        <v/>
      </c>
      <c r="J472" s="32" t="str">
        <f>IF('12 - Deployments &amp; Config'!AK477="","",'12 - Deployments &amp; Config'!AK477)</f>
        <v/>
      </c>
      <c r="K472" s="32" t="str">
        <f>IF('12 - Deployments &amp; Config'!AA477="","",'12 - Deployments &amp; Config'!AA477)</f>
        <v/>
      </c>
      <c r="L472" s="32" t="str">
        <f>IF('12 - Deployments &amp; Config'!I477="","",'12 - Deployments &amp; Config'!I477)</f>
        <v/>
      </c>
      <c r="M472" s="33"/>
      <c r="N472" s="32" t="str">
        <f>IF('12 - Deployments &amp; Config'!J477="","",'12 - Deployments &amp; Config'!J477)</f>
        <v/>
      </c>
      <c r="O472" s="32" t="str">
        <f>IF('12 - Deployments &amp; Config'!K477="","",'12 - Deployments &amp; Config'!K477)</f>
        <v/>
      </c>
      <c r="P472" s="32" t="str">
        <f>IF('12 - Deployments &amp; Config'!L477="","",'12 - Deployments &amp; Config'!L477)</f>
        <v/>
      </c>
      <c r="Q472" s="33"/>
      <c r="R472" s="32" t="str">
        <f>IF('12 - Deployments &amp; Config'!AZ477="","",'12 - Deployments &amp; Config'!AZ477)</f>
        <v/>
      </c>
      <c r="S472" s="32" t="str">
        <f>IF('12 - Deployments &amp; Config'!AY477="","",'12 - Deployments &amp; Config'!AY477)</f>
        <v/>
      </c>
      <c r="T472" s="32" t="str">
        <f>IF('12 - Deployments &amp; Config'!AW477="","",'12 - Deployments &amp; Config'!AW477)</f>
        <v/>
      </c>
      <c r="U472" s="32" t="str">
        <f>IF('12 - Deployments &amp; Config'!AX477="","",'12 - Deployments &amp; Config'!AX477)</f>
        <v/>
      </c>
      <c r="V472" s="32" t="str">
        <f>IF('12 - Deployments &amp; Config'!BB477="","",'12 - Deployments &amp; Config'!BB477)</f>
        <v/>
      </c>
      <c r="W472" s="32" t="str">
        <f>IF('12 - Deployments &amp; Config'!BD477="","",'12 - Deployments &amp; Config'!BD477)</f>
        <v/>
      </c>
      <c r="X472" s="32" t="str">
        <f>IF('12 - Deployments &amp; Config'!BL477="","",'12 - Deployments &amp; Config'!BL477)</f>
        <v/>
      </c>
      <c r="Y472" s="32" t="str">
        <f>IF('12 - Deployments &amp; Config'!BC477="","",'12 - Deployments &amp; Config'!BC477)</f>
        <v/>
      </c>
      <c r="Z472" s="32" t="str">
        <f>IF('12 - Deployments &amp; Config'!P477="","",'12 - Deployments &amp; Config'!P477)</f>
        <v/>
      </c>
      <c r="AA472" s="32" t="str">
        <f>IF('12 - Deployments &amp; Config'!Q477="","",'12 - Deployments &amp; Config'!Q477)</f>
        <v/>
      </c>
    </row>
    <row r="473" spans="1:27">
      <c r="A473" s="33"/>
      <c r="B473" s="33"/>
      <c r="C473" s="32" t="str">
        <f>IF('12 - Deployments &amp; Config'!H478="","",'12 - Deployments &amp; Config'!H478)</f>
        <v/>
      </c>
      <c r="D473" s="32" t="str">
        <f>IF('12 - Deployments &amp; Config'!AF478="","",'12 - Deployments &amp; Config'!AF478)</f>
        <v/>
      </c>
      <c r="E473" s="32" t="str">
        <f>IF('12 - Deployments &amp; Config'!AG478="","",'12 - Deployments &amp; Config'!AG478)</f>
        <v/>
      </c>
      <c r="F473" s="32" t="str">
        <f>IF('12 - Deployments &amp; Config'!AH478="","",'12 - Deployments &amp; Config'!AH478)</f>
        <v/>
      </c>
      <c r="G473" s="32" t="str">
        <f>IF('12 - Deployments &amp; Config'!AI478="","",'12 - Deployments &amp; Config'!AI478)</f>
        <v/>
      </c>
      <c r="H473" s="32" t="str">
        <f>IF('12 - Deployments &amp; Config'!A478="","",'12 - Deployments &amp; Config'!A478)</f>
        <v/>
      </c>
      <c r="I473" s="32" t="str">
        <f>IF('12 - Deployments &amp; Config'!AJ478="","",'12 - Deployments &amp; Config'!AJ478)</f>
        <v/>
      </c>
      <c r="J473" s="32" t="str">
        <f>IF('12 - Deployments &amp; Config'!AK478="","",'12 - Deployments &amp; Config'!AK478)</f>
        <v/>
      </c>
      <c r="K473" s="32" t="str">
        <f>IF('12 - Deployments &amp; Config'!AA478="","",'12 - Deployments &amp; Config'!AA478)</f>
        <v/>
      </c>
      <c r="L473" s="32" t="str">
        <f>IF('12 - Deployments &amp; Config'!I478="","",'12 - Deployments &amp; Config'!I478)</f>
        <v/>
      </c>
      <c r="M473" s="33"/>
      <c r="N473" s="32" t="str">
        <f>IF('12 - Deployments &amp; Config'!J478="","",'12 - Deployments &amp; Config'!J478)</f>
        <v/>
      </c>
      <c r="O473" s="32" t="str">
        <f>IF('12 - Deployments &amp; Config'!K478="","",'12 - Deployments &amp; Config'!K478)</f>
        <v/>
      </c>
      <c r="P473" s="32" t="str">
        <f>IF('12 - Deployments &amp; Config'!L478="","",'12 - Deployments &amp; Config'!L478)</f>
        <v/>
      </c>
      <c r="Q473" s="33"/>
      <c r="R473" s="32" t="str">
        <f>IF('12 - Deployments &amp; Config'!AZ478="","",'12 - Deployments &amp; Config'!AZ478)</f>
        <v/>
      </c>
      <c r="S473" s="32" t="str">
        <f>IF('12 - Deployments &amp; Config'!AY478="","",'12 - Deployments &amp; Config'!AY478)</f>
        <v/>
      </c>
      <c r="T473" s="32" t="str">
        <f>IF('12 - Deployments &amp; Config'!AW478="","",'12 - Deployments &amp; Config'!AW478)</f>
        <v/>
      </c>
      <c r="U473" s="32" t="str">
        <f>IF('12 - Deployments &amp; Config'!AX478="","",'12 - Deployments &amp; Config'!AX478)</f>
        <v/>
      </c>
      <c r="V473" s="32" t="str">
        <f>IF('12 - Deployments &amp; Config'!BB478="","",'12 - Deployments &amp; Config'!BB478)</f>
        <v/>
      </c>
      <c r="W473" s="32" t="str">
        <f>IF('12 - Deployments &amp; Config'!BD478="","",'12 - Deployments &amp; Config'!BD478)</f>
        <v/>
      </c>
      <c r="X473" s="32" t="str">
        <f>IF('12 - Deployments &amp; Config'!BL478="","",'12 - Deployments &amp; Config'!BL478)</f>
        <v/>
      </c>
      <c r="Y473" s="32" t="str">
        <f>IF('12 - Deployments &amp; Config'!BC478="","",'12 - Deployments &amp; Config'!BC478)</f>
        <v/>
      </c>
      <c r="Z473" s="32" t="str">
        <f>IF('12 - Deployments &amp; Config'!P478="","",'12 - Deployments &amp; Config'!P478)</f>
        <v/>
      </c>
      <c r="AA473" s="32" t="str">
        <f>IF('12 - Deployments &amp; Config'!Q478="","",'12 - Deployments &amp; Config'!Q478)</f>
        <v/>
      </c>
    </row>
    <row r="474" spans="1:27">
      <c r="A474" s="33"/>
      <c r="B474" s="33"/>
      <c r="C474" s="32" t="str">
        <f>IF('12 - Deployments &amp; Config'!H479="","",'12 - Deployments &amp; Config'!H479)</f>
        <v/>
      </c>
      <c r="D474" s="32" t="str">
        <f>IF('12 - Deployments &amp; Config'!AF479="","",'12 - Deployments &amp; Config'!AF479)</f>
        <v/>
      </c>
      <c r="E474" s="32" t="str">
        <f>IF('12 - Deployments &amp; Config'!AG479="","",'12 - Deployments &amp; Config'!AG479)</f>
        <v/>
      </c>
      <c r="F474" s="32" t="str">
        <f>IF('12 - Deployments &amp; Config'!AH479="","",'12 - Deployments &amp; Config'!AH479)</f>
        <v/>
      </c>
      <c r="G474" s="32" t="str">
        <f>IF('12 - Deployments &amp; Config'!AI479="","",'12 - Deployments &amp; Config'!AI479)</f>
        <v/>
      </c>
      <c r="H474" s="32" t="str">
        <f>IF('12 - Deployments &amp; Config'!A479="","",'12 - Deployments &amp; Config'!A479)</f>
        <v/>
      </c>
      <c r="I474" s="32" t="str">
        <f>IF('12 - Deployments &amp; Config'!AJ479="","",'12 - Deployments &amp; Config'!AJ479)</f>
        <v/>
      </c>
      <c r="J474" s="32" t="str">
        <f>IF('12 - Deployments &amp; Config'!AK479="","",'12 - Deployments &amp; Config'!AK479)</f>
        <v/>
      </c>
      <c r="K474" s="32" t="str">
        <f>IF('12 - Deployments &amp; Config'!AA479="","",'12 - Deployments &amp; Config'!AA479)</f>
        <v/>
      </c>
      <c r="L474" s="32" t="str">
        <f>IF('12 - Deployments &amp; Config'!I479="","",'12 - Deployments &amp; Config'!I479)</f>
        <v/>
      </c>
      <c r="M474" s="33"/>
      <c r="N474" s="32" t="str">
        <f>IF('12 - Deployments &amp; Config'!J479="","",'12 - Deployments &amp; Config'!J479)</f>
        <v/>
      </c>
      <c r="O474" s="32" t="str">
        <f>IF('12 - Deployments &amp; Config'!K479="","",'12 - Deployments &amp; Config'!K479)</f>
        <v/>
      </c>
      <c r="P474" s="32" t="str">
        <f>IF('12 - Deployments &amp; Config'!L479="","",'12 - Deployments &amp; Config'!L479)</f>
        <v/>
      </c>
      <c r="Q474" s="33"/>
      <c r="R474" s="32" t="str">
        <f>IF('12 - Deployments &amp; Config'!AZ479="","",'12 - Deployments &amp; Config'!AZ479)</f>
        <v/>
      </c>
      <c r="S474" s="32" t="str">
        <f>IF('12 - Deployments &amp; Config'!AY479="","",'12 - Deployments &amp; Config'!AY479)</f>
        <v/>
      </c>
      <c r="T474" s="32" t="str">
        <f>IF('12 - Deployments &amp; Config'!AW479="","",'12 - Deployments &amp; Config'!AW479)</f>
        <v/>
      </c>
      <c r="U474" s="32" t="str">
        <f>IF('12 - Deployments &amp; Config'!AX479="","",'12 - Deployments &amp; Config'!AX479)</f>
        <v/>
      </c>
      <c r="V474" s="32" t="str">
        <f>IF('12 - Deployments &amp; Config'!BB479="","",'12 - Deployments &amp; Config'!BB479)</f>
        <v/>
      </c>
      <c r="W474" s="32" t="str">
        <f>IF('12 - Deployments &amp; Config'!BD479="","",'12 - Deployments &amp; Config'!BD479)</f>
        <v/>
      </c>
      <c r="X474" s="32" t="str">
        <f>IF('12 - Deployments &amp; Config'!BL479="","",'12 - Deployments &amp; Config'!BL479)</f>
        <v/>
      </c>
      <c r="Y474" s="32" t="str">
        <f>IF('12 - Deployments &amp; Config'!BC479="","",'12 - Deployments &amp; Config'!BC479)</f>
        <v/>
      </c>
      <c r="Z474" s="32" t="str">
        <f>IF('12 - Deployments &amp; Config'!P479="","",'12 - Deployments &amp; Config'!P479)</f>
        <v/>
      </c>
      <c r="AA474" s="32" t="str">
        <f>IF('12 - Deployments &amp; Config'!Q479="","",'12 - Deployments &amp; Config'!Q479)</f>
        <v/>
      </c>
    </row>
    <row r="475" spans="1:27">
      <c r="A475" s="33"/>
      <c r="B475" s="33"/>
      <c r="C475" s="32" t="str">
        <f>IF('12 - Deployments &amp; Config'!H480="","",'12 - Deployments &amp; Config'!H480)</f>
        <v/>
      </c>
      <c r="D475" s="32" t="str">
        <f>IF('12 - Deployments &amp; Config'!AF480="","",'12 - Deployments &amp; Config'!AF480)</f>
        <v/>
      </c>
      <c r="E475" s="32" t="str">
        <f>IF('12 - Deployments &amp; Config'!AG480="","",'12 - Deployments &amp; Config'!AG480)</f>
        <v/>
      </c>
      <c r="F475" s="32" t="str">
        <f>IF('12 - Deployments &amp; Config'!AH480="","",'12 - Deployments &amp; Config'!AH480)</f>
        <v/>
      </c>
      <c r="G475" s="32" t="str">
        <f>IF('12 - Deployments &amp; Config'!AI480="","",'12 - Deployments &amp; Config'!AI480)</f>
        <v/>
      </c>
      <c r="H475" s="32" t="str">
        <f>IF('12 - Deployments &amp; Config'!A480="","",'12 - Deployments &amp; Config'!A480)</f>
        <v/>
      </c>
      <c r="I475" s="32" t="str">
        <f>IF('12 - Deployments &amp; Config'!AJ480="","",'12 - Deployments &amp; Config'!AJ480)</f>
        <v/>
      </c>
      <c r="J475" s="32" t="str">
        <f>IF('12 - Deployments &amp; Config'!AK480="","",'12 - Deployments &amp; Config'!AK480)</f>
        <v/>
      </c>
      <c r="K475" s="32" t="str">
        <f>IF('12 - Deployments &amp; Config'!AA480="","",'12 - Deployments &amp; Config'!AA480)</f>
        <v/>
      </c>
      <c r="L475" s="32" t="str">
        <f>IF('12 - Deployments &amp; Config'!I480="","",'12 - Deployments &amp; Config'!I480)</f>
        <v/>
      </c>
      <c r="M475" s="33"/>
      <c r="N475" s="32" t="str">
        <f>IF('12 - Deployments &amp; Config'!J480="","",'12 - Deployments &amp; Config'!J480)</f>
        <v/>
      </c>
      <c r="O475" s="32" t="str">
        <f>IF('12 - Deployments &amp; Config'!K480="","",'12 - Deployments &amp; Config'!K480)</f>
        <v/>
      </c>
      <c r="P475" s="32" t="str">
        <f>IF('12 - Deployments &amp; Config'!L480="","",'12 - Deployments &amp; Config'!L480)</f>
        <v/>
      </c>
      <c r="Q475" s="33"/>
      <c r="R475" s="32" t="str">
        <f>IF('12 - Deployments &amp; Config'!AZ480="","",'12 - Deployments &amp; Config'!AZ480)</f>
        <v/>
      </c>
      <c r="S475" s="32" t="str">
        <f>IF('12 - Deployments &amp; Config'!AY480="","",'12 - Deployments &amp; Config'!AY480)</f>
        <v/>
      </c>
      <c r="T475" s="32" t="str">
        <f>IF('12 - Deployments &amp; Config'!AW480="","",'12 - Deployments &amp; Config'!AW480)</f>
        <v/>
      </c>
      <c r="U475" s="32" t="str">
        <f>IF('12 - Deployments &amp; Config'!AX480="","",'12 - Deployments &amp; Config'!AX480)</f>
        <v/>
      </c>
      <c r="V475" s="32" t="str">
        <f>IF('12 - Deployments &amp; Config'!BB480="","",'12 - Deployments &amp; Config'!BB480)</f>
        <v/>
      </c>
      <c r="W475" s="32" t="str">
        <f>IF('12 - Deployments &amp; Config'!BD480="","",'12 - Deployments &amp; Config'!BD480)</f>
        <v/>
      </c>
      <c r="X475" s="32" t="str">
        <f>IF('12 - Deployments &amp; Config'!BL480="","",'12 - Deployments &amp; Config'!BL480)</f>
        <v/>
      </c>
      <c r="Y475" s="32" t="str">
        <f>IF('12 - Deployments &amp; Config'!BC480="","",'12 - Deployments &amp; Config'!BC480)</f>
        <v/>
      </c>
      <c r="Z475" s="32" t="str">
        <f>IF('12 - Deployments &amp; Config'!P480="","",'12 - Deployments &amp; Config'!P480)</f>
        <v/>
      </c>
      <c r="AA475" s="32" t="str">
        <f>IF('12 - Deployments &amp; Config'!Q480="","",'12 - Deployments &amp; Config'!Q480)</f>
        <v/>
      </c>
    </row>
    <row r="476" spans="1:27">
      <c r="A476" s="33"/>
      <c r="B476" s="33"/>
      <c r="C476" s="32" t="str">
        <f>IF('12 - Deployments &amp; Config'!H481="","",'12 - Deployments &amp; Config'!H481)</f>
        <v/>
      </c>
      <c r="D476" s="32" t="str">
        <f>IF('12 - Deployments &amp; Config'!AF481="","",'12 - Deployments &amp; Config'!AF481)</f>
        <v/>
      </c>
      <c r="E476" s="32" t="str">
        <f>IF('12 - Deployments &amp; Config'!AG481="","",'12 - Deployments &amp; Config'!AG481)</f>
        <v/>
      </c>
      <c r="F476" s="32" t="str">
        <f>IF('12 - Deployments &amp; Config'!AH481="","",'12 - Deployments &amp; Config'!AH481)</f>
        <v/>
      </c>
      <c r="G476" s="32" t="str">
        <f>IF('12 - Deployments &amp; Config'!AI481="","",'12 - Deployments &amp; Config'!AI481)</f>
        <v/>
      </c>
      <c r="H476" s="32" t="str">
        <f>IF('12 - Deployments &amp; Config'!A481="","",'12 - Deployments &amp; Config'!A481)</f>
        <v/>
      </c>
      <c r="I476" s="32" t="str">
        <f>IF('12 - Deployments &amp; Config'!AJ481="","",'12 - Deployments &amp; Config'!AJ481)</f>
        <v/>
      </c>
      <c r="J476" s="32" t="str">
        <f>IF('12 - Deployments &amp; Config'!AK481="","",'12 - Deployments &amp; Config'!AK481)</f>
        <v/>
      </c>
      <c r="K476" s="32" t="str">
        <f>IF('12 - Deployments &amp; Config'!AA481="","",'12 - Deployments &amp; Config'!AA481)</f>
        <v/>
      </c>
      <c r="L476" s="32" t="str">
        <f>IF('12 - Deployments &amp; Config'!I481="","",'12 - Deployments &amp; Config'!I481)</f>
        <v/>
      </c>
      <c r="M476" s="33"/>
      <c r="N476" s="32" t="str">
        <f>IF('12 - Deployments &amp; Config'!J481="","",'12 - Deployments &amp; Config'!J481)</f>
        <v/>
      </c>
      <c r="O476" s="32" t="str">
        <f>IF('12 - Deployments &amp; Config'!K481="","",'12 - Deployments &amp; Config'!K481)</f>
        <v/>
      </c>
      <c r="P476" s="32" t="str">
        <f>IF('12 - Deployments &amp; Config'!L481="","",'12 - Deployments &amp; Config'!L481)</f>
        <v/>
      </c>
      <c r="Q476" s="33"/>
      <c r="R476" s="32" t="str">
        <f>IF('12 - Deployments &amp; Config'!AZ481="","",'12 - Deployments &amp; Config'!AZ481)</f>
        <v/>
      </c>
      <c r="S476" s="32" t="str">
        <f>IF('12 - Deployments &amp; Config'!AY481="","",'12 - Deployments &amp; Config'!AY481)</f>
        <v/>
      </c>
      <c r="T476" s="32" t="str">
        <f>IF('12 - Deployments &amp; Config'!AW481="","",'12 - Deployments &amp; Config'!AW481)</f>
        <v/>
      </c>
      <c r="U476" s="32" t="str">
        <f>IF('12 - Deployments &amp; Config'!AX481="","",'12 - Deployments &amp; Config'!AX481)</f>
        <v/>
      </c>
      <c r="V476" s="32" t="str">
        <f>IF('12 - Deployments &amp; Config'!BB481="","",'12 - Deployments &amp; Config'!BB481)</f>
        <v/>
      </c>
      <c r="W476" s="32" t="str">
        <f>IF('12 - Deployments &amp; Config'!BD481="","",'12 - Deployments &amp; Config'!BD481)</f>
        <v/>
      </c>
      <c r="X476" s="32" t="str">
        <f>IF('12 - Deployments &amp; Config'!BL481="","",'12 - Deployments &amp; Config'!BL481)</f>
        <v/>
      </c>
      <c r="Y476" s="32" t="str">
        <f>IF('12 - Deployments &amp; Config'!BC481="","",'12 - Deployments &amp; Config'!BC481)</f>
        <v/>
      </c>
      <c r="Z476" s="32" t="str">
        <f>IF('12 - Deployments &amp; Config'!P481="","",'12 - Deployments &amp; Config'!P481)</f>
        <v/>
      </c>
      <c r="AA476" s="32" t="str">
        <f>IF('12 - Deployments &amp; Config'!Q481="","",'12 - Deployments &amp; Config'!Q481)</f>
        <v/>
      </c>
    </row>
    <row r="477" spans="1:27">
      <c r="A477" s="33"/>
      <c r="B477" s="33"/>
      <c r="C477" s="32" t="str">
        <f>IF('12 - Deployments &amp; Config'!H482="","",'12 - Deployments &amp; Config'!H482)</f>
        <v/>
      </c>
      <c r="D477" s="32" t="str">
        <f>IF('12 - Deployments &amp; Config'!AF482="","",'12 - Deployments &amp; Config'!AF482)</f>
        <v/>
      </c>
      <c r="E477" s="32" t="str">
        <f>IF('12 - Deployments &amp; Config'!AG482="","",'12 - Deployments &amp; Config'!AG482)</f>
        <v/>
      </c>
      <c r="F477" s="32" t="str">
        <f>IF('12 - Deployments &amp; Config'!AH482="","",'12 - Deployments &amp; Config'!AH482)</f>
        <v/>
      </c>
      <c r="G477" s="32" t="str">
        <f>IF('12 - Deployments &amp; Config'!AI482="","",'12 - Deployments &amp; Config'!AI482)</f>
        <v/>
      </c>
      <c r="H477" s="32" t="str">
        <f>IF('12 - Deployments &amp; Config'!A482="","",'12 - Deployments &amp; Config'!A482)</f>
        <v/>
      </c>
      <c r="I477" s="32" t="str">
        <f>IF('12 - Deployments &amp; Config'!AJ482="","",'12 - Deployments &amp; Config'!AJ482)</f>
        <v/>
      </c>
      <c r="J477" s="32" t="str">
        <f>IF('12 - Deployments &amp; Config'!AK482="","",'12 - Deployments &amp; Config'!AK482)</f>
        <v/>
      </c>
      <c r="K477" s="32" t="str">
        <f>IF('12 - Deployments &amp; Config'!AA482="","",'12 - Deployments &amp; Config'!AA482)</f>
        <v/>
      </c>
      <c r="L477" s="32" t="str">
        <f>IF('12 - Deployments &amp; Config'!I482="","",'12 - Deployments &amp; Config'!I482)</f>
        <v/>
      </c>
      <c r="M477" s="33"/>
      <c r="N477" s="32" t="str">
        <f>IF('12 - Deployments &amp; Config'!J482="","",'12 - Deployments &amp; Config'!J482)</f>
        <v/>
      </c>
      <c r="O477" s="32" t="str">
        <f>IF('12 - Deployments &amp; Config'!K482="","",'12 - Deployments &amp; Config'!K482)</f>
        <v/>
      </c>
      <c r="P477" s="32" t="str">
        <f>IF('12 - Deployments &amp; Config'!L482="","",'12 - Deployments &amp; Config'!L482)</f>
        <v/>
      </c>
      <c r="Q477" s="33"/>
      <c r="R477" s="32" t="str">
        <f>IF('12 - Deployments &amp; Config'!AZ482="","",'12 - Deployments &amp; Config'!AZ482)</f>
        <v/>
      </c>
      <c r="S477" s="32" t="str">
        <f>IF('12 - Deployments &amp; Config'!AY482="","",'12 - Deployments &amp; Config'!AY482)</f>
        <v/>
      </c>
      <c r="T477" s="32" t="str">
        <f>IF('12 - Deployments &amp; Config'!AW482="","",'12 - Deployments &amp; Config'!AW482)</f>
        <v/>
      </c>
      <c r="U477" s="32" t="str">
        <f>IF('12 - Deployments &amp; Config'!AX482="","",'12 - Deployments &amp; Config'!AX482)</f>
        <v/>
      </c>
      <c r="V477" s="32" t="str">
        <f>IF('12 - Deployments &amp; Config'!BB482="","",'12 - Deployments &amp; Config'!BB482)</f>
        <v/>
      </c>
      <c r="W477" s="32" t="str">
        <f>IF('12 - Deployments &amp; Config'!BD482="","",'12 - Deployments &amp; Config'!BD482)</f>
        <v/>
      </c>
      <c r="X477" s="32" t="str">
        <f>IF('12 - Deployments &amp; Config'!BL482="","",'12 - Deployments &amp; Config'!BL482)</f>
        <v/>
      </c>
      <c r="Y477" s="32" t="str">
        <f>IF('12 - Deployments &amp; Config'!BC482="","",'12 - Deployments &amp; Config'!BC482)</f>
        <v/>
      </c>
      <c r="Z477" s="32" t="str">
        <f>IF('12 - Deployments &amp; Config'!P482="","",'12 - Deployments &amp; Config'!P482)</f>
        <v/>
      </c>
      <c r="AA477" s="32" t="str">
        <f>IF('12 - Deployments &amp; Config'!Q482="","",'12 - Deployments &amp; Config'!Q482)</f>
        <v/>
      </c>
    </row>
    <row r="478" spans="1:27">
      <c r="A478" s="33"/>
      <c r="B478" s="33"/>
      <c r="C478" s="32" t="str">
        <f>IF('12 - Deployments &amp; Config'!H483="","",'12 - Deployments &amp; Config'!H483)</f>
        <v/>
      </c>
      <c r="D478" s="32" t="str">
        <f>IF('12 - Deployments &amp; Config'!AF483="","",'12 - Deployments &amp; Config'!AF483)</f>
        <v/>
      </c>
      <c r="E478" s="32" t="str">
        <f>IF('12 - Deployments &amp; Config'!AG483="","",'12 - Deployments &amp; Config'!AG483)</f>
        <v/>
      </c>
      <c r="F478" s="32" t="str">
        <f>IF('12 - Deployments &amp; Config'!AH483="","",'12 - Deployments &amp; Config'!AH483)</f>
        <v/>
      </c>
      <c r="G478" s="32" t="str">
        <f>IF('12 - Deployments &amp; Config'!AI483="","",'12 - Deployments &amp; Config'!AI483)</f>
        <v/>
      </c>
      <c r="H478" s="32" t="str">
        <f>IF('12 - Deployments &amp; Config'!A483="","",'12 - Deployments &amp; Config'!A483)</f>
        <v/>
      </c>
      <c r="I478" s="32" t="str">
        <f>IF('12 - Deployments &amp; Config'!AJ483="","",'12 - Deployments &amp; Config'!AJ483)</f>
        <v/>
      </c>
      <c r="J478" s="32" t="str">
        <f>IF('12 - Deployments &amp; Config'!AK483="","",'12 - Deployments &amp; Config'!AK483)</f>
        <v/>
      </c>
      <c r="K478" s="32" t="str">
        <f>IF('12 - Deployments &amp; Config'!AA483="","",'12 - Deployments &amp; Config'!AA483)</f>
        <v/>
      </c>
      <c r="L478" s="32" t="str">
        <f>IF('12 - Deployments &amp; Config'!I483="","",'12 - Deployments &amp; Config'!I483)</f>
        <v/>
      </c>
      <c r="M478" s="33"/>
      <c r="N478" s="32" t="str">
        <f>IF('12 - Deployments &amp; Config'!J483="","",'12 - Deployments &amp; Config'!J483)</f>
        <v/>
      </c>
      <c r="O478" s="32" t="str">
        <f>IF('12 - Deployments &amp; Config'!K483="","",'12 - Deployments &amp; Config'!K483)</f>
        <v/>
      </c>
      <c r="P478" s="32" t="str">
        <f>IF('12 - Deployments &amp; Config'!L483="","",'12 - Deployments &amp; Config'!L483)</f>
        <v/>
      </c>
      <c r="Q478" s="33"/>
      <c r="R478" s="32" t="str">
        <f>IF('12 - Deployments &amp; Config'!AZ483="","",'12 - Deployments &amp; Config'!AZ483)</f>
        <v/>
      </c>
      <c r="S478" s="32" t="str">
        <f>IF('12 - Deployments &amp; Config'!AY483="","",'12 - Deployments &amp; Config'!AY483)</f>
        <v/>
      </c>
      <c r="T478" s="32" t="str">
        <f>IF('12 - Deployments &amp; Config'!AW483="","",'12 - Deployments &amp; Config'!AW483)</f>
        <v/>
      </c>
      <c r="U478" s="32" t="str">
        <f>IF('12 - Deployments &amp; Config'!AX483="","",'12 - Deployments &amp; Config'!AX483)</f>
        <v/>
      </c>
      <c r="V478" s="32" t="str">
        <f>IF('12 - Deployments &amp; Config'!BB483="","",'12 - Deployments &amp; Config'!BB483)</f>
        <v/>
      </c>
      <c r="W478" s="32" t="str">
        <f>IF('12 - Deployments &amp; Config'!BD483="","",'12 - Deployments &amp; Config'!BD483)</f>
        <v/>
      </c>
      <c r="X478" s="32" t="str">
        <f>IF('12 - Deployments &amp; Config'!BL483="","",'12 - Deployments &amp; Config'!BL483)</f>
        <v/>
      </c>
      <c r="Y478" s="32" t="str">
        <f>IF('12 - Deployments &amp; Config'!BC483="","",'12 - Deployments &amp; Config'!BC483)</f>
        <v/>
      </c>
      <c r="Z478" s="32" t="str">
        <f>IF('12 - Deployments &amp; Config'!P483="","",'12 - Deployments &amp; Config'!P483)</f>
        <v/>
      </c>
      <c r="AA478" s="32" t="str">
        <f>IF('12 - Deployments &amp; Config'!Q483="","",'12 - Deployments &amp; Config'!Q483)</f>
        <v/>
      </c>
    </row>
    <row r="479" spans="1:27">
      <c r="A479" s="33"/>
      <c r="B479" s="33"/>
      <c r="C479" s="32" t="str">
        <f>IF('12 - Deployments &amp; Config'!H484="","",'12 - Deployments &amp; Config'!H484)</f>
        <v/>
      </c>
      <c r="D479" s="32" t="str">
        <f>IF('12 - Deployments &amp; Config'!AF484="","",'12 - Deployments &amp; Config'!AF484)</f>
        <v/>
      </c>
      <c r="E479" s="32" t="str">
        <f>IF('12 - Deployments &amp; Config'!AG484="","",'12 - Deployments &amp; Config'!AG484)</f>
        <v/>
      </c>
      <c r="F479" s="32" t="str">
        <f>IF('12 - Deployments &amp; Config'!AH484="","",'12 - Deployments &amp; Config'!AH484)</f>
        <v/>
      </c>
      <c r="G479" s="32" t="str">
        <f>IF('12 - Deployments &amp; Config'!AI484="","",'12 - Deployments &amp; Config'!AI484)</f>
        <v/>
      </c>
      <c r="H479" s="32" t="str">
        <f>IF('12 - Deployments &amp; Config'!A484="","",'12 - Deployments &amp; Config'!A484)</f>
        <v/>
      </c>
      <c r="I479" s="32" t="str">
        <f>IF('12 - Deployments &amp; Config'!AJ484="","",'12 - Deployments &amp; Config'!AJ484)</f>
        <v/>
      </c>
      <c r="J479" s="32" t="str">
        <f>IF('12 - Deployments &amp; Config'!AK484="","",'12 - Deployments &amp; Config'!AK484)</f>
        <v/>
      </c>
      <c r="K479" s="32" t="str">
        <f>IF('12 - Deployments &amp; Config'!AA484="","",'12 - Deployments &amp; Config'!AA484)</f>
        <v/>
      </c>
      <c r="L479" s="32" t="str">
        <f>IF('12 - Deployments &amp; Config'!I484="","",'12 - Deployments &amp; Config'!I484)</f>
        <v/>
      </c>
      <c r="M479" s="33"/>
      <c r="N479" s="32" t="str">
        <f>IF('12 - Deployments &amp; Config'!J484="","",'12 - Deployments &amp; Config'!J484)</f>
        <v/>
      </c>
      <c r="O479" s="32" t="str">
        <f>IF('12 - Deployments &amp; Config'!K484="","",'12 - Deployments &amp; Config'!K484)</f>
        <v/>
      </c>
      <c r="P479" s="32" t="str">
        <f>IF('12 - Deployments &amp; Config'!L484="","",'12 - Deployments &amp; Config'!L484)</f>
        <v/>
      </c>
      <c r="Q479" s="33"/>
      <c r="R479" s="32" t="str">
        <f>IF('12 - Deployments &amp; Config'!AZ484="","",'12 - Deployments &amp; Config'!AZ484)</f>
        <v/>
      </c>
      <c r="S479" s="32" t="str">
        <f>IF('12 - Deployments &amp; Config'!AY484="","",'12 - Deployments &amp; Config'!AY484)</f>
        <v/>
      </c>
      <c r="T479" s="32" t="str">
        <f>IF('12 - Deployments &amp; Config'!AW484="","",'12 - Deployments &amp; Config'!AW484)</f>
        <v/>
      </c>
      <c r="U479" s="32" t="str">
        <f>IF('12 - Deployments &amp; Config'!AX484="","",'12 - Deployments &amp; Config'!AX484)</f>
        <v/>
      </c>
      <c r="V479" s="32" t="str">
        <f>IF('12 - Deployments &amp; Config'!BB484="","",'12 - Deployments &amp; Config'!BB484)</f>
        <v/>
      </c>
      <c r="W479" s="32" t="str">
        <f>IF('12 - Deployments &amp; Config'!BD484="","",'12 - Deployments &amp; Config'!BD484)</f>
        <v/>
      </c>
      <c r="X479" s="32" t="str">
        <f>IF('12 - Deployments &amp; Config'!BL484="","",'12 - Deployments &amp; Config'!BL484)</f>
        <v/>
      </c>
      <c r="Y479" s="32" t="str">
        <f>IF('12 - Deployments &amp; Config'!BC484="","",'12 - Deployments &amp; Config'!BC484)</f>
        <v/>
      </c>
      <c r="Z479" s="32" t="str">
        <f>IF('12 - Deployments &amp; Config'!P484="","",'12 - Deployments &amp; Config'!P484)</f>
        <v/>
      </c>
      <c r="AA479" s="32" t="str">
        <f>IF('12 - Deployments &amp; Config'!Q484="","",'12 - Deployments &amp; Config'!Q484)</f>
        <v/>
      </c>
    </row>
    <row r="480" spans="1:27">
      <c r="A480" s="33"/>
      <c r="B480" s="33"/>
      <c r="C480" s="32" t="str">
        <f>IF('12 - Deployments &amp; Config'!H485="","",'12 - Deployments &amp; Config'!H485)</f>
        <v/>
      </c>
      <c r="D480" s="32" t="str">
        <f>IF('12 - Deployments &amp; Config'!AF485="","",'12 - Deployments &amp; Config'!AF485)</f>
        <v/>
      </c>
      <c r="E480" s="32" t="str">
        <f>IF('12 - Deployments &amp; Config'!AG485="","",'12 - Deployments &amp; Config'!AG485)</f>
        <v/>
      </c>
      <c r="F480" s="32" t="str">
        <f>IF('12 - Deployments &amp; Config'!AH485="","",'12 - Deployments &amp; Config'!AH485)</f>
        <v/>
      </c>
      <c r="G480" s="32" t="str">
        <f>IF('12 - Deployments &amp; Config'!AI485="","",'12 - Deployments &amp; Config'!AI485)</f>
        <v/>
      </c>
      <c r="H480" s="32" t="str">
        <f>IF('12 - Deployments &amp; Config'!A485="","",'12 - Deployments &amp; Config'!A485)</f>
        <v/>
      </c>
      <c r="I480" s="32" t="str">
        <f>IF('12 - Deployments &amp; Config'!AJ485="","",'12 - Deployments &amp; Config'!AJ485)</f>
        <v/>
      </c>
      <c r="J480" s="32" t="str">
        <f>IF('12 - Deployments &amp; Config'!AK485="","",'12 - Deployments &amp; Config'!AK485)</f>
        <v/>
      </c>
      <c r="K480" s="32" t="str">
        <f>IF('12 - Deployments &amp; Config'!AA485="","",'12 - Deployments &amp; Config'!AA485)</f>
        <v/>
      </c>
      <c r="L480" s="32" t="str">
        <f>IF('12 - Deployments &amp; Config'!I485="","",'12 - Deployments &amp; Config'!I485)</f>
        <v/>
      </c>
      <c r="M480" s="33"/>
      <c r="N480" s="32" t="str">
        <f>IF('12 - Deployments &amp; Config'!J485="","",'12 - Deployments &amp; Config'!J485)</f>
        <v/>
      </c>
      <c r="O480" s="32" t="str">
        <f>IF('12 - Deployments &amp; Config'!K485="","",'12 - Deployments &amp; Config'!K485)</f>
        <v/>
      </c>
      <c r="P480" s="32" t="str">
        <f>IF('12 - Deployments &amp; Config'!L485="","",'12 - Deployments &amp; Config'!L485)</f>
        <v/>
      </c>
      <c r="Q480" s="33"/>
      <c r="R480" s="32" t="str">
        <f>IF('12 - Deployments &amp; Config'!AZ485="","",'12 - Deployments &amp; Config'!AZ485)</f>
        <v/>
      </c>
      <c r="S480" s="32" t="str">
        <f>IF('12 - Deployments &amp; Config'!AY485="","",'12 - Deployments &amp; Config'!AY485)</f>
        <v/>
      </c>
      <c r="T480" s="32" t="str">
        <f>IF('12 - Deployments &amp; Config'!AW485="","",'12 - Deployments &amp; Config'!AW485)</f>
        <v/>
      </c>
      <c r="U480" s="32" t="str">
        <f>IF('12 - Deployments &amp; Config'!AX485="","",'12 - Deployments &amp; Config'!AX485)</f>
        <v/>
      </c>
      <c r="V480" s="32" t="str">
        <f>IF('12 - Deployments &amp; Config'!BB485="","",'12 - Deployments &amp; Config'!BB485)</f>
        <v/>
      </c>
      <c r="W480" s="32" t="str">
        <f>IF('12 - Deployments &amp; Config'!BD485="","",'12 - Deployments &amp; Config'!BD485)</f>
        <v/>
      </c>
      <c r="X480" s="32" t="str">
        <f>IF('12 - Deployments &amp; Config'!BL485="","",'12 - Deployments &amp; Config'!BL485)</f>
        <v/>
      </c>
      <c r="Y480" s="32" t="str">
        <f>IF('12 - Deployments &amp; Config'!BC485="","",'12 - Deployments &amp; Config'!BC485)</f>
        <v/>
      </c>
      <c r="Z480" s="32" t="str">
        <f>IF('12 - Deployments &amp; Config'!P485="","",'12 - Deployments &amp; Config'!P485)</f>
        <v/>
      </c>
      <c r="AA480" s="32" t="str">
        <f>IF('12 - Deployments &amp; Config'!Q485="","",'12 - Deployments &amp; Config'!Q485)</f>
        <v/>
      </c>
    </row>
    <row r="481" spans="1:27">
      <c r="A481" s="33"/>
      <c r="B481" s="33"/>
      <c r="C481" s="32" t="str">
        <f>IF('12 - Deployments &amp; Config'!H486="","",'12 - Deployments &amp; Config'!H486)</f>
        <v/>
      </c>
      <c r="D481" s="32" t="str">
        <f>IF('12 - Deployments &amp; Config'!AF486="","",'12 - Deployments &amp; Config'!AF486)</f>
        <v/>
      </c>
      <c r="E481" s="32" t="str">
        <f>IF('12 - Deployments &amp; Config'!AG486="","",'12 - Deployments &amp; Config'!AG486)</f>
        <v/>
      </c>
      <c r="F481" s="32" t="str">
        <f>IF('12 - Deployments &amp; Config'!AH486="","",'12 - Deployments &amp; Config'!AH486)</f>
        <v/>
      </c>
      <c r="G481" s="32" t="str">
        <f>IF('12 - Deployments &amp; Config'!AI486="","",'12 - Deployments &amp; Config'!AI486)</f>
        <v/>
      </c>
      <c r="H481" s="32" t="str">
        <f>IF('12 - Deployments &amp; Config'!A486="","",'12 - Deployments &amp; Config'!A486)</f>
        <v/>
      </c>
      <c r="I481" s="32" t="str">
        <f>IF('12 - Deployments &amp; Config'!AJ486="","",'12 - Deployments &amp; Config'!AJ486)</f>
        <v/>
      </c>
      <c r="J481" s="32" t="str">
        <f>IF('12 - Deployments &amp; Config'!AK486="","",'12 - Deployments &amp; Config'!AK486)</f>
        <v/>
      </c>
      <c r="K481" s="32" t="str">
        <f>IF('12 - Deployments &amp; Config'!AA486="","",'12 - Deployments &amp; Config'!AA486)</f>
        <v/>
      </c>
      <c r="L481" s="32" t="str">
        <f>IF('12 - Deployments &amp; Config'!I486="","",'12 - Deployments &amp; Config'!I486)</f>
        <v/>
      </c>
      <c r="M481" s="33"/>
      <c r="N481" s="32" t="str">
        <f>IF('12 - Deployments &amp; Config'!J486="","",'12 - Deployments &amp; Config'!J486)</f>
        <v/>
      </c>
      <c r="O481" s="32" t="str">
        <f>IF('12 - Deployments &amp; Config'!K486="","",'12 - Deployments &amp; Config'!K486)</f>
        <v/>
      </c>
      <c r="P481" s="32" t="str">
        <f>IF('12 - Deployments &amp; Config'!L486="","",'12 - Deployments &amp; Config'!L486)</f>
        <v/>
      </c>
      <c r="Q481" s="33"/>
      <c r="R481" s="32" t="str">
        <f>IF('12 - Deployments &amp; Config'!AZ486="","",'12 - Deployments &amp; Config'!AZ486)</f>
        <v/>
      </c>
      <c r="S481" s="32" t="str">
        <f>IF('12 - Deployments &amp; Config'!AY486="","",'12 - Deployments &amp; Config'!AY486)</f>
        <v/>
      </c>
      <c r="T481" s="32" t="str">
        <f>IF('12 - Deployments &amp; Config'!AW486="","",'12 - Deployments &amp; Config'!AW486)</f>
        <v/>
      </c>
      <c r="U481" s="32" t="str">
        <f>IF('12 - Deployments &amp; Config'!AX486="","",'12 - Deployments &amp; Config'!AX486)</f>
        <v/>
      </c>
      <c r="V481" s="32" t="str">
        <f>IF('12 - Deployments &amp; Config'!BB486="","",'12 - Deployments &amp; Config'!BB486)</f>
        <v/>
      </c>
      <c r="W481" s="32" t="str">
        <f>IF('12 - Deployments &amp; Config'!BD486="","",'12 - Deployments &amp; Config'!BD486)</f>
        <v/>
      </c>
      <c r="X481" s="32" t="str">
        <f>IF('12 - Deployments &amp; Config'!BL486="","",'12 - Deployments &amp; Config'!BL486)</f>
        <v/>
      </c>
      <c r="Y481" s="32" t="str">
        <f>IF('12 - Deployments &amp; Config'!BC486="","",'12 - Deployments &amp; Config'!BC486)</f>
        <v/>
      </c>
      <c r="Z481" s="32" t="str">
        <f>IF('12 - Deployments &amp; Config'!P486="","",'12 - Deployments &amp; Config'!P486)</f>
        <v/>
      </c>
      <c r="AA481" s="32" t="str">
        <f>IF('12 - Deployments &amp; Config'!Q486="","",'12 - Deployments &amp; Config'!Q486)</f>
        <v/>
      </c>
    </row>
    <row r="482" spans="1:27">
      <c r="A482" s="33"/>
      <c r="B482" s="33"/>
      <c r="C482" s="32" t="str">
        <f>IF('12 - Deployments &amp; Config'!H487="","",'12 - Deployments &amp; Config'!H487)</f>
        <v/>
      </c>
      <c r="D482" s="32" t="str">
        <f>IF('12 - Deployments &amp; Config'!AF487="","",'12 - Deployments &amp; Config'!AF487)</f>
        <v/>
      </c>
      <c r="E482" s="32" t="str">
        <f>IF('12 - Deployments &amp; Config'!AG487="","",'12 - Deployments &amp; Config'!AG487)</f>
        <v/>
      </c>
      <c r="F482" s="32" t="str">
        <f>IF('12 - Deployments &amp; Config'!AH487="","",'12 - Deployments &amp; Config'!AH487)</f>
        <v/>
      </c>
      <c r="G482" s="32" t="str">
        <f>IF('12 - Deployments &amp; Config'!AI487="","",'12 - Deployments &amp; Config'!AI487)</f>
        <v/>
      </c>
      <c r="H482" s="32" t="str">
        <f>IF('12 - Deployments &amp; Config'!A487="","",'12 - Deployments &amp; Config'!A487)</f>
        <v/>
      </c>
      <c r="I482" s="32" t="str">
        <f>IF('12 - Deployments &amp; Config'!AJ487="","",'12 - Deployments &amp; Config'!AJ487)</f>
        <v/>
      </c>
      <c r="J482" s="32" t="str">
        <f>IF('12 - Deployments &amp; Config'!AK487="","",'12 - Deployments &amp; Config'!AK487)</f>
        <v/>
      </c>
      <c r="K482" s="32" t="str">
        <f>IF('12 - Deployments &amp; Config'!AA487="","",'12 - Deployments &amp; Config'!AA487)</f>
        <v/>
      </c>
      <c r="L482" s="32" t="str">
        <f>IF('12 - Deployments &amp; Config'!I487="","",'12 - Deployments &amp; Config'!I487)</f>
        <v/>
      </c>
      <c r="M482" s="33"/>
      <c r="N482" s="32" t="str">
        <f>IF('12 - Deployments &amp; Config'!J487="","",'12 - Deployments &amp; Config'!J487)</f>
        <v/>
      </c>
      <c r="O482" s="32" t="str">
        <f>IF('12 - Deployments &amp; Config'!K487="","",'12 - Deployments &amp; Config'!K487)</f>
        <v/>
      </c>
      <c r="P482" s="32" t="str">
        <f>IF('12 - Deployments &amp; Config'!L487="","",'12 - Deployments &amp; Config'!L487)</f>
        <v/>
      </c>
      <c r="Q482" s="33"/>
      <c r="R482" s="32" t="str">
        <f>IF('12 - Deployments &amp; Config'!AZ487="","",'12 - Deployments &amp; Config'!AZ487)</f>
        <v/>
      </c>
      <c r="S482" s="32" t="str">
        <f>IF('12 - Deployments &amp; Config'!AY487="","",'12 - Deployments &amp; Config'!AY487)</f>
        <v/>
      </c>
      <c r="T482" s="32" t="str">
        <f>IF('12 - Deployments &amp; Config'!AW487="","",'12 - Deployments &amp; Config'!AW487)</f>
        <v/>
      </c>
      <c r="U482" s="32" t="str">
        <f>IF('12 - Deployments &amp; Config'!AX487="","",'12 - Deployments &amp; Config'!AX487)</f>
        <v/>
      </c>
      <c r="V482" s="32" t="str">
        <f>IF('12 - Deployments &amp; Config'!BB487="","",'12 - Deployments &amp; Config'!BB487)</f>
        <v/>
      </c>
      <c r="W482" s="32" t="str">
        <f>IF('12 - Deployments &amp; Config'!BD487="","",'12 - Deployments &amp; Config'!BD487)</f>
        <v/>
      </c>
      <c r="X482" s="32" t="str">
        <f>IF('12 - Deployments &amp; Config'!BL487="","",'12 - Deployments &amp; Config'!BL487)</f>
        <v/>
      </c>
      <c r="Y482" s="32" t="str">
        <f>IF('12 - Deployments &amp; Config'!BC487="","",'12 - Deployments &amp; Config'!BC487)</f>
        <v/>
      </c>
      <c r="Z482" s="32" t="str">
        <f>IF('12 - Deployments &amp; Config'!P487="","",'12 - Deployments &amp; Config'!P487)</f>
        <v/>
      </c>
      <c r="AA482" s="32" t="str">
        <f>IF('12 - Deployments &amp; Config'!Q487="","",'12 - Deployments &amp; Config'!Q487)</f>
        <v/>
      </c>
    </row>
    <row r="483" spans="1:27">
      <c r="A483" s="33"/>
      <c r="B483" s="33"/>
      <c r="C483" s="32" t="str">
        <f>IF('12 - Deployments &amp; Config'!H488="","",'12 - Deployments &amp; Config'!H488)</f>
        <v/>
      </c>
      <c r="D483" s="32" t="str">
        <f>IF('12 - Deployments &amp; Config'!AF488="","",'12 - Deployments &amp; Config'!AF488)</f>
        <v/>
      </c>
      <c r="E483" s="32" t="str">
        <f>IF('12 - Deployments &amp; Config'!AG488="","",'12 - Deployments &amp; Config'!AG488)</f>
        <v/>
      </c>
      <c r="F483" s="32" t="str">
        <f>IF('12 - Deployments &amp; Config'!AH488="","",'12 - Deployments &amp; Config'!AH488)</f>
        <v/>
      </c>
      <c r="G483" s="32" t="str">
        <f>IF('12 - Deployments &amp; Config'!AI488="","",'12 - Deployments &amp; Config'!AI488)</f>
        <v/>
      </c>
      <c r="H483" s="32" t="str">
        <f>IF('12 - Deployments &amp; Config'!A488="","",'12 - Deployments &amp; Config'!A488)</f>
        <v/>
      </c>
      <c r="I483" s="32" t="str">
        <f>IF('12 - Deployments &amp; Config'!AJ488="","",'12 - Deployments &amp; Config'!AJ488)</f>
        <v/>
      </c>
      <c r="J483" s="32" t="str">
        <f>IF('12 - Deployments &amp; Config'!AK488="","",'12 - Deployments &amp; Config'!AK488)</f>
        <v/>
      </c>
      <c r="K483" s="32" t="str">
        <f>IF('12 - Deployments &amp; Config'!AA488="","",'12 - Deployments &amp; Config'!AA488)</f>
        <v/>
      </c>
      <c r="L483" s="32" t="str">
        <f>IF('12 - Deployments &amp; Config'!I488="","",'12 - Deployments &amp; Config'!I488)</f>
        <v/>
      </c>
      <c r="M483" s="33"/>
      <c r="N483" s="32" t="str">
        <f>IF('12 - Deployments &amp; Config'!J488="","",'12 - Deployments &amp; Config'!J488)</f>
        <v/>
      </c>
      <c r="O483" s="32" t="str">
        <f>IF('12 - Deployments &amp; Config'!K488="","",'12 - Deployments &amp; Config'!K488)</f>
        <v/>
      </c>
      <c r="P483" s="32" t="str">
        <f>IF('12 - Deployments &amp; Config'!L488="","",'12 - Deployments &amp; Config'!L488)</f>
        <v/>
      </c>
      <c r="Q483" s="33"/>
      <c r="R483" s="32" t="str">
        <f>IF('12 - Deployments &amp; Config'!AZ488="","",'12 - Deployments &amp; Config'!AZ488)</f>
        <v/>
      </c>
      <c r="S483" s="32" t="str">
        <f>IF('12 - Deployments &amp; Config'!AY488="","",'12 - Deployments &amp; Config'!AY488)</f>
        <v/>
      </c>
      <c r="T483" s="32" t="str">
        <f>IF('12 - Deployments &amp; Config'!AW488="","",'12 - Deployments &amp; Config'!AW488)</f>
        <v/>
      </c>
      <c r="U483" s="32" t="str">
        <f>IF('12 - Deployments &amp; Config'!AX488="","",'12 - Deployments &amp; Config'!AX488)</f>
        <v/>
      </c>
      <c r="V483" s="32" t="str">
        <f>IF('12 - Deployments &amp; Config'!BB488="","",'12 - Deployments &amp; Config'!BB488)</f>
        <v/>
      </c>
      <c r="W483" s="32" t="str">
        <f>IF('12 - Deployments &amp; Config'!BD488="","",'12 - Deployments &amp; Config'!BD488)</f>
        <v/>
      </c>
      <c r="X483" s="32" t="str">
        <f>IF('12 - Deployments &amp; Config'!BL488="","",'12 - Deployments &amp; Config'!BL488)</f>
        <v/>
      </c>
      <c r="Y483" s="32" t="str">
        <f>IF('12 - Deployments &amp; Config'!BC488="","",'12 - Deployments &amp; Config'!BC488)</f>
        <v/>
      </c>
      <c r="Z483" s="32" t="str">
        <f>IF('12 - Deployments &amp; Config'!P488="","",'12 - Deployments &amp; Config'!P488)</f>
        <v/>
      </c>
      <c r="AA483" s="32" t="str">
        <f>IF('12 - Deployments &amp; Config'!Q488="","",'12 - Deployments &amp; Config'!Q488)</f>
        <v/>
      </c>
    </row>
    <row r="484" spans="1:27">
      <c r="A484" s="33"/>
      <c r="B484" s="33"/>
      <c r="C484" s="32" t="str">
        <f>IF('12 - Deployments &amp; Config'!H489="","",'12 - Deployments &amp; Config'!H489)</f>
        <v/>
      </c>
      <c r="D484" s="32" t="str">
        <f>IF('12 - Deployments &amp; Config'!AF489="","",'12 - Deployments &amp; Config'!AF489)</f>
        <v/>
      </c>
      <c r="E484" s="32" t="str">
        <f>IF('12 - Deployments &amp; Config'!AG489="","",'12 - Deployments &amp; Config'!AG489)</f>
        <v/>
      </c>
      <c r="F484" s="32" t="str">
        <f>IF('12 - Deployments &amp; Config'!AH489="","",'12 - Deployments &amp; Config'!AH489)</f>
        <v/>
      </c>
      <c r="G484" s="32" t="str">
        <f>IF('12 - Deployments &amp; Config'!AI489="","",'12 - Deployments &amp; Config'!AI489)</f>
        <v/>
      </c>
      <c r="H484" s="32" t="str">
        <f>IF('12 - Deployments &amp; Config'!A489="","",'12 - Deployments &amp; Config'!A489)</f>
        <v/>
      </c>
      <c r="I484" s="32" t="str">
        <f>IF('12 - Deployments &amp; Config'!AJ489="","",'12 - Deployments &amp; Config'!AJ489)</f>
        <v/>
      </c>
      <c r="J484" s="32" t="str">
        <f>IF('12 - Deployments &amp; Config'!AK489="","",'12 - Deployments &amp; Config'!AK489)</f>
        <v/>
      </c>
      <c r="K484" s="32" t="str">
        <f>IF('12 - Deployments &amp; Config'!AA489="","",'12 - Deployments &amp; Config'!AA489)</f>
        <v/>
      </c>
      <c r="L484" s="32" t="str">
        <f>IF('12 - Deployments &amp; Config'!I489="","",'12 - Deployments &amp; Config'!I489)</f>
        <v/>
      </c>
      <c r="M484" s="33"/>
      <c r="N484" s="32" t="str">
        <f>IF('12 - Deployments &amp; Config'!J489="","",'12 - Deployments &amp; Config'!J489)</f>
        <v/>
      </c>
      <c r="O484" s="32" t="str">
        <f>IF('12 - Deployments &amp; Config'!K489="","",'12 - Deployments &amp; Config'!K489)</f>
        <v/>
      </c>
      <c r="P484" s="32" t="str">
        <f>IF('12 - Deployments &amp; Config'!L489="","",'12 - Deployments &amp; Config'!L489)</f>
        <v/>
      </c>
      <c r="Q484" s="33"/>
      <c r="R484" s="32" t="str">
        <f>IF('12 - Deployments &amp; Config'!AZ489="","",'12 - Deployments &amp; Config'!AZ489)</f>
        <v/>
      </c>
      <c r="S484" s="32" t="str">
        <f>IF('12 - Deployments &amp; Config'!AY489="","",'12 - Deployments &amp; Config'!AY489)</f>
        <v/>
      </c>
      <c r="T484" s="32" t="str">
        <f>IF('12 - Deployments &amp; Config'!AW489="","",'12 - Deployments &amp; Config'!AW489)</f>
        <v/>
      </c>
      <c r="U484" s="32" t="str">
        <f>IF('12 - Deployments &amp; Config'!AX489="","",'12 - Deployments &amp; Config'!AX489)</f>
        <v/>
      </c>
      <c r="V484" s="32" t="str">
        <f>IF('12 - Deployments &amp; Config'!BB489="","",'12 - Deployments &amp; Config'!BB489)</f>
        <v/>
      </c>
      <c r="W484" s="32" t="str">
        <f>IF('12 - Deployments &amp; Config'!BD489="","",'12 - Deployments &amp; Config'!BD489)</f>
        <v/>
      </c>
      <c r="X484" s="32" t="str">
        <f>IF('12 - Deployments &amp; Config'!BL489="","",'12 - Deployments &amp; Config'!BL489)</f>
        <v/>
      </c>
      <c r="Y484" s="32" t="str">
        <f>IF('12 - Deployments &amp; Config'!BC489="","",'12 - Deployments &amp; Config'!BC489)</f>
        <v/>
      </c>
      <c r="Z484" s="32" t="str">
        <f>IF('12 - Deployments &amp; Config'!P489="","",'12 - Deployments &amp; Config'!P489)</f>
        <v/>
      </c>
      <c r="AA484" s="32" t="str">
        <f>IF('12 - Deployments &amp; Config'!Q489="","",'12 - Deployments &amp; Config'!Q489)</f>
        <v/>
      </c>
    </row>
    <row r="485" spans="1:27">
      <c r="A485" s="33"/>
      <c r="B485" s="33"/>
      <c r="C485" s="32" t="str">
        <f>IF('12 - Deployments &amp; Config'!H490="","",'12 - Deployments &amp; Config'!H490)</f>
        <v/>
      </c>
      <c r="D485" s="32" t="str">
        <f>IF('12 - Deployments &amp; Config'!AF490="","",'12 - Deployments &amp; Config'!AF490)</f>
        <v/>
      </c>
      <c r="E485" s="32" t="str">
        <f>IF('12 - Deployments &amp; Config'!AG490="","",'12 - Deployments &amp; Config'!AG490)</f>
        <v/>
      </c>
      <c r="F485" s="32" t="str">
        <f>IF('12 - Deployments &amp; Config'!AH490="","",'12 - Deployments &amp; Config'!AH490)</f>
        <v/>
      </c>
      <c r="G485" s="32" t="str">
        <f>IF('12 - Deployments &amp; Config'!AI490="","",'12 - Deployments &amp; Config'!AI490)</f>
        <v/>
      </c>
      <c r="H485" s="32" t="str">
        <f>IF('12 - Deployments &amp; Config'!A490="","",'12 - Deployments &amp; Config'!A490)</f>
        <v/>
      </c>
      <c r="I485" s="32" t="str">
        <f>IF('12 - Deployments &amp; Config'!AJ490="","",'12 - Deployments &amp; Config'!AJ490)</f>
        <v/>
      </c>
      <c r="J485" s="32" t="str">
        <f>IF('12 - Deployments &amp; Config'!AK490="","",'12 - Deployments &amp; Config'!AK490)</f>
        <v/>
      </c>
      <c r="K485" s="32" t="str">
        <f>IF('12 - Deployments &amp; Config'!AA490="","",'12 - Deployments &amp; Config'!AA490)</f>
        <v/>
      </c>
      <c r="L485" s="32" t="str">
        <f>IF('12 - Deployments &amp; Config'!I490="","",'12 - Deployments &amp; Config'!I490)</f>
        <v/>
      </c>
      <c r="M485" s="33"/>
      <c r="N485" s="32" t="str">
        <f>IF('12 - Deployments &amp; Config'!J490="","",'12 - Deployments &amp; Config'!J490)</f>
        <v/>
      </c>
      <c r="O485" s="32" t="str">
        <f>IF('12 - Deployments &amp; Config'!K490="","",'12 - Deployments &amp; Config'!K490)</f>
        <v/>
      </c>
      <c r="P485" s="32" t="str">
        <f>IF('12 - Deployments &amp; Config'!L490="","",'12 - Deployments &amp; Config'!L490)</f>
        <v/>
      </c>
      <c r="Q485" s="33"/>
      <c r="R485" s="32" t="str">
        <f>IF('12 - Deployments &amp; Config'!AZ490="","",'12 - Deployments &amp; Config'!AZ490)</f>
        <v/>
      </c>
      <c r="S485" s="32" t="str">
        <f>IF('12 - Deployments &amp; Config'!AY490="","",'12 - Deployments &amp; Config'!AY490)</f>
        <v/>
      </c>
      <c r="T485" s="32" t="str">
        <f>IF('12 - Deployments &amp; Config'!AW490="","",'12 - Deployments &amp; Config'!AW490)</f>
        <v/>
      </c>
      <c r="U485" s="32" t="str">
        <f>IF('12 - Deployments &amp; Config'!AX490="","",'12 - Deployments &amp; Config'!AX490)</f>
        <v/>
      </c>
      <c r="V485" s="32" t="str">
        <f>IF('12 - Deployments &amp; Config'!BB490="","",'12 - Deployments &amp; Config'!BB490)</f>
        <v/>
      </c>
      <c r="W485" s="32" t="str">
        <f>IF('12 - Deployments &amp; Config'!BD490="","",'12 - Deployments &amp; Config'!BD490)</f>
        <v/>
      </c>
      <c r="X485" s="32" t="str">
        <f>IF('12 - Deployments &amp; Config'!BL490="","",'12 - Deployments &amp; Config'!BL490)</f>
        <v/>
      </c>
      <c r="Y485" s="32" t="str">
        <f>IF('12 - Deployments &amp; Config'!BC490="","",'12 - Deployments &amp; Config'!BC490)</f>
        <v/>
      </c>
      <c r="Z485" s="32" t="str">
        <f>IF('12 - Deployments &amp; Config'!P490="","",'12 - Deployments &amp; Config'!P490)</f>
        <v/>
      </c>
      <c r="AA485" s="32" t="str">
        <f>IF('12 - Deployments &amp; Config'!Q490="","",'12 - Deployments &amp; Config'!Q490)</f>
        <v/>
      </c>
    </row>
    <row r="486" spans="1:27">
      <c r="A486" s="33"/>
      <c r="B486" s="33"/>
      <c r="C486" s="32" t="str">
        <f>IF('12 - Deployments &amp; Config'!H491="","",'12 - Deployments &amp; Config'!H491)</f>
        <v/>
      </c>
      <c r="D486" s="32" t="str">
        <f>IF('12 - Deployments &amp; Config'!AF491="","",'12 - Deployments &amp; Config'!AF491)</f>
        <v/>
      </c>
      <c r="E486" s="32" t="str">
        <f>IF('12 - Deployments &amp; Config'!AG491="","",'12 - Deployments &amp; Config'!AG491)</f>
        <v/>
      </c>
      <c r="F486" s="32" t="str">
        <f>IF('12 - Deployments &amp; Config'!AH491="","",'12 - Deployments &amp; Config'!AH491)</f>
        <v/>
      </c>
      <c r="G486" s="32" t="str">
        <f>IF('12 - Deployments &amp; Config'!AI491="","",'12 - Deployments &amp; Config'!AI491)</f>
        <v/>
      </c>
      <c r="H486" s="32" t="str">
        <f>IF('12 - Deployments &amp; Config'!A491="","",'12 - Deployments &amp; Config'!A491)</f>
        <v/>
      </c>
      <c r="I486" s="32" t="str">
        <f>IF('12 - Deployments &amp; Config'!AJ491="","",'12 - Deployments &amp; Config'!AJ491)</f>
        <v/>
      </c>
      <c r="J486" s="32" t="str">
        <f>IF('12 - Deployments &amp; Config'!AK491="","",'12 - Deployments &amp; Config'!AK491)</f>
        <v/>
      </c>
      <c r="K486" s="32" t="str">
        <f>IF('12 - Deployments &amp; Config'!AA491="","",'12 - Deployments &amp; Config'!AA491)</f>
        <v/>
      </c>
      <c r="L486" s="32" t="str">
        <f>IF('12 - Deployments &amp; Config'!I491="","",'12 - Deployments &amp; Config'!I491)</f>
        <v/>
      </c>
      <c r="M486" s="33"/>
      <c r="N486" s="32" t="str">
        <f>IF('12 - Deployments &amp; Config'!J491="","",'12 - Deployments &amp; Config'!J491)</f>
        <v/>
      </c>
      <c r="O486" s="32" t="str">
        <f>IF('12 - Deployments &amp; Config'!K491="","",'12 - Deployments &amp; Config'!K491)</f>
        <v/>
      </c>
      <c r="P486" s="32" t="str">
        <f>IF('12 - Deployments &amp; Config'!L491="","",'12 - Deployments &amp; Config'!L491)</f>
        <v/>
      </c>
      <c r="Q486" s="33"/>
      <c r="R486" s="32" t="str">
        <f>IF('12 - Deployments &amp; Config'!AZ491="","",'12 - Deployments &amp; Config'!AZ491)</f>
        <v/>
      </c>
      <c r="S486" s="32" t="str">
        <f>IF('12 - Deployments &amp; Config'!AY491="","",'12 - Deployments &amp; Config'!AY491)</f>
        <v/>
      </c>
      <c r="T486" s="32" t="str">
        <f>IF('12 - Deployments &amp; Config'!AW491="","",'12 - Deployments &amp; Config'!AW491)</f>
        <v/>
      </c>
      <c r="U486" s="32" t="str">
        <f>IF('12 - Deployments &amp; Config'!AX491="","",'12 - Deployments &amp; Config'!AX491)</f>
        <v/>
      </c>
      <c r="V486" s="32" t="str">
        <f>IF('12 - Deployments &amp; Config'!BB491="","",'12 - Deployments &amp; Config'!BB491)</f>
        <v/>
      </c>
      <c r="W486" s="32" t="str">
        <f>IF('12 - Deployments &amp; Config'!BD491="","",'12 - Deployments &amp; Config'!BD491)</f>
        <v/>
      </c>
      <c r="X486" s="32" t="str">
        <f>IF('12 - Deployments &amp; Config'!BL491="","",'12 - Deployments &amp; Config'!BL491)</f>
        <v/>
      </c>
      <c r="Y486" s="32" t="str">
        <f>IF('12 - Deployments &amp; Config'!BC491="","",'12 - Deployments &amp; Config'!BC491)</f>
        <v/>
      </c>
      <c r="Z486" s="32" t="str">
        <f>IF('12 - Deployments &amp; Config'!P491="","",'12 - Deployments &amp; Config'!P491)</f>
        <v/>
      </c>
      <c r="AA486" s="32" t="str">
        <f>IF('12 - Deployments &amp; Config'!Q491="","",'12 - Deployments &amp; Config'!Q491)</f>
        <v/>
      </c>
    </row>
    <row r="487" spans="1:27">
      <c r="A487" s="33"/>
      <c r="B487" s="33"/>
      <c r="C487" s="32" t="str">
        <f>IF('12 - Deployments &amp; Config'!H492="","",'12 - Deployments &amp; Config'!H492)</f>
        <v/>
      </c>
      <c r="D487" s="32" t="str">
        <f>IF('12 - Deployments &amp; Config'!AF492="","",'12 - Deployments &amp; Config'!AF492)</f>
        <v/>
      </c>
      <c r="E487" s="32" t="str">
        <f>IF('12 - Deployments &amp; Config'!AG492="","",'12 - Deployments &amp; Config'!AG492)</f>
        <v/>
      </c>
      <c r="F487" s="32" t="str">
        <f>IF('12 - Deployments &amp; Config'!AH492="","",'12 - Deployments &amp; Config'!AH492)</f>
        <v/>
      </c>
      <c r="G487" s="32" t="str">
        <f>IF('12 - Deployments &amp; Config'!AI492="","",'12 - Deployments &amp; Config'!AI492)</f>
        <v/>
      </c>
      <c r="H487" s="32" t="str">
        <f>IF('12 - Deployments &amp; Config'!A492="","",'12 - Deployments &amp; Config'!A492)</f>
        <v/>
      </c>
      <c r="I487" s="32" t="str">
        <f>IF('12 - Deployments &amp; Config'!AJ492="","",'12 - Deployments &amp; Config'!AJ492)</f>
        <v/>
      </c>
      <c r="J487" s="32" t="str">
        <f>IF('12 - Deployments &amp; Config'!AK492="","",'12 - Deployments &amp; Config'!AK492)</f>
        <v/>
      </c>
      <c r="K487" s="32" t="str">
        <f>IF('12 - Deployments &amp; Config'!AA492="","",'12 - Deployments &amp; Config'!AA492)</f>
        <v/>
      </c>
      <c r="L487" s="32" t="str">
        <f>IF('12 - Deployments &amp; Config'!I492="","",'12 - Deployments &amp; Config'!I492)</f>
        <v/>
      </c>
      <c r="M487" s="33"/>
      <c r="N487" s="32" t="str">
        <f>IF('12 - Deployments &amp; Config'!J492="","",'12 - Deployments &amp; Config'!J492)</f>
        <v/>
      </c>
      <c r="O487" s="32" t="str">
        <f>IF('12 - Deployments &amp; Config'!K492="","",'12 - Deployments &amp; Config'!K492)</f>
        <v/>
      </c>
      <c r="P487" s="32" t="str">
        <f>IF('12 - Deployments &amp; Config'!L492="","",'12 - Deployments &amp; Config'!L492)</f>
        <v/>
      </c>
      <c r="Q487" s="33"/>
      <c r="R487" s="32" t="str">
        <f>IF('12 - Deployments &amp; Config'!AZ492="","",'12 - Deployments &amp; Config'!AZ492)</f>
        <v/>
      </c>
      <c r="S487" s="32" t="str">
        <f>IF('12 - Deployments &amp; Config'!AY492="","",'12 - Deployments &amp; Config'!AY492)</f>
        <v/>
      </c>
      <c r="T487" s="32" t="str">
        <f>IF('12 - Deployments &amp; Config'!AW492="","",'12 - Deployments &amp; Config'!AW492)</f>
        <v/>
      </c>
      <c r="U487" s="32" t="str">
        <f>IF('12 - Deployments &amp; Config'!AX492="","",'12 - Deployments &amp; Config'!AX492)</f>
        <v/>
      </c>
      <c r="V487" s="32" t="str">
        <f>IF('12 - Deployments &amp; Config'!BB492="","",'12 - Deployments &amp; Config'!BB492)</f>
        <v/>
      </c>
      <c r="W487" s="32" t="str">
        <f>IF('12 - Deployments &amp; Config'!BD492="","",'12 - Deployments &amp; Config'!BD492)</f>
        <v/>
      </c>
      <c r="X487" s="32" t="str">
        <f>IF('12 - Deployments &amp; Config'!BL492="","",'12 - Deployments &amp; Config'!BL492)</f>
        <v/>
      </c>
      <c r="Y487" s="32" t="str">
        <f>IF('12 - Deployments &amp; Config'!BC492="","",'12 - Deployments &amp; Config'!BC492)</f>
        <v/>
      </c>
      <c r="Z487" s="32" t="str">
        <f>IF('12 - Deployments &amp; Config'!P492="","",'12 - Deployments &amp; Config'!P492)</f>
        <v/>
      </c>
      <c r="AA487" s="32" t="str">
        <f>IF('12 - Deployments &amp; Config'!Q492="","",'12 - Deployments &amp; Config'!Q492)</f>
        <v/>
      </c>
    </row>
    <row r="488" spans="1:27">
      <c r="A488" s="33"/>
      <c r="B488" s="33"/>
      <c r="C488" s="32" t="str">
        <f>IF('12 - Deployments &amp; Config'!H493="","",'12 - Deployments &amp; Config'!H493)</f>
        <v/>
      </c>
      <c r="D488" s="32" t="str">
        <f>IF('12 - Deployments &amp; Config'!AF493="","",'12 - Deployments &amp; Config'!AF493)</f>
        <v/>
      </c>
      <c r="E488" s="32" t="str">
        <f>IF('12 - Deployments &amp; Config'!AG493="","",'12 - Deployments &amp; Config'!AG493)</f>
        <v/>
      </c>
      <c r="F488" s="32" t="str">
        <f>IF('12 - Deployments &amp; Config'!AH493="","",'12 - Deployments &amp; Config'!AH493)</f>
        <v/>
      </c>
      <c r="G488" s="32" t="str">
        <f>IF('12 - Deployments &amp; Config'!AI493="","",'12 - Deployments &amp; Config'!AI493)</f>
        <v/>
      </c>
      <c r="H488" s="32" t="str">
        <f>IF('12 - Deployments &amp; Config'!A493="","",'12 - Deployments &amp; Config'!A493)</f>
        <v/>
      </c>
      <c r="I488" s="32" t="str">
        <f>IF('12 - Deployments &amp; Config'!AJ493="","",'12 - Deployments &amp; Config'!AJ493)</f>
        <v/>
      </c>
      <c r="J488" s="32" t="str">
        <f>IF('12 - Deployments &amp; Config'!AK493="","",'12 - Deployments &amp; Config'!AK493)</f>
        <v/>
      </c>
      <c r="K488" s="32" t="str">
        <f>IF('12 - Deployments &amp; Config'!AA493="","",'12 - Deployments &amp; Config'!AA493)</f>
        <v/>
      </c>
      <c r="L488" s="32" t="str">
        <f>IF('12 - Deployments &amp; Config'!I493="","",'12 - Deployments &amp; Config'!I493)</f>
        <v/>
      </c>
      <c r="M488" s="33"/>
      <c r="N488" s="32" t="str">
        <f>IF('12 - Deployments &amp; Config'!J493="","",'12 - Deployments &amp; Config'!J493)</f>
        <v/>
      </c>
      <c r="O488" s="32" t="str">
        <f>IF('12 - Deployments &amp; Config'!K493="","",'12 - Deployments &amp; Config'!K493)</f>
        <v/>
      </c>
      <c r="P488" s="32" t="str">
        <f>IF('12 - Deployments &amp; Config'!L493="","",'12 - Deployments &amp; Config'!L493)</f>
        <v/>
      </c>
      <c r="Q488" s="33"/>
      <c r="R488" s="32" t="str">
        <f>IF('12 - Deployments &amp; Config'!AZ493="","",'12 - Deployments &amp; Config'!AZ493)</f>
        <v/>
      </c>
      <c r="S488" s="32" t="str">
        <f>IF('12 - Deployments &amp; Config'!AY493="","",'12 - Deployments &amp; Config'!AY493)</f>
        <v/>
      </c>
      <c r="T488" s="32" t="str">
        <f>IF('12 - Deployments &amp; Config'!AW493="","",'12 - Deployments &amp; Config'!AW493)</f>
        <v/>
      </c>
      <c r="U488" s="32" t="str">
        <f>IF('12 - Deployments &amp; Config'!AX493="","",'12 - Deployments &amp; Config'!AX493)</f>
        <v/>
      </c>
      <c r="V488" s="32" t="str">
        <f>IF('12 - Deployments &amp; Config'!BB493="","",'12 - Deployments &amp; Config'!BB493)</f>
        <v/>
      </c>
      <c r="W488" s="32" t="str">
        <f>IF('12 - Deployments &amp; Config'!BD493="","",'12 - Deployments &amp; Config'!BD493)</f>
        <v/>
      </c>
      <c r="X488" s="32" t="str">
        <f>IF('12 - Deployments &amp; Config'!BL493="","",'12 - Deployments &amp; Config'!BL493)</f>
        <v/>
      </c>
      <c r="Y488" s="32" t="str">
        <f>IF('12 - Deployments &amp; Config'!BC493="","",'12 - Deployments &amp; Config'!BC493)</f>
        <v/>
      </c>
      <c r="Z488" s="32" t="str">
        <f>IF('12 - Deployments &amp; Config'!P493="","",'12 - Deployments &amp; Config'!P493)</f>
        <v/>
      </c>
      <c r="AA488" s="32" t="str">
        <f>IF('12 - Deployments &amp; Config'!Q493="","",'12 - Deployments &amp; Config'!Q493)</f>
        <v/>
      </c>
    </row>
    <row r="489" spans="1:27">
      <c r="A489" s="33"/>
      <c r="B489" s="33"/>
      <c r="C489" s="32" t="str">
        <f>IF('12 - Deployments &amp; Config'!H494="","",'12 - Deployments &amp; Config'!H494)</f>
        <v/>
      </c>
      <c r="D489" s="32" t="str">
        <f>IF('12 - Deployments &amp; Config'!AF494="","",'12 - Deployments &amp; Config'!AF494)</f>
        <v/>
      </c>
      <c r="E489" s="32" t="str">
        <f>IF('12 - Deployments &amp; Config'!AG494="","",'12 - Deployments &amp; Config'!AG494)</f>
        <v/>
      </c>
      <c r="F489" s="32" t="str">
        <f>IF('12 - Deployments &amp; Config'!AH494="","",'12 - Deployments &amp; Config'!AH494)</f>
        <v/>
      </c>
      <c r="G489" s="32" t="str">
        <f>IF('12 - Deployments &amp; Config'!AI494="","",'12 - Deployments &amp; Config'!AI494)</f>
        <v/>
      </c>
      <c r="H489" s="32" t="str">
        <f>IF('12 - Deployments &amp; Config'!A494="","",'12 - Deployments &amp; Config'!A494)</f>
        <v/>
      </c>
      <c r="I489" s="32" t="str">
        <f>IF('12 - Deployments &amp; Config'!AJ494="","",'12 - Deployments &amp; Config'!AJ494)</f>
        <v/>
      </c>
      <c r="J489" s="32" t="str">
        <f>IF('12 - Deployments &amp; Config'!AK494="","",'12 - Deployments &amp; Config'!AK494)</f>
        <v/>
      </c>
      <c r="K489" s="32" t="str">
        <f>IF('12 - Deployments &amp; Config'!AA494="","",'12 - Deployments &amp; Config'!AA494)</f>
        <v/>
      </c>
      <c r="L489" s="32" t="str">
        <f>IF('12 - Deployments &amp; Config'!I494="","",'12 - Deployments &amp; Config'!I494)</f>
        <v/>
      </c>
      <c r="M489" s="33"/>
      <c r="N489" s="32" t="str">
        <f>IF('12 - Deployments &amp; Config'!J494="","",'12 - Deployments &amp; Config'!J494)</f>
        <v/>
      </c>
      <c r="O489" s="32" t="str">
        <f>IF('12 - Deployments &amp; Config'!K494="","",'12 - Deployments &amp; Config'!K494)</f>
        <v/>
      </c>
      <c r="P489" s="32" t="str">
        <f>IF('12 - Deployments &amp; Config'!L494="","",'12 - Deployments &amp; Config'!L494)</f>
        <v/>
      </c>
      <c r="Q489" s="33"/>
      <c r="R489" s="32" t="str">
        <f>IF('12 - Deployments &amp; Config'!AZ494="","",'12 - Deployments &amp; Config'!AZ494)</f>
        <v/>
      </c>
      <c r="S489" s="32" t="str">
        <f>IF('12 - Deployments &amp; Config'!AY494="","",'12 - Deployments &amp; Config'!AY494)</f>
        <v/>
      </c>
      <c r="T489" s="32" t="str">
        <f>IF('12 - Deployments &amp; Config'!AW494="","",'12 - Deployments &amp; Config'!AW494)</f>
        <v/>
      </c>
      <c r="U489" s="32" t="str">
        <f>IF('12 - Deployments &amp; Config'!AX494="","",'12 - Deployments &amp; Config'!AX494)</f>
        <v/>
      </c>
      <c r="V489" s="32" t="str">
        <f>IF('12 - Deployments &amp; Config'!BB494="","",'12 - Deployments &amp; Config'!BB494)</f>
        <v/>
      </c>
      <c r="W489" s="32" t="str">
        <f>IF('12 - Deployments &amp; Config'!BD494="","",'12 - Deployments &amp; Config'!BD494)</f>
        <v/>
      </c>
      <c r="X489" s="32" t="str">
        <f>IF('12 - Deployments &amp; Config'!BL494="","",'12 - Deployments &amp; Config'!BL494)</f>
        <v/>
      </c>
      <c r="Y489" s="32" t="str">
        <f>IF('12 - Deployments &amp; Config'!BC494="","",'12 - Deployments &amp; Config'!BC494)</f>
        <v/>
      </c>
      <c r="Z489" s="32" t="str">
        <f>IF('12 - Deployments &amp; Config'!P494="","",'12 - Deployments &amp; Config'!P494)</f>
        <v/>
      </c>
      <c r="AA489" s="32" t="str">
        <f>IF('12 - Deployments &amp; Config'!Q494="","",'12 - Deployments &amp; Config'!Q494)</f>
        <v/>
      </c>
    </row>
    <row r="490" spans="1:27">
      <c r="A490" s="33"/>
      <c r="B490" s="33"/>
      <c r="C490" s="32" t="str">
        <f>IF('12 - Deployments &amp; Config'!H495="","",'12 - Deployments &amp; Config'!H495)</f>
        <v/>
      </c>
      <c r="D490" s="32" t="str">
        <f>IF('12 - Deployments &amp; Config'!AF495="","",'12 - Deployments &amp; Config'!AF495)</f>
        <v/>
      </c>
      <c r="E490" s="32" t="str">
        <f>IF('12 - Deployments &amp; Config'!AG495="","",'12 - Deployments &amp; Config'!AG495)</f>
        <v/>
      </c>
      <c r="F490" s="32" t="str">
        <f>IF('12 - Deployments &amp; Config'!AH495="","",'12 - Deployments &amp; Config'!AH495)</f>
        <v/>
      </c>
      <c r="G490" s="32" t="str">
        <f>IF('12 - Deployments &amp; Config'!AI495="","",'12 - Deployments &amp; Config'!AI495)</f>
        <v/>
      </c>
      <c r="H490" s="32" t="str">
        <f>IF('12 - Deployments &amp; Config'!A495="","",'12 - Deployments &amp; Config'!A495)</f>
        <v/>
      </c>
      <c r="I490" s="32" t="str">
        <f>IF('12 - Deployments &amp; Config'!AJ495="","",'12 - Deployments &amp; Config'!AJ495)</f>
        <v/>
      </c>
      <c r="J490" s="32" t="str">
        <f>IF('12 - Deployments &amp; Config'!AK495="","",'12 - Deployments &amp; Config'!AK495)</f>
        <v/>
      </c>
      <c r="K490" s="32" t="str">
        <f>IF('12 - Deployments &amp; Config'!AA495="","",'12 - Deployments &amp; Config'!AA495)</f>
        <v/>
      </c>
      <c r="L490" s="32" t="str">
        <f>IF('12 - Deployments &amp; Config'!I495="","",'12 - Deployments &amp; Config'!I495)</f>
        <v/>
      </c>
      <c r="M490" s="33"/>
      <c r="N490" s="32" t="str">
        <f>IF('12 - Deployments &amp; Config'!J495="","",'12 - Deployments &amp; Config'!J495)</f>
        <v/>
      </c>
      <c r="O490" s="32" t="str">
        <f>IF('12 - Deployments &amp; Config'!K495="","",'12 - Deployments &amp; Config'!K495)</f>
        <v/>
      </c>
      <c r="P490" s="32" t="str">
        <f>IF('12 - Deployments &amp; Config'!L495="","",'12 - Deployments &amp; Config'!L495)</f>
        <v/>
      </c>
      <c r="Q490" s="33"/>
      <c r="R490" s="32" t="str">
        <f>IF('12 - Deployments &amp; Config'!AZ495="","",'12 - Deployments &amp; Config'!AZ495)</f>
        <v/>
      </c>
      <c r="S490" s="32" t="str">
        <f>IF('12 - Deployments &amp; Config'!AY495="","",'12 - Deployments &amp; Config'!AY495)</f>
        <v/>
      </c>
      <c r="T490" s="32" t="str">
        <f>IF('12 - Deployments &amp; Config'!AW495="","",'12 - Deployments &amp; Config'!AW495)</f>
        <v/>
      </c>
      <c r="U490" s="32" t="str">
        <f>IF('12 - Deployments &amp; Config'!AX495="","",'12 - Deployments &amp; Config'!AX495)</f>
        <v/>
      </c>
      <c r="V490" s="32" t="str">
        <f>IF('12 - Deployments &amp; Config'!BB495="","",'12 - Deployments &amp; Config'!BB495)</f>
        <v/>
      </c>
      <c r="W490" s="32" t="str">
        <f>IF('12 - Deployments &amp; Config'!BD495="","",'12 - Deployments &amp; Config'!BD495)</f>
        <v/>
      </c>
      <c r="X490" s="32" t="str">
        <f>IF('12 - Deployments &amp; Config'!BL495="","",'12 - Deployments &amp; Config'!BL495)</f>
        <v/>
      </c>
      <c r="Y490" s="32" t="str">
        <f>IF('12 - Deployments &amp; Config'!BC495="","",'12 - Deployments &amp; Config'!BC495)</f>
        <v/>
      </c>
      <c r="Z490" s="32" t="str">
        <f>IF('12 - Deployments &amp; Config'!P495="","",'12 - Deployments &amp; Config'!P495)</f>
        <v/>
      </c>
      <c r="AA490" s="32" t="str">
        <f>IF('12 - Deployments &amp; Config'!Q495="","",'12 - Deployments &amp; Config'!Q495)</f>
        <v/>
      </c>
    </row>
    <row r="491" spans="1:27">
      <c r="A491" s="33"/>
      <c r="B491" s="33"/>
      <c r="C491" s="32" t="str">
        <f>IF('12 - Deployments &amp; Config'!H496="","",'12 - Deployments &amp; Config'!H496)</f>
        <v/>
      </c>
      <c r="D491" s="32" t="str">
        <f>IF('12 - Deployments &amp; Config'!AF496="","",'12 - Deployments &amp; Config'!AF496)</f>
        <v/>
      </c>
      <c r="E491" s="32" t="str">
        <f>IF('12 - Deployments &amp; Config'!AG496="","",'12 - Deployments &amp; Config'!AG496)</f>
        <v/>
      </c>
      <c r="F491" s="32" t="str">
        <f>IF('12 - Deployments &amp; Config'!AH496="","",'12 - Deployments &amp; Config'!AH496)</f>
        <v/>
      </c>
      <c r="G491" s="32" t="str">
        <f>IF('12 - Deployments &amp; Config'!AI496="","",'12 - Deployments &amp; Config'!AI496)</f>
        <v/>
      </c>
      <c r="H491" s="32" t="str">
        <f>IF('12 - Deployments &amp; Config'!A496="","",'12 - Deployments &amp; Config'!A496)</f>
        <v/>
      </c>
      <c r="I491" s="32" t="str">
        <f>IF('12 - Deployments &amp; Config'!AJ496="","",'12 - Deployments &amp; Config'!AJ496)</f>
        <v/>
      </c>
      <c r="J491" s="32" t="str">
        <f>IF('12 - Deployments &amp; Config'!AK496="","",'12 - Deployments &amp; Config'!AK496)</f>
        <v/>
      </c>
      <c r="K491" s="32" t="str">
        <f>IF('12 - Deployments &amp; Config'!AA496="","",'12 - Deployments &amp; Config'!AA496)</f>
        <v/>
      </c>
      <c r="L491" s="32" t="str">
        <f>IF('12 - Deployments &amp; Config'!I496="","",'12 - Deployments &amp; Config'!I496)</f>
        <v/>
      </c>
      <c r="M491" s="33"/>
      <c r="N491" s="32" t="str">
        <f>IF('12 - Deployments &amp; Config'!J496="","",'12 - Deployments &amp; Config'!J496)</f>
        <v/>
      </c>
      <c r="O491" s="32" t="str">
        <f>IF('12 - Deployments &amp; Config'!K496="","",'12 - Deployments &amp; Config'!K496)</f>
        <v/>
      </c>
      <c r="P491" s="32" t="str">
        <f>IF('12 - Deployments &amp; Config'!L496="","",'12 - Deployments &amp; Config'!L496)</f>
        <v/>
      </c>
      <c r="Q491" s="33"/>
      <c r="R491" s="32" t="str">
        <f>IF('12 - Deployments &amp; Config'!AZ496="","",'12 - Deployments &amp; Config'!AZ496)</f>
        <v/>
      </c>
      <c r="S491" s="32" t="str">
        <f>IF('12 - Deployments &amp; Config'!AY496="","",'12 - Deployments &amp; Config'!AY496)</f>
        <v/>
      </c>
      <c r="T491" s="32" t="str">
        <f>IF('12 - Deployments &amp; Config'!AW496="","",'12 - Deployments &amp; Config'!AW496)</f>
        <v/>
      </c>
      <c r="U491" s="32" t="str">
        <f>IF('12 - Deployments &amp; Config'!AX496="","",'12 - Deployments &amp; Config'!AX496)</f>
        <v/>
      </c>
      <c r="V491" s="32" t="str">
        <f>IF('12 - Deployments &amp; Config'!BB496="","",'12 - Deployments &amp; Config'!BB496)</f>
        <v/>
      </c>
      <c r="W491" s="32" t="str">
        <f>IF('12 - Deployments &amp; Config'!BD496="","",'12 - Deployments &amp; Config'!BD496)</f>
        <v/>
      </c>
      <c r="X491" s="32" t="str">
        <f>IF('12 - Deployments &amp; Config'!BL496="","",'12 - Deployments &amp; Config'!BL496)</f>
        <v/>
      </c>
      <c r="Y491" s="32" t="str">
        <f>IF('12 - Deployments &amp; Config'!BC496="","",'12 - Deployments &amp; Config'!BC496)</f>
        <v/>
      </c>
      <c r="Z491" s="32" t="str">
        <f>IF('12 - Deployments &amp; Config'!P496="","",'12 - Deployments &amp; Config'!P496)</f>
        <v/>
      </c>
      <c r="AA491" s="32" t="str">
        <f>IF('12 - Deployments &amp; Config'!Q496="","",'12 - Deployments &amp; Config'!Q496)</f>
        <v/>
      </c>
    </row>
    <row r="492" spans="1:27">
      <c r="A492" s="33"/>
      <c r="B492" s="33"/>
      <c r="C492" s="32" t="str">
        <f>IF('12 - Deployments &amp; Config'!H497="","",'12 - Deployments &amp; Config'!H497)</f>
        <v/>
      </c>
      <c r="D492" s="32" t="str">
        <f>IF('12 - Deployments &amp; Config'!AF497="","",'12 - Deployments &amp; Config'!AF497)</f>
        <v/>
      </c>
      <c r="E492" s="32" t="str">
        <f>IF('12 - Deployments &amp; Config'!AG497="","",'12 - Deployments &amp; Config'!AG497)</f>
        <v/>
      </c>
      <c r="F492" s="32" t="str">
        <f>IF('12 - Deployments &amp; Config'!AH497="","",'12 - Deployments &amp; Config'!AH497)</f>
        <v/>
      </c>
      <c r="G492" s="32" t="str">
        <f>IF('12 - Deployments &amp; Config'!AI497="","",'12 - Deployments &amp; Config'!AI497)</f>
        <v/>
      </c>
      <c r="H492" s="32" t="str">
        <f>IF('12 - Deployments &amp; Config'!A497="","",'12 - Deployments &amp; Config'!A497)</f>
        <v/>
      </c>
      <c r="I492" s="32" t="str">
        <f>IF('12 - Deployments &amp; Config'!AJ497="","",'12 - Deployments &amp; Config'!AJ497)</f>
        <v/>
      </c>
      <c r="J492" s="32" t="str">
        <f>IF('12 - Deployments &amp; Config'!AK497="","",'12 - Deployments &amp; Config'!AK497)</f>
        <v/>
      </c>
      <c r="K492" s="32" t="str">
        <f>IF('12 - Deployments &amp; Config'!AA497="","",'12 - Deployments &amp; Config'!AA497)</f>
        <v/>
      </c>
      <c r="L492" s="32" t="str">
        <f>IF('12 - Deployments &amp; Config'!I497="","",'12 - Deployments &amp; Config'!I497)</f>
        <v/>
      </c>
      <c r="M492" s="33"/>
      <c r="N492" s="32" t="str">
        <f>IF('12 - Deployments &amp; Config'!J497="","",'12 - Deployments &amp; Config'!J497)</f>
        <v/>
      </c>
      <c r="O492" s="32" t="str">
        <f>IF('12 - Deployments &amp; Config'!K497="","",'12 - Deployments &amp; Config'!K497)</f>
        <v/>
      </c>
      <c r="P492" s="32" t="str">
        <f>IF('12 - Deployments &amp; Config'!L497="","",'12 - Deployments &amp; Config'!L497)</f>
        <v/>
      </c>
      <c r="Q492" s="33"/>
      <c r="R492" s="32" t="str">
        <f>IF('12 - Deployments &amp; Config'!AZ497="","",'12 - Deployments &amp; Config'!AZ497)</f>
        <v/>
      </c>
      <c r="S492" s="32" t="str">
        <f>IF('12 - Deployments &amp; Config'!AY497="","",'12 - Deployments &amp; Config'!AY497)</f>
        <v/>
      </c>
      <c r="T492" s="32" t="str">
        <f>IF('12 - Deployments &amp; Config'!AW497="","",'12 - Deployments &amp; Config'!AW497)</f>
        <v/>
      </c>
      <c r="U492" s="32" t="str">
        <f>IF('12 - Deployments &amp; Config'!AX497="","",'12 - Deployments &amp; Config'!AX497)</f>
        <v/>
      </c>
      <c r="V492" s="32" t="str">
        <f>IF('12 - Deployments &amp; Config'!BB497="","",'12 - Deployments &amp; Config'!BB497)</f>
        <v/>
      </c>
      <c r="W492" s="32" t="str">
        <f>IF('12 - Deployments &amp; Config'!BD497="","",'12 - Deployments &amp; Config'!BD497)</f>
        <v/>
      </c>
      <c r="X492" s="32" t="str">
        <f>IF('12 - Deployments &amp; Config'!BL497="","",'12 - Deployments &amp; Config'!BL497)</f>
        <v/>
      </c>
      <c r="Y492" s="32" t="str">
        <f>IF('12 - Deployments &amp; Config'!BC497="","",'12 - Deployments &amp; Config'!BC497)</f>
        <v/>
      </c>
      <c r="Z492" s="32" t="str">
        <f>IF('12 - Deployments &amp; Config'!P497="","",'12 - Deployments &amp; Config'!P497)</f>
        <v/>
      </c>
      <c r="AA492" s="32" t="str">
        <f>IF('12 - Deployments &amp; Config'!Q497="","",'12 - Deployments &amp; Config'!Q497)</f>
        <v/>
      </c>
    </row>
    <row r="493" spans="1:27">
      <c r="A493" s="33"/>
      <c r="B493" s="33"/>
      <c r="C493" s="32" t="str">
        <f>IF('12 - Deployments &amp; Config'!H498="","",'12 - Deployments &amp; Config'!H498)</f>
        <v/>
      </c>
      <c r="D493" s="32" t="str">
        <f>IF('12 - Deployments &amp; Config'!AF498="","",'12 - Deployments &amp; Config'!AF498)</f>
        <v/>
      </c>
      <c r="E493" s="32" t="str">
        <f>IF('12 - Deployments &amp; Config'!AG498="","",'12 - Deployments &amp; Config'!AG498)</f>
        <v/>
      </c>
      <c r="F493" s="32" t="str">
        <f>IF('12 - Deployments &amp; Config'!AH498="","",'12 - Deployments &amp; Config'!AH498)</f>
        <v/>
      </c>
      <c r="G493" s="32" t="str">
        <f>IF('12 - Deployments &amp; Config'!AI498="","",'12 - Deployments &amp; Config'!AI498)</f>
        <v/>
      </c>
      <c r="H493" s="32" t="str">
        <f>IF('12 - Deployments &amp; Config'!A498="","",'12 - Deployments &amp; Config'!A498)</f>
        <v/>
      </c>
      <c r="I493" s="32" t="str">
        <f>IF('12 - Deployments &amp; Config'!AJ498="","",'12 - Deployments &amp; Config'!AJ498)</f>
        <v/>
      </c>
      <c r="J493" s="32" t="str">
        <f>IF('12 - Deployments &amp; Config'!AK498="","",'12 - Deployments &amp; Config'!AK498)</f>
        <v/>
      </c>
      <c r="K493" s="32" t="str">
        <f>IF('12 - Deployments &amp; Config'!AA498="","",'12 - Deployments &amp; Config'!AA498)</f>
        <v/>
      </c>
      <c r="L493" s="32" t="str">
        <f>IF('12 - Deployments &amp; Config'!I498="","",'12 - Deployments &amp; Config'!I498)</f>
        <v/>
      </c>
      <c r="M493" s="33"/>
      <c r="N493" s="32" t="str">
        <f>IF('12 - Deployments &amp; Config'!J498="","",'12 - Deployments &amp; Config'!J498)</f>
        <v/>
      </c>
      <c r="O493" s="32" t="str">
        <f>IF('12 - Deployments &amp; Config'!K498="","",'12 - Deployments &amp; Config'!K498)</f>
        <v/>
      </c>
      <c r="P493" s="32" t="str">
        <f>IF('12 - Deployments &amp; Config'!L498="","",'12 - Deployments &amp; Config'!L498)</f>
        <v/>
      </c>
      <c r="Q493" s="33"/>
      <c r="R493" s="32" t="str">
        <f>IF('12 - Deployments &amp; Config'!AZ498="","",'12 - Deployments &amp; Config'!AZ498)</f>
        <v/>
      </c>
      <c r="S493" s="32" t="str">
        <f>IF('12 - Deployments &amp; Config'!AY498="","",'12 - Deployments &amp; Config'!AY498)</f>
        <v/>
      </c>
      <c r="T493" s="32" t="str">
        <f>IF('12 - Deployments &amp; Config'!AW498="","",'12 - Deployments &amp; Config'!AW498)</f>
        <v/>
      </c>
      <c r="U493" s="32" t="str">
        <f>IF('12 - Deployments &amp; Config'!AX498="","",'12 - Deployments &amp; Config'!AX498)</f>
        <v/>
      </c>
      <c r="V493" s="32" t="str">
        <f>IF('12 - Deployments &amp; Config'!BB498="","",'12 - Deployments &amp; Config'!BB498)</f>
        <v/>
      </c>
      <c r="W493" s="32" t="str">
        <f>IF('12 - Deployments &amp; Config'!BD498="","",'12 - Deployments &amp; Config'!BD498)</f>
        <v/>
      </c>
      <c r="X493" s="32" t="str">
        <f>IF('12 - Deployments &amp; Config'!BL498="","",'12 - Deployments &amp; Config'!BL498)</f>
        <v/>
      </c>
      <c r="Y493" s="32" t="str">
        <f>IF('12 - Deployments &amp; Config'!BC498="","",'12 - Deployments &amp; Config'!BC498)</f>
        <v/>
      </c>
      <c r="Z493" s="32" t="str">
        <f>IF('12 - Deployments &amp; Config'!P498="","",'12 - Deployments &amp; Config'!P498)</f>
        <v/>
      </c>
      <c r="AA493" s="32" t="str">
        <f>IF('12 - Deployments &amp; Config'!Q498="","",'12 - Deployments &amp; Config'!Q498)</f>
        <v/>
      </c>
    </row>
    <row r="494" spans="1:27">
      <c r="A494" s="33"/>
      <c r="B494" s="33"/>
      <c r="C494" s="32" t="str">
        <f>IF('12 - Deployments &amp; Config'!H499="","",'12 - Deployments &amp; Config'!H499)</f>
        <v/>
      </c>
      <c r="D494" s="32" t="str">
        <f>IF('12 - Deployments &amp; Config'!AF499="","",'12 - Deployments &amp; Config'!AF499)</f>
        <v/>
      </c>
      <c r="E494" s="32" t="str">
        <f>IF('12 - Deployments &amp; Config'!AG499="","",'12 - Deployments &amp; Config'!AG499)</f>
        <v/>
      </c>
      <c r="F494" s="32" t="str">
        <f>IF('12 - Deployments &amp; Config'!AH499="","",'12 - Deployments &amp; Config'!AH499)</f>
        <v/>
      </c>
      <c r="G494" s="32" t="str">
        <f>IF('12 - Deployments &amp; Config'!AI499="","",'12 - Deployments &amp; Config'!AI499)</f>
        <v/>
      </c>
      <c r="H494" s="32" t="str">
        <f>IF('12 - Deployments &amp; Config'!A499="","",'12 - Deployments &amp; Config'!A499)</f>
        <v/>
      </c>
      <c r="I494" s="32" t="str">
        <f>IF('12 - Deployments &amp; Config'!AJ499="","",'12 - Deployments &amp; Config'!AJ499)</f>
        <v/>
      </c>
      <c r="J494" s="32" t="str">
        <f>IF('12 - Deployments &amp; Config'!AK499="","",'12 - Deployments &amp; Config'!AK499)</f>
        <v/>
      </c>
      <c r="K494" s="32" t="str">
        <f>IF('12 - Deployments &amp; Config'!AA499="","",'12 - Deployments &amp; Config'!AA499)</f>
        <v/>
      </c>
      <c r="L494" s="32" t="str">
        <f>IF('12 - Deployments &amp; Config'!I499="","",'12 - Deployments &amp; Config'!I499)</f>
        <v/>
      </c>
      <c r="M494" s="33"/>
      <c r="N494" s="32" t="str">
        <f>IF('12 - Deployments &amp; Config'!J499="","",'12 - Deployments &amp; Config'!J499)</f>
        <v/>
      </c>
      <c r="O494" s="32" t="str">
        <f>IF('12 - Deployments &amp; Config'!K499="","",'12 - Deployments &amp; Config'!K499)</f>
        <v/>
      </c>
      <c r="P494" s="32" t="str">
        <f>IF('12 - Deployments &amp; Config'!L499="","",'12 - Deployments &amp; Config'!L499)</f>
        <v/>
      </c>
      <c r="Q494" s="33"/>
      <c r="R494" s="32" t="str">
        <f>IF('12 - Deployments &amp; Config'!AZ499="","",'12 - Deployments &amp; Config'!AZ499)</f>
        <v/>
      </c>
      <c r="S494" s="32" t="str">
        <f>IF('12 - Deployments &amp; Config'!AY499="","",'12 - Deployments &amp; Config'!AY499)</f>
        <v/>
      </c>
      <c r="T494" s="32" t="str">
        <f>IF('12 - Deployments &amp; Config'!AW499="","",'12 - Deployments &amp; Config'!AW499)</f>
        <v/>
      </c>
      <c r="U494" s="32" t="str">
        <f>IF('12 - Deployments &amp; Config'!AX499="","",'12 - Deployments &amp; Config'!AX499)</f>
        <v/>
      </c>
      <c r="V494" s="32" t="str">
        <f>IF('12 - Deployments &amp; Config'!BB499="","",'12 - Deployments &amp; Config'!BB499)</f>
        <v/>
      </c>
      <c r="W494" s="32" t="str">
        <f>IF('12 - Deployments &amp; Config'!BD499="","",'12 - Deployments &amp; Config'!BD499)</f>
        <v/>
      </c>
      <c r="X494" s="32" t="str">
        <f>IF('12 - Deployments &amp; Config'!BL499="","",'12 - Deployments &amp; Config'!BL499)</f>
        <v/>
      </c>
      <c r="Y494" s="32" t="str">
        <f>IF('12 - Deployments &amp; Config'!BC499="","",'12 - Deployments &amp; Config'!BC499)</f>
        <v/>
      </c>
      <c r="Z494" s="32" t="str">
        <f>IF('12 - Deployments &amp; Config'!P499="","",'12 - Deployments &amp; Config'!P499)</f>
        <v/>
      </c>
      <c r="AA494" s="32" t="str">
        <f>IF('12 - Deployments &amp; Config'!Q499="","",'12 - Deployments &amp; Config'!Q499)</f>
        <v/>
      </c>
    </row>
    <row r="495" spans="1:27">
      <c r="A495" s="33"/>
      <c r="B495" s="33"/>
      <c r="C495" s="32" t="str">
        <f>IF('12 - Deployments &amp; Config'!H500="","",'12 - Deployments &amp; Config'!H500)</f>
        <v/>
      </c>
      <c r="D495" s="32" t="str">
        <f>IF('12 - Deployments &amp; Config'!AF500="","",'12 - Deployments &amp; Config'!AF500)</f>
        <v/>
      </c>
      <c r="E495" s="32" t="str">
        <f>IF('12 - Deployments &amp; Config'!AG500="","",'12 - Deployments &amp; Config'!AG500)</f>
        <v/>
      </c>
      <c r="F495" s="32" t="str">
        <f>IF('12 - Deployments &amp; Config'!AH500="","",'12 - Deployments &amp; Config'!AH500)</f>
        <v/>
      </c>
      <c r="G495" s="32" t="str">
        <f>IF('12 - Deployments &amp; Config'!AI500="","",'12 - Deployments &amp; Config'!AI500)</f>
        <v/>
      </c>
      <c r="H495" s="32" t="str">
        <f>IF('12 - Deployments &amp; Config'!A500="","",'12 - Deployments &amp; Config'!A500)</f>
        <v/>
      </c>
      <c r="I495" s="32" t="str">
        <f>IF('12 - Deployments &amp; Config'!AJ500="","",'12 - Deployments &amp; Config'!AJ500)</f>
        <v/>
      </c>
      <c r="J495" s="32" t="str">
        <f>IF('12 - Deployments &amp; Config'!AK500="","",'12 - Deployments &amp; Config'!AK500)</f>
        <v/>
      </c>
      <c r="K495" s="32" t="str">
        <f>IF('12 - Deployments &amp; Config'!AA500="","",'12 - Deployments &amp; Config'!AA500)</f>
        <v/>
      </c>
      <c r="L495" s="32" t="str">
        <f>IF('12 - Deployments &amp; Config'!I500="","",'12 - Deployments &amp; Config'!I500)</f>
        <v/>
      </c>
      <c r="M495" s="33"/>
      <c r="N495" s="32" t="str">
        <f>IF('12 - Deployments &amp; Config'!J500="","",'12 - Deployments &amp; Config'!J500)</f>
        <v/>
      </c>
      <c r="O495" s="32" t="str">
        <f>IF('12 - Deployments &amp; Config'!K500="","",'12 - Deployments &amp; Config'!K500)</f>
        <v/>
      </c>
      <c r="P495" s="32" t="str">
        <f>IF('12 - Deployments &amp; Config'!L500="","",'12 - Deployments &amp; Config'!L500)</f>
        <v/>
      </c>
      <c r="Q495" s="33"/>
      <c r="R495" s="32" t="str">
        <f>IF('12 - Deployments &amp; Config'!AZ500="","",'12 - Deployments &amp; Config'!AZ500)</f>
        <v/>
      </c>
      <c r="S495" s="32" t="str">
        <f>IF('12 - Deployments &amp; Config'!AY500="","",'12 - Deployments &amp; Config'!AY500)</f>
        <v/>
      </c>
      <c r="T495" s="32" t="str">
        <f>IF('12 - Deployments &amp; Config'!AW500="","",'12 - Deployments &amp; Config'!AW500)</f>
        <v/>
      </c>
      <c r="U495" s="32" t="str">
        <f>IF('12 - Deployments &amp; Config'!AX500="","",'12 - Deployments &amp; Config'!AX500)</f>
        <v/>
      </c>
      <c r="V495" s="32" t="str">
        <f>IF('12 - Deployments &amp; Config'!BB500="","",'12 - Deployments &amp; Config'!BB500)</f>
        <v/>
      </c>
      <c r="W495" s="32" t="str">
        <f>IF('12 - Deployments &amp; Config'!BD500="","",'12 - Deployments &amp; Config'!BD500)</f>
        <v/>
      </c>
      <c r="X495" s="32" t="str">
        <f>IF('12 - Deployments &amp; Config'!BL500="","",'12 - Deployments &amp; Config'!BL500)</f>
        <v/>
      </c>
      <c r="Y495" s="32" t="str">
        <f>IF('12 - Deployments &amp; Config'!BC500="","",'12 - Deployments &amp; Config'!BC500)</f>
        <v/>
      </c>
      <c r="Z495" s="32" t="str">
        <f>IF('12 - Deployments &amp; Config'!P500="","",'12 - Deployments &amp; Config'!P500)</f>
        <v/>
      </c>
      <c r="AA495" s="32" t="str">
        <f>IF('12 - Deployments &amp; Config'!Q500="","",'12 - Deployments &amp; Config'!Q500)</f>
        <v/>
      </c>
    </row>
    <row r="496" spans="1:27">
      <c r="A496" s="33"/>
      <c r="B496" s="33"/>
      <c r="C496" s="32" t="str">
        <f>IF('12 - Deployments &amp; Config'!H501="","",'12 - Deployments &amp; Config'!H501)</f>
        <v/>
      </c>
      <c r="D496" s="32" t="str">
        <f>IF('12 - Deployments &amp; Config'!AF501="","",'12 - Deployments &amp; Config'!AF501)</f>
        <v/>
      </c>
      <c r="E496" s="32" t="str">
        <f>IF('12 - Deployments &amp; Config'!AG501="","",'12 - Deployments &amp; Config'!AG501)</f>
        <v/>
      </c>
      <c r="F496" s="32" t="str">
        <f>IF('12 - Deployments &amp; Config'!AH501="","",'12 - Deployments &amp; Config'!AH501)</f>
        <v/>
      </c>
      <c r="G496" s="32" t="str">
        <f>IF('12 - Deployments &amp; Config'!AI501="","",'12 - Deployments &amp; Config'!AI501)</f>
        <v/>
      </c>
      <c r="H496" s="32" t="str">
        <f>IF('12 - Deployments &amp; Config'!A501="","",'12 - Deployments &amp; Config'!A501)</f>
        <v/>
      </c>
      <c r="I496" s="32" t="str">
        <f>IF('12 - Deployments &amp; Config'!AJ501="","",'12 - Deployments &amp; Config'!AJ501)</f>
        <v/>
      </c>
      <c r="J496" s="32" t="str">
        <f>IF('12 - Deployments &amp; Config'!AK501="","",'12 - Deployments &amp; Config'!AK501)</f>
        <v/>
      </c>
      <c r="K496" s="32" t="str">
        <f>IF('12 - Deployments &amp; Config'!AA501="","",'12 - Deployments &amp; Config'!AA501)</f>
        <v/>
      </c>
      <c r="L496" s="32" t="str">
        <f>IF('12 - Deployments &amp; Config'!I501="","",'12 - Deployments &amp; Config'!I501)</f>
        <v/>
      </c>
      <c r="M496" s="33"/>
      <c r="N496" s="32" t="str">
        <f>IF('12 - Deployments &amp; Config'!J501="","",'12 - Deployments &amp; Config'!J501)</f>
        <v/>
      </c>
      <c r="O496" s="32" t="str">
        <f>IF('12 - Deployments &amp; Config'!K501="","",'12 - Deployments &amp; Config'!K501)</f>
        <v/>
      </c>
      <c r="P496" s="32" t="str">
        <f>IF('12 - Deployments &amp; Config'!L501="","",'12 - Deployments &amp; Config'!L501)</f>
        <v/>
      </c>
      <c r="Q496" s="33"/>
      <c r="R496" s="32" t="str">
        <f>IF('12 - Deployments &amp; Config'!AZ501="","",'12 - Deployments &amp; Config'!AZ501)</f>
        <v/>
      </c>
      <c r="S496" s="32" t="str">
        <f>IF('12 - Deployments &amp; Config'!AY501="","",'12 - Deployments &amp; Config'!AY501)</f>
        <v/>
      </c>
      <c r="T496" s="32" t="str">
        <f>IF('12 - Deployments &amp; Config'!AW501="","",'12 - Deployments &amp; Config'!AW501)</f>
        <v/>
      </c>
      <c r="U496" s="32" t="str">
        <f>IF('12 - Deployments &amp; Config'!AX501="","",'12 - Deployments &amp; Config'!AX501)</f>
        <v/>
      </c>
      <c r="V496" s="32" t="str">
        <f>IF('12 - Deployments &amp; Config'!BB501="","",'12 - Deployments &amp; Config'!BB501)</f>
        <v/>
      </c>
      <c r="W496" s="32" t="str">
        <f>IF('12 - Deployments &amp; Config'!BD501="","",'12 - Deployments &amp; Config'!BD501)</f>
        <v/>
      </c>
      <c r="X496" s="32" t="str">
        <f>IF('12 - Deployments &amp; Config'!BL501="","",'12 - Deployments &amp; Config'!BL501)</f>
        <v/>
      </c>
      <c r="Y496" s="32" t="str">
        <f>IF('12 - Deployments &amp; Config'!BC501="","",'12 - Deployments &amp; Config'!BC501)</f>
        <v/>
      </c>
      <c r="Z496" s="32" t="str">
        <f>IF('12 - Deployments &amp; Config'!P501="","",'12 - Deployments &amp; Config'!P501)</f>
        <v/>
      </c>
      <c r="AA496" s="32" t="str">
        <f>IF('12 - Deployments &amp; Config'!Q501="","",'12 - Deployments &amp; Config'!Q501)</f>
        <v/>
      </c>
    </row>
    <row r="497" spans="1:27">
      <c r="A497" s="33"/>
      <c r="B497" s="33"/>
      <c r="C497" s="32" t="str">
        <f>IF('12 - Deployments &amp; Config'!H502="","",'12 - Deployments &amp; Config'!H502)</f>
        <v/>
      </c>
      <c r="D497" s="32" t="str">
        <f>IF('12 - Deployments &amp; Config'!AF502="","",'12 - Deployments &amp; Config'!AF502)</f>
        <v/>
      </c>
      <c r="E497" s="32" t="str">
        <f>IF('12 - Deployments &amp; Config'!AG502="","",'12 - Deployments &amp; Config'!AG502)</f>
        <v/>
      </c>
      <c r="F497" s="32" t="str">
        <f>IF('12 - Deployments &amp; Config'!AH502="","",'12 - Deployments &amp; Config'!AH502)</f>
        <v/>
      </c>
      <c r="G497" s="32" t="str">
        <f>IF('12 - Deployments &amp; Config'!AI502="","",'12 - Deployments &amp; Config'!AI502)</f>
        <v/>
      </c>
      <c r="H497" s="32" t="str">
        <f>IF('12 - Deployments &amp; Config'!A502="","",'12 - Deployments &amp; Config'!A502)</f>
        <v/>
      </c>
      <c r="I497" s="32" t="str">
        <f>IF('12 - Deployments &amp; Config'!AJ502="","",'12 - Deployments &amp; Config'!AJ502)</f>
        <v/>
      </c>
      <c r="J497" s="32" t="str">
        <f>IF('12 - Deployments &amp; Config'!AK502="","",'12 - Deployments &amp; Config'!AK502)</f>
        <v/>
      </c>
      <c r="K497" s="32" t="str">
        <f>IF('12 - Deployments &amp; Config'!AA502="","",'12 - Deployments &amp; Config'!AA502)</f>
        <v/>
      </c>
      <c r="L497" s="32" t="str">
        <f>IF('12 - Deployments &amp; Config'!I502="","",'12 - Deployments &amp; Config'!I502)</f>
        <v/>
      </c>
      <c r="M497" s="33"/>
      <c r="N497" s="32" t="str">
        <f>IF('12 - Deployments &amp; Config'!J502="","",'12 - Deployments &amp; Config'!J502)</f>
        <v/>
      </c>
      <c r="O497" s="32" t="str">
        <f>IF('12 - Deployments &amp; Config'!K502="","",'12 - Deployments &amp; Config'!K502)</f>
        <v/>
      </c>
      <c r="P497" s="32" t="str">
        <f>IF('12 - Deployments &amp; Config'!L502="","",'12 - Deployments &amp; Config'!L502)</f>
        <v/>
      </c>
      <c r="Q497" s="33"/>
      <c r="R497" s="32" t="str">
        <f>IF('12 - Deployments &amp; Config'!AZ502="","",'12 - Deployments &amp; Config'!AZ502)</f>
        <v/>
      </c>
      <c r="S497" s="32" t="str">
        <f>IF('12 - Deployments &amp; Config'!AY502="","",'12 - Deployments &amp; Config'!AY502)</f>
        <v/>
      </c>
      <c r="T497" s="32" t="str">
        <f>IF('12 - Deployments &amp; Config'!AW502="","",'12 - Deployments &amp; Config'!AW502)</f>
        <v/>
      </c>
      <c r="U497" s="32" t="str">
        <f>IF('12 - Deployments &amp; Config'!AX502="","",'12 - Deployments &amp; Config'!AX502)</f>
        <v/>
      </c>
      <c r="V497" s="32" t="str">
        <f>IF('12 - Deployments &amp; Config'!BB502="","",'12 - Deployments &amp; Config'!BB502)</f>
        <v/>
      </c>
      <c r="W497" s="32" t="str">
        <f>IF('12 - Deployments &amp; Config'!BD502="","",'12 - Deployments &amp; Config'!BD502)</f>
        <v/>
      </c>
      <c r="X497" s="32" t="str">
        <f>IF('12 - Deployments &amp; Config'!BL502="","",'12 - Deployments &amp; Config'!BL502)</f>
        <v/>
      </c>
      <c r="Y497" s="32" t="str">
        <f>IF('12 - Deployments &amp; Config'!BC502="","",'12 - Deployments &amp; Config'!BC502)</f>
        <v/>
      </c>
      <c r="Z497" s="32" t="str">
        <f>IF('12 - Deployments &amp; Config'!P502="","",'12 - Deployments &amp; Config'!P502)</f>
        <v/>
      </c>
      <c r="AA497" s="32" t="str">
        <f>IF('12 - Deployments &amp; Config'!Q502="","",'12 - Deployments &amp; Config'!Q502)</f>
        <v/>
      </c>
    </row>
    <row r="498" spans="1:27">
      <c r="A498" s="33"/>
      <c r="B498" s="33"/>
      <c r="C498" s="32" t="str">
        <f>IF('12 - Deployments &amp; Config'!H503="","",'12 - Deployments &amp; Config'!H503)</f>
        <v/>
      </c>
      <c r="D498" s="32" t="str">
        <f>IF('12 - Deployments &amp; Config'!AF503="","",'12 - Deployments &amp; Config'!AF503)</f>
        <v/>
      </c>
      <c r="E498" s="32" t="str">
        <f>IF('12 - Deployments &amp; Config'!AG503="","",'12 - Deployments &amp; Config'!AG503)</f>
        <v/>
      </c>
      <c r="F498" s="32" t="str">
        <f>IF('12 - Deployments &amp; Config'!AH503="","",'12 - Deployments &amp; Config'!AH503)</f>
        <v/>
      </c>
      <c r="G498" s="32" t="str">
        <f>IF('12 - Deployments &amp; Config'!AI503="","",'12 - Deployments &amp; Config'!AI503)</f>
        <v/>
      </c>
      <c r="H498" s="32" t="str">
        <f>IF('12 - Deployments &amp; Config'!A503="","",'12 - Deployments &amp; Config'!A503)</f>
        <v/>
      </c>
      <c r="I498" s="32" t="str">
        <f>IF('12 - Deployments &amp; Config'!AJ503="","",'12 - Deployments &amp; Config'!AJ503)</f>
        <v/>
      </c>
      <c r="J498" s="32" t="str">
        <f>IF('12 - Deployments &amp; Config'!AK503="","",'12 - Deployments &amp; Config'!AK503)</f>
        <v/>
      </c>
      <c r="K498" s="32" t="str">
        <f>IF('12 - Deployments &amp; Config'!AA503="","",'12 - Deployments &amp; Config'!AA503)</f>
        <v/>
      </c>
      <c r="L498" s="32" t="str">
        <f>IF('12 - Deployments &amp; Config'!I503="","",'12 - Deployments &amp; Config'!I503)</f>
        <v/>
      </c>
      <c r="M498" s="33"/>
      <c r="N498" s="32" t="str">
        <f>IF('12 - Deployments &amp; Config'!J503="","",'12 - Deployments &amp; Config'!J503)</f>
        <v/>
      </c>
      <c r="O498" s="32" t="str">
        <f>IF('12 - Deployments &amp; Config'!K503="","",'12 - Deployments &amp; Config'!K503)</f>
        <v/>
      </c>
      <c r="P498" s="32" t="str">
        <f>IF('12 - Deployments &amp; Config'!L503="","",'12 - Deployments &amp; Config'!L503)</f>
        <v/>
      </c>
      <c r="Q498" s="33"/>
      <c r="R498" s="32" t="str">
        <f>IF('12 - Deployments &amp; Config'!AZ503="","",'12 - Deployments &amp; Config'!AZ503)</f>
        <v/>
      </c>
      <c r="S498" s="32" t="str">
        <f>IF('12 - Deployments &amp; Config'!AY503="","",'12 - Deployments &amp; Config'!AY503)</f>
        <v/>
      </c>
      <c r="T498" s="32" t="str">
        <f>IF('12 - Deployments &amp; Config'!AW503="","",'12 - Deployments &amp; Config'!AW503)</f>
        <v/>
      </c>
      <c r="U498" s="32" t="str">
        <f>IF('12 - Deployments &amp; Config'!AX503="","",'12 - Deployments &amp; Config'!AX503)</f>
        <v/>
      </c>
      <c r="V498" s="32" t="str">
        <f>IF('12 - Deployments &amp; Config'!BB503="","",'12 - Deployments &amp; Config'!BB503)</f>
        <v/>
      </c>
      <c r="W498" s="32" t="str">
        <f>IF('12 - Deployments &amp; Config'!BD503="","",'12 - Deployments &amp; Config'!BD503)</f>
        <v/>
      </c>
      <c r="X498" s="32" t="str">
        <f>IF('12 - Deployments &amp; Config'!BL503="","",'12 - Deployments &amp; Config'!BL503)</f>
        <v/>
      </c>
      <c r="Y498" s="32" t="str">
        <f>IF('12 - Deployments &amp; Config'!BC503="","",'12 - Deployments &amp; Config'!BC503)</f>
        <v/>
      </c>
      <c r="Z498" s="32" t="str">
        <f>IF('12 - Deployments &amp; Config'!P503="","",'12 - Deployments &amp; Config'!P503)</f>
        <v/>
      </c>
      <c r="AA498" s="32" t="str">
        <f>IF('12 - Deployments &amp; Config'!Q503="","",'12 - Deployments &amp; Config'!Q503)</f>
        <v/>
      </c>
    </row>
    <row r="499" spans="1:27">
      <c r="A499" s="33"/>
      <c r="B499" s="33"/>
      <c r="C499" s="32" t="str">
        <f>IF('12 - Deployments &amp; Config'!H504="","",'12 - Deployments &amp; Config'!H504)</f>
        <v/>
      </c>
      <c r="D499" s="32" t="str">
        <f>IF('12 - Deployments &amp; Config'!AF504="","",'12 - Deployments &amp; Config'!AF504)</f>
        <v/>
      </c>
      <c r="E499" s="32" t="str">
        <f>IF('12 - Deployments &amp; Config'!AG504="","",'12 - Deployments &amp; Config'!AG504)</f>
        <v/>
      </c>
      <c r="F499" s="32" t="str">
        <f>IF('12 - Deployments &amp; Config'!AH504="","",'12 - Deployments &amp; Config'!AH504)</f>
        <v/>
      </c>
      <c r="G499" s="32" t="str">
        <f>IF('12 - Deployments &amp; Config'!AI504="","",'12 - Deployments &amp; Config'!AI504)</f>
        <v/>
      </c>
      <c r="H499" s="32" t="str">
        <f>IF('12 - Deployments &amp; Config'!A504="","",'12 - Deployments &amp; Config'!A504)</f>
        <v/>
      </c>
      <c r="I499" s="32" t="str">
        <f>IF('12 - Deployments &amp; Config'!AJ504="","",'12 - Deployments &amp; Config'!AJ504)</f>
        <v/>
      </c>
      <c r="J499" s="32" t="str">
        <f>IF('12 - Deployments &amp; Config'!AK504="","",'12 - Deployments &amp; Config'!AK504)</f>
        <v/>
      </c>
      <c r="K499" s="32" t="str">
        <f>IF('12 - Deployments &amp; Config'!AA504="","",'12 - Deployments &amp; Config'!AA504)</f>
        <v/>
      </c>
      <c r="L499" s="32" t="str">
        <f>IF('12 - Deployments &amp; Config'!I504="","",'12 - Deployments &amp; Config'!I504)</f>
        <v/>
      </c>
      <c r="M499" s="33"/>
      <c r="N499" s="32" t="str">
        <f>IF('12 - Deployments &amp; Config'!J504="","",'12 - Deployments &amp; Config'!J504)</f>
        <v/>
      </c>
      <c r="O499" s="32" t="str">
        <f>IF('12 - Deployments &amp; Config'!K504="","",'12 - Deployments &amp; Config'!K504)</f>
        <v/>
      </c>
      <c r="P499" s="32" t="str">
        <f>IF('12 - Deployments &amp; Config'!L504="","",'12 - Deployments &amp; Config'!L504)</f>
        <v/>
      </c>
      <c r="Q499" s="33"/>
      <c r="R499" s="32" t="str">
        <f>IF('12 - Deployments &amp; Config'!AZ504="","",'12 - Deployments &amp; Config'!AZ504)</f>
        <v/>
      </c>
      <c r="S499" s="32" t="str">
        <f>IF('12 - Deployments &amp; Config'!AY504="","",'12 - Deployments &amp; Config'!AY504)</f>
        <v/>
      </c>
      <c r="T499" s="32" t="str">
        <f>IF('12 - Deployments &amp; Config'!AW504="","",'12 - Deployments &amp; Config'!AW504)</f>
        <v/>
      </c>
      <c r="U499" s="32" t="str">
        <f>IF('12 - Deployments &amp; Config'!AX504="","",'12 - Deployments &amp; Config'!AX504)</f>
        <v/>
      </c>
      <c r="V499" s="32" t="str">
        <f>IF('12 - Deployments &amp; Config'!BB504="","",'12 - Deployments &amp; Config'!BB504)</f>
        <v/>
      </c>
      <c r="W499" s="32" t="str">
        <f>IF('12 - Deployments &amp; Config'!BD504="","",'12 - Deployments &amp; Config'!BD504)</f>
        <v/>
      </c>
      <c r="X499" s="32" t="str">
        <f>IF('12 - Deployments &amp; Config'!BL504="","",'12 - Deployments &amp; Config'!BL504)</f>
        <v/>
      </c>
      <c r="Y499" s="32" t="str">
        <f>IF('12 - Deployments &amp; Config'!BC504="","",'12 - Deployments &amp; Config'!BC504)</f>
        <v/>
      </c>
      <c r="Z499" s="32" t="str">
        <f>IF('12 - Deployments &amp; Config'!P504="","",'12 - Deployments &amp; Config'!P504)</f>
        <v/>
      </c>
      <c r="AA499" s="32" t="str">
        <f>IF('12 - Deployments &amp; Config'!Q504="","",'12 - Deployments &amp; Config'!Q504)</f>
        <v/>
      </c>
    </row>
    <row r="500" spans="1:27">
      <c r="A500" s="33"/>
      <c r="B500" s="33"/>
      <c r="C500" s="32" t="str">
        <f>IF('12 - Deployments &amp; Config'!H505="","",'12 - Deployments &amp; Config'!H505)</f>
        <v/>
      </c>
      <c r="D500" s="32" t="str">
        <f>IF('12 - Deployments &amp; Config'!AF505="","",'12 - Deployments &amp; Config'!AF505)</f>
        <v/>
      </c>
      <c r="E500" s="32" t="str">
        <f>IF('12 - Deployments &amp; Config'!AG505="","",'12 - Deployments &amp; Config'!AG505)</f>
        <v/>
      </c>
      <c r="F500" s="32" t="str">
        <f>IF('12 - Deployments &amp; Config'!AH505="","",'12 - Deployments &amp; Config'!AH505)</f>
        <v/>
      </c>
      <c r="G500" s="32" t="str">
        <f>IF('12 - Deployments &amp; Config'!AI505="","",'12 - Deployments &amp; Config'!AI505)</f>
        <v/>
      </c>
      <c r="H500" s="32" t="str">
        <f>IF('12 - Deployments &amp; Config'!A505="","",'12 - Deployments &amp; Config'!A505)</f>
        <v/>
      </c>
      <c r="I500" s="32" t="str">
        <f>IF('12 - Deployments &amp; Config'!AJ505="","",'12 - Deployments &amp; Config'!AJ505)</f>
        <v/>
      </c>
      <c r="J500" s="32" t="str">
        <f>IF('12 - Deployments &amp; Config'!AK505="","",'12 - Deployments &amp; Config'!AK505)</f>
        <v/>
      </c>
      <c r="K500" s="32" t="str">
        <f>IF('12 - Deployments &amp; Config'!AA505="","",'12 - Deployments &amp; Config'!AA505)</f>
        <v/>
      </c>
      <c r="L500" s="32" t="str">
        <f>IF('12 - Deployments &amp; Config'!I505="","",'12 - Deployments &amp; Config'!I505)</f>
        <v/>
      </c>
      <c r="M500" s="33"/>
      <c r="N500" s="32" t="str">
        <f>IF('12 - Deployments &amp; Config'!J505="","",'12 - Deployments &amp; Config'!J505)</f>
        <v/>
      </c>
      <c r="O500" s="32" t="str">
        <f>IF('12 - Deployments &amp; Config'!K505="","",'12 - Deployments &amp; Config'!K505)</f>
        <v/>
      </c>
      <c r="P500" s="32" t="str">
        <f>IF('12 - Deployments &amp; Config'!L505="","",'12 - Deployments &amp; Config'!L505)</f>
        <v/>
      </c>
      <c r="Q500" s="33"/>
      <c r="R500" s="32" t="str">
        <f>IF('12 - Deployments &amp; Config'!AZ505="","",'12 - Deployments &amp; Config'!AZ505)</f>
        <v/>
      </c>
      <c r="S500" s="32" t="str">
        <f>IF('12 - Deployments &amp; Config'!AY505="","",'12 - Deployments &amp; Config'!AY505)</f>
        <v/>
      </c>
      <c r="T500" s="32" t="str">
        <f>IF('12 - Deployments &amp; Config'!AW505="","",'12 - Deployments &amp; Config'!AW505)</f>
        <v/>
      </c>
      <c r="U500" s="32" t="str">
        <f>IF('12 - Deployments &amp; Config'!AX505="","",'12 - Deployments &amp; Config'!AX505)</f>
        <v/>
      </c>
      <c r="V500" s="32" t="str">
        <f>IF('12 - Deployments &amp; Config'!BB505="","",'12 - Deployments &amp; Config'!BB505)</f>
        <v/>
      </c>
      <c r="W500" s="32" t="str">
        <f>IF('12 - Deployments &amp; Config'!BD505="","",'12 - Deployments &amp; Config'!BD505)</f>
        <v/>
      </c>
      <c r="X500" s="32" t="str">
        <f>IF('12 - Deployments &amp; Config'!BL505="","",'12 - Deployments &amp; Config'!BL505)</f>
        <v/>
      </c>
      <c r="Y500" s="32" t="str">
        <f>IF('12 - Deployments &amp; Config'!BC505="","",'12 - Deployments &amp; Config'!BC505)</f>
        <v/>
      </c>
      <c r="Z500" s="32" t="str">
        <f>IF('12 - Deployments &amp; Config'!P505="","",'12 - Deployments &amp; Config'!P505)</f>
        <v/>
      </c>
      <c r="AA500" s="32" t="str">
        <f>IF('12 - Deployments &amp; Config'!Q505="","",'12 - Deployments &amp; Config'!Q505)</f>
        <v/>
      </c>
    </row>
    <row r="501" spans="1:27">
      <c r="A501" s="33"/>
      <c r="B501" s="33"/>
      <c r="C501" s="32" t="str">
        <f>IF('12 - Deployments &amp; Config'!H506="","",'12 - Deployments &amp; Config'!H506)</f>
        <v/>
      </c>
      <c r="D501" s="32" t="str">
        <f>IF('12 - Deployments &amp; Config'!AF506="","",'12 - Deployments &amp; Config'!AF506)</f>
        <v/>
      </c>
      <c r="E501" s="32" t="str">
        <f>IF('12 - Deployments &amp; Config'!AG506="","",'12 - Deployments &amp; Config'!AG506)</f>
        <v/>
      </c>
      <c r="F501" s="32" t="str">
        <f>IF('12 - Deployments &amp; Config'!AH506="","",'12 - Deployments &amp; Config'!AH506)</f>
        <v/>
      </c>
      <c r="G501" s="32" t="str">
        <f>IF('12 - Deployments &amp; Config'!AI506="","",'12 - Deployments &amp; Config'!AI506)</f>
        <v/>
      </c>
      <c r="H501" s="32" t="str">
        <f>IF('12 - Deployments &amp; Config'!A506="","",'12 - Deployments &amp; Config'!A506)</f>
        <v/>
      </c>
      <c r="I501" s="32" t="str">
        <f>IF('12 - Deployments &amp; Config'!AJ506="","",'12 - Deployments &amp; Config'!AJ506)</f>
        <v/>
      </c>
      <c r="J501" s="32" t="str">
        <f>IF('12 - Deployments &amp; Config'!AK506="","",'12 - Deployments &amp; Config'!AK506)</f>
        <v/>
      </c>
      <c r="K501" s="32" t="str">
        <f>IF('12 - Deployments &amp; Config'!AA506="","",'12 - Deployments &amp; Config'!AA506)</f>
        <v/>
      </c>
      <c r="L501" s="32" t="str">
        <f>IF('12 - Deployments &amp; Config'!I506="","",'12 - Deployments &amp; Config'!I506)</f>
        <v/>
      </c>
      <c r="M501" s="33"/>
      <c r="N501" s="32" t="str">
        <f>IF('12 - Deployments &amp; Config'!J506="","",'12 - Deployments &amp; Config'!J506)</f>
        <v/>
      </c>
      <c r="O501" s="32" t="str">
        <f>IF('12 - Deployments &amp; Config'!K506="","",'12 - Deployments &amp; Config'!K506)</f>
        <v/>
      </c>
      <c r="P501" s="32" t="str">
        <f>IF('12 - Deployments &amp; Config'!L506="","",'12 - Deployments &amp; Config'!L506)</f>
        <v/>
      </c>
      <c r="Q501" s="33"/>
      <c r="R501" s="32" t="str">
        <f>IF('12 - Deployments &amp; Config'!AZ506="","",'12 - Deployments &amp; Config'!AZ506)</f>
        <v/>
      </c>
      <c r="S501" s="32" t="str">
        <f>IF('12 - Deployments &amp; Config'!AY506="","",'12 - Deployments &amp; Config'!AY506)</f>
        <v/>
      </c>
      <c r="T501" s="32" t="str">
        <f>IF('12 - Deployments &amp; Config'!AW506="","",'12 - Deployments &amp; Config'!AW506)</f>
        <v/>
      </c>
      <c r="U501" s="32" t="str">
        <f>IF('12 - Deployments &amp; Config'!AX506="","",'12 - Deployments &amp; Config'!AX506)</f>
        <v/>
      </c>
      <c r="V501" s="32" t="str">
        <f>IF('12 - Deployments &amp; Config'!BB506="","",'12 - Deployments &amp; Config'!BB506)</f>
        <v/>
      </c>
      <c r="W501" s="32" t="str">
        <f>IF('12 - Deployments &amp; Config'!BD506="","",'12 - Deployments &amp; Config'!BD506)</f>
        <v/>
      </c>
      <c r="X501" s="32" t="str">
        <f>IF('12 - Deployments &amp; Config'!BL506="","",'12 - Deployments &amp; Config'!BL506)</f>
        <v/>
      </c>
      <c r="Y501" s="32" t="str">
        <f>IF('12 - Deployments &amp; Config'!BC506="","",'12 - Deployments &amp; Config'!BC506)</f>
        <v/>
      </c>
      <c r="Z501" s="32" t="str">
        <f>IF('12 - Deployments &amp; Config'!P506="","",'12 - Deployments &amp; Config'!P506)</f>
        <v/>
      </c>
      <c r="AA501" s="32" t="str">
        <f>IF('12 - Deployments &amp; Config'!Q506="","",'12 - Deployments &amp; Config'!Q506)</f>
        <v/>
      </c>
    </row>
    <row r="502" spans="1:27">
      <c r="A502" s="33"/>
      <c r="B502" s="33"/>
      <c r="C502" s="32" t="str">
        <f>IF('12 - Deployments &amp; Config'!H507="","",'12 - Deployments &amp; Config'!H507)</f>
        <v/>
      </c>
      <c r="D502" s="32" t="str">
        <f>IF('12 - Deployments &amp; Config'!AF507="","",'12 - Deployments &amp; Config'!AF507)</f>
        <v/>
      </c>
      <c r="E502" s="32" t="str">
        <f>IF('12 - Deployments &amp; Config'!AG507="","",'12 - Deployments &amp; Config'!AG507)</f>
        <v/>
      </c>
      <c r="F502" s="32" t="str">
        <f>IF('12 - Deployments &amp; Config'!AH507="","",'12 - Deployments &amp; Config'!AH507)</f>
        <v/>
      </c>
      <c r="G502" s="32" t="str">
        <f>IF('12 - Deployments &amp; Config'!AI507="","",'12 - Deployments &amp; Config'!AI507)</f>
        <v/>
      </c>
      <c r="H502" s="32" t="str">
        <f>IF('12 - Deployments &amp; Config'!A507="","",'12 - Deployments &amp; Config'!A507)</f>
        <v/>
      </c>
      <c r="I502" s="32" t="str">
        <f>IF('12 - Deployments &amp; Config'!AJ507="","",'12 - Deployments &amp; Config'!AJ507)</f>
        <v/>
      </c>
      <c r="J502" s="32" t="str">
        <f>IF('12 - Deployments &amp; Config'!AK507="","",'12 - Deployments &amp; Config'!AK507)</f>
        <v/>
      </c>
      <c r="K502" s="32" t="str">
        <f>IF('12 - Deployments &amp; Config'!AA507="","",'12 - Deployments &amp; Config'!AA507)</f>
        <v/>
      </c>
      <c r="L502" s="32" t="str">
        <f>IF('12 - Deployments &amp; Config'!I507="","",'12 - Deployments &amp; Config'!I507)</f>
        <v/>
      </c>
      <c r="M502" s="33"/>
      <c r="N502" s="32" t="str">
        <f>IF('12 - Deployments &amp; Config'!J507="","",'12 - Deployments &amp; Config'!J507)</f>
        <v/>
      </c>
      <c r="O502" s="32" t="str">
        <f>IF('12 - Deployments &amp; Config'!K507="","",'12 - Deployments &amp; Config'!K507)</f>
        <v/>
      </c>
      <c r="P502" s="32" t="str">
        <f>IF('12 - Deployments &amp; Config'!L507="","",'12 - Deployments &amp; Config'!L507)</f>
        <v/>
      </c>
      <c r="Q502" s="33"/>
      <c r="R502" s="32" t="str">
        <f>IF('12 - Deployments &amp; Config'!AZ507="","",'12 - Deployments &amp; Config'!AZ507)</f>
        <v/>
      </c>
      <c r="S502" s="32" t="str">
        <f>IF('12 - Deployments &amp; Config'!AY507="","",'12 - Deployments &amp; Config'!AY507)</f>
        <v/>
      </c>
      <c r="T502" s="32" t="str">
        <f>IF('12 - Deployments &amp; Config'!AW507="","",'12 - Deployments &amp; Config'!AW507)</f>
        <v/>
      </c>
      <c r="U502" s="32" t="str">
        <f>IF('12 - Deployments &amp; Config'!AX507="","",'12 - Deployments &amp; Config'!AX507)</f>
        <v/>
      </c>
      <c r="V502" s="32" t="str">
        <f>IF('12 - Deployments &amp; Config'!BB507="","",'12 - Deployments &amp; Config'!BB507)</f>
        <v/>
      </c>
      <c r="W502" s="32" t="str">
        <f>IF('12 - Deployments &amp; Config'!BD507="","",'12 - Deployments &amp; Config'!BD507)</f>
        <v/>
      </c>
      <c r="X502" s="32" t="str">
        <f>IF('12 - Deployments &amp; Config'!BL507="","",'12 - Deployments &amp; Config'!BL507)</f>
        <v/>
      </c>
      <c r="Y502" s="32" t="str">
        <f>IF('12 - Deployments &amp; Config'!BC507="","",'12 - Deployments &amp; Config'!BC507)</f>
        <v/>
      </c>
      <c r="Z502" s="32" t="str">
        <f>IF('12 - Deployments &amp; Config'!P507="","",'12 - Deployments &amp; Config'!P507)</f>
        <v/>
      </c>
      <c r="AA502" s="32" t="str">
        <f>IF('12 - Deployments &amp; Config'!Q507="","",'12 - Deployments &amp; Config'!Q507)</f>
        <v/>
      </c>
    </row>
    <row r="503" spans="1:27">
      <c r="A503" s="33"/>
      <c r="B503" s="33"/>
      <c r="C503" s="32" t="str">
        <f>IF('12 - Deployments &amp; Config'!H508="","",'12 - Deployments &amp; Config'!H508)</f>
        <v/>
      </c>
      <c r="D503" s="32" t="str">
        <f>IF('12 - Deployments &amp; Config'!AF508="","",'12 - Deployments &amp; Config'!AF508)</f>
        <v/>
      </c>
      <c r="E503" s="32" t="str">
        <f>IF('12 - Deployments &amp; Config'!AG508="","",'12 - Deployments &amp; Config'!AG508)</f>
        <v/>
      </c>
      <c r="F503" s="32" t="str">
        <f>IF('12 - Deployments &amp; Config'!AH508="","",'12 - Deployments &amp; Config'!AH508)</f>
        <v/>
      </c>
      <c r="G503" s="32" t="str">
        <f>IF('12 - Deployments &amp; Config'!AI508="","",'12 - Deployments &amp; Config'!AI508)</f>
        <v/>
      </c>
      <c r="H503" s="32" t="str">
        <f>IF('12 - Deployments &amp; Config'!A508="","",'12 - Deployments &amp; Config'!A508)</f>
        <v/>
      </c>
      <c r="I503" s="32" t="str">
        <f>IF('12 - Deployments &amp; Config'!AJ508="","",'12 - Deployments &amp; Config'!AJ508)</f>
        <v/>
      </c>
      <c r="J503" s="32" t="str">
        <f>IF('12 - Deployments &amp; Config'!AK508="","",'12 - Deployments &amp; Config'!AK508)</f>
        <v/>
      </c>
      <c r="K503" s="32" t="str">
        <f>IF('12 - Deployments &amp; Config'!AA508="","",'12 - Deployments &amp; Config'!AA508)</f>
        <v/>
      </c>
      <c r="L503" s="32" t="str">
        <f>IF('12 - Deployments &amp; Config'!I508="","",'12 - Deployments &amp; Config'!I508)</f>
        <v/>
      </c>
      <c r="M503" s="33"/>
      <c r="N503" s="32" t="str">
        <f>IF('12 - Deployments &amp; Config'!J508="","",'12 - Deployments &amp; Config'!J508)</f>
        <v/>
      </c>
      <c r="O503" s="32" t="str">
        <f>IF('12 - Deployments &amp; Config'!K508="","",'12 - Deployments &amp; Config'!K508)</f>
        <v/>
      </c>
      <c r="P503" s="32" t="str">
        <f>IF('12 - Deployments &amp; Config'!L508="","",'12 - Deployments &amp; Config'!L508)</f>
        <v/>
      </c>
      <c r="Q503" s="33"/>
      <c r="R503" s="32" t="str">
        <f>IF('12 - Deployments &amp; Config'!AZ508="","",'12 - Deployments &amp; Config'!AZ508)</f>
        <v/>
      </c>
      <c r="S503" s="32" t="str">
        <f>IF('12 - Deployments &amp; Config'!AY508="","",'12 - Deployments &amp; Config'!AY508)</f>
        <v/>
      </c>
      <c r="T503" s="32" t="str">
        <f>IF('12 - Deployments &amp; Config'!AW508="","",'12 - Deployments &amp; Config'!AW508)</f>
        <v/>
      </c>
      <c r="U503" s="32" t="str">
        <f>IF('12 - Deployments &amp; Config'!AX508="","",'12 - Deployments &amp; Config'!AX508)</f>
        <v/>
      </c>
      <c r="V503" s="32" t="str">
        <f>IF('12 - Deployments &amp; Config'!BB508="","",'12 - Deployments &amp; Config'!BB508)</f>
        <v/>
      </c>
      <c r="W503" s="32" t="str">
        <f>IF('12 - Deployments &amp; Config'!BD508="","",'12 - Deployments &amp; Config'!BD508)</f>
        <v/>
      </c>
      <c r="X503" s="32" t="str">
        <f>IF('12 - Deployments &amp; Config'!BL508="","",'12 - Deployments &amp; Config'!BL508)</f>
        <v/>
      </c>
      <c r="Y503" s="32" t="str">
        <f>IF('12 - Deployments &amp; Config'!BC508="","",'12 - Deployments &amp; Config'!BC508)</f>
        <v/>
      </c>
      <c r="Z503" s="32" t="str">
        <f>IF('12 - Deployments &amp; Config'!P508="","",'12 - Deployments &amp; Config'!P508)</f>
        <v/>
      </c>
      <c r="AA503" s="32" t="str">
        <f>IF('12 - Deployments &amp; Config'!Q508="","",'12 - Deployments &amp; Config'!Q508)</f>
        <v/>
      </c>
    </row>
  </sheetData>
  <autoFilter ref="A1:AA1" xr:uid="{00000000-0009-0000-0000-00000A000000}"/>
  <dataValidations count="3">
    <dataValidation type="list" allowBlank="1" sqref="M2:M503" xr:uid="{00000000-0002-0000-0A00-000000000000}">
      <formula1>"Shared,Autologon,Named User,Unknown"</formula1>
    </dataValidation>
    <dataValidation type="list" allowBlank="1" sqref="H2:H503" xr:uid="{00000000-0002-0000-0A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A00-000002000000}">
      <formula1>FALSE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7" t="s">
        <v>1244</v>
      </c>
      <c r="B1" s="57" t="s">
        <v>2131</v>
      </c>
      <c r="C1" s="57" t="s">
        <v>1256</v>
      </c>
      <c r="D1" s="57" t="s">
        <v>2126</v>
      </c>
      <c r="E1" s="57" t="s">
        <v>1246</v>
      </c>
      <c r="F1" s="57" t="s">
        <v>1247</v>
      </c>
      <c r="G1" s="57" t="s">
        <v>1248</v>
      </c>
      <c r="H1" s="57" t="s">
        <v>2128</v>
      </c>
      <c r="I1" s="57" t="s">
        <v>2132</v>
      </c>
      <c r="J1" s="57" t="s">
        <v>2133</v>
      </c>
      <c r="K1" s="57" t="s">
        <v>1295</v>
      </c>
      <c r="L1" s="57" t="s">
        <v>1252</v>
      </c>
      <c r="M1" s="57" t="s">
        <v>1253</v>
      </c>
      <c r="N1" s="57" t="s">
        <v>1299</v>
      </c>
      <c r="O1" s="57" t="s">
        <v>1300</v>
      </c>
      <c r="P1" s="57" t="s">
        <v>1290</v>
      </c>
      <c r="Q1" s="57" t="s">
        <v>2134</v>
      </c>
      <c r="R1" s="57" t="s">
        <v>2135</v>
      </c>
      <c r="S1" s="57" t="s">
        <v>2136</v>
      </c>
      <c r="T1" s="57" t="s">
        <v>2137</v>
      </c>
    </row>
    <row r="2" spans="1:20">
      <c r="A2" s="34" t="str">
        <f>'12 - Deployments &amp; Config'!H2</f>
        <v>LIJ SDF</v>
      </c>
      <c r="B2" s="34" t="str">
        <f>'12 - Deployments &amp; Config'!S2</f>
        <v>LIJ-SDF-MACH-A</v>
      </c>
      <c r="C2" s="34" t="str">
        <f>'12 - Deployments &amp; Config'!T2</f>
        <v>A0F5097FEC20</v>
      </c>
      <c r="D2" s="18" t="str">
        <f>'12 - Deployments &amp; Config'!AK2</f>
        <v>2008T</v>
      </c>
      <c r="E2" s="18" t="str">
        <f>'12 - Deployments &amp; Config'!J2</f>
        <v>NA</v>
      </c>
      <c r="F2" s="34" t="str">
        <f>'12 - Deployments &amp; Config'!K2</f>
        <v>NA</v>
      </c>
      <c r="G2" s="18" t="str">
        <f>'12 - Deployments &amp; Config'!L2</f>
        <v>NA</v>
      </c>
      <c r="H2" s="18">
        <f>'13 - Config_Intake_View'!M2</f>
        <v>0</v>
      </c>
      <c r="I2" s="34" t="str">
        <f>IF('13 - Config_Intake_View'!Q2&lt;&gt;"",'13 - Config_Intake_View'!Q2,'12 - Deployments &amp; Config'!BI2)</f>
        <v>iPro
Epic Satellite
ALLSCRIPTS
EPIC BCA</v>
      </c>
      <c r="J2" s="18" t="str">
        <f>IF('13 - Config_Intake_View'!Q2&lt;&gt;"","PM Approved",IF('12 - Deployments &amp; Config'!BI2&lt;&gt;"","Assumed",""))</f>
        <v>Assumed</v>
      </c>
      <c r="K2" s="34" t="str">
        <f>'12 - Deployments &amp; Config'!BH2</f>
        <v>Yes</v>
      </c>
      <c r="L2" s="18">
        <f>'12 - Deployments &amp; Config'!P2</f>
        <v>0</v>
      </c>
      <c r="M2" s="18">
        <f>'12 - Deployments &amp; Config'!Q2</f>
        <v>0</v>
      </c>
      <c r="N2" s="18" t="str">
        <f>'12 - Deployments &amp; Config'!BL2</f>
        <v>Epic Beans Relay</v>
      </c>
      <c r="O2" s="34" t="str">
        <f>'12 - Deployments &amp; Config'!BM2</f>
        <v>Blocked</v>
      </c>
      <c r="P2" s="2" t="str">
        <f>'12 - Deployments &amp; Config'!BB2</f>
        <v>Yes</v>
      </c>
      <c r="Q2" s="34" t="str">
        <f t="shared" ref="Q2:Q65" si="0">IF(OR($A2="",$B2="",$D2=""),"MISSING CORE FIELDS","")</f>
        <v/>
      </c>
      <c r="R2" s="18" t="str">
        <f t="shared" ref="R2:R65" si="1">IF(AND($I2&lt;&gt;"",$K2&lt;&gt;"Yes"),"SW NOT INSTALLED","")</f>
        <v/>
      </c>
      <c r="S2" s="18" t="str">
        <f t="shared" ref="S2:S65" si="2">IF(AND($H2&lt;&gt;"",ISNUMBER(SEARCH("auto",LOWER($H2))),$F2=""),"AUTOLOGON REQUIRED","")</f>
        <v/>
      </c>
      <c r="T2" s="18" t="str">
        <f t="shared" ref="T2:T65" si="3">IF($Q2&lt;&gt;"",$Q2,IF($S2&lt;&gt;"",$S2,IF($R2&lt;&gt;"",$R2,IF(OR($N2&lt;&gt;"",$O2="Blocked"),"BLOCKED","OK"))))</f>
        <v>BLOCKED</v>
      </c>
    </row>
    <row r="3" spans="1:20">
      <c r="A3" s="34" t="str">
        <f>'12 - Deployments &amp; Config'!H3</f>
        <v>LIJ SDF</v>
      </c>
      <c r="B3" s="34" t="str">
        <f>'12 - Deployments &amp; Config'!S3</f>
        <v>LIJ-SDF-MACH-B</v>
      </c>
      <c r="C3" s="34" t="str">
        <f>'12 - Deployments &amp; Config'!T3</f>
        <v>A0F5097FEEFA</v>
      </c>
      <c r="D3" s="18" t="str">
        <f>'12 - Deployments &amp; Config'!AK3</f>
        <v>2008T</v>
      </c>
      <c r="E3" s="18" t="str">
        <f>'12 - Deployments &amp; Config'!J3</f>
        <v>NA</v>
      </c>
      <c r="F3" s="34" t="str">
        <f>'12 - Deployments &amp; Config'!K3</f>
        <v>NA</v>
      </c>
      <c r="G3" s="18" t="str">
        <f>'12 - Deployments &amp; Config'!L3</f>
        <v>NA</v>
      </c>
      <c r="H3" s="18">
        <f>'13 - Config_Intake_View'!M3</f>
        <v>0</v>
      </c>
      <c r="I3" s="34">
        <f>IF('13 - Config_Intake_View'!Q3&lt;&gt;"",'13 - Config_Intake_View'!Q3,'12 - Deployments &amp; Config'!BI3)</f>
        <v>0</v>
      </c>
      <c r="J3" s="18" t="str">
        <f>IF('13 - Config_Intake_View'!Q3&lt;&gt;"","PM Approved",IF('12 - Deployments &amp; Config'!BI3&lt;&gt;"","Assumed",""))</f>
        <v/>
      </c>
      <c r="K3" s="34" t="str">
        <f>'12 - Deployments &amp; Config'!BH3</f>
        <v>Yes</v>
      </c>
      <c r="L3" s="18">
        <f>'12 - Deployments &amp; Config'!P3</f>
        <v>0</v>
      </c>
      <c r="M3" s="18">
        <f>'12 - Deployments &amp; Config'!Q3</f>
        <v>0</v>
      </c>
      <c r="N3" s="18" t="str">
        <f>'12 - Deployments &amp; Config'!BL3</f>
        <v>Epic Beans Relay</v>
      </c>
      <c r="O3" s="34" t="str">
        <f>'12 - Deployments &amp; Config'!BM3</f>
        <v>Blocked</v>
      </c>
      <c r="P3" s="2" t="str">
        <f>'12 - Deployments &amp; Config'!BB3</f>
        <v>Yes</v>
      </c>
      <c r="Q3" s="34" t="str">
        <f t="shared" si="0"/>
        <v/>
      </c>
      <c r="R3" s="18" t="str">
        <f t="shared" si="1"/>
        <v/>
      </c>
      <c r="S3" s="18" t="str">
        <f t="shared" si="2"/>
        <v/>
      </c>
      <c r="T3" s="18" t="str">
        <f t="shared" si="3"/>
        <v>BLOCKED</v>
      </c>
    </row>
    <row r="4" spans="1:20">
      <c r="A4" s="34" t="str">
        <f>'12 - Deployments &amp; Config'!H4</f>
        <v>LIJ SDF</v>
      </c>
      <c r="B4" s="34" t="str">
        <f>'12 - Deployments &amp; Config'!S4</f>
        <v>LIJ-SDF-MACH-C</v>
      </c>
      <c r="C4" s="34" t="str">
        <f>'12 - Deployments &amp; Config'!T4</f>
        <v>A0F5097B89E1</v>
      </c>
      <c r="D4" s="18" t="str">
        <f>'12 - Deployments &amp; Config'!AK4</f>
        <v>2008T</v>
      </c>
      <c r="E4" s="18" t="str">
        <f>'12 - Deployments &amp; Config'!J4</f>
        <v>NA</v>
      </c>
      <c r="F4" s="34" t="str">
        <f>'12 - Deployments &amp; Config'!K4</f>
        <v>NA</v>
      </c>
      <c r="G4" s="18" t="str">
        <f>'12 - Deployments &amp; Config'!L4</f>
        <v>NA</v>
      </c>
      <c r="H4" s="18">
        <f>'13 - Config_Intake_View'!M4</f>
        <v>0</v>
      </c>
      <c r="I4" s="34">
        <f>IF('13 - Config_Intake_View'!Q4&lt;&gt;"",'13 - Config_Intake_View'!Q4,'12 - Deployments &amp; Config'!BI4)</f>
        <v>0</v>
      </c>
      <c r="J4" s="18" t="str">
        <f>IF('13 - Config_Intake_View'!Q4&lt;&gt;"","PM Approved",IF('12 - Deployments &amp; Config'!BI4&lt;&gt;"","Assumed",""))</f>
        <v/>
      </c>
      <c r="K4" s="34" t="str">
        <f>'12 - Deployments &amp; Config'!BH4</f>
        <v>Yes</v>
      </c>
      <c r="L4" s="18">
        <f>'12 - Deployments &amp; Config'!P4</f>
        <v>0</v>
      </c>
      <c r="M4" s="18">
        <f>'12 - Deployments &amp; Config'!Q4</f>
        <v>0</v>
      </c>
      <c r="N4" s="18" t="str">
        <f>'12 - Deployments &amp; Config'!BL4</f>
        <v>Epic Beans Relay</v>
      </c>
      <c r="O4" s="34" t="str">
        <f>'12 - Deployments &amp; Config'!BM4</f>
        <v>Blocked</v>
      </c>
      <c r="P4" s="2" t="str">
        <f>'12 - Deployments &amp; Config'!BB4</f>
        <v>Yes</v>
      </c>
      <c r="Q4" s="34" t="str">
        <f t="shared" si="0"/>
        <v/>
      </c>
      <c r="R4" s="18" t="str">
        <f t="shared" si="1"/>
        <v/>
      </c>
      <c r="S4" s="18" t="str">
        <f t="shared" si="2"/>
        <v/>
      </c>
      <c r="T4" s="18" t="str">
        <f t="shared" si="3"/>
        <v>BLOCKED</v>
      </c>
    </row>
    <row r="5" spans="1:20">
      <c r="A5" s="34" t="str">
        <f>'12 - Deployments &amp; Config'!H5</f>
        <v>LIJ SDF</v>
      </c>
      <c r="B5" s="34" t="str">
        <f>'12 - Deployments &amp; Config'!S5</f>
        <v>LIJ-SDF-MACH-D</v>
      </c>
      <c r="C5" s="34" t="str">
        <f>'12 - Deployments &amp; Config'!T5</f>
        <v>A0F5097FE484</v>
      </c>
      <c r="D5" s="18" t="str">
        <f>'12 - Deployments &amp; Config'!AK5</f>
        <v>2008T</v>
      </c>
      <c r="E5" s="18" t="str">
        <f>'12 - Deployments &amp; Config'!J5</f>
        <v>NA</v>
      </c>
      <c r="F5" s="34" t="str">
        <f>'12 - Deployments &amp; Config'!K5</f>
        <v>NA</v>
      </c>
      <c r="G5" s="18" t="str">
        <f>'12 - Deployments &amp; Config'!L5</f>
        <v>NA</v>
      </c>
      <c r="H5" s="18">
        <f>'13 - Config_Intake_View'!M5</f>
        <v>0</v>
      </c>
      <c r="I5" s="34">
        <f>IF('13 - Config_Intake_View'!Q5&lt;&gt;"",'13 - Config_Intake_View'!Q5,'12 - Deployments &amp; Config'!BI5)</f>
        <v>0</v>
      </c>
      <c r="J5" s="18" t="str">
        <f>IF('13 - Config_Intake_View'!Q5&lt;&gt;"","PM Approved",IF('12 - Deployments &amp; Config'!BI5&lt;&gt;"","Assumed",""))</f>
        <v/>
      </c>
      <c r="K5" s="34" t="str">
        <f>'12 - Deployments &amp; Config'!BH5</f>
        <v>Yes</v>
      </c>
      <c r="L5" s="18">
        <f>'12 - Deployments &amp; Config'!P5</f>
        <v>0</v>
      </c>
      <c r="M5" s="18">
        <f>'12 - Deployments &amp; Config'!Q5</f>
        <v>0</v>
      </c>
      <c r="N5" s="18" t="str">
        <f>'12 - Deployments &amp; Config'!BL5</f>
        <v>Epic Beans Relay</v>
      </c>
      <c r="O5" s="34" t="str">
        <f>'12 - Deployments &amp; Config'!BM5</f>
        <v>Blocked</v>
      </c>
      <c r="P5" s="2" t="str">
        <f>'12 - Deployments &amp; Config'!BB5</f>
        <v>Yes</v>
      </c>
      <c r="Q5" s="34" t="str">
        <f t="shared" si="0"/>
        <v/>
      </c>
      <c r="R5" s="18" t="str">
        <f t="shared" si="1"/>
        <v/>
      </c>
      <c r="S5" s="18" t="str">
        <f t="shared" si="2"/>
        <v/>
      </c>
      <c r="T5" s="18" t="str">
        <f t="shared" si="3"/>
        <v>BLOCKED</v>
      </c>
    </row>
    <row r="6" spans="1:20">
      <c r="A6" s="34" t="str">
        <f>'12 - Deployments &amp; Config'!H6</f>
        <v>LIJ SDF</v>
      </c>
      <c r="B6" s="34" t="str">
        <f>'12 - Deployments &amp; Config'!S6</f>
        <v>LIJ-SDF-MACH-E</v>
      </c>
      <c r="C6" s="34" t="str">
        <f>'12 - Deployments &amp; Config'!T6</f>
        <v>A0F5097FF05E</v>
      </c>
      <c r="D6" s="18" t="str">
        <f>'12 - Deployments &amp; Config'!AK6</f>
        <v>2008T</v>
      </c>
      <c r="E6" s="18" t="str">
        <f>'12 - Deployments &amp; Config'!J6</f>
        <v>NA</v>
      </c>
      <c r="F6" s="34" t="str">
        <f>'12 - Deployments &amp; Config'!K6</f>
        <v>NA</v>
      </c>
      <c r="G6" s="18" t="str">
        <f>'12 - Deployments &amp; Config'!L6</f>
        <v>NA</v>
      </c>
      <c r="H6" s="18">
        <f>'13 - Config_Intake_View'!M6</f>
        <v>0</v>
      </c>
      <c r="I6" s="34">
        <f>IF('13 - Config_Intake_View'!Q6&lt;&gt;"",'13 - Config_Intake_View'!Q6,'12 - Deployments &amp; Config'!BI6)</f>
        <v>0</v>
      </c>
      <c r="J6" s="18" t="str">
        <f>IF('13 - Config_Intake_View'!Q6&lt;&gt;"","PM Approved",IF('12 - Deployments &amp; Config'!BI6&lt;&gt;"","Assumed",""))</f>
        <v/>
      </c>
      <c r="K6" s="34" t="str">
        <f>'12 - Deployments &amp; Config'!BH6</f>
        <v>Yes</v>
      </c>
      <c r="L6" s="18">
        <f>'12 - Deployments &amp; Config'!P6</f>
        <v>0</v>
      </c>
      <c r="M6" s="18">
        <f>'12 - Deployments &amp; Config'!Q6</f>
        <v>0</v>
      </c>
      <c r="N6" s="18" t="str">
        <f>'12 - Deployments &amp; Config'!BL6</f>
        <v>Epic Beans Relay</v>
      </c>
      <c r="O6" s="34" t="str">
        <f>'12 - Deployments &amp; Config'!BM6</f>
        <v>Blocked</v>
      </c>
      <c r="P6" s="2" t="str">
        <f>'12 - Deployments &amp; Config'!BB6</f>
        <v>Yes</v>
      </c>
      <c r="Q6" s="34" t="str">
        <f t="shared" si="0"/>
        <v/>
      </c>
      <c r="R6" s="18" t="str">
        <f t="shared" si="1"/>
        <v/>
      </c>
      <c r="S6" s="18" t="str">
        <f t="shared" si="2"/>
        <v/>
      </c>
      <c r="T6" s="18" t="str">
        <f t="shared" si="3"/>
        <v>BLOCKED</v>
      </c>
    </row>
    <row r="7" spans="1:20">
      <c r="A7" s="34" t="str">
        <f>'12 - Deployments &amp; Config'!H7</f>
        <v>LIJ SDF</v>
      </c>
      <c r="B7" s="34" t="str">
        <f>'12 - Deployments &amp; Config'!S7</f>
        <v>LIJ-SDF-MACH-F</v>
      </c>
      <c r="C7" s="34" t="str">
        <f>'12 - Deployments &amp; Config'!T7</f>
        <v>A0F5097FE3A5</v>
      </c>
      <c r="D7" s="18" t="str">
        <f>'12 - Deployments &amp; Config'!AK7</f>
        <v>2008T</v>
      </c>
      <c r="E7" s="18" t="str">
        <f>'12 - Deployments &amp; Config'!J7</f>
        <v>NA</v>
      </c>
      <c r="F7" s="34" t="str">
        <f>'12 - Deployments &amp; Config'!K7</f>
        <v>NA</v>
      </c>
      <c r="G7" s="18" t="str">
        <f>'12 - Deployments &amp; Config'!L7</f>
        <v>NA</v>
      </c>
      <c r="H7" s="18">
        <f>'13 - Config_Intake_View'!M7</f>
        <v>0</v>
      </c>
      <c r="I7" s="34">
        <f>IF('13 - Config_Intake_View'!Q7&lt;&gt;"",'13 - Config_Intake_View'!Q7,'12 - Deployments &amp; Config'!BI7)</f>
        <v>0</v>
      </c>
      <c r="J7" s="18" t="str">
        <f>IF('13 - Config_Intake_View'!Q7&lt;&gt;"","PM Approved",IF('12 - Deployments &amp; Config'!BI7&lt;&gt;"","Assumed",""))</f>
        <v/>
      </c>
      <c r="K7" s="34" t="str">
        <f>'12 - Deployments &amp; Config'!BH7</f>
        <v>Yes</v>
      </c>
      <c r="L7" s="18">
        <f>'12 - Deployments &amp; Config'!P7</f>
        <v>0</v>
      </c>
      <c r="M7" s="18">
        <f>'12 - Deployments &amp; Config'!Q7</f>
        <v>0</v>
      </c>
      <c r="N7" s="18" t="str">
        <f>'12 - Deployments &amp; Config'!BL7</f>
        <v>Epic Beans Relay</v>
      </c>
      <c r="O7" s="34" t="str">
        <f>'12 - Deployments &amp; Config'!BM7</f>
        <v>Blocked</v>
      </c>
      <c r="P7" s="2" t="str">
        <f>'12 - Deployments &amp; Config'!BB7</f>
        <v>Yes</v>
      </c>
      <c r="Q7" s="34" t="str">
        <f t="shared" si="0"/>
        <v/>
      </c>
      <c r="R7" s="18" t="str">
        <f t="shared" si="1"/>
        <v/>
      </c>
      <c r="S7" s="18" t="str">
        <f t="shared" si="2"/>
        <v/>
      </c>
      <c r="T7" s="18" t="str">
        <f t="shared" si="3"/>
        <v>BLOCKED</v>
      </c>
    </row>
    <row r="8" spans="1:20">
      <c r="A8" s="34" t="str">
        <f>'12 - Deployments &amp; Config'!H8</f>
        <v>LIJ SDF</v>
      </c>
      <c r="B8" s="34" t="str">
        <f>'12 - Deployments &amp; Config'!S8</f>
        <v>LIJ-SDF-MACH-G</v>
      </c>
      <c r="C8" s="34" t="str">
        <f>'12 - Deployments &amp; Config'!T8</f>
        <v>A0F5097FE012</v>
      </c>
      <c r="D8" s="18" t="str">
        <f>'12 - Deployments &amp; Config'!AK8</f>
        <v>2008T</v>
      </c>
      <c r="E8" s="18" t="str">
        <f>'12 - Deployments &amp; Config'!J8</f>
        <v>NA</v>
      </c>
      <c r="F8" s="34" t="str">
        <f>'12 - Deployments &amp; Config'!K8</f>
        <v>NA</v>
      </c>
      <c r="G8" s="18" t="str">
        <f>'12 - Deployments &amp; Config'!L8</f>
        <v>NA</v>
      </c>
      <c r="H8" s="18">
        <f>'13 - Config_Intake_View'!M8</f>
        <v>0</v>
      </c>
      <c r="I8" s="34">
        <f>IF('13 - Config_Intake_View'!Q8&lt;&gt;"",'13 - Config_Intake_View'!Q8,'12 - Deployments &amp; Config'!BI8)</f>
        <v>0</v>
      </c>
      <c r="J8" s="18" t="str">
        <f>IF('13 - Config_Intake_View'!Q8&lt;&gt;"","PM Approved",IF('12 - Deployments &amp; Config'!BI8&lt;&gt;"","Assumed",""))</f>
        <v/>
      </c>
      <c r="K8" s="34" t="str">
        <f>'12 - Deployments &amp; Config'!BH8</f>
        <v>Yes</v>
      </c>
      <c r="L8" s="18">
        <f>'12 - Deployments &amp; Config'!P8</f>
        <v>0</v>
      </c>
      <c r="M8" s="18">
        <f>'12 - Deployments &amp; Config'!Q8</f>
        <v>0</v>
      </c>
      <c r="N8" s="18" t="str">
        <f>'12 - Deployments &amp; Config'!BL8</f>
        <v>Epic Beans Relay</v>
      </c>
      <c r="O8" s="34" t="str">
        <f>'12 - Deployments &amp; Config'!BM8</f>
        <v>Blocked</v>
      </c>
      <c r="P8" s="2" t="str">
        <f>'12 - Deployments &amp; Config'!BB8</f>
        <v>Yes</v>
      </c>
      <c r="Q8" s="34" t="str">
        <f t="shared" si="0"/>
        <v/>
      </c>
      <c r="R8" s="18" t="str">
        <f t="shared" si="1"/>
        <v/>
      </c>
      <c r="S8" s="18" t="str">
        <f t="shared" si="2"/>
        <v/>
      </c>
      <c r="T8" s="18" t="str">
        <f t="shared" si="3"/>
        <v>BLOCKED</v>
      </c>
    </row>
    <row r="9" spans="1:20">
      <c r="A9" s="34" t="str">
        <f>'12 - Deployments &amp; Config'!H9</f>
        <v>LIJ SDF</v>
      </c>
      <c r="B9" s="34" t="str">
        <f>'12 - Deployments &amp; Config'!S9</f>
        <v>LIJ-SDF-MACH-H</v>
      </c>
      <c r="C9" s="34" t="str">
        <f>'12 - Deployments &amp; Config'!T9</f>
        <v>A0F5097FEB57</v>
      </c>
      <c r="D9" s="18" t="str">
        <f>'12 - Deployments &amp; Config'!AK9</f>
        <v>2008T</v>
      </c>
      <c r="E9" s="18" t="str">
        <f>'12 - Deployments &amp; Config'!J9</f>
        <v>NA</v>
      </c>
      <c r="F9" s="34" t="str">
        <f>'12 - Deployments &amp; Config'!K9</f>
        <v>NA</v>
      </c>
      <c r="G9" s="18" t="str">
        <f>'12 - Deployments &amp; Config'!L9</f>
        <v>NA</v>
      </c>
      <c r="H9" s="18">
        <f>'13 - Config_Intake_View'!M9</f>
        <v>0</v>
      </c>
      <c r="I9" s="34">
        <f>IF('13 - Config_Intake_View'!Q9&lt;&gt;"",'13 - Config_Intake_View'!Q9,'12 - Deployments &amp; Config'!BI9)</f>
        <v>0</v>
      </c>
      <c r="J9" s="18" t="str">
        <f>IF('13 - Config_Intake_View'!Q9&lt;&gt;"","PM Approved",IF('12 - Deployments &amp; Config'!BI9&lt;&gt;"","Assumed",""))</f>
        <v/>
      </c>
      <c r="K9" s="34" t="str">
        <f>'12 - Deployments &amp; Config'!BH9</f>
        <v>Yes</v>
      </c>
      <c r="L9" s="18">
        <f>'12 - Deployments &amp; Config'!P9</f>
        <v>0</v>
      </c>
      <c r="M9" s="18">
        <f>'12 - Deployments &amp; Config'!Q9</f>
        <v>0</v>
      </c>
      <c r="N9" s="18" t="str">
        <f>'12 - Deployments &amp; Config'!BL9</f>
        <v>Epic Beans Relay</v>
      </c>
      <c r="O9" s="34" t="str">
        <f>'12 - Deployments &amp; Config'!BM9</f>
        <v>Blocked</v>
      </c>
      <c r="P9" s="2" t="str">
        <f>'12 - Deployments &amp; Config'!BB9</f>
        <v>Yes</v>
      </c>
      <c r="Q9" s="34" t="str">
        <f t="shared" si="0"/>
        <v/>
      </c>
      <c r="R9" s="18" t="str">
        <f t="shared" si="1"/>
        <v/>
      </c>
      <c r="S9" s="18" t="str">
        <f t="shared" si="2"/>
        <v/>
      </c>
      <c r="T9" s="18" t="str">
        <f t="shared" si="3"/>
        <v>BLOCKED</v>
      </c>
    </row>
    <row r="10" spans="1:20">
      <c r="A10" s="34" t="str">
        <f>'12 - Deployments &amp; Config'!H10</f>
        <v>LIJ SDF</v>
      </c>
      <c r="B10" s="34" t="str">
        <f>'12 - Deployments &amp; Config'!S10</f>
        <v>LIJ-SDF-MACH-I</v>
      </c>
      <c r="C10" s="34" t="str">
        <f>'12 - Deployments &amp; Config'!T10</f>
        <v>A0F5097FDF60</v>
      </c>
      <c r="D10" s="18" t="str">
        <f>'12 - Deployments &amp; Config'!AK10</f>
        <v>2008T</v>
      </c>
      <c r="E10" s="18" t="str">
        <f>'12 - Deployments &amp; Config'!J10</f>
        <v>NA</v>
      </c>
      <c r="F10" s="34" t="str">
        <f>'12 - Deployments &amp; Config'!K10</f>
        <v>NA</v>
      </c>
      <c r="G10" s="18" t="str">
        <f>'12 - Deployments &amp; Config'!L10</f>
        <v>NA</v>
      </c>
      <c r="H10" s="18">
        <f>'13 - Config_Intake_View'!M10</f>
        <v>0</v>
      </c>
      <c r="I10" s="34">
        <f>IF('13 - Config_Intake_View'!Q10&lt;&gt;"",'13 - Config_Intake_View'!Q10,'12 - Deployments &amp; Config'!BI10)</f>
        <v>0</v>
      </c>
      <c r="J10" s="18" t="str">
        <f>IF('13 - Config_Intake_View'!Q10&lt;&gt;"","PM Approved",IF('12 - Deployments &amp; Config'!BI10&lt;&gt;"","Assumed",""))</f>
        <v/>
      </c>
      <c r="K10" s="34" t="str">
        <f>'12 - Deployments &amp; Config'!BH10</f>
        <v>Yes</v>
      </c>
      <c r="L10" s="18">
        <f>'12 - Deployments &amp; Config'!P10</f>
        <v>0</v>
      </c>
      <c r="M10" s="18">
        <f>'12 - Deployments &amp; Config'!Q10</f>
        <v>0</v>
      </c>
      <c r="N10" s="18" t="str">
        <f>'12 - Deployments &amp; Config'!BL10</f>
        <v>Epic Beans Relay</v>
      </c>
      <c r="O10" s="34" t="str">
        <f>'12 - Deployments &amp; Config'!BM10</f>
        <v>Blocked</v>
      </c>
      <c r="P10" s="2" t="str">
        <f>'12 - Deployments &amp; Config'!BB10</f>
        <v>Yes</v>
      </c>
      <c r="Q10" s="34" t="str">
        <f t="shared" si="0"/>
        <v/>
      </c>
      <c r="R10" s="18" t="str">
        <f t="shared" si="1"/>
        <v/>
      </c>
      <c r="S10" s="18" t="str">
        <f t="shared" si="2"/>
        <v/>
      </c>
      <c r="T10" s="18" t="str">
        <f t="shared" si="3"/>
        <v>BLOCKED</v>
      </c>
    </row>
    <row r="11" spans="1:20">
      <c r="A11" s="34" t="str">
        <f>'12 - Deployments &amp; Config'!H11</f>
        <v>LIJ SDF</v>
      </c>
      <c r="B11" s="34" t="str">
        <f>'12 - Deployments &amp; Config'!S11</f>
        <v>LIJ-SDF-MACH-J</v>
      </c>
      <c r="C11" s="34" t="str">
        <f>'12 - Deployments &amp; Config'!T11</f>
        <v>A0F5097FF17E</v>
      </c>
      <c r="D11" s="18" t="str">
        <f>'12 - Deployments &amp; Config'!AK11</f>
        <v>2008T</v>
      </c>
      <c r="E11" s="18" t="str">
        <f>'12 - Deployments &amp; Config'!J11</f>
        <v>NA</v>
      </c>
      <c r="F11" s="34" t="str">
        <f>'12 - Deployments &amp; Config'!K11</f>
        <v>NA</v>
      </c>
      <c r="G11" s="18" t="str">
        <f>'12 - Deployments &amp; Config'!L11</f>
        <v>NA</v>
      </c>
      <c r="H11" s="18">
        <f>'13 - Config_Intake_View'!M11</f>
        <v>0</v>
      </c>
      <c r="I11" s="34">
        <f>IF('13 - Config_Intake_View'!Q11&lt;&gt;"",'13 - Config_Intake_View'!Q11,'12 - Deployments &amp; Config'!BI11)</f>
        <v>0</v>
      </c>
      <c r="J11" s="18" t="str">
        <f>IF('13 - Config_Intake_View'!Q11&lt;&gt;"","PM Approved",IF('12 - Deployments &amp; Config'!BI11&lt;&gt;"","Assumed",""))</f>
        <v/>
      </c>
      <c r="K11" s="34" t="str">
        <f>'12 - Deployments &amp; Config'!BH11</f>
        <v>Yes</v>
      </c>
      <c r="L11" s="18">
        <f>'12 - Deployments &amp; Config'!P11</f>
        <v>0</v>
      </c>
      <c r="M11" s="18">
        <f>'12 - Deployments &amp; Config'!Q11</f>
        <v>0</v>
      </c>
      <c r="N11" s="18" t="str">
        <f>'12 - Deployments &amp; Config'!BL11</f>
        <v>Epic Beans Relay</v>
      </c>
      <c r="O11" s="34" t="str">
        <f>'12 - Deployments &amp; Config'!BM11</f>
        <v>Blocked</v>
      </c>
      <c r="P11" s="2" t="str">
        <f>'12 - Deployments &amp; Config'!BB11</f>
        <v>Yes</v>
      </c>
      <c r="Q11" s="34" t="str">
        <f t="shared" si="0"/>
        <v/>
      </c>
      <c r="R11" s="18" t="str">
        <f t="shared" si="1"/>
        <v/>
      </c>
      <c r="S11" s="18" t="str">
        <f t="shared" si="2"/>
        <v/>
      </c>
      <c r="T11" s="18" t="str">
        <f t="shared" si="3"/>
        <v>BLOCKED</v>
      </c>
    </row>
    <row r="12" spans="1:20">
      <c r="A12" s="34" t="str">
        <f>'12 - Deployments &amp; Config'!H12</f>
        <v>LIJ SDF</v>
      </c>
      <c r="B12" s="34" t="str">
        <f>'12 - Deployments &amp; Config'!S12</f>
        <v>LIJ-SDF-MACH-K</v>
      </c>
      <c r="C12" s="34" t="str">
        <f>'12 - Deployments &amp; Config'!T12</f>
        <v>A0F5097FDE6F</v>
      </c>
      <c r="D12" s="18" t="str">
        <f>'12 - Deployments &amp; Config'!AK12</f>
        <v>2008T</v>
      </c>
      <c r="E12" s="18" t="str">
        <f>'12 - Deployments &amp; Config'!J12</f>
        <v>NA</v>
      </c>
      <c r="F12" s="34" t="str">
        <f>'12 - Deployments &amp; Config'!K12</f>
        <v>NA</v>
      </c>
      <c r="G12" s="18" t="str">
        <f>'12 - Deployments &amp; Config'!L12</f>
        <v>NA</v>
      </c>
      <c r="H12" s="18">
        <f>'13 - Config_Intake_View'!M12</f>
        <v>0</v>
      </c>
      <c r="I12" s="34">
        <f>IF('13 - Config_Intake_View'!Q12&lt;&gt;"",'13 - Config_Intake_View'!Q12,'12 - Deployments &amp; Config'!BI12)</f>
        <v>0</v>
      </c>
      <c r="J12" s="18" t="str">
        <f>IF('13 - Config_Intake_View'!Q12&lt;&gt;"","PM Approved",IF('12 - Deployments &amp; Config'!BI12&lt;&gt;"","Assumed",""))</f>
        <v/>
      </c>
      <c r="K12" s="34" t="str">
        <f>'12 - Deployments &amp; Config'!BH12</f>
        <v>Yes</v>
      </c>
      <c r="L12" s="18">
        <f>'12 - Deployments &amp; Config'!P12</f>
        <v>0</v>
      </c>
      <c r="M12" s="18">
        <f>'12 - Deployments &amp; Config'!Q12</f>
        <v>0</v>
      </c>
      <c r="N12" s="18" t="str">
        <f>'12 - Deployments &amp; Config'!BL12</f>
        <v>Epic Beans Relay</v>
      </c>
      <c r="O12" s="34" t="str">
        <f>'12 - Deployments &amp; Config'!BM12</f>
        <v>Blocked</v>
      </c>
      <c r="P12" s="2" t="str">
        <f>'12 - Deployments &amp; Config'!BB12</f>
        <v>Yes</v>
      </c>
      <c r="Q12" s="34" t="str">
        <f t="shared" si="0"/>
        <v/>
      </c>
      <c r="R12" s="18" t="str">
        <f t="shared" si="1"/>
        <v/>
      </c>
      <c r="S12" s="18" t="str">
        <f t="shared" si="2"/>
        <v/>
      </c>
      <c r="T12" s="18" t="str">
        <f t="shared" si="3"/>
        <v>BLOCKED</v>
      </c>
    </row>
    <row r="13" spans="1:20">
      <c r="A13" s="34" t="str">
        <f>'12 - Deployments &amp; Config'!H13</f>
        <v>LIJ SDF</v>
      </c>
      <c r="B13" s="34" t="str">
        <f>'12 - Deployments &amp; Config'!S13</f>
        <v>LIJ-SDF-MACH-L</v>
      </c>
      <c r="C13" s="34" t="str">
        <f>'12 - Deployments &amp; Config'!T13</f>
        <v>A0F5097FEFFB</v>
      </c>
      <c r="D13" s="18" t="str">
        <f>'12 - Deployments &amp; Config'!AK13</f>
        <v>2008T</v>
      </c>
      <c r="E13" s="18" t="str">
        <f>'12 - Deployments &amp; Config'!J13</f>
        <v>NA</v>
      </c>
      <c r="F13" s="34" t="str">
        <f>'12 - Deployments &amp; Config'!K13</f>
        <v>NA</v>
      </c>
      <c r="G13" s="18" t="str">
        <f>'12 - Deployments &amp; Config'!L13</f>
        <v>NA</v>
      </c>
      <c r="H13" s="18">
        <f>'13 - Config_Intake_View'!M13</f>
        <v>0</v>
      </c>
      <c r="I13" s="34">
        <f>IF('13 - Config_Intake_View'!Q13&lt;&gt;"",'13 - Config_Intake_View'!Q13,'12 - Deployments &amp; Config'!BI13)</f>
        <v>0</v>
      </c>
      <c r="J13" s="18" t="str">
        <f>IF('13 - Config_Intake_View'!Q13&lt;&gt;"","PM Approved",IF('12 - Deployments &amp; Config'!BI13&lt;&gt;"","Assumed",""))</f>
        <v/>
      </c>
      <c r="K13" s="34" t="str">
        <f>'12 - Deployments &amp; Config'!BH13</f>
        <v>Yes</v>
      </c>
      <c r="L13" s="18">
        <f>'12 - Deployments &amp; Config'!P13</f>
        <v>0</v>
      </c>
      <c r="M13" s="18">
        <f>'12 - Deployments &amp; Config'!Q13</f>
        <v>0</v>
      </c>
      <c r="N13" s="18" t="str">
        <f>'12 - Deployments &amp; Config'!BL13</f>
        <v>Epic Beans Relay</v>
      </c>
      <c r="O13" s="34" t="str">
        <f>'12 - Deployments &amp; Config'!BM13</f>
        <v>Blocked</v>
      </c>
      <c r="P13" s="2" t="str">
        <f>'12 - Deployments &amp; Config'!BB13</f>
        <v>Yes</v>
      </c>
      <c r="Q13" s="34" t="str">
        <f t="shared" si="0"/>
        <v/>
      </c>
      <c r="R13" s="18" t="str">
        <f t="shared" si="1"/>
        <v/>
      </c>
      <c r="S13" s="18" t="str">
        <f t="shared" si="2"/>
        <v/>
      </c>
      <c r="T13" s="18" t="str">
        <f t="shared" si="3"/>
        <v>BLOCKED</v>
      </c>
    </row>
    <row r="14" spans="1:20">
      <c r="A14" s="34" t="str">
        <f>'12 - Deployments &amp; Config'!H14</f>
        <v>LIJ SDF</v>
      </c>
      <c r="B14" s="34" t="str">
        <f>'12 - Deployments &amp; Config'!S14</f>
        <v>LIJ-SDF-MACH-M</v>
      </c>
      <c r="C14" s="34" t="str">
        <f>'12 - Deployments &amp; Config'!T14</f>
        <v>A0F5097FEF3A</v>
      </c>
      <c r="D14" s="18" t="str">
        <f>'12 - Deployments &amp; Config'!AK14</f>
        <v>2008T</v>
      </c>
      <c r="E14" s="18" t="str">
        <f>'12 - Deployments &amp; Config'!J14</f>
        <v>NA</v>
      </c>
      <c r="F14" s="34" t="str">
        <f>'12 - Deployments &amp; Config'!K14</f>
        <v>NA</v>
      </c>
      <c r="G14" s="18" t="str">
        <f>'12 - Deployments &amp; Config'!L14</f>
        <v>NA</v>
      </c>
      <c r="H14" s="18">
        <f>'13 - Config_Intake_View'!M14</f>
        <v>0</v>
      </c>
      <c r="I14" s="34">
        <f>IF('13 - Config_Intake_View'!Q14&lt;&gt;"",'13 - Config_Intake_View'!Q14,'12 - Deployments &amp; Config'!BI14)</f>
        <v>0</v>
      </c>
      <c r="J14" s="18" t="str">
        <f>IF('13 - Config_Intake_View'!Q14&lt;&gt;"","PM Approved",IF('12 - Deployments &amp; Config'!BI14&lt;&gt;"","Assumed",""))</f>
        <v/>
      </c>
      <c r="K14" s="34" t="str">
        <f>'12 - Deployments &amp; Config'!BH14</f>
        <v>Yes</v>
      </c>
      <c r="L14" s="18">
        <f>'12 - Deployments &amp; Config'!P14</f>
        <v>0</v>
      </c>
      <c r="M14" s="18">
        <f>'12 - Deployments &amp; Config'!Q14</f>
        <v>0</v>
      </c>
      <c r="N14" s="18" t="str">
        <f>'12 - Deployments &amp; Config'!BL14</f>
        <v>Epic Beans Relay</v>
      </c>
      <c r="O14" s="34" t="str">
        <f>'12 - Deployments &amp; Config'!BM14</f>
        <v>Blocked</v>
      </c>
      <c r="P14" s="2" t="str">
        <f>'12 - Deployments &amp; Config'!BB14</f>
        <v>Yes</v>
      </c>
      <c r="Q14" s="34" t="str">
        <f t="shared" si="0"/>
        <v/>
      </c>
      <c r="R14" s="18" t="str">
        <f t="shared" si="1"/>
        <v/>
      </c>
      <c r="S14" s="18" t="str">
        <f t="shared" si="2"/>
        <v/>
      </c>
      <c r="T14" s="18" t="str">
        <f t="shared" si="3"/>
        <v>BLOCKED</v>
      </c>
    </row>
    <row r="15" spans="1:20">
      <c r="A15" s="34" t="str">
        <f>'12 - Deployments &amp; Config'!H15</f>
        <v>LIJ SDF</v>
      </c>
      <c r="B15" s="34" t="str">
        <f>'12 - Deployments &amp; Config'!S15</f>
        <v>LIJ-SDF-MACH-N</v>
      </c>
      <c r="C15" s="34" t="str">
        <f>'12 - Deployments &amp; Config'!T15</f>
        <v>A0F5097B98D9</v>
      </c>
      <c r="D15" s="18" t="str">
        <f>'12 - Deployments &amp; Config'!AK15</f>
        <v>2008T</v>
      </c>
      <c r="E15" s="18" t="str">
        <f>'12 - Deployments &amp; Config'!J15</f>
        <v>NA</v>
      </c>
      <c r="F15" s="34" t="str">
        <f>'12 - Deployments &amp; Config'!K15</f>
        <v>NA</v>
      </c>
      <c r="G15" s="18" t="str">
        <f>'12 - Deployments &amp; Config'!L15</f>
        <v>NA</v>
      </c>
      <c r="H15" s="18">
        <f>'13 - Config_Intake_View'!M15</f>
        <v>0</v>
      </c>
      <c r="I15" s="34">
        <f>IF('13 - Config_Intake_View'!Q15&lt;&gt;"",'13 - Config_Intake_View'!Q15,'12 - Deployments &amp; Config'!BI15)</f>
        <v>0</v>
      </c>
      <c r="J15" s="18" t="str">
        <f>IF('13 - Config_Intake_View'!Q15&lt;&gt;"","PM Approved",IF('12 - Deployments &amp; Config'!BI15&lt;&gt;"","Assumed",""))</f>
        <v/>
      </c>
      <c r="K15" s="34" t="str">
        <f>'12 - Deployments &amp; Config'!BH15</f>
        <v>Yes</v>
      </c>
      <c r="L15" s="18">
        <f>'12 - Deployments &amp; Config'!P15</f>
        <v>0</v>
      </c>
      <c r="M15" s="18">
        <f>'12 - Deployments &amp; Config'!Q15</f>
        <v>0</v>
      </c>
      <c r="N15" s="18" t="str">
        <f>'12 - Deployments &amp; Config'!BL15</f>
        <v>Epic Beans Relay</v>
      </c>
      <c r="O15" s="34" t="str">
        <f>'12 - Deployments &amp; Config'!BM15</f>
        <v>Blocked</v>
      </c>
      <c r="P15" s="2" t="str">
        <f>'12 - Deployments &amp; Config'!BB15</f>
        <v>Yes</v>
      </c>
      <c r="Q15" s="34" t="str">
        <f t="shared" si="0"/>
        <v/>
      </c>
      <c r="R15" s="18" t="str">
        <f t="shared" si="1"/>
        <v/>
      </c>
      <c r="S15" s="18" t="str">
        <f t="shared" si="2"/>
        <v/>
      </c>
      <c r="T15" s="18" t="str">
        <f t="shared" si="3"/>
        <v>BLOCKED</v>
      </c>
    </row>
    <row r="16" spans="1:20">
      <c r="A16" s="34" t="str">
        <f>'12 - Deployments &amp; Config'!H16</f>
        <v>LIJ SDF</v>
      </c>
      <c r="B16" s="34" t="str">
        <f>'12 - Deployments &amp; Config'!S16</f>
        <v>LIJ-SDF-MACH-O</v>
      </c>
      <c r="C16" s="34" t="str">
        <f>'12 - Deployments &amp; Config'!T16</f>
        <v>A0F5097BA0A3</v>
      </c>
      <c r="D16" s="18" t="str">
        <f>'12 - Deployments &amp; Config'!AK16</f>
        <v>2008T</v>
      </c>
      <c r="E16" s="18" t="str">
        <f>'12 - Deployments &amp; Config'!J16</f>
        <v>NA</v>
      </c>
      <c r="F16" s="34" t="str">
        <f>'12 - Deployments &amp; Config'!K16</f>
        <v>NA</v>
      </c>
      <c r="G16" s="18" t="str">
        <f>'12 - Deployments &amp; Config'!L16</f>
        <v>NA</v>
      </c>
      <c r="H16" s="18">
        <f>'13 - Config_Intake_View'!M16</f>
        <v>0</v>
      </c>
      <c r="I16" s="34">
        <f>IF('13 - Config_Intake_View'!Q16&lt;&gt;"",'13 - Config_Intake_View'!Q16,'12 - Deployments &amp; Config'!BI16)</f>
        <v>0</v>
      </c>
      <c r="J16" s="18" t="str">
        <f>IF('13 - Config_Intake_View'!Q16&lt;&gt;"","PM Approved",IF('12 - Deployments &amp; Config'!BI16&lt;&gt;"","Assumed",""))</f>
        <v/>
      </c>
      <c r="K16" s="34" t="str">
        <f>'12 - Deployments &amp; Config'!BH16</f>
        <v>Yes</v>
      </c>
      <c r="L16" s="18">
        <f>'12 - Deployments &amp; Config'!P16</f>
        <v>0</v>
      </c>
      <c r="M16" s="18">
        <f>'12 - Deployments &amp; Config'!Q16</f>
        <v>0</v>
      </c>
      <c r="N16" s="18" t="str">
        <f>'12 - Deployments &amp; Config'!BL16</f>
        <v>Epic Beans Relay</v>
      </c>
      <c r="O16" s="34" t="str">
        <f>'12 - Deployments &amp; Config'!BM16</f>
        <v>Blocked</v>
      </c>
      <c r="P16" s="2" t="str">
        <f>'12 - Deployments &amp; Config'!BB16</f>
        <v>Yes</v>
      </c>
      <c r="Q16" s="34" t="str">
        <f t="shared" si="0"/>
        <v/>
      </c>
      <c r="R16" s="18" t="str">
        <f t="shared" si="1"/>
        <v/>
      </c>
      <c r="S16" s="18" t="str">
        <f t="shared" si="2"/>
        <v/>
      </c>
      <c r="T16" s="18" t="str">
        <f t="shared" si="3"/>
        <v>BLOCKED</v>
      </c>
    </row>
    <row r="17" spans="1:20">
      <c r="A17" s="34" t="str">
        <f>'12 - Deployments &amp; Config'!H17</f>
        <v>LIJ SDF</v>
      </c>
      <c r="B17" s="34" t="str">
        <f>'12 - Deployments &amp; Config'!S17</f>
        <v>LIJ-SDF-MACH-P</v>
      </c>
      <c r="C17" s="34" t="str">
        <f>'12 - Deployments &amp; Config'!T17</f>
        <v>A0F5097FE29D</v>
      </c>
      <c r="D17" s="18" t="str">
        <f>'12 - Deployments &amp; Config'!AK17</f>
        <v>2008T</v>
      </c>
      <c r="E17" s="18" t="str">
        <f>'12 - Deployments &amp; Config'!J17</f>
        <v>NA</v>
      </c>
      <c r="F17" s="34" t="str">
        <f>'12 - Deployments &amp; Config'!K17</f>
        <v>NA</v>
      </c>
      <c r="G17" s="18" t="str">
        <f>'12 - Deployments &amp; Config'!L17</f>
        <v>NA</v>
      </c>
      <c r="H17" s="18">
        <f>'13 - Config_Intake_View'!M17</f>
        <v>0</v>
      </c>
      <c r="I17" s="34">
        <f>IF('13 - Config_Intake_View'!Q17&lt;&gt;"",'13 - Config_Intake_View'!Q17,'12 - Deployments &amp; Config'!BI17)</f>
        <v>0</v>
      </c>
      <c r="J17" s="18" t="str">
        <f>IF('13 - Config_Intake_View'!Q17&lt;&gt;"","PM Approved",IF('12 - Deployments &amp; Config'!BI17&lt;&gt;"","Assumed",""))</f>
        <v/>
      </c>
      <c r="K17" s="34" t="str">
        <f>'12 - Deployments &amp; Config'!BH17</f>
        <v>Yes</v>
      </c>
      <c r="L17" s="18">
        <f>'12 - Deployments &amp; Config'!P17</f>
        <v>0</v>
      </c>
      <c r="M17" s="18">
        <f>'12 - Deployments &amp; Config'!Q17</f>
        <v>0</v>
      </c>
      <c r="N17" s="18" t="str">
        <f>'12 - Deployments &amp; Config'!BL17</f>
        <v>Epic Beans Relay</v>
      </c>
      <c r="O17" s="34" t="str">
        <f>'12 - Deployments &amp; Config'!BM17</f>
        <v>Blocked</v>
      </c>
      <c r="P17" s="2" t="str">
        <f>'12 - Deployments &amp; Config'!BB17</f>
        <v>Yes</v>
      </c>
      <c r="Q17" s="34" t="str">
        <f t="shared" si="0"/>
        <v/>
      </c>
      <c r="R17" s="18" t="str">
        <f t="shared" si="1"/>
        <v/>
      </c>
      <c r="S17" s="18" t="str">
        <f t="shared" si="2"/>
        <v/>
      </c>
      <c r="T17" s="18" t="str">
        <f t="shared" si="3"/>
        <v>BLOCKED</v>
      </c>
    </row>
    <row r="18" spans="1:20">
      <c r="A18" s="34" t="str">
        <f>'12 - Deployments &amp; Config'!H18</f>
        <v>LIJ SDF</v>
      </c>
      <c r="B18" s="34" t="str">
        <f>'12 - Deployments &amp; Config'!S18</f>
        <v>LIJ-SDF-MACH-Q</v>
      </c>
      <c r="C18" s="34" t="str">
        <f>'12 - Deployments &amp; Config'!T18</f>
        <v>A0F5097FDF52</v>
      </c>
      <c r="D18" s="18" t="str">
        <f>'12 - Deployments &amp; Config'!AK18</f>
        <v>2008T</v>
      </c>
      <c r="E18" s="18" t="str">
        <f>'12 - Deployments &amp; Config'!J18</f>
        <v>NA</v>
      </c>
      <c r="F18" s="34" t="str">
        <f>'12 - Deployments &amp; Config'!K18</f>
        <v>NA</v>
      </c>
      <c r="G18" s="18" t="str">
        <f>'12 - Deployments &amp; Config'!L18</f>
        <v>NA</v>
      </c>
      <c r="H18" s="18">
        <f>'13 - Config_Intake_View'!M18</f>
        <v>0</v>
      </c>
      <c r="I18" s="34">
        <f>IF('13 - Config_Intake_View'!Q18&lt;&gt;"",'13 - Config_Intake_View'!Q18,'12 - Deployments &amp; Config'!BI18)</f>
        <v>0</v>
      </c>
      <c r="J18" s="18" t="str">
        <f>IF('13 - Config_Intake_View'!Q18&lt;&gt;"","PM Approved",IF('12 - Deployments &amp; Config'!BI18&lt;&gt;"","Assumed",""))</f>
        <v/>
      </c>
      <c r="K18" s="34" t="str">
        <f>'12 - Deployments &amp; Config'!BH18</f>
        <v>Yes</v>
      </c>
      <c r="L18" s="18">
        <f>'12 - Deployments &amp; Config'!P18</f>
        <v>0</v>
      </c>
      <c r="M18" s="18">
        <f>'12 - Deployments &amp; Config'!Q18</f>
        <v>0</v>
      </c>
      <c r="N18" s="18" t="str">
        <f>'12 - Deployments &amp; Config'!BL18</f>
        <v>Epic Beans Relay</v>
      </c>
      <c r="O18" s="34" t="str">
        <f>'12 - Deployments &amp; Config'!BM18</f>
        <v>Blocked</v>
      </c>
      <c r="P18" s="2" t="str">
        <f>'12 - Deployments &amp; Config'!BB18</f>
        <v>Yes</v>
      </c>
      <c r="Q18" s="34" t="str">
        <f t="shared" si="0"/>
        <v/>
      </c>
      <c r="R18" s="18" t="str">
        <f t="shared" si="1"/>
        <v/>
      </c>
      <c r="S18" s="18" t="str">
        <f t="shared" si="2"/>
        <v/>
      </c>
      <c r="T18" s="18" t="str">
        <f t="shared" si="3"/>
        <v>BLOCKED</v>
      </c>
    </row>
    <row r="19" spans="1:20">
      <c r="A19" s="34" t="str">
        <f>'12 - Deployments &amp; Config'!H19</f>
        <v>LIJ SDF</v>
      </c>
      <c r="B19" s="34" t="str">
        <f>'12 - Deployments &amp; Config'!S19</f>
        <v>LIJ-SDF-MACH-R</v>
      </c>
      <c r="C19" s="34" t="str">
        <f>'12 - Deployments &amp; Config'!T19</f>
        <v>A0F5097B99F8</v>
      </c>
      <c r="D19" s="18" t="str">
        <f>'12 - Deployments &amp; Config'!AK19</f>
        <v>2008T</v>
      </c>
      <c r="E19" s="18" t="str">
        <f>'12 - Deployments &amp; Config'!J19</f>
        <v>NA</v>
      </c>
      <c r="F19" s="34" t="str">
        <f>'12 - Deployments &amp; Config'!K19</f>
        <v>NA</v>
      </c>
      <c r="G19" s="18" t="str">
        <f>'12 - Deployments &amp; Config'!L19</f>
        <v>NA</v>
      </c>
      <c r="H19" s="18">
        <f>'13 - Config_Intake_View'!M19</f>
        <v>0</v>
      </c>
      <c r="I19" s="34">
        <f>IF('13 - Config_Intake_View'!Q19&lt;&gt;"",'13 - Config_Intake_View'!Q19,'12 - Deployments &amp; Config'!BI19)</f>
        <v>0</v>
      </c>
      <c r="J19" s="18" t="str">
        <f>IF('13 - Config_Intake_View'!Q19&lt;&gt;"","PM Approved",IF('12 - Deployments &amp; Config'!BI19&lt;&gt;"","Assumed",""))</f>
        <v/>
      </c>
      <c r="K19" s="34" t="str">
        <f>'12 - Deployments &amp; Config'!BH19</f>
        <v>Yes</v>
      </c>
      <c r="L19" s="18">
        <f>'12 - Deployments &amp; Config'!P19</f>
        <v>0</v>
      </c>
      <c r="M19" s="18">
        <f>'12 - Deployments &amp; Config'!Q19</f>
        <v>0</v>
      </c>
      <c r="N19" s="18" t="str">
        <f>'12 - Deployments &amp; Config'!BL19</f>
        <v>Epic Beans Relay</v>
      </c>
      <c r="O19" s="34" t="str">
        <f>'12 - Deployments &amp; Config'!BM19</f>
        <v>Blocked</v>
      </c>
      <c r="P19" s="2" t="str">
        <f>'12 - Deployments &amp; Config'!BB19</f>
        <v>Yes</v>
      </c>
      <c r="Q19" s="34" t="str">
        <f t="shared" si="0"/>
        <v/>
      </c>
      <c r="R19" s="18" t="str">
        <f t="shared" si="1"/>
        <v/>
      </c>
      <c r="S19" s="18" t="str">
        <f t="shared" si="2"/>
        <v/>
      </c>
      <c r="T19" s="18" t="str">
        <f t="shared" si="3"/>
        <v>BLOCKED</v>
      </c>
    </row>
    <row r="20" spans="1:20">
      <c r="A20" s="34" t="str">
        <f>'12 - Deployments &amp; Config'!H20</f>
        <v>LIJ SDF</v>
      </c>
      <c r="B20" s="34" t="str">
        <f>'12 - Deployments &amp; Config'!S20</f>
        <v>LIJ-SDF-MACH-S</v>
      </c>
      <c r="C20" s="34" t="str">
        <f>'12 - Deployments &amp; Config'!T20</f>
        <v>A0F5097B975D</v>
      </c>
      <c r="D20" s="18" t="str">
        <f>'12 - Deployments &amp; Config'!AK20</f>
        <v>2008T</v>
      </c>
      <c r="E20" s="18" t="str">
        <f>'12 - Deployments &amp; Config'!J20</f>
        <v>NA</v>
      </c>
      <c r="F20" s="34" t="str">
        <f>'12 - Deployments &amp; Config'!K20</f>
        <v>NA</v>
      </c>
      <c r="G20" s="18" t="str">
        <f>'12 - Deployments &amp; Config'!L20</f>
        <v>NA</v>
      </c>
      <c r="H20" s="18">
        <f>'13 - Config_Intake_View'!M20</f>
        <v>0</v>
      </c>
      <c r="I20" s="34">
        <f>IF('13 - Config_Intake_View'!Q20&lt;&gt;"",'13 - Config_Intake_View'!Q20,'12 - Deployments &amp; Config'!BI20)</f>
        <v>0</v>
      </c>
      <c r="J20" s="18" t="str">
        <f>IF('13 - Config_Intake_View'!Q20&lt;&gt;"","PM Approved",IF('12 - Deployments &amp; Config'!BI20&lt;&gt;"","Assumed",""))</f>
        <v/>
      </c>
      <c r="K20" s="34" t="str">
        <f>'12 - Deployments &amp; Config'!BH20</f>
        <v>Yes</v>
      </c>
      <c r="L20" s="18">
        <f>'12 - Deployments &amp; Config'!P20</f>
        <v>0</v>
      </c>
      <c r="M20" s="18">
        <f>'12 - Deployments &amp; Config'!Q20</f>
        <v>0</v>
      </c>
      <c r="N20" s="18" t="str">
        <f>'12 - Deployments &amp; Config'!BL20</f>
        <v>Epic Beans Relay</v>
      </c>
      <c r="O20" s="34" t="str">
        <f>'12 - Deployments &amp; Config'!BM20</f>
        <v>Blocked</v>
      </c>
      <c r="P20" s="2" t="str">
        <f>'12 - Deployments &amp; Config'!BB20</f>
        <v>Yes</v>
      </c>
      <c r="Q20" s="34" t="str">
        <f t="shared" si="0"/>
        <v/>
      </c>
      <c r="R20" s="18" t="str">
        <f t="shared" si="1"/>
        <v/>
      </c>
      <c r="S20" s="18" t="str">
        <f t="shared" si="2"/>
        <v/>
      </c>
      <c r="T20" s="18" t="str">
        <f t="shared" si="3"/>
        <v>BLOCKED</v>
      </c>
    </row>
    <row r="21" spans="1:20">
      <c r="A21" s="34" t="str">
        <f>'12 - Deployments &amp; Config'!H21</f>
        <v>LIJ SDF</v>
      </c>
      <c r="B21" s="34" t="str">
        <f>'12 - Deployments &amp; Config'!S21</f>
        <v>LIJ-SDF-MACH-T</v>
      </c>
      <c r="C21" s="34" t="str">
        <f>'12 - Deployments &amp; Config'!T21</f>
        <v>A0F5097BA007</v>
      </c>
      <c r="D21" s="18" t="str">
        <f>'12 - Deployments &amp; Config'!AK21</f>
        <v>2008T</v>
      </c>
      <c r="E21" s="18" t="str">
        <f>'12 - Deployments &amp; Config'!J21</f>
        <v>NA</v>
      </c>
      <c r="F21" s="34" t="str">
        <f>'12 - Deployments &amp; Config'!K21</f>
        <v>NA</v>
      </c>
      <c r="G21" s="18" t="str">
        <f>'12 - Deployments &amp; Config'!L21</f>
        <v>NA</v>
      </c>
      <c r="H21" s="18">
        <f>'13 - Config_Intake_View'!M21</f>
        <v>0</v>
      </c>
      <c r="I21" s="34">
        <f>IF('13 - Config_Intake_View'!Q21&lt;&gt;"",'13 - Config_Intake_View'!Q21,'12 - Deployments &amp; Config'!BI21)</f>
        <v>0</v>
      </c>
      <c r="J21" s="18" t="str">
        <f>IF('13 - Config_Intake_View'!Q21&lt;&gt;"","PM Approved",IF('12 - Deployments &amp; Config'!BI21&lt;&gt;"","Assumed",""))</f>
        <v/>
      </c>
      <c r="K21" s="34" t="str">
        <f>'12 - Deployments &amp; Config'!BH21</f>
        <v>Yes</v>
      </c>
      <c r="L21" s="18">
        <f>'12 - Deployments &amp; Config'!P21</f>
        <v>0</v>
      </c>
      <c r="M21" s="18">
        <f>'12 - Deployments &amp; Config'!Q21</f>
        <v>0</v>
      </c>
      <c r="N21" s="18" t="str">
        <f>'12 - Deployments &amp; Config'!BL21</f>
        <v>Epic Beans Relay</v>
      </c>
      <c r="O21" s="34" t="str">
        <f>'12 - Deployments &amp; Config'!BM21</f>
        <v>Blocked</v>
      </c>
      <c r="P21" s="2" t="str">
        <f>'12 - Deployments &amp; Config'!BB21</f>
        <v>Yes</v>
      </c>
      <c r="Q21" s="34" t="str">
        <f t="shared" si="0"/>
        <v/>
      </c>
      <c r="R21" s="18" t="str">
        <f t="shared" si="1"/>
        <v/>
      </c>
      <c r="S21" s="18" t="str">
        <f t="shared" si="2"/>
        <v/>
      </c>
      <c r="T21" s="18" t="str">
        <f t="shared" si="3"/>
        <v>BLOCKED</v>
      </c>
    </row>
    <row r="22" spans="1:20">
      <c r="A22" s="34" t="str">
        <f>'12 - Deployments &amp; Config'!H22</f>
        <v>LIJ SDF</v>
      </c>
      <c r="B22" s="34" t="str">
        <f>'12 - Deployments &amp; Config'!S22</f>
        <v>LIJ-SDF-MACH-U</v>
      </c>
      <c r="C22" s="34" t="str">
        <f>'12 - Deployments &amp; Config'!T22</f>
        <v>A0F5097B9629</v>
      </c>
      <c r="D22" s="18" t="str">
        <f>'12 - Deployments &amp; Config'!AK22</f>
        <v>2008T</v>
      </c>
      <c r="E22" s="18" t="str">
        <f>'12 - Deployments &amp; Config'!J22</f>
        <v>NA</v>
      </c>
      <c r="F22" s="34" t="str">
        <f>'12 - Deployments &amp; Config'!K22</f>
        <v>NA</v>
      </c>
      <c r="G22" s="18" t="str">
        <f>'12 - Deployments &amp; Config'!L22</f>
        <v>NA</v>
      </c>
      <c r="H22" s="18">
        <f>'13 - Config_Intake_View'!M22</f>
        <v>0</v>
      </c>
      <c r="I22" s="34">
        <f>IF('13 - Config_Intake_View'!Q22&lt;&gt;"",'13 - Config_Intake_View'!Q22,'12 - Deployments &amp; Config'!BI22)</f>
        <v>0</v>
      </c>
      <c r="J22" s="18" t="str">
        <f>IF('13 - Config_Intake_View'!Q22&lt;&gt;"","PM Approved",IF('12 - Deployments &amp; Config'!BI22&lt;&gt;"","Assumed",""))</f>
        <v/>
      </c>
      <c r="K22" s="34" t="str">
        <f>'12 - Deployments &amp; Config'!BH22</f>
        <v>Yes</v>
      </c>
      <c r="L22" s="18">
        <f>'12 - Deployments &amp; Config'!P22</f>
        <v>0</v>
      </c>
      <c r="M22" s="18">
        <f>'12 - Deployments &amp; Config'!Q22</f>
        <v>0</v>
      </c>
      <c r="N22" s="18" t="str">
        <f>'12 - Deployments &amp; Config'!BL22</f>
        <v>Epic Beans Relay</v>
      </c>
      <c r="O22" s="34" t="str">
        <f>'12 - Deployments &amp; Config'!BM22</f>
        <v>Blocked</v>
      </c>
      <c r="P22" s="2" t="str">
        <f>'12 - Deployments &amp; Config'!BB22</f>
        <v>Yes</v>
      </c>
      <c r="Q22" s="34" t="str">
        <f t="shared" si="0"/>
        <v/>
      </c>
      <c r="R22" s="18" t="str">
        <f t="shared" si="1"/>
        <v/>
      </c>
      <c r="S22" s="18" t="str">
        <f t="shared" si="2"/>
        <v/>
      </c>
      <c r="T22" s="18" t="str">
        <f t="shared" si="3"/>
        <v>BLOCKED</v>
      </c>
    </row>
    <row r="23" spans="1:20">
      <c r="A23" s="34" t="str">
        <f>'12 - Deployments &amp; Config'!H23</f>
        <v>LIJ SDF</v>
      </c>
      <c r="B23" s="34" t="str">
        <f>'12 - Deployments &amp; Config'!S23</f>
        <v>LIJ-SDF-MACH-V</v>
      </c>
      <c r="C23" s="34" t="str">
        <f>'12 - Deployments &amp; Config'!T23</f>
        <v>A0F5097B9C84</v>
      </c>
      <c r="D23" s="18" t="str">
        <f>'12 - Deployments &amp; Config'!AK23</f>
        <v>2008T</v>
      </c>
      <c r="E23" s="18" t="str">
        <f>'12 - Deployments &amp; Config'!J23</f>
        <v>NA</v>
      </c>
      <c r="F23" s="34" t="str">
        <f>'12 - Deployments &amp; Config'!K23</f>
        <v>NA</v>
      </c>
      <c r="G23" s="18" t="str">
        <f>'12 - Deployments &amp; Config'!L23</f>
        <v>NA</v>
      </c>
      <c r="H23" s="18">
        <f>'13 - Config_Intake_View'!M23</f>
        <v>0</v>
      </c>
      <c r="I23" s="34">
        <f>IF('13 - Config_Intake_View'!Q23&lt;&gt;"",'13 - Config_Intake_View'!Q23,'12 - Deployments &amp; Config'!BI23)</f>
        <v>0</v>
      </c>
      <c r="J23" s="18" t="str">
        <f>IF('13 - Config_Intake_View'!Q23&lt;&gt;"","PM Approved",IF('12 - Deployments &amp; Config'!BI23&lt;&gt;"","Assumed",""))</f>
        <v/>
      </c>
      <c r="K23" s="34" t="str">
        <f>'12 - Deployments &amp; Config'!BH23</f>
        <v>Yes</v>
      </c>
      <c r="L23" s="18">
        <f>'12 - Deployments &amp; Config'!P23</f>
        <v>0</v>
      </c>
      <c r="M23" s="18">
        <f>'12 - Deployments &amp; Config'!Q23</f>
        <v>0</v>
      </c>
      <c r="N23" s="18" t="str">
        <f>'12 - Deployments &amp; Config'!BL23</f>
        <v>Epic Beans Relay</v>
      </c>
      <c r="O23" s="34" t="str">
        <f>'12 - Deployments &amp; Config'!BM23</f>
        <v>Blocked</v>
      </c>
      <c r="P23" s="2" t="str">
        <f>'12 - Deployments &amp; Config'!BB23</f>
        <v>Yes</v>
      </c>
      <c r="Q23" s="34" t="str">
        <f t="shared" si="0"/>
        <v/>
      </c>
      <c r="R23" s="18" t="str">
        <f t="shared" si="1"/>
        <v/>
      </c>
      <c r="S23" s="18" t="str">
        <f t="shared" si="2"/>
        <v/>
      </c>
      <c r="T23" s="18" t="str">
        <f t="shared" si="3"/>
        <v>BLOCKED</v>
      </c>
    </row>
    <row r="24" spans="1:20">
      <c r="A24" s="34" t="str">
        <f>'12 - Deployments &amp; Config'!H24</f>
        <v>LIJ SDF</v>
      </c>
      <c r="B24" s="34" t="str">
        <f>'12 - Deployments &amp; Config'!S24</f>
        <v>LIJ-SDF-MACH-W</v>
      </c>
      <c r="C24" s="34" t="str">
        <f>'12 - Deployments &amp; Config'!T24</f>
        <v>A0F5097FDD3F</v>
      </c>
      <c r="D24" s="18" t="str">
        <f>'12 - Deployments &amp; Config'!AK24</f>
        <v>2008T</v>
      </c>
      <c r="E24" s="18" t="str">
        <f>'12 - Deployments &amp; Config'!J24</f>
        <v>NA</v>
      </c>
      <c r="F24" s="34" t="str">
        <f>'12 - Deployments &amp; Config'!K24</f>
        <v>NA</v>
      </c>
      <c r="G24" s="18" t="str">
        <f>'12 - Deployments &amp; Config'!L24</f>
        <v>NA</v>
      </c>
      <c r="H24" s="18">
        <f>'13 - Config_Intake_View'!M24</f>
        <v>0</v>
      </c>
      <c r="I24" s="34">
        <f>IF('13 - Config_Intake_View'!Q24&lt;&gt;"",'13 - Config_Intake_View'!Q24,'12 - Deployments &amp; Config'!BI24)</f>
        <v>0</v>
      </c>
      <c r="J24" s="18" t="str">
        <f>IF('13 - Config_Intake_View'!Q24&lt;&gt;"","PM Approved",IF('12 - Deployments &amp; Config'!BI24&lt;&gt;"","Assumed",""))</f>
        <v/>
      </c>
      <c r="K24" s="34" t="str">
        <f>'12 - Deployments &amp; Config'!BH24</f>
        <v>Yes</v>
      </c>
      <c r="L24" s="18">
        <f>'12 - Deployments &amp; Config'!P24</f>
        <v>0</v>
      </c>
      <c r="M24" s="18">
        <f>'12 - Deployments &amp; Config'!Q24</f>
        <v>0</v>
      </c>
      <c r="N24" s="18" t="str">
        <f>'12 - Deployments &amp; Config'!BL24</f>
        <v>Epic Beans Relay</v>
      </c>
      <c r="O24" s="34" t="str">
        <f>'12 - Deployments &amp; Config'!BM24</f>
        <v>Blocked</v>
      </c>
      <c r="P24" s="2" t="str">
        <f>'12 - Deployments &amp; Config'!BB24</f>
        <v>Yes</v>
      </c>
      <c r="Q24" s="34" t="str">
        <f t="shared" si="0"/>
        <v/>
      </c>
      <c r="R24" s="18" t="str">
        <f t="shared" si="1"/>
        <v/>
      </c>
      <c r="S24" s="18" t="str">
        <f t="shared" si="2"/>
        <v/>
      </c>
      <c r="T24" s="18" t="str">
        <f t="shared" si="3"/>
        <v>BLOCKED</v>
      </c>
    </row>
    <row r="25" spans="1:20">
      <c r="A25" s="34" t="str">
        <f>'12 - Deployments &amp; Config'!H25</f>
        <v>LIJ SDF</v>
      </c>
      <c r="B25" s="34" t="str">
        <f>'12 - Deployments &amp; Config'!S25</f>
        <v>LIJ-SDF-MACH-X</v>
      </c>
      <c r="C25" s="34" t="str">
        <f>'12 - Deployments &amp; Config'!T25</f>
        <v>A0F5097FEBFE</v>
      </c>
      <c r="D25" s="18" t="str">
        <f>'12 - Deployments &amp; Config'!AK25</f>
        <v>2008T</v>
      </c>
      <c r="E25" s="18" t="str">
        <f>'12 - Deployments &amp; Config'!J25</f>
        <v>NA</v>
      </c>
      <c r="F25" s="34" t="str">
        <f>'12 - Deployments &amp; Config'!K25</f>
        <v>NA</v>
      </c>
      <c r="G25" s="18" t="str">
        <f>'12 - Deployments &amp; Config'!L25</f>
        <v>NA</v>
      </c>
      <c r="H25" s="18">
        <f>'13 - Config_Intake_View'!M25</f>
        <v>0</v>
      </c>
      <c r="I25" s="34">
        <f>IF('13 - Config_Intake_View'!Q25&lt;&gt;"",'13 - Config_Intake_View'!Q25,'12 - Deployments &amp; Config'!BI25)</f>
        <v>0</v>
      </c>
      <c r="J25" s="18" t="str">
        <f>IF('13 - Config_Intake_View'!Q25&lt;&gt;"","PM Approved",IF('12 - Deployments &amp; Config'!BI25&lt;&gt;"","Assumed",""))</f>
        <v/>
      </c>
      <c r="K25" s="34" t="str">
        <f>'12 - Deployments &amp; Config'!BH25</f>
        <v>Yes</v>
      </c>
      <c r="L25" s="18">
        <f>'12 - Deployments &amp; Config'!P25</f>
        <v>0</v>
      </c>
      <c r="M25" s="18">
        <f>'12 - Deployments &amp; Config'!Q25</f>
        <v>0</v>
      </c>
      <c r="N25" s="18" t="str">
        <f>'12 - Deployments &amp; Config'!BL25</f>
        <v>Epic Beans Relay</v>
      </c>
      <c r="O25" s="34" t="str">
        <f>'12 - Deployments &amp; Config'!BM25</f>
        <v>Blocked</v>
      </c>
      <c r="P25" s="2" t="str">
        <f>'12 - Deployments &amp; Config'!BB25</f>
        <v>Yes</v>
      </c>
      <c r="Q25" s="34" t="str">
        <f t="shared" si="0"/>
        <v/>
      </c>
      <c r="R25" s="18" t="str">
        <f t="shared" si="1"/>
        <v/>
      </c>
      <c r="S25" s="18" t="str">
        <f t="shared" si="2"/>
        <v/>
      </c>
      <c r="T25" s="18" t="str">
        <f t="shared" si="3"/>
        <v>BLOCKED</v>
      </c>
    </row>
    <row r="26" spans="1:20">
      <c r="A26" s="34" t="str">
        <f>'12 - Deployments &amp; Config'!H26</f>
        <v>LIJ SDF</v>
      </c>
      <c r="B26" s="34" t="str">
        <f>'12 - Deployments &amp; Config'!S26</f>
        <v>LIJ-SDF-MACH-Y</v>
      </c>
      <c r="C26" s="34" t="str">
        <f>'12 - Deployments &amp; Config'!T26</f>
        <v>A0F5097B9FA6</v>
      </c>
      <c r="D26" s="18" t="str">
        <f>'12 - Deployments &amp; Config'!AK26</f>
        <v>2008T</v>
      </c>
      <c r="E26" s="18" t="str">
        <f>'12 - Deployments &amp; Config'!J26</f>
        <v>NA</v>
      </c>
      <c r="F26" s="34" t="str">
        <f>'12 - Deployments &amp; Config'!K26</f>
        <v>NA</v>
      </c>
      <c r="G26" s="18" t="str">
        <f>'12 - Deployments &amp; Config'!L26</f>
        <v>NA</v>
      </c>
      <c r="H26" s="18">
        <f>'13 - Config_Intake_View'!M26</f>
        <v>0</v>
      </c>
      <c r="I26" s="34">
        <f>IF('13 - Config_Intake_View'!Q26&lt;&gt;"",'13 - Config_Intake_View'!Q26,'12 - Deployments &amp; Config'!BI26)</f>
        <v>0</v>
      </c>
      <c r="J26" s="18" t="str">
        <f>IF('13 - Config_Intake_View'!Q26&lt;&gt;"","PM Approved",IF('12 - Deployments &amp; Config'!BI26&lt;&gt;"","Assumed",""))</f>
        <v/>
      </c>
      <c r="K26" s="34" t="str">
        <f>'12 - Deployments &amp; Config'!BH26</f>
        <v>Yes</v>
      </c>
      <c r="L26" s="18">
        <f>'12 - Deployments &amp; Config'!P26</f>
        <v>0</v>
      </c>
      <c r="M26" s="18">
        <f>'12 - Deployments &amp; Config'!Q26</f>
        <v>0</v>
      </c>
      <c r="N26" s="18" t="str">
        <f>'12 - Deployments &amp; Config'!BL26</f>
        <v>Epic Beans Relay</v>
      </c>
      <c r="O26" s="34" t="str">
        <f>'12 - Deployments &amp; Config'!BM26</f>
        <v>Blocked</v>
      </c>
      <c r="P26" s="2" t="str">
        <f>'12 - Deployments &amp; Config'!BB26</f>
        <v>Yes</v>
      </c>
      <c r="Q26" s="34" t="str">
        <f t="shared" si="0"/>
        <v/>
      </c>
      <c r="R26" s="18" t="str">
        <f t="shared" si="1"/>
        <v/>
      </c>
      <c r="S26" s="18" t="str">
        <f t="shared" si="2"/>
        <v/>
      </c>
      <c r="T26" s="18" t="str">
        <f t="shared" si="3"/>
        <v>BLOCKED</v>
      </c>
    </row>
    <row r="27" spans="1:20">
      <c r="A27" s="34" t="str">
        <f>'12 - Deployments &amp; Config'!H27</f>
        <v>LIJ SDF</v>
      </c>
      <c r="B27" s="34" t="str">
        <f>'12 - Deployments &amp; Config'!S27</f>
        <v>LIJ-SDF-MACH-Z</v>
      </c>
      <c r="C27" s="34" t="str">
        <f>'12 - Deployments &amp; Config'!T27</f>
        <v>A0F5097B9FB3</v>
      </c>
      <c r="D27" s="18">
        <f>'12 - Deployments &amp; Config'!AK27</f>
        <v>0</v>
      </c>
      <c r="E27" s="18" t="str">
        <f>'12 - Deployments &amp; Config'!J27</f>
        <v>NA</v>
      </c>
      <c r="F27" s="34" t="str">
        <f>'12 - Deployments &amp; Config'!K27</f>
        <v>NA</v>
      </c>
      <c r="G27" s="18" t="str">
        <f>'12 - Deployments &amp; Config'!L27</f>
        <v>NA</v>
      </c>
      <c r="H27" s="18">
        <f>'13 - Config_Intake_View'!M27</f>
        <v>0</v>
      </c>
      <c r="I27" s="34">
        <f>IF('13 - Config_Intake_View'!Q27&lt;&gt;"",'13 - Config_Intake_View'!Q27,'12 - Deployments &amp; Config'!BI27)</f>
        <v>0</v>
      </c>
      <c r="J27" s="18" t="str">
        <f>IF('13 - Config_Intake_View'!Q27&lt;&gt;"","PM Approved",IF('12 - Deployments &amp; Config'!BI27&lt;&gt;"","Assumed",""))</f>
        <v/>
      </c>
      <c r="K27" s="34" t="str">
        <f>'12 - Deployments &amp; Config'!BH27</f>
        <v>Yes</v>
      </c>
      <c r="L27" s="18">
        <f>'12 - Deployments &amp; Config'!P27</f>
        <v>0</v>
      </c>
      <c r="M27" s="18">
        <f>'12 - Deployments &amp; Config'!Q27</f>
        <v>0</v>
      </c>
      <c r="N27" s="18" t="str">
        <f>'12 - Deployments &amp; Config'!BL27</f>
        <v>Epic Beans Relay</v>
      </c>
      <c r="O27" s="34" t="str">
        <f>'12 - Deployments &amp; Config'!BM27</f>
        <v>Blocked</v>
      </c>
      <c r="P27" s="2" t="str">
        <f>'12 - Deployments &amp; Config'!BB27</f>
        <v>Yes</v>
      </c>
      <c r="Q27" s="34" t="str">
        <f t="shared" si="0"/>
        <v/>
      </c>
      <c r="R27" s="18" t="str">
        <f t="shared" si="1"/>
        <v/>
      </c>
      <c r="S27" s="18" t="str">
        <f t="shared" si="2"/>
        <v/>
      </c>
      <c r="T27" s="18" t="str">
        <f t="shared" si="3"/>
        <v>BLOCKED</v>
      </c>
    </row>
    <row r="28" spans="1:20">
      <c r="A28" s="34" t="str">
        <f>'12 - Deployments &amp; Config'!H28</f>
        <v>LIJ SDF</v>
      </c>
      <c r="B28" s="34" t="str">
        <f>'12 - Deployments &amp; Config'!S28</f>
        <v>LIJ-SDF-MACH-AA</v>
      </c>
      <c r="C28" s="34" t="str">
        <f>'12 - Deployments &amp; Config'!T28</f>
        <v>A0F5097BA00D</v>
      </c>
      <c r="D28" s="18">
        <f>'12 - Deployments &amp; Config'!AK28</f>
        <v>0</v>
      </c>
      <c r="E28" s="18" t="str">
        <f>'12 - Deployments &amp; Config'!J28</f>
        <v>NA</v>
      </c>
      <c r="F28" s="34" t="str">
        <f>'12 - Deployments &amp; Config'!K28</f>
        <v>NA</v>
      </c>
      <c r="G28" s="18" t="str">
        <f>'12 - Deployments &amp; Config'!L28</f>
        <v>NA</v>
      </c>
      <c r="H28" s="18">
        <f>'13 - Config_Intake_View'!M28</f>
        <v>0</v>
      </c>
      <c r="I28" s="34">
        <f>IF('13 - Config_Intake_View'!Q28&lt;&gt;"",'13 - Config_Intake_View'!Q28,'12 - Deployments &amp; Config'!BI28)</f>
        <v>0</v>
      </c>
      <c r="J28" s="18" t="str">
        <f>IF('13 - Config_Intake_View'!Q28&lt;&gt;"","PM Approved",IF('12 - Deployments &amp; Config'!BI28&lt;&gt;"","Assumed",""))</f>
        <v/>
      </c>
      <c r="K28" s="34" t="str">
        <f>'12 - Deployments &amp; Config'!BH28</f>
        <v>Yes</v>
      </c>
      <c r="L28" s="18">
        <f>'12 - Deployments &amp; Config'!P28</f>
        <v>0</v>
      </c>
      <c r="M28" s="18">
        <f>'12 - Deployments &amp; Config'!Q28</f>
        <v>0</v>
      </c>
      <c r="N28" s="18" t="str">
        <f>'12 - Deployments &amp; Config'!BL28</f>
        <v>Epic Beans Relay</v>
      </c>
      <c r="O28" s="34" t="str">
        <f>'12 - Deployments &amp; Config'!BM28</f>
        <v>Blocked</v>
      </c>
      <c r="P28" s="2" t="str">
        <f>'12 - Deployments &amp; Config'!BB28</f>
        <v>Yes</v>
      </c>
      <c r="Q28" s="34" t="str">
        <f t="shared" si="0"/>
        <v/>
      </c>
      <c r="R28" s="18" t="str">
        <f t="shared" si="1"/>
        <v/>
      </c>
      <c r="S28" s="18" t="str">
        <f t="shared" si="2"/>
        <v/>
      </c>
      <c r="T28" s="18" t="str">
        <f t="shared" si="3"/>
        <v>BLOCKED</v>
      </c>
    </row>
    <row r="29" spans="1:20">
      <c r="A29" s="34" t="str">
        <f>'12 - Deployments &amp; Config'!H29</f>
        <v>LIJ SDF</v>
      </c>
      <c r="B29" s="34" t="str">
        <f>'12 - Deployments &amp; Config'!S29</f>
        <v>LIJ-SDF-MACH-AB</v>
      </c>
      <c r="C29" s="34" t="str">
        <f>'12 - Deployments &amp; Config'!T29</f>
        <v>A0F5097B8E58</v>
      </c>
      <c r="D29" s="18">
        <f>'12 - Deployments &amp; Config'!AK29</f>
        <v>0</v>
      </c>
      <c r="E29" s="18" t="str">
        <f>'12 - Deployments &amp; Config'!J29</f>
        <v>NA</v>
      </c>
      <c r="F29" s="34" t="str">
        <f>'12 - Deployments &amp; Config'!K29</f>
        <v>NA</v>
      </c>
      <c r="G29" s="18" t="str">
        <f>'12 - Deployments &amp; Config'!L29</f>
        <v>NA</v>
      </c>
      <c r="H29" s="18">
        <f>'13 - Config_Intake_View'!M29</f>
        <v>0</v>
      </c>
      <c r="I29" s="34">
        <f>IF('13 - Config_Intake_View'!Q29&lt;&gt;"",'13 - Config_Intake_View'!Q29,'12 - Deployments &amp; Config'!BI29)</f>
        <v>0</v>
      </c>
      <c r="J29" s="18" t="str">
        <f>IF('13 - Config_Intake_View'!Q29&lt;&gt;"","PM Approved",IF('12 - Deployments &amp; Config'!BI29&lt;&gt;"","Assumed",""))</f>
        <v/>
      </c>
      <c r="K29" s="34" t="str">
        <f>'12 - Deployments &amp; Config'!BH29</f>
        <v>Yes</v>
      </c>
      <c r="L29" s="18">
        <f>'12 - Deployments &amp; Config'!P29</f>
        <v>0</v>
      </c>
      <c r="M29" s="18">
        <f>'12 - Deployments &amp; Config'!Q29</f>
        <v>0</v>
      </c>
      <c r="N29" s="18" t="str">
        <f>'12 - Deployments &amp; Config'!BL29</f>
        <v>Epic Beans Relay</v>
      </c>
      <c r="O29" s="34" t="str">
        <f>'12 - Deployments &amp; Config'!BM29</f>
        <v>Blocked</v>
      </c>
      <c r="P29" s="2" t="str">
        <f>'12 - Deployments &amp; Config'!BB29</f>
        <v>Yes</v>
      </c>
      <c r="Q29" s="34" t="str">
        <f t="shared" si="0"/>
        <v/>
      </c>
      <c r="R29" s="18" t="str">
        <f t="shared" si="1"/>
        <v/>
      </c>
      <c r="S29" s="18" t="str">
        <f t="shared" si="2"/>
        <v/>
      </c>
      <c r="T29" s="18" t="str">
        <f t="shared" si="3"/>
        <v>BLOCKED</v>
      </c>
    </row>
    <row r="30" spans="1:20">
      <c r="A30" s="34" t="str">
        <f>'12 - Deployments &amp; Config'!H30</f>
        <v>LIJ SDF</v>
      </c>
      <c r="B30" s="34" t="str">
        <f>'12 - Deployments &amp; Config'!S30</f>
        <v>LIJ-SDF-MACH-AC</v>
      </c>
      <c r="C30" s="34" t="str">
        <f>'12 - Deployments &amp; Config'!T30</f>
        <v>A0F5097B8B74</v>
      </c>
      <c r="D30" s="18">
        <f>'12 - Deployments &amp; Config'!AK30</f>
        <v>0</v>
      </c>
      <c r="E30" s="18">
        <f>'12 - Deployments &amp; Config'!J30</f>
        <v>0</v>
      </c>
      <c r="F30" s="34">
        <f>'12 - Deployments &amp; Config'!K30</f>
        <v>0</v>
      </c>
      <c r="G30" s="18">
        <f>'12 - Deployments &amp; Config'!L30</f>
        <v>0</v>
      </c>
      <c r="H30" s="18">
        <f>'13 - Config_Intake_View'!M30</f>
        <v>0</v>
      </c>
      <c r="I30" s="34">
        <f>IF('13 - Config_Intake_View'!Q30&lt;&gt;"",'13 - Config_Intake_View'!Q30,'12 - Deployments &amp; Config'!BI30)</f>
        <v>0</v>
      </c>
      <c r="J30" s="18" t="str">
        <f>IF('13 - Config_Intake_View'!Q30&lt;&gt;"","PM Approved",IF('12 - Deployments &amp; Config'!BI30&lt;&gt;"","Assumed",""))</f>
        <v/>
      </c>
      <c r="K30" s="34" t="str">
        <f>'12 - Deployments &amp; Config'!BH30</f>
        <v>Yes</v>
      </c>
      <c r="L30" s="18">
        <f>'12 - Deployments &amp; Config'!P30</f>
        <v>0</v>
      </c>
      <c r="M30" s="18">
        <f>'12 - Deployments &amp; Config'!Q30</f>
        <v>0</v>
      </c>
      <c r="N30" s="18" t="str">
        <f>'12 - Deployments &amp; Config'!BL30</f>
        <v>Epic Beans Relay</v>
      </c>
      <c r="O30" s="34" t="str">
        <f>'12 - Deployments &amp; Config'!BM30</f>
        <v>Blocked</v>
      </c>
      <c r="P30" s="2" t="str">
        <f>'12 - Deployments &amp; Config'!BB30</f>
        <v>Yes</v>
      </c>
      <c r="Q30" s="34" t="str">
        <f t="shared" si="0"/>
        <v/>
      </c>
      <c r="R30" s="18" t="str">
        <f t="shared" si="1"/>
        <v/>
      </c>
      <c r="S30" s="18" t="str">
        <f t="shared" si="2"/>
        <v/>
      </c>
      <c r="T30" s="18" t="str">
        <f t="shared" si="3"/>
        <v>BLOCKED</v>
      </c>
    </row>
    <row r="31" spans="1:20">
      <c r="A31" s="34" t="str">
        <f>'12 - Deployments &amp; Config'!H31</f>
        <v>LIJ SDF</v>
      </c>
      <c r="B31" s="34" t="str">
        <f>'12 - Deployments &amp; Config'!S31</f>
        <v>LIJ-SDF-MACH-AD</v>
      </c>
      <c r="C31" s="34" t="str">
        <f>'12 - Deployments &amp; Config'!T31</f>
        <v>A0F5097BA067</v>
      </c>
      <c r="D31" s="18">
        <f>'12 - Deployments &amp; Config'!AK31</f>
        <v>0</v>
      </c>
      <c r="E31" s="18">
        <f>'12 - Deployments &amp; Config'!J31</f>
        <v>0</v>
      </c>
      <c r="F31" s="34">
        <f>'12 - Deployments &amp; Config'!K31</f>
        <v>0</v>
      </c>
      <c r="G31" s="18">
        <f>'12 - Deployments &amp; Config'!L31</f>
        <v>0</v>
      </c>
      <c r="H31" s="18">
        <f>'13 - Config_Intake_View'!M31</f>
        <v>0</v>
      </c>
      <c r="I31" s="34">
        <f>IF('13 - Config_Intake_View'!Q31&lt;&gt;"",'13 - Config_Intake_View'!Q31,'12 - Deployments &amp; Config'!BI31)</f>
        <v>0</v>
      </c>
      <c r="J31" s="18" t="str">
        <f>IF('13 - Config_Intake_View'!Q31&lt;&gt;"","PM Approved",IF('12 - Deployments &amp; Config'!BI31&lt;&gt;"","Assumed",""))</f>
        <v/>
      </c>
      <c r="K31" s="34" t="str">
        <f>'12 - Deployments &amp; Config'!BH31</f>
        <v>Yes</v>
      </c>
      <c r="L31" s="18">
        <f>'12 - Deployments &amp; Config'!P31</f>
        <v>0</v>
      </c>
      <c r="M31" s="18">
        <f>'12 - Deployments &amp; Config'!Q31</f>
        <v>0</v>
      </c>
      <c r="N31" s="18" t="str">
        <f>'12 - Deployments &amp; Config'!BL31</f>
        <v>Epic Beans Relay</v>
      </c>
      <c r="O31" s="34" t="str">
        <f>'12 - Deployments &amp; Config'!BM31</f>
        <v>Blocked</v>
      </c>
      <c r="P31" s="2" t="str">
        <f>'12 - Deployments &amp; Config'!BB31</f>
        <v>Yes</v>
      </c>
      <c r="Q31" s="34" t="str">
        <f t="shared" si="0"/>
        <v/>
      </c>
      <c r="R31" s="18" t="str">
        <f t="shared" si="1"/>
        <v/>
      </c>
      <c r="S31" s="18" t="str">
        <f t="shared" si="2"/>
        <v/>
      </c>
      <c r="T31" s="18" t="str">
        <f t="shared" si="3"/>
        <v>BLOCKED</v>
      </c>
    </row>
    <row r="32" spans="1:20">
      <c r="A32" s="34" t="str">
        <f>'12 - Deployments &amp; Config'!H32</f>
        <v>LIJ SDF</v>
      </c>
      <c r="B32" s="34" t="str">
        <f>'12 - Deployments &amp; Config'!S32</f>
        <v>LIJ-SDF-MACH-AE</v>
      </c>
      <c r="C32" s="34" t="str">
        <f>'12 - Deployments &amp; Config'!T32</f>
        <v>A0F5097B8AFD</v>
      </c>
      <c r="D32" s="18">
        <f>'12 - Deployments &amp; Config'!AK32</f>
        <v>0</v>
      </c>
      <c r="E32" s="18">
        <f>'12 - Deployments &amp; Config'!J32</f>
        <v>0</v>
      </c>
      <c r="F32" s="34">
        <f>'12 - Deployments &amp; Config'!K32</f>
        <v>0</v>
      </c>
      <c r="G32" s="18">
        <f>'12 - Deployments &amp; Config'!L32</f>
        <v>0</v>
      </c>
      <c r="H32" s="18">
        <f>'13 - Config_Intake_View'!M32</f>
        <v>0</v>
      </c>
      <c r="I32" s="34">
        <f>IF('13 - Config_Intake_View'!Q32&lt;&gt;"",'13 - Config_Intake_View'!Q32,'12 - Deployments &amp; Config'!BI32)</f>
        <v>0</v>
      </c>
      <c r="J32" s="18" t="str">
        <f>IF('13 - Config_Intake_View'!Q32&lt;&gt;"","PM Approved",IF('12 - Deployments &amp; Config'!BI32&lt;&gt;"","Assumed",""))</f>
        <v/>
      </c>
      <c r="K32" s="34" t="str">
        <f>'12 - Deployments &amp; Config'!BH32</f>
        <v>Yes</v>
      </c>
      <c r="L32" s="18">
        <f>'12 - Deployments &amp; Config'!P32</f>
        <v>0</v>
      </c>
      <c r="M32" s="18">
        <f>'12 - Deployments &amp; Config'!Q32</f>
        <v>0</v>
      </c>
      <c r="N32" s="18" t="str">
        <f>'12 - Deployments &amp; Config'!BL32</f>
        <v>Epic Beans Relay</v>
      </c>
      <c r="O32" s="34" t="str">
        <f>'12 - Deployments &amp; Config'!BM32</f>
        <v>Blocked</v>
      </c>
      <c r="P32" s="2" t="str">
        <f>'12 - Deployments &amp; Config'!BB32</f>
        <v>Yes</v>
      </c>
      <c r="Q32" s="34" t="str">
        <f t="shared" si="0"/>
        <v/>
      </c>
      <c r="R32" s="18" t="str">
        <f t="shared" si="1"/>
        <v/>
      </c>
      <c r="S32" s="18" t="str">
        <f t="shared" si="2"/>
        <v/>
      </c>
      <c r="T32" s="18" t="str">
        <f t="shared" si="3"/>
        <v>BLOCKED</v>
      </c>
    </row>
    <row r="33" spans="1:20">
      <c r="A33" s="34" t="str">
        <f>'12 - Deployments &amp; Config'!H33</f>
        <v>LIJ SDF</v>
      </c>
      <c r="B33" s="34" t="str">
        <f>'12 - Deployments &amp; Config'!S33</f>
        <v>LIJ-SDF-MACH-AF</v>
      </c>
      <c r="C33" s="34" t="str">
        <f>'12 - Deployments &amp; Config'!T33</f>
        <v>A0F5097B8ADC</v>
      </c>
      <c r="D33" s="18">
        <f>'12 - Deployments &amp; Config'!AK33</f>
        <v>0</v>
      </c>
      <c r="E33" s="18">
        <f>'12 - Deployments &amp; Config'!J33</f>
        <v>0</v>
      </c>
      <c r="F33" s="34">
        <f>'12 - Deployments &amp; Config'!K33</f>
        <v>0</v>
      </c>
      <c r="G33" s="18">
        <f>'12 - Deployments &amp; Config'!L33</f>
        <v>0</v>
      </c>
      <c r="H33" s="18">
        <f>'13 - Config_Intake_View'!M33</f>
        <v>0</v>
      </c>
      <c r="I33" s="34">
        <f>IF('13 - Config_Intake_View'!Q33&lt;&gt;"",'13 - Config_Intake_View'!Q33,'12 - Deployments &amp; Config'!BI33)</f>
        <v>0</v>
      </c>
      <c r="J33" s="18" t="str">
        <f>IF('13 - Config_Intake_View'!Q33&lt;&gt;"","PM Approved",IF('12 - Deployments &amp; Config'!BI33&lt;&gt;"","Assumed",""))</f>
        <v/>
      </c>
      <c r="K33" s="34" t="str">
        <f>'12 - Deployments &amp; Config'!BH33</f>
        <v>Yes</v>
      </c>
      <c r="L33" s="18">
        <f>'12 - Deployments &amp; Config'!P33</f>
        <v>0</v>
      </c>
      <c r="M33" s="18">
        <f>'12 - Deployments &amp; Config'!Q33</f>
        <v>0</v>
      </c>
      <c r="N33" s="18" t="str">
        <f>'12 - Deployments &amp; Config'!BL33</f>
        <v>Epic Beans Relay</v>
      </c>
      <c r="O33" s="34" t="str">
        <f>'12 - Deployments &amp; Config'!BM33</f>
        <v>Blocked</v>
      </c>
      <c r="P33" s="2" t="str">
        <f>'12 - Deployments &amp; Config'!BB33</f>
        <v>Yes</v>
      </c>
      <c r="Q33" s="34" t="str">
        <f t="shared" si="0"/>
        <v/>
      </c>
      <c r="R33" s="18" t="str">
        <f t="shared" si="1"/>
        <v/>
      </c>
      <c r="S33" s="18" t="str">
        <f t="shared" si="2"/>
        <v/>
      </c>
      <c r="T33" s="18" t="str">
        <f t="shared" si="3"/>
        <v>BLOCKED</v>
      </c>
    </row>
    <row r="34" spans="1:20">
      <c r="A34" s="34" t="str">
        <f>'12 - Deployments &amp; Config'!H34</f>
        <v>PBMC</v>
      </c>
      <c r="B34" s="34" t="str">
        <f>'12 - Deployments &amp; Config'!S34</f>
        <v>PBMC-MACH-N</v>
      </c>
      <c r="C34" s="34" t="str">
        <f>'12 - Deployments &amp; Config'!T34</f>
        <v>A0F5097BA02C</v>
      </c>
      <c r="D34" s="18" t="str">
        <f>'12 - Deployments &amp; Config'!AK34</f>
        <v>Atlan A350</v>
      </c>
      <c r="E34" s="18" t="str">
        <f>'12 - Deployments &amp; Config'!J34</f>
        <v>NA</v>
      </c>
      <c r="F34" s="34" t="str">
        <f>'12 - Deployments &amp; Config'!K34</f>
        <v>NA</v>
      </c>
      <c r="G34" s="18" t="str">
        <f>'12 - Deployments &amp; Config'!L34</f>
        <v>NA</v>
      </c>
      <c r="H34" s="18">
        <f>'13 - Config_Intake_View'!M34</f>
        <v>0</v>
      </c>
      <c r="I34" s="34">
        <f>IF('13 - Config_Intake_View'!Q34&lt;&gt;"",'13 - Config_Intake_View'!Q34,'12 - Deployments &amp; Config'!BI34)</f>
        <v>0</v>
      </c>
      <c r="J34" s="18" t="str">
        <f>IF('13 - Config_Intake_View'!Q34&lt;&gt;"","PM Approved",IF('12 - Deployments &amp; Config'!BI34&lt;&gt;"","Assumed",""))</f>
        <v/>
      </c>
      <c r="K34" s="34" t="str">
        <f>'12 - Deployments &amp; Config'!BH34</f>
        <v>Yes</v>
      </c>
      <c r="L34" s="18">
        <f>'12 - Deployments &amp; Config'!P34</f>
        <v>0</v>
      </c>
      <c r="M34" s="18">
        <f>'12 - Deployments &amp; Config'!Q34</f>
        <v>0</v>
      </c>
      <c r="N34" s="18" t="str">
        <f>'12 - Deployments &amp; Config'!BL34</f>
        <v>Epic Beans Relay</v>
      </c>
      <c r="O34" s="34" t="str">
        <f>'12 - Deployments &amp; Config'!BM34</f>
        <v>Blocked</v>
      </c>
      <c r="P34" s="2" t="str">
        <f>'12 - Deployments &amp; Config'!BB34</f>
        <v>Yes</v>
      </c>
      <c r="Q34" s="34" t="str">
        <f t="shared" si="0"/>
        <v/>
      </c>
      <c r="R34" s="18" t="str">
        <f t="shared" si="1"/>
        <v/>
      </c>
      <c r="S34" s="18" t="str">
        <f t="shared" si="2"/>
        <v/>
      </c>
      <c r="T34" s="18" t="str">
        <f t="shared" si="3"/>
        <v>BLOCKED</v>
      </c>
    </row>
    <row r="35" spans="1:20">
      <c r="A35" s="34" t="str">
        <f>'12 - Deployments &amp; Config'!H35</f>
        <v>PBMC</v>
      </c>
      <c r="B35" s="34" t="str">
        <f>'12 - Deployments &amp; Config'!S35</f>
        <v>n/a</v>
      </c>
      <c r="C35" s="34" t="str">
        <f>'12 - Deployments &amp; Config'!T35</f>
        <v>n/a</v>
      </c>
      <c r="D35" s="18" t="str">
        <f>'12 - Deployments &amp; Config'!AK35</f>
        <v>Atlan A350</v>
      </c>
      <c r="E35" s="18">
        <f>'12 - Deployments &amp; Config'!J35</f>
        <v>0</v>
      </c>
      <c r="F35" s="34">
        <f>'12 - Deployments &amp; Config'!K35</f>
        <v>0</v>
      </c>
      <c r="G35" s="18">
        <f>'12 - Deployments &amp; Config'!L35</f>
        <v>0</v>
      </c>
      <c r="H35" s="18">
        <f>'13 - Config_Intake_View'!M35</f>
        <v>0</v>
      </c>
      <c r="I35" s="34">
        <f>IF('13 - Config_Intake_View'!Q35&lt;&gt;"",'13 - Config_Intake_View'!Q35,'12 - Deployments &amp; Config'!BI35)</f>
        <v>0</v>
      </c>
      <c r="J35" s="18" t="str">
        <f>IF('13 - Config_Intake_View'!Q35&lt;&gt;"","PM Approved",IF('12 - Deployments &amp; Config'!BI35&lt;&gt;"","Assumed",""))</f>
        <v/>
      </c>
      <c r="K35" s="34" t="str">
        <f>'12 - Deployments &amp; Config'!BH35</f>
        <v>Yes</v>
      </c>
      <c r="L35" s="18">
        <f>'12 - Deployments &amp; Config'!P35</f>
        <v>0</v>
      </c>
      <c r="M35" s="18">
        <f>'12 - Deployments &amp; Config'!Q35</f>
        <v>0</v>
      </c>
      <c r="N35" s="18" t="str">
        <f>'12 - Deployments &amp; Config'!BL35</f>
        <v>Epic Beans Relay</v>
      </c>
      <c r="O35" s="34" t="str">
        <f>'12 - Deployments &amp; Config'!BM35</f>
        <v>Blocked</v>
      </c>
      <c r="P35" s="2" t="str">
        <f>'12 - Deployments &amp; Config'!BB35</f>
        <v>Yes</v>
      </c>
      <c r="Q35" s="34" t="str">
        <f t="shared" si="0"/>
        <v/>
      </c>
      <c r="R35" s="18" t="str">
        <f t="shared" si="1"/>
        <v/>
      </c>
      <c r="S35" s="18" t="str">
        <f t="shared" si="2"/>
        <v/>
      </c>
      <c r="T35" s="18" t="str">
        <f t="shared" si="3"/>
        <v>BLOCKED</v>
      </c>
    </row>
    <row r="36" spans="1:20">
      <c r="A36" s="34" t="str">
        <f>'12 - Deployments &amp; Config'!H36</f>
        <v>MEETH</v>
      </c>
      <c r="B36" s="34" t="str">
        <f>'12 - Deployments &amp; Config'!S36</f>
        <v>MEETH-MACH-U</v>
      </c>
      <c r="C36" s="34" t="str">
        <f>'12 - Deployments &amp; Config'!T36</f>
        <v>A0F5097BA067</v>
      </c>
      <c r="D36" s="18">
        <f>'12 - Deployments &amp; Config'!AK36</f>
        <v>0</v>
      </c>
      <c r="E36" s="18" t="str">
        <f>'12 - Deployments &amp; Config'!J36</f>
        <v>NA</v>
      </c>
      <c r="F36" s="34" t="str">
        <f>'12 - Deployments &amp; Config'!K36</f>
        <v>NA</v>
      </c>
      <c r="G36" s="18" t="str">
        <f>'12 - Deployments &amp; Config'!L36</f>
        <v>NA</v>
      </c>
      <c r="H36" s="18">
        <f>'13 - Config_Intake_View'!M36</f>
        <v>0</v>
      </c>
      <c r="I36" s="34">
        <f>IF('13 - Config_Intake_View'!Q36&lt;&gt;"",'13 - Config_Intake_View'!Q36,'12 - Deployments &amp; Config'!BI36)</f>
        <v>0</v>
      </c>
      <c r="J36" s="18" t="str">
        <f>IF('13 - Config_Intake_View'!Q36&lt;&gt;"","PM Approved",IF('12 - Deployments &amp; Config'!BI36&lt;&gt;"","Assumed",""))</f>
        <v/>
      </c>
      <c r="K36" s="34">
        <f>'12 - Deployments &amp; Config'!BH36</f>
        <v>0</v>
      </c>
      <c r="L36" s="18">
        <f>'12 - Deployments &amp; Config'!P36</f>
        <v>0</v>
      </c>
      <c r="M36" s="18">
        <f>'12 - Deployments &amp; Config'!Q36</f>
        <v>0</v>
      </c>
      <c r="N36" s="18" t="str">
        <f>'12 - Deployments &amp; Config'!BL36</f>
        <v>Power Cable, Battery, Firmware Download, Device ID, Epic Beans Relay</v>
      </c>
      <c r="O36" s="34" t="str">
        <f>'12 - Deployments &amp; Config'!BM36</f>
        <v>Blocked</v>
      </c>
      <c r="P36" s="2">
        <f>'12 - Deployments &amp; Config'!BB36</f>
        <v>0</v>
      </c>
      <c r="Q36" s="34" t="str">
        <f t="shared" si="0"/>
        <v/>
      </c>
      <c r="R36" s="18" t="str">
        <f t="shared" si="1"/>
        <v>SW NOT INSTALLED</v>
      </c>
      <c r="S36" s="18" t="str">
        <f t="shared" si="2"/>
        <v/>
      </c>
      <c r="T36" s="18" t="str">
        <f t="shared" si="3"/>
        <v>SW NOT INSTALLED</v>
      </c>
    </row>
    <row r="37" spans="1:20">
      <c r="A37" s="34" t="str">
        <f>'12 - Deployments &amp; Config'!H37</f>
        <v>MEETH</v>
      </c>
      <c r="B37" s="34" t="str">
        <f>'12 - Deployments &amp; Config'!S37</f>
        <v>MEETH-MACH-V</v>
      </c>
      <c r="C37" s="34" t="str">
        <f>'12 - Deployments &amp; Config'!T37</f>
        <v>A0F5097BA08B</v>
      </c>
      <c r="D37" s="18">
        <f>'12 - Deployments &amp; Config'!AK37</f>
        <v>0</v>
      </c>
      <c r="E37" s="18" t="str">
        <f>'12 - Deployments &amp; Config'!J37</f>
        <v>NA</v>
      </c>
      <c r="F37" s="34" t="str">
        <f>'12 - Deployments &amp; Config'!K37</f>
        <v>NA</v>
      </c>
      <c r="G37" s="18" t="str">
        <f>'12 - Deployments &amp; Config'!L37</f>
        <v>NA</v>
      </c>
      <c r="H37" s="18">
        <f>'13 - Config_Intake_View'!M37</f>
        <v>0</v>
      </c>
      <c r="I37" s="34">
        <f>IF('13 - Config_Intake_View'!Q37&lt;&gt;"",'13 - Config_Intake_View'!Q37,'12 - Deployments &amp; Config'!BI37)</f>
        <v>0</v>
      </c>
      <c r="J37" s="18" t="str">
        <f>IF('13 - Config_Intake_View'!Q37&lt;&gt;"","PM Approved",IF('12 - Deployments &amp; Config'!BI37&lt;&gt;"","Assumed",""))</f>
        <v/>
      </c>
      <c r="K37" s="34">
        <f>'12 - Deployments &amp; Config'!BH37</f>
        <v>0</v>
      </c>
      <c r="L37" s="18">
        <f>'12 - Deployments &amp; Config'!P37</f>
        <v>0</v>
      </c>
      <c r="M37" s="18">
        <f>'12 - Deployments &amp; Config'!Q37</f>
        <v>0</v>
      </c>
      <c r="N37" s="18" t="str">
        <f>'12 - Deployments &amp; Config'!BL37</f>
        <v>Power Cable, Battery, Firmware Download, Device ID, Epic Beans Relay</v>
      </c>
      <c r="O37" s="34" t="str">
        <f>'12 - Deployments &amp; Config'!BM37</f>
        <v>Blocked</v>
      </c>
      <c r="P37" s="2">
        <f>'12 - Deployments &amp; Config'!BB37</f>
        <v>0</v>
      </c>
      <c r="Q37" s="34" t="str">
        <f t="shared" si="0"/>
        <v/>
      </c>
      <c r="R37" s="18" t="str">
        <f t="shared" si="1"/>
        <v>SW NOT INSTALLED</v>
      </c>
      <c r="S37" s="18" t="str">
        <f t="shared" si="2"/>
        <v/>
      </c>
      <c r="T37" s="18" t="str">
        <f t="shared" si="3"/>
        <v>SW NOT INSTALLED</v>
      </c>
    </row>
    <row r="38" spans="1:20">
      <c r="A38" s="34" t="str">
        <f>'12 - Deployments &amp; Config'!H38</f>
        <v>MEETH</v>
      </c>
      <c r="B38" s="34" t="str">
        <f>'12 - Deployments &amp; Config'!S38</f>
        <v>MEETH-MACH-W</v>
      </c>
      <c r="C38" s="34" t="str">
        <f>'12 - Deployments &amp; Config'!T38</f>
        <v>A0F5097B969A</v>
      </c>
      <c r="D38" s="18">
        <f>'12 - Deployments &amp; Config'!AK38</f>
        <v>0</v>
      </c>
      <c r="E38" s="18" t="str">
        <f>'12 - Deployments &amp; Config'!J38</f>
        <v>NA</v>
      </c>
      <c r="F38" s="34" t="str">
        <f>'12 - Deployments &amp; Config'!K38</f>
        <v>NA</v>
      </c>
      <c r="G38" s="18" t="str">
        <f>'12 - Deployments &amp; Config'!L38</f>
        <v>NA</v>
      </c>
      <c r="H38" s="18">
        <f>'13 - Config_Intake_View'!M38</f>
        <v>0</v>
      </c>
      <c r="I38" s="34">
        <f>IF('13 - Config_Intake_View'!Q38&lt;&gt;"",'13 - Config_Intake_View'!Q38,'12 - Deployments &amp; Config'!BI38)</f>
        <v>0</v>
      </c>
      <c r="J38" s="18" t="str">
        <f>IF('13 - Config_Intake_View'!Q38&lt;&gt;"","PM Approved",IF('12 - Deployments &amp; Config'!BI38&lt;&gt;"","Assumed",""))</f>
        <v/>
      </c>
      <c r="K38" s="34">
        <f>'12 - Deployments &amp; Config'!BH38</f>
        <v>0</v>
      </c>
      <c r="L38" s="18">
        <f>'12 - Deployments &amp; Config'!P38</f>
        <v>0</v>
      </c>
      <c r="M38" s="18">
        <f>'12 - Deployments &amp; Config'!Q38</f>
        <v>0</v>
      </c>
      <c r="N38" s="18" t="str">
        <f>'12 - Deployments &amp; Config'!BL38</f>
        <v>Power Cable, Battery, Firmware Download, Device ID, Epic Beans Relay</v>
      </c>
      <c r="O38" s="34" t="str">
        <f>'12 - Deployments &amp; Config'!BM38</f>
        <v>Blocked</v>
      </c>
      <c r="P38" s="2">
        <f>'12 - Deployments &amp; Config'!BB38</f>
        <v>0</v>
      </c>
      <c r="Q38" s="34" t="str">
        <f t="shared" si="0"/>
        <v/>
      </c>
      <c r="R38" s="18" t="str">
        <f t="shared" si="1"/>
        <v>SW NOT INSTALLED</v>
      </c>
      <c r="S38" s="18" t="str">
        <f t="shared" si="2"/>
        <v/>
      </c>
      <c r="T38" s="18" t="str">
        <f t="shared" si="3"/>
        <v>SW NOT INSTALLED</v>
      </c>
    </row>
    <row r="39" spans="1:20">
      <c r="A39" s="34" t="str">
        <f>'12 - Deployments &amp; Config'!H39</f>
        <v>ZUCKER HOSPITAL</v>
      </c>
      <c r="B39" s="34" t="str">
        <f>'12 - Deployments &amp; Config'!S39</f>
        <v>ZHH-MACH-A</v>
      </c>
      <c r="C39" s="34" t="str">
        <f>'12 - Deployments &amp; Config'!T39</f>
        <v>A0F5097B961B</v>
      </c>
      <c r="D39" s="18">
        <f>'12 - Deployments &amp; Config'!AK39</f>
        <v>0</v>
      </c>
      <c r="E39" s="18" t="str">
        <f>'12 - Deployments &amp; Config'!J39</f>
        <v>NA</v>
      </c>
      <c r="F39" s="34" t="str">
        <f>'12 - Deployments &amp; Config'!K39</f>
        <v>NA</v>
      </c>
      <c r="G39" s="18" t="str">
        <f>'12 - Deployments &amp; Config'!L39</f>
        <v>NA</v>
      </c>
      <c r="H39" s="18">
        <f>'13 - Config_Intake_View'!M39</f>
        <v>0</v>
      </c>
      <c r="I39" s="34">
        <f>IF('13 - Config_Intake_View'!Q39&lt;&gt;"",'13 - Config_Intake_View'!Q39,'12 - Deployments &amp; Config'!BI39)</f>
        <v>0</v>
      </c>
      <c r="J39" s="18" t="str">
        <f>IF('13 - Config_Intake_View'!Q39&lt;&gt;"","PM Approved",IF('12 - Deployments &amp; Config'!BI39&lt;&gt;"","Assumed",""))</f>
        <v/>
      </c>
      <c r="K39" s="34">
        <f>'12 - Deployments &amp; Config'!BH39</f>
        <v>0</v>
      </c>
      <c r="L39" s="18">
        <f>'12 - Deployments &amp; Config'!P39</f>
        <v>0</v>
      </c>
      <c r="M39" s="18">
        <f>'12 - Deployments &amp; Config'!Q39</f>
        <v>0</v>
      </c>
      <c r="N39" s="18" t="str">
        <f>'12 - Deployments &amp; Config'!BL39</f>
        <v>Power Cable, Battery, Firmware Download, Device ID, Epic Beans Relay</v>
      </c>
      <c r="O39" s="34" t="str">
        <f>'12 - Deployments &amp; Config'!BM39</f>
        <v>Blocked</v>
      </c>
      <c r="P39" s="2">
        <f>'12 - Deployments &amp; Config'!BB39</f>
        <v>0</v>
      </c>
      <c r="Q39" s="34" t="str">
        <f t="shared" si="0"/>
        <v/>
      </c>
      <c r="R39" s="18" t="str">
        <f t="shared" si="1"/>
        <v>SW NOT INSTALLED</v>
      </c>
      <c r="S39" s="18" t="str">
        <f t="shared" si="2"/>
        <v/>
      </c>
      <c r="T39" s="18" t="str">
        <f t="shared" si="3"/>
        <v>SW NOT INSTALLED</v>
      </c>
    </row>
    <row r="40" spans="1:20">
      <c r="A40" s="34" t="str">
        <f>'12 - Deployments &amp; Config'!H40</f>
        <v>ZUCKER HOSPITAL</v>
      </c>
      <c r="B40" s="34" t="str">
        <f>'12 - Deployments &amp; Config'!S40</f>
        <v>ZHH-MACH-B</v>
      </c>
      <c r="C40" s="34" t="str">
        <f>'12 - Deployments &amp; Config'!T40</f>
        <v>A0F5097B8D8E</v>
      </c>
      <c r="D40" s="18">
        <f>'12 - Deployments &amp; Config'!AK40</f>
        <v>0</v>
      </c>
      <c r="E40" s="18" t="str">
        <f>'12 - Deployments &amp; Config'!J40</f>
        <v>NA</v>
      </c>
      <c r="F40" s="34" t="str">
        <f>'12 - Deployments &amp; Config'!K40</f>
        <v>NA</v>
      </c>
      <c r="G40" s="18" t="str">
        <f>'12 - Deployments &amp; Config'!L40</f>
        <v>NA</v>
      </c>
      <c r="H40" s="18">
        <f>'13 - Config_Intake_View'!M40</f>
        <v>0</v>
      </c>
      <c r="I40" s="34">
        <f>IF('13 - Config_Intake_View'!Q40&lt;&gt;"",'13 - Config_Intake_View'!Q40,'12 - Deployments &amp; Config'!BI40)</f>
        <v>0</v>
      </c>
      <c r="J40" s="18" t="str">
        <f>IF('13 - Config_Intake_View'!Q40&lt;&gt;"","PM Approved",IF('12 - Deployments &amp; Config'!BI40&lt;&gt;"","Assumed",""))</f>
        <v/>
      </c>
      <c r="K40" s="34">
        <f>'12 - Deployments &amp; Config'!BH40</f>
        <v>0</v>
      </c>
      <c r="L40" s="18">
        <f>'12 - Deployments &amp; Config'!P40</f>
        <v>0</v>
      </c>
      <c r="M40" s="18">
        <f>'12 - Deployments &amp; Config'!Q40</f>
        <v>0</v>
      </c>
      <c r="N40" s="18" t="str">
        <f>'12 - Deployments &amp; Config'!BL40</f>
        <v>Power Cable, Battery, Firmware Download, Device ID, Epic Beans Relay</v>
      </c>
      <c r="O40" s="34" t="str">
        <f>'12 - Deployments &amp; Config'!BM40</f>
        <v>Blocked</v>
      </c>
      <c r="P40" s="2">
        <f>'12 - Deployments &amp; Config'!BB40</f>
        <v>0</v>
      </c>
      <c r="Q40" s="34" t="str">
        <f t="shared" si="0"/>
        <v/>
      </c>
      <c r="R40" s="18" t="str">
        <f t="shared" si="1"/>
        <v>SW NOT INSTALLED</v>
      </c>
      <c r="S40" s="18" t="str">
        <f t="shared" si="2"/>
        <v/>
      </c>
      <c r="T40" s="18" t="str">
        <f t="shared" si="3"/>
        <v>SW NOT INSTALLED</v>
      </c>
    </row>
    <row r="41" spans="1:20">
      <c r="A41" s="34" t="str">
        <f>'12 - Deployments &amp; Config'!H41</f>
        <v>ZUCKER HOSPITAL</v>
      </c>
      <c r="B41" s="34" t="str">
        <f>'12 - Deployments &amp; Config'!S41</f>
        <v>ZHH-MACH-C</v>
      </c>
      <c r="C41" s="34" t="str">
        <f>'12 - Deployments &amp; Config'!T41</f>
        <v>A0F5097B9BB8</v>
      </c>
      <c r="D41" s="18">
        <f>'12 - Deployments &amp; Config'!AK41</f>
        <v>0</v>
      </c>
      <c r="E41" s="18" t="str">
        <f>'12 - Deployments &amp; Config'!J41</f>
        <v>NA</v>
      </c>
      <c r="F41" s="34" t="str">
        <f>'12 - Deployments &amp; Config'!K41</f>
        <v>NA</v>
      </c>
      <c r="G41" s="18" t="str">
        <f>'12 - Deployments &amp; Config'!L41</f>
        <v>NA</v>
      </c>
      <c r="H41" s="18">
        <f>'13 - Config_Intake_View'!M41</f>
        <v>0</v>
      </c>
      <c r="I41" s="34">
        <f>IF('13 - Config_Intake_View'!Q41&lt;&gt;"",'13 - Config_Intake_View'!Q41,'12 - Deployments &amp; Config'!BI41)</f>
        <v>0</v>
      </c>
      <c r="J41" s="18" t="str">
        <f>IF('13 - Config_Intake_View'!Q41&lt;&gt;"","PM Approved",IF('12 - Deployments &amp; Config'!BI41&lt;&gt;"","Assumed",""))</f>
        <v/>
      </c>
      <c r="K41" s="34">
        <f>'12 - Deployments &amp; Config'!BH41</f>
        <v>0</v>
      </c>
      <c r="L41" s="18">
        <f>'12 - Deployments &amp; Config'!P41</f>
        <v>0</v>
      </c>
      <c r="M41" s="18">
        <f>'12 - Deployments &amp; Config'!Q41</f>
        <v>0</v>
      </c>
      <c r="N41" s="18" t="str">
        <f>'12 - Deployments &amp; Config'!BL41</f>
        <v>Power Cable, Battery, Firmware Download, Device ID, Epic Beans Relay</v>
      </c>
      <c r="O41" s="34" t="str">
        <f>'12 - Deployments &amp; Config'!BM41</f>
        <v>Blocked</v>
      </c>
      <c r="P41" s="2">
        <f>'12 - Deployments &amp; Config'!BB41</f>
        <v>0</v>
      </c>
      <c r="Q41" s="34" t="str">
        <f t="shared" si="0"/>
        <v/>
      </c>
      <c r="R41" s="18" t="str">
        <f t="shared" si="1"/>
        <v>SW NOT INSTALLED</v>
      </c>
      <c r="S41" s="18" t="str">
        <f t="shared" si="2"/>
        <v/>
      </c>
      <c r="T41" s="18" t="str">
        <f t="shared" si="3"/>
        <v>SW NOT INSTALLED</v>
      </c>
    </row>
    <row r="42" spans="1:20">
      <c r="A42" s="34" t="str">
        <f>'12 - Deployments &amp; Config'!H42</f>
        <v>CCMC</v>
      </c>
      <c r="B42" s="34" t="str">
        <f>'12 - Deployments &amp; Config'!S42</f>
        <v>CCMC-MACH-A</v>
      </c>
      <c r="C42" s="34" t="str">
        <f>'12 - Deployments &amp; Config'!T42</f>
        <v>A0F5097B8C9F</v>
      </c>
      <c r="D42" s="18">
        <f>'12 - Deployments &amp; Config'!AK42</f>
        <v>0</v>
      </c>
      <c r="E42" s="18" t="str">
        <f>'12 - Deployments &amp; Config'!J42</f>
        <v>NA</v>
      </c>
      <c r="F42" s="34" t="str">
        <f>'12 - Deployments &amp; Config'!K42</f>
        <v>NA</v>
      </c>
      <c r="G42" s="18" t="str">
        <f>'12 - Deployments &amp; Config'!L42</f>
        <v>NA</v>
      </c>
      <c r="H42" s="18">
        <f>'13 - Config_Intake_View'!M42</f>
        <v>0</v>
      </c>
      <c r="I42" s="34">
        <f>IF('13 - Config_Intake_View'!Q42&lt;&gt;"",'13 - Config_Intake_View'!Q42,'12 - Deployments &amp; Config'!BI42)</f>
        <v>0</v>
      </c>
      <c r="J42" s="18" t="str">
        <f>IF('13 - Config_Intake_View'!Q42&lt;&gt;"","PM Approved",IF('12 - Deployments &amp; Config'!BI42&lt;&gt;"","Assumed",""))</f>
        <v/>
      </c>
      <c r="K42" s="34">
        <f>'12 - Deployments &amp; Config'!BH42</f>
        <v>0</v>
      </c>
      <c r="L42" s="18">
        <f>'12 - Deployments &amp; Config'!P42</f>
        <v>0</v>
      </c>
      <c r="M42" s="18">
        <f>'12 - Deployments &amp; Config'!Q42</f>
        <v>0</v>
      </c>
      <c r="N42" s="18" t="str">
        <f>'12 - Deployments &amp; Config'!BL42</f>
        <v>Power Cable, Battery, Firmware Download, Device ID, Epic Beans Relay</v>
      </c>
      <c r="O42" s="34" t="str">
        <f>'12 - Deployments &amp; Config'!BM42</f>
        <v>Blocked</v>
      </c>
      <c r="P42" s="2">
        <f>'12 - Deployments &amp; Config'!BB42</f>
        <v>0</v>
      </c>
      <c r="Q42" s="34" t="str">
        <f t="shared" si="0"/>
        <v/>
      </c>
      <c r="R42" s="18" t="str">
        <f t="shared" si="1"/>
        <v>SW NOT INSTALLED</v>
      </c>
      <c r="S42" s="18" t="str">
        <f t="shared" si="2"/>
        <v/>
      </c>
      <c r="T42" s="18" t="str">
        <f t="shared" si="3"/>
        <v>SW NOT INSTALLED</v>
      </c>
    </row>
    <row r="43" spans="1:20">
      <c r="A43" s="34" t="str">
        <f>'12 - Deployments &amp; Config'!H43</f>
        <v>Glen Cove</v>
      </c>
      <c r="B43" s="34" t="str">
        <f>'12 - Deployments &amp; Config'!S43</f>
        <v>GCH-MACH-E</v>
      </c>
      <c r="C43" s="34" t="str">
        <f>'12 - Deployments &amp; Config'!T43</f>
        <v>A0F5097B8E02</v>
      </c>
      <c r="D43" s="18">
        <f>'12 - Deployments &amp; Config'!AK43</f>
        <v>0</v>
      </c>
      <c r="E43" s="18" t="str">
        <f>'12 - Deployments &amp; Config'!J43</f>
        <v>NA</v>
      </c>
      <c r="F43" s="34" t="str">
        <f>'12 - Deployments &amp; Config'!K43</f>
        <v>NA</v>
      </c>
      <c r="G43" s="18" t="str">
        <f>'12 - Deployments &amp; Config'!L43</f>
        <v>NA</v>
      </c>
      <c r="H43" s="18">
        <f>'13 - Config_Intake_View'!M43</f>
        <v>0</v>
      </c>
      <c r="I43" s="34">
        <f>IF('13 - Config_Intake_View'!Q43&lt;&gt;"",'13 - Config_Intake_View'!Q43,'12 - Deployments &amp; Config'!BI43)</f>
        <v>0</v>
      </c>
      <c r="J43" s="18" t="str">
        <f>IF('13 - Config_Intake_View'!Q43&lt;&gt;"","PM Approved",IF('12 - Deployments &amp; Config'!BI43&lt;&gt;"","Assumed",""))</f>
        <v/>
      </c>
      <c r="K43" s="34">
        <f>'12 - Deployments &amp; Config'!BH43</f>
        <v>0</v>
      </c>
      <c r="L43" s="18">
        <f>'12 - Deployments &amp; Config'!P43</f>
        <v>0</v>
      </c>
      <c r="M43" s="18">
        <f>'12 - Deployments &amp; Config'!Q43</f>
        <v>0</v>
      </c>
      <c r="N43" s="18" t="str">
        <f>'12 - Deployments &amp; Config'!BL43</f>
        <v>Power Cable, Battery, Firmware Download, Device ID, Epic Beans Relay</v>
      </c>
      <c r="O43" s="34" t="str">
        <f>'12 - Deployments &amp; Config'!BM43</f>
        <v>Blocked</v>
      </c>
      <c r="P43" s="2">
        <f>'12 - Deployments &amp; Config'!BB43</f>
        <v>0</v>
      </c>
      <c r="Q43" s="34" t="str">
        <f t="shared" si="0"/>
        <v/>
      </c>
      <c r="R43" s="18" t="str">
        <f t="shared" si="1"/>
        <v>SW NOT INSTALLED</v>
      </c>
      <c r="S43" s="18" t="str">
        <f t="shared" si="2"/>
        <v/>
      </c>
      <c r="T43" s="18" t="str">
        <f t="shared" si="3"/>
        <v>SW NOT INSTALLED</v>
      </c>
    </row>
    <row r="44" spans="1:20">
      <c r="A44" s="34" t="str">
        <f>'12 - Deployments &amp; Config'!H44</f>
        <v>Glen Cove</v>
      </c>
      <c r="B44" s="34" t="str">
        <f>'12 - Deployments &amp; Config'!S44</f>
        <v>GCH-MACH-F</v>
      </c>
      <c r="C44" s="34" t="str">
        <f>'12 - Deployments &amp; Config'!T44</f>
        <v>A0F5097B8BC2</v>
      </c>
      <c r="D44" s="18">
        <f>'12 - Deployments &amp; Config'!AK44</f>
        <v>0</v>
      </c>
      <c r="E44" s="18" t="str">
        <f>'12 - Deployments &amp; Config'!J44</f>
        <v>NA</v>
      </c>
      <c r="F44" s="34" t="str">
        <f>'12 - Deployments &amp; Config'!K44</f>
        <v>NA</v>
      </c>
      <c r="G44" s="18" t="str">
        <f>'12 - Deployments &amp; Config'!L44</f>
        <v>NA</v>
      </c>
      <c r="H44" s="18">
        <f>'13 - Config_Intake_View'!M44</f>
        <v>0</v>
      </c>
      <c r="I44" s="34">
        <f>IF('13 - Config_Intake_View'!Q44&lt;&gt;"",'13 - Config_Intake_View'!Q44,'12 - Deployments &amp; Config'!BI44)</f>
        <v>0</v>
      </c>
      <c r="J44" s="18" t="str">
        <f>IF('13 - Config_Intake_View'!Q44&lt;&gt;"","PM Approved",IF('12 - Deployments &amp; Config'!BI44&lt;&gt;"","Assumed",""))</f>
        <v/>
      </c>
      <c r="K44" s="34">
        <f>'12 - Deployments &amp; Config'!BH44</f>
        <v>0</v>
      </c>
      <c r="L44" s="18">
        <f>'12 - Deployments &amp; Config'!P44</f>
        <v>0</v>
      </c>
      <c r="M44" s="18">
        <f>'12 - Deployments &amp; Config'!Q44</f>
        <v>0</v>
      </c>
      <c r="N44" s="18" t="str">
        <f>'12 - Deployments &amp; Config'!BL44</f>
        <v>Power Cable, Battery, Firmware Download, Device ID, Epic Beans Relay</v>
      </c>
      <c r="O44" s="34" t="str">
        <f>'12 - Deployments &amp; Config'!BM44</f>
        <v>Blocked</v>
      </c>
      <c r="P44" s="2">
        <f>'12 - Deployments &amp; Config'!BB44</f>
        <v>0</v>
      </c>
      <c r="Q44" s="34" t="str">
        <f t="shared" si="0"/>
        <v/>
      </c>
      <c r="R44" s="18" t="str">
        <f t="shared" si="1"/>
        <v>SW NOT INSTALLED</v>
      </c>
      <c r="S44" s="18" t="str">
        <f t="shared" si="2"/>
        <v/>
      </c>
      <c r="T44" s="18" t="str">
        <f t="shared" si="3"/>
        <v>SW NOT INSTALLED</v>
      </c>
    </row>
    <row r="45" spans="1:20">
      <c r="A45" s="34" t="str">
        <f>'12 - Deployments &amp; Config'!H45</f>
        <v>Glen Cove</v>
      </c>
      <c r="B45" s="34" t="str">
        <f>'12 - Deployments &amp; Config'!S45</f>
        <v>GCH-MACH-G</v>
      </c>
      <c r="C45" s="34" t="str">
        <f>'12 - Deployments &amp; Config'!T45</f>
        <v>A0F5097B8E6F</v>
      </c>
      <c r="D45" s="18">
        <f>'12 - Deployments &amp; Config'!AK45</f>
        <v>0</v>
      </c>
      <c r="E45" s="18" t="str">
        <f>'12 - Deployments &amp; Config'!J45</f>
        <v>NA</v>
      </c>
      <c r="F45" s="34" t="str">
        <f>'12 - Deployments &amp; Config'!K45</f>
        <v>NA</v>
      </c>
      <c r="G45" s="18" t="str">
        <f>'12 - Deployments &amp; Config'!L45</f>
        <v>NA</v>
      </c>
      <c r="H45" s="18">
        <f>'13 - Config_Intake_View'!M45</f>
        <v>0</v>
      </c>
      <c r="I45" s="34">
        <f>IF('13 - Config_Intake_View'!Q45&lt;&gt;"",'13 - Config_Intake_View'!Q45,'12 - Deployments &amp; Config'!BI45)</f>
        <v>0</v>
      </c>
      <c r="J45" s="18" t="str">
        <f>IF('13 - Config_Intake_View'!Q45&lt;&gt;"","PM Approved",IF('12 - Deployments &amp; Config'!BI45&lt;&gt;"","Assumed",""))</f>
        <v/>
      </c>
      <c r="K45" s="34">
        <f>'12 - Deployments &amp; Config'!BH45</f>
        <v>0</v>
      </c>
      <c r="L45" s="18">
        <f>'12 - Deployments &amp; Config'!P45</f>
        <v>0</v>
      </c>
      <c r="M45" s="18">
        <f>'12 - Deployments &amp; Config'!Q45</f>
        <v>0</v>
      </c>
      <c r="N45" s="18" t="str">
        <f>'12 - Deployments &amp; Config'!BL45</f>
        <v>Power Cable, Battery, Firmware Download, Device ID, Epic Beans Relay</v>
      </c>
      <c r="O45" s="34" t="str">
        <f>'12 - Deployments &amp; Config'!BM45</f>
        <v>Blocked</v>
      </c>
      <c r="P45" s="2">
        <f>'12 - Deployments &amp; Config'!BB45</f>
        <v>0</v>
      </c>
      <c r="Q45" s="34" t="str">
        <f t="shared" si="0"/>
        <v/>
      </c>
      <c r="R45" s="18" t="str">
        <f t="shared" si="1"/>
        <v>SW NOT INSTALLED</v>
      </c>
      <c r="S45" s="18" t="str">
        <f t="shared" si="2"/>
        <v/>
      </c>
      <c r="T45" s="18" t="str">
        <f t="shared" si="3"/>
        <v>SW NOT INSTALLED</v>
      </c>
    </row>
    <row r="46" spans="1:20">
      <c r="A46" s="34" t="str">
        <f>'12 - Deployments &amp; Config'!H46</f>
        <v>Glen Cove</v>
      </c>
      <c r="B46" s="34" t="str">
        <f>'12 - Deployments &amp; Config'!S46</f>
        <v>GCH-MACH-H</v>
      </c>
      <c r="C46" s="34" t="str">
        <f>'12 - Deployments &amp; Config'!T46</f>
        <v>A0F5097B8CD0</v>
      </c>
      <c r="D46" s="18">
        <f>'12 - Deployments &amp; Config'!AK46</f>
        <v>0</v>
      </c>
      <c r="E46" s="18">
        <f>'12 - Deployments &amp; Config'!J46</f>
        <v>0</v>
      </c>
      <c r="F46" s="34">
        <f>'12 - Deployments &amp; Config'!K46</f>
        <v>0</v>
      </c>
      <c r="G46" s="18">
        <f>'12 - Deployments &amp; Config'!L46</f>
        <v>0</v>
      </c>
      <c r="H46" s="18">
        <f>'13 - Config_Intake_View'!M46</f>
        <v>0</v>
      </c>
      <c r="I46" s="34">
        <f>IF('13 - Config_Intake_View'!Q46&lt;&gt;"",'13 - Config_Intake_View'!Q46,'12 - Deployments &amp; Config'!BI46)</f>
        <v>0</v>
      </c>
      <c r="J46" s="18" t="str">
        <f>IF('13 - Config_Intake_View'!Q46&lt;&gt;"","PM Approved",IF('12 - Deployments &amp; Config'!BI46&lt;&gt;"","Assumed",""))</f>
        <v/>
      </c>
      <c r="K46" s="34">
        <f>'12 - Deployments &amp; Config'!BH46</f>
        <v>0</v>
      </c>
      <c r="L46" s="18">
        <f>'12 - Deployments &amp; Config'!P46</f>
        <v>0</v>
      </c>
      <c r="M46" s="18">
        <f>'12 - Deployments &amp; Config'!Q46</f>
        <v>0</v>
      </c>
      <c r="N46" s="18" t="str">
        <f>'12 - Deployments &amp; Config'!BL46</f>
        <v>Power Cable, Battery, Firmware Download, Device ID, Epic Beans Relay</v>
      </c>
      <c r="O46" s="34" t="str">
        <f>'12 - Deployments &amp; Config'!BM46</f>
        <v>Blocked</v>
      </c>
      <c r="P46" s="2">
        <f>'12 - Deployments &amp; Config'!BB46</f>
        <v>0</v>
      </c>
      <c r="Q46" s="34" t="str">
        <f t="shared" si="0"/>
        <v/>
      </c>
      <c r="R46" s="18" t="str">
        <f t="shared" si="1"/>
        <v>SW NOT INSTALLED</v>
      </c>
      <c r="S46" s="18" t="str">
        <f t="shared" si="2"/>
        <v/>
      </c>
      <c r="T46" s="18" t="str">
        <f t="shared" si="3"/>
        <v>SW NOT INSTALLED</v>
      </c>
    </row>
    <row r="47" spans="1:20">
      <c r="A47" s="34" t="str">
        <f>'12 - Deployments &amp; Config'!H47</f>
        <v>Glen Cove</v>
      </c>
      <c r="B47" s="34" t="str">
        <f>'12 - Deployments &amp; Config'!S47</f>
        <v>GCH-MACH-I</v>
      </c>
      <c r="C47" s="34" t="str">
        <f>'12 - Deployments &amp; Config'!T47</f>
        <v>A0F5097B8B9A</v>
      </c>
      <c r="D47" s="18">
        <f>'12 - Deployments &amp; Config'!AK47</f>
        <v>0</v>
      </c>
      <c r="E47" s="18" t="str">
        <f>'12 - Deployments &amp; Config'!J47</f>
        <v>NA</v>
      </c>
      <c r="F47" s="34" t="str">
        <f>'12 - Deployments &amp; Config'!K47</f>
        <v>NA</v>
      </c>
      <c r="G47" s="18" t="str">
        <f>'12 - Deployments &amp; Config'!L47</f>
        <v>NA</v>
      </c>
      <c r="H47" s="18">
        <f>'13 - Config_Intake_View'!M47</f>
        <v>0</v>
      </c>
      <c r="I47" s="34">
        <f>IF('13 - Config_Intake_View'!Q47&lt;&gt;"",'13 - Config_Intake_View'!Q47,'12 - Deployments &amp; Config'!BI47)</f>
        <v>0</v>
      </c>
      <c r="J47" s="18" t="str">
        <f>IF('13 - Config_Intake_View'!Q47&lt;&gt;"","PM Approved",IF('12 - Deployments &amp; Config'!BI47&lt;&gt;"","Assumed",""))</f>
        <v/>
      </c>
      <c r="K47" s="34">
        <f>'12 - Deployments &amp; Config'!BH47</f>
        <v>0</v>
      </c>
      <c r="L47" s="18">
        <f>'12 - Deployments &amp; Config'!P47</f>
        <v>0</v>
      </c>
      <c r="M47" s="18">
        <f>'12 - Deployments &amp; Config'!Q47</f>
        <v>0</v>
      </c>
      <c r="N47" s="18" t="str">
        <f>'12 - Deployments &amp; Config'!BL47</f>
        <v>Power Cable, Battery, Firmware Download, Device ID, Epic Beans Relay</v>
      </c>
      <c r="O47" s="34" t="str">
        <f>'12 - Deployments &amp; Config'!BM47</f>
        <v>Blocked</v>
      </c>
      <c r="P47" s="2">
        <f>'12 - Deployments &amp; Config'!BB47</f>
        <v>0</v>
      </c>
      <c r="Q47" s="34" t="str">
        <f t="shared" si="0"/>
        <v/>
      </c>
      <c r="R47" s="18" t="str">
        <f t="shared" si="1"/>
        <v>SW NOT INSTALLED</v>
      </c>
      <c r="S47" s="18" t="str">
        <f t="shared" si="2"/>
        <v/>
      </c>
      <c r="T47" s="18" t="str">
        <f t="shared" si="3"/>
        <v>SW NOT INSTALLED</v>
      </c>
    </row>
    <row r="48" spans="1:20">
      <c r="A48" s="34" t="str">
        <f>'12 - Deployments &amp; Config'!H48</f>
        <v>Glen Cove</v>
      </c>
      <c r="B48" s="34" t="str">
        <f>'12 - Deployments &amp; Config'!S48</f>
        <v>GCH-MACH-J</v>
      </c>
      <c r="C48" s="34" t="str">
        <f>'12 - Deployments &amp; Config'!T48</f>
        <v>A0F5097B8CF9</v>
      </c>
      <c r="D48" s="18">
        <f>'12 - Deployments &amp; Config'!AK48</f>
        <v>0</v>
      </c>
      <c r="E48" s="18" t="str">
        <f>'12 - Deployments &amp; Config'!J48</f>
        <v>NA</v>
      </c>
      <c r="F48" s="34" t="str">
        <f>'12 - Deployments &amp; Config'!K48</f>
        <v>NA</v>
      </c>
      <c r="G48" s="18" t="str">
        <f>'12 - Deployments &amp; Config'!L48</f>
        <v>NA</v>
      </c>
      <c r="H48" s="18">
        <f>'13 - Config_Intake_View'!M48</f>
        <v>0</v>
      </c>
      <c r="I48" s="34">
        <f>IF('13 - Config_Intake_View'!Q48&lt;&gt;"",'13 - Config_Intake_View'!Q48,'12 - Deployments &amp; Config'!BI48)</f>
        <v>0</v>
      </c>
      <c r="J48" s="18" t="str">
        <f>IF('13 - Config_Intake_View'!Q48&lt;&gt;"","PM Approved",IF('12 - Deployments &amp; Config'!BI48&lt;&gt;"","Assumed",""))</f>
        <v/>
      </c>
      <c r="K48" s="34">
        <f>'12 - Deployments &amp; Config'!BH48</f>
        <v>0</v>
      </c>
      <c r="L48" s="18">
        <f>'12 - Deployments &amp; Config'!P48</f>
        <v>0</v>
      </c>
      <c r="M48" s="18">
        <f>'12 - Deployments &amp; Config'!Q48</f>
        <v>0</v>
      </c>
      <c r="N48" s="18" t="str">
        <f>'12 - Deployments &amp; Config'!BL48</f>
        <v>Power Cable, Battery, Firmware Download, Device ID, Epic Beans Relay</v>
      </c>
      <c r="O48" s="34" t="str">
        <f>'12 - Deployments &amp; Config'!BM48</f>
        <v>Blocked</v>
      </c>
      <c r="P48" s="2">
        <f>'12 - Deployments &amp; Config'!BB48</f>
        <v>0</v>
      </c>
      <c r="Q48" s="34" t="str">
        <f t="shared" si="0"/>
        <v/>
      </c>
      <c r="R48" s="18" t="str">
        <f t="shared" si="1"/>
        <v>SW NOT INSTALLED</v>
      </c>
      <c r="S48" s="18" t="str">
        <f t="shared" si="2"/>
        <v/>
      </c>
      <c r="T48" s="18" t="str">
        <f t="shared" si="3"/>
        <v>SW NOT INSTALLED</v>
      </c>
    </row>
    <row r="49" spans="1:20">
      <c r="A49" s="34" t="str">
        <f>'12 - Deployments &amp; Config'!H49</f>
        <v>Glen Cove</v>
      </c>
      <c r="B49" s="34" t="str">
        <f>'12 - Deployments &amp; Config'!S49</f>
        <v>GCH-MACH-K</v>
      </c>
      <c r="C49" s="34" t="str">
        <f>'12 - Deployments &amp; Config'!T49</f>
        <v>A0F5097B8B74</v>
      </c>
      <c r="D49" s="18">
        <f>'12 - Deployments &amp; Config'!AK49</f>
        <v>0</v>
      </c>
      <c r="E49" s="18" t="str">
        <f>'12 - Deployments &amp; Config'!J49</f>
        <v>NA</v>
      </c>
      <c r="F49" s="34" t="str">
        <f>'12 - Deployments &amp; Config'!K49</f>
        <v>NA</v>
      </c>
      <c r="G49" s="18" t="str">
        <f>'12 - Deployments &amp; Config'!L49</f>
        <v>NA</v>
      </c>
      <c r="H49" s="18">
        <f>'13 - Config_Intake_View'!M49</f>
        <v>0</v>
      </c>
      <c r="I49" s="34">
        <f>IF('13 - Config_Intake_View'!Q49&lt;&gt;"",'13 - Config_Intake_View'!Q49,'12 - Deployments &amp; Config'!BI49)</f>
        <v>0</v>
      </c>
      <c r="J49" s="18" t="str">
        <f>IF('13 - Config_Intake_View'!Q49&lt;&gt;"","PM Approved",IF('12 - Deployments &amp; Config'!BI49&lt;&gt;"","Assumed",""))</f>
        <v/>
      </c>
      <c r="K49" s="34">
        <f>'12 - Deployments &amp; Config'!BH49</f>
        <v>0</v>
      </c>
      <c r="L49" s="18">
        <f>'12 - Deployments &amp; Config'!P49</f>
        <v>0</v>
      </c>
      <c r="M49" s="18">
        <f>'12 - Deployments &amp; Config'!Q49</f>
        <v>0</v>
      </c>
      <c r="N49" s="18" t="str">
        <f>'12 - Deployments &amp; Config'!BL49</f>
        <v>Power Cable, Battery, Firmware Download, Device ID, Epic Beans Relay</v>
      </c>
      <c r="O49" s="34" t="str">
        <f>'12 - Deployments &amp; Config'!BM49</f>
        <v>Blocked</v>
      </c>
      <c r="P49" s="2">
        <f>'12 - Deployments &amp; Config'!BB49</f>
        <v>0</v>
      </c>
      <c r="Q49" s="34" t="str">
        <f t="shared" si="0"/>
        <v/>
      </c>
      <c r="R49" s="18" t="str">
        <f t="shared" si="1"/>
        <v>SW NOT INSTALLED</v>
      </c>
      <c r="S49" s="18" t="str">
        <f t="shared" si="2"/>
        <v/>
      </c>
      <c r="T49" s="18" t="str">
        <f t="shared" si="3"/>
        <v>SW NOT INSTALLED</v>
      </c>
    </row>
    <row r="50" spans="1:20">
      <c r="A50" s="34" t="str">
        <f>'12 - Deployments &amp; Config'!H50</f>
        <v>LIJ-IR</v>
      </c>
      <c r="B50" s="34" t="str">
        <f>'12 - Deployments &amp; Config'!R50</f>
        <v>WNH270INR001</v>
      </c>
      <c r="C50" s="34">
        <f>'12 - Deployments &amp; Config'!T50</f>
        <v>0</v>
      </c>
      <c r="D50" s="18" t="str">
        <f>'12 - Deployments &amp; Config'!AK50</f>
        <v>CyberMed-S24 TGL</v>
      </c>
      <c r="E50" s="18" t="str">
        <f>'12 - Deployments &amp; Config'!J50</f>
        <v>Yes</v>
      </c>
      <c r="F50" s="34" t="str">
        <f>'12 - Deployments &amp; Config'!K50</f>
        <v>No</v>
      </c>
      <c r="G50" s="18" t="str">
        <f>'12 - Deployments &amp; Config'!L50</f>
        <v>No</v>
      </c>
      <c r="H50" s="18">
        <f>'13 - Config_Intake_View'!M50</f>
        <v>0</v>
      </c>
      <c r="I50" s="34" t="str">
        <f>IF('13 - Config_Intake_View'!Q50&lt;&gt;"",'13 - Config_Intake_View'!Q50,'12 - Deployments &amp; Config'!BI50)</f>
        <v>iPro
Epic Satellite
ALLSCRIPTS
EPIC BCA</v>
      </c>
      <c r="J50" s="18" t="str">
        <f>IF('13 - Config_Intake_View'!Q50&lt;&gt;"","PM Approved",IF('12 - Deployments &amp; Config'!BI50&lt;&gt;"","Assumed",""))</f>
        <v>Assumed</v>
      </c>
      <c r="K50" s="34">
        <f>'12 - Deployments &amp; Config'!BH50</f>
        <v>0</v>
      </c>
      <c r="L50" s="18">
        <f>'12 - Deployments &amp; Config'!P50</f>
        <v>0</v>
      </c>
      <c r="M50" s="18">
        <f>'12 - Deployments &amp; Config'!Q50</f>
        <v>0</v>
      </c>
      <c r="N50" s="18" t="str">
        <f>'12 - Deployments &amp; Config'!BL50</f>
        <v/>
      </c>
      <c r="O50" s="34" t="str">
        <f>'12 - Deployments &amp; Config'!BM50</f>
        <v/>
      </c>
      <c r="P50" s="2">
        <f>'12 - Deployments &amp; Config'!BB50</f>
        <v>0</v>
      </c>
      <c r="Q50" s="34" t="str">
        <f t="shared" si="0"/>
        <v/>
      </c>
      <c r="R50" s="18" t="str">
        <f t="shared" si="1"/>
        <v>SW NOT INSTALLED</v>
      </c>
      <c r="S50" s="18" t="str">
        <f t="shared" si="2"/>
        <v/>
      </c>
      <c r="T50" s="18" t="str">
        <f t="shared" si="3"/>
        <v>SW NOT INSTALLED</v>
      </c>
    </row>
    <row r="51" spans="1:20">
      <c r="A51" s="34" t="str">
        <f>'12 - Deployments &amp; Config'!H51</f>
        <v>LIJ-IR</v>
      </c>
      <c r="B51" s="34" t="str">
        <f>'12 - Deployments &amp; Config'!R51</f>
        <v>WNH270INR002</v>
      </c>
      <c r="C51" s="34">
        <f>'12 - Deployments &amp; Config'!T51</f>
        <v>0</v>
      </c>
      <c r="D51" s="18" t="str">
        <f>'12 - Deployments &amp; Config'!AK51</f>
        <v>CyberMed-S24 TGL</v>
      </c>
      <c r="E51" s="18" t="str">
        <f>'12 - Deployments &amp; Config'!J51</f>
        <v>Yes</v>
      </c>
      <c r="F51" s="34" t="str">
        <f>'12 - Deployments &amp; Config'!K51</f>
        <v>No</v>
      </c>
      <c r="G51" s="18" t="str">
        <f>'12 - Deployments &amp; Config'!L51</f>
        <v>No</v>
      </c>
      <c r="H51" s="18">
        <f>'13 - Config_Intake_View'!M51</f>
        <v>0</v>
      </c>
      <c r="I51" s="34" t="str">
        <f>IF('13 - Config_Intake_View'!Q51&lt;&gt;"",'13 - Config_Intake_View'!Q51,'12 - Deployments &amp; Config'!BI51)</f>
        <v>iPro
Epic Satellite
ALLSCRIPTS
EPIC BCA</v>
      </c>
      <c r="J51" s="18" t="str">
        <f>IF('13 - Config_Intake_View'!Q51&lt;&gt;"","PM Approved",IF('12 - Deployments &amp; Config'!BI51&lt;&gt;"","Assumed",""))</f>
        <v>Assumed</v>
      </c>
      <c r="K51" s="34">
        <f>'12 - Deployments &amp; Config'!BH51</f>
        <v>0</v>
      </c>
      <c r="L51" s="18">
        <f>'12 - Deployments &amp; Config'!P51</f>
        <v>0</v>
      </c>
      <c r="M51" s="18">
        <f>'12 - Deployments &amp; Config'!Q51</f>
        <v>0</v>
      </c>
      <c r="N51" s="18" t="str">
        <f>'12 - Deployments &amp; Config'!BL51</f>
        <v/>
      </c>
      <c r="O51" s="34" t="str">
        <f>'12 - Deployments &amp; Config'!BM51</f>
        <v/>
      </c>
      <c r="P51" s="2">
        <f>'12 - Deployments &amp; Config'!BB51</f>
        <v>0</v>
      </c>
      <c r="Q51" s="34" t="str">
        <f t="shared" si="0"/>
        <v/>
      </c>
      <c r="R51" s="18" t="str">
        <f t="shared" si="1"/>
        <v>SW NOT INSTALLED</v>
      </c>
      <c r="S51" s="18" t="str">
        <f t="shared" si="2"/>
        <v/>
      </c>
      <c r="T51" s="18" t="str">
        <f t="shared" si="3"/>
        <v>SW NOT INSTALLED</v>
      </c>
    </row>
    <row r="52" spans="1:20">
      <c r="A52" s="34" t="str">
        <f>'12 - Deployments &amp; Config'!H52</f>
        <v>MEETH</v>
      </c>
      <c r="B52" s="34" t="str">
        <f>'12 - Deployments &amp; Config'!R52</f>
        <v>WNY210OPR053</v>
      </c>
      <c r="C52" s="34">
        <f>'12 - Deployments &amp; Config'!T52</f>
        <v>0</v>
      </c>
      <c r="D52" s="18">
        <f>'12 - Deployments &amp; Config'!AK52</f>
        <v>0</v>
      </c>
      <c r="E52" s="18" t="str">
        <f>'12 - Deployments &amp; Config'!J52</f>
        <v>Yes</v>
      </c>
      <c r="F52" s="34" t="str">
        <f>'12 - Deployments &amp; Config'!K52</f>
        <v>No</v>
      </c>
      <c r="G52" s="18" t="str">
        <f>'12 - Deployments &amp; Config'!L52</f>
        <v>No</v>
      </c>
      <c r="H52" s="18">
        <f>'13 - Config_Intake_View'!M52</f>
        <v>0</v>
      </c>
      <c r="I52" s="34" t="str">
        <f>IF('13 - Config_Intake_View'!Q52&lt;&gt;"",'13 - Config_Intake_View'!Q52,'12 - Deployments &amp; Config'!BI52)</f>
        <v>iPro
Epic Satellite
ALLSCRIPTS
EPIC BCA</v>
      </c>
      <c r="J52" s="18" t="str">
        <f>IF('13 - Config_Intake_View'!Q52&lt;&gt;"","PM Approved",IF('12 - Deployments &amp; Config'!BI52&lt;&gt;"","Assumed",""))</f>
        <v>Assumed</v>
      </c>
      <c r="K52" s="34">
        <f>'12 - Deployments &amp; Config'!BH52</f>
        <v>0</v>
      </c>
      <c r="L52" s="18">
        <f>'12 - Deployments &amp; Config'!P52</f>
        <v>0</v>
      </c>
      <c r="M52" s="18">
        <f>'12 - Deployments &amp; Config'!Q52</f>
        <v>0</v>
      </c>
      <c r="N52" s="18" t="str">
        <f>'12 - Deployments &amp; Config'!BL52</f>
        <v/>
      </c>
      <c r="O52" s="34" t="str">
        <f>'12 - Deployments &amp; Config'!BM52</f>
        <v/>
      </c>
      <c r="P52" s="2">
        <f>'12 - Deployments &amp; Config'!BB52</f>
        <v>0</v>
      </c>
      <c r="Q52" s="34" t="str">
        <f t="shared" si="0"/>
        <v/>
      </c>
      <c r="R52" s="18" t="str">
        <f t="shared" si="1"/>
        <v>SW NOT INSTALLED</v>
      </c>
      <c r="S52" s="18" t="str">
        <f t="shared" si="2"/>
        <v/>
      </c>
      <c r="T52" s="18" t="str">
        <f t="shared" si="3"/>
        <v>SW NOT INSTALLED</v>
      </c>
    </row>
    <row r="53" spans="1:20">
      <c r="A53" s="34" t="str">
        <f>'12 - Deployments &amp; Config'!H53</f>
        <v>MEETH</v>
      </c>
      <c r="B53" s="34" t="str">
        <f>'12 - Deployments &amp; Config'!R53</f>
        <v>WNY210OPR054</v>
      </c>
      <c r="C53" s="34">
        <f>'12 - Deployments &amp; Config'!T53</f>
        <v>0</v>
      </c>
      <c r="D53" s="18">
        <f>'12 - Deployments &amp; Config'!AK53</f>
        <v>0</v>
      </c>
      <c r="E53" s="18" t="str">
        <f>'12 - Deployments &amp; Config'!J53</f>
        <v>Yes</v>
      </c>
      <c r="F53" s="34" t="str">
        <f>'12 - Deployments &amp; Config'!K53</f>
        <v>No</v>
      </c>
      <c r="G53" s="18" t="str">
        <f>'12 - Deployments &amp; Config'!L53</f>
        <v>No</v>
      </c>
      <c r="H53" s="18">
        <f>'13 - Config_Intake_View'!M53</f>
        <v>0</v>
      </c>
      <c r="I53" s="34" t="str">
        <f>IF('13 - Config_Intake_View'!Q53&lt;&gt;"",'13 - Config_Intake_View'!Q53,'12 - Deployments &amp; Config'!BI53)</f>
        <v>iPro
Epic Satellite
ALLSCRIPTS
EPIC BCA</v>
      </c>
      <c r="J53" s="18" t="str">
        <f>IF('13 - Config_Intake_View'!Q53&lt;&gt;"","PM Approved",IF('12 - Deployments &amp; Config'!BI53&lt;&gt;"","Assumed",""))</f>
        <v>Assumed</v>
      </c>
      <c r="K53" s="34">
        <f>'12 - Deployments &amp; Config'!BH53</f>
        <v>0</v>
      </c>
      <c r="L53" s="18">
        <f>'12 - Deployments &amp; Config'!P53</f>
        <v>0</v>
      </c>
      <c r="M53" s="18">
        <f>'12 - Deployments &amp; Config'!Q53</f>
        <v>0</v>
      </c>
      <c r="N53" s="18" t="str">
        <f>'12 - Deployments &amp; Config'!BL53</f>
        <v/>
      </c>
      <c r="O53" s="34" t="str">
        <f>'12 - Deployments &amp; Config'!BM53</f>
        <v/>
      </c>
      <c r="P53" s="2">
        <f>'12 - Deployments &amp; Config'!BB53</f>
        <v>0</v>
      </c>
      <c r="Q53" s="34" t="str">
        <f t="shared" si="0"/>
        <v/>
      </c>
      <c r="R53" s="18" t="str">
        <f t="shared" si="1"/>
        <v>SW NOT INSTALLED</v>
      </c>
      <c r="S53" s="18" t="str">
        <f t="shared" si="2"/>
        <v/>
      </c>
      <c r="T53" s="18" t="str">
        <f t="shared" si="3"/>
        <v>SW NOT INSTALLED</v>
      </c>
    </row>
    <row r="54" spans="1:20">
      <c r="A54" s="34" t="str">
        <f>'12 - Deployments &amp; Config'!H54</f>
        <v>NSUH</v>
      </c>
      <c r="B54" s="34" t="str">
        <f>'12 - Deployments &amp; Config'!R54</f>
        <v>WMH300OPR336</v>
      </c>
      <c r="C54" s="34">
        <f>'12 - Deployments &amp; Config'!T54</f>
        <v>0</v>
      </c>
      <c r="D54" s="18" t="str">
        <f>'12 - Deployments &amp; Config'!AK54</f>
        <v>CyberMed-S24 TGL</v>
      </c>
      <c r="E54" s="18" t="str">
        <f>'12 - Deployments &amp; Config'!J54</f>
        <v>Yes</v>
      </c>
      <c r="F54" s="34" t="str">
        <f>'12 - Deployments &amp; Config'!K54</f>
        <v>No</v>
      </c>
      <c r="G54" s="18" t="str">
        <f>'12 - Deployments &amp; Config'!L54</f>
        <v>No</v>
      </c>
      <c r="H54" s="18">
        <f>'13 - Config_Intake_View'!M54</f>
        <v>0</v>
      </c>
      <c r="I54" s="34" t="str">
        <f>IF('13 - Config_Intake_View'!Q54&lt;&gt;"",'13 - Config_Intake_View'!Q54,'12 - Deployments &amp; Config'!BI54)</f>
        <v>iPro
Epic Satellite
ALLSCRIPTS
EPIC BCA</v>
      </c>
      <c r="J54" s="18" t="str">
        <f>IF('13 - Config_Intake_View'!Q54&lt;&gt;"","PM Approved",IF('12 - Deployments &amp; Config'!BI54&lt;&gt;"","Assumed",""))</f>
        <v>Assumed</v>
      </c>
      <c r="K54" s="34">
        <f>'12 - Deployments &amp; Config'!BH54</f>
        <v>0</v>
      </c>
      <c r="L54" s="18">
        <f>'12 - Deployments &amp; Config'!P54</f>
        <v>0</v>
      </c>
      <c r="M54" s="18">
        <f>'12 - Deployments &amp; Config'!Q54</f>
        <v>0</v>
      </c>
      <c r="N54" s="18" t="str">
        <f>'12 - Deployments &amp; Config'!BL54</f>
        <v/>
      </c>
      <c r="O54" s="34" t="str">
        <f>'12 - Deployments &amp; Config'!BM54</f>
        <v/>
      </c>
      <c r="P54" s="2">
        <f>'12 - Deployments &amp; Config'!BB54</f>
        <v>0</v>
      </c>
      <c r="Q54" s="34" t="str">
        <f t="shared" si="0"/>
        <v/>
      </c>
      <c r="R54" s="18" t="str">
        <f t="shared" si="1"/>
        <v>SW NOT INSTALLED</v>
      </c>
      <c r="S54" s="18" t="str">
        <f t="shared" si="2"/>
        <v/>
      </c>
      <c r="T54" s="18" t="str">
        <f t="shared" si="3"/>
        <v>SW NOT INSTALLED</v>
      </c>
    </row>
    <row r="55" spans="1:20">
      <c r="A55" s="34" t="str">
        <f>'12 - Deployments &amp; Config'!H55</f>
        <v>NSUH</v>
      </c>
      <c r="B55" s="34" t="str">
        <f>'12 - Deployments &amp; Config'!R55</f>
        <v>WMH300OPR337</v>
      </c>
      <c r="C55" s="34">
        <f>'12 - Deployments &amp; Config'!T55</f>
        <v>0</v>
      </c>
      <c r="D55" s="18" t="str">
        <f>'12 - Deployments &amp; Config'!AK55</f>
        <v>CyberMed-S24 TGL</v>
      </c>
      <c r="E55" s="18" t="str">
        <f>'12 - Deployments &amp; Config'!J55</f>
        <v>Yes</v>
      </c>
      <c r="F55" s="34" t="str">
        <f>'12 - Deployments &amp; Config'!K55</f>
        <v>No</v>
      </c>
      <c r="G55" s="18" t="str">
        <f>'12 - Deployments &amp; Config'!L55</f>
        <v>No</v>
      </c>
      <c r="H55" s="18">
        <f>'13 - Config_Intake_View'!M55</f>
        <v>0</v>
      </c>
      <c r="I55" s="34" t="str">
        <f>IF('13 - Config_Intake_View'!Q55&lt;&gt;"",'13 - Config_Intake_View'!Q55,'12 - Deployments &amp; Config'!BI55)</f>
        <v>iPro
Epic Satellite
ALLSCRIPTS
EPIC BCA</v>
      </c>
      <c r="J55" s="18" t="str">
        <f>IF('13 - Config_Intake_View'!Q55&lt;&gt;"","PM Approved",IF('12 - Deployments &amp; Config'!BI55&lt;&gt;"","Assumed",""))</f>
        <v>Assumed</v>
      </c>
      <c r="K55" s="34">
        <f>'12 - Deployments &amp; Config'!BH55</f>
        <v>0</v>
      </c>
      <c r="L55" s="18">
        <f>'12 - Deployments &amp; Config'!P55</f>
        <v>0</v>
      </c>
      <c r="M55" s="18">
        <f>'12 - Deployments &amp; Config'!Q55</f>
        <v>0</v>
      </c>
      <c r="N55" s="18" t="str">
        <f>'12 - Deployments &amp; Config'!BL55</f>
        <v/>
      </c>
      <c r="O55" s="34" t="str">
        <f>'12 - Deployments &amp; Config'!BM55</f>
        <v/>
      </c>
      <c r="P55" s="2">
        <f>'12 - Deployments &amp; Config'!BB55</f>
        <v>0</v>
      </c>
      <c r="Q55" s="34" t="str">
        <f t="shared" si="0"/>
        <v/>
      </c>
      <c r="R55" s="18" t="str">
        <f t="shared" si="1"/>
        <v>SW NOT INSTALLED</v>
      </c>
      <c r="S55" s="18" t="str">
        <f t="shared" si="2"/>
        <v/>
      </c>
      <c r="T55" s="18" t="str">
        <f t="shared" si="3"/>
        <v>SW NOT INSTALLED</v>
      </c>
    </row>
    <row r="56" spans="1:20">
      <c r="A56" s="34" t="str">
        <f>'12 - Deployments &amp; Config'!H56</f>
        <v>NSUH</v>
      </c>
      <c r="B56" s="34" t="str">
        <f>'12 - Deployments &amp; Config'!R56</f>
        <v>WMH300OPR338</v>
      </c>
      <c r="C56" s="34">
        <f>'12 - Deployments &amp; Config'!T56</f>
        <v>0</v>
      </c>
      <c r="D56" s="18">
        <f>'12 - Deployments &amp; Config'!AK56</f>
        <v>0</v>
      </c>
      <c r="E56" s="18" t="str">
        <f>'12 - Deployments &amp; Config'!J56</f>
        <v>Yes</v>
      </c>
      <c r="F56" s="34" t="str">
        <f>'12 - Deployments &amp; Config'!K56</f>
        <v>No</v>
      </c>
      <c r="G56" s="18" t="str">
        <f>'12 - Deployments &amp; Config'!L56</f>
        <v>No</v>
      </c>
      <c r="H56" s="18">
        <f>'13 - Config_Intake_View'!M56</f>
        <v>0</v>
      </c>
      <c r="I56" s="34" t="str">
        <f>IF('13 - Config_Intake_View'!Q56&lt;&gt;"",'13 - Config_Intake_View'!Q56,'12 - Deployments &amp; Config'!BI56)</f>
        <v>iPro
Epic Satellite
ALLSCRIPTS
EPIC BCA</v>
      </c>
      <c r="J56" s="18" t="str">
        <f>IF('13 - Config_Intake_View'!Q56&lt;&gt;"","PM Approved",IF('12 - Deployments &amp; Config'!BI56&lt;&gt;"","Assumed",""))</f>
        <v>Assumed</v>
      </c>
      <c r="K56" s="34">
        <f>'12 - Deployments &amp; Config'!BH56</f>
        <v>0</v>
      </c>
      <c r="L56" s="18">
        <f>'12 - Deployments &amp; Config'!P56</f>
        <v>0</v>
      </c>
      <c r="M56" s="18">
        <f>'12 - Deployments &amp; Config'!Q56</f>
        <v>0</v>
      </c>
      <c r="N56" s="18" t="str">
        <f>'12 - Deployments &amp; Config'!BL56</f>
        <v/>
      </c>
      <c r="O56" s="34" t="str">
        <f>'12 - Deployments &amp; Config'!BM56</f>
        <v/>
      </c>
      <c r="P56" s="2">
        <f>'12 - Deployments &amp; Config'!BB56</f>
        <v>0</v>
      </c>
      <c r="Q56" s="34" t="str">
        <f t="shared" si="0"/>
        <v/>
      </c>
      <c r="R56" s="18" t="str">
        <f t="shared" si="1"/>
        <v>SW NOT INSTALLED</v>
      </c>
      <c r="S56" s="18" t="str">
        <f t="shared" si="2"/>
        <v/>
      </c>
      <c r="T56" s="18" t="str">
        <f t="shared" si="3"/>
        <v>SW NOT INSTALLED</v>
      </c>
    </row>
    <row r="57" spans="1:20">
      <c r="A57" s="34" t="str">
        <f>'12 - Deployments &amp; Config'!H57</f>
        <v>NSUH</v>
      </c>
      <c r="B57" s="34" t="str">
        <f>'12 - Deployments &amp; Config'!R57</f>
        <v>WMH300OPR339</v>
      </c>
      <c r="C57" s="34">
        <f>'12 - Deployments &amp; Config'!T57</f>
        <v>0</v>
      </c>
      <c r="D57" s="18">
        <f>'12 - Deployments &amp; Config'!AK57</f>
        <v>0</v>
      </c>
      <c r="E57" s="18" t="str">
        <f>'12 - Deployments &amp; Config'!J57</f>
        <v>Yes</v>
      </c>
      <c r="F57" s="34" t="str">
        <f>'12 - Deployments &amp; Config'!K57</f>
        <v>No</v>
      </c>
      <c r="G57" s="18" t="str">
        <f>'12 - Deployments &amp; Config'!L57</f>
        <v>No</v>
      </c>
      <c r="H57" s="18">
        <f>'13 - Config_Intake_View'!M57</f>
        <v>0</v>
      </c>
      <c r="I57" s="34" t="str">
        <f>IF('13 - Config_Intake_View'!Q57&lt;&gt;"",'13 - Config_Intake_View'!Q57,'12 - Deployments &amp; Config'!BI57)</f>
        <v>iPro
Epic Satellite
ALLSCRIPTS
EPIC BCA</v>
      </c>
      <c r="J57" s="18" t="str">
        <f>IF('13 - Config_Intake_View'!Q57&lt;&gt;"","PM Approved",IF('12 - Deployments &amp; Config'!BI57&lt;&gt;"","Assumed",""))</f>
        <v>Assumed</v>
      </c>
      <c r="K57" s="34">
        <f>'12 - Deployments &amp; Config'!BH57</f>
        <v>0</v>
      </c>
      <c r="L57" s="18">
        <f>'12 - Deployments &amp; Config'!P57</f>
        <v>0</v>
      </c>
      <c r="M57" s="18">
        <f>'12 - Deployments &amp; Config'!Q57</f>
        <v>0</v>
      </c>
      <c r="N57" s="18" t="str">
        <f>'12 - Deployments &amp; Config'!BL57</f>
        <v/>
      </c>
      <c r="O57" s="34" t="str">
        <f>'12 - Deployments &amp; Config'!BM57</f>
        <v/>
      </c>
      <c r="P57" s="2">
        <f>'12 - Deployments &amp; Config'!BB57</f>
        <v>0</v>
      </c>
      <c r="Q57" s="34" t="str">
        <f t="shared" si="0"/>
        <v/>
      </c>
      <c r="R57" s="18" t="str">
        <f t="shared" si="1"/>
        <v>SW NOT INSTALLED</v>
      </c>
      <c r="S57" s="18" t="str">
        <f t="shared" si="2"/>
        <v/>
      </c>
      <c r="T57" s="18" t="str">
        <f t="shared" si="3"/>
        <v>SW NOT INSTALLED</v>
      </c>
    </row>
    <row r="58" spans="1:20">
      <c r="A58" s="34" t="str">
        <f>'12 - Deployments &amp; Config'!H58</f>
        <v>NSUH</v>
      </c>
      <c r="B58" s="34" t="str">
        <f>'12 - Deployments &amp; Config'!R58</f>
        <v>WMH300OPR340</v>
      </c>
      <c r="C58" s="34">
        <f>'12 - Deployments &amp; Config'!T58</f>
        <v>0</v>
      </c>
      <c r="D58" s="18">
        <f>'12 - Deployments &amp; Config'!AK58</f>
        <v>0</v>
      </c>
      <c r="E58" s="18" t="str">
        <f>'12 - Deployments &amp; Config'!J58</f>
        <v>Yes</v>
      </c>
      <c r="F58" s="34" t="str">
        <f>'12 - Deployments &amp; Config'!K58</f>
        <v>No</v>
      </c>
      <c r="G58" s="18" t="str">
        <f>'12 - Deployments &amp; Config'!L58</f>
        <v>No</v>
      </c>
      <c r="H58" s="18">
        <f>'13 - Config_Intake_View'!M58</f>
        <v>0</v>
      </c>
      <c r="I58" s="34" t="str">
        <f>IF('13 - Config_Intake_View'!Q58&lt;&gt;"",'13 - Config_Intake_View'!Q58,'12 - Deployments &amp; Config'!BI58)</f>
        <v>iPro
Epic Satellite
ALLSCRIPTS
EPIC BCA</v>
      </c>
      <c r="J58" s="18" t="str">
        <f>IF('13 - Config_Intake_View'!Q58&lt;&gt;"","PM Approved",IF('12 - Deployments &amp; Config'!BI58&lt;&gt;"","Assumed",""))</f>
        <v>Assumed</v>
      </c>
      <c r="K58" s="34">
        <f>'12 - Deployments &amp; Config'!BH58</f>
        <v>0</v>
      </c>
      <c r="L58" s="18">
        <f>'12 - Deployments &amp; Config'!P58</f>
        <v>0</v>
      </c>
      <c r="M58" s="18">
        <f>'12 - Deployments &amp; Config'!Q58</f>
        <v>0</v>
      </c>
      <c r="N58" s="18" t="str">
        <f>'12 - Deployments &amp; Config'!BL58</f>
        <v/>
      </c>
      <c r="O58" s="34" t="str">
        <f>'12 - Deployments &amp; Config'!BM58</f>
        <v/>
      </c>
      <c r="P58" s="2">
        <f>'12 - Deployments &amp; Config'!BB58</f>
        <v>0</v>
      </c>
      <c r="Q58" s="34" t="str">
        <f t="shared" si="0"/>
        <v/>
      </c>
      <c r="R58" s="18" t="str">
        <f t="shared" si="1"/>
        <v>SW NOT INSTALLED</v>
      </c>
      <c r="S58" s="18" t="str">
        <f t="shared" si="2"/>
        <v/>
      </c>
      <c r="T58" s="18" t="str">
        <f t="shared" si="3"/>
        <v>SW NOT INSTALLED</v>
      </c>
    </row>
    <row r="59" spans="1:20">
      <c r="A59" s="34" t="str">
        <f>'12 - Deployments &amp; Config'!H59</f>
        <v>NSUH</v>
      </c>
      <c r="B59" s="34" t="str">
        <f>'12 - Deployments &amp; Config'!R59</f>
        <v>WMH300OPR341</v>
      </c>
      <c r="C59" s="34">
        <f>'12 - Deployments &amp; Config'!T59</f>
        <v>0</v>
      </c>
      <c r="D59" s="18">
        <f>'12 - Deployments &amp; Config'!AK59</f>
        <v>0</v>
      </c>
      <c r="E59" s="18" t="str">
        <f>'12 - Deployments &amp; Config'!J59</f>
        <v>Yes</v>
      </c>
      <c r="F59" s="34" t="str">
        <f>'12 - Deployments &amp; Config'!K59</f>
        <v>No</v>
      </c>
      <c r="G59" s="18" t="str">
        <f>'12 - Deployments &amp; Config'!L59</f>
        <v>No</v>
      </c>
      <c r="H59" s="18">
        <f>'13 - Config_Intake_View'!M59</f>
        <v>0</v>
      </c>
      <c r="I59" s="34" t="str">
        <f>IF('13 - Config_Intake_View'!Q59&lt;&gt;"",'13 - Config_Intake_View'!Q59,'12 - Deployments &amp; Config'!BI59)</f>
        <v>iPro
Epic Satellite
ALLSCRIPTS
EPIC BCA</v>
      </c>
      <c r="J59" s="18" t="str">
        <f>IF('13 - Config_Intake_View'!Q59&lt;&gt;"","PM Approved",IF('12 - Deployments &amp; Config'!BI59&lt;&gt;"","Assumed",""))</f>
        <v>Assumed</v>
      </c>
      <c r="K59" s="34">
        <f>'12 - Deployments &amp; Config'!BH59</f>
        <v>0</v>
      </c>
      <c r="L59" s="18">
        <f>'12 - Deployments &amp; Config'!P59</f>
        <v>0</v>
      </c>
      <c r="M59" s="18">
        <f>'12 - Deployments &amp; Config'!Q59</f>
        <v>0</v>
      </c>
      <c r="N59" s="18" t="str">
        <f>'12 - Deployments &amp; Config'!BL59</f>
        <v/>
      </c>
      <c r="O59" s="34" t="str">
        <f>'12 - Deployments &amp; Config'!BM59</f>
        <v/>
      </c>
      <c r="P59" s="2">
        <f>'12 - Deployments &amp; Config'!BB59</f>
        <v>0</v>
      </c>
      <c r="Q59" s="34" t="str">
        <f t="shared" si="0"/>
        <v/>
      </c>
      <c r="R59" s="18" t="str">
        <f t="shared" si="1"/>
        <v>SW NOT INSTALLED</v>
      </c>
      <c r="S59" s="18" t="str">
        <f t="shared" si="2"/>
        <v/>
      </c>
      <c r="T59" s="18" t="str">
        <f t="shared" si="3"/>
        <v>SW NOT INSTALLED</v>
      </c>
    </row>
    <row r="60" spans="1:20">
      <c r="A60" s="34" t="str">
        <f>'12 - Deployments &amp; Config'!H60</f>
        <v>NSUH</v>
      </c>
      <c r="B60" s="34" t="str">
        <f>'12 - Deployments &amp; Config'!R60</f>
        <v>WMH300OPR342</v>
      </c>
      <c r="C60" s="34">
        <f>'12 - Deployments &amp; Config'!T60</f>
        <v>0</v>
      </c>
      <c r="D60" s="18">
        <f>'12 - Deployments &amp; Config'!AK60</f>
        <v>0</v>
      </c>
      <c r="E60" s="18" t="str">
        <f>'12 - Deployments &amp; Config'!J60</f>
        <v>Yes</v>
      </c>
      <c r="F60" s="34" t="str">
        <f>'12 - Deployments &amp; Config'!K60</f>
        <v>No</v>
      </c>
      <c r="G60" s="18" t="str">
        <f>'12 - Deployments &amp; Config'!L60</f>
        <v>No</v>
      </c>
      <c r="H60" s="18">
        <f>'13 - Config_Intake_View'!M60</f>
        <v>0</v>
      </c>
      <c r="I60" s="34" t="str">
        <f>IF('13 - Config_Intake_View'!Q60&lt;&gt;"",'13 - Config_Intake_View'!Q60,'12 - Deployments &amp; Config'!BI60)</f>
        <v>iPro
Epic Satellite
ALLSCRIPTS
EPIC BCA</v>
      </c>
      <c r="J60" s="18" t="str">
        <f>IF('13 - Config_Intake_View'!Q60&lt;&gt;"","PM Approved",IF('12 - Deployments &amp; Config'!BI60&lt;&gt;"","Assumed",""))</f>
        <v>Assumed</v>
      </c>
      <c r="K60" s="34">
        <f>'12 - Deployments &amp; Config'!BH60</f>
        <v>0</v>
      </c>
      <c r="L60" s="18">
        <f>'12 - Deployments &amp; Config'!P60</f>
        <v>0</v>
      </c>
      <c r="M60" s="18">
        <f>'12 - Deployments &amp; Config'!Q60</f>
        <v>0</v>
      </c>
      <c r="N60" s="18" t="str">
        <f>'12 - Deployments &amp; Config'!BL60</f>
        <v/>
      </c>
      <c r="O60" s="34" t="str">
        <f>'12 - Deployments &amp; Config'!BM60</f>
        <v/>
      </c>
      <c r="P60" s="2">
        <f>'12 - Deployments &amp; Config'!BB60</f>
        <v>0</v>
      </c>
      <c r="Q60" s="34" t="str">
        <f t="shared" si="0"/>
        <v/>
      </c>
      <c r="R60" s="18" t="str">
        <f t="shared" si="1"/>
        <v>SW NOT INSTALLED</v>
      </c>
      <c r="S60" s="18" t="str">
        <f t="shared" si="2"/>
        <v/>
      </c>
      <c r="T60" s="18" t="str">
        <f t="shared" si="3"/>
        <v>SW NOT INSTALLED</v>
      </c>
    </row>
    <row r="61" spans="1:20">
      <c r="A61" s="34" t="str">
        <f>'12 - Deployments &amp; Config'!H61</f>
        <v>NSUH</v>
      </c>
      <c r="B61" s="34" t="str">
        <f>'12 - Deployments &amp; Config'!R61</f>
        <v>WMH300OPR343</v>
      </c>
      <c r="C61" s="34">
        <f>'12 - Deployments &amp; Config'!T61</f>
        <v>0</v>
      </c>
      <c r="D61" s="18">
        <f>'12 - Deployments &amp; Config'!AK61</f>
        <v>0</v>
      </c>
      <c r="E61" s="18" t="str">
        <f>'12 - Deployments &amp; Config'!J61</f>
        <v>Yes</v>
      </c>
      <c r="F61" s="34" t="str">
        <f>'12 - Deployments &amp; Config'!K61</f>
        <v>No</v>
      </c>
      <c r="G61" s="18" t="str">
        <f>'12 - Deployments &amp; Config'!L61</f>
        <v>No</v>
      </c>
      <c r="H61" s="18">
        <f>'13 - Config_Intake_View'!M61</f>
        <v>0</v>
      </c>
      <c r="I61" s="34" t="str">
        <f>IF('13 - Config_Intake_View'!Q61&lt;&gt;"",'13 - Config_Intake_View'!Q61,'12 - Deployments &amp; Config'!BI61)</f>
        <v>iPro
Epic Satellite
ALLSCRIPTS
EPIC BCA</v>
      </c>
      <c r="J61" s="18" t="str">
        <f>IF('13 - Config_Intake_View'!Q61&lt;&gt;"","PM Approved",IF('12 - Deployments &amp; Config'!BI61&lt;&gt;"","Assumed",""))</f>
        <v>Assumed</v>
      </c>
      <c r="K61" s="34">
        <f>'12 - Deployments &amp; Config'!BH61</f>
        <v>0</v>
      </c>
      <c r="L61" s="18">
        <f>'12 - Deployments &amp; Config'!P61</f>
        <v>0</v>
      </c>
      <c r="M61" s="18">
        <f>'12 - Deployments &amp; Config'!Q61</f>
        <v>0</v>
      </c>
      <c r="N61" s="18" t="str">
        <f>'12 - Deployments &amp; Config'!BL61</f>
        <v/>
      </c>
      <c r="O61" s="34" t="str">
        <f>'12 - Deployments &amp; Config'!BM61</f>
        <v/>
      </c>
      <c r="P61" s="2">
        <f>'12 - Deployments &amp; Config'!BB61</f>
        <v>0</v>
      </c>
      <c r="Q61" s="34" t="str">
        <f t="shared" si="0"/>
        <v/>
      </c>
      <c r="R61" s="18" t="str">
        <f t="shared" si="1"/>
        <v>SW NOT INSTALLED</v>
      </c>
      <c r="S61" s="18" t="str">
        <f t="shared" si="2"/>
        <v/>
      </c>
      <c r="T61" s="18" t="str">
        <f t="shared" si="3"/>
        <v>SW NOT INSTALLED</v>
      </c>
    </row>
    <row r="62" spans="1:20">
      <c r="A62" s="34" t="str">
        <f>'12 - Deployments &amp; Config'!H62</f>
        <v>NSUH</v>
      </c>
      <c r="B62" s="34" t="str">
        <f>'12 - Deployments &amp; Config'!R62</f>
        <v>WMH300OPR344</v>
      </c>
      <c r="C62" s="34">
        <f>'12 - Deployments &amp; Config'!T62</f>
        <v>0</v>
      </c>
      <c r="D62" s="18">
        <f>'12 - Deployments &amp; Config'!AK62</f>
        <v>0</v>
      </c>
      <c r="E62" s="18" t="str">
        <f>'12 - Deployments &amp; Config'!J62</f>
        <v>Yes</v>
      </c>
      <c r="F62" s="34" t="str">
        <f>'12 - Deployments &amp; Config'!K62</f>
        <v>No</v>
      </c>
      <c r="G62" s="18" t="str">
        <f>'12 - Deployments &amp; Config'!L62</f>
        <v>No</v>
      </c>
      <c r="H62" s="18">
        <f>'13 - Config_Intake_View'!M62</f>
        <v>0</v>
      </c>
      <c r="I62" s="34" t="str">
        <f>IF('13 - Config_Intake_View'!Q62&lt;&gt;"",'13 - Config_Intake_View'!Q62,'12 - Deployments &amp; Config'!BI62)</f>
        <v>iPro
Epic Satellite
ALLSCRIPTS
EPIC BCA</v>
      </c>
      <c r="J62" s="18" t="str">
        <f>IF('13 - Config_Intake_View'!Q62&lt;&gt;"","PM Approved",IF('12 - Deployments &amp; Config'!BI62&lt;&gt;"","Assumed",""))</f>
        <v>Assumed</v>
      </c>
      <c r="K62" s="34">
        <f>'12 - Deployments &amp; Config'!BH62</f>
        <v>0</v>
      </c>
      <c r="L62" s="18">
        <f>'12 - Deployments &amp; Config'!P62</f>
        <v>0</v>
      </c>
      <c r="M62" s="18">
        <f>'12 - Deployments &amp; Config'!Q62</f>
        <v>0</v>
      </c>
      <c r="N62" s="18" t="str">
        <f>'12 - Deployments &amp; Config'!BL62</f>
        <v/>
      </c>
      <c r="O62" s="34" t="str">
        <f>'12 - Deployments &amp; Config'!BM62</f>
        <v/>
      </c>
      <c r="P62" s="2">
        <f>'12 - Deployments &amp; Config'!BB62</f>
        <v>0</v>
      </c>
      <c r="Q62" s="34" t="str">
        <f t="shared" si="0"/>
        <v/>
      </c>
      <c r="R62" s="18" t="str">
        <f t="shared" si="1"/>
        <v>SW NOT INSTALLED</v>
      </c>
      <c r="S62" s="18" t="str">
        <f t="shared" si="2"/>
        <v/>
      </c>
      <c r="T62" s="18" t="str">
        <f t="shared" si="3"/>
        <v>SW NOT INSTALLED</v>
      </c>
    </row>
    <row r="63" spans="1:20">
      <c r="A63" s="34" t="str">
        <f>'12 - Deployments &amp; Config'!H63</f>
        <v>NSUH</v>
      </c>
      <c r="B63" s="34" t="str">
        <f>'12 - Deployments &amp; Config'!R63</f>
        <v>WMH300OPR345</v>
      </c>
      <c r="C63" s="34">
        <f>'12 - Deployments &amp; Config'!T63</f>
        <v>0</v>
      </c>
      <c r="D63" s="18">
        <f>'12 - Deployments &amp; Config'!AK63</f>
        <v>0</v>
      </c>
      <c r="E63" s="18" t="str">
        <f>'12 - Deployments &amp; Config'!J63</f>
        <v>Yes</v>
      </c>
      <c r="F63" s="34" t="str">
        <f>'12 - Deployments &amp; Config'!K63</f>
        <v>No</v>
      </c>
      <c r="G63" s="18" t="str">
        <f>'12 - Deployments &amp; Config'!L63</f>
        <v>No</v>
      </c>
      <c r="H63" s="18">
        <f>'13 - Config_Intake_View'!M63</f>
        <v>0</v>
      </c>
      <c r="I63" s="34" t="str">
        <f>IF('13 - Config_Intake_View'!Q63&lt;&gt;"",'13 - Config_Intake_View'!Q63,'12 - Deployments &amp; Config'!BI63)</f>
        <v>iPro
Epic Satellite
ALLSCRIPTS
EPIC BCA</v>
      </c>
      <c r="J63" s="18" t="str">
        <f>IF('13 - Config_Intake_View'!Q63&lt;&gt;"","PM Approved",IF('12 - Deployments &amp; Config'!BI63&lt;&gt;"","Assumed",""))</f>
        <v>Assumed</v>
      </c>
      <c r="K63" s="34">
        <f>'12 - Deployments &amp; Config'!BH63</f>
        <v>0</v>
      </c>
      <c r="L63" s="18">
        <f>'12 - Deployments &amp; Config'!P63</f>
        <v>0</v>
      </c>
      <c r="M63" s="18">
        <f>'12 - Deployments &amp; Config'!Q63</f>
        <v>0</v>
      </c>
      <c r="N63" s="18" t="str">
        <f>'12 - Deployments &amp; Config'!BL63</f>
        <v/>
      </c>
      <c r="O63" s="34" t="str">
        <f>'12 - Deployments &amp; Config'!BM63</f>
        <v/>
      </c>
      <c r="P63" s="2">
        <f>'12 - Deployments &amp; Config'!BB63</f>
        <v>0</v>
      </c>
      <c r="Q63" s="34" t="str">
        <f t="shared" si="0"/>
        <v/>
      </c>
      <c r="R63" s="18" t="str">
        <f t="shared" si="1"/>
        <v>SW NOT INSTALLED</v>
      </c>
      <c r="S63" s="18" t="str">
        <f t="shared" si="2"/>
        <v/>
      </c>
      <c r="T63" s="18" t="str">
        <f t="shared" si="3"/>
        <v>SW NOT INSTALLED</v>
      </c>
    </row>
    <row r="64" spans="1:20">
      <c r="A64" s="34" t="str">
        <f>'12 - Deployments &amp; Config'!H64</f>
        <v>NSUH</v>
      </c>
      <c r="B64" s="34" t="str">
        <f>'12 - Deployments &amp; Config'!R64</f>
        <v>WMH300OPR346</v>
      </c>
      <c r="C64" s="34">
        <f>'12 - Deployments &amp; Config'!T64</f>
        <v>0</v>
      </c>
      <c r="D64" s="18">
        <f>'12 - Deployments &amp; Config'!AK64</f>
        <v>0</v>
      </c>
      <c r="E64" s="18" t="str">
        <f>'12 - Deployments &amp; Config'!J64</f>
        <v>Yes</v>
      </c>
      <c r="F64" s="34" t="str">
        <f>'12 - Deployments &amp; Config'!K64</f>
        <v>No</v>
      </c>
      <c r="G64" s="18" t="str">
        <f>'12 - Deployments &amp; Config'!L64</f>
        <v>No</v>
      </c>
      <c r="H64" s="18">
        <f>'13 - Config_Intake_View'!M64</f>
        <v>0</v>
      </c>
      <c r="I64" s="34" t="str">
        <f>IF('13 - Config_Intake_View'!Q64&lt;&gt;"",'13 - Config_Intake_View'!Q64,'12 - Deployments &amp; Config'!BI64)</f>
        <v>iPro
Epic Satellite
ALLSCRIPTS
EPIC BCA</v>
      </c>
      <c r="J64" s="18" t="str">
        <f>IF('13 - Config_Intake_View'!Q64&lt;&gt;"","PM Approved",IF('12 - Deployments &amp; Config'!BI64&lt;&gt;"","Assumed",""))</f>
        <v>Assumed</v>
      </c>
      <c r="K64" s="34">
        <f>'12 - Deployments &amp; Config'!BH64</f>
        <v>0</v>
      </c>
      <c r="L64" s="18">
        <f>'12 - Deployments &amp; Config'!P64</f>
        <v>0</v>
      </c>
      <c r="M64" s="18">
        <f>'12 - Deployments &amp; Config'!Q64</f>
        <v>0</v>
      </c>
      <c r="N64" s="18" t="str">
        <f>'12 - Deployments &amp; Config'!BL64</f>
        <v/>
      </c>
      <c r="O64" s="34" t="str">
        <f>'12 - Deployments &amp; Config'!BM64</f>
        <v/>
      </c>
      <c r="P64" s="2">
        <f>'12 - Deployments &amp; Config'!BB64</f>
        <v>0</v>
      </c>
      <c r="Q64" s="34" t="str">
        <f t="shared" si="0"/>
        <v/>
      </c>
      <c r="R64" s="18" t="str">
        <f t="shared" si="1"/>
        <v>SW NOT INSTALLED</v>
      </c>
      <c r="S64" s="18" t="str">
        <f t="shared" si="2"/>
        <v/>
      </c>
      <c r="T64" s="18" t="str">
        <f t="shared" si="3"/>
        <v>SW NOT INSTALLED</v>
      </c>
    </row>
    <row r="65" spans="1:20">
      <c r="A65" s="34" t="str">
        <f>'12 - Deployments &amp; Config'!H65</f>
        <v>NSUH</v>
      </c>
      <c r="B65" s="34" t="str">
        <f>'12 - Deployments &amp; Config'!R65</f>
        <v>WMH300OPR347</v>
      </c>
      <c r="C65" s="34">
        <f>'12 - Deployments &amp; Config'!T65</f>
        <v>0</v>
      </c>
      <c r="D65" s="18">
        <f>'12 - Deployments &amp; Config'!AK65</f>
        <v>0</v>
      </c>
      <c r="E65" s="18" t="str">
        <f>'12 - Deployments &amp; Config'!J65</f>
        <v>Yes</v>
      </c>
      <c r="F65" s="34" t="str">
        <f>'12 - Deployments &amp; Config'!K65</f>
        <v>No</v>
      </c>
      <c r="G65" s="18" t="str">
        <f>'12 - Deployments &amp; Config'!L65</f>
        <v>No</v>
      </c>
      <c r="H65" s="18">
        <f>'13 - Config_Intake_View'!M65</f>
        <v>0</v>
      </c>
      <c r="I65" s="34" t="str">
        <f>IF('13 - Config_Intake_View'!Q65&lt;&gt;"",'13 - Config_Intake_View'!Q65,'12 - Deployments &amp; Config'!BI65)</f>
        <v>iPro
Epic Satellite
ALLSCRIPTS
EPIC BCA</v>
      </c>
      <c r="J65" s="18" t="str">
        <f>IF('13 - Config_Intake_View'!Q65&lt;&gt;"","PM Approved",IF('12 - Deployments &amp; Config'!BI65&lt;&gt;"","Assumed",""))</f>
        <v>Assumed</v>
      </c>
      <c r="K65" s="34">
        <f>'12 - Deployments &amp; Config'!BH65</f>
        <v>0</v>
      </c>
      <c r="L65" s="18">
        <f>'12 - Deployments &amp; Config'!P65</f>
        <v>0</v>
      </c>
      <c r="M65" s="18">
        <f>'12 - Deployments &amp; Config'!Q65</f>
        <v>0</v>
      </c>
      <c r="N65" s="18" t="str">
        <f>'12 - Deployments &amp; Config'!BL65</f>
        <v/>
      </c>
      <c r="O65" s="34" t="str">
        <f>'12 - Deployments &amp; Config'!BM65</f>
        <v/>
      </c>
      <c r="P65" s="2">
        <f>'12 - Deployments &amp; Config'!BB65</f>
        <v>0</v>
      </c>
      <c r="Q65" s="34" t="str">
        <f t="shared" si="0"/>
        <v/>
      </c>
      <c r="R65" s="18" t="str">
        <f t="shared" si="1"/>
        <v>SW NOT INSTALLED</v>
      </c>
      <c r="S65" s="18" t="str">
        <f t="shared" si="2"/>
        <v/>
      </c>
      <c r="T65" s="18" t="str">
        <f t="shared" si="3"/>
        <v>SW NOT INSTALLED</v>
      </c>
    </row>
    <row r="66" spans="1:20">
      <c r="A66" s="34" t="str">
        <f>'12 - Deployments &amp; Config'!H66</f>
        <v>NSUH</v>
      </c>
      <c r="B66" s="34" t="str">
        <f>'12 - Deployments &amp; Config'!R66</f>
        <v>WMH300OPR348</v>
      </c>
      <c r="C66" s="34">
        <f>'12 - Deployments &amp; Config'!T66</f>
        <v>0</v>
      </c>
      <c r="D66" s="18">
        <f>'12 - Deployments &amp; Config'!AK66</f>
        <v>0</v>
      </c>
      <c r="E66" s="18" t="str">
        <f>'12 - Deployments &amp; Config'!J66</f>
        <v>Yes</v>
      </c>
      <c r="F66" s="34" t="str">
        <f>'12 - Deployments &amp; Config'!K66</f>
        <v>No</v>
      </c>
      <c r="G66" s="18" t="str">
        <f>'12 - Deployments &amp; Config'!L66</f>
        <v>No</v>
      </c>
      <c r="H66" s="18">
        <f>'13 - Config_Intake_View'!M66</f>
        <v>0</v>
      </c>
      <c r="I66" s="34" t="str">
        <f>IF('13 - Config_Intake_View'!Q66&lt;&gt;"",'13 - Config_Intake_View'!Q66,'12 - Deployments &amp; Config'!BI66)</f>
        <v>iPro
Epic Satellite
ALLSCRIPTS
EPIC BCA</v>
      </c>
      <c r="J66" s="18" t="str">
        <f>IF('13 - Config_Intake_View'!Q66&lt;&gt;"","PM Approved",IF('12 - Deployments &amp; Config'!BI66&lt;&gt;"","Assumed",""))</f>
        <v>Assumed</v>
      </c>
      <c r="K66" s="34">
        <f>'12 - Deployments &amp; Config'!BH66</f>
        <v>0</v>
      </c>
      <c r="L66" s="18">
        <f>'12 - Deployments &amp; Config'!P66</f>
        <v>0</v>
      </c>
      <c r="M66" s="18">
        <f>'12 - Deployments &amp; Config'!Q66</f>
        <v>0</v>
      </c>
      <c r="N66" s="18" t="str">
        <f>'12 - Deployments &amp; Config'!BL66</f>
        <v/>
      </c>
      <c r="O66" s="34" t="str">
        <f>'12 - Deployments &amp; Config'!BM66</f>
        <v/>
      </c>
      <c r="P66" s="2">
        <f>'12 - Deployments &amp; Config'!BB66</f>
        <v>0</v>
      </c>
      <c r="Q66" s="34" t="str">
        <f t="shared" ref="Q66:Q129" si="4">IF(OR($A66="",$B66="",$D66=""),"MISSING CORE FIELDS","")</f>
        <v/>
      </c>
      <c r="R66" s="18" t="str">
        <f t="shared" ref="R66:R129" si="5">IF(AND($I66&lt;&gt;"",$K66&lt;&gt;"Yes"),"SW NOT INSTALLED","")</f>
        <v>SW NOT INSTALLED</v>
      </c>
      <c r="S66" s="18" t="str">
        <f t="shared" ref="S66:S129" si="6">IF(AND($H66&lt;&gt;"",ISNUMBER(SEARCH("auto",LOWER($H66))),$F66=""),"AUTOLOGON REQUIRED","")</f>
        <v/>
      </c>
      <c r="T66" s="18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4" t="str">
        <f>'12 - Deployments &amp; Config'!H67</f>
        <v>NSUH</v>
      </c>
      <c r="B67" s="34" t="str">
        <f>'12 - Deployments &amp; Config'!R67</f>
        <v>WMH300OPR349</v>
      </c>
      <c r="C67" s="34">
        <f>'12 - Deployments &amp; Config'!T67</f>
        <v>0</v>
      </c>
      <c r="D67" s="18">
        <f>'12 - Deployments &amp; Config'!AK67</f>
        <v>0</v>
      </c>
      <c r="E67" s="18" t="str">
        <f>'12 - Deployments &amp; Config'!J67</f>
        <v>Yes</v>
      </c>
      <c r="F67" s="34" t="str">
        <f>'12 - Deployments &amp; Config'!K67</f>
        <v>No</v>
      </c>
      <c r="G67" s="18" t="str">
        <f>'12 - Deployments &amp; Config'!L67</f>
        <v>No</v>
      </c>
      <c r="H67" s="18">
        <f>'13 - Config_Intake_View'!M67</f>
        <v>0</v>
      </c>
      <c r="I67" s="34" t="str">
        <f>IF('13 - Config_Intake_View'!Q67&lt;&gt;"",'13 - Config_Intake_View'!Q67,'12 - Deployments &amp; Config'!BI67)</f>
        <v>iPro
Epic Satellite
ALLSCRIPTS
EPIC BCA</v>
      </c>
      <c r="J67" s="18" t="str">
        <f>IF('13 - Config_Intake_View'!Q67&lt;&gt;"","PM Approved",IF('12 - Deployments &amp; Config'!BI67&lt;&gt;"","Assumed",""))</f>
        <v>Assumed</v>
      </c>
      <c r="K67" s="34">
        <f>'12 - Deployments &amp; Config'!BH67</f>
        <v>0</v>
      </c>
      <c r="L67" s="18">
        <f>'12 - Deployments &amp; Config'!P67</f>
        <v>0</v>
      </c>
      <c r="M67" s="18">
        <f>'12 - Deployments &amp; Config'!Q67</f>
        <v>0</v>
      </c>
      <c r="N67" s="18" t="str">
        <f>'12 - Deployments &amp; Config'!BL67</f>
        <v/>
      </c>
      <c r="O67" s="34" t="str">
        <f>'12 - Deployments &amp; Config'!BM67</f>
        <v/>
      </c>
      <c r="P67" s="2">
        <f>'12 - Deployments &amp; Config'!BB67</f>
        <v>0</v>
      </c>
      <c r="Q67" s="34" t="str">
        <f t="shared" si="4"/>
        <v/>
      </c>
      <c r="R67" s="18" t="str">
        <f t="shared" si="5"/>
        <v>SW NOT INSTALLED</v>
      </c>
      <c r="S67" s="18" t="str">
        <f t="shared" si="6"/>
        <v/>
      </c>
      <c r="T67" s="18" t="str">
        <f t="shared" si="7"/>
        <v>SW NOT INSTALLED</v>
      </c>
    </row>
    <row r="68" spans="1:20">
      <c r="A68" s="34" t="str">
        <f>'12 - Deployments &amp; Config'!H68</f>
        <v>NSUH</v>
      </c>
      <c r="B68" s="34" t="str">
        <f>'12 - Deployments &amp; Config'!R68</f>
        <v>WMH300OPR350</v>
      </c>
      <c r="C68" s="34">
        <f>'12 - Deployments &amp; Config'!T68</f>
        <v>0</v>
      </c>
      <c r="D68" s="18">
        <f>'12 - Deployments &amp; Config'!AK68</f>
        <v>0</v>
      </c>
      <c r="E68" s="18" t="str">
        <f>'12 - Deployments &amp; Config'!J68</f>
        <v>Yes</v>
      </c>
      <c r="F68" s="34" t="str">
        <f>'12 - Deployments &amp; Config'!K68</f>
        <v>No</v>
      </c>
      <c r="G68" s="18" t="str">
        <f>'12 - Deployments &amp; Config'!L68</f>
        <v>No</v>
      </c>
      <c r="H68" s="18">
        <f>'13 - Config_Intake_View'!M68</f>
        <v>0</v>
      </c>
      <c r="I68" s="34" t="str">
        <f>IF('13 - Config_Intake_View'!Q68&lt;&gt;"",'13 - Config_Intake_View'!Q68,'12 - Deployments &amp; Config'!BI68)</f>
        <v>iPro
Epic Satellite
ALLSCRIPTS
EPIC BCA</v>
      </c>
      <c r="J68" s="18" t="str">
        <f>IF('13 - Config_Intake_View'!Q68&lt;&gt;"","PM Approved",IF('12 - Deployments &amp; Config'!BI68&lt;&gt;"","Assumed",""))</f>
        <v>Assumed</v>
      </c>
      <c r="K68" s="34">
        <f>'12 - Deployments &amp; Config'!BH68</f>
        <v>0</v>
      </c>
      <c r="L68" s="18">
        <f>'12 - Deployments &amp; Config'!P68</f>
        <v>0</v>
      </c>
      <c r="M68" s="18">
        <f>'12 - Deployments &amp; Config'!Q68</f>
        <v>0</v>
      </c>
      <c r="N68" s="18" t="str">
        <f>'12 - Deployments &amp; Config'!BL68</f>
        <v/>
      </c>
      <c r="O68" s="34" t="str">
        <f>'12 - Deployments &amp; Config'!BM68</f>
        <v/>
      </c>
      <c r="P68" s="2">
        <f>'12 - Deployments &amp; Config'!BB68</f>
        <v>0</v>
      </c>
      <c r="Q68" s="34" t="str">
        <f t="shared" si="4"/>
        <v/>
      </c>
      <c r="R68" s="18" t="str">
        <f t="shared" si="5"/>
        <v>SW NOT INSTALLED</v>
      </c>
      <c r="S68" s="18" t="str">
        <f t="shared" si="6"/>
        <v/>
      </c>
      <c r="T68" s="18" t="str">
        <f t="shared" si="7"/>
        <v>SW NOT INSTALLED</v>
      </c>
    </row>
    <row r="69" spans="1:20">
      <c r="A69" s="34" t="str">
        <f>'12 - Deployments &amp; Config'!H69</f>
        <v>LIJ - CCMC</v>
      </c>
      <c r="B69" s="34" t="str">
        <f>'12 - Deployments &amp; Config'!R69</f>
        <v>WNH269OPR013</v>
      </c>
      <c r="C69" s="34">
        <f>'12 - Deployments &amp; Config'!T69</f>
        <v>0</v>
      </c>
      <c r="D69" s="18">
        <f>'12 - Deployments &amp; Config'!AK69</f>
        <v>0</v>
      </c>
      <c r="E69" s="18" t="str">
        <f>'12 - Deployments &amp; Config'!J69</f>
        <v>Yes</v>
      </c>
      <c r="F69" s="34" t="str">
        <f>'12 - Deployments &amp; Config'!K69</f>
        <v>No</v>
      </c>
      <c r="G69" s="18" t="str">
        <f>'12 - Deployments &amp; Config'!L69</f>
        <v>No</v>
      </c>
      <c r="H69" s="18">
        <f>'13 - Config_Intake_View'!M69</f>
        <v>0</v>
      </c>
      <c r="I69" s="34" t="str">
        <f>IF('13 - Config_Intake_View'!Q69&lt;&gt;"",'13 - Config_Intake_View'!Q69,'12 - Deployments &amp; Config'!BI69)</f>
        <v>iPro
Epic Satellite
ALLSCRIPTS
EPIC BCA</v>
      </c>
      <c r="J69" s="18" t="str">
        <f>IF('13 - Config_Intake_View'!Q69&lt;&gt;"","PM Approved",IF('12 - Deployments &amp; Config'!BI69&lt;&gt;"","Assumed",""))</f>
        <v>Assumed</v>
      </c>
      <c r="K69" s="34">
        <f>'12 - Deployments &amp; Config'!BH69</f>
        <v>0</v>
      </c>
      <c r="L69" s="18">
        <f>'12 - Deployments &amp; Config'!P69</f>
        <v>0</v>
      </c>
      <c r="M69" s="18">
        <f>'12 - Deployments &amp; Config'!Q69</f>
        <v>0</v>
      </c>
      <c r="N69" s="18" t="str">
        <f>'12 - Deployments &amp; Config'!BL69</f>
        <v/>
      </c>
      <c r="O69" s="34" t="str">
        <f>'12 - Deployments &amp; Config'!BM69</f>
        <v/>
      </c>
      <c r="P69" s="2">
        <f>'12 - Deployments &amp; Config'!BB69</f>
        <v>0</v>
      </c>
      <c r="Q69" s="34" t="str">
        <f t="shared" si="4"/>
        <v/>
      </c>
      <c r="R69" s="18" t="str">
        <f t="shared" si="5"/>
        <v>SW NOT INSTALLED</v>
      </c>
      <c r="S69" s="18" t="str">
        <f t="shared" si="6"/>
        <v/>
      </c>
      <c r="T69" s="18" t="str">
        <f t="shared" si="7"/>
        <v>SW NOT INSTALLED</v>
      </c>
    </row>
    <row r="70" spans="1:20">
      <c r="A70" s="34" t="str">
        <f>'12 - Deployments &amp; Config'!H70</f>
        <v>LIJ - CCMC</v>
      </c>
      <c r="B70" s="34" t="str">
        <f>'12 - Deployments &amp; Config'!R70</f>
        <v>WNH269OPR014</v>
      </c>
      <c r="C70" s="34">
        <f>'12 - Deployments &amp; Config'!T70</f>
        <v>0</v>
      </c>
      <c r="D70" s="18">
        <f>'12 - Deployments &amp; Config'!AK70</f>
        <v>0</v>
      </c>
      <c r="E70" s="18" t="str">
        <f>'12 - Deployments &amp; Config'!J70</f>
        <v>Yes</v>
      </c>
      <c r="F70" s="34" t="str">
        <f>'12 - Deployments &amp; Config'!K70</f>
        <v>No</v>
      </c>
      <c r="G70" s="18" t="str">
        <f>'12 - Deployments &amp; Config'!L70</f>
        <v>No</v>
      </c>
      <c r="H70" s="18">
        <f>'13 - Config_Intake_View'!M70</f>
        <v>0</v>
      </c>
      <c r="I70" s="34" t="str">
        <f>IF('13 - Config_Intake_View'!Q70&lt;&gt;"",'13 - Config_Intake_View'!Q70,'12 - Deployments &amp; Config'!BI70)</f>
        <v>iPro
Epic Satellite
ALLSCRIPTS
EPIC BCA</v>
      </c>
      <c r="J70" s="18" t="str">
        <f>IF('13 - Config_Intake_View'!Q70&lt;&gt;"","PM Approved",IF('12 - Deployments &amp; Config'!BI70&lt;&gt;"","Assumed",""))</f>
        <v>Assumed</v>
      </c>
      <c r="K70" s="34">
        <f>'12 - Deployments &amp; Config'!BH70</f>
        <v>0</v>
      </c>
      <c r="L70" s="18">
        <f>'12 - Deployments &amp; Config'!P70</f>
        <v>0</v>
      </c>
      <c r="M70" s="18">
        <f>'12 - Deployments &amp; Config'!Q70</f>
        <v>0</v>
      </c>
      <c r="N70" s="18" t="str">
        <f>'12 - Deployments &amp; Config'!BL70</f>
        <v/>
      </c>
      <c r="O70" s="34" t="str">
        <f>'12 - Deployments &amp; Config'!BM70</f>
        <v/>
      </c>
      <c r="P70" s="2">
        <f>'12 - Deployments &amp; Config'!BB70</f>
        <v>0</v>
      </c>
      <c r="Q70" s="34" t="str">
        <f t="shared" si="4"/>
        <v/>
      </c>
      <c r="R70" s="18" t="str">
        <f t="shared" si="5"/>
        <v>SW NOT INSTALLED</v>
      </c>
      <c r="S70" s="18" t="str">
        <f t="shared" si="6"/>
        <v/>
      </c>
      <c r="T70" s="18" t="str">
        <f t="shared" si="7"/>
        <v>SW NOT INSTALLED</v>
      </c>
    </row>
    <row r="71" spans="1:20">
      <c r="A71" s="34" t="str">
        <f>'12 - Deployments &amp; Config'!H71</f>
        <v>LIJ - CCMC</v>
      </c>
      <c r="B71" s="34" t="str">
        <f>'12 - Deployments &amp; Config'!R71</f>
        <v>WNH269OPR015</v>
      </c>
      <c r="C71" s="34">
        <f>'12 - Deployments &amp; Config'!T71</f>
        <v>0</v>
      </c>
      <c r="D71" s="18">
        <f>'12 - Deployments &amp; Config'!AK71</f>
        <v>0</v>
      </c>
      <c r="E71" s="18" t="str">
        <f>'12 - Deployments &amp; Config'!J71</f>
        <v>Yes</v>
      </c>
      <c r="F71" s="34" t="str">
        <f>'12 - Deployments &amp; Config'!K71</f>
        <v>No</v>
      </c>
      <c r="G71" s="18" t="str">
        <f>'12 - Deployments &amp; Config'!L71</f>
        <v>No</v>
      </c>
      <c r="H71" s="18">
        <f>'13 - Config_Intake_View'!M71</f>
        <v>0</v>
      </c>
      <c r="I71" s="34" t="str">
        <f>IF('13 - Config_Intake_View'!Q71&lt;&gt;"",'13 - Config_Intake_View'!Q71,'12 - Deployments &amp; Config'!BI71)</f>
        <v>iPro
Epic Satellite
ALLSCRIPTS
EPIC BCA</v>
      </c>
      <c r="J71" s="18" t="str">
        <f>IF('13 - Config_Intake_View'!Q71&lt;&gt;"","PM Approved",IF('12 - Deployments &amp; Config'!BI71&lt;&gt;"","Assumed",""))</f>
        <v>Assumed</v>
      </c>
      <c r="K71" s="34">
        <f>'12 - Deployments &amp; Config'!BH71</f>
        <v>0</v>
      </c>
      <c r="L71" s="18">
        <f>'12 - Deployments &amp; Config'!P71</f>
        <v>0</v>
      </c>
      <c r="M71" s="18">
        <f>'12 - Deployments &amp; Config'!Q71</f>
        <v>0</v>
      </c>
      <c r="N71" s="18" t="str">
        <f>'12 - Deployments &amp; Config'!BL71</f>
        <v/>
      </c>
      <c r="O71" s="34" t="str">
        <f>'12 - Deployments &amp; Config'!BM71</f>
        <v/>
      </c>
      <c r="P71" s="2">
        <f>'12 - Deployments &amp; Config'!BB71</f>
        <v>0</v>
      </c>
      <c r="Q71" s="34" t="str">
        <f t="shared" si="4"/>
        <v/>
      </c>
      <c r="R71" s="18" t="str">
        <f t="shared" si="5"/>
        <v>SW NOT INSTALLED</v>
      </c>
      <c r="S71" s="18" t="str">
        <f t="shared" si="6"/>
        <v/>
      </c>
      <c r="T71" s="18" t="str">
        <f t="shared" si="7"/>
        <v>SW NOT INSTALLED</v>
      </c>
    </row>
    <row r="72" spans="1:20">
      <c r="A72" s="34" t="str">
        <f>'12 - Deployments &amp; Config'!H72</f>
        <v>LIJ - CCMC</v>
      </c>
      <c r="B72" s="34" t="str">
        <f>'12 - Deployments &amp; Config'!R72</f>
        <v>WNH269OPR016</v>
      </c>
      <c r="C72" s="34">
        <f>'12 - Deployments &amp; Config'!T72</f>
        <v>0</v>
      </c>
      <c r="D72" s="18">
        <f>'12 - Deployments &amp; Config'!AK72</f>
        <v>0</v>
      </c>
      <c r="E72" s="18" t="str">
        <f>'12 - Deployments &amp; Config'!J72</f>
        <v>Yes</v>
      </c>
      <c r="F72" s="34" t="str">
        <f>'12 - Deployments &amp; Config'!K72</f>
        <v>No</v>
      </c>
      <c r="G72" s="18" t="str">
        <f>'12 - Deployments &amp; Config'!L72</f>
        <v>No</v>
      </c>
      <c r="H72" s="18">
        <f>'13 - Config_Intake_View'!M72</f>
        <v>0</v>
      </c>
      <c r="I72" s="34" t="str">
        <f>IF('13 - Config_Intake_View'!Q72&lt;&gt;"",'13 - Config_Intake_View'!Q72,'12 - Deployments &amp; Config'!BI72)</f>
        <v>iPro
Epic Satellite
ALLSCRIPTS
EPIC BCA</v>
      </c>
      <c r="J72" s="18" t="str">
        <f>IF('13 - Config_Intake_View'!Q72&lt;&gt;"","PM Approved",IF('12 - Deployments &amp; Config'!BI72&lt;&gt;"","Assumed",""))</f>
        <v>Assumed</v>
      </c>
      <c r="K72" s="34">
        <f>'12 - Deployments &amp; Config'!BH72</f>
        <v>0</v>
      </c>
      <c r="L72" s="18">
        <f>'12 - Deployments &amp; Config'!P72</f>
        <v>0</v>
      </c>
      <c r="M72" s="18">
        <f>'12 - Deployments &amp; Config'!Q72</f>
        <v>0</v>
      </c>
      <c r="N72" s="18" t="str">
        <f>'12 - Deployments &amp; Config'!BL72</f>
        <v/>
      </c>
      <c r="O72" s="34" t="str">
        <f>'12 - Deployments &amp; Config'!BM72</f>
        <v/>
      </c>
      <c r="P72" s="2">
        <f>'12 - Deployments &amp; Config'!BB72</f>
        <v>0</v>
      </c>
      <c r="Q72" s="34" t="str">
        <f t="shared" si="4"/>
        <v/>
      </c>
      <c r="R72" s="18" t="str">
        <f t="shared" si="5"/>
        <v>SW NOT INSTALLED</v>
      </c>
      <c r="S72" s="18" t="str">
        <f t="shared" si="6"/>
        <v/>
      </c>
      <c r="T72" s="18" t="str">
        <f t="shared" si="7"/>
        <v>SW NOT INSTALLED</v>
      </c>
    </row>
    <row r="73" spans="1:20">
      <c r="A73" s="34" t="str">
        <f>'12 - Deployments &amp; Config'!H73</f>
        <v>LIJ - CCMC</v>
      </c>
      <c r="B73" s="34" t="str">
        <f>'12 - Deployments &amp; Config'!R73</f>
        <v>WNH269OPR017</v>
      </c>
      <c r="C73" s="34">
        <f>'12 - Deployments &amp; Config'!T73</f>
        <v>0</v>
      </c>
      <c r="D73" s="18">
        <f>'12 - Deployments &amp; Config'!AK73</f>
        <v>0</v>
      </c>
      <c r="E73" s="18" t="str">
        <f>'12 - Deployments &amp; Config'!J73</f>
        <v>Yes</v>
      </c>
      <c r="F73" s="34" t="str">
        <f>'12 - Deployments &amp; Config'!K73</f>
        <v>No</v>
      </c>
      <c r="G73" s="18" t="str">
        <f>'12 - Deployments &amp; Config'!L73</f>
        <v>No</v>
      </c>
      <c r="H73" s="18">
        <f>'13 - Config_Intake_View'!M73</f>
        <v>0</v>
      </c>
      <c r="I73" s="34" t="str">
        <f>IF('13 - Config_Intake_View'!Q73&lt;&gt;"",'13 - Config_Intake_View'!Q73,'12 - Deployments &amp; Config'!BI73)</f>
        <v>iPro
Epic Satellite
ALLSCRIPTS
EPIC BCA</v>
      </c>
      <c r="J73" s="18" t="str">
        <f>IF('13 - Config_Intake_View'!Q73&lt;&gt;"","PM Approved",IF('12 - Deployments &amp; Config'!BI73&lt;&gt;"","Assumed",""))</f>
        <v>Assumed</v>
      </c>
      <c r="K73" s="34">
        <f>'12 - Deployments &amp; Config'!BH73</f>
        <v>0</v>
      </c>
      <c r="L73" s="18">
        <f>'12 - Deployments &amp; Config'!P73</f>
        <v>0</v>
      </c>
      <c r="M73" s="18">
        <f>'12 - Deployments &amp; Config'!Q73</f>
        <v>0</v>
      </c>
      <c r="N73" s="18" t="str">
        <f>'12 - Deployments &amp; Config'!BL73</f>
        <v/>
      </c>
      <c r="O73" s="34" t="str">
        <f>'12 - Deployments &amp; Config'!BM73</f>
        <v/>
      </c>
      <c r="P73" s="2">
        <f>'12 - Deployments &amp; Config'!BB73</f>
        <v>0</v>
      </c>
      <c r="Q73" s="34" t="str">
        <f t="shared" si="4"/>
        <v/>
      </c>
      <c r="R73" s="18" t="str">
        <f t="shared" si="5"/>
        <v>SW NOT INSTALLED</v>
      </c>
      <c r="S73" s="18" t="str">
        <f t="shared" si="6"/>
        <v/>
      </c>
      <c r="T73" s="18" t="str">
        <f t="shared" si="7"/>
        <v>SW NOT INSTALLED</v>
      </c>
    </row>
    <row r="74" spans="1:20">
      <c r="A74" s="34" t="str">
        <f>'12 - Deployments &amp; Config'!H74</f>
        <v>LIJ - CCMC</v>
      </c>
      <c r="B74" s="34" t="str">
        <f>'12 - Deployments &amp; Config'!R74</f>
        <v>WNH269OPR018</v>
      </c>
      <c r="C74" s="34">
        <f>'12 - Deployments &amp; Config'!T74</f>
        <v>0</v>
      </c>
      <c r="D74" s="18">
        <f>'12 - Deployments &amp; Config'!AK74</f>
        <v>0</v>
      </c>
      <c r="E74" s="18" t="str">
        <f>'12 - Deployments &amp; Config'!J74</f>
        <v>Yes</v>
      </c>
      <c r="F74" s="34" t="str">
        <f>'12 - Deployments &amp; Config'!K74</f>
        <v>No</v>
      </c>
      <c r="G74" s="18" t="str">
        <f>'12 - Deployments &amp; Config'!L74</f>
        <v>No</v>
      </c>
      <c r="H74" s="18">
        <f>'13 - Config_Intake_View'!M74</f>
        <v>0</v>
      </c>
      <c r="I74" s="34" t="str">
        <f>IF('13 - Config_Intake_View'!Q74&lt;&gt;"",'13 - Config_Intake_View'!Q74,'12 - Deployments &amp; Config'!BI74)</f>
        <v>iPro
Epic Satellite
ALLSCRIPTS
EPIC BCA</v>
      </c>
      <c r="J74" s="18" t="str">
        <f>IF('13 - Config_Intake_View'!Q74&lt;&gt;"","PM Approved",IF('12 - Deployments &amp; Config'!BI74&lt;&gt;"","Assumed",""))</f>
        <v>Assumed</v>
      </c>
      <c r="K74" s="34">
        <f>'12 - Deployments &amp; Config'!BH74</f>
        <v>0</v>
      </c>
      <c r="L74" s="18">
        <f>'12 - Deployments &amp; Config'!P74</f>
        <v>0</v>
      </c>
      <c r="M74" s="18">
        <f>'12 - Deployments &amp; Config'!Q74</f>
        <v>0</v>
      </c>
      <c r="N74" s="18" t="str">
        <f>'12 - Deployments &amp; Config'!BL74</f>
        <v/>
      </c>
      <c r="O74" s="34" t="str">
        <f>'12 - Deployments &amp; Config'!BM74</f>
        <v/>
      </c>
      <c r="P74" s="2">
        <f>'12 - Deployments &amp; Config'!BB74</f>
        <v>0</v>
      </c>
      <c r="Q74" s="34" t="str">
        <f t="shared" si="4"/>
        <v/>
      </c>
      <c r="R74" s="18" t="str">
        <f t="shared" si="5"/>
        <v>SW NOT INSTALLED</v>
      </c>
      <c r="S74" s="18" t="str">
        <f t="shared" si="6"/>
        <v/>
      </c>
      <c r="T74" s="18" t="str">
        <f t="shared" si="7"/>
        <v>SW NOT INSTALLED</v>
      </c>
    </row>
    <row r="75" spans="1:20">
      <c r="A75" s="34" t="str">
        <f>'12 - Deployments &amp; Config'!H75</f>
        <v>LIJ - CCMC</v>
      </c>
      <c r="B75" s="34" t="str">
        <f>'12 - Deployments &amp; Config'!R75</f>
        <v>WNH269OPR019</v>
      </c>
      <c r="C75" s="34">
        <f>'12 - Deployments &amp; Config'!T75</f>
        <v>0</v>
      </c>
      <c r="D75" s="18">
        <f>'12 - Deployments &amp; Config'!AK75</f>
        <v>0</v>
      </c>
      <c r="E75" s="18" t="str">
        <f>'12 - Deployments &amp; Config'!J75</f>
        <v>Yes</v>
      </c>
      <c r="F75" s="34" t="str">
        <f>'12 - Deployments &amp; Config'!K75</f>
        <v>No</v>
      </c>
      <c r="G75" s="18" t="str">
        <f>'12 - Deployments &amp; Config'!L75</f>
        <v>No</v>
      </c>
      <c r="H75" s="18">
        <f>'13 - Config_Intake_View'!M75</f>
        <v>0</v>
      </c>
      <c r="I75" s="34" t="str">
        <f>IF('13 - Config_Intake_View'!Q75&lt;&gt;"",'13 - Config_Intake_View'!Q75,'12 - Deployments &amp; Config'!BI75)</f>
        <v>iPro
Epic Satellite
ALLSCRIPTS
EPIC BCA</v>
      </c>
      <c r="J75" s="18" t="str">
        <f>IF('13 - Config_Intake_View'!Q75&lt;&gt;"","PM Approved",IF('12 - Deployments &amp; Config'!BI75&lt;&gt;"","Assumed",""))</f>
        <v>Assumed</v>
      </c>
      <c r="K75" s="34">
        <f>'12 - Deployments &amp; Config'!BH75</f>
        <v>0</v>
      </c>
      <c r="L75" s="18">
        <f>'12 - Deployments &amp; Config'!P75</f>
        <v>0</v>
      </c>
      <c r="M75" s="18">
        <f>'12 - Deployments &amp; Config'!Q75</f>
        <v>0</v>
      </c>
      <c r="N75" s="18" t="str">
        <f>'12 - Deployments &amp; Config'!BL75</f>
        <v/>
      </c>
      <c r="O75" s="34" t="str">
        <f>'12 - Deployments &amp; Config'!BM75</f>
        <v/>
      </c>
      <c r="P75" s="2">
        <f>'12 - Deployments &amp; Config'!BB75</f>
        <v>0</v>
      </c>
      <c r="Q75" s="34" t="str">
        <f t="shared" si="4"/>
        <v/>
      </c>
      <c r="R75" s="18" t="str">
        <f t="shared" si="5"/>
        <v>SW NOT INSTALLED</v>
      </c>
      <c r="S75" s="18" t="str">
        <f t="shared" si="6"/>
        <v/>
      </c>
      <c r="T75" s="18" t="str">
        <f t="shared" si="7"/>
        <v>SW NOT INSTALLED</v>
      </c>
    </row>
    <row r="76" spans="1:20">
      <c r="A76" s="34" t="str">
        <f>'12 - Deployments &amp; Config'!H76</f>
        <v>LIJ - CCMC</v>
      </c>
      <c r="B76" s="34" t="str">
        <f>'12 - Deployments &amp; Config'!R76</f>
        <v>WNH269OPR020</v>
      </c>
      <c r="C76" s="34">
        <f>'12 - Deployments &amp; Config'!T76</f>
        <v>0</v>
      </c>
      <c r="D76" s="18">
        <f>'12 - Deployments &amp; Config'!AK76</f>
        <v>0</v>
      </c>
      <c r="E76" s="18" t="str">
        <f>'12 - Deployments &amp; Config'!J76</f>
        <v>Yes</v>
      </c>
      <c r="F76" s="34" t="str">
        <f>'12 - Deployments &amp; Config'!K76</f>
        <v>No</v>
      </c>
      <c r="G76" s="18" t="str">
        <f>'12 - Deployments &amp; Config'!L76</f>
        <v>No</v>
      </c>
      <c r="H76" s="18">
        <f>'13 - Config_Intake_View'!M76</f>
        <v>0</v>
      </c>
      <c r="I76" s="34" t="str">
        <f>IF('13 - Config_Intake_View'!Q76&lt;&gt;"",'13 - Config_Intake_View'!Q76,'12 - Deployments &amp; Config'!BI76)</f>
        <v>iPro
Epic Satellite
ALLSCRIPTS
EPIC BCA</v>
      </c>
      <c r="J76" s="18" t="str">
        <f>IF('13 - Config_Intake_View'!Q76&lt;&gt;"","PM Approved",IF('12 - Deployments &amp; Config'!BI76&lt;&gt;"","Assumed",""))</f>
        <v>Assumed</v>
      </c>
      <c r="K76" s="34">
        <f>'12 - Deployments &amp; Config'!BH76</f>
        <v>0</v>
      </c>
      <c r="L76" s="18">
        <f>'12 - Deployments &amp; Config'!P76</f>
        <v>0</v>
      </c>
      <c r="M76" s="18">
        <f>'12 - Deployments &amp; Config'!Q76</f>
        <v>0</v>
      </c>
      <c r="N76" s="18" t="str">
        <f>'12 - Deployments &amp; Config'!BL76</f>
        <v/>
      </c>
      <c r="O76" s="34" t="str">
        <f>'12 - Deployments &amp; Config'!BM76</f>
        <v/>
      </c>
      <c r="P76" s="2">
        <f>'12 - Deployments &amp; Config'!BB76</f>
        <v>0</v>
      </c>
      <c r="Q76" s="34" t="str">
        <f t="shared" si="4"/>
        <v/>
      </c>
      <c r="R76" s="18" t="str">
        <f t="shared" si="5"/>
        <v>SW NOT INSTALLED</v>
      </c>
      <c r="S76" s="18" t="str">
        <f t="shared" si="6"/>
        <v/>
      </c>
      <c r="T76" s="18" t="str">
        <f t="shared" si="7"/>
        <v>SW NOT INSTALLED</v>
      </c>
    </row>
    <row r="77" spans="1:20">
      <c r="A77" s="34" t="str">
        <f>'12 - Deployments &amp; Config'!H77</f>
        <v>LIJ - CCMC</v>
      </c>
      <c r="B77" s="34" t="str">
        <f>'12 - Deployments &amp; Config'!R77</f>
        <v>WNH269OPR021</v>
      </c>
      <c r="C77" s="34">
        <f>'12 - Deployments &amp; Config'!T77</f>
        <v>0</v>
      </c>
      <c r="D77" s="18">
        <f>'12 - Deployments &amp; Config'!AK77</f>
        <v>0</v>
      </c>
      <c r="E77" s="18" t="str">
        <f>'12 - Deployments &amp; Config'!J77</f>
        <v>Yes</v>
      </c>
      <c r="F77" s="34" t="str">
        <f>'12 - Deployments &amp; Config'!K77</f>
        <v>No</v>
      </c>
      <c r="G77" s="18" t="str">
        <f>'12 - Deployments &amp; Config'!L77</f>
        <v>No</v>
      </c>
      <c r="H77" s="18">
        <f>'13 - Config_Intake_View'!M77</f>
        <v>0</v>
      </c>
      <c r="I77" s="34" t="str">
        <f>IF('13 - Config_Intake_View'!Q77&lt;&gt;"",'13 - Config_Intake_View'!Q77,'12 - Deployments &amp; Config'!BI77)</f>
        <v>iPro
Epic Satellite
ALLSCRIPTS
EPIC BCA</v>
      </c>
      <c r="J77" s="18" t="str">
        <f>IF('13 - Config_Intake_View'!Q77&lt;&gt;"","PM Approved",IF('12 - Deployments &amp; Config'!BI77&lt;&gt;"","Assumed",""))</f>
        <v>Assumed</v>
      </c>
      <c r="K77" s="34">
        <f>'12 - Deployments &amp; Config'!BH77</f>
        <v>0</v>
      </c>
      <c r="L77" s="18">
        <f>'12 - Deployments &amp; Config'!P77</f>
        <v>0</v>
      </c>
      <c r="M77" s="18">
        <f>'12 - Deployments &amp; Config'!Q77</f>
        <v>0</v>
      </c>
      <c r="N77" s="18" t="str">
        <f>'12 - Deployments &amp; Config'!BL77</f>
        <v/>
      </c>
      <c r="O77" s="34" t="str">
        <f>'12 - Deployments &amp; Config'!BM77</f>
        <v/>
      </c>
      <c r="P77" s="2">
        <f>'12 - Deployments &amp; Config'!BB77</f>
        <v>0</v>
      </c>
      <c r="Q77" s="34" t="str">
        <f t="shared" si="4"/>
        <v/>
      </c>
      <c r="R77" s="18" t="str">
        <f t="shared" si="5"/>
        <v>SW NOT INSTALLED</v>
      </c>
      <c r="S77" s="18" t="str">
        <f t="shared" si="6"/>
        <v/>
      </c>
      <c r="T77" s="18" t="str">
        <f t="shared" si="7"/>
        <v>SW NOT INSTALLED</v>
      </c>
    </row>
    <row r="78" spans="1:20">
      <c r="A78" s="34" t="str">
        <f>'12 - Deployments &amp; Config'!H78</f>
        <v>CFAM</v>
      </c>
      <c r="B78" s="34" t="str">
        <f>'12 - Deployments &amp; Config'!R78</f>
        <v>WLS450OPR001</v>
      </c>
      <c r="C78" s="34">
        <f>'12 - Deployments &amp; Config'!T78</f>
        <v>0</v>
      </c>
      <c r="D78" s="18">
        <f>'12 - Deployments &amp; Config'!AK78</f>
        <v>0</v>
      </c>
      <c r="E78" s="18" t="str">
        <f>'12 - Deployments &amp; Config'!J78</f>
        <v>Yes</v>
      </c>
      <c r="F78" s="34" t="str">
        <f>'12 - Deployments &amp; Config'!K78</f>
        <v>No</v>
      </c>
      <c r="G78" s="18" t="str">
        <f>'12 - Deployments &amp; Config'!L78</f>
        <v>No</v>
      </c>
      <c r="H78" s="18">
        <f>'13 - Config_Intake_View'!M78</f>
        <v>0</v>
      </c>
      <c r="I78" s="34" t="str">
        <f>IF('13 - Config_Intake_View'!Q78&lt;&gt;"",'13 - Config_Intake_View'!Q78,'12 - Deployments &amp; Config'!BI78)</f>
        <v>iPro
Epic Satellite
ALLSCRIPTS
EPIC BCA</v>
      </c>
      <c r="J78" s="18" t="str">
        <f>IF('13 - Config_Intake_View'!Q78&lt;&gt;"","PM Approved",IF('12 - Deployments &amp; Config'!BI78&lt;&gt;"","Assumed",""))</f>
        <v>Assumed</v>
      </c>
      <c r="K78" s="34">
        <f>'12 - Deployments &amp; Config'!BH78</f>
        <v>0</v>
      </c>
      <c r="L78" s="18">
        <f>'12 - Deployments &amp; Config'!P78</f>
        <v>0</v>
      </c>
      <c r="M78" s="18">
        <f>'12 - Deployments &amp; Config'!Q78</f>
        <v>0</v>
      </c>
      <c r="N78" s="18" t="str">
        <f>'12 - Deployments &amp; Config'!BL78</f>
        <v/>
      </c>
      <c r="O78" s="34" t="str">
        <f>'12 - Deployments &amp; Config'!BM78</f>
        <v/>
      </c>
      <c r="P78" s="2">
        <f>'12 - Deployments &amp; Config'!BB78</f>
        <v>0</v>
      </c>
      <c r="Q78" s="34" t="str">
        <f t="shared" si="4"/>
        <v/>
      </c>
      <c r="R78" s="18" t="str">
        <f t="shared" si="5"/>
        <v>SW NOT INSTALLED</v>
      </c>
      <c r="S78" s="18" t="str">
        <f t="shared" si="6"/>
        <v/>
      </c>
      <c r="T78" s="18" t="str">
        <f t="shared" si="7"/>
        <v>SW NOT INSTALLED</v>
      </c>
    </row>
    <row r="79" spans="1:20">
      <c r="A79" s="34" t="str">
        <f>'12 - Deployments &amp; Config'!H79</f>
        <v>CFAM</v>
      </c>
      <c r="B79" s="34" t="str">
        <f>'12 - Deployments &amp; Config'!R79</f>
        <v>WLS450OPR002</v>
      </c>
      <c r="C79" s="34">
        <f>'12 - Deployments &amp; Config'!T79</f>
        <v>0</v>
      </c>
      <c r="D79" s="18">
        <f>'12 - Deployments &amp; Config'!AK79</f>
        <v>0</v>
      </c>
      <c r="E79" s="18" t="str">
        <f>'12 - Deployments &amp; Config'!J79</f>
        <v>Yes</v>
      </c>
      <c r="F79" s="34" t="str">
        <f>'12 - Deployments &amp; Config'!K79</f>
        <v>No</v>
      </c>
      <c r="G79" s="18" t="str">
        <f>'12 - Deployments &amp; Config'!L79</f>
        <v>No</v>
      </c>
      <c r="H79" s="18">
        <f>'13 - Config_Intake_View'!M79</f>
        <v>0</v>
      </c>
      <c r="I79" s="34" t="str">
        <f>IF('13 - Config_Intake_View'!Q79&lt;&gt;"",'13 - Config_Intake_View'!Q79,'12 - Deployments &amp; Config'!BI79)</f>
        <v>iPro
Epic Satellite
ALLSCRIPTS
EPIC BCA</v>
      </c>
      <c r="J79" s="18" t="str">
        <f>IF('13 - Config_Intake_View'!Q79&lt;&gt;"","PM Approved",IF('12 - Deployments &amp; Config'!BI79&lt;&gt;"","Assumed",""))</f>
        <v>Assumed</v>
      </c>
      <c r="K79" s="34">
        <f>'12 - Deployments &amp; Config'!BH79</f>
        <v>0</v>
      </c>
      <c r="L79" s="18">
        <f>'12 - Deployments &amp; Config'!P79</f>
        <v>0</v>
      </c>
      <c r="M79" s="18">
        <f>'12 - Deployments &amp; Config'!Q79</f>
        <v>0</v>
      </c>
      <c r="N79" s="18" t="str">
        <f>'12 - Deployments &amp; Config'!BL79</f>
        <v/>
      </c>
      <c r="O79" s="34" t="str">
        <f>'12 - Deployments &amp; Config'!BM79</f>
        <v/>
      </c>
      <c r="P79" s="2">
        <f>'12 - Deployments &amp; Config'!BB79</f>
        <v>0</v>
      </c>
      <c r="Q79" s="34" t="str">
        <f t="shared" si="4"/>
        <v/>
      </c>
      <c r="R79" s="18" t="str">
        <f t="shared" si="5"/>
        <v>SW NOT INSTALLED</v>
      </c>
      <c r="S79" s="18" t="str">
        <f t="shared" si="6"/>
        <v/>
      </c>
      <c r="T79" s="18" t="str">
        <f t="shared" si="7"/>
        <v>SW NOT INSTALLED</v>
      </c>
    </row>
    <row r="80" spans="1:20">
      <c r="A80" s="34" t="str">
        <f>'12 - Deployments &amp; Config'!H80</f>
        <v>CFAM</v>
      </c>
      <c r="B80" s="34" t="str">
        <f>'12 - Deployments &amp; Config'!R80</f>
        <v>WLS450OPR003</v>
      </c>
      <c r="C80" s="34">
        <f>'12 - Deployments &amp; Config'!T80</f>
        <v>0</v>
      </c>
      <c r="D80" s="18">
        <f>'12 - Deployments &amp; Config'!AK80</f>
        <v>0</v>
      </c>
      <c r="E80" s="18" t="str">
        <f>'12 - Deployments &amp; Config'!J80</f>
        <v>Yes</v>
      </c>
      <c r="F80" s="34" t="str">
        <f>'12 - Deployments &amp; Config'!K80</f>
        <v>No</v>
      </c>
      <c r="G80" s="18" t="str">
        <f>'12 - Deployments &amp; Config'!L80</f>
        <v>No</v>
      </c>
      <c r="H80" s="18">
        <f>'13 - Config_Intake_View'!M80</f>
        <v>0</v>
      </c>
      <c r="I80" s="34" t="str">
        <f>IF('13 - Config_Intake_View'!Q80&lt;&gt;"",'13 - Config_Intake_View'!Q80,'12 - Deployments &amp; Config'!BI80)</f>
        <v>iPro
Epic Satellite
ALLSCRIPTS
EPIC BCA</v>
      </c>
      <c r="J80" s="18" t="str">
        <f>IF('13 - Config_Intake_View'!Q80&lt;&gt;"","PM Approved",IF('12 - Deployments &amp; Config'!BI80&lt;&gt;"","Assumed",""))</f>
        <v>Assumed</v>
      </c>
      <c r="K80" s="34">
        <f>'12 - Deployments &amp; Config'!BH80</f>
        <v>0</v>
      </c>
      <c r="L80" s="18">
        <f>'12 - Deployments &amp; Config'!P80</f>
        <v>0</v>
      </c>
      <c r="M80" s="18">
        <f>'12 - Deployments &amp; Config'!Q80</f>
        <v>0</v>
      </c>
      <c r="N80" s="18" t="str">
        <f>'12 - Deployments &amp; Config'!BL80</f>
        <v/>
      </c>
      <c r="O80" s="34" t="str">
        <f>'12 - Deployments &amp; Config'!BM80</f>
        <v/>
      </c>
      <c r="P80" s="2">
        <f>'12 - Deployments &amp; Config'!BB80</f>
        <v>0</v>
      </c>
      <c r="Q80" s="34" t="str">
        <f t="shared" si="4"/>
        <v/>
      </c>
      <c r="R80" s="18" t="str">
        <f t="shared" si="5"/>
        <v>SW NOT INSTALLED</v>
      </c>
      <c r="S80" s="18" t="str">
        <f t="shared" si="6"/>
        <v/>
      </c>
      <c r="T80" s="18" t="str">
        <f t="shared" si="7"/>
        <v>SW NOT INSTALLED</v>
      </c>
    </row>
    <row r="81" spans="1:20">
      <c r="A81" s="34" t="str">
        <f>'12 - Deployments &amp; Config'!H81</f>
        <v>CFAM</v>
      </c>
      <c r="B81" s="34" t="str">
        <f>'12 - Deployments &amp; Config'!R81</f>
        <v>WLS450OPR004</v>
      </c>
      <c r="C81" s="34">
        <f>'12 - Deployments &amp; Config'!T81</f>
        <v>0</v>
      </c>
      <c r="D81" s="18">
        <f>'12 - Deployments &amp; Config'!AK81</f>
        <v>0</v>
      </c>
      <c r="E81" s="18" t="str">
        <f>'12 - Deployments &amp; Config'!J81</f>
        <v>Yes</v>
      </c>
      <c r="F81" s="34" t="str">
        <f>'12 - Deployments &amp; Config'!K81</f>
        <v>No</v>
      </c>
      <c r="G81" s="18" t="str">
        <f>'12 - Deployments &amp; Config'!L81</f>
        <v>No</v>
      </c>
      <c r="H81" s="18">
        <f>'13 - Config_Intake_View'!M81</f>
        <v>0</v>
      </c>
      <c r="I81" s="34" t="str">
        <f>IF('13 - Config_Intake_View'!Q81&lt;&gt;"",'13 - Config_Intake_View'!Q81,'12 - Deployments &amp; Config'!BI81)</f>
        <v>iPro
Epic Satellite
ALLSCRIPTS
EPIC BCA</v>
      </c>
      <c r="J81" s="18" t="str">
        <f>IF('13 - Config_Intake_View'!Q81&lt;&gt;"","PM Approved",IF('12 - Deployments &amp; Config'!BI81&lt;&gt;"","Assumed",""))</f>
        <v>Assumed</v>
      </c>
      <c r="K81" s="34">
        <f>'12 - Deployments &amp; Config'!BH81</f>
        <v>0</v>
      </c>
      <c r="L81" s="18">
        <f>'12 - Deployments &amp; Config'!P81</f>
        <v>0</v>
      </c>
      <c r="M81" s="18">
        <f>'12 - Deployments &amp; Config'!Q81</f>
        <v>0</v>
      </c>
      <c r="N81" s="18" t="str">
        <f>'12 - Deployments &amp; Config'!BL81</f>
        <v/>
      </c>
      <c r="O81" s="34" t="str">
        <f>'12 - Deployments &amp; Config'!BM81</f>
        <v/>
      </c>
      <c r="P81" s="2">
        <f>'12 - Deployments &amp; Config'!BB81</f>
        <v>0</v>
      </c>
      <c r="Q81" s="34" t="str">
        <f t="shared" si="4"/>
        <v/>
      </c>
      <c r="R81" s="18" t="str">
        <f t="shared" si="5"/>
        <v>SW NOT INSTALLED</v>
      </c>
      <c r="S81" s="18" t="str">
        <f t="shared" si="6"/>
        <v/>
      </c>
      <c r="T81" s="18" t="str">
        <f t="shared" si="7"/>
        <v>SW NOT INSTALLED</v>
      </c>
    </row>
    <row r="82" spans="1:20">
      <c r="A82" s="34" t="str">
        <f>'12 - Deployments &amp; Config'!H82</f>
        <v>CFAM</v>
      </c>
      <c r="B82" s="34" t="str">
        <f>'12 - Deployments &amp; Config'!R82</f>
        <v>WLS450OPR005</v>
      </c>
      <c r="C82" s="34">
        <f>'12 - Deployments &amp; Config'!T82</f>
        <v>0</v>
      </c>
      <c r="D82" s="18">
        <f>'12 - Deployments &amp; Config'!AK82</f>
        <v>0</v>
      </c>
      <c r="E82" s="18" t="str">
        <f>'12 - Deployments &amp; Config'!J82</f>
        <v>Yes</v>
      </c>
      <c r="F82" s="34" t="str">
        <f>'12 - Deployments &amp; Config'!K82</f>
        <v>No</v>
      </c>
      <c r="G82" s="18" t="str">
        <f>'12 - Deployments &amp; Config'!L82</f>
        <v>No</v>
      </c>
      <c r="H82" s="18">
        <f>'13 - Config_Intake_View'!M82</f>
        <v>0</v>
      </c>
      <c r="I82" s="34" t="str">
        <f>IF('13 - Config_Intake_View'!Q82&lt;&gt;"",'13 - Config_Intake_View'!Q82,'12 - Deployments &amp; Config'!BI82)</f>
        <v>iPro
Epic Satellite
ALLSCRIPTS
EPIC BCA</v>
      </c>
      <c r="J82" s="18" t="str">
        <f>IF('13 - Config_Intake_View'!Q82&lt;&gt;"","PM Approved",IF('12 - Deployments &amp; Config'!BI82&lt;&gt;"","Assumed",""))</f>
        <v>Assumed</v>
      </c>
      <c r="K82" s="34">
        <f>'12 - Deployments &amp; Config'!BH82</f>
        <v>0</v>
      </c>
      <c r="L82" s="18">
        <f>'12 - Deployments &amp; Config'!P82</f>
        <v>0</v>
      </c>
      <c r="M82" s="18">
        <f>'12 - Deployments &amp; Config'!Q82</f>
        <v>0</v>
      </c>
      <c r="N82" s="18" t="str">
        <f>'12 - Deployments &amp; Config'!BL82</f>
        <v/>
      </c>
      <c r="O82" s="34" t="str">
        <f>'12 - Deployments &amp; Config'!BM82</f>
        <v/>
      </c>
      <c r="P82" s="2">
        <f>'12 - Deployments &amp; Config'!BB82</f>
        <v>0</v>
      </c>
      <c r="Q82" s="34" t="str">
        <f t="shared" si="4"/>
        <v/>
      </c>
      <c r="R82" s="18" t="str">
        <f t="shared" si="5"/>
        <v>SW NOT INSTALLED</v>
      </c>
      <c r="S82" s="18" t="str">
        <f t="shared" si="6"/>
        <v/>
      </c>
      <c r="T82" s="18" t="str">
        <f t="shared" si="7"/>
        <v>SW NOT INSTALLED</v>
      </c>
    </row>
    <row r="83" spans="1:20">
      <c r="A83" s="34" t="str">
        <f>'12 - Deployments &amp; Config'!H83</f>
        <v>CFAM</v>
      </c>
      <c r="B83" s="34" t="str">
        <f>'12 - Deployments &amp; Config'!R83</f>
        <v>WLS450OPR006</v>
      </c>
      <c r="C83" s="34">
        <f>'12 - Deployments &amp; Config'!T83</f>
        <v>0</v>
      </c>
      <c r="D83" s="18">
        <f>'12 - Deployments &amp; Config'!AK83</f>
        <v>0</v>
      </c>
      <c r="E83" s="18" t="str">
        <f>'12 - Deployments &amp; Config'!J83</f>
        <v>Yes</v>
      </c>
      <c r="F83" s="34" t="str">
        <f>'12 - Deployments &amp; Config'!K83</f>
        <v>No</v>
      </c>
      <c r="G83" s="18" t="str">
        <f>'12 - Deployments &amp; Config'!L83</f>
        <v>No</v>
      </c>
      <c r="H83" s="18">
        <f>'13 - Config_Intake_View'!M83</f>
        <v>0</v>
      </c>
      <c r="I83" s="34" t="str">
        <f>IF('13 - Config_Intake_View'!Q83&lt;&gt;"",'13 - Config_Intake_View'!Q83,'12 - Deployments &amp; Config'!BI83)</f>
        <v>iPro
Epic Satellite
ALLSCRIPTS
EPIC BCA</v>
      </c>
      <c r="J83" s="18" t="str">
        <f>IF('13 - Config_Intake_View'!Q83&lt;&gt;"","PM Approved",IF('12 - Deployments &amp; Config'!BI83&lt;&gt;"","Assumed",""))</f>
        <v>Assumed</v>
      </c>
      <c r="K83" s="34">
        <f>'12 - Deployments &amp; Config'!BH83</f>
        <v>0</v>
      </c>
      <c r="L83" s="18">
        <f>'12 - Deployments &amp; Config'!P83</f>
        <v>0</v>
      </c>
      <c r="M83" s="18">
        <f>'12 - Deployments &amp; Config'!Q83</f>
        <v>0</v>
      </c>
      <c r="N83" s="18" t="str">
        <f>'12 - Deployments &amp; Config'!BL83</f>
        <v/>
      </c>
      <c r="O83" s="34" t="str">
        <f>'12 - Deployments &amp; Config'!BM83</f>
        <v/>
      </c>
      <c r="P83" s="2">
        <f>'12 - Deployments &amp; Config'!BB83</f>
        <v>0</v>
      </c>
      <c r="Q83" s="34" t="str">
        <f t="shared" si="4"/>
        <v/>
      </c>
      <c r="R83" s="18" t="str">
        <f t="shared" si="5"/>
        <v>SW NOT INSTALLED</v>
      </c>
      <c r="S83" s="18" t="str">
        <f t="shared" si="6"/>
        <v/>
      </c>
      <c r="T83" s="18" t="str">
        <f t="shared" si="7"/>
        <v>SW NOT INSTALLED</v>
      </c>
    </row>
    <row r="84" spans="1:20">
      <c r="A84" s="34" t="str">
        <f>'12 - Deployments &amp; Config'!H84</f>
        <v>CFAM</v>
      </c>
      <c r="B84" s="34" t="str">
        <f>'12 - Deployments &amp; Config'!R84</f>
        <v>WLS450OPR007</v>
      </c>
      <c r="C84" s="34">
        <f>'12 - Deployments &amp; Config'!T84</f>
        <v>0</v>
      </c>
      <c r="D84" s="18">
        <f>'12 - Deployments &amp; Config'!AK84</f>
        <v>0</v>
      </c>
      <c r="E84" s="18" t="str">
        <f>'12 - Deployments &amp; Config'!J84</f>
        <v>Yes</v>
      </c>
      <c r="F84" s="34" t="str">
        <f>'12 - Deployments &amp; Config'!K84</f>
        <v>No</v>
      </c>
      <c r="G84" s="18" t="str">
        <f>'12 - Deployments &amp; Config'!L84</f>
        <v>No</v>
      </c>
      <c r="H84" s="18">
        <f>'13 - Config_Intake_View'!M84</f>
        <v>0</v>
      </c>
      <c r="I84" s="34" t="str">
        <f>IF('13 - Config_Intake_View'!Q84&lt;&gt;"",'13 - Config_Intake_View'!Q84,'12 - Deployments &amp; Config'!BI84)</f>
        <v>iPro
Epic Satellite
ALLSCRIPTS
EPIC BCA</v>
      </c>
      <c r="J84" s="18" t="str">
        <f>IF('13 - Config_Intake_View'!Q84&lt;&gt;"","PM Approved",IF('12 - Deployments &amp; Config'!BI84&lt;&gt;"","Assumed",""))</f>
        <v>Assumed</v>
      </c>
      <c r="K84" s="34">
        <f>'12 - Deployments &amp; Config'!BH84</f>
        <v>0</v>
      </c>
      <c r="L84" s="18">
        <f>'12 - Deployments &amp; Config'!P84</f>
        <v>0</v>
      </c>
      <c r="M84" s="18">
        <f>'12 - Deployments &amp; Config'!Q84</f>
        <v>0</v>
      </c>
      <c r="N84" s="18" t="str">
        <f>'12 - Deployments &amp; Config'!BL84</f>
        <v/>
      </c>
      <c r="O84" s="34" t="str">
        <f>'12 - Deployments &amp; Config'!BM84</f>
        <v/>
      </c>
      <c r="P84" s="2">
        <f>'12 - Deployments &amp; Config'!BB84</f>
        <v>0</v>
      </c>
      <c r="Q84" s="34" t="str">
        <f t="shared" si="4"/>
        <v/>
      </c>
      <c r="R84" s="18" t="str">
        <f t="shared" si="5"/>
        <v>SW NOT INSTALLED</v>
      </c>
      <c r="S84" s="18" t="str">
        <f t="shared" si="6"/>
        <v/>
      </c>
      <c r="T84" s="18" t="str">
        <f t="shared" si="7"/>
        <v>SW NOT INSTALLED</v>
      </c>
    </row>
    <row r="85" spans="1:20">
      <c r="A85" s="34" t="str">
        <f>'12 - Deployments &amp; Config'!H85</f>
        <v>LIJ - CCMC</v>
      </c>
      <c r="B85" s="34" t="str">
        <f>'12 - Deployments &amp; Config'!R85</f>
        <v>WNH269OPR022</v>
      </c>
      <c r="C85" s="34">
        <f>'12 - Deployments &amp; Config'!T85</f>
        <v>0</v>
      </c>
      <c r="D85" s="18">
        <f>'12 - Deployments &amp; Config'!AK85</f>
        <v>0</v>
      </c>
      <c r="E85" s="18" t="str">
        <f>'12 - Deployments &amp; Config'!J85</f>
        <v>Yes</v>
      </c>
      <c r="F85" s="34" t="str">
        <f>'12 - Deployments &amp; Config'!K85</f>
        <v>No</v>
      </c>
      <c r="G85" s="18" t="str">
        <f>'12 - Deployments &amp; Config'!L85</f>
        <v>No</v>
      </c>
      <c r="H85" s="18">
        <f>'13 - Config_Intake_View'!M85</f>
        <v>0</v>
      </c>
      <c r="I85" s="34" t="str">
        <f>IF('13 - Config_Intake_View'!Q85&lt;&gt;"",'13 - Config_Intake_View'!Q85,'12 - Deployments &amp; Config'!BI85)</f>
        <v>iPro
Epic Satellite
ALLSCRIPTS
EPIC BCA</v>
      </c>
      <c r="J85" s="18" t="str">
        <f>IF('13 - Config_Intake_View'!Q85&lt;&gt;"","PM Approved",IF('12 - Deployments &amp; Config'!BI85&lt;&gt;"","Assumed",""))</f>
        <v>Assumed</v>
      </c>
      <c r="K85" s="34">
        <f>'12 - Deployments &amp; Config'!BH85</f>
        <v>0</v>
      </c>
      <c r="L85" s="18">
        <f>'12 - Deployments &amp; Config'!P85</f>
        <v>0</v>
      </c>
      <c r="M85" s="18">
        <f>'12 - Deployments &amp; Config'!Q85</f>
        <v>0</v>
      </c>
      <c r="N85" s="18" t="str">
        <f>'12 - Deployments &amp; Config'!BL85</f>
        <v/>
      </c>
      <c r="O85" s="34" t="str">
        <f>'12 - Deployments &amp; Config'!BM85</f>
        <v/>
      </c>
      <c r="P85" s="2">
        <f>'12 - Deployments &amp; Config'!BB85</f>
        <v>0</v>
      </c>
      <c r="Q85" s="34" t="str">
        <f t="shared" si="4"/>
        <v/>
      </c>
      <c r="R85" s="18" t="str">
        <f t="shared" si="5"/>
        <v>SW NOT INSTALLED</v>
      </c>
      <c r="S85" s="18" t="str">
        <f t="shared" si="6"/>
        <v/>
      </c>
      <c r="T85" s="18" t="str">
        <f t="shared" si="7"/>
        <v>SW NOT INSTALLED</v>
      </c>
    </row>
    <row r="86" spans="1:20">
      <c r="A86" s="34" t="str">
        <f>'12 - Deployments &amp; Config'!H86</f>
        <v>LIJ - CCMC</v>
      </c>
      <c r="B86" s="34" t="str">
        <f>'12 - Deployments &amp; Config'!R86</f>
        <v>WNH269OPR023</v>
      </c>
      <c r="C86" s="34">
        <f>'12 - Deployments &amp; Config'!T86</f>
        <v>0</v>
      </c>
      <c r="D86" s="18">
        <f>'12 - Deployments &amp; Config'!AK86</f>
        <v>0</v>
      </c>
      <c r="E86" s="18" t="str">
        <f>'12 - Deployments &amp; Config'!J86</f>
        <v>Yes</v>
      </c>
      <c r="F86" s="34" t="str">
        <f>'12 - Deployments &amp; Config'!K86</f>
        <v>No</v>
      </c>
      <c r="G86" s="18" t="str">
        <f>'12 - Deployments &amp; Config'!L86</f>
        <v>No</v>
      </c>
      <c r="H86" s="18">
        <f>'13 - Config_Intake_View'!M86</f>
        <v>0</v>
      </c>
      <c r="I86" s="34" t="str">
        <f>IF('13 - Config_Intake_View'!Q86&lt;&gt;"",'13 - Config_Intake_View'!Q86,'12 - Deployments &amp; Config'!BI86)</f>
        <v>iPro
Epic Satellite
ALLSCRIPTS
EPIC BCA</v>
      </c>
      <c r="J86" s="18" t="str">
        <f>IF('13 - Config_Intake_View'!Q86&lt;&gt;"","PM Approved",IF('12 - Deployments &amp; Config'!BI86&lt;&gt;"","Assumed",""))</f>
        <v>Assumed</v>
      </c>
      <c r="K86" s="34">
        <f>'12 - Deployments &amp; Config'!BH86</f>
        <v>0</v>
      </c>
      <c r="L86" s="18">
        <f>'12 - Deployments &amp; Config'!P86</f>
        <v>0</v>
      </c>
      <c r="M86" s="18">
        <f>'12 - Deployments &amp; Config'!Q86</f>
        <v>0</v>
      </c>
      <c r="N86" s="18" t="str">
        <f>'12 - Deployments &amp; Config'!BL86</f>
        <v/>
      </c>
      <c r="O86" s="34" t="str">
        <f>'12 - Deployments &amp; Config'!BM86</f>
        <v/>
      </c>
      <c r="P86" s="2">
        <f>'12 - Deployments &amp; Config'!BB86</f>
        <v>0</v>
      </c>
      <c r="Q86" s="34" t="str">
        <f t="shared" si="4"/>
        <v/>
      </c>
      <c r="R86" s="18" t="str">
        <f t="shared" si="5"/>
        <v>SW NOT INSTALLED</v>
      </c>
      <c r="S86" s="18" t="str">
        <f t="shared" si="6"/>
        <v/>
      </c>
      <c r="T86" s="18" t="str">
        <f t="shared" si="7"/>
        <v>SW NOT INSTALLED</v>
      </c>
    </row>
    <row r="87" spans="1:20">
      <c r="A87" s="34" t="str">
        <f>'12 - Deployments &amp; Config'!H87</f>
        <v>LIJ - CCMC</v>
      </c>
      <c r="B87" s="34" t="str">
        <f>'12 - Deployments &amp; Config'!R87</f>
        <v>WNH269OPR024</v>
      </c>
      <c r="C87" s="34">
        <f>'12 - Deployments &amp; Config'!T87</f>
        <v>0</v>
      </c>
      <c r="D87" s="18">
        <f>'12 - Deployments &amp; Config'!AK87</f>
        <v>0</v>
      </c>
      <c r="E87" s="18" t="str">
        <f>'12 - Deployments &amp; Config'!J87</f>
        <v>Yes</v>
      </c>
      <c r="F87" s="34" t="str">
        <f>'12 - Deployments &amp; Config'!K87</f>
        <v>No</v>
      </c>
      <c r="G87" s="18" t="str">
        <f>'12 - Deployments &amp; Config'!L87</f>
        <v>No</v>
      </c>
      <c r="H87" s="18">
        <f>'13 - Config_Intake_View'!M87</f>
        <v>0</v>
      </c>
      <c r="I87" s="34" t="str">
        <f>IF('13 - Config_Intake_View'!Q87&lt;&gt;"",'13 - Config_Intake_View'!Q87,'12 - Deployments &amp; Config'!BI87)</f>
        <v>iPro
Epic Satellite
ALLSCRIPTS
EPIC BCA</v>
      </c>
      <c r="J87" s="18" t="str">
        <f>IF('13 - Config_Intake_View'!Q87&lt;&gt;"","PM Approved",IF('12 - Deployments &amp; Config'!BI87&lt;&gt;"","Assumed",""))</f>
        <v>Assumed</v>
      </c>
      <c r="K87" s="34">
        <f>'12 - Deployments &amp; Config'!BH87</f>
        <v>0</v>
      </c>
      <c r="L87" s="18">
        <f>'12 - Deployments &amp; Config'!P87</f>
        <v>0</v>
      </c>
      <c r="M87" s="18">
        <f>'12 - Deployments &amp; Config'!Q87</f>
        <v>0</v>
      </c>
      <c r="N87" s="18" t="str">
        <f>'12 - Deployments &amp; Config'!BL87</f>
        <v/>
      </c>
      <c r="O87" s="34" t="str">
        <f>'12 - Deployments &amp; Config'!BM87</f>
        <v/>
      </c>
      <c r="P87" s="2">
        <f>'12 - Deployments &amp; Config'!BB87</f>
        <v>0</v>
      </c>
      <c r="Q87" s="34" t="str">
        <f t="shared" si="4"/>
        <v/>
      </c>
      <c r="R87" s="18" t="str">
        <f t="shared" si="5"/>
        <v>SW NOT INSTALLED</v>
      </c>
      <c r="S87" s="18" t="str">
        <f t="shared" si="6"/>
        <v/>
      </c>
      <c r="T87" s="18" t="str">
        <f t="shared" si="7"/>
        <v>SW NOT INSTALLED</v>
      </c>
    </row>
    <row r="88" spans="1:20">
      <c r="A88" s="34" t="str">
        <f>'12 - Deployments &amp; Config'!H88</f>
        <v>LIJ - CCMC</v>
      </c>
      <c r="B88" s="34" t="str">
        <f>'12 - Deployments &amp; Config'!R88</f>
        <v>WNH269OPR025</v>
      </c>
      <c r="C88" s="34">
        <f>'12 - Deployments &amp; Config'!T88</f>
        <v>0</v>
      </c>
      <c r="D88" s="18">
        <f>'12 - Deployments &amp; Config'!AK88</f>
        <v>0</v>
      </c>
      <c r="E88" s="18" t="str">
        <f>'12 - Deployments &amp; Config'!J88</f>
        <v>Yes</v>
      </c>
      <c r="F88" s="34" t="str">
        <f>'12 - Deployments &amp; Config'!K88</f>
        <v>No</v>
      </c>
      <c r="G88" s="18" t="str">
        <f>'12 - Deployments &amp; Config'!L88</f>
        <v>No</v>
      </c>
      <c r="H88" s="18">
        <f>'13 - Config_Intake_View'!M88</f>
        <v>0</v>
      </c>
      <c r="I88" s="34" t="str">
        <f>IF('13 - Config_Intake_View'!Q88&lt;&gt;"",'13 - Config_Intake_View'!Q88,'12 - Deployments &amp; Config'!BI88)</f>
        <v>iPro
Epic Satellite
ALLSCRIPTS
EPIC BCA</v>
      </c>
      <c r="J88" s="18" t="str">
        <f>IF('13 - Config_Intake_View'!Q88&lt;&gt;"","PM Approved",IF('12 - Deployments &amp; Config'!BI88&lt;&gt;"","Assumed",""))</f>
        <v>Assumed</v>
      </c>
      <c r="K88" s="34">
        <f>'12 - Deployments &amp; Config'!BH88</f>
        <v>0</v>
      </c>
      <c r="L88" s="18">
        <f>'12 - Deployments &amp; Config'!P88</f>
        <v>0</v>
      </c>
      <c r="M88" s="18">
        <f>'12 - Deployments &amp; Config'!Q88</f>
        <v>0</v>
      </c>
      <c r="N88" s="18" t="str">
        <f>'12 - Deployments &amp; Config'!BL88</f>
        <v/>
      </c>
      <c r="O88" s="34" t="str">
        <f>'12 - Deployments &amp; Config'!BM88</f>
        <v/>
      </c>
      <c r="P88" s="2">
        <f>'12 - Deployments &amp; Config'!BB88</f>
        <v>0</v>
      </c>
      <c r="Q88" s="34" t="str">
        <f t="shared" si="4"/>
        <v/>
      </c>
      <c r="R88" s="18" t="str">
        <f t="shared" si="5"/>
        <v>SW NOT INSTALLED</v>
      </c>
      <c r="S88" s="18" t="str">
        <f t="shared" si="6"/>
        <v/>
      </c>
      <c r="T88" s="18" t="str">
        <f t="shared" si="7"/>
        <v>SW NOT INSTALLED</v>
      </c>
    </row>
    <row r="89" spans="1:20">
      <c r="A89" s="34" t="str">
        <f>'12 - Deployments &amp; Config'!H89</f>
        <v>LIJ - CCMC</v>
      </c>
      <c r="B89" s="34" t="str">
        <f>'12 - Deployments &amp; Config'!R89</f>
        <v>WNH269OPR026</v>
      </c>
      <c r="C89" s="34">
        <f>'12 - Deployments &amp; Config'!T89</f>
        <v>0</v>
      </c>
      <c r="D89" s="18">
        <f>'12 - Deployments &amp; Config'!AK89</f>
        <v>0</v>
      </c>
      <c r="E89" s="18" t="str">
        <f>'12 - Deployments &amp; Config'!J89</f>
        <v>Yes</v>
      </c>
      <c r="F89" s="34" t="str">
        <f>'12 - Deployments &amp; Config'!K89</f>
        <v>No</v>
      </c>
      <c r="G89" s="18" t="str">
        <f>'12 - Deployments &amp; Config'!L89</f>
        <v>No</v>
      </c>
      <c r="H89" s="18">
        <f>'13 - Config_Intake_View'!M89</f>
        <v>0</v>
      </c>
      <c r="I89" s="34" t="str">
        <f>IF('13 - Config_Intake_View'!Q89&lt;&gt;"",'13 - Config_Intake_View'!Q89,'12 - Deployments &amp; Config'!BI89)</f>
        <v>iPro
Epic Satellite
ALLSCRIPTS
EPIC BCA</v>
      </c>
      <c r="J89" s="18" t="str">
        <f>IF('13 - Config_Intake_View'!Q89&lt;&gt;"","PM Approved",IF('12 - Deployments &amp; Config'!BI89&lt;&gt;"","Assumed",""))</f>
        <v>Assumed</v>
      </c>
      <c r="K89" s="34">
        <f>'12 - Deployments &amp; Config'!BH89</f>
        <v>0</v>
      </c>
      <c r="L89" s="18">
        <f>'12 - Deployments &amp; Config'!P89</f>
        <v>0</v>
      </c>
      <c r="M89" s="18">
        <f>'12 - Deployments &amp; Config'!Q89</f>
        <v>0</v>
      </c>
      <c r="N89" s="18" t="str">
        <f>'12 - Deployments &amp; Config'!BL89</f>
        <v/>
      </c>
      <c r="O89" s="34" t="str">
        <f>'12 - Deployments &amp; Config'!BM89</f>
        <v/>
      </c>
      <c r="P89" s="2">
        <f>'12 - Deployments &amp; Config'!BB89</f>
        <v>0</v>
      </c>
      <c r="Q89" s="34" t="str">
        <f t="shared" si="4"/>
        <v/>
      </c>
      <c r="R89" s="18" t="str">
        <f t="shared" si="5"/>
        <v>SW NOT INSTALLED</v>
      </c>
      <c r="S89" s="18" t="str">
        <f t="shared" si="6"/>
        <v/>
      </c>
      <c r="T89" s="18" t="str">
        <f t="shared" si="7"/>
        <v>SW NOT INSTALLED</v>
      </c>
    </row>
    <row r="90" spans="1:20">
      <c r="A90" s="34" t="str">
        <f>'12 - Deployments &amp; Config'!H90</f>
        <v>LIJ - Proc</v>
      </c>
      <c r="B90" s="34" t="str">
        <f>'12 - Deployments &amp; Config'!R90</f>
        <v>WNH270OPR403</v>
      </c>
      <c r="C90" s="34">
        <f>'12 - Deployments &amp; Config'!T90</f>
        <v>0</v>
      </c>
      <c r="D90" s="18">
        <f>'12 - Deployments &amp; Config'!AK90</f>
        <v>0</v>
      </c>
      <c r="E90" s="18" t="str">
        <f>'12 - Deployments &amp; Config'!J90</f>
        <v>Yes</v>
      </c>
      <c r="F90" s="34" t="str">
        <f>'12 - Deployments &amp; Config'!K90</f>
        <v>No</v>
      </c>
      <c r="G90" s="18" t="str">
        <f>'12 - Deployments &amp; Config'!L90</f>
        <v>No</v>
      </c>
      <c r="H90" s="18">
        <f>'13 - Config_Intake_View'!M90</f>
        <v>0</v>
      </c>
      <c r="I90" s="34" t="str">
        <f>IF('13 - Config_Intake_View'!Q90&lt;&gt;"",'13 - Config_Intake_View'!Q90,'12 - Deployments &amp; Config'!BI90)</f>
        <v>iPro
Epic Satellite
ALLSCRIPTS
EPIC BCA</v>
      </c>
      <c r="J90" s="18" t="str">
        <f>IF('13 - Config_Intake_View'!Q90&lt;&gt;"","PM Approved",IF('12 - Deployments &amp; Config'!BI90&lt;&gt;"","Assumed",""))</f>
        <v>Assumed</v>
      </c>
      <c r="K90" s="34">
        <f>'12 - Deployments &amp; Config'!BH90</f>
        <v>0</v>
      </c>
      <c r="L90" s="18">
        <f>'12 - Deployments &amp; Config'!P90</f>
        <v>0</v>
      </c>
      <c r="M90" s="18">
        <f>'12 - Deployments &amp; Config'!Q90</f>
        <v>0</v>
      </c>
      <c r="N90" s="18" t="str">
        <f>'12 - Deployments &amp; Config'!BL90</f>
        <v/>
      </c>
      <c r="O90" s="34" t="str">
        <f>'12 - Deployments &amp; Config'!BM90</f>
        <v/>
      </c>
      <c r="P90" s="2">
        <f>'12 - Deployments &amp; Config'!BB90</f>
        <v>0</v>
      </c>
      <c r="Q90" s="34" t="str">
        <f t="shared" si="4"/>
        <v/>
      </c>
      <c r="R90" s="18" t="str">
        <f t="shared" si="5"/>
        <v>SW NOT INSTALLED</v>
      </c>
      <c r="S90" s="18" t="str">
        <f t="shared" si="6"/>
        <v/>
      </c>
      <c r="T90" s="18" t="str">
        <f t="shared" si="7"/>
        <v>SW NOT INSTALLED</v>
      </c>
    </row>
    <row r="91" spans="1:20">
      <c r="A91" s="34" t="str">
        <f>'12 - Deployments &amp; Config'!H91</f>
        <v>LIJ - Proc</v>
      </c>
      <c r="B91" s="34" t="str">
        <f>'12 - Deployments &amp; Config'!R91</f>
        <v>WNH270OPR404</v>
      </c>
      <c r="C91" s="34">
        <f>'12 - Deployments &amp; Config'!T91</f>
        <v>0</v>
      </c>
      <c r="D91" s="18">
        <f>'12 - Deployments &amp; Config'!AK91</f>
        <v>0</v>
      </c>
      <c r="E91" s="18" t="str">
        <f>'12 - Deployments &amp; Config'!J91</f>
        <v>Yes</v>
      </c>
      <c r="F91" s="34" t="str">
        <f>'12 - Deployments &amp; Config'!K91</f>
        <v>No</v>
      </c>
      <c r="G91" s="18" t="str">
        <f>'12 - Deployments &amp; Config'!L91</f>
        <v>No</v>
      </c>
      <c r="H91" s="18">
        <f>'13 - Config_Intake_View'!M91</f>
        <v>0</v>
      </c>
      <c r="I91" s="34" t="str">
        <f>IF('13 - Config_Intake_View'!Q91&lt;&gt;"",'13 - Config_Intake_View'!Q91,'12 - Deployments &amp; Config'!BI91)</f>
        <v>iPro
Epic Satellite
ALLSCRIPTS
EPIC BCA</v>
      </c>
      <c r="J91" s="18" t="str">
        <f>IF('13 - Config_Intake_View'!Q91&lt;&gt;"","PM Approved",IF('12 - Deployments &amp; Config'!BI91&lt;&gt;"","Assumed",""))</f>
        <v>Assumed</v>
      </c>
      <c r="K91" s="34">
        <f>'12 - Deployments &amp; Config'!BH91</f>
        <v>0</v>
      </c>
      <c r="L91" s="18">
        <f>'12 - Deployments &amp; Config'!P91</f>
        <v>0</v>
      </c>
      <c r="M91" s="18">
        <f>'12 - Deployments &amp; Config'!Q91</f>
        <v>0</v>
      </c>
      <c r="N91" s="18" t="str">
        <f>'12 - Deployments &amp; Config'!BL91</f>
        <v/>
      </c>
      <c r="O91" s="34" t="str">
        <f>'12 - Deployments &amp; Config'!BM91</f>
        <v/>
      </c>
      <c r="P91" s="2">
        <f>'12 - Deployments &amp; Config'!BB91</f>
        <v>0</v>
      </c>
      <c r="Q91" s="34" t="str">
        <f t="shared" si="4"/>
        <v/>
      </c>
      <c r="R91" s="18" t="str">
        <f t="shared" si="5"/>
        <v>SW NOT INSTALLED</v>
      </c>
      <c r="S91" s="18" t="str">
        <f t="shared" si="6"/>
        <v/>
      </c>
      <c r="T91" s="18" t="str">
        <f t="shared" si="7"/>
        <v>SW NOT INSTALLED</v>
      </c>
    </row>
    <row r="92" spans="1:20">
      <c r="A92" s="34" t="str">
        <f>'12 - Deployments &amp; Config'!H92</f>
        <v>LIJ - Proc</v>
      </c>
      <c r="B92" s="34" t="str">
        <f>'12 - Deployments &amp; Config'!R92</f>
        <v>WNH270OPR405</v>
      </c>
      <c r="C92" s="34">
        <f>'12 - Deployments &amp; Config'!T92</f>
        <v>0</v>
      </c>
      <c r="D92" s="18">
        <f>'12 - Deployments &amp; Config'!AK92</f>
        <v>0</v>
      </c>
      <c r="E92" s="18" t="str">
        <f>'12 - Deployments &amp; Config'!J92</f>
        <v>Yes</v>
      </c>
      <c r="F92" s="34" t="str">
        <f>'12 - Deployments &amp; Config'!K92</f>
        <v>No</v>
      </c>
      <c r="G92" s="18" t="str">
        <f>'12 - Deployments &amp; Config'!L92</f>
        <v>No</v>
      </c>
      <c r="H92" s="18">
        <f>'13 - Config_Intake_View'!M92</f>
        <v>0</v>
      </c>
      <c r="I92" s="34" t="str">
        <f>IF('13 - Config_Intake_View'!Q92&lt;&gt;"",'13 - Config_Intake_View'!Q92,'12 - Deployments &amp; Config'!BI92)</f>
        <v>iPro
Epic Satellite
ALLSCRIPTS
EPIC BCA</v>
      </c>
      <c r="J92" s="18" t="str">
        <f>IF('13 - Config_Intake_View'!Q92&lt;&gt;"","PM Approved",IF('12 - Deployments &amp; Config'!BI92&lt;&gt;"","Assumed",""))</f>
        <v>Assumed</v>
      </c>
      <c r="K92" s="34">
        <f>'12 - Deployments &amp; Config'!BH92</f>
        <v>0</v>
      </c>
      <c r="L92" s="18">
        <f>'12 - Deployments &amp; Config'!P92</f>
        <v>0</v>
      </c>
      <c r="M92" s="18">
        <f>'12 - Deployments &amp; Config'!Q92</f>
        <v>0</v>
      </c>
      <c r="N92" s="18" t="str">
        <f>'12 - Deployments &amp; Config'!BL92</f>
        <v/>
      </c>
      <c r="O92" s="34" t="str">
        <f>'12 - Deployments &amp; Config'!BM92</f>
        <v/>
      </c>
      <c r="P92" s="2">
        <f>'12 - Deployments &amp; Config'!BB92</f>
        <v>0</v>
      </c>
      <c r="Q92" s="34" t="str">
        <f t="shared" si="4"/>
        <v/>
      </c>
      <c r="R92" s="18" t="str">
        <f t="shared" si="5"/>
        <v>SW NOT INSTALLED</v>
      </c>
      <c r="S92" s="18" t="str">
        <f t="shared" si="6"/>
        <v/>
      </c>
      <c r="T92" s="18" t="str">
        <f t="shared" si="7"/>
        <v>SW NOT INSTALLED</v>
      </c>
    </row>
    <row r="93" spans="1:20">
      <c r="A93" s="34" t="str">
        <f>'12 - Deployments &amp; Config'!H93</f>
        <v>LIJ - Proc</v>
      </c>
      <c r="B93" s="34" t="str">
        <f>'12 - Deployments &amp; Config'!R93</f>
        <v>WNH270OPR406</v>
      </c>
      <c r="C93" s="34">
        <f>'12 - Deployments &amp; Config'!T93</f>
        <v>0</v>
      </c>
      <c r="D93" s="18">
        <f>'12 - Deployments &amp; Config'!AK93</f>
        <v>0</v>
      </c>
      <c r="E93" s="18" t="str">
        <f>'12 - Deployments &amp; Config'!J93</f>
        <v>Yes</v>
      </c>
      <c r="F93" s="34" t="str">
        <f>'12 - Deployments &amp; Config'!K93</f>
        <v>No</v>
      </c>
      <c r="G93" s="18" t="str">
        <f>'12 - Deployments &amp; Config'!L93</f>
        <v>No</v>
      </c>
      <c r="H93" s="18">
        <f>'13 - Config_Intake_View'!M93</f>
        <v>0</v>
      </c>
      <c r="I93" s="34" t="str">
        <f>IF('13 - Config_Intake_View'!Q93&lt;&gt;"",'13 - Config_Intake_View'!Q93,'12 - Deployments &amp; Config'!BI93)</f>
        <v>iPro
Epic Satellite
ALLSCRIPTS
EPIC BCA</v>
      </c>
      <c r="J93" s="18" t="str">
        <f>IF('13 - Config_Intake_View'!Q93&lt;&gt;"","PM Approved",IF('12 - Deployments &amp; Config'!BI93&lt;&gt;"","Assumed",""))</f>
        <v>Assumed</v>
      </c>
      <c r="K93" s="34">
        <f>'12 - Deployments &amp; Config'!BH93</f>
        <v>0</v>
      </c>
      <c r="L93" s="18">
        <f>'12 - Deployments &amp; Config'!P93</f>
        <v>0</v>
      </c>
      <c r="M93" s="18">
        <f>'12 - Deployments &amp; Config'!Q93</f>
        <v>0</v>
      </c>
      <c r="N93" s="18" t="str">
        <f>'12 - Deployments &amp; Config'!BL93</f>
        <v/>
      </c>
      <c r="O93" s="34" t="str">
        <f>'12 - Deployments &amp; Config'!BM93</f>
        <v/>
      </c>
      <c r="P93" s="2">
        <f>'12 - Deployments &amp; Config'!BB93</f>
        <v>0</v>
      </c>
      <c r="Q93" s="34" t="str">
        <f t="shared" si="4"/>
        <v/>
      </c>
      <c r="R93" s="18" t="str">
        <f t="shared" si="5"/>
        <v>SW NOT INSTALLED</v>
      </c>
      <c r="S93" s="18" t="str">
        <f t="shared" si="6"/>
        <v/>
      </c>
      <c r="T93" s="18" t="str">
        <f t="shared" si="7"/>
        <v>SW NOT INSTALLED</v>
      </c>
    </row>
    <row r="94" spans="1:20">
      <c r="A94" s="34" t="str">
        <f>'12 - Deployments &amp; Config'!H94</f>
        <v>LIJ - Proc</v>
      </c>
      <c r="B94" s="34" t="str">
        <f>'12 - Deployments &amp; Config'!R94</f>
        <v>WNH270OPR407</v>
      </c>
      <c r="C94" s="34">
        <f>'12 - Deployments &amp; Config'!T94</f>
        <v>0</v>
      </c>
      <c r="D94" s="18">
        <f>'12 - Deployments &amp; Config'!AK94</f>
        <v>0</v>
      </c>
      <c r="E94" s="18" t="str">
        <f>'12 - Deployments &amp; Config'!J94</f>
        <v>Yes</v>
      </c>
      <c r="F94" s="34" t="str">
        <f>'12 - Deployments &amp; Config'!K94</f>
        <v>No</v>
      </c>
      <c r="G94" s="18" t="str">
        <f>'12 - Deployments &amp; Config'!L94</f>
        <v>No</v>
      </c>
      <c r="H94" s="18">
        <f>'13 - Config_Intake_View'!M94</f>
        <v>0</v>
      </c>
      <c r="I94" s="34" t="str">
        <f>IF('13 - Config_Intake_View'!Q94&lt;&gt;"",'13 - Config_Intake_View'!Q94,'12 - Deployments &amp; Config'!BI94)</f>
        <v>iPro
Epic Satellite
ALLSCRIPTS
EPIC BCA</v>
      </c>
      <c r="J94" s="18" t="str">
        <f>IF('13 - Config_Intake_View'!Q94&lt;&gt;"","PM Approved",IF('12 - Deployments &amp; Config'!BI94&lt;&gt;"","Assumed",""))</f>
        <v>Assumed</v>
      </c>
      <c r="K94" s="34">
        <f>'12 - Deployments &amp; Config'!BH94</f>
        <v>0</v>
      </c>
      <c r="L94" s="18">
        <f>'12 - Deployments &amp; Config'!P94</f>
        <v>0</v>
      </c>
      <c r="M94" s="18">
        <f>'12 - Deployments &amp; Config'!Q94</f>
        <v>0</v>
      </c>
      <c r="N94" s="18" t="str">
        <f>'12 - Deployments &amp; Config'!BL94</f>
        <v/>
      </c>
      <c r="O94" s="34" t="str">
        <f>'12 - Deployments &amp; Config'!BM94</f>
        <v/>
      </c>
      <c r="P94" s="2">
        <f>'12 - Deployments &amp; Config'!BB94</f>
        <v>0</v>
      </c>
      <c r="Q94" s="34" t="str">
        <f t="shared" si="4"/>
        <v/>
      </c>
      <c r="R94" s="18" t="str">
        <f t="shared" si="5"/>
        <v>SW NOT INSTALLED</v>
      </c>
      <c r="S94" s="18" t="str">
        <f t="shared" si="6"/>
        <v/>
      </c>
      <c r="T94" s="18" t="str">
        <f t="shared" si="7"/>
        <v>SW NOT INSTALLED</v>
      </c>
    </row>
    <row r="95" spans="1:20">
      <c r="A95" s="34" t="str">
        <f>'12 - Deployments &amp; Config'!H95</f>
        <v>LIJ - Proc</v>
      </c>
      <c r="B95" s="34" t="str">
        <f>'12 - Deployments &amp; Config'!R95</f>
        <v>WNH270OPR408</v>
      </c>
      <c r="C95" s="34">
        <f>'12 - Deployments &amp; Config'!T95</f>
        <v>0</v>
      </c>
      <c r="D95" s="18">
        <f>'12 - Deployments &amp; Config'!AK95</f>
        <v>0</v>
      </c>
      <c r="E95" s="18" t="str">
        <f>'12 - Deployments &amp; Config'!J95</f>
        <v>Yes</v>
      </c>
      <c r="F95" s="34" t="str">
        <f>'12 - Deployments &amp; Config'!K95</f>
        <v>No</v>
      </c>
      <c r="G95" s="18" t="str">
        <f>'12 - Deployments &amp; Config'!L95</f>
        <v>No</v>
      </c>
      <c r="H95" s="18">
        <f>'13 - Config_Intake_View'!M95</f>
        <v>0</v>
      </c>
      <c r="I95" s="34" t="str">
        <f>IF('13 - Config_Intake_View'!Q95&lt;&gt;"",'13 - Config_Intake_View'!Q95,'12 - Deployments &amp; Config'!BI95)</f>
        <v>iPro
Epic Satellite
ALLSCRIPTS
EPIC BCA</v>
      </c>
      <c r="J95" s="18" t="str">
        <f>IF('13 - Config_Intake_View'!Q95&lt;&gt;"","PM Approved",IF('12 - Deployments &amp; Config'!BI95&lt;&gt;"","Assumed",""))</f>
        <v>Assumed</v>
      </c>
      <c r="K95" s="34">
        <f>'12 - Deployments &amp; Config'!BH95</f>
        <v>0</v>
      </c>
      <c r="L95" s="18">
        <f>'12 - Deployments &amp; Config'!P95</f>
        <v>0</v>
      </c>
      <c r="M95" s="18">
        <f>'12 - Deployments &amp; Config'!Q95</f>
        <v>0</v>
      </c>
      <c r="N95" s="18" t="str">
        <f>'12 - Deployments &amp; Config'!BL95</f>
        <v/>
      </c>
      <c r="O95" s="34" t="str">
        <f>'12 - Deployments &amp; Config'!BM95</f>
        <v/>
      </c>
      <c r="P95" s="2">
        <f>'12 - Deployments &amp; Config'!BB95</f>
        <v>0</v>
      </c>
      <c r="Q95" s="34" t="str">
        <f t="shared" si="4"/>
        <v/>
      </c>
      <c r="R95" s="18" t="str">
        <f t="shared" si="5"/>
        <v>SW NOT INSTALLED</v>
      </c>
      <c r="S95" s="18" t="str">
        <f t="shared" si="6"/>
        <v/>
      </c>
      <c r="T95" s="18" t="str">
        <f t="shared" si="7"/>
        <v>SW NOT INSTALLED</v>
      </c>
    </row>
    <row r="96" spans="1:20">
      <c r="A96" s="34" t="str">
        <f>'12 - Deployments &amp; Config'!H96</f>
        <v>LIJ - Proc</v>
      </c>
      <c r="B96" s="34" t="str">
        <f>'12 - Deployments &amp; Config'!R96</f>
        <v>WNH270OPR409</v>
      </c>
      <c r="C96" s="34">
        <f>'12 - Deployments &amp; Config'!T96</f>
        <v>0</v>
      </c>
      <c r="D96" s="18">
        <f>'12 - Deployments &amp; Config'!AK96</f>
        <v>0</v>
      </c>
      <c r="E96" s="18" t="str">
        <f>'12 - Deployments &amp; Config'!J96</f>
        <v>Yes</v>
      </c>
      <c r="F96" s="34" t="str">
        <f>'12 - Deployments &amp; Config'!K96</f>
        <v>No</v>
      </c>
      <c r="G96" s="18" t="str">
        <f>'12 - Deployments &amp; Config'!L96</f>
        <v>No</v>
      </c>
      <c r="H96" s="18">
        <f>'13 - Config_Intake_View'!M96</f>
        <v>0</v>
      </c>
      <c r="I96" s="34" t="str">
        <f>IF('13 - Config_Intake_View'!Q96&lt;&gt;"",'13 - Config_Intake_View'!Q96,'12 - Deployments &amp; Config'!BI96)</f>
        <v>iPro
Epic Satellite
ALLSCRIPTS
EPIC BCA</v>
      </c>
      <c r="J96" s="18" t="str">
        <f>IF('13 - Config_Intake_View'!Q96&lt;&gt;"","PM Approved",IF('12 - Deployments &amp; Config'!BI96&lt;&gt;"","Assumed",""))</f>
        <v>Assumed</v>
      </c>
      <c r="K96" s="34">
        <f>'12 - Deployments &amp; Config'!BH96</f>
        <v>0</v>
      </c>
      <c r="L96" s="18">
        <f>'12 - Deployments &amp; Config'!P96</f>
        <v>0</v>
      </c>
      <c r="M96" s="18">
        <f>'12 - Deployments &amp; Config'!Q96</f>
        <v>0</v>
      </c>
      <c r="N96" s="18" t="str">
        <f>'12 - Deployments &amp; Config'!BL96</f>
        <v/>
      </c>
      <c r="O96" s="34" t="str">
        <f>'12 - Deployments &amp; Config'!BM96</f>
        <v/>
      </c>
      <c r="P96" s="2">
        <f>'12 - Deployments &amp; Config'!BB96</f>
        <v>0</v>
      </c>
      <c r="Q96" s="34" t="str">
        <f t="shared" si="4"/>
        <v/>
      </c>
      <c r="R96" s="18" t="str">
        <f t="shared" si="5"/>
        <v>SW NOT INSTALLED</v>
      </c>
      <c r="S96" s="18" t="str">
        <f t="shared" si="6"/>
        <v/>
      </c>
      <c r="T96" s="18" t="str">
        <f t="shared" si="7"/>
        <v>SW NOT INSTALLED</v>
      </c>
    </row>
    <row r="97" spans="1:20">
      <c r="A97" s="34" t="str">
        <f>'12 - Deployments &amp; Config'!H97</f>
        <v>LIJ - Proc</v>
      </c>
      <c r="B97" s="34" t="str">
        <f>'12 - Deployments &amp; Config'!R97</f>
        <v>WNH270OPR410</v>
      </c>
      <c r="C97" s="34">
        <f>'12 - Deployments &amp; Config'!T97</f>
        <v>0</v>
      </c>
      <c r="D97" s="18">
        <f>'12 - Deployments &amp; Config'!AK97</f>
        <v>0</v>
      </c>
      <c r="E97" s="18" t="str">
        <f>'12 - Deployments &amp; Config'!J97</f>
        <v>Yes</v>
      </c>
      <c r="F97" s="34" t="str">
        <f>'12 - Deployments &amp; Config'!K97</f>
        <v>No</v>
      </c>
      <c r="G97" s="18" t="str">
        <f>'12 - Deployments &amp; Config'!L97</f>
        <v>No</v>
      </c>
      <c r="H97" s="18">
        <f>'13 - Config_Intake_View'!M97</f>
        <v>0</v>
      </c>
      <c r="I97" s="34" t="str">
        <f>IF('13 - Config_Intake_View'!Q97&lt;&gt;"",'13 - Config_Intake_View'!Q97,'12 - Deployments &amp; Config'!BI97)</f>
        <v>iPro
Epic Satellite
ALLSCRIPTS
EPIC BCA</v>
      </c>
      <c r="J97" s="18" t="str">
        <f>IF('13 - Config_Intake_View'!Q97&lt;&gt;"","PM Approved",IF('12 - Deployments &amp; Config'!BI97&lt;&gt;"","Assumed",""))</f>
        <v>Assumed</v>
      </c>
      <c r="K97" s="34">
        <f>'12 - Deployments &amp; Config'!BH97</f>
        <v>0</v>
      </c>
      <c r="L97" s="18">
        <f>'12 - Deployments &amp; Config'!P97</f>
        <v>0</v>
      </c>
      <c r="M97" s="18">
        <f>'12 - Deployments &amp; Config'!Q97</f>
        <v>0</v>
      </c>
      <c r="N97" s="18" t="str">
        <f>'12 - Deployments &amp; Config'!BL97</f>
        <v/>
      </c>
      <c r="O97" s="34" t="str">
        <f>'12 - Deployments &amp; Config'!BM97</f>
        <v/>
      </c>
      <c r="P97" s="2">
        <f>'12 - Deployments &amp; Config'!BB97</f>
        <v>0</v>
      </c>
      <c r="Q97" s="34" t="str">
        <f t="shared" si="4"/>
        <v/>
      </c>
      <c r="R97" s="18" t="str">
        <f t="shared" si="5"/>
        <v>SW NOT INSTALLED</v>
      </c>
      <c r="S97" s="18" t="str">
        <f t="shared" si="6"/>
        <v/>
      </c>
      <c r="T97" s="18" t="str">
        <f t="shared" si="7"/>
        <v>SW NOT INSTALLED</v>
      </c>
    </row>
    <row r="98" spans="1:20">
      <c r="A98" s="34" t="str">
        <f>'12 - Deployments &amp; Config'!H98</f>
        <v>LIJ - Proc</v>
      </c>
      <c r="B98" s="34" t="str">
        <f>'12 - Deployments &amp; Config'!R98</f>
        <v>WNH270OPR411</v>
      </c>
      <c r="C98" s="34">
        <f>'12 - Deployments &amp; Config'!T98</f>
        <v>0</v>
      </c>
      <c r="D98" s="18">
        <f>'12 - Deployments &amp; Config'!AK98</f>
        <v>0</v>
      </c>
      <c r="E98" s="18" t="str">
        <f>'12 - Deployments &amp; Config'!J98</f>
        <v>Yes</v>
      </c>
      <c r="F98" s="34" t="str">
        <f>'12 - Deployments &amp; Config'!K98</f>
        <v>No</v>
      </c>
      <c r="G98" s="18" t="str">
        <f>'12 - Deployments &amp; Config'!L98</f>
        <v>No</v>
      </c>
      <c r="H98" s="18">
        <f>'13 - Config_Intake_View'!M98</f>
        <v>0</v>
      </c>
      <c r="I98" s="34" t="str">
        <f>IF('13 - Config_Intake_View'!Q98&lt;&gt;"",'13 - Config_Intake_View'!Q98,'12 - Deployments &amp; Config'!BI98)</f>
        <v>iPro
Epic Satellite
ALLSCRIPTS
EPIC BCA</v>
      </c>
      <c r="J98" s="18" t="str">
        <f>IF('13 - Config_Intake_View'!Q98&lt;&gt;"","PM Approved",IF('12 - Deployments &amp; Config'!BI98&lt;&gt;"","Assumed",""))</f>
        <v>Assumed</v>
      </c>
      <c r="K98" s="34">
        <f>'12 - Deployments &amp; Config'!BH98</f>
        <v>0</v>
      </c>
      <c r="L98" s="18">
        <f>'12 - Deployments &amp; Config'!P98</f>
        <v>0</v>
      </c>
      <c r="M98" s="18">
        <f>'12 - Deployments &amp; Config'!Q98</f>
        <v>0</v>
      </c>
      <c r="N98" s="18" t="str">
        <f>'12 - Deployments &amp; Config'!BL98</f>
        <v/>
      </c>
      <c r="O98" s="34" t="str">
        <f>'12 - Deployments &amp; Config'!BM98</f>
        <v/>
      </c>
      <c r="P98" s="2">
        <f>'12 - Deployments &amp; Config'!BB98</f>
        <v>0</v>
      </c>
      <c r="Q98" s="34" t="str">
        <f t="shared" si="4"/>
        <v/>
      </c>
      <c r="R98" s="18" t="str">
        <f t="shared" si="5"/>
        <v>SW NOT INSTALLED</v>
      </c>
      <c r="S98" s="18" t="str">
        <f t="shared" si="6"/>
        <v/>
      </c>
      <c r="T98" s="18" t="str">
        <f t="shared" si="7"/>
        <v>SW NOT INSTALLED</v>
      </c>
    </row>
    <row r="99" spans="1:20">
      <c r="A99" s="34" t="str">
        <f>'12 - Deployments &amp; Config'!H99</f>
        <v>LIJ - Proc</v>
      </c>
      <c r="B99" s="34" t="str">
        <f>'12 - Deployments &amp; Config'!R99</f>
        <v>WNH270OPR412</v>
      </c>
      <c r="C99" s="34">
        <f>'12 - Deployments &amp; Config'!T99</f>
        <v>0</v>
      </c>
      <c r="D99" s="18">
        <f>'12 - Deployments &amp; Config'!AK99</f>
        <v>0</v>
      </c>
      <c r="E99" s="18" t="str">
        <f>'12 - Deployments &amp; Config'!J99</f>
        <v>Yes</v>
      </c>
      <c r="F99" s="34" t="str">
        <f>'12 - Deployments &amp; Config'!K99</f>
        <v>No</v>
      </c>
      <c r="G99" s="18" t="str">
        <f>'12 - Deployments &amp; Config'!L99</f>
        <v>No</v>
      </c>
      <c r="H99" s="18">
        <f>'13 - Config_Intake_View'!M99</f>
        <v>0</v>
      </c>
      <c r="I99" s="34" t="str">
        <f>IF('13 - Config_Intake_View'!Q99&lt;&gt;"",'13 - Config_Intake_View'!Q99,'12 - Deployments &amp; Config'!BI99)</f>
        <v>iPro
Epic Satellite
ALLSCRIPTS
EPIC BCA</v>
      </c>
      <c r="J99" s="18" t="str">
        <f>IF('13 - Config_Intake_View'!Q99&lt;&gt;"","PM Approved",IF('12 - Deployments &amp; Config'!BI99&lt;&gt;"","Assumed",""))</f>
        <v>Assumed</v>
      </c>
      <c r="K99" s="34">
        <f>'12 - Deployments &amp; Config'!BH99</f>
        <v>0</v>
      </c>
      <c r="L99" s="18">
        <f>'12 - Deployments &amp; Config'!P99</f>
        <v>0</v>
      </c>
      <c r="M99" s="18">
        <f>'12 - Deployments &amp; Config'!Q99</f>
        <v>0</v>
      </c>
      <c r="N99" s="18" t="str">
        <f>'12 - Deployments &amp; Config'!BL99</f>
        <v/>
      </c>
      <c r="O99" s="34" t="str">
        <f>'12 - Deployments &amp; Config'!BM99</f>
        <v/>
      </c>
      <c r="P99" s="2">
        <f>'12 - Deployments &amp; Config'!BB99</f>
        <v>0</v>
      </c>
      <c r="Q99" s="34" t="str">
        <f t="shared" si="4"/>
        <v/>
      </c>
      <c r="R99" s="18" t="str">
        <f t="shared" si="5"/>
        <v>SW NOT INSTALLED</v>
      </c>
      <c r="S99" s="18" t="str">
        <f t="shared" si="6"/>
        <v/>
      </c>
      <c r="T99" s="18" t="str">
        <f t="shared" si="7"/>
        <v>SW NOT INSTALLED</v>
      </c>
    </row>
    <row r="100" spans="1:20">
      <c r="A100" s="34" t="str">
        <f>'12 - Deployments &amp; Config'!H100</f>
        <v>LIJ - Proc</v>
      </c>
      <c r="B100" s="34" t="str">
        <f>'12 - Deployments &amp; Config'!R100</f>
        <v>BROKEN - Bluescreen@boot</v>
      </c>
      <c r="C100" s="34">
        <f>'12 - Deployments &amp; Config'!T100</f>
        <v>0</v>
      </c>
      <c r="D100" s="18">
        <f>'12 - Deployments &amp; Config'!AK100</f>
        <v>0</v>
      </c>
      <c r="E100" s="18" t="str">
        <f>'12 - Deployments &amp; Config'!J100</f>
        <v>Yes</v>
      </c>
      <c r="F100" s="34" t="str">
        <f>'12 - Deployments &amp; Config'!K100</f>
        <v>No</v>
      </c>
      <c r="G100" s="18" t="str">
        <f>'12 - Deployments &amp; Config'!L100</f>
        <v>No</v>
      </c>
      <c r="H100" s="18">
        <f>'13 - Config_Intake_View'!M100</f>
        <v>0</v>
      </c>
      <c r="I100" s="34" t="str">
        <f>IF('13 - Config_Intake_View'!Q100&lt;&gt;"",'13 - Config_Intake_View'!Q100,'12 - Deployments &amp; Config'!BI100)</f>
        <v>iPro
Epic Satellite
ALLSCRIPTS
EPIC BCA</v>
      </c>
      <c r="J100" s="18" t="str">
        <f>IF('13 - Config_Intake_View'!Q100&lt;&gt;"","PM Approved",IF('12 - Deployments &amp; Config'!BI100&lt;&gt;"","Assumed",""))</f>
        <v>Assumed</v>
      </c>
      <c r="K100" s="34">
        <f>'12 - Deployments &amp; Config'!BH100</f>
        <v>0</v>
      </c>
      <c r="L100" s="18">
        <f>'12 - Deployments &amp; Config'!P100</f>
        <v>0</v>
      </c>
      <c r="M100" s="18">
        <f>'12 - Deployments &amp; Config'!Q100</f>
        <v>0</v>
      </c>
      <c r="N100" s="18" t="str">
        <f>'12 - Deployments &amp; Config'!BL100</f>
        <v/>
      </c>
      <c r="O100" s="34" t="str">
        <f>'12 - Deployments &amp; Config'!BM100</f>
        <v/>
      </c>
      <c r="P100" s="2">
        <f>'12 - Deployments &amp; Config'!BB100</f>
        <v>0</v>
      </c>
      <c r="Q100" s="34" t="str">
        <f t="shared" si="4"/>
        <v/>
      </c>
      <c r="R100" s="18" t="str">
        <f t="shared" si="5"/>
        <v>SW NOT INSTALLED</v>
      </c>
      <c r="S100" s="18" t="str">
        <f t="shared" si="6"/>
        <v/>
      </c>
      <c r="T100" s="18" t="str">
        <f t="shared" si="7"/>
        <v>SW NOT INSTALLED</v>
      </c>
    </row>
    <row r="101" spans="1:20">
      <c r="A101" s="34" t="str">
        <f>'12 - Deployments &amp; Config'!H101</f>
        <v>LIJ - OR</v>
      </c>
      <c r="B101" s="34" t="str">
        <f>'12 - Deployments &amp; Config'!R101</f>
        <v>WNH270OPR413</v>
      </c>
      <c r="C101" s="34" t="str">
        <f>'12 - Deployments &amp; Config'!T101</f>
        <v>00187DE0E35F</v>
      </c>
      <c r="D101" s="18" t="str">
        <f>'12 - Deployments &amp; Config'!AK101</f>
        <v>Apollo</v>
      </c>
      <c r="E101" s="18" t="str">
        <f>'12 - Deployments &amp; Config'!J101</f>
        <v>Yes</v>
      </c>
      <c r="F101" s="34" t="str">
        <f>'12 - Deployments &amp; Config'!K101</f>
        <v>Yes</v>
      </c>
      <c r="G101" s="18" t="str">
        <f>'12 - Deployments &amp; Config'!L101</f>
        <v>Yes</v>
      </c>
      <c r="H101" s="18">
        <f>'13 - Config_Intake_View'!M101</f>
        <v>0</v>
      </c>
      <c r="I101" s="34" t="str">
        <f>IF('13 - Config_Intake_View'!Q101&lt;&gt;"",'13 - Config_Intake_View'!Q101,'12 - Deployments &amp; Config'!BI101)</f>
        <v>iPro
Epic Satellite
ALLSCRIPTS
EPIC BCA</v>
      </c>
      <c r="J101" s="18" t="str">
        <f>IF('13 - Config_Intake_View'!Q101&lt;&gt;"","PM Approved",IF('12 - Deployments &amp; Config'!BI101&lt;&gt;"","Assumed",""))</f>
        <v>Assumed</v>
      </c>
      <c r="K101" s="34">
        <f>'12 - Deployments &amp; Config'!BH101</f>
        <v>0</v>
      </c>
      <c r="L101" s="18" t="str">
        <f>'12 - Deployments &amp; Config'!P101</f>
        <v>1427182 LIJ Installation - Tim W. Seeberger, Akbar, Chris Perkins, Epic Team, Anesthesia Techs, and Admins</v>
      </c>
      <c r="M101" s="18">
        <f>'12 - Deployments &amp; Config'!Q101</f>
        <v>46075</v>
      </c>
      <c r="N101" s="18" t="str">
        <f>'12 - Deployments &amp; Config'!BL101</f>
        <v>Firmware Download, Device ID, Epic Beans Relay</v>
      </c>
      <c r="O101" s="34" t="str">
        <f>'12 - Deployments &amp; Config'!BM101</f>
        <v>Blocked</v>
      </c>
      <c r="P101" s="2">
        <f>'12 - Deployments &amp; Config'!BB101</f>
        <v>0</v>
      </c>
      <c r="Q101" s="34" t="str">
        <f t="shared" si="4"/>
        <v/>
      </c>
      <c r="R101" s="18" t="str">
        <f t="shared" si="5"/>
        <v>SW NOT INSTALLED</v>
      </c>
      <c r="S101" s="18" t="str">
        <f t="shared" si="6"/>
        <v/>
      </c>
      <c r="T101" s="18" t="str">
        <f t="shared" si="7"/>
        <v>SW NOT INSTALLED</v>
      </c>
    </row>
    <row r="102" spans="1:20">
      <c r="A102" s="34" t="str">
        <f>'12 - Deployments &amp; Config'!H102</f>
        <v>LIJ - OR</v>
      </c>
      <c r="B102" s="34" t="str">
        <f>'12 - Deployments &amp; Config'!R102</f>
        <v>WNH270OPR414</v>
      </c>
      <c r="C102" s="34" t="str">
        <f>'12 - Deployments &amp; Config'!T102</f>
        <v>00187DE09A86</v>
      </c>
      <c r="D102" s="18" t="str">
        <f>'12 - Deployments &amp; Config'!AK102</f>
        <v>Apollo</v>
      </c>
      <c r="E102" s="18" t="str">
        <f>'12 - Deployments &amp; Config'!J102</f>
        <v>Yes</v>
      </c>
      <c r="F102" s="34" t="str">
        <f>'12 - Deployments &amp; Config'!K102</f>
        <v>Yes</v>
      </c>
      <c r="G102" s="18" t="str">
        <f>'12 - Deployments &amp; Config'!L102</f>
        <v>Yes</v>
      </c>
      <c r="H102" s="18">
        <f>'13 - Config_Intake_View'!M102</f>
        <v>0</v>
      </c>
      <c r="I102" s="34" t="str">
        <f>IF('13 - Config_Intake_View'!Q102&lt;&gt;"",'13 - Config_Intake_View'!Q102,'12 - Deployments &amp; Config'!BI102)</f>
        <v>iPro
Epic Satellite
ALLSCRIPTS
EPIC BCA</v>
      </c>
      <c r="J102" s="18" t="str">
        <f>IF('13 - Config_Intake_View'!Q102&lt;&gt;"","PM Approved",IF('12 - Deployments &amp; Config'!BI102&lt;&gt;"","Assumed",""))</f>
        <v>Assumed</v>
      </c>
      <c r="K102" s="34">
        <f>'12 - Deployments &amp; Config'!BH102</f>
        <v>0</v>
      </c>
      <c r="L102" s="18" t="str">
        <f>'12 - Deployments &amp; Config'!P102</f>
        <v>1427182 LIJ Installation - Tim W. Seeberger, Akbar, Chris Perkins, Epic Team, Anesthesia Techs, and Admins</v>
      </c>
      <c r="M102" s="18">
        <f>'12 - Deployments &amp; Config'!Q102</f>
        <v>46075</v>
      </c>
      <c r="N102" s="18" t="str">
        <f>'12 - Deployments &amp; Config'!BL102</f>
        <v>Firmware Download, Device ID, Epic Beans Relay</v>
      </c>
      <c r="O102" s="34" t="str">
        <f>'12 - Deployments &amp; Config'!BM102</f>
        <v>Blocked</v>
      </c>
      <c r="P102" s="2">
        <f>'12 - Deployments &amp; Config'!BB102</f>
        <v>0</v>
      </c>
      <c r="Q102" s="34" t="str">
        <f t="shared" si="4"/>
        <v/>
      </c>
      <c r="R102" s="18" t="str">
        <f t="shared" si="5"/>
        <v>SW NOT INSTALLED</v>
      </c>
      <c r="S102" s="18" t="str">
        <f t="shared" si="6"/>
        <v/>
      </c>
      <c r="T102" s="18" t="str">
        <f t="shared" si="7"/>
        <v>SW NOT INSTALLED</v>
      </c>
    </row>
    <row r="103" spans="1:20">
      <c r="A103" s="34" t="str">
        <f>'12 - Deployments &amp; Config'!H103</f>
        <v>LIJ - OR</v>
      </c>
      <c r="B103" s="34" t="str">
        <f>'12 - Deployments &amp; Config'!R103</f>
        <v>WNH270OPR415</v>
      </c>
      <c r="C103" s="34" t="str">
        <f>'12 - Deployments &amp; Config'!T103</f>
        <v>00187DE0E28E</v>
      </c>
      <c r="D103" s="18" t="str">
        <f>'12 - Deployments &amp; Config'!AK103</f>
        <v>Apollo</v>
      </c>
      <c r="E103" s="18" t="str">
        <f>'12 - Deployments &amp; Config'!J103</f>
        <v>Yes</v>
      </c>
      <c r="F103" s="34" t="str">
        <f>'12 - Deployments &amp; Config'!K103</f>
        <v>Yes</v>
      </c>
      <c r="G103" s="18" t="str">
        <f>'12 - Deployments &amp; Config'!L103</f>
        <v>Yes</v>
      </c>
      <c r="H103" s="18">
        <f>'13 - Config_Intake_View'!M103</f>
        <v>0</v>
      </c>
      <c r="I103" s="34" t="str">
        <f>IF('13 - Config_Intake_View'!Q103&lt;&gt;"",'13 - Config_Intake_View'!Q103,'12 - Deployments &amp; Config'!BI103)</f>
        <v>iPro
Epic Satellite
ALLSCRIPTS
EPIC BCA</v>
      </c>
      <c r="J103" s="18" t="str">
        <f>IF('13 - Config_Intake_View'!Q103&lt;&gt;"","PM Approved",IF('12 - Deployments &amp; Config'!BI103&lt;&gt;"","Assumed",""))</f>
        <v>Assumed</v>
      </c>
      <c r="K103" s="34">
        <f>'12 - Deployments &amp; Config'!BH103</f>
        <v>0</v>
      </c>
      <c r="L103" s="18" t="str">
        <f>'12 - Deployments &amp; Config'!P103</f>
        <v>1427182 LIJ Installation - Tim W. Seeberger, Akbar, Chris Perkins, Epic Team, Anesthesia Techs, and Admins</v>
      </c>
      <c r="M103" s="18">
        <f>'12 - Deployments &amp; Config'!Q103</f>
        <v>46075</v>
      </c>
      <c r="N103" s="18" t="str">
        <f>'12 - Deployments &amp; Config'!BL103</f>
        <v>Firmware Download, Device ID, Epic Beans Relay</v>
      </c>
      <c r="O103" s="34" t="str">
        <f>'12 - Deployments &amp; Config'!BM103</f>
        <v>Blocked</v>
      </c>
      <c r="P103" s="2">
        <f>'12 - Deployments &amp; Config'!BB103</f>
        <v>0</v>
      </c>
      <c r="Q103" s="34" t="str">
        <f t="shared" si="4"/>
        <v/>
      </c>
      <c r="R103" s="18" t="str">
        <f t="shared" si="5"/>
        <v>SW NOT INSTALLED</v>
      </c>
      <c r="S103" s="18" t="str">
        <f t="shared" si="6"/>
        <v/>
      </c>
      <c r="T103" s="18" t="str">
        <f t="shared" si="7"/>
        <v>SW NOT INSTALLED</v>
      </c>
    </row>
    <row r="104" spans="1:20">
      <c r="A104" s="34" t="str">
        <f>'12 - Deployments &amp; Config'!H104</f>
        <v>LIJ - OR</v>
      </c>
      <c r="B104" s="34" t="str">
        <f>'12 - Deployments &amp; Config'!R104</f>
        <v>WNH270OPR416</v>
      </c>
      <c r="C104" s="34" t="str">
        <f>'12 - Deployments &amp; Config'!T104</f>
        <v>00187DE0E2BB</v>
      </c>
      <c r="D104" s="18" t="str">
        <f>'12 - Deployments &amp; Config'!AK104</f>
        <v>Apollo</v>
      </c>
      <c r="E104" s="18" t="str">
        <f>'12 - Deployments &amp; Config'!J104</f>
        <v>Yes</v>
      </c>
      <c r="F104" s="34" t="str">
        <f>'12 - Deployments &amp; Config'!K104</f>
        <v>Yes</v>
      </c>
      <c r="G104" s="18" t="str">
        <f>'12 - Deployments &amp; Config'!L104</f>
        <v>Yes</v>
      </c>
      <c r="H104" s="18">
        <f>'13 - Config_Intake_View'!M104</f>
        <v>0</v>
      </c>
      <c r="I104" s="34" t="str">
        <f>IF('13 - Config_Intake_View'!Q104&lt;&gt;"",'13 - Config_Intake_View'!Q104,'12 - Deployments &amp; Config'!BI104)</f>
        <v>iPro
Epic Satellite
ALLSCRIPTS
EPIC BCA</v>
      </c>
      <c r="J104" s="18" t="str">
        <f>IF('13 - Config_Intake_View'!Q104&lt;&gt;"","PM Approved",IF('12 - Deployments &amp; Config'!BI104&lt;&gt;"","Assumed",""))</f>
        <v>Assumed</v>
      </c>
      <c r="K104" s="34">
        <f>'12 - Deployments &amp; Config'!BH104</f>
        <v>0</v>
      </c>
      <c r="L104" s="18" t="str">
        <f>'12 - Deployments &amp; Config'!P104</f>
        <v>1427182 LIJ Installation - Tim W. Seeberger, Akbar, Chris Perkins, Epic Team, Anesthesia Techs, and Admins</v>
      </c>
      <c r="M104" s="18">
        <f>'12 - Deployments &amp; Config'!Q104</f>
        <v>46075</v>
      </c>
      <c r="N104" s="18" t="e">
        <f>'12 - Deployments &amp; Config'!BL104</f>
        <v>#REF!</v>
      </c>
      <c r="O104" s="34" t="e">
        <f>'12 - Deployments &amp; Config'!BM104</f>
        <v>#REF!</v>
      </c>
      <c r="P104" s="2">
        <f>'12 - Deployments &amp; Config'!BB104</f>
        <v>0</v>
      </c>
      <c r="Q104" s="34" t="str">
        <f t="shared" si="4"/>
        <v/>
      </c>
      <c r="R104" s="18" t="str">
        <f t="shared" si="5"/>
        <v>SW NOT INSTALLED</v>
      </c>
      <c r="S104" s="18" t="str">
        <f t="shared" si="6"/>
        <v/>
      </c>
      <c r="T104" s="18" t="str">
        <f t="shared" si="7"/>
        <v>SW NOT INSTALLED</v>
      </c>
    </row>
    <row r="105" spans="1:20">
      <c r="A105" s="34" t="str">
        <f>'12 - Deployments &amp; Config'!H105</f>
        <v>LIJ - OR</v>
      </c>
      <c r="B105" s="34" t="str">
        <f>'12 - Deployments &amp; Config'!R105</f>
        <v>WNH270OPR417</v>
      </c>
      <c r="C105" s="34" t="str">
        <f>'12 - Deployments &amp; Config'!T105</f>
        <v>00187DE0E350</v>
      </c>
      <c r="D105" s="18" t="str">
        <f>'12 - Deployments &amp; Config'!AK105</f>
        <v>Apollo</v>
      </c>
      <c r="E105" s="18" t="str">
        <f>'12 - Deployments &amp; Config'!J105</f>
        <v>Yes</v>
      </c>
      <c r="F105" s="34" t="str">
        <f>'12 - Deployments &amp; Config'!K105</f>
        <v>Yes</v>
      </c>
      <c r="G105" s="18" t="str">
        <f>'12 - Deployments &amp; Config'!L105</f>
        <v>Yes</v>
      </c>
      <c r="H105" s="18">
        <f>'13 - Config_Intake_View'!M105</f>
        <v>0</v>
      </c>
      <c r="I105" s="34" t="str">
        <f>IF('13 - Config_Intake_View'!Q105&lt;&gt;"",'13 - Config_Intake_View'!Q105,'12 - Deployments &amp; Config'!BI105)</f>
        <v>iPro
Epic Satellite
ALLSCRIPTS
EPIC BCA</v>
      </c>
      <c r="J105" s="18" t="str">
        <f>IF('13 - Config_Intake_View'!Q105&lt;&gt;"","PM Approved",IF('12 - Deployments &amp; Config'!BI105&lt;&gt;"","Assumed",""))</f>
        <v>Assumed</v>
      </c>
      <c r="K105" s="34">
        <f>'12 - Deployments &amp; Config'!BH105</f>
        <v>0</v>
      </c>
      <c r="L105" s="18" t="str">
        <f>'12 - Deployments &amp; Config'!P105</f>
        <v>1427182 LIJ Installation - Tim W. Seeberger, Akbar, Chris Perkins, Epic Team, Anesthesia Techs, and Admins</v>
      </c>
      <c r="M105" s="18">
        <f>'12 - Deployments &amp; Config'!Q105</f>
        <v>46075</v>
      </c>
      <c r="N105" s="18" t="str">
        <f>'12 - Deployments &amp; Config'!BL105</f>
        <v>Firmware Download, Device ID, Epic Beans Relay</v>
      </c>
      <c r="O105" s="34" t="str">
        <f>'12 - Deployments &amp; Config'!BM105</f>
        <v>Blocked</v>
      </c>
      <c r="P105" s="2">
        <f>'12 - Deployments &amp; Config'!BB105</f>
        <v>0</v>
      </c>
      <c r="Q105" s="34" t="str">
        <f t="shared" si="4"/>
        <v/>
      </c>
      <c r="R105" s="18" t="str">
        <f t="shared" si="5"/>
        <v>SW NOT INSTALLED</v>
      </c>
      <c r="S105" s="18" t="str">
        <f t="shared" si="6"/>
        <v/>
      </c>
      <c r="T105" s="18" t="str">
        <f t="shared" si="7"/>
        <v>SW NOT INSTALLED</v>
      </c>
    </row>
    <row r="106" spans="1:20">
      <c r="A106" s="34" t="str">
        <f>'12 - Deployments &amp; Config'!H106</f>
        <v>LIJ - OR</v>
      </c>
      <c r="B106" s="34" t="str">
        <f>'12 - Deployments &amp; Config'!R106</f>
        <v>WNH270OPR418</v>
      </c>
      <c r="C106" s="34">
        <f>'12 - Deployments &amp; Config'!T106</f>
        <v>0</v>
      </c>
      <c r="D106" s="18" t="str">
        <f>'12 - Deployments &amp; Config'!AK106</f>
        <v>Apollo</v>
      </c>
      <c r="E106" s="18" t="str">
        <f>'12 - Deployments &amp; Config'!J106</f>
        <v>Yes</v>
      </c>
      <c r="F106" s="34" t="str">
        <f>'12 - Deployments &amp; Config'!K106</f>
        <v>Yes</v>
      </c>
      <c r="G106" s="18" t="str">
        <f>'12 - Deployments &amp; Config'!L106</f>
        <v>Yes</v>
      </c>
      <c r="H106" s="18">
        <f>'13 - Config_Intake_View'!M106</f>
        <v>0</v>
      </c>
      <c r="I106" s="34" t="str">
        <f>IF('13 - Config_Intake_View'!Q106&lt;&gt;"",'13 - Config_Intake_View'!Q106,'12 - Deployments &amp; Config'!BI106)</f>
        <v>iPro
Epic Satellite
ALLSCRIPTS
EPIC BCA</v>
      </c>
      <c r="J106" s="18" t="str">
        <f>IF('13 - Config_Intake_View'!Q106&lt;&gt;"","PM Approved",IF('12 - Deployments &amp; Config'!BI106&lt;&gt;"","Assumed",""))</f>
        <v>Assumed</v>
      </c>
      <c r="K106" s="34">
        <f>'12 - Deployments &amp; Config'!BH106</f>
        <v>0</v>
      </c>
      <c r="L106" s="18" t="str">
        <f>'12 - Deployments &amp; Config'!P106</f>
        <v>1427182 LIJ Installation - Tim W. Seeberger, Akbar, Chris Perkins, Epic Team, Anesthesia Techs, and Admins</v>
      </c>
      <c r="M106" s="18">
        <f>'12 - Deployments &amp; Config'!Q106</f>
        <v>46075</v>
      </c>
      <c r="N106" s="18" t="str">
        <f>'12 - Deployments &amp; Config'!BL106</f>
        <v/>
      </c>
      <c r="O106" s="34" t="str">
        <f>'12 - Deployments &amp; Config'!BM106</f>
        <v/>
      </c>
      <c r="P106" s="2">
        <f>'12 - Deployments &amp; Config'!BB106</f>
        <v>0</v>
      </c>
      <c r="Q106" s="34" t="str">
        <f t="shared" si="4"/>
        <v/>
      </c>
      <c r="R106" s="18" t="str">
        <f t="shared" si="5"/>
        <v>SW NOT INSTALLED</v>
      </c>
      <c r="S106" s="18" t="str">
        <f t="shared" si="6"/>
        <v/>
      </c>
      <c r="T106" s="18" t="str">
        <f t="shared" si="7"/>
        <v>SW NOT INSTALLED</v>
      </c>
    </row>
    <row r="107" spans="1:20">
      <c r="A107" s="34" t="str">
        <f>'12 - Deployments &amp; Config'!H107</f>
        <v>LIJ - OR</v>
      </c>
      <c r="B107" s="34" t="str">
        <f>'12 - Deployments &amp; Config'!R107</f>
        <v>WNH270OPR419</v>
      </c>
      <c r="C107" s="34" t="str">
        <f>'12 - Deployments &amp; Config'!T107</f>
        <v>00187DE0E276</v>
      </c>
      <c r="D107" s="18" t="str">
        <f>'12 - Deployments &amp; Config'!AK107</f>
        <v>Apollo</v>
      </c>
      <c r="E107" s="18" t="str">
        <f>'12 - Deployments &amp; Config'!J107</f>
        <v>Yes</v>
      </c>
      <c r="F107" s="34" t="str">
        <f>'12 - Deployments &amp; Config'!K107</f>
        <v>Yes</v>
      </c>
      <c r="G107" s="18" t="str">
        <f>'12 - Deployments &amp; Config'!L107</f>
        <v>Yes</v>
      </c>
      <c r="H107" s="18">
        <f>'13 - Config_Intake_View'!M107</f>
        <v>0</v>
      </c>
      <c r="I107" s="34" t="str">
        <f>IF('13 - Config_Intake_View'!Q107&lt;&gt;"",'13 - Config_Intake_View'!Q107,'12 - Deployments &amp; Config'!BI107)</f>
        <v>iPro
Epic Satellite
ALLSCRIPTS
EPIC BCA</v>
      </c>
      <c r="J107" s="18" t="str">
        <f>IF('13 - Config_Intake_View'!Q107&lt;&gt;"","PM Approved",IF('12 - Deployments &amp; Config'!BI107&lt;&gt;"","Assumed",""))</f>
        <v>Assumed</v>
      </c>
      <c r="K107" s="34">
        <f>'12 - Deployments &amp; Config'!BH107</f>
        <v>0</v>
      </c>
      <c r="L107" s="18" t="str">
        <f>'12 - Deployments &amp; Config'!P107</f>
        <v>1427182 LIJ Installation - Tim W. Seeberger, Akbar, Chris Perkins, Epic Team, Anesthesia Techs, and Admins</v>
      </c>
      <c r="M107" s="18">
        <f>'12 - Deployments &amp; Config'!Q107</f>
        <v>46075</v>
      </c>
      <c r="N107" s="18" t="str">
        <f>'12 - Deployments &amp; Config'!BL107</f>
        <v>Firmware Download, Device ID, Epic Beans Relay</v>
      </c>
      <c r="O107" s="34" t="str">
        <f>'12 - Deployments &amp; Config'!BM107</f>
        <v>Blocked</v>
      </c>
      <c r="P107" s="2">
        <f>'12 - Deployments &amp; Config'!BB107</f>
        <v>0</v>
      </c>
      <c r="Q107" s="34" t="str">
        <f t="shared" si="4"/>
        <v/>
      </c>
      <c r="R107" s="18" t="str">
        <f t="shared" si="5"/>
        <v>SW NOT INSTALLED</v>
      </c>
      <c r="S107" s="18" t="str">
        <f t="shared" si="6"/>
        <v/>
      </c>
      <c r="T107" s="18" t="str">
        <f t="shared" si="7"/>
        <v>SW NOT INSTALLED</v>
      </c>
    </row>
    <row r="108" spans="1:20">
      <c r="A108" s="34" t="str">
        <f>'12 - Deployments &amp; Config'!H108</f>
        <v>LIJ - OR</v>
      </c>
      <c r="B108" s="34" t="str">
        <f>'12 - Deployments &amp; Config'!R108</f>
        <v>WNH270OPR420</v>
      </c>
      <c r="C108" s="34" t="str">
        <f>'12 - Deployments &amp; Config'!T108</f>
        <v>00187DE0E258</v>
      </c>
      <c r="D108" s="18" t="str">
        <f>'12 - Deployments &amp; Config'!AK108</f>
        <v>Apollo</v>
      </c>
      <c r="E108" s="18" t="str">
        <f>'12 - Deployments &amp; Config'!J108</f>
        <v>Yes</v>
      </c>
      <c r="F108" s="34" t="str">
        <f>'12 - Deployments &amp; Config'!K108</f>
        <v>Yes</v>
      </c>
      <c r="G108" s="18" t="str">
        <f>'12 - Deployments &amp; Config'!L108</f>
        <v>Yes</v>
      </c>
      <c r="H108" s="18">
        <f>'13 - Config_Intake_View'!M108</f>
        <v>0</v>
      </c>
      <c r="I108" s="34" t="str">
        <f>IF('13 - Config_Intake_View'!Q108&lt;&gt;"",'13 - Config_Intake_View'!Q108,'12 - Deployments &amp; Config'!BI108)</f>
        <v>iPro
Epic Satellite
ALLSCRIPTS
EPIC BCA</v>
      </c>
      <c r="J108" s="18" t="str">
        <f>IF('13 - Config_Intake_View'!Q108&lt;&gt;"","PM Approved",IF('12 - Deployments &amp; Config'!BI108&lt;&gt;"","Assumed",""))</f>
        <v>Assumed</v>
      </c>
      <c r="K108" s="34">
        <f>'12 - Deployments &amp; Config'!BH108</f>
        <v>0</v>
      </c>
      <c r="L108" s="18" t="str">
        <f>'12 - Deployments &amp; Config'!P108</f>
        <v>1427182 LIJ Installation - Tim W. Seeberger, Akbar, Chris Perkins, Epic Team, Anesthesia Techs, and Admins</v>
      </c>
      <c r="M108" s="18">
        <f>'12 - Deployments &amp; Config'!Q108</f>
        <v>46075</v>
      </c>
      <c r="N108" s="18" t="str">
        <f>'12 - Deployments &amp; Config'!BL108</f>
        <v>Firmware Download, Device ID, Epic Beans Relay</v>
      </c>
      <c r="O108" s="34" t="str">
        <f>'12 - Deployments &amp; Config'!BM108</f>
        <v>Blocked</v>
      </c>
      <c r="P108" s="2">
        <f>'12 - Deployments &amp; Config'!BB108</f>
        <v>0</v>
      </c>
      <c r="Q108" s="34" t="str">
        <f t="shared" si="4"/>
        <v/>
      </c>
      <c r="R108" s="18" t="str">
        <f t="shared" si="5"/>
        <v>SW NOT INSTALLED</v>
      </c>
      <c r="S108" s="18" t="str">
        <f t="shared" si="6"/>
        <v/>
      </c>
      <c r="T108" s="18" t="str">
        <f t="shared" si="7"/>
        <v>SW NOT INSTALLED</v>
      </c>
    </row>
    <row r="109" spans="1:20">
      <c r="A109" s="34" t="str">
        <f>'12 - Deployments &amp; Config'!H109</f>
        <v>LIJ - OR</v>
      </c>
      <c r="B109" s="34" t="str">
        <f>'12 - Deployments &amp; Config'!R109</f>
        <v>WNH270OPR421</v>
      </c>
      <c r="C109" s="34" t="str">
        <f>'12 - Deployments &amp; Config'!T109</f>
        <v>00187DE0ADF6</v>
      </c>
      <c r="D109" s="18" t="str">
        <f>'12 - Deployments &amp; Config'!AK109</f>
        <v>Apollo</v>
      </c>
      <c r="E109" s="18" t="str">
        <f>'12 - Deployments &amp; Config'!J109</f>
        <v>Yes</v>
      </c>
      <c r="F109" s="34" t="str">
        <f>'12 - Deployments &amp; Config'!K109</f>
        <v>Yes</v>
      </c>
      <c r="G109" s="18" t="str">
        <f>'12 - Deployments &amp; Config'!L109</f>
        <v>Yes</v>
      </c>
      <c r="H109" s="18">
        <f>'13 - Config_Intake_View'!M109</f>
        <v>0</v>
      </c>
      <c r="I109" s="34" t="str">
        <f>IF('13 - Config_Intake_View'!Q109&lt;&gt;"",'13 - Config_Intake_View'!Q109,'12 - Deployments &amp; Config'!BI109)</f>
        <v>iPro
Epic Satellite
ALLSCRIPTS
EPIC BCA</v>
      </c>
      <c r="J109" s="18" t="str">
        <f>IF('13 - Config_Intake_View'!Q109&lt;&gt;"","PM Approved",IF('12 - Deployments &amp; Config'!BI109&lt;&gt;"","Assumed",""))</f>
        <v>Assumed</v>
      </c>
      <c r="K109" s="34">
        <f>'12 - Deployments &amp; Config'!BH109</f>
        <v>0</v>
      </c>
      <c r="L109" s="18" t="str">
        <f>'12 - Deployments &amp; Config'!P109</f>
        <v>1427182 LIJ Installation - Tim W. Seeberger, Akbar, Chris Perkins, Epic Team, Anesthesia Techs, and Admins</v>
      </c>
      <c r="M109" s="18">
        <f>'12 - Deployments &amp; Config'!Q109</f>
        <v>46075</v>
      </c>
      <c r="N109" s="18" t="str">
        <f>'12 - Deployments &amp; Config'!BL109</f>
        <v>Firmware Download, Device ID, Epic Beans Relay</v>
      </c>
      <c r="O109" s="34" t="str">
        <f>'12 - Deployments &amp; Config'!BM109</f>
        <v>Blocked</v>
      </c>
      <c r="P109" s="2">
        <f>'12 - Deployments &amp; Config'!BB109</f>
        <v>0</v>
      </c>
      <c r="Q109" s="34" t="str">
        <f t="shared" si="4"/>
        <v/>
      </c>
      <c r="R109" s="18" t="str">
        <f t="shared" si="5"/>
        <v>SW NOT INSTALLED</v>
      </c>
      <c r="S109" s="18" t="str">
        <f t="shared" si="6"/>
        <v/>
      </c>
      <c r="T109" s="18" t="str">
        <f t="shared" si="7"/>
        <v>SW NOT INSTALLED</v>
      </c>
    </row>
    <row r="110" spans="1:20">
      <c r="A110" s="34" t="str">
        <f>'12 - Deployments &amp; Config'!H110</f>
        <v>LIJ - OR</v>
      </c>
      <c r="B110" s="34" t="str">
        <f>'12 - Deployments &amp; Config'!R110</f>
        <v>WNH270OPR422</v>
      </c>
      <c r="C110" s="34" t="str">
        <f>'12 - Deployments &amp; Config'!T110</f>
        <v>00187DE0E229</v>
      </c>
      <c r="D110" s="18" t="str">
        <f>'12 - Deployments &amp; Config'!AK110</f>
        <v>Apollo</v>
      </c>
      <c r="E110" s="18" t="str">
        <f>'12 - Deployments &amp; Config'!J110</f>
        <v>Yes</v>
      </c>
      <c r="F110" s="34" t="str">
        <f>'12 - Deployments &amp; Config'!K110</f>
        <v>Yes</v>
      </c>
      <c r="G110" s="18" t="str">
        <f>'12 - Deployments &amp; Config'!L110</f>
        <v>Yes</v>
      </c>
      <c r="H110" s="18">
        <f>'13 - Config_Intake_View'!M110</f>
        <v>0</v>
      </c>
      <c r="I110" s="34" t="str">
        <f>IF('13 - Config_Intake_View'!Q110&lt;&gt;"",'13 - Config_Intake_View'!Q110,'12 - Deployments &amp; Config'!BI110)</f>
        <v>iPro
Epic Satellite
ALLSCRIPTS
EPIC BCA</v>
      </c>
      <c r="J110" s="18" t="str">
        <f>IF('13 - Config_Intake_View'!Q110&lt;&gt;"","PM Approved",IF('12 - Deployments &amp; Config'!BI110&lt;&gt;"","Assumed",""))</f>
        <v>Assumed</v>
      </c>
      <c r="K110" s="34">
        <f>'12 - Deployments &amp; Config'!BH110</f>
        <v>0</v>
      </c>
      <c r="L110" s="18" t="str">
        <f>'12 - Deployments &amp; Config'!P110</f>
        <v>1427182 LIJ Installation - Tim W. Seeberger, Akbar, Chris Perkins, Epic Team, Anesthesia Techs, and Admins</v>
      </c>
      <c r="M110" s="18">
        <f>'12 - Deployments &amp; Config'!Q110</f>
        <v>46075</v>
      </c>
      <c r="N110" s="18" t="str">
        <f>'12 - Deployments &amp; Config'!BL110</f>
        <v>Firmware Download, Device ID, Epic Beans Relay</v>
      </c>
      <c r="O110" s="34" t="str">
        <f>'12 - Deployments &amp; Config'!BM110</f>
        <v>Blocked</v>
      </c>
      <c r="P110" s="2">
        <f>'12 - Deployments &amp; Config'!BB110</f>
        <v>0</v>
      </c>
      <c r="Q110" s="34" t="str">
        <f t="shared" si="4"/>
        <v/>
      </c>
      <c r="R110" s="18" t="str">
        <f t="shared" si="5"/>
        <v>SW NOT INSTALLED</v>
      </c>
      <c r="S110" s="18" t="str">
        <f t="shared" si="6"/>
        <v/>
      </c>
      <c r="T110" s="18" t="str">
        <f t="shared" si="7"/>
        <v>SW NOT INSTALLED</v>
      </c>
    </row>
    <row r="111" spans="1:20">
      <c r="A111" s="34" t="str">
        <f>'12 - Deployments &amp; Config'!H111</f>
        <v>LIJ - OR</v>
      </c>
      <c r="B111" s="34" t="str">
        <f>'12 - Deployments &amp; Config'!R111</f>
        <v>WNH270OPR423</v>
      </c>
      <c r="C111" s="34" t="str">
        <f>'12 - Deployments &amp; Config'!T111</f>
        <v>00187DE0E205</v>
      </c>
      <c r="D111" s="18" t="str">
        <f>'12 - Deployments &amp; Config'!AK111</f>
        <v>Apollo</v>
      </c>
      <c r="E111" s="18" t="str">
        <f>'12 - Deployments &amp; Config'!J111</f>
        <v>Yes</v>
      </c>
      <c r="F111" s="34" t="str">
        <f>'12 - Deployments &amp; Config'!K111</f>
        <v>Yes</v>
      </c>
      <c r="G111" s="18" t="str">
        <f>'12 - Deployments &amp; Config'!L111</f>
        <v>Yes</v>
      </c>
      <c r="H111" s="18">
        <f>'13 - Config_Intake_View'!M111</f>
        <v>0</v>
      </c>
      <c r="I111" s="34" t="str">
        <f>IF('13 - Config_Intake_View'!Q111&lt;&gt;"",'13 - Config_Intake_View'!Q111,'12 - Deployments &amp; Config'!BI111)</f>
        <v>iPro
Epic Satellite
ALLSCRIPTS
EPIC BCA</v>
      </c>
      <c r="J111" s="18" t="str">
        <f>IF('13 - Config_Intake_View'!Q111&lt;&gt;"","PM Approved",IF('12 - Deployments &amp; Config'!BI111&lt;&gt;"","Assumed",""))</f>
        <v>Assumed</v>
      </c>
      <c r="K111" s="34">
        <f>'12 - Deployments &amp; Config'!BH111</f>
        <v>0</v>
      </c>
      <c r="L111" s="18" t="str">
        <f>'12 - Deployments &amp; Config'!P111</f>
        <v>1427182 LIJ Installation - Tim W. Seeberger, Akbar, Chris Perkins, Epic Team, Anesthesia Techs, and Admins</v>
      </c>
      <c r="M111" s="18">
        <f>'12 - Deployments &amp; Config'!Q111</f>
        <v>46075</v>
      </c>
      <c r="N111" s="18" t="str">
        <f>'12 - Deployments &amp; Config'!BL111</f>
        <v>Firmware Download, Device ID, Epic Beans Relay</v>
      </c>
      <c r="O111" s="34" t="str">
        <f>'12 - Deployments &amp; Config'!BM111</f>
        <v>Blocked</v>
      </c>
      <c r="P111" s="2">
        <f>'12 - Deployments &amp; Config'!BB111</f>
        <v>0</v>
      </c>
      <c r="Q111" s="34" t="str">
        <f t="shared" si="4"/>
        <v/>
      </c>
      <c r="R111" s="18" t="str">
        <f t="shared" si="5"/>
        <v>SW NOT INSTALLED</v>
      </c>
      <c r="S111" s="18" t="str">
        <f t="shared" si="6"/>
        <v/>
      </c>
      <c r="T111" s="18" t="str">
        <f t="shared" si="7"/>
        <v>SW NOT INSTALLED</v>
      </c>
    </row>
    <row r="112" spans="1:20">
      <c r="A112" s="34" t="str">
        <f>'12 - Deployments &amp; Config'!H112</f>
        <v>LIJ - OR</v>
      </c>
      <c r="B112" s="34" t="str">
        <f>'12 - Deployments &amp; Config'!R112</f>
        <v>WNH270OPR424</v>
      </c>
      <c r="C112" s="34" t="str">
        <f>'12 - Deployments &amp; Config'!T112</f>
        <v>00187DE07843</v>
      </c>
      <c r="D112" s="18" t="str">
        <f>'12 - Deployments &amp; Config'!AK112</f>
        <v>Apollo</v>
      </c>
      <c r="E112" s="18" t="str">
        <f>'12 - Deployments &amp; Config'!J112</f>
        <v>Yes</v>
      </c>
      <c r="F112" s="34" t="str">
        <f>'12 - Deployments &amp; Config'!K112</f>
        <v>Yes</v>
      </c>
      <c r="G112" s="18" t="str">
        <f>'12 - Deployments &amp; Config'!L112</f>
        <v>Yes</v>
      </c>
      <c r="H112" s="18">
        <f>'13 - Config_Intake_View'!M112</f>
        <v>0</v>
      </c>
      <c r="I112" s="34" t="str">
        <f>IF('13 - Config_Intake_View'!Q112&lt;&gt;"",'13 - Config_Intake_View'!Q112,'12 - Deployments &amp; Config'!BI112)</f>
        <v>iPro
Epic Satellite
ALLSCRIPTS
EPIC BCA</v>
      </c>
      <c r="J112" s="18" t="str">
        <f>IF('13 - Config_Intake_View'!Q112&lt;&gt;"","PM Approved",IF('12 - Deployments &amp; Config'!BI112&lt;&gt;"","Assumed",""))</f>
        <v>Assumed</v>
      </c>
      <c r="K112" s="34">
        <f>'12 - Deployments &amp; Config'!BH112</f>
        <v>0</v>
      </c>
      <c r="L112" s="18" t="str">
        <f>'12 - Deployments &amp; Config'!P112</f>
        <v>1427182 LIJ Installation - Tim W. Seeberger, Akbar, Chris Perkins, Epic Team, Anesthesia Techs, and Admins</v>
      </c>
      <c r="M112" s="18">
        <f>'12 - Deployments &amp; Config'!Q112</f>
        <v>46075</v>
      </c>
      <c r="N112" s="18" t="str">
        <f>'12 - Deployments &amp; Config'!BL112</f>
        <v>Firmware Download, Device ID, Epic Beans Relay</v>
      </c>
      <c r="O112" s="34" t="str">
        <f>'12 - Deployments &amp; Config'!BM112</f>
        <v>Blocked</v>
      </c>
      <c r="P112" s="2">
        <f>'12 - Deployments &amp; Config'!BB112</f>
        <v>0</v>
      </c>
      <c r="Q112" s="34" t="str">
        <f t="shared" si="4"/>
        <v/>
      </c>
      <c r="R112" s="18" t="str">
        <f t="shared" si="5"/>
        <v>SW NOT INSTALLED</v>
      </c>
      <c r="S112" s="18" t="str">
        <f t="shared" si="6"/>
        <v/>
      </c>
      <c r="T112" s="18" t="str">
        <f t="shared" si="7"/>
        <v>SW NOT INSTALLED</v>
      </c>
    </row>
    <row r="113" spans="1:20">
      <c r="A113" s="34" t="str">
        <f>'12 - Deployments &amp; Config'!H113</f>
        <v>LIJ - OR</v>
      </c>
      <c r="B113" s="34" t="str">
        <f>'12 - Deployments &amp; Config'!R113</f>
        <v>WNH270OPR425</v>
      </c>
      <c r="C113" s="34">
        <f>'12 - Deployments &amp; Config'!T113</f>
        <v>0</v>
      </c>
      <c r="D113" s="18">
        <f>'12 - Deployments &amp; Config'!AK113</f>
        <v>0</v>
      </c>
      <c r="E113" s="18" t="str">
        <f>'12 - Deployments &amp; Config'!J113</f>
        <v>Yes</v>
      </c>
      <c r="F113" s="34" t="str">
        <f>'12 - Deployments &amp; Config'!K113</f>
        <v>No</v>
      </c>
      <c r="G113" s="18" t="str">
        <f>'12 - Deployments &amp; Config'!L113</f>
        <v>No</v>
      </c>
      <c r="H113" s="18">
        <f>'13 - Config_Intake_View'!M113</f>
        <v>0</v>
      </c>
      <c r="I113" s="34" t="str">
        <f>IF('13 - Config_Intake_View'!Q113&lt;&gt;"",'13 - Config_Intake_View'!Q113,'12 - Deployments &amp; Config'!BI113)</f>
        <v>iPro
Epic Satellite
ALLSCRIPTS
EPIC BCA</v>
      </c>
      <c r="J113" s="18" t="str">
        <f>IF('13 - Config_Intake_View'!Q113&lt;&gt;"","PM Approved",IF('12 - Deployments &amp; Config'!BI113&lt;&gt;"","Assumed",""))</f>
        <v>Assumed</v>
      </c>
      <c r="K113" s="34">
        <f>'12 - Deployments &amp; Config'!BH113</f>
        <v>0</v>
      </c>
      <c r="L113" s="18">
        <f>'12 - Deployments &amp; Config'!P113</f>
        <v>0</v>
      </c>
      <c r="M113" s="18">
        <f>'12 - Deployments &amp; Config'!Q113</f>
        <v>0</v>
      </c>
      <c r="N113" s="18" t="str">
        <f>'12 - Deployments &amp; Config'!BL113</f>
        <v/>
      </c>
      <c r="O113" s="34" t="str">
        <f>'12 - Deployments &amp; Config'!BM113</f>
        <v/>
      </c>
      <c r="P113" s="2">
        <f>'12 - Deployments &amp; Config'!BB113</f>
        <v>0</v>
      </c>
      <c r="Q113" s="34" t="str">
        <f t="shared" si="4"/>
        <v/>
      </c>
      <c r="R113" s="18" t="str">
        <f t="shared" si="5"/>
        <v>SW NOT INSTALLED</v>
      </c>
      <c r="S113" s="18" t="str">
        <f t="shared" si="6"/>
        <v/>
      </c>
      <c r="T113" s="18" t="str">
        <f t="shared" si="7"/>
        <v>SW NOT INSTALLED</v>
      </c>
    </row>
    <row r="114" spans="1:20">
      <c r="A114" s="34" t="str">
        <f>'12 - Deployments &amp; Config'!H114</f>
        <v>LIJ - OR</v>
      </c>
      <c r="B114" s="34" t="str">
        <f>'12 - Deployments &amp; Config'!R114</f>
        <v>WNH270OPR426</v>
      </c>
      <c r="C114" s="34">
        <f>'12 - Deployments &amp; Config'!T114</f>
        <v>0</v>
      </c>
      <c r="D114" s="18">
        <f>'12 - Deployments &amp; Config'!AK114</f>
        <v>0</v>
      </c>
      <c r="E114" s="18" t="str">
        <f>'12 - Deployments &amp; Config'!J114</f>
        <v>Yes</v>
      </c>
      <c r="F114" s="34" t="str">
        <f>'12 - Deployments &amp; Config'!K114</f>
        <v>No</v>
      </c>
      <c r="G114" s="18" t="str">
        <f>'12 - Deployments &amp; Config'!L114</f>
        <v>No</v>
      </c>
      <c r="H114" s="18">
        <f>'13 - Config_Intake_View'!M114</f>
        <v>0</v>
      </c>
      <c r="I114" s="34" t="str">
        <f>IF('13 - Config_Intake_View'!Q114&lt;&gt;"",'13 - Config_Intake_View'!Q114,'12 - Deployments &amp; Config'!BI114)</f>
        <v>iPro
Epic Satellite
ALLSCRIPTS
EPIC BCA</v>
      </c>
      <c r="J114" s="18" t="str">
        <f>IF('13 - Config_Intake_View'!Q114&lt;&gt;"","PM Approved",IF('12 - Deployments &amp; Config'!BI114&lt;&gt;"","Assumed",""))</f>
        <v>Assumed</v>
      </c>
      <c r="K114" s="34">
        <f>'12 - Deployments &amp; Config'!BH114</f>
        <v>0</v>
      </c>
      <c r="L114" s="18">
        <f>'12 - Deployments &amp; Config'!P114</f>
        <v>0</v>
      </c>
      <c r="M114" s="18">
        <f>'12 - Deployments &amp; Config'!Q114</f>
        <v>0</v>
      </c>
      <c r="N114" s="18" t="str">
        <f>'12 - Deployments &amp; Config'!BL114</f>
        <v/>
      </c>
      <c r="O114" s="34" t="str">
        <f>'12 - Deployments &amp; Config'!BM114</f>
        <v/>
      </c>
      <c r="P114" s="2">
        <f>'12 - Deployments &amp; Config'!BB114</f>
        <v>0</v>
      </c>
      <c r="Q114" s="34" t="str">
        <f t="shared" si="4"/>
        <v/>
      </c>
      <c r="R114" s="18" t="str">
        <f t="shared" si="5"/>
        <v>SW NOT INSTALLED</v>
      </c>
      <c r="S114" s="18" t="str">
        <f t="shared" si="6"/>
        <v/>
      </c>
      <c r="T114" s="18" t="str">
        <f t="shared" si="7"/>
        <v>SW NOT INSTALLED</v>
      </c>
    </row>
    <row r="115" spans="1:20">
      <c r="A115" s="34" t="str">
        <f>'12 - Deployments &amp; Config'!H115</f>
        <v>LIJ - OR</v>
      </c>
      <c r="B115" s="34" t="str">
        <f>'12 - Deployments &amp; Config'!R115</f>
        <v>WNH270OPR427</v>
      </c>
      <c r="C115" s="34">
        <f>'12 - Deployments &amp; Config'!T115</f>
        <v>0</v>
      </c>
      <c r="D115" s="18">
        <f>'12 - Deployments &amp; Config'!AK115</f>
        <v>0</v>
      </c>
      <c r="E115" s="18" t="str">
        <f>'12 - Deployments &amp; Config'!J115</f>
        <v>Yes</v>
      </c>
      <c r="F115" s="34" t="str">
        <f>'12 - Deployments &amp; Config'!K115</f>
        <v>No</v>
      </c>
      <c r="G115" s="18" t="str">
        <f>'12 - Deployments &amp; Config'!L115</f>
        <v>No</v>
      </c>
      <c r="H115" s="18">
        <f>'13 - Config_Intake_View'!M115</f>
        <v>0</v>
      </c>
      <c r="I115" s="34" t="str">
        <f>IF('13 - Config_Intake_View'!Q115&lt;&gt;"",'13 - Config_Intake_View'!Q115,'12 - Deployments &amp; Config'!BI115)</f>
        <v>iPro
Epic Satellite
ALLSCRIPTS
EPIC BCA</v>
      </c>
      <c r="J115" s="18" t="str">
        <f>IF('13 - Config_Intake_View'!Q115&lt;&gt;"","PM Approved",IF('12 - Deployments &amp; Config'!BI115&lt;&gt;"","Assumed",""))</f>
        <v>Assumed</v>
      </c>
      <c r="K115" s="34">
        <f>'12 - Deployments &amp; Config'!BH115</f>
        <v>0</v>
      </c>
      <c r="L115" s="18">
        <f>'12 - Deployments &amp; Config'!P115</f>
        <v>0</v>
      </c>
      <c r="M115" s="18">
        <f>'12 - Deployments &amp; Config'!Q115</f>
        <v>0</v>
      </c>
      <c r="N115" s="18" t="str">
        <f>'12 - Deployments &amp; Config'!BL115</f>
        <v/>
      </c>
      <c r="O115" s="34" t="str">
        <f>'12 - Deployments &amp; Config'!BM115</f>
        <v/>
      </c>
      <c r="P115" s="2">
        <f>'12 - Deployments &amp; Config'!BB115</f>
        <v>0</v>
      </c>
      <c r="Q115" s="34" t="str">
        <f t="shared" si="4"/>
        <v/>
      </c>
      <c r="R115" s="18" t="str">
        <f t="shared" si="5"/>
        <v>SW NOT INSTALLED</v>
      </c>
      <c r="S115" s="18" t="str">
        <f t="shared" si="6"/>
        <v/>
      </c>
      <c r="T115" s="18" t="str">
        <f t="shared" si="7"/>
        <v>SW NOT INSTALLED</v>
      </c>
    </row>
    <row r="116" spans="1:20">
      <c r="A116" s="34" t="str">
        <f>'12 - Deployments &amp; Config'!H116</f>
        <v>LIJ - OR</v>
      </c>
      <c r="B116" s="34" t="str">
        <f>'12 - Deployments &amp; Config'!R116</f>
        <v>WNH270OPR428</v>
      </c>
      <c r="C116" s="34">
        <f>'12 - Deployments &amp; Config'!T116</f>
        <v>0</v>
      </c>
      <c r="D116" s="18">
        <f>'12 - Deployments &amp; Config'!AK116</f>
        <v>0</v>
      </c>
      <c r="E116" s="18" t="str">
        <f>'12 - Deployments &amp; Config'!J116</f>
        <v>Yes</v>
      </c>
      <c r="F116" s="34" t="str">
        <f>'12 - Deployments &amp; Config'!K116</f>
        <v>No</v>
      </c>
      <c r="G116" s="18" t="str">
        <f>'12 - Deployments &amp; Config'!L116</f>
        <v>No</v>
      </c>
      <c r="H116" s="18">
        <f>'13 - Config_Intake_View'!M116</f>
        <v>0</v>
      </c>
      <c r="I116" s="34" t="str">
        <f>IF('13 - Config_Intake_View'!Q116&lt;&gt;"",'13 - Config_Intake_View'!Q116,'12 - Deployments &amp; Config'!BI116)</f>
        <v>iPro
Epic Satellite
ALLSCRIPTS
EPIC BCA</v>
      </c>
      <c r="J116" s="18" t="str">
        <f>IF('13 - Config_Intake_View'!Q116&lt;&gt;"","PM Approved",IF('12 - Deployments &amp; Config'!BI116&lt;&gt;"","Assumed",""))</f>
        <v>Assumed</v>
      </c>
      <c r="K116" s="34">
        <f>'12 - Deployments &amp; Config'!BH116</f>
        <v>0</v>
      </c>
      <c r="L116" s="18">
        <f>'12 - Deployments &amp; Config'!P116</f>
        <v>0</v>
      </c>
      <c r="M116" s="18">
        <f>'12 - Deployments &amp; Config'!Q116</f>
        <v>0</v>
      </c>
      <c r="N116" s="18" t="str">
        <f>'12 - Deployments &amp; Config'!BL116</f>
        <v/>
      </c>
      <c r="O116" s="34" t="str">
        <f>'12 - Deployments &amp; Config'!BM116</f>
        <v/>
      </c>
      <c r="P116" s="2">
        <f>'12 - Deployments &amp; Config'!BB116</f>
        <v>0</v>
      </c>
      <c r="Q116" s="34" t="str">
        <f t="shared" si="4"/>
        <v/>
      </c>
      <c r="R116" s="18" t="str">
        <f t="shared" si="5"/>
        <v>SW NOT INSTALLED</v>
      </c>
      <c r="S116" s="18" t="str">
        <f t="shared" si="6"/>
        <v/>
      </c>
      <c r="T116" s="18" t="str">
        <f t="shared" si="7"/>
        <v>SW NOT INSTALLED</v>
      </c>
    </row>
    <row r="117" spans="1:20">
      <c r="A117" s="34" t="str">
        <f>'12 - Deployments &amp; Config'!H117</f>
        <v>LIJ - OR</v>
      </c>
      <c r="B117" s="34" t="str">
        <f>'12 - Deployments &amp; Config'!R117</f>
        <v>WNH270OPR429</v>
      </c>
      <c r="C117" s="34" t="str">
        <f>'12 - Deployments &amp; Config'!T117</f>
        <v>00187DE0E213</v>
      </c>
      <c r="D117" s="18" t="str">
        <f>'12 - Deployments &amp; Config'!AK117</f>
        <v>Apollo</v>
      </c>
      <c r="E117" s="18" t="str">
        <f>'12 - Deployments &amp; Config'!J117</f>
        <v>Yes</v>
      </c>
      <c r="F117" s="34" t="str">
        <f>'12 - Deployments &amp; Config'!K117</f>
        <v>Yes</v>
      </c>
      <c r="G117" s="18" t="str">
        <f>'12 - Deployments &amp; Config'!L117</f>
        <v>Yes</v>
      </c>
      <c r="H117" s="18">
        <f>'13 - Config_Intake_View'!M117</f>
        <v>0</v>
      </c>
      <c r="I117" s="34" t="str">
        <f>IF('13 - Config_Intake_View'!Q117&lt;&gt;"",'13 - Config_Intake_View'!Q117,'12 - Deployments &amp; Config'!BI117)</f>
        <v>iPro
Epic Satellite
ALLSCRIPTS
EPIC BCA</v>
      </c>
      <c r="J117" s="18" t="str">
        <f>IF('13 - Config_Intake_View'!Q117&lt;&gt;"","PM Approved",IF('12 - Deployments &amp; Config'!BI117&lt;&gt;"","Assumed",""))</f>
        <v>Assumed</v>
      </c>
      <c r="K117" s="34">
        <f>'12 - Deployments &amp; Config'!BH117</f>
        <v>0</v>
      </c>
      <c r="L117" s="18" t="str">
        <f>'12 - Deployments &amp; Config'!P117</f>
        <v>1427182 LIJ Installation - Tim W. Seeberger, Akbar, Chris Perkins, Epic Team, Anesthesia Techs, and Admins</v>
      </c>
      <c r="M117" s="18">
        <f>'12 - Deployments &amp; Config'!Q117</f>
        <v>46075</v>
      </c>
      <c r="N117" s="18" t="str">
        <f>'12 - Deployments &amp; Config'!BL117</f>
        <v>Firmware Download, Device ID, Epic Beans Relay</v>
      </c>
      <c r="O117" s="34" t="str">
        <f>'12 - Deployments &amp; Config'!BM117</f>
        <v>Blocked</v>
      </c>
      <c r="P117" s="2">
        <f>'12 - Deployments &amp; Config'!BB117</f>
        <v>0</v>
      </c>
      <c r="Q117" s="34" t="str">
        <f t="shared" si="4"/>
        <v/>
      </c>
      <c r="R117" s="18" t="str">
        <f t="shared" si="5"/>
        <v>SW NOT INSTALLED</v>
      </c>
      <c r="S117" s="18" t="str">
        <f t="shared" si="6"/>
        <v/>
      </c>
      <c r="T117" s="18" t="str">
        <f t="shared" si="7"/>
        <v>SW NOT INSTALLED</v>
      </c>
    </row>
    <row r="118" spans="1:20">
      <c r="A118" s="34" t="str">
        <f>'12 - Deployments &amp; Config'!H118</f>
        <v>LIJ - OR</v>
      </c>
      <c r="B118" s="34" t="str">
        <f>'12 - Deployments &amp; Config'!R118</f>
        <v>WNH270OPR430</v>
      </c>
      <c r="C118" s="34" t="str">
        <f>'12 - Deployments &amp; Config'!T118</f>
        <v>00187DE0E2B9</v>
      </c>
      <c r="D118" s="18" t="str">
        <f>'12 - Deployments &amp; Config'!AK118</f>
        <v>Apollo</v>
      </c>
      <c r="E118" s="18" t="str">
        <f>'12 - Deployments &amp; Config'!J118</f>
        <v>Yes</v>
      </c>
      <c r="F118" s="34" t="str">
        <f>'12 - Deployments &amp; Config'!K118</f>
        <v>Yes</v>
      </c>
      <c r="G118" s="18" t="str">
        <f>'12 - Deployments &amp; Config'!L118</f>
        <v>Yes</v>
      </c>
      <c r="H118" s="18">
        <f>'13 - Config_Intake_View'!M118</f>
        <v>0</v>
      </c>
      <c r="I118" s="34" t="str">
        <f>IF('13 - Config_Intake_View'!Q118&lt;&gt;"",'13 - Config_Intake_View'!Q118,'12 - Deployments &amp; Config'!BI118)</f>
        <v>iPro
Epic Satellite
ALLSCRIPTS
EPIC BCA</v>
      </c>
      <c r="J118" s="18" t="str">
        <f>IF('13 - Config_Intake_View'!Q118&lt;&gt;"","PM Approved",IF('12 - Deployments &amp; Config'!BI118&lt;&gt;"","Assumed",""))</f>
        <v>Assumed</v>
      </c>
      <c r="K118" s="34">
        <f>'12 - Deployments &amp; Config'!BH118</f>
        <v>0</v>
      </c>
      <c r="L118" s="18" t="str">
        <f>'12 - Deployments &amp; Config'!P118</f>
        <v>1427182 LIJ Installation - Tim W. Seeberger, Akbar, Chris Perkins, Epic Team, Anesthesia Techs, and Admins</v>
      </c>
      <c r="M118" s="18">
        <f>'12 - Deployments &amp; Config'!Q118</f>
        <v>46075</v>
      </c>
      <c r="N118" s="18" t="str">
        <f>'12 - Deployments &amp; Config'!BL118</f>
        <v>Firmware Download, Device ID, Epic Beans Relay</v>
      </c>
      <c r="O118" s="34" t="str">
        <f>'12 - Deployments &amp; Config'!BM118</f>
        <v>Blocked</v>
      </c>
      <c r="P118" s="2">
        <f>'12 - Deployments &amp; Config'!BB118</f>
        <v>0</v>
      </c>
      <c r="Q118" s="34" t="str">
        <f t="shared" si="4"/>
        <v/>
      </c>
      <c r="R118" s="18" t="str">
        <f t="shared" si="5"/>
        <v>SW NOT INSTALLED</v>
      </c>
      <c r="S118" s="18" t="str">
        <f t="shared" si="6"/>
        <v/>
      </c>
      <c r="T118" s="18" t="str">
        <f t="shared" si="7"/>
        <v>SW NOT INSTALLED</v>
      </c>
    </row>
    <row r="119" spans="1:20">
      <c r="A119" s="34" t="str">
        <f>'12 - Deployments &amp; Config'!H119</f>
        <v>LIJ - CCMC</v>
      </c>
      <c r="B119" s="34" t="str">
        <f>'12 - Deployments &amp; Config'!R119</f>
        <v>WNH270OPR431</v>
      </c>
      <c r="C119" s="34">
        <f>'12 - Deployments &amp; Config'!T119</f>
        <v>0</v>
      </c>
      <c r="D119" s="18">
        <f>'12 - Deployments &amp; Config'!AK119</f>
        <v>0</v>
      </c>
      <c r="E119" s="18" t="str">
        <f>'12 - Deployments &amp; Config'!J119</f>
        <v>Yes</v>
      </c>
      <c r="F119" s="34" t="str">
        <f>'12 - Deployments &amp; Config'!K119</f>
        <v>No</v>
      </c>
      <c r="G119" s="18" t="str">
        <f>'12 - Deployments &amp; Config'!L119</f>
        <v>No</v>
      </c>
      <c r="H119" s="18">
        <f>'13 - Config_Intake_View'!M119</f>
        <v>0</v>
      </c>
      <c r="I119" s="34" t="str">
        <f>IF('13 - Config_Intake_View'!Q119&lt;&gt;"",'13 - Config_Intake_View'!Q119,'12 - Deployments &amp; Config'!BI119)</f>
        <v>iPro
Epic Satellite
ALLSCRIPTS
EPIC BCA</v>
      </c>
      <c r="J119" s="18" t="str">
        <f>IF('13 - Config_Intake_View'!Q119&lt;&gt;"","PM Approved",IF('12 - Deployments &amp; Config'!BI119&lt;&gt;"","Assumed",""))</f>
        <v>Assumed</v>
      </c>
      <c r="K119" s="34">
        <f>'12 - Deployments &amp; Config'!BH119</f>
        <v>0</v>
      </c>
      <c r="L119" s="18">
        <f>'12 - Deployments &amp; Config'!P119</f>
        <v>0</v>
      </c>
      <c r="M119" s="18">
        <f>'12 - Deployments &amp; Config'!Q119</f>
        <v>0</v>
      </c>
      <c r="N119" s="18" t="str">
        <f>'12 - Deployments &amp; Config'!BL119</f>
        <v/>
      </c>
      <c r="O119" s="34" t="str">
        <f>'12 - Deployments &amp; Config'!BM119</f>
        <v/>
      </c>
      <c r="P119" s="2">
        <f>'12 - Deployments &amp; Config'!BB119</f>
        <v>0</v>
      </c>
      <c r="Q119" s="34" t="str">
        <f t="shared" si="4"/>
        <v/>
      </c>
      <c r="R119" s="18" t="str">
        <f t="shared" si="5"/>
        <v>SW NOT INSTALLED</v>
      </c>
      <c r="S119" s="18" t="str">
        <f t="shared" si="6"/>
        <v/>
      </c>
      <c r="T119" s="18" t="str">
        <f t="shared" si="7"/>
        <v>SW NOT INSTALLED</v>
      </c>
    </row>
    <row r="120" spans="1:20">
      <c r="A120" s="34" t="str">
        <f>'12 - Deployments &amp; Config'!H120</f>
        <v>LIJ - OR</v>
      </c>
      <c r="B120" s="34" t="str">
        <f>'12 - Deployments &amp; Config'!R120</f>
        <v>WNH270OPR432</v>
      </c>
      <c r="C120" s="34" t="str">
        <f>'12 - Deployments &amp; Config'!T120</f>
        <v>00187DE0ADF1</v>
      </c>
      <c r="D120" s="18" t="str">
        <f>'12 - Deployments &amp; Config'!AK120</f>
        <v>Apollo</v>
      </c>
      <c r="E120" s="18" t="str">
        <f>'12 - Deployments &amp; Config'!J120</f>
        <v>Yes</v>
      </c>
      <c r="F120" s="34" t="str">
        <f>'12 - Deployments &amp; Config'!K120</f>
        <v>Yes</v>
      </c>
      <c r="G120" s="18" t="str">
        <f>'12 - Deployments &amp; Config'!L120</f>
        <v>Yes</v>
      </c>
      <c r="H120" s="18">
        <f>'13 - Config_Intake_View'!M120</f>
        <v>0</v>
      </c>
      <c r="I120" s="34" t="str">
        <f>IF('13 - Config_Intake_View'!Q120&lt;&gt;"",'13 - Config_Intake_View'!Q120,'12 - Deployments &amp; Config'!BI120)</f>
        <v>iPro
Epic Satellite
ALLSCRIPTS
EPIC BCA</v>
      </c>
      <c r="J120" s="18" t="str">
        <f>IF('13 - Config_Intake_View'!Q120&lt;&gt;"","PM Approved",IF('12 - Deployments &amp; Config'!BI120&lt;&gt;"","Assumed",""))</f>
        <v>Assumed</v>
      </c>
      <c r="K120" s="34">
        <f>'12 - Deployments &amp; Config'!BH120</f>
        <v>0</v>
      </c>
      <c r="L120" s="18" t="str">
        <f>'12 - Deployments &amp; Config'!P120</f>
        <v>1427182 LIJ Installation - Tim W. Seeberger, Akbar, Chris Perkins, Epic Team, Anesthesia Techs, and Admins</v>
      </c>
      <c r="M120" s="18">
        <f>'12 - Deployments &amp; Config'!Q120</f>
        <v>46075</v>
      </c>
      <c r="N120" s="18" t="str">
        <f>'12 - Deployments &amp; Config'!BL120</f>
        <v>Firmware Download, Device ID, Epic Beans Relay</v>
      </c>
      <c r="O120" s="34" t="str">
        <f>'12 - Deployments &amp; Config'!BM120</f>
        <v>Blocked</v>
      </c>
      <c r="P120" s="2">
        <f>'12 - Deployments &amp; Config'!BB120</f>
        <v>0</v>
      </c>
      <c r="Q120" s="34" t="str">
        <f t="shared" si="4"/>
        <v/>
      </c>
      <c r="R120" s="18" t="str">
        <f t="shared" si="5"/>
        <v>SW NOT INSTALLED</v>
      </c>
      <c r="S120" s="18" t="str">
        <f t="shared" si="6"/>
        <v/>
      </c>
      <c r="T120" s="18" t="str">
        <f t="shared" si="7"/>
        <v>SW NOT INSTALLED</v>
      </c>
    </row>
    <row r="121" spans="1:20">
      <c r="A121" s="34" t="str">
        <f>'12 - Deployments &amp; Config'!H121</f>
        <v>LIJ - OR</v>
      </c>
      <c r="B121" s="34" t="str">
        <f>'12 - Deployments &amp; Config'!R121</f>
        <v>WNH270OPR433</v>
      </c>
      <c r="C121" s="34">
        <f>'12 - Deployments &amp; Config'!T121</f>
        <v>0</v>
      </c>
      <c r="D121" s="18">
        <f>'12 - Deployments &amp; Config'!AK121</f>
        <v>0</v>
      </c>
      <c r="E121" s="18" t="str">
        <f>'12 - Deployments &amp; Config'!J121</f>
        <v>Yes</v>
      </c>
      <c r="F121" s="34" t="str">
        <f>'12 - Deployments &amp; Config'!K121</f>
        <v>No</v>
      </c>
      <c r="G121" s="18" t="str">
        <f>'12 - Deployments &amp; Config'!L121</f>
        <v>No</v>
      </c>
      <c r="H121" s="18">
        <f>'13 - Config_Intake_View'!M121</f>
        <v>0</v>
      </c>
      <c r="I121" s="34" t="str">
        <f>IF('13 - Config_Intake_View'!Q121&lt;&gt;"",'13 - Config_Intake_View'!Q121,'12 - Deployments &amp; Config'!BI121)</f>
        <v>iPro
Epic Satellite
ALLSCRIPTS
EPIC BCA</v>
      </c>
      <c r="J121" s="18" t="str">
        <f>IF('13 - Config_Intake_View'!Q121&lt;&gt;"","PM Approved",IF('12 - Deployments &amp; Config'!BI121&lt;&gt;"","Assumed",""))</f>
        <v>Assumed</v>
      </c>
      <c r="K121" s="34">
        <f>'12 - Deployments &amp; Config'!BH121</f>
        <v>0</v>
      </c>
      <c r="L121" s="18">
        <f>'12 - Deployments &amp; Config'!P121</f>
        <v>0</v>
      </c>
      <c r="M121" s="18">
        <f>'12 - Deployments &amp; Config'!Q121</f>
        <v>0</v>
      </c>
      <c r="N121" s="18" t="str">
        <f>'12 - Deployments &amp; Config'!BL121</f>
        <v/>
      </c>
      <c r="O121" s="34" t="str">
        <f>'12 - Deployments &amp; Config'!BM121</f>
        <v/>
      </c>
      <c r="P121" s="2">
        <f>'12 - Deployments &amp; Config'!BB121</f>
        <v>0</v>
      </c>
      <c r="Q121" s="34" t="str">
        <f t="shared" si="4"/>
        <v/>
      </c>
      <c r="R121" s="18" t="str">
        <f t="shared" si="5"/>
        <v>SW NOT INSTALLED</v>
      </c>
      <c r="S121" s="18" t="str">
        <f t="shared" si="6"/>
        <v/>
      </c>
      <c r="T121" s="18" t="str">
        <f t="shared" si="7"/>
        <v>SW NOT INSTALLED</v>
      </c>
    </row>
    <row r="122" spans="1:20">
      <c r="A122" s="34" t="str">
        <f>'12 - Deployments &amp; Config'!H122</f>
        <v>LIJ - OR</v>
      </c>
      <c r="B122" s="34" t="str">
        <f>'12 - Deployments &amp; Config'!R122</f>
        <v>WNH270OPR434</v>
      </c>
      <c r="C122" s="34">
        <f>'12 - Deployments &amp; Config'!T122</f>
        <v>0</v>
      </c>
      <c r="D122" s="18">
        <f>'12 - Deployments &amp; Config'!AK122</f>
        <v>0</v>
      </c>
      <c r="E122" s="18" t="str">
        <f>'12 - Deployments &amp; Config'!J122</f>
        <v>Yes</v>
      </c>
      <c r="F122" s="34" t="str">
        <f>'12 - Deployments &amp; Config'!K122</f>
        <v>No</v>
      </c>
      <c r="G122" s="18" t="str">
        <f>'12 - Deployments &amp; Config'!L122</f>
        <v>No</v>
      </c>
      <c r="H122" s="18">
        <f>'13 - Config_Intake_View'!M122</f>
        <v>0</v>
      </c>
      <c r="I122" s="34" t="str">
        <f>IF('13 - Config_Intake_View'!Q122&lt;&gt;"",'13 - Config_Intake_View'!Q122,'12 - Deployments &amp; Config'!BI122)</f>
        <v>iPro
Epic Satellite
ALLSCRIPTS
EPIC BCA</v>
      </c>
      <c r="J122" s="18" t="str">
        <f>IF('13 - Config_Intake_View'!Q122&lt;&gt;"","PM Approved",IF('12 - Deployments &amp; Config'!BI122&lt;&gt;"","Assumed",""))</f>
        <v>Assumed</v>
      </c>
      <c r="K122" s="34">
        <f>'12 - Deployments &amp; Config'!BH122</f>
        <v>0</v>
      </c>
      <c r="L122" s="18">
        <f>'12 - Deployments &amp; Config'!P122</f>
        <v>0</v>
      </c>
      <c r="M122" s="18">
        <f>'12 - Deployments &amp; Config'!Q122</f>
        <v>0</v>
      </c>
      <c r="N122" s="18" t="str">
        <f>'12 - Deployments &amp; Config'!BL122</f>
        <v/>
      </c>
      <c r="O122" s="34" t="str">
        <f>'12 - Deployments &amp; Config'!BM122</f>
        <v/>
      </c>
      <c r="P122" s="2">
        <f>'12 - Deployments &amp; Config'!BB122</f>
        <v>0</v>
      </c>
      <c r="Q122" s="34" t="str">
        <f t="shared" si="4"/>
        <v/>
      </c>
      <c r="R122" s="18" t="str">
        <f t="shared" si="5"/>
        <v>SW NOT INSTALLED</v>
      </c>
      <c r="S122" s="18" t="str">
        <f t="shared" si="6"/>
        <v/>
      </c>
      <c r="T122" s="18" t="str">
        <f t="shared" si="7"/>
        <v>SW NOT INSTALLED</v>
      </c>
    </row>
    <row r="123" spans="1:20">
      <c r="A123" s="34" t="str">
        <f>'12 - Deployments &amp; Config'!H123</f>
        <v>LIJ - OR</v>
      </c>
      <c r="B123" s="34" t="str">
        <f>'12 - Deployments &amp; Config'!R123</f>
        <v>WNH270OPR435</v>
      </c>
      <c r="C123" s="34" t="str">
        <f>'12 - Deployments &amp; Config'!T123</f>
        <v>00187DE0E222</v>
      </c>
      <c r="D123" s="18" t="str">
        <f>'12 - Deployments &amp; Config'!AK123</f>
        <v>Apollo</v>
      </c>
      <c r="E123" s="18" t="str">
        <f>'12 - Deployments &amp; Config'!J123</f>
        <v>Yes</v>
      </c>
      <c r="F123" s="34" t="str">
        <f>'12 - Deployments &amp; Config'!K123</f>
        <v>Yes</v>
      </c>
      <c r="G123" s="18" t="str">
        <f>'12 - Deployments &amp; Config'!L123</f>
        <v>Yes</v>
      </c>
      <c r="H123" s="18">
        <f>'13 - Config_Intake_View'!M123</f>
        <v>0</v>
      </c>
      <c r="I123" s="34" t="str">
        <f>IF('13 - Config_Intake_View'!Q123&lt;&gt;"",'13 - Config_Intake_View'!Q123,'12 - Deployments &amp; Config'!BI123)</f>
        <v>iPro
Epic Satellite
ALLSCRIPTS
EPIC BCA</v>
      </c>
      <c r="J123" s="18" t="str">
        <f>IF('13 - Config_Intake_View'!Q123&lt;&gt;"","PM Approved",IF('12 - Deployments &amp; Config'!BI123&lt;&gt;"","Assumed",""))</f>
        <v>Assumed</v>
      </c>
      <c r="K123" s="34">
        <f>'12 - Deployments &amp; Config'!BH123</f>
        <v>0</v>
      </c>
      <c r="L123" s="18" t="str">
        <f>'12 - Deployments &amp; Config'!P123</f>
        <v>1427182 LIJ Installation - Tim W. Seeberger, Akbar, Chris Perkins, Epic Team, Anesthesia Techs, and Admins</v>
      </c>
      <c r="M123" s="18">
        <f>'12 - Deployments &amp; Config'!Q123</f>
        <v>46075</v>
      </c>
      <c r="N123" s="18" t="str">
        <f>'12 - Deployments &amp; Config'!BL123</f>
        <v>Firmware Download, Device ID, Epic Beans Relay</v>
      </c>
      <c r="O123" s="34" t="str">
        <f>'12 - Deployments &amp; Config'!BM123</f>
        <v>Blocked</v>
      </c>
      <c r="P123" s="2">
        <f>'12 - Deployments &amp; Config'!BB123</f>
        <v>0</v>
      </c>
      <c r="Q123" s="34" t="str">
        <f t="shared" si="4"/>
        <v/>
      </c>
      <c r="R123" s="18" t="str">
        <f t="shared" si="5"/>
        <v>SW NOT INSTALLED</v>
      </c>
      <c r="S123" s="18" t="str">
        <f t="shared" si="6"/>
        <v/>
      </c>
      <c r="T123" s="18" t="str">
        <f t="shared" si="7"/>
        <v>SW NOT INSTALLED</v>
      </c>
    </row>
    <row r="124" spans="1:20">
      <c r="A124" s="34" t="str">
        <f>'12 - Deployments &amp; Config'!H124</f>
        <v>LIJ - OR</v>
      </c>
      <c r="B124" s="34" t="str">
        <f>'12 - Deployments &amp; Config'!R124</f>
        <v>WNH270OPR436</v>
      </c>
      <c r="C124" s="34" t="str">
        <f>'12 - Deployments &amp; Config'!T124</f>
        <v>00187DE0E265</v>
      </c>
      <c r="D124" s="18" t="str">
        <f>'12 - Deployments &amp; Config'!AK124</f>
        <v>Apollo</v>
      </c>
      <c r="E124" s="18" t="str">
        <f>'12 - Deployments &amp; Config'!J124</f>
        <v>Yes</v>
      </c>
      <c r="F124" s="34" t="str">
        <f>'12 - Deployments &amp; Config'!K124</f>
        <v>Yes</v>
      </c>
      <c r="G124" s="18" t="str">
        <f>'12 - Deployments &amp; Config'!L124</f>
        <v>Yes</v>
      </c>
      <c r="H124" s="18">
        <f>'13 - Config_Intake_View'!M124</f>
        <v>0</v>
      </c>
      <c r="I124" s="34" t="str">
        <f>IF('13 - Config_Intake_View'!Q124&lt;&gt;"",'13 - Config_Intake_View'!Q124,'12 - Deployments &amp; Config'!BI124)</f>
        <v>iPro
Epic Satellite
ALLSCRIPTS
EPIC BCA</v>
      </c>
      <c r="J124" s="18" t="str">
        <f>IF('13 - Config_Intake_View'!Q124&lt;&gt;"","PM Approved",IF('12 - Deployments &amp; Config'!BI124&lt;&gt;"","Assumed",""))</f>
        <v>Assumed</v>
      </c>
      <c r="K124" s="34">
        <f>'12 - Deployments &amp; Config'!BH124</f>
        <v>0</v>
      </c>
      <c r="L124" s="18" t="str">
        <f>'12 - Deployments &amp; Config'!P124</f>
        <v>1427182 LIJ Installation - Tim W. Seeberger, Akbar, Chris Perkins, Epic Team, Anesthesia Techs, and Admins</v>
      </c>
      <c r="M124" s="18">
        <f>'12 - Deployments &amp; Config'!Q124</f>
        <v>46075</v>
      </c>
      <c r="N124" s="18" t="str">
        <f>'12 - Deployments &amp; Config'!BL124</f>
        <v>Firmware Download, Device ID, Epic Beans Relay</v>
      </c>
      <c r="O124" s="34" t="str">
        <f>'12 - Deployments &amp; Config'!BM124</f>
        <v>Blocked</v>
      </c>
      <c r="P124" s="2">
        <f>'12 - Deployments &amp; Config'!BB124</f>
        <v>0</v>
      </c>
      <c r="Q124" s="34" t="str">
        <f t="shared" si="4"/>
        <v/>
      </c>
      <c r="R124" s="18" t="str">
        <f t="shared" si="5"/>
        <v>SW NOT INSTALLED</v>
      </c>
      <c r="S124" s="18" t="str">
        <f t="shared" si="6"/>
        <v/>
      </c>
      <c r="T124" s="18" t="str">
        <f t="shared" si="7"/>
        <v>SW NOT INSTALLED</v>
      </c>
    </row>
    <row r="125" spans="1:20">
      <c r="A125" s="34" t="str">
        <f>'12 - Deployments &amp; Config'!H125</f>
        <v>LIJ - OR</v>
      </c>
      <c r="B125" s="34" t="str">
        <f>'12 - Deployments &amp; Config'!R125</f>
        <v>WNH270OPR437</v>
      </c>
      <c r="C125" s="34" t="str">
        <f>'12 - Deployments &amp; Config'!T125</f>
        <v>0018DE0ADF7</v>
      </c>
      <c r="D125" s="18" t="str">
        <f>'12 - Deployments &amp; Config'!AK125</f>
        <v>Apollo</v>
      </c>
      <c r="E125" s="18" t="str">
        <f>'12 - Deployments &amp; Config'!J125</f>
        <v>Yes</v>
      </c>
      <c r="F125" s="34" t="str">
        <f>'12 - Deployments &amp; Config'!K125</f>
        <v>Yes</v>
      </c>
      <c r="G125" s="18" t="str">
        <f>'12 - Deployments &amp; Config'!L125</f>
        <v>Yes</v>
      </c>
      <c r="H125" s="18">
        <f>'13 - Config_Intake_View'!M125</f>
        <v>0</v>
      </c>
      <c r="I125" s="34" t="str">
        <f>IF('13 - Config_Intake_View'!Q125&lt;&gt;"",'13 - Config_Intake_View'!Q125,'12 - Deployments &amp; Config'!BI125)</f>
        <v>iPro
Epic Satellite
ALLSCRIPTS
EPIC BCA</v>
      </c>
      <c r="J125" s="18" t="str">
        <f>IF('13 - Config_Intake_View'!Q125&lt;&gt;"","PM Approved",IF('12 - Deployments &amp; Config'!BI125&lt;&gt;"","Assumed",""))</f>
        <v>Assumed</v>
      </c>
      <c r="K125" s="34">
        <f>'12 - Deployments &amp; Config'!BH125</f>
        <v>0</v>
      </c>
      <c r="L125" s="18" t="str">
        <f>'12 - Deployments &amp; Config'!P125</f>
        <v>1427182 LIJ Installation - Tim W. Seeberger, Akbar, Chris Perkins, Epic Team, Anesthesia Techs, and Admins</v>
      </c>
      <c r="M125" s="18">
        <f>'12 - Deployments &amp; Config'!Q125</f>
        <v>46075</v>
      </c>
      <c r="N125" s="18" t="str">
        <f>'12 - Deployments &amp; Config'!BL125</f>
        <v>Firmware Download, Device ID, Epic Beans Relay</v>
      </c>
      <c r="O125" s="34" t="str">
        <f>'12 - Deployments &amp; Config'!BM125</f>
        <v>Blocked</v>
      </c>
      <c r="P125" s="2">
        <f>'12 - Deployments &amp; Config'!BB125</f>
        <v>0</v>
      </c>
      <c r="Q125" s="34" t="str">
        <f t="shared" si="4"/>
        <v/>
      </c>
      <c r="R125" s="18" t="str">
        <f t="shared" si="5"/>
        <v>SW NOT INSTALLED</v>
      </c>
      <c r="S125" s="18" t="str">
        <f t="shared" si="6"/>
        <v/>
      </c>
      <c r="T125" s="18" t="str">
        <f t="shared" si="7"/>
        <v>SW NOT INSTALLED</v>
      </c>
    </row>
    <row r="126" spans="1:20">
      <c r="A126" s="34" t="str">
        <f>'12 - Deployments &amp; Config'!H126</f>
        <v>LIJ - OR</v>
      </c>
      <c r="B126" s="34" t="str">
        <f>'12 - Deployments &amp; Config'!R126</f>
        <v>WNH270OPR438</v>
      </c>
      <c r="C126" s="34" t="str">
        <f>'12 - Deployments &amp; Config'!T126</f>
        <v>00187DE0E27F</v>
      </c>
      <c r="D126" s="18" t="str">
        <f>'12 - Deployments &amp; Config'!AK126</f>
        <v>Apollo</v>
      </c>
      <c r="E126" s="18" t="str">
        <f>'12 - Deployments &amp; Config'!J126</f>
        <v>Yes</v>
      </c>
      <c r="F126" s="34" t="str">
        <f>'12 - Deployments &amp; Config'!K126</f>
        <v>Yes</v>
      </c>
      <c r="G126" s="18" t="str">
        <f>'12 - Deployments &amp; Config'!L126</f>
        <v>Yes</v>
      </c>
      <c r="H126" s="18">
        <f>'13 - Config_Intake_View'!M126</f>
        <v>0</v>
      </c>
      <c r="I126" s="34" t="str">
        <f>IF('13 - Config_Intake_View'!Q126&lt;&gt;"",'13 - Config_Intake_View'!Q126,'12 - Deployments &amp; Config'!BI126)</f>
        <v>iPro
Epic Satellite
ALLSCRIPTS
EPIC BCA</v>
      </c>
      <c r="J126" s="18" t="str">
        <f>IF('13 - Config_Intake_View'!Q126&lt;&gt;"","PM Approved",IF('12 - Deployments &amp; Config'!BI126&lt;&gt;"","Assumed",""))</f>
        <v>Assumed</v>
      </c>
      <c r="K126" s="34">
        <f>'12 - Deployments &amp; Config'!BH126</f>
        <v>0</v>
      </c>
      <c r="L126" s="18" t="str">
        <f>'12 - Deployments &amp; Config'!P126</f>
        <v>1427182 LIJ Installation - Tim W. Seeberger, Akbar, Chris Perkins, Epic Team, Anesthesia Techs, and Admins</v>
      </c>
      <c r="M126" s="18">
        <f>'12 - Deployments &amp; Config'!Q126</f>
        <v>46075</v>
      </c>
      <c r="N126" s="18" t="str">
        <f>'12 - Deployments &amp; Config'!BL126</f>
        <v>Firmware Download, Device ID, Epic Beans Relay</v>
      </c>
      <c r="O126" s="34" t="str">
        <f>'12 - Deployments &amp; Config'!BM126</f>
        <v>Blocked</v>
      </c>
      <c r="P126" s="2">
        <f>'12 - Deployments &amp; Config'!BB126</f>
        <v>0</v>
      </c>
      <c r="Q126" s="34" t="str">
        <f t="shared" si="4"/>
        <v/>
      </c>
      <c r="R126" s="18" t="str">
        <f t="shared" si="5"/>
        <v>SW NOT INSTALLED</v>
      </c>
      <c r="S126" s="18" t="str">
        <f t="shared" si="6"/>
        <v/>
      </c>
      <c r="T126" s="18" t="str">
        <f t="shared" si="7"/>
        <v>SW NOT INSTALLED</v>
      </c>
    </row>
    <row r="127" spans="1:20">
      <c r="A127" s="34" t="str">
        <f>'12 - Deployments &amp; Config'!H127</f>
        <v>LIJ - OR</v>
      </c>
      <c r="B127" s="34" t="str">
        <f>'12 - Deployments &amp; Config'!R127</f>
        <v>WNH270OPR439</v>
      </c>
      <c r="C127" s="34" t="str">
        <f>'12 - Deployments &amp; Config'!T127</f>
        <v>00187DE0E379</v>
      </c>
      <c r="D127" s="18" t="str">
        <f>'12 - Deployments &amp; Config'!AK127</f>
        <v>Apollo</v>
      </c>
      <c r="E127" s="18" t="str">
        <f>'12 - Deployments &amp; Config'!J127</f>
        <v>Yes</v>
      </c>
      <c r="F127" s="34" t="str">
        <f>'12 - Deployments &amp; Config'!K127</f>
        <v>Yes</v>
      </c>
      <c r="G127" s="18" t="str">
        <f>'12 - Deployments &amp; Config'!L127</f>
        <v>Yes</v>
      </c>
      <c r="H127" s="18">
        <f>'13 - Config_Intake_View'!M127</f>
        <v>0</v>
      </c>
      <c r="I127" s="34">
        <f>IF('13 - Config_Intake_View'!Q127&lt;&gt;"",'13 - Config_Intake_View'!Q127,'12 - Deployments &amp; Config'!BI127)</f>
        <v>0</v>
      </c>
      <c r="J127" s="18" t="str">
        <f>IF('13 - Config_Intake_View'!Q127&lt;&gt;"","PM Approved",IF('12 - Deployments &amp; Config'!BI127&lt;&gt;"","Assumed",""))</f>
        <v/>
      </c>
      <c r="K127" s="34">
        <f>'12 - Deployments &amp; Config'!BH127</f>
        <v>0</v>
      </c>
      <c r="L127" s="18" t="str">
        <f>'12 - Deployments &amp; Config'!P127</f>
        <v>1427182 LIJ Installation - Tim W. Seeberger, Akbar, Chris Perkins, Epic Team, Anesthesia Techs, and Admins</v>
      </c>
      <c r="M127" s="18">
        <f>'12 - Deployments &amp; Config'!Q127</f>
        <v>46075</v>
      </c>
      <c r="N127" s="18">
        <f>'12 - Deployments &amp; Config'!BL127</f>
        <v>0</v>
      </c>
      <c r="O127" s="34">
        <f>'12 - Deployments &amp; Config'!BM127</f>
        <v>0</v>
      </c>
      <c r="P127" s="2">
        <f>'12 - Deployments &amp; Config'!BB127</f>
        <v>0</v>
      </c>
      <c r="Q127" s="34" t="str">
        <f t="shared" si="4"/>
        <v/>
      </c>
      <c r="R127" s="18" t="str">
        <f t="shared" si="5"/>
        <v>SW NOT INSTALLED</v>
      </c>
      <c r="S127" s="18" t="str">
        <f t="shared" si="6"/>
        <v/>
      </c>
      <c r="T127" s="18" t="str">
        <f t="shared" si="7"/>
        <v>SW NOT INSTALLED</v>
      </c>
    </row>
    <row r="128" spans="1:20">
      <c r="A128" s="34" t="str">
        <f>'12 - Deployments &amp; Config'!H128</f>
        <v>LIJ - OR</v>
      </c>
      <c r="B128" s="34" t="str">
        <f>'12 - Deployments &amp; Config'!R128</f>
        <v>WNH270OPR440</v>
      </c>
      <c r="C128" s="34" t="str">
        <f>'12 - Deployments &amp; Config'!T128</f>
        <v>00187DE0E2BA</v>
      </c>
      <c r="D128" s="18" t="str">
        <f>'12 - Deployments &amp; Config'!AK128</f>
        <v>Apollo</v>
      </c>
      <c r="E128" s="18" t="str">
        <f>'12 - Deployments &amp; Config'!J128</f>
        <v>Yes</v>
      </c>
      <c r="F128" s="34" t="str">
        <f>'12 - Deployments &amp; Config'!K128</f>
        <v>Yes</v>
      </c>
      <c r="G128" s="18" t="str">
        <f>'12 - Deployments &amp; Config'!L128</f>
        <v>Yes</v>
      </c>
      <c r="H128" s="18">
        <f>'13 - Config_Intake_View'!M128</f>
        <v>0</v>
      </c>
      <c r="I128" s="34" t="str">
        <f>IF('13 - Config_Intake_View'!Q128&lt;&gt;"",'13 - Config_Intake_View'!Q128,'12 - Deployments &amp; Config'!BI128)</f>
        <v>iPro
Epic Satellite
ALLSCRIPTS
EPIC BCA</v>
      </c>
      <c r="J128" s="18" t="str">
        <f>IF('13 - Config_Intake_View'!Q128&lt;&gt;"","PM Approved",IF('12 - Deployments &amp; Config'!BI128&lt;&gt;"","Assumed",""))</f>
        <v>Assumed</v>
      </c>
      <c r="K128" s="34">
        <f>'12 - Deployments &amp; Config'!BH128</f>
        <v>0</v>
      </c>
      <c r="L128" s="18" t="str">
        <f>'12 - Deployments &amp; Config'!P128</f>
        <v>1427182 LIJ Installation - Tim W. Seeberger, Akbar, Chris Perkins, Epic Team, Anesthesia Techs, and Admins</v>
      </c>
      <c r="M128" s="18">
        <f>'12 - Deployments &amp; Config'!Q128</f>
        <v>46075</v>
      </c>
      <c r="N128" s="18" t="str">
        <f>'12 - Deployments &amp; Config'!BL128</f>
        <v>Firmware Download, Device ID, Epic Beans Relay</v>
      </c>
      <c r="O128" s="34" t="str">
        <f>'12 - Deployments &amp; Config'!BM128</f>
        <v>Blocked</v>
      </c>
      <c r="P128" s="2">
        <f>'12 - Deployments &amp; Config'!BB128</f>
        <v>0</v>
      </c>
      <c r="Q128" s="34" t="str">
        <f t="shared" si="4"/>
        <v/>
      </c>
      <c r="R128" s="18" t="str">
        <f t="shared" si="5"/>
        <v>SW NOT INSTALLED</v>
      </c>
      <c r="S128" s="18" t="str">
        <f t="shared" si="6"/>
        <v/>
      </c>
      <c r="T128" s="18" t="str">
        <f t="shared" si="7"/>
        <v>SW NOT INSTALLED</v>
      </c>
    </row>
    <row r="129" spans="1:20">
      <c r="A129" s="34" t="str">
        <f>'12 - Deployments &amp; Config'!H129</f>
        <v>LIJ - OR</v>
      </c>
      <c r="B129" s="34" t="str">
        <f>'12 - Deployments &amp; Config'!R129</f>
        <v>WNH270OPR441</v>
      </c>
      <c r="C129" s="34" t="str">
        <f>'12 - Deployments &amp; Config'!T129</f>
        <v>00187DE07866</v>
      </c>
      <c r="D129" s="18" t="str">
        <f>'12 - Deployments &amp; Config'!AK129</f>
        <v>Apollo</v>
      </c>
      <c r="E129" s="18" t="str">
        <f>'12 - Deployments &amp; Config'!J129</f>
        <v>Yes</v>
      </c>
      <c r="F129" s="34" t="str">
        <f>'12 - Deployments &amp; Config'!K129</f>
        <v>Yes</v>
      </c>
      <c r="G129" s="18" t="str">
        <f>'12 - Deployments &amp; Config'!L129</f>
        <v>Yes</v>
      </c>
      <c r="H129" s="18">
        <f>'13 - Config_Intake_View'!M129</f>
        <v>0</v>
      </c>
      <c r="I129" s="34" t="str">
        <f>IF('13 - Config_Intake_View'!Q129&lt;&gt;"",'13 - Config_Intake_View'!Q129,'12 - Deployments &amp; Config'!BI129)</f>
        <v>iPro
Epic Satellite
ALLSCRIPTS
EPIC BCA</v>
      </c>
      <c r="J129" s="18" t="str">
        <f>IF('13 - Config_Intake_View'!Q129&lt;&gt;"","PM Approved",IF('12 - Deployments &amp; Config'!BI129&lt;&gt;"","Assumed",""))</f>
        <v>Assumed</v>
      </c>
      <c r="K129" s="34">
        <f>'12 - Deployments &amp; Config'!BH129</f>
        <v>0</v>
      </c>
      <c r="L129" s="18" t="str">
        <f>'12 - Deployments &amp; Config'!P129</f>
        <v>1427182 LIJ Installation - Tim W. Seeberger, Akbar, Chris Perkins, Epic Team, Anesthesia Techs, and Admins</v>
      </c>
      <c r="M129" s="18">
        <f>'12 - Deployments &amp; Config'!Q129</f>
        <v>46075</v>
      </c>
      <c r="N129" s="18" t="str">
        <f>'12 - Deployments &amp; Config'!BL129</f>
        <v>Firmware Download, Device ID, Epic Beans Relay</v>
      </c>
      <c r="O129" s="34" t="str">
        <f>'12 - Deployments &amp; Config'!BM129</f>
        <v>Blocked</v>
      </c>
      <c r="P129" s="2">
        <f>'12 - Deployments &amp; Config'!BB129</f>
        <v>0</v>
      </c>
      <c r="Q129" s="34" t="str">
        <f t="shared" si="4"/>
        <v/>
      </c>
      <c r="R129" s="18" t="str">
        <f t="shared" si="5"/>
        <v>SW NOT INSTALLED</v>
      </c>
      <c r="S129" s="18" t="str">
        <f t="shared" si="6"/>
        <v/>
      </c>
      <c r="T129" s="18" t="str">
        <f t="shared" si="7"/>
        <v>SW NOT INSTALLED</v>
      </c>
    </row>
    <row r="130" spans="1:20">
      <c r="A130" s="34" t="str">
        <f>'12 - Deployments &amp; Config'!H130</f>
        <v>LIJ - OR</v>
      </c>
      <c r="B130" s="34" t="str">
        <f>'12 - Deployments &amp; Config'!R130</f>
        <v>WNH270OPR442</v>
      </c>
      <c r="C130" s="34" t="str">
        <f>'12 - Deployments &amp; Config'!T130</f>
        <v>A0F5097FF5A7</v>
      </c>
      <c r="D130" s="18" t="str">
        <f>'12 - Deployments &amp; Config'!AK130</f>
        <v>Apollo</v>
      </c>
      <c r="E130" s="18" t="str">
        <f>'12 - Deployments &amp; Config'!J130</f>
        <v>Yes</v>
      </c>
      <c r="F130" s="34" t="str">
        <f>'12 - Deployments &amp; Config'!K130</f>
        <v>Yes</v>
      </c>
      <c r="G130" s="18" t="str">
        <f>'12 - Deployments &amp; Config'!L130</f>
        <v>Yes</v>
      </c>
      <c r="H130" s="18">
        <f>'13 - Config_Intake_View'!M130</f>
        <v>0</v>
      </c>
      <c r="I130" s="34" t="str">
        <f>IF('13 - Config_Intake_View'!Q130&lt;&gt;"",'13 - Config_Intake_View'!Q130,'12 - Deployments &amp; Config'!BI130)</f>
        <v>iPro
Epic Satellite
ALLSCRIPTS
EPIC BCA</v>
      </c>
      <c r="J130" s="18" t="str">
        <f>IF('13 - Config_Intake_View'!Q130&lt;&gt;"","PM Approved",IF('12 - Deployments &amp; Config'!BI130&lt;&gt;"","Assumed",""))</f>
        <v>Assumed</v>
      </c>
      <c r="K130" s="34">
        <f>'12 - Deployments &amp; Config'!BH130</f>
        <v>0</v>
      </c>
      <c r="L130" s="18" t="str">
        <f>'12 - Deployments &amp; Config'!P130</f>
        <v>1427182 LIJ Installation - Tim W. Seeberger, Akbar, Chris Perkins, Epic Team, Anesthesia Techs, and Admins</v>
      </c>
      <c r="M130" s="18">
        <f>'12 - Deployments &amp; Config'!Q130</f>
        <v>46075</v>
      </c>
      <c r="N130" s="18" t="str">
        <f>'12 - Deployments &amp; Config'!BL130</f>
        <v>Firmware Download, Device ID, Epic Beans Relay</v>
      </c>
      <c r="O130" s="34" t="str">
        <f>'12 - Deployments &amp; Config'!BM130</f>
        <v>Blocked</v>
      </c>
      <c r="P130" s="2">
        <f>'12 - Deployments &amp; Config'!BB130</f>
        <v>0</v>
      </c>
      <c r="Q130" s="34" t="str">
        <f t="shared" ref="Q130:Q193" si="8">IF(OR($A130="",$B130="",$D130=""),"MISSING CORE FIELDS","")</f>
        <v/>
      </c>
      <c r="R130" s="18" t="str">
        <f t="shared" ref="R130:R193" si="9">IF(AND($I130&lt;&gt;"",$K130&lt;&gt;"Yes"),"SW NOT INSTALLED","")</f>
        <v>SW NOT INSTALLED</v>
      </c>
      <c r="S130" s="18" t="str">
        <f t="shared" ref="S130:S193" si="10">IF(AND($H130&lt;&gt;"",ISNUMBER(SEARCH("auto",LOWER($H130))),$F130=""),"AUTOLOGON REQUIRED","")</f>
        <v/>
      </c>
      <c r="T130" s="18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4" t="str">
        <f>'12 - Deployments &amp; Config'!H131</f>
        <v>LIJ - OR</v>
      </c>
      <c r="B131" s="34" t="str">
        <f>'12 - Deployments &amp; Config'!R131</f>
        <v>WNH270OPR443</v>
      </c>
      <c r="C131" s="34">
        <f>'12 - Deployments &amp; Config'!T131</f>
        <v>0</v>
      </c>
      <c r="D131" s="18">
        <f>'12 - Deployments &amp; Config'!AK131</f>
        <v>0</v>
      </c>
      <c r="E131" s="18" t="str">
        <f>'12 - Deployments &amp; Config'!J131</f>
        <v>Yes</v>
      </c>
      <c r="F131" s="34" t="str">
        <f>'12 - Deployments &amp; Config'!K131</f>
        <v>No</v>
      </c>
      <c r="G131" s="18" t="str">
        <f>'12 - Deployments &amp; Config'!L131</f>
        <v>No</v>
      </c>
      <c r="H131" s="18">
        <f>'13 - Config_Intake_View'!M131</f>
        <v>0</v>
      </c>
      <c r="I131" s="34" t="str">
        <f>IF('13 - Config_Intake_View'!Q131&lt;&gt;"",'13 - Config_Intake_View'!Q131,'12 - Deployments &amp; Config'!BI131)</f>
        <v>iPro
Epic Satellite
ALLSCRIPTS
EPIC BCA</v>
      </c>
      <c r="J131" s="18" t="str">
        <f>IF('13 - Config_Intake_View'!Q131&lt;&gt;"","PM Approved",IF('12 - Deployments &amp; Config'!BI131&lt;&gt;"","Assumed",""))</f>
        <v>Assumed</v>
      </c>
      <c r="K131" s="34">
        <f>'12 - Deployments &amp; Config'!BH131</f>
        <v>0</v>
      </c>
      <c r="L131" s="18">
        <f>'12 - Deployments &amp; Config'!P131</f>
        <v>0</v>
      </c>
      <c r="M131" s="18">
        <f>'12 - Deployments &amp; Config'!Q131</f>
        <v>0</v>
      </c>
      <c r="N131" s="18" t="str">
        <f>'12 - Deployments &amp; Config'!BL131</f>
        <v/>
      </c>
      <c r="O131" s="34" t="str">
        <f>'12 - Deployments &amp; Config'!BM131</f>
        <v/>
      </c>
      <c r="P131" s="2">
        <f>'12 - Deployments &amp; Config'!BB131</f>
        <v>0</v>
      </c>
      <c r="Q131" s="34" t="str">
        <f t="shared" si="8"/>
        <v/>
      </c>
      <c r="R131" s="18" t="str">
        <f t="shared" si="9"/>
        <v>SW NOT INSTALLED</v>
      </c>
      <c r="S131" s="18" t="str">
        <f t="shared" si="10"/>
        <v/>
      </c>
      <c r="T131" s="18" t="str">
        <f t="shared" si="11"/>
        <v>SW NOT INSTALLED</v>
      </c>
    </row>
    <row r="132" spans="1:20">
      <c r="A132" s="34" t="str">
        <f>'12 - Deployments &amp; Config'!H132</f>
        <v>LIJ - OR</v>
      </c>
      <c r="B132" s="34" t="str">
        <f>'12 - Deployments &amp; Config'!R132</f>
        <v>WNH270OPR444</v>
      </c>
      <c r="C132" s="34">
        <f>'12 - Deployments &amp; Config'!T132</f>
        <v>0</v>
      </c>
      <c r="D132" s="18">
        <f>'12 - Deployments &amp; Config'!AK132</f>
        <v>0</v>
      </c>
      <c r="E132" s="18" t="str">
        <f>'12 - Deployments &amp; Config'!J132</f>
        <v>Yes</v>
      </c>
      <c r="F132" s="34" t="str">
        <f>'12 - Deployments &amp; Config'!K132</f>
        <v>No</v>
      </c>
      <c r="G132" s="18" t="str">
        <f>'12 - Deployments &amp; Config'!L132</f>
        <v>No</v>
      </c>
      <c r="H132" s="18">
        <f>'13 - Config_Intake_View'!M132</f>
        <v>0</v>
      </c>
      <c r="I132" s="34" t="str">
        <f>IF('13 - Config_Intake_View'!Q132&lt;&gt;"",'13 - Config_Intake_View'!Q132,'12 - Deployments &amp; Config'!BI132)</f>
        <v>iPro
Epic Satellite
ALLSCRIPTS
EPIC BCA</v>
      </c>
      <c r="J132" s="18" t="str">
        <f>IF('13 - Config_Intake_View'!Q132&lt;&gt;"","PM Approved",IF('12 - Deployments &amp; Config'!BI132&lt;&gt;"","Assumed",""))</f>
        <v>Assumed</v>
      </c>
      <c r="K132" s="34">
        <f>'12 - Deployments &amp; Config'!BH132</f>
        <v>0</v>
      </c>
      <c r="L132" s="18">
        <f>'12 - Deployments &amp; Config'!P132</f>
        <v>0</v>
      </c>
      <c r="M132" s="18">
        <f>'12 - Deployments &amp; Config'!Q132</f>
        <v>0</v>
      </c>
      <c r="N132" s="18" t="str">
        <f>'12 - Deployments &amp; Config'!BL132</f>
        <v/>
      </c>
      <c r="O132" s="34" t="str">
        <f>'12 - Deployments &amp; Config'!BM132</f>
        <v/>
      </c>
      <c r="P132" s="2">
        <f>'12 - Deployments &amp; Config'!BB132</f>
        <v>0</v>
      </c>
      <c r="Q132" s="34" t="str">
        <f t="shared" si="8"/>
        <v/>
      </c>
      <c r="R132" s="18" t="str">
        <f t="shared" si="9"/>
        <v>SW NOT INSTALLED</v>
      </c>
      <c r="S132" s="18" t="str">
        <f t="shared" si="10"/>
        <v/>
      </c>
      <c r="T132" s="18" t="str">
        <f t="shared" si="11"/>
        <v>SW NOT INSTALLED</v>
      </c>
    </row>
    <row r="133" spans="1:20">
      <c r="A133" s="34" t="str">
        <f>'12 - Deployments &amp; Config'!H133</f>
        <v>LIJ - OR</v>
      </c>
      <c r="B133" s="34" t="str">
        <f>'12 - Deployments &amp; Config'!R133</f>
        <v>WNH270OPR445</v>
      </c>
      <c r="C133" s="34">
        <f>'12 - Deployments &amp; Config'!T133</f>
        <v>0</v>
      </c>
      <c r="D133" s="18">
        <f>'12 - Deployments &amp; Config'!AK133</f>
        <v>0</v>
      </c>
      <c r="E133" s="18" t="str">
        <f>'12 - Deployments &amp; Config'!J133</f>
        <v>Yes</v>
      </c>
      <c r="F133" s="34" t="str">
        <f>'12 - Deployments &amp; Config'!K133</f>
        <v>No</v>
      </c>
      <c r="G133" s="18" t="str">
        <f>'12 - Deployments &amp; Config'!L133</f>
        <v>No</v>
      </c>
      <c r="H133" s="18">
        <f>'13 - Config_Intake_View'!M133</f>
        <v>0</v>
      </c>
      <c r="I133" s="34" t="str">
        <f>IF('13 - Config_Intake_View'!Q133&lt;&gt;"",'13 - Config_Intake_View'!Q133,'12 - Deployments &amp; Config'!BI133)</f>
        <v>iPro
Epic Satellite
ALLSCRIPTS
EPIC BCA</v>
      </c>
      <c r="J133" s="18" t="str">
        <f>IF('13 - Config_Intake_View'!Q133&lt;&gt;"","PM Approved",IF('12 - Deployments &amp; Config'!BI133&lt;&gt;"","Assumed",""))</f>
        <v>Assumed</v>
      </c>
      <c r="K133" s="34">
        <f>'12 - Deployments &amp; Config'!BH133</f>
        <v>0</v>
      </c>
      <c r="L133" s="18">
        <f>'12 - Deployments &amp; Config'!P133</f>
        <v>0</v>
      </c>
      <c r="M133" s="18">
        <f>'12 - Deployments &amp; Config'!Q133</f>
        <v>0</v>
      </c>
      <c r="N133" s="18" t="str">
        <f>'12 - Deployments &amp; Config'!BL133</f>
        <v/>
      </c>
      <c r="O133" s="34" t="str">
        <f>'12 - Deployments &amp; Config'!BM133</f>
        <v/>
      </c>
      <c r="P133" s="2">
        <f>'12 - Deployments &amp; Config'!BB133</f>
        <v>0</v>
      </c>
      <c r="Q133" s="34" t="str">
        <f t="shared" si="8"/>
        <v/>
      </c>
      <c r="R133" s="18" t="str">
        <f t="shared" si="9"/>
        <v>SW NOT INSTALLED</v>
      </c>
      <c r="S133" s="18" t="str">
        <f t="shared" si="10"/>
        <v/>
      </c>
      <c r="T133" s="18" t="str">
        <f t="shared" si="11"/>
        <v>SW NOT INSTALLED</v>
      </c>
    </row>
    <row r="134" spans="1:20">
      <c r="A134" s="34" t="str">
        <f>'12 - Deployments &amp; Config'!H134</f>
        <v>LIJ - OR</v>
      </c>
      <c r="B134" s="34" t="str">
        <f>'12 - Deployments &amp; Config'!R134</f>
        <v>WNH270OPR446</v>
      </c>
      <c r="C134" s="34">
        <f>'12 - Deployments &amp; Config'!T134</f>
        <v>0</v>
      </c>
      <c r="D134" s="18">
        <f>'12 - Deployments &amp; Config'!AK134</f>
        <v>0</v>
      </c>
      <c r="E134" s="18" t="str">
        <f>'12 - Deployments &amp; Config'!J134</f>
        <v>Yes</v>
      </c>
      <c r="F134" s="34" t="str">
        <f>'12 - Deployments &amp; Config'!K134</f>
        <v>No</v>
      </c>
      <c r="G134" s="18" t="str">
        <f>'12 - Deployments &amp; Config'!L134</f>
        <v>No</v>
      </c>
      <c r="H134" s="18">
        <f>'13 - Config_Intake_View'!M134</f>
        <v>0</v>
      </c>
      <c r="I134" s="34" t="str">
        <f>IF('13 - Config_Intake_View'!Q134&lt;&gt;"",'13 - Config_Intake_View'!Q134,'12 - Deployments &amp; Config'!BI134)</f>
        <v>iPro
Epic Satellite
ALLSCRIPTS
EPIC BCA</v>
      </c>
      <c r="J134" s="18" t="str">
        <f>IF('13 - Config_Intake_View'!Q134&lt;&gt;"","PM Approved",IF('12 - Deployments &amp; Config'!BI134&lt;&gt;"","Assumed",""))</f>
        <v>Assumed</v>
      </c>
      <c r="K134" s="34">
        <f>'12 - Deployments &amp; Config'!BH134</f>
        <v>0</v>
      </c>
      <c r="L134" s="18">
        <f>'12 - Deployments &amp; Config'!P134</f>
        <v>0</v>
      </c>
      <c r="M134" s="18">
        <f>'12 - Deployments &amp; Config'!Q134</f>
        <v>0</v>
      </c>
      <c r="N134" s="18" t="str">
        <f>'12 - Deployments &amp; Config'!BL134</f>
        <v/>
      </c>
      <c r="O134" s="34" t="str">
        <f>'12 - Deployments &amp; Config'!BM134</f>
        <v/>
      </c>
      <c r="P134" s="2">
        <f>'12 - Deployments &amp; Config'!BB134</f>
        <v>0</v>
      </c>
      <c r="Q134" s="34" t="str">
        <f t="shared" si="8"/>
        <v/>
      </c>
      <c r="R134" s="18" t="str">
        <f t="shared" si="9"/>
        <v>SW NOT INSTALLED</v>
      </c>
      <c r="S134" s="18" t="str">
        <f t="shared" si="10"/>
        <v/>
      </c>
      <c r="T134" s="18" t="str">
        <f t="shared" si="11"/>
        <v>SW NOT INSTALLED</v>
      </c>
    </row>
    <row r="135" spans="1:20">
      <c r="A135" s="34" t="str">
        <f>'12 - Deployments &amp; Config'!H135</f>
        <v>LIJ - OR</v>
      </c>
      <c r="B135" s="34" t="str">
        <f>'12 - Deployments &amp; Config'!R135</f>
        <v>WNH270OPR447</v>
      </c>
      <c r="C135" s="34">
        <f>'12 - Deployments &amp; Config'!T135</f>
        <v>0</v>
      </c>
      <c r="D135" s="18">
        <f>'12 - Deployments &amp; Config'!AK135</f>
        <v>0</v>
      </c>
      <c r="E135" s="18" t="str">
        <f>'12 - Deployments &amp; Config'!J135</f>
        <v>Yes</v>
      </c>
      <c r="F135" s="34" t="str">
        <f>'12 - Deployments &amp; Config'!K135</f>
        <v>No</v>
      </c>
      <c r="G135" s="18" t="str">
        <f>'12 - Deployments &amp; Config'!L135</f>
        <v>No</v>
      </c>
      <c r="H135" s="18">
        <f>'13 - Config_Intake_View'!M135</f>
        <v>0</v>
      </c>
      <c r="I135" s="34" t="str">
        <f>IF('13 - Config_Intake_View'!Q135&lt;&gt;"",'13 - Config_Intake_View'!Q135,'12 - Deployments &amp; Config'!BI135)</f>
        <v>iPro
Epic Satellite
ALLSCRIPTS
EPIC BCA</v>
      </c>
      <c r="J135" s="18" t="str">
        <f>IF('13 - Config_Intake_View'!Q135&lt;&gt;"","PM Approved",IF('12 - Deployments &amp; Config'!BI135&lt;&gt;"","Assumed",""))</f>
        <v>Assumed</v>
      </c>
      <c r="K135" s="34">
        <f>'12 - Deployments &amp; Config'!BH135</f>
        <v>0</v>
      </c>
      <c r="L135" s="18">
        <f>'12 - Deployments &amp; Config'!P135</f>
        <v>0</v>
      </c>
      <c r="M135" s="18">
        <f>'12 - Deployments &amp; Config'!Q135</f>
        <v>0</v>
      </c>
      <c r="N135" s="18" t="str">
        <f>'12 - Deployments &amp; Config'!BL135</f>
        <v/>
      </c>
      <c r="O135" s="34" t="str">
        <f>'12 - Deployments &amp; Config'!BM135</f>
        <v/>
      </c>
      <c r="P135" s="2">
        <f>'12 - Deployments &amp; Config'!BB135</f>
        <v>0</v>
      </c>
      <c r="Q135" s="34" t="str">
        <f t="shared" si="8"/>
        <v/>
      </c>
      <c r="R135" s="18" t="str">
        <f t="shared" si="9"/>
        <v>SW NOT INSTALLED</v>
      </c>
      <c r="S135" s="18" t="str">
        <f t="shared" si="10"/>
        <v/>
      </c>
      <c r="T135" s="18" t="str">
        <f t="shared" si="11"/>
        <v>SW NOT INSTALLED</v>
      </c>
    </row>
    <row r="136" spans="1:20">
      <c r="A136" s="34" t="str">
        <f>'12 - Deployments &amp; Config'!H136</f>
        <v>LIJ - OR</v>
      </c>
      <c r="B136" s="34" t="str">
        <f>'12 - Deployments &amp; Config'!R136</f>
        <v>WNH270OPR448</v>
      </c>
      <c r="C136" s="34">
        <f>'12 - Deployments &amp; Config'!T136</f>
        <v>0</v>
      </c>
      <c r="D136" s="18">
        <f>'12 - Deployments &amp; Config'!AK136</f>
        <v>0</v>
      </c>
      <c r="E136" s="18" t="str">
        <f>'12 - Deployments &amp; Config'!J136</f>
        <v>Yes</v>
      </c>
      <c r="F136" s="34" t="str">
        <f>'12 - Deployments &amp; Config'!K136</f>
        <v>No</v>
      </c>
      <c r="G136" s="18" t="str">
        <f>'12 - Deployments &amp; Config'!L136</f>
        <v>No</v>
      </c>
      <c r="H136" s="18">
        <f>'13 - Config_Intake_View'!M136</f>
        <v>0</v>
      </c>
      <c r="I136" s="34" t="str">
        <f>IF('13 - Config_Intake_View'!Q136&lt;&gt;"",'13 - Config_Intake_View'!Q136,'12 - Deployments &amp; Config'!BI136)</f>
        <v>iPro
Epic Satellite
ALLSCRIPTS
EPIC BCA</v>
      </c>
      <c r="J136" s="18" t="str">
        <f>IF('13 - Config_Intake_View'!Q136&lt;&gt;"","PM Approved",IF('12 - Deployments &amp; Config'!BI136&lt;&gt;"","Assumed",""))</f>
        <v>Assumed</v>
      </c>
      <c r="K136" s="34">
        <f>'12 - Deployments &amp; Config'!BH136</f>
        <v>0</v>
      </c>
      <c r="L136" s="18">
        <f>'12 - Deployments &amp; Config'!P136</f>
        <v>0</v>
      </c>
      <c r="M136" s="18">
        <f>'12 - Deployments &amp; Config'!Q136</f>
        <v>0</v>
      </c>
      <c r="N136" s="18" t="str">
        <f>'12 - Deployments &amp; Config'!BL136</f>
        <v/>
      </c>
      <c r="O136" s="34" t="str">
        <f>'12 - Deployments &amp; Config'!BM136</f>
        <v/>
      </c>
      <c r="P136" s="2">
        <f>'12 - Deployments &amp; Config'!BB136</f>
        <v>0</v>
      </c>
      <c r="Q136" s="34" t="str">
        <f t="shared" si="8"/>
        <v/>
      </c>
      <c r="R136" s="18" t="str">
        <f t="shared" si="9"/>
        <v>SW NOT INSTALLED</v>
      </c>
      <c r="S136" s="18" t="str">
        <f t="shared" si="10"/>
        <v/>
      </c>
      <c r="T136" s="18" t="str">
        <f t="shared" si="11"/>
        <v>SW NOT INSTALLED</v>
      </c>
    </row>
    <row r="137" spans="1:20">
      <c r="A137" s="34" t="str">
        <f>'12 - Deployments &amp; Config'!H137</f>
        <v>LIJ - OR</v>
      </c>
      <c r="B137" s="34" t="str">
        <f>'12 - Deployments &amp; Config'!R137</f>
        <v>WNH270OPR449</v>
      </c>
      <c r="C137" s="34">
        <f>'12 - Deployments &amp; Config'!T137</f>
        <v>0</v>
      </c>
      <c r="D137" s="18">
        <f>'12 - Deployments &amp; Config'!AK137</f>
        <v>0</v>
      </c>
      <c r="E137" s="18" t="str">
        <f>'12 - Deployments &amp; Config'!J137</f>
        <v>Yes</v>
      </c>
      <c r="F137" s="34" t="str">
        <f>'12 - Deployments &amp; Config'!K137</f>
        <v>No</v>
      </c>
      <c r="G137" s="18" t="str">
        <f>'12 - Deployments &amp; Config'!L137</f>
        <v>No</v>
      </c>
      <c r="H137" s="18">
        <f>'13 - Config_Intake_View'!M137</f>
        <v>0</v>
      </c>
      <c r="I137" s="34" t="str">
        <f>IF('13 - Config_Intake_View'!Q137&lt;&gt;"",'13 - Config_Intake_View'!Q137,'12 - Deployments &amp; Config'!BI137)</f>
        <v>iPro
Epic Satellite
ALLSCRIPTS
EPIC BCA</v>
      </c>
      <c r="J137" s="18" t="str">
        <f>IF('13 - Config_Intake_View'!Q137&lt;&gt;"","PM Approved",IF('12 - Deployments &amp; Config'!BI137&lt;&gt;"","Assumed",""))</f>
        <v>Assumed</v>
      </c>
      <c r="K137" s="34">
        <f>'12 - Deployments &amp; Config'!BH137</f>
        <v>0</v>
      </c>
      <c r="L137" s="18">
        <f>'12 - Deployments &amp; Config'!P137</f>
        <v>0</v>
      </c>
      <c r="M137" s="18">
        <f>'12 - Deployments &amp; Config'!Q137</f>
        <v>0</v>
      </c>
      <c r="N137" s="18" t="str">
        <f>'12 - Deployments &amp; Config'!BL137</f>
        <v/>
      </c>
      <c r="O137" s="34" t="str">
        <f>'12 - Deployments &amp; Config'!BM137</f>
        <v/>
      </c>
      <c r="P137" s="2">
        <f>'12 - Deployments &amp; Config'!BB137</f>
        <v>0</v>
      </c>
      <c r="Q137" s="34" t="str">
        <f t="shared" si="8"/>
        <v/>
      </c>
      <c r="R137" s="18" t="str">
        <f t="shared" si="9"/>
        <v>SW NOT INSTALLED</v>
      </c>
      <c r="S137" s="18" t="str">
        <f t="shared" si="10"/>
        <v/>
      </c>
      <c r="T137" s="18" t="str">
        <f t="shared" si="11"/>
        <v>SW NOT INSTALLED</v>
      </c>
    </row>
    <row r="138" spans="1:20">
      <c r="A138" s="34" t="str">
        <f>'12 - Deployments &amp; Config'!H143</f>
        <v>LIJVS</v>
      </c>
      <c r="B138" s="34" t="str">
        <f>'12 - Deployments &amp; Config'!R143</f>
        <v>WVS900OPR028</v>
      </c>
      <c r="C138" s="34" t="str">
        <f>'12 - Deployments &amp; Config'!T143</f>
        <v>A0F5097FA59B</v>
      </c>
      <c r="D138" s="18">
        <f>'12 - Deployments &amp; Config'!AK143</f>
        <v>0</v>
      </c>
      <c r="E138" s="18">
        <f>'12 - Deployments &amp; Config'!J143</f>
        <v>0</v>
      </c>
      <c r="F138" s="34">
        <f>'12 - Deployments &amp; Config'!K143</f>
        <v>0</v>
      </c>
      <c r="G138" s="18">
        <f>'12 - Deployments &amp; Config'!L143</f>
        <v>0</v>
      </c>
      <c r="H138" s="18">
        <f>'13 - Config_Intake_View'!M138</f>
        <v>0</v>
      </c>
      <c r="I138" s="34">
        <f>IF('13 - Config_Intake_View'!Q138&lt;&gt;"",'13 - Config_Intake_View'!Q138,'12 - Deployments &amp; Config'!BI143)</f>
        <v>0</v>
      </c>
      <c r="J138" s="18" t="str">
        <f>IF('13 - Config_Intake_View'!Q138&lt;&gt;"","PM Approved",IF('12 - Deployments &amp; Config'!BI143&lt;&gt;"","Assumed",""))</f>
        <v/>
      </c>
      <c r="K138" s="34">
        <f>'12 - Deployments &amp; Config'!BH143</f>
        <v>0</v>
      </c>
      <c r="L138" s="18">
        <f>'12 - Deployments &amp; Config'!P143</f>
        <v>0</v>
      </c>
      <c r="M138" s="18">
        <f>'12 - Deployments &amp; Config'!Q143</f>
        <v>0</v>
      </c>
      <c r="N138" s="18" t="str">
        <f>'12 - Deployments &amp; Config'!BL143</f>
        <v>Power Cable, Battery, Firmware Download, Device ID, Epic Beans Relay</v>
      </c>
      <c r="O138" s="34" t="str">
        <f>'12 - Deployments &amp; Config'!BM143</f>
        <v>Blocked</v>
      </c>
      <c r="P138" s="2" t="str">
        <f>'12 - Deployments &amp; Config'!BB143</f>
        <v>Yes</v>
      </c>
      <c r="Q138" s="34" t="str">
        <f t="shared" si="8"/>
        <v/>
      </c>
      <c r="R138" s="18" t="str">
        <f t="shared" si="9"/>
        <v>SW NOT INSTALLED</v>
      </c>
      <c r="S138" s="18" t="str">
        <f t="shared" si="10"/>
        <v/>
      </c>
      <c r="T138" s="18" t="str">
        <f t="shared" si="11"/>
        <v>SW NOT INSTALLED</v>
      </c>
    </row>
    <row r="139" spans="1:20">
      <c r="A139" s="34" t="str">
        <f>'12 - Deployments &amp; Config'!H144</f>
        <v>LIJVS</v>
      </c>
      <c r="B139" s="34" t="str">
        <f>'12 - Deployments &amp; Config'!R144</f>
        <v>WVS900OPR023</v>
      </c>
      <c r="C139" s="34" t="str">
        <f>'12 - Deployments &amp; Config'!T144</f>
        <v>A0F5097FA526</v>
      </c>
      <c r="D139" s="18">
        <f>'12 - Deployments &amp; Config'!AK144</f>
        <v>0</v>
      </c>
      <c r="E139" s="18">
        <f>'12 - Deployments &amp; Config'!J144</f>
        <v>0</v>
      </c>
      <c r="F139" s="34">
        <f>'12 - Deployments &amp; Config'!K144</f>
        <v>0</v>
      </c>
      <c r="G139" s="18">
        <f>'12 - Deployments &amp; Config'!L144</f>
        <v>0</v>
      </c>
      <c r="H139" s="18">
        <f>'13 - Config_Intake_View'!M139</f>
        <v>0</v>
      </c>
      <c r="I139" s="34">
        <f>IF('13 - Config_Intake_View'!Q139&lt;&gt;"",'13 - Config_Intake_View'!Q139,'12 - Deployments &amp; Config'!BI144)</f>
        <v>0</v>
      </c>
      <c r="J139" s="18" t="str">
        <f>IF('13 - Config_Intake_View'!Q139&lt;&gt;"","PM Approved",IF('12 - Deployments &amp; Config'!BI144&lt;&gt;"","Assumed",""))</f>
        <v/>
      </c>
      <c r="K139" s="34">
        <f>'12 - Deployments &amp; Config'!BH144</f>
        <v>0</v>
      </c>
      <c r="L139" s="18">
        <f>'12 - Deployments &amp; Config'!P144</f>
        <v>0</v>
      </c>
      <c r="M139" s="18">
        <f>'12 - Deployments &amp; Config'!Q144</f>
        <v>0</v>
      </c>
      <c r="N139" s="18" t="str">
        <f>'12 - Deployments &amp; Config'!BL144</f>
        <v>Power Cable, Battery, Firmware Download, Device ID, Epic Beans Relay</v>
      </c>
      <c r="O139" s="34" t="str">
        <f>'12 - Deployments &amp; Config'!BM144</f>
        <v>Blocked</v>
      </c>
      <c r="P139" s="2" t="str">
        <f>'12 - Deployments &amp; Config'!BB144</f>
        <v>Yes</v>
      </c>
      <c r="Q139" s="34" t="str">
        <f t="shared" si="8"/>
        <v/>
      </c>
      <c r="R139" s="18" t="str">
        <f t="shared" si="9"/>
        <v>SW NOT INSTALLED</v>
      </c>
      <c r="S139" s="18" t="str">
        <f t="shared" si="10"/>
        <v/>
      </c>
      <c r="T139" s="18" t="str">
        <f t="shared" si="11"/>
        <v>SW NOT INSTALLED</v>
      </c>
    </row>
    <row r="140" spans="1:20">
      <c r="A140" s="34" t="str">
        <f>'12 - Deployments &amp; Config'!H145</f>
        <v>LIJVS</v>
      </c>
      <c r="B140" s="34" t="str">
        <f>'12 - Deployments &amp; Config'!R145</f>
        <v>WVS900OPR026</v>
      </c>
      <c r="C140" s="34" t="str">
        <f>'12 - Deployments &amp; Config'!T145</f>
        <v>A0F5097FA52B</v>
      </c>
      <c r="D140" s="18">
        <f>'12 - Deployments &amp; Config'!AK145</f>
        <v>0</v>
      </c>
      <c r="E140" s="18">
        <f>'12 - Deployments &amp; Config'!J145</f>
        <v>0</v>
      </c>
      <c r="F140" s="34">
        <f>'12 - Deployments &amp; Config'!K145</f>
        <v>0</v>
      </c>
      <c r="G140" s="18">
        <f>'12 - Deployments &amp; Config'!L145</f>
        <v>0</v>
      </c>
      <c r="H140" s="18">
        <f>'13 - Config_Intake_View'!M140</f>
        <v>0</v>
      </c>
      <c r="I140" s="34">
        <f>IF('13 - Config_Intake_View'!Q140&lt;&gt;"",'13 - Config_Intake_View'!Q140,'12 - Deployments &amp; Config'!BI145)</f>
        <v>0</v>
      </c>
      <c r="J140" s="18" t="str">
        <f>IF('13 - Config_Intake_View'!Q140&lt;&gt;"","PM Approved",IF('12 - Deployments &amp; Config'!BI145&lt;&gt;"","Assumed",""))</f>
        <v/>
      </c>
      <c r="K140" s="34">
        <f>'12 - Deployments &amp; Config'!BH145</f>
        <v>0</v>
      </c>
      <c r="L140" s="18">
        <f>'12 - Deployments &amp; Config'!P145</f>
        <v>0</v>
      </c>
      <c r="M140" s="18">
        <f>'12 - Deployments &amp; Config'!Q145</f>
        <v>0</v>
      </c>
      <c r="N140" s="18" t="str">
        <f>'12 - Deployments &amp; Config'!BL145</f>
        <v>Power Cable, Battery, Firmware Download, Device ID, Epic Beans Relay</v>
      </c>
      <c r="O140" s="34" t="str">
        <f>'12 - Deployments &amp; Config'!BM145</f>
        <v>Blocked</v>
      </c>
      <c r="P140" s="2" t="str">
        <f>'12 - Deployments &amp; Config'!BB145</f>
        <v>Yes</v>
      </c>
      <c r="Q140" s="34" t="str">
        <f t="shared" si="8"/>
        <v/>
      </c>
      <c r="R140" s="18" t="str">
        <f t="shared" si="9"/>
        <v>SW NOT INSTALLED</v>
      </c>
      <c r="S140" s="18" t="str">
        <f t="shared" si="10"/>
        <v/>
      </c>
      <c r="T140" s="18" t="str">
        <f t="shared" si="11"/>
        <v>SW NOT INSTALLED</v>
      </c>
    </row>
    <row r="141" spans="1:20">
      <c r="A141" s="34" t="str">
        <f>'12 - Deployments &amp; Config'!H146</f>
        <v>LIJVS</v>
      </c>
      <c r="B141" s="34" t="str">
        <f>'12 - Deployments &amp; Config'!R146</f>
        <v>WVS900OPR030</v>
      </c>
      <c r="C141" s="34" t="str">
        <f>'12 - Deployments &amp; Config'!T146</f>
        <v>A0F5097FA5C5</v>
      </c>
      <c r="D141" s="18">
        <f>'12 - Deployments &amp; Config'!AK146</f>
        <v>0</v>
      </c>
      <c r="E141" s="18">
        <f>'12 - Deployments &amp; Config'!J146</f>
        <v>0</v>
      </c>
      <c r="F141" s="34">
        <f>'12 - Deployments &amp; Config'!K146</f>
        <v>0</v>
      </c>
      <c r="G141" s="18">
        <f>'12 - Deployments &amp; Config'!L146</f>
        <v>0</v>
      </c>
      <c r="H141" s="18">
        <f>'13 - Config_Intake_View'!M141</f>
        <v>0</v>
      </c>
      <c r="I141" s="34">
        <f>IF('13 - Config_Intake_View'!Q141&lt;&gt;"",'13 - Config_Intake_View'!Q141,'12 - Deployments &amp; Config'!BI146)</f>
        <v>0</v>
      </c>
      <c r="J141" s="18" t="str">
        <f>IF('13 - Config_Intake_View'!Q141&lt;&gt;"","PM Approved",IF('12 - Deployments &amp; Config'!BI146&lt;&gt;"","Assumed",""))</f>
        <v/>
      </c>
      <c r="K141" s="34">
        <f>'12 - Deployments &amp; Config'!BH146</f>
        <v>0</v>
      </c>
      <c r="L141" s="18">
        <f>'12 - Deployments &amp; Config'!P146</f>
        <v>0</v>
      </c>
      <c r="M141" s="18">
        <f>'12 - Deployments &amp; Config'!Q146</f>
        <v>0</v>
      </c>
      <c r="N141" s="18" t="str">
        <f>'12 - Deployments &amp; Config'!BL146</f>
        <v>Power Cable, Battery, Firmware Download, Device ID, Epic Beans Relay</v>
      </c>
      <c r="O141" s="34" t="str">
        <f>'12 - Deployments &amp; Config'!BM146</f>
        <v>Blocked</v>
      </c>
      <c r="P141" s="2" t="str">
        <f>'12 - Deployments &amp; Config'!BB146</f>
        <v>Yes</v>
      </c>
      <c r="Q141" s="34" t="str">
        <f t="shared" si="8"/>
        <v/>
      </c>
      <c r="R141" s="18" t="str">
        <f t="shared" si="9"/>
        <v>SW NOT INSTALLED</v>
      </c>
      <c r="S141" s="18" t="str">
        <f t="shared" si="10"/>
        <v/>
      </c>
      <c r="T141" s="18" t="str">
        <f t="shared" si="11"/>
        <v>SW NOT INSTALLED</v>
      </c>
    </row>
    <row r="142" spans="1:20">
      <c r="A142" s="34" t="str">
        <f>'12 - Deployments &amp; Config'!H147</f>
        <v>LIJVS</v>
      </c>
      <c r="B142" s="34" t="str">
        <f>'12 - Deployments &amp; Config'!R147</f>
        <v>WVS900OPR029</v>
      </c>
      <c r="C142" s="34" t="str">
        <f>'12 - Deployments &amp; Config'!T147</f>
        <v>A0F5097FA3F3</v>
      </c>
      <c r="D142" s="18">
        <f>'12 - Deployments &amp; Config'!AK147</f>
        <v>0</v>
      </c>
      <c r="E142" s="18">
        <f>'12 - Deployments &amp; Config'!J147</f>
        <v>0</v>
      </c>
      <c r="F142" s="34">
        <f>'12 - Deployments &amp; Config'!K147</f>
        <v>0</v>
      </c>
      <c r="G142" s="18">
        <f>'12 - Deployments &amp; Config'!L147</f>
        <v>0</v>
      </c>
      <c r="H142" s="18">
        <f>'13 - Config_Intake_View'!M142</f>
        <v>0</v>
      </c>
      <c r="I142" s="34">
        <f>IF('13 - Config_Intake_View'!Q142&lt;&gt;"",'13 - Config_Intake_View'!Q142,'12 - Deployments &amp; Config'!BI147)</f>
        <v>0</v>
      </c>
      <c r="J142" s="18" t="str">
        <f>IF('13 - Config_Intake_View'!Q142&lt;&gt;"","PM Approved",IF('12 - Deployments &amp; Config'!BI147&lt;&gt;"","Assumed",""))</f>
        <v/>
      </c>
      <c r="K142" s="34">
        <f>'12 - Deployments &amp; Config'!BH147</f>
        <v>0</v>
      </c>
      <c r="L142" s="18">
        <f>'12 - Deployments &amp; Config'!P147</f>
        <v>0</v>
      </c>
      <c r="M142" s="18">
        <f>'12 - Deployments &amp; Config'!Q147</f>
        <v>0</v>
      </c>
      <c r="N142" s="18" t="str">
        <f>'12 - Deployments &amp; Config'!BL147</f>
        <v>Power Cable, Battery, Firmware Download, Device ID, Epic Beans Relay</v>
      </c>
      <c r="O142" s="34" t="str">
        <f>'12 - Deployments &amp; Config'!BM147</f>
        <v>Blocked</v>
      </c>
      <c r="P142" s="2" t="str">
        <f>'12 - Deployments &amp; Config'!BB147</f>
        <v>Yes</v>
      </c>
      <c r="Q142" s="34" t="str">
        <f t="shared" si="8"/>
        <v/>
      </c>
      <c r="R142" s="18" t="str">
        <f t="shared" si="9"/>
        <v>SW NOT INSTALLED</v>
      </c>
      <c r="S142" s="18" t="str">
        <f t="shared" si="10"/>
        <v/>
      </c>
      <c r="T142" s="18" t="str">
        <f t="shared" si="11"/>
        <v>SW NOT INSTALLED</v>
      </c>
    </row>
    <row r="143" spans="1:20">
      <c r="A143" s="34" t="str">
        <f>'12 - Deployments &amp; Config'!H148</f>
        <v>LIJVS</v>
      </c>
      <c r="B143" s="34" t="str">
        <f>'12 - Deployments &amp; Config'!R148</f>
        <v>WVS900OPR024</v>
      </c>
      <c r="C143" s="34" t="str">
        <f>'12 - Deployments &amp; Config'!T148</f>
        <v>A0F5097FA58A</v>
      </c>
      <c r="D143" s="18">
        <f>'12 - Deployments &amp; Config'!AK148</f>
        <v>0</v>
      </c>
      <c r="E143" s="18">
        <f>'12 - Deployments &amp; Config'!J148</f>
        <v>0</v>
      </c>
      <c r="F143" s="34">
        <f>'12 - Deployments &amp; Config'!K148</f>
        <v>0</v>
      </c>
      <c r="G143" s="18">
        <f>'12 - Deployments &amp; Config'!L148</f>
        <v>0</v>
      </c>
      <c r="H143" s="18">
        <f>'13 - Config_Intake_View'!M143</f>
        <v>0</v>
      </c>
      <c r="I143" s="34">
        <f>IF('13 - Config_Intake_View'!Q143&lt;&gt;"",'13 - Config_Intake_View'!Q143,'12 - Deployments &amp; Config'!BI148)</f>
        <v>0</v>
      </c>
      <c r="J143" s="18" t="str">
        <f>IF('13 - Config_Intake_View'!Q143&lt;&gt;"","PM Approved",IF('12 - Deployments &amp; Config'!BI148&lt;&gt;"","Assumed",""))</f>
        <v/>
      </c>
      <c r="K143" s="34">
        <f>'12 - Deployments &amp; Config'!BH148</f>
        <v>0</v>
      </c>
      <c r="L143" s="18">
        <f>'12 - Deployments &amp; Config'!P148</f>
        <v>0</v>
      </c>
      <c r="M143" s="18">
        <f>'12 - Deployments &amp; Config'!Q148</f>
        <v>0</v>
      </c>
      <c r="N143" s="18" t="str">
        <f>'12 - Deployments &amp; Config'!BL148</f>
        <v>Power Cable, Battery, Firmware Download, Device ID, Epic Beans Relay</v>
      </c>
      <c r="O143" s="34" t="str">
        <f>'12 - Deployments &amp; Config'!BM148</f>
        <v>Blocked</v>
      </c>
      <c r="P143" s="2" t="str">
        <f>'12 - Deployments &amp; Config'!BB148</f>
        <v>Yes</v>
      </c>
      <c r="Q143" s="34" t="str">
        <f t="shared" si="8"/>
        <v/>
      </c>
      <c r="R143" s="18" t="str">
        <f t="shared" si="9"/>
        <v>SW NOT INSTALLED</v>
      </c>
      <c r="S143" s="18" t="str">
        <f t="shared" si="10"/>
        <v/>
      </c>
      <c r="T143" s="18" t="str">
        <f t="shared" si="11"/>
        <v>SW NOT INSTALLED</v>
      </c>
    </row>
    <row r="144" spans="1:20">
      <c r="A144" s="34" t="str">
        <f>'12 - Deployments &amp; Config'!H149</f>
        <v>LIJVS</v>
      </c>
      <c r="B144" s="34" t="str">
        <f>'12 - Deployments &amp; Config'!R149</f>
        <v>WVS900OPR025</v>
      </c>
      <c r="C144" s="34" t="str">
        <f>'12 - Deployments &amp; Config'!T149</f>
        <v>A0F5097F9550</v>
      </c>
      <c r="D144" s="18">
        <f>'12 - Deployments &amp; Config'!AK149</f>
        <v>0</v>
      </c>
      <c r="E144" s="18">
        <f>'12 - Deployments &amp; Config'!J149</f>
        <v>0</v>
      </c>
      <c r="F144" s="34">
        <f>'12 - Deployments &amp; Config'!K149</f>
        <v>0</v>
      </c>
      <c r="G144" s="18">
        <f>'12 - Deployments &amp; Config'!L149</f>
        <v>0</v>
      </c>
      <c r="H144" s="18">
        <f>'13 - Config_Intake_View'!M144</f>
        <v>0</v>
      </c>
      <c r="I144" s="34">
        <f>IF('13 - Config_Intake_View'!Q144&lt;&gt;"",'13 - Config_Intake_View'!Q144,'12 - Deployments &amp; Config'!BI149)</f>
        <v>0</v>
      </c>
      <c r="J144" s="18" t="str">
        <f>IF('13 - Config_Intake_View'!Q144&lt;&gt;"","PM Approved",IF('12 - Deployments &amp; Config'!BI149&lt;&gt;"","Assumed",""))</f>
        <v/>
      </c>
      <c r="K144" s="34">
        <f>'12 - Deployments &amp; Config'!BH149</f>
        <v>0</v>
      </c>
      <c r="L144" s="18">
        <f>'12 - Deployments &amp; Config'!P149</f>
        <v>0</v>
      </c>
      <c r="M144" s="18">
        <f>'12 - Deployments &amp; Config'!Q149</f>
        <v>0</v>
      </c>
      <c r="N144" s="18" t="str">
        <f>'12 - Deployments &amp; Config'!BL149</f>
        <v>Power Cable, Battery, Firmware Download, Device ID, Epic Beans Relay</v>
      </c>
      <c r="O144" s="34" t="str">
        <f>'12 - Deployments &amp; Config'!BM149</f>
        <v>Blocked</v>
      </c>
      <c r="P144" s="2" t="str">
        <f>'12 - Deployments &amp; Config'!BB149</f>
        <v>Yes</v>
      </c>
      <c r="Q144" s="34" t="str">
        <f t="shared" si="8"/>
        <v/>
      </c>
      <c r="R144" s="18" t="str">
        <f t="shared" si="9"/>
        <v>SW NOT INSTALLED</v>
      </c>
      <c r="S144" s="18" t="str">
        <f t="shared" si="10"/>
        <v/>
      </c>
      <c r="T144" s="18" t="str">
        <f t="shared" si="11"/>
        <v>SW NOT INSTALLED</v>
      </c>
    </row>
    <row r="145" spans="1:20">
      <c r="A145" s="34" t="str">
        <f>'12 - Deployments &amp; Config'!H150</f>
        <v>LIJVS</v>
      </c>
      <c r="B145" s="34">
        <f>'12 - Deployments &amp; Config'!S150</f>
        <v>0</v>
      </c>
      <c r="C145" s="34">
        <f>'12 - Deployments &amp; Config'!T150</f>
        <v>0</v>
      </c>
      <c r="D145" s="18">
        <f>'12 - Deployments &amp; Config'!AK150</f>
        <v>0</v>
      </c>
      <c r="E145" s="18">
        <f>'12 - Deployments &amp; Config'!J150</f>
        <v>0</v>
      </c>
      <c r="F145" s="34">
        <f>'12 - Deployments &amp; Config'!K150</f>
        <v>0</v>
      </c>
      <c r="G145" s="18">
        <f>'12 - Deployments &amp; Config'!L150</f>
        <v>0</v>
      </c>
      <c r="H145" s="18">
        <f>'13 - Config_Intake_View'!M145</f>
        <v>0</v>
      </c>
      <c r="I145" s="34">
        <f>IF('13 - Config_Intake_View'!Q145&lt;&gt;"",'13 - Config_Intake_View'!Q145,'12 - Deployments &amp; Config'!BI150)</f>
        <v>0</v>
      </c>
      <c r="J145" s="18" t="str">
        <f>IF('13 - Config_Intake_View'!Q145&lt;&gt;"","PM Approved",IF('12 - Deployments &amp; Config'!BI150&lt;&gt;"","Assumed",""))</f>
        <v/>
      </c>
      <c r="K145" s="34">
        <f>'12 - Deployments &amp; Config'!BH150</f>
        <v>0</v>
      </c>
      <c r="L145" s="18">
        <f>'12 - Deployments &amp; Config'!P150</f>
        <v>0</v>
      </c>
      <c r="M145" s="18">
        <f>'12 - Deployments &amp; Config'!Q150</f>
        <v>0</v>
      </c>
      <c r="N145" s="18" t="str">
        <f>'12 - Deployments &amp; Config'!BL150</f>
        <v/>
      </c>
      <c r="O145" s="34" t="str">
        <f>'12 - Deployments &amp; Config'!BM150</f>
        <v/>
      </c>
      <c r="P145" s="2" t="str">
        <f>'12 - Deployments &amp; Config'!BB150</f>
        <v>Yes</v>
      </c>
      <c r="Q145" s="34" t="str">
        <f t="shared" si="8"/>
        <v/>
      </c>
      <c r="R145" s="18" t="str">
        <f t="shared" si="9"/>
        <v>SW NOT INSTALLED</v>
      </c>
      <c r="S145" s="18" t="str">
        <f t="shared" si="10"/>
        <v/>
      </c>
      <c r="T145" s="18" t="str">
        <f t="shared" si="11"/>
        <v>SW NOT INSTALLED</v>
      </c>
    </row>
    <row r="146" spans="1:20">
      <c r="A146" s="34" t="str">
        <f>'12 - Deployments &amp; Config'!H151</f>
        <v>LIJVS</v>
      </c>
      <c r="B146" s="34">
        <f>'12 - Deployments &amp; Config'!S151</f>
        <v>0</v>
      </c>
      <c r="C146" s="34">
        <f>'12 - Deployments &amp; Config'!T151</f>
        <v>0</v>
      </c>
      <c r="D146" s="18">
        <f>'12 - Deployments &amp; Config'!AK151</f>
        <v>0</v>
      </c>
      <c r="E146" s="18">
        <f>'12 - Deployments &amp; Config'!J151</f>
        <v>0</v>
      </c>
      <c r="F146" s="34">
        <f>'12 - Deployments &amp; Config'!K151</f>
        <v>0</v>
      </c>
      <c r="G146" s="18">
        <f>'12 - Deployments &amp; Config'!L151</f>
        <v>0</v>
      </c>
      <c r="H146" s="18">
        <f>'13 - Config_Intake_View'!M146</f>
        <v>0</v>
      </c>
      <c r="I146" s="34">
        <f>IF('13 - Config_Intake_View'!Q146&lt;&gt;"",'13 - Config_Intake_View'!Q146,'12 - Deployments &amp; Config'!BI151)</f>
        <v>0</v>
      </c>
      <c r="J146" s="18" t="str">
        <f>IF('13 - Config_Intake_View'!Q146&lt;&gt;"","PM Approved",IF('12 - Deployments &amp; Config'!BI151&lt;&gt;"","Assumed",""))</f>
        <v/>
      </c>
      <c r="K146" s="34">
        <f>'12 - Deployments &amp; Config'!BH151</f>
        <v>0</v>
      </c>
      <c r="L146" s="18">
        <f>'12 - Deployments &amp; Config'!P151</f>
        <v>0</v>
      </c>
      <c r="M146" s="18">
        <f>'12 - Deployments &amp; Config'!Q151</f>
        <v>0</v>
      </c>
      <c r="N146" s="18" t="str">
        <f>'12 - Deployments &amp; Config'!BL151</f>
        <v/>
      </c>
      <c r="O146" s="34" t="str">
        <f>'12 - Deployments &amp; Config'!BM151</f>
        <v/>
      </c>
      <c r="P146" s="2" t="str">
        <f>'12 - Deployments &amp; Config'!BB151</f>
        <v>Yes</v>
      </c>
      <c r="Q146" s="34" t="str">
        <f t="shared" si="8"/>
        <v/>
      </c>
      <c r="R146" s="18" t="str">
        <f t="shared" si="9"/>
        <v>SW NOT INSTALLED</v>
      </c>
      <c r="S146" s="18" t="str">
        <f t="shared" si="10"/>
        <v/>
      </c>
      <c r="T146" s="18" t="str">
        <f t="shared" si="11"/>
        <v>SW NOT INSTALLED</v>
      </c>
    </row>
    <row r="147" spans="1:20">
      <c r="A147" s="34" t="str">
        <f>'12 - Deployments &amp; Config'!H152</f>
        <v>LIJVS</v>
      </c>
      <c r="B147" s="34">
        <f>'12 - Deployments &amp; Config'!S152</f>
        <v>0</v>
      </c>
      <c r="C147" s="34">
        <f>'12 - Deployments &amp; Config'!T152</f>
        <v>0</v>
      </c>
      <c r="D147" s="18">
        <f>'12 - Deployments &amp; Config'!AK152</f>
        <v>0</v>
      </c>
      <c r="E147" s="18">
        <f>'12 - Deployments &amp; Config'!J152</f>
        <v>0</v>
      </c>
      <c r="F147" s="34">
        <f>'12 - Deployments &amp; Config'!K152</f>
        <v>0</v>
      </c>
      <c r="G147" s="18">
        <f>'12 - Deployments &amp; Config'!L152</f>
        <v>0</v>
      </c>
      <c r="H147" s="18">
        <f>'13 - Config_Intake_View'!M147</f>
        <v>0</v>
      </c>
      <c r="I147" s="34">
        <f>IF('13 - Config_Intake_View'!Q147&lt;&gt;"",'13 - Config_Intake_View'!Q147,'12 - Deployments &amp; Config'!BI152)</f>
        <v>0</v>
      </c>
      <c r="J147" s="18" t="str">
        <f>IF('13 - Config_Intake_View'!Q147&lt;&gt;"","PM Approved",IF('12 - Deployments &amp; Config'!BI152&lt;&gt;"","Assumed",""))</f>
        <v/>
      </c>
      <c r="K147" s="34">
        <f>'12 - Deployments &amp; Config'!BH152</f>
        <v>0</v>
      </c>
      <c r="L147" s="18">
        <f>'12 - Deployments &amp; Config'!P152</f>
        <v>0</v>
      </c>
      <c r="M147" s="18">
        <f>'12 - Deployments &amp; Config'!Q152</f>
        <v>0</v>
      </c>
      <c r="N147" s="18" t="str">
        <f>'12 - Deployments &amp; Config'!BL152</f>
        <v/>
      </c>
      <c r="O147" s="34" t="str">
        <f>'12 - Deployments &amp; Config'!BM152</f>
        <v/>
      </c>
      <c r="P147" s="2" t="str">
        <f>'12 - Deployments &amp; Config'!BB152</f>
        <v>Yes</v>
      </c>
      <c r="Q147" s="34" t="str">
        <f t="shared" si="8"/>
        <v/>
      </c>
      <c r="R147" s="18" t="str">
        <f t="shared" si="9"/>
        <v>SW NOT INSTALLED</v>
      </c>
      <c r="S147" s="18" t="str">
        <f t="shared" si="10"/>
        <v/>
      </c>
      <c r="T147" s="18" t="str">
        <f t="shared" si="11"/>
        <v>SW NOT INSTALLED</v>
      </c>
    </row>
    <row r="148" spans="1:20">
      <c r="A148" s="34" t="str">
        <f>'12 - Deployments &amp; Config'!H153</f>
        <v>CCMC</v>
      </c>
      <c r="B148" s="34">
        <f>'12 - Deployments &amp; Config'!S153</f>
        <v>0</v>
      </c>
      <c r="C148" s="34">
        <f>'12 - Deployments &amp; Config'!T153</f>
        <v>0</v>
      </c>
      <c r="D148" s="18" t="str">
        <f>'12 - Deployments &amp; Config'!AK153</f>
        <v>APOLLO</v>
      </c>
      <c r="E148" s="18" t="str">
        <f>'12 - Deployments &amp; Config'!J153</f>
        <v>no</v>
      </c>
      <c r="F148" s="34" t="str">
        <f>'12 - Deployments &amp; Config'!K153</f>
        <v>yes</v>
      </c>
      <c r="G148" s="18" t="str">
        <f>'12 - Deployments &amp; Config'!L153</f>
        <v>yes</v>
      </c>
      <c r="H148" s="18">
        <f>'13 - Config_Intake_View'!M148</f>
        <v>0</v>
      </c>
      <c r="I148" s="34" t="str">
        <f>IF('13 - Config_Intake_View'!Q148&lt;&gt;"",'13 - Config_Intake_View'!Q148,'12 - Deployments &amp; Config'!BI153)</f>
        <v>iPro
Epic Satellite
ALLSCRIPTS
EPIC BCA</v>
      </c>
      <c r="J148" s="18" t="str">
        <f>IF('13 - Config_Intake_View'!Q148&lt;&gt;"","PM Approved",IF('12 - Deployments &amp; Config'!BI153&lt;&gt;"","Assumed",""))</f>
        <v>Assumed</v>
      </c>
      <c r="K148" s="34">
        <f>'12 - Deployments &amp; Config'!BH153</f>
        <v>0</v>
      </c>
      <c r="L148" s="18" t="str">
        <f>'12 - Deployments &amp; Config'!P153</f>
        <v>akbar, Diane from Anesthesia, and Metasource badge-in TDR</v>
      </c>
      <c r="M148" s="18">
        <f>'12 - Deployments &amp; Config'!Q153</f>
        <v>46067</v>
      </c>
      <c r="N148" s="18" t="str">
        <f>'12 - Deployments &amp; Config'!BL153</f>
        <v/>
      </c>
      <c r="O148" s="34" t="str">
        <f>'12 - Deployments &amp; Config'!BM153</f>
        <v/>
      </c>
      <c r="P148" s="2" t="str">
        <f>'12 - Deployments &amp; Config'!BB153</f>
        <v>Yes</v>
      </c>
      <c r="Q148" s="34" t="str">
        <f t="shared" si="8"/>
        <v/>
      </c>
      <c r="R148" s="18" t="str">
        <f t="shared" si="9"/>
        <v>SW NOT INSTALLED</v>
      </c>
      <c r="S148" s="18" t="str">
        <f t="shared" si="10"/>
        <v/>
      </c>
      <c r="T148" s="18" t="str">
        <f t="shared" si="11"/>
        <v>SW NOT INSTALLED</v>
      </c>
    </row>
    <row r="149" spans="1:20">
      <c r="A149" s="34" t="str">
        <f>'12 - Deployments &amp; Config'!H154</f>
        <v>CCMC</v>
      </c>
      <c r="B149" s="34">
        <f>'12 - Deployments &amp; Config'!S154</f>
        <v>0</v>
      </c>
      <c r="C149" s="34">
        <f>'12 - Deployments &amp; Config'!T154</f>
        <v>0</v>
      </c>
      <c r="D149" s="18" t="str">
        <f>'12 - Deployments &amp; Config'!AK154</f>
        <v>APOLLO</v>
      </c>
      <c r="E149" s="18" t="str">
        <f>'12 - Deployments &amp; Config'!J154</f>
        <v>no</v>
      </c>
      <c r="F149" s="34" t="str">
        <f>'12 - Deployments &amp; Config'!K154</f>
        <v>yes</v>
      </c>
      <c r="G149" s="18" t="str">
        <f>'12 - Deployments &amp; Config'!L154</f>
        <v>yes</v>
      </c>
      <c r="H149" s="18">
        <f>'13 - Config_Intake_View'!M149</f>
        <v>0</v>
      </c>
      <c r="I149" s="34" t="str">
        <f>IF('13 - Config_Intake_View'!Q149&lt;&gt;"",'13 - Config_Intake_View'!Q149,'12 - Deployments &amp; Config'!BI154)</f>
        <v>iPro
Epic Satellite
ALLSCRIPTS
EPIC BCA</v>
      </c>
      <c r="J149" s="18" t="str">
        <f>IF('13 - Config_Intake_View'!Q149&lt;&gt;"","PM Approved",IF('12 - Deployments &amp; Config'!BI154&lt;&gt;"","Assumed",""))</f>
        <v>Assumed</v>
      </c>
      <c r="K149" s="34">
        <f>'12 - Deployments &amp; Config'!BH154</f>
        <v>0</v>
      </c>
      <c r="L149" s="18" t="str">
        <f>'12 - Deployments &amp; Config'!P154</f>
        <v>akbar, Diane from Anesthesia, and Metasource badge-in TDR</v>
      </c>
      <c r="M149" s="18">
        <f>'12 - Deployments &amp; Config'!Q154</f>
        <v>46067</v>
      </c>
      <c r="N149" s="18" t="str">
        <f>'12 - Deployments &amp; Config'!BL154</f>
        <v/>
      </c>
      <c r="O149" s="34" t="str">
        <f>'12 - Deployments &amp; Config'!BM154</f>
        <v/>
      </c>
      <c r="P149" s="2" t="str">
        <f>'12 - Deployments &amp; Config'!BB154</f>
        <v>Yes</v>
      </c>
      <c r="Q149" s="34" t="str">
        <f t="shared" si="8"/>
        <v/>
      </c>
      <c r="R149" s="18" t="str">
        <f t="shared" si="9"/>
        <v>SW NOT INSTALLED</v>
      </c>
      <c r="S149" s="18" t="str">
        <f t="shared" si="10"/>
        <v/>
      </c>
      <c r="T149" s="18" t="str">
        <f t="shared" si="11"/>
        <v>SW NOT INSTALLED</v>
      </c>
    </row>
    <row r="150" spans="1:20">
      <c r="A150" s="34" t="str">
        <f>'12 - Deployments &amp; Config'!H155</f>
        <v>CCMC</v>
      </c>
      <c r="B150" s="34">
        <f>'12 - Deployments &amp; Config'!S155</f>
        <v>0</v>
      </c>
      <c r="C150" s="34">
        <f>'12 - Deployments &amp; Config'!T155</f>
        <v>0</v>
      </c>
      <c r="D150" s="18" t="str">
        <f>'12 - Deployments &amp; Config'!AK155</f>
        <v>APOLLO</v>
      </c>
      <c r="E150" s="18" t="str">
        <f>'12 - Deployments &amp; Config'!J155</f>
        <v>no</v>
      </c>
      <c r="F150" s="34" t="str">
        <f>'12 - Deployments &amp; Config'!K155</f>
        <v>yes</v>
      </c>
      <c r="G150" s="18" t="str">
        <f>'12 - Deployments &amp; Config'!L155</f>
        <v>yes</v>
      </c>
      <c r="H150" s="18">
        <f>'13 - Config_Intake_View'!M150</f>
        <v>0</v>
      </c>
      <c r="I150" s="34" t="str">
        <f>IF('13 - Config_Intake_View'!Q150&lt;&gt;"",'13 - Config_Intake_View'!Q150,'12 - Deployments &amp; Config'!BI155)</f>
        <v>iPro
Epic Satellite
ALLSCRIPTS
EPIC BCA</v>
      </c>
      <c r="J150" s="18" t="str">
        <f>IF('13 - Config_Intake_View'!Q150&lt;&gt;"","PM Approved",IF('12 - Deployments &amp; Config'!BI155&lt;&gt;"","Assumed",""))</f>
        <v>Assumed</v>
      </c>
      <c r="K150" s="34">
        <f>'12 - Deployments &amp; Config'!BH155</f>
        <v>0</v>
      </c>
      <c r="L150" s="18" t="str">
        <f>'12 - Deployments &amp; Config'!P155</f>
        <v>akbar, Diane from Anesthesia, and Metasource badge-in TDR</v>
      </c>
      <c r="M150" s="18">
        <f>'12 - Deployments &amp; Config'!Q155</f>
        <v>46067</v>
      </c>
      <c r="N150" s="18" t="str">
        <f>'12 - Deployments &amp; Config'!BL155</f>
        <v/>
      </c>
      <c r="O150" s="34" t="str">
        <f>'12 - Deployments &amp; Config'!BM155</f>
        <v/>
      </c>
      <c r="P150" s="2" t="str">
        <f>'12 - Deployments &amp; Config'!BB155</f>
        <v>Yes</v>
      </c>
      <c r="Q150" s="34" t="str">
        <f t="shared" si="8"/>
        <v/>
      </c>
      <c r="R150" s="18" t="str">
        <f t="shared" si="9"/>
        <v>SW NOT INSTALLED</v>
      </c>
      <c r="S150" s="18" t="str">
        <f t="shared" si="10"/>
        <v/>
      </c>
      <c r="T150" s="18" t="str">
        <f t="shared" si="11"/>
        <v>SW NOT INSTALLED</v>
      </c>
    </row>
    <row r="151" spans="1:20">
      <c r="A151" s="34" t="str">
        <f>'12 - Deployments &amp; Config'!H156</f>
        <v>CCMC</v>
      </c>
      <c r="B151" s="34">
        <f>'12 - Deployments &amp; Config'!S156</f>
        <v>0</v>
      </c>
      <c r="C151" s="34">
        <f>'12 - Deployments &amp; Config'!T156</f>
        <v>0</v>
      </c>
      <c r="D151" s="18" t="str">
        <f>'12 - Deployments &amp; Config'!AK156</f>
        <v>APOLLO</v>
      </c>
      <c r="E151" s="18" t="str">
        <f>'12 - Deployments &amp; Config'!J156</f>
        <v>no</v>
      </c>
      <c r="F151" s="34" t="str">
        <f>'12 - Deployments &amp; Config'!K156</f>
        <v>yes</v>
      </c>
      <c r="G151" s="18" t="str">
        <f>'12 - Deployments &amp; Config'!L156</f>
        <v>yes</v>
      </c>
      <c r="H151" s="18">
        <f>'13 - Config_Intake_View'!M151</f>
        <v>0</v>
      </c>
      <c r="I151" s="34" t="str">
        <f>IF('13 - Config_Intake_View'!Q151&lt;&gt;"",'13 - Config_Intake_View'!Q151,'12 - Deployments &amp; Config'!BI156)</f>
        <v>iPro
Epic Satellite
ALLSCRIPTS
EPIC BCA</v>
      </c>
      <c r="J151" s="18" t="str">
        <f>IF('13 - Config_Intake_View'!Q151&lt;&gt;"","PM Approved",IF('12 - Deployments &amp; Config'!BI156&lt;&gt;"","Assumed",""))</f>
        <v>Assumed</v>
      </c>
      <c r="K151" s="34">
        <f>'12 - Deployments &amp; Config'!BH156</f>
        <v>0</v>
      </c>
      <c r="L151" s="18" t="str">
        <f>'12 - Deployments &amp; Config'!P156</f>
        <v>akbar, Diane from Anesthesia, and Metasource badge-in TDR</v>
      </c>
      <c r="M151" s="18">
        <f>'12 - Deployments &amp; Config'!Q156</f>
        <v>46067</v>
      </c>
      <c r="N151" s="18" t="str">
        <f>'12 - Deployments &amp; Config'!BL156</f>
        <v/>
      </c>
      <c r="O151" s="34" t="str">
        <f>'12 - Deployments &amp; Config'!BM156</f>
        <v/>
      </c>
      <c r="P151" s="2" t="str">
        <f>'12 - Deployments &amp; Config'!BB156</f>
        <v>Yes</v>
      </c>
      <c r="Q151" s="34" t="str">
        <f t="shared" si="8"/>
        <v/>
      </c>
      <c r="R151" s="18" t="str">
        <f t="shared" si="9"/>
        <v>SW NOT INSTALLED</v>
      </c>
      <c r="S151" s="18" t="str">
        <f t="shared" si="10"/>
        <v/>
      </c>
      <c r="T151" s="18" t="str">
        <f t="shared" si="11"/>
        <v>SW NOT INSTALLED</v>
      </c>
    </row>
    <row r="152" spans="1:20">
      <c r="A152" s="34" t="str">
        <f>'12 - Deployments &amp; Config'!H157</f>
        <v>CCMC</v>
      </c>
      <c r="B152" s="34">
        <f>'12 - Deployments &amp; Config'!S157</f>
        <v>0</v>
      </c>
      <c r="C152" s="34">
        <f>'12 - Deployments &amp; Config'!T157</f>
        <v>0</v>
      </c>
      <c r="D152" s="18" t="str">
        <f>'12 - Deployments &amp; Config'!AK157</f>
        <v>APOLLO</v>
      </c>
      <c r="E152" s="18" t="str">
        <f>'12 - Deployments &amp; Config'!J157</f>
        <v>no</v>
      </c>
      <c r="F152" s="34" t="str">
        <f>'12 - Deployments &amp; Config'!K157</f>
        <v>yes</v>
      </c>
      <c r="G152" s="18" t="str">
        <f>'12 - Deployments &amp; Config'!L157</f>
        <v>yes</v>
      </c>
      <c r="H152" s="18">
        <f>'13 - Config_Intake_View'!M152</f>
        <v>0</v>
      </c>
      <c r="I152" s="34" t="str">
        <f>IF('13 - Config_Intake_View'!Q152&lt;&gt;"",'13 - Config_Intake_View'!Q152,'12 - Deployments &amp; Config'!BI157)</f>
        <v>iPro
Epic Satellite
ALLSCRIPTS
EPIC BCA</v>
      </c>
      <c r="J152" s="18" t="str">
        <f>IF('13 - Config_Intake_View'!Q152&lt;&gt;"","PM Approved",IF('12 - Deployments &amp; Config'!BI157&lt;&gt;"","Assumed",""))</f>
        <v>Assumed</v>
      </c>
      <c r="K152" s="34">
        <f>'12 - Deployments &amp; Config'!BH157</f>
        <v>0</v>
      </c>
      <c r="L152" s="18" t="str">
        <f>'12 - Deployments &amp; Config'!P157</f>
        <v>akbar, Diane from Anesthesia, and Metasource badge-in TDR</v>
      </c>
      <c r="M152" s="18">
        <f>'12 - Deployments &amp; Config'!Q157</f>
        <v>46067</v>
      </c>
      <c r="N152" s="18" t="str">
        <f>'12 - Deployments &amp; Config'!BL157</f>
        <v/>
      </c>
      <c r="O152" s="34" t="str">
        <f>'12 - Deployments &amp; Config'!BM157</f>
        <v/>
      </c>
      <c r="P152" s="2" t="str">
        <f>'12 - Deployments &amp; Config'!BB157</f>
        <v>Yes</v>
      </c>
      <c r="Q152" s="34" t="str">
        <f t="shared" si="8"/>
        <v/>
      </c>
      <c r="R152" s="18" t="str">
        <f t="shared" si="9"/>
        <v>SW NOT INSTALLED</v>
      </c>
      <c r="S152" s="18" t="str">
        <f t="shared" si="10"/>
        <v/>
      </c>
      <c r="T152" s="18" t="str">
        <f t="shared" si="11"/>
        <v>SW NOT INSTALLED</v>
      </c>
    </row>
    <row r="153" spans="1:20">
      <c r="A153" s="34" t="str">
        <f>'12 - Deployments &amp; Config'!H158</f>
        <v>CCMC</v>
      </c>
      <c r="B153" s="34">
        <f>'12 - Deployments &amp; Config'!S158</f>
        <v>0</v>
      </c>
      <c r="C153" s="34">
        <f>'12 - Deployments &amp; Config'!T158</f>
        <v>0</v>
      </c>
      <c r="D153" s="18" t="str">
        <f>'12 - Deployments &amp; Config'!AK158</f>
        <v>APOLLO</v>
      </c>
      <c r="E153" s="18" t="str">
        <f>'12 - Deployments &amp; Config'!J158</f>
        <v>no</v>
      </c>
      <c r="F153" s="34" t="str">
        <f>'12 - Deployments &amp; Config'!K158</f>
        <v>yes</v>
      </c>
      <c r="G153" s="18" t="str">
        <f>'12 - Deployments &amp; Config'!L158</f>
        <v>yes</v>
      </c>
      <c r="H153" s="18">
        <f>'13 - Config_Intake_View'!M153</f>
        <v>0</v>
      </c>
      <c r="I153" s="34" t="str">
        <f>IF('13 - Config_Intake_View'!Q153&lt;&gt;"",'13 - Config_Intake_View'!Q153,'12 - Deployments &amp; Config'!BI158)</f>
        <v>iPro
Epic Satellite
ALLSCRIPTS
EPIC BCA</v>
      </c>
      <c r="J153" s="18" t="str">
        <f>IF('13 - Config_Intake_View'!Q153&lt;&gt;"","PM Approved",IF('12 - Deployments &amp; Config'!BI158&lt;&gt;"","Assumed",""))</f>
        <v>Assumed</v>
      </c>
      <c r="K153" s="34">
        <f>'12 - Deployments &amp; Config'!BH158</f>
        <v>0</v>
      </c>
      <c r="L153" s="18" t="str">
        <f>'12 - Deployments &amp; Config'!P158</f>
        <v>akbar, Diane from Anesthesia, and Metasource badge-in TDR</v>
      </c>
      <c r="M153" s="18">
        <f>'12 - Deployments &amp; Config'!Q158</f>
        <v>46067</v>
      </c>
      <c r="N153" s="18" t="str">
        <f>'12 - Deployments &amp; Config'!BL158</f>
        <v/>
      </c>
      <c r="O153" s="34" t="str">
        <f>'12 - Deployments &amp; Config'!BM158</f>
        <v/>
      </c>
      <c r="P153" s="2" t="str">
        <f>'12 - Deployments &amp; Config'!BB158</f>
        <v>Yes</v>
      </c>
      <c r="Q153" s="34" t="str">
        <f t="shared" si="8"/>
        <v/>
      </c>
      <c r="R153" s="18" t="str">
        <f t="shared" si="9"/>
        <v>SW NOT INSTALLED</v>
      </c>
      <c r="S153" s="18" t="str">
        <f t="shared" si="10"/>
        <v/>
      </c>
      <c r="T153" s="18" t="str">
        <f t="shared" si="11"/>
        <v>SW NOT INSTALLED</v>
      </c>
    </row>
    <row r="154" spans="1:20">
      <c r="A154" s="34" t="str">
        <f>'12 - Deployments &amp; Config'!H159</f>
        <v>CCMC</v>
      </c>
      <c r="B154" s="34">
        <f>'12 - Deployments &amp; Config'!S159</f>
        <v>0</v>
      </c>
      <c r="C154" s="34">
        <f>'12 - Deployments &amp; Config'!T159</f>
        <v>0</v>
      </c>
      <c r="D154" s="18" t="str">
        <f>'12 - Deployments &amp; Config'!AK159</f>
        <v>APOLLO</v>
      </c>
      <c r="E154" s="18" t="str">
        <f>'12 - Deployments &amp; Config'!J159</f>
        <v>no</v>
      </c>
      <c r="F154" s="34" t="str">
        <f>'12 - Deployments &amp; Config'!K159</f>
        <v>yes</v>
      </c>
      <c r="G154" s="18" t="str">
        <f>'12 - Deployments &amp; Config'!L159</f>
        <v>yes</v>
      </c>
      <c r="H154" s="18">
        <f>'13 - Config_Intake_View'!M154</f>
        <v>0</v>
      </c>
      <c r="I154" s="34" t="str">
        <f>IF('13 - Config_Intake_View'!Q154&lt;&gt;"",'13 - Config_Intake_View'!Q154,'12 - Deployments &amp; Config'!BI159)</f>
        <v>iPro
Epic Satellite
ALLSCRIPTS
EPIC BCA</v>
      </c>
      <c r="J154" s="18" t="str">
        <f>IF('13 - Config_Intake_View'!Q154&lt;&gt;"","PM Approved",IF('12 - Deployments &amp; Config'!BI159&lt;&gt;"","Assumed",""))</f>
        <v>Assumed</v>
      </c>
      <c r="K154" s="34">
        <f>'12 - Deployments &amp; Config'!BH159</f>
        <v>0</v>
      </c>
      <c r="L154" s="18" t="str">
        <f>'12 - Deployments &amp; Config'!P159</f>
        <v>akbar, Diane from Anesthesia, and Metasource badge-in TDR</v>
      </c>
      <c r="M154" s="18">
        <f>'12 - Deployments &amp; Config'!Q159</f>
        <v>46067</v>
      </c>
      <c r="N154" s="18" t="str">
        <f>'12 - Deployments &amp; Config'!BL159</f>
        <v/>
      </c>
      <c r="O154" s="34" t="str">
        <f>'12 - Deployments &amp; Config'!BM159</f>
        <v/>
      </c>
      <c r="P154" s="2" t="str">
        <f>'12 - Deployments &amp; Config'!BB159</f>
        <v>Yes</v>
      </c>
      <c r="Q154" s="34" t="str">
        <f t="shared" si="8"/>
        <v/>
      </c>
      <c r="R154" s="18" t="str">
        <f t="shared" si="9"/>
        <v>SW NOT INSTALLED</v>
      </c>
      <c r="S154" s="18" t="str">
        <f t="shared" si="10"/>
        <v/>
      </c>
      <c r="T154" s="18" t="str">
        <f t="shared" si="11"/>
        <v>SW NOT INSTALLED</v>
      </c>
    </row>
    <row r="155" spans="1:20">
      <c r="A155" s="34" t="str">
        <f>'12 - Deployments &amp; Config'!H160</f>
        <v>CCMC</v>
      </c>
      <c r="B155" s="34">
        <f>'12 - Deployments &amp; Config'!S160</f>
        <v>0</v>
      </c>
      <c r="C155" s="34">
        <f>'12 - Deployments &amp; Config'!T160</f>
        <v>0</v>
      </c>
      <c r="D155" s="18" t="str">
        <f>'12 - Deployments &amp; Config'!AK160</f>
        <v>APOLLO</v>
      </c>
      <c r="E155" s="18" t="str">
        <f>'12 - Deployments &amp; Config'!J160</f>
        <v>no</v>
      </c>
      <c r="F155" s="34" t="str">
        <f>'12 - Deployments &amp; Config'!K160</f>
        <v>yes</v>
      </c>
      <c r="G155" s="18" t="str">
        <f>'12 - Deployments &amp; Config'!L160</f>
        <v>yes</v>
      </c>
      <c r="H155" s="18">
        <f>'13 - Config_Intake_View'!M155</f>
        <v>0</v>
      </c>
      <c r="I155" s="34" t="str">
        <f>IF('13 - Config_Intake_View'!Q155&lt;&gt;"",'13 - Config_Intake_View'!Q155,'12 - Deployments &amp; Config'!BI160)</f>
        <v>iPro
Epic Satellite
ALLSCRIPTS
EPIC BCA</v>
      </c>
      <c r="J155" s="18" t="str">
        <f>IF('13 - Config_Intake_View'!Q155&lt;&gt;"","PM Approved",IF('12 - Deployments &amp; Config'!BI160&lt;&gt;"","Assumed",""))</f>
        <v>Assumed</v>
      </c>
      <c r="K155" s="34">
        <f>'12 - Deployments &amp; Config'!BH160</f>
        <v>0</v>
      </c>
      <c r="L155" s="18" t="str">
        <f>'12 - Deployments &amp; Config'!P160</f>
        <v>akbar, Diane from Anesthesia, and Metasource badge-in TDR</v>
      </c>
      <c r="M155" s="18">
        <f>'12 - Deployments &amp; Config'!Q160</f>
        <v>46067</v>
      </c>
      <c r="N155" s="18" t="str">
        <f>'12 - Deployments &amp; Config'!BL160</f>
        <v/>
      </c>
      <c r="O155" s="34" t="str">
        <f>'12 - Deployments &amp; Config'!BM160</f>
        <v/>
      </c>
      <c r="P155" s="2" t="str">
        <f>'12 - Deployments &amp; Config'!BB160</f>
        <v>Yes</v>
      </c>
      <c r="Q155" s="34" t="str">
        <f t="shared" si="8"/>
        <v/>
      </c>
      <c r="R155" s="18" t="str">
        <f t="shared" si="9"/>
        <v>SW NOT INSTALLED</v>
      </c>
      <c r="S155" s="18" t="str">
        <f t="shared" si="10"/>
        <v/>
      </c>
      <c r="T155" s="18" t="str">
        <f t="shared" si="11"/>
        <v>SW NOT INSTALLED</v>
      </c>
    </row>
    <row r="156" spans="1:20">
      <c r="A156" s="34" t="str">
        <f>'12 - Deployments &amp; Config'!H161</f>
        <v>CCMC</v>
      </c>
      <c r="B156" s="34">
        <f>'12 - Deployments &amp; Config'!S161</f>
        <v>0</v>
      </c>
      <c r="C156" s="34">
        <f>'12 - Deployments &amp; Config'!T161</f>
        <v>0</v>
      </c>
      <c r="D156" s="18" t="str">
        <f>'12 - Deployments &amp; Config'!AK161</f>
        <v>APOLLO</v>
      </c>
      <c r="E156" s="18" t="str">
        <f>'12 - Deployments &amp; Config'!J161</f>
        <v>no</v>
      </c>
      <c r="F156" s="34" t="str">
        <f>'12 - Deployments &amp; Config'!K161</f>
        <v>yes</v>
      </c>
      <c r="G156" s="18" t="str">
        <f>'12 - Deployments &amp; Config'!L161</f>
        <v>yes</v>
      </c>
      <c r="H156" s="18">
        <f>'13 - Config_Intake_View'!M156</f>
        <v>0</v>
      </c>
      <c r="I156" s="34" t="str">
        <f>IF('13 - Config_Intake_View'!Q156&lt;&gt;"",'13 - Config_Intake_View'!Q156,'12 - Deployments &amp; Config'!BI161)</f>
        <v>iPro
Epic Satellite
ALLSCRIPTS
EPIC BCA</v>
      </c>
      <c r="J156" s="18" t="str">
        <f>IF('13 - Config_Intake_View'!Q156&lt;&gt;"","PM Approved",IF('12 - Deployments &amp; Config'!BI161&lt;&gt;"","Assumed",""))</f>
        <v>Assumed</v>
      </c>
      <c r="K156" s="34">
        <f>'12 - Deployments &amp; Config'!BH161</f>
        <v>0</v>
      </c>
      <c r="L156" s="18" t="str">
        <f>'12 - Deployments &amp; Config'!P161</f>
        <v>akbar, Diane from Anesthesia, and Metasource badge-in TDR</v>
      </c>
      <c r="M156" s="18">
        <f>'12 - Deployments &amp; Config'!Q161</f>
        <v>46067</v>
      </c>
      <c r="N156" s="18" t="str">
        <f>'12 - Deployments &amp; Config'!BL161</f>
        <v/>
      </c>
      <c r="O156" s="34" t="str">
        <f>'12 - Deployments &amp; Config'!BM161</f>
        <v/>
      </c>
      <c r="P156" s="2" t="str">
        <f>'12 - Deployments &amp; Config'!BB161</f>
        <v>Yes</v>
      </c>
      <c r="Q156" s="34" t="str">
        <f t="shared" si="8"/>
        <v/>
      </c>
      <c r="R156" s="18" t="str">
        <f t="shared" si="9"/>
        <v>SW NOT INSTALLED</v>
      </c>
      <c r="S156" s="18" t="str">
        <f t="shared" si="10"/>
        <v/>
      </c>
      <c r="T156" s="18" t="str">
        <f t="shared" si="11"/>
        <v>SW NOT INSTALLED</v>
      </c>
    </row>
    <row r="157" spans="1:20">
      <c r="A157" s="34" t="str">
        <f>'12 - Deployments &amp; Config'!H162</f>
        <v>LIJ - Proc</v>
      </c>
      <c r="B157" s="34">
        <f>'12 - Deployments &amp; Config'!S162</f>
        <v>0</v>
      </c>
      <c r="C157" s="34">
        <f>'12 - Deployments &amp; Config'!T162</f>
        <v>0</v>
      </c>
      <c r="D157" s="18">
        <f>'12 - Deployments &amp; Config'!AK162</f>
        <v>0</v>
      </c>
      <c r="E157" s="18">
        <f>'12 - Deployments &amp; Config'!J162</f>
        <v>0</v>
      </c>
      <c r="F157" s="34">
        <f>'12 - Deployments &amp; Config'!K162</f>
        <v>0</v>
      </c>
      <c r="G157" s="18">
        <f>'12 - Deployments &amp; Config'!L162</f>
        <v>0</v>
      </c>
      <c r="H157" s="18">
        <f>'13 - Config_Intake_View'!M157</f>
        <v>0</v>
      </c>
      <c r="I157" s="34" t="str">
        <f>IF('13 - Config_Intake_View'!Q157&lt;&gt;"",'13 - Config_Intake_View'!Q157,'12 - Deployments &amp; Config'!BI162)</f>
        <v>iPro
Epic Satellite
ALLSCRIPTS
EPIC BCA</v>
      </c>
      <c r="J157" s="18" t="str">
        <f>IF('13 - Config_Intake_View'!Q157&lt;&gt;"","PM Approved",IF('12 - Deployments &amp; Config'!BI162&lt;&gt;"","Assumed",""))</f>
        <v>Assumed</v>
      </c>
      <c r="K157" s="34">
        <f>'12 - Deployments &amp; Config'!BH162</f>
        <v>0</v>
      </c>
      <c r="L157" s="18">
        <f>'12 - Deployments &amp; Config'!P162</f>
        <v>0</v>
      </c>
      <c r="M157" s="18">
        <f>'12 - Deployments &amp; Config'!Q162</f>
        <v>0</v>
      </c>
      <c r="N157" s="18">
        <f>'12 - Deployments &amp; Config'!BL162</f>
        <v>0</v>
      </c>
      <c r="O157" s="34">
        <f>'12 - Deployments &amp; Config'!BM162</f>
        <v>0</v>
      </c>
      <c r="P157" s="2">
        <f>'12 - Deployments &amp; Config'!BB162</f>
        <v>0</v>
      </c>
      <c r="Q157" s="34" t="str">
        <f t="shared" si="8"/>
        <v/>
      </c>
      <c r="R157" s="18" t="str">
        <f t="shared" si="9"/>
        <v>SW NOT INSTALLED</v>
      </c>
      <c r="S157" s="18" t="str">
        <f t="shared" si="10"/>
        <v/>
      </c>
      <c r="T157" s="18" t="str">
        <f t="shared" si="11"/>
        <v>SW NOT INSTALLED</v>
      </c>
    </row>
    <row r="158" spans="1:20">
      <c r="A158" s="34" t="str">
        <f>'12 - Deployments &amp; Config'!H163</f>
        <v>LIJ - Proc</v>
      </c>
      <c r="B158" s="34">
        <f>'12 - Deployments &amp; Config'!S163</f>
        <v>0</v>
      </c>
      <c r="C158" s="34">
        <f>'12 - Deployments &amp; Config'!T163</f>
        <v>0</v>
      </c>
      <c r="D158" s="18">
        <f>'12 - Deployments &amp; Config'!AK163</f>
        <v>0</v>
      </c>
      <c r="E158" s="18">
        <f>'12 - Deployments &amp; Config'!J163</f>
        <v>0</v>
      </c>
      <c r="F158" s="34">
        <f>'12 - Deployments &amp; Config'!K163</f>
        <v>0</v>
      </c>
      <c r="G158" s="18">
        <f>'12 - Deployments &amp; Config'!L163</f>
        <v>0</v>
      </c>
      <c r="H158" s="18">
        <f>'13 - Config_Intake_View'!M158</f>
        <v>0</v>
      </c>
      <c r="I158" s="34">
        <f>IF('13 - Config_Intake_View'!Q158&lt;&gt;"",'13 - Config_Intake_View'!Q158,'12 - Deployments &amp; Config'!BI163)</f>
        <v>0</v>
      </c>
      <c r="J158" s="18" t="str">
        <f>IF('13 - Config_Intake_View'!Q158&lt;&gt;"","PM Approved",IF('12 - Deployments &amp; Config'!BI163&lt;&gt;"","Assumed",""))</f>
        <v/>
      </c>
      <c r="K158" s="34">
        <f>'12 - Deployments &amp; Config'!BH163</f>
        <v>0</v>
      </c>
      <c r="L158" s="18">
        <f>'12 - Deployments &amp; Config'!P163</f>
        <v>0</v>
      </c>
      <c r="M158" s="18">
        <f>'12 - Deployments &amp; Config'!Q163</f>
        <v>0</v>
      </c>
      <c r="N158" s="18">
        <f>'12 - Deployments &amp; Config'!BL163</f>
        <v>0</v>
      </c>
      <c r="O158" s="34">
        <f>'12 - Deployments &amp; Config'!BM163</f>
        <v>0</v>
      </c>
      <c r="P158" s="2">
        <f>'12 - Deployments &amp; Config'!BB163</f>
        <v>0</v>
      </c>
      <c r="Q158" s="34" t="str">
        <f t="shared" si="8"/>
        <v/>
      </c>
      <c r="R158" s="18" t="str">
        <f t="shared" si="9"/>
        <v>SW NOT INSTALLED</v>
      </c>
      <c r="S158" s="18" t="str">
        <f t="shared" si="10"/>
        <v/>
      </c>
      <c r="T158" s="18" t="str">
        <f t="shared" si="11"/>
        <v>SW NOT INSTALLED</v>
      </c>
    </row>
    <row r="159" spans="1:20">
      <c r="A159" s="34" t="str">
        <f>'12 - Deployments &amp; Config'!H164</f>
        <v>LIJ - Proc</v>
      </c>
      <c r="B159" s="34">
        <f>'12 - Deployments &amp; Config'!S164</f>
        <v>0</v>
      </c>
      <c r="C159" s="34">
        <f>'12 - Deployments &amp; Config'!T164</f>
        <v>0</v>
      </c>
      <c r="D159" s="18">
        <f>'12 - Deployments &amp; Config'!AK164</f>
        <v>0</v>
      </c>
      <c r="E159" s="18">
        <f>'12 - Deployments &amp; Config'!J164</f>
        <v>0</v>
      </c>
      <c r="F159" s="34">
        <f>'12 - Deployments &amp; Config'!K164</f>
        <v>0</v>
      </c>
      <c r="G159" s="18">
        <f>'12 - Deployments &amp; Config'!L164</f>
        <v>0</v>
      </c>
      <c r="H159" s="18">
        <f>'13 - Config_Intake_View'!M159</f>
        <v>0</v>
      </c>
      <c r="I159" s="34">
        <f>IF('13 - Config_Intake_View'!Q159&lt;&gt;"",'13 - Config_Intake_View'!Q159,'12 - Deployments &amp; Config'!BI164)</f>
        <v>0</v>
      </c>
      <c r="J159" s="18" t="str">
        <f>IF('13 - Config_Intake_View'!Q159&lt;&gt;"","PM Approved",IF('12 - Deployments &amp; Config'!BI164&lt;&gt;"","Assumed",""))</f>
        <v/>
      </c>
      <c r="K159" s="34">
        <f>'12 - Deployments &amp; Config'!BH164</f>
        <v>0</v>
      </c>
      <c r="L159" s="18">
        <f>'12 - Deployments &amp; Config'!P164</f>
        <v>0</v>
      </c>
      <c r="M159" s="18">
        <f>'12 - Deployments &amp; Config'!Q164</f>
        <v>0</v>
      </c>
      <c r="N159" s="18">
        <f>'12 - Deployments &amp; Config'!BL164</f>
        <v>0</v>
      </c>
      <c r="O159" s="34">
        <f>'12 - Deployments &amp; Config'!BM164</f>
        <v>0</v>
      </c>
      <c r="P159" s="2">
        <f>'12 - Deployments &amp; Config'!BB164</f>
        <v>0</v>
      </c>
      <c r="Q159" s="34" t="str">
        <f t="shared" si="8"/>
        <v/>
      </c>
      <c r="R159" s="18" t="str">
        <f t="shared" si="9"/>
        <v>SW NOT INSTALLED</v>
      </c>
      <c r="S159" s="18" t="str">
        <f t="shared" si="10"/>
        <v/>
      </c>
      <c r="T159" s="18" t="str">
        <f t="shared" si="11"/>
        <v>SW NOT INSTALLED</v>
      </c>
    </row>
    <row r="160" spans="1:20">
      <c r="A160" s="34">
        <f>'12 - Deployments &amp; Config'!H165</f>
        <v>0</v>
      </c>
      <c r="B160" s="34">
        <f>'12 - Deployments &amp; Config'!S165</f>
        <v>0</v>
      </c>
      <c r="C160" s="34">
        <f>'12 - Deployments &amp; Config'!T165</f>
        <v>0</v>
      </c>
      <c r="D160" s="18">
        <f>'12 - Deployments &amp; Config'!AK165</f>
        <v>0</v>
      </c>
      <c r="E160" s="18">
        <f>'12 - Deployments &amp; Config'!J165</f>
        <v>0</v>
      </c>
      <c r="F160" s="34">
        <f>'12 - Deployments &amp; Config'!K165</f>
        <v>0</v>
      </c>
      <c r="G160" s="18">
        <f>'12 - Deployments &amp; Config'!L165</f>
        <v>0</v>
      </c>
      <c r="H160" s="18">
        <f>'13 - Config_Intake_View'!M160</f>
        <v>0</v>
      </c>
      <c r="I160" s="34">
        <f>IF('13 - Config_Intake_View'!Q160&lt;&gt;"",'13 - Config_Intake_View'!Q160,'12 - Deployments &amp; Config'!BI165)</f>
        <v>0</v>
      </c>
      <c r="J160" s="18" t="str">
        <f>IF('13 - Config_Intake_View'!Q160&lt;&gt;"","PM Approved",IF('12 - Deployments &amp; Config'!BI165&lt;&gt;"","Assumed",""))</f>
        <v/>
      </c>
      <c r="K160" s="34">
        <f>'12 - Deployments &amp; Config'!BH165</f>
        <v>0</v>
      </c>
      <c r="L160" s="18">
        <f>'12 - Deployments &amp; Config'!P165</f>
        <v>0</v>
      </c>
      <c r="M160" s="18">
        <f>'12 - Deployments &amp; Config'!Q165</f>
        <v>0</v>
      </c>
      <c r="N160" s="18">
        <f>'12 - Deployments &amp; Config'!BL165</f>
        <v>0</v>
      </c>
      <c r="O160" s="34">
        <f>'12 - Deployments &amp; Config'!BM165</f>
        <v>0</v>
      </c>
      <c r="P160" s="2">
        <f>'12 - Deployments &amp; Config'!BB165</f>
        <v>0</v>
      </c>
      <c r="Q160" s="34" t="str">
        <f t="shared" si="8"/>
        <v/>
      </c>
      <c r="R160" s="18" t="str">
        <f t="shared" si="9"/>
        <v>SW NOT INSTALLED</v>
      </c>
      <c r="S160" s="18" t="str">
        <f t="shared" si="10"/>
        <v/>
      </c>
      <c r="T160" s="18" t="str">
        <f t="shared" si="11"/>
        <v>SW NOT INSTALLED</v>
      </c>
    </row>
    <row r="161" spans="1:20">
      <c r="A161" s="34">
        <f>'12 - Deployments &amp; Config'!H166</f>
        <v>0</v>
      </c>
      <c r="B161" s="34">
        <f>'12 - Deployments &amp; Config'!S166</f>
        <v>0</v>
      </c>
      <c r="C161" s="34">
        <f>'12 - Deployments &amp; Config'!T166</f>
        <v>0</v>
      </c>
      <c r="D161" s="18">
        <f>'12 - Deployments &amp; Config'!AK166</f>
        <v>0</v>
      </c>
      <c r="E161" s="18">
        <f>'12 - Deployments &amp; Config'!J166</f>
        <v>0</v>
      </c>
      <c r="F161" s="34">
        <f>'12 - Deployments &amp; Config'!K166</f>
        <v>0</v>
      </c>
      <c r="G161" s="18">
        <f>'12 - Deployments &amp; Config'!L166</f>
        <v>0</v>
      </c>
      <c r="H161" s="18">
        <f>'13 - Config_Intake_View'!M161</f>
        <v>0</v>
      </c>
      <c r="I161" s="34">
        <f>IF('13 - Config_Intake_View'!Q161&lt;&gt;"",'13 - Config_Intake_View'!Q161,'12 - Deployments &amp; Config'!BI166)</f>
        <v>0</v>
      </c>
      <c r="J161" s="18" t="str">
        <f>IF('13 - Config_Intake_View'!Q161&lt;&gt;"","PM Approved",IF('12 - Deployments &amp; Config'!BI166&lt;&gt;"","Assumed",""))</f>
        <v/>
      </c>
      <c r="K161" s="34">
        <f>'12 - Deployments &amp; Config'!BH166</f>
        <v>0</v>
      </c>
      <c r="L161" s="18">
        <f>'12 - Deployments &amp; Config'!P166</f>
        <v>0</v>
      </c>
      <c r="M161" s="18">
        <f>'12 - Deployments &amp; Config'!Q166</f>
        <v>0</v>
      </c>
      <c r="N161" s="18">
        <f>'12 - Deployments &amp; Config'!BL166</f>
        <v>0</v>
      </c>
      <c r="O161" s="34">
        <f>'12 - Deployments &amp; Config'!BM166</f>
        <v>0</v>
      </c>
      <c r="P161" s="2">
        <f>'12 - Deployments &amp; Config'!BB166</f>
        <v>0</v>
      </c>
      <c r="Q161" s="34" t="str">
        <f t="shared" si="8"/>
        <v/>
      </c>
      <c r="R161" s="18" t="str">
        <f t="shared" si="9"/>
        <v>SW NOT INSTALLED</v>
      </c>
      <c r="S161" s="18" t="str">
        <f t="shared" si="10"/>
        <v/>
      </c>
      <c r="T161" s="18" t="str">
        <f t="shared" si="11"/>
        <v>SW NOT INSTALLED</v>
      </c>
    </row>
    <row r="162" spans="1:20">
      <c r="A162" s="34">
        <f>'12 - Deployments &amp; Config'!H167</f>
        <v>0</v>
      </c>
      <c r="B162" s="34">
        <f>'12 - Deployments &amp; Config'!S167</f>
        <v>0</v>
      </c>
      <c r="C162" s="34">
        <f>'12 - Deployments &amp; Config'!T167</f>
        <v>0</v>
      </c>
      <c r="D162" s="18">
        <f>'12 - Deployments &amp; Config'!AK167</f>
        <v>0</v>
      </c>
      <c r="E162" s="18">
        <f>'12 - Deployments &amp; Config'!J167</f>
        <v>0</v>
      </c>
      <c r="F162" s="34">
        <f>'12 - Deployments &amp; Config'!K167</f>
        <v>0</v>
      </c>
      <c r="G162" s="18">
        <f>'12 - Deployments &amp; Config'!L167</f>
        <v>0</v>
      </c>
      <c r="H162" s="18">
        <f>'13 - Config_Intake_View'!M162</f>
        <v>0</v>
      </c>
      <c r="I162" s="34">
        <f>IF('13 - Config_Intake_View'!Q162&lt;&gt;"",'13 - Config_Intake_View'!Q162,'12 - Deployments &amp; Config'!BI167)</f>
        <v>0</v>
      </c>
      <c r="J162" s="18" t="str">
        <f>IF('13 - Config_Intake_View'!Q162&lt;&gt;"","PM Approved",IF('12 - Deployments &amp; Config'!BI167&lt;&gt;"","Assumed",""))</f>
        <v/>
      </c>
      <c r="K162" s="34">
        <f>'12 - Deployments &amp; Config'!BH167</f>
        <v>0</v>
      </c>
      <c r="L162" s="18">
        <f>'12 - Deployments &amp; Config'!P167</f>
        <v>0</v>
      </c>
      <c r="M162" s="18">
        <f>'12 - Deployments &amp; Config'!Q167</f>
        <v>0</v>
      </c>
      <c r="N162" s="18" t="str">
        <f>'12 - Deployments &amp; Config'!BL167</f>
        <v/>
      </c>
      <c r="O162" s="34" t="str">
        <f>'12 - Deployments &amp; Config'!BM167</f>
        <v/>
      </c>
      <c r="P162" s="2">
        <f>'12 - Deployments &amp; Config'!BB167</f>
        <v>0</v>
      </c>
      <c r="Q162" s="34" t="str">
        <f t="shared" si="8"/>
        <v/>
      </c>
      <c r="R162" s="18" t="str">
        <f t="shared" si="9"/>
        <v>SW NOT INSTALLED</v>
      </c>
      <c r="S162" s="18" t="str">
        <f t="shared" si="10"/>
        <v/>
      </c>
      <c r="T162" s="18" t="str">
        <f t="shared" si="11"/>
        <v>SW NOT INSTALLED</v>
      </c>
    </row>
    <row r="163" spans="1:20">
      <c r="A163" s="34">
        <f>'12 - Deployments &amp; Config'!H168</f>
        <v>0</v>
      </c>
      <c r="B163" s="34">
        <f>'12 - Deployments &amp; Config'!S168</f>
        <v>0</v>
      </c>
      <c r="C163" s="34">
        <f>'12 - Deployments &amp; Config'!T168</f>
        <v>0</v>
      </c>
      <c r="D163" s="18">
        <f>'12 - Deployments &amp; Config'!AK168</f>
        <v>0</v>
      </c>
      <c r="E163" s="18">
        <f>'12 - Deployments &amp; Config'!J168</f>
        <v>0</v>
      </c>
      <c r="F163" s="34">
        <f>'12 - Deployments &amp; Config'!K168</f>
        <v>0</v>
      </c>
      <c r="G163" s="18">
        <f>'12 - Deployments &amp; Config'!L168</f>
        <v>0</v>
      </c>
      <c r="H163" s="18">
        <f>'13 - Config_Intake_View'!M163</f>
        <v>0</v>
      </c>
      <c r="I163" s="34">
        <f>IF('13 - Config_Intake_View'!Q163&lt;&gt;"",'13 - Config_Intake_View'!Q163,'12 - Deployments &amp; Config'!BI168)</f>
        <v>0</v>
      </c>
      <c r="J163" s="18" t="str">
        <f>IF('13 - Config_Intake_View'!Q163&lt;&gt;"","PM Approved",IF('12 - Deployments &amp; Config'!BI168&lt;&gt;"","Assumed",""))</f>
        <v/>
      </c>
      <c r="K163" s="34">
        <f>'12 - Deployments &amp; Config'!BH168</f>
        <v>0</v>
      </c>
      <c r="L163" s="18">
        <f>'12 - Deployments &amp; Config'!P168</f>
        <v>0</v>
      </c>
      <c r="M163" s="18">
        <f>'12 - Deployments &amp; Config'!Q168</f>
        <v>0</v>
      </c>
      <c r="N163" s="18" t="str">
        <f>'12 - Deployments &amp; Config'!BL168</f>
        <v/>
      </c>
      <c r="O163" s="34" t="str">
        <f>'12 - Deployments &amp; Config'!BM168</f>
        <v/>
      </c>
      <c r="P163" s="2">
        <f>'12 - Deployments &amp; Config'!BB168</f>
        <v>0</v>
      </c>
      <c r="Q163" s="34" t="str">
        <f t="shared" si="8"/>
        <v/>
      </c>
      <c r="R163" s="18" t="str">
        <f t="shared" si="9"/>
        <v>SW NOT INSTALLED</v>
      </c>
      <c r="S163" s="18" t="str">
        <f t="shared" si="10"/>
        <v/>
      </c>
      <c r="T163" s="18" t="str">
        <f t="shared" si="11"/>
        <v>SW NOT INSTALLED</v>
      </c>
    </row>
    <row r="164" spans="1:20">
      <c r="A164" s="34">
        <f>'12 - Deployments &amp; Config'!H169</f>
        <v>0</v>
      </c>
      <c r="B164" s="34">
        <f>'12 - Deployments &amp; Config'!S169</f>
        <v>0</v>
      </c>
      <c r="C164" s="34">
        <f>'12 - Deployments &amp; Config'!T169</f>
        <v>0</v>
      </c>
      <c r="D164" s="18">
        <f>'12 - Deployments &amp; Config'!AK169</f>
        <v>0</v>
      </c>
      <c r="E164" s="18">
        <f>'12 - Deployments &amp; Config'!J169</f>
        <v>0</v>
      </c>
      <c r="F164" s="34">
        <f>'12 - Deployments &amp; Config'!K169</f>
        <v>0</v>
      </c>
      <c r="G164" s="18">
        <f>'12 - Deployments &amp; Config'!L169</f>
        <v>0</v>
      </c>
      <c r="H164" s="18">
        <f>'13 - Config_Intake_View'!M164</f>
        <v>0</v>
      </c>
      <c r="I164" s="34">
        <f>IF('13 - Config_Intake_View'!Q164&lt;&gt;"",'13 - Config_Intake_View'!Q164,'12 - Deployments &amp; Config'!BI169)</f>
        <v>0</v>
      </c>
      <c r="J164" s="18" t="str">
        <f>IF('13 - Config_Intake_View'!Q164&lt;&gt;"","PM Approved",IF('12 - Deployments &amp; Config'!BI169&lt;&gt;"","Assumed",""))</f>
        <v/>
      </c>
      <c r="K164" s="34">
        <f>'12 - Deployments &amp; Config'!BH169</f>
        <v>0</v>
      </c>
      <c r="L164" s="18">
        <f>'12 - Deployments &amp; Config'!P169</f>
        <v>0</v>
      </c>
      <c r="M164" s="18">
        <f>'12 - Deployments &amp; Config'!Q169</f>
        <v>0</v>
      </c>
      <c r="N164" s="18" t="str">
        <f>'12 - Deployments &amp; Config'!BL169</f>
        <v/>
      </c>
      <c r="O164" s="34" t="str">
        <f>'12 - Deployments &amp; Config'!BM169</f>
        <v/>
      </c>
      <c r="P164" s="2">
        <f>'12 - Deployments &amp; Config'!BB169</f>
        <v>0</v>
      </c>
      <c r="Q164" s="34" t="str">
        <f t="shared" si="8"/>
        <v/>
      </c>
      <c r="R164" s="18" t="str">
        <f t="shared" si="9"/>
        <v>SW NOT INSTALLED</v>
      </c>
      <c r="S164" s="18" t="str">
        <f t="shared" si="10"/>
        <v/>
      </c>
      <c r="T164" s="18" t="str">
        <f t="shared" si="11"/>
        <v>SW NOT INSTALLED</v>
      </c>
    </row>
    <row r="165" spans="1:20">
      <c r="A165" s="34">
        <f>'12 - Deployments &amp; Config'!H170</f>
        <v>0</v>
      </c>
      <c r="B165" s="34">
        <f>'12 - Deployments &amp; Config'!S170</f>
        <v>0</v>
      </c>
      <c r="C165" s="34">
        <f>'12 - Deployments &amp; Config'!T170</f>
        <v>0</v>
      </c>
      <c r="D165" s="18">
        <f>'12 - Deployments &amp; Config'!AK170</f>
        <v>0</v>
      </c>
      <c r="E165" s="18">
        <f>'12 - Deployments &amp; Config'!J170</f>
        <v>0</v>
      </c>
      <c r="F165" s="34">
        <f>'12 - Deployments &amp; Config'!K170</f>
        <v>0</v>
      </c>
      <c r="G165" s="18">
        <f>'12 - Deployments &amp; Config'!L170</f>
        <v>0</v>
      </c>
      <c r="H165" s="18">
        <f>'13 - Config_Intake_View'!M165</f>
        <v>0</v>
      </c>
      <c r="I165" s="34">
        <f>IF('13 - Config_Intake_View'!Q165&lt;&gt;"",'13 - Config_Intake_View'!Q165,'12 - Deployments &amp; Config'!BI170)</f>
        <v>0</v>
      </c>
      <c r="J165" s="18" t="str">
        <f>IF('13 - Config_Intake_View'!Q165&lt;&gt;"","PM Approved",IF('12 - Deployments &amp; Config'!BI170&lt;&gt;"","Assumed",""))</f>
        <v/>
      </c>
      <c r="K165" s="34">
        <f>'12 - Deployments &amp; Config'!BH170</f>
        <v>0</v>
      </c>
      <c r="L165" s="18">
        <f>'12 - Deployments &amp; Config'!P170</f>
        <v>0</v>
      </c>
      <c r="M165" s="18">
        <f>'12 - Deployments &amp; Config'!Q170</f>
        <v>0</v>
      </c>
      <c r="N165" s="18" t="str">
        <f>'12 - Deployments &amp; Config'!BL170</f>
        <v/>
      </c>
      <c r="O165" s="34" t="str">
        <f>'12 - Deployments &amp; Config'!BM170</f>
        <v/>
      </c>
      <c r="P165" s="2">
        <f>'12 - Deployments &amp; Config'!BB170</f>
        <v>0</v>
      </c>
      <c r="Q165" s="34" t="str">
        <f t="shared" si="8"/>
        <v/>
      </c>
      <c r="R165" s="18" t="str">
        <f t="shared" si="9"/>
        <v>SW NOT INSTALLED</v>
      </c>
      <c r="S165" s="18" t="str">
        <f t="shared" si="10"/>
        <v/>
      </c>
      <c r="T165" s="18" t="str">
        <f t="shared" si="11"/>
        <v>SW NOT INSTALLED</v>
      </c>
    </row>
    <row r="166" spans="1:20">
      <c r="A166" s="34">
        <f>'12 - Deployments &amp; Config'!H171</f>
        <v>0</v>
      </c>
      <c r="B166" s="34">
        <f>'12 - Deployments &amp; Config'!S171</f>
        <v>0</v>
      </c>
      <c r="C166" s="34">
        <f>'12 - Deployments &amp; Config'!T171</f>
        <v>0</v>
      </c>
      <c r="D166" s="18">
        <f>'12 - Deployments &amp; Config'!AK171</f>
        <v>0</v>
      </c>
      <c r="E166" s="18">
        <f>'12 - Deployments &amp; Config'!J171</f>
        <v>0</v>
      </c>
      <c r="F166" s="34">
        <f>'12 - Deployments &amp; Config'!K171</f>
        <v>0</v>
      </c>
      <c r="G166" s="18">
        <f>'12 - Deployments &amp; Config'!L171</f>
        <v>0</v>
      </c>
      <c r="H166" s="18">
        <f>'13 - Config_Intake_View'!M166</f>
        <v>0</v>
      </c>
      <c r="I166" s="34">
        <f>IF('13 - Config_Intake_View'!Q166&lt;&gt;"",'13 - Config_Intake_View'!Q166,'12 - Deployments &amp; Config'!BI171)</f>
        <v>0</v>
      </c>
      <c r="J166" s="18" t="str">
        <f>IF('13 - Config_Intake_View'!Q166&lt;&gt;"","PM Approved",IF('12 - Deployments &amp; Config'!BI171&lt;&gt;"","Assumed",""))</f>
        <v/>
      </c>
      <c r="K166" s="34">
        <f>'12 - Deployments &amp; Config'!BH171</f>
        <v>0</v>
      </c>
      <c r="L166" s="18">
        <f>'12 - Deployments &amp; Config'!P171</f>
        <v>0</v>
      </c>
      <c r="M166" s="18">
        <f>'12 - Deployments &amp; Config'!Q171</f>
        <v>0</v>
      </c>
      <c r="N166" s="18" t="str">
        <f>'12 - Deployments &amp; Config'!BL171</f>
        <v/>
      </c>
      <c r="O166" s="34" t="str">
        <f>'12 - Deployments &amp; Config'!BM171</f>
        <v/>
      </c>
      <c r="P166" s="2">
        <f>'12 - Deployments &amp; Config'!BB171</f>
        <v>0</v>
      </c>
      <c r="Q166" s="34" t="str">
        <f t="shared" si="8"/>
        <v/>
      </c>
      <c r="R166" s="18" t="str">
        <f t="shared" si="9"/>
        <v>SW NOT INSTALLED</v>
      </c>
      <c r="S166" s="18" t="str">
        <f t="shared" si="10"/>
        <v/>
      </c>
      <c r="T166" s="18" t="str">
        <f t="shared" si="11"/>
        <v>SW NOT INSTALLED</v>
      </c>
    </row>
    <row r="167" spans="1:20">
      <c r="A167" s="34">
        <f>'12 - Deployments &amp; Config'!H172</f>
        <v>0</v>
      </c>
      <c r="B167" s="34">
        <f>'12 - Deployments &amp; Config'!S172</f>
        <v>0</v>
      </c>
      <c r="C167" s="34">
        <f>'12 - Deployments &amp; Config'!T172</f>
        <v>0</v>
      </c>
      <c r="D167" s="18">
        <f>'12 - Deployments &amp; Config'!AK172</f>
        <v>0</v>
      </c>
      <c r="E167" s="18">
        <f>'12 - Deployments &amp; Config'!J172</f>
        <v>0</v>
      </c>
      <c r="F167" s="34">
        <f>'12 - Deployments &amp; Config'!K172</f>
        <v>0</v>
      </c>
      <c r="G167" s="18">
        <f>'12 - Deployments &amp; Config'!L172</f>
        <v>0</v>
      </c>
      <c r="H167" s="18">
        <f>'13 - Config_Intake_View'!M167</f>
        <v>0</v>
      </c>
      <c r="I167" s="34">
        <f>IF('13 - Config_Intake_View'!Q167&lt;&gt;"",'13 - Config_Intake_View'!Q167,'12 - Deployments &amp; Config'!BI172)</f>
        <v>0</v>
      </c>
      <c r="J167" s="18" t="str">
        <f>IF('13 - Config_Intake_View'!Q167&lt;&gt;"","PM Approved",IF('12 - Deployments &amp; Config'!BI172&lt;&gt;"","Assumed",""))</f>
        <v/>
      </c>
      <c r="K167" s="34">
        <f>'12 - Deployments &amp; Config'!BH172</f>
        <v>0</v>
      </c>
      <c r="L167" s="18">
        <f>'12 - Deployments &amp; Config'!P172</f>
        <v>0</v>
      </c>
      <c r="M167" s="18">
        <f>'12 - Deployments &amp; Config'!Q172</f>
        <v>0</v>
      </c>
      <c r="N167" s="18" t="str">
        <f>'12 - Deployments &amp; Config'!BL172</f>
        <v/>
      </c>
      <c r="O167" s="34" t="str">
        <f>'12 - Deployments &amp; Config'!BM172</f>
        <v/>
      </c>
      <c r="P167" s="2">
        <f>'12 - Deployments &amp; Config'!BB172</f>
        <v>0</v>
      </c>
      <c r="Q167" s="34" t="str">
        <f t="shared" si="8"/>
        <v/>
      </c>
      <c r="R167" s="18" t="str">
        <f t="shared" si="9"/>
        <v>SW NOT INSTALLED</v>
      </c>
      <c r="S167" s="18" t="str">
        <f t="shared" si="10"/>
        <v/>
      </c>
      <c r="T167" s="18" t="str">
        <f t="shared" si="11"/>
        <v>SW NOT INSTALLED</v>
      </c>
    </row>
    <row r="168" spans="1:20">
      <c r="A168" s="34">
        <f>'12 - Deployments &amp; Config'!H173</f>
        <v>0</v>
      </c>
      <c r="B168" s="34">
        <f>'12 - Deployments &amp; Config'!S173</f>
        <v>0</v>
      </c>
      <c r="C168" s="34">
        <f>'12 - Deployments &amp; Config'!T173</f>
        <v>0</v>
      </c>
      <c r="D168" s="18">
        <f>'12 - Deployments &amp; Config'!AK173</f>
        <v>0</v>
      </c>
      <c r="E168" s="18">
        <f>'12 - Deployments &amp; Config'!J173</f>
        <v>0</v>
      </c>
      <c r="F168" s="34">
        <f>'12 - Deployments &amp; Config'!K173</f>
        <v>0</v>
      </c>
      <c r="G168" s="18">
        <f>'12 - Deployments &amp; Config'!L173</f>
        <v>0</v>
      </c>
      <c r="H168" s="18">
        <f>'13 - Config_Intake_View'!M168</f>
        <v>0</v>
      </c>
      <c r="I168" s="34">
        <f>IF('13 - Config_Intake_View'!Q168&lt;&gt;"",'13 - Config_Intake_View'!Q168,'12 - Deployments &amp; Config'!BI173)</f>
        <v>0</v>
      </c>
      <c r="J168" s="18" t="str">
        <f>IF('13 - Config_Intake_View'!Q168&lt;&gt;"","PM Approved",IF('12 - Deployments &amp; Config'!BI173&lt;&gt;"","Assumed",""))</f>
        <v/>
      </c>
      <c r="K168" s="34">
        <f>'12 - Deployments &amp; Config'!BH173</f>
        <v>0</v>
      </c>
      <c r="L168" s="18">
        <f>'12 - Deployments &amp; Config'!P173</f>
        <v>0</v>
      </c>
      <c r="M168" s="18">
        <f>'12 - Deployments &amp; Config'!Q173</f>
        <v>0</v>
      </c>
      <c r="N168" s="18" t="str">
        <f>'12 - Deployments &amp; Config'!BL173</f>
        <v/>
      </c>
      <c r="O168" s="34" t="str">
        <f>'12 - Deployments &amp; Config'!BM173</f>
        <v/>
      </c>
      <c r="P168" s="2">
        <f>'12 - Deployments &amp; Config'!BB173</f>
        <v>0</v>
      </c>
      <c r="Q168" s="34" t="str">
        <f t="shared" si="8"/>
        <v/>
      </c>
      <c r="R168" s="18" t="str">
        <f t="shared" si="9"/>
        <v>SW NOT INSTALLED</v>
      </c>
      <c r="S168" s="18" t="str">
        <f t="shared" si="10"/>
        <v/>
      </c>
      <c r="T168" s="18" t="str">
        <f t="shared" si="11"/>
        <v>SW NOT INSTALLED</v>
      </c>
    </row>
    <row r="169" spans="1:20">
      <c r="A169" s="34">
        <f>'12 - Deployments &amp; Config'!H174</f>
        <v>0</v>
      </c>
      <c r="B169" s="34">
        <f>'12 - Deployments &amp; Config'!S174</f>
        <v>0</v>
      </c>
      <c r="C169" s="34">
        <f>'12 - Deployments &amp; Config'!T174</f>
        <v>0</v>
      </c>
      <c r="D169" s="18">
        <f>'12 - Deployments &amp; Config'!AK174</f>
        <v>0</v>
      </c>
      <c r="E169" s="18">
        <f>'12 - Deployments &amp; Config'!J174</f>
        <v>0</v>
      </c>
      <c r="F169" s="34">
        <f>'12 - Deployments &amp; Config'!K174</f>
        <v>0</v>
      </c>
      <c r="G169" s="18">
        <f>'12 - Deployments &amp; Config'!L174</f>
        <v>0</v>
      </c>
      <c r="H169" s="18">
        <f>'13 - Config_Intake_View'!M169</f>
        <v>0</v>
      </c>
      <c r="I169" s="34">
        <f>IF('13 - Config_Intake_View'!Q169&lt;&gt;"",'13 - Config_Intake_View'!Q169,'12 - Deployments &amp; Config'!BI174)</f>
        <v>0</v>
      </c>
      <c r="J169" s="18" t="str">
        <f>IF('13 - Config_Intake_View'!Q169&lt;&gt;"","PM Approved",IF('12 - Deployments &amp; Config'!BI174&lt;&gt;"","Assumed",""))</f>
        <v/>
      </c>
      <c r="K169" s="34">
        <f>'12 - Deployments &amp; Config'!BH174</f>
        <v>0</v>
      </c>
      <c r="L169" s="18">
        <f>'12 - Deployments &amp; Config'!P174</f>
        <v>0</v>
      </c>
      <c r="M169" s="18">
        <f>'12 - Deployments &amp; Config'!Q174</f>
        <v>0</v>
      </c>
      <c r="N169" s="18" t="str">
        <f>'12 - Deployments &amp; Config'!BL174</f>
        <v/>
      </c>
      <c r="O169" s="34" t="str">
        <f>'12 - Deployments &amp; Config'!BM174</f>
        <v/>
      </c>
      <c r="P169" s="2">
        <f>'12 - Deployments &amp; Config'!BB174</f>
        <v>0</v>
      </c>
      <c r="Q169" s="34" t="str">
        <f t="shared" si="8"/>
        <v/>
      </c>
      <c r="R169" s="18" t="str">
        <f t="shared" si="9"/>
        <v>SW NOT INSTALLED</v>
      </c>
      <c r="S169" s="18" t="str">
        <f t="shared" si="10"/>
        <v/>
      </c>
      <c r="T169" s="18" t="str">
        <f t="shared" si="11"/>
        <v>SW NOT INSTALLED</v>
      </c>
    </row>
    <row r="170" spans="1:20">
      <c r="A170" s="34">
        <f>'12 - Deployments &amp; Config'!H175</f>
        <v>0</v>
      </c>
      <c r="B170" s="34">
        <f>'12 - Deployments &amp; Config'!S175</f>
        <v>0</v>
      </c>
      <c r="C170" s="34">
        <f>'12 - Deployments &amp; Config'!T175</f>
        <v>0</v>
      </c>
      <c r="D170" s="18">
        <f>'12 - Deployments &amp; Config'!AK175</f>
        <v>0</v>
      </c>
      <c r="E170" s="18">
        <f>'12 - Deployments &amp; Config'!J175</f>
        <v>0</v>
      </c>
      <c r="F170" s="34">
        <f>'12 - Deployments &amp; Config'!K175</f>
        <v>0</v>
      </c>
      <c r="G170" s="18">
        <f>'12 - Deployments &amp; Config'!L175</f>
        <v>0</v>
      </c>
      <c r="H170" s="18">
        <f>'13 - Config_Intake_View'!M170</f>
        <v>0</v>
      </c>
      <c r="I170" s="34">
        <f>IF('13 - Config_Intake_View'!Q170&lt;&gt;"",'13 - Config_Intake_View'!Q170,'12 - Deployments &amp; Config'!BI175)</f>
        <v>0</v>
      </c>
      <c r="J170" s="18" t="str">
        <f>IF('13 - Config_Intake_View'!Q170&lt;&gt;"","PM Approved",IF('12 - Deployments &amp; Config'!BI175&lt;&gt;"","Assumed",""))</f>
        <v/>
      </c>
      <c r="K170" s="34">
        <f>'12 - Deployments &amp; Config'!BH175</f>
        <v>0</v>
      </c>
      <c r="L170" s="18">
        <f>'12 - Deployments &amp; Config'!P175</f>
        <v>0</v>
      </c>
      <c r="M170" s="18">
        <f>'12 - Deployments &amp; Config'!Q175</f>
        <v>0</v>
      </c>
      <c r="N170" s="18" t="str">
        <f>'12 - Deployments &amp; Config'!BL175</f>
        <v/>
      </c>
      <c r="O170" s="34" t="str">
        <f>'12 - Deployments &amp; Config'!BM175</f>
        <v/>
      </c>
      <c r="P170" s="2">
        <f>'12 - Deployments &amp; Config'!BB175</f>
        <v>0</v>
      </c>
      <c r="Q170" s="34" t="str">
        <f t="shared" si="8"/>
        <v/>
      </c>
      <c r="R170" s="18" t="str">
        <f t="shared" si="9"/>
        <v>SW NOT INSTALLED</v>
      </c>
      <c r="S170" s="18" t="str">
        <f t="shared" si="10"/>
        <v/>
      </c>
      <c r="T170" s="18" t="str">
        <f t="shared" si="11"/>
        <v>SW NOT INSTALLED</v>
      </c>
    </row>
    <row r="171" spans="1:20">
      <c r="A171" s="34">
        <f>'12 - Deployments &amp; Config'!H176</f>
        <v>0</v>
      </c>
      <c r="B171" s="34">
        <f>'12 - Deployments &amp; Config'!S176</f>
        <v>0</v>
      </c>
      <c r="C171" s="34">
        <f>'12 - Deployments &amp; Config'!T176</f>
        <v>0</v>
      </c>
      <c r="D171" s="18">
        <f>'12 - Deployments &amp; Config'!AK176</f>
        <v>0</v>
      </c>
      <c r="E171" s="18">
        <f>'12 - Deployments &amp; Config'!J176</f>
        <v>0</v>
      </c>
      <c r="F171" s="34">
        <f>'12 - Deployments &amp; Config'!K176</f>
        <v>0</v>
      </c>
      <c r="G171" s="18">
        <f>'12 - Deployments &amp; Config'!L176</f>
        <v>0</v>
      </c>
      <c r="H171" s="18">
        <f>'13 - Config_Intake_View'!M171</f>
        <v>0</v>
      </c>
      <c r="I171" s="34">
        <f>IF('13 - Config_Intake_View'!Q171&lt;&gt;"",'13 - Config_Intake_View'!Q171,'12 - Deployments &amp; Config'!BI176)</f>
        <v>0</v>
      </c>
      <c r="J171" s="18" t="str">
        <f>IF('13 - Config_Intake_View'!Q171&lt;&gt;"","PM Approved",IF('12 - Deployments &amp; Config'!BI176&lt;&gt;"","Assumed",""))</f>
        <v/>
      </c>
      <c r="K171" s="34">
        <f>'12 - Deployments &amp; Config'!BH176</f>
        <v>0</v>
      </c>
      <c r="L171" s="18">
        <f>'12 - Deployments &amp; Config'!P176</f>
        <v>0</v>
      </c>
      <c r="M171" s="18">
        <f>'12 - Deployments &amp; Config'!Q176</f>
        <v>0</v>
      </c>
      <c r="N171" s="18" t="str">
        <f>'12 - Deployments &amp; Config'!BL176</f>
        <v/>
      </c>
      <c r="O171" s="34" t="str">
        <f>'12 - Deployments &amp; Config'!BM176</f>
        <v/>
      </c>
      <c r="P171" s="2">
        <f>'12 - Deployments &amp; Config'!BB176</f>
        <v>0</v>
      </c>
      <c r="Q171" s="34" t="str">
        <f t="shared" si="8"/>
        <v/>
      </c>
      <c r="R171" s="18" t="str">
        <f t="shared" si="9"/>
        <v>SW NOT INSTALLED</v>
      </c>
      <c r="S171" s="18" t="str">
        <f t="shared" si="10"/>
        <v/>
      </c>
      <c r="T171" s="18" t="str">
        <f t="shared" si="11"/>
        <v>SW NOT INSTALLED</v>
      </c>
    </row>
    <row r="172" spans="1:20">
      <c r="A172" s="34">
        <f>'12 - Deployments &amp; Config'!H177</f>
        <v>0</v>
      </c>
      <c r="B172" s="34">
        <f>'12 - Deployments &amp; Config'!S177</f>
        <v>0</v>
      </c>
      <c r="C172" s="34">
        <f>'12 - Deployments &amp; Config'!T177</f>
        <v>0</v>
      </c>
      <c r="D172" s="18">
        <f>'12 - Deployments &amp; Config'!AK177</f>
        <v>0</v>
      </c>
      <c r="E172" s="18">
        <f>'12 - Deployments &amp; Config'!J177</f>
        <v>0</v>
      </c>
      <c r="F172" s="34">
        <f>'12 - Deployments &amp; Config'!K177</f>
        <v>0</v>
      </c>
      <c r="G172" s="18">
        <f>'12 - Deployments &amp; Config'!L177</f>
        <v>0</v>
      </c>
      <c r="H172" s="18">
        <f>'13 - Config_Intake_View'!M172</f>
        <v>0</v>
      </c>
      <c r="I172" s="34">
        <f>IF('13 - Config_Intake_View'!Q172&lt;&gt;"",'13 - Config_Intake_View'!Q172,'12 - Deployments &amp; Config'!BI177)</f>
        <v>0</v>
      </c>
      <c r="J172" s="18" t="str">
        <f>IF('13 - Config_Intake_View'!Q172&lt;&gt;"","PM Approved",IF('12 - Deployments &amp; Config'!BI177&lt;&gt;"","Assumed",""))</f>
        <v/>
      </c>
      <c r="K172" s="34">
        <f>'12 - Deployments &amp; Config'!BH177</f>
        <v>0</v>
      </c>
      <c r="L172" s="18">
        <f>'12 - Deployments &amp; Config'!P177</f>
        <v>0</v>
      </c>
      <c r="M172" s="18">
        <f>'12 - Deployments &amp; Config'!Q177</f>
        <v>0</v>
      </c>
      <c r="N172" s="18" t="str">
        <f>'12 - Deployments &amp; Config'!BL177</f>
        <v/>
      </c>
      <c r="O172" s="34" t="str">
        <f>'12 - Deployments &amp; Config'!BM177</f>
        <v/>
      </c>
      <c r="P172" s="2">
        <f>'12 - Deployments &amp; Config'!BB177</f>
        <v>0</v>
      </c>
      <c r="Q172" s="34" t="str">
        <f t="shared" si="8"/>
        <v/>
      </c>
      <c r="R172" s="18" t="str">
        <f t="shared" si="9"/>
        <v>SW NOT INSTALLED</v>
      </c>
      <c r="S172" s="18" t="str">
        <f t="shared" si="10"/>
        <v/>
      </c>
      <c r="T172" s="18" t="str">
        <f t="shared" si="11"/>
        <v>SW NOT INSTALLED</v>
      </c>
    </row>
    <row r="173" spans="1:20">
      <c r="A173" s="34">
        <f>'12 - Deployments &amp; Config'!H178</f>
        <v>0</v>
      </c>
      <c r="B173" s="34">
        <f>'12 - Deployments &amp; Config'!S178</f>
        <v>0</v>
      </c>
      <c r="C173" s="34">
        <f>'12 - Deployments &amp; Config'!T178</f>
        <v>0</v>
      </c>
      <c r="D173" s="18">
        <f>'12 - Deployments &amp; Config'!AK178</f>
        <v>0</v>
      </c>
      <c r="E173" s="18">
        <f>'12 - Deployments &amp; Config'!J178</f>
        <v>0</v>
      </c>
      <c r="F173" s="34">
        <f>'12 - Deployments &amp; Config'!K178</f>
        <v>0</v>
      </c>
      <c r="G173" s="18">
        <f>'12 - Deployments &amp; Config'!L178</f>
        <v>0</v>
      </c>
      <c r="H173" s="18">
        <f>'13 - Config_Intake_View'!M173</f>
        <v>0</v>
      </c>
      <c r="I173" s="34">
        <f>IF('13 - Config_Intake_View'!Q173&lt;&gt;"",'13 - Config_Intake_View'!Q173,'12 - Deployments &amp; Config'!BI178)</f>
        <v>0</v>
      </c>
      <c r="J173" s="18" t="str">
        <f>IF('13 - Config_Intake_View'!Q173&lt;&gt;"","PM Approved",IF('12 - Deployments &amp; Config'!BI178&lt;&gt;"","Assumed",""))</f>
        <v/>
      </c>
      <c r="K173" s="34">
        <f>'12 - Deployments &amp; Config'!BH178</f>
        <v>0</v>
      </c>
      <c r="L173" s="18">
        <f>'12 - Deployments &amp; Config'!P178</f>
        <v>0</v>
      </c>
      <c r="M173" s="18">
        <f>'12 - Deployments &amp; Config'!Q178</f>
        <v>0</v>
      </c>
      <c r="N173" s="18" t="str">
        <f>'12 - Deployments &amp; Config'!BL178</f>
        <v/>
      </c>
      <c r="O173" s="34" t="str">
        <f>'12 - Deployments &amp; Config'!BM178</f>
        <v/>
      </c>
      <c r="P173" s="2">
        <f>'12 - Deployments &amp; Config'!BB178</f>
        <v>0</v>
      </c>
      <c r="Q173" s="34" t="str">
        <f t="shared" si="8"/>
        <v/>
      </c>
      <c r="R173" s="18" t="str">
        <f t="shared" si="9"/>
        <v>SW NOT INSTALLED</v>
      </c>
      <c r="S173" s="18" t="str">
        <f t="shared" si="10"/>
        <v/>
      </c>
      <c r="T173" s="18" t="str">
        <f t="shared" si="11"/>
        <v>SW NOT INSTALLED</v>
      </c>
    </row>
    <row r="174" spans="1:20">
      <c r="A174" s="34">
        <f>'12 - Deployments &amp; Config'!H179</f>
        <v>0</v>
      </c>
      <c r="B174" s="34">
        <f>'12 - Deployments &amp; Config'!S179</f>
        <v>0</v>
      </c>
      <c r="C174" s="34">
        <f>'12 - Deployments &amp; Config'!T179</f>
        <v>0</v>
      </c>
      <c r="D174" s="18">
        <f>'12 - Deployments &amp; Config'!AK179</f>
        <v>0</v>
      </c>
      <c r="E174" s="18">
        <f>'12 - Deployments &amp; Config'!J179</f>
        <v>0</v>
      </c>
      <c r="F174" s="34">
        <f>'12 - Deployments &amp; Config'!K179</f>
        <v>0</v>
      </c>
      <c r="G174" s="18">
        <f>'12 - Deployments &amp; Config'!L179</f>
        <v>0</v>
      </c>
      <c r="H174" s="18">
        <f>'13 - Config_Intake_View'!M174</f>
        <v>0</v>
      </c>
      <c r="I174" s="34">
        <f>IF('13 - Config_Intake_View'!Q174&lt;&gt;"",'13 - Config_Intake_View'!Q174,'12 - Deployments &amp; Config'!BI179)</f>
        <v>0</v>
      </c>
      <c r="J174" s="18" t="str">
        <f>IF('13 - Config_Intake_View'!Q174&lt;&gt;"","PM Approved",IF('12 - Deployments &amp; Config'!BI179&lt;&gt;"","Assumed",""))</f>
        <v/>
      </c>
      <c r="K174" s="34">
        <f>'12 - Deployments &amp; Config'!BH179</f>
        <v>0</v>
      </c>
      <c r="L174" s="18">
        <f>'12 - Deployments &amp; Config'!P179</f>
        <v>0</v>
      </c>
      <c r="M174" s="18">
        <f>'12 - Deployments &amp; Config'!Q179</f>
        <v>0</v>
      </c>
      <c r="N174" s="18" t="str">
        <f>'12 - Deployments &amp; Config'!BL179</f>
        <v/>
      </c>
      <c r="O174" s="34" t="str">
        <f>'12 - Deployments &amp; Config'!BM179</f>
        <v/>
      </c>
      <c r="P174" s="2">
        <f>'12 - Deployments &amp; Config'!BB179</f>
        <v>0</v>
      </c>
      <c r="Q174" s="34" t="str">
        <f t="shared" si="8"/>
        <v/>
      </c>
      <c r="R174" s="18" t="str">
        <f t="shared" si="9"/>
        <v>SW NOT INSTALLED</v>
      </c>
      <c r="S174" s="18" t="str">
        <f t="shared" si="10"/>
        <v/>
      </c>
      <c r="T174" s="18" t="str">
        <f t="shared" si="11"/>
        <v>SW NOT INSTALLED</v>
      </c>
    </row>
    <row r="175" spans="1:20">
      <c r="A175" s="34">
        <f>'12 - Deployments &amp; Config'!H180</f>
        <v>0</v>
      </c>
      <c r="B175" s="34">
        <f>'12 - Deployments &amp; Config'!S180</f>
        <v>0</v>
      </c>
      <c r="C175" s="34">
        <f>'12 - Deployments &amp; Config'!T180</f>
        <v>0</v>
      </c>
      <c r="D175" s="18">
        <f>'12 - Deployments &amp; Config'!AK180</f>
        <v>0</v>
      </c>
      <c r="E175" s="18">
        <f>'12 - Deployments &amp; Config'!J180</f>
        <v>0</v>
      </c>
      <c r="F175" s="34">
        <f>'12 - Deployments &amp; Config'!K180</f>
        <v>0</v>
      </c>
      <c r="G175" s="18">
        <f>'12 - Deployments &amp; Config'!L180</f>
        <v>0</v>
      </c>
      <c r="H175" s="18">
        <f>'13 - Config_Intake_View'!M175</f>
        <v>0</v>
      </c>
      <c r="I175" s="34">
        <f>IF('13 - Config_Intake_View'!Q175&lt;&gt;"",'13 - Config_Intake_View'!Q175,'12 - Deployments &amp; Config'!BI180)</f>
        <v>0</v>
      </c>
      <c r="J175" s="18" t="str">
        <f>IF('13 - Config_Intake_View'!Q175&lt;&gt;"","PM Approved",IF('12 - Deployments &amp; Config'!BI180&lt;&gt;"","Assumed",""))</f>
        <v/>
      </c>
      <c r="K175" s="34">
        <f>'12 - Deployments &amp; Config'!BH180</f>
        <v>0</v>
      </c>
      <c r="L175" s="18">
        <f>'12 - Deployments &amp; Config'!P180</f>
        <v>0</v>
      </c>
      <c r="M175" s="18">
        <f>'12 - Deployments &amp; Config'!Q180</f>
        <v>0</v>
      </c>
      <c r="N175" s="18" t="str">
        <f>'12 - Deployments &amp; Config'!BL180</f>
        <v/>
      </c>
      <c r="O175" s="34" t="str">
        <f>'12 - Deployments &amp; Config'!BM180</f>
        <v/>
      </c>
      <c r="P175" s="2">
        <f>'12 - Deployments &amp; Config'!BB180</f>
        <v>0</v>
      </c>
      <c r="Q175" s="34" t="str">
        <f t="shared" si="8"/>
        <v/>
      </c>
      <c r="R175" s="18" t="str">
        <f t="shared" si="9"/>
        <v>SW NOT INSTALLED</v>
      </c>
      <c r="S175" s="18" t="str">
        <f t="shared" si="10"/>
        <v/>
      </c>
      <c r="T175" s="18" t="str">
        <f t="shared" si="11"/>
        <v>SW NOT INSTALLED</v>
      </c>
    </row>
    <row r="176" spans="1:20">
      <c r="A176" s="34">
        <f>'12 - Deployments &amp; Config'!H181</f>
        <v>0</v>
      </c>
      <c r="B176" s="34">
        <f>'12 - Deployments &amp; Config'!S181</f>
        <v>0</v>
      </c>
      <c r="C176" s="34">
        <f>'12 - Deployments &amp; Config'!T181</f>
        <v>0</v>
      </c>
      <c r="D176" s="18">
        <f>'12 - Deployments &amp; Config'!AK181</f>
        <v>0</v>
      </c>
      <c r="E176" s="18">
        <f>'12 - Deployments &amp; Config'!J181</f>
        <v>0</v>
      </c>
      <c r="F176" s="34">
        <f>'12 - Deployments &amp; Config'!K181</f>
        <v>0</v>
      </c>
      <c r="G176" s="18">
        <f>'12 - Deployments &amp; Config'!L181</f>
        <v>0</v>
      </c>
      <c r="H176" s="18">
        <f>'13 - Config_Intake_View'!M176</f>
        <v>0</v>
      </c>
      <c r="I176" s="34">
        <f>IF('13 - Config_Intake_View'!Q176&lt;&gt;"",'13 - Config_Intake_View'!Q176,'12 - Deployments &amp; Config'!BI181)</f>
        <v>0</v>
      </c>
      <c r="J176" s="18" t="str">
        <f>IF('13 - Config_Intake_View'!Q176&lt;&gt;"","PM Approved",IF('12 - Deployments &amp; Config'!BI181&lt;&gt;"","Assumed",""))</f>
        <v/>
      </c>
      <c r="K176" s="34">
        <f>'12 - Deployments &amp; Config'!BH181</f>
        <v>0</v>
      </c>
      <c r="L176" s="18">
        <f>'12 - Deployments &amp; Config'!P181</f>
        <v>0</v>
      </c>
      <c r="M176" s="18">
        <f>'12 - Deployments &amp; Config'!Q181</f>
        <v>0</v>
      </c>
      <c r="N176" s="18" t="str">
        <f>'12 - Deployments &amp; Config'!BL181</f>
        <v/>
      </c>
      <c r="O176" s="34" t="str">
        <f>'12 - Deployments &amp; Config'!BM181</f>
        <v/>
      </c>
      <c r="P176" s="2">
        <f>'12 - Deployments &amp; Config'!BB181</f>
        <v>0</v>
      </c>
      <c r="Q176" s="34" t="str">
        <f t="shared" si="8"/>
        <v/>
      </c>
      <c r="R176" s="18" t="str">
        <f t="shared" si="9"/>
        <v>SW NOT INSTALLED</v>
      </c>
      <c r="S176" s="18" t="str">
        <f t="shared" si="10"/>
        <v/>
      </c>
      <c r="T176" s="18" t="str">
        <f t="shared" si="11"/>
        <v>SW NOT INSTALLED</v>
      </c>
    </row>
    <row r="177" spans="1:20">
      <c r="A177" s="34">
        <f>'12 - Deployments &amp; Config'!H182</f>
        <v>0</v>
      </c>
      <c r="B177" s="34">
        <f>'12 - Deployments &amp; Config'!S182</f>
        <v>0</v>
      </c>
      <c r="C177" s="34">
        <f>'12 - Deployments &amp; Config'!T182</f>
        <v>0</v>
      </c>
      <c r="D177" s="18">
        <f>'12 - Deployments &amp; Config'!AK182</f>
        <v>0</v>
      </c>
      <c r="E177" s="18">
        <f>'12 - Deployments &amp; Config'!J182</f>
        <v>0</v>
      </c>
      <c r="F177" s="34">
        <f>'12 - Deployments &amp; Config'!K182</f>
        <v>0</v>
      </c>
      <c r="G177" s="18">
        <f>'12 - Deployments &amp; Config'!L182</f>
        <v>0</v>
      </c>
      <c r="H177" s="18">
        <f>'13 - Config_Intake_View'!M177</f>
        <v>0</v>
      </c>
      <c r="I177" s="34">
        <f>IF('13 - Config_Intake_View'!Q177&lt;&gt;"",'13 - Config_Intake_View'!Q177,'12 - Deployments &amp; Config'!BI182)</f>
        <v>0</v>
      </c>
      <c r="J177" s="18" t="str">
        <f>IF('13 - Config_Intake_View'!Q177&lt;&gt;"","PM Approved",IF('12 - Deployments &amp; Config'!BI182&lt;&gt;"","Assumed",""))</f>
        <v/>
      </c>
      <c r="K177" s="34">
        <f>'12 - Deployments &amp; Config'!BH182</f>
        <v>0</v>
      </c>
      <c r="L177" s="18">
        <f>'12 - Deployments &amp; Config'!P182</f>
        <v>0</v>
      </c>
      <c r="M177" s="18">
        <f>'12 - Deployments &amp; Config'!Q182</f>
        <v>0</v>
      </c>
      <c r="N177" s="18" t="str">
        <f>'12 - Deployments &amp; Config'!BL182</f>
        <v/>
      </c>
      <c r="O177" s="34" t="str">
        <f>'12 - Deployments &amp; Config'!BM182</f>
        <v/>
      </c>
      <c r="P177" s="2">
        <f>'12 - Deployments &amp; Config'!BB182</f>
        <v>0</v>
      </c>
      <c r="Q177" s="34" t="str">
        <f t="shared" si="8"/>
        <v/>
      </c>
      <c r="R177" s="18" t="str">
        <f t="shared" si="9"/>
        <v>SW NOT INSTALLED</v>
      </c>
      <c r="S177" s="18" t="str">
        <f t="shared" si="10"/>
        <v/>
      </c>
      <c r="T177" s="18" t="str">
        <f t="shared" si="11"/>
        <v>SW NOT INSTALLED</v>
      </c>
    </row>
    <row r="178" spans="1:20">
      <c r="A178" s="34">
        <f>'12 - Deployments &amp; Config'!H183</f>
        <v>0</v>
      </c>
      <c r="B178" s="34">
        <f>'12 - Deployments &amp; Config'!S183</f>
        <v>0</v>
      </c>
      <c r="C178" s="34">
        <f>'12 - Deployments &amp; Config'!T183</f>
        <v>0</v>
      </c>
      <c r="D178" s="18">
        <f>'12 - Deployments &amp; Config'!AK183</f>
        <v>0</v>
      </c>
      <c r="E178" s="18">
        <f>'12 - Deployments &amp; Config'!J183</f>
        <v>0</v>
      </c>
      <c r="F178" s="34">
        <f>'12 - Deployments &amp; Config'!K183</f>
        <v>0</v>
      </c>
      <c r="G178" s="18">
        <f>'12 - Deployments &amp; Config'!L183</f>
        <v>0</v>
      </c>
      <c r="H178" s="18">
        <f>'13 - Config_Intake_View'!M178</f>
        <v>0</v>
      </c>
      <c r="I178" s="34">
        <f>IF('13 - Config_Intake_View'!Q178&lt;&gt;"",'13 - Config_Intake_View'!Q178,'12 - Deployments &amp; Config'!BI183)</f>
        <v>0</v>
      </c>
      <c r="J178" s="18" t="str">
        <f>IF('13 - Config_Intake_View'!Q178&lt;&gt;"","PM Approved",IF('12 - Deployments &amp; Config'!BI183&lt;&gt;"","Assumed",""))</f>
        <v/>
      </c>
      <c r="K178" s="34">
        <f>'12 - Deployments &amp; Config'!BH183</f>
        <v>0</v>
      </c>
      <c r="L178" s="18">
        <f>'12 - Deployments &amp; Config'!P183</f>
        <v>0</v>
      </c>
      <c r="M178" s="18">
        <f>'12 - Deployments &amp; Config'!Q183</f>
        <v>0</v>
      </c>
      <c r="N178" s="18" t="str">
        <f>'12 - Deployments &amp; Config'!BL183</f>
        <v/>
      </c>
      <c r="O178" s="34" t="str">
        <f>'12 - Deployments &amp; Config'!BM183</f>
        <v/>
      </c>
      <c r="P178" s="2">
        <f>'12 - Deployments &amp; Config'!BB183</f>
        <v>0</v>
      </c>
      <c r="Q178" s="34" t="str">
        <f t="shared" si="8"/>
        <v/>
      </c>
      <c r="R178" s="18" t="str">
        <f t="shared" si="9"/>
        <v>SW NOT INSTALLED</v>
      </c>
      <c r="S178" s="18" t="str">
        <f t="shared" si="10"/>
        <v/>
      </c>
      <c r="T178" s="18" t="str">
        <f t="shared" si="11"/>
        <v>SW NOT INSTALLED</v>
      </c>
    </row>
    <row r="179" spans="1:20">
      <c r="A179" s="34">
        <f>'12 - Deployments &amp; Config'!H184</f>
        <v>0</v>
      </c>
      <c r="B179" s="34">
        <f>'12 - Deployments &amp; Config'!S184</f>
        <v>0</v>
      </c>
      <c r="C179" s="34">
        <f>'12 - Deployments &amp; Config'!T184</f>
        <v>0</v>
      </c>
      <c r="D179" s="18">
        <f>'12 - Deployments &amp; Config'!AK184</f>
        <v>0</v>
      </c>
      <c r="E179" s="18">
        <f>'12 - Deployments &amp; Config'!J184</f>
        <v>0</v>
      </c>
      <c r="F179" s="34">
        <f>'12 - Deployments &amp; Config'!K184</f>
        <v>0</v>
      </c>
      <c r="G179" s="18">
        <f>'12 - Deployments &amp; Config'!L184</f>
        <v>0</v>
      </c>
      <c r="H179" s="18">
        <f>'13 - Config_Intake_View'!M179</f>
        <v>0</v>
      </c>
      <c r="I179" s="34">
        <f>IF('13 - Config_Intake_View'!Q179&lt;&gt;"",'13 - Config_Intake_View'!Q179,'12 - Deployments &amp; Config'!BI184)</f>
        <v>0</v>
      </c>
      <c r="J179" s="18" t="str">
        <f>IF('13 - Config_Intake_View'!Q179&lt;&gt;"","PM Approved",IF('12 - Deployments &amp; Config'!BI184&lt;&gt;"","Assumed",""))</f>
        <v/>
      </c>
      <c r="K179" s="34">
        <f>'12 - Deployments &amp; Config'!BH184</f>
        <v>0</v>
      </c>
      <c r="L179" s="18">
        <f>'12 - Deployments &amp; Config'!P184</f>
        <v>0</v>
      </c>
      <c r="M179" s="18">
        <f>'12 - Deployments &amp; Config'!Q184</f>
        <v>0</v>
      </c>
      <c r="N179" s="18" t="str">
        <f>'12 - Deployments &amp; Config'!BL184</f>
        <v/>
      </c>
      <c r="O179" s="34" t="str">
        <f>'12 - Deployments &amp; Config'!BM184</f>
        <v/>
      </c>
      <c r="P179" s="2">
        <f>'12 - Deployments &amp; Config'!BB184</f>
        <v>0</v>
      </c>
      <c r="Q179" s="34" t="str">
        <f t="shared" si="8"/>
        <v/>
      </c>
      <c r="R179" s="18" t="str">
        <f t="shared" si="9"/>
        <v>SW NOT INSTALLED</v>
      </c>
      <c r="S179" s="18" t="str">
        <f t="shared" si="10"/>
        <v/>
      </c>
      <c r="T179" s="18" t="str">
        <f t="shared" si="11"/>
        <v>SW NOT INSTALLED</v>
      </c>
    </row>
    <row r="180" spans="1:20">
      <c r="A180" s="34">
        <f>'12 - Deployments &amp; Config'!H185</f>
        <v>0</v>
      </c>
      <c r="B180" s="34">
        <f>'12 - Deployments &amp; Config'!S185</f>
        <v>0</v>
      </c>
      <c r="C180" s="34">
        <f>'12 - Deployments &amp; Config'!T185</f>
        <v>0</v>
      </c>
      <c r="D180" s="18">
        <f>'12 - Deployments &amp; Config'!AK185</f>
        <v>0</v>
      </c>
      <c r="E180" s="18">
        <f>'12 - Deployments &amp; Config'!J185</f>
        <v>0</v>
      </c>
      <c r="F180" s="34">
        <f>'12 - Deployments &amp; Config'!K185</f>
        <v>0</v>
      </c>
      <c r="G180" s="18">
        <f>'12 - Deployments &amp; Config'!L185</f>
        <v>0</v>
      </c>
      <c r="H180" s="18">
        <f>'13 - Config_Intake_View'!M180</f>
        <v>0</v>
      </c>
      <c r="I180" s="34">
        <f>IF('13 - Config_Intake_View'!Q180&lt;&gt;"",'13 - Config_Intake_View'!Q180,'12 - Deployments &amp; Config'!BI185)</f>
        <v>0</v>
      </c>
      <c r="J180" s="18" t="str">
        <f>IF('13 - Config_Intake_View'!Q180&lt;&gt;"","PM Approved",IF('12 - Deployments &amp; Config'!BI185&lt;&gt;"","Assumed",""))</f>
        <v/>
      </c>
      <c r="K180" s="34">
        <f>'12 - Deployments &amp; Config'!BH185</f>
        <v>0</v>
      </c>
      <c r="L180" s="18">
        <f>'12 - Deployments &amp; Config'!P185</f>
        <v>0</v>
      </c>
      <c r="M180" s="18">
        <f>'12 - Deployments &amp; Config'!Q185</f>
        <v>0</v>
      </c>
      <c r="N180" s="18" t="str">
        <f>'12 - Deployments &amp; Config'!BL185</f>
        <v/>
      </c>
      <c r="O180" s="34" t="str">
        <f>'12 - Deployments &amp; Config'!BM185</f>
        <v/>
      </c>
      <c r="P180" s="2">
        <f>'12 - Deployments &amp; Config'!BB185</f>
        <v>0</v>
      </c>
      <c r="Q180" s="34" t="str">
        <f t="shared" si="8"/>
        <v/>
      </c>
      <c r="R180" s="18" t="str">
        <f t="shared" si="9"/>
        <v>SW NOT INSTALLED</v>
      </c>
      <c r="S180" s="18" t="str">
        <f t="shared" si="10"/>
        <v/>
      </c>
      <c r="T180" s="18" t="str">
        <f t="shared" si="11"/>
        <v>SW NOT INSTALLED</v>
      </c>
    </row>
    <row r="181" spans="1:20">
      <c r="A181" s="34">
        <f>'12 - Deployments &amp; Config'!H186</f>
        <v>0</v>
      </c>
      <c r="B181" s="34">
        <f>'12 - Deployments &amp; Config'!S186</f>
        <v>0</v>
      </c>
      <c r="C181" s="34">
        <f>'12 - Deployments &amp; Config'!T186</f>
        <v>0</v>
      </c>
      <c r="D181" s="18">
        <f>'12 - Deployments &amp; Config'!AK186</f>
        <v>0</v>
      </c>
      <c r="E181" s="18">
        <f>'12 - Deployments &amp; Config'!J186</f>
        <v>0</v>
      </c>
      <c r="F181" s="34">
        <f>'12 - Deployments &amp; Config'!K186</f>
        <v>0</v>
      </c>
      <c r="G181" s="18">
        <f>'12 - Deployments &amp; Config'!L186</f>
        <v>0</v>
      </c>
      <c r="H181" s="18">
        <f>'13 - Config_Intake_View'!M181</f>
        <v>0</v>
      </c>
      <c r="I181" s="34">
        <f>IF('13 - Config_Intake_View'!Q181&lt;&gt;"",'13 - Config_Intake_View'!Q181,'12 - Deployments &amp; Config'!BI186)</f>
        <v>0</v>
      </c>
      <c r="J181" s="18" t="str">
        <f>IF('13 - Config_Intake_View'!Q181&lt;&gt;"","PM Approved",IF('12 - Deployments &amp; Config'!BI186&lt;&gt;"","Assumed",""))</f>
        <v/>
      </c>
      <c r="K181" s="34">
        <f>'12 - Deployments &amp; Config'!BH186</f>
        <v>0</v>
      </c>
      <c r="L181" s="18">
        <f>'12 - Deployments &amp; Config'!P186</f>
        <v>0</v>
      </c>
      <c r="M181" s="18">
        <f>'12 - Deployments &amp; Config'!Q186</f>
        <v>0</v>
      </c>
      <c r="N181" s="18" t="str">
        <f>'12 - Deployments &amp; Config'!BL186</f>
        <v/>
      </c>
      <c r="O181" s="34" t="str">
        <f>'12 - Deployments &amp; Config'!BM186</f>
        <v/>
      </c>
      <c r="P181" s="2">
        <f>'12 - Deployments &amp; Config'!BB186</f>
        <v>0</v>
      </c>
      <c r="Q181" s="34" t="str">
        <f t="shared" si="8"/>
        <v/>
      </c>
      <c r="R181" s="18" t="str">
        <f t="shared" si="9"/>
        <v>SW NOT INSTALLED</v>
      </c>
      <c r="S181" s="18" t="str">
        <f t="shared" si="10"/>
        <v/>
      </c>
      <c r="T181" s="18" t="str">
        <f t="shared" si="11"/>
        <v>SW NOT INSTALLED</v>
      </c>
    </row>
    <row r="182" spans="1:20">
      <c r="A182" s="34">
        <f>'12 - Deployments &amp; Config'!H187</f>
        <v>0</v>
      </c>
      <c r="B182" s="34">
        <f>'12 - Deployments &amp; Config'!S187</f>
        <v>0</v>
      </c>
      <c r="C182" s="34">
        <f>'12 - Deployments &amp; Config'!T187</f>
        <v>0</v>
      </c>
      <c r="D182" s="18">
        <f>'12 - Deployments &amp; Config'!AK187</f>
        <v>0</v>
      </c>
      <c r="E182" s="18">
        <f>'12 - Deployments &amp; Config'!J187</f>
        <v>0</v>
      </c>
      <c r="F182" s="34">
        <f>'12 - Deployments &amp; Config'!K187</f>
        <v>0</v>
      </c>
      <c r="G182" s="18">
        <f>'12 - Deployments &amp; Config'!L187</f>
        <v>0</v>
      </c>
      <c r="H182" s="18">
        <f>'13 - Config_Intake_View'!M182</f>
        <v>0</v>
      </c>
      <c r="I182" s="34">
        <f>IF('13 - Config_Intake_View'!Q182&lt;&gt;"",'13 - Config_Intake_View'!Q182,'12 - Deployments &amp; Config'!BI187)</f>
        <v>0</v>
      </c>
      <c r="J182" s="18" t="str">
        <f>IF('13 - Config_Intake_View'!Q182&lt;&gt;"","PM Approved",IF('12 - Deployments &amp; Config'!BI187&lt;&gt;"","Assumed",""))</f>
        <v/>
      </c>
      <c r="K182" s="34">
        <f>'12 - Deployments &amp; Config'!BH187</f>
        <v>0</v>
      </c>
      <c r="L182" s="18">
        <f>'12 - Deployments &amp; Config'!P187</f>
        <v>0</v>
      </c>
      <c r="M182" s="18">
        <f>'12 - Deployments &amp; Config'!Q187</f>
        <v>0</v>
      </c>
      <c r="N182" s="18" t="str">
        <f>'12 - Deployments &amp; Config'!BL187</f>
        <v/>
      </c>
      <c r="O182" s="34" t="str">
        <f>'12 - Deployments &amp; Config'!BM187</f>
        <v/>
      </c>
      <c r="P182" s="2">
        <f>'12 - Deployments &amp; Config'!BB187</f>
        <v>0</v>
      </c>
      <c r="Q182" s="34" t="str">
        <f t="shared" si="8"/>
        <v/>
      </c>
      <c r="R182" s="18" t="str">
        <f t="shared" si="9"/>
        <v>SW NOT INSTALLED</v>
      </c>
      <c r="S182" s="18" t="str">
        <f t="shared" si="10"/>
        <v/>
      </c>
      <c r="T182" s="18" t="str">
        <f t="shared" si="11"/>
        <v>SW NOT INSTALLED</v>
      </c>
    </row>
    <row r="183" spans="1:20">
      <c r="A183" s="34">
        <f>'12 - Deployments &amp; Config'!H188</f>
        <v>0</v>
      </c>
      <c r="B183" s="34">
        <f>'12 - Deployments &amp; Config'!S188</f>
        <v>0</v>
      </c>
      <c r="C183" s="34">
        <f>'12 - Deployments &amp; Config'!T188</f>
        <v>0</v>
      </c>
      <c r="D183" s="18">
        <f>'12 - Deployments &amp; Config'!AK188</f>
        <v>0</v>
      </c>
      <c r="E183" s="18">
        <f>'12 - Deployments &amp; Config'!J188</f>
        <v>0</v>
      </c>
      <c r="F183" s="34">
        <f>'12 - Deployments &amp; Config'!K188</f>
        <v>0</v>
      </c>
      <c r="G183" s="18">
        <f>'12 - Deployments &amp; Config'!L188</f>
        <v>0</v>
      </c>
      <c r="H183" s="18">
        <f>'13 - Config_Intake_View'!M183</f>
        <v>0</v>
      </c>
      <c r="I183" s="34">
        <f>IF('13 - Config_Intake_View'!Q183&lt;&gt;"",'13 - Config_Intake_View'!Q183,'12 - Deployments &amp; Config'!BI188)</f>
        <v>0</v>
      </c>
      <c r="J183" s="18" t="str">
        <f>IF('13 - Config_Intake_View'!Q183&lt;&gt;"","PM Approved",IF('12 - Deployments &amp; Config'!BI188&lt;&gt;"","Assumed",""))</f>
        <v/>
      </c>
      <c r="K183" s="34">
        <f>'12 - Deployments &amp; Config'!BH188</f>
        <v>0</v>
      </c>
      <c r="L183" s="18">
        <f>'12 - Deployments &amp; Config'!P188</f>
        <v>0</v>
      </c>
      <c r="M183" s="18">
        <f>'12 - Deployments &amp; Config'!Q188</f>
        <v>0</v>
      </c>
      <c r="N183" s="18" t="str">
        <f>'12 - Deployments &amp; Config'!BL188</f>
        <v/>
      </c>
      <c r="O183" s="34" t="str">
        <f>'12 - Deployments &amp; Config'!BM188</f>
        <v/>
      </c>
      <c r="P183" s="2">
        <f>'12 - Deployments &amp; Config'!BB188</f>
        <v>0</v>
      </c>
      <c r="Q183" s="34" t="str">
        <f t="shared" si="8"/>
        <v/>
      </c>
      <c r="R183" s="18" t="str">
        <f t="shared" si="9"/>
        <v>SW NOT INSTALLED</v>
      </c>
      <c r="S183" s="18" t="str">
        <f t="shared" si="10"/>
        <v/>
      </c>
      <c r="T183" s="18" t="str">
        <f t="shared" si="11"/>
        <v>SW NOT INSTALLED</v>
      </c>
    </row>
    <row r="184" spans="1:20">
      <c r="A184" s="34">
        <f>'12 - Deployments &amp; Config'!H189</f>
        <v>0</v>
      </c>
      <c r="B184" s="34">
        <f>'12 - Deployments &amp; Config'!S189</f>
        <v>0</v>
      </c>
      <c r="C184" s="34">
        <f>'12 - Deployments &amp; Config'!T189</f>
        <v>0</v>
      </c>
      <c r="D184" s="18">
        <f>'12 - Deployments &amp; Config'!AK189</f>
        <v>0</v>
      </c>
      <c r="E184" s="18">
        <f>'12 - Deployments &amp; Config'!J189</f>
        <v>0</v>
      </c>
      <c r="F184" s="34">
        <f>'12 - Deployments &amp; Config'!K189</f>
        <v>0</v>
      </c>
      <c r="G184" s="18">
        <f>'12 - Deployments &amp; Config'!L189</f>
        <v>0</v>
      </c>
      <c r="H184" s="18">
        <f>'13 - Config_Intake_View'!M184</f>
        <v>0</v>
      </c>
      <c r="I184" s="34">
        <f>IF('13 - Config_Intake_View'!Q184&lt;&gt;"",'13 - Config_Intake_View'!Q184,'12 - Deployments &amp; Config'!BI189)</f>
        <v>0</v>
      </c>
      <c r="J184" s="18" t="str">
        <f>IF('13 - Config_Intake_View'!Q184&lt;&gt;"","PM Approved",IF('12 - Deployments &amp; Config'!BI189&lt;&gt;"","Assumed",""))</f>
        <v/>
      </c>
      <c r="K184" s="34">
        <f>'12 - Deployments &amp; Config'!BH189</f>
        <v>0</v>
      </c>
      <c r="L184" s="18">
        <f>'12 - Deployments &amp; Config'!P189</f>
        <v>0</v>
      </c>
      <c r="M184" s="18">
        <f>'12 - Deployments &amp; Config'!Q189</f>
        <v>0</v>
      </c>
      <c r="N184" s="18" t="str">
        <f>'12 - Deployments &amp; Config'!BL189</f>
        <v/>
      </c>
      <c r="O184" s="34" t="str">
        <f>'12 - Deployments &amp; Config'!BM189</f>
        <v/>
      </c>
      <c r="P184" s="2">
        <f>'12 - Deployments &amp; Config'!BB189</f>
        <v>0</v>
      </c>
      <c r="Q184" s="34" t="str">
        <f t="shared" si="8"/>
        <v/>
      </c>
      <c r="R184" s="18" t="str">
        <f t="shared" si="9"/>
        <v>SW NOT INSTALLED</v>
      </c>
      <c r="S184" s="18" t="str">
        <f t="shared" si="10"/>
        <v/>
      </c>
      <c r="T184" s="18" t="str">
        <f t="shared" si="11"/>
        <v>SW NOT INSTALLED</v>
      </c>
    </row>
    <row r="185" spans="1:20">
      <c r="A185" s="34">
        <f>'12 - Deployments &amp; Config'!H190</f>
        <v>0</v>
      </c>
      <c r="B185" s="34">
        <f>'12 - Deployments &amp; Config'!S190</f>
        <v>0</v>
      </c>
      <c r="C185" s="34">
        <f>'12 - Deployments &amp; Config'!T190</f>
        <v>0</v>
      </c>
      <c r="D185" s="18">
        <f>'12 - Deployments &amp; Config'!AK190</f>
        <v>0</v>
      </c>
      <c r="E185" s="18">
        <f>'12 - Deployments &amp; Config'!J190</f>
        <v>0</v>
      </c>
      <c r="F185" s="34">
        <f>'12 - Deployments &amp; Config'!K190</f>
        <v>0</v>
      </c>
      <c r="G185" s="18">
        <f>'12 - Deployments &amp; Config'!L190</f>
        <v>0</v>
      </c>
      <c r="H185" s="18">
        <f>'13 - Config_Intake_View'!M185</f>
        <v>0</v>
      </c>
      <c r="I185" s="34">
        <f>IF('13 - Config_Intake_View'!Q185&lt;&gt;"",'13 - Config_Intake_View'!Q185,'12 - Deployments &amp; Config'!BI190)</f>
        <v>0</v>
      </c>
      <c r="J185" s="18" t="str">
        <f>IF('13 - Config_Intake_View'!Q185&lt;&gt;"","PM Approved",IF('12 - Deployments &amp; Config'!BI190&lt;&gt;"","Assumed",""))</f>
        <v/>
      </c>
      <c r="K185" s="34">
        <f>'12 - Deployments &amp; Config'!BH190</f>
        <v>0</v>
      </c>
      <c r="L185" s="18">
        <f>'12 - Deployments &amp; Config'!P190</f>
        <v>0</v>
      </c>
      <c r="M185" s="18">
        <f>'12 - Deployments &amp; Config'!Q190</f>
        <v>0</v>
      </c>
      <c r="N185" s="18" t="str">
        <f>'12 - Deployments &amp; Config'!BL190</f>
        <v/>
      </c>
      <c r="O185" s="34" t="str">
        <f>'12 - Deployments &amp; Config'!BM190</f>
        <v/>
      </c>
      <c r="P185" s="2">
        <f>'12 - Deployments &amp; Config'!BB190</f>
        <v>0</v>
      </c>
      <c r="Q185" s="34" t="str">
        <f t="shared" si="8"/>
        <v/>
      </c>
      <c r="R185" s="18" t="str">
        <f t="shared" si="9"/>
        <v>SW NOT INSTALLED</v>
      </c>
      <c r="S185" s="18" t="str">
        <f t="shared" si="10"/>
        <v/>
      </c>
      <c r="T185" s="18" t="str">
        <f t="shared" si="11"/>
        <v>SW NOT INSTALLED</v>
      </c>
    </row>
    <row r="186" spans="1:20">
      <c r="A186" s="34">
        <f>'12 - Deployments &amp; Config'!H191</f>
        <v>0</v>
      </c>
      <c r="B186" s="34">
        <f>'12 - Deployments &amp; Config'!S191</f>
        <v>0</v>
      </c>
      <c r="C186" s="34">
        <f>'12 - Deployments &amp; Config'!T191</f>
        <v>0</v>
      </c>
      <c r="D186" s="18">
        <f>'12 - Deployments &amp; Config'!AK191</f>
        <v>0</v>
      </c>
      <c r="E186" s="18">
        <f>'12 - Deployments &amp; Config'!J191</f>
        <v>0</v>
      </c>
      <c r="F186" s="34">
        <f>'12 - Deployments &amp; Config'!K191</f>
        <v>0</v>
      </c>
      <c r="G186" s="18">
        <f>'12 - Deployments &amp; Config'!L191</f>
        <v>0</v>
      </c>
      <c r="H186" s="18">
        <f>'13 - Config_Intake_View'!M186</f>
        <v>0</v>
      </c>
      <c r="I186" s="34">
        <f>IF('13 - Config_Intake_View'!Q186&lt;&gt;"",'13 - Config_Intake_View'!Q186,'12 - Deployments &amp; Config'!BI191)</f>
        <v>0</v>
      </c>
      <c r="J186" s="18" t="str">
        <f>IF('13 - Config_Intake_View'!Q186&lt;&gt;"","PM Approved",IF('12 - Deployments &amp; Config'!BI191&lt;&gt;"","Assumed",""))</f>
        <v/>
      </c>
      <c r="K186" s="34">
        <f>'12 - Deployments &amp; Config'!BH191</f>
        <v>0</v>
      </c>
      <c r="L186" s="18">
        <f>'12 - Deployments &amp; Config'!P191</f>
        <v>0</v>
      </c>
      <c r="M186" s="18">
        <f>'12 - Deployments &amp; Config'!Q191</f>
        <v>0</v>
      </c>
      <c r="N186" s="18" t="str">
        <f>'12 - Deployments &amp; Config'!BL191</f>
        <v/>
      </c>
      <c r="O186" s="34" t="str">
        <f>'12 - Deployments &amp; Config'!BM191</f>
        <v/>
      </c>
      <c r="P186" s="2">
        <f>'12 - Deployments &amp; Config'!BB191</f>
        <v>0</v>
      </c>
      <c r="Q186" s="34" t="str">
        <f t="shared" si="8"/>
        <v/>
      </c>
      <c r="R186" s="18" t="str">
        <f t="shared" si="9"/>
        <v>SW NOT INSTALLED</v>
      </c>
      <c r="S186" s="18" t="str">
        <f t="shared" si="10"/>
        <v/>
      </c>
      <c r="T186" s="18" t="str">
        <f t="shared" si="11"/>
        <v>SW NOT INSTALLED</v>
      </c>
    </row>
    <row r="187" spans="1:20">
      <c r="A187" s="34">
        <f>'12 - Deployments &amp; Config'!H192</f>
        <v>0</v>
      </c>
      <c r="B187" s="34">
        <f>'12 - Deployments &amp; Config'!S192</f>
        <v>0</v>
      </c>
      <c r="C187" s="34">
        <f>'12 - Deployments &amp; Config'!T192</f>
        <v>0</v>
      </c>
      <c r="D187" s="18">
        <f>'12 - Deployments &amp; Config'!AK192</f>
        <v>0</v>
      </c>
      <c r="E187" s="18">
        <f>'12 - Deployments &amp; Config'!J192</f>
        <v>0</v>
      </c>
      <c r="F187" s="34">
        <f>'12 - Deployments &amp; Config'!K192</f>
        <v>0</v>
      </c>
      <c r="G187" s="18">
        <f>'12 - Deployments &amp; Config'!L192</f>
        <v>0</v>
      </c>
      <c r="H187" s="18">
        <f>'13 - Config_Intake_View'!M187</f>
        <v>0</v>
      </c>
      <c r="I187" s="34">
        <f>IF('13 - Config_Intake_View'!Q187&lt;&gt;"",'13 - Config_Intake_View'!Q187,'12 - Deployments &amp; Config'!BI192)</f>
        <v>0</v>
      </c>
      <c r="J187" s="18" t="str">
        <f>IF('13 - Config_Intake_View'!Q187&lt;&gt;"","PM Approved",IF('12 - Deployments &amp; Config'!BI192&lt;&gt;"","Assumed",""))</f>
        <v/>
      </c>
      <c r="K187" s="34">
        <f>'12 - Deployments &amp; Config'!BH192</f>
        <v>0</v>
      </c>
      <c r="L187" s="18">
        <f>'12 - Deployments &amp; Config'!P192</f>
        <v>0</v>
      </c>
      <c r="M187" s="18">
        <f>'12 - Deployments &amp; Config'!Q192</f>
        <v>0</v>
      </c>
      <c r="N187" s="18" t="str">
        <f>'12 - Deployments &amp; Config'!BL192</f>
        <v/>
      </c>
      <c r="O187" s="34" t="str">
        <f>'12 - Deployments &amp; Config'!BM192</f>
        <v/>
      </c>
      <c r="P187" s="2">
        <f>'12 - Deployments &amp; Config'!BB192</f>
        <v>0</v>
      </c>
      <c r="Q187" s="34" t="str">
        <f t="shared" si="8"/>
        <v/>
      </c>
      <c r="R187" s="18" t="str">
        <f t="shared" si="9"/>
        <v>SW NOT INSTALLED</v>
      </c>
      <c r="S187" s="18" t="str">
        <f t="shared" si="10"/>
        <v/>
      </c>
      <c r="T187" s="18" t="str">
        <f t="shared" si="11"/>
        <v>SW NOT INSTALLED</v>
      </c>
    </row>
    <row r="188" spans="1:20">
      <c r="A188" s="34">
        <f>'12 - Deployments &amp; Config'!H193</f>
        <v>0</v>
      </c>
      <c r="B188" s="34">
        <f>'12 - Deployments &amp; Config'!S193</f>
        <v>0</v>
      </c>
      <c r="C188" s="34">
        <f>'12 - Deployments &amp; Config'!T193</f>
        <v>0</v>
      </c>
      <c r="D188" s="18">
        <f>'12 - Deployments &amp; Config'!AK193</f>
        <v>0</v>
      </c>
      <c r="E188" s="18">
        <f>'12 - Deployments &amp; Config'!J193</f>
        <v>0</v>
      </c>
      <c r="F188" s="34">
        <f>'12 - Deployments &amp; Config'!K193</f>
        <v>0</v>
      </c>
      <c r="G188" s="18">
        <f>'12 - Deployments &amp; Config'!L193</f>
        <v>0</v>
      </c>
      <c r="H188" s="18">
        <f>'13 - Config_Intake_View'!M188</f>
        <v>0</v>
      </c>
      <c r="I188" s="34">
        <f>IF('13 - Config_Intake_View'!Q188&lt;&gt;"",'13 - Config_Intake_View'!Q188,'12 - Deployments &amp; Config'!BI193)</f>
        <v>0</v>
      </c>
      <c r="J188" s="18" t="str">
        <f>IF('13 - Config_Intake_View'!Q188&lt;&gt;"","PM Approved",IF('12 - Deployments &amp; Config'!BI193&lt;&gt;"","Assumed",""))</f>
        <v/>
      </c>
      <c r="K188" s="34">
        <f>'12 - Deployments &amp; Config'!BH193</f>
        <v>0</v>
      </c>
      <c r="L188" s="18">
        <f>'12 - Deployments &amp; Config'!P193</f>
        <v>0</v>
      </c>
      <c r="M188" s="18">
        <f>'12 - Deployments &amp; Config'!Q193</f>
        <v>0</v>
      </c>
      <c r="N188" s="18" t="str">
        <f>'12 - Deployments &amp; Config'!BL193</f>
        <v/>
      </c>
      <c r="O188" s="34" t="str">
        <f>'12 - Deployments &amp; Config'!BM193</f>
        <v/>
      </c>
      <c r="P188" s="2">
        <f>'12 - Deployments &amp; Config'!BB193</f>
        <v>0</v>
      </c>
      <c r="Q188" s="34" t="str">
        <f t="shared" si="8"/>
        <v/>
      </c>
      <c r="R188" s="18" t="str">
        <f t="shared" si="9"/>
        <v>SW NOT INSTALLED</v>
      </c>
      <c r="S188" s="18" t="str">
        <f t="shared" si="10"/>
        <v/>
      </c>
      <c r="T188" s="18" t="str">
        <f t="shared" si="11"/>
        <v>SW NOT INSTALLED</v>
      </c>
    </row>
    <row r="189" spans="1:20">
      <c r="A189" s="34">
        <f>'12 - Deployments &amp; Config'!H194</f>
        <v>0</v>
      </c>
      <c r="B189" s="34">
        <f>'12 - Deployments &amp; Config'!S194</f>
        <v>0</v>
      </c>
      <c r="C189" s="34">
        <f>'12 - Deployments &amp; Config'!T194</f>
        <v>0</v>
      </c>
      <c r="D189" s="18">
        <f>'12 - Deployments &amp; Config'!AK194</f>
        <v>0</v>
      </c>
      <c r="E189" s="18">
        <f>'12 - Deployments &amp; Config'!J194</f>
        <v>0</v>
      </c>
      <c r="F189" s="34">
        <f>'12 - Deployments &amp; Config'!K194</f>
        <v>0</v>
      </c>
      <c r="G189" s="18">
        <f>'12 - Deployments &amp; Config'!L194</f>
        <v>0</v>
      </c>
      <c r="H189" s="18">
        <f>'13 - Config_Intake_View'!M189</f>
        <v>0</v>
      </c>
      <c r="I189" s="34">
        <f>IF('13 - Config_Intake_View'!Q189&lt;&gt;"",'13 - Config_Intake_View'!Q189,'12 - Deployments &amp; Config'!BI194)</f>
        <v>0</v>
      </c>
      <c r="J189" s="18" t="str">
        <f>IF('13 - Config_Intake_View'!Q189&lt;&gt;"","PM Approved",IF('12 - Deployments &amp; Config'!BI194&lt;&gt;"","Assumed",""))</f>
        <v/>
      </c>
      <c r="K189" s="34">
        <f>'12 - Deployments &amp; Config'!BH194</f>
        <v>0</v>
      </c>
      <c r="L189" s="18">
        <f>'12 - Deployments &amp; Config'!P194</f>
        <v>0</v>
      </c>
      <c r="M189" s="18">
        <f>'12 - Deployments &amp; Config'!Q194</f>
        <v>0</v>
      </c>
      <c r="N189" s="18" t="str">
        <f>'12 - Deployments &amp; Config'!BL194</f>
        <v/>
      </c>
      <c r="O189" s="34" t="str">
        <f>'12 - Deployments &amp; Config'!BM194</f>
        <v/>
      </c>
      <c r="P189" s="2">
        <f>'12 - Deployments &amp; Config'!BB194</f>
        <v>0</v>
      </c>
      <c r="Q189" s="34" t="str">
        <f t="shared" si="8"/>
        <v/>
      </c>
      <c r="R189" s="18" t="str">
        <f t="shared" si="9"/>
        <v>SW NOT INSTALLED</v>
      </c>
      <c r="S189" s="18" t="str">
        <f t="shared" si="10"/>
        <v/>
      </c>
      <c r="T189" s="18" t="str">
        <f t="shared" si="11"/>
        <v>SW NOT INSTALLED</v>
      </c>
    </row>
    <row r="190" spans="1:20">
      <c r="A190" s="34">
        <f>'12 - Deployments &amp; Config'!H195</f>
        <v>0</v>
      </c>
      <c r="B190" s="34">
        <f>'12 - Deployments &amp; Config'!S195</f>
        <v>0</v>
      </c>
      <c r="C190" s="34">
        <f>'12 - Deployments &amp; Config'!T195</f>
        <v>0</v>
      </c>
      <c r="D190" s="18">
        <f>'12 - Deployments &amp; Config'!AK195</f>
        <v>0</v>
      </c>
      <c r="E190" s="18">
        <f>'12 - Deployments &amp; Config'!J195</f>
        <v>0</v>
      </c>
      <c r="F190" s="34">
        <f>'12 - Deployments &amp; Config'!K195</f>
        <v>0</v>
      </c>
      <c r="G190" s="18">
        <f>'12 - Deployments &amp; Config'!L195</f>
        <v>0</v>
      </c>
      <c r="H190" s="18">
        <f>'13 - Config_Intake_View'!M190</f>
        <v>0</v>
      </c>
      <c r="I190" s="34">
        <f>IF('13 - Config_Intake_View'!Q190&lt;&gt;"",'13 - Config_Intake_View'!Q190,'12 - Deployments &amp; Config'!BI195)</f>
        <v>0</v>
      </c>
      <c r="J190" s="18" t="str">
        <f>IF('13 - Config_Intake_View'!Q190&lt;&gt;"","PM Approved",IF('12 - Deployments &amp; Config'!BI195&lt;&gt;"","Assumed",""))</f>
        <v/>
      </c>
      <c r="K190" s="34">
        <f>'12 - Deployments &amp; Config'!BH195</f>
        <v>0</v>
      </c>
      <c r="L190" s="18">
        <f>'12 - Deployments &amp; Config'!P195</f>
        <v>0</v>
      </c>
      <c r="M190" s="18">
        <f>'12 - Deployments &amp; Config'!Q195</f>
        <v>0</v>
      </c>
      <c r="N190" s="18" t="str">
        <f>'12 - Deployments &amp; Config'!BL195</f>
        <v/>
      </c>
      <c r="O190" s="34" t="str">
        <f>'12 - Deployments &amp; Config'!BM195</f>
        <v/>
      </c>
      <c r="P190" s="2">
        <f>'12 - Deployments &amp; Config'!BB195</f>
        <v>0</v>
      </c>
      <c r="Q190" s="34" t="str">
        <f t="shared" si="8"/>
        <v/>
      </c>
      <c r="R190" s="18" t="str">
        <f t="shared" si="9"/>
        <v>SW NOT INSTALLED</v>
      </c>
      <c r="S190" s="18" t="str">
        <f t="shared" si="10"/>
        <v/>
      </c>
      <c r="T190" s="18" t="str">
        <f t="shared" si="11"/>
        <v>SW NOT INSTALLED</v>
      </c>
    </row>
    <row r="191" spans="1:20">
      <c r="A191" s="34">
        <f>'12 - Deployments &amp; Config'!H196</f>
        <v>0</v>
      </c>
      <c r="B191" s="34">
        <f>'12 - Deployments &amp; Config'!S196</f>
        <v>0</v>
      </c>
      <c r="C191" s="34">
        <f>'12 - Deployments &amp; Config'!T196</f>
        <v>0</v>
      </c>
      <c r="D191" s="18">
        <f>'12 - Deployments &amp; Config'!AK196</f>
        <v>0</v>
      </c>
      <c r="E191" s="18">
        <f>'12 - Deployments &amp; Config'!J196</f>
        <v>0</v>
      </c>
      <c r="F191" s="34">
        <f>'12 - Deployments &amp; Config'!K196</f>
        <v>0</v>
      </c>
      <c r="G191" s="18">
        <f>'12 - Deployments &amp; Config'!L196</f>
        <v>0</v>
      </c>
      <c r="H191" s="18">
        <f>'13 - Config_Intake_View'!M191</f>
        <v>0</v>
      </c>
      <c r="I191" s="34">
        <f>IF('13 - Config_Intake_View'!Q191&lt;&gt;"",'13 - Config_Intake_View'!Q191,'12 - Deployments &amp; Config'!BI196)</f>
        <v>0</v>
      </c>
      <c r="J191" s="18" t="str">
        <f>IF('13 - Config_Intake_View'!Q191&lt;&gt;"","PM Approved",IF('12 - Deployments &amp; Config'!BI196&lt;&gt;"","Assumed",""))</f>
        <v/>
      </c>
      <c r="K191" s="34">
        <f>'12 - Deployments &amp; Config'!BH196</f>
        <v>0</v>
      </c>
      <c r="L191" s="18">
        <f>'12 - Deployments &amp; Config'!P196</f>
        <v>0</v>
      </c>
      <c r="M191" s="18">
        <f>'12 - Deployments &amp; Config'!Q196</f>
        <v>0</v>
      </c>
      <c r="N191" s="18" t="str">
        <f>'12 - Deployments &amp; Config'!BL196</f>
        <v/>
      </c>
      <c r="O191" s="34" t="str">
        <f>'12 - Deployments &amp; Config'!BM196</f>
        <v/>
      </c>
      <c r="P191" s="2">
        <f>'12 - Deployments &amp; Config'!BB196</f>
        <v>0</v>
      </c>
      <c r="Q191" s="34" t="str">
        <f t="shared" si="8"/>
        <v/>
      </c>
      <c r="R191" s="18" t="str">
        <f t="shared" si="9"/>
        <v>SW NOT INSTALLED</v>
      </c>
      <c r="S191" s="18" t="str">
        <f t="shared" si="10"/>
        <v/>
      </c>
      <c r="T191" s="18" t="str">
        <f t="shared" si="11"/>
        <v>SW NOT INSTALLED</v>
      </c>
    </row>
    <row r="192" spans="1:20">
      <c r="A192" s="34">
        <f>'12 - Deployments &amp; Config'!H197</f>
        <v>0</v>
      </c>
      <c r="B192" s="34">
        <f>'12 - Deployments &amp; Config'!S197</f>
        <v>0</v>
      </c>
      <c r="C192" s="34">
        <f>'12 - Deployments &amp; Config'!T197</f>
        <v>0</v>
      </c>
      <c r="D192" s="18">
        <f>'12 - Deployments &amp; Config'!AK197</f>
        <v>0</v>
      </c>
      <c r="E192" s="18">
        <f>'12 - Deployments &amp; Config'!J197</f>
        <v>0</v>
      </c>
      <c r="F192" s="34">
        <f>'12 - Deployments &amp; Config'!K197</f>
        <v>0</v>
      </c>
      <c r="G192" s="18">
        <f>'12 - Deployments &amp; Config'!L197</f>
        <v>0</v>
      </c>
      <c r="H192" s="18">
        <f>'13 - Config_Intake_View'!M192</f>
        <v>0</v>
      </c>
      <c r="I192" s="34">
        <f>IF('13 - Config_Intake_View'!Q192&lt;&gt;"",'13 - Config_Intake_View'!Q192,'12 - Deployments &amp; Config'!BI197)</f>
        <v>0</v>
      </c>
      <c r="J192" s="18" t="str">
        <f>IF('13 - Config_Intake_View'!Q192&lt;&gt;"","PM Approved",IF('12 - Deployments &amp; Config'!BI197&lt;&gt;"","Assumed",""))</f>
        <v/>
      </c>
      <c r="K192" s="34">
        <f>'12 - Deployments &amp; Config'!BH197</f>
        <v>0</v>
      </c>
      <c r="L192" s="18">
        <f>'12 - Deployments &amp; Config'!P197</f>
        <v>0</v>
      </c>
      <c r="M192" s="18">
        <f>'12 - Deployments &amp; Config'!Q197</f>
        <v>0</v>
      </c>
      <c r="N192" s="18" t="str">
        <f>'12 - Deployments &amp; Config'!BL197</f>
        <v/>
      </c>
      <c r="O192" s="34" t="str">
        <f>'12 - Deployments &amp; Config'!BM197</f>
        <v/>
      </c>
      <c r="P192" s="2">
        <f>'12 - Deployments &amp; Config'!BB197</f>
        <v>0</v>
      </c>
      <c r="Q192" s="34" t="str">
        <f t="shared" si="8"/>
        <v/>
      </c>
      <c r="R192" s="18" t="str">
        <f t="shared" si="9"/>
        <v>SW NOT INSTALLED</v>
      </c>
      <c r="S192" s="18" t="str">
        <f t="shared" si="10"/>
        <v/>
      </c>
      <c r="T192" s="18" t="str">
        <f t="shared" si="11"/>
        <v>SW NOT INSTALLED</v>
      </c>
    </row>
    <row r="193" spans="1:20">
      <c r="A193" s="34">
        <f>'12 - Deployments &amp; Config'!H198</f>
        <v>0</v>
      </c>
      <c r="B193" s="34">
        <f>'12 - Deployments &amp; Config'!S198</f>
        <v>0</v>
      </c>
      <c r="C193" s="34">
        <f>'12 - Deployments &amp; Config'!T198</f>
        <v>0</v>
      </c>
      <c r="D193" s="18">
        <f>'12 - Deployments &amp; Config'!AK198</f>
        <v>0</v>
      </c>
      <c r="E193" s="18">
        <f>'12 - Deployments &amp; Config'!J198</f>
        <v>0</v>
      </c>
      <c r="F193" s="34">
        <f>'12 - Deployments &amp; Config'!K198</f>
        <v>0</v>
      </c>
      <c r="G193" s="18">
        <f>'12 - Deployments &amp; Config'!L198</f>
        <v>0</v>
      </c>
      <c r="H193" s="18">
        <f>'13 - Config_Intake_View'!M193</f>
        <v>0</v>
      </c>
      <c r="I193" s="34">
        <f>IF('13 - Config_Intake_View'!Q193&lt;&gt;"",'13 - Config_Intake_View'!Q193,'12 - Deployments &amp; Config'!BI198)</f>
        <v>0</v>
      </c>
      <c r="J193" s="18" t="str">
        <f>IF('13 - Config_Intake_View'!Q193&lt;&gt;"","PM Approved",IF('12 - Deployments &amp; Config'!BI198&lt;&gt;"","Assumed",""))</f>
        <v/>
      </c>
      <c r="K193" s="34">
        <f>'12 - Deployments &amp; Config'!BH198</f>
        <v>0</v>
      </c>
      <c r="L193" s="18">
        <f>'12 - Deployments &amp; Config'!P198</f>
        <v>0</v>
      </c>
      <c r="M193" s="18">
        <f>'12 - Deployments &amp; Config'!Q198</f>
        <v>0</v>
      </c>
      <c r="N193" s="18" t="str">
        <f>'12 - Deployments &amp; Config'!BL198</f>
        <v/>
      </c>
      <c r="O193" s="34" t="str">
        <f>'12 - Deployments &amp; Config'!BM198</f>
        <v/>
      </c>
      <c r="P193" s="2">
        <f>'12 - Deployments &amp; Config'!BB198</f>
        <v>0</v>
      </c>
      <c r="Q193" s="34" t="str">
        <f t="shared" si="8"/>
        <v/>
      </c>
      <c r="R193" s="18" t="str">
        <f t="shared" si="9"/>
        <v>SW NOT INSTALLED</v>
      </c>
      <c r="S193" s="18" t="str">
        <f t="shared" si="10"/>
        <v/>
      </c>
      <c r="T193" s="18" t="str">
        <f t="shared" si="11"/>
        <v>SW NOT INSTALLED</v>
      </c>
    </row>
    <row r="194" spans="1:20">
      <c r="A194" s="34">
        <f>'12 - Deployments &amp; Config'!H199</f>
        <v>0</v>
      </c>
      <c r="B194" s="34">
        <f>'12 - Deployments &amp; Config'!S199</f>
        <v>0</v>
      </c>
      <c r="C194" s="34">
        <f>'12 - Deployments &amp; Config'!T199</f>
        <v>0</v>
      </c>
      <c r="D194" s="18">
        <f>'12 - Deployments &amp; Config'!AK199</f>
        <v>0</v>
      </c>
      <c r="E194" s="18">
        <f>'12 - Deployments &amp; Config'!J199</f>
        <v>0</v>
      </c>
      <c r="F194" s="34">
        <f>'12 - Deployments &amp; Config'!K199</f>
        <v>0</v>
      </c>
      <c r="G194" s="18">
        <f>'12 - Deployments &amp; Config'!L199</f>
        <v>0</v>
      </c>
      <c r="H194" s="18">
        <f>'13 - Config_Intake_View'!M194</f>
        <v>0</v>
      </c>
      <c r="I194" s="34">
        <f>IF('13 - Config_Intake_View'!Q194&lt;&gt;"",'13 - Config_Intake_View'!Q194,'12 - Deployments &amp; Config'!BI199)</f>
        <v>0</v>
      </c>
      <c r="J194" s="18" t="str">
        <f>IF('13 - Config_Intake_View'!Q194&lt;&gt;"","PM Approved",IF('12 - Deployments &amp; Config'!BI199&lt;&gt;"","Assumed",""))</f>
        <v/>
      </c>
      <c r="K194" s="34">
        <f>'12 - Deployments &amp; Config'!BH199</f>
        <v>0</v>
      </c>
      <c r="L194" s="18">
        <f>'12 - Deployments &amp; Config'!P199</f>
        <v>0</v>
      </c>
      <c r="M194" s="18">
        <f>'12 - Deployments &amp; Config'!Q199</f>
        <v>0</v>
      </c>
      <c r="N194" s="18" t="str">
        <f>'12 - Deployments &amp; Config'!BL199</f>
        <v/>
      </c>
      <c r="O194" s="34" t="str">
        <f>'12 - Deployments &amp; Config'!BM199</f>
        <v/>
      </c>
      <c r="P194" s="2">
        <f>'12 - Deployments &amp; Config'!BB199</f>
        <v>0</v>
      </c>
      <c r="Q194" s="34" t="str">
        <f t="shared" ref="Q194:Q257" si="12">IF(OR($A194="",$B194="",$D194=""),"MISSING CORE FIELDS","")</f>
        <v/>
      </c>
      <c r="R194" s="18" t="str">
        <f t="shared" ref="R194:R257" si="13">IF(AND($I194&lt;&gt;"",$K194&lt;&gt;"Yes"),"SW NOT INSTALLED","")</f>
        <v>SW NOT INSTALLED</v>
      </c>
      <c r="S194" s="18" t="str">
        <f t="shared" ref="S194:S257" si="14">IF(AND($H194&lt;&gt;"",ISNUMBER(SEARCH("auto",LOWER($H194))),$F194=""),"AUTOLOGON REQUIRED","")</f>
        <v/>
      </c>
      <c r="T194" s="18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4">
        <f>'12 - Deployments &amp; Config'!H200</f>
        <v>0</v>
      </c>
      <c r="B195" s="34">
        <f>'12 - Deployments &amp; Config'!S200</f>
        <v>0</v>
      </c>
      <c r="C195" s="34">
        <f>'12 - Deployments &amp; Config'!T200</f>
        <v>0</v>
      </c>
      <c r="D195" s="18">
        <f>'12 - Deployments &amp; Config'!AK200</f>
        <v>0</v>
      </c>
      <c r="E195" s="18">
        <f>'12 - Deployments &amp; Config'!J200</f>
        <v>0</v>
      </c>
      <c r="F195" s="34">
        <f>'12 - Deployments &amp; Config'!K200</f>
        <v>0</v>
      </c>
      <c r="G195" s="18">
        <f>'12 - Deployments &amp; Config'!L200</f>
        <v>0</v>
      </c>
      <c r="H195" s="18">
        <f>'13 - Config_Intake_View'!M195</f>
        <v>0</v>
      </c>
      <c r="I195" s="34">
        <f>IF('13 - Config_Intake_View'!Q195&lt;&gt;"",'13 - Config_Intake_View'!Q195,'12 - Deployments &amp; Config'!BI200)</f>
        <v>0</v>
      </c>
      <c r="J195" s="18" t="str">
        <f>IF('13 - Config_Intake_View'!Q195&lt;&gt;"","PM Approved",IF('12 - Deployments &amp; Config'!BI200&lt;&gt;"","Assumed",""))</f>
        <v/>
      </c>
      <c r="K195" s="34">
        <f>'12 - Deployments &amp; Config'!BH200</f>
        <v>0</v>
      </c>
      <c r="L195" s="18">
        <f>'12 - Deployments &amp; Config'!P200</f>
        <v>0</v>
      </c>
      <c r="M195" s="18">
        <f>'12 - Deployments &amp; Config'!Q200</f>
        <v>0</v>
      </c>
      <c r="N195" s="18" t="str">
        <f>'12 - Deployments &amp; Config'!BL200</f>
        <v/>
      </c>
      <c r="O195" s="34" t="str">
        <f>'12 - Deployments &amp; Config'!BM200</f>
        <v/>
      </c>
      <c r="P195" s="2">
        <f>'12 - Deployments &amp; Config'!BB200</f>
        <v>0</v>
      </c>
      <c r="Q195" s="34" t="str">
        <f t="shared" si="12"/>
        <v/>
      </c>
      <c r="R195" s="18" t="str">
        <f t="shared" si="13"/>
        <v>SW NOT INSTALLED</v>
      </c>
      <c r="S195" s="18" t="str">
        <f t="shared" si="14"/>
        <v/>
      </c>
      <c r="T195" s="18" t="str">
        <f t="shared" si="15"/>
        <v>SW NOT INSTALLED</v>
      </c>
    </row>
    <row r="196" spans="1:20">
      <c r="A196" s="34">
        <f>'12 - Deployments &amp; Config'!H201</f>
        <v>0</v>
      </c>
      <c r="B196" s="34">
        <f>'12 - Deployments &amp; Config'!S201</f>
        <v>0</v>
      </c>
      <c r="C196" s="34">
        <f>'12 - Deployments &amp; Config'!T201</f>
        <v>0</v>
      </c>
      <c r="D196" s="18">
        <f>'12 - Deployments &amp; Config'!AK201</f>
        <v>0</v>
      </c>
      <c r="E196" s="18">
        <f>'12 - Deployments &amp; Config'!J201</f>
        <v>0</v>
      </c>
      <c r="F196" s="34">
        <f>'12 - Deployments &amp; Config'!K201</f>
        <v>0</v>
      </c>
      <c r="G196" s="18">
        <f>'12 - Deployments &amp; Config'!L201</f>
        <v>0</v>
      </c>
      <c r="H196" s="18">
        <f>'13 - Config_Intake_View'!M196</f>
        <v>0</v>
      </c>
      <c r="I196" s="34">
        <f>IF('13 - Config_Intake_View'!Q196&lt;&gt;"",'13 - Config_Intake_View'!Q196,'12 - Deployments &amp; Config'!BI201)</f>
        <v>0</v>
      </c>
      <c r="J196" s="18" t="str">
        <f>IF('13 - Config_Intake_View'!Q196&lt;&gt;"","PM Approved",IF('12 - Deployments &amp; Config'!BI201&lt;&gt;"","Assumed",""))</f>
        <v/>
      </c>
      <c r="K196" s="34">
        <f>'12 - Deployments &amp; Config'!BH201</f>
        <v>0</v>
      </c>
      <c r="L196" s="18">
        <f>'12 - Deployments &amp; Config'!P201</f>
        <v>0</v>
      </c>
      <c r="M196" s="18">
        <f>'12 - Deployments &amp; Config'!Q201</f>
        <v>0</v>
      </c>
      <c r="N196" s="18" t="str">
        <f>'12 - Deployments &amp; Config'!BL201</f>
        <v/>
      </c>
      <c r="O196" s="34" t="str">
        <f>'12 - Deployments &amp; Config'!BM201</f>
        <v/>
      </c>
      <c r="P196" s="2">
        <f>'12 - Deployments &amp; Config'!BB201</f>
        <v>0</v>
      </c>
      <c r="Q196" s="34" t="str">
        <f t="shared" si="12"/>
        <v/>
      </c>
      <c r="R196" s="18" t="str">
        <f t="shared" si="13"/>
        <v>SW NOT INSTALLED</v>
      </c>
      <c r="S196" s="18" t="str">
        <f t="shared" si="14"/>
        <v/>
      </c>
      <c r="T196" s="18" t="str">
        <f t="shared" si="15"/>
        <v>SW NOT INSTALLED</v>
      </c>
    </row>
    <row r="197" spans="1:20">
      <c r="A197" s="34">
        <f>'12 - Deployments &amp; Config'!H202</f>
        <v>0</v>
      </c>
      <c r="B197" s="34">
        <f>'12 - Deployments &amp; Config'!S202</f>
        <v>0</v>
      </c>
      <c r="C197" s="34">
        <f>'12 - Deployments &amp; Config'!T202</f>
        <v>0</v>
      </c>
      <c r="D197" s="18">
        <f>'12 - Deployments &amp; Config'!AK202</f>
        <v>0</v>
      </c>
      <c r="E197" s="18">
        <f>'12 - Deployments &amp; Config'!J202</f>
        <v>0</v>
      </c>
      <c r="F197" s="34">
        <f>'12 - Deployments &amp; Config'!K202</f>
        <v>0</v>
      </c>
      <c r="G197" s="18">
        <f>'12 - Deployments &amp; Config'!L202</f>
        <v>0</v>
      </c>
      <c r="H197" s="18">
        <f>'13 - Config_Intake_View'!M197</f>
        <v>0</v>
      </c>
      <c r="I197" s="34">
        <f>IF('13 - Config_Intake_View'!Q197&lt;&gt;"",'13 - Config_Intake_View'!Q197,'12 - Deployments &amp; Config'!BI202)</f>
        <v>0</v>
      </c>
      <c r="J197" s="18" t="str">
        <f>IF('13 - Config_Intake_View'!Q197&lt;&gt;"","PM Approved",IF('12 - Deployments &amp; Config'!BI202&lt;&gt;"","Assumed",""))</f>
        <v/>
      </c>
      <c r="K197" s="34">
        <f>'12 - Deployments &amp; Config'!BH202</f>
        <v>0</v>
      </c>
      <c r="L197" s="18">
        <f>'12 - Deployments &amp; Config'!P202</f>
        <v>0</v>
      </c>
      <c r="M197" s="18">
        <f>'12 - Deployments &amp; Config'!Q202</f>
        <v>0</v>
      </c>
      <c r="N197" s="18" t="str">
        <f>'12 - Deployments &amp; Config'!BL202</f>
        <v/>
      </c>
      <c r="O197" s="34" t="str">
        <f>'12 - Deployments &amp; Config'!BM202</f>
        <v/>
      </c>
      <c r="P197" s="2">
        <f>'12 - Deployments &amp; Config'!BB202</f>
        <v>0</v>
      </c>
      <c r="Q197" s="34" t="str">
        <f t="shared" si="12"/>
        <v/>
      </c>
      <c r="R197" s="18" t="str">
        <f t="shared" si="13"/>
        <v>SW NOT INSTALLED</v>
      </c>
      <c r="S197" s="18" t="str">
        <f t="shared" si="14"/>
        <v/>
      </c>
      <c r="T197" s="18" t="str">
        <f t="shared" si="15"/>
        <v>SW NOT INSTALLED</v>
      </c>
    </row>
    <row r="198" spans="1:20">
      <c r="A198" s="34">
        <f>'12 - Deployments &amp; Config'!H203</f>
        <v>0</v>
      </c>
      <c r="B198" s="34">
        <f>'12 - Deployments &amp; Config'!S203</f>
        <v>0</v>
      </c>
      <c r="C198" s="34">
        <f>'12 - Deployments &amp; Config'!T203</f>
        <v>0</v>
      </c>
      <c r="D198" s="18">
        <f>'12 - Deployments &amp; Config'!AK203</f>
        <v>0</v>
      </c>
      <c r="E198" s="18">
        <f>'12 - Deployments &amp; Config'!J203</f>
        <v>0</v>
      </c>
      <c r="F198" s="34">
        <f>'12 - Deployments &amp; Config'!K203</f>
        <v>0</v>
      </c>
      <c r="G198" s="18">
        <f>'12 - Deployments &amp; Config'!L203</f>
        <v>0</v>
      </c>
      <c r="H198" s="18">
        <f>'13 - Config_Intake_View'!M198</f>
        <v>0</v>
      </c>
      <c r="I198" s="34">
        <f>IF('13 - Config_Intake_View'!Q198&lt;&gt;"",'13 - Config_Intake_View'!Q198,'12 - Deployments &amp; Config'!BI203)</f>
        <v>0</v>
      </c>
      <c r="J198" s="18" t="str">
        <f>IF('13 - Config_Intake_View'!Q198&lt;&gt;"","PM Approved",IF('12 - Deployments &amp; Config'!BI203&lt;&gt;"","Assumed",""))</f>
        <v/>
      </c>
      <c r="K198" s="34">
        <f>'12 - Deployments &amp; Config'!BH203</f>
        <v>0</v>
      </c>
      <c r="L198" s="18">
        <f>'12 - Deployments &amp; Config'!P203</f>
        <v>0</v>
      </c>
      <c r="M198" s="18">
        <f>'12 - Deployments &amp; Config'!Q203</f>
        <v>0</v>
      </c>
      <c r="N198" s="18" t="str">
        <f>'12 - Deployments &amp; Config'!BL203</f>
        <v/>
      </c>
      <c r="O198" s="34" t="str">
        <f>'12 - Deployments &amp; Config'!BM203</f>
        <v/>
      </c>
      <c r="P198" s="2">
        <f>'12 - Deployments &amp; Config'!BB203</f>
        <v>0</v>
      </c>
      <c r="Q198" s="34" t="str">
        <f t="shared" si="12"/>
        <v/>
      </c>
      <c r="R198" s="18" t="str">
        <f t="shared" si="13"/>
        <v>SW NOT INSTALLED</v>
      </c>
      <c r="S198" s="18" t="str">
        <f t="shared" si="14"/>
        <v/>
      </c>
      <c r="T198" s="18" t="str">
        <f t="shared" si="15"/>
        <v>SW NOT INSTALLED</v>
      </c>
    </row>
    <row r="199" spans="1:20">
      <c r="A199" s="34">
        <f>'12 - Deployments &amp; Config'!H204</f>
        <v>0</v>
      </c>
      <c r="B199" s="34">
        <f>'12 - Deployments &amp; Config'!S204</f>
        <v>0</v>
      </c>
      <c r="C199" s="34">
        <f>'12 - Deployments &amp; Config'!T204</f>
        <v>0</v>
      </c>
      <c r="D199" s="18">
        <f>'12 - Deployments &amp; Config'!AK204</f>
        <v>0</v>
      </c>
      <c r="E199" s="18">
        <f>'12 - Deployments &amp; Config'!J204</f>
        <v>0</v>
      </c>
      <c r="F199" s="34">
        <f>'12 - Deployments &amp; Config'!K204</f>
        <v>0</v>
      </c>
      <c r="G199" s="18">
        <f>'12 - Deployments &amp; Config'!L204</f>
        <v>0</v>
      </c>
      <c r="H199" s="18">
        <f>'13 - Config_Intake_View'!M199</f>
        <v>0</v>
      </c>
      <c r="I199" s="34">
        <f>IF('13 - Config_Intake_View'!Q199&lt;&gt;"",'13 - Config_Intake_View'!Q199,'12 - Deployments &amp; Config'!BI204)</f>
        <v>0</v>
      </c>
      <c r="J199" s="18" t="str">
        <f>IF('13 - Config_Intake_View'!Q199&lt;&gt;"","PM Approved",IF('12 - Deployments &amp; Config'!BI204&lt;&gt;"","Assumed",""))</f>
        <v/>
      </c>
      <c r="K199" s="34">
        <f>'12 - Deployments &amp; Config'!BH204</f>
        <v>0</v>
      </c>
      <c r="L199" s="18">
        <f>'12 - Deployments &amp; Config'!P204</f>
        <v>0</v>
      </c>
      <c r="M199" s="18">
        <f>'12 - Deployments &amp; Config'!Q204</f>
        <v>0</v>
      </c>
      <c r="N199" s="18" t="str">
        <f>'12 - Deployments &amp; Config'!BL204</f>
        <v/>
      </c>
      <c r="O199" s="34" t="str">
        <f>'12 - Deployments &amp; Config'!BM204</f>
        <v/>
      </c>
      <c r="P199" s="2">
        <f>'12 - Deployments &amp; Config'!BB204</f>
        <v>0</v>
      </c>
      <c r="Q199" s="34" t="str">
        <f t="shared" si="12"/>
        <v/>
      </c>
      <c r="R199" s="18" t="str">
        <f t="shared" si="13"/>
        <v>SW NOT INSTALLED</v>
      </c>
      <c r="S199" s="18" t="str">
        <f t="shared" si="14"/>
        <v/>
      </c>
      <c r="T199" s="18" t="str">
        <f t="shared" si="15"/>
        <v>SW NOT INSTALLED</v>
      </c>
    </row>
    <row r="200" spans="1:20">
      <c r="A200" s="34">
        <f>'12 - Deployments &amp; Config'!H205</f>
        <v>0</v>
      </c>
      <c r="B200" s="34">
        <f>'12 - Deployments &amp; Config'!S205</f>
        <v>0</v>
      </c>
      <c r="C200" s="34">
        <f>'12 - Deployments &amp; Config'!T205</f>
        <v>0</v>
      </c>
      <c r="D200" s="18">
        <f>'12 - Deployments &amp; Config'!AK205</f>
        <v>0</v>
      </c>
      <c r="E200" s="18">
        <f>'12 - Deployments &amp; Config'!J205</f>
        <v>0</v>
      </c>
      <c r="F200" s="34">
        <f>'12 - Deployments &amp; Config'!K205</f>
        <v>0</v>
      </c>
      <c r="G200" s="18">
        <f>'12 - Deployments &amp; Config'!L205</f>
        <v>0</v>
      </c>
      <c r="H200" s="18">
        <f>'13 - Config_Intake_View'!M200</f>
        <v>0</v>
      </c>
      <c r="I200" s="34">
        <f>IF('13 - Config_Intake_View'!Q200&lt;&gt;"",'13 - Config_Intake_View'!Q200,'12 - Deployments &amp; Config'!BI205)</f>
        <v>0</v>
      </c>
      <c r="J200" s="18" t="str">
        <f>IF('13 - Config_Intake_View'!Q200&lt;&gt;"","PM Approved",IF('12 - Deployments &amp; Config'!BI205&lt;&gt;"","Assumed",""))</f>
        <v/>
      </c>
      <c r="K200" s="34">
        <f>'12 - Deployments &amp; Config'!BH205</f>
        <v>0</v>
      </c>
      <c r="L200" s="18">
        <f>'12 - Deployments &amp; Config'!P205</f>
        <v>0</v>
      </c>
      <c r="M200" s="18">
        <f>'12 - Deployments &amp; Config'!Q205</f>
        <v>0</v>
      </c>
      <c r="N200" s="18" t="str">
        <f>'12 - Deployments &amp; Config'!BL205</f>
        <v/>
      </c>
      <c r="O200" s="34" t="str">
        <f>'12 - Deployments &amp; Config'!BM205</f>
        <v/>
      </c>
      <c r="P200" s="2">
        <f>'12 - Deployments &amp; Config'!BB205</f>
        <v>0</v>
      </c>
      <c r="Q200" s="34" t="str">
        <f t="shared" si="12"/>
        <v/>
      </c>
      <c r="R200" s="18" t="str">
        <f t="shared" si="13"/>
        <v>SW NOT INSTALLED</v>
      </c>
      <c r="S200" s="18" t="str">
        <f t="shared" si="14"/>
        <v/>
      </c>
      <c r="T200" s="18" t="str">
        <f t="shared" si="15"/>
        <v>SW NOT INSTALLED</v>
      </c>
    </row>
    <row r="201" spans="1:20">
      <c r="A201" s="34">
        <f>'12 - Deployments &amp; Config'!H206</f>
        <v>0</v>
      </c>
      <c r="B201" s="34">
        <f>'12 - Deployments &amp; Config'!S206</f>
        <v>0</v>
      </c>
      <c r="C201" s="34">
        <f>'12 - Deployments &amp; Config'!T206</f>
        <v>0</v>
      </c>
      <c r="D201" s="18">
        <f>'12 - Deployments &amp; Config'!AK206</f>
        <v>0</v>
      </c>
      <c r="E201" s="18">
        <f>'12 - Deployments &amp; Config'!J206</f>
        <v>0</v>
      </c>
      <c r="F201" s="34">
        <f>'12 - Deployments &amp; Config'!K206</f>
        <v>0</v>
      </c>
      <c r="G201" s="18">
        <f>'12 - Deployments &amp; Config'!L206</f>
        <v>0</v>
      </c>
      <c r="H201" s="18">
        <f>'13 - Config_Intake_View'!M201</f>
        <v>0</v>
      </c>
      <c r="I201" s="34">
        <f>IF('13 - Config_Intake_View'!Q201&lt;&gt;"",'13 - Config_Intake_View'!Q201,'12 - Deployments &amp; Config'!BI206)</f>
        <v>0</v>
      </c>
      <c r="J201" s="18" t="str">
        <f>IF('13 - Config_Intake_View'!Q201&lt;&gt;"","PM Approved",IF('12 - Deployments &amp; Config'!BI206&lt;&gt;"","Assumed",""))</f>
        <v/>
      </c>
      <c r="K201" s="34">
        <f>'12 - Deployments &amp; Config'!BH206</f>
        <v>0</v>
      </c>
      <c r="L201" s="18">
        <f>'12 - Deployments &amp; Config'!P206</f>
        <v>0</v>
      </c>
      <c r="M201" s="18">
        <f>'12 - Deployments &amp; Config'!Q206</f>
        <v>0</v>
      </c>
      <c r="N201" s="18" t="str">
        <f>'12 - Deployments &amp; Config'!BL206</f>
        <v/>
      </c>
      <c r="O201" s="34" t="str">
        <f>'12 - Deployments &amp; Config'!BM206</f>
        <v/>
      </c>
      <c r="P201" s="2">
        <f>'12 - Deployments &amp; Config'!BB206</f>
        <v>0</v>
      </c>
      <c r="Q201" s="34" t="str">
        <f t="shared" si="12"/>
        <v/>
      </c>
      <c r="R201" s="18" t="str">
        <f t="shared" si="13"/>
        <v>SW NOT INSTALLED</v>
      </c>
      <c r="S201" s="18" t="str">
        <f t="shared" si="14"/>
        <v/>
      </c>
      <c r="T201" s="18" t="str">
        <f t="shared" si="15"/>
        <v>SW NOT INSTALLED</v>
      </c>
    </row>
    <row r="202" spans="1:20">
      <c r="A202" s="34">
        <f>'12 - Deployments &amp; Config'!H207</f>
        <v>0</v>
      </c>
      <c r="B202" s="34">
        <f>'12 - Deployments &amp; Config'!S207</f>
        <v>0</v>
      </c>
      <c r="C202" s="34">
        <f>'12 - Deployments &amp; Config'!T207</f>
        <v>0</v>
      </c>
      <c r="D202" s="18">
        <f>'12 - Deployments &amp; Config'!AK207</f>
        <v>0</v>
      </c>
      <c r="E202" s="18">
        <f>'12 - Deployments &amp; Config'!J207</f>
        <v>0</v>
      </c>
      <c r="F202" s="34">
        <f>'12 - Deployments &amp; Config'!K207</f>
        <v>0</v>
      </c>
      <c r="G202" s="18">
        <f>'12 - Deployments &amp; Config'!L207</f>
        <v>0</v>
      </c>
      <c r="H202" s="18">
        <f>'13 - Config_Intake_View'!M202</f>
        <v>0</v>
      </c>
      <c r="I202" s="34">
        <f>IF('13 - Config_Intake_View'!Q202&lt;&gt;"",'13 - Config_Intake_View'!Q202,'12 - Deployments &amp; Config'!BI207)</f>
        <v>0</v>
      </c>
      <c r="J202" s="18" t="str">
        <f>IF('13 - Config_Intake_View'!Q202&lt;&gt;"","PM Approved",IF('12 - Deployments &amp; Config'!BI207&lt;&gt;"","Assumed",""))</f>
        <v/>
      </c>
      <c r="K202" s="34">
        <f>'12 - Deployments &amp; Config'!BH207</f>
        <v>0</v>
      </c>
      <c r="L202" s="18">
        <f>'12 - Deployments &amp; Config'!P207</f>
        <v>0</v>
      </c>
      <c r="M202" s="18">
        <f>'12 - Deployments &amp; Config'!Q207</f>
        <v>0</v>
      </c>
      <c r="N202" s="18" t="str">
        <f>'12 - Deployments &amp; Config'!BL207</f>
        <v/>
      </c>
      <c r="O202" s="34" t="str">
        <f>'12 - Deployments &amp; Config'!BM207</f>
        <v/>
      </c>
      <c r="P202" s="2">
        <f>'12 - Deployments &amp; Config'!BB207</f>
        <v>0</v>
      </c>
      <c r="Q202" s="34" t="str">
        <f t="shared" si="12"/>
        <v/>
      </c>
      <c r="R202" s="18" t="str">
        <f t="shared" si="13"/>
        <v>SW NOT INSTALLED</v>
      </c>
      <c r="S202" s="18" t="str">
        <f t="shared" si="14"/>
        <v/>
      </c>
      <c r="T202" s="18" t="str">
        <f t="shared" si="15"/>
        <v>SW NOT INSTALLED</v>
      </c>
    </row>
    <row r="203" spans="1:20">
      <c r="A203" s="34">
        <f>'12 - Deployments &amp; Config'!H208</f>
        <v>0</v>
      </c>
      <c r="B203" s="34">
        <f>'12 - Deployments &amp; Config'!S208</f>
        <v>0</v>
      </c>
      <c r="C203" s="34">
        <f>'12 - Deployments &amp; Config'!T208</f>
        <v>0</v>
      </c>
      <c r="D203" s="18">
        <f>'12 - Deployments &amp; Config'!AK208</f>
        <v>0</v>
      </c>
      <c r="E203" s="18">
        <f>'12 - Deployments &amp; Config'!J208</f>
        <v>0</v>
      </c>
      <c r="F203" s="34">
        <f>'12 - Deployments &amp; Config'!K208</f>
        <v>0</v>
      </c>
      <c r="G203" s="18">
        <f>'12 - Deployments &amp; Config'!L208</f>
        <v>0</v>
      </c>
      <c r="H203" s="18">
        <f>'13 - Config_Intake_View'!M203</f>
        <v>0</v>
      </c>
      <c r="I203" s="34">
        <f>IF('13 - Config_Intake_View'!Q203&lt;&gt;"",'13 - Config_Intake_View'!Q203,'12 - Deployments &amp; Config'!BI208)</f>
        <v>0</v>
      </c>
      <c r="J203" s="18" t="str">
        <f>IF('13 - Config_Intake_View'!Q203&lt;&gt;"","PM Approved",IF('12 - Deployments &amp; Config'!BI208&lt;&gt;"","Assumed",""))</f>
        <v/>
      </c>
      <c r="K203" s="34">
        <f>'12 - Deployments &amp; Config'!BH208</f>
        <v>0</v>
      </c>
      <c r="L203" s="18">
        <f>'12 - Deployments &amp; Config'!P208</f>
        <v>0</v>
      </c>
      <c r="M203" s="18">
        <f>'12 - Deployments &amp; Config'!Q208</f>
        <v>0</v>
      </c>
      <c r="N203" s="18" t="str">
        <f>'12 - Deployments &amp; Config'!BL208</f>
        <v/>
      </c>
      <c r="O203" s="34" t="str">
        <f>'12 - Deployments &amp; Config'!BM208</f>
        <v/>
      </c>
      <c r="P203" s="2">
        <f>'12 - Deployments &amp; Config'!BB208</f>
        <v>0</v>
      </c>
      <c r="Q203" s="34" t="str">
        <f t="shared" si="12"/>
        <v/>
      </c>
      <c r="R203" s="18" t="str">
        <f t="shared" si="13"/>
        <v>SW NOT INSTALLED</v>
      </c>
      <c r="S203" s="18" t="str">
        <f t="shared" si="14"/>
        <v/>
      </c>
      <c r="T203" s="18" t="str">
        <f t="shared" si="15"/>
        <v>SW NOT INSTALLED</v>
      </c>
    </row>
    <row r="204" spans="1:20">
      <c r="A204" s="34">
        <f>'12 - Deployments &amp; Config'!H209</f>
        <v>0</v>
      </c>
      <c r="B204" s="34">
        <f>'12 - Deployments &amp; Config'!S209</f>
        <v>0</v>
      </c>
      <c r="C204" s="34">
        <f>'12 - Deployments &amp; Config'!T209</f>
        <v>0</v>
      </c>
      <c r="D204" s="18">
        <f>'12 - Deployments &amp; Config'!AK209</f>
        <v>0</v>
      </c>
      <c r="E204" s="18">
        <f>'12 - Deployments &amp; Config'!J209</f>
        <v>0</v>
      </c>
      <c r="F204" s="34">
        <f>'12 - Deployments &amp; Config'!K209</f>
        <v>0</v>
      </c>
      <c r="G204" s="18">
        <f>'12 - Deployments &amp; Config'!L209</f>
        <v>0</v>
      </c>
      <c r="H204" s="18">
        <f>'13 - Config_Intake_View'!M204</f>
        <v>0</v>
      </c>
      <c r="I204" s="34">
        <f>IF('13 - Config_Intake_View'!Q204&lt;&gt;"",'13 - Config_Intake_View'!Q204,'12 - Deployments &amp; Config'!BI209)</f>
        <v>0</v>
      </c>
      <c r="J204" s="18" t="str">
        <f>IF('13 - Config_Intake_View'!Q204&lt;&gt;"","PM Approved",IF('12 - Deployments &amp; Config'!BI209&lt;&gt;"","Assumed",""))</f>
        <v/>
      </c>
      <c r="K204" s="34">
        <f>'12 - Deployments &amp; Config'!BH209</f>
        <v>0</v>
      </c>
      <c r="L204" s="18">
        <f>'12 - Deployments &amp; Config'!P209</f>
        <v>0</v>
      </c>
      <c r="M204" s="18">
        <f>'12 - Deployments &amp; Config'!Q209</f>
        <v>0</v>
      </c>
      <c r="N204" s="18" t="str">
        <f>'12 - Deployments &amp; Config'!BL209</f>
        <v/>
      </c>
      <c r="O204" s="34" t="str">
        <f>'12 - Deployments &amp; Config'!BM209</f>
        <v/>
      </c>
      <c r="P204" s="2">
        <f>'12 - Deployments &amp; Config'!BB209</f>
        <v>0</v>
      </c>
      <c r="Q204" s="34" t="str">
        <f t="shared" si="12"/>
        <v/>
      </c>
      <c r="R204" s="18" t="str">
        <f t="shared" si="13"/>
        <v>SW NOT INSTALLED</v>
      </c>
      <c r="S204" s="18" t="str">
        <f t="shared" si="14"/>
        <v/>
      </c>
      <c r="T204" s="18" t="str">
        <f t="shared" si="15"/>
        <v>SW NOT INSTALLED</v>
      </c>
    </row>
    <row r="205" spans="1:20">
      <c r="A205" s="34">
        <f>'12 - Deployments &amp; Config'!H210</f>
        <v>0</v>
      </c>
      <c r="B205" s="34">
        <f>'12 - Deployments &amp; Config'!S210</f>
        <v>0</v>
      </c>
      <c r="C205" s="34">
        <f>'12 - Deployments &amp; Config'!T210</f>
        <v>0</v>
      </c>
      <c r="D205" s="18">
        <f>'12 - Deployments &amp; Config'!AK210</f>
        <v>0</v>
      </c>
      <c r="E205" s="18">
        <f>'12 - Deployments &amp; Config'!J210</f>
        <v>0</v>
      </c>
      <c r="F205" s="34">
        <f>'12 - Deployments &amp; Config'!K210</f>
        <v>0</v>
      </c>
      <c r="G205" s="18">
        <f>'12 - Deployments &amp; Config'!L210</f>
        <v>0</v>
      </c>
      <c r="H205" s="18">
        <f>'13 - Config_Intake_View'!M205</f>
        <v>0</v>
      </c>
      <c r="I205" s="34">
        <f>IF('13 - Config_Intake_View'!Q205&lt;&gt;"",'13 - Config_Intake_View'!Q205,'12 - Deployments &amp; Config'!BI210)</f>
        <v>0</v>
      </c>
      <c r="J205" s="18" t="str">
        <f>IF('13 - Config_Intake_View'!Q205&lt;&gt;"","PM Approved",IF('12 - Deployments &amp; Config'!BI210&lt;&gt;"","Assumed",""))</f>
        <v/>
      </c>
      <c r="K205" s="34">
        <f>'12 - Deployments &amp; Config'!BH210</f>
        <v>0</v>
      </c>
      <c r="L205" s="18">
        <f>'12 - Deployments &amp; Config'!P210</f>
        <v>0</v>
      </c>
      <c r="M205" s="18">
        <f>'12 - Deployments &amp; Config'!Q210</f>
        <v>0</v>
      </c>
      <c r="N205" s="18" t="str">
        <f>'12 - Deployments &amp; Config'!BL210</f>
        <v/>
      </c>
      <c r="O205" s="34" t="str">
        <f>'12 - Deployments &amp; Config'!BM210</f>
        <v/>
      </c>
      <c r="P205" s="2">
        <f>'12 - Deployments &amp; Config'!BB210</f>
        <v>0</v>
      </c>
      <c r="Q205" s="34" t="str">
        <f t="shared" si="12"/>
        <v/>
      </c>
      <c r="R205" s="18" t="str">
        <f t="shared" si="13"/>
        <v>SW NOT INSTALLED</v>
      </c>
      <c r="S205" s="18" t="str">
        <f t="shared" si="14"/>
        <v/>
      </c>
      <c r="T205" s="18" t="str">
        <f t="shared" si="15"/>
        <v>SW NOT INSTALLED</v>
      </c>
    </row>
    <row r="206" spans="1:20">
      <c r="A206" s="34">
        <f>'12 - Deployments &amp; Config'!H211</f>
        <v>0</v>
      </c>
      <c r="B206" s="34">
        <f>'12 - Deployments &amp; Config'!S211</f>
        <v>0</v>
      </c>
      <c r="C206" s="34">
        <f>'12 - Deployments &amp; Config'!T211</f>
        <v>0</v>
      </c>
      <c r="D206" s="18">
        <f>'12 - Deployments &amp; Config'!AK211</f>
        <v>0</v>
      </c>
      <c r="E206" s="18">
        <f>'12 - Deployments &amp; Config'!J211</f>
        <v>0</v>
      </c>
      <c r="F206" s="34">
        <f>'12 - Deployments &amp; Config'!K211</f>
        <v>0</v>
      </c>
      <c r="G206" s="18">
        <f>'12 - Deployments &amp; Config'!L211</f>
        <v>0</v>
      </c>
      <c r="H206" s="18">
        <f>'13 - Config_Intake_View'!M206</f>
        <v>0</v>
      </c>
      <c r="I206" s="34">
        <f>IF('13 - Config_Intake_View'!Q206&lt;&gt;"",'13 - Config_Intake_View'!Q206,'12 - Deployments &amp; Config'!BI211)</f>
        <v>0</v>
      </c>
      <c r="J206" s="18" t="str">
        <f>IF('13 - Config_Intake_View'!Q206&lt;&gt;"","PM Approved",IF('12 - Deployments &amp; Config'!BI211&lt;&gt;"","Assumed",""))</f>
        <v/>
      </c>
      <c r="K206" s="34">
        <f>'12 - Deployments &amp; Config'!BH211</f>
        <v>0</v>
      </c>
      <c r="L206" s="18">
        <f>'12 - Deployments &amp; Config'!P211</f>
        <v>0</v>
      </c>
      <c r="M206" s="18">
        <f>'12 - Deployments &amp; Config'!Q211</f>
        <v>0</v>
      </c>
      <c r="N206" s="18" t="str">
        <f>'12 - Deployments &amp; Config'!BL211</f>
        <v/>
      </c>
      <c r="O206" s="34" t="str">
        <f>'12 - Deployments &amp; Config'!BM211</f>
        <v/>
      </c>
      <c r="P206" s="2">
        <f>'12 - Deployments &amp; Config'!BB211</f>
        <v>0</v>
      </c>
      <c r="Q206" s="34" t="str">
        <f t="shared" si="12"/>
        <v/>
      </c>
      <c r="R206" s="18" t="str">
        <f t="shared" si="13"/>
        <v>SW NOT INSTALLED</v>
      </c>
      <c r="S206" s="18" t="str">
        <f t="shared" si="14"/>
        <v/>
      </c>
      <c r="T206" s="18" t="str">
        <f t="shared" si="15"/>
        <v>SW NOT INSTALLED</v>
      </c>
    </row>
    <row r="207" spans="1:20">
      <c r="A207" s="34">
        <f>'12 - Deployments &amp; Config'!H212</f>
        <v>0</v>
      </c>
      <c r="B207" s="34">
        <f>'12 - Deployments &amp; Config'!S212</f>
        <v>0</v>
      </c>
      <c r="C207" s="34">
        <f>'12 - Deployments &amp; Config'!T212</f>
        <v>0</v>
      </c>
      <c r="D207" s="18">
        <f>'12 - Deployments &amp; Config'!AK212</f>
        <v>0</v>
      </c>
      <c r="E207" s="18">
        <f>'12 - Deployments &amp; Config'!J212</f>
        <v>0</v>
      </c>
      <c r="F207" s="34">
        <f>'12 - Deployments &amp; Config'!K212</f>
        <v>0</v>
      </c>
      <c r="G207" s="18">
        <f>'12 - Deployments &amp; Config'!L212</f>
        <v>0</v>
      </c>
      <c r="H207" s="18">
        <f>'13 - Config_Intake_View'!M207</f>
        <v>0</v>
      </c>
      <c r="I207" s="34">
        <f>IF('13 - Config_Intake_View'!Q207&lt;&gt;"",'13 - Config_Intake_View'!Q207,'12 - Deployments &amp; Config'!BI212)</f>
        <v>0</v>
      </c>
      <c r="J207" s="18" t="str">
        <f>IF('13 - Config_Intake_View'!Q207&lt;&gt;"","PM Approved",IF('12 - Deployments &amp; Config'!BI212&lt;&gt;"","Assumed",""))</f>
        <v/>
      </c>
      <c r="K207" s="34">
        <f>'12 - Deployments &amp; Config'!BH212</f>
        <v>0</v>
      </c>
      <c r="L207" s="18">
        <f>'12 - Deployments &amp; Config'!P212</f>
        <v>0</v>
      </c>
      <c r="M207" s="18">
        <f>'12 - Deployments &amp; Config'!Q212</f>
        <v>0</v>
      </c>
      <c r="N207" s="18" t="str">
        <f>'12 - Deployments &amp; Config'!BL212</f>
        <v/>
      </c>
      <c r="O207" s="34" t="str">
        <f>'12 - Deployments &amp; Config'!BM212</f>
        <v/>
      </c>
      <c r="P207" s="2">
        <f>'12 - Deployments &amp; Config'!BB212</f>
        <v>0</v>
      </c>
      <c r="Q207" s="34" t="str">
        <f t="shared" si="12"/>
        <v/>
      </c>
      <c r="R207" s="18" t="str">
        <f t="shared" si="13"/>
        <v>SW NOT INSTALLED</v>
      </c>
      <c r="S207" s="18" t="str">
        <f t="shared" si="14"/>
        <v/>
      </c>
      <c r="T207" s="18" t="str">
        <f t="shared" si="15"/>
        <v>SW NOT INSTALLED</v>
      </c>
    </row>
    <row r="208" spans="1:20">
      <c r="A208" s="34">
        <f>'12 - Deployments &amp; Config'!H213</f>
        <v>0</v>
      </c>
      <c r="B208" s="34">
        <f>'12 - Deployments &amp; Config'!S213</f>
        <v>0</v>
      </c>
      <c r="C208" s="34">
        <f>'12 - Deployments &amp; Config'!T213</f>
        <v>0</v>
      </c>
      <c r="D208" s="18">
        <f>'12 - Deployments &amp; Config'!AK213</f>
        <v>0</v>
      </c>
      <c r="E208" s="18">
        <f>'12 - Deployments &amp; Config'!J213</f>
        <v>0</v>
      </c>
      <c r="F208" s="34">
        <f>'12 - Deployments &amp; Config'!K213</f>
        <v>0</v>
      </c>
      <c r="G208" s="18">
        <f>'12 - Deployments &amp; Config'!L213</f>
        <v>0</v>
      </c>
      <c r="H208" s="18">
        <f>'13 - Config_Intake_View'!M208</f>
        <v>0</v>
      </c>
      <c r="I208" s="34">
        <f>IF('13 - Config_Intake_View'!Q208&lt;&gt;"",'13 - Config_Intake_View'!Q208,'12 - Deployments &amp; Config'!BI213)</f>
        <v>0</v>
      </c>
      <c r="J208" s="18" t="str">
        <f>IF('13 - Config_Intake_View'!Q208&lt;&gt;"","PM Approved",IF('12 - Deployments &amp; Config'!BI213&lt;&gt;"","Assumed",""))</f>
        <v/>
      </c>
      <c r="K208" s="34">
        <f>'12 - Deployments &amp; Config'!BH213</f>
        <v>0</v>
      </c>
      <c r="L208" s="18">
        <f>'12 - Deployments &amp; Config'!P213</f>
        <v>0</v>
      </c>
      <c r="M208" s="18">
        <f>'12 - Deployments &amp; Config'!Q213</f>
        <v>0</v>
      </c>
      <c r="N208" s="18" t="str">
        <f>'12 - Deployments &amp; Config'!BL213</f>
        <v/>
      </c>
      <c r="O208" s="34" t="str">
        <f>'12 - Deployments &amp; Config'!BM213</f>
        <v/>
      </c>
      <c r="P208" s="2">
        <f>'12 - Deployments &amp; Config'!BB213</f>
        <v>0</v>
      </c>
      <c r="Q208" s="34" t="str">
        <f t="shared" si="12"/>
        <v/>
      </c>
      <c r="R208" s="18" t="str">
        <f t="shared" si="13"/>
        <v>SW NOT INSTALLED</v>
      </c>
      <c r="S208" s="18" t="str">
        <f t="shared" si="14"/>
        <v/>
      </c>
      <c r="T208" s="18" t="str">
        <f t="shared" si="15"/>
        <v>SW NOT INSTALLED</v>
      </c>
    </row>
    <row r="209" spans="1:20">
      <c r="A209" s="34">
        <f>'12 - Deployments &amp; Config'!H214</f>
        <v>0</v>
      </c>
      <c r="B209" s="34">
        <f>'12 - Deployments &amp; Config'!S214</f>
        <v>0</v>
      </c>
      <c r="C209" s="34">
        <f>'12 - Deployments &amp; Config'!T214</f>
        <v>0</v>
      </c>
      <c r="D209" s="18">
        <f>'12 - Deployments &amp; Config'!AK214</f>
        <v>0</v>
      </c>
      <c r="E209" s="18">
        <f>'12 - Deployments &amp; Config'!J214</f>
        <v>0</v>
      </c>
      <c r="F209" s="34">
        <f>'12 - Deployments &amp; Config'!K214</f>
        <v>0</v>
      </c>
      <c r="G209" s="18">
        <f>'12 - Deployments &amp; Config'!L214</f>
        <v>0</v>
      </c>
      <c r="H209" s="18">
        <f>'13 - Config_Intake_View'!M209</f>
        <v>0</v>
      </c>
      <c r="I209" s="34">
        <f>IF('13 - Config_Intake_View'!Q209&lt;&gt;"",'13 - Config_Intake_View'!Q209,'12 - Deployments &amp; Config'!BI214)</f>
        <v>0</v>
      </c>
      <c r="J209" s="18" t="str">
        <f>IF('13 - Config_Intake_View'!Q209&lt;&gt;"","PM Approved",IF('12 - Deployments &amp; Config'!BI214&lt;&gt;"","Assumed",""))</f>
        <v/>
      </c>
      <c r="K209" s="34">
        <f>'12 - Deployments &amp; Config'!BH214</f>
        <v>0</v>
      </c>
      <c r="L209" s="18">
        <f>'12 - Deployments &amp; Config'!P214</f>
        <v>0</v>
      </c>
      <c r="M209" s="18">
        <f>'12 - Deployments &amp; Config'!Q214</f>
        <v>0</v>
      </c>
      <c r="N209" s="18" t="str">
        <f>'12 - Deployments &amp; Config'!BL214</f>
        <v/>
      </c>
      <c r="O209" s="34" t="str">
        <f>'12 - Deployments &amp; Config'!BM214</f>
        <v/>
      </c>
      <c r="P209" s="2">
        <f>'12 - Deployments &amp; Config'!BB214</f>
        <v>0</v>
      </c>
      <c r="Q209" s="34" t="str">
        <f t="shared" si="12"/>
        <v/>
      </c>
      <c r="R209" s="18" t="str">
        <f t="shared" si="13"/>
        <v>SW NOT INSTALLED</v>
      </c>
      <c r="S209" s="18" t="str">
        <f t="shared" si="14"/>
        <v/>
      </c>
      <c r="T209" s="18" t="str">
        <f t="shared" si="15"/>
        <v>SW NOT INSTALLED</v>
      </c>
    </row>
    <row r="210" spans="1:20">
      <c r="A210" s="34">
        <f>'12 - Deployments &amp; Config'!H215</f>
        <v>0</v>
      </c>
      <c r="B210" s="34">
        <f>'12 - Deployments &amp; Config'!S215</f>
        <v>0</v>
      </c>
      <c r="C210" s="34">
        <f>'12 - Deployments &amp; Config'!T215</f>
        <v>0</v>
      </c>
      <c r="D210" s="18">
        <f>'12 - Deployments &amp; Config'!AK215</f>
        <v>0</v>
      </c>
      <c r="E210" s="18">
        <f>'12 - Deployments &amp; Config'!J215</f>
        <v>0</v>
      </c>
      <c r="F210" s="34">
        <f>'12 - Deployments &amp; Config'!K215</f>
        <v>0</v>
      </c>
      <c r="G210" s="18">
        <f>'12 - Deployments &amp; Config'!L215</f>
        <v>0</v>
      </c>
      <c r="H210" s="18">
        <f>'13 - Config_Intake_View'!M210</f>
        <v>0</v>
      </c>
      <c r="I210" s="34">
        <f>IF('13 - Config_Intake_View'!Q210&lt;&gt;"",'13 - Config_Intake_View'!Q210,'12 - Deployments &amp; Config'!BI215)</f>
        <v>0</v>
      </c>
      <c r="J210" s="18" t="str">
        <f>IF('13 - Config_Intake_View'!Q210&lt;&gt;"","PM Approved",IF('12 - Deployments &amp; Config'!BI215&lt;&gt;"","Assumed",""))</f>
        <v/>
      </c>
      <c r="K210" s="34">
        <f>'12 - Deployments &amp; Config'!BH215</f>
        <v>0</v>
      </c>
      <c r="L210" s="18">
        <f>'12 - Deployments &amp; Config'!P215</f>
        <v>0</v>
      </c>
      <c r="M210" s="18">
        <f>'12 - Deployments &amp; Config'!Q215</f>
        <v>0</v>
      </c>
      <c r="N210" s="18" t="str">
        <f>'12 - Deployments &amp; Config'!BL215</f>
        <v/>
      </c>
      <c r="O210" s="34" t="str">
        <f>'12 - Deployments &amp; Config'!BM215</f>
        <v/>
      </c>
      <c r="P210" s="2">
        <f>'12 - Deployments &amp; Config'!BB215</f>
        <v>0</v>
      </c>
      <c r="Q210" s="34" t="str">
        <f t="shared" si="12"/>
        <v/>
      </c>
      <c r="R210" s="18" t="str">
        <f t="shared" si="13"/>
        <v>SW NOT INSTALLED</v>
      </c>
      <c r="S210" s="18" t="str">
        <f t="shared" si="14"/>
        <v/>
      </c>
      <c r="T210" s="18" t="str">
        <f t="shared" si="15"/>
        <v>SW NOT INSTALLED</v>
      </c>
    </row>
    <row r="211" spans="1:20">
      <c r="A211" s="34">
        <f>'12 - Deployments &amp; Config'!H216</f>
        <v>0</v>
      </c>
      <c r="B211" s="34">
        <f>'12 - Deployments &amp; Config'!S216</f>
        <v>0</v>
      </c>
      <c r="C211" s="34">
        <f>'12 - Deployments &amp; Config'!T216</f>
        <v>0</v>
      </c>
      <c r="D211" s="18">
        <f>'12 - Deployments &amp; Config'!AK216</f>
        <v>0</v>
      </c>
      <c r="E211" s="18">
        <f>'12 - Deployments &amp; Config'!J216</f>
        <v>0</v>
      </c>
      <c r="F211" s="34">
        <f>'12 - Deployments &amp; Config'!K216</f>
        <v>0</v>
      </c>
      <c r="G211" s="18">
        <f>'12 - Deployments &amp; Config'!L216</f>
        <v>0</v>
      </c>
      <c r="H211" s="18">
        <f>'13 - Config_Intake_View'!M211</f>
        <v>0</v>
      </c>
      <c r="I211" s="34">
        <f>IF('13 - Config_Intake_View'!Q211&lt;&gt;"",'13 - Config_Intake_View'!Q211,'12 - Deployments &amp; Config'!BI216)</f>
        <v>0</v>
      </c>
      <c r="J211" s="18" t="str">
        <f>IF('13 - Config_Intake_View'!Q211&lt;&gt;"","PM Approved",IF('12 - Deployments &amp; Config'!BI216&lt;&gt;"","Assumed",""))</f>
        <v/>
      </c>
      <c r="K211" s="34">
        <f>'12 - Deployments &amp; Config'!BH216</f>
        <v>0</v>
      </c>
      <c r="L211" s="18">
        <f>'12 - Deployments &amp; Config'!P216</f>
        <v>0</v>
      </c>
      <c r="M211" s="18">
        <f>'12 - Deployments &amp; Config'!Q216</f>
        <v>0</v>
      </c>
      <c r="N211" s="18" t="str">
        <f>'12 - Deployments &amp; Config'!BL216</f>
        <v/>
      </c>
      <c r="O211" s="34" t="str">
        <f>'12 - Deployments &amp; Config'!BM216</f>
        <v/>
      </c>
      <c r="P211" s="2">
        <f>'12 - Deployments &amp; Config'!BB216</f>
        <v>0</v>
      </c>
      <c r="Q211" s="34" t="str">
        <f t="shared" si="12"/>
        <v/>
      </c>
      <c r="R211" s="18" t="str">
        <f t="shared" si="13"/>
        <v>SW NOT INSTALLED</v>
      </c>
      <c r="S211" s="18" t="str">
        <f t="shared" si="14"/>
        <v/>
      </c>
      <c r="T211" s="18" t="str">
        <f t="shared" si="15"/>
        <v>SW NOT INSTALLED</v>
      </c>
    </row>
    <row r="212" spans="1:20">
      <c r="A212" s="34">
        <f>'12 - Deployments &amp; Config'!H217</f>
        <v>0</v>
      </c>
      <c r="B212" s="34">
        <f>'12 - Deployments &amp; Config'!S217</f>
        <v>0</v>
      </c>
      <c r="C212" s="34">
        <f>'12 - Deployments &amp; Config'!T217</f>
        <v>0</v>
      </c>
      <c r="D212" s="18">
        <f>'12 - Deployments &amp; Config'!AK217</f>
        <v>0</v>
      </c>
      <c r="E212" s="18">
        <f>'12 - Deployments &amp; Config'!J217</f>
        <v>0</v>
      </c>
      <c r="F212" s="34">
        <f>'12 - Deployments &amp; Config'!K217</f>
        <v>0</v>
      </c>
      <c r="G212" s="18">
        <f>'12 - Deployments &amp; Config'!L217</f>
        <v>0</v>
      </c>
      <c r="H212" s="18">
        <f>'13 - Config_Intake_View'!M212</f>
        <v>0</v>
      </c>
      <c r="I212" s="34">
        <f>IF('13 - Config_Intake_View'!Q212&lt;&gt;"",'13 - Config_Intake_View'!Q212,'12 - Deployments &amp; Config'!BI217)</f>
        <v>0</v>
      </c>
      <c r="J212" s="18" t="str">
        <f>IF('13 - Config_Intake_View'!Q212&lt;&gt;"","PM Approved",IF('12 - Deployments &amp; Config'!BI217&lt;&gt;"","Assumed",""))</f>
        <v/>
      </c>
      <c r="K212" s="34">
        <f>'12 - Deployments &amp; Config'!BH217</f>
        <v>0</v>
      </c>
      <c r="L212" s="18">
        <f>'12 - Deployments &amp; Config'!P217</f>
        <v>0</v>
      </c>
      <c r="M212" s="18">
        <f>'12 - Deployments &amp; Config'!Q217</f>
        <v>0</v>
      </c>
      <c r="N212" s="18" t="str">
        <f>'12 - Deployments &amp; Config'!BL217</f>
        <v/>
      </c>
      <c r="O212" s="34" t="str">
        <f>'12 - Deployments &amp; Config'!BM217</f>
        <v/>
      </c>
      <c r="P212" s="2">
        <f>'12 - Deployments &amp; Config'!BB217</f>
        <v>0</v>
      </c>
      <c r="Q212" s="34" t="str">
        <f t="shared" si="12"/>
        <v/>
      </c>
      <c r="R212" s="18" t="str">
        <f t="shared" si="13"/>
        <v>SW NOT INSTALLED</v>
      </c>
      <c r="S212" s="18" t="str">
        <f t="shared" si="14"/>
        <v/>
      </c>
      <c r="T212" s="18" t="str">
        <f t="shared" si="15"/>
        <v>SW NOT INSTALLED</v>
      </c>
    </row>
    <row r="213" spans="1:20">
      <c r="A213" s="34">
        <f>'12 - Deployments &amp; Config'!H218</f>
        <v>0</v>
      </c>
      <c r="B213" s="34">
        <f>'12 - Deployments &amp; Config'!S218</f>
        <v>0</v>
      </c>
      <c r="C213" s="34">
        <f>'12 - Deployments &amp; Config'!T218</f>
        <v>0</v>
      </c>
      <c r="D213" s="18">
        <f>'12 - Deployments &amp; Config'!AK218</f>
        <v>0</v>
      </c>
      <c r="E213" s="18">
        <f>'12 - Deployments &amp; Config'!J218</f>
        <v>0</v>
      </c>
      <c r="F213" s="34">
        <f>'12 - Deployments &amp; Config'!K218</f>
        <v>0</v>
      </c>
      <c r="G213" s="18">
        <f>'12 - Deployments &amp; Config'!L218</f>
        <v>0</v>
      </c>
      <c r="H213" s="18">
        <f>'13 - Config_Intake_View'!M213</f>
        <v>0</v>
      </c>
      <c r="I213" s="34">
        <f>IF('13 - Config_Intake_View'!Q213&lt;&gt;"",'13 - Config_Intake_View'!Q213,'12 - Deployments &amp; Config'!BI218)</f>
        <v>0</v>
      </c>
      <c r="J213" s="18" t="str">
        <f>IF('13 - Config_Intake_View'!Q213&lt;&gt;"","PM Approved",IF('12 - Deployments &amp; Config'!BI218&lt;&gt;"","Assumed",""))</f>
        <v/>
      </c>
      <c r="K213" s="34">
        <f>'12 - Deployments &amp; Config'!BH218</f>
        <v>0</v>
      </c>
      <c r="L213" s="18">
        <f>'12 - Deployments &amp; Config'!P218</f>
        <v>0</v>
      </c>
      <c r="M213" s="18">
        <f>'12 - Deployments &amp; Config'!Q218</f>
        <v>0</v>
      </c>
      <c r="N213" s="18" t="str">
        <f>'12 - Deployments &amp; Config'!BL218</f>
        <v/>
      </c>
      <c r="O213" s="34" t="str">
        <f>'12 - Deployments &amp; Config'!BM218</f>
        <v/>
      </c>
      <c r="P213" s="2">
        <f>'12 - Deployments &amp; Config'!BB218</f>
        <v>0</v>
      </c>
      <c r="Q213" s="34" t="str">
        <f t="shared" si="12"/>
        <v/>
      </c>
      <c r="R213" s="18" t="str">
        <f t="shared" si="13"/>
        <v>SW NOT INSTALLED</v>
      </c>
      <c r="S213" s="18" t="str">
        <f t="shared" si="14"/>
        <v/>
      </c>
      <c r="T213" s="18" t="str">
        <f t="shared" si="15"/>
        <v>SW NOT INSTALLED</v>
      </c>
    </row>
    <row r="214" spans="1:20">
      <c r="A214" s="34">
        <f>'12 - Deployments &amp; Config'!H219</f>
        <v>0</v>
      </c>
      <c r="B214" s="34">
        <f>'12 - Deployments &amp; Config'!S219</f>
        <v>0</v>
      </c>
      <c r="C214" s="34">
        <f>'12 - Deployments &amp; Config'!T219</f>
        <v>0</v>
      </c>
      <c r="D214" s="18">
        <f>'12 - Deployments &amp; Config'!AK219</f>
        <v>0</v>
      </c>
      <c r="E214" s="18">
        <f>'12 - Deployments &amp; Config'!J219</f>
        <v>0</v>
      </c>
      <c r="F214" s="34">
        <f>'12 - Deployments &amp; Config'!K219</f>
        <v>0</v>
      </c>
      <c r="G214" s="18">
        <f>'12 - Deployments &amp; Config'!L219</f>
        <v>0</v>
      </c>
      <c r="H214" s="18">
        <f>'13 - Config_Intake_View'!M214</f>
        <v>0</v>
      </c>
      <c r="I214" s="34">
        <f>IF('13 - Config_Intake_View'!Q214&lt;&gt;"",'13 - Config_Intake_View'!Q214,'12 - Deployments &amp; Config'!BI219)</f>
        <v>0</v>
      </c>
      <c r="J214" s="18" t="str">
        <f>IF('13 - Config_Intake_View'!Q214&lt;&gt;"","PM Approved",IF('12 - Deployments &amp; Config'!BI219&lt;&gt;"","Assumed",""))</f>
        <v/>
      </c>
      <c r="K214" s="34">
        <f>'12 - Deployments &amp; Config'!BH219</f>
        <v>0</v>
      </c>
      <c r="L214" s="18">
        <f>'12 - Deployments &amp; Config'!P219</f>
        <v>0</v>
      </c>
      <c r="M214" s="18">
        <f>'12 - Deployments &amp; Config'!Q219</f>
        <v>0</v>
      </c>
      <c r="N214" s="18" t="str">
        <f>'12 - Deployments &amp; Config'!BL219</f>
        <v/>
      </c>
      <c r="O214" s="34" t="str">
        <f>'12 - Deployments &amp; Config'!BM219</f>
        <v/>
      </c>
      <c r="P214" s="2">
        <f>'12 - Deployments &amp; Config'!BB219</f>
        <v>0</v>
      </c>
      <c r="Q214" s="34" t="str">
        <f t="shared" si="12"/>
        <v/>
      </c>
      <c r="R214" s="18" t="str">
        <f t="shared" si="13"/>
        <v>SW NOT INSTALLED</v>
      </c>
      <c r="S214" s="18" t="str">
        <f t="shared" si="14"/>
        <v/>
      </c>
      <c r="T214" s="18" t="str">
        <f t="shared" si="15"/>
        <v>SW NOT INSTALLED</v>
      </c>
    </row>
    <row r="215" spans="1:20">
      <c r="A215" s="34">
        <f>'12 - Deployments &amp; Config'!H220</f>
        <v>0</v>
      </c>
      <c r="B215" s="34">
        <f>'12 - Deployments &amp; Config'!S220</f>
        <v>0</v>
      </c>
      <c r="C215" s="34">
        <f>'12 - Deployments &amp; Config'!T220</f>
        <v>0</v>
      </c>
      <c r="D215" s="18">
        <f>'12 - Deployments &amp; Config'!AK220</f>
        <v>0</v>
      </c>
      <c r="E215" s="18">
        <f>'12 - Deployments &amp; Config'!J220</f>
        <v>0</v>
      </c>
      <c r="F215" s="34">
        <f>'12 - Deployments &amp; Config'!K220</f>
        <v>0</v>
      </c>
      <c r="G215" s="18">
        <f>'12 - Deployments &amp; Config'!L220</f>
        <v>0</v>
      </c>
      <c r="H215" s="18">
        <f>'13 - Config_Intake_View'!M215</f>
        <v>0</v>
      </c>
      <c r="I215" s="34">
        <f>IF('13 - Config_Intake_View'!Q215&lt;&gt;"",'13 - Config_Intake_View'!Q215,'12 - Deployments &amp; Config'!BI220)</f>
        <v>0</v>
      </c>
      <c r="J215" s="18" t="str">
        <f>IF('13 - Config_Intake_View'!Q215&lt;&gt;"","PM Approved",IF('12 - Deployments &amp; Config'!BI220&lt;&gt;"","Assumed",""))</f>
        <v/>
      </c>
      <c r="K215" s="34">
        <f>'12 - Deployments &amp; Config'!BH220</f>
        <v>0</v>
      </c>
      <c r="L215" s="18">
        <f>'12 - Deployments &amp; Config'!P220</f>
        <v>0</v>
      </c>
      <c r="M215" s="18">
        <f>'12 - Deployments &amp; Config'!Q220</f>
        <v>0</v>
      </c>
      <c r="N215" s="18" t="str">
        <f>'12 - Deployments &amp; Config'!BL220</f>
        <v/>
      </c>
      <c r="O215" s="34" t="str">
        <f>'12 - Deployments &amp; Config'!BM220</f>
        <v/>
      </c>
      <c r="P215" s="2">
        <f>'12 - Deployments &amp; Config'!BB220</f>
        <v>0</v>
      </c>
      <c r="Q215" s="34" t="str">
        <f t="shared" si="12"/>
        <v/>
      </c>
      <c r="R215" s="18" t="str">
        <f t="shared" si="13"/>
        <v>SW NOT INSTALLED</v>
      </c>
      <c r="S215" s="18" t="str">
        <f t="shared" si="14"/>
        <v/>
      </c>
      <c r="T215" s="18" t="str">
        <f t="shared" si="15"/>
        <v>SW NOT INSTALLED</v>
      </c>
    </row>
    <row r="216" spans="1:20">
      <c r="A216" s="34">
        <f>'12 - Deployments &amp; Config'!H221</f>
        <v>0</v>
      </c>
      <c r="B216" s="34">
        <f>'12 - Deployments &amp; Config'!S221</f>
        <v>0</v>
      </c>
      <c r="C216" s="34">
        <f>'12 - Deployments &amp; Config'!T221</f>
        <v>0</v>
      </c>
      <c r="D216" s="18">
        <f>'12 - Deployments &amp; Config'!AK221</f>
        <v>0</v>
      </c>
      <c r="E216" s="18">
        <f>'12 - Deployments &amp; Config'!J221</f>
        <v>0</v>
      </c>
      <c r="F216" s="34">
        <f>'12 - Deployments &amp; Config'!K221</f>
        <v>0</v>
      </c>
      <c r="G216" s="18">
        <f>'12 - Deployments &amp; Config'!L221</f>
        <v>0</v>
      </c>
      <c r="H216" s="18">
        <f>'13 - Config_Intake_View'!M216</f>
        <v>0</v>
      </c>
      <c r="I216" s="34">
        <f>IF('13 - Config_Intake_View'!Q216&lt;&gt;"",'13 - Config_Intake_View'!Q216,'12 - Deployments &amp; Config'!BI221)</f>
        <v>0</v>
      </c>
      <c r="J216" s="18" t="str">
        <f>IF('13 - Config_Intake_View'!Q216&lt;&gt;"","PM Approved",IF('12 - Deployments &amp; Config'!BI221&lt;&gt;"","Assumed",""))</f>
        <v/>
      </c>
      <c r="K216" s="34">
        <f>'12 - Deployments &amp; Config'!BH221</f>
        <v>0</v>
      </c>
      <c r="L216" s="18">
        <f>'12 - Deployments &amp; Config'!P221</f>
        <v>0</v>
      </c>
      <c r="M216" s="18">
        <f>'12 - Deployments &amp; Config'!Q221</f>
        <v>0</v>
      </c>
      <c r="N216" s="18" t="str">
        <f>'12 - Deployments &amp; Config'!BL221</f>
        <v/>
      </c>
      <c r="O216" s="34" t="str">
        <f>'12 - Deployments &amp; Config'!BM221</f>
        <v/>
      </c>
      <c r="P216" s="2">
        <f>'12 - Deployments &amp; Config'!BB221</f>
        <v>0</v>
      </c>
      <c r="Q216" s="34" t="str">
        <f t="shared" si="12"/>
        <v/>
      </c>
      <c r="R216" s="18" t="str">
        <f t="shared" si="13"/>
        <v>SW NOT INSTALLED</v>
      </c>
      <c r="S216" s="18" t="str">
        <f t="shared" si="14"/>
        <v/>
      </c>
      <c r="T216" s="18" t="str">
        <f t="shared" si="15"/>
        <v>SW NOT INSTALLED</v>
      </c>
    </row>
    <row r="217" spans="1:20">
      <c r="A217" s="34">
        <f>'12 - Deployments &amp; Config'!H222</f>
        <v>0</v>
      </c>
      <c r="B217" s="34">
        <f>'12 - Deployments &amp; Config'!S222</f>
        <v>0</v>
      </c>
      <c r="C217" s="34">
        <f>'12 - Deployments &amp; Config'!T222</f>
        <v>0</v>
      </c>
      <c r="D217" s="18">
        <f>'12 - Deployments &amp; Config'!AK222</f>
        <v>0</v>
      </c>
      <c r="E217" s="18">
        <f>'12 - Deployments &amp; Config'!J222</f>
        <v>0</v>
      </c>
      <c r="F217" s="34">
        <f>'12 - Deployments &amp; Config'!K222</f>
        <v>0</v>
      </c>
      <c r="G217" s="18">
        <f>'12 - Deployments &amp; Config'!L222</f>
        <v>0</v>
      </c>
      <c r="H217" s="18">
        <f>'13 - Config_Intake_View'!M217</f>
        <v>0</v>
      </c>
      <c r="I217" s="34">
        <f>IF('13 - Config_Intake_View'!Q217&lt;&gt;"",'13 - Config_Intake_View'!Q217,'12 - Deployments &amp; Config'!BI222)</f>
        <v>0</v>
      </c>
      <c r="J217" s="18" t="str">
        <f>IF('13 - Config_Intake_View'!Q217&lt;&gt;"","PM Approved",IF('12 - Deployments &amp; Config'!BI222&lt;&gt;"","Assumed",""))</f>
        <v/>
      </c>
      <c r="K217" s="34">
        <f>'12 - Deployments &amp; Config'!BH222</f>
        <v>0</v>
      </c>
      <c r="L217" s="18">
        <f>'12 - Deployments &amp; Config'!P222</f>
        <v>0</v>
      </c>
      <c r="M217" s="18">
        <f>'12 - Deployments &amp; Config'!Q222</f>
        <v>0</v>
      </c>
      <c r="N217" s="18" t="str">
        <f>'12 - Deployments &amp; Config'!BL222</f>
        <v/>
      </c>
      <c r="O217" s="34" t="str">
        <f>'12 - Deployments &amp; Config'!BM222</f>
        <v/>
      </c>
      <c r="P217" s="2">
        <f>'12 - Deployments &amp; Config'!BB222</f>
        <v>0</v>
      </c>
      <c r="Q217" s="34" t="str">
        <f t="shared" si="12"/>
        <v/>
      </c>
      <c r="R217" s="18" t="str">
        <f t="shared" si="13"/>
        <v>SW NOT INSTALLED</v>
      </c>
      <c r="S217" s="18" t="str">
        <f t="shared" si="14"/>
        <v/>
      </c>
      <c r="T217" s="18" t="str">
        <f t="shared" si="15"/>
        <v>SW NOT INSTALLED</v>
      </c>
    </row>
    <row r="218" spans="1:20">
      <c r="A218" s="34">
        <f>'12 - Deployments &amp; Config'!H223</f>
        <v>0</v>
      </c>
      <c r="B218" s="34">
        <f>'12 - Deployments &amp; Config'!S223</f>
        <v>0</v>
      </c>
      <c r="C218" s="34">
        <f>'12 - Deployments &amp; Config'!T223</f>
        <v>0</v>
      </c>
      <c r="D218" s="18">
        <f>'12 - Deployments &amp; Config'!AK223</f>
        <v>0</v>
      </c>
      <c r="E218" s="18">
        <f>'12 - Deployments &amp; Config'!J223</f>
        <v>0</v>
      </c>
      <c r="F218" s="34">
        <f>'12 - Deployments &amp; Config'!K223</f>
        <v>0</v>
      </c>
      <c r="G218" s="18">
        <f>'12 - Deployments &amp; Config'!L223</f>
        <v>0</v>
      </c>
      <c r="H218" s="18">
        <f>'13 - Config_Intake_View'!M218</f>
        <v>0</v>
      </c>
      <c r="I218" s="34">
        <f>IF('13 - Config_Intake_View'!Q218&lt;&gt;"",'13 - Config_Intake_View'!Q218,'12 - Deployments &amp; Config'!BI223)</f>
        <v>0</v>
      </c>
      <c r="J218" s="18" t="str">
        <f>IF('13 - Config_Intake_View'!Q218&lt;&gt;"","PM Approved",IF('12 - Deployments &amp; Config'!BI223&lt;&gt;"","Assumed",""))</f>
        <v/>
      </c>
      <c r="K218" s="34">
        <f>'12 - Deployments &amp; Config'!BH223</f>
        <v>0</v>
      </c>
      <c r="L218" s="18">
        <f>'12 - Deployments &amp; Config'!P223</f>
        <v>0</v>
      </c>
      <c r="M218" s="18">
        <f>'12 - Deployments &amp; Config'!Q223</f>
        <v>0</v>
      </c>
      <c r="N218" s="18" t="str">
        <f>'12 - Deployments &amp; Config'!BL223</f>
        <v/>
      </c>
      <c r="O218" s="34" t="str">
        <f>'12 - Deployments &amp; Config'!BM223</f>
        <v/>
      </c>
      <c r="P218" s="2">
        <f>'12 - Deployments &amp; Config'!BB223</f>
        <v>0</v>
      </c>
      <c r="Q218" s="34" t="str">
        <f t="shared" si="12"/>
        <v/>
      </c>
      <c r="R218" s="18" t="str">
        <f t="shared" si="13"/>
        <v>SW NOT INSTALLED</v>
      </c>
      <c r="S218" s="18" t="str">
        <f t="shared" si="14"/>
        <v/>
      </c>
      <c r="T218" s="18" t="str">
        <f t="shared" si="15"/>
        <v>SW NOT INSTALLED</v>
      </c>
    </row>
    <row r="219" spans="1:20">
      <c r="A219" s="34">
        <f>'12 - Deployments &amp; Config'!H224</f>
        <v>0</v>
      </c>
      <c r="B219" s="34">
        <f>'12 - Deployments &amp; Config'!S224</f>
        <v>0</v>
      </c>
      <c r="C219" s="34">
        <f>'12 - Deployments &amp; Config'!T224</f>
        <v>0</v>
      </c>
      <c r="D219" s="18">
        <f>'12 - Deployments &amp; Config'!AK224</f>
        <v>0</v>
      </c>
      <c r="E219" s="18">
        <f>'12 - Deployments &amp; Config'!J224</f>
        <v>0</v>
      </c>
      <c r="F219" s="34">
        <f>'12 - Deployments &amp; Config'!K224</f>
        <v>0</v>
      </c>
      <c r="G219" s="18">
        <f>'12 - Deployments &amp; Config'!L224</f>
        <v>0</v>
      </c>
      <c r="H219" s="18">
        <f>'13 - Config_Intake_View'!M219</f>
        <v>0</v>
      </c>
      <c r="I219" s="34">
        <f>IF('13 - Config_Intake_View'!Q219&lt;&gt;"",'13 - Config_Intake_View'!Q219,'12 - Deployments &amp; Config'!BI224)</f>
        <v>0</v>
      </c>
      <c r="J219" s="18" t="str">
        <f>IF('13 - Config_Intake_View'!Q219&lt;&gt;"","PM Approved",IF('12 - Deployments &amp; Config'!BI224&lt;&gt;"","Assumed",""))</f>
        <v/>
      </c>
      <c r="K219" s="34">
        <f>'12 - Deployments &amp; Config'!BH224</f>
        <v>0</v>
      </c>
      <c r="L219" s="18">
        <f>'12 - Deployments &amp; Config'!P224</f>
        <v>0</v>
      </c>
      <c r="M219" s="18">
        <f>'12 - Deployments &amp; Config'!Q224</f>
        <v>0</v>
      </c>
      <c r="N219" s="18" t="str">
        <f>'12 - Deployments &amp; Config'!BL224</f>
        <v/>
      </c>
      <c r="O219" s="34" t="str">
        <f>'12 - Deployments &amp; Config'!BM224</f>
        <v/>
      </c>
      <c r="P219" s="2">
        <f>'12 - Deployments &amp; Config'!BB224</f>
        <v>0</v>
      </c>
      <c r="Q219" s="34" t="str">
        <f t="shared" si="12"/>
        <v/>
      </c>
      <c r="R219" s="18" t="str">
        <f t="shared" si="13"/>
        <v>SW NOT INSTALLED</v>
      </c>
      <c r="S219" s="18" t="str">
        <f t="shared" si="14"/>
        <v/>
      </c>
      <c r="T219" s="18" t="str">
        <f t="shared" si="15"/>
        <v>SW NOT INSTALLED</v>
      </c>
    </row>
    <row r="220" spans="1:20">
      <c r="A220" s="34">
        <f>'12 - Deployments &amp; Config'!H225</f>
        <v>0</v>
      </c>
      <c r="B220" s="34">
        <f>'12 - Deployments &amp; Config'!S225</f>
        <v>0</v>
      </c>
      <c r="C220" s="34">
        <f>'12 - Deployments &amp; Config'!T225</f>
        <v>0</v>
      </c>
      <c r="D220" s="18">
        <f>'12 - Deployments &amp; Config'!AK225</f>
        <v>0</v>
      </c>
      <c r="E220" s="18">
        <f>'12 - Deployments &amp; Config'!J225</f>
        <v>0</v>
      </c>
      <c r="F220" s="34">
        <f>'12 - Deployments &amp; Config'!K225</f>
        <v>0</v>
      </c>
      <c r="G220" s="18">
        <f>'12 - Deployments &amp; Config'!L225</f>
        <v>0</v>
      </c>
      <c r="H220" s="18">
        <f>'13 - Config_Intake_View'!M220</f>
        <v>0</v>
      </c>
      <c r="I220" s="34">
        <f>IF('13 - Config_Intake_View'!Q220&lt;&gt;"",'13 - Config_Intake_View'!Q220,'12 - Deployments &amp; Config'!BI225)</f>
        <v>0</v>
      </c>
      <c r="J220" s="18" t="str">
        <f>IF('13 - Config_Intake_View'!Q220&lt;&gt;"","PM Approved",IF('12 - Deployments &amp; Config'!BI225&lt;&gt;"","Assumed",""))</f>
        <v/>
      </c>
      <c r="K220" s="34">
        <f>'12 - Deployments &amp; Config'!BH225</f>
        <v>0</v>
      </c>
      <c r="L220" s="18">
        <f>'12 - Deployments &amp; Config'!P225</f>
        <v>0</v>
      </c>
      <c r="M220" s="18">
        <f>'12 - Deployments &amp; Config'!Q225</f>
        <v>0</v>
      </c>
      <c r="N220" s="18" t="str">
        <f>'12 - Deployments &amp; Config'!BL225</f>
        <v/>
      </c>
      <c r="O220" s="34" t="str">
        <f>'12 - Deployments &amp; Config'!BM225</f>
        <v/>
      </c>
      <c r="P220" s="2">
        <f>'12 - Deployments &amp; Config'!BB225</f>
        <v>0</v>
      </c>
      <c r="Q220" s="34" t="str">
        <f t="shared" si="12"/>
        <v/>
      </c>
      <c r="R220" s="18" t="str">
        <f t="shared" si="13"/>
        <v>SW NOT INSTALLED</v>
      </c>
      <c r="S220" s="18" t="str">
        <f t="shared" si="14"/>
        <v/>
      </c>
      <c r="T220" s="18" t="str">
        <f t="shared" si="15"/>
        <v>SW NOT INSTALLED</v>
      </c>
    </row>
    <row r="221" spans="1:20">
      <c r="A221" s="34">
        <f>'12 - Deployments &amp; Config'!H226</f>
        <v>0</v>
      </c>
      <c r="B221" s="34">
        <f>'12 - Deployments &amp; Config'!S226</f>
        <v>0</v>
      </c>
      <c r="C221" s="34">
        <f>'12 - Deployments &amp; Config'!T226</f>
        <v>0</v>
      </c>
      <c r="D221" s="18">
        <f>'12 - Deployments &amp; Config'!AK226</f>
        <v>0</v>
      </c>
      <c r="E221" s="18">
        <f>'12 - Deployments &amp; Config'!J226</f>
        <v>0</v>
      </c>
      <c r="F221" s="34">
        <f>'12 - Deployments &amp; Config'!K226</f>
        <v>0</v>
      </c>
      <c r="G221" s="18">
        <f>'12 - Deployments &amp; Config'!L226</f>
        <v>0</v>
      </c>
      <c r="H221" s="18">
        <f>'13 - Config_Intake_View'!M221</f>
        <v>0</v>
      </c>
      <c r="I221" s="34">
        <f>IF('13 - Config_Intake_View'!Q221&lt;&gt;"",'13 - Config_Intake_View'!Q221,'12 - Deployments &amp; Config'!BI226)</f>
        <v>0</v>
      </c>
      <c r="J221" s="18" t="str">
        <f>IF('13 - Config_Intake_View'!Q221&lt;&gt;"","PM Approved",IF('12 - Deployments &amp; Config'!BI226&lt;&gt;"","Assumed",""))</f>
        <v/>
      </c>
      <c r="K221" s="34">
        <f>'12 - Deployments &amp; Config'!BH226</f>
        <v>0</v>
      </c>
      <c r="L221" s="18">
        <f>'12 - Deployments &amp; Config'!P226</f>
        <v>0</v>
      </c>
      <c r="M221" s="18">
        <f>'12 - Deployments &amp; Config'!Q226</f>
        <v>0</v>
      </c>
      <c r="N221" s="18" t="str">
        <f>'12 - Deployments &amp; Config'!BL226</f>
        <v/>
      </c>
      <c r="O221" s="34" t="str">
        <f>'12 - Deployments &amp; Config'!BM226</f>
        <v/>
      </c>
      <c r="P221" s="2">
        <f>'12 - Deployments &amp; Config'!BB226</f>
        <v>0</v>
      </c>
      <c r="Q221" s="34" t="str">
        <f t="shared" si="12"/>
        <v/>
      </c>
      <c r="R221" s="18" t="str">
        <f t="shared" si="13"/>
        <v>SW NOT INSTALLED</v>
      </c>
      <c r="S221" s="18" t="str">
        <f t="shared" si="14"/>
        <v/>
      </c>
      <c r="T221" s="18" t="str">
        <f t="shared" si="15"/>
        <v>SW NOT INSTALLED</v>
      </c>
    </row>
    <row r="222" spans="1:20">
      <c r="A222" s="34">
        <f>'12 - Deployments &amp; Config'!H227</f>
        <v>0</v>
      </c>
      <c r="B222" s="34">
        <f>'12 - Deployments &amp; Config'!S227</f>
        <v>0</v>
      </c>
      <c r="C222" s="34">
        <f>'12 - Deployments &amp; Config'!T227</f>
        <v>0</v>
      </c>
      <c r="D222" s="18">
        <f>'12 - Deployments &amp; Config'!AK227</f>
        <v>0</v>
      </c>
      <c r="E222" s="18">
        <f>'12 - Deployments &amp; Config'!J227</f>
        <v>0</v>
      </c>
      <c r="F222" s="34">
        <f>'12 - Deployments &amp; Config'!K227</f>
        <v>0</v>
      </c>
      <c r="G222" s="18">
        <f>'12 - Deployments &amp; Config'!L227</f>
        <v>0</v>
      </c>
      <c r="H222" s="18">
        <f>'13 - Config_Intake_View'!M222</f>
        <v>0</v>
      </c>
      <c r="I222" s="34">
        <f>IF('13 - Config_Intake_View'!Q222&lt;&gt;"",'13 - Config_Intake_View'!Q222,'12 - Deployments &amp; Config'!BI227)</f>
        <v>0</v>
      </c>
      <c r="J222" s="18" t="str">
        <f>IF('13 - Config_Intake_View'!Q222&lt;&gt;"","PM Approved",IF('12 - Deployments &amp; Config'!BI227&lt;&gt;"","Assumed",""))</f>
        <v/>
      </c>
      <c r="K222" s="34">
        <f>'12 - Deployments &amp; Config'!BH227</f>
        <v>0</v>
      </c>
      <c r="L222" s="18">
        <f>'12 - Deployments &amp; Config'!P227</f>
        <v>0</v>
      </c>
      <c r="M222" s="18">
        <f>'12 - Deployments &amp; Config'!Q227</f>
        <v>0</v>
      </c>
      <c r="N222" s="18" t="str">
        <f>'12 - Deployments &amp; Config'!BL227</f>
        <v/>
      </c>
      <c r="O222" s="34" t="str">
        <f>'12 - Deployments &amp; Config'!BM227</f>
        <v/>
      </c>
      <c r="P222" s="2">
        <f>'12 - Deployments &amp; Config'!BB227</f>
        <v>0</v>
      </c>
      <c r="Q222" s="34" t="str">
        <f t="shared" si="12"/>
        <v/>
      </c>
      <c r="R222" s="18" t="str">
        <f t="shared" si="13"/>
        <v>SW NOT INSTALLED</v>
      </c>
      <c r="S222" s="18" t="str">
        <f t="shared" si="14"/>
        <v/>
      </c>
      <c r="T222" s="18" t="str">
        <f t="shared" si="15"/>
        <v>SW NOT INSTALLED</v>
      </c>
    </row>
    <row r="223" spans="1:20">
      <c r="A223" s="34">
        <f>'12 - Deployments &amp; Config'!H228</f>
        <v>0</v>
      </c>
      <c r="B223" s="34">
        <f>'12 - Deployments &amp; Config'!S228</f>
        <v>0</v>
      </c>
      <c r="C223" s="34">
        <f>'12 - Deployments &amp; Config'!T228</f>
        <v>0</v>
      </c>
      <c r="D223" s="18">
        <f>'12 - Deployments &amp; Config'!AK228</f>
        <v>0</v>
      </c>
      <c r="E223" s="18">
        <f>'12 - Deployments &amp; Config'!J228</f>
        <v>0</v>
      </c>
      <c r="F223" s="34">
        <f>'12 - Deployments &amp; Config'!K228</f>
        <v>0</v>
      </c>
      <c r="G223" s="18">
        <f>'12 - Deployments &amp; Config'!L228</f>
        <v>0</v>
      </c>
      <c r="H223" s="18">
        <f>'13 - Config_Intake_View'!M223</f>
        <v>0</v>
      </c>
      <c r="I223" s="34">
        <f>IF('13 - Config_Intake_View'!Q223&lt;&gt;"",'13 - Config_Intake_View'!Q223,'12 - Deployments &amp; Config'!BI228)</f>
        <v>0</v>
      </c>
      <c r="J223" s="18" t="str">
        <f>IF('13 - Config_Intake_View'!Q223&lt;&gt;"","PM Approved",IF('12 - Deployments &amp; Config'!BI228&lt;&gt;"","Assumed",""))</f>
        <v/>
      </c>
      <c r="K223" s="34">
        <f>'12 - Deployments &amp; Config'!BH228</f>
        <v>0</v>
      </c>
      <c r="L223" s="18">
        <f>'12 - Deployments &amp; Config'!P228</f>
        <v>0</v>
      </c>
      <c r="M223" s="18">
        <f>'12 - Deployments &amp; Config'!Q228</f>
        <v>0</v>
      </c>
      <c r="N223" s="18" t="str">
        <f>'12 - Deployments &amp; Config'!BL228</f>
        <v/>
      </c>
      <c r="O223" s="34" t="str">
        <f>'12 - Deployments &amp; Config'!BM228</f>
        <v/>
      </c>
      <c r="P223" s="2">
        <f>'12 - Deployments &amp; Config'!BB228</f>
        <v>0</v>
      </c>
      <c r="Q223" s="34" t="str">
        <f t="shared" si="12"/>
        <v/>
      </c>
      <c r="R223" s="18" t="str">
        <f t="shared" si="13"/>
        <v>SW NOT INSTALLED</v>
      </c>
      <c r="S223" s="18" t="str">
        <f t="shared" si="14"/>
        <v/>
      </c>
      <c r="T223" s="18" t="str">
        <f t="shared" si="15"/>
        <v>SW NOT INSTALLED</v>
      </c>
    </row>
    <row r="224" spans="1:20">
      <c r="A224" s="34">
        <f>'12 - Deployments &amp; Config'!H229</f>
        <v>0</v>
      </c>
      <c r="B224" s="34">
        <f>'12 - Deployments &amp; Config'!S229</f>
        <v>0</v>
      </c>
      <c r="C224" s="34">
        <f>'12 - Deployments &amp; Config'!T229</f>
        <v>0</v>
      </c>
      <c r="D224" s="18">
        <f>'12 - Deployments &amp; Config'!AK229</f>
        <v>0</v>
      </c>
      <c r="E224" s="18">
        <f>'12 - Deployments &amp; Config'!J229</f>
        <v>0</v>
      </c>
      <c r="F224" s="34">
        <f>'12 - Deployments &amp; Config'!K229</f>
        <v>0</v>
      </c>
      <c r="G224" s="18">
        <f>'12 - Deployments &amp; Config'!L229</f>
        <v>0</v>
      </c>
      <c r="H224" s="18">
        <f>'13 - Config_Intake_View'!M224</f>
        <v>0</v>
      </c>
      <c r="I224" s="34">
        <f>IF('13 - Config_Intake_View'!Q224&lt;&gt;"",'13 - Config_Intake_View'!Q224,'12 - Deployments &amp; Config'!BI229)</f>
        <v>0</v>
      </c>
      <c r="J224" s="18" t="str">
        <f>IF('13 - Config_Intake_View'!Q224&lt;&gt;"","PM Approved",IF('12 - Deployments &amp; Config'!BI229&lt;&gt;"","Assumed",""))</f>
        <v/>
      </c>
      <c r="K224" s="34">
        <f>'12 - Deployments &amp; Config'!BH229</f>
        <v>0</v>
      </c>
      <c r="L224" s="18">
        <f>'12 - Deployments &amp; Config'!P229</f>
        <v>0</v>
      </c>
      <c r="M224" s="18">
        <f>'12 - Deployments &amp; Config'!Q229</f>
        <v>0</v>
      </c>
      <c r="N224" s="18" t="str">
        <f>'12 - Deployments &amp; Config'!BL229</f>
        <v/>
      </c>
      <c r="O224" s="34" t="str">
        <f>'12 - Deployments &amp; Config'!BM229</f>
        <v/>
      </c>
      <c r="P224" s="2">
        <f>'12 - Deployments &amp; Config'!BB229</f>
        <v>0</v>
      </c>
      <c r="Q224" s="34" t="str">
        <f t="shared" si="12"/>
        <v/>
      </c>
      <c r="R224" s="18" t="str">
        <f t="shared" si="13"/>
        <v>SW NOT INSTALLED</v>
      </c>
      <c r="S224" s="18" t="str">
        <f t="shared" si="14"/>
        <v/>
      </c>
      <c r="T224" s="18" t="str">
        <f t="shared" si="15"/>
        <v>SW NOT INSTALLED</v>
      </c>
    </row>
    <row r="225" spans="1:20">
      <c r="A225" s="34">
        <f>'12 - Deployments &amp; Config'!H230</f>
        <v>0</v>
      </c>
      <c r="B225" s="34">
        <f>'12 - Deployments &amp; Config'!S230</f>
        <v>0</v>
      </c>
      <c r="C225" s="34">
        <f>'12 - Deployments &amp; Config'!T230</f>
        <v>0</v>
      </c>
      <c r="D225" s="18">
        <f>'12 - Deployments &amp; Config'!AK230</f>
        <v>0</v>
      </c>
      <c r="E225" s="18">
        <f>'12 - Deployments &amp; Config'!J230</f>
        <v>0</v>
      </c>
      <c r="F225" s="34">
        <f>'12 - Deployments &amp; Config'!K230</f>
        <v>0</v>
      </c>
      <c r="G225" s="18">
        <f>'12 - Deployments &amp; Config'!L230</f>
        <v>0</v>
      </c>
      <c r="H225" s="18">
        <f>'13 - Config_Intake_View'!M225</f>
        <v>0</v>
      </c>
      <c r="I225" s="34">
        <f>IF('13 - Config_Intake_View'!Q225&lt;&gt;"",'13 - Config_Intake_View'!Q225,'12 - Deployments &amp; Config'!BI230)</f>
        <v>0</v>
      </c>
      <c r="J225" s="18" t="str">
        <f>IF('13 - Config_Intake_View'!Q225&lt;&gt;"","PM Approved",IF('12 - Deployments &amp; Config'!BI230&lt;&gt;"","Assumed",""))</f>
        <v/>
      </c>
      <c r="K225" s="34">
        <f>'12 - Deployments &amp; Config'!BH230</f>
        <v>0</v>
      </c>
      <c r="L225" s="18">
        <f>'12 - Deployments &amp; Config'!P230</f>
        <v>0</v>
      </c>
      <c r="M225" s="18">
        <f>'12 - Deployments &amp; Config'!Q230</f>
        <v>0</v>
      </c>
      <c r="N225" s="18" t="str">
        <f>'12 - Deployments &amp; Config'!BL230</f>
        <v/>
      </c>
      <c r="O225" s="34" t="str">
        <f>'12 - Deployments &amp; Config'!BM230</f>
        <v/>
      </c>
      <c r="P225" s="2">
        <f>'12 - Deployments &amp; Config'!BB230</f>
        <v>0</v>
      </c>
      <c r="Q225" s="34" t="str">
        <f t="shared" si="12"/>
        <v/>
      </c>
      <c r="R225" s="18" t="str">
        <f t="shared" si="13"/>
        <v>SW NOT INSTALLED</v>
      </c>
      <c r="S225" s="18" t="str">
        <f t="shared" si="14"/>
        <v/>
      </c>
      <c r="T225" s="18" t="str">
        <f t="shared" si="15"/>
        <v>SW NOT INSTALLED</v>
      </c>
    </row>
    <row r="226" spans="1:20">
      <c r="A226" s="34">
        <f>'12 - Deployments &amp; Config'!H231</f>
        <v>0</v>
      </c>
      <c r="B226" s="34">
        <f>'12 - Deployments &amp; Config'!S231</f>
        <v>0</v>
      </c>
      <c r="C226" s="34">
        <f>'12 - Deployments &amp; Config'!T231</f>
        <v>0</v>
      </c>
      <c r="D226" s="18">
        <f>'12 - Deployments &amp; Config'!AK231</f>
        <v>0</v>
      </c>
      <c r="E226" s="18">
        <f>'12 - Deployments &amp; Config'!J231</f>
        <v>0</v>
      </c>
      <c r="F226" s="34">
        <f>'12 - Deployments &amp; Config'!K231</f>
        <v>0</v>
      </c>
      <c r="G226" s="18">
        <f>'12 - Deployments &amp; Config'!L231</f>
        <v>0</v>
      </c>
      <c r="H226" s="18">
        <f>'13 - Config_Intake_View'!M226</f>
        <v>0</v>
      </c>
      <c r="I226" s="34">
        <f>IF('13 - Config_Intake_View'!Q226&lt;&gt;"",'13 - Config_Intake_View'!Q226,'12 - Deployments &amp; Config'!BI231)</f>
        <v>0</v>
      </c>
      <c r="J226" s="18" t="str">
        <f>IF('13 - Config_Intake_View'!Q226&lt;&gt;"","PM Approved",IF('12 - Deployments &amp; Config'!BI231&lt;&gt;"","Assumed",""))</f>
        <v/>
      </c>
      <c r="K226" s="34">
        <f>'12 - Deployments &amp; Config'!BH231</f>
        <v>0</v>
      </c>
      <c r="L226" s="18">
        <f>'12 - Deployments &amp; Config'!P231</f>
        <v>0</v>
      </c>
      <c r="M226" s="18">
        <f>'12 - Deployments &amp; Config'!Q231</f>
        <v>0</v>
      </c>
      <c r="N226" s="18" t="str">
        <f>'12 - Deployments &amp; Config'!BL231</f>
        <v/>
      </c>
      <c r="O226" s="34" t="str">
        <f>'12 - Deployments &amp; Config'!BM231</f>
        <v/>
      </c>
      <c r="P226" s="2">
        <f>'12 - Deployments &amp; Config'!BB231</f>
        <v>0</v>
      </c>
      <c r="Q226" s="34" t="str">
        <f t="shared" si="12"/>
        <v/>
      </c>
      <c r="R226" s="18" t="str">
        <f t="shared" si="13"/>
        <v>SW NOT INSTALLED</v>
      </c>
      <c r="S226" s="18" t="str">
        <f t="shared" si="14"/>
        <v/>
      </c>
      <c r="T226" s="18" t="str">
        <f t="shared" si="15"/>
        <v>SW NOT INSTALLED</v>
      </c>
    </row>
    <row r="227" spans="1:20">
      <c r="A227" s="34">
        <f>'12 - Deployments &amp; Config'!H232</f>
        <v>0</v>
      </c>
      <c r="B227" s="34">
        <f>'12 - Deployments &amp; Config'!S232</f>
        <v>0</v>
      </c>
      <c r="C227" s="34">
        <f>'12 - Deployments &amp; Config'!T232</f>
        <v>0</v>
      </c>
      <c r="D227" s="18">
        <f>'12 - Deployments &amp; Config'!AK232</f>
        <v>0</v>
      </c>
      <c r="E227" s="18">
        <f>'12 - Deployments &amp; Config'!J232</f>
        <v>0</v>
      </c>
      <c r="F227" s="34">
        <f>'12 - Deployments &amp; Config'!K232</f>
        <v>0</v>
      </c>
      <c r="G227" s="18">
        <f>'12 - Deployments &amp; Config'!L232</f>
        <v>0</v>
      </c>
      <c r="H227" s="18">
        <f>'13 - Config_Intake_View'!M227</f>
        <v>0</v>
      </c>
      <c r="I227" s="34">
        <f>IF('13 - Config_Intake_View'!Q227&lt;&gt;"",'13 - Config_Intake_View'!Q227,'12 - Deployments &amp; Config'!BI232)</f>
        <v>0</v>
      </c>
      <c r="J227" s="18" t="str">
        <f>IF('13 - Config_Intake_View'!Q227&lt;&gt;"","PM Approved",IF('12 - Deployments &amp; Config'!BI232&lt;&gt;"","Assumed",""))</f>
        <v/>
      </c>
      <c r="K227" s="34">
        <f>'12 - Deployments &amp; Config'!BH232</f>
        <v>0</v>
      </c>
      <c r="L227" s="18">
        <f>'12 - Deployments &amp; Config'!P232</f>
        <v>0</v>
      </c>
      <c r="M227" s="18">
        <f>'12 - Deployments &amp; Config'!Q232</f>
        <v>0</v>
      </c>
      <c r="N227" s="18" t="str">
        <f>'12 - Deployments &amp; Config'!BL232</f>
        <v/>
      </c>
      <c r="O227" s="34" t="str">
        <f>'12 - Deployments &amp; Config'!BM232</f>
        <v/>
      </c>
      <c r="P227" s="2">
        <f>'12 - Deployments &amp; Config'!BB232</f>
        <v>0</v>
      </c>
      <c r="Q227" s="34" t="str">
        <f t="shared" si="12"/>
        <v/>
      </c>
      <c r="R227" s="18" t="str">
        <f t="shared" si="13"/>
        <v>SW NOT INSTALLED</v>
      </c>
      <c r="S227" s="18" t="str">
        <f t="shared" si="14"/>
        <v/>
      </c>
      <c r="T227" s="18" t="str">
        <f t="shared" si="15"/>
        <v>SW NOT INSTALLED</v>
      </c>
    </row>
    <row r="228" spans="1:20">
      <c r="A228" s="34">
        <f>'12 - Deployments &amp; Config'!H233</f>
        <v>0</v>
      </c>
      <c r="B228" s="34">
        <f>'12 - Deployments &amp; Config'!S233</f>
        <v>0</v>
      </c>
      <c r="C228" s="34">
        <f>'12 - Deployments &amp; Config'!T233</f>
        <v>0</v>
      </c>
      <c r="D228" s="18">
        <f>'12 - Deployments &amp; Config'!AK233</f>
        <v>0</v>
      </c>
      <c r="E228" s="18">
        <f>'12 - Deployments &amp; Config'!J233</f>
        <v>0</v>
      </c>
      <c r="F228" s="34">
        <f>'12 - Deployments &amp; Config'!K233</f>
        <v>0</v>
      </c>
      <c r="G228" s="18">
        <f>'12 - Deployments &amp; Config'!L233</f>
        <v>0</v>
      </c>
      <c r="H228" s="18">
        <f>'13 - Config_Intake_View'!M228</f>
        <v>0</v>
      </c>
      <c r="I228" s="34">
        <f>IF('13 - Config_Intake_View'!Q228&lt;&gt;"",'13 - Config_Intake_View'!Q228,'12 - Deployments &amp; Config'!BI233)</f>
        <v>0</v>
      </c>
      <c r="J228" s="18" t="str">
        <f>IF('13 - Config_Intake_View'!Q228&lt;&gt;"","PM Approved",IF('12 - Deployments &amp; Config'!BI233&lt;&gt;"","Assumed",""))</f>
        <v/>
      </c>
      <c r="K228" s="34">
        <f>'12 - Deployments &amp; Config'!BH233</f>
        <v>0</v>
      </c>
      <c r="L228" s="18">
        <f>'12 - Deployments &amp; Config'!P233</f>
        <v>0</v>
      </c>
      <c r="M228" s="18">
        <f>'12 - Deployments &amp; Config'!Q233</f>
        <v>0</v>
      </c>
      <c r="N228" s="18" t="str">
        <f>'12 - Deployments &amp; Config'!BL233</f>
        <v/>
      </c>
      <c r="O228" s="34" t="str">
        <f>'12 - Deployments &amp; Config'!BM233</f>
        <v/>
      </c>
      <c r="P228" s="2">
        <f>'12 - Deployments &amp; Config'!BB233</f>
        <v>0</v>
      </c>
      <c r="Q228" s="34" t="str">
        <f t="shared" si="12"/>
        <v/>
      </c>
      <c r="R228" s="18" t="str">
        <f t="shared" si="13"/>
        <v>SW NOT INSTALLED</v>
      </c>
      <c r="S228" s="18" t="str">
        <f t="shared" si="14"/>
        <v/>
      </c>
      <c r="T228" s="18" t="str">
        <f t="shared" si="15"/>
        <v>SW NOT INSTALLED</v>
      </c>
    </row>
    <row r="229" spans="1:20">
      <c r="A229" s="34">
        <f>'12 - Deployments &amp; Config'!H234</f>
        <v>0</v>
      </c>
      <c r="B229" s="34">
        <f>'12 - Deployments &amp; Config'!S234</f>
        <v>0</v>
      </c>
      <c r="C229" s="34">
        <f>'12 - Deployments &amp; Config'!T234</f>
        <v>0</v>
      </c>
      <c r="D229" s="18">
        <f>'12 - Deployments &amp; Config'!AK234</f>
        <v>0</v>
      </c>
      <c r="E229" s="18">
        <f>'12 - Deployments &amp; Config'!J234</f>
        <v>0</v>
      </c>
      <c r="F229" s="34">
        <f>'12 - Deployments &amp; Config'!K234</f>
        <v>0</v>
      </c>
      <c r="G229" s="18">
        <f>'12 - Deployments &amp; Config'!L234</f>
        <v>0</v>
      </c>
      <c r="H229" s="18">
        <f>'13 - Config_Intake_View'!M229</f>
        <v>0</v>
      </c>
      <c r="I229" s="34">
        <f>IF('13 - Config_Intake_View'!Q229&lt;&gt;"",'13 - Config_Intake_View'!Q229,'12 - Deployments &amp; Config'!BI234)</f>
        <v>0</v>
      </c>
      <c r="J229" s="18" t="str">
        <f>IF('13 - Config_Intake_View'!Q229&lt;&gt;"","PM Approved",IF('12 - Deployments &amp; Config'!BI234&lt;&gt;"","Assumed",""))</f>
        <v/>
      </c>
      <c r="K229" s="34">
        <f>'12 - Deployments &amp; Config'!BH234</f>
        <v>0</v>
      </c>
      <c r="L229" s="18">
        <f>'12 - Deployments &amp; Config'!P234</f>
        <v>0</v>
      </c>
      <c r="M229" s="18">
        <f>'12 - Deployments &amp; Config'!Q234</f>
        <v>0</v>
      </c>
      <c r="N229" s="18" t="str">
        <f>'12 - Deployments &amp; Config'!BL234</f>
        <v/>
      </c>
      <c r="O229" s="34" t="str">
        <f>'12 - Deployments &amp; Config'!BM234</f>
        <v/>
      </c>
      <c r="P229" s="2">
        <f>'12 - Deployments &amp; Config'!BB234</f>
        <v>0</v>
      </c>
      <c r="Q229" s="34" t="str">
        <f t="shared" si="12"/>
        <v/>
      </c>
      <c r="R229" s="18" t="str">
        <f t="shared" si="13"/>
        <v>SW NOT INSTALLED</v>
      </c>
      <c r="S229" s="18" t="str">
        <f t="shared" si="14"/>
        <v/>
      </c>
      <c r="T229" s="18" t="str">
        <f t="shared" si="15"/>
        <v>SW NOT INSTALLED</v>
      </c>
    </row>
    <row r="230" spans="1:20">
      <c r="A230" s="34">
        <f>'12 - Deployments &amp; Config'!H235</f>
        <v>0</v>
      </c>
      <c r="B230" s="34">
        <f>'12 - Deployments &amp; Config'!S235</f>
        <v>0</v>
      </c>
      <c r="C230" s="34">
        <f>'12 - Deployments &amp; Config'!T235</f>
        <v>0</v>
      </c>
      <c r="D230" s="18">
        <f>'12 - Deployments &amp; Config'!AK235</f>
        <v>0</v>
      </c>
      <c r="E230" s="18">
        <f>'12 - Deployments &amp; Config'!J235</f>
        <v>0</v>
      </c>
      <c r="F230" s="34">
        <f>'12 - Deployments &amp; Config'!K235</f>
        <v>0</v>
      </c>
      <c r="G230" s="18">
        <f>'12 - Deployments &amp; Config'!L235</f>
        <v>0</v>
      </c>
      <c r="H230" s="18">
        <f>'13 - Config_Intake_View'!M230</f>
        <v>0</v>
      </c>
      <c r="I230" s="34">
        <f>IF('13 - Config_Intake_View'!Q230&lt;&gt;"",'13 - Config_Intake_View'!Q230,'12 - Deployments &amp; Config'!BI235)</f>
        <v>0</v>
      </c>
      <c r="J230" s="18" t="str">
        <f>IF('13 - Config_Intake_View'!Q230&lt;&gt;"","PM Approved",IF('12 - Deployments &amp; Config'!BI235&lt;&gt;"","Assumed",""))</f>
        <v/>
      </c>
      <c r="K230" s="34">
        <f>'12 - Deployments &amp; Config'!BH235</f>
        <v>0</v>
      </c>
      <c r="L230" s="18">
        <f>'12 - Deployments &amp; Config'!P235</f>
        <v>0</v>
      </c>
      <c r="M230" s="18">
        <f>'12 - Deployments &amp; Config'!Q235</f>
        <v>0</v>
      </c>
      <c r="N230" s="18" t="str">
        <f>'12 - Deployments &amp; Config'!BL235</f>
        <v/>
      </c>
      <c r="O230" s="34" t="str">
        <f>'12 - Deployments &amp; Config'!BM235</f>
        <v/>
      </c>
      <c r="P230" s="2">
        <f>'12 - Deployments &amp; Config'!BB235</f>
        <v>0</v>
      </c>
      <c r="Q230" s="34" t="str">
        <f t="shared" si="12"/>
        <v/>
      </c>
      <c r="R230" s="18" t="str">
        <f t="shared" si="13"/>
        <v>SW NOT INSTALLED</v>
      </c>
      <c r="S230" s="18" t="str">
        <f t="shared" si="14"/>
        <v/>
      </c>
      <c r="T230" s="18" t="str">
        <f t="shared" si="15"/>
        <v>SW NOT INSTALLED</v>
      </c>
    </row>
    <row r="231" spans="1:20">
      <c r="A231" s="34">
        <f>'12 - Deployments &amp; Config'!H236</f>
        <v>0</v>
      </c>
      <c r="B231" s="34">
        <f>'12 - Deployments &amp; Config'!S236</f>
        <v>0</v>
      </c>
      <c r="C231" s="34">
        <f>'12 - Deployments &amp; Config'!T236</f>
        <v>0</v>
      </c>
      <c r="D231" s="18">
        <f>'12 - Deployments &amp; Config'!AK236</f>
        <v>0</v>
      </c>
      <c r="E231" s="18">
        <f>'12 - Deployments &amp; Config'!J236</f>
        <v>0</v>
      </c>
      <c r="F231" s="34">
        <f>'12 - Deployments &amp; Config'!K236</f>
        <v>0</v>
      </c>
      <c r="G231" s="18">
        <f>'12 - Deployments &amp; Config'!L236</f>
        <v>0</v>
      </c>
      <c r="H231" s="18">
        <f>'13 - Config_Intake_View'!M231</f>
        <v>0</v>
      </c>
      <c r="I231" s="34">
        <f>IF('13 - Config_Intake_View'!Q231&lt;&gt;"",'13 - Config_Intake_View'!Q231,'12 - Deployments &amp; Config'!BI236)</f>
        <v>0</v>
      </c>
      <c r="J231" s="18" t="str">
        <f>IF('13 - Config_Intake_View'!Q231&lt;&gt;"","PM Approved",IF('12 - Deployments &amp; Config'!BI236&lt;&gt;"","Assumed",""))</f>
        <v/>
      </c>
      <c r="K231" s="34">
        <f>'12 - Deployments &amp; Config'!BH236</f>
        <v>0</v>
      </c>
      <c r="L231" s="18">
        <f>'12 - Deployments &amp; Config'!P236</f>
        <v>0</v>
      </c>
      <c r="M231" s="18">
        <f>'12 - Deployments &amp; Config'!Q236</f>
        <v>0</v>
      </c>
      <c r="N231" s="18" t="str">
        <f>'12 - Deployments &amp; Config'!BL236</f>
        <v/>
      </c>
      <c r="O231" s="34" t="str">
        <f>'12 - Deployments &amp; Config'!BM236</f>
        <v/>
      </c>
      <c r="P231" s="2">
        <f>'12 - Deployments &amp; Config'!BB236</f>
        <v>0</v>
      </c>
      <c r="Q231" s="34" t="str">
        <f t="shared" si="12"/>
        <v/>
      </c>
      <c r="R231" s="18" t="str">
        <f t="shared" si="13"/>
        <v>SW NOT INSTALLED</v>
      </c>
      <c r="S231" s="18" t="str">
        <f t="shared" si="14"/>
        <v/>
      </c>
      <c r="T231" s="18" t="str">
        <f t="shared" si="15"/>
        <v>SW NOT INSTALLED</v>
      </c>
    </row>
    <row r="232" spans="1:20">
      <c r="A232" s="34">
        <f>'12 - Deployments &amp; Config'!H237</f>
        <v>0</v>
      </c>
      <c r="B232" s="34">
        <f>'12 - Deployments &amp; Config'!S237</f>
        <v>0</v>
      </c>
      <c r="C232" s="34">
        <f>'12 - Deployments &amp; Config'!T237</f>
        <v>0</v>
      </c>
      <c r="D232" s="18">
        <f>'12 - Deployments &amp; Config'!AK237</f>
        <v>0</v>
      </c>
      <c r="E232" s="18">
        <f>'12 - Deployments &amp; Config'!J237</f>
        <v>0</v>
      </c>
      <c r="F232" s="34">
        <f>'12 - Deployments &amp; Config'!K237</f>
        <v>0</v>
      </c>
      <c r="G232" s="18">
        <f>'12 - Deployments &amp; Config'!L237</f>
        <v>0</v>
      </c>
      <c r="H232" s="18">
        <f>'13 - Config_Intake_View'!M232</f>
        <v>0</v>
      </c>
      <c r="I232" s="34">
        <f>IF('13 - Config_Intake_View'!Q232&lt;&gt;"",'13 - Config_Intake_View'!Q232,'12 - Deployments &amp; Config'!BI237)</f>
        <v>0</v>
      </c>
      <c r="J232" s="18" t="str">
        <f>IF('13 - Config_Intake_View'!Q232&lt;&gt;"","PM Approved",IF('12 - Deployments &amp; Config'!BI237&lt;&gt;"","Assumed",""))</f>
        <v/>
      </c>
      <c r="K232" s="34">
        <f>'12 - Deployments &amp; Config'!BH237</f>
        <v>0</v>
      </c>
      <c r="L232" s="18">
        <f>'12 - Deployments &amp; Config'!P237</f>
        <v>0</v>
      </c>
      <c r="M232" s="18">
        <f>'12 - Deployments &amp; Config'!Q237</f>
        <v>0</v>
      </c>
      <c r="N232" s="18" t="str">
        <f>'12 - Deployments &amp; Config'!BL237</f>
        <v/>
      </c>
      <c r="O232" s="34" t="str">
        <f>'12 - Deployments &amp; Config'!BM237</f>
        <v/>
      </c>
      <c r="P232" s="2">
        <f>'12 - Deployments &amp; Config'!BB237</f>
        <v>0</v>
      </c>
      <c r="Q232" s="34" t="str">
        <f t="shared" si="12"/>
        <v/>
      </c>
      <c r="R232" s="18" t="str">
        <f t="shared" si="13"/>
        <v>SW NOT INSTALLED</v>
      </c>
      <c r="S232" s="18" t="str">
        <f t="shared" si="14"/>
        <v/>
      </c>
      <c r="T232" s="18" t="str">
        <f t="shared" si="15"/>
        <v>SW NOT INSTALLED</v>
      </c>
    </row>
    <row r="233" spans="1:20">
      <c r="A233" s="34">
        <f>'12 - Deployments &amp; Config'!H238</f>
        <v>0</v>
      </c>
      <c r="B233" s="34">
        <f>'12 - Deployments &amp; Config'!S238</f>
        <v>0</v>
      </c>
      <c r="C233" s="34">
        <f>'12 - Deployments &amp; Config'!T238</f>
        <v>0</v>
      </c>
      <c r="D233" s="18">
        <f>'12 - Deployments &amp; Config'!AK238</f>
        <v>0</v>
      </c>
      <c r="E233" s="18">
        <f>'12 - Deployments &amp; Config'!J238</f>
        <v>0</v>
      </c>
      <c r="F233" s="34">
        <f>'12 - Deployments &amp; Config'!K238</f>
        <v>0</v>
      </c>
      <c r="G233" s="18">
        <f>'12 - Deployments &amp; Config'!L238</f>
        <v>0</v>
      </c>
      <c r="H233" s="18">
        <f>'13 - Config_Intake_View'!M233</f>
        <v>0</v>
      </c>
      <c r="I233" s="34">
        <f>IF('13 - Config_Intake_View'!Q233&lt;&gt;"",'13 - Config_Intake_View'!Q233,'12 - Deployments &amp; Config'!BI238)</f>
        <v>0</v>
      </c>
      <c r="J233" s="18" t="str">
        <f>IF('13 - Config_Intake_View'!Q233&lt;&gt;"","PM Approved",IF('12 - Deployments &amp; Config'!BI238&lt;&gt;"","Assumed",""))</f>
        <v/>
      </c>
      <c r="K233" s="34">
        <f>'12 - Deployments &amp; Config'!BH238</f>
        <v>0</v>
      </c>
      <c r="L233" s="18">
        <f>'12 - Deployments &amp; Config'!P238</f>
        <v>0</v>
      </c>
      <c r="M233" s="18">
        <f>'12 - Deployments &amp; Config'!Q238</f>
        <v>0</v>
      </c>
      <c r="N233" s="18" t="str">
        <f>'12 - Deployments &amp; Config'!BL238</f>
        <v/>
      </c>
      <c r="O233" s="34" t="str">
        <f>'12 - Deployments &amp; Config'!BM238</f>
        <v/>
      </c>
      <c r="P233" s="2">
        <f>'12 - Deployments &amp; Config'!BB238</f>
        <v>0</v>
      </c>
      <c r="Q233" s="34" t="str">
        <f t="shared" si="12"/>
        <v/>
      </c>
      <c r="R233" s="18" t="str">
        <f t="shared" si="13"/>
        <v>SW NOT INSTALLED</v>
      </c>
      <c r="S233" s="18" t="str">
        <f t="shared" si="14"/>
        <v/>
      </c>
      <c r="T233" s="18" t="str">
        <f t="shared" si="15"/>
        <v>SW NOT INSTALLED</v>
      </c>
    </row>
    <row r="234" spans="1:20">
      <c r="A234" s="34">
        <f>'12 - Deployments &amp; Config'!H239</f>
        <v>0</v>
      </c>
      <c r="B234" s="34">
        <f>'12 - Deployments &amp; Config'!S239</f>
        <v>0</v>
      </c>
      <c r="C234" s="34">
        <f>'12 - Deployments &amp; Config'!T239</f>
        <v>0</v>
      </c>
      <c r="D234" s="18">
        <f>'12 - Deployments &amp; Config'!AK239</f>
        <v>0</v>
      </c>
      <c r="E234" s="18">
        <f>'12 - Deployments &amp; Config'!J239</f>
        <v>0</v>
      </c>
      <c r="F234" s="34">
        <f>'12 - Deployments &amp; Config'!K239</f>
        <v>0</v>
      </c>
      <c r="G234" s="18">
        <f>'12 - Deployments &amp; Config'!L239</f>
        <v>0</v>
      </c>
      <c r="H234" s="18">
        <f>'13 - Config_Intake_View'!M234</f>
        <v>0</v>
      </c>
      <c r="I234" s="34">
        <f>IF('13 - Config_Intake_View'!Q234&lt;&gt;"",'13 - Config_Intake_View'!Q234,'12 - Deployments &amp; Config'!BI239)</f>
        <v>0</v>
      </c>
      <c r="J234" s="18" t="str">
        <f>IF('13 - Config_Intake_View'!Q234&lt;&gt;"","PM Approved",IF('12 - Deployments &amp; Config'!BI239&lt;&gt;"","Assumed",""))</f>
        <v/>
      </c>
      <c r="K234" s="34">
        <f>'12 - Deployments &amp; Config'!BH239</f>
        <v>0</v>
      </c>
      <c r="L234" s="18">
        <f>'12 - Deployments &amp; Config'!P239</f>
        <v>0</v>
      </c>
      <c r="M234" s="18">
        <f>'12 - Deployments &amp; Config'!Q239</f>
        <v>0</v>
      </c>
      <c r="N234" s="18" t="str">
        <f>'12 - Deployments &amp; Config'!BL239</f>
        <v/>
      </c>
      <c r="O234" s="34" t="str">
        <f>'12 - Deployments &amp; Config'!BM239</f>
        <v/>
      </c>
      <c r="P234" s="2">
        <f>'12 - Deployments &amp; Config'!BB239</f>
        <v>0</v>
      </c>
      <c r="Q234" s="34" t="str">
        <f t="shared" si="12"/>
        <v/>
      </c>
      <c r="R234" s="18" t="str">
        <f t="shared" si="13"/>
        <v>SW NOT INSTALLED</v>
      </c>
      <c r="S234" s="18" t="str">
        <f t="shared" si="14"/>
        <v/>
      </c>
      <c r="T234" s="18" t="str">
        <f t="shared" si="15"/>
        <v>SW NOT INSTALLED</v>
      </c>
    </row>
    <row r="235" spans="1:20">
      <c r="A235" s="34">
        <f>'12 - Deployments &amp; Config'!H240</f>
        <v>0</v>
      </c>
      <c r="B235" s="34">
        <f>'12 - Deployments &amp; Config'!S240</f>
        <v>0</v>
      </c>
      <c r="C235" s="34">
        <f>'12 - Deployments &amp; Config'!T240</f>
        <v>0</v>
      </c>
      <c r="D235" s="18">
        <f>'12 - Deployments &amp; Config'!AK240</f>
        <v>0</v>
      </c>
      <c r="E235" s="18">
        <f>'12 - Deployments &amp; Config'!J240</f>
        <v>0</v>
      </c>
      <c r="F235" s="34">
        <f>'12 - Deployments &amp; Config'!K240</f>
        <v>0</v>
      </c>
      <c r="G235" s="18">
        <f>'12 - Deployments &amp; Config'!L240</f>
        <v>0</v>
      </c>
      <c r="H235" s="18">
        <f>'13 - Config_Intake_View'!M235</f>
        <v>0</v>
      </c>
      <c r="I235" s="34">
        <f>IF('13 - Config_Intake_View'!Q235&lt;&gt;"",'13 - Config_Intake_View'!Q235,'12 - Deployments &amp; Config'!BI240)</f>
        <v>0</v>
      </c>
      <c r="J235" s="18" t="str">
        <f>IF('13 - Config_Intake_View'!Q235&lt;&gt;"","PM Approved",IF('12 - Deployments &amp; Config'!BI240&lt;&gt;"","Assumed",""))</f>
        <v/>
      </c>
      <c r="K235" s="34">
        <f>'12 - Deployments &amp; Config'!BH240</f>
        <v>0</v>
      </c>
      <c r="L235" s="18">
        <f>'12 - Deployments &amp; Config'!P240</f>
        <v>0</v>
      </c>
      <c r="M235" s="18">
        <f>'12 - Deployments &amp; Config'!Q240</f>
        <v>0</v>
      </c>
      <c r="N235" s="18" t="str">
        <f>'12 - Deployments &amp; Config'!BL240</f>
        <v/>
      </c>
      <c r="O235" s="34" t="str">
        <f>'12 - Deployments &amp; Config'!BM240</f>
        <v/>
      </c>
      <c r="P235" s="2">
        <f>'12 - Deployments &amp; Config'!BB240</f>
        <v>0</v>
      </c>
      <c r="Q235" s="34" t="str">
        <f t="shared" si="12"/>
        <v/>
      </c>
      <c r="R235" s="18" t="str">
        <f t="shared" si="13"/>
        <v>SW NOT INSTALLED</v>
      </c>
      <c r="S235" s="18" t="str">
        <f t="shared" si="14"/>
        <v/>
      </c>
      <c r="T235" s="18" t="str">
        <f t="shared" si="15"/>
        <v>SW NOT INSTALLED</v>
      </c>
    </row>
    <row r="236" spans="1:20">
      <c r="A236" s="34">
        <f>'12 - Deployments &amp; Config'!H241</f>
        <v>0</v>
      </c>
      <c r="B236" s="34">
        <f>'12 - Deployments &amp; Config'!S241</f>
        <v>0</v>
      </c>
      <c r="C236" s="34">
        <f>'12 - Deployments &amp; Config'!T241</f>
        <v>0</v>
      </c>
      <c r="D236" s="18">
        <f>'12 - Deployments &amp; Config'!AK241</f>
        <v>0</v>
      </c>
      <c r="E236" s="18">
        <f>'12 - Deployments &amp; Config'!J241</f>
        <v>0</v>
      </c>
      <c r="F236" s="34">
        <f>'12 - Deployments &amp; Config'!K241</f>
        <v>0</v>
      </c>
      <c r="G236" s="18">
        <f>'12 - Deployments &amp; Config'!L241</f>
        <v>0</v>
      </c>
      <c r="H236" s="18">
        <f>'13 - Config_Intake_View'!M236</f>
        <v>0</v>
      </c>
      <c r="I236" s="34">
        <f>IF('13 - Config_Intake_View'!Q236&lt;&gt;"",'13 - Config_Intake_View'!Q236,'12 - Deployments &amp; Config'!BI241)</f>
        <v>0</v>
      </c>
      <c r="J236" s="18" t="str">
        <f>IF('13 - Config_Intake_View'!Q236&lt;&gt;"","PM Approved",IF('12 - Deployments &amp; Config'!BI241&lt;&gt;"","Assumed",""))</f>
        <v/>
      </c>
      <c r="K236" s="34">
        <f>'12 - Deployments &amp; Config'!BH241</f>
        <v>0</v>
      </c>
      <c r="L236" s="18">
        <f>'12 - Deployments &amp; Config'!P241</f>
        <v>0</v>
      </c>
      <c r="M236" s="18">
        <f>'12 - Deployments &amp; Config'!Q241</f>
        <v>0</v>
      </c>
      <c r="N236" s="18" t="str">
        <f>'12 - Deployments &amp; Config'!BL241</f>
        <v/>
      </c>
      <c r="O236" s="34" t="str">
        <f>'12 - Deployments &amp; Config'!BM241</f>
        <v/>
      </c>
      <c r="P236" s="2">
        <f>'12 - Deployments &amp; Config'!BB241</f>
        <v>0</v>
      </c>
      <c r="Q236" s="34" t="str">
        <f t="shared" si="12"/>
        <v/>
      </c>
      <c r="R236" s="18" t="str">
        <f t="shared" si="13"/>
        <v>SW NOT INSTALLED</v>
      </c>
      <c r="S236" s="18" t="str">
        <f t="shared" si="14"/>
        <v/>
      </c>
      <c r="T236" s="18" t="str">
        <f t="shared" si="15"/>
        <v>SW NOT INSTALLED</v>
      </c>
    </row>
    <row r="237" spans="1:20">
      <c r="A237" s="34">
        <f>'12 - Deployments &amp; Config'!H242</f>
        <v>0</v>
      </c>
      <c r="B237" s="34">
        <f>'12 - Deployments &amp; Config'!S242</f>
        <v>0</v>
      </c>
      <c r="C237" s="34">
        <f>'12 - Deployments &amp; Config'!T242</f>
        <v>0</v>
      </c>
      <c r="D237" s="18">
        <f>'12 - Deployments &amp; Config'!AK242</f>
        <v>0</v>
      </c>
      <c r="E237" s="18">
        <f>'12 - Deployments &amp; Config'!J242</f>
        <v>0</v>
      </c>
      <c r="F237" s="34">
        <f>'12 - Deployments &amp; Config'!K242</f>
        <v>0</v>
      </c>
      <c r="G237" s="18">
        <f>'12 - Deployments &amp; Config'!L242</f>
        <v>0</v>
      </c>
      <c r="H237" s="18">
        <f>'13 - Config_Intake_View'!M237</f>
        <v>0</v>
      </c>
      <c r="I237" s="34">
        <f>IF('13 - Config_Intake_View'!Q237&lt;&gt;"",'13 - Config_Intake_View'!Q237,'12 - Deployments &amp; Config'!BI242)</f>
        <v>0</v>
      </c>
      <c r="J237" s="18" t="str">
        <f>IF('13 - Config_Intake_View'!Q237&lt;&gt;"","PM Approved",IF('12 - Deployments &amp; Config'!BI242&lt;&gt;"","Assumed",""))</f>
        <v/>
      </c>
      <c r="K237" s="34">
        <f>'12 - Deployments &amp; Config'!BH242</f>
        <v>0</v>
      </c>
      <c r="L237" s="18">
        <f>'12 - Deployments &amp; Config'!P242</f>
        <v>0</v>
      </c>
      <c r="M237" s="18">
        <f>'12 - Deployments &amp; Config'!Q242</f>
        <v>0</v>
      </c>
      <c r="N237" s="18" t="str">
        <f>'12 - Deployments &amp; Config'!BL242</f>
        <v/>
      </c>
      <c r="O237" s="34" t="str">
        <f>'12 - Deployments &amp; Config'!BM242</f>
        <v/>
      </c>
      <c r="P237" s="2">
        <f>'12 - Deployments &amp; Config'!BB242</f>
        <v>0</v>
      </c>
      <c r="Q237" s="34" t="str">
        <f t="shared" si="12"/>
        <v/>
      </c>
      <c r="R237" s="18" t="str">
        <f t="shared" si="13"/>
        <v>SW NOT INSTALLED</v>
      </c>
      <c r="S237" s="18" t="str">
        <f t="shared" si="14"/>
        <v/>
      </c>
      <c r="T237" s="18" t="str">
        <f t="shared" si="15"/>
        <v>SW NOT INSTALLED</v>
      </c>
    </row>
    <row r="238" spans="1:20">
      <c r="A238" s="34">
        <f>'12 - Deployments &amp; Config'!H243</f>
        <v>0</v>
      </c>
      <c r="B238" s="34">
        <f>'12 - Deployments &amp; Config'!S243</f>
        <v>0</v>
      </c>
      <c r="C238" s="34">
        <f>'12 - Deployments &amp; Config'!T243</f>
        <v>0</v>
      </c>
      <c r="D238" s="18">
        <f>'12 - Deployments &amp; Config'!AK243</f>
        <v>0</v>
      </c>
      <c r="E238" s="18">
        <f>'12 - Deployments &amp; Config'!J243</f>
        <v>0</v>
      </c>
      <c r="F238" s="34">
        <f>'12 - Deployments &amp; Config'!K243</f>
        <v>0</v>
      </c>
      <c r="G238" s="18">
        <f>'12 - Deployments &amp; Config'!L243</f>
        <v>0</v>
      </c>
      <c r="H238" s="18">
        <f>'13 - Config_Intake_View'!M238</f>
        <v>0</v>
      </c>
      <c r="I238" s="34">
        <f>IF('13 - Config_Intake_View'!Q238&lt;&gt;"",'13 - Config_Intake_View'!Q238,'12 - Deployments &amp; Config'!BI243)</f>
        <v>0</v>
      </c>
      <c r="J238" s="18" t="str">
        <f>IF('13 - Config_Intake_View'!Q238&lt;&gt;"","PM Approved",IF('12 - Deployments &amp; Config'!BI243&lt;&gt;"","Assumed",""))</f>
        <v/>
      </c>
      <c r="K238" s="34">
        <f>'12 - Deployments &amp; Config'!BH243</f>
        <v>0</v>
      </c>
      <c r="L238" s="18">
        <f>'12 - Deployments &amp; Config'!P243</f>
        <v>0</v>
      </c>
      <c r="M238" s="18">
        <f>'12 - Deployments &amp; Config'!Q243</f>
        <v>0</v>
      </c>
      <c r="N238" s="18" t="str">
        <f>'12 - Deployments &amp; Config'!BL243</f>
        <v/>
      </c>
      <c r="O238" s="34" t="str">
        <f>'12 - Deployments &amp; Config'!BM243</f>
        <v/>
      </c>
      <c r="P238" s="2">
        <f>'12 - Deployments &amp; Config'!BB243</f>
        <v>0</v>
      </c>
      <c r="Q238" s="34" t="str">
        <f t="shared" si="12"/>
        <v/>
      </c>
      <c r="R238" s="18" t="str">
        <f t="shared" si="13"/>
        <v>SW NOT INSTALLED</v>
      </c>
      <c r="S238" s="18" t="str">
        <f t="shared" si="14"/>
        <v/>
      </c>
      <c r="T238" s="18" t="str">
        <f t="shared" si="15"/>
        <v>SW NOT INSTALLED</v>
      </c>
    </row>
    <row r="239" spans="1:20">
      <c r="A239" s="34">
        <f>'12 - Deployments &amp; Config'!H244</f>
        <v>0</v>
      </c>
      <c r="B239" s="34">
        <f>'12 - Deployments &amp; Config'!S244</f>
        <v>0</v>
      </c>
      <c r="C239" s="34">
        <f>'12 - Deployments &amp; Config'!T244</f>
        <v>0</v>
      </c>
      <c r="D239" s="18">
        <f>'12 - Deployments &amp; Config'!AK244</f>
        <v>0</v>
      </c>
      <c r="E239" s="18">
        <f>'12 - Deployments &amp; Config'!J244</f>
        <v>0</v>
      </c>
      <c r="F239" s="34">
        <f>'12 - Deployments &amp; Config'!K244</f>
        <v>0</v>
      </c>
      <c r="G239" s="18">
        <f>'12 - Deployments &amp; Config'!L244</f>
        <v>0</v>
      </c>
      <c r="H239" s="18">
        <f>'13 - Config_Intake_View'!M239</f>
        <v>0</v>
      </c>
      <c r="I239" s="34">
        <f>IF('13 - Config_Intake_View'!Q239&lt;&gt;"",'13 - Config_Intake_View'!Q239,'12 - Deployments &amp; Config'!BI244)</f>
        <v>0</v>
      </c>
      <c r="J239" s="18" t="str">
        <f>IF('13 - Config_Intake_View'!Q239&lt;&gt;"","PM Approved",IF('12 - Deployments &amp; Config'!BI244&lt;&gt;"","Assumed",""))</f>
        <v/>
      </c>
      <c r="K239" s="34">
        <f>'12 - Deployments &amp; Config'!BH244</f>
        <v>0</v>
      </c>
      <c r="L239" s="18">
        <f>'12 - Deployments &amp; Config'!P244</f>
        <v>0</v>
      </c>
      <c r="M239" s="18">
        <f>'12 - Deployments &amp; Config'!Q244</f>
        <v>0</v>
      </c>
      <c r="N239" s="18" t="str">
        <f>'12 - Deployments &amp; Config'!BL244</f>
        <v/>
      </c>
      <c r="O239" s="34" t="str">
        <f>'12 - Deployments &amp; Config'!BM244</f>
        <v/>
      </c>
      <c r="P239" s="2">
        <f>'12 - Deployments &amp; Config'!BB244</f>
        <v>0</v>
      </c>
      <c r="Q239" s="34" t="str">
        <f t="shared" si="12"/>
        <v/>
      </c>
      <c r="R239" s="18" t="str">
        <f t="shared" si="13"/>
        <v>SW NOT INSTALLED</v>
      </c>
      <c r="S239" s="18" t="str">
        <f t="shared" si="14"/>
        <v/>
      </c>
      <c r="T239" s="18" t="str">
        <f t="shared" si="15"/>
        <v>SW NOT INSTALLED</v>
      </c>
    </row>
    <row r="240" spans="1:20">
      <c r="A240" s="34">
        <f>'12 - Deployments &amp; Config'!H245</f>
        <v>0</v>
      </c>
      <c r="B240" s="34">
        <f>'12 - Deployments &amp; Config'!S245</f>
        <v>0</v>
      </c>
      <c r="C240" s="34">
        <f>'12 - Deployments &amp; Config'!T245</f>
        <v>0</v>
      </c>
      <c r="D240" s="18">
        <f>'12 - Deployments &amp; Config'!AK245</f>
        <v>0</v>
      </c>
      <c r="E240" s="18">
        <f>'12 - Deployments &amp; Config'!J245</f>
        <v>0</v>
      </c>
      <c r="F240" s="34">
        <f>'12 - Deployments &amp; Config'!K245</f>
        <v>0</v>
      </c>
      <c r="G240" s="18">
        <f>'12 - Deployments &amp; Config'!L245</f>
        <v>0</v>
      </c>
      <c r="H240" s="18">
        <f>'13 - Config_Intake_View'!M240</f>
        <v>0</v>
      </c>
      <c r="I240" s="34">
        <f>IF('13 - Config_Intake_View'!Q240&lt;&gt;"",'13 - Config_Intake_View'!Q240,'12 - Deployments &amp; Config'!BI245)</f>
        <v>0</v>
      </c>
      <c r="J240" s="18" t="str">
        <f>IF('13 - Config_Intake_View'!Q240&lt;&gt;"","PM Approved",IF('12 - Deployments &amp; Config'!BI245&lt;&gt;"","Assumed",""))</f>
        <v/>
      </c>
      <c r="K240" s="34">
        <f>'12 - Deployments &amp; Config'!BH245</f>
        <v>0</v>
      </c>
      <c r="L240" s="18">
        <f>'12 - Deployments &amp; Config'!P245</f>
        <v>0</v>
      </c>
      <c r="M240" s="18">
        <f>'12 - Deployments &amp; Config'!Q245</f>
        <v>0</v>
      </c>
      <c r="N240" s="18" t="str">
        <f>'12 - Deployments &amp; Config'!BL245</f>
        <v/>
      </c>
      <c r="O240" s="34" t="str">
        <f>'12 - Deployments &amp; Config'!BM245</f>
        <v/>
      </c>
      <c r="P240" s="2">
        <f>'12 - Deployments &amp; Config'!BB245</f>
        <v>0</v>
      </c>
      <c r="Q240" s="34" t="str">
        <f t="shared" si="12"/>
        <v/>
      </c>
      <c r="R240" s="18" t="str">
        <f t="shared" si="13"/>
        <v>SW NOT INSTALLED</v>
      </c>
      <c r="S240" s="18" t="str">
        <f t="shared" si="14"/>
        <v/>
      </c>
      <c r="T240" s="18" t="str">
        <f t="shared" si="15"/>
        <v>SW NOT INSTALLED</v>
      </c>
    </row>
    <row r="241" spans="1:20">
      <c r="A241" s="34">
        <f>'12 - Deployments &amp; Config'!H246</f>
        <v>0</v>
      </c>
      <c r="B241" s="34">
        <f>'12 - Deployments &amp; Config'!S246</f>
        <v>0</v>
      </c>
      <c r="C241" s="34">
        <f>'12 - Deployments &amp; Config'!T246</f>
        <v>0</v>
      </c>
      <c r="D241" s="18">
        <f>'12 - Deployments &amp; Config'!AK246</f>
        <v>0</v>
      </c>
      <c r="E241" s="18">
        <f>'12 - Deployments &amp; Config'!J246</f>
        <v>0</v>
      </c>
      <c r="F241" s="34">
        <f>'12 - Deployments &amp; Config'!K246</f>
        <v>0</v>
      </c>
      <c r="G241" s="18">
        <f>'12 - Deployments &amp; Config'!L246</f>
        <v>0</v>
      </c>
      <c r="H241" s="18">
        <f>'13 - Config_Intake_View'!M241</f>
        <v>0</v>
      </c>
      <c r="I241" s="34">
        <f>IF('13 - Config_Intake_View'!Q241&lt;&gt;"",'13 - Config_Intake_View'!Q241,'12 - Deployments &amp; Config'!BI246)</f>
        <v>0</v>
      </c>
      <c r="J241" s="18" t="str">
        <f>IF('13 - Config_Intake_View'!Q241&lt;&gt;"","PM Approved",IF('12 - Deployments &amp; Config'!BI246&lt;&gt;"","Assumed",""))</f>
        <v/>
      </c>
      <c r="K241" s="34">
        <f>'12 - Deployments &amp; Config'!BH246</f>
        <v>0</v>
      </c>
      <c r="L241" s="18">
        <f>'12 - Deployments &amp; Config'!P246</f>
        <v>0</v>
      </c>
      <c r="M241" s="18">
        <f>'12 - Deployments &amp; Config'!Q246</f>
        <v>0</v>
      </c>
      <c r="N241" s="18" t="str">
        <f>'12 - Deployments &amp; Config'!BL246</f>
        <v/>
      </c>
      <c r="O241" s="34" t="str">
        <f>'12 - Deployments &amp; Config'!BM246</f>
        <v/>
      </c>
      <c r="P241" s="2">
        <f>'12 - Deployments &amp; Config'!BB246</f>
        <v>0</v>
      </c>
      <c r="Q241" s="34" t="str">
        <f t="shared" si="12"/>
        <v/>
      </c>
      <c r="R241" s="18" t="str">
        <f t="shared" si="13"/>
        <v>SW NOT INSTALLED</v>
      </c>
      <c r="S241" s="18" t="str">
        <f t="shared" si="14"/>
        <v/>
      </c>
      <c r="T241" s="18" t="str">
        <f t="shared" si="15"/>
        <v>SW NOT INSTALLED</v>
      </c>
    </row>
    <row r="242" spans="1:20">
      <c r="A242" s="34">
        <f>'12 - Deployments &amp; Config'!H247</f>
        <v>0</v>
      </c>
      <c r="B242" s="34">
        <f>'12 - Deployments &amp; Config'!S247</f>
        <v>0</v>
      </c>
      <c r="C242" s="34">
        <f>'12 - Deployments &amp; Config'!T247</f>
        <v>0</v>
      </c>
      <c r="D242" s="18">
        <f>'12 - Deployments &amp; Config'!AK247</f>
        <v>0</v>
      </c>
      <c r="E242" s="18">
        <f>'12 - Deployments &amp; Config'!J247</f>
        <v>0</v>
      </c>
      <c r="F242" s="34">
        <f>'12 - Deployments &amp; Config'!K247</f>
        <v>0</v>
      </c>
      <c r="G242" s="18">
        <f>'12 - Deployments &amp; Config'!L247</f>
        <v>0</v>
      </c>
      <c r="H242" s="18">
        <f>'13 - Config_Intake_View'!M242</f>
        <v>0</v>
      </c>
      <c r="I242" s="34">
        <f>IF('13 - Config_Intake_View'!Q242&lt;&gt;"",'13 - Config_Intake_View'!Q242,'12 - Deployments &amp; Config'!BI247)</f>
        <v>0</v>
      </c>
      <c r="J242" s="18" t="str">
        <f>IF('13 - Config_Intake_View'!Q242&lt;&gt;"","PM Approved",IF('12 - Deployments &amp; Config'!BI247&lt;&gt;"","Assumed",""))</f>
        <v/>
      </c>
      <c r="K242" s="34">
        <f>'12 - Deployments &amp; Config'!BH247</f>
        <v>0</v>
      </c>
      <c r="L242" s="18">
        <f>'12 - Deployments &amp; Config'!P247</f>
        <v>0</v>
      </c>
      <c r="M242" s="18">
        <f>'12 - Deployments &amp; Config'!Q247</f>
        <v>0</v>
      </c>
      <c r="N242" s="18" t="str">
        <f>'12 - Deployments &amp; Config'!BL247</f>
        <v/>
      </c>
      <c r="O242" s="34" t="str">
        <f>'12 - Deployments &amp; Config'!BM247</f>
        <v/>
      </c>
      <c r="P242" s="2">
        <f>'12 - Deployments &amp; Config'!BB247</f>
        <v>0</v>
      </c>
      <c r="Q242" s="34" t="str">
        <f t="shared" si="12"/>
        <v/>
      </c>
      <c r="R242" s="18" t="str">
        <f t="shared" si="13"/>
        <v>SW NOT INSTALLED</v>
      </c>
      <c r="S242" s="18" t="str">
        <f t="shared" si="14"/>
        <v/>
      </c>
      <c r="T242" s="18" t="str">
        <f t="shared" si="15"/>
        <v>SW NOT INSTALLED</v>
      </c>
    </row>
    <row r="243" spans="1:20">
      <c r="A243" s="34">
        <f>'12 - Deployments &amp; Config'!H248</f>
        <v>0</v>
      </c>
      <c r="B243" s="34">
        <f>'12 - Deployments &amp; Config'!S248</f>
        <v>0</v>
      </c>
      <c r="C243" s="34">
        <f>'12 - Deployments &amp; Config'!T248</f>
        <v>0</v>
      </c>
      <c r="D243" s="18">
        <f>'12 - Deployments &amp; Config'!AK248</f>
        <v>0</v>
      </c>
      <c r="E243" s="18">
        <f>'12 - Deployments &amp; Config'!J248</f>
        <v>0</v>
      </c>
      <c r="F243" s="34">
        <f>'12 - Deployments &amp; Config'!K248</f>
        <v>0</v>
      </c>
      <c r="G243" s="18">
        <f>'12 - Deployments &amp; Config'!L248</f>
        <v>0</v>
      </c>
      <c r="H243" s="18">
        <f>'13 - Config_Intake_View'!M243</f>
        <v>0</v>
      </c>
      <c r="I243" s="34">
        <f>IF('13 - Config_Intake_View'!Q243&lt;&gt;"",'13 - Config_Intake_View'!Q243,'12 - Deployments &amp; Config'!BI248)</f>
        <v>0</v>
      </c>
      <c r="J243" s="18" t="str">
        <f>IF('13 - Config_Intake_View'!Q243&lt;&gt;"","PM Approved",IF('12 - Deployments &amp; Config'!BI248&lt;&gt;"","Assumed",""))</f>
        <v/>
      </c>
      <c r="K243" s="34">
        <f>'12 - Deployments &amp; Config'!BH248</f>
        <v>0</v>
      </c>
      <c r="L243" s="18">
        <f>'12 - Deployments &amp; Config'!P248</f>
        <v>0</v>
      </c>
      <c r="M243" s="18">
        <f>'12 - Deployments &amp; Config'!Q248</f>
        <v>0</v>
      </c>
      <c r="N243" s="18" t="str">
        <f>'12 - Deployments &amp; Config'!BL248</f>
        <v/>
      </c>
      <c r="O243" s="34" t="str">
        <f>'12 - Deployments &amp; Config'!BM248</f>
        <v/>
      </c>
      <c r="P243" s="2">
        <f>'12 - Deployments &amp; Config'!BB248</f>
        <v>0</v>
      </c>
      <c r="Q243" s="34" t="str">
        <f t="shared" si="12"/>
        <v/>
      </c>
      <c r="R243" s="18" t="str">
        <f t="shared" si="13"/>
        <v>SW NOT INSTALLED</v>
      </c>
      <c r="S243" s="18" t="str">
        <f t="shared" si="14"/>
        <v/>
      </c>
      <c r="T243" s="18" t="str">
        <f t="shared" si="15"/>
        <v>SW NOT INSTALLED</v>
      </c>
    </row>
    <row r="244" spans="1:20">
      <c r="A244" s="34">
        <f>'12 - Deployments &amp; Config'!H249</f>
        <v>0</v>
      </c>
      <c r="B244" s="34">
        <f>'12 - Deployments &amp; Config'!S249</f>
        <v>0</v>
      </c>
      <c r="C244" s="34">
        <f>'12 - Deployments &amp; Config'!T249</f>
        <v>0</v>
      </c>
      <c r="D244" s="18">
        <f>'12 - Deployments &amp; Config'!AK249</f>
        <v>0</v>
      </c>
      <c r="E244" s="18">
        <f>'12 - Deployments &amp; Config'!J249</f>
        <v>0</v>
      </c>
      <c r="F244" s="34">
        <f>'12 - Deployments &amp; Config'!K249</f>
        <v>0</v>
      </c>
      <c r="G244" s="18">
        <f>'12 - Deployments &amp; Config'!L249</f>
        <v>0</v>
      </c>
      <c r="H244" s="18">
        <f>'13 - Config_Intake_View'!M244</f>
        <v>0</v>
      </c>
      <c r="I244" s="34">
        <f>IF('13 - Config_Intake_View'!Q244&lt;&gt;"",'13 - Config_Intake_View'!Q244,'12 - Deployments &amp; Config'!BI249)</f>
        <v>0</v>
      </c>
      <c r="J244" s="18" t="str">
        <f>IF('13 - Config_Intake_View'!Q244&lt;&gt;"","PM Approved",IF('12 - Deployments &amp; Config'!BI249&lt;&gt;"","Assumed",""))</f>
        <v/>
      </c>
      <c r="K244" s="34">
        <f>'12 - Deployments &amp; Config'!BH249</f>
        <v>0</v>
      </c>
      <c r="L244" s="18">
        <f>'12 - Deployments &amp; Config'!P249</f>
        <v>0</v>
      </c>
      <c r="M244" s="18">
        <f>'12 - Deployments &amp; Config'!Q249</f>
        <v>0</v>
      </c>
      <c r="N244" s="18" t="str">
        <f>'12 - Deployments &amp; Config'!BL249</f>
        <v/>
      </c>
      <c r="O244" s="34" t="str">
        <f>'12 - Deployments &amp; Config'!BM249</f>
        <v/>
      </c>
      <c r="P244" s="2">
        <f>'12 - Deployments &amp; Config'!BB249</f>
        <v>0</v>
      </c>
      <c r="Q244" s="34" t="str">
        <f t="shared" si="12"/>
        <v/>
      </c>
      <c r="R244" s="18" t="str">
        <f t="shared" si="13"/>
        <v>SW NOT INSTALLED</v>
      </c>
      <c r="S244" s="18" t="str">
        <f t="shared" si="14"/>
        <v/>
      </c>
      <c r="T244" s="18" t="str">
        <f t="shared" si="15"/>
        <v>SW NOT INSTALLED</v>
      </c>
    </row>
    <row r="245" spans="1:20">
      <c r="A245" s="34">
        <f>'12 - Deployments &amp; Config'!H250</f>
        <v>0</v>
      </c>
      <c r="B245" s="34">
        <f>'12 - Deployments &amp; Config'!S250</f>
        <v>0</v>
      </c>
      <c r="C245" s="34">
        <f>'12 - Deployments &amp; Config'!T250</f>
        <v>0</v>
      </c>
      <c r="D245" s="18">
        <f>'12 - Deployments &amp; Config'!AK250</f>
        <v>0</v>
      </c>
      <c r="E245" s="18">
        <f>'12 - Deployments &amp; Config'!J250</f>
        <v>0</v>
      </c>
      <c r="F245" s="34">
        <f>'12 - Deployments &amp; Config'!K250</f>
        <v>0</v>
      </c>
      <c r="G245" s="18">
        <f>'12 - Deployments &amp; Config'!L250</f>
        <v>0</v>
      </c>
      <c r="H245" s="18">
        <f>'13 - Config_Intake_View'!M245</f>
        <v>0</v>
      </c>
      <c r="I245" s="34">
        <f>IF('13 - Config_Intake_View'!Q245&lt;&gt;"",'13 - Config_Intake_View'!Q245,'12 - Deployments &amp; Config'!BI250)</f>
        <v>0</v>
      </c>
      <c r="J245" s="18" t="str">
        <f>IF('13 - Config_Intake_View'!Q245&lt;&gt;"","PM Approved",IF('12 - Deployments &amp; Config'!BI250&lt;&gt;"","Assumed",""))</f>
        <v/>
      </c>
      <c r="K245" s="34">
        <f>'12 - Deployments &amp; Config'!BH250</f>
        <v>0</v>
      </c>
      <c r="L245" s="18">
        <f>'12 - Deployments &amp; Config'!P250</f>
        <v>0</v>
      </c>
      <c r="M245" s="18">
        <f>'12 - Deployments &amp; Config'!Q250</f>
        <v>0</v>
      </c>
      <c r="N245" s="18" t="str">
        <f>'12 - Deployments &amp; Config'!BL250</f>
        <v/>
      </c>
      <c r="O245" s="34" t="str">
        <f>'12 - Deployments &amp; Config'!BM250</f>
        <v/>
      </c>
      <c r="P245" s="2">
        <f>'12 - Deployments &amp; Config'!BB250</f>
        <v>0</v>
      </c>
      <c r="Q245" s="34" t="str">
        <f t="shared" si="12"/>
        <v/>
      </c>
      <c r="R245" s="18" t="str">
        <f t="shared" si="13"/>
        <v>SW NOT INSTALLED</v>
      </c>
      <c r="S245" s="18" t="str">
        <f t="shared" si="14"/>
        <v/>
      </c>
      <c r="T245" s="18" t="str">
        <f t="shared" si="15"/>
        <v>SW NOT INSTALLED</v>
      </c>
    </row>
    <row r="246" spans="1:20">
      <c r="A246" s="34">
        <f>'12 - Deployments &amp; Config'!H251</f>
        <v>0</v>
      </c>
      <c r="B246" s="34">
        <f>'12 - Deployments &amp; Config'!S251</f>
        <v>0</v>
      </c>
      <c r="C246" s="34">
        <f>'12 - Deployments &amp; Config'!T251</f>
        <v>0</v>
      </c>
      <c r="D246" s="18">
        <f>'12 - Deployments &amp; Config'!AK251</f>
        <v>0</v>
      </c>
      <c r="E246" s="18">
        <f>'12 - Deployments &amp; Config'!J251</f>
        <v>0</v>
      </c>
      <c r="F246" s="34">
        <f>'12 - Deployments &amp; Config'!K251</f>
        <v>0</v>
      </c>
      <c r="G246" s="18">
        <f>'12 - Deployments &amp; Config'!L251</f>
        <v>0</v>
      </c>
      <c r="H246" s="18">
        <f>'13 - Config_Intake_View'!M246</f>
        <v>0</v>
      </c>
      <c r="I246" s="34">
        <f>IF('13 - Config_Intake_View'!Q246&lt;&gt;"",'13 - Config_Intake_View'!Q246,'12 - Deployments &amp; Config'!BI251)</f>
        <v>0</v>
      </c>
      <c r="J246" s="18" t="str">
        <f>IF('13 - Config_Intake_View'!Q246&lt;&gt;"","PM Approved",IF('12 - Deployments &amp; Config'!BI251&lt;&gt;"","Assumed",""))</f>
        <v/>
      </c>
      <c r="K246" s="34">
        <f>'12 - Deployments &amp; Config'!BH251</f>
        <v>0</v>
      </c>
      <c r="L246" s="18">
        <f>'12 - Deployments &amp; Config'!P251</f>
        <v>0</v>
      </c>
      <c r="M246" s="18">
        <f>'12 - Deployments &amp; Config'!Q251</f>
        <v>0</v>
      </c>
      <c r="N246" s="18" t="str">
        <f>'12 - Deployments &amp; Config'!BL251</f>
        <v/>
      </c>
      <c r="O246" s="34" t="str">
        <f>'12 - Deployments &amp; Config'!BM251</f>
        <v/>
      </c>
      <c r="P246" s="2">
        <f>'12 - Deployments &amp; Config'!BB251</f>
        <v>0</v>
      </c>
      <c r="Q246" s="34" t="str">
        <f t="shared" si="12"/>
        <v/>
      </c>
      <c r="R246" s="18" t="str">
        <f t="shared" si="13"/>
        <v>SW NOT INSTALLED</v>
      </c>
      <c r="S246" s="18" t="str">
        <f t="shared" si="14"/>
        <v/>
      </c>
      <c r="T246" s="18" t="str">
        <f t="shared" si="15"/>
        <v>SW NOT INSTALLED</v>
      </c>
    </row>
    <row r="247" spans="1:20">
      <c r="A247" s="34">
        <f>'12 - Deployments &amp; Config'!H252</f>
        <v>0</v>
      </c>
      <c r="B247" s="34">
        <f>'12 - Deployments &amp; Config'!S252</f>
        <v>0</v>
      </c>
      <c r="C247" s="34">
        <f>'12 - Deployments &amp; Config'!T252</f>
        <v>0</v>
      </c>
      <c r="D247" s="18">
        <f>'12 - Deployments &amp; Config'!AK252</f>
        <v>0</v>
      </c>
      <c r="E247" s="18">
        <f>'12 - Deployments &amp; Config'!J252</f>
        <v>0</v>
      </c>
      <c r="F247" s="34">
        <f>'12 - Deployments &amp; Config'!K252</f>
        <v>0</v>
      </c>
      <c r="G247" s="18">
        <f>'12 - Deployments &amp; Config'!L252</f>
        <v>0</v>
      </c>
      <c r="H247" s="18">
        <f>'13 - Config_Intake_View'!M247</f>
        <v>0</v>
      </c>
      <c r="I247" s="34">
        <f>IF('13 - Config_Intake_View'!Q247&lt;&gt;"",'13 - Config_Intake_View'!Q247,'12 - Deployments &amp; Config'!BI252)</f>
        <v>0</v>
      </c>
      <c r="J247" s="18" t="str">
        <f>IF('13 - Config_Intake_View'!Q247&lt;&gt;"","PM Approved",IF('12 - Deployments &amp; Config'!BI252&lt;&gt;"","Assumed",""))</f>
        <v/>
      </c>
      <c r="K247" s="34">
        <f>'12 - Deployments &amp; Config'!BH252</f>
        <v>0</v>
      </c>
      <c r="L247" s="18">
        <f>'12 - Deployments &amp; Config'!P252</f>
        <v>0</v>
      </c>
      <c r="M247" s="18">
        <f>'12 - Deployments &amp; Config'!Q252</f>
        <v>0</v>
      </c>
      <c r="N247" s="18" t="str">
        <f>'12 - Deployments &amp; Config'!BL252</f>
        <v/>
      </c>
      <c r="O247" s="34" t="str">
        <f>'12 - Deployments &amp; Config'!BM252</f>
        <v/>
      </c>
      <c r="P247" s="2">
        <f>'12 - Deployments &amp; Config'!BB252</f>
        <v>0</v>
      </c>
      <c r="Q247" s="34" t="str">
        <f t="shared" si="12"/>
        <v/>
      </c>
      <c r="R247" s="18" t="str">
        <f t="shared" si="13"/>
        <v>SW NOT INSTALLED</v>
      </c>
      <c r="S247" s="18" t="str">
        <f t="shared" si="14"/>
        <v/>
      </c>
      <c r="T247" s="18" t="str">
        <f t="shared" si="15"/>
        <v>SW NOT INSTALLED</v>
      </c>
    </row>
    <row r="248" spans="1:20">
      <c r="A248" s="34">
        <f>'12 - Deployments &amp; Config'!H253</f>
        <v>0</v>
      </c>
      <c r="B248" s="34">
        <f>'12 - Deployments &amp; Config'!S253</f>
        <v>0</v>
      </c>
      <c r="C248" s="34">
        <f>'12 - Deployments &amp; Config'!T253</f>
        <v>0</v>
      </c>
      <c r="D248" s="18">
        <f>'12 - Deployments &amp; Config'!AK253</f>
        <v>0</v>
      </c>
      <c r="E248" s="18">
        <f>'12 - Deployments &amp; Config'!J253</f>
        <v>0</v>
      </c>
      <c r="F248" s="34">
        <f>'12 - Deployments &amp; Config'!K253</f>
        <v>0</v>
      </c>
      <c r="G248" s="18">
        <f>'12 - Deployments &amp; Config'!L253</f>
        <v>0</v>
      </c>
      <c r="H248" s="18">
        <f>'13 - Config_Intake_View'!M248</f>
        <v>0</v>
      </c>
      <c r="I248" s="34">
        <f>IF('13 - Config_Intake_View'!Q248&lt;&gt;"",'13 - Config_Intake_View'!Q248,'12 - Deployments &amp; Config'!BI253)</f>
        <v>0</v>
      </c>
      <c r="J248" s="18" t="str">
        <f>IF('13 - Config_Intake_View'!Q248&lt;&gt;"","PM Approved",IF('12 - Deployments &amp; Config'!BI253&lt;&gt;"","Assumed",""))</f>
        <v/>
      </c>
      <c r="K248" s="34">
        <f>'12 - Deployments &amp; Config'!BH253</f>
        <v>0</v>
      </c>
      <c r="L248" s="18">
        <f>'12 - Deployments &amp; Config'!P253</f>
        <v>0</v>
      </c>
      <c r="M248" s="18">
        <f>'12 - Deployments &amp; Config'!Q253</f>
        <v>0</v>
      </c>
      <c r="N248" s="18" t="str">
        <f>'12 - Deployments &amp; Config'!BL253</f>
        <v/>
      </c>
      <c r="O248" s="34" t="str">
        <f>'12 - Deployments &amp; Config'!BM253</f>
        <v/>
      </c>
      <c r="P248" s="2">
        <f>'12 - Deployments &amp; Config'!BB253</f>
        <v>0</v>
      </c>
      <c r="Q248" s="34" t="str">
        <f t="shared" si="12"/>
        <v/>
      </c>
      <c r="R248" s="18" t="str">
        <f t="shared" si="13"/>
        <v>SW NOT INSTALLED</v>
      </c>
      <c r="S248" s="18" t="str">
        <f t="shared" si="14"/>
        <v/>
      </c>
      <c r="T248" s="18" t="str">
        <f t="shared" si="15"/>
        <v>SW NOT INSTALLED</v>
      </c>
    </row>
    <row r="249" spans="1:20">
      <c r="A249" s="34">
        <f>'12 - Deployments &amp; Config'!H254</f>
        <v>0</v>
      </c>
      <c r="B249" s="34">
        <f>'12 - Deployments &amp; Config'!S254</f>
        <v>0</v>
      </c>
      <c r="C249" s="34">
        <f>'12 - Deployments &amp; Config'!T254</f>
        <v>0</v>
      </c>
      <c r="D249" s="18">
        <f>'12 - Deployments &amp; Config'!AK254</f>
        <v>0</v>
      </c>
      <c r="E249" s="18">
        <f>'12 - Deployments &amp; Config'!J254</f>
        <v>0</v>
      </c>
      <c r="F249" s="34">
        <f>'12 - Deployments &amp; Config'!K254</f>
        <v>0</v>
      </c>
      <c r="G249" s="18">
        <f>'12 - Deployments &amp; Config'!L254</f>
        <v>0</v>
      </c>
      <c r="H249" s="18">
        <f>'13 - Config_Intake_View'!M249</f>
        <v>0</v>
      </c>
      <c r="I249" s="34">
        <f>IF('13 - Config_Intake_View'!Q249&lt;&gt;"",'13 - Config_Intake_View'!Q249,'12 - Deployments &amp; Config'!BI254)</f>
        <v>0</v>
      </c>
      <c r="J249" s="18" t="str">
        <f>IF('13 - Config_Intake_View'!Q249&lt;&gt;"","PM Approved",IF('12 - Deployments &amp; Config'!BI254&lt;&gt;"","Assumed",""))</f>
        <v/>
      </c>
      <c r="K249" s="34">
        <f>'12 - Deployments &amp; Config'!BH254</f>
        <v>0</v>
      </c>
      <c r="L249" s="18">
        <f>'12 - Deployments &amp; Config'!P254</f>
        <v>0</v>
      </c>
      <c r="M249" s="18">
        <f>'12 - Deployments &amp; Config'!Q254</f>
        <v>0</v>
      </c>
      <c r="N249" s="18" t="str">
        <f>'12 - Deployments &amp; Config'!BL254</f>
        <v/>
      </c>
      <c r="O249" s="34" t="str">
        <f>'12 - Deployments &amp; Config'!BM254</f>
        <v/>
      </c>
      <c r="P249" s="2">
        <f>'12 - Deployments &amp; Config'!BB254</f>
        <v>0</v>
      </c>
      <c r="Q249" s="34" t="str">
        <f t="shared" si="12"/>
        <v/>
      </c>
      <c r="R249" s="18" t="str">
        <f t="shared" si="13"/>
        <v>SW NOT INSTALLED</v>
      </c>
      <c r="S249" s="18" t="str">
        <f t="shared" si="14"/>
        <v/>
      </c>
      <c r="T249" s="18" t="str">
        <f t="shared" si="15"/>
        <v>SW NOT INSTALLED</v>
      </c>
    </row>
    <row r="250" spans="1:20">
      <c r="A250" s="34">
        <f>'12 - Deployments &amp; Config'!H255</f>
        <v>0</v>
      </c>
      <c r="B250" s="34">
        <f>'12 - Deployments &amp; Config'!S255</f>
        <v>0</v>
      </c>
      <c r="C250" s="34">
        <f>'12 - Deployments &amp; Config'!T255</f>
        <v>0</v>
      </c>
      <c r="D250" s="18">
        <f>'12 - Deployments &amp; Config'!AK255</f>
        <v>0</v>
      </c>
      <c r="E250" s="18">
        <f>'12 - Deployments &amp; Config'!J255</f>
        <v>0</v>
      </c>
      <c r="F250" s="34">
        <f>'12 - Deployments &amp; Config'!K255</f>
        <v>0</v>
      </c>
      <c r="G250" s="18">
        <f>'12 - Deployments &amp; Config'!L255</f>
        <v>0</v>
      </c>
      <c r="H250" s="18">
        <f>'13 - Config_Intake_View'!M250</f>
        <v>0</v>
      </c>
      <c r="I250" s="34">
        <f>IF('13 - Config_Intake_View'!Q250&lt;&gt;"",'13 - Config_Intake_View'!Q250,'12 - Deployments &amp; Config'!BI255)</f>
        <v>0</v>
      </c>
      <c r="J250" s="18" t="str">
        <f>IF('13 - Config_Intake_View'!Q250&lt;&gt;"","PM Approved",IF('12 - Deployments &amp; Config'!BI255&lt;&gt;"","Assumed",""))</f>
        <v/>
      </c>
      <c r="K250" s="34">
        <f>'12 - Deployments &amp; Config'!BH255</f>
        <v>0</v>
      </c>
      <c r="L250" s="18">
        <f>'12 - Deployments &amp; Config'!P255</f>
        <v>0</v>
      </c>
      <c r="M250" s="18">
        <f>'12 - Deployments &amp; Config'!Q255</f>
        <v>0</v>
      </c>
      <c r="N250" s="18" t="str">
        <f>'12 - Deployments &amp; Config'!BL255</f>
        <v/>
      </c>
      <c r="O250" s="34" t="str">
        <f>'12 - Deployments &amp; Config'!BM255</f>
        <v/>
      </c>
      <c r="P250" s="2">
        <f>'12 - Deployments &amp; Config'!BB255</f>
        <v>0</v>
      </c>
      <c r="Q250" s="34" t="str">
        <f t="shared" si="12"/>
        <v/>
      </c>
      <c r="R250" s="18" t="str">
        <f t="shared" si="13"/>
        <v>SW NOT INSTALLED</v>
      </c>
      <c r="S250" s="18" t="str">
        <f t="shared" si="14"/>
        <v/>
      </c>
      <c r="T250" s="18" t="str">
        <f t="shared" si="15"/>
        <v>SW NOT INSTALLED</v>
      </c>
    </row>
    <row r="251" spans="1:20">
      <c r="A251" s="34">
        <f>'12 - Deployments &amp; Config'!H256</f>
        <v>0</v>
      </c>
      <c r="B251" s="34">
        <f>'12 - Deployments &amp; Config'!S256</f>
        <v>0</v>
      </c>
      <c r="C251" s="34">
        <f>'12 - Deployments &amp; Config'!T256</f>
        <v>0</v>
      </c>
      <c r="D251" s="18">
        <f>'12 - Deployments &amp; Config'!AK256</f>
        <v>0</v>
      </c>
      <c r="E251" s="18">
        <f>'12 - Deployments &amp; Config'!J256</f>
        <v>0</v>
      </c>
      <c r="F251" s="34">
        <f>'12 - Deployments &amp; Config'!K256</f>
        <v>0</v>
      </c>
      <c r="G251" s="18">
        <f>'12 - Deployments &amp; Config'!L256</f>
        <v>0</v>
      </c>
      <c r="H251" s="18">
        <f>'13 - Config_Intake_View'!M251</f>
        <v>0</v>
      </c>
      <c r="I251" s="34">
        <f>IF('13 - Config_Intake_View'!Q251&lt;&gt;"",'13 - Config_Intake_View'!Q251,'12 - Deployments &amp; Config'!BI256)</f>
        <v>0</v>
      </c>
      <c r="J251" s="18" t="str">
        <f>IF('13 - Config_Intake_View'!Q251&lt;&gt;"","PM Approved",IF('12 - Deployments &amp; Config'!BI256&lt;&gt;"","Assumed",""))</f>
        <v/>
      </c>
      <c r="K251" s="34">
        <f>'12 - Deployments &amp; Config'!BH256</f>
        <v>0</v>
      </c>
      <c r="L251" s="18">
        <f>'12 - Deployments &amp; Config'!P256</f>
        <v>0</v>
      </c>
      <c r="M251" s="18">
        <f>'12 - Deployments &amp; Config'!Q256</f>
        <v>0</v>
      </c>
      <c r="N251" s="18" t="str">
        <f>'12 - Deployments &amp; Config'!BL256</f>
        <v/>
      </c>
      <c r="O251" s="34" t="str">
        <f>'12 - Deployments &amp; Config'!BM256</f>
        <v/>
      </c>
      <c r="P251" s="2">
        <f>'12 - Deployments &amp; Config'!BB256</f>
        <v>0</v>
      </c>
      <c r="Q251" s="34" t="str">
        <f t="shared" si="12"/>
        <v/>
      </c>
      <c r="R251" s="18" t="str">
        <f t="shared" si="13"/>
        <v>SW NOT INSTALLED</v>
      </c>
      <c r="S251" s="18" t="str">
        <f t="shared" si="14"/>
        <v/>
      </c>
      <c r="T251" s="18" t="str">
        <f t="shared" si="15"/>
        <v>SW NOT INSTALLED</v>
      </c>
    </row>
    <row r="252" spans="1:20">
      <c r="A252" s="34">
        <f>'12 - Deployments &amp; Config'!H257</f>
        <v>0</v>
      </c>
      <c r="B252" s="34">
        <f>'12 - Deployments &amp; Config'!S257</f>
        <v>0</v>
      </c>
      <c r="C252" s="34">
        <f>'12 - Deployments &amp; Config'!T257</f>
        <v>0</v>
      </c>
      <c r="D252" s="18">
        <f>'12 - Deployments &amp; Config'!AK257</f>
        <v>0</v>
      </c>
      <c r="E252" s="18">
        <f>'12 - Deployments &amp; Config'!J257</f>
        <v>0</v>
      </c>
      <c r="F252" s="34">
        <f>'12 - Deployments &amp; Config'!K257</f>
        <v>0</v>
      </c>
      <c r="G252" s="18">
        <f>'12 - Deployments &amp; Config'!L257</f>
        <v>0</v>
      </c>
      <c r="H252" s="18">
        <f>'13 - Config_Intake_View'!M252</f>
        <v>0</v>
      </c>
      <c r="I252" s="34">
        <f>IF('13 - Config_Intake_View'!Q252&lt;&gt;"",'13 - Config_Intake_View'!Q252,'12 - Deployments &amp; Config'!BI257)</f>
        <v>0</v>
      </c>
      <c r="J252" s="18" t="str">
        <f>IF('13 - Config_Intake_View'!Q252&lt;&gt;"","PM Approved",IF('12 - Deployments &amp; Config'!BI257&lt;&gt;"","Assumed",""))</f>
        <v/>
      </c>
      <c r="K252" s="34">
        <f>'12 - Deployments &amp; Config'!BH257</f>
        <v>0</v>
      </c>
      <c r="L252" s="18">
        <f>'12 - Deployments &amp; Config'!P257</f>
        <v>0</v>
      </c>
      <c r="M252" s="18">
        <f>'12 - Deployments &amp; Config'!Q257</f>
        <v>0</v>
      </c>
      <c r="N252" s="18" t="str">
        <f>'12 - Deployments &amp; Config'!BL257</f>
        <v/>
      </c>
      <c r="O252" s="34" t="str">
        <f>'12 - Deployments &amp; Config'!BM257</f>
        <v/>
      </c>
      <c r="P252" s="2">
        <f>'12 - Deployments &amp; Config'!BB257</f>
        <v>0</v>
      </c>
      <c r="Q252" s="34" t="str">
        <f t="shared" si="12"/>
        <v/>
      </c>
      <c r="R252" s="18" t="str">
        <f t="shared" si="13"/>
        <v>SW NOT INSTALLED</v>
      </c>
      <c r="S252" s="18" t="str">
        <f t="shared" si="14"/>
        <v/>
      </c>
      <c r="T252" s="18" t="str">
        <f t="shared" si="15"/>
        <v>SW NOT INSTALLED</v>
      </c>
    </row>
    <row r="253" spans="1:20">
      <c r="A253" s="34">
        <f>'12 - Deployments &amp; Config'!H258</f>
        <v>0</v>
      </c>
      <c r="B253" s="34">
        <f>'12 - Deployments &amp; Config'!S258</f>
        <v>0</v>
      </c>
      <c r="C253" s="34">
        <f>'12 - Deployments &amp; Config'!T258</f>
        <v>0</v>
      </c>
      <c r="D253" s="18">
        <f>'12 - Deployments &amp; Config'!AK258</f>
        <v>0</v>
      </c>
      <c r="E253" s="18">
        <f>'12 - Deployments &amp; Config'!J258</f>
        <v>0</v>
      </c>
      <c r="F253" s="34">
        <f>'12 - Deployments &amp; Config'!K258</f>
        <v>0</v>
      </c>
      <c r="G253" s="18">
        <f>'12 - Deployments &amp; Config'!L258</f>
        <v>0</v>
      </c>
      <c r="H253" s="18">
        <f>'13 - Config_Intake_View'!M253</f>
        <v>0</v>
      </c>
      <c r="I253" s="34">
        <f>IF('13 - Config_Intake_View'!Q253&lt;&gt;"",'13 - Config_Intake_View'!Q253,'12 - Deployments &amp; Config'!BI258)</f>
        <v>0</v>
      </c>
      <c r="J253" s="18" t="str">
        <f>IF('13 - Config_Intake_View'!Q253&lt;&gt;"","PM Approved",IF('12 - Deployments &amp; Config'!BI258&lt;&gt;"","Assumed",""))</f>
        <v/>
      </c>
      <c r="K253" s="34">
        <f>'12 - Deployments &amp; Config'!BH258</f>
        <v>0</v>
      </c>
      <c r="L253" s="18">
        <f>'12 - Deployments &amp; Config'!P258</f>
        <v>0</v>
      </c>
      <c r="M253" s="18">
        <f>'12 - Deployments &amp; Config'!Q258</f>
        <v>0</v>
      </c>
      <c r="N253" s="18" t="str">
        <f>'12 - Deployments &amp; Config'!BL258</f>
        <v/>
      </c>
      <c r="O253" s="34" t="str">
        <f>'12 - Deployments &amp; Config'!BM258</f>
        <v/>
      </c>
      <c r="P253" s="2">
        <f>'12 - Deployments &amp; Config'!BB258</f>
        <v>0</v>
      </c>
      <c r="Q253" s="34" t="str">
        <f t="shared" si="12"/>
        <v/>
      </c>
      <c r="R253" s="18" t="str">
        <f t="shared" si="13"/>
        <v>SW NOT INSTALLED</v>
      </c>
      <c r="S253" s="18" t="str">
        <f t="shared" si="14"/>
        <v/>
      </c>
      <c r="T253" s="18" t="str">
        <f t="shared" si="15"/>
        <v>SW NOT INSTALLED</v>
      </c>
    </row>
    <row r="254" spans="1:20">
      <c r="A254" s="34">
        <f>'12 - Deployments &amp; Config'!H259</f>
        <v>0</v>
      </c>
      <c r="B254" s="34">
        <f>'12 - Deployments &amp; Config'!S259</f>
        <v>0</v>
      </c>
      <c r="C254" s="34">
        <f>'12 - Deployments &amp; Config'!T259</f>
        <v>0</v>
      </c>
      <c r="D254" s="18">
        <f>'12 - Deployments &amp; Config'!AK259</f>
        <v>0</v>
      </c>
      <c r="E254" s="18">
        <f>'12 - Deployments &amp; Config'!J259</f>
        <v>0</v>
      </c>
      <c r="F254" s="34">
        <f>'12 - Deployments &amp; Config'!K259</f>
        <v>0</v>
      </c>
      <c r="G254" s="18">
        <f>'12 - Deployments &amp; Config'!L259</f>
        <v>0</v>
      </c>
      <c r="H254" s="18">
        <f>'13 - Config_Intake_View'!M254</f>
        <v>0</v>
      </c>
      <c r="I254" s="34">
        <f>IF('13 - Config_Intake_View'!Q254&lt;&gt;"",'13 - Config_Intake_View'!Q254,'12 - Deployments &amp; Config'!BI259)</f>
        <v>0</v>
      </c>
      <c r="J254" s="18" t="str">
        <f>IF('13 - Config_Intake_View'!Q254&lt;&gt;"","PM Approved",IF('12 - Deployments &amp; Config'!BI259&lt;&gt;"","Assumed",""))</f>
        <v/>
      </c>
      <c r="K254" s="34">
        <f>'12 - Deployments &amp; Config'!BH259</f>
        <v>0</v>
      </c>
      <c r="L254" s="18">
        <f>'12 - Deployments &amp; Config'!P259</f>
        <v>0</v>
      </c>
      <c r="M254" s="18">
        <f>'12 - Deployments &amp; Config'!Q259</f>
        <v>0</v>
      </c>
      <c r="N254" s="18" t="str">
        <f>'12 - Deployments &amp; Config'!BL259</f>
        <v/>
      </c>
      <c r="O254" s="34" t="str">
        <f>'12 - Deployments &amp; Config'!BM259</f>
        <v/>
      </c>
      <c r="P254" s="2">
        <f>'12 - Deployments &amp; Config'!BB259</f>
        <v>0</v>
      </c>
      <c r="Q254" s="34" t="str">
        <f t="shared" si="12"/>
        <v/>
      </c>
      <c r="R254" s="18" t="str">
        <f t="shared" si="13"/>
        <v>SW NOT INSTALLED</v>
      </c>
      <c r="S254" s="18" t="str">
        <f t="shared" si="14"/>
        <v/>
      </c>
      <c r="T254" s="18" t="str">
        <f t="shared" si="15"/>
        <v>SW NOT INSTALLED</v>
      </c>
    </row>
    <row r="255" spans="1:20">
      <c r="A255" s="34">
        <f>'12 - Deployments &amp; Config'!H260</f>
        <v>0</v>
      </c>
      <c r="B255" s="34">
        <f>'12 - Deployments &amp; Config'!S260</f>
        <v>0</v>
      </c>
      <c r="C255" s="34">
        <f>'12 - Deployments &amp; Config'!T260</f>
        <v>0</v>
      </c>
      <c r="D255" s="18">
        <f>'12 - Deployments &amp; Config'!AK260</f>
        <v>0</v>
      </c>
      <c r="E255" s="18">
        <f>'12 - Deployments &amp; Config'!J260</f>
        <v>0</v>
      </c>
      <c r="F255" s="34">
        <f>'12 - Deployments &amp; Config'!K260</f>
        <v>0</v>
      </c>
      <c r="G255" s="18">
        <f>'12 - Deployments &amp; Config'!L260</f>
        <v>0</v>
      </c>
      <c r="H255" s="18">
        <f>'13 - Config_Intake_View'!M255</f>
        <v>0</v>
      </c>
      <c r="I255" s="34">
        <f>IF('13 - Config_Intake_View'!Q255&lt;&gt;"",'13 - Config_Intake_View'!Q255,'12 - Deployments &amp; Config'!BI260)</f>
        <v>0</v>
      </c>
      <c r="J255" s="18" t="str">
        <f>IF('13 - Config_Intake_View'!Q255&lt;&gt;"","PM Approved",IF('12 - Deployments &amp; Config'!BI260&lt;&gt;"","Assumed",""))</f>
        <v/>
      </c>
      <c r="K255" s="34">
        <f>'12 - Deployments &amp; Config'!BH260</f>
        <v>0</v>
      </c>
      <c r="L255" s="18">
        <f>'12 - Deployments &amp; Config'!P260</f>
        <v>0</v>
      </c>
      <c r="M255" s="18">
        <f>'12 - Deployments &amp; Config'!Q260</f>
        <v>0</v>
      </c>
      <c r="N255" s="18" t="str">
        <f>'12 - Deployments &amp; Config'!BL260</f>
        <v/>
      </c>
      <c r="O255" s="34" t="str">
        <f>'12 - Deployments &amp; Config'!BM260</f>
        <v/>
      </c>
      <c r="P255" s="2">
        <f>'12 - Deployments &amp; Config'!BB260</f>
        <v>0</v>
      </c>
      <c r="Q255" s="34" t="str">
        <f t="shared" si="12"/>
        <v/>
      </c>
      <c r="R255" s="18" t="str">
        <f t="shared" si="13"/>
        <v>SW NOT INSTALLED</v>
      </c>
      <c r="S255" s="18" t="str">
        <f t="shared" si="14"/>
        <v/>
      </c>
      <c r="T255" s="18" t="str">
        <f t="shared" si="15"/>
        <v>SW NOT INSTALLED</v>
      </c>
    </row>
    <row r="256" spans="1:20">
      <c r="A256" s="34">
        <f>'12 - Deployments &amp; Config'!H261</f>
        <v>0</v>
      </c>
      <c r="B256" s="34">
        <f>'12 - Deployments &amp; Config'!S261</f>
        <v>0</v>
      </c>
      <c r="C256" s="34">
        <f>'12 - Deployments &amp; Config'!T261</f>
        <v>0</v>
      </c>
      <c r="D256" s="18">
        <f>'12 - Deployments &amp; Config'!AK261</f>
        <v>0</v>
      </c>
      <c r="E256" s="18">
        <f>'12 - Deployments &amp; Config'!J261</f>
        <v>0</v>
      </c>
      <c r="F256" s="34">
        <f>'12 - Deployments &amp; Config'!K261</f>
        <v>0</v>
      </c>
      <c r="G256" s="18">
        <f>'12 - Deployments &amp; Config'!L261</f>
        <v>0</v>
      </c>
      <c r="H256" s="18">
        <f>'13 - Config_Intake_View'!M256</f>
        <v>0</v>
      </c>
      <c r="I256" s="34">
        <f>IF('13 - Config_Intake_View'!Q256&lt;&gt;"",'13 - Config_Intake_View'!Q256,'12 - Deployments &amp; Config'!BI261)</f>
        <v>0</v>
      </c>
      <c r="J256" s="18" t="str">
        <f>IF('13 - Config_Intake_View'!Q256&lt;&gt;"","PM Approved",IF('12 - Deployments &amp; Config'!BI261&lt;&gt;"","Assumed",""))</f>
        <v/>
      </c>
      <c r="K256" s="34">
        <f>'12 - Deployments &amp; Config'!BH261</f>
        <v>0</v>
      </c>
      <c r="L256" s="18">
        <f>'12 - Deployments &amp; Config'!P261</f>
        <v>0</v>
      </c>
      <c r="M256" s="18">
        <f>'12 - Deployments &amp; Config'!Q261</f>
        <v>0</v>
      </c>
      <c r="N256" s="18" t="str">
        <f>'12 - Deployments &amp; Config'!BL261</f>
        <v/>
      </c>
      <c r="O256" s="34" t="str">
        <f>'12 - Deployments &amp; Config'!BM261</f>
        <v/>
      </c>
      <c r="P256" s="2">
        <f>'12 - Deployments &amp; Config'!BB261</f>
        <v>0</v>
      </c>
      <c r="Q256" s="34" t="str">
        <f t="shared" si="12"/>
        <v/>
      </c>
      <c r="R256" s="18" t="str">
        <f t="shared" si="13"/>
        <v>SW NOT INSTALLED</v>
      </c>
      <c r="S256" s="18" t="str">
        <f t="shared" si="14"/>
        <v/>
      </c>
      <c r="T256" s="18" t="str">
        <f t="shared" si="15"/>
        <v>SW NOT INSTALLED</v>
      </c>
    </row>
    <row r="257" spans="1:20">
      <c r="A257" s="34">
        <f>'12 - Deployments &amp; Config'!H262</f>
        <v>0</v>
      </c>
      <c r="B257" s="34">
        <f>'12 - Deployments &amp; Config'!S262</f>
        <v>0</v>
      </c>
      <c r="C257" s="34">
        <f>'12 - Deployments &amp; Config'!T262</f>
        <v>0</v>
      </c>
      <c r="D257" s="18">
        <f>'12 - Deployments &amp; Config'!AK262</f>
        <v>0</v>
      </c>
      <c r="E257" s="18">
        <f>'12 - Deployments &amp; Config'!J262</f>
        <v>0</v>
      </c>
      <c r="F257" s="34">
        <f>'12 - Deployments &amp; Config'!K262</f>
        <v>0</v>
      </c>
      <c r="G257" s="18">
        <f>'12 - Deployments &amp; Config'!L262</f>
        <v>0</v>
      </c>
      <c r="H257" s="18">
        <f>'13 - Config_Intake_View'!M257</f>
        <v>0</v>
      </c>
      <c r="I257" s="34">
        <f>IF('13 - Config_Intake_View'!Q257&lt;&gt;"",'13 - Config_Intake_View'!Q257,'12 - Deployments &amp; Config'!BI262)</f>
        <v>0</v>
      </c>
      <c r="J257" s="18" t="str">
        <f>IF('13 - Config_Intake_View'!Q257&lt;&gt;"","PM Approved",IF('12 - Deployments &amp; Config'!BI262&lt;&gt;"","Assumed",""))</f>
        <v/>
      </c>
      <c r="K257" s="34">
        <f>'12 - Deployments &amp; Config'!BH262</f>
        <v>0</v>
      </c>
      <c r="L257" s="18">
        <f>'12 - Deployments &amp; Config'!P262</f>
        <v>0</v>
      </c>
      <c r="M257" s="18">
        <f>'12 - Deployments &amp; Config'!Q262</f>
        <v>0</v>
      </c>
      <c r="N257" s="18" t="str">
        <f>'12 - Deployments &amp; Config'!BL262</f>
        <v/>
      </c>
      <c r="O257" s="34" t="str">
        <f>'12 - Deployments &amp; Config'!BM262</f>
        <v/>
      </c>
      <c r="P257" s="2">
        <f>'12 - Deployments &amp; Config'!BB262</f>
        <v>0</v>
      </c>
      <c r="Q257" s="34" t="str">
        <f t="shared" si="12"/>
        <v/>
      </c>
      <c r="R257" s="18" t="str">
        <f t="shared" si="13"/>
        <v>SW NOT INSTALLED</v>
      </c>
      <c r="S257" s="18" t="str">
        <f t="shared" si="14"/>
        <v/>
      </c>
      <c r="T257" s="18" t="str">
        <f t="shared" si="15"/>
        <v>SW NOT INSTALLED</v>
      </c>
    </row>
    <row r="258" spans="1:20">
      <c r="A258" s="34">
        <f>'12 - Deployments &amp; Config'!H263</f>
        <v>0</v>
      </c>
      <c r="B258" s="34">
        <f>'12 - Deployments &amp; Config'!S263</f>
        <v>0</v>
      </c>
      <c r="C258" s="34">
        <f>'12 - Deployments &amp; Config'!T263</f>
        <v>0</v>
      </c>
      <c r="D258" s="18">
        <f>'12 - Deployments &amp; Config'!AK263</f>
        <v>0</v>
      </c>
      <c r="E258" s="18">
        <f>'12 - Deployments &amp; Config'!J263</f>
        <v>0</v>
      </c>
      <c r="F258" s="34">
        <f>'12 - Deployments &amp; Config'!K263</f>
        <v>0</v>
      </c>
      <c r="G258" s="18">
        <f>'12 - Deployments &amp; Config'!L263</f>
        <v>0</v>
      </c>
      <c r="H258" s="18">
        <f>'13 - Config_Intake_View'!M258</f>
        <v>0</v>
      </c>
      <c r="I258" s="34">
        <f>IF('13 - Config_Intake_View'!Q258&lt;&gt;"",'13 - Config_Intake_View'!Q258,'12 - Deployments &amp; Config'!BI263)</f>
        <v>0</v>
      </c>
      <c r="J258" s="18" t="str">
        <f>IF('13 - Config_Intake_View'!Q258&lt;&gt;"","PM Approved",IF('12 - Deployments &amp; Config'!BI263&lt;&gt;"","Assumed",""))</f>
        <v/>
      </c>
      <c r="K258" s="34">
        <f>'12 - Deployments &amp; Config'!BH263</f>
        <v>0</v>
      </c>
      <c r="L258" s="18">
        <f>'12 - Deployments &amp; Config'!P263</f>
        <v>0</v>
      </c>
      <c r="M258" s="18">
        <f>'12 - Deployments &amp; Config'!Q263</f>
        <v>0</v>
      </c>
      <c r="N258" s="18" t="str">
        <f>'12 - Deployments &amp; Config'!BL263</f>
        <v/>
      </c>
      <c r="O258" s="34" t="str">
        <f>'12 - Deployments &amp; Config'!BM263</f>
        <v/>
      </c>
      <c r="P258" s="2">
        <f>'12 - Deployments &amp; Config'!BB263</f>
        <v>0</v>
      </c>
      <c r="Q258" s="34" t="str">
        <f t="shared" ref="Q258:Q321" si="16">IF(OR($A258="",$B258="",$D258=""),"MISSING CORE FIELDS","")</f>
        <v/>
      </c>
      <c r="R258" s="18" t="str">
        <f t="shared" ref="R258:R321" si="17">IF(AND($I258&lt;&gt;"",$K258&lt;&gt;"Yes"),"SW NOT INSTALLED","")</f>
        <v>SW NOT INSTALLED</v>
      </c>
      <c r="S258" s="18" t="str">
        <f t="shared" ref="S258:S321" si="18">IF(AND($H258&lt;&gt;"",ISNUMBER(SEARCH("auto",LOWER($H258))),$F258=""),"AUTOLOGON REQUIRED","")</f>
        <v/>
      </c>
      <c r="T258" s="18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4">
        <f>'12 - Deployments &amp; Config'!H264</f>
        <v>0</v>
      </c>
      <c r="B259" s="34">
        <f>'12 - Deployments &amp; Config'!S264</f>
        <v>0</v>
      </c>
      <c r="C259" s="34">
        <f>'12 - Deployments &amp; Config'!T264</f>
        <v>0</v>
      </c>
      <c r="D259" s="18">
        <f>'12 - Deployments &amp; Config'!AK264</f>
        <v>0</v>
      </c>
      <c r="E259" s="18">
        <f>'12 - Deployments &amp; Config'!J264</f>
        <v>0</v>
      </c>
      <c r="F259" s="34">
        <f>'12 - Deployments &amp; Config'!K264</f>
        <v>0</v>
      </c>
      <c r="G259" s="18">
        <f>'12 - Deployments &amp; Config'!L264</f>
        <v>0</v>
      </c>
      <c r="H259" s="18">
        <f>'13 - Config_Intake_View'!M259</f>
        <v>0</v>
      </c>
      <c r="I259" s="34">
        <f>IF('13 - Config_Intake_View'!Q259&lt;&gt;"",'13 - Config_Intake_View'!Q259,'12 - Deployments &amp; Config'!BI264)</f>
        <v>0</v>
      </c>
      <c r="J259" s="18" t="str">
        <f>IF('13 - Config_Intake_View'!Q259&lt;&gt;"","PM Approved",IF('12 - Deployments &amp; Config'!BI264&lt;&gt;"","Assumed",""))</f>
        <v/>
      </c>
      <c r="K259" s="34">
        <f>'12 - Deployments &amp; Config'!BH264</f>
        <v>0</v>
      </c>
      <c r="L259" s="18">
        <f>'12 - Deployments &amp; Config'!P264</f>
        <v>0</v>
      </c>
      <c r="M259" s="18">
        <f>'12 - Deployments &amp; Config'!Q264</f>
        <v>0</v>
      </c>
      <c r="N259" s="18" t="str">
        <f>'12 - Deployments &amp; Config'!BL264</f>
        <v/>
      </c>
      <c r="O259" s="34" t="str">
        <f>'12 - Deployments &amp; Config'!BM264</f>
        <v/>
      </c>
      <c r="P259" s="2">
        <f>'12 - Deployments &amp; Config'!BB264</f>
        <v>0</v>
      </c>
      <c r="Q259" s="34" t="str">
        <f t="shared" si="16"/>
        <v/>
      </c>
      <c r="R259" s="18" t="str">
        <f t="shared" si="17"/>
        <v>SW NOT INSTALLED</v>
      </c>
      <c r="S259" s="18" t="str">
        <f t="shared" si="18"/>
        <v/>
      </c>
      <c r="T259" s="18" t="str">
        <f t="shared" si="19"/>
        <v>SW NOT INSTALLED</v>
      </c>
    </row>
    <row r="260" spans="1:20">
      <c r="A260" s="34">
        <f>'12 - Deployments &amp; Config'!H265</f>
        <v>0</v>
      </c>
      <c r="B260" s="34">
        <f>'12 - Deployments &amp; Config'!S265</f>
        <v>0</v>
      </c>
      <c r="C260" s="34">
        <f>'12 - Deployments &amp; Config'!T265</f>
        <v>0</v>
      </c>
      <c r="D260" s="18">
        <f>'12 - Deployments &amp; Config'!AK265</f>
        <v>0</v>
      </c>
      <c r="E260" s="18">
        <f>'12 - Deployments &amp; Config'!J265</f>
        <v>0</v>
      </c>
      <c r="F260" s="34">
        <f>'12 - Deployments &amp; Config'!K265</f>
        <v>0</v>
      </c>
      <c r="G260" s="18">
        <f>'12 - Deployments &amp; Config'!L265</f>
        <v>0</v>
      </c>
      <c r="H260" s="18">
        <f>'13 - Config_Intake_View'!M260</f>
        <v>0</v>
      </c>
      <c r="I260" s="34">
        <f>IF('13 - Config_Intake_View'!Q260&lt;&gt;"",'13 - Config_Intake_View'!Q260,'12 - Deployments &amp; Config'!BI265)</f>
        <v>0</v>
      </c>
      <c r="J260" s="18" t="str">
        <f>IF('13 - Config_Intake_View'!Q260&lt;&gt;"","PM Approved",IF('12 - Deployments &amp; Config'!BI265&lt;&gt;"","Assumed",""))</f>
        <v/>
      </c>
      <c r="K260" s="34">
        <f>'12 - Deployments &amp; Config'!BH265</f>
        <v>0</v>
      </c>
      <c r="L260" s="18">
        <f>'12 - Deployments &amp; Config'!P265</f>
        <v>0</v>
      </c>
      <c r="M260" s="18">
        <f>'12 - Deployments &amp; Config'!Q265</f>
        <v>0</v>
      </c>
      <c r="N260" s="18" t="str">
        <f>'12 - Deployments &amp; Config'!BL265</f>
        <v/>
      </c>
      <c r="O260" s="34" t="str">
        <f>'12 - Deployments &amp; Config'!BM265</f>
        <v/>
      </c>
      <c r="P260" s="2">
        <f>'12 - Deployments &amp; Config'!BB265</f>
        <v>0</v>
      </c>
      <c r="Q260" s="34" t="str">
        <f t="shared" si="16"/>
        <v/>
      </c>
      <c r="R260" s="18" t="str">
        <f t="shared" si="17"/>
        <v>SW NOT INSTALLED</v>
      </c>
      <c r="S260" s="18" t="str">
        <f t="shared" si="18"/>
        <v/>
      </c>
      <c r="T260" s="18" t="str">
        <f t="shared" si="19"/>
        <v>SW NOT INSTALLED</v>
      </c>
    </row>
    <row r="261" spans="1:20">
      <c r="A261" s="34">
        <f>'12 - Deployments &amp; Config'!H266</f>
        <v>0</v>
      </c>
      <c r="B261" s="34">
        <f>'12 - Deployments &amp; Config'!S266</f>
        <v>0</v>
      </c>
      <c r="C261" s="34">
        <f>'12 - Deployments &amp; Config'!T266</f>
        <v>0</v>
      </c>
      <c r="D261" s="18">
        <f>'12 - Deployments &amp; Config'!AK266</f>
        <v>0</v>
      </c>
      <c r="E261" s="18">
        <f>'12 - Deployments &amp; Config'!J266</f>
        <v>0</v>
      </c>
      <c r="F261" s="34">
        <f>'12 - Deployments &amp; Config'!K266</f>
        <v>0</v>
      </c>
      <c r="G261" s="18">
        <f>'12 - Deployments &amp; Config'!L266</f>
        <v>0</v>
      </c>
      <c r="H261" s="18">
        <f>'13 - Config_Intake_View'!M261</f>
        <v>0</v>
      </c>
      <c r="I261" s="34">
        <f>IF('13 - Config_Intake_View'!Q261&lt;&gt;"",'13 - Config_Intake_View'!Q261,'12 - Deployments &amp; Config'!BI266)</f>
        <v>0</v>
      </c>
      <c r="J261" s="18" t="str">
        <f>IF('13 - Config_Intake_View'!Q261&lt;&gt;"","PM Approved",IF('12 - Deployments &amp; Config'!BI266&lt;&gt;"","Assumed",""))</f>
        <v/>
      </c>
      <c r="K261" s="34">
        <f>'12 - Deployments &amp; Config'!BH266</f>
        <v>0</v>
      </c>
      <c r="L261" s="18">
        <f>'12 - Deployments &amp; Config'!P266</f>
        <v>0</v>
      </c>
      <c r="M261" s="18">
        <f>'12 - Deployments &amp; Config'!Q266</f>
        <v>0</v>
      </c>
      <c r="N261" s="18" t="str">
        <f>'12 - Deployments &amp; Config'!BL266</f>
        <v/>
      </c>
      <c r="O261" s="34" t="str">
        <f>'12 - Deployments &amp; Config'!BM266</f>
        <v/>
      </c>
      <c r="P261" s="2">
        <f>'12 - Deployments &amp; Config'!BB266</f>
        <v>0</v>
      </c>
      <c r="Q261" s="34" t="str">
        <f t="shared" si="16"/>
        <v/>
      </c>
      <c r="R261" s="18" t="str">
        <f t="shared" si="17"/>
        <v>SW NOT INSTALLED</v>
      </c>
      <c r="S261" s="18" t="str">
        <f t="shared" si="18"/>
        <v/>
      </c>
      <c r="T261" s="18" t="str">
        <f t="shared" si="19"/>
        <v>SW NOT INSTALLED</v>
      </c>
    </row>
    <row r="262" spans="1:20">
      <c r="A262" s="34">
        <f>'12 - Deployments &amp; Config'!H267</f>
        <v>0</v>
      </c>
      <c r="B262" s="34">
        <f>'12 - Deployments &amp; Config'!S267</f>
        <v>0</v>
      </c>
      <c r="C262" s="34">
        <f>'12 - Deployments &amp; Config'!T267</f>
        <v>0</v>
      </c>
      <c r="D262" s="18">
        <f>'12 - Deployments &amp; Config'!AK267</f>
        <v>0</v>
      </c>
      <c r="E262" s="18">
        <f>'12 - Deployments &amp; Config'!J267</f>
        <v>0</v>
      </c>
      <c r="F262" s="34">
        <f>'12 - Deployments &amp; Config'!K267</f>
        <v>0</v>
      </c>
      <c r="G262" s="18">
        <f>'12 - Deployments &amp; Config'!L267</f>
        <v>0</v>
      </c>
      <c r="H262" s="18">
        <f>'13 - Config_Intake_View'!M262</f>
        <v>0</v>
      </c>
      <c r="I262" s="34">
        <f>IF('13 - Config_Intake_View'!Q262&lt;&gt;"",'13 - Config_Intake_View'!Q262,'12 - Deployments &amp; Config'!BI267)</f>
        <v>0</v>
      </c>
      <c r="J262" s="18" t="str">
        <f>IF('13 - Config_Intake_View'!Q262&lt;&gt;"","PM Approved",IF('12 - Deployments &amp; Config'!BI267&lt;&gt;"","Assumed",""))</f>
        <v/>
      </c>
      <c r="K262" s="34">
        <f>'12 - Deployments &amp; Config'!BH267</f>
        <v>0</v>
      </c>
      <c r="L262" s="18">
        <f>'12 - Deployments &amp; Config'!P267</f>
        <v>0</v>
      </c>
      <c r="M262" s="18">
        <f>'12 - Deployments &amp; Config'!Q267</f>
        <v>0</v>
      </c>
      <c r="N262" s="18" t="str">
        <f>'12 - Deployments &amp; Config'!BL267</f>
        <v/>
      </c>
      <c r="O262" s="34" t="str">
        <f>'12 - Deployments &amp; Config'!BM267</f>
        <v/>
      </c>
      <c r="P262" s="2">
        <f>'12 - Deployments &amp; Config'!BB267</f>
        <v>0</v>
      </c>
      <c r="Q262" s="34" t="str">
        <f t="shared" si="16"/>
        <v/>
      </c>
      <c r="R262" s="18" t="str">
        <f t="shared" si="17"/>
        <v>SW NOT INSTALLED</v>
      </c>
      <c r="S262" s="18" t="str">
        <f t="shared" si="18"/>
        <v/>
      </c>
      <c r="T262" s="18" t="str">
        <f t="shared" si="19"/>
        <v>SW NOT INSTALLED</v>
      </c>
    </row>
    <row r="263" spans="1:20">
      <c r="A263" s="34">
        <f>'12 - Deployments &amp; Config'!H268</f>
        <v>0</v>
      </c>
      <c r="B263" s="34">
        <f>'12 - Deployments &amp; Config'!S268</f>
        <v>0</v>
      </c>
      <c r="C263" s="34">
        <f>'12 - Deployments &amp; Config'!T268</f>
        <v>0</v>
      </c>
      <c r="D263" s="18">
        <f>'12 - Deployments &amp; Config'!AK268</f>
        <v>0</v>
      </c>
      <c r="E263" s="18">
        <f>'12 - Deployments &amp; Config'!J268</f>
        <v>0</v>
      </c>
      <c r="F263" s="34">
        <f>'12 - Deployments &amp; Config'!K268</f>
        <v>0</v>
      </c>
      <c r="G263" s="18">
        <f>'12 - Deployments &amp; Config'!L268</f>
        <v>0</v>
      </c>
      <c r="H263" s="18">
        <f>'13 - Config_Intake_View'!M263</f>
        <v>0</v>
      </c>
      <c r="I263" s="34">
        <f>IF('13 - Config_Intake_View'!Q263&lt;&gt;"",'13 - Config_Intake_View'!Q263,'12 - Deployments &amp; Config'!BI268)</f>
        <v>0</v>
      </c>
      <c r="J263" s="18" t="str">
        <f>IF('13 - Config_Intake_View'!Q263&lt;&gt;"","PM Approved",IF('12 - Deployments &amp; Config'!BI268&lt;&gt;"","Assumed",""))</f>
        <v/>
      </c>
      <c r="K263" s="34">
        <f>'12 - Deployments &amp; Config'!BH268</f>
        <v>0</v>
      </c>
      <c r="L263" s="18">
        <f>'12 - Deployments &amp; Config'!P268</f>
        <v>0</v>
      </c>
      <c r="M263" s="18">
        <f>'12 - Deployments &amp; Config'!Q268</f>
        <v>0</v>
      </c>
      <c r="N263" s="18" t="str">
        <f>'12 - Deployments &amp; Config'!BL268</f>
        <v/>
      </c>
      <c r="O263" s="34" t="str">
        <f>'12 - Deployments &amp; Config'!BM268</f>
        <v/>
      </c>
      <c r="P263" s="2">
        <f>'12 - Deployments &amp; Config'!BB268</f>
        <v>0</v>
      </c>
      <c r="Q263" s="34" t="str">
        <f t="shared" si="16"/>
        <v/>
      </c>
      <c r="R263" s="18" t="str">
        <f t="shared" si="17"/>
        <v>SW NOT INSTALLED</v>
      </c>
      <c r="S263" s="18" t="str">
        <f t="shared" si="18"/>
        <v/>
      </c>
      <c r="T263" s="18" t="str">
        <f t="shared" si="19"/>
        <v>SW NOT INSTALLED</v>
      </c>
    </row>
    <row r="264" spans="1:20">
      <c r="A264" s="34">
        <f>'12 - Deployments &amp; Config'!H269</f>
        <v>0</v>
      </c>
      <c r="B264" s="34">
        <f>'12 - Deployments &amp; Config'!S269</f>
        <v>0</v>
      </c>
      <c r="C264" s="34">
        <f>'12 - Deployments &amp; Config'!T269</f>
        <v>0</v>
      </c>
      <c r="D264" s="18">
        <f>'12 - Deployments &amp; Config'!AK269</f>
        <v>0</v>
      </c>
      <c r="E264" s="18">
        <f>'12 - Deployments &amp; Config'!J269</f>
        <v>0</v>
      </c>
      <c r="F264" s="34">
        <f>'12 - Deployments &amp; Config'!K269</f>
        <v>0</v>
      </c>
      <c r="G264" s="18">
        <f>'12 - Deployments &amp; Config'!L269</f>
        <v>0</v>
      </c>
      <c r="H264" s="18">
        <f>'13 - Config_Intake_View'!M264</f>
        <v>0</v>
      </c>
      <c r="I264" s="34">
        <f>IF('13 - Config_Intake_View'!Q264&lt;&gt;"",'13 - Config_Intake_View'!Q264,'12 - Deployments &amp; Config'!BI269)</f>
        <v>0</v>
      </c>
      <c r="J264" s="18" t="str">
        <f>IF('13 - Config_Intake_View'!Q264&lt;&gt;"","PM Approved",IF('12 - Deployments &amp; Config'!BI269&lt;&gt;"","Assumed",""))</f>
        <v/>
      </c>
      <c r="K264" s="34">
        <f>'12 - Deployments &amp; Config'!BH269</f>
        <v>0</v>
      </c>
      <c r="L264" s="18">
        <f>'12 - Deployments &amp; Config'!P269</f>
        <v>0</v>
      </c>
      <c r="M264" s="18">
        <f>'12 - Deployments &amp; Config'!Q269</f>
        <v>0</v>
      </c>
      <c r="N264" s="18" t="str">
        <f>'12 - Deployments &amp; Config'!BL269</f>
        <v/>
      </c>
      <c r="O264" s="34" t="str">
        <f>'12 - Deployments &amp; Config'!BM269</f>
        <v/>
      </c>
      <c r="P264" s="2">
        <f>'12 - Deployments &amp; Config'!BB269</f>
        <v>0</v>
      </c>
      <c r="Q264" s="34" t="str">
        <f t="shared" si="16"/>
        <v/>
      </c>
      <c r="R264" s="18" t="str">
        <f t="shared" si="17"/>
        <v>SW NOT INSTALLED</v>
      </c>
      <c r="S264" s="18" t="str">
        <f t="shared" si="18"/>
        <v/>
      </c>
      <c r="T264" s="18" t="str">
        <f t="shared" si="19"/>
        <v>SW NOT INSTALLED</v>
      </c>
    </row>
    <row r="265" spans="1:20">
      <c r="A265" s="34">
        <f>'12 - Deployments &amp; Config'!H270</f>
        <v>0</v>
      </c>
      <c r="B265" s="34">
        <f>'12 - Deployments &amp; Config'!S270</f>
        <v>0</v>
      </c>
      <c r="C265" s="34">
        <f>'12 - Deployments &amp; Config'!T270</f>
        <v>0</v>
      </c>
      <c r="D265" s="18">
        <f>'12 - Deployments &amp; Config'!AK270</f>
        <v>0</v>
      </c>
      <c r="E265" s="18">
        <f>'12 - Deployments &amp; Config'!J270</f>
        <v>0</v>
      </c>
      <c r="F265" s="34">
        <f>'12 - Deployments &amp; Config'!K270</f>
        <v>0</v>
      </c>
      <c r="G265" s="18">
        <f>'12 - Deployments &amp; Config'!L270</f>
        <v>0</v>
      </c>
      <c r="H265" s="18">
        <f>'13 - Config_Intake_View'!M265</f>
        <v>0</v>
      </c>
      <c r="I265" s="34">
        <f>IF('13 - Config_Intake_View'!Q265&lt;&gt;"",'13 - Config_Intake_View'!Q265,'12 - Deployments &amp; Config'!BI270)</f>
        <v>0</v>
      </c>
      <c r="J265" s="18" t="str">
        <f>IF('13 - Config_Intake_View'!Q265&lt;&gt;"","PM Approved",IF('12 - Deployments &amp; Config'!BI270&lt;&gt;"","Assumed",""))</f>
        <v/>
      </c>
      <c r="K265" s="34">
        <f>'12 - Deployments &amp; Config'!BH270</f>
        <v>0</v>
      </c>
      <c r="L265" s="18">
        <f>'12 - Deployments &amp; Config'!P270</f>
        <v>0</v>
      </c>
      <c r="M265" s="18">
        <f>'12 - Deployments &amp; Config'!Q270</f>
        <v>0</v>
      </c>
      <c r="N265" s="18" t="str">
        <f>'12 - Deployments &amp; Config'!BL270</f>
        <v/>
      </c>
      <c r="O265" s="34" t="str">
        <f>'12 - Deployments &amp; Config'!BM270</f>
        <v/>
      </c>
      <c r="P265" s="2">
        <f>'12 - Deployments &amp; Config'!BB270</f>
        <v>0</v>
      </c>
      <c r="Q265" s="34" t="str">
        <f t="shared" si="16"/>
        <v/>
      </c>
      <c r="R265" s="18" t="str">
        <f t="shared" si="17"/>
        <v>SW NOT INSTALLED</v>
      </c>
      <c r="S265" s="18" t="str">
        <f t="shared" si="18"/>
        <v/>
      </c>
      <c r="T265" s="18" t="str">
        <f t="shared" si="19"/>
        <v>SW NOT INSTALLED</v>
      </c>
    </row>
    <row r="266" spans="1:20">
      <c r="A266" s="34">
        <f>'12 - Deployments &amp; Config'!H271</f>
        <v>0</v>
      </c>
      <c r="B266" s="34">
        <f>'12 - Deployments &amp; Config'!S271</f>
        <v>0</v>
      </c>
      <c r="C266" s="34">
        <f>'12 - Deployments &amp; Config'!T271</f>
        <v>0</v>
      </c>
      <c r="D266" s="18">
        <f>'12 - Deployments &amp; Config'!AK271</f>
        <v>0</v>
      </c>
      <c r="E266" s="18">
        <f>'12 - Deployments &amp; Config'!J271</f>
        <v>0</v>
      </c>
      <c r="F266" s="34">
        <f>'12 - Deployments &amp; Config'!K271</f>
        <v>0</v>
      </c>
      <c r="G266" s="18">
        <f>'12 - Deployments &amp; Config'!L271</f>
        <v>0</v>
      </c>
      <c r="H266" s="18">
        <f>'13 - Config_Intake_View'!M266</f>
        <v>0</v>
      </c>
      <c r="I266" s="34">
        <f>IF('13 - Config_Intake_View'!Q266&lt;&gt;"",'13 - Config_Intake_View'!Q266,'12 - Deployments &amp; Config'!BI271)</f>
        <v>0</v>
      </c>
      <c r="J266" s="18" t="str">
        <f>IF('13 - Config_Intake_View'!Q266&lt;&gt;"","PM Approved",IF('12 - Deployments &amp; Config'!BI271&lt;&gt;"","Assumed",""))</f>
        <v/>
      </c>
      <c r="K266" s="34">
        <f>'12 - Deployments &amp; Config'!BH271</f>
        <v>0</v>
      </c>
      <c r="L266" s="18">
        <f>'12 - Deployments &amp; Config'!P271</f>
        <v>0</v>
      </c>
      <c r="M266" s="18">
        <f>'12 - Deployments &amp; Config'!Q271</f>
        <v>0</v>
      </c>
      <c r="N266" s="18" t="str">
        <f>'12 - Deployments &amp; Config'!BL271</f>
        <v/>
      </c>
      <c r="O266" s="34" t="str">
        <f>'12 - Deployments &amp; Config'!BM271</f>
        <v/>
      </c>
      <c r="P266" s="2">
        <f>'12 - Deployments &amp; Config'!BB271</f>
        <v>0</v>
      </c>
      <c r="Q266" s="34" t="str">
        <f t="shared" si="16"/>
        <v/>
      </c>
      <c r="R266" s="18" t="str">
        <f t="shared" si="17"/>
        <v>SW NOT INSTALLED</v>
      </c>
      <c r="S266" s="18" t="str">
        <f t="shared" si="18"/>
        <v/>
      </c>
      <c r="T266" s="18" t="str">
        <f t="shared" si="19"/>
        <v>SW NOT INSTALLED</v>
      </c>
    </row>
    <row r="267" spans="1:20">
      <c r="A267" s="34">
        <f>'12 - Deployments &amp; Config'!H272</f>
        <v>0</v>
      </c>
      <c r="B267" s="34">
        <f>'12 - Deployments &amp; Config'!S272</f>
        <v>0</v>
      </c>
      <c r="C267" s="34">
        <f>'12 - Deployments &amp; Config'!T272</f>
        <v>0</v>
      </c>
      <c r="D267" s="18">
        <f>'12 - Deployments &amp; Config'!AK272</f>
        <v>0</v>
      </c>
      <c r="E267" s="18">
        <f>'12 - Deployments &amp; Config'!J272</f>
        <v>0</v>
      </c>
      <c r="F267" s="34">
        <f>'12 - Deployments &amp; Config'!K272</f>
        <v>0</v>
      </c>
      <c r="G267" s="18">
        <f>'12 - Deployments &amp; Config'!L272</f>
        <v>0</v>
      </c>
      <c r="H267" s="18">
        <f>'13 - Config_Intake_View'!M267</f>
        <v>0</v>
      </c>
      <c r="I267" s="34">
        <f>IF('13 - Config_Intake_View'!Q267&lt;&gt;"",'13 - Config_Intake_View'!Q267,'12 - Deployments &amp; Config'!BI272)</f>
        <v>0</v>
      </c>
      <c r="J267" s="18" t="str">
        <f>IF('13 - Config_Intake_View'!Q267&lt;&gt;"","PM Approved",IF('12 - Deployments &amp; Config'!BI272&lt;&gt;"","Assumed",""))</f>
        <v/>
      </c>
      <c r="K267" s="34">
        <f>'12 - Deployments &amp; Config'!BH272</f>
        <v>0</v>
      </c>
      <c r="L267" s="18">
        <f>'12 - Deployments &amp; Config'!P272</f>
        <v>0</v>
      </c>
      <c r="M267" s="18">
        <f>'12 - Deployments &amp; Config'!Q272</f>
        <v>0</v>
      </c>
      <c r="N267" s="18" t="str">
        <f>'12 - Deployments &amp; Config'!BL272</f>
        <v/>
      </c>
      <c r="O267" s="34" t="str">
        <f>'12 - Deployments &amp; Config'!BM272</f>
        <v/>
      </c>
      <c r="P267" s="2">
        <f>'12 - Deployments &amp; Config'!BB272</f>
        <v>0</v>
      </c>
      <c r="Q267" s="34" t="str">
        <f t="shared" si="16"/>
        <v/>
      </c>
      <c r="R267" s="18" t="str">
        <f t="shared" si="17"/>
        <v>SW NOT INSTALLED</v>
      </c>
      <c r="S267" s="18" t="str">
        <f t="shared" si="18"/>
        <v/>
      </c>
      <c r="T267" s="18" t="str">
        <f t="shared" si="19"/>
        <v>SW NOT INSTALLED</v>
      </c>
    </row>
    <row r="268" spans="1:20">
      <c r="A268" s="34">
        <f>'12 - Deployments &amp; Config'!H273</f>
        <v>0</v>
      </c>
      <c r="B268" s="34">
        <f>'12 - Deployments &amp; Config'!S273</f>
        <v>0</v>
      </c>
      <c r="C268" s="34">
        <f>'12 - Deployments &amp; Config'!T273</f>
        <v>0</v>
      </c>
      <c r="D268" s="18">
        <f>'12 - Deployments &amp; Config'!AK273</f>
        <v>0</v>
      </c>
      <c r="E268" s="18">
        <f>'12 - Deployments &amp; Config'!J273</f>
        <v>0</v>
      </c>
      <c r="F268" s="34">
        <f>'12 - Deployments &amp; Config'!K273</f>
        <v>0</v>
      </c>
      <c r="G268" s="18">
        <f>'12 - Deployments &amp; Config'!L273</f>
        <v>0</v>
      </c>
      <c r="H268" s="18">
        <f>'13 - Config_Intake_View'!M268</f>
        <v>0</v>
      </c>
      <c r="I268" s="34">
        <f>IF('13 - Config_Intake_View'!Q268&lt;&gt;"",'13 - Config_Intake_View'!Q268,'12 - Deployments &amp; Config'!BI273)</f>
        <v>0</v>
      </c>
      <c r="J268" s="18" t="str">
        <f>IF('13 - Config_Intake_View'!Q268&lt;&gt;"","PM Approved",IF('12 - Deployments &amp; Config'!BI273&lt;&gt;"","Assumed",""))</f>
        <v/>
      </c>
      <c r="K268" s="34">
        <f>'12 - Deployments &amp; Config'!BH273</f>
        <v>0</v>
      </c>
      <c r="L268" s="18">
        <f>'12 - Deployments &amp; Config'!P273</f>
        <v>0</v>
      </c>
      <c r="M268" s="18">
        <f>'12 - Deployments &amp; Config'!Q273</f>
        <v>0</v>
      </c>
      <c r="N268" s="18" t="str">
        <f>'12 - Deployments &amp; Config'!BL273</f>
        <v/>
      </c>
      <c r="O268" s="34" t="str">
        <f>'12 - Deployments &amp; Config'!BM273</f>
        <v/>
      </c>
      <c r="P268" s="2">
        <f>'12 - Deployments &amp; Config'!BB273</f>
        <v>0</v>
      </c>
      <c r="Q268" s="34" t="str">
        <f t="shared" si="16"/>
        <v/>
      </c>
      <c r="R268" s="18" t="str">
        <f t="shared" si="17"/>
        <v>SW NOT INSTALLED</v>
      </c>
      <c r="S268" s="18" t="str">
        <f t="shared" si="18"/>
        <v/>
      </c>
      <c r="T268" s="18" t="str">
        <f t="shared" si="19"/>
        <v>SW NOT INSTALLED</v>
      </c>
    </row>
    <row r="269" spans="1:20">
      <c r="A269" s="34">
        <f>'12 - Deployments &amp; Config'!H274</f>
        <v>0</v>
      </c>
      <c r="B269" s="34">
        <f>'12 - Deployments &amp; Config'!S274</f>
        <v>0</v>
      </c>
      <c r="C269" s="34">
        <f>'12 - Deployments &amp; Config'!T274</f>
        <v>0</v>
      </c>
      <c r="D269" s="18">
        <f>'12 - Deployments &amp; Config'!AK274</f>
        <v>0</v>
      </c>
      <c r="E269" s="18">
        <f>'12 - Deployments &amp; Config'!J274</f>
        <v>0</v>
      </c>
      <c r="F269" s="34">
        <f>'12 - Deployments &amp; Config'!K274</f>
        <v>0</v>
      </c>
      <c r="G269" s="18">
        <f>'12 - Deployments &amp; Config'!L274</f>
        <v>0</v>
      </c>
      <c r="H269" s="18">
        <f>'13 - Config_Intake_View'!M269</f>
        <v>0</v>
      </c>
      <c r="I269" s="34">
        <f>IF('13 - Config_Intake_View'!Q269&lt;&gt;"",'13 - Config_Intake_View'!Q269,'12 - Deployments &amp; Config'!BI274)</f>
        <v>0</v>
      </c>
      <c r="J269" s="18" t="str">
        <f>IF('13 - Config_Intake_View'!Q269&lt;&gt;"","PM Approved",IF('12 - Deployments &amp; Config'!BI274&lt;&gt;"","Assumed",""))</f>
        <v/>
      </c>
      <c r="K269" s="34">
        <f>'12 - Deployments &amp; Config'!BH274</f>
        <v>0</v>
      </c>
      <c r="L269" s="18">
        <f>'12 - Deployments &amp; Config'!P274</f>
        <v>0</v>
      </c>
      <c r="M269" s="18">
        <f>'12 - Deployments &amp; Config'!Q274</f>
        <v>0</v>
      </c>
      <c r="N269" s="18" t="str">
        <f>'12 - Deployments &amp; Config'!BL274</f>
        <v/>
      </c>
      <c r="O269" s="34" t="str">
        <f>'12 - Deployments &amp; Config'!BM274</f>
        <v/>
      </c>
      <c r="P269" s="2">
        <f>'12 - Deployments &amp; Config'!BB274</f>
        <v>0</v>
      </c>
      <c r="Q269" s="34" t="str">
        <f t="shared" si="16"/>
        <v/>
      </c>
      <c r="R269" s="18" t="str">
        <f t="shared" si="17"/>
        <v>SW NOT INSTALLED</v>
      </c>
      <c r="S269" s="18" t="str">
        <f t="shared" si="18"/>
        <v/>
      </c>
      <c r="T269" s="18" t="str">
        <f t="shared" si="19"/>
        <v>SW NOT INSTALLED</v>
      </c>
    </row>
    <row r="270" spans="1:20">
      <c r="A270" s="34">
        <f>'12 - Deployments &amp; Config'!H275</f>
        <v>0</v>
      </c>
      <c r="B270" s="34">
        <f>'12 - Deployments &amp; Config'!S275</f>
        <v>0</v>
      </c>
      <c r="C270" s="34">
        <f>'12 - Deployments &amp; Config'!T275</f>
        <v>0</v>
      </c>
      <c r="D270" s="18">
        <f>'12 - Deployments &amp; Config'!AK275</f>
        <v>0</v>
      </c>
      <c r="E270" s="18">
        <f>'12 - Deployments &amp; Config'!J275</f>
        <v>0</v>
      </c>
      <c r="F270" s="34">
        <f>'12 - Deployments &amp; Config'!K275</f>
        <v>0</v>
      </c>
      <c r="G270" s="18">
        <f>'12 - Deployments &amp; Config'!L275</f>
        <v>0</v>
      </c>
      <c r="H270" s="18">
        <f>'13 - Config_Intake_View'!M270</f>
        <v>0</v>
      </c>
      <c r="I270" s="34">
        <f>IF('13 - Config_Intake_View'!Q270&lt;&gt;"",'13 - Config_Intake_View'!Q270,'12 - Deployments &amp; Config'!BI275)</f>
        <v>0</v>
      </c>
      <c r="J270" s="18" t="str">
        <f>IF('13 - Config_Intake_View'!Q270&lt;&gt;"","PM Approved",IF('12 - Deployments &amp; Config'!BI275&lt;&gt;"","Assumed",""))</f>
        <v/>
      </c>
      <c r="K270" s="34">
        <f>'12 - Deployments &amp; Config'!BH275</f>
        <v>0</v>
      </c>
      <c r="L270" s="18">
        <f>'12 - Deployments &amp; Config'!P275</f>
        <v>0</v>
      </c>
      <c r="M270" s="18">
        <f>'12 - Deployments &amp; Config'!Q275</f>
        <v>0</v>
      </c>
      <c r="N270" s="18" t="str">
        <f>'12 - Deployments &amp; Config'!BL275</f>
        <v/>
      </c>
      <c r="O270" s="34" t="str">
        <f>'12 - Deployments &amp; Config'!BM275</f>
        <v/>
      </c>
      <c r="P270" s="2">
        <f>'12 - Deployments &amp; Config'!BB275</f>
        <v>0</v>
      </c>
      <c r="Q270" s="34" t="str">
        <f t="shared" si="16"/>
        <v/>
      </c>
      <c r="R270" s="18" t="str">
        <f t="shared" si="17"/>
        <v>SW NOT INSTALLED</v>
      </c>
      <c r="S270" s="18" t="str">
        <f t="shared" si="18"/>
        <v/>
      </c>
      <c r="T270" s="18" t="str">
        <f t="shared" si="19"/>
        <v>SW NOT INSTALLED</v>
      </c>
    </row>
    <row r="271" spans="1:20">
      <c r="A271" s="34">
        <f>'12 - Deployments &amp; Config'!H276</f>
        <v>0</v>
      </c>
      <c r="B271" s="34">
        <f>'12 - Deployments &amp; Config'!S276</f>
        <v>0</v>
      </c>
      <c r="C271" s="34">
        <f>'12 - Deployments &amp; Config'!T276</f>
        <v>0</v>
      </c>
      <c r="D271" s="18">
        <f>'12 - Deployments &amp; Config'!AK276</f>
        <v>0</v>
      </c>
      <c r="E271" s="18">
        <f>'12 - Deployments &amp; Config'!J276</f>
        <v>0</v>
      </c>
      <c r="F271" s="34">
        <f>'12 - Deployments &amp; Config'!K276</f>
        <v>0</v>
      </c>
      <c r="G271" s="18">
        <f>'12 - Deployments &amp; Config'!L276</f>
        <v>0</v>
      </c>
      <c r="H271" s="18">
        <f>'13 - Config_Intake_View'!M271</f>
        <v>0</v>
      </c>
      <c r="I271" s="34">
        <f>IF('13 - Config_Intake_View'!Q271&lt;&gt;"",'13 - Config_Intake_View'!Q271,'12 - Deployments &amp; Config'!BI276)</f>
        <v>0</v>
      </c>
      <c r="J271" s="18" t="str">
        <f>IF('13 - Config_Intake_View'!Q271&lt;&gt;"","PM Approved",IF('12 - Deployments &amp; Config'!BI276&lt;&gt;"","Assumed",""))</f>
        <v/>
      </c>
      <c r="K271" s="34">
        <f>'12 - Deployments &amp; Config'!BH276</f>
        <v>0</v>
      </c>
      <c r="L271" s="18">
        <f>'12 - Deployments &amp; Config'!P276</f>
        <v>0</v>
      </c>
      <c r="M271" s="18">
        <f>'12 - Deployments &amp; Config'!Q276</f>
        <v>0</v>
      </c>
      <c r="N271" s="18" t="str">
        <f>'12 - Deployments &amp; Config'!BL276</f>
        <v/>
      </c>
      <c r="O271" s="34" t="str">
        <f>'12 - Deployments &amp; Config'!BM276</f>
        <v/>
      </c>
      <c r="P271" s="2">
        <f>'12 - Deployments &amp; Config'!BB276</f>
        <v>0</v>
      </c>
      <c r="Q271" s="34" t="str">
        <f t="shared" si="16"/>
        <v/>
      </c>
      <c r="R271" s="18" t="str">
        <f t="shared" si="17"/>
        <v>SW NOT INSTALLED</v>
      </c>
      <c r="S271" s="18" t="str">
        <f t="shared" si="18"/>
        <v/>
      </c>
      <c r="T271" s="18" t="str">
        <f t="shared" si="19"/>
        <v>SW NOT INSTALLED</v>
      </c>
    </row>
    <row r="272" spans="1:20">
      <c r="A272" s="34">
        <f>'12 - Deployments &amp; Config'!H277</f>
        <v>0</v>
      </c>
      <c r="B272" s="34">
        <f>'12 - Deployments &amp; Config'!S277</f>
        <v>0</v>
      </c>
      <c r="C272" s="34">
        <f>'12 - Deployments &amp; Config'!T277</f>
        <v>0</v>
      </c>
      <c r="D272" s="18">
        <f>'12 - Deployments &amp; Config'!AK277</f>
        <v>0</v>
      </c>
      <c r="E272" s="18">
        <f>'12 - Deployments &amp; Config'!J277</f>
        <v>0</v>
      </c>
      <c r="F272" s="34">
        <f>'12 - Deployments &amp; Config'!K277</f>
        <v>0</v>
      </c>
      <c r="G272" s="18">
        <f>'12 - Deployments &amp; Config'!L277</f>
        <v>0</v>
      </c>
      <c r="H272" s="18">
        <f>'13 - Config_Intake_View'!M272</f>
        <v>0</v>
      </c>
      <c r="I272" s="34">
        <f>IF('13 - Config_Intake_View'!Q272&lt;&gt;"",'13 - Config_Intake_View'!Q272,'12 - Deployments &amp; Config'!BI277)</f>
        <v>0</v>
      </c>
      <c r="J272" s="18" t="str">
        <f>IF('13 - Config_Intake_View'!Q272&lt;&gt;"","PM Approved",IF('12 - Deployments &amp; Config'!BI277&lt;&gt;"","Assumed",""))</f>
        <v/>
      </c>
      <c r="K272" s="34">
        <f>'12 - Deployments &amp; Config'!BH277</f>
        <v>0</v>
      </c>
      <c r="L272" s="18">
        <f>'12 - Deployments &amp; Config'!P277</f>
        <v>0</v>
      </c>
      <c r="M272" s="18">
        <f>'12 - Deployments &amp; Config'!Q277</f>
        <v>0</v>
      </c>
      <c r="N272" s="18" t="str">
        <f>'12 - Deployments &amp; Config'!BL277</f>
        <v/>
      </c>
      <c r="O272" s="34" t="str">
        <f>'12 - Deployments &amp; Config'!BM277</f>
        <v/>
      </c>
      <c r="P272" s="2">
        <f>'12 - Deployments &amp; Config'!BB277</f>
        <v>0</v>
      </c>
      <c r="Q272" s="34" t="str">
        <f t="shared" si="16"/>
        <v/>
      </c>
      <c r="R272" s="18" t="str">
        <f t="shared" si="17"/>
        <v>SW NOT INSTALLED</v>
      </c>
      <c r="S272" s="18" t="str">
        <f t="shared" si="18"/>
        <v/>
      </c>
      <c r="T272" s="18" t="str">
        <f t="shared" si="19"/>
        <v>SW NOT INSTALLED</v>
      </c>
    </row>
    <row r="273" spans="1:20">
      <c r="A273" s="34">
        <f>'12 - Deployments &amp; Config'!H278</f>
        <v>0</v>
      </c>
      <c r="B273" s="34">
        <f>'12 - Deployments &amp; Config'!S278</f>
        <v>0</v>
      </c>
      <c r="C273" s="34">
        <f>'12 - Deployments &amp; Config'!T278</f>
        <v>0</v>
      </c>
      <c r="D273" s="18">
        <f>'12 - Deployments &amp; Config'!AK278</f>
        <v>0</v>
      </c>
      <c r="E273" s="18">
        <f>'12 - Deployments &amp; Config'!J278</f>
        <v>0</v>
      </c>
      <c r="F273" s="34">
        <f>'12 - Deployments &amp; Config'!K278</f>
        <v>0</v>
      </c>
      <c r="G273" s="18">
        <f>'12 - Deployments &amp; Config'!L278</f>
        <v>0</v>
      </c>
      <c r="H273" s="18">
        <f>'13 - Config_Intake_View'!M273</f>
        <v>0</v>
      </c>
      <c r="I273" s="34">
        <f>IF('13 - Config_Intake_View'!Q273&lt;&gt;"",'13 - Config_Intake_View'!Q273,'12 - Deployments &amp; Config'!BI278)</f>
        <v>0</v>
      </c>
      <c r="J273" s="18" t="str">
        <f>IF('13 - Config_Intake_View'!Q273&lt;&gt;"","PM Approved",IF('12 - Deployments &amp; Config'!BI278&lt;&gt;"","Assumed",""))</f>
        <v/>
      </c>
      <c r="K273" s="34">
        <f>'12 - Deployments &amp; Config'!BH278</f>
        <v>0</v>
      </c>
      <c r="L273" s="18">
        <f>'12 - Deployments &amp; Config'!P278</f>
        <v>0</v>
      </c>
      <c r="M273" s="18">
        <f>'12 - Deployments &amp; Config'!Q278</f>
        <v>0</v>
      </c>
      <c r="N273" s="18" t="str">
        <f>'12 - Deployments &amp; Config'!BL278</f>
        <v/>
      </c>
      <c r="O273" s="34" t="str">
        <f>'12 - Deployments &amp; Config'!BM278</f>
        <v/>
      </c>
      <c r="P273" s="2">
        <f>'12 - Deployments &amp; Config'!BB278</f>
        <v>0</v>
      </c>
      <c r="Q273" s="34" t="str">
        <f t="shared" si="16"/>
        <v/>
      </c>
      <c r="R273" s="18" t="str">
        <f t="shared" si="17"/>
        <v>SW NOT INSTALLED</v>
      </c>
      <c r="S273" s="18" t="str">
        <f t="shared" si="18"/>
        <v/>
      </c>
      <c r="T273" s="18" t="str">
        <f t="shared" si="19"/>
        <v>SW NOT INSTALLED</v>
      </c>
    </row>
    <row r="274" spans="1:20">
      <c r="A274" s="34">
        <f>'12 - Deployments &amp; Config'!H279</f>
        <v>0</v>
      </c>
      <c r="B274" s="34">
        <f>'12 - Deployments &amp; Config'!S279</f>
        <v>0</v>
      </c>
      <c r="C274" s="34">
        <f>'12 - Deployments &amp; Config'!T279</f>
        <v>0</v>
      </c>
      <c r="D274" s="18">
        <f>'12 - Deployments &amp; Config'!AK279</f>
        <v>0</v>
      </c>
      <c r="E274" s="18">
        <f>'12 - Deployments &amp; Config'!J279</f>
        <v>0</v>
      </c>
      <c r="F274" s="34">
        <f>'12 - Deployments &amp; Config'!K279</f>
        <v>0</v>
      </c>
      <c r="G274" s="18">
        <f>'12 - Deployments &amp; Config'!L279</f>
        <v>0</v>
      </c>
      <c r="H274" s="18">
        <f>'13 - Config_Intake_View'!M274</f>
        <v>0</v>
      </c>
      <c r="I274" s="34">
        <f>IF('13 - Config_Intake_View'!Q274&lt;&gt;"",'13 - Config_Intake_View'!Q274,'12 - Deployments &amp; Config'!BI279)</f>
        <v>0</v>
      </c>
      <c r="J274" s="18" t="str">
        <f>IF('13 - Config_Intake_View'!Q274&lt;&gt;"","PM Approved",IF('12 - Deployments &amp; Config'!BI279&lt;&gt;"","Assumed",""))</f>
        <v/>
      </c>
      <c r="K274" s="34">
        <f>'12 - Deployments &amp; Config'!BH279</f>
        <v>0</v>
      </c>
      <c r="L274" s="18">
        <f>'12 - Deployments &amp; Config'!P279</f>
        <v>0</v>
      </c>
      <c r="M274" s="18">
        <f>'12 - Deployments &amp; Config'!Q279</f>
        <v>0</v>
      </c>
      <c r="N274" s="18" t="str">
        <f>'12 - Deployments &amp; Config'!BL279</f>
        <v/>
      </c>
      <c r="O274" s="34" t="str">
        <f>'12 - Deployments &amp; Config'!BM279</f>
        <v/>
      </c>
      <c r="P274" s="2">
        <f>'12 - Deployments &amp; Config'!BB279</f>
        <v>0</v>
      </c>
      <c r="Q274" s="34" t="str">
        <f t="shared" si="16"/>
        <v/>
      </c>
      <c r="R274" s="18" t="str">
        <f t="shared" si="17"/>
        <v>SW NOT INSTALLED</v>
      </c>
      <c r="S274" s="18" t="str">
        <f t="shared" si="18"/>
        <v/>
      </c>
      <c r="T274" s="18" t="str">
        <f t="shared" si="19"/>
        <v>SW NOT INSTALLED</v>
      </c>
    </row>
    <row r="275" spans="1:20">
      <c r="A275" s="34">
        <f>'12 - Deployments &amp; Config'!H280</f>
        <v>0</v>
      </c>
      <c r="B275" s="34">
        <f>'12 - Deployments &amp; Config'!S280</f>
        <v>0</v>
      </c>
      <c r="C275" s="34">
        <f>'12 - Deployments &amp; Config'!T280</f>
        <v>0</v>
      </c>
      <c r="D275" s="18">
        <f>'12 - Deployments &amp; Config'!AK280</f>
        <v>0</v>
      </c>
      <c r="E275" s="18">
        <f>'12 - Deployments &amp; Config'!J280</f>
        <v>0</v>
      </c>
      <c r="F275" s="34">
        <f>'12 - Deployments &amp; Config'!K280</f>
        <v>0</v>
      </c>
      <c r="G275" s="18">
        <f>'12 - Deployments &amp; Config'!L280</f>
        <v>0</v>
      </c>
      <c r="H275" s="18">
        <f>'13 - Config_Intake_View'!M275</f>
        <v>0</v>
      </c>
      <c r="I275" s="34">
        <f>IF('13 - Config_Intake_View'!Q275&lt;&gt;"",'13 - Config_Intake_View'!Q275,'12 - Deployments &amp; Config'!BI280)</f>
        <v>0</v>
      </c>
      <c r="J275" s="18" t="str">
        <f>IF('13 - Config_Intake_View'!Q275&lt;&gt;"","PM Approved",IF('12 - Deployments &amp; Config'!BI280&lt;&gt;"","Assumed",""))</f>
        <v/>
      </c>
      <c r="K275" s="34">
        <f>'12 - Deployments &amp; Config'!BH280</f>
        <v>0</v>
      </c>
      <c r="L275" s="18">
        <f>'12 - Deployments &amp; Config'!P280</f>
        <v>0</v>
      </c>
      <c r="M275" s="18">
        <f>'12 - Deployments &amp; Config'!Q280</f>
        <v>0</v>
      </c>
      <c r="N275" s="18" t="str">
        <f>'12 - Deployments &amp; Config'!BL280</f>
        <v/>
      </c>
      <c r="O275" s="34" t="str">
        <f>'12 - Deployments &amp; Config'!BM280</f>
        <v/>
      </c>
      <c r="P275" s="2">
        <f>'12 - Deployments &amp; Config'!BB280</f>
        <v>0</v>
      </c>
      <c r="Q275" s="34" t="str">
        <f t="shared" si="16"/>
        <v/>
      </c>
      <c r="R275" s="18" t="str">
        <f t="shared" si="17"/>
        <v>SW NOT INSTALLED</v>
      </c>
      <c r="S275" s="18" t="str">
        <f t="shared" si="18"/>
        <v/>
      </c>
      <c r="T275" s="18" t="str">
        <f t="shared" si="19"/>
        <v>SW NOT INSTALLED</v>
      </c>
    </row>
    <row r="276" spans="1:20">
      <c r="A276" s="34">
        <f>'12 - Deployments &amp; Config'!H281</f>
        <v>0</v>
      </c>
      <c r="B276" s="34">
        <f>'12 - Deployments &amp; Config'!S281</f>
        <v>0</v>
      </c>
      <c r="C276" s="34">
        <f>'12 - Deployments &amp; Config'!T281</f>
        <v>0</v>
      </c>
      <c r="D276" s="18">
        <f>'12 - Deployments &amp; Config'!AK281</f>
        <v>0</v>
      </c>
      <c r="E276" s="18">
        <f>'12 - Deployments &amp; Config'!J281</f>
        <v>0</v>
      </c>
      <c r="F276" s="34">
        <f>'12 - Deployments &amp; Config'!K281</f>
        <v>0</v>
      </c>
      <c r="G276" s="18">
        <f>'12 - Deployments &amp; Config'!L281</f>
        <v>0</v>
      </c>
      <c r="H276" s="18">
        <f>'13 - Config_Intake_View'!M276</f>
        <v>0</v>
      </c>
      <c r="I276" s="34">
        <f>IF('13 - Config_Intake_View'!Q276&lt;&gt;"",'13 - Config_Intake_View'!Q276,'12 - Deployments &amp; Config'!BI281)</f>
        <v>0</v>
      </c>
      <c r="J276" s="18" t="str">
        <f>IF('13 - Config_Intake_View'!Q276&lt;&gt;"","PM Approved",IF('12 - Deployments &amp; Config'!BI281&lt;&gt;"","Assumed",""))</f>
        <v/>
      </c>
      <c r="K276" s="34">
        <f>'12 - Deployments &amp; Config'!BH281</f>
        <v>0</v>
      </c>
      <c r="L276" s="18">
        <f>'12 - Deployments &amp; Config'!P281</f>
        <v>0</v>
      </c>
      <c r="M276" s="18">
        <f>'12 - Deployments &amp; Config'!Q281</f>
        <v>0</v>
      </c>
      <c r="N276" s="18" t="str">
        <f>'12 - Deployments &amp; Config'!BL281</f>
        <v/>
      </c>
      <c r="O276" s="34" t="str">
        <f>'12 - Deployments &amp; Config'!BM281</f>
        <v/>
      </c>
      <c r="P276" s="2">
        <f>'12 - Deployments &amp; Config'!BB281</f>
        <v>0</v>
      </c>
      <c r="Q276" s="34" t="str">
        <f t="shared" si="16"/>
        <v/>
      </c>
      <c r="R276" s="18" t="str">
        <f t="shared" si="17"/>
        <v>SW NOT INSTALLED</v>
      </c>
      <c r="S276" s="18" t="str">
        <f t="shared" si="18"/>
        <v/>
      </c>
      <c r="T276" s="18" t="str">
        <f t="shared" si="19"/>
        <v>SW NOT INSTALLED</v>
      </c>
    </row>
    <row r="277" spans="1:20">
      <c r="A277" s="34">
        <f>'12 - Deployments &amp; Config'!H282</f>
        <v>0</v>
      </c>
      <c r="B277" s="34">
        <f>'12 - Deployments &amp; Config'!S282</f>
        <v>0</v>
      </c>
      <c r="C277" s="34">
        <f>'12 - Deployments &amp; Config'!T282</f>
        <v>0</v>
      </c>
      <c r="D277" s="18">
        <f>'12 - Deployments &amp; Config'!AK282</f>
        <v>0</v>
      </c>
      <c r="E277" s="18">
        <f>'12 - Deployments &amp; Config'!J282</f>
        <v>0</v>
      </c>
      <c r="F277" s="34">
        <f>'12 - Deployments &amp; Config'!K282</f>
        <v>0</v>
      </c>
      <c r="G277" s="18">
        <f>'12 - Deployments &amp; Config'!L282</f>
        <v>0</v>
      </c>
      <c r="H277" s="18">
        <f>'13 - Config_Intake_View'!M277</f>
        <v>0</v>
      </c>
      <c r="I277" s="34">
        <f>IF('13 - Config_Intake_View'!Q277&lt;&gt;"",'13 - Config_Intake_View'!Q277,'12 - Deployments &amp; Config'!BI282)</f>
        <v>0</v>
      </c>
      <c r="J277" s="18" t="str">
        <f>IF('13 - Config_Intake_View'!Q277&lt;&gt;"","PM Approved",IF('12 - Deployments &amp; Config'!BI282&lt;&gt;"","Assumed",""))</f>
        <v/>
      </c>
      <c r="K277" s="34">
        <f>'12 - Deployments &amp; Config'!BH282</f>
        <v>0</v>
      </c>
      <c r="L277" s="18">
        <f>'12 - Deployments &amp; Config'!P282</f>
        <v>0</v>
      </c>
      <c r="M277" s="18">
        <f>'12 - Deployments &amp; Config'!Q282</f>
        <v>0</v>
      </c>
      <c r="N277" s="18" t="str">
        <f>'12 - Deployments &amp; Config'!BL282</f>
        <v/>
      </c>
      <c r="O277" s="34" t="str">
        <f>'12 - Deployments &amp; Config'!BM282</f>
        <v/>
      </c>
      <c r="P277" s="2">
        <f>'12 - Deployments &amp; Config'!BB282</f>
        <v>0</v>
      </c>
      <c r="Q277" s="34" t="str">
        <f t="shared" si="16"/>
        <v/>
      </c>
      <c r="R277" s="18" t="str">
        <f t="shared" si="17"/>
        <v>SW NOT INSTALLED</v>
      </c>
      <c r="S277" s="18" t="str">
        <f t="shared" si="18"/>
        <v/>
      </c>
      <c r="T277" s="18" t="str">
        <f t="shared" si="19"/>
        <v>SW NOT INSTALLED</v>
      </c>
    </row>
    <row r="278" spans="1:20">
      <c r="A278" s="34">
        <f>'12 - Deployments &amp; Config'!H283</f>
        <v>0</v>
      </c>
      <c r="B278" s="34">
        <f>'12 - Deployments &amp; Config'!S283</f>
        <v>0</v>
      </c>
      <c r="C278" s="34">
        <f>'12 - Deployments &amp; Config'!T283</f>
        <v>0</v>
      </c>
      <c r="D278" s="18">
        <f>'12 - Deployments &amp; Config'!AK283</f>
        <v>0</v>
      </c>
      <c r="E278" s="18">
        <f>'12 - Deployments &amp; Config'!J283</f>
        <v>0</v>
      </c>
      <c r="F278" s="34">
        <f>'12 - Deployments &amp; Config'!K283</f>
        <v>0</v>
      </c>
      <c r="G278" s="18">
        <f>'12 - Deployments &amp; Config'!L283</f>
        <v>0</v>
      </c>
      <c r="H278" s="18">
        <f>'13 - Config_Intake_View'!M278</f>
        <v>0</v>
      </c>
      <c r="I278" s="34">
        <f>IF('13 - Config_Intake_View'!Q278&lt;&gt;"",'13 - Config_Intake_View'!Q278,'12 - Deployments &amp; Config'!BI283)</f>
        <v>0</v>
      </c>
      <c r="J278" s="18" t="str">
        <f>IF('13 - Config_Intake_View'!Q278&lt;&gt;"","PM Approved",IF('12 - Deployments &amp; Config'!BI283&lt;&gt;"","Assumed",""))</f>
        <v/>
      </c>
      <c r="K278" s="34">
        <f>'12 - Deployments &amp; Config'!BH283</f>
        <v>0</v>
      </c>
      <c r="L278" s="18">
        <f>'12 - Deployments &amp; Config'!P283</f>
        <v>0</v>
      </c>
      <c r="M278" s="18">
        <f>'12 - Deployments &amp; Config'!Q283</f>
        <v>0</v>
      </c>
      <c r="N278" s="18" t="str">
        <f>'12 - Deployments &amp; Config'!BL283</f>
        <v/>
      </c>
      <c r="O278" s="34" t="str">
        <f>'12 - Deployments &amp; Config'!BM283</f>
        <v/>
      </c>
      <c r="P278" s="2">
        <f>'12 - Deployments &amp; Config'!BB283</f>
        <v>0</v>
      </c>
      <c r="Q278" s="34" t="str">
        <f t="shared" si="16"/>
        <v/>
      </c>
      <c r="R278" s="18" t="str">
        <f t="shared" si="17"/>
        <v>SW NOT INSTALLED</v>
      </c>
      <c r="S278" s="18" t="str">
        <f t="shared" si="18"/>
        <v/>
      </c>
      <c r="T278" s="18" t="str">
        <f t="shared" si="19"/>
        <v>SW NOT INSTALLED</v>
      </c>
    </row>
    <row r="279" spans="1:20">
      <c r="A279" s="34">
        <f>'12 - Deployments &amp; Config'!H284</f>
        <v>0</v>
      </c>
      <c r="B279" s="34">
        <f>'12 - Deployments &amp; Config'!S284</f>
        <v>0</v>
      </c>
      <c r="C279" s="34">
        <f>'12 - Deployments &amp; Config'!T284</f>
        <v>0</v>
      </c>
      <c r="D279" s="18">
        <f>'12 - Deployments &amp; Config'!AK284</f>
        <v>0</v>
      </c>
      <c r="E279" s="18">
        <f>'12 - Deployments &amp; Config'!J284</f>
        <v>0</v>
      </c>
      <c r="F279" s="34">
        <f>'12 - Deployments &amp; Config'!K284</f>
        <v>0</v>
      </c>
      <c r="G279" s="18">
        <f>'12 - Deployments &amp; Config'!L284</f>
        <v>0</v>
      </c>
      <c r="H279" s="18">
        <f>'13 - Config_Intake_View'!M279</f>
        <v>0</v>
      </c>
      <c r="I279" s="34">
        <f>IF('13 - Config_Intake_View'!Q279&lt;&gt;"",'13 - Config_Intake_View'!Q279,'12 - Deployments &amp; Config'!BI284)</f>
        <v>0</v>
      </c>
      <c r="J279" s="18" t="str">
        <f>IF('13 - Config_Intake_View'!Q279&lt;&gt;"","PM Approved",IF('12 - Deployments &amp; Config'!BI284&lt;&gt;"","Assumed",""))</f>
        <v/>
      </c>
      <c r="K279" s="34">
        <f>'12 - Deployments &amp; Config'!BH284</f>
        <v>0</v>
      </c>
      <c r="L279" s="18">
        <f>'12 - Deployments &amp; Config'!P284</f>
        <v>0</v>
      </c>
      <c r="M279" s="18">
        <f>'12 - Deployments &amp; Config'!Q284</f>
        <v>0</v>
      </c>
      <c r="N279" s="18" t="str">
        <f>'12 - Deployments &amp; Config'!BL284</f>
        <v/>
      </c>
      <c r="O279" s="34" t="str">
        <f>'12 - Deployments &amp; Config'!BM284</f>
        <v/>
      </c>
      <c r="P279" s="2">
        <f>'12 - Deployments &amp; Config'!BB284</f>
        <v>0</v>
      </c>
      <c r="Q279" s="34" t="str">
        <f t="shared" si="16"/>
        <v/>
      </c>
      <c r="R279" s="18" t="str">
        <f t="shared" si="17"/>
        <v>SW NOT INSTALLED</v>
      </c>
      <c r="S279" s="18" t="str">
        <f t="shared" si="18"/>
        <v/>
      </c>
      <c r="T279" s="18" t="str">
        <f t="shared" si="19"/>
        <v>SW NOT INSTALLED</v>
      </c>
    </row>
    <row r="280" spans="1:20">
      <c r="A280" s="34">
        <f>'12 - Deployments &amp; Config'!H285</f>
        <v>0</v>
      </c>
      <c r="B280" s="34">
        <f>'12 - Deployments &amp; Config'!S285</f>
        <v>0</v>
      </c>
      <c r="C280" s="34">
        <f>'12 - Deployments &amp; Config'!T285</f>
        <v>0</v>
      </c>
      <c r="D280" s="18">
        <f>'12 - Deployments &amp; Config'!AK285</f>
        <v>0</v>
      </c>
      <c r="E280" s="18">
        <f>'12 - Deployments &amp; Config'!J285</f>
        <v>0</v>
      </c>
      <c r="F280" s="34">
        <f>'12 - Deployments &amp; Config'!K285</f>
        <v>0</v>
      </c>
      <c r="G280" s="18">
        <f>'12 - Deployments &amp; Config'!L285</f>
        <v>0</v>
      </c>
      <c r="H280" s="18">
        <f>'13 - Config_Intake_View'!M280</f>
        <v>0</v>
      </c>
      <c r="I280" s="34">
        <f>IF('13 - Config_Intake_View'!Q280&lt;&gt;"",'13 - Config_Intake_View'!Q280,'12 - Deployments &amp; Config'!BI285)</f>
        <v>0</v>
      </c>
      <c r="J280" s="18" t="str">
        <f>IF('13 - Config_Intake_View'!Q280&lt;&gt;"","PM Approved",IF('12 - Deployments &amp; Config'!BI285&lt;&gt;"","Assumed",""))</f>
        <v/>
      </c>
      <c r="K280" s="34">
        <f>'12 - Deployments &amp; Config'!BH285</f>
        <v>0</v>
      </c>
      <c r="L280" s="18">
        <f>'12 - Deployments &amp; Config'!P285</f>
        <v>0</v>
      </c>
      <c r="M280" s="18">
        <f>'12 - Deployments &amp; Config'!Q285</f>
        <v>0</v>
      </c>
      <c r="N280" s="18" t="str">
        <f>'12 - Deployments &amp; Config'!BL285</f>
        <v/>
      </c>
      <c r="O280" s="34" t="str">
        <f>'12 - Deployments &amp; Config'!BM285</f>
        <v/>
      </c>
      <c r="P280" s="2">
        <f>'12 - Deployments &amp; Config'!BB285</f>
        <v>0</v>
      </c>
      <c r="Q280" s="34" t="str">
        <f t="shared" si="16"/>
        <v/>
      </c>
      <c r="R280" s="18" t="str">
        <f t="shared" si="17"/>
        <v>SW NOT INSTALLED</v>
      </c>
      <c r="S280" s="18" t="str">
        <f t="shared" si="18"/>
        <v/>
      </c>
      <c r="T280" s="18" t="str">
        <f t="shared" si="19"/>
        <v>SW NOT INSTALLED</v>
      </c>
    </row>
    <row r="281" spans="1:20">
      <c r="A281" s="34">
        <f>'12 - Deployments &amp; Config'!H286</f>
        <v>0</v>
      </c>
      <c r="B281" s="34">
        <f>'12 - Deployments &amp; Config'!S286</f>
        <v>0</v>
      </c>
      <c r="C281" s="34">
        <f>'12 - Deployments &amp; Config'!T286</f>
        <v>0</v>
      </c>
      <c r="D281" s="18">
        <f>'12 - Deployments &amp; Config'!AK286</f>
        <v>0</v>
      </c>
      <c r="E281" s="18">
        <f>'12 - Deployments &amp; Config'!J286</f>
        <v>0</v>
      </c>
      <c r="F281" s="34">
        <f>'12 - Deployments &amp; Config'!K286</f>
        <v>0</v>
      </c>
      <c r="G281" s="18">
        <f>'12 - Deployments &amp; Config'!L286</f>
        <v>0</v>
      </c>
      <c r="H281" s="18">
        <f>'13 - Config_Intake_View'!M281</f>
        <v>0</v>
      </c>
      <c r="I281" s="34">
        <f>IF('13 - Config_Intake_View'!Q281&lt;&gt;"",'13 - Config_Intake_View'!Q281,'12 - Deployments &amp; Config'!BI286)</f>
        <v>0</v>
      </c>
      <c r="J281" s="18" t="str">
        <f>IF('13 - Config_Intake_View'!Q281&lt;&gt;"","PM Approved",IF('12 - Deployments &amp; Config'!BI286&lt;&gt;"","Assumed",""))</f>
        <v/>
      </c>
      <c r="K281" s="34">
        <f>'12 - Deployments &amp; Config'!BH286</f>
        <v>0</v>
      </c>
      <c r="L281" s="18">
        <f>'12 - Deployments &amp; Config'!P286</f>
        <v>0</v>
      </c>
      <c r="M281" s="18">
        <f>'12 - Deployments &amp; Config'!Q286</f>
        <v>0</v>
      </c>
      <c r="N281" s="18" t="str">
        <f>'12 - Deployments &amp; Config'!BL286</f>
        <v/>
      </c>
      <c r="O281" s="34" t="str">
        <f>'12 - Deployments &amp; Config'!BM286</f>
        <v/>
      </c>
      <c r="P281" s="2">
        <f>'12 - Deployments &amp; Config'!BB286</f>
        <v>0</v>
      </c>
      <c r="Q281" s="34" t="str">
        <f t="shared" si="16"/>
        <v/>
      </c>
      <c r="R281" s="18" t="str">
        <f t="shared" si="17"/>
        <v>SW NOT INSTALLED</v>
      </c>
      <c r="S281" s="18" t="str">
        <f t="shared" si="18"/>
        <v/>
      </c>
      <c r="T281" s="18" t="str">
        <f t="shared" si="19"/>
        <v>SW NOT INSTALLED</v>
      </c>
    </row>
    <row r="282" spans="1:20">
      <c r="A282" s="34">
        <f>'12 - Deployments &amp; Config'!H287</f>
        <v>0</v>
      </c>
      <c r="B282" s="34">
        <f>'12 - Deployments &amp; Config'!S287</f>
        <v>0</v>
      </c>
      <c r="C282" s="34">
        <f>'12 - Deployments &amp; Config'!T287</f>
        <v>0</v>
      </c>
      <c r="D282" s="18">
        <f>'12 - Deployments &amp; Config'!AK287</f>
        <v>0</v>
      </c>
      <c r="E282" s="18">
        <f>'12 - Deployments &amp; Config'!J287</f>
        <v>0</v>
      </c>
      <c r="F282" s="34">
        <f>'12 - Deployments &amp; Config'!K287</f>
        <v>0</v>
      </c>
      <c r="G282" s="18">
        <f>'12 - Deployments &amp; Config'!L287</f>
        <v>0</v>
      </c>
      <c r="H282" s="18">
        <f>'13 - Config_Intake_View'!M282</f>
        <v>0</v>
      </c>
      <c r="I282" s="34">
        <f>IF('13 - Config_Intake_View'!Q282&lt;&gt;"",'13 - Config_Intake_View'!Q282,'12 - Deployments &amp; Config'!BI287)</f>
        <v>0</v>
      </c>
      <c r="J282" s="18" t="str">
        <f>IF('13 - Config_Intake_View'!Q282&lt;&gt;"","PM Approved",IF('12 - Deployments &amp; Config'!BI287&lt;&gt;"","Assumed",""))</f>
        <v/>
      </c>
      <c r="K282" s="34">
        <f>'12 - Deployments &amp; Config'!BH287</f>
        <v>0</v>
      </c>
      <c r="L282" s="18">
        <f>'12 - Deployments &amp; Config'!P287</f>
        <v>0</v>
      </c>
      <c r="M282" s="18">
        <f>'12 - Deployments &amp; Config'!Q287</f>
        <v>0</v>
      </c>
      <c r="N282" s="18" t="str">
        <f>'12 - Deployments &amp; Config'!BL287</f>
        <v/>
      </c>
      <c r="O282" s="34" t="str">
        <f>'12 - Deployments &amp; Config'!BM287</f>
        <v/>
      </c>
      <c r="P282" s="2">
        <f>'12 - Deployments &amp; Config'!BB287</f>
        <v>0</v>
      </c>
      <c r="Q282" s="34" t="str">
        <f t="shared" si="16"/>
        <v/>
      </c>
      <c r="R282" s="18" t="str">
        <f t="shared" si="17"/>
        <v>SW NOT INSTALLED</v>
      </c>
      <c r="S282" s="18" t="str">
        <f t="shared" si="18"/>
        <v/>
      </c>
      <c r="T282" s="18" t="str">
        <f t="shared" si="19"/>
        <v>SW NOT INSTALLED</v>
      </c>
    </row>
    <row r="283" spans="1:20">
      <c r="A283" s="34">
        <f>'12 - Deployments &amp; Config'!H288</f>
        <v>0</v>
      </c>
      <c r="B283" s="34">
        <f>'12 - Deployments &amp; Config'!S288</f>
        <v>0</v>
      </c>
      <c r="C283" s="34">
        <f>'12 - Deployments &amp; Config'!T288</f>
        <v>0</v>
      </c>
      <c r="D283" s="18">
        <f>'12 - Deployments &amp; Config'!AK288</f>
        <v>0</v>
      </c>
      <c r="E283" s="18">
        <f>'12 - Deployments &amp; Config'!J288</f>
        <v>0</v>
      </c>
      <c r="F283" s="34">
        <f>'12 - Deployments &amp; Config'!K288</f>
        <v>0</v>
      </c>
      <c r="G283" s="18">
        <f>'12 - Deployments &amp; Config'!L288</f>
        <v>0</v>
      </c>
      <c r="H283" s="18">
        <f>'13 - Config_Intake_View'!M283</f>
        <v>0</v>
      </c>
      <c r="I283" s="34">
        <f>IF('13 - Config_Intake_View'!Q283&lt;&gt;"",'13 - Config_Intake_View'!Q283,'12 - Deployments &amp; Config'!BI288)</f>
        <v>0</v>
      </c>
      <c r="J283" s="18" t="str">
        <f>IF('13 - Config_Intake_View'!Q283&lt;&gt;"","PM Approved",IF('12 - Deployments &amp; Config'!BI288&lt;&gt;"","Assumed",""))</f>
        <v/>
      </c>
      <c r="K283" s="34">
        <f>'12 - Deployments &amp; Config'!BH288</f>
        <v>0</v>
      </c>
      <c r="L283" s="18">
        <f>'12 - Deployments &amp; Config'!P288</f>
        <v>0</v>
      </c>
      <c r="M283" s="18">
        <f>'12 - Deployments &amp; Config'!Q288</f>
        <v>0</v>
      </c>
      <c r="N283" s="18" t="str">
        <f>'12 - Deployments &amp; Config'!BL288</f>
        <v/>
      </c>
      <c r="O283" s="34" t="str">
        <f>'12 - Deployments &amp; Config'!BM288</f>
        <v/>
      </c>
      <c r="P283" s="2">
        <f>'12 - Deployments &amp; Config'!BB288</f>
        <v>0</v>
      </c>
      <c r="Q283" s="34" t="str">
        <f t="shared" si="16"/>
        <v/>
      </c>
      <c r="R283" s="18" t="str">
        <f t="shared" si="17"/>
        <v>SW NOT INSTALLED</v>
      </c>
      <c r="S283" s="18" t="str">
        <f t="shared" si="18"/>
        <v/>
      </c>
      <c r="T283" s="18" t="str">
        <f t="shared" si="19"/>
        <v>SW NOT INSTALLED</v>
      </c>
    </row>
    <row r="284" spans="1:20">
      <c r="A284" s="34">
        <f>'12 - Deployments &amp; Config'!H289</f>
        <v>0</v>
      </c>
      <c r="B284" s="34">
        <f>'12 - Deployments &amp; Config'!S289</f>
        <v>0</v>
      </c>
      <c r="C284" s="34">
        <f>'12 - Deployments &amp; Config'!T289</f>
        <v>0</v>
      </c>
      <c r="D284" s="18">
        <f>'12 - Deployments &amp; Config'!AK289</f>
        <v>0</v>
      </c>
      <c r="E284" s="18">
        <f>'12 - Deployments &amp; Config'!J289</f>
        <v>0</v>
      </c>
      <c r="F284" s="34">
        <f>'12 - Deployments &amp; Config'!K289</f>
        <v>0</v>
      </c>
      <c r="G284" s="18">
        <f>'12 - Deployments &amp; Config'!L289</f>
        <v>0</v>
      </c>
      <c r="H284" s="18">
        <f>'13 - Config_Intake_View'!M284</f>
        <v>0</v>
      </c>
      <c r="I284" s="34">
        <f>IF('13 - Config_Intake_View'!Q284&lt;&gt;"",'13 - Config_Intake_View'!Q284,'12 - Deployments &amp; Config'!BI289)</f>
        <v>0</v>
      </c>
      <c r="J284" s="18" t="str">
        <f>IF('13 - Config_Intake_View'!Q284&lt;&gt;"","PM Approved",IF('12 - Deployments &amp; Config'!BI289&lt;&gt;"","Assumed",""))</f>
        <v/>
      </c>
      <c r="K284" s="34">
        <f>'12 - Deployments &amp; Config'!BH289</f>
        <v>0</v>
      </c>
      <c r="L284" s="18">
        <f>'12 - Deployments &amp; Config'!P289</f>
        <v>0</v>
      </c>
      <c r="M284" s="18">
        <f>'12 - Deployments &amp; Config'!Q289</f>
        <v>0</v>
      </c>
      <c r="N284" s="18" t="str">
        <f>'12 - Deployments &amp; Config'!BL289</f>
        <v/>
      </c>
      <c r="O284" s="34" t="str">
        <f>'12 - Deployments &amp; Config'!BM289</f>
        <v/>
      </c>
      <c r="P284" s="2">
        <f>'12 - Deployments &amp; Config'!BB289</f>
        <v>0</v>
      </c>
      <c r="Q284" s="34" t="str">
        <f t="shared" si="16"/>
        <v/>
      </c>
      <c r="R284" s="18" t="str">
        <f t="shared" si="17"/>
        <v>SW NOT INSTALLED</v>
      </c>
      <c r="S284" s="18" t="str">
        <f t="shared" si="18"/>
        <v/>
      </c>
      <c r="T284" s="18" t="str">
        <f t="shared" si="19"/>
        <v>SW NOT INSTALLED</v>
      </c>
    </row>
    <row r="285" spans="1:20">
      <c r="A285" s="34">
        <f>'12 - Deployments &amp; Config'!H290</f>
        <v>0</v>
      </c>
      <c r="B285" s="34">
        <f>'12 - Deployments &amp; Config'!S290</f>
        <v>0</v>
      </c>
      <c r="C285" s="34">
        <f>'12 - Deployments &amp; Config'!T290</f>
        <v>0</v>
      </c>
      <c r="D285" s="18">
        <f>'12 - Deployments &amp; Config'!AK290</f>
        <v>0</v>
      </c>
      <c r="E285" s="18">
        <f>'12 - Deployments &amp; Config'!J290</f>
        <v>0</v>
      </c>
      <c r="F285" s="34">
        <f>'12 - Deployments &amp; Config'!K290</f>
        <v>0</v>
      </c>
      <c r="G285" s="18">
        <f>'12 - Deployments &amp; Config'!L290</f>
        <v>0</v>
      </c>
      <c r="H285" s="18">
        <f>'13 - Config_Intake_View'!M285</f>
        <v>0</v>
      </c>
      <c r="I285" s="34">
        <f>IF('13 - Config_Intake_View'!Q285&lt;&gt;"",'13 - Config_Intake_View'!Q285,'12 - Deployments &amp; Config'!BI290)</f>
        <v>0</v>
      </c>
      <c r="J285" s="18" t="str">
        <f>IF('13 - Config_Intake_View'!Q285&lt;&gt;"","PM Approved",IF('12 - Deployments &amp; Config'!BI290&lt;&gt;"","Assumed",""))</f>
        <v/>
      </c>
      <c r="K285" s="34">
        <f>'12 - Deployments &amp; Config'!BH290</f>
        <v>0</v>
      </c>
      <c r="L285" s="18">
        <f>'12 - Deployments &amp; Config'!P290</f>
        <v>0</v>
      </c>
      <c r="M285" s="18">
        <f>'12 - Deployments &amp; Config'!Q290</f>
        <v>0</v>
      </c>
      <c r="N285" s="18" t="str">
        <f>'12 - Deployments &amp; Config'!BL290</f>
        <v/>
      </c>
      <c r="O285" s="34" t="str">
        <f>'12 - Deployments &amp; Config'!BM290</f>
        <v/>
      </c>
      <c r="P285" s="2">
        <f>'12 - Deployments &amp; Config'!BB290</f>
        <v>0</v>
      </c>
      <c r="Q285" s="34" t="str">
        <f t="shared" si="16"/>
        <v/>
      </c>
      <c r="R285" s="18" t="str">
        <f t="shared" si="17"/>
        <v>SW NOT INSTALLED</v>
      </c>
      <c r="S285" s="18" t="str">
        <f t="shared" si="18"/>
        <v/>
      </c>
      <c r="T285" s="18" t="str">
        <f t="shared" si="19"/>
        <v>SW NOT INSTALLED</v>
      </c>
    </row>
    <row r="286" spans="1:20">
      <c r="A286" s="34">
        <f>'12 - Deployments &amp; Config'!H291</f>
        <v>0</v>
      </c>
      <c r="B286" s="34">
        <f>'12 - Deployments &amp; Config'!S291</f>
        <v>0</v>
      </c>
      <c r="C286" s="34">
        <f>'12 - Deployments &amp; Config'!T291</f>
        <v>0</v>
      </c>
      <c r="D286" s="18">
        <f>'12 - Deployments &amp; Config'!AK291</f>
        <v>0</v>
      </c>
      <c r="E286" s="18">
        <f>'12 - Deployments &amp; Config'!J291</f>
        <v>0</v>
      </c>
      <c r="F286" s="34">
        <f>'12 - Deployments &amp; Config'!K291</f>
        <v>0</v>
      </c>
      <c r="G286" s="18">
        <f>'12 - Deployments &amp; Config'!L291</f>
        <v>0</v>
      </c>
      <c r="H286" s="18">
        <f>'13 - Config_Intake_View'!M286</f>
        <v>0</v>
      </c>
      <c r="I286" s="34">
        <f>IF('13 - Config_Intake_View'!Q286&lt;&gt;"",'13 - Config_Intake_View'!Q286,'12 - Deployments &amp; Config'!BI291)</f>
        <v>0</v>
      </c>
      <c r="J286" s="18" t="str">
        <f>IF('13 - Config_Intake_View'!Q286&lt;&gt;"","PM Approved",IF('12 - Deployments &amp; Config'!BI291&lt;&gt;"","Assumed",""))</f>
        <v/>
      </c>
      <c r="K286" s="34">
        <f>'12 - Deployments &amp; Config'!BH291</f>
        <v>0</v>
      </c>
      <c r="L286" s="18">
        <f>'12 - Deployments &amp; Config'!P291</f>
        <v>0</v>
      </c>
      <c r="M286" s="18">
        <f>'12 - Deployments &amp; Config'!Q291</f>
        <v>0</v>
      </c>
      <c r="N286" s="18" t="str">
        <f>'12 - Deployments &amp; Config'!BL291</f>
        <v/>
      </c>
      <c r="O286" s="34" t="str">
        <f>'12 - Deployments &amp; Config'!BM291</f>
        <v/>
      </c>
      <c r="P286" s="2">
        <f>'12 - Deployments &amp; Config'!BB291</f>
        <v>0</v>
      </c>
      <c r="Q286" s="34" t="str">
        <f t="shared" si="16"/>
        <v/>
      </c>
      <c r="R286" s="18" t="str">
        <f t="shared" si="17"/>
        <v>SW NOT INSTALLED</v>
      </c>
      <c r="S286" s="18" t="str">
        <f t="shared" si="18"/>
        <v/>
      </c>
      <c r="T286" s="18" t="str">
        <f t="shared" si="19"/>
        <v>SW NOT INSTALLED</v>
      </c>
    </row>
    <row r="287" spans="1:20">
      <c r="A287" s="34">
        <f>'12 - Deployments &amp; Config'!H292</f>
        <v>0</v>
      </c>
      <c r="B287" s="34">
        <f>'12 - Deployments &amp; Config'!S292</f>
        <v>0</v>
      </c>
      <c r="C287" s="34">
        <f>'12 - Deployments &amp; Config'!T292</f>
        <v>0</v>
      </c>
      <c r="D287" s="18">
        <f>'12 - Deployments &amp; Config'!AK292</f>
        <v>0</v>
      </c>
      <c r="E287" s="18">
        <f>'12 - Deployments &amp; Config'!J292</f>
        <v>0</v>
      </c>
      <c r="F287" s="34">
        <f>'12 - Deployments &amp; Config'!K292</f>
        <v>0</v>
      </c>
      <c r="G287" s="18">
        <f>'12 - Deployments &amp; Config'!L292</f>
        <v>0</v>
      </c>
      <c r="H287" s="18">
        <f>'13 - Config_Intake_View'!M287</f>
        <v>0</v>
      </c>
      <c r="I287" s="34">
        <f>IF('13 - Config_Intake_View'!Q287&lt;&gt;"",'13 - Config_Intake_View'!Q287,'12 - Deployments &amp; Config'!BI292)</f>
        <v>0</v>
      </c>
      <c r="J287" s="18" t="str">
        <f>IF('13 - Config_Intake_View'!Q287&lt;&gt;"","PM Approved",IF('12 - Deployments &amp; Config'!BI292&lt;&gt;"","Assumed",""))</f>
        <v/>
      </c>
      <c r="K287" s="34">
        <f>'12 - Deployments &amp; Config'!BH292</f>
        <v>0</v>
      </c>
      <c r="L287" s="18">
        <f>'12 - Deployments &amp; Config'!P292</f>
        <v>0</v>
      </c>
      <c r="M287" s="18">
        <f>'12 - Deployments &amp; Config'!Q292</f>
        <v>0</v>
      </c>
      <c r="N287" s="18" t="str">
        <f>'12 - Deployments &amp; Config'!BL292</f>
        <v/>
      </c>
      <c r="O287" s="34" t="str">
        <f>'12 - Deployments &amp; Config'!BM292</f>
        <v/>
      </c>
      <c r="P287" s="2">
        <f>'12 - Deployments &amp; Config'!BB292</f>
        <v>0</v>
      </c>
      <c r="Q287" s="34" t="str">
        <f t="shared" si="16"/>
        <v/>
      </c>
      <c r="R287" s="18" t="str">
        <f t="shared" si="17"/>
        <v>SW NOT INSTALLED</v>
      </c>
      <c r="S287" s="18" t="str">
        <f t="shared" si="18"/>
        <v/>
      </c>
      <c r="T287" s="18" t="str">
        <f t="shared" si="19"/>
        <v>SW NOT INSTALLED</v>
      </c>
    </row>
    <row r="288" spans="1:20">
      <c r="A288" s="34">
        <f>'12 - Deployments &amp; Config'!H293</f>
        <v>0</v>
      </c>
      <c r="B288" s="34">
        <f>'12 - Deployments &amp; Config'!S293</f>
        <v>0</v>
      </c>
      <c r="C288" s="34">
        <f>'12 - Deployments &amp; Config'!T293</f>
        <v>0</v>
      </c>
      <c r="D288" s="18">
        <f>'12 - Deployments &amp; Config'!AK293</f>
        <v>0</v>
      </c>
      <c r="E288" s="18">
        <f>'12 - Deployments &amp; Config'!J293</f>
        <v>0</v>
      </c>
      <c r="F288" s="34">
        <f>'12 - Deployments &amp; Config'!K293</f>
        <v>0</v>
      </c>
      <c r="G288" s="18">
        <f>'12 - Deployments &amp; Config'!L293</f>
        <v>0</v>
      </c>
      <c r="H288" s="18">
        <f>'13 - Config_Intake_View'!M288</f>
        <v>0</v>
      </c>
      <c r="I288" s="34">
        <f>IF('13 - Config_Intake_View'!Q288&lt;&gt;"",'13 - Config_Intake_View'!Q288,'12 - Deployments &amp; Config'!BI293)</f>
        <v>0</v>
      </c>
      <c r="J288" s="18" t="str">
        <f>IF('13 - Config_Intake_View'!Q288&lt;&gt;"","PM Approved",IF('12 - Deployments &amp; Config'!BI293&lt;&gt;"","Assumed",""))</f>
        <v/>
      </c>
      <c r="K288" s="34">
        <f>'12 - Deployments &amp; Config'!BH293</f>
        <v>0</v>
      </c>
      <c r="L288" s="18">
        <f>'12 - Deployments &amp; Config'!P293</f>
        <v>0</v>
      </c>
      <c r="M288" s="18">
        <f>'12 - Deployments &amp; Config'!Q293</f>
        <v>0</v>
      </c>
      <c r="N288" s="18" t="str">
        <f>'12 - Deployments &amp; Config'!BL293</f>
        <v/>
      </c>
      <c r="O288" s="34" t="str">
        <f>'12 - Deployments &amp; Config'!BM293</f>
        <v/>
      </c>
      <c r="P288" s="2">
        <f>'12 - Deployments &amp; Config'!BB293</f>
        <v>0</v>
      </c>
      <c r="Q288" s="34" t="str">
        <f t="shared" si="16"/>
        <v/>
      </c>
      <c r="R288" s="18" t="str">
        <f t="shared" si="17"/>
        <v>SW NOT INSTALLED</v>
      </c>
      <c r="S288" s="18" t="str">
        <f t="shared" si="18"/>
        <v/>
      </c>
      <c r="T288" s="18" t="str">
        <f t="shared" si="19"/>
        <v>SW NOT INSTALLED</v>
      </c>
    </row>
    <row r="289" spans="1:20">
      <c r="A289" s="34">
        <f>'12 - Deployments &amp; Config'!H294</f>
        <v>0</v>
      </c>
      <c r="B289" s="34">
        <f>'12 - Deployments &amp; Config'!S294</f>
        <v>0</v>
      </c>
      <c r="C289" s="34">
        <f>'12 - Deployments &amp; Config'!T294</f>
        <v>0</v>
      </c>
      <c r="D289" s="18">
        <f>'12 - Deployments &amp; Config'!AK294</f>
        <v>0</v>
      </c>
      <c r="E289" s="18">
        <f>'12 - Deployments &amp; Config'!J294</f>
        <v>0</v>
      </c>
      <c r="F289" s="34">
        <f>'12 - Deployments &amp; Config'!K294</f>
        <v>0</v>
      </c>
      <c r="G289" s="18">
        <f>'12 - Deployments &amp; Config'!L294</f>
        <v>0</v>
      </c>
      <c r="H289" s="18">
        <f>'13 - Config_Intake_View'!M289</f>
        <v>0</v>
      </c>
      <c r="I289" s="34">
        <f>IF('13 - Config_Intake_View'!Q289&lt;&gt;"",'13 - Config_Intake_View'!Q289,'12 - Deployments &amp; Config'!BI294)</f>
        <v>0</v>
      </c>
      <c r="J289" s="18" t="str">
        <f>IF('13 - Config_Intake_View'!Q289&lt;&gt;"","PM Approved",IF('12 - Deployments &amp; Config'!BI294&lt;&gt;"","Assumed",""))</f>
        <v/>
      </c>
      <c r="K289" s="34">
        <f>'12 - Deployments &amp; Config'!BH294</f>
        <v>0</v>
      </c>
      <c r="L289" s="18">
        <f>'12 - Deployments &amp; Config'!P294</f>
        <v>0</v>
      </c>
      <c r="M289" s="18">
        <f>'12 - Deployments &amp; Config'!Q294</f>
        <v>0</v>
      </c>
      <c r="N289" s="18" t="str">
        <f>'12 - Deployments &amp; Config'!BL294</f>
        <v/>
      </c>
      <c r="O289" s="34" t="str">
        <f>'12 - Deployments &amp; Config'!BM294</f>
        <v/>
      </c>
      <c r="P289" s="2">
        <f>'12 - Deployments &amp; Config'!BB294</f>
        <v>0</v>
      </c>
      <c r="Q289" s="34" t="str">
        <f t="shared" si="16"/>
        <v/>
      </c>
      <c r="R289" s="18" t="str">
        <f t="shared" si="17"/>
        <v>SW NOT INSTALLED</v>
      </c>
      <c r="S289" s="18" t="str">
        <f t="shared" si="18"/>
        <v/>
      </c>
      <c r="T289" s="18" t="str">
        <f t="shared" si="19"/>
        <v>SW NOT INSTALLED</v>
      </c>
    </row>
    <row r="290" spans="1:20">
      <c r="A290" s="34">
        <f>'12 - Deployments &amp; Config'!H295</f>
        <v>0</v>
      </c>
      <c r="B290" s="34">
        <f>'12 - Deployments &amp; Config'!S295</f>
        <v>0</v>
      </c>
      <c r="C290" s="34">
        <f>'12 - Deployments &amp; Config'!T295</f>
        <v>0</v>
      </c>
      <c r="D290" s="18">
        <f>'12 - Deployments &amp; Config'!AK295</f>
        <v>0</v>
      </c>
      <c r="E290" s="18">
        <f>'12 - Deployments &amp; Config'!J295</f>
        <v>0</v>
      </c>
      <c r="F290" s="34">
        <f>'12 - Deployments &amp; Config'!K295</f>
        <v>0</v>
      </c>
      <c r="G290" s="18">
        <f>'12 - Deployments &amp; Config'!L295</f>
        <v>0</v>
      </c>
      <c r="H290" s="18">
        <f>'13 - Config_Intake_View'!M290</f>
        <v>0</v>
      </c>
      <c r="I290" s="34">
        <f>IF('13 - Config_Intake_View'!Q290&lt;&gt;"",'13 - Config_Intake_View'!Q290,'12 - Deployments &amp; Config'!BI295)</f>
        <v>0</v>
      </c>
      <c r="J290" s="18" t="str">
        <f>IF('13 - Config_Intake_View'!Q290&lt;&gt;"","PM Approved",IF('12 - Deployments &amp; Config'!BI295&lt;&gt;"","Assumed",""))</f>
        <v/>
      </c>
      <c r="K290" s="34">
        <f>'12 - Deployments &amp; Config'!BH295</f>
        <v>0</v>
      </c>
      <c r="L290" s="18">
        <f>'12 - Deployments &amp; Config'!P295</f>
        <v>0</v>
      </c>
      <c r="M290" s="18">
        <f>'12 - Deployments &amp; Config'!Q295</f>
        <v>0</v>
      </c>
      <c r="N290" s="18" t="str">
        <f>'12 - Deployments &amp; Config'!BL295</f>
        <v/>
      </c>
      <c r="O290" s="34" t="str">
        <f>'12 - Deployments &amp; Config'!BM295</f>
        <v/>
      </c>
      <c r="P290" s="2">
        <f>'12 - Deployments &amp; Config'!BB295</f>
        <v>0</v>
      </c>
      <c r="Q290" s="34" t="str">
        <f t="shared" si="16"/>
        <v/>
      </c>
      <c r="R290" s="18" t="str">
        <f t="shared" si="17"/>
        <v>SW NOT INSTALLED</v>
      </c>
      <c r="S290" s="18" t="str">
        <f t="shared" si="18"/>
        <v/>
      </c>
      <c r="T290" s="18" t="str">
        <f t="shared" si="19"/>
        <v>SW NOT INSTALLED</v>
      </c>
    </row>
    <row r="291" spans="1:20">
      <c r="A291" s="34">
        <f>'12 - Deployments &amp; Config'!H296</f>
        <v>0</v>
      </c>
      <c r="B291" s="34">
        <f>'12 - Deployments &amp; Config'!S296</f>
        <v>0</v>
      </c>
      <c r="C291" s="34">
        <f>'12 - Deployments &amp; Config'!T296</f>
        <v>0</v>
      </c>
      <c r="D291" s="18">
        <f>'12 - Deployments &amp; Config'!AK296</f>
        <v>0</v>
      </c>
      <c r="E291" s="18">
        <f>'12 - Deployments &amp; Config'!J296</f>
        <v>0</v>
      </c>
      <c r="F291" s="34">
        <f>'12 - Deployments &amp; Config'!K296</f>
        <v>0</v>
      </c>
      <c r="G291" s="18">
        <f>'12 - Deployments &amp; Config'!L296</f>
        <v>0</v>
      </c>
      <c r="H291" s="18">
        <f>'13 - Config_Intake_View'!M291</f>
        <v>0</v>
      </c>
      <c r="I291" s="34">
        <f>IF('13 - Config_Intake_View'!Q291&lt;&gt;"",'13 - Config_Intake_View'!Q291,'12 - Deployments &amp; Config'!BI296)</f>
        <v>0</v>
      </c>
      <c r="J291" s="18" t="str">
        <f>IF('13 - Config_Intake_View'!Q291&lt;&gt;"","PM Approved",IF('12 - Deployments &amp; Config'!BI296&lt;&gt;"","Assumed",""))</f>
        <v/>
      </c>
      <c r="K291" s="34">
        <f>'12 - Deployments &amp; Config'!BH296</f>
        <v>0</v>
      </c>
      <c r="L291" s="18">
        <f>'12 - Deployments &amp; Config'!P296</f>
        <v>0</v>
      </c>
      <c r="M291" s="18">
        <f>'12 - Deployments &amp; Config'!Q296</f>
        <v>0</v>
      </c>
      <c r="N291" s="18" t="str">
        <f>'12 - Deployments &amp; Config'!BL296</f>
        <v/>
      </c>
      <c r="O291" s="34" t="str">
        <f>'12 - Deployments &amp; Config'!BM296</f>
        <v/>
      </c>
      <c r="P291" s="2">
        <f>'12 - Deployments &amp; Config'!BB296</f>
        <v>0</v>
      </c>
      <c r="Q291" s="34" t="str">
        <f t="shared" si="16"/>
        <v/>
      </c>
      <c r="R291" s="18" t="str">
        <f t="shared" si="17"/>
        <v>SW NOT INSTALLED</v>
      </c>
      <c r="S291" s="18" t="str">
        <f t="shared" si="18"/>
        <v/>
      </c>
      <c r="T291" s="18" t="str">
        <f t="shared" si="19"/>
        <v>SW NOT INSTALLED</v>
      </c>
    </row>
    <row r="292" spans="1:20">
      <c r="A292" s="34">
        <f>'12 - Deployments &amp; Config'!H297</f>
        <v>0</v>
      </c>
      <c r="B292" s="34">
        <f>'12 - Deployments &amp; Config'!S297</f>
        <v>0</v>
      </c>
      <c r="C292" s="34">
        <f>'12 - Deployments &amp; Config'!T297</f>
        <v>0</v>
      </c>
      <c r="D292" s="18">
        <f>'12 - Deployments &amp; Config'!AK297</f>
        <v>0</v>
      </c>
      <c r="E292" s="18">
        <f>'12 - Deployments &amp; Config'!J297</f>
        <v>0</v>
      </c>
      <c r="F292" s="34">
        <f>'12 - Deployments &amp; Config'!K297</f>
        <v>0</v>
      </c>
      <c r="G292" s="18">
        <f>'12 - Deployments &amp; Config'!L297</f>
        <v>0</v>
      </c>
      <c r="H292" s="18">
        <f>'13 - Config_Intake_View'!M292</f>
        <v>0</v>
      </c>
      <c r="I292" s="34">
        <f>IF('13 - Config_Intake_View'!Q292&lt;&gt;"",'13 - Config_Intake_View'!Q292,'12 - Deployments &amp; Config'!BI297)</f>
        <v>0</v>
      </c>
      <c r="J292" s="18" t="str">
        <f>IF('13 - Config_Intake_View'!Q292&lt;&gt;"","PM Approved",IF('12 - Deployments &amp; Config'!BI297&lt;&gt;"","Assumed",""))</f>
        <v/>
      </c>
      <c r="K292" s="34">
        <f>'12 - Deployments &amp; Config'!BH297</f>
        <v>0</v>
      </c>
      <c r="L292" s="18">
        <f>'12 - Deployments &amp; Config'!P297</f>
        <v>0</v>
      </c>
      <c r="M292" s="18">
        <f>'12 - Deployments &amp; Config'!Q297</f>
        <v>0</v>
      </c>
      <c r="N292" s="18" t="str">
        <f>'12 - Deployments &amp; Config'!BL297</f>
        <v/>
      </c>
      <c r="O292" s="34" t="str">
        <f>'12 - Deployments &amp; Config'!BM297</f>
        <v/>
      </c>
      <c r="P292" s="2">
        <f>'12 - Deployments &amp; Config'!BB297</f>
        <v>0</v>
      </c>
      <c r="Q292" s="34" t="str">
        <f t="shared" si="16"/>
        <v/>
      </c>
      <c r="R292" s="18" t="str">
        <f t="shared" si="17"/>
        <v>SW NOT INSTALLED</v>
      </c>
      <c r="S292" s="18" t="str">
        <f t="shared" si="18"/>
        <v/>
      </c>
      <c r="T292" s="18" t="str">
        <f t="shared" si="19"/>
        <v>SW NOT INSTALLED</v>
      </c>
    </row>
    <row r="293" spans="1:20">
      <c r="A293" s="34">
        <f>'12 - Deployments &amp; Config'!H298</f>
        <v>0</v>
      </c>
      <c r="B293" s="34">
        <f>'12 - Deployments &amp; Config'!S298</f>
        <v>0</v>
      </c>
      <c r="C293" s="34">
        <f>'12 - Deployments &amp; Config'!T298</f>
        <v>0</v>
      </c>
      <c r="D293" s="18">
        <f>'12 - Deployments &amp; Config'!AK298</f>
        <v>0</v>
      </c>
      <c r="E293" s="18">
        <f>'12 - Deployments &amp; Config'!J298</f>
        <v>0</v>
      </c>
      <c r="F293" s="34">
        <f>'12 - Deployments &amp; Config'!K298</f>
        <v>0</v>
      </c>
      <c r="G293" s="18">
        <f>'12 - Deployments &amp; Config'!L298</f>
        <v>0</v>
      </c>
      <c r="H293" s="18">
        <f>'13 - Config_Intake_View'!M293</f>
        <v>0</v>
      </c>
      <c r="I293" s="34">
        <f>IF('13 - Config_Intake_View'!Q293&lt;&gt;"",'13 - Config_Intake_View'!Q293,'12 - Deployments &amp; Config'!BI298)</f>
        <v>0</v>
      </c>
      <c r="J293" s="18" t="str">
        <f>IF('13 - Config_Intake_View'!Q293&lt;&gt;"","PM Approved",IF('12 - Deployments &amp; Config'!BI298&lt;&gt;"","Assumed",""))</f>
        <v/>
      </c>
      <c r="K293" s="34">
        <f>'12 - Deployments &amp; Config'!BH298</f>
        <v>0</v>
      </c>
      <c r="L293" s="18">
        <f>'12 - Deployments &amp; Config'!P298</f>
        <v>0</v>
      </c>
      <c r="M293" s="18">
        <f>'12 - Deployments &amp; Config'!Q298</f>
        <v>0</v>
      </c>
      <c r="N293" s="18" t="str">
        <f>'12 - Deployments &amp; Config'!BL298</f>
        <v/>
      </c>
      <c r="O293" s="34" t="str">
        <f>'12 - Deployments &amp; Config'!BM298</f>
        <v/>
      </c>
      <c r="P293" s="2">
        <f>'12 - Deployments &amp; Config'!BB298</f>
        <v>0</v>
      </c>
      <c r="Q293" s="34" t="str">
        <f t="shared" si="16"/>
        <v/>
      </c>
      <c r="R293" s="18" t="str">
        <f t="shared" si="17"/>
        <v>SW NOT INSTALLED</v>
      </c>
      <c r="S293" s="18" t="str">
        <f t="shared" si="18"/>
        <v/>
      </c>
      <c r="T293" s="18" t="str">
        <f t="shared" si="19"/>
        <v>SW NOT INSTALLED</v>
      </c>
    </row>
    <row r="294" spans="1:20">
      <c r="A294" s="34">
        <f>'12 - Deployments &amp; Config'!H299</f>
        <v>0</v>
      </c>
      <c r="B294" s="34">
        <f>'12 - Deployments &amp; Config'!S299</f>
        <v>0</v>
      </c>
      <c r="C294" s="34">
        <f>'12 - Deployments &amp; Config'!T299</f>
        <v>0</v>
      </c>
      <c r="D294" s="18">
        <f>'12 - Deployments &amp; Config'!AK299</f>
        <v>0</v>
      </c>
      <c r="E294" s="18">
        <f>'12 - Deployments &amp; Config'!J299</f>
        <v>0</v>
      </c>
      <c r="F294" s="34">
        <f>'12 - Deployments &amp; Config'!K299</f>
        <v>0</v>
      </c>
      <c r="G294" s="18">
        <f>'12 - Deployments &amp; Config'!L299</f>
        <v>0</v>
      </c>
      <c r="H294" s="18">
        <f>'13 - Config_Intake_View'!M294</f>
        <v>0</v>
      </c>
      <c r="I294" s="34">
        <f>IF('13 - Config_Intake_View'!Q294&lt;&gt;"",'13 - Config_Intake_View'!Q294,'12 - Deployments &amp; Config'!BI299)</f>
        <v>0</v>
      </c>
      <c r="J294" s="18" t="str">
        <f>IF('13 - Config_Intake_View'!Q294&lt;&gt;"","PM Approved",IF('12 - Deployments &amp; Config'!BI299&lt;&gt;"","Assumed",""))</f>
        <v/>
      </c>
      <c r="K294" s="34">
        <f>'12 - Deployments &amp; Config'!BH299</f>
        <v>0</v>
      </c>
      <c r="L294" s="18">
        <f>'12 - Deployments &amp; Config'!P299</f>
        <v>0</v>
      </c>
      <c r="M294" s="18">
        <f>'12 - Deployments &amp; Config'!Q299</f>
        <v>0</v>
      </c>
      <c r="N294" s="18" t="str">
        <f>'12 - Deployments &amp; Config'!BL299</f>
        <v/>
      </c>
      <c r="O294" s="34" t="str">
        <f>'12 - Deployments &amp; Config'!BM299</f>
        <v/>
      </c>
      <c r="P294" s="2">
        <f>'12 - Deployments &amp; Config'!BB299</f>
        <v>0</v>
      </c>
      <c r="Q294" s="34" t="str">
        <f t="shared" si="16"/>
        <v/>
      </c>
      <c r="R294" s="18" t="str">
        <f t="shared" si="17"/>
        <v>SW NOT INSTALLED</v>
      </c>
      <c r="S294" s="18" t="str">
        <f t="shared" si="18"/>
        <v/>
      </c>
      <c r="T294" s="18" t="str">
        <f t="shared" si="19"/>
        <v>SW NOT INSTALLED</v>
      </c>
    </row>
    <row r="295" spans="1:20">
      <c r="A295" s="34">
        <f>'12 - Deployments &amp; Config'!H300</f>
        <v>0</v>
      </c>
      <c r="B295" s="34">
        <f>'12 - Deployments &amp; Config'!S300</f>
        <v>0</v>
      </c>
      <c r="C295" s="34">
        <f>'12 - Deployments &amp; Config'!T300</f>
        <v>0</v>
      </c>
      <c r="D295" s="18">
        <f>'12 - Deployments &amp; Config'!AK300</f>
        <v>0</v>
      </c>
      <c r="E295" s="18">
        <f>'12 - Deployments &amp; Config'!J300</f>
        <v>0</v>
      </c>
      <c r="F295" s="34">
        <f>'12 - Deployments &amp; Config'!K300</f>
        <v>0</v>
      </c>
      <c r="G295" s="18">
        <f>'12 - Deployments &amp; Config'!L300</f>
        <v>0</v>
      </c>
      <c r="H295" s="18">
        <f>'13 - Config_Intake_View'!M295</f>
        <v>0</v>
      </c>
      <c r="I295" s="34">
        <f>IF('13 - Config_Intake_View'!Q295&lt;&gt;"",'13 - Config_Intake_View'!Q295,'12 - Deployments &amp; Config'!BI300)</f>
        <v>0</v>
      </c>
      <c r="J295" s="18" t="str">
        <f>IF('13 - Config_Intake_View'!Q295&lt;&gt;"","PM Approved",IF('12 - Deployments &amp; Config'!BI300&lt;&gt;"","Assumed",""))</f>
        <v/>
      </c>
      <c r="K295" s="34">
        <f>'12 - Deployments &amp; Config'!BH300</f>
        <v>0</v>
      </c>
      <c r="L295" s="18">
        <f>'12 - Deployments &amp; Config'!P300</f>
        <v>0</v>
      </c>
      <c r="M295" s="18">
        <f>'12 - Deployments &amp; Config'!Q300</f>
        <v>0</v>
      </c>
      <c r="N295" s="18" t="str">
        <f>'12 - Deployments &amp; Config'!BL300</f>
        <v/>
      </c>
      <c r="O295" s="34" t="str">
        <f>'12 - Deployments &amp; Config'!BM300</f>
        <v/>
      </c>
      <c r="P295" s="2">
        <f>'12 - Deployments &amp; Config'!BB300</f>
        <v>0</v>
      </c>
      <c r="Q295" s="34" t="str">
        <f t="shared" si="16"/>
        <v/>
      </c>
      <c r="R295" s="18" t="str">
        <f t="shared" si="17"/>
        <v>SW NOT INSTALLED</v>
      </c>
      <c r="S295" s="18" t="str">
        <f t="shared" si="18"/>
        <v/>
      </c>
      <c r="T295" s="18" t="str">
        <f t="shared" si="19"/>
        <v>SW NOT INSTALLED</v>
      </c>
    </row>
    <row r="296" spans="1:20">
      <c r="A296" s="34">
        <f>'12 - Deployments &amp; Config'!H301</f>
        <v>0</v>
      </c>
      <c r="B296" s="34">
        <f>'12 - Deployments &amp; Config'!S301</f>
        <v>0</v>
      </c>
      <c r="C296" s="34">
        <f>'12 - Deployments &amp; Config'!T301</f>
        <v>0</v>
      </c>
      <c r="D296" s="18">
        <f>'12 - Deployments &amp; Config'!AK301</f>
        <v>0</v>
      </c>
      <c r="E296" s="18">
        <f>'12 - Deployments &amp; Config'!J301</f>
        <v>0</v>
      </c>
      <c r="F296" s="34">
        <f>'12 - Deployments &amp; Config'!K301</f>
        <v>0</v>
      </c>
      <c r="G296" s="18">
        <f>'12 - Deployments &amp; Config'!L301</f>
        <v>0</v>
      </c>
      <c r="H296" s="18">
        <f>'13 - Config_Intake_View'!M296</f>
        <v>0</v>
      </c>
      <c r="I296" s="34">
        <f>IF('13 - Config_Intake_View'!Q296&lt;&gt;"",'13 - Config_Intake_View'!Q296,'12 - Deployments &amp; Config'!BI301)</f>
        <v>0</v>
      </c>
      <c r="J296" s="18" t="str">
        <f>IF('13 - Config_Intake_View'!Q296&lt;&gt;"","PM Approved",IF('12 - Deployments &amp; Config'!BI301&lt;&gt;"","Assumed",""))</f>
        <v/>
      </c>
      <c r="K296" s="34">
        <f>'12 - Deployments &amp; Config'!BH301</f>
        <v>0</v>
      </c>
      <c r="L296" s="18">
        <f>'12 - Deployments &amp; Config'!P301</f>
        <v>0</v>
      </c>
      <c r="M296" s="18">
        <f>'12 - Deployments &amp; Config'!Q301</f>
        <v>0</v>
      </c>
      <c r="N296" s="18" t="str">
        <f>'12 - Deployments &amp; Config'!BL301</f>
        <v/>
      </c>
      <c r="O296" s="34" t="str">
        <f>'12 - Deployments &amp; Config'!BM301</f>
        <v/>
      </c>
      <c r="P296" s="2">
        <f>'12 - Deployments &amp; Config'!BB301</f>
        <v>0</v>
      </c>
      <c r="Q296" s="34" t="str">
        <f t="shared" si="16"/>
        <v/>
      </c>
      <c r="R296" s="18" t="str">
        <f t="shared" si="17"/>
        <v>SW NOT INSTALLED</v>
      </c>
      <c r="S296" s="18" t="str">
        <f t="shared" si="18"/>
        <v/>
      </c>
      <c r="T296" s="18" t="str">
        <f t="shared" si="19"/>
        <v>SW NOT INSTALLED</v>
      </c>
    </row>
    <row r="297" spans="1:20">
      <c r="A297" s="34">
        <f>'12 - Deployments &amp; Config'!H302</f>
        <v>0</v>
      </c>
      <c r="B297" s="34">
        <f>'12 - Deployments &amp; Config'!S302</f>
        <v>0</v>
      </c>
      <c r="C297" s="34">
        <f>'12 - Deployments &amp; Config'!T302</f>
        <v>0</v>
      </c>
      <c r="D297" s="18">
        <f>'12 - Deployments &amp; Config'!AK302</f>
        <v>0</v>
      </c>
      <c r="E297" s="18">
        <f>'12 - Deployments &amp; Config'!J302</f>
        <v>0</v>
      </c>
      <c r="F297" s="34">
        <f>'12 - Deployments &amp; Config'!K302</f>
        <v>0</v>
      </c>
      <c r="G297" s="18">
        <f>'12 - Deployments &amp; Config'!L302</f>
        <v>0</v>
      </c>
      <c r="H297" s="18">
        <f>'13 - Config_Intake_View'!M297</f>
        <v>0</v>
      </c>
      <c r="I297" s="34">
        <f>IF('13 - Config_Intake_View'!Q297&lt;&gt;"",'13 - Config_Intake_View'!Q297,'12 - Deployments &amp; Config'!BI302)</f>
        <v>0</v>
      </c>
      <c r="J297" s="18" t="str">
        <f>IF('13 - Config_Intake_View'!Q297&lt;&gt;"","PM Approved",IF('12 - Deployments &amp; Config'!BI302&lt;&gt;"","Assumed",""))</f>
        <v/>
      </c>
      <c r="K297" s="34">
        <f>'12 - Deployments &amp; Config'!BH302</f>
        <v>0</v>
      </c>
      <c r="L297" s="18">
        <f>'12 - Deployments &amp; Config'!P302</f>
        <v>0</v>
      </c>
      <c r="M297" s="18">
        <f>'12 - Deployments &amp; Config'!Q302</f>
        <v>0</v>
      </c>
      <c r="N297" s="18" t="str">
        <f>'12 - Deployments &amp; Config'!BL302</f>
        <v/>
      </c>
      <c r="O297" s="34" t="str">
        <f>'12 - Deployments &amp; Config'!BM302</f>
        <v/>
      </c>
      <c r="P297" s="2">
        <f>'12 - Deployments &amp; Config'!BB302</f>
        <v>0</v>
      </c>
      <c r="Q297" s="34" t="str">
        <f t="shared" si="16"/>
        <v/>
      </c>
      <c r="R297" s="18" t="str">
        <f t="shared" si="17"/>
        <v>SW NOT INSTALLED</v>
      </c>
      <c r="S297" s="18" t="str">
        <f t="shared" si="18"/>
        <v/>
      </c>
      <c r="T297" s="18" t="str">
        <f t="shared" si="19"/>
        <v>SW NOT INSTALLED</v>
      </c>
    </row>
    <row r="298" spans="1:20">
      <c r="A298" s="34">
        <f>'12 - Deployments &amp; Config'!H303</f>
        <v>0</v>
      </c>
      <c r="B298" s="34">
        <f>'12 - Deployments &amp; Config'!S303</f>
        <v>0</v>
      </c>
      <c r="C298" s="34">
        <f>'12 - Deployments &amp; Config'!T303</f>
        <v>0</v>
      </c>
      <c r="D298" s="18">
        <f>'12 - Deployments &amp; Config'!AK303</f>
        <v>0</v>
      </c>
      <c r="E298" s="18">
        <f>'12 - Deployments &amp; Config'!J303</f>
        <v>0</v>
      </c>
      <c r="F298" s="34">
        <f>'12 - Deployments &amp; Config'!K303</f>
        <v>0</v>
      </c>
      <c r="G298" s="18">
        <f>'12 - Deployments &amp; Config'!L303</f>
        <v>0</v>
      </c>
      <c r="H298" s="18">
        <f>'13 - Config_Intake_View'!M298</f>
        <v>0</v>
      </c>
      <c r="I298" s="34">
        <f>IF('13 - Config_Intake_View'!Q298&lt;&gt;"",'13 - Config_Intake_View'!Q298,'12 - Deployments &amp; Config'!BI303)</f>
        <v>0</v>
      </c>
      <c r="J298" s="18" t="str">
        <f>IF('13 - Config_Intake_View'!Q298&lt;&gt;"","PM Approved",IF('12 - Deployments &amp; Config'!BI303&lt;&gt;"","Assumed",""))</f>
        <v/>
      </c>
      <c r="K298" s="34">
        <f>'12 - Deployments &amp; Config'!BH303</f>
        <v>0</v>
      </c>
      <c r="L298" s="18">
        <f>'12 - Deployments &amp; Config'!P303</f>
        <v>0</v>
      </c>
      <c r="M298" s="18">
        <f>'12 - Deployments &amp; Config'!Q303</f>
        <v>0</v>
      </c>
      <c r="N298" s="18" t="str">
        <f>'12 - Deployments &amp; Config'!BL303</f>
        <v/>
      </c>
      <c r="O298" s="34" t="str">
        <f>'12 - Deployments &amp; Config'!BM303</f>
        <v/>
      </c>
      <c r="P298" s="2">
        <f>'12 - Deployments &amp; Config'!BB303</f>
        <v>0</v>
      </c>
      <c r="Q298" s="34" t="str">
        <f t="shared" si="16"/>
        <v/>
      </c>
      <c r="R298" s="18" t="str">
        <f t="shared" si="17"/>
        <v>SW NOT INSTALLED</v>
      </c>
      <c r="S298" s="18" t="str">
        <f t="shared" si="18"/>
        <v/>
      </c>
      <c r="T298" s="18" t="str">
        <f t="shared" si="19"/>
        <v>SW NOT INSTALLED</v>
      </c>
    </row>
    <row r="299" spans="1:20">
      <c r="A299" s="34">
        <f>'12 - Deployments &amp; Config'!H304</f>
        <v>0</v>
      </c>
      <c r="B299" s="34">
        <f>'12 - Deployments &amp; Config'!S304</f>
        <v>0</v>
      </c>
      <c r="C299" s="34">
        <f>'12 - Deployments &amp; Config'!T304</f>
        <v>0</v>
      </c>
      <c r="D299" s="18">
        <f>'12 - Deployments &amp; Config'!AK304</f>
        <v>0</v>
      </c>
      <c r="E299" s="18">
        <f>'12 - Deployments &amp; Config'!J304</f>
        <v>0</v>
      </c>
      <c r="F299" s="34">
        <f>'12 - Deployments &amp; Config'!K304</f>
        <v>0</v>
      </c>
      <c r="G299" s="18">
        <f>'12 - Deployments &amp; Config'!L304</f>
        <v>0</v>
      </c>
      <c r="H299" s="18">
        <f>'13 - Config_Intake_View'!M299</f>
        <v>0</v>
      </c>
      <c r="I299" s="34">
        <f>IF('13 - Config_Intake_View'!Q299&lt;&gt;"",'13 - Config_Intake_View'!Q299,'12 - Deployments &amp; Config'!BI304)</f>
        <v>0</v>
      </c>
      <c r="J299" s="18" t="str">
        <f>IF('13 - Config_Intake_View'!Q299&lt;&gt;"","PM Approved",IF('12 - Deployments &amp; Config'!BI304&lt;&gt;"","Assumed",""))</f>
        <v/>
      </c>
      <c r="K299" s="34">
        <f>'12 - Deployments &amp; Config'!BH304</f>
        <v>0</v>
      </c>
      <c r="L299" s="18">
        <f>'12 - Deployments &amp; Config'!P304</f>
        <v>0</v>
      </c>
      <c r="M299" s="18">
        <f>'12 - Deployments &amp; Config'!Q304</f>
        <v>0</v>
      </c>
      <c r="N299" s="18" t="str">
        <f>'12 - Deployments &amp; Config'!BL304</f>
        <v/>
      </c>
      <c r="O299" s="34" t="str">
        <f>'12 - Deployments &amp; Config'!BM304</f>
        <v/>
      </c>
      <c r="P299" s="2">
        <f>'12 - Deployments &amp; Config'!BB304</f>
        <v>0</v>
      </c>
      <c r="Q299" s="34" t="str">
        <f t="shared" si="16"/>
        <v/>
      </c>
      <c r="R299" s="18" t="str">
        <f t="shared" si="17"/>
        <v>SW NOT INSTALLED</v>
      </c>
      <c r="S299" s="18" t="str">
        <f t="shared" si="18"/>
        <v/>
      </c>
      <c r="T299" s="18" t="str">
        <f t="shared" si="19"/>
        <v>SW NOT INSTALLED</v>
      </c>
    </row>
    <row r="300" spans="1:20">
      <c r="A300" s="34">
        <f>'12 - Deployments &amp; Config'!H305</f>
        <v>0</v>
      </c>
      <c r="B300" s="34">
        <f>'12 - Deployments &amp; Config'!S305</f>
        <v>0</v>
      </c>
      <c r="C300" s="34">
        <f>'12 - Deployments &amp; Config'!T305</f>
        <v>0</v>
      </c>
      <c r="D300" s="18">
        <f>'12 - Deployments &amp; Config'!AK305</f>
        <v>0</v>
      </c>
      <c r="E300" s="18">
        <f>'12 - Deployments &amp; Config'!J305</f>
        <v>0</v>
      </c>
      <c r="F300" s="34">
        <f>'12 - Deployments &amp; Config'!K305</f>
        <v>0</v>
      </c>
      <c r="G300" s="18">
        <f>'12 - Deployments &amp; Config'!L305</f>
        <v>0</v>
      </c>
      <c r="H300" s="18">
        <f>'13 - Config_Intake_View'!M300</f>
        <v>0</v>
      </c>
      <c r="I300" s="34">
        <f>IF('13 - Config_Intake_View'!Q300&lt;&gt;"",'13 - Config_Intake_View'!Q300,'12 - Deployments &amp; Config'!BI305)</f>
        <v>0</v>
      </c>
      <c r="J300" s="18" t="str">
        <f>IF('13 - Config_Intake_View'!Q300&lt;&gt;"","PM Approved",IF('12 - Deployments &amp; Config'!BI305&lt;&gt;"","Assumed",""))</f>
        <v/>
      </c>
      <c r="K300" s="34">
        <f>'12 - Deployments &amp; Config'!BH305</f>
        <v>0</v>
      </c>
      <c r="L300" s="18">
        <f>'12 - Deployments &amp; Config'!P305</f>
        <v>0</v>
      </c>
      <c r="M300" s="18">
        <f>'12 - Deployments &amp; Config'!Q305</f>
        <v>0</v>
      </c>
      <c r="N300" s="18" t="str">
        <f>'12 - Deployments &amp; Config'!BL305</f>
        <v/>
      </c>
      <c r="O300" s="34" t="str">
        <f>'12 - Deployments &amp; Config'!BM305</f>
        <v/>
      </c>
      <c r="P300" s="2">
        <f>'12 - Deployments &amp; Config'!BB305</f>
        <v>0</v>
      </c>
      <c r="Q300" s="34" t="str">
        <f t="shared" si="16"/>
        <v/>
      </c>
      <c r="R300" s="18" t="str">
        <f t="shared" si="17"/>
        <v>SW NOT INSTALLED</v>
      </c>
      <c r="S300" s="18" t="str">
        <f t="shared" si="18"/>
        <v/>
      </c>
      <c r="T300" s="18" t="str">
        <f t="shared" si="19"/>
        <v>SW NOT INSTALLED</v>
      </c>
    </row>
    <row r="301" spans="1:20">
      <c r="A301" s="34">
        <f>'12 - Deployments &amp; Config'!H306</f>
        <v>0</v>
      </c>
      <c r="B301" s="34">
        <f>'12 - Deployments &amp; Config'!S306</f>
        <v>0</v>
      </c>
      <c r="C301" s="34">
        <f>'12 - Deployments &amp; Config'!T306</f>
        <v>0</v>
      </c>
      <c r="D301" s="18">
        <f>'12 - Deployments &amp; Config'!AK306</f>
        <v>0</v>
      </c>
      <c r="E301" s="18">
        <f>'12 - Deployments &amp; Config'!J306</f>
        <v>0</v>
      </c>
      <c r="F301" s="34">
        <f>'12 - Deployments &amp; Config'!K306</f>
        <v>0</v>
      </c>
      <c r="G301" s="18">
        <f>'12 - Deployments &amp; Config'!L306</f>
        <v>0</v>
      </c>
      <c r="H301" s="18">
        <f>'13 - Config_Intake_View'!M301</f>
        <v>0</v>
      </c>
      <c r="I301" s="34">
        <f>IF('13 - Config_Intake_View'!Q301&lt;&gt;"",'13 - Config_Intake_View'!Q301,'12 - Deployments &amp; Config'!BI306)</f>
        <v>0</v>
      </c>
      <c r="J301" s="18" t="str">
        <f>IF('13 - Config_Intake_View'!Q301&lt;&gt;"","PM Approved",IF('12 - Deployments &amp; Config'!BI306&lt;&gt;"","Assumed",""))</f>
        <v/>
      </c>
      <c r="K301" s="34">
        <f>'12 - Deployments &amp; Config'!BH306</f>
        <v>0</v>
      </c>
      <c r="L301" s="18">
        <f>'12 - Deployments &amp; Config'!P306</f>
        <v>0</v>
      </c>
      <c r="M301" s="18">
        <f>'12 - Deployments &amp; Config'!Q306</f>
        <v>0</v>
      </c>
      <c r="N301" s="18" t="str">
        <f>'12 - Deployments &amp; Config'!BL306</f>
        <v/>
      </c>
      <c r="O301" s="34" t="str">
        <f>'12 - Deployments &amp; Config'!BM306</f>
        <v/>
      </c>
      <c r="P301" s="2">
        <f>'12 - Deployments &amp; Config'!BB306</f>
        <v>0</v>
      </c>
      <c r="Q301" s="34" t="str">
        <f t="shared" si="16"/>
        <v/>
      </c>
      <c r="R301" s="18" t="str">
        <f t="shared" si="17"/>
        <v>SW NOT INSTALLED</v>
      </c>
      <c r="S301" s="18" t="str">
        <f t="shared" si="18"/>
        <v/>
      </c>
      <c r="T301" s="18" t="str">
        <f t="shared" si="19"/>
        <v>SW NOT INSTALLED</v>
      </c>
    </row>
    <row r="302" spans="1:20">
      <c r="A302" s="34">
        <f>'12 - Deployments &amp; Config'!H307</f>
        <v>0</v>
      </c>
      <c r="B302" s="34">
        <f>'12 - Deployments &amp; Config'!S307</f>
        <v>0</v>
      </c>
      <c r="C302" s="34">
        <f>'12 - Deployments &amp; Config'!T307</f>
        <v>0</v>
      </c>
      <c r="D302" s="18">
        <f>'12 - Deployments &amp; Config'!AK307</f>
        <v>0</v>
      </c>
      <c r="E302" s="18">
        <f>'12 - Deployments &amp; Config'!J307</f>
        <v>0</v>
      </c>
      <c r="F302" s="34">
        <f>'12 - Deployments &amp; Config'!K307</f>
        <v>0</v>
      </c>
      <c r="G302" s="18">
        <f>'12 - Deployments &amp; Config'!L307</f>
        <v>0</v>
      </c>
      <c r="H302" s="18">
        <f>'13 - Config_Intake_View'!M302</f>
        <v>0</v>
      </c>
      <c r="I302" s="34">
        <f>IF('13 - Config_Intake_View'!Q302&lt;&gt;"",'13 - Config_Intake_View'!Q302,'12 - Deployments &amp; Config'!BI307)</f>
        <v>0</v>
      </c>
      <c r="J302" s="18" t="str">
        <f>IF('13 - Config_Intake_View'!Q302&lt;&gt;"","PM Approved",IF('12 - Deployments &amp; Config'!BI307&lt;&gt;"","Assumed",""))</f>
        <v/>
      </c>
      <c r="K302" s="34">
        <f>'12 - Deployments &amp; Config'!BH307</f>
        <v>0</v>
      </c>
      <c r="L302" s="18">
        <f>'12 - Deployments &amp; Config'!P307</f>
        <v>0</v>
      </c>
      <c r="M302" s="18">
        <f>'12 - Deployments &amp; Config'!Q307</f>
        <v>0</v>
      </c>
      <c r="N302" s="18" t="str">
        <f>'12 - Deployments &amp; Config'!BL307</f>
        <v/>
      </c>
      <c r="O302" s="34" t="str">
        <f>'12 - Deployments &amp; Config'!BM307</f>
        <v/>
      </c>
      <c r="P302" s="2">
        <f>'12 - Deployments &amp; Config'!BB307</f>
        <v>0</v>
      </c>
      <c r="Q302" s="34" t="str">
        <f t="shared" si="16"/>
        <v/>
      </c>
      <c r="R302" s="18" t="str">
        <f t="shared" si="17"/>
        <v>SW NOT INSTALLED</v>
      </c>
      <c r="S302" s="18" t="str">
        <f t="shared" si="18"/>
        <v/>
      </c>
      <c r="T302" s="18" t="str">
        <f t="shared" si="19"/>
        <v>SW NOT INSTALLED</v>
      </c>
    </row>
    <row r="303" spans="1:20">
      <c r="A303" s="34">
        <f>'12 - Deployments &amp; Config'!H308</f>
        <v>0</v>
      </c>
      <c r="B303" s="34">
        <f>'12 - Deployments &amp; Config'!S308</f>
        <v>0</v>
      </c>
      <c r="C303" s="34">
        <f>'12 - Deployments &amp; Config'!T308</f>
        <v>0</v>
      </c>
      <c r="D303" s="18">
        <f>'12 - Deployments &amp; Config'!AK308</f>
        <v>0</v>
      </c>
      <c r="E303" s="18">
        <f>'12 - Deployments &amp; Config'!J308</f>
        <v>0</v>
      </c>
      <c r="F303" s="34">
        <f>'12 - Deployments &amp; Config'!K308</f>
        <v>0</v>
      </c>
      <c r="G303" s="18">
        <f>'12 - Deployments &amp; Config'!L308</f>
        <v>0</v>
      </c>
      <c r="H303" s="18">
        <f>'13 - Config_Intake_View'!M303</f>
        <v>0</v>
      </c>
      <c r="I303" s="34">
        <f>IF('13 - Config_Intake_View'!Q303&lt;&gt;"",'13 - Config_Intake_View'!Q303,'12 - Deployments &amp; Config'!BI308)</f>
        <v>0</v>
      </c>
      <c r="J303" s="18" t="str">
        <f>IF('13 - Config_Intake_View'!Q303&lt;&gt;"","PM Approved",IF('12 - Deployments &amp; Config'!BI308&lt;&gt;"","Assumed",""))</f>
        <v/>
      </c>
      <c r="K303" s="34">
        <f>'12 - Deployments &amp; Config'!BH308</f>
        <v>0</v>
      </c>
      <c r="L303" s="18">
        <f>'12 - Deployments &amp; Config'!P308</f>
        <v>0</v>
      </c>
      <c r="M303" s="18">
        <f>'12 - Deployments &amp; Config'!Q308</f>
        <v>0</v>
      </c>
      <c r="N303" s="18" t="str">
        <f>'12 - Deployments &amp; Config'!BL308</f>
        <v/>
      </c>
      <c r="O303" s="34" t="str">
        <f>'12 - Deployments &amp; Config'!BM308</f>
        <v/>
      </c>
      <c r="P303" s="2">
        <f>'12 - Deployments &amp; Config'!BB308</f>
        <v>0</v>
      </c>
      <c r="Q303" s="34" t="str">
        <f t="shared" si="16"/>
        <v/>
      </c>
      <c r="R303" s="18" t="str">
        <f t="shared" si="17"/>
        <v>SW NOT INSTALLED</v>
      </c>
      <c r="S303" s="18" t="str">
        <f t="shared" si="18"/>
        <v/>
      </c>
      <c r="T303" s="18" t="str">
        <f t="shared" si="19"/>
        <v>SW NOT INSTALLED</v>
      </c>
    </row>
    <row r="304" spans="1:20">
      <c r="A304" s="34">
        <f>'12 - Deployments &amp; Config'!H309</f>
        <v>0</v>
      </c>
      <c r="B304" s="34">
        <f>'12 - Deployments &amp; Config'!S309</f>
        <v>0</v>
      </c>
      <c r="C304" s="34">
        <f>'12 - Deployments &amp; Config'!T309</f>
        <v>0</v>
      </c>
      <c r="D304" s="18">
        <f>'12 - Deployments &amp; Config'!AK309</f>
        <v>0</v>
      </c>
      <c r="E304" s="18">
        <f>'12 - Deployments &amp; Config'!J309</f>
        <v>0</v>
      </c>
      <c r="F304" s="34">
        <f>'12 - Deployments &amp; Config'!K309</f>
        <v>0</v>
      </c>
      <c r="G304" s="18">
        <f>'12 - Deployments &amp; Config'!L309</f>
        <v>0</v>
      </c>
      <c r="H304" s="18">
        <f>'13 - Config_Intake_View'!M304</f>
        <v>0</v>
      </c>
      <c r="I304" s="34">
        <f>IF('13 - Config_Intake_View'!Q304&lt;&gt;"",'13 - Config_Intake_View'!Q304,'12 - Deployments &amp; Config'!BI309)</f>
        <v>0</v>
      </c>
      <c r="J304" s="18" t="str">
        <f>IF('13 - Config_Intake_View'!Q304&lt;&gt;"","PM Approved",IF('12 - Deployments &amp; Config'!BI309&lt;&gt;"","Assumed",""))</f>
        <v/>
      </c>
      <c r="K304" s="34">
        <f>'12 - Deployments &amp; Config'!BH309</f>
        <v>0</v>
      </c>
      <c r="L304" s="18">
        <f>'12 - Deployments &amp; Config'!P309</f>
        <v>0</v>
      </c>
      <c r="M304" s="18">
        <f>'12 - Deployments &amp; Config'!Q309</f>
        <v>0</v>
      </c>
      <c r="N304" s="18" t="str">
        <f>'12 - Deployments &amp; Config'!BL309</f>
        <v/>
      </c>
      <c r="O304" s="34" t="str">
        <f>'12 - Deployments &amp; Config'!BM309</f>
        <v/>
      </c>
      <c r="P304" s="2">
        <f>'12 - Deployments &amp; Config'!BB309</f>
        <v>0</v>
      </c>
      <c r="Q304" s="34" t="str">
        <f t="shared" si="16"/>
        <v/>
      </c>
      <c r="R304" s="18" t="str">
        <f t="shared" si="17"/>
        <v>SW NOT INSTALLED</v>
      </c>
      <c r="S304" s="18" t="str">
        <f t="shared" si="18"/>
        <v/>
      </c>
      <c r="T304" s="18" t="str">
        <f t="shared" si="19"/>
        <v>SW NOT INSTALLED</v>
      </c>
    </row>
    <row r="305" spans="1:20">
      <c r="A305" s="34">
        <f>'12 - Deployments &amp; Config'!H310</f>
        <v>0</v>
      </c>
      <c r="B305" s="34">
        <f>'12 - Deployments &amp; Config'!S310</f>
        <v>0</v>
      </c>
      <c r="C305" s="34">
        <f>'12 - Deployments &amp; Config'!T310</f>
        <v>0</v>
      </c>
      <c r="D305" s="18">
        <f>'12 - Deployments &amp; Config'!AK310</f>
        <v>0</v>
      </c>
      <c r="E305" s="18">
        <f>'12 - Deployments &amp; Config'!J310</f>
        <v>0</v>
      </c>
      <c r="F305" s="34">
        <f>'12 - Deployments &amp; Config'!K310</f>
        <v>0</v>
      </c>
      <c r="G305" s="18">
        <f>'12 - Deployments &amp; Config'!L310</f>
        <v>0</v>
      </c>
      <c r="H305" s="18">
        <f>'13 - Config_Intake_View'!M305</f>
        <v>0</v>
      </c>
      <c r="I305" s="34">
        <f>IF('13 - Config_Intake_View'!Q305&lt;&gt;"",'13 - Config_Intake_View'!Q305,'12 - Deployments &amp; Config'!BI310)</f>
        <v>0</v>
      </c>
      <c r="J305" s="18" t="str">
        <f>IF('13 - Config_Intake_View'!Q305&lt;&gt;"","PM Approved",IF('12 - Deployments &amp; Config'!BI310&lt;&gt;"","Assumed",""))</f>
        <v/>
      </c>
      <c r="K305" s="34">
        <f>'12 - Deployments &amp; Config'!BH310</f>
        <v>0</v>
      </c>
      <c r="L305" s="18">
        <f>'12 - Deployments &amp; Config'!P310</f>
        <v>0</v>
      </c>
      <c r="M305" s="18">
        <f>'12 - Deployments &amp; Config'!Q310</f>
        <v>0</v>
      </c>
      <c r="N305" s="18" t="str">
        <f>'12 - Deployments &amp; Config'!BL310</f>
        <v/>
      </c>
      <c r="O305" s="34" t="str">
        <f>'12 - Deployments &amp; Config'!BM310</f>
        <v/>
      </c>
      <c r="P305" s="2">
        <f>'12 - Deployments &amp; Config'!BB310</f>
        <v>0</v>
      </c>
      <c r="Q305" s="34" t="str">
        <f t="shared" si="16"/>
        <v/>
      </c>
      <c r="R305" s="18" t="str">
        <f t="shared" si="17"/>
        <v>SW NOT INSTALLED</v>
      </c>
      <c r="S305" s="18" t="str">
        <f t="shared" si="18"/>
        <v/>
      </c>
      <c r="T305" s="18" t="str">
        <f t="shared" si="19"/>
        <v>SW NOT INSTALLED</v>
      </c>
    </row>
    <row r="306" spans="1:20">
      <c r="A306" s="34">
        <f>'12 - Deployments &amp; Config'!H311</f>
        <v>0</v>
      </c>
      <c r="B306" s="34">
        <f>'12 - Deployments &amp; Config'!S311</f>
        <v>0</v>
      </c>
      <c r="C306" s="34">
        <f>'12 - Deployments &amp; Config'!T311</f>
        <v>0</v>
      </c>
      <c r="D306" s="18">
        <f>'12 - Deployments &amp; Config'!AK311</f>
        <v>0</v>
      </c>
      <c r="E306" s="18">
        <f>'12 - Deployments &amp; Config'!J311</f>
        <v>0</v>
      </c>
      <c r="F306" s="34">
        <f>'12 - Deployments &amp; Config'!K311</f>
        <v>0</v>
      </c>
      <c r="G306" s="18">
        <f>'12 - Deployments &amp; Config'!L311</f>
        <v>0</v>
      </c>
      <c r="H306" s="18">
        <f>'13 - Config_Intake_View'!M306</f>
        <v>0</v>
      </c>
      <c r="I306" s="34">
        <f>IF('13 - Config_Intake_View'!Q306&lt;&gt;"",'13 - Config_Intake_View'!Q306,'12 - Deployments &amp; Config'!BI311)</f>
        <v>0</v>
      </c>
      <c r="J306" s="18" t="str">
        <f>IF('13 - Config_Intake_View'!Q306&lt;&gt;"","PM Approved",IF('12 - Deployments &amp; Config'!BI311&lt;&gt;"","Assumed",""))</f>
        <v/>
      </c>
      <c r="K306" s="34">
        <f>'12 - Deployments &amp; Config'!BH311</f>
        <v>0</v>
      </c>
      <c r="L306" s="18">
        <f>'12 - Deployments &amp; Config'!P311</f>
        <v>0</v>
      </c>
      <c r="M306" s="18">
        <f>'12 - Deployments &amp; Config'!Q311</f>
        <v>0</v>
      </c>
      <c r="N306" s="18" t="str">
        <f>'12 - Deployments &amp; Config'!BL311</f>
        <v/>
      </c>
      <c r="O306" s="34" t="str">
        <f>'12 - Deployments &amp; Config'!BM311</f>
        <v/>
      </c>
      <c r="P306" s="2">
        <f>'12 - Deployments &amp; Config'!BB311</f>
        <v>0</v>
      </c>
      <c r="Q306" s="34" t="str">
        <f t="shared" si="16"/>
        <v/>
      </c>
      <c r="R306" s="18" t="str">
        <f t="shared" si="17"/>
        <v>SW NOT INSTALLED</v>
      </c>
      <c r="S306" s="18" t="str">
        <f t="shared" si="18"/>
        <v/>
      </c>
      <c r="T306" s="18" t="str">
        <f t="shared" si="19"/>
        <v>SW NOT INSTALLED</v>
      </c>
    </row>
    <row r="307" spans="1:20">
      <c r="A307" s="34">
        <f>'12 - Deployments &amp; Config'!H312</f>
        <v>0</v>
      </c>
      <c r="B307" s="34">
        <f>'12 - Deployments &amp; Config'!S312</f>
        <v>0</v>
      </c>
      <c r="C307" s="34">
        <f>'12 - Deployments &amp; Config'!T312</f>
        <v>0</v>
      </c>
      <c r="D307" s="18">
        <f>'12 - Deployments &amp; Config'!AK312</f>
        <v>0</v>
      </c>
      <c r="E307" s="18">
        <f>'12 - Deployments &amp; Config'!J312</f>
        <v>0</v>
      </c>
      <c r="F307" s="34">
        <f>'12 - Deployments &amp; Config'!K312</f>
        <v>0</v>
      </c>
      <c r="G307" s="18">
        <f>'12 - Deployments &amp; Config'!L312</f>
        <v>0</v>
      </c>
      <c r="H307" s="18">
        <f>'13 - Config_Intake_View'!M307</f>
        <v>0</v>
      </c>
      <c r="I307" s="34">
        <f>IF('13 - Config_Intake_View'!Q307&lt;&gt;"",'13 - Config_Intake_View'!Q307,'12 - Deployments &amp; Config'!BI312)</f>
        <v>0</v>
      </c>
      <c r="J307" s="18" t="str">
        <f>IF('13 - Config_Intake_View'!Q307&lt;&gt;"","PM Approved",IF('12 - Deployments &amp; Config'!BI312&lt;&gt;"","Assumed",""))</f>
        <v/>
      </c>
      <c r="K307" s="34">
        <f>'12 - Deployments &amp; Config'!BH312</f>
        <v>0</v>
      </c>
      <c r="L307" s="18">
        <f>'12 - Deployments &amp; Config'!P312</f>
        <v>0</v>
      </c>
      <c r="M307" s="18">
        <f>'12 - Deployments &amp; Config'!Q312</f>
        <v>0</v>
      </c>
      <c r="N307" s="18" t="str">
        <f>'12 - Deployments &amp; Config'!BL312</f>
        <v/>
      </c>
      <c r="O307" s="34" t="str">
        <f>'12 - Deployments &amp; Config'!BM312</f>
        <v/>
      </c>
      <c r="P307" s="2">
        <f>'12 - Deployments &amp; Config'!BB312</f>
        <v>0</v>
      </c>
      <c r="Q307" s="34" t="str">
        <f t="shared" si="16"/>
        <v/>
      </c>
      <c r="R307" s="18" t="str">
        <f t="shared" si="17"/>
        <v>SW NOT INSTALLED</v>
      </c>
      <c r="S307" s="18" t="str">
        <f t="shared" si="18"/>
        <v/>
      </c>
      <c r="T307" s="18" t="str">
        <f t="shared" si="19"/>
        <v>SW NOT INSTALLED</v>
      </c>
    </row>
    <row r="308" spans="1:20">
      <c r="A308" s="34">
        <f>'12 - Deployments &amp; Config'!H313</f>
        <v>0</v>
      </c>
      <c r="B308" s="34">
        <f>'12 - Deployments &amp; Config'!S313</f>
        <v>0</v>
      </c>
      <c r="C308" s="34">
        <f>'12 - Deployments &amp; Config'!T313</f>
        <v>0</v>
      </c>
      <c r="D308" s="18">
        <f>'12 - Deployments &amp; Config'!AK313</f>
        <v>0</v>
      </c>
      <c r="E308" s="18">
        <f>'12 - Deployments &amp; Config'!J313</f>
        <v>0</v>
      </c>
      <c r="F308" s="34">
        <f>'12 - Deployments &amp; Config'!K313</f>
        <v>0</v>
      </c>
      <c r="G308" s="18">
        <f>'12 - Deployments &amp; Config'!L313</f>
        <v>0</v>
      </c>
      <c r="H308" s="18">
        <f>'13 - Config_Intake_View'!M308</f>
        <v>0</v>
      </c>
      <c r="I308" s="34">
        <f>IF('13 - Config_Intake_View'!Q308&lt;&gt;"",'13 - Config_Intake_View'!Q308,'12 - Deployments &amp; Config'!BI313)</f>
        <v>0</v>
      </c>
      <c r="J308" s="18" t="str">
        <f>IF('13 - Config_Intake_View'!Q308&lt;&gt;"","PM Approved",IF('12 - Deployments &amp; Config'!BI313&lt;&gt;"","Assumed",""))</f>
        <v/>
      </c>
      <c r="K308" s="34">
        <f>'12 - Deployments &amp; Config'!BH313</f>
        <v>0</v>
      </c>
      <c r="L308" s="18">
        <f>'12 - Deployments &amp; Config'!P313</f>
        <v>0</v>
      </c>
      <c r="M308" s="18">
        <f>'12 - Deployments &amp; Config'!Q313</f>
        <v>0</v>
      </c>
      <c r="N308" s="18" t="str">
        <f>'12 - Deployments &amp; Config'!BL313</f>
        <v/>
      </c>
      <c r="O308" s="34" t="str">
        <f>'12 - Deployments &amp; Config'!BM313</f>
        <v/>
      </c>
      <c r="P308" s="2">
        <f>'12 - Deployments &amp; Config'!BB313</f>
        <v>0</v>
      </c>
      <c r="Q308" s="34" t="str">
        <f t="shared" si="16"/>
        <v/>
      </c>
      <c r="R308" s="18" t="str">
        <f t="shared" si="17"/>
        <v>SW NOT INSTALLED</v>
      </c>
      <c r="S308" s="18" t="str">
        <f t="shared" si="18"/>
        <v/>
      </c>
      <c r="T308" s="18" t="str">
        <f t="shared" si="19"/>
        <v>SW NOT INSTALLED</v>
      </c>
    </row>
    <row r="309" spans="1:20">
      <c r="A309" s="34">
        <f>'12 - Deployments &amp; Config'!H314</f>
        <v>0</v>
      </c>
      <c r="B309" s="34">
        <f>'12 - Deployments &amp; Config'!S314</f>
        <v>0</v>
      </c>
      <c r="C309" s="34">
        <f>'12 - Deployments &amp; Config'!T314</f>
        <v>0</v>
      </c>
      <c r="D309" s="18">
        <f>'12 - Deployments &amp; Config'!AK314</f>
        <v>0</v>
      </c>
      <c r="E309" s="18">
        <f>'12 - Deployments &amp; Config'!J314</f>
        <v>0</v>
      </c>
      <c r="F309" s="34">
        <f>'12 - Deployments &amp; Config'!K314</f>
        <v>0</v>
      </c>
      <c r="G309" s="18">
        <f>'12 - Deployments &amp; Config'!L314</f>
        <v>0</v>
      </c>
      <c r="H309" s="18">
        <f>'13 - Config_Intake_View'!M309</f>
        <v>0</v>
      </c>
      <c r="I309" s="34">
        <f>IF('13 - Config_Intake_View'!Q309&lt;&gt;"",'13 - Config_Intake_View'!Q309,'12 - Deployments &amp; Config'!BI314)</f>
        <v>0</v>
      </c>
      <c r="J309" s="18" t="str">
        <f>IF('13 - Config_Intake_View'!Q309&lt;&gt;"","PM Approved",IF('12 - Deployments &amp; Config'!BI314&lt;&gt;"","Assumed",""))</f>
        <v/>
      </c>
      <c r="K309" s="34">
        <f>'12 - Deployments &amp; Config'!BH314</f>
        <v>0</v>
      </c>
      <c r="L309" s="18">
        <f>'12 - Deployments &amp; Config'!P314</f>
        <v>0</v>
      </c>
      <c r="M309" s="18">
        <f>'12 - Deployments &amp; Config'!Q314</f>
        <v>0</v>
      </c>
      <c r="N309" s="18" t="str">
        <f>'12 - Deployments &amp; Config'!BL314</f>
        <v/>
      </c>
      <c r="O309" s="34" t="str">
        <f>'12 - Deployments &amp; Config'!BM314</f>
        <v/>
      </c>
      <c r="P309" s="2">
        <f>'12 - Deployments &amp; Config'!BB314</f>
        <v>0</v>
      </c>
      <c r="Q309" s="34" t="str">
        <f t="shared" si="16"/>
        <v/>
      </c>
      <c r="R309" s="18" t="str">
        <f t="shared" si="17"/>
        <v>SW NOT INSTALLED</v>
      </c>
      <c r="S309" s="18" t="str">
        <f t="shared" si="18"/>
        <v/>
      </c>
      <c r="T309" s="18" t="str">
        <f t="shared" si="19"/>
        <v>SW NOT INSTALLED</v>
      </c>
    </row>
    <row r="310" spans="1:20">
      <c r="A310" s="34">
        <f>'12 - Deployments &amp; Config'!H315</f>
        <v>0</v>
      </c>
      <c r="B310" s="34">
        <f>'12 - Deployments &amp; Config'!S315</f>
        <v>0</v>
      </c>
      <c r="C310" s="34">
        <f>'12 - Deployments &amp; Config'!T315</f>
        <v>0</v>
      </c>
      <c r="D310" s="18">
        <f>'12 - Deployments &amp; Config'!AK315</f>
        <v>0</v>
      </c>
      <c r="E310" s="18">
        <f>'12 - Deployments &amp; Config'!J315</f>
        <v>0</v>
      </c>
      <c r="F310" s="34">
        <f>'12 - Deployments &amp; Config'!K315</f>
        <v>0</v>
      </c>
      <c r="G310" s="18">
        <f>'12 - Deployments &amp; Config'!L315</f>
        <v>0</v>
      </c>
      <c r="H310" s="18">
        <f>'13 - Config_Intake_View'!M310</f>
        <v>0</v>
      </c>
      <c r="I310" s="34">
        <f>IF('13 - Config_Intake_View'!Q310&lt;&gt;"",'13 - Config_Intake_View'!Q310,'12 - Deployments &amp; Config'!BI315)</f>
        <v>0</v>
      </c>
      <c r="J310" s="18" t="str">
        <f>IF('13 - Config_Intake_View'!Q310&lt;&gt;"","PM Approved",IF('12 - Deployments &amp; Config'!BI315&lt;&gt;"","Assumed",""))</f>
        <v/>
      </c>
      <c r="K310" s="34">
        <f>'12 - Deployments &amp; Config'!BH315</f>
        <v>0</v>
      </c>
      <c r="L310" s="18">
        <f>'12 - Deployments &amp; Config'!P315</f>
        <v>0</v>
      </c>
      <c r="M310" s="18">
        <f>'12 - Deployments &amp; Config'!Q315</f>
        <v>0</v>
      </c>
      <c r="N310" s="18" t="str">
        <f>'12 - Deployments &amp; Config'!BL315</f>
        <v/>
      </c>
      <c r="O310" s="34" t="str">
        <f>'12 - Deployments &amp; Config'!BM315</f>
        <v/>
      </c>
      <c r="P310" s="2">
        <f>'12 - Deployments &amp; Config'!BB315</f>
        <v>0</v>
      </c>
      <c r="Q310" s="34" t="str">
        <f t="shared" si="16"/>
        <v/>
      </c>
      <c r="R310" s="18" t="str">
        <f t="shared" si="17"/>
        <v>SW NOT INSTALLED</v>
      </c>
      <c r="S310" s="18" t="str">
        <f t="shared" si="18"/>
        <v/>
      </c>
      <c r="T310" s="18" t="str">
        <f t="shared" si="19"/>
        <v>SW NOT INSTALLED</v>
      </c>
    </row>
    <row r="311" spans="1:20">
      <c r="A311" s="34">
        <f>'12 - Deployments &amp; Config'!H316</f>
        <v>0</v>
      </c>
      <c r="B311" s="34">
        <f>'12 - Deployments &amp; Config'!S316</f>
        <v>0</v>
      </c>
      <c r="C311" s="34">
        <f>'12 - Deployments &amp; Config'!T316</f>
        <v>0</v>
      </c>
      <c r="D311" s="18">
        <f>'12 - Deployments &amp; Config'!AK316</f>
        <v>0</v>
      </c>
      <c r="E311" s="18">
        <f>'12 - Deployments &amp; Config'!J316</f>
        <v>0</v>
      </c>
      <c r="F311" s="34">
        <f>'12 - Deployments &amp; Config'!K316</f>
        <v>0</v>
      </c>
      <c r="G311" s="18">
        <f>'12 - Deployments &amp; Config'!L316</f>
        <v>0</v>
      </c>
      <c r="H311" s="18">
        <f>'13 - Config_Intake_View'!M311</f>
        <v>0</v>
      </c>
      <c r="I311" s="34">
        <f>IF('13 - Config_Intake_View'!Q311&lt;&gt;"",'13 - Config_Intake_View'!Q311,'12 - Deployments &amp; Config'!BI316)</f>
        <v>0</v>
      </c>
      <c r="J311" s="18" t="str">
        <f>IF('13 - Config_Intake_View'!Q311&lt;&gt;"","PM Approved",IF('12 - Deployments &amp; Config'!BI316&lt;&gt;"","Assumed",""))</f>
        <v/>
      </c>
      <c r="K311" s="34">
        <f>'12 - Deployments &amp; Config'!BH316</f>
        <v>0</v>
      </c>
      <c r="L311" s="18">
        <f>'12 - Deployments &amp; Config'!P316</f>
        <v>0</v>
      </c>
      <c r="M311" s="18">
        <f>'12 - Deployments &amp; Config'!Q316</f>
        <v>0</v>
      </c>
      <c r="N311" s="18" t="str">
        <f>'12 - Deployments &amp; Config'!BL316</f>
        <v/>
      </c>
      <c r="O311" s="34" t="str">
        <f>'12 - Deployments &amp; Config'!BM316</f>
        <v/>
      </c>
      <c r="P311" s="2">
        <f>'12 - Deployments &amp; Config'!BB316</f>
        <v>0</v>
      </c>
      <c r="Q311" s="34" t="str">
        <f t="shared" si="16"/>
        <v/>
      </c>
      <c r="R311" s="18" t="str">
        <f t="shared" si="17"/>
        <v>SW NOT INSTALLED</v>
      </c>
      <c r="S311" s="18" t="str">
        <f t="shared" si="18"/>
        <v/>
      </c>
      <c r="T311" s="18" t="str">
        <f t="shared" si="19"/>
        <v>SW NOT INSTALLED</v>
      </c>
    </row>
    <row r="312" spans="1:20">
      <c r="A312" s="34">
        <f>'12 - Deployments &amp; Config'!H317</f>
        <v>0</v>
      </c>
      <c r="B312" s="34">
        <f>'12 - Deployments &amp; Config'!S317</f>
        <v>0</v>
      </c>
      <c r="C312" s="34">
        <f>'12 - Deployments &amp; Config'!T317</f>
        <v>0</v>
      </c>
      <c r="D312" s="18">
        <f>'12 - Deployments &amp; Config'!AK317</f>
        <v>0</v>
      </c>
      <c r="E312" s="18">
        <f>'12 - Deployments &amp; Config'!J317</f>
        <v>0</v>
      </c>
      <c r="F312" s="34">
        <f>'12 - Deployments &amp; Config'!K317</f>
        <v>0</v>
      </c>
      <c r="G312" s="18">
        <f>'12 - Deployments &amp; Config'!L317</f>
        <v>0</v>
      </c>
      <c r="H312" s="18">
        <f>'13 - Config_Intake_View'!M312</f>
        <v>0</v>
      </c>
      <c r="I312" s="34">
        <f>IF('13 - Config_Intake_View'!Q312&lt;&gt;"",'13 - Config_Intake_View'!Q312,'12 - Deployments &amp; Config'!BI317)</f>
        <v>0</v>
      </c>
      <c r="J312" s="18" t="str">
        <f>IF('13 - Config_Intake_View'!Q312&lt;&gt;"","PM Approved",IF('12 - Deployments &amp; Config'!BI317&lt;&gt;"","Assumed",""))</f>
        <v/>
      </c>
      <c r="K312" s="34">
        <f>'12 - Deployments &amp; Config'!BH317</f>
        <v>0</v>
      </c>
      <c r="L312" s="18">
        <f>'12 - Deployments &amp; Config'!P317</f>
        <v>0</v>
      </c>
      <c r="M312" s="18">
        <f>'12 - Deployments &amp; Config'!Q317</f>
        <v>0</v>
      </c>
      <c r="N312" s="18" t="str">
        <f>'12 - Deployments &amp; Config'!BL317</f>
        <v/>
      </c>
      <c r="O312" s="34" t="str">
        <f>'12 - Deployments &amp; Config'!BM317</f>
        <v/>
      </c>
      <c r="P312" s="2">
        <f>'12 - Deployments &amp; Config'!BB317</f>
        <v>0</v>
      </c>
      <c r="Q312" s="34" t="str">
        <f t="shared" si="16"/>
        <v/>
      </c>
      <c r="R312" s="18" t="str">
        <f t="shared" si="17"/>
        <v>SW NOT INSTALLED</v>
      </c>
      <c r="S312" s="18" t="str">
        <f t="shared" si="18"/>
        <v/>
      </c>
      <c r="T312" s="18" t="str">
        <f t="shared" si="19"/>
        <v>SW NOT INSTALLED</v>
      </c>
    </row>
    <row r="313" spans="1:20">
      <c r="A313" s="34">
        <f>'12 - Deployments &amp; Config'!H318</f>
        <v>0</v>
      </c>
      <c r="B313" s="34">
        <f>'12 - Deployments &amp; Config'!S318</f>
        <v>0</v>
      </c>
      <c r="C313" s="34">
        <f>'12 - Deployments &amp; Config'!T318</f>
        <v>0</v>
      </c>
      <c r="D313" s="18">
        <f>'12 - Deployments &amp; Config'!AK318</f>
        <v>0</v>
      </c>
      <c r="E313" s="18">
        <f>'12 - Deployments &amp; Config'!J318</f>
        <v>0</v>
      </c>
      <c r="F313" s="34">
        <f>'12 - Deployments &amp; Config'!K318</f>
        <v>0</v>
      </c>
      <c r="G313" s="18">
        <f>'12 - Deployments &amp; Config'!L318</f>
        <v>0</v>
      </c>
      <c r="H313" s="18">
        <f>'13 - Config_Intake_View'!M313</f>
        <v>0</v>
      </c>
      <c r="I313" s="34">
        <f>IF('13 - Config_Intake_View'!Q313&lt;&gt;"",'13 - Config_Intake_View'!Q313,'12 - Deployments &amp; Config'!BI318)</f>
        <v>0</v>
      </c>
      <c r="J313" s="18" t="str">
        <f>IF('13 - Config_Intake_View'!Q313&lt;&gt;"","PM Approved",IF('12 - Deployments &amp; Config'!BI318&lt;&gt;"","Assumed",""))</f>
        <v/>
      </c>
      <c r="K313" s="34">
        <f>'12 - Deployments &amp; Config'!BH318</f>
        <v>0</v>
      </c>
      <c r="L313" s="18">
        <f>'12 - Deployments &amp; Config'!P318</f>
        <v>0</v>
      </c>
      <c r="M313" s="18">
        <f>'12 - Deployments &amp; Config'!Q318</f>
        <v>0</v>
      </c>
      <c r="N313" s="18" t="str">
        <f>'12 - Deployments &amp; Config'!BL318</f>
        <v/>
      </c>
      <c r="O313" s="34" t="str">
        <f>'12 - Deployments &amp; Config'!BM318</f>
        <v/>
      </c>
      <c r="P313" s="2">
        <f>'12 - Deployments &amp; Config'!BB318</f>
        <v>0</v>
      </c>
      <c r="Q313" s="34" t="str">
        <f t="shared" si="16"/>
        <v/>
      </c>
      <c r="R313" s="18" t="str">
        <f t="shared" si="17"/>
        <v>SW NOT INSTALLED</v>
      </c>
      <c r="S313" s="18" t="str">
        <f t="shared" si="18"/>
        <v/>
      </c>
      <c r="T313" s="18" t="str">
        <f t="shared" si="19"/>
        <v>SW NOT INSTALLED</v>
      </c>
    </row>
    <row r="314" spans="1:20">
      <c r="A314" s="34">
        <f>'12 - Deployments &amp; Config'!H319</f>
        <v>0</v>
      </c>
      <c r="B314" s="34">
        <f>'12 - Deployments &amp; Config'!S319</f>
        <v>0</v>
      </c>
      <c r="C314" s="34">
        <f>'12 - Deployments &amp; Config'!T319</f>
        <v>0</v>
      </c>
      <c r="D314" s="18">
        <f>'12 - Deployments &amp; Config'!AK319</f>
        <v>0</v>
      </c>
      <c r="E314" s="18">
        <f>'12 - Deployments &amp; Config'!J319</f>
        <v>0</v>
      </c>
      <c r="F314" s="34">
        <f>'12 - Deployments &amp; Config'!K319</f>
        <v>0</v>
      </c>
      <c r="G314" s="18">
        <f>'12 - Deployments &amp; Config'!L319</f>
        <v>0</v>
      </c>
      <c r="H314" s="18">
        <f>'13 - Config_Intake_View'!M314</f>
        <v>0</v>
      </c>
      <c r="I314" s="34">
        <f>IF('13 - Config_Intake_View'!Q314&lt;&gt;"",'13 - Config_Intake_View'!Q314,'12 - Deployments &amp; Config'!BI319)</f>
        <v>0</v>
      </c>
      <c r="J314" s="18" t="str">
        <f>IF('13 - Config_Intake_View'!Q314&lt;&gt;"","PM Approved",IF('12 - Deployments &amp; Config'!BI319&lt;&gt;"","Assumed",""))</f>
        <v/>
      </c>
      <c r="K314" s="34">
        <f>'12 - Deployments &amp; Config'!BH319</f>
        <v>0</v>
      </c>
      <c r="L314" s="18">
        <f>'12 - Deployments &amp; Config'!P319</f>
        <v>0</v>
      </c>
      <c r="M314" s="18">
        <f>'12 - Deployments &amp; Config'!Q319</f>
        <v>0</v>
      </c>
      <c r="N314" s="18" t="str">
        <f>'12 - Deployments &amp; Config'!BL319</f>
        <v/>
      </c>
      <c r="O314" s="34" t="str">
        <f>'12 - Deployments &amp; Config'!BM319</f>
        <v/>
      </c>
      <c r="P314" s="2">
        <f>'12 - Deployments &amp; Config'!BB319</f>
        <v>0</v>
      </c>
      <c r="Q314" s="34" t="str">
        <f t="shared" si="16"/>
        <v/>
      </c>
      <c r="R314" s="18" t="str">
        <f t="shared" si="17"/>
        <v>SW NOT INSTALLED</v>
      </c>
      <c r="S314" s="18" t="str">
        <f t="shared" si="18"/>
        <v/>
      </c>
      <c r="T314" s="18" t="str">
        <f t="shared" si="19"/>
        <v>SW NOT INSTALLED</v>
      </c>
    </row>
    <row r="315" spans="1:20">
      <c r="A315" s="34">
        <f>'12 - Deployments &amp; Config'!H320</f>
        <v>0</v>
      </c>
      <c r="B315" s="34">
        <f>'12 - Deployments &amp; Config'!S320</f>
        <v>0</v>
      </c>
      <c r="C315" s="34">
        <f>'12 - Deployments &amp; Config'!T320</f>
        <v>0</v>
      </c>
      <c r="D315" s="18">
        <f>'12 - Deployments &amp; Config'!AK320</f>
        <v>0</v>
      </c>
      <c r="E315" s="18">
        <f>'12 - Deployments &amp; Config'!J320</f>
        <v>0</v>
      </c>
      <c r="F315" s="34">
        <f>'12 - Deployments &amp; Config'!K320</f>
        <v>0</v>
      </c>
      <c r="G315" s="18">
        <f>'12 - Deployments &amp; Config'!L320</f>
        <v>0</v>
      </c>
      <c r="H315" s="18">
        <f>'13 - Config_Intake_View'!M315</f>
        <v>0</v>
      </c>
      <c r="I315" s="34">
        <f>IF('13 - Config_Intake_View'!Q315&lt;&gt;"",'13 - Config_Intake_View'!Q315,'12 - Deployments &amp; Config'!BI320)</f>
        <v>0</v>
      </c>
      <c r="J315" s="18" t="str">
        <f>IF('13 - Config_Intake_View'!Q315&lt;&gt;"","PM Approved",IF('12 - Deployments &amp; Config'!BI320&lt;&gt;"","Assumed",""))</f>
        <v/>
      </c>
      <c r="K315" s="34">
        <f>'12 - Deployments &amp; Config'!BH320</f>
        <v>0</v>
      </c>
      <c r="L315" s="18">
        <f>'12 - Deployments &amp; Config'!P320</f>
        <v>0</v>
      </c>
      <c r="M315" s="18">
        <f>'12 - Deployments &amp; Config'!Q320</f>
        <v>0</v>
      </c>
      <c r="N315" s="18" t="str">
        <f>'12 - Deployments &amp; Config'!BL320</f>
        <v/>
      </c>
      <c r="O315" s="34" t="str">
        <f>'12 - Deployments &amp; Config'!BM320</f>
        <v/>
      </c>
      <c r="P315" s="2">
        <f>'12 - Deployments &amp; Config'!BB320</f>
        <v>0</v>
      </c>
      <c r="Q315" s="34" t="str">
        <f t="shared" si="16"/>
        <v/>
      </c>
      <c r="R315" s="18" t="str">
        <f t="shared" si="17"/>
        <v>SW NOT INSTALLED</v>
      </c>
      <c r="S315" s="18" t="str">
        <f t="shared" si="18"/>
        <v/>
      </c>
      <c r="T315" s="18" t="str">
        <f t="shared" si="19"/>
        <v>SW NOT INSTALLED</v>
      </c>
    </row>
    <row r="316" spans="1:20">
      <c r="A316" s="34">
        <f>'12 - Deployments &amp; Config'!H321</f>
        <v>0</v>
      </c>
      <c r="B316" s="34">
        <f>'12 - Deployments &amp; Config'!S321</f>
        <v>0</v>
      </c>
      <c r="C316" s="34">
        <f>'12 - Deployments &amp; Config'!T321</f>
        <v>0</v>
      </c>
      <c r="D316" s="18">
        <f>'12 - Deployments &amp; Config'!AK321</f>
        <v>0</v>
      </c>
      <c r="E316" s="18">
        <f>'12 - Deployments &amp; Config'!J321</f>
        <v>0</v>
      </c>
      <c r="F316" s="34">
        <f>'12 - Deployments &amp; Config'!K321</f>
        <v>0</v>
      </c>
      <c r="G316" s="18">
        <f>'12 - Deployments &amp; Config'!L321</f>
        <v>0</v>
      </c>
      <c r="H316" s="18">
        <f>'13 - Config_Intake_View'!M316</f>
        <v>0</v>
      </c>
      <c r="I316" s="34">
        <f>IF('13 - Config_Intake_View'!Q316&lt;&gt;"",'13 - Config_Intake_View'!Q316,'12 - Deployments &amp; Config'!BI321)</f>
        <v>0</v>
      </c>
      <c r="J316" s="18" t="str">
        <f>IF('13 - Config_Intake_View'!Q316&lt;&gt;"","PM Approved",IF('12 - Deployments &amp; Config'!BI321&lt;&gt;"","Assumed",""))</f>
        <v/>
      </c>
      <c r="K316" s="34">
        <f>'12 - Deployments &amp; Config'!BH321</f>
        <v>0</v>
      </c>
      <c r="L316" s="18">
        <f>'12 - Deployments &amp; Config'!P321</f>
        <v>0</v>
      </c>
      <c r="M316" s="18">
        <f>'12 - Deployments &amp; Config'!Q321</f>
        <v>0</v>
      </c>
      <c r="N316" s="18" t="str">
        <f>'12 - Deployments &amp; Config'!BL321</f>
        <v/>
      </c>
      <c r="O316" s="34" t="str">
        <f>'12 - Deployments &amp; Config'!BM321</f>
        <v/>
      </c>
      <c r="P316" s="2">
        <f>'12 - Deployments &amp; Config'!BB321</f>
        <v>0</v>
      </c>
      <c r="Q316" s="34" t="str">
        <f t="shared" si="16"/>
        <v/>
      </c>
      <c r="R316" s="18" t="str">
        <f t="shared" si="17"/>
        <v>SW NOT INSTALLED</v>
      </c>
      <c r="S316" s="18" t="str">
        <f t="shared" si="18"/>
        <v/>
      </c>
      <c r="T316" s="18" t="str">
        <f t="shared" si="19"/>
        <v>SW NOT INSTALLED</v>
      </c>
    </row>
    <row r="317" spans="1:20">
      <c r="A317" s="34">
        <f>'12 - Deployments &amp; Config'!H322</f>
        <v>0</v>
      </c>
      <c r="B317" s="34">
        <f>'12 - Deployments &amp; Config'!S322</f>
        <v>0</v>
      </c>
      <c r="C317" s="34">
        <f>'12 - Deployments &amp; Config'!T322</f>
        <v>0</v>
      </c>
      <c r="D317" s="18">
        <f>'12 - Deployments &amp; Config'!AK322</f>
        <v>0</v>
      </c>
      <c r="E317" s="18">
        <f>'12 - Deployments &amp; Config'!J322</f>
        <v>0</v>
      </c>
      <c r="F317" s="34">
        <f>'12 - Deployments &amp; Config'!K322</f>
        <v>0</v>
      </c>
      <c r="G317" s="18">
        <f>'12 - Deployments &amp; Config'!L322</f>
        <v>0</v>
      </c>
      <c r="H317" s="18">
        <f>'13 - Config_Intake_View'!M317</f>
        <v>0</v>
      </c>
      <c r="I317" s="34">
        <f>IF('13 - Config_Intake_View'!Q317&lt;&gt;"",'13 - Config_Intake_View'!Q317,'12 - Deployments &amp; Config'!BI322)</f>
        <v>0</v>
      </c>
      <c r="J317" s="18" t="str">
        <f>IF('13 - Config_Intake_View'!Q317&lt;&gt;"","PM Approved",IF('12 - Deployments &amp; Config'!BI322&lt;&gt;"","Assumed",""))</f>
        <v/>
      </c>
      <c r="K317" s="34">
        <f>'12 - Deployments &amp; Config'!BH322</f>
        <v>0</v>
      </c>
      <c r="L317" s="18">
        <f>'12 - Deployments &amp; Config'!P322</f>
        <v>0</v>
      </c>
      <c r="M317" s="18">
        <f>'12 - Deployments &amp; Config'!Q322</f>
        <v>0</v>
      </c>
      <c r="N317" s="18" t="str">
        <f>'12 - Deployments &amp; Config'!BL322</f>
        <v/>
      </c>
      <c r="O317" s="34" t="str">
        <f>'12 - Deployments &amp; Config'!BM322</f>
        <v/>
      </c>
      <c r="P317" s="2">
        <f>'12 - Deployments &amp; Config'!BB322</f>
        <v>0</v>
      </c>
      <c r="Q317" s="34" t="str">
        <f t="shared" si="16"/>
        <v/>
      </c>
      <c r="R317" s="18" t="str">
        <f t="shared" si="17"/>
        <v>SW NOT INSTALLED</v>
      </c>
      <c r="S317" s="18" t="str">
        <f t="shared" si="18"/>
        <v/>
      </c>
      <c r="T317" s="18" t="str">
        <f t="shared" si="19"/>
        <v>SW NOT INSTALLED</v>
      </c>
    </row>
    <row r="318" spans="1:20">
      <c r="A318" s="34">
        <f>'12 - Deployments &amp; Config'!H323</f>
        <v>0</v>
      </c>
      <c r="B318" s="34">
        <f>'12 - Deployments &amp; Config'!S323</f>
        <v>0</v>
      </c>
      <c r="C318" s="34">
        <f>'12 - Deployments &amp; Config'!T323</f>
        <v>0</v>
      </c>
      <c r="D318" s="18">
        <f>'12 - Deployments &amp; Config'!AK323</f>
        <v>0</v>
      </c>
      <c r="E318" s="18">
        <f>'12 - Deployments &amp; Config'!J323</f>
        <v>0</v>
      </c>
      <c r="F318" s="34">
        <f>'12 - Deployments &amp; Config'!K323</f>
        <v>0</v>
      </c>
      <c r="G318" s="18">
        <f>'12 - Deployments &amp; Config'!L323</f>
        <v>0</v>
      </c>
      <c r="H318" s="18">
        <f>'13 - Config_Intake_View'!M318</f>
        <v>0</v>
      </c>
      <c r="I318" s="34">
        <f>IF('13 - Config_Intake_View'!Q318&lt;&gt;"",'13 - Config_Intake_View'!Q318,'12 - Deployments &amp; Config'!BI323)</f>
        <v>0</v>
      </c>
      <c r="J318" s="18" t="str">
        <f>IF('13 - Config_Intake_View'!Q318&lt;&gt;"","PM Approved",IF('12 - Deployments &amp; Config'!BI323&lt;&gt;"","Assumed",""))</f>
        <v/>
      </c>
      <c r="K318" s="34">
        <f>'12 - Deployments &amp; Config'!BH323</f>
        <v>0</v>
      </c>
      <c r="L318" s="18">
        <f>'12 - Deployments &amp; Config'!P323</f>
        <v>0</v>
      </c>
      <c r="M318" s="18">
        <f>'12 - Deployments &amp; Config'!Q323</f>
        <v>0</v>
      </c>
      <c r="N318" s="18" t="str">
        <f>'12 - Deployments &amp; Config'!BL323</f>
        <v/>
      </c>
      <c r="O318" s="34" t="str">
        <f>'12 - Deployments &amp; Config'!BM323</f>
        <v/>
      </c>
      <c r="P318" s="2">
        <f>'12 - Deployments &amp; Config'!BB323</f>
        <v>0</v>
      </c>
      <c r="Q318" s="34" t="str">
        <f t="shared" si="16"/>
        <v/>
      </c>
      <c r="R318" s="18" t="str">
        <f t="shared" si="17"/>
        <v>SW NOT INSTALLED</v>
      </c>
      <c r="S318" s="18" t="str">
        <f t="shared" si="18"/>
        <v/>
      </c>
      <c r="T318" s="18" t="str">
        <f t="shared" si="19"/>
        <v>SW NOT INSTALLED</v>
      </c>
    </row>
    <row r="319" spans="1:20">
      <c r="A319" s="34">
        <f>'12 - Deployments &amp; Config'!H324</f>
        <v>0</v>
      </c>
      <c r="B319" s="34">
        <f>'12 - Deployments &amp; Config'!S324</f>
        <v>0</v>
      </c>
      <c r="C319" s="34">
        <f>'12 - Deployments &amp; Config'!T324</f>
        <v>0</v>
      </c>
      <c r="D319" s="18">
        <f>'12 - Deployments &amp; Config'!AK324</f>
        <v>0</v>
      </c>
      <c r="E319" s="18">
        <f>'12 - Deployments &amp; Config'!J324</f>
        <v>0</v>
      </c>
      <c r="F319" s="34">
        <f>'12 - Deployments &amp; Config'!K324</f>
        <v>0</v>
      </c>
      <c r="G319" s="18">
        <f>'12 - Deployments &amp; Config'!L324</f>
        <v>0</v>
      </c>
      <c r="H319" s="18">
        <f>'13 - Config_Intake_View'!M319</f>
        <v>0</v>
      </c>
      <c r="I319" s="34">
        <f>IF('13 - Config_Intake_View'!Q319&lt;&gt;"",'13 - Config_Intake_View'!Q319,'12 - Deployments &amp; Config'!BI324)</f>
        <v>0</v>
      </c>
      <c r="J319" s="18" t="str">
        <f>IF('13 - Config_Intake_View'!Q319&lt;&gt;"","PM Approved",IF('12 - Deployments &amp; Config'!BI324&lt;&gt;"","Assumed",""))</f>
        <v/>
      </c>
      <c r="K319" s="34">
        <f>'12 - Deployments &amp; Config'!BH324</f>
        <v>0</v>
      </c>
      <c r="L319" s="18">
        <f>'12 - Deployments &amp; Config'!P324</f>
        <v>0</v>
      </c>
      <c r="M319" s="18">
        <f>'12 - Deployments &amp; Config'!Q324</f>
        <v>0</v>
      </c>
      <c r="N319" s="18" t="str">
        <f>'12 - Deployments &amp; Config'!BL324</f>
        <v/>
      </c>
      <c r="O319" s="34" t="str">
        <f>'12 - Deployments &amp; Config'!BM324</f>
        <v/>
      </c>
      <c r="P319" s="2">
        <f>'12 - Deployments &amp; Config'!BB324</f>
        <v>0</v>
      </c>
      <c r="Q319" s="34" t="str">
        <f t="shared" si="16"/>
        <v/>
      </c>
      <c r="R319" s="18" t="str">
        <f t="shared" si="17"/>
        <v>SW NOT INSTALLED</v>
      </c>
      <c r="S319" s="18" t="str">
        <f t="shared" si="18"/>
        <v/>
      </c>
      <c r="T319" s="18" t="str">
        <f t="shared" si="19"/>
        <v>SW NOT INSTALLED</v>
      </c>
    </row>
    <row r="320" spans="1:20">
      <c r="A320" s="34">
        <f>'12 - Deployments &amp; Config'!H325</f>
        <v>0</v>
      </c>
      <c r="B320" s="34">
        <f>'12 - Deployments &amp; Config'!S325</f>
        <v>0</v>
      </c>
      <c r="C320" s="34">
        <f>'12 - Deployments &amp; Config'!T325</f>
        <v>0</v>
      </c>
      <c r="D320" s="18">
        <f>'12 - Deployments &amp; Config'!AK325</f>
        <v>0</v>
      </c>
      <c r="E320" s="18">
        <f>'12 - Deployments &amp; Config'!J325</f>
        <v>0</v>
      </c>
      <c r="F320" s="34">
        <f>'12 - Deployments &amp; Config'!K325</f>
        <v>0</v>
      </c>
      <c r="G320" s="18">
        <f>'12 - Deployments &amp; Config'!L325</f>
        <v>0</v>
      </c>
      <c r="H320" s="18">
        <f>'13 - Config_Intake_View'!M320</f>
        <v>0</v>
      </c>
      <c r="I320" s="34">
        <f>IF('13 - Config_Intake_View'!Q320&lt;&gt;"",'13 - Config_Intake_View'!Q320,'12 - Deployments &amp; Config'!BI325)</f>
        <v>0</v>
      </c>
      <c r="J320" s="18" t="str">
        <f>IF('13 - Config_Intake_View'!Q320&lt;&gt;"","PM Approved",IF('12 - Deployments &amp; Config'!BI325&lt;&gt;"","Assumed",""))</f>
        <v/>
      </c>
      <c r="K320" s="34">
        <f>'12 - Deployments &amp; Config'!BH325</f>
        <v>0</v>
      </c>
      <c r="L320" s="18">
        <f>'12 - Deployments &amp; Config'!P325</f>
        <v>0</v>
      </c>
      <c r="M320" s="18">
        <f>'12 - Deployments &amp; Config'!Q325</f>
        <v>0</v>
      </c>
      <c r="N320" s="18" t="str">
        <f>'12 - Deployments &amp; Config'!BL325</f>
        <v/>
      </c>
      <c r="O320" s="34" t="str">
        <f>'12 - Deployments &amp; Config'!BM325</f>
        <v/>
      </c>
      <c r="P320" s="2">
        <f>'12 - Deployments &amp; Config'!BB325</f>
        <v>0</v>
      </c>
      <c r="Q320" s="34" t="str">
        <f t="shared" si="16"/>
        <v/>
      </c>
      <c r="R320" s="18" t="str">
        <f t="shared" si="17"/>
        <v>SW NOT INSTALLED</v>
      </c>
      <c r="S320" s="18" t="str">
        <f t="shared" si="18"/>
        <v/>
      </c>
      <c r="T320" s="18" t="str">
        <f t="shared" si="19"/>
        <v>SW NOT INSTALLED</v>
      </c>
    </row>
    <row r="321" spans="1:20">
      <c r="A321" s="34">
        <f>'12 - Deployments &amp; Config'!H326</f>
        <v>0</v>
      </c>
      <c r="B321" s="34">
        <f>'12 - Deployments &amp; Config'!S326</f>
        <v>0</v>
      </c>
      <c r="C321" s="34">
        <f>'12 - Deployments &amp; Config'!T326</f>
        <v>0</v>
      </c>
      <c r="D321" s="18">
        <f>'12 - Deployments &amp; Config'!AK326</f>
        <v>0</v>
      </c>
      <c r="E321" s="18">
        <f>'12 - Deployments &amp; Config'!J326</f>
        <v>0</v>
      </c>
      <c r="F321" s="34">
        <f>'12 - Deployments &amp; Config'!K326</f>
        <v>0</v>
      </c>
      <c r="G321" s="18">
        <f>'12 - Deployments &amp; Config'!L326</f>
        <v>0</v>
      </c>
      <c r="H321" s="18">
        <f>'13 - Config_Intake_View'!M321</f>
        <v>0</v>
      </c>
      <c r="I321" s="34">
        <f>IF('13 - Config_Intake_View'!Q321&lt;&gt;"",'13 - Config_Intake_View'!Q321,'12 - Deployments &amp; Config'!BI326)</f>
        <v>0</v>
      </c>
      <c r="J321" s="18" t="str">
        <f>IF('13 - Config_Intake_View'!Q321&lt;&gt;"","PM Approved",IF('12 - Deployments &amp; Config'!BI326&lt;&gt;"","Assumed",""))</f>
        <v/>
      </c>
      <c r="K321" s="34">
        <f>'12 - Deployments &amp; Config'!BH326</f>
        <v>0</v>
      </c>
      <c r="L321" s="18">
        <f>'12 - Deployments &amp; Config'!P326</f>
        <v>0</v>
      </c>
      <c r="M321" s="18">
        <f>'12 - Deployments &amp; Config'!Q326</f>
        <v>0</v>
      </c>
      <c r="N321" s="18" t="str">
        <f>'12 - Deployments &amp; Config'!BL326</f>
        <v/>
      </c>
      <c r="O321" s="34" t="str">
        <f>'12 - Deployments &amp; Config'!BM326</f>
        <v/>
      </c>
      <c r="P321" s="2">
        <f>'12 - Deployments &amp; Config'!BB326</f>
        <v>0</v>
      </c>
      <c r="Q321" s="34" t="str">
        <f t="shared" si="16"/>
        <v/>
      </c>
      <c r="R321" s="18" t="str">
        <f t="shared" si="17"/>
        <v>SW NOT INSTALLED</v>
      </c>
      <c r="S321" s="18" t="str">
        <f t="shared" si="18"/>
        <v/>
      </c>
      <c r="T321" s="18" t="str">
        <f t="shared" si="19"/>
        <v>SW NOT INSTALLED</v>
      </c>
    </row>
    <row r="322" spans="1:20">
      <c r="A322" s="34">
        <f>'12 - Deployments &amp; Config'!H327</f>
        <v>0</v>
      </c>
      <c r="B322" s="34">
        <f>'12 - Deployments &amp; Config'!S327</f>
        <v>0</v>
      </c>
      <c r="C322" s="34">
        <f>'12 - Deployments &amp; Config'!T327</f>
        <v>0</v>
      </c>
      <c r="D322" s="18">
        <f>'12 - Deployments &amp; Config'!AK327</f>
        <v>0</v>
      </c>
      <c r="E322" s="18">
        <f>'12 - Deployments &amp; Config'!J327</f>
        <v>0</v>
      </c>
      <c r="F322" s="34">
        <f>'12 - Deployments &amp; Config'!K327</f>
        <v>0</v>
      </c>
      <c r="G322" s="18">
        <f>'12 - Deployments &amp; Config'!L327</f>
        <v>0</v>
      </c>
      <c r="H322" s="18">
        <f>'13 - Config_Intake_View'!M322</f>
        <v>0</v>
      </c>
      <c r="I322" s="34">
        <f>IF('13 - Config_Intake_View'!Q322&lt;&gt;"",'13 - Config_Intake_View'!Q322,'12 - Deployments &amp; Config'!BI327)</f>
        <v>0</v>
      </c>
      <c r="J322" s="18" t="str">
        <f>IF('13 - Config_Intake_View'!Q322&lt;&gt;"","PM Approved",IF('12 - Deployments &amp; Config'!BI327&lt;&gt;"","Assumed",""))</f>
        <v/>
      </c>
      <c r="K322" s="34">
        <f>'12 - Deployments &amp; Config'!BH327</f>
        <v>0</v>
      </c>
      <c r="L322" s="18">
        <f>'12 - Deployments &amp; Config'!P327</f>
        <v>0</v>
      </c>
      <c r="M322" s="18">
        <f>'12 - Deployments &amp; Config'!Q327</f>
        <v>0</v>
      </c>
      <c r="N322" s="18" t="str">
        <f>'12 - Deployments &amp; Config'!BL327</f>
        <v/>
      </c>
      <c r="O322" s="34" t="str">
        <f>'12 - Deployments &amp; Config'!BM327</f>
        <v/>
      </c>
      <c r="P322" s="2">
        <f>'12 - Deployments &amp; Config'!BB327</f>
        <v>0</v>
      </c>
      <c r="Q322" s="34" t="str">
        <f t="shared" ref="Q322:Q385" si="20">IF(OR($A322="",$B322="",$D322=""),"MISSING CORE FIELDS","")</f>
        <v/>
      </c>
      <c r="R322" s="18" t="str">
        <f t="shared" ref="R322:R385" si="21">IF(AND($I322&lt;&gt;"",$K322&lt;&gt;"Yes"),"SW NOT INSTALLED","")</f>
        <v>SW NOT INSTALLED</v>
      </c>
      <c r="S322" s="18" t="str">
        <f t="shared" ref="S322:S385" si="22">IF(AND($H322&lt;&gt;"",ISNUMBER(SEARCH("auto",LOWER($H322))),$F322=""),"AUTOLOGON REQUIRED","")</f>
        <v/>
      </c>
      <c r="T322" s="18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4">
        <f>'12 - Deployments &amp; Config'!H328</f>
        <v>0</v>
      </c>
      <c r="B323" s="34">
        <f>'12 - Deployments &amp; Config'!S328</f>
        <v>0</v>
      </c>
      <c r="C323" s="34">
        <f>'12 - Deployments &amp; Config'!T328</f>
        <v>0</v>
      </c>
      <c r="D323" s="18">
        <f>'12 - Deployments &amp; Config'!AK328</f>
        <v>0</v>
      </c>
      <c r="E323" s="18">
        <f>'12 - Deployments &amp; Config'!J328</f>
        <v>0</v>
      </c>
      <c r="F323" s="34">
        <f>'12 - Deployments &amp; Config'!K328</f>
        <v>0</v>
      </c>
      <c r="G323" s="18">
        <f>'12 - Deployments &amp; Config'!L328</f>
        <v>0</v>
      </c>
      <c r="H323" s="18">
        <f>'13 - Config_Intake_View'!M323</f>
        <v>0</v>
      </c>
      <c r="I323" s="34">
        <f>IF('13 - Config_Intake_View'!Q323&lt;&gt;"",'13 - Config_Intake_View'!Q323,'12 - Deployments &amp; Config'!BI328)</f>
        <v>0</v>
      </c>
      <c r="J323" s="18" t="str">
        <f>IF('13 - Config_Intake_View'!Q323&lt;&gt;"","PM Approved",IF('12 - Deployments &amp; Config'!BI328&lt;&gt;"","Assumed",""))</f>
        <v/>
      </c>
      <c r="K323" s="34">
        <f>'12 - Deployments &amp; Config'!BH328</f>
        <v>0</v>
      </c>
      <c r="L323" s="18">
        <f>'12 - Deployments &amp; Config'!P328</f>
        <v>0</v>
      </c>
      <c r="M323" s="18">
        <f>'12 - Deployments &amp; Config'!Q328</f>
        <v>0</v>
      </c>
      <c r="N323" s="18" t="str">
        <f>'12 - Deployments &amp; Config'!BL328</f>
        <v/>
      </c>
      <c r="O323" s="34" t="str">
        <f>'12 - Deployments &amp; Config'!BM328</f>
        <v/>
      </c>
      <c r="P323" s="2">
        <f>'12 - Deployments &amp; Config'!BB328</f>
        <v>0</v>
      </c>
      <c r="Q323" s="34" t="str">
        <f t="shared" si="20"/>
        <v/>
      </c>
      <c r="R323" s="18" t="str">
        <f t="shared" si="21"/>
        <v>SW NOT INSTALLED</v>
      </c>
      <c r="S323" s="18" t="str">
        <f t="shared" si="22"/>
        <v/>
      </c>
      <c r="T323" s="18" t="str">
        <f t="shared" si="23"/>
        <v>SW NOT INSTALLED</v>
      </c>
    </row>
    <row r="324" spans="1:20">
      <c r="A324" s="34">
        <f>'12 - Deployments &amp; Config'!H329</f>
        <v>0</v>
      </c>
      <c r="B324" s="34">
        <f>'12 - Deployments &amp; Config'!S329</f>
        <v>0</v>
      </c>
      <c r="C324" s="34">
        <f>'12 - Deployments &amp; Config'!T329</f>
        <v>0</v>
      </c>
      <c r="D324" s="18">
        <f>'12 - Deployments &amp; Config'!AK329</f>
        <v>0</v>
      </c>
      <c r="E324" s="18">
        <f>'12 - Deployments &amp; Config'!J329</f>
        <v>0</v>
      </c>
      <c r="F324" s="34">
        <f>'12 - Deployments &amp; Config'!K329</f>
        <v>0</v>
      </c>
      <c r="G324" s="18">
        <f>'12 - Deployments &amp; Config'!L329</f>
        <v>0</v>
      </c>
      <c r="H324" s="18">
        <f>'13 - Config_Intake_View'!M324</f>
        <v>0</v>
      </c>
      <c r="I324" s="34">
        <f>IF('13 - Config_Intake_View'!Q324&lt;&gt;"",'13 - Config_Intake_View'!Q324,'12 - Deployments &amp; Config'!BI329)</f>
        <v>0</v>
      </c>
      <c r="J324" s="18" t="str">
        <f>IF('13 - Config_Intake_View'!Q324&lt;&gt;"","PM Approved",IF('12 - Deployments &amp; Config'!BI329&lt;&gt;"","Assumed",""))</f>
        <v/>
      </c>
      <c r="K324" s="34">
        <f>'12 - Deployments &amp; Config'!BH329</f>
        <v>0</v>
      </c>
      <c r="L324" s="18">
        <f>'12 - Deployments &amp; Config'!P329</f>
        <v>0</v>
      </c>
      <c r="M324" s="18">
        <f>'12 - Deployments &amp; Config'!Q329</f>
        <v>0</v>
      </c>
      <c r="N324" s="18" t="str">
        <f>'12 - Deployments &amp; Config'!BL329</f>
        <v/>
      </c>
      <c r="O324" s="34" t="str">
        <f>'12 - Deployments &amp; Config'!BM329</f>
        <v/>
      </c>
      <c r="P324" s="2">
        <f>'12 - Deployments &amp; Config'!BB329</f>
        <v>0</v>
      </c>
      <c r="Q324" s="34" t="str">
        <f t="shared" si="20"/>
        <v/>
      </c>
      <c r="R324" s="18" t="str">
        <f t="shared" si="21"/>
        <v>SW NOT INSTALLED</v>
      </c>
      <c r="S324" s="18" t="str">
        <f t="shared" si="22"/>
        <v/>
      </c>
      <c r="T324" s="18" t="str">
        <f t="shared" si="23"/>
        <v>SW NOT INSTALLED</v>
      </c>
    </row>
    <row r="325" spans="1:20">
      <c r="A325" s="34">
        <f>'12 - Deployments &amp; Config'!H330</f>
        <v>0</v>
      </c>
      <c r="B325" s="34">
        <f>'12 - Deployments &amp; Config'!S330</f>
        <v>0</v>
      </c>
      <c r="C325" s="34">
        <f>'12 - Deployments &amp; Config'!T330</f>
        <v>0</v>
      </c>
      <c r="D325" s="18">
        <f>'12 - Deployments &amp; Config'!AK330</f>
        <v>0</v>
      </c>
      <c r="E325" s="18">
        <f>'12 - Deployments &amp; Config'!J330</f>
        <v>0</v>
      </c>
      <c r="F325" s="34">
        <f>'12 - Deployments &amp; Config'!K330</f>
        <v>0</v>
      </c>
      <c r="G325" s="18">
        <f>'12 - Deployments &amp; Config'!L330</f>
        <v>0</v>
      </c>
      <c r="H325" s="18">
        <f>'13 - Config_Intake_View'!M325</f>
        <v>0</v>
      </c>
      <c r="I325" s="34">
        <f>IF('13 - Config_Intake_View'!Q325&lt;&gt;"",'13 - Config_Intake_View'!Q325,'12 - Deployments &amp; Config'!BI330)</f>
        <v>0</v>
      </c>
      <c r="J325" s="18" t="str">
        <f>IF('13 - Config_Intake_View'!Q325&lt;&gt;"","PM Approved",IF('12 - Deployments &amp; Config'!BI330&lt;&gt;"","Assumed",""))</f>
        <v/>
      </c>
      <c r="K325" s="34">
        <f>'12 - Deployments &amp; Config'!BH330</f>
        <v>0</v>
      </c>
      <c r="L325" s="18">
        <f>'12 - Deployments &amp; Config'!P330</f>
        <v>0</v>
      </c>
      <c r="M325" s="18">
        <f>'12 - Deployments &amp; Config'!Q330</f>
        <v>0</v>
      </c>
      <c r="N325" s="18" t="str">
        <f>'12 - Deployments &amp; Config'!BL330</f>
        <v/>
      </c>
      <c r="O325" s="34" t="str">
        <f>'12 - Deployments &amp; Config'!BM330</f>
        <v/>
      </c>
      <c r="P325" s="2">
        <f>'12 - Deployments &amp; Config'!BB330</f>
        <v>0</v>
      </c>
      <c r="Q325" s="34" t="str">
        <f t="shared" si="20"/>
        <v/>
      </c>
      <c r="R325" s="18" t="str">
        <f t="shared" si="21"/>
        <v>SW NOT INSTALLED</v>
      </c>
      <c r="S325" s="18" t="str">
        <f t="shared" si="22"/>
        <v/>
      </c>
      <c r="T325" s="18" t="str">
        <f t="shared" si="23"/>
        <v>SW NOT INSTALLED</v>
      </c>
    </row>
    <row r="326" spans="1:20">
      <c r="A326" s="34">
        <f>'12 - Deployments &amp; Config'!H331</f>
        <v>0</v>
      </c>
      <c r="B326" s="34">
        <f>'12 - Deployments &amp; Config'!S331</f>
        <v>0</v>
      </c>
      <c r="C326" s="34">
        <f>'12 - Deployments &amp; Config'!T331</f>
        <v>0</v>
      </c>
      <c r="D326" s="18">
        <f>'12 - Deployments &amp; Config'!AK331</f>
        <v>0</v>
      </c>
      <c r="E326" s="18">
        <f>'12 - Deployments &amp; Config'!J331</f>
        <v>0</v>
      </c>
      <c r="F326" s="34">
        <f>'12 - Deployments &amp; Config'!K331</f>
        <v>0</v>
      </c>
      <c r="G326" s="18">
        <f>'12 - Deployments &amp; Config'!L331</f>
        <v>0</v>
      </c>
      <c r="H326" s="18">
        <f>'13 - Config_Intake_View'!M326</f>
        <v>0</v>
      </c>
      <c r="I326" s="34">
        <f>IF('13 - Config_Intake_View'!Q326&lt;&gt;"",'13 - Config_Intake_View'!Q326,'12 - Deployments &amp; Config'!BI331)</f>
        <v>0</v>
      </c>
      <c r="J326" s="18" t="str">
        <f>IF('13 - Config_Intake_View'!Q326&lt;&gt;"","PM Approved",IF('12 - Deployments &amp; Config'!BI331&lt;&gt;"","Assumed",""))</f>
        <v/>
      </c>
      <c r="K326" s="34">
        <f>'12 - Deployments &amp; Config'!BH331</f>
        <v>0</v>
      </c>
      <c r="L326" s="18">
        <f>'12 - Deployments &amp; Config'!P331</f>
        <v>0</v>
      </c>
      <c r="M326" s="18">
        <f>'12 - Deployments &amp; Config'!Q331</f>
        <v>0</v>
      </c>
      <c r="N326" s="18" t="str">
        <f>'12 - Deployments &amp; Config'!BL331</f>
        <v/>
      </c>
      <c r="O326" s="34" t="str">
        <f>'12 - Deployments &amp; Config'!BM331</f>
        <v/>
      </c>
      <c r="P326" s="2">
        <f>'12 - Deployments &amp; Config'!BB331</f>
        <v>0</v>
      </c>
      <c r="Q326" s="34" t="str">
        <f t="shared" si="20"/>
        <v/>
      </c>
      <c r="R326" s="18" t="str">
        <f t="shared" si="21"/>
        <v>SW NOT INSTALLED</v>
      </c>
      <c r="S326" s="18" t="str">
        <f t="shared" si="22"/>
        <v/>
      </c>
      <c r="T326" s="18" t="str">
        <f t="shared" si="23"/>
        <v>SW NOT INSTALLED</v>
      </c>
    </row>
    <row r="327" spans="1:20">
      <c r="A327" s="34">
        <f>'12 - Deployments &amp; Config'!H332</f>
        <v>0</v>
      </c>
      <c r="B327" s="34">
        <f>'12 - Deployments &amp; Config'!S332</f>
        <v>0</v>
      </c>
      <c r="C327" s="34">
        <f>'12 - Deployments &amp; Config'!T332</f>
        <v>0</v>
      </c>
      <c r="D327" s="18">
        <f>'12 - Deployments &amp; Config'!AK332</f>
        <v>0</v>
      </c>
      <c r="E327" s="18">
        <f>'12 - Deployments &amp; Config'!J332</f>
        <v>0</v>
      </c>
      <c r="F327" s="34">
        <f>'12 - Deployments &amp; Config'!K332</f>
        <v>0</v>
      </c>
      <c r="G327" s="18">
        <f>'12 - Deployments &amp; Config'!L332</f>
        <v>0</v>
      </c>
      <c r="H327" s="18">
        <f>'13 - Config_Intake_View'!M327</f>
        <v>0</v>
      </c>
      <c r="I327" s="34">
        <f>IF('13 - Config_Intake_View'!Q327&lt;&gt;"",'13 - Config_Intake_View'!Q327,'12 - Deployments &amp; Config'!BI332)</f>
        <v>0</v>
      </c>
      <c r="J327" s="18" t="str">
        <f>IF('13 - Config_Intake_View'!Q327&lt;&gt;"","PM Approved",IF('12 - Deployments &amp; Config'!BI332&lt;&gt;"","Assumed",""))</f>
        <v/>
      </c>
      <c r="K327" s="34">
        <f>'12 - Deployments &amp; Config'!BH332</f>
        <v>0</v>
      </c>
      <c r="L327" s="18">
        <f>'12 - Deployments &amp; Config'!P332</f>
        <v>0</v>
      </c>
      <c r="M327" s="18">
        <f>'12 - Deployments &amp; Config'!Q332</f>
        <v>0</v>
      </c>
      <c r="N327" s="18" t="str">
        <f>'12 - Deployments &amp; Config'!BL332</f>
        <v/>
      </c>
      <c r="O327" s="34" t="str">
        <f>'12 - Deployments &amp; Config'!BM332</f>
        <v/>
      </c>
      <c r="P327" s="2">
        <f>'12 - Deployments &amp; Config'!BB332</f>
        <v>0</v>
      </c>
      <c r="Q327" s="34" t="str">
        <f t="shared" si="20"/>
        <v/>
      </c>
      <c r="R327" s="18" t="str">
        <f t="shared" si="21"/>
        <v>SW NOT INSTALLED</v>
      </c>
      <c r="S327" s="18" t="str">
        <f t="shared" si="22"/>
        <v/>
      </c>
      <c r="T327" s="18" t="str">
        <f t="shared" si="23"/>
        <v>SW NOT INSTALLED</v>
      </c>
    </row>
    <row r="328" spans="1:20">
      <c r="A328" s="34">
        <f>'12 - Deployments &amp; Config'!H333</f>
        <v>0</v>
      </c>
      <c r="B328" s="34">
        <f>'12 - Deployments &amp; Config'!S333</f>
        <v>0</v>
      </c>
      <c r="C328" s="34">
        <f>'12 - Deployments &amp; Config'!T333</f>
        <v>0</v>
      </c>
      <c r="D328" s="18">
        <f>'12 - Deployments &amp; Config'!AK333</f>
        <v>0</v>
      </c>
      <c r="E328" s="18">
        <f>'12 - Deployments &amp; Config'!J333</f>
        <v>0</v>
      </c>
      <c r="F328" s="34">
        <f>'12 - Deployments &amp; Config'!K333</f>
        <v>0</v>
      </c>
      <c r="G328" s="18">
        <f>'12 - Deployments &amp; Config'!L333</f>
        <v>0</v>
      </c>
      <c r="H328" s="18">
        <f>'13 - Config_Intake_View'!M328</f>
        <v>0</v>
      </c>
      <c r="I328" s="34">
        <f>IF('13 - Config_Intake_View'!Q328&lt;&gt;"",'13 - Config_Intake_View'!Q328,'12 - Deployments &amp; Config'!BI333)</f>
        <v>0</v>
      </c>
      <c r="J328" s="18" t="str">
        <f>IF('13 - Config_Intake_View'!Q328&lt;&gt;"","PM Approved",IF('12 - Deployments &amp; Config'!BI333&lt;&gt;"","Assumed",""))</f>
        <v/>
      </c>
      <c r="K328" s="34">
        <f>'12 - Deployments &amp; Config'!BH333</f>
        <v>0</v>
      </c>
      <c r="L328" s="18">
        <f>'12 - Deployments &amp; Config'!P333</f>
        <v>0</v>
      </c>
      <c r="M328" s="18">
        <f>'12 - Deployments &amp; Config'!Q333</f>
        <v>0</v>
      </c>
      <c r="N328" s="18" t="str">
        <f>'12 - Deployments &amp; Config'!BL333</f>
        <v/>
      </c>
      <c r="O328" s="34" t="str">
        <f>'12 - Deployments &amp; Config'!BM333</f>
        <v/>
      </c>
      <c r="P328" s="2">
        <f>'12 - Deployments &amp; Config'!BB333</f>
        <v>0</v>
      </c>
      <c r="Q328" s="34" t="str">
        <f t="shared" si="20"/>
        <v/>
      </c>
      <c r="R328" s="18" t="str">
        <f t="shared" si="21"/>
        <v>SW NOT INSTALLED</v>
      </c>
      <c r="S328" s="18" t="str">
        <f t="shared" si="22"/>
        <v/>
      </c>
      <c r="T328" s="18" t="str">
        <f t="shared" si="23"/>
        <v>SW NOT INSTALLED</v>
      </c>
    </row>
    <row r="329" spans="1:20">
      <c r="A329" s="34">
        <f>'12 - Deployments &amp; Config'!H334</f>
        <v>0</v>
      </c>
      <c r="B329" s="34">
        <f>'12 - Deployments &amp; Config'!S334</f>
        <v>0</v>
      </c>
      <c r="C329" s="34">
        <f>'12 - Deployments &amp; Config'!T334</f>
        <v>0</v>
      </c>
      <c r="D329" s="18">
        <f>'12 - Deployments &amp; Config'!AK334</f>
        <v>0</v>
      </c>
      <c r="E329" s="18">
        <f>'12 - Deployments &amp; Config'!J334</f>
        <v>0</v>
      </c>
      <c r="F329" s="34">
        <f>'12 - Deployments &amp; Config'!K334</f>
        <v>0</v>
      </c>
      <c r="G329" s="18">
        <f>'12 - Deployments &amp; Config'!L334</f>
        <v>0</v>
      </c>
      <c r="H329" s="18">
        <f>'13 - Config_Intake_View'!M329</f>
        <v>0</v>
      </c>
      <c r="I329" s="34">
        <f>IF('13 - Config_Intake_View'!Q329&lt;&gt;"",'13 - Config_Intake_View'!Q329,'12 - Deployments &amp; Config'!BI334)</f>
        <v>0</v>
      </c>
      <c r="J329" s="18" t="str">
        <f>IF('13 - Config_Intake_View'!Q329&lt;&gt;"","PM Approved",IF('12 - Deployments &amp; Config'!BI334&lt;&gt;"","Assumed",""))</f>
        <v/>
      </c>
      <c r="K329" s="34">
        <f>'12 - Deployments &amp; Config'!BH334</f>
        <v>0</v>
      </c>
      <c r="L329" s="18">
        <f>'12 - Deployments &amp; Config'!P334</f>
        <v>0</v>
      </c>
      <c r="M329" s="18">
        <f>'12 - Deployments &amp; Config'!Q334</f>
        <v>0</v>
      </c>
      <c r="N329" s="18" t="str">
        <f>'12 - Deployments &amp; Config'!BL334</f>
        <v/>
      </c>
      <c r="O329" s="34" t="str">
        <f>'12 - Deployments &amp; Config'!BM334</f>
        <v/>
      </c>
      <c r="P329" s="2">
        <f>'12 - Deployments &amp; Config'!BB334</f>
        <v>0</v>
      </c>
      <c r="Q329" s="34" t="str">
        <f t="shared" si="20"/>
        <v/>
      </c>
      <c r="R329" s="18" t="str">
        <f t="shared" si="21"/>
        <v>SW NOT INSTALLED</v>
      </c>
      <c r="S329" s="18" t="str">
        <f t="shared" si="22"/>
        <v/>
      </c>
      <c r="T329" s="18" t="str">
        <f t="shared" si="23"/>
        <v>SW NOT INSTALLED</v>
      </c>
    </row>
    <row r="330" spans="1:20">
      <c r="A330" s="34">
        <f>'12 - Deployments &amp; Config'!H335</f>
        <v>0</v>
      </c>
      <c r="B330" s="34">
        <f>'12 - Deployments &amp; Config'!S335</f>
        <v>0</v>
      </c>
      <c r="C330" s="34">
        <f>'12 - Deployments &amp; Config'!T335</f>
        <v>0</v>
      </c>
      <c r="D330" s="18">
        <f>'12 - Deployments &amp; Config'!AK335</f>
        <v>0</v>
      </c>
      <c r="E330" s="18">
        <f>'12 - Deployments &amp; Config'!J335</f>
        <v>0</v>
      </c>
      <c r="F330" s="34">
        <f>'12 - Deployments &amp; Config'!K335</f>
        <v>0</v>
      </c>
      <c r="G330" s="18">
        <f>'12 - Deployments &amp; Config'!L335</f>
        <v>0</v>
      </c>
      <c r="H330" s="18">
        <f>'13 - Config_Intake_View'!M330</f>
        <v>0</v>
      </c>
      <c r="I330" s="34">
        <f>IF('13 - Config_Intake_View'!Q330&lt;&gt;"",'13 - Config_Intake_View'!Q330,'12 - Deployments &amp; Config'!BI335)</f>
        <v>0</v>
      </c>
      <c r="J330" s="18" t="str">
        <f>IF('13 - Config_Intake_View'!Q330&lt;&gt;"","PM Approved",IF('12 - Deployments &amp; Config'!BI335&lt;&gt;"","Assumed",""))</f>
        <v/>
      </c>
      <c r="K330" s="34">
        <f>'12 - Deployments &amp; Config'!BH335</f>
        <v>0</v>
      </c>
      <c r="L330" s="18">
        <f>'12 - Deployments &amp; Config'!P335</f>
        <v>0</v>
      </c>
      <c r="M330" s="18">
        <f>'12 - Deployments &amp; Config'!Q335</f>
        <v>0</v>
      </c>
      <c r="N330" s="18" t="str">
        <f>'12 - Deployments &amp; Config'!BL335</f>
        <v/>
      </c>
      <c r="O330" s="34" t="str">
        <f>'12 - Deployments &amp; Config'!BM335</f>
        <v/>
      </c>
      <c r="P330" s="2">
        <f>'12 - Deployments &amp; Config'!BB335</f>
        <v>0</v>
      </c>
      <c r="Q330" s="34" t="str">
        <f t="shared" si="20"/>
        <v/>
      </c>
      <c r="R330" s="18" t="str">
        <f t="shared" si="21"/>
        <v>SW NOT INSTALLED</v>
      </c>
      <c r="S330" s="18" t="str">
        <f t="shared" si="22"/>
        <v/>
      </c>
      <c r="T330" s="18" t="str">
        <f t="shared" si="23"/>
        <v>SW NOT INSTALLED</v>
      </c>
    </row>
    <row r="331" spans="1:20">
      <c r="A331" s="34">
        <f>'12 - Deployments &amp; Config'!H336</f>
        <v>0</v>
      </c>
      <c r="B331" s="34">
        <f>'12 - Deployments &amp; Config'!S336</f>
        <v>0</v>
      </c>
      <c r="C331" s="34">
        <f>'12 - Deployments &amp; Config'!T336</f>
        <v>0</v>
      </c>
      <c r="D331" s="18">
        <f>'12 - Deployments &amp; Config'!AK336</f>
        <v>0</v>
      </c>
      <c r="E331" s="18">
        <f>'12 - Deployments &amp; Config'!J336</f>
        <v>0</v>
      </c>
      <c r="F331" s="34">
        <f>'12 - Deployments &amp; Config'!K336</f>
        <v>0</v>
      </c>
      <c r="G331" s="18">
        <f>'12 - Deployments &amp; Config'!L336</f>
        <v>0</v>
      </c>
      <c r="H331" s="18">
        <f>'13 - Config_Intake_View'!M331</f>
        <v>0</v>
      </c>
      <c r="I331" s="34">
        <f>IF('13 - Config_Intake_View'!Q331&lt;&gt;"",'13 - Config_Intake_View'!Q331,'12 - Deployments &amp; Config'!BI336)</f>
        <v>0</v>
      </c>
      <c r="J331" s="18" t="str">
        <f>IF('13 - Config_Intake_View'!Q331&lt;&gt;"","PM Approved",IF('12 - Deployments &amp; Config'!BI336&lt;&gt;"","Assumed",""))</f>
        <v/>
      </c>
      <c r="K331" s="34">
        <f>'12 - Deployments &amp; Config'!BH336</f>
        <v>0</v>
      </c>
      <c r="L331" s="18">
        <f>'12 - Deployments &amp; Config'!P336</f>
        <v>0</v>
      </c>
      <c r="M331" s="18">
        <f>'12 - Deployments &amp; Config'!Q336</f>
        <v>0</v>
      </c>
      <c r="N331" s="18" t="str">
        <f>'12 - Deployments &amp; Config'!BL336</f>
        <v/>
      </c>
      <c r="O331" s="34" t="str">
        <f>'12 - Deployments &amp; Config'!BM336</f>
        <v/>
      </c>
      <c r="P331" s="2">
        <f>'12 - Deployments &amp; Config'!BB336</f>
        <v>0</v>
      </c>
      <c r="Q331" s="34" t="str">
        <f t="shared" si="20"/>
        <v/>
      </c>
      <c r="R331" s="18" t="str">
        <f t="shared" si="21"/>
        <v>SW NOT INSTALLED</v>
      </c>
      <c r="S331" s="18" t="str">
        <f t="shared" si="22"/>
        <v/>
      </c>
      <c r="T331" s="18" t="str">
        <f t="shared" si="23"/>
        <v>SW NOT INSTALLED</v>
      </c>
    </row>
    <row r="332" spans="1:20">
      <c r="A332" s="34">
        <f>'12 - Deployments &amp; Config'!H337</f>
        <v>0</v>
      </c>
      <c r="B332" s="34">
        <f>'12 - Deployments &amp; Config'!S337</f>
        <v>0</v>
      </c>
      <c r="C332" s="34">
        <f>'12 - Deployments &amp; Config'!T337</f>
        <v>0</v>
      </c>
      <c r="D332" s="18">
        <f>'12 - Deployments &amp; Config'!AK337</f>
        <v>0</v>
      </c>
      <c r="E332" s="18">
        <f>'12 - Deployments &amp; Config'!J337</f>
        <v>0</v>
      </c>
      <c r="F332" s="34">
        <f>'12 - Deployments &amp; Config'!K337</f>
        <v>0</v>
      </c>
      <c r="G332" s="18">
        <f>'12 - Deployments &amp; Config'!L337</f>
        <v>0</v>
      </c>
      <c r="H332" s="18">
        <f>'13 - Config_Intake_View'!M332</f>
        <v>0</v>
      </c>
      <c r="I332" s="34">
        <f>IF('13 - Config_Intake_View'!Q332&lt;&gt;"",'13 - Config_Intake_View'!Q332,'12 - Deployments &amp; Config'!BI337)</f>
        <v>0</v>
      </c>
      <c r="J332" s="18" t="str">
        <f>IF('13 - Config_Intake_View'!Q332&lt;&gt;"","PM Approved",IF('12 - Deployments &amp; Config'!BI337&lt;&gt;"","Assumed",""))</f>
        <v/>
      </c>
      <c r="K332" s="34">
        <f>'12 - Deployments &amp; Config'!BH337</f>
        <v>0</v>
      </c>
      <c r="L332" s="18">
        <f>'12 - Deployments &amp; Config'!P337</f>
        <v>0</v>
      </c>
      <c r="M332" s="18">
        <f>'12 - Deployments &amp; Config'!Q337</f>
        <v>0</v>
      </c>
      <c r="N332" s="18" t="str">
        <f>'12 - Deployments &amp; Config'!BL337</f>
        <v/>
      </c>
      <c r="O332" s="34" t="str">
        <f>'12 - Deployments &amp; Config'!BM337</f>
        <v/>
      </c>
      <c r="P332" s="2">
        <f>'12 - Deployments &amp; Config'!BB337</f>
        <v>0</v>
      </c>
      <c r="Q332" s="34" t="str">
        <f t="shared" si="20"/>
        <v/>
      </c>
      <c r="R332" s="18" t="str">
        <f t="shared" si="21"/>
        <v>SW NOT INSTALLED</v>
      </c>
      <c r="S332" s="18" t="str">
        <f t="shared" si="22"/>
        <v/>
      </c>
      <c r="T332" s="18" t="str">
        <f t="shared" si="23"/>
        <v>SW NOT INSTALLED</v>
      </c>
    </row>
    <row r="333" spans="1:20">
      <c r="A333" s="34">
        <f>'12 - Deployments &amp; Config'!H338</f>
        <v>0</v>
      </c>
      <c r="B333" s="34">
        <f>'12 - Deployments &amp; Config'!S338</f>
        <v>0</v>
      </c>
      <c r="C333" s="34">
        <f>'12 - Deployments &amp; Config'!T338</f>
        <v>0</v>
      </c>
      <c r="D333" s="18">
        <f>'12 - Deployments &amp; Config'!AK338</f>
        <v>0</v>
      </c>
      <c r="E333" s="18">
        <f>'12 - Deployments &amp; Config'!J338</f>
        <v>0</v>
      </c>
      <c r="F333" s="34">
        <f>'12 - Deployments &amp; Config'!K338</f>
        <v>0</v>
      </c>
      <c r="G333" s="18">
        <f>'12 - Deployments &amp; Config'!L338</f>
        <v>0</v>
      </c>
      <c r="H333" s="18">
        <f>'13 - Config_Intake_View'!M333</f>
        <v>0</v>
      </c>
      <c r="I333" s="34">
        <f>IF('13 - Config_Intake_View'!Q333&lt;&gt;"",'13 - Config_Intake_View'!Q333,'12 - Deployments &amp; Config'!BI338)</f>
        <v>0</v>
      </c>
      <c r="J333" s="18" t="str">
        <f>IF('13 - Config_Intake_View'!Q333&lt;&gt;"","PM Approved",IF('12 - Deployments &amp; Config'!BI338&lt;&gt;"","Assumed",""))</f>
        <v/>
      </c>
      <c r="K333" s="34">
        <f>'12 - Deployments &amp; Config'!BH338</f>
        <v>0</v>
      </c>
      <c r="L333" s="18">
        <f>'12 - Deployments &amp; Config'!P338</f>
        <v>0</v>
      </c>
      <c r="M333" s="18">
        <f>'12 - Deployments &amp; Config'!Q338</f>
        <v>0</v>
      </c>
      <c r="N333" s="18" t="str">
        <f>'12 - Deployments &amp; Config'!BL338</f>
        <v/>
      </c>
      <c r="O333" s="34" t="str">
        <f>'12 - Deployments &amp; Config'!BM338</f>
        <v/>
      </c>
      <c r="P333" s="2">
        <f>'12 - Deployments &amp; Config'!BB338</f>
        <v>0</v>
      </c>
      <c r="Q333" s="34" t="str">
        <f t="shared" si="20"/>
        <v/>
      </c>
      <c r="R333" s="18" t="str">
        <f t="shared" si="21"/>
        <v>SW NOT INSTALLED</v>
      </c>
      <c r="S333" s="18" t="str">
        <f t="shared" si="22"/>
        <v/>
      </c>
      <c r="T333" s="18" t="str">
        <f t="shared" si="23"/>
        <v>SW NOT INSTALLED</v>
      </c>
    </row>
    <row r="334" spans="1:20">
      <c r="A334" s="34">
        <f>'12 - Deployments &amp; Config'!H339</f>
        <v>0</v>
      </c>
      <c r="B334" s="34">
        <f>'12 - Deployments &amp; Config'!S339</f>
        <v>0</v>
      </c>
      <c r="C334" s="34">
        <f>'12 - Deployments &amp; Config'!T339</f>
        <v>0</v>
      </c>
      <c r="D334" s="18">
        <f>'12 - Deployments &amp; Config'!AK339</f>
        <v>0</v>
      </c>
      <c r="E334" s="18">
        <f>'12 - Deployments &amp; Config'!J339</f>
        <v>0</v>
      </c>
      <c r="F334" s="34">
        <f>'12 - Deployments &amp; Config'!K339</f>
        <v>0</v>
      </c>
      <c r="G334" s="18">
        <f>'12 - Deployments &amp; Config'!L339</f>
        <v>0</v>
      </c>
      <c r="H334" s="18">
        <f>'13 - Config_Intake_View'!M334</f>
        <v>0</v>
      </c>
      <c r="I334" s="34">
        <f>IF('13 - Config_Intake_View'!Q334&lt;&gt;"",'13 - Config_Intake_View'!Q334,'12 - Deployments &amp; Config'!BI339)</f>
        <v>0</v>
      </c>
      <c r="J334" s="18" t="str">
        <f>IF('13 - Config_Intake_View'!Q334&lt;&gt;"","PM Approved",IF('12 - Deployments &amp; Config'!BI339&lt;&gt;"","Assumed",""))</f>
        <v/>
      </c>
      <c r="K334" s="34">
        <f>'12 - Deployments &amp; Config'!BH339</f>
        <v>0</v>
      </c>
      <c r="L334" s="18">
        <f>'12 - Deployments &amp; Config'!P339</f>
        <v>0</v>
      </c>
      <c r="M334" s="18">
        <f>'12 - Deployments &amp; Config'!Q339</f>
        <v>0</v>
      </c>
      <c r="N334" s="18" t="str">
        <f>'12 - Deployments &amp; Config'!BL339</f>
        <v/>
      </c>
      <c r="O334" s="34" t="str">
        <f>'12 - Deployments &amp; Config'!BM339</f>
        <v/>
      </c>
      <c r="P334" s="2">
        <f>'12 - Deployments &amp; Config'!BB339</f>
        <v>0</v>
      </c>
      <c r="Q334" s="34" t="str">
        <f t="shared" si="20"/>
        <v/>
      </c>
      <c r="R334" s="18" t="str">
        <f t="shared" si="21"/>
        <v>SW NOT INSTALLED</v>
      </c>
      <c r="S334" s="18" t="str">
        <f t="shared" si="22"/>
        <v/>
      </c>
      <c r="T334" s="18" t="str">
        <f t="shared" si="23"/>
        <v>SW NOT INSTALLED</v>
      </c>
    </row>
    <row r="335" spans="1:20">
      <c r="A335" s="34">
        <f>'12 - Deployments &amp; Config'!H340</f>
        <v>0</v>
      </c>
      <c r="B335" s="34">
        <f>'12 - Deployments &amp; Config'!S340</f>
        <v>0</v>
      </c>
      <c r="C335" s="34">
        <f>'12 - Deployments &amp; Config'!T340</f>
        <v>0</v>
      </c>
      <c r="D335" s="18">
        <f>'12 - Deployments &amp; Config'!AK340</f>
        <v>0</v>
      </c>
      <c r="E335" s="18">
        <f>'12 - Deployments &amp; Config'!J340</f>
        <v>0</v>
      </c>
      <c r="F335" s="34">
        <f>'12 - Deployments &amp; Config'!K340</f>
        <v>0</v>
      </c>
      <c r="G335" s="18">
        <f>'12 - Deployments &amp; Config'!L340</f>
        <v>0</v>
      </c>
      <c r="H335" s="18">
        <f>'13 - Config_Intake_View'!M335</f>
        <v>0</v>
      </c>
      <c r="I335" s="34">
        <f>IF('13 - Config_Intake_View'!Q335&lt;&gt;"",'13 - Config_Intake_View'!Q335,'12 - Deployments &amp; Config'!BI340)</f>
        <v>0</v>
      </c>
      <c r="J335" s="18" t="str">
        <f>IF('13 - Config_Intake_View'!Q335&lt;&gt;"","PM Approved",IF('12 - Deployments &amp; Config'!BI340&lt;&gt;"","Assumed",""))</f>
        <v/>
      </c>
      <c r="K335" s="34">
        <f>'12 - Deployments &amp; Config'!BH340</f>
        <v>0</v>
      </c>
      <c r="L335" s="18">
        <f>'12 - Deployments &amp; Config'!P340</f>
        <v>0</v>
      </c>
      <c r="M335" s="18">
        <f>'12 - Deployments &amp; Config'!Q340</f>
        <v>0</v>
      </c>
      <c r="N335" s="18" t="str">
        <f>'12 - Deployments &amp; Config'!BL340</f>
        <v/>
      </c>
      <c r="O335" s="34" t="str">
        <f>'12 - Deployments &amp; Config'!BM340</f>
        <v/>
      </c>
      <c r="P335" s="2">
        <f>'12 - Deployments &amp; Config'!BB340</f>
        <v>0</v>
      </c>
      <c r="Q335" s="34" t="str">
        <f t="shared" si="20"/>
        <v/>
      </c>
      <c r="R335" s="18" t="str">
        <f t="shared" si="21"/>
        <v>SW NOT INSTALLED</v>
      </c>
      <c r="S335" s="18" t="str">
        <f t="shared" si="22"/>
        <v/>
      </c>
      <c r="T335" s="18" t="str">
        <f t="shared" si="23"/>
        <v>SW NOT INSTALLED</v>
      </c>
    </row>
    <row r="336" spans="1:20">
      <c r="A336" s="34">
        <f>'12 - Deployments &amp; Config'!H341</f>
        <v>0</v>
      </c>
      <c r="B336" s="34">
        <f>'12 - Deployments &amp; Config'!S341</f>
        <v>0</v>
      </c>
      <c r="C336" s="34">
        <f>'12 - Deployments &amp; Config'!T341</f>
        <v>0</v>
      </c>
      <c r="D336" s="18">
        <f>'12 - Deployments &amp; Config'!AK341</f>
        <v>0</v>
      </c>
      <c r="E336" s="18">
        <f>'12 - Deployments &amp; Config'!J341</f>
        <v>0</v>
      </c>
      <c r="F336" s="34">
        <f>'12 - Deployments &amp; Config'!K341</f>
        <v>0</v>
      </c>
      <c r="G336" s="18">
        <f>'12 - Deployments &amp; Config'!L341</f>
        <v>0</v>
      </c>
      <c r="H336" s="18">
        <f>'13 - Config_Intake_View'!M336</f>
        <v>0</v>
      </c>
      <c r="I336" s="34">
        <f>IF('13 - Config_Intake_View'!Q336&lt;&gt;"",'13 - Config_Intake_View'!Q336,'12 - Deployments &amp; Config'!BI341)</f>
        <v>0</v>
      </c>
      <c r="J336" s="18" t="str">
        <f>IF('13 - Config_Intake_View'!Q336&lt;&gt;"","PM Approved",IF('12 - Deployments &amp; Config'!BI341&lt;&gt;"","Assumed",""))</f>
        <v/>
      </c>
      <c r="K336" s="34">
        <f>'12 - Deployments &amp; Config'!BH341</f>
        <v>0</v>
      </c>
      <c r="L336" s="18">
        <f>'12 - Deployments &amp; Config'!P341</f>
        <v>0</v>
      </c>
      <c r="M336" s="18">
        <f>'12 - Deployments &amp; Config'!Q341</f>
        <v>0</v>
      </c>
      <c r="N336" s="18" t="str">
        <f>'12 - Deployments &amp; Config'!BL341</f>
        <v/>
      </c>
      <c r="O336" s="34" t="str">
        <f>'12 - Deployments &amp; Config'!BM341</f>
        <v/>
      </c>
      <c r="P336" s="2">
        <f>'12 - Deployments &amp; Config'!BB341</f>
        <v>0</v>
      </c>
      <c r="Q336" s="34" t="str">
        <f t="shared" si="20"/>
        <v/>
      </c>
      <c r="R336" s="18" t="str">
        <f t="shared" si="21"/>
        <v>SW NOT INSTALLED</v>
      </c>
      <c r="S336" s="18" t="str">
        <f t="shared" si="22"/>
        <v/>
      </c>
      <c r="T336" s="18" t="str">
        <f t="shared" si="23"/>
        <v>SW NOT INSTALLED</v>
      </c>
    </row>
    <row r="337" spans="1:20">
      <c r="A337" s="34">
        <f>'12 - Deployments &amp; Config'!H342</f>
        <v>0</v>
      </c>
      <c r="B337" s="34">
        <f>'12 - Deployments &amp; Config'!S342</f>
        <v>0</v>
      </c>
      <c r="C337" s="34">
        <f>'12 - Deployments &amp; Config'!T342</f>
        <v>0</v>
      </c>
      <c r="D337" s="18">
        <f>'12 - Deployments &amp; Config'!AK342</f>
        <v>0</v>
      </c>
      <c r="E337" s="18">
        <f>'12 - Deployments &amp; Config'!J342</f>
        <v>0</v>
      </c>
      <c r="F337" s="34">
        <f>'12 - Deployments &amp; Config'!K342</f>
        <v>0</v>
      </c>
      <c r="G337" s="18">
        <f>'12 - Deployments &amp; Config'!L342</f>
        <v>0</v>
      </c>
      <c r="H337" s="18">
        <f>'13 - Config_Intake_View'!M337</f>
        <v>0</v>
      </c>
      <c r="I337" s="34">
        <f>IF('13 - Config_Intake_View'!Q337&lt;&gt;"",'13 - Config_Intake_View'!Q337,'12 - Deployments &amp; Config'!BI342)</f>
        <v>0</v>
      </c>
      <c r="J337" s="18" t="str">
        <f>IF('13 - Config_Intake_View'!Q337&lt;&gt;"","PM Approved",IF('12 - Deployments &amp; Config'!BI342&lt;&gt;"","Assumed",""))</f>
        <v/>
      </c>
      <c r="K337" s="34">
        <f>'12 - Deployments &amp; Config'!BH342</f>
        <v>0</v>
      </c>
      <c r="L337" s="18">
        <f>'12 - Deployments &amp; Config'!P342</f>
        <v>0</v>
      </c>
      <c r="M337" s="18">
        <f>'12 - Deployments &amp; Config'!Q342</f>
        <v>0</v>
      </c>
      <c r="N337" s="18" t="str">
        <f>'12 - Deployments &amp; Config'!BL342</f>
        <v/>
      </c>
      <c r="O337" s="34" t="str">
        <f>'12 - Deployments &amp; Config'!BM342</f>
        <v/>
      </c>
      <c r="P337" s="2">
        <f>'12 - Deployments &amp; Config'!BB342</f>
        <v>0</v>
      </c>
      <c r="Q337" s="34" t="str">
        <f t="shared" si="20"/>
        <v/>
      </c>
      <c r="R337" s="18" t="str">
        <f t="shared" si="21"/>
        <v>SW NOT INSTALLED</v>
      </c>
      <c r="S337" s="18" t="str">
        <f t="shared" si="22"/>
        <v/>
      </c>
      <c r="T337" s="18" t="str">
        <f t="shared" si="23"/>
        <v>SW NOT INSTALLED</v>
      </c>
    </row>
    <row r="338" spans="1:20">
      <c r="A338" s="34">
        <f>'12 - Deployments &amp; Config'!H343</f>
        <v>0</v>
      </c>
      <c r="B338" s="34">
        <f>'12 - Deployments &amp; Config'!S343</f>
        <v>0</v>
      </c>
      <c r="C338" s="34">
        <f>'12 - Deployments &amp; Config'!T343</f>
        <v>0</v>
      </c>
      <c r="D338" s="18">
        <f>'12 - Deployments &amp; Config'!AK343</f>
        <v>0</v>
      </c>
      <c r="E338" s="18">
        <f>'12 - Deployments &amp; Config'!J343</f>
        <v>0</v>
      </c>
      <c r="F338" s="34">
        <f>'12 - Deployments &amp; Config'!K343</f>
        <v>0</v>
      </c>
      <c r="G338" s="18">
        <f>'12 - Deployments &amp; Config'!L343</f>
        <v>0</v>
      </c>
      <c r="H338" s="18">
        <f>'13 - Config_Intake_View'!M338</f>
        <v>0</v>
      </c>
      <c r="I338" s="34">
        <f>IF('13 - Config_Intake_View'!Q338&lt;&gt;"",'13 - Config_Intake_View'!Q338,'12 - Deployments &amp; Config'!BI343)</f>
        <v>0</v>
      </c>
      <c r="J338" s="18" t="str">
        <f>IF('13 - Config_Intake_View'!Q338&lt;&gt;"","PM Approved",IF('12 - Deployments &amp; Config'!BI343&lt;&gt;"","Assumed",""))</f>
        <v/>
      </c>
      <c r="K338" s="34">
        <f>'12 - Deployments &amp; Config'!BH343</f>
        <v>0</v>
      </c>
      <c r="L338" s="18">
        <f>'12 - Deployments &amp; Config'!P343</f>
        <v>0</v>
      </c>
      <c r="M338" s="18">
        <f>'12 - Deployments &amp; Config'!Q343</f>
        <v>0</v>
      </c>
      <c r="N338" s="18" t="str">
        <f>'12 - Deployments &amp; Config'!BL343</f>
        <v/>
      </c>
      <c r="O338" s="34" t="str">
        <f>'12 - Deployments &amp; Config'!BM343</f>
        <v/>
      </c>
      <c r="P338" s="2">
        <f>'12 - Deployments &amp; Config'!BB343</f>
        <v>0</v>
      </c>
      <c r="Q338" s="34" t="str">
        <f t="shared" si="20"/>
        <v/>
      </c>
      <c r="R338" s="18" t="str">
        <f t="shared" si="21"/>
        <v>SW NOT INSTALLED</v>
      </c>
      <c r="S338" s="18" t="str">
        <f t="shared" si="22"/>
        <v/>
      </c>
      <c r="T338" s="18" t="str">
        <f t="shared" si="23"/>
        <v>SW NOT INSTALLED</v>
      </c>
    </row>
    <row r="339" spans="1:20">
      <c r="A339" s="34">
        <f>'12 - Deployments &amp; Config'!H344</f>
        <v>0</v>
      </c>
      <c r="B339" s="34">
        <f>'12 - Deployments &amp; Config'!S344</f>
        <v>0</v>
      </c>
      <c r="C339" s="34">
        <f>'12 - Deployments &amp; Config'!T344</f>
        <v>0</v>
      </c>
      <c r="D339" s="18">
        <f>'12 - Deployments &amp; Config'!AK344</f>
        <v>0</v>
      </c>
      <c r="E339" s="18">
        <f>'12 - Deployments &amp; Config'!J344</f>
        <v>0</v>
      </c>
      <c r="F339" s="34">
        <f>'12 - Deployments &amp; Config'!K344</f>
        <v>0</v>
      </c>
      <c r="G339" s="18">
        <f>'12 - Deployments &amp; Config'!L344</f>
        <v>0</v>
      </c>
      <c r="H339" s="18">
        <f>'13 - Config_Intake_View'!M339</f>
        <v>0</v>
      </c>
      <c r="I339" s="34">
        <f>IF('13 - Config_Intake_View'!Q339&lt;&gt;"",'13 - Config_Intake_View'!Q339,'12 - Deployments &amp; Config'!BI344)</f>
        <v>0</v>
      </c>
      <c r="J339" s="18" t="str">
        <f>IF('13 - Config_Intake_View'!Q339&lt;&gt;"","PM Approved",IF('12 - Deployments &amp; Config'!BI344&lt;&gt;"","Assumed",""))</f>
        <v/>
      </c>
      <c r="K339" s="34">
        <f>'12 - Deployments &amp; Config'!BH344</f>
        <v>0</v>
      </c>
      <c r="L339" s="18">
        <f>'12 - Deployments &amp; Config'!P344</f>
        <v>0</v>
      </c>
      <c r="M339" s="18">
        <f>'12 - Deployments &amp; Config'!Q344</f>
        <v>0</v>
      </c>
      <c r="N339" s="18" t="str">
        <f>'12 - Deployments &amp; Config'!BL344</f>
        <v/>
      </c>
      <c r="O339" s="34" t="str">
        <f>'12 - Deployments &amp; Config'!BM344</f>
        <v/>
      </c>
      <c r="P339" s="2">
        <f>'12 - Deployments &amp; Config'!BB344</f>
        <v>0</v>
      </c>
      <c r="Q339" s="34" t="str">
        <f t="shared" si="20"/>
        <v/>
      </c>
      <c r="R339" s="18" t="str">
        <f t="shared" si="21"/>
        <v>SW NOT INSTALLED</v>
      </c>
      <c r="S339" s="18" t="str">
        <f t="shared" si="22"/>
        <v/>
      </c>
      <c r="T339" s="18" t="str">
        <f t="shared" si="23"/>
        <v>SW NOT INSTALLED</v>
      </c>
    </row>
    <row r="340" spans="1:20">
      <c r="A340" s="34">
        <f>'12 - Deployments &amp; Config'!H345</f>
        <v>0</v>
      </c>
      <c r="B340" s="34">
        <f>'12 - Deployments &amp; Config'!S345</f>
        <v>0</v>
      </c>
      <c r="C340" s="34">
        <f>'12 - Deployments &amp; Config'!T345</f>
        <v>0</v>
      </c>
      <c r="D340" s="18">
        <f>'12 - Deployments &amp; Config'!AK345</f>
        <v>0</v>
      </c>
      <c r="E340" s="18">
        <f>'12 - Deployments &amp; Config'!J345</f>
        <v>0</v>
      </c>
      <c r="F340" s="34">
        <f>'12 - Deployments &amp; Config'!K345</f>
        <v>0</v>
      </c>
      <c r="G340" s="18">
        <f>'12 - Deployments &amp; Config'!L345</f>
        <v>0</v>
      </c>
      <c r="H340" s="18">
        <f>'13 - Config_Intake_View'!M340</f>
        <v>0</v>
      </c>
      <c r="I340" s="34">
        <f>IF('13 - Config_Intake_View'!Q340&lt;&gt;"",'13 - Config_Intake_View'!Q340,'12 - Deployments &amp; Config'!BI345)</f>
        <v>0</v>
      </c>
      <c r="J340" s="18" t="str">
        <f>IF('13 - Config_Intake_View'!Q340&lt;&gt;"","PM Approved",IF('12 - Deployments &amp; Config'!BI345&lt;&gt;"","Assumed",""))</f>
        <v/>
      </c>
      <c r="K340" s="34">
        <f>'12 - Deployments &amp; Config'!BH345</f>
        <v>0</v>
      </c>
      <c r="L340" s="18">
        <f>'12 - Deployments &amp; Config'!P345</f>
        <v>0</v>
      </c>
      <c r="M340" s="18">
        <f>'12 - Deployments &amp; Config'!Q345</f>
        <v>0</v>
      </c>
      <c r="N340" s="18" t="str">
        <f>'12 - Deployments &amp; Config'!BL345</f>
        <v/>
      </c>
      <c r="O340" s="34" t="str">
        <f>'12 - Deployments &amp; Config'!BM345</f>
        <v/>
      </c>
      <c r="P340" s="2">
        <f>'12 - Deployments &amp; Config'!BB345</f>
        <v>0</v>
      </c>
      <c r="Q340" s="34" t="str">
        <f t="shared" si="20"/>
        <v/>
      </c>
      <c r="R340" s="18" t="str">
        <f t="shared" si="21"/>
        <v>SW NOT INSTALLED</v>
      </c>
      <c r="S340" s="18" t="str">
        <f t="shared" si="22"/>
        <v/>
      </c>
      <c r="T340" s="18" t="str">
        <f t="shared" si="23"/>
        <v>SW NOT INSTALLED</v>
      </c>
    </row>
    <row r="341" spans="1:20">
      <c r="A341" s="34">
        <f>'12 - Deployments &amp; Config'!H346</f>
        <v>0</v>
      </c>
      <c r="B341" s="34">
        <f>'12 - Deployments &amp; Config'!S346</f>
        <v>0</v>
      </c>
      <c r="C341" s="34">
        <f>'12 - Deployments &amp; Config'!T346</f>
        <v>0</v>
      </c>
      <c r="D341" s="18">
        <f>'12 - Deployments &amp; Config'!AK346</f>
        <v>0</v>
      </c>
      <c r="E341" s="18">
        <f>'12 - Deployments &amp; Config'!J346</f>
        <v>0</v>
      </c>
      <c r="F341" s="34">
        <f>'12 - Deployments &amp; Config'!K346</f>
        <v>0</v>
      </c>
      <c r="G341" s="18">
        <f>'12 - Deployments &amp; Config'!L346</f>
        <v>0</v>
      </c>
      <c r="H341" s="18">
        <f>'13 - Config_Intake_View'!M341</f>
        <v>0</v>
      </c>
      <c r="I341" s="34">
        <f>IF('13 - Config_Intake_View'!Q341&lt;&gt;"",'13 - Config_Intake_View'!Q341,'12 - Deployments &amp; Config'!BI346)</f>
        <v>0</v>
      </c>
      <c r="J341" s="18" t="str">
        <f>IF('13 - Config_Intake_View'!Q341&lt;&gt;"","PM Approved",IF('12 - Deployments &amp; Config'!BI346&lt;&gt;"","Assumed",""))</f>
        <v/>
      </c>
      <c r="K341" s="34">
        <f>'12 - Deployments &amp; Config'!BH346</f>
        <v>0</v>
      </c>
      <c r="L341" s="18">
        <f>'12 - Deployments &amp; Config'!P346</f>
        <v>0</v>
      </c>
      <c r="M341" s="18">
        <f>'12 - Deployments &amp; Config'!Q346</f>
        <v>0</v>
      </c>
      <c r="N341" s="18" t="str">
        <f>'12 - Deployments &amp; Config'!BL346</f>
        <v/>
      </c>
      <c r="O341" s="34" t="str">
        <f>'12 - Deployments &amp; Config'!BM346</f>
        <v/>
      </c>
      <c r="P341" s="2">
        <f>'12 - Deployments &amp; Config'!BB346</f>
        <v>0</v>
      </c>
      <c r="Q341" s="34" t="str">
        <f t="shared" si="20"/>
        <v/>
      </c>
      <c r="R341" s="18" t="str">
        <f t="shared" si="21"/>
        <v>SW NOT INSTALLED</v>
      </c>
      <c r="S341" s="18" t="str">
        <f t="shared" si="22"/>
        <v/>
      </c>
      <c r="T341" s="18" t="str">
        <f t="shared" si="23"/>
        <v>SW NOT INSTALLED</v>
      </c>
    </row>
    <row r="342" spans="1:20">
      <c r="A342" s="34">
        <f>'12 - Deployments &amp; Config'!H347</f>
        <v>0</v>
      </c>
      <c r="B342" s="34">
        <f>'12 - Deployments &amp; Config'!S347</f>
        <v>0</v>
      </c>
      <c r="C342" s="34">
        <f>'12 - Deployments &amp; Config'!T347</f>
        <v>0</v>
      </c>
      <c r="D342" s="18">
        <f>'12 - Deployments &amp; Config'!AK347</f>
        <v>0</v>
      </c>
      <c r="E342" s="18">
        <f>'12 - Deployments &amp; Config'!J347</f>
        <v>0</v>
      </c>
      <c r="F342" s="34">
        <f>'12 - Deployments &amp; Config'!K347</f>
        <v>0</v>
      </c>
      <c r="G342" s="18">
        <f>'12 - Deployments &amp; Config'!L347</f>
        <v>0</v>
      </c>
      <c r="H342" s="18">
        <f>'13 - Config_Intake_View'!M342</f>
        <v>0</v>
      </c>
      <c r="I342" s="34">
        <f>IF('13 - Config_Intake_View'!Q342&lt;&gt;"",'13 - Config_Intake_View'!Q342,'12 - Deployments &amp; Config'!BI347)</f>
        <v>0</v>
      </c>
      <c r="J342" s="18" t="str">
        <f>IF('13 - Config_Intake_View'!Q342&lt;&gt;"","PM Approved",IF('12 - Deployments &amp; Config'!BI347&lt;&gt;"","Assumed",""))</f>
        <v/>
      </c>
      <c r="K342" s="34">
        <f>'12 - Deployments &amp; Config'!BH347</f>
        <v>0</v>
      </c>
      <c r="L342" s="18">
        <f>'12 - Deployments &amp; Config'!P347</f>
        <v>0</v>
      </c>
      <c r="M342" s="18">
        <f>'12 - Deployments &amp; Config'!Q347</f>
        <v>0</v>
      </c>
      <c r="N342" s="18" t="str">
        <f>'12 - Deployments &amp; Config'!BL347</f>
        <v/>
      </c>
      <c r="O342" s="34" t="str">
        <f>'12 - Deployments &amp; Config'!BM347</f>
        <v/>
      </c>
      <c r="P342" s="2">
        <f>'12 - Deployments &amp; Config'!BB347</f>
        <v>0</v>
      </c>
      <c r="Q342" s="34" t="str">
        <f t="shared" si="20"/>
        <v/>
      </c>
      <c r="R342" s="18" t="str">
        <f t="shared" si="21"/>
        <v>SW NOT INSTALLED</v>
      </c>
      <c r="S342" s="18" t="str">
        <f t="shared" si="22"/>
        <v/>
      </c>
      <c r="T342" s="18" t="str">
        <f t="shared" si="23"/>
        <v>SW NOT INSTALLED</v>
      </c>
    </row>
    <row r="343" spans="1:20">
      <c r="A343" s="34">
        <f>'12 - Deployments &amp; Config'!H348</f>
        <v>0</v>
      </c>
      <c r="B343" s="34">
        <f>'12 - Deployments &amp; Config'!S348</f>
        <v>0</v>
      </c>
      <c r="C343" s="34">
        <f>'12 - Deployments &amp; Config'!T348</f>
        <v>0</v>
      </c>
      <c r="D343" s="18">
        <f>'12 - Deployments &amp; Config'!AK348</f>
        <v>0</v>
      </c>
      <c r="E343" s="18">
        <f>'12 - Deployments &amp; Config'!J348</f>
        <v>0</v>
      </c>
      <c r="F343" s="34">
        <f>'12 - Deployments &amp; Config'!K348</f>
        <v>0</v>
      </c>
      <c r="G343" s="18">
        <f>'12 - Deployments &amp; Config'!L348</f>
        <v>0</v>
      </c>
      <c r="H343" s="18">
        <f>'13 - Config_Intake_View'!M343</f>
        <v>0</v>
      </c>
      <c r="I343" s="34">
        <f>IF('13 - Config_Intake_View'!Q343&lt;&gt;"",'13 - Config_Intake_View'!Q343,'12 - Deployments &amp; Config'!BI348)</f>
        <v>0</v>
      </c>
      <c r="J343" s="18" t="str">
        <f>IF('13 - Config_Intake_View'!Q343&lt;&gt;"","PM Approved",IF('12 - Deployments &amp; Config'!BI348&lt;&gt;"","Assumed",""))</f>
        <v/>
      </c>
      <c r="K343" s="34">
        <f>'12 - Deployments &amp; Config'!BH348</f>
        <v>0</v>
      </c>
      <c r="L343" s="18">
        <f>'12 - Deployments &amp; Config'!P348</f>
        <v>0</v>
      </c>
      <c r="M343" s="18">
        <f>'12 - Deployments &amp; Config'!Q348</f>
        <v>0</v>
      </c>
      <c r="N343" s="18" t="str">
        <f>'12 - Deployments &amp; Config'!BL348</f>
        <v/>
      </c>
      <c r="O343" s="34" t="str">
        <f>'12 - Deployments &amp; Config'!BM348</f>
        <v/>
      </c>
      <c r="P343" s="2">
        <f>'12 - Deployments &amp; Config'!BB348</f>
        <v>0</v>
      </c>
      <c r="Q343" s="34" t="str">
        <f t="shared" si="20"/>
        <v/>
      </c>
      <c r="R343" s="18" t="str">
        <f t="shared" si="21"/>
        <v>SW NOT INSTALLED</v>
      </c>
      <c r="S343" s="18" t="str">
        <f t="shared" si="22"/>
        <v/>
      </c>
      <c r="T343" s="18" t="str">
        <f t="shared" si="23"/>
        <v>SW NOT INSTALLED</v>
      </c>
    </row>
    <row r="344" spans="1:20">
      <c r="A344" s="34">
        <f>'12 - Deployments &amp; Config'!H349</f>
        <v>0</v>
      </c>
      <c r="B344" s="34">
        <f>'12 - Deployments &amp; Config'!S349</f>
        <v>0</v>
      </c>
      <c r="C344" s="34">
        <f>'12 - Deployments &amp; Config'!T349</f>
        <v>0</v>
      </c>
      <c r="D344" s="18">
        <f>'12 - Deployments &amp; Config'!AK349</f>
        <v>0</v>
      </c>
      <c r="E344" s="18">
        <f>'12 - Deployments &amp; Config'!J349</f>
        <v>0</v>
      </c>
      <c r="F344" s="34">
        <f>'12 - Deployments &amp; Config'!K349</f>
        <v>0</v>
      </c>
      <c r="G344" s="18">
        <f>'12 - Deployments &amp; Config'!L349</f>
        <v>0</v>
      </c>
      <c r="H344" s="18">
        <f>'13 - Config_Intake_View'!M344</f>
        <v>0</v>
      </c>
      <c r="I344" s="34">
        <f>IF('13 - Config_Intake_View'!Q344&lt;&gt;"",'13 - Config_Intake_View'!Q344,'12 - Deployments &amp; Config'!BI349)</f>
        <v>0</v>
      </c>
      <c r="J344" s="18" t="str">
        <f>IF('13 - Config_Intake_View'!Q344&lt;&gt;"","PM Approved",IF('12 - Deployments &amp; Config'!BI349&lt;&gt;"","Assumed",""))</f>
        <v/>
      </c>
      <c r="K344" s="34">
        <f>'12 - Deployments &amp; Config'!BH349</f>
        <v>0</v>
      </c>
      <c r="L344" s="18">
        <f>'12 - Deployments &amp; Config'!P349</f>
        <v>0</v>
      </c>
      <c r="M344" s="18">
        <f>'12 - Deployments &amp; Config'!Q349</f>
        <v>0</v>
      </c>
      <c r="N344" s="18" t="str">
        <f>'12 - Deployments &amp; Config'!BL349</f>
        <v/>
      </c>
      <c r="O344" s="34" t="str">
        <f>'12 - Deployments &amp; Config'!BM349</f>
        <v/>
      </c>
      <c r="P344" s="2">
        <f>'12 - Deployments &amp; Config'!BB349</f>
        <v>0</v>
      </c>
      <c r="Q344" s="34" t="str">
        <f t="shared" si="20"/>
        <v/>
      </c>
      <c r="R344" s="18" t="str">
        <f t="shared" si="21"/>
        <v>SW NOT INSTALLED</v>
      </c>
      <c r="S344" s="18" t="str">
        <f t="shared" si="22"/>
        <v/>
      </c>
      <c r="T344" s="18" t="str">
        <f t="shared" si="23"/>
        <v>SW NOT INSTALLED</v>
      </c>
    </row>
    <row r="345" spans="1:20">
      <c r="A345" s="34">
        <f>'12 - Deployments &amp; Config'!H350</f>
        <v>0</v>
      </c>
      <c r="B345" s="34">
        <f>'12 - Deployments &amp; Config'!S350</f>
        <v>0</v>
      </c>
      <c r="C345" s="34">
        <f>'12 - Deployments &amp; Config'!T350</f>
        <v>0</v>
      </c>
      <c r="D345" s="18">
        <f>'12 - Deployments &amp; Config'!AK350</f>
        <v>0</v>
      </c>
      <c r="E345" s="18">
        <f>'12 - Deployments &amp; Config'!J350</f>
        <v>0</v>
      </c>
      <c r="F345" s="34">
        <f>'12 - Deployments &amp; Config'!K350</f>
        <v>0</v>
      </c>
      <c r="G345" s="18">
        <f>'12 - Deployments &amp; Config'!L350</f>
        <v>0</v>
      </c>
      <c r="H345" s="18">
        <f>'13 - Config_Intake_View'!M345</f>
        <v>0</v>
      </c>
      <c r="I345" s="34">
        <f>IF('13 - Config_Intake_View'!Q345&lt;&gt;"",'13 - Config_Intake_View'!Q345,'12 - Deployments &amp; Config'!BI350)</f>
        <v>0</v>
      </c>
      <c r="J345" s="18" t="str">
        <f>IF('13 - Config_Intake_View'!Q345&lt;&gt;"","PM Approved",IF('12 - Deployments &amp; Config'!BI350&lt;&gt;"","Assumed",""))</f>
        <v/>
      </c>
      <c r="K345" s="34">
        <f>'12 - Deployments &amp; Config'!BH350</f>
        <v>0</v>
      </c>
      <c r="L345" s="18">
        <f>'12 - Deployments &amp; Config'!P350</f>
        <v>0</v>
      </c>
      <c r="M345" s="18">
        <f>'12 - Deployments &amp; Config'!Q350</f>
        <v>0</v>
      </c>
      <c r="N345" s="18" t="str">
        <f>'12 - Deployments &amp; Config'!BL350</f>
        <v/>
      </c>
      <c r="O345" s="34" t="str">
        <f>'12 - Deployments &amp; Config'!BM350</f>
        <v/>
      </c>
      <c r="P345" s="2">
        <f>'12 - Deployments &amp; Config'!BB350</f>
        <v>0</v>
      </c>
      <c r="Q345" s="34" t="str">
        <f t="shared" si="20"/>
        <v/>
      </c>
      <c r="R345" s="18" t="str">
        <f t="shared" si="21"/>
        <v>SW NOT INSTALLED</v>
      </c>
      <c r="S345" s="18" t="str">
        <f t="shared" si="22"/>
        <v/>
      </c>
      <c r="T345" s="18" t="str">
        <f t="shared" si="23"/>
        <v>SW NOT INSTALLED</v>
      </c>
    </row>
    <row r="346" spans="1:20">
      <c r="A346" s="34">
        <f>'12 - Deployments &amp; Config'!H351</f>
        <v>0</v>
      </c>
      <c r="B346" s="34">
        <f>'12 - Deployments &amp; Config'!S351</f>
        <v>0</v>
      </c>
      <c r="C346" s="34">
        <f>'12 - Deployments &amp; Config'!T351</f>
        <v>0</v>
      </c>
      <c r="D346" s="18">
        <f>'12 - Deployments &amp; Config'!AK351</f>
        <v>0</v>
      </c>
      <c r="E346" s="18">
        <f>'12 - Deployments &amp; Config'!J351</f>
        <v>0</v>
      </c>
      <c r="F346" s="34">
        <f>'12 - Deployments &amp; Config'!K351</f>
        <v>0</v>
      </c>
      <c r="G346" s="18">
        <f>'12 - Deployments &amp; Config'!L351</f>
        <v>0</v>
      </c>
      <c r="H346" s="18">
        <f>'13 - Config_Intake_View'!M346</f>
        <v>0</v>
      </c>
      <c r="I346" s="34">
        <f>IF('13 - Config_Intake_View'!Q346&lt;&gt;"",'13 - Config_Intake_View'!Q346,'12 - Deployments &amp; Config'!BI351)</f>
        <v>0</v>
      </c>
      <c r="J346" s="18" t="str">
        <f>IF('13 - Config_Intake_View'!Q346&lt;&gt;"","PM Approved",IF('12 - Deployments &amp; Config'!BI351&lt;&gt;"","Assumed",""))</f>
        <v/>
      </c>
      <c r="K346" s="34">
        <f>'12 - Deployments &amp; Config'!BH351</f>
        <v>0</v>
      </c>
      <c r="L346" s="18">
        <f>'12 - Deployments &amp; Config'!P351</f>
        <v>0</v>
      </c>
      <c r="M346" s="18">
        <f>'12 - Deployments &amp; Config'!Q351</f>
        <v>0</v>
      </c>
      <c r="N346" s="18" t="str">
        <f>'12 - Deployments &amp; Config'!BL351</f>
        <v/>
      </c>
      <c r="O346" s="34" t="str">
        <f>'12 - Deployments &amp; Config'!BM351</f>
        <v/>
      </c>
      <c r="P346" s="2">
        <f>'12 - Deployments &amp; Config'!BB351</f>
        <v>0</v>
      </c>
      <c r="Q346" s="34" t="str">
        <f t="shared" si="20"/>
        <v/>
      </c>
      <c r="R346" s="18" t="str">
        <f t="shared" si="21"/>
        <v>SW NOT INSTALLED</v>
      </c>
      <c r="S346" s="18" t="str">
        <f t="shared" si="22"/>
        <v/>
      </c>
      <c r="T346" s="18" t="str">
        <f t="shared" si="23"/>
        <v>SW NOT INSTALLED</v>
      </c>
    </row>
    <row r="347" spans="1:20">
      <c r="A347" s="34">
        <f>'12 - Deployments &amp; Config'!H352</f>
        <v>0</v>
      </c>
      <c r="B347" s="34">
        <f>'12 - Deployments &amp; Config'!S352</f>
        <v>0</v>
      </c>
      <c r="C347" s="34">
        <f>'12 - Deployments &amp; Config'!T352</f>
        <v>0</v>
      </c>
      <c r="D347" s="18">
        <f>'12 - Deployments &amp; Config'!AK352</f>
        <v>0</v>
      </c>
      <c r="E347" s="18">
        <f>'12 - Deployments &amp; Config'!J352</f>
        <v>0</v>
      </c>
      <c r="F347" s="34">
        <f>'12 - Deployments &amp; Config'!K352</f>
        <v>0</v>
      </c>
      <c r="G347" s="18">
        <f>'12 - Deployments &amp; Config'!L352</f>
        <v>0</v>
      </c>
      <c r="H347" s="18">
        <f>'13 - Config_Intake_View'!M347</f>
        <v>0</v>
      </c>
      <c r="I347" s="34">
        <f>IF('13 - Config_Intake_View'!Q347&lt;&gt;"",'13 - Config_Intake_View'!Q347,'12 - Deployments &amp; Config'!BI352)</f>
        <v>0</v>
      </c>
      <c r="J347" s="18" t="str">
        <f>IF('13 - Config_Intake_View'!Q347&lt;&gt;"","PM Approved",IF('12 - Deployments &amp; Config'!BI352&lt;&gt;"","Assumed",""))</f>
        <v/>
      </c>
      <c r="K347" s="34">
        <f>'12 - Deployments &amp; Config'!BH352</f>
        <v>0</v>
      </c>
      <c r="L347" s="18">
        <f>'12 - Deployments &amp; Config'!P352</f>
        <v>0</v>
      </c>
      <c r="M347" s="18">
        <f>'12 - Deployments &amp; Config'!Q352</f>
        <v>0</v>
      </c>
      <c r="N347" s="18" t="str">
        <f>'12 - Deployments &amp; Config'!BL352</f>
        <v/>
      </c>
      <c r="O347" s="34" t="str">
        <f>'12 - Deployments &amp; Config'!BM352</f>
        <v/>
      </c>
      <c r="P347" s="2">
        <f>'12 - Deployments &amp; Config'!BB352</f>
        <v>0</v>
      </c>
      <c r="Q347" s="34" t="str">
        <f t="shared" si="20"/>
        <v/>
      </c>
      <c r="R347" s="18" t="str">
        <f t="shared" si="21"/>
        <v>SW NOT INSTALLED</v>
      </c>
      <c r="S347" s="18" t="str">
        <f t="shared" si="22"/>
        <v/>
      </c>
      <c r="T347" s="18" t="str">
        <f t="shared" si="23"/>
        <v>SW NOT INSTALLED</v>
      </c>
    </row>
    <row r="348" spans="1:20">
      <c r="A348" s="34">
        <f>'12 - Deployments &amp; Config'!H353</f>
        <v>0</v>
      </c>
      <c r="B348" s="34">
        <f>'12 - Deployments &amp; Config'!S353</f>
        <v>0</v>
      </c>
      <c r="C348" s="34">
        <f>'12 - Deployments &amp; Config'!T353</f>
        <v>0</v>
      </c>
      <c r="D348" s="18">
        <f>'12 - Deployments &amp; Config'!AK353</f>
        <v>0</v>
      </c>
      <c r="E348" s="18">
        <f>'12 - Deployments &amp; Config'!J353</f>
        <v>0</v>
      </c>
      <c r="F348" s="34">
        <f>'12 - Deployments &amp; Config'!K353</f>
        <v>0</v>
      </c>
      <c r="G348" s="18">
        <f>'12 - Deployments &amp; Config'!L353</f>
        <v>0</v>
      </c>
      <c r="H348" s="18">
        <f>'13 - Config_Intake_View'!M348</f>
        <v>0</v>
      </c>
      <c r="I348" s="34">
        <f>IF('13 - Config_Intake_View'!Q348&lt;&gt;"",'13 - Config_Intake_View'!Q348,'12 - Deployments &amp; Config'!BI353)</f>
        <v>0</v>
      </c>
      <c r="J348" s="18" t="str">
        <f>IF('13 - Config_Intake_View'!Q348&lt;&gt;"","PM Approved",IF('12 - Deployments &amp; Config'!BI353&lt;&gt;"","Assumed",""))</f>
        <v/>
      </c>
      <c r="K348" s="34">
        <f>'12 - Deployments &amp; Config'!BH353</f>
        <v>0</v>
      </c>
      <c r="L348" s="18">
        <f>'12 - Deployments &amp; Config'!P353</f>
        <v>0</v>
      </c>
      <c r="M348" s="18">
        <f>'12 - Deployments &amp; Config'!Q353</f>
        <v>0</v>
      </c>
      <c r="N348" s="18" t="str">
        <f>'12 - Deployments &amp; Config'!BL353</f>
        <v/>
      </c>
      <c r="O348" s="34" t="str">
        <f>'12 - Deployments &amp; Config'!BM353</f>
        <v/>
      </c>
      <c r="P348" s="2">
        <f>'12 - Deployments &amp; Config'!BB353</f>
        <v>0</v>
      </c>
      <c r="Q348" s="34" t="str">
        <f t="shared" si="20"/>
        <v/>
      </c>
      <c r="R348" s="18" t="str">
        <f t="shared" si="21"/>
        <v>SW NOT INSTALLED</v>
      </c>
      <c r="S348" s="18" t="str">
        <f t="shared" si="22"/>
        <v/>
      </c>
      <c r="T348" s="18" t="str">
        <f t="shared" si="23"/>
        <v>SW NOT INSTALLED</v>
      </c>
    </row>
    <row r="349" spans="1:20">
      <c r="A349" s="34">
        <f>'12 - Deployments &amp; Config'!H354</f>
        <v>0</v>
      </c>
      <c r="B349" s="34">
        <f>'12 - Deployments &amp; Config'!S354</f>
        <v>0</v>
      </c>
      <c r="C349" s="34">
        <f>'12 - Deployments &amp; Config'!T354</f>
        <v>0</v>
      </c>
      <c r="D349" s="18">
        <f>'12 - Deployments &amp; Config'!AK354</f>
        <v>0</v>
      </c>
      <c r="E349" s="18">
        <f>'12 - Deployments &amp; Config'!J354</f>
        <v>0</v>
      </c>
      <c r="F349" s="34">
        <f>'12 - Deployments &amp; Config'!K354</f>
        <v>0</v>
      </c>
      <c r="G349" s="18">
        <f>'12 - Deployments &amp; Config'!L354</f>
        <v>0</v>
      </c>
      <c r="H349" s="18">
        <f>'13 - Config_Intake_View'!M349</f>
        <v>0</v>
      </c>
      <c r="I349" s="34">
        <f>IF('13 - Config_Intake_View'!Q349&lt;&gt;"",'13 - Config_Intake_View'!Q349,'12 - Deployments &amp; Config'!BI354)</f>
        <v>0</v>
      </c>
      <c r="J349" s="18" t="str">
        <f>IF('13 - Config_Intake_View'!Q349&lt;&gt;"","PM Approved",IF('12 - Deployments &amp; Config'!BI354&lt;&gt;"","Assumed",""))</f>
        <v/>
      </c>
      <c r="K349" s="34">
        <f>'12 - Deployments &amp; Config'!BH354</f>
        <v>0</v>
      </c>
      <c r="L349" s="18">
        <f>'12 - Deployments &amp; Config'!P354</f>
        <v>0</v>
      </c>
      <c r="M349" s="18">
        <f>'12 - Deployments &amp; Config'!Q354</f>
        <v>0</v>
      </c>
      <c r="N349" s="18" t="str">
        <f>'12 - Deployments &amp; Config'!BL354</f>
        <v/>
      </c>
      <c r="O349" s="34" t="str">
        <f>'12 - Deployments &amp; Config'!BM354</f>
        <v/>
      </c>
      <c r="P349" s="2">
        <f>'12 - Deployments &amp; Config'!BB354</f>
        <v>0</v>
      </c>
      <c r="Q349" s="34" t="str">
        <f t="shared" si="20"/>
        <v/>
      </c>
      <c r="R349" s="18" t="str">
        <f t="shared" si="21"/>
        <v>SW NOT INSTALLED</v>
      </c>
      <c r="S349" s="18" t="str">
        <f t="shared" si="22"/>
        <v/>
      </c>
      <c r="T349" s="18" t="str">
        <f t="shared" si="23"/>
        <v>SW NOT INSTALLED</v>
      </c>
    </row>
    <row r="350" spans="1:20">
      <c r="A350" s="34">
        <f>'12 - Deployments &amp; Config'!H355</f>
        <v>0</v>
      </c>
      <c r="B350" s="34">
        <f>'12 - Deployments &amp; Config'!S355</f>
        <v>0</v>
      </c>
      <c r="C350" s="34">
        <f>'12 - Deployments &amp; Config'!T355</f>
        <v>0</v>
      </c>
      <c r="D350" s="18">
        <f>'12 - Deployments &amp; Config'!AK355</f>
        <v>0</v>
      </c>
      <c r="E350" s="18">
        <f>'12 - Deployments &amp; Config'!J355</f>
        <v>0</v>
      </c>
      <c r="F350" s="34">
        <f>'12 - Deployments &amp; Config'!K355</f>
        <v>0</v>
      </c>
      <c r="G350" s="18">
        <f>'12 - Deployments &amp; Config'!L355</f>
        <v>0</v>
      </c>
      <c r="H350" s="18">
        <f>'13 - Config_Intake_View'!M350</f>
        <v>0</v>
      </c>
      <c r="I350" s="34">
        <f>IF('13 - Config_Intake_View'!Q350&lt;&gt;"",'13 - Config_Intake_View'!Q350,'12 - Deployments &amp; Config'!BI355)</f>
        <v>0</v>
      </c>
      <c r="J350" s="18" t="str">
        <f>IF('13 - Config_Intake_View'!Q350&lt;&gt;"","PM Approved",IF('12 - Deployments &amp; Config'!BI355&lt;&gt;"","Assumed",""))</f>
        <v/>
      </c>
      <c r="K350" s="34">
        <f>'12 - Deployments &amp; Config'!BH355</f>
        <v>0</v>
      </c>
      <c r="L350" s="18">
        <f>'12 - Deployments &amp; Config'!P355</f>
        <v>0</v>
      </c>
      <c r="M350" s="18">
        <f>'12 - Deployments &amp; Config'!Q355</f>
        <v>0</v>
      </c>
      <c r="N350" s="18" t="str">
        <f>'12 - Deployments &amp; Config'!BL355</f>
        <v/>
      </c>
      <c r="O350" s="34" t="str">
        <f>'12 - Deployments &amp; Config'!BM355</f>
        <v/>
      </c>
      <c r="P350" s="2">
        <f>'12 - Deployments &amp; Config'!BB355</f>
        <v>0</v>
      </c>
      <c r="Q350" s="34" t="str">
        <f t="shared" si="20"/>
        <v/>
      </c>
      <c r="R350" s="18" t="str">
        <f t="shared" si="21"/>
        <v>SW NOT INSTALLED</v>
      </c>
      <c r="S350" s="18" t="str">
        <f t="shared" si="22"/>
        <v/>
      </c>
      <c r="T350" s="18" t="str">
        <f t="shared" si="23"/>
        <v>SW NOT INSTALLED</v>
      </c>
    </row>
    <row r="351" spans="1:20">
      <c r="A351" s="34">
        <f>'12 - Deployments &amp; Config'!H356</f>
        <v>0</v>
      </c>
      <c r="B351" s="34">
        <f>'12 - Deployments &amp; Config'!S356</f>
        <v>0</v>
      </c>
      <c r="C351" s="34">
        <f>'12 - Deployments &amp; Config'!T356</f>
        <v>0</v>
      </c>
      <c r="D351" s="18">
        <f>'12 - Deployments &amp; Config'!AK356</f>
        <v>0</v>
      </c>
      <c r="E351" s="18">
        <f>'12 - Deployments &amp; Config'!J356</f>
        <v>0</v>
      </c>
      <c r="F351" s="34">
        <f>'12 - Deployments &amp; Config'!K356</f>
        <v>0</v>
      </c>
      <c r="G351" s="18">
        <f>'12 - Deployments &amp; Config'!L356</f>
        <v>0</v>
      </c>
      <c r="H351" s="18">
        <f>'13 - Config_Intake_View'!M351</f>
        <v>0</v>
      </c>
      <c r="I351" s="34">
        <f>IF('13 - Config_Intake_View'!Q351&lt;&gt;"",'13 - Config_Intake_View'!Q351,'12 - Deployments &amp; Config'!BI356)</f>
        <v>0</v>
      </c>
      <c r="J351" s="18" t="str">
        <f>IF('13 - Config_Intake_View'!Q351&lt;&gt;"","PM Approved",IF('12 - Deployments &amp; Config'!BI356&lt;&gt;"","Assumed",""))</f>
        <v/>
      </c>
      <c r="K351" s="34">
        <f>'12 - Deployments &amp; Config'!BH356</f>
        <v>0</v>
      </c>
      <c r="L351" s="18">
        <f>'12 - Deployments &amp; Config'!P356</f>
        <v>0</v>
      </c>
      <c r="M351" s="18">
        <f>'12 - Deployments &amp; Config'!Q356</f>
        <v>0</v>
      </c>
      <c r="N351" s="18" t="str">
        <f>'12 - Deployments &amp; Config'!BL356</f>
        <v/>
      </c>
      <c r="O351" s="34" t="str">
        <f>'12 - Deployments &amp; Config'!BM356</f>
        <v/>
      </c>
      <c r="P351" s="2">
        <f>'12 - Deployments &amp; Config'!BB356</f>
        <v>0</v>
      </c>
      <c r="Q351" s="34" t="str">
        <f t="shared" si="20"/>
        <v/>
      </c>
      <c r="R351" s="18" t="str">
        <f t="shared" si="21"/>
        <v>SW NOT INSTALLED</v>
      </c>
      <c r="S351" s="18" t="str">
        <f t="shared" si="22"/>
        <v/>
      </c>
      <c r="T351" s="18" t="str">
        <f t="shared" si="23"/>
        <v>SW NOT INSTALLED</v>
      </c>
    </row>
    <row r="352" spans="1:20">
      <c r="A352" s="34">
        <f>'12 - Deployments &amp; Config'!H357</f>
        <v>0</v>
      </c>
      <c r="B352" s="34">
        <f>'12 - Deployments &amp; Config'!S357</f>
        <v>0</v>
      </c>
      <c r="C352" s="34">
        <f>'12 - Deployments &amp; Config'!T357</f>
        <v>0</v>
      </c>
      <c r="D352" s="18">
        <f>'12 - Deployments &amp; Config'!AK357</f>
        <v>0</v>
      </c>
      <c r="E352" s="18">
        <f>'12 - Deployments &amp; Config'!J357</f>
        <v>0</v>
      </c>
      <c r="F352" s="34">
        <f>'12 - Deployments &amp; Config'!K357</f>
        <v>0</v>
      </c>
      <c r="G352" s="18">
        <f>'12 - Deployments &amp; Config'!L357</f>
        <v>0</v>
      </c>
      <c r="H352" s="18">
        <f>'13 - Config_Intake_View'!M352</f>
        <v>0</v>
      </c>
      <c r="I352" s="34">
        <f>IF('13 - Config_Intake_View'!Q352&lt;&gt;"",'13 - Config_Intake_View'!Q352,'12 - Deployments &amp; Config'!BI357)</f>
        <v>0</v>
      </c>
      <c r="J352" s="18" t="str">
        <f>IF('13 - Config_Intake_View'!Q352&lt;&gt;"","PM Approved",IF('12 - Deployments &amp; Config'!BI357&lt;&gt;"","Assumed",""))</f>
        <v/>
      </c>
      <c r="K352" s="34">
        <f>'12 - Deployments &amp; Config'!BH357</f>
        <v>0</v>
      </c>
      <c r="L352" s="18">
        <f>'12 - Deployments &amp; Config'!P357</f>
        <v>0</v>
      </c>
      <c r="M352" s="18">
        <f>'12 - Deployments &amp; Config'!Q357</f>
        <v>0</v>
      </c>
      <c r="N352" s="18" t="str">
        <f>'12 - Deployments &amp; Config'!BL357</f>
        <v/>
      </c>
      <c r="O352" s="34" t="str">
        <f>'12 - Deployments &amp; Config'!BM357</f>
        <v/>
      </c>
      <c r="P352" s="2">
        <f>'12 - Deployments &amp; Config'!BB357</f>
        <v>0</v>
      </c>
      <c r="Q352" s="34" t="str">
        <f t="shared" si="20"/>
        <v/>
      </c>
      <c r="R352" s="18" t="str">
        <f t="shared" si="21"/>
        <v>SW NOT INSTALLED</v>
      </c>
      <c r="S352" s="18" t="str">
        <f t="shared" si="22"/>
        <v/>
      </c>
      <c r="T352" s="18" t="str">
        <f t="shared" si="23"/>
        <v>SW NOT INSTALLED</v>
      </c>
    </row>
    <row r="353" spans="1:20">
      <c r="A353" s="34">
        <f>'12 - Deployments &amp; Config'!H358</f>
        <v>0</v>
      </c>
      <c r="B353" s="34">
        <f>'12 - Deployments &amp; Config'!S358</f>
        <v>0</v>
      </c>
      <c r="C353" s="34">
        <f>'12 - Deployments &amp; Config'!T358</f>
        <v>0</v>
      </c>
      <c r="D353" s="18">
        <f>'12 - Deployments &amp; Config'!AK358</f>
        <v>0</v>
      </c>
      <c r="E353" s="18">
        <f>'12 - Deployments &amp; Config'!J358</f>
        <v>0</v>
      </c>
      <c r="F353" s="34">
        <f>'12 - Deployments &amp; Config'!K358</f>
        <v>0</v>
      </c>
      <c r="G353" s="18">
        <f>'12 - Deployments &amp; Config'!L358</f>
        <v>0</v>
      </c>
      <c r="H353" s="18">
        <f>'13 - Config_Intake_View'!M353</f>
        <v>0</v>
      </c>
      <c r="I353" s="34">
        <f>IF('13 - Config_Intake_View'!Q353&lt;&gt;"",'13 - Config_Intake_View'!Q353,'12 - Deployments &amp; Config'!BI358)</f>
        <v>0</v>
      </c>
      <c r="J353" s="18" t="str">
        <f>IF('13 - Config_Intake_View'!Q353&lt;&gt;"","PM Approved",IF('12 - Deployments &amp; Config'!BI358&lt;&gt;"","Assumed",""))</f>
        <v/>
      </c>
      <c r="K353" s="34">
        <f>'12 - Deployments &amp; Config'!BH358</f>
        <v>0</v>
      </c>
      <c r="L353" s="18">
        <f>'12 - Deployments &amp; Config'!P358</f>
        <v>0</v>
      </c>
      <c r="M353" s="18">
        <f>'12 - Deployments &amp; Config'!Q358</f>
        <v>0</v>
      </c>
      <c r="N353" s="18" t="str">
        <f>'12 - Deployments &amp; Config'!BL358</f>
        <v/>
      </c>
      <c r="O353" s="34" t="str">
        <f>'12 - Deployments &amp; Config'!BM358</f>
        <v/>
      </c>
      <c r="P353" s="2">
        <f>'12 - Deployments &amp; Config'!BB358</f>
        <v>0</v>
      </c>
      <c r="Q353" s="34" t="str">
        <f t="shared" si="20"/>
        <v/>
      </c>
      <c r="R353" s="18" t="str">
        <f t="shared" si="21"/>
        <v>SW NOT INSTALLED</v>
      </c>
      <c r="S353" s="18" t="str">
        <f t="shared" si="22"/>
        <v/>
      </c>
      <c r="T353" s="18" t="str">
        <f t="shared" si="23"/>
        <v>SW NOT INSTALLED</v>
      </c>
    </row>
    <row r="354" spans="1:20">
      <c r="A354" s="34">
        <f>'12 - Deployments &amp; Config'!H359</f>
        <v>0</v>
      </c>
      <c r="B354" s="34">
        <f>'12 - Deployments &amp; Config'!S359</f>
        <v>0</v>
      </c>
      <c r="C354" s="34">
        <f>'12 - Deployments &amp; Config'!T359</f>
        <v>0</v>
      </c>
      <c r="D354" s="18">
        <f>'12 - Deployments &amp; Config'!AK359</f>
        <v>0</v>
      </c>
      <c r="E354" s="18">
        <f>'12 - Deployments &amp; Config'!J359</f>
        <v>0</v>
      </c>
      <c r="F354" s="34">
        <f>'12 - Deployments &amp; Config'!K359</f>
        <v>0</v>
      </c>
      <c r="G354" s="18">
        <f>'12 - Deployments &amp; Config'!L359</f>
        <v>0</v>
      </c>
      <c r="H354" s="18">
        <f>'13 - Config_Intake_View'!M354</f>
        <v>0</v>
      </c>
      <c r="I354" s="34">
        <f>IF('13 - Config_Intake_View'!Q354&lt;&gt;"",'13 - Config_Intake_View'!Q354,'12 - Deployments &amp; Config'!BI359)</f>
        <v>0</v>
      </c>
      <c r="J354" s="18" t="str">
        <f>IF('13 - Config_Intake_View'!Q354&lt;&gt;"","PM Approved",IF('12 - Deployments &amp; Config'!BI359&lt;&gt;"","Assumed",""))</f>
        <v/>
      </c>
      <c r="K354" s="34">
        <f>'12 - Deployments &amp; Config'!BH359</f>
        <v>0</v>
      </c>
      <c r="L354" s="18">
        <f>'12 - Deployments &amp; Config'!P359</f>
        <v>0</v>
      </c>
      <c r="M354" s="18">
        <f>'12 - Deployments &amp; Config'!Q359</f>
        <v>0</v>
      </c>
      <c r="N354" s="18" t="str">
        <f>'12 - Deployments &amp; Config'!BL359</f>
        <v/>
      </c>
      <c r="O354" s="34" t="str">
        <f>'12 - Deployments &amp; Config'!BM359</f>
        <v/>
      </c>
      <c r="P354" s="2">
        <f>'12 - Deployments &amp; Config'!BB359</f>
        <v>0</v>
      </c>
      <c r="Q354" s="34" t="str">
        <f t="shared" si="20"/>
        <v/>
      </c>
      <c r="R354" s="18" t="str">
        <f t="shared" si="21"/>
        <v>SW NOT INSTALLED</v>
      </c>
      <c r="S354" s="18" t="str">
        <f t="shared" si="22"/>
        <v/>
      </c>
      <c r="T354" s="18" t="str">
        <f t="shared" si="23"/>
        <v>SW NOT INSTALLED</v>
      </c>
    </row>
    <row r="355" spans="1:20">
      <c r="A355" s="34">
        <f>'12 - Deployments &amp; Config'!H360</f>
        <v>0</v>
      </c>
      <c r="B355" s="34">
        <f>'12 - Deployments &amp; Config'!S360</f>
        <v>0</v>
      </c>
      <c r="C355" s="34">
        <f>'12 - Deployments &amp; Config'!T360</f>
        <v>0</v>
      </c>
      <c r="D355" s="18">
        <f>'12 - Deployments &amp; Config'!AK360</f>
        <v>0</v>
      </c>
      <c r="E355" s="18">
        <f>'12 - Deployments &amp; Config'!J360</f>
        <v>0</v>
      </c>
      <c r="F355" s="34">
        <f>'12 - Deployments &amp; Config'!K360</f>
        <v>0</v>
      </c>
      <c r="G355" s="18">
        <f>'12 - Deployments &amp; Config'!L360</f>
        <v>0</v>
      </c>
      <c r="H355" s="18">
        <f>'13 - Config_Intake_View'!M355</f>
        <v>0</v>
      </c>
      <c r="I355" s="34">
        <f>IF('13 - Config_Intake_View'!Q355&lt;&gt;"",'13 - Config_Intake_View'!Q355,'12 - Deployments &amp; Config'!BI360)</f>
        <v>0</v>
      </c>
      <c r="J355" s="18" t="str">
        <f>IF('13 - Config_Intake_View'!Q355&lt;&gt;"","PM Approved",IF('12 - Deployments &amp; Config'!BI360&lt;&gt;"","Assumed",""))</f>
        <v/>
      </c>
      <c r="K355" s="34">
        <f>'12 - Deployments &amp; Config'!BH360</f>
        <v>0</v>
      </c>
      <c r="L355" s="18">
        <f>'12 - Deployments &amp; Config'!P360</f>
        <v>0</v>
      </c>
      <c r="M355" s="18">
        <f>'12 - Deployments &amp; Config'!Q360</f>
        <v>0</v>
      </c>
      <c r="N355" s="18" t="str">
        <f>'12 - Deployments &amp; Config'!BL360</f>
        <v/>
      </c>
      <c r="O355" s="34" t="str">
        <f>'12 - Deployments &amp; Config'!BM360</f>
        <v/>
      </c>
      <c r="P355" s="2">
        <f>'12 - Deployments &amp; Config'!BB360</f>
        <v>0</v>
      </c>
      <c r="Q355" s="34" t="str">
        <f t="shared" si="20"/>
        <v/>
      </c>
      <c r="R355" s="18" t="str">
        <f t="shared" si="21"/>
        <v>SW NOT INSTALLED</v>
      </c>
      <c r="S355" s="18" t="str">
        <f t="shared" si="22"/>
        <v/>
      </c>
      <c r="T355" s="18" t="str">
        <f t="shared" si="23"/>
        <v>SW NOT INSTALLED</v>
      </c>
    </row>
    <row r="356" spans="1:20">
      <c r="A356" s="34">
        <f>'12 - Deployments &amp; Config'!H361</f>
        <v>0</v>
      </c>
      <c r="B356" s="34">
        <f>'12 - Deployments &amp; Config'!S361</f>
        <v>0</v>
      </c>
      <c r="C356" s="34">
        <f>'12 - Deployments &amp; Config'!T361</f>
        <v>0</v>
      </c>
      <c r="D356" s="18">
        <f>'12 - Deployments &amp; Config'!AK361</f>
        <v>0</v>
      </c>
      <c r="E356" s="18">
        <f>'12 - Deployments &amp; Config'!J361</f>
        <v>0</v>
      </c>
      <c r="F356" s="34">
        <f>'12 - Deployments &amp; Config'!K361</f>
        <v>0</v>
      </c>
      <c r="G356" s="18">
        <f>'12 - Deployments &amp; Config'!L361</f>
        <v>0</v>
      </c>
      <c r="H356" s="18">
        <f>'13 - Config_Intake_View'!M356</f>
        <v>0</v>
      </c>
      <c r="I356" s="34">
        <f>IF('13 - Config_Intake_View'!Q356&lt;&gt;"",'13 - Config_Intake_View'!Q356,'12 - Deployments &amp; Config'!BI361)</f>
        <v>0</v>
      </c>
      <c r="J356" s="18" t="str">
        <f>IF('13 - Config_Intake_View'!Q356&lt;&gt;"","PM Approved",IF('12 - Deployments &amp; Config'!BI361&lt;&gt;"","Assumed",""))</f>
        <v/>
      </c>
      <c r="K356" s="34">
        <f>'12 - Deployments &amp; Config'!BH361</f>
        <v>0</v>
      </c>
      <c r="L356" s="18">
        <f>'12 - Deployments &amp; Config'!P361</f>
        <v>0</v>
      </c>
      <c r="M356" s="18">
        <f>'12 - Deployments &amp; Config'!Q361</f>
        <v>0</v>
      </c>
      <c r="N356" s="18" t="str">
        <f>'12 - Deployments &amp; Config'!BL361</f>
        <v/>
      </c>
      <c r="O356" s="34" t="str">
        <f>'12 - Deployments &amp; Config'!BM361</f>
        <v/>
      </c>
      <c r="P356" s="2">
        <f>'12 - Deployments &amp; Config'!BB361</f>
        <v>0</v>
      </c>
      <c r="Q356" s="34" t="str">
        <f t="shared" si="20"/>
        <v/>
      </c>
      <c r="R356" s="18" t="str">
        <f t="shared" si="21"/>
        <v>SW NOT INSTALLED</v>
      </c>
      <c r="S356" s="18" t="str">
        <f t="shared" si="22"/>
        <v/>
      </c>
      <c r="T356" s="18" t="str">
        <f t="shared" si="23"/>
        <v>SW NOT INSTALLED</v>
      </c>
    </row>
    <row r="357" spans="1:20">
      <c r="A357" s="34">
        <f>'12 - Deployments &amp; Config'!H362</f>
        <v>0</v>
      </c>
      <c r="B357" s="34">
        <f>'12 - Deployments &amp; Config'!S362</f>
        <v>0</v>
      </c>
      <c r="C357" s="34">
        <f>'12 - Deployments &amp; Config'!T362</f>
        <v>0</v>
      </c>
      <c r="D357" s="18">
        <f>'12 - Deployments &amp; Config'!AK362</f>
        <v>0</v>
      </c>
      <c r="E357" s="18">
        <f>'12 - Deployments &amp; Config'!J362</f>
        <v>0</v>
      </c>
      <c r="F357" s="34">
        <f>'12 - Deployments &amp; Config'!K362</f>
        <v>0</v>
      </c>
      <c r="G357" s="18">
        <f>'12 - Deployments &amp; Config'!L362</f>
        <v>0</v>
      </c>
      <c r="H357" s="18">
        <f>'13 - Config_Intake_View'!M357</f>
        <v>0</v>
      </c>
      <c r="I357" s="34">
        <f>IF('13 - Config_Intake_View'!Q357&lt;&gt;"",'13 - Config_Intake_View'!Q357,'12 - Deployments &amp; Config'!BI362)</f>
        <v>0</v>
      </c>
      <c r="J357" s="18" t="str">
        <f>IF('13 - Config_Intake_View'!Q357&lt;&gt;"","PM Approved",IF('12 - Deployments &amp; Config'!BI362&lt;&gt;"","Assumed",""))</f>
        <v/>
      </c>
      <c r="K357" s="34">
        <f>'12 - Deployments &amp; Config'!BH362</f>
        <v>0</v>
      </c>
      <c r="L357" s="18">
        <f>'12 - Deployments &amp; Config'!P362</f>
        <v>0</v>
      </c>
      <c r="M357" s="18">
        <f>'12 - Deployments &amp; Config'!Q362</f>
        <v>0</v>
      </c>
      <c r="N357" s="18" t="str">
        <f>'12 - Deployments &amp; Config'!BL362</f>
        <v/>
      </c>
      <c r="O357" s="34" t="str">
        <f>'12 - Deployments &amp; Config'!BM362</f>
        <v/>
      </c>
      <c r="P357" s="2">
        <f>'12 - Deployments &amp; Config'!BB362</f>
        <v>0</v>
      </c>
      <c r="Q357" s="34" t="str">
        <f t="shared" si="20"/>
        <v/>
      </c>
      <c r="R357" s="18" t="str">
        <f t="shared" si="21"/>
        <v>SW NOT INSTALLED</v>
      </c>
      <c r="S357" s="18" t="str">
        <f t="shared" si="22"/>
        <v/>
      </c>
      <c r="T357" s="18" t="str">
        <f t="shared" si="23"/>
        <v>SW NOT INSTALLED</v>
      </c>
    </row>
    <row r="358" spans="1:20">
      <c r="A358" s="34">
        <f>'12 - Deployments &amp; Config'!H363</f>
        <v>0</v>
      </c>
      <c r="B358" s="34">
        <f>'12 - Deployments &amp; Config'!S363</f>
        <v>0</v>
      </c>
      <c r="C358" s="34">
        <f>'12 - Deployments &amp; Config'!T363</f>
        <v>0</v>
      </c>
      <c r="D358" s="18">
        <f>'12 - Deployments &amp; Config'!AK363</f>
        <v>0</v>
      </c>
      <c r="E358" s="18">
        <f>'12 - Deployments &amp; Config'!J363</f>
        <v>0</v>
      </c>
      <c r="F358" s="34">
        <f>'12 - Deployments &amp; Config'!K363</f>
        <v>0</v>
      </c>
      <c r="G358" s="18">
        <f>'12 - Deployments &amp; Config'!L363</f>
        <v>0</v>
      </c>
      <c r="H358" s="18">
        <f>'13 - Config_Intake_View'!M358</f>
        <v>0</v>
      </c>
      <c r="I358" s="34">
        <f>IF('13 - Config_Intake_View'!Q358&lt;&gt;"",'13 - Config_Intake_View'!Q358,'12 - Deployments &amp; Config'!BI363)</f>
        <v>0</v>
      </c>
      <c r="J358" s="18" t="str">
        <f>IF('13 - Config_Intake_View'!Q358&lt;&gt;"","PM Approved",IF('12 - Deployments &amp; Config'!BI363&lt;&gt;"","Assumed",""))</f>
        <v/>
      </c>
      <c r="K358" s="34">
        <f>'12 - Deployments &amp; Config'!BH363</f>
        <v>0</v>
      </c>
      <c r="L358" s="18">
        <f>'12 - Deployments &amp; Config'!P363</f>
        <v>0</v>
      </c>
      <c r="M358" s="18">
        <f>'12 - Deployments &amp; Config'!Q363</f>
        <v>0</v>
      </c>
      <c r="N358" s="18" t="str">
        <f>'12 - Deployments &amp; Config'!BL363</f>
        <v/>
      </c>
      <c r="O358" s="34" t="str">
        <f>'12 - Deployments &amp; Config'!BM363</f>
        <v/>
      </c>
      <c r="P358" s="2">
        <f>'12 - Deployments &amp; Config'!BB363</f>
        <v>0</v>
      </c>
      <c r="Q358" s="34" t="str">
        <f t="shared" si="20"/>
        <v/>
      </c>
      <c r="R358" s="18" t="str">
        <f t="shared" si="21"/>
        <v>SW NOT INSTALLED</v>
      </c>
      <c r="S358" s="18" t="str">
        <f t="shared" si="22"/>
        <v/>
      </c>
      <c r="T358" s="18" t="str">
        <f t="shared" si="23"/>
        <v>SW NOT INSTALLED</v>
      </c>
    </row>
    <row r="359" spans="1:20">
      <c r="A359" s="34">
        <f>'12 - Deployments &amp; Config'!H364</f>
        <v>0</v>
      </c>
      <c r="B359" s="34">
        <f>'12 - Deployments &amp; Config'!S364</f>
        <v>0</v>
      </c>
      <c r="C359" s="34">
        <f>'12 - Deployments &amp; Config'!T364</f>
        <v>0</v>
      </c>
      <c r="D359" s="18">
        <f>'12 - Deployments &amp; Config'!AK364</f>
        <v>0</v>
      </c>
      <c r="E359" s="18">
        <f>'12 - Deployments &amp; Config'!J364</f>
        <v>0</v>
      </c>
      <c r="F359" s="34">
        <f>'12 - Deployments &amp; Config'!K364</f>
        <v>0</v>
      </c>
      <c r="G359" s="18">
        <f>'12 - Deployments &amp; Config'!L364</f>
        <v>0</v>
      </c>
      <c r="H359" s="18">
        <f>'13 - Config_Intake_View'!M359</f>
        <v>0</v>
      </c>
      <c r="I359" s="34">
        <f>IF('13 - Config_Intake_View'!Q359&lt;&gt;"",'13 - Config_Intake_View'!Q359,'12 - Deployments &amp; Config'!BI364)</f>
        <v>0</v>
      </c>
      <c r="J359" s="18" t="str">
        <f>IF('13 - Config_Intake_View'!Q359&lt;&gt;"","PM Approved",IF('12 - Deployments &amp; Config'!BI364&lt;&gt;"","Assumed",""))</f>
        <v/>
      </c>
      <c r="K359" s="34">
        <f>'12 - Deployments &amp; Config'!BH364</f>
        <v>0</v>
      </c>
      <c r="L359" s="18">
        <f>'12 - Deployments &amp; Config'!P364</f>
        <v>0</v>
      </c>
      <c r="M359" s="18">
        <f>'12 - Deployments &amp; Config'!Q364</f>
        <v>0</v>
      </c>
      <c r="N359" s="18" t="str">
        <f>'12 - Deployments &amp; Config'!BL364</f>
        <v/>
      </c>
      <c r="O359" s="34" t="str">
        <f>'12 - Deployments &amp; Config'!BM364</f>
        <v/>
      </c>
      <c r="P359" s="2">
        <f>'12 - Deployments &amp; Config'!BB364</f>
        <v>0</v>
      </c>
      <c r="Q359" s="34" t="str">
        <f t="shared" si="20"/>
        <v/>
      </c>
      <c r="R359" s="18" t="str">
        <f t="shared" si="21"/>
        <v>SW NOT INSTALLED</v>
      </c>
      <c r="S359" s="18" t="str">
        <f t="shared" si="22"/>
        <v/>
      </c>
      <c r="T359" s="18" t="str">
        <f t="shared" si="23"/>
        <v>SW NOT INSTALLED</v>
      </c>
    </row>
    <row r="360" spans="1:20">
      <c r="A360" s="34">
        <f>'12 - Deployments &amp; Config'!H365</f>
        <v>0</v>
      </c>
      <c r="B360" s="34">
        <f>'12 - Deployments &amp; Config'!S365</f>
        <v>0</v>
      </c>
      <c r="C360" s="34">
        <f>'12 - Deployments &amp; Config'!T365</f>
        <v>0</v>
      </c>
      <c r="D360" s="18">
        <f>'12 - Deployments &amp; Config'!AK365</f>
        <v>0</v>
      </c>
      <c r="E360" s="18">
        <f>'12 - Deployments &amp; Config'!J365</f>
        <v>0</v>
      </c>
      <c r="F360" s="34">
        <f>'12 - Deployments &amp; Config'!K365</f>
        <v>0</v>
      </c>
      <c r="G360" s="18">
        <f>'12 - Deployments &amp; Config'!L365</f>
        <v>0</v>
      </c>
      <c r="H360" s="18">
        <f>'13 - Config_Intake_View'!M360</f>
        <v>0</v>
      </c>
      <c r="I360" s="34">
        <f>IF('13 - Config_Intake_View'!Q360&lt;&gt;"",'13 - Config_Intake_View'!Q360,'12 - Deployments &amp; Config'!BI365)</f>
        <v>0</v>
      </c>
      <c r="J360" s="18" t="str">
        <f>IF('13 - Config_Intake_View'!Q360&lt;&gt;"","PM Approved",IF('12 - Deployments &amp; Config'!BI365&lt;&gt;"","Assumed",""))</f>
        <v/>
      </c>
      <c r="K360" s="34">
        <f>'12 - Deployments &amp; Config'!BH365</f>
        <v>0</v>
      </c>
      <c r="L360" s="18">
        <f>'12 - Deployments &amp; Config'!P365</f>
        <v>0</v>
      </c>
      <c r="M360" s="18">
        <f>'12 - Deployments &amp; Config'!Q365</f>
        <v>0</v>
      </c>
      <c r="N360" s="18" t="str">
        <f>'12 - Deployments &amp; Config'!BL365</f>
        <v/>
      </c>
      <c r="O360" s="34" t="str">
        <f>'12 - Deployments &amp; Config'!BM365</f>
        <v/>
      </c>
      <c r="P360" s="2">
        <f>'12 - Deployments &amp; Config'!BB365</f>
        <v>0</v>
      </c>
      <c r="Q360" s="34" t="str">
        <f t="shared" si="20"/>
        <v/>
      </c>
      <c r="R360" s="18" t="str">
        <f t="shared" si="21"/>
        <v>SW NOT INSTALLED</v>
      </c>
      <c r="S360" s="18" t="str">
        <f t="shared" si="22"/>
        <v/>
      </c>
      <c r="T360" s="18" t="str">
        <f t="shared" si="23"/>
        <v>SW NOT INSTALLED</v>
      </c>
    </row>
    <row r="361" spans="1:20">
      <c r="A361" s="34">
        <f>'12 - Deployments &amp; Config'!H366</f>
        <v>0</v>
      </c>
      <c r="B361" s="34">
        <f>'12 - Deployments &amp; Config'!S366</f>
        <v>0</v>
      </c>
      <c r="C361" s="34">
        <f>'12 - Deployments &amp; Config'!T366</f>
        <v>0</v>
      </c>
      <c r="D361" s="18">
        <f>'12 - Deployments &amp; Config'!AK366</f>
        <v>0</v>
      </c>
      <c r="E361" s="18">
        <f>'12 - Deployments &amp; Config'!J366</f>
        <v>0</v>
      </c>
      <c r="F361" s="34">
        <f>'12 - Deployments &amp; Config'!K366</f>
        <v>0</v>
      </c>
      <c r="G361" s="18">
        <f>'12 - Deployments &amp; Config'!L366</f>
        <v>0</v>
      </c>
      <c r="H361" s="18">
        <f>'13 - Config_Intake_View'!M361</f>
        <v>0</v>
      </c>
      <c r="I361" s="34">
        <f>IF('13 - Config_Intake_View'!Q361&lt;&gt;"",'13 - Config_Intake_View'!Q361,'12 - Deployments &amp; Config'!BI366)</f>
        <v>0</v>
      </c>
      <c r="J361" s="18" t="str">
        <f>IF('13 - Config_Intake_View'!Q361&lt;&gt;"","PM Approved",IF('12 - Deployments &amp; Config'!BI366&lt;&gt;"","Assumed",""))</f>
        <v/>
      </c>
      <c r="K361" s="34">
        <f>'12 - Deployments &amp; Config'!BH366</f>
        <v>0</v>
      </c>
      <c r="L361" s="18">
        <f>'12 - Deployments &amp; Config'!P366</f>
        <v>0</v>
      </c>
      <c r="M361" s="18">
        <f>'12 - Deployments &amp; Config'!Q366</f>
        <v>0</v>
      </c>
      <c r="N361" s="18" t="str">
        <f>'12 - Deployments &amp; Config'!BL366</f>
        <v/>
      </c>
      <c r="O361" s="34" t="str">
        <f>'12 - Deployments &amp; Config'!BM366</f>
        <v/>
      </c>
      <c r="P361" s="2">
        <f>'12 - Deployments &amp; Config'!BB366</f>
        <v>0</v>
      </c>
      <c r="Q361" s="34" t="str">
        <f t="shared" si="20"/>
        <v/>
      </c>
      <c r="R361" s="18" t="str">
        <f t="shared" si="21"/>
        <v>SW NOT INSTALLED</v>
      </c>
      <c r="S361" s="18" t="str">
        <f t="shared" si="22"/>
        <v/>
      </c>
      <c r="T361" s="18" t="str">
        <f t="shared" si="23"/>
        <v>SW NOT INSTALLED</v>
      </c>
    </row>
    <row r="362" spans="1:20">
      <c r="A362" s="34">
        <f>'12 - Deployments &amp; Config'!H367</f>
        <v>0</v>
      </c>
      <c r="B362" s="34">
        <f>'12 - Deployments &amp; Config'!S367</f>
        <v>0</v>
      </c>
      <c r="C362" s="34">
        <f>'12 - Deployments &amp; Config'!T367</f>
        <v>0</v>
      </c>
      <c r="D362" s="18">
        <f>'12 - Deployments &amp; Config'!AK367</f>
        <v>0</v>
      </c>
      <c r="E362" s="18">
        <f>'12 - Deployments &amp; Config'!J367</f>
        <v>0</v>
      </c>
      <c r="F362" s="34">
        <f>'12 - Deployments &amp; Config'!K367</f>
        <v>0</v>
      </c>
      <c r="G362" s="18">
        <f>'12 - Deployments &amp; Config'!L367</f>
        <v>0</v>
      </c>
      <c r="H362" s="18">
        <f>'13 - Config_Intake_View'!M362</f>
        <v>0</v>
      </c>
      <c r="I362" s="34">
        <f>IF('13 - Config_Intake_View'!Q362&lt;&gt;"",'13 - Config_Intake_View'!Q362,'12 - Deployments &amp; Config'!BI367)</f>
        <v>0</v>
      </c>
      <c r="J362" s="18" t="str">
        <f>IF('13 - Config_Intake_View'!Q362&lt;&gt;"","PM Approved",IF('12 - Deployments &amp; Config'!BI367&lt;&gt;"","Assumed",""))</f>
        <v/>
      </c>
      <c r="K362" s="34">
        <f>'12 - Deployments &amp; Config'!BH367</f>
        <v>0</v>
      </c>
      <c r="L362" s="18">
        <f>'12 - Deployments &amp; Config'!P367</f>
        <v>0</v>
      </c>
      <c r="M362" s="18">
        <f>'12 - Deployments &amp; Config'!Q367</f>
        <v>0</v>
      </c>
      <c r="N362" s="18" t="str">
        <f>'12 - Deployments &amp; Config'!BL367</f>
        <v/>
      </c>
      <c r="O362" s="34" t="str">
        <f>'12 - Deployments &amp; Config'!BM367</f>
        <v/>
      </c>
      <c r="P362" s="2">
        <f>'12 - Deployments &amp; Config'!BB367</f>
        <v>0</v>
      </c>
      <c r="Q362" s="34" t="str">
        <f t="shared" si="20"/>
        <v/>
      </c>
      <c r="R362" s="18" t="str">
        <f t="shared" si="21"/>
        <v>SW NOT INSTALLED</v>
      </c>
      <c r="S362" s="18" t="str">
        <f t="shared" si="22"/>
        <v/>
      </c>
      <c r="T362" s="18" t="str">
        <f t="shared" si="23"/>
        <v>SW NOT INSTALLED</v>
      </c>
    </row>
    <row r="363" spans="1:20">
      <c r="A363" s="34">
        <f>'12 - Deployments &amp; Config'!H368</f>
        <v>0</v>
      </c>
      <c r="B363" s="34">
        <f>'12 - Deployments &amp; Config'!S368</f>
        <v>0</v>
      </c>
      <c r="C363" s="34">
        <f>'12 - Deployments &amp; Config'!T368</f>
        <v>0</v>
      </c>
      <c r="D363" s="18">
        <f>'12 - Deployments &amp; Config'!AK368</f>
        <v>0</v>
      </c>
      <c r="E363" s="18">
        <f>'12 - Deployments &amp; Config'!J368</f>
        <v>0</v>
      </c>
      <c r="F363" s="34">
        <f>'12 - Deployments &amp; Config'!K368</f>
        <v>0</v>
      </c>
      <c r="G363" s="18">
        <f>'12 - Deployments &amp; Config'!L368</f>
        <v>0</v>
      </c>
      <c r="H363" s="18">
        <f>'13 - Config_Intake_View'!M363</f>
        <v>0</v>
      </c>
      <c r="I363" s="34">
        <f>IF('13 - Config_Intake_View'!Q363&lt;&gt;"",'13 - Config_Intake_View'!Q363,'12 - Deployments &amp; Config'!BI368)</f>
        <v>0</v>
      </c>
      <c r="J363" s="18" t="str">
        <f>IF('13 - Config_Intake_View'!Q363&lt;&gt;"","PM Approved",IF('12 - Deployments &amp; Config'!BI368&lt;&gt;"","Assumed",""))</f>
        <v/>
      </c>
      <c r="K363" s="34">
        <f>'12 - Deployments &amp; Config'!BH368</f>
        <v>0</v>
      </c>
      <c r="L363" s="18">
        <f>'12 - Deployments &amp; Config'!P368</f>
        <v>0</v>
      </c>
      <c r="M363" s="18">
        <f>'12 - Deployments &amp; Config'!Q368</f>
        <v>0</v>
      </c>
      <c r="N363" s="18" t="str">
        <f>'12 - Deployments &amp; Config'!BL368</f>
        <v/>
      </c>
      <c r="O363" s="34" t="str">
        <f>'12 - Deployments &amp; Config'!BM368</f>
        <v/>
      </c>
      <c r="P363" s="2">
        <f>'12 - Deployments &amp; Config'!BB368</f>
        <v>0</v>
      </c>
      <c r="Q363" s="34" t="str">
        <f t="shared" si="20"/>
        <v/>
      </c>
      <c r="R363" s="18" t="str">
        <f t="shared" si="21"/>
        <v>SW NOT INSTALLED</v>
      </c>
      <c r="S363" s="18" t="str">
        <f t="shared" si="22"/>
        <v/>
      </c>
      <c r="T363" s="18" t="str">
        <f t="shared" si="23"/>
        <v>SW NOT INSTALLED</v>
      </c>
    </row>
    <row r="364" spans="1:20">
      <c r="A364" s="34">
        <f>'12 - Deployments &amp; Config'!H369</f>
        <v>0</v>
      </c>
      <c r="B364" s="34">
        <f>'12 - Deployments &amp; Config'!S369</f>
        <v>0</v>
      </c>
      <c r="C364" s="34">
        <f>'12 - Deployments &amp; Config'!T369</f>
        <v>0</v>
      </c>
      <c r="D364" s="18">
        <f>'12 - Deployments &amp; Config'!AK369</f>
        <v>0</v>
      </c>
      <c r="E364" s="18">
        <f>'12 - Deployments &amp; Config'!J369</f>
        <v>0</v>
      </c>
      <c r="F364" s="34">
        <f>'12 - Deployments &amp; Config'!K369</f>
        <v>0</v>
      </c>
      <c r="G364" s="18">
        <f>'12 - Deployments &amp; Config'!L369</f>
        <v>0</v>
      </c>
      <c r="H364" s="18">
        <f>'13 - Config_Intake_View'!M364</f>
        <v>0</v>
      </c>
      <c r="I364" s="34">
        <f>IF('13 - Config_Intake_View'!Q364&lt;&gt;"",'13 - Config_Intake_View'!Q364,'12 - Deployments &amp; Config'!BI369)</f>
        <v>0</v>
      </c>
      <c r="J364" s="18" t="str">
        <f>IF('13 - Config_Intake_View'!Q364&lt;&gt;"","PM Approved",IF('12 - Deployments &amp; Config'!BI369&lt;&gt;"","Assumed",""))</f>
        <v/>
      </c>
      <c r="K364" s="34">
        <f>'12 - Deployments &amp; Config'!BH369</f>
        <v>0</v>
      </c>
      <c r="L364" s="18">
        <f>'12 - Deployments &amp; Config'!P369</f>
        <v>0</v>
      </c>
      <c r="M364" s="18">
        <f>'12 - Deployments &amp; Config'!Q369</f>
        <v>0</v>
      </c>
      <c r="N364" s="18" t="str">
        <f>'12 - Deployments &amp; Config'!BL369</f>
        <v/>
      </c>
      <c r="O364" s="34" t="str">
        <f>'12 - Deployments &amp; Config'!BM369</f>
        <v/>
      </c>
      <c r="P364" s="2">
        <f>'12 - Deployments &amp; Config'!BB369</f>
        <v>0</v>
      </c>
      <c r="Q364" s="34" t="str">
        <f t="shared" si="20"/>
        <v/>
      </c>
      <c r="R364" s="18" t="str">
        <f t="shared" si="21"/>
        <v>SW NOT INSTALLED</v>
      </c>
      <c r="S364" s="18" t="str">
        <f t="shared" si="22"/>
        <v/>
      </c>
      <c r="T364" s="18" t="str">
        <f t="shared" si="23"/>
        <v>SW NOT INSTALLED</v>
      </c>
    </row>
    <row r="365" spans="1:20">
      <c r="A365" s="34">
        <f>'12 - Deployments &amp; Config'!H370</f>
        <v>0</v>
      </c>
      <c r="B365" s="34">
        <f>'12 - Deployments &amp; Config'!S370</f>
        <v>0</v>
      </c>
      <c r="C365" s="34">
        <f>'12 - Deployments &amp; Config'!T370</f>
        <v>0</v>
      </c>
      <c r="D365" s="18">
        <f>'12 - Deployments &amp; Config'!AK370</f>
        <v>0</v>
      </c>
      <c r="E365" s="18">
        <f>'12 - Deployments &amp; Config'!J370</f>
        <v>0</v>
      </c>
      <c r="F365" s="34">
        <f>'12 - Deployments &amp; Config'!K370</f>
        <v>0</v>
      </c>
      <c r="G365" s="18">
        <f>'12 - Deployments &amp; Config'!L370</f>
        <v>0</v>
      </c>
      <c r="H365" s="18">
        <f>'13 - Config_Intake_View'!M365</f>
        <v>0</v>
      </c>
      <c r="I365" s="34">
        <f>IF('13 - Config_Intake_View'!Q365&lt;&gt;"",'13 - Config_Intake_View'!Q365,'12 - Deployments &amp; Config'!BI370)</f>
        <v>0</v>
      </c>
      <c r="J365" s="18" t="str">
        <f>IF('13 - Config_Intake_View'!Q365&lt;&gt;"","PM Approved",IF('12 - Deployments &amp; Config'!BI370&lt;&gt;"","Assumed",""))</f>
        <v/>
      </c>
      <c r="K365" s="34">
        <f>'12 - Deployments &amp; Config'!BH370</f>
        <v>0</v>
      </c>
      <c r="L365" s="18">
        <f>'12 - Deployments &amp; Config'!P370</f>
        <v>0</v>
      </c>
      <c r="M365" s="18">
        <f>'12 - Deployments &amp; Config'!Q370</f>
        <v>0</v>
      </c>
      <c r="N365" s="18" t="str">
        <f>'12 - Deployments &amp; Config'!BL370</f>
        <v/>
      </c>
      <c r="O365" s="34" t="str">
        <f>'12 - Deployments &amp; Config'!BM370</f>
        <v/>
      </c>
      <c r="P365" s="2">
        <f>'12 - Deployments &amp; Config'!BB370</f>
        <v>0</v>
      </c>
      <c r="Q365" s="34" t="str">
        <f t="shared" si="20"/>
        <v/>
      </c>
      <c r="R365" s="18" t="str">
        <f t="shared" si="21"/>
        <v>SW NOT INSTALLED</v>
      </c>
      <c r="S365" s="18" t="str">
        <f t="shared" si="22"/>
        <v/>
      </c>
      <c r="T365" s="18" t="str">
        <f t="shared" si="23"/>
        <v>SW NOT INSTALLED</v>
      </c>
    </row>
    <row r="366" spans="1:20">
      <c r="A366" s="34">
        <f>'12 - Deployments &amp; Config'!H371</f>
        <v>0</v>
      </c>
      <c r="B366" s="34">
        <f>'12 - Deployments &amp; Config'!S371</f>
        <v>0</v>
      </c>
      <c r="C366" s="34">
        <f>'12 - Deployments &amp; Config'!T371</f>
        <v>0</v>
      </c>
      <c r="D366" s="18">
        <f>'12 - Deployments &amp; Config'!AK371</f>
        <v>0</v>
      </c>
      <c r="E366" s="18">
        <f>'12 - Deployments &amp; Config'!J371</f>
        <v>0</v>
      </c>
      <c r="F366" s="34">
        <f>'12 - Deployments &amp; Config'!K371</f>
        <v>0</v>
      </c>
      <c r="G366" s="18">
        <f>'12 - Deployments &amp; Config'!L371</f>
        <v>0</v>
      </c>
      <c r="H366" s="18">
        <f>'13 - Config_Intake_View'!M366</f>
        <v>0</v>
      </c>
      <c r="I366" s="34">
        <f>IF('13 - Config_Intake_View'!Q366&lt;&gt;"",'13 - Config_Intake_View'!Q366,'12 - Deployments &amp; Config'!BI371)</f>
        <v>0</v>
      </c>
      <c r="J366" s="18" t="str">
        <f>IF('13 - Config_Intake_View'!Q366&lt;&gt;"","PM Approved",IF('12 - Deployments &amp; Config'!BI371&lt;&gt;"","Assumed",""))</f>
        <v/>
      </c>
      <c r="K366" s="34">
        <f>'12 - Deployments &amp; Config'!BH371</f>
        <v>0</v>
      </c>
      <c r="L366" s="18">
        <f>'12 - Deployments &amp; Config'!P371</f>
        <v>0</v>
      </c>
      <c r="M366" s="18">
        <f>'12 - Deployments &amp; Config'!Q371</f>
        <v>0</v>
      </c>
      <c r="N366" s="18" t="str">
        <f>'12 - Deployments &amp; Config'!BL371</f>
        <v/>
      </c>
      <c r="O366" s="34" t="str">
        <f>'12 - Deployments &amp; Config'!BM371</f>
        <v/>
      </c>
      <c r="P366" s="2">
        <f>'12 - Deployments &amp; Config'!BB371</f>
        <v>0</v>
      </c>
      <c r="Q366" s="34" t="str">
        <f t="shared" si="20"/>
        <v/>
      </c>
      <c r="R366" s="18" t="str">
        <f t="shared" si="21"/>
        <v>SW NOT INSTALLED</v>
      </c>
      <c r="S366" s="18" t="str">
        <f t="shared" si="22"/>
        <v/>
      </c>
      <c r="T366" s="18" t="str">
        <f t="shared" si="23"/>
        <v>SW NOT INSTALLED</v>
      </c>
    </row>
    <row r="367" spans="1:20">
      <c r="A367" s="34">
        <f>'12 - Deployments &amp; Config'!H372</f>
        <v>0</v>
      </c>
      <c r="B367" s="34">
        <f>'12 - Deployments &amp; Config'!S372</f>
        <v>0</v>
      </c>
      <c r="C367" s="34">
        <f>'12 - Deployments &amp; Config'!T372</f>
        <v>0</v>
      </c>
      <c r="D367" s="18">
        <f>'12 - Deployments &amp; Config'!AK372</f>
        <v>0</v>
      </c>
      <c r="E367" s="18">
        <f>'12 - Deployments &amp; Config'!J372</f>
        <v>0</v>
      </c>
      <c r="F367" s="34">
        <f>'12 - Deployments &amp; Config'!K372</f>
        <v>0</v>
      </c>
      <c r="G367" s="18">
        <f>'12 - Deployments &amp; Config'!L372</f>
        <v>0</v>
      </c>
      <c r="H367" s="18">
        <f>'13 - Config_Intake_View'!M367</f>
        <v>0</v>
      </c>
      <c r="I367" s="34">
        <f>IF('13 - Config_Intake_View'!Q367&lt;&gt;"",'13 - Config_Intake_View'!Q367,'12 - Deployments &amp; Config'!BI372)</f>
        <v>0</v>
      </c>
      <c r="J367" s="18" t="str">
        <f>IF('13 - Config_Intake_View'!Q367&lt;&gt;"","PM Approved",IF('12 - Deployments &amp; Config'!BI372&lt;&gt;"","Assumed",""))</f>
        <v/>
      </c>
      <c r="K367" s="34">
        <f>'12 - Deployments &amp; Config'!BH372</f>
        <v>0</v>
      </c>
      <c r="L367" s="18">
        <f>'12 - Deployments &amp; Config'!P372</f>
        <v>0</v>
      </c>
      <c r="M367" s="18">
        <f>'12 - Deployments &amp; Config'!Q372</f>
        <v>0</v>
      </c>
      <c r="N367" s="18" t="str">
        <f>'12 - Deployments &amp; Config'!BL372</f>
        <v/>
      </c>
      <c r="O367" s="34" t="str">
        <f>'12 - Deployments &amp; Config'!BM372</f>
        <v/>
      </c>
      <c r="P367" s="2">
        <f>'12 - Deployments &amp; Config'!BB372</f>
        <v>0</v>
      </c>
      <c r="Q367" s="34" t="str">
        <f t="shared" si="20"/>
        <v/>
      </c>
      <c r="R367" s="18" t="str">
        <f t="shared" si="21"/>
        <v>SW NOT INSTALLED</v>
      </c>
      <c r="S367" s="18" t="str">
        <f t="shared" si="22"/>
        <v/>
      </c>
      <c r="T367" s="18" t="str">
        <f t="shared" si="23"/>
        <v>SW NOT INSTALLED</v>
      </c>
    </row>
    <row r="368" spans="1:20">
      <c r="A368" s="34">
        <f>'12 - Deployments &amp; Config'!H373</f>
        <v>0</v>
      </c>
      <c r="B368" s="34">
        <f>'12 - Deployments &amp; Config'!S373</f>
        <v>0</v>
      </c>
      <c r="C368" s="34">
        <f>'12 - Deployments &amp; Config'!T373</f>
        <v>0</v>
      </c>
      <c r="D368" s="18">
        <f>'12 - Deployments &amp; Config'!AK373</f>
        <v>0</v>
      </c>
      <c r="E368" s="18">
        <f>'12 - Deployments &amp; Config'!J373</f>
        <v>0</v>
      </c>
      <c r="F368" s="34">
        <f>'12 - Deployments &amp; Config'!K373</f>
        <v>0</v>
      </c>
      <c r="G368" s="18">
        <f>'12 - Deployments &amp; Config'!L373</f>
        <v>0</v>
      </c>
      <c r="H368" s="18">
        <f>'13 - Config_Intake_View'!M368</f>
        <v>0</v>
      </c>
      <c r="I368" s="34">
        <f>IF('13 - Config_Intake_View'!Q368&lt;&gt;"",'13 - Config_Intake_View'!Q368,'12 - Deployments &amp; Config'!BI373)</f>
        <v>0</v>
      </c>
      <c r="J368" s="18" t="str">
        <f>IF('13 - Config_Intake_View'!Q368&lt;&gt;"","PM Approved",IF('12 - Deployments &amp; Config'!BI373&lt;&gt;"","Assumed",""))</f>
        <v/>
      </c>
      <c r="K368" s="34">
        <f>'12 - Deployments &amp; Config'!BH373</f>
        <v>0</v>
      </c>
      <c r="L368" s="18">
        <f>'12 - Deployments &amp; Config'!P373</f>
        <v>0</v>
      </c>
      <c r="M368" s="18">
        <f>'12 - Deployments &amp; Config'!Q373</f>
        <v>0</v>
      </c>
      <c r="N368" s="18" t="str">
        <f>'12 - Deployments &amp; Config'!BL373</f>
        <v/>
      </c>
      <c r="O368" s="34" t="str">
        <f>'12 - Deployments &amp; Config'!BM373</f>
        <v/>
      </c>
      <c r="P368" s="2">
        <f>'12 - Deployments &amp; Config'!BB373</f>
        <v>0</v>
      </c>
      <c r="Q368" s="34" t="str">
        <f t="shared" si="20"/>
        <v/>
      </c>
      <c r="R368" s="18" t="str">
        <f t="shared" si="21"/>
        <v>SW NOT INSTALLED</v>
      </c>
      <c r="S368" s="18" t="str">
        <f t="shared" si="22"/>
        <v/>
      </c>
      <c r="T368" s="18" t="str">
        <f t="shared" si="23"/>
        <v>SW NOT INSTALLED</v>
      </c>
    </row>
    <row r="369" spans="1:20">
      <c r="A369" s="34">
        <f>'12 - Deployments &amp; Config'!H374</f>
        <v>0</v>
      </c>
      <c r="B369" s="34">
        <f>'12 - Deployments &amp; Config'!S374</f>
        <v>0</v>
      </c>
      <c r="C369" s="34">
        <f>'12 - Deployments &amp; Config'!T374</f>
        <v>0</v>
      </c>
      <c r="D369" s="18">
        <f>'12 - Deployments &amp; Config'!AK374</f>
        <v>0</v>
      </c>
      <c r="E369" s="18">
        <f>'12 - Deployments &amp; Config'!J374</f>
        <v>0</v>
      </c>
      <c r="F369" s="34">
        <f>'12 - Deployments &amp; Config'!K374</f>
        <v>0</v>
      </c>
      <c r="G369" s="18">
        <f>'12 - Deployments &amp; Config'!L374</f>
        <v>0</v>
      </c>
      <c r="H369" s="18">
        <f>'13 - Config_Intake_View'!M369</f>
        <v>0</v>
      </c>
      <c r="I369" s="34">
        <f>IF('13 - Config_Intake_View'!Q369&lt;&gt;"",'13 - Config_Intake_View'!Q369,'12 - Deployments &amp; Config'!BI374)</f>
        <v>0</v>
      </c>
      <c r="J369" s="18" t="str">
        <f>IF('13 - Config_Intake_View'!Q369&lt;&gt;"","PM Approved",IF('12 - Deployments &amp; Config'!BI374&lt;&gt;"","Assumed",""))</f>
        <v/>
      </c>
      <c r="K369" s="34">
        <f>'12 - Deployments &amp; Config'!BH374</f>
        <v>0</v>
      </c>
      <c r="L369" s="18">
        <f>'12 - Deployments &amp; Config'!P374</f>
        <v>0</v>
      </c>
      <c r="M369" s="18">
        <f>'12 - Deployments &amp; Config'!Q374</f>
        <v>0</v>
      </c>
      <c r="N369" s="18" t="str">
        <f>'12 - Deployments &amp; Config'!BL374</f>
        <v/>
      </c>
      <c r="O369" s="34" t="str">
        <f>'12 - Deployments &amp; Config'!BM374</f>
        <v/>
      </c>
      <c r="P369" s="2">
        <f>'12 - Deployments &amp; Config'!BB374</f>
        <v>0</v>
      </c>
      <c r="Q369" s="34" t="str">
        <f t="shared" si="20"/>
        <v/>
      </c>
      <c r="R369" s="18" t="str">
        <f t="shared" si="21"/>
        <v>SW NOT INSTALLED</v>
      </c>
      <c r="S369" s="18" t="str">
        <f t="shared" si="22"/>
        <v/>
      </c>
      <c r="T369" s="18" t="str">
        <f t="shared" si="23"/>
        <v>SW NOT INSTALLED</v>
      </c>
    </row>
    <row r="370" spans="1:20">
      <c r="A370" s="34">
        <f>'12 - Deployments &amp; Config'!H375</f>
        <v>0</v>
      </c>
      <c r="B370" s="34">
        <f>'12 - Deployments &amp; Config'!S375</f>
        <v>0</v>
      </c>
      <c r="C370" s="34">
        <f>'12 - Deployments &amp; Config'!T375</f>
        <v>0</v>
      </c>
      <c r="D370" s="18">
        <f>'12 - Deployments &amp; Config'!AK375</f>
        <v>0</v>
      </c>
      <c r="E370" s="18">
        <f>'12 - Deployments &amp; Config'!J375</f>
        <v>0</v>
      </c>
      <c r="F370" s="34">
        <f>'12 - Deployments &amp; Config'!K375</f>
        <v>0</v>
      </c>
      <c r="G370" s="18">
        <f>'12 - Deployments &amp; Config'!L375</f>
        <v>0</v>
      </c>
      <c r="H370" s="18">
        <f>'13 - Config_Intake_View'!M370</f>
        <v>0</v>
      </c>
      <c r="I370" s="34">
        <f>IF('13 - Config_Intake_View'!Q370&lt;&gt;"",'13 - Config_Intake_View'!Q370,'12 - Deployments &amp; Config'!BI375)</f>
        <v>0</v>
      </c>
      <c r="J370" s="18" t="str">
        <f>IF('13 - Config_Intake_View'!Q370&lt;&gt;"","PM Approved",IF('12 - Deployments &amp; Config'!BI375&lt;&gt;"","Assumed",""))</f>
        <v/>
      </c>
      <c r="K370" s="34">
        <f>'12 - Deployments &amp; Config'!BH375</f>
        <v>0</v>
      </c>
      <c r="L370" s="18">
        <f>'12 - Deployments &amp; Config'!P375</f>
        <v>0</v>
      </c>
      <c r="M370" s="18">
        <f>'12 - Deployments &amp; Config'!Q375</f>
        <v>0</v>
      </c>
      <c r="N370" s="18" t="str">
        <f>'12 - Deployments &amp; Config'!BL375</f>
        <v/>
      </c>
      <c r="O370" s="34" t="str">
        <f>'12 - Deployments &amp; Config'!BM375</f>
        <v/>
      </c>
      <c r="P370" s="2">
        <f>'12 - Deployments &amp; Config'!BB375</f>
        <v>0</v>
      </c>
      <c r="Q370" s="34" t="str">
        <f t="shared" si="20"/>
        <v/>
      </c>
      <c r="R370" s="18" t="str">
        <f t="shared" si="21"/>
        <v>SW NOT INSTALLED</v>
      </c>
      <c r="S370" s="18" t="str">
        <f t="shared" si="22"/>
        <v/>
      </c>
      <c r="T370" s="18" t="str">
        <f t="shared" si="23"/>
        <v>SW NOT INSTALLED</v>
      </c>
    </row>
    <row r="371" spans="1:20">
      <c r="A371" s="34">
        <f>'12 - Deployments &amp; Config'!H376</f>
        <v>0</v>
      </c>
      <c r="B371" s="34">
        <f>'12 - Deployments &amp; Config'!S376</f>
        <v>0</v>
      </c>
      <c r="C371" s="34">
        <f>'12 - Deployments &amp; Config'!T376</f>
        <v>0</v>
      </c>
      <c r="D371" s="18">
        <f>'12 - Deployments &amp; Config'!AK376</f>
        <v>0</v>
      </c>
      <c r="E371" s="18">
        <f>'12 - Deployments &amp; Config'!J376</f>
        <v>0</v>
      </c>
      <c r="F371" s="34">
        <f>'12 - Deployments &amp; Config'!K376</f>
        <v>0</v>
      </c>
      <c r="G371" s="18">
        <f>'12 - Deployments &amp; Config'!L376</f>
        <v>0</v>
      </c>
      <c r="H371" s="18">
        <f>'13 - Config_Intake_View'!M371</f>
        <v>0</v>
      </c>
      <c r="I371" s="34">
        <f>IF('13 - Config_Intake_View'!Q371&lt;&gt;"",'13 - Config_Intake_View'!Q371,'12 - Deployments &amp; Config'!BI376)</f>
        <v>0</v>
      </c>
      <c r="J371" s="18" t="str">
        <f>IF('13 - Config_Intake_View'!Q371&lt;&gt;"","PM Approved",IF('12 - Deployments &amp; Config'!BI376&lt;&gt;"","Assumed",""))</f>
        <v/>
      </c>
      <c r="K371" s="34">
        <f>'12 - Deployments &amp; Config'!BH376</f>
        <v>0</v>
      </c>
      <c r="L371" s="18">
        <f>'12 - Deployments &amp; Config'!P376</f>
        <v>0</v>
      </c>
      <c r="M371" s="18">
        <f>'12 - Deployments &amp; Config'!Q376</f>
        <v>0</v>
      </c>
      <c r="N371" s="18" t="str">
        <f>'12 - Deployments &amp; Config'!BL376</f>
        <v/>
      </c>
      <c r="O371" s="34" t="str">
        <f>'12 - Deployments &amp; Config'!BM376</f>
        <v/>
      </c>
      <c r="P371" s="2">
        <f>'12 - Deployments &amp; Config'!BB376</f>
        <v>0</v>
      </c>
      <c r="Q371" s="34" t="str">
        <f t="shared" si="20"/>
        <v/>
      </c>
      <c r="R371" s="18" t="str">
        <f t="shared" si="21"/>
        <v>SW NOT INSTALLED</v>
      </c>
      <c r="S371" s="18" t="str">
        <f t="shared" si="22"/>
        <v/>
      </c>
      <c r="T371" s="18" t="str">
        <f t="shared" si="23"/>
        <v>SW NOT INSTALLED</v>
      </c>
    </row>
    <row r="372" spans="1:20">
      <c r="A372" s="34">
        <f>'12 - Deployments &amp; Config'!H377</f>
        <v>0</v>
      </c>
      <c r="B372" s="34">
        <f>'12 - Deployments &amp; Config'!S377</f>
        <v>0</v>
      </c>
      <c r="C372" s="34">
        <f>'12 - Deployments &amp; Config'!T377</f>
        <v>0</v>
      </c>
      <c r="D372" s="18">
        <f>'12 - Deployments &amp; Config'!AK377</f>
        <v>0</v>
      </c>
      <c r="E372" s="18">
        <f>'12 - Deployments &amp; Config'!J377</f>
        <v>0</v>
      </c>
      <c r="F372" s="34">
        <f>'12 - Deployments &amp; Config'!K377</f>
        <v>0</v>
      </c>
      <c r="G372" s="18">
        <f>'12 - Deployments &amp; Config'!L377</f>
        <v>0</v>
      </c>
      <c r="H372" s="18">
        <f>'13 - Config_Intake_View'!M372</f>
        <v>0</v>
      </c>
      <c r="I372" s="34">
        <f>IF('13 - Config_Intake_View'!Q372&lt;&gt;"",'13 - Config_Intake_View'!Q372,'12 - Deployments &amp; Config'!BI377)</f>
        <v>0</v>
      </c>
      <c r="J372" s="18" t="str">
        <f>IF('13 - Config_Intake_View'!Q372&lt;&gt;"","PM Approved",IF('12 - Deployments &amp; Config'!BI377&lt;&gt;"","Assumed",""))</f>
        <v/>
      </c>
      <c r="K372" s="34">
        <f>'12 - Deployments &amp; Config'!BH377</f>
        <v>0</v>
      </c>
      <c r="L372" s="18">
        <f>'12 - Deployments &amp; Config'!P377</f>
        <v>0</v>
      </c>
      <c r="M372" s="18">
        <f>'12 - Deployments &amp; Config'!Q377</f>
        <v>0</v>
      </c>
      <c r="N372" s="18" t="str">
        <f>'12 - Deployments &amp; Config'!BL377</f>
        <v/>
      </c>
      <c r="O372" s="34" t="str">
        <f>'12 - Deployments &amp; Config'!BM377</f>
        <v/>
      </c>
      <c r="P372" s="2">
        <f>'12 - Deployments &amp; Config'!BB377</f>
        <v>0</v>
      </c>
      <c r="Q372" s="34" t="str">
        <f t="shared" si="20"/>
        <v/>
      </c>
      <c r="R372" s="18" t="str">
        <f t="shared" si="21"/>
        <v>SW NOT INSTALLED</v>
      </c>
      <c r="S372" s="18" t="str">
        <f t="shared" si="22"/>
        <v/>
      </c>
      <c r="T372" s="18" t="str">
        <f t="shared" si="23"/>
        <v>SW NOT INSTALLED</v>
      </c>
    </row>
    <row r="373" spans="1:20">
      <c r="A373" s="34">
        <f>'12 - Deployments &amp; Config'!H378</f>
        <v>0</v>
      </c>
      <c r="B373" s="34">
        <f>'12 - Deployments &amp; Config'!S378</f>
        <v>0</v>
      </c>
      <c r="C373" s="34">
        <f>'12 - Deployments &amp; Config'!T378</f>
        <v>0</v>
      </c>
      <c r="D373" s="18">
        <f>'12 - Deployments &amp; Config'!AK378</f>
        <v>0</v>
      </c>
      <c r="E373" s="18">
        <f>'12 - Deployments &amp; Config'!J378</f>
        <v>0</v>
      </c>
      <c r="F373" s="34">
        <f>'12 - Deployments &amp; Config'!K378</f>
        <v>0</v>
      </c>
      <c r="G373" s="18">
        <f>'12 - Deployments &amp; Config'!L378</f>
        <v>0</v>
      </c>
      <c r="H373" s="18">
        <f>'13 - Config_Intake_View'!M373</f>
        <v>0</v>
      </c>
      <c r="I373" s="34">
        <f>IF('13 - Config_Intake_View'!Q373&lt;&gt;"",'13 - Config_Intake_View'!Q373,'12 - Deployments &amp; Config'!BI378)</f>
        <v>0</v>
      </c>
      <c r="J373" s="18" t="str">
        <f>IF('13 - Config_Intake_View'!Q373&lt;&gt;"","PM Approved",IF('12 - Deployments &amp; Config'!BI378&lt;&gt;"","Assumed",""))</f>
        <v/>
      </c>
      <c r="K373" s="34">
        <f>'12 - Deployments &amp; Config'!BH378</f>
        <v>0</v>
      </c>
      <c r="L373" s="18">
        <f>'12 - Deployments &amp; Config'!P378</f>
        <v>0</v>
      </c>
      <c r="M373" s="18">
        <f>'12 - Deployments &amp; Config'!Q378</f>
        <v>0</v>
      </c>
      <c r="N373" s="18" t="str">
        <f>'12 - Deployments &amp; Config'!BL378</f>
        <v/>
      </c>
      <c r="O373" s="34" t="str">
        <f>'12 - Deployments &amp; Config'!BM378</f>
        <v/>
      </c>
      <c r="P373" s="2">
        <f>'12 - Deployments &amp; Config'!BB378</f>
        <v>0</v>
      </c>
      <c r="Q373" s="34" t="str">
        <f t="shared" si="20"/>
        <v/>
      </c>
      <c r="R373" s="18" t="str">
        <f t="shared" si="21"/>
        <v>SW NOT INSTALLED</v>
      </c>
      <c r="S373" s="18" t="str">
        <f t="shared" si="22"/>
        <v/>
      </c>
      <c r="T373" s="18" t="str">
        <f t="shared" si="23"/>
        <v>SW NOT INSTALLED</v>
      </c>
    </row>
    <row r="374" spans="1:20">
      <c r="A374" s="34">
        <f>'12 - Deployments &amp; Config'!H379</f>
        <v>0</v>
      </c>
      <c r="B374" s="34">
        <f>'12 - Deployments &amp; Config'!S379</f>
        <v>0</v>
      </c>
      <c r="C374" s="34">
        <f>'12 - Deployments &amp; Config'!T379</f>
        <v>0</v>
      </c>
      <c r="D374" s="18">
        <f>'12 - Deployments &amp; Config'!AK379</f>
        <v>0</v>
      </c>
      <c r="E374" s="18">
        <f>'12 - Deployments &amp; Config'!J379</f>
        <v>0</v>
      </c>
      <c r="F374" s="34">
        <f>'12 - Deployments &amp; Config'!K379</f>
        <v>0</v>
      </c>
      <c r="G374" s="18">
        <f>'12 - Deployments &amp; Config'!L379</f>
        <v>0</v>
      </c>
      <c r="H374" s="18">
        <f>'13 - Config_Intake_View'!M374</f>
        <v>0</v>
      </c>
      <c r="I374" s="34">
        <f>IF('13 - Config_Intake_View'!Q374&lt;&gt;"",'13 - Config_Intake_View'!Q374,'12 - Deployments &amp; Config'!BI379)</f>
        <v>0</v>
      </c>
      <c r="J374" s="18" t="str">
        <f>IF('13 - Config_Intake_View'!Q374&lt;&gt;"","PM Approved",IF('12 - Deployments &amp; Config'!BI379&lt;&gt;"","Assumed",""))</f>
        <v/>
      </c>
      <c r="K374" s="34">
        <f>'12 - Deployments &amp; Config'!BH379</f>
        <v>0</v>
      </c>
      <c r="L374" s="18">
        <f>'12 - Deployments &amp; Config'!P379</f>
        <v>0</v>
      </c>
      <c r="M374" s="18">
        <f>'12 - Deployments &amp; Config'!Q379</f>
        <v>0</v>
      </c>
      <c r="N374" s="18" t="str">
        <f>'12 - Deployments &amp; Config'!BL379</f>
        <v/>
      </c>
      <c r="O374" s="34" t="str">
        <f>'12 - Deployments &amp; Config'!BM379</f>
        <v/>
      </c>
      <c r="P374" s="2">
        <f>'12 - Deployments &amp; Config'!BB379</f>
        <v>0</v>
      </c>
      <c r="Q374" s="34" t="str">
        <f t="shared" si="20"/>
        <v/>
      </c>
      <c r="R374" s="18" t="str">
        <f t="shared" si="21"/>
        <v>SW NOT INSTALLED</v>
      </c>
      <c r="S374" s="18" t="str">
        <f t="shared" si="22"/>
        <v/>
      </c>
      <c r="T374" s="18" t="str">
        <f t="shared" si="23"/>
        <v>SW NOT INSTALLED</v>
      </c>
    </row>
    <row r="375" spans="1:20">
      <c r="A375" s="34">
        <f>'12 - Deployments &amp; Config'!H380</f>
        <v>0</v>
      </c>
      <c r="B375" s="34">
        <f>'12 - Deployments &amp; Config'!S380</f>
        <v>0</v>
      </c>
      <c r="C375" s="34">
        <f>'12 - Deployments &amp; Config'!T380</f>
        <v>0</v>
      </c>
      <c r="D375" s="18">
        <f>'12 - Deployments &amp; Config'!AK380</f>
        <v>0</v>
      </c>
      <c r="E375" s="18">
        <f>'12 - Deployments &amp; Config'!J380</f>
        <v>0</v>
      </c>
      <c r="F375" s="34">
        <f>'12 - Deployments &amp; Config'!K380</f>
        <v>0</v>
      </c>
      <c r="G375" s="18">
        <f>'12 - Deployments &amp; Config'!L380</f>
        <v>0</v>
      </c>
      <c r="H375" s="18">
        <f>'13 - Config_Intake_View'!M375</f>
        <v>0</v>
      </c>
      <c r="I375" s="34">
        <f>IF('13 - Config_Intake_View'!Q375&lt;&gt;"",'13 - Config_Intake_View'!Q375,'12 - Deployments &amp; Config'!BI380)</f>
        <v>0</v>
      </c>
      <c r="J375" s="18" t="str">
        <f>IF('13 - Config_Intake_View'!Q375&lt;&gt;"","PM Approved",IF('12 - Deployments &amp; Config'!BI380&lt;&gt;"","Assumed",""))</f>
        <v/>
      </c>
      <c r="K375" s="34">
        <f>'12 - Deployments &amp; Config'!BH380</f>
        <v>0</v>
      </c>
      <c r="L375" s="18">
        <f>'12 - Deployments &amp; Config'!P380</f>
        <v>0</v>
      </c>
      <c r="M375" s="18">
        <f>'12 - Deployments &amp; Config'!Q380</f>
        <v>0</v>
      </c>
      <c r="N375" s="18" t="str">
        <f>'12 - Deployments &amp; Config'!BL380</f>
        <v/>
      </c>
      <c r="O375" s="34" t="str">
        <f>'12 - Deployments &amp; Config'!BM380</f>
        <v/>
      </c>
      <c r="P375" s="2">
        <f>'12 - Deployments &amp; Config'!BB380</f>
        <v>0</v>
      </c>
      <c r="Q375" s="34" t="str">
        <f t="shared" si="20"/>
        <v/>
      </c>
      <c r="R375" s="18" t="str">
        <f t="shared" si="21"/>
        <v>SW NOT INSTALLED</v>
      </c>
      <c r="S375" s="18" t="str">
        <f t="shared" si="22"/>
        <v/>
      </c>
      <c r="T375" s="18" t="str">
        <f t="shared" si="23"/>
        <v>SW NOT INSTALLED</v>
      </c>
    </row>
    <row r="376" spans="1:20">
      <c r="A376" s="34">
        <f>'12 - Deployments &amp; Config'!H381</f>
        <v>0</v>
      </c>
      <c r="B376" s="34">
        <f>'12 - Deployments &amp; Config'!S381</f>
        <v>0</v>
      </c>
      <c r="C376" s="34">
        <f>'12 - Deployments &amp; Config'!T381</f>
        <v>0</v>
      </c>
      <c r="D376" s="18">
        <f>'12 - Deployments &amp; Config'!AK381</f>
        <v>0</v>
      </c>
      <c r="E376" s="18">
        <f>'12 - Deployments &amp; Config'!J381</f>
        <v>0</v>
      </c>
      <c r="F376" s="34">
        <f>'12 - Deployments &amp; Config'!K381</f>
        <v>0</v>
      </c>
      <c r="G376" s="18">
        <f>'12 - Deployments &amp; Config'!L381</f>
        <v>0</v>
      </c>
      <c r="H376" s="18">
        <f>'13 - Config_Intake_View'!M376</f>
        <v>0</v>
      </c>
      <c r="I376" s="34">
        <f>IF('13 - Config_Intake_View'!Q376&lt;&gt;"",'13 - Config_Intake_View'!Q376,'12 - Deployments &amp; Config'!BI381)</f>
        <v>0</v>
      </c>
      <c r="J376" s="18" t="str">
        <f>IF('13 - Config_Intake_View'!Q376&lt;&gt;"","PM Approved",IF('12 - Deployments &amp; Config'!BI381&lt;&gt;"","Assumed",""))</f>
        <v/>
      </c>
      <c r="K376" s="34">
        <f>'12 - Deployments &amp; Config'!BH381</f>
        <v>0</v>
      </c>
      <c r="L376" s="18">
        <f>'12 - Deployments &amp; Config'!P381</f>
        <v>0</v>
      </c>
      <c r="M376" s="18">
        <f>'12 - Deployments &amp; Config'!Q381</f>
        <v>0</v>
      </c>
      <c r="N376" s="18" t="str">
        <f>'12 - Deployments &amp; Config'!BL381</f>
        <v/>
      </c>
      <c r="O376" s="34" t="str">
        <f>'12 - Deployments &amp; Config'!BM381</f>
        <v/>
      </c>
      <c r="P376" s="2">
        <f>'12 - Deployments &amp; Config'!BB381</f>
        <v>0</v>
      </c>
      <c r="Q376" s="34" t="str">
        <f t="shared" si="20"/>
        <v/>
      </c>
      <c r="R376" s="18" t="str">
        <f t="shared" si="21"/>
        <v>SW NOT INSTALLED</v>
      </c>
      <c r="S376" s="18" t="str">
        <f t="shared" si="22"/>
        <v/>
      </c>
      <c r="T376" s="18" t="str">
        <f t="shared" si="23"/>
        <v>SW NOT INSTALLED</v>
      </c>
    </row>
    <row r="377" spans="1:20">
      <c r="A377" s="34">
        <f>'12 - Deployments &amp; Config'!H382</f>
        <v>0</v>
      </c>
      <c r="B377" s="34">
        <f>'12 - Deployments &amp; Config'!S382</f>
        <v>0</v>
      </c>
      <c r="C377" s="34">
        <f>'12 - Deployments &amp; Config'!T382</f>
        <v>0</v>
      </c>
      <c r="D377" s="18">
        <f>'12 - Deployments &amp; Config'!AK382</f>
        <v>0</v>
      </c>
      <c r="E377" s="18">
        <f>'12 - Deployments &amp; Config'!J382</f>
        <v>0</v>
      </c>
      <c r="F377" s="34">
        <f>'12 - Deployments &amp; Config'!K382</f>
        <v>0</v>
      </c>
      <c r="G377" s="18">
        <f>'12 - Deployments &amp; Config'!L382</f>
        <v>0</v>
      </c>
      <c r="H377" s="18">
        <f>'13 - Config_Intake_View'!M377</f>
        <v>0</v>
      </c>
      <c r="I377" s="34">
        <f>IF('13 - Config_Intake_View'!Q377&lt;&gt;"",'13 - Config_Intake_View'!Q377,'12 - Deployments &amp; Config'!BI382)</f>
        <v>0</v>
      </c>
      <c r="J377" s="18" t="str">
        <f>IF('13 - Config_Intake_View'!Q377&lt;&gt;"","PM Approved",IF('12 - Deployments &amp; Config'!BI382&lt;&gt;"","Assumed",""))</f>
        <v/>
      </c>
      <c r="K377" s="34">
        <f>'12 - Deployments &amp; Config'!BH382</f>
        <v>0</v>
      </c>
      <c r="L377" s="18">
        <f>'12 - Deployments &amp; Config'!P382</f>
        <v>0</v>
      </c>
      <c r="M377" s="18">
        <f>'12 - Deployments &amp; Config'!Q382</f>
        <v>0</v>
      </c>
      <c r="N377" s="18" t="str">
        <f>'12 - Deployments &amp; Config'!BL382</f>
        <v/>
      </c>
      <c r="O377" s="34" t="str">
        <f>'12 - Deployments &amp; Config'!BM382</f>
        <v/>
      </c>
      <c r="P377" s="2">
        <f>'12 - Deployments &amp; Config'!BB382</f>
        <v>0</v>
      </c>
      <c r="Q377" s="34" t="str">
        <f t="shared" si="20"/>
        <v/>
      </c>
      <c r="R377" s="18" t="str">
        <f t="shared" si="21"/>
        <v>SW NOT INSTALLED</v>
      </c>
      <c r="S377" s="18" t="str">
        <f t="shared" si="22"/>
        <v/>
      </c>
      <c r="T377" s="18" t="str">
        <f t="shared" si="23"/>
        <v>SW NOT INSTALLED</v>
      </c>
    </row>
    <row r="378" spans="1:20">
      <c r="A378" s="34">
        <f>'12 - Deployments &amp; Config'!H383</f>
        <v>0</v>
      </c>
      <c r="B378" s="34">
        <f>'12 - Deployments &amp; Config'!S383</f>
        <v>0</v>
      </c>
      <c r="C378" s="34">
        <f>'12 - Deployments &amp; Config'!T383</f>
        <v>0</v>
      </c>
      <c r="D378" s="18">
        <f>'12 - Deployments &amp; Config'!AK383</f>
        <v>0</v>
      </c>
      <c r="E378" s="18">
        <f>'12 - Deployments &amp; Config'!J383</f>
        <v>0</v>
      </c>
      <c r="F378" s="34">
        <f>'12 - Deployments &amp; Config'!K383</f>
        <v>0</v>
      </c>
      <c r="G378" s="18">
        <f>'12 - Deployments &amp; Config'!L383</f>
        <v>0</v>
      </c>
      <c r="H378" s="18">
        <f>'13 - Config_Intake_View'!M378</f>
        <v>0</v>
      </c>
      <c r="I378" s="34">
        <f>IF('13 - Config_Intake_View'!Q378&lt;&gt;"",'13 - Config_Intake_View'!Q378,'12 - Deployments &amp; Config'!BI383)</f>
        <v>0</v>
      </c>
      <c r="J378" s="18" t="str">
        <f>IF('13 - Config_Intake_View'!Q378&lt;&gt;"","PM Approved",IF('12 - Deployments &amp; Config'!BI383&lt;&gt;"","Assumed",""))</f>
        <v/>
      </c>
      <c r="K378" s="34">
        <f>'12 - Deployments &amp; Config'!BH383</f>
        <v>0</v>
      </c>
      <c r="L378" s="18">
        <f>'12 - Deployments &amp; Config'!P383</f>
        <v>0</v>
      </c>
      <c r="M378" s="18">
        <f>'12 - Deployments &amp; Config'!Q383</f>
        <v>0</v>
      </c>
      <c r="N378" s="18" t="str">
        <f>'12 - Deployments &amp; Config'!BL383</f>
        <v/>
      </c>
      <c r="O378" s="34" t="str">
        <f>'12 - Deployments &amp; Config'!BM383</f>
        <v/>
      </c>
      <c r="P378" s="2">
        <f>'12 - Deployments &amp; Config'!BB383</f>
        <v>0</v>
      </c>
      <c r="Q378" s="34" t="str">
        <f t="shared" si="20"/>
        <v/>
      </c>
      <c r="R378" s="18" t="str">
        <f t="shared" si="21"/>
        <v>SW NOT INSTALLED</v>
      </c>
      <c r="S378" s="18" t="str">
        <f t="shared" si="22"/>
        <v/>
      </c>
      <c r="T378" s="18" t="str">
        <f t="shared" si="23"/>
        <v>SW NOT INSTALLED</v>
      </c>
    </row>
    <row r="379" spans="1:20">
      <c r="A379" s="34">
        <f>'12 - Deployments &amp; Config'!H384</f>
        <v>0</v>
      </c>
      <c r="B379" s="34">
        <f>'12 - Deployments &amp; Config'!S384</f>
        <v>0</v>
      </c>
      <c r="C379" s="34">
        <f>'12 - Deployments &amp; Config'!T384</f>
        <v>0</v>
      </c>
      <c r="D379" s="18">
        <f>'12 - Deployments &amp; Config'!AK384</f>
        <v>0</v>
      </c>
      <c r="E379" s="18">
        <f>'12 - Deployments &amp; Config'!J384</f>
        <v>0</v>
      </c>
      <c r="F379" s="34">
        <f>'12 - Deployments &amp; Config'!K384</f>
        <v>0</v>
      </c>
      <c r="G379" s="18">
        <f>'12 - Deployments &amp; Config'!L384</f>
        <v>0</v>
      </c>
      <c r="H379" s="18">
        <f>'13 - Config_Intake_View'!M379</f>
        <v>0</v>
      </c>
      <c r="I379" s="34">
        <f>IF('13 - Config_Intake_View'!Q379&lt;&gt;"",'13 - Config_Intake_View'!Q379,'12 - Deployments &amp; Config'!BI384)</f>
        <v>0</v>
      </c>
      <c r="J379" s="18" t="str">
        <f>IF('13 - Config_Intake_View'!Q379&lt;&gt;"","PM Approved",IF('12 - Deployments &amp; Config'!BI384&lt;&gt;"","Assumed",""))</f>
        <v/>
      </c>
      <c r="K379" s="34">
        <f>'12 - Deployments &amp; Config'!BH384</f>
        <v>0</v>
      </c>
      <c r="L379" s="18">
        <f>'12 - Deployments &amp; Config'!P384</f>
        <v>0</v>
      </c>
      <c r="M379" s="18">
        <f>'12 - Deployments &amp; Config'!Q384</f>
        <v>0</v>
      </c>
      <c r="N379" s="18" t="str">
        <f>'12 - Deployments &amp; Config'!BL384</f>
        <v/>
      </c>
      <c r="O379" s="34" t="str">
        <f>'12 - Deployments &amp; Config'!BM384</f>
        <v/>
      </c>
      <c r="P379" s="2">
        <f>'12 - Deployments &amp; Config'!BB384</f>
        <v>0</v>
      </c>
      <c r="Q379" s="34" t="str">
        <f t="shared" si="20"/>
        <v/>
      </c>
      <c r="R379" s="18" t="str">
        <f t="shared" si="21"/>
        <v>SW NOT INSTALLED</v>
      </c>
      <c r="S379" s="18" t="str">
        <f t="shared" si="22"/>
        <v/>
      </c>
      <c r="T379" s="18" t="str">
        <f t="shared" si="23"/>
        <v>SW NOT INSTALLED</v>
      </c>
    </row>
    <row r="380" spans="1:20">
      <c r="A380" s="34">
        <f>'12 - Deployments &amp; Config'!H385</f>
        <v>0</v>
      </c>
      <c r="B380" s="34">
        <f>'12 - Deployments &amp; Config'!S385</f>
        <v>0</v>
      </c>
      <c r="C380" s="34">
        <f>'12 - Deployments &amp; Config'!T385</f>
        <v>0</v>
      </c>
      <c r="D380" s="18">
        <f>'12 - Deployments &amp; Config'!AK385</f>
        <v>0</v>
      </c>
      <c r="E380" s="18">
        <f>'12 - Deployments &amp; Config'!J385</f>
        <v>0</v>
      </c>
      <c r="F380" s="34">
        <f>'12 - Deployments &amp; Config'!K385</f>
        <v>0</v>
      </c>
      <c r="G380" s="18">
        <f>'12 - Deployments &amp; Config'!L385</f>
        <v>0</v>
      </c>
      <c r="H380" s="18">
        <f>'13 - Config_Intake_View'!M380</f>
        <v>0</v>
      </c>
      <c r="I380" s="34">
        <f>IF('13 - Config_Intake_View'!Q380&lt;&gt;"",'13 - Config_Intake_View'!Q380,'12 - Deployments &amp; Config'!BI385)</f>
        <v>0</v>
      </c>
      <c r="J380" s="18" t="str">
        <f>IF('13 - Config_Intake_View'!Q380&lt;&gt;"","PM Approved",IF('12 - Deployments &amp; Config'!BI385&lt;&gt;"","Assumed",""))</f>
        <v/>
      </c>
      <c r="K380" s="34">
        <f>'12 - Deployments &amp; Config'!BH385</f>
        <v>0</v>
      </c>
      <c r="L380" s="18">
        <f>'12 - Deployments &amp; Config'!P385</f>
        <v>0</v>
      </c>
      <c r="M380" s="18">
        <f>'12 - Deployments &amp; Config'!Q385</f>
        <v>0</v>
      </c>
      <c r="N380" s="18" t="str">
        <f>'12 - Deployments &amp; Config'!BL385</f>
        <v/>
      </c>
      <c r="O380" s="34" t="str">
        <f>'12 - Deployments &amp; Config'!BM385</f>
        <v/>
      </c>
      <c r="P380" s="2">
        <f>'12 - Deployments &amp; Config'!BB385</f>
        <v>0</v>
      </c>
      <c r="Q380" s="34" t="str">
        <f t="shared" si="20"/>
        <v/>
      </c>
      <c r="R380" s="18" t="str">
        <f t="shared" si="21"/>
        <v>SW NOT INSTALLED</v>
      </c>
      <c r="S380" s="18" t="str">
        <f t="shared" si="22"/>
        <v/>
      </c>
      <c r="T380" s="18" t="str">
        <f t="shared" si="23"/>
        <v>SW NOT INSTALLED</v>
      </c>
    </row>
    <row r="381" spans="1:20">
      <c r="A381" s="34">
        <f>'12 - Deployments &amp; Config'!H386</f>
        <v>0</v>
      </c>
      <c r="B381" s="34">
        <f>'12 - Deployments &amp; Config'!S386</f>
        <v>0</v>
      </c>
      <c r="C381" s="34">
        <f>'12 - Deployments &amp; Config'!T386</f>
        <v>0</v>
      </c>
      <c r="D381" s="18">
        <f>'12 - Deployments &amp; Config'!AK386</f>
        <v>0</v>
      </c>
      <c r="E381" s="18">
        <f>'12 - Deployments &amp; Config'!J386</f>
        <v>0</v>
      </c>
      <c r="F381" s="34">
        <f>'12 - Deployments &amp; Config'!K386</f>
        <v>0</v>
      </c>
      <c r="G381" s="18">
        <f>'12 - Deployments &amp; Config'!L386</f>
        <v>0</v>
      </c>
      <c r="H381" s="18">
        <f>'13 - Config_Intake_View'!M381</f>
        <v>0</v>
      </c>
      <c r="I381" s="34">
        <f>IF('13 - Config_Intake_View'!Q381&lt;&gt;"",'13 - Config_Intake_View'!Q381,'12 - Deployments &amp; Config'!BI386)</f>
        <v>0</v>
      </c>
      <c r="J381" s="18" t="str">
        <f>IF('13 - Config_Intake_View'!Q381&lt;&gt;"","PM Approved",IF('12 - Deployments &amp; Config'!BI386&lt;&gt;"","Assumed",""))</f>
        <v/>
      </c>
      <c r="K381" s="34">
        <f>'12 - Deployments &amp; Config'!BH386</f>
        <v>0</v>
      </c>
      <c r="L381" s="18">
        <f>'12 - Deployments &amp; Config'!P386</f>
        <v>0</v>
      </c>
      <c r="M381" s="18">
        <f>'12 - Deployments &amp; Config'!Q386</f>
        <v>0</v>
      </c>
      <c r="N381" s="18" t="str">
        <f>'12 - Deployments &amp; Config'!BL386</f>
        <v/>
      </c>
      <c r="O381" s="34" t="str">
        <f>'12 - Deployments &amp; Config'!BM386</f>
        <v/>
      </c>
      <c r="P381" s="2">
        <f>'12 - Deployments &amp; Config'!BB386</f>
        <v>0</v>
      </c>
      <c r="Q381" s="34" t="str">
        <f t="shared" si="20"/>
        <v/>
      </c>
      <c r="R381" s="18" t="str">
        <f t="shared" si="21"/>
        <v>SW NOT INSTALLED</v>
      </c>
      <c r="S381" s="18" t="str">
        <f t="shared" si="22"/>
        <v/>
      </c>
      <c r="T381" s="18" t="str">
        <f t="shared" si="23"/>
        <v>SW NOT INSTALLED</v>
      </c>
    </row>
    <row r="382" spans="1:20">
      <c r="A382" s="34">
        <f>'12 - Deployments &amp; Config'!H387</f>
        <v>0</v>
      </c>
      <c r="B382" s="34">
        <f>'12 - Deployments &amp; Config'!S387</f>
        <v>0</v>
      </c>
      <c r="C382" s="34">
        <f>'12 - Deployments &amp; Config'!T387</f>
        <v>0</v>
      </c>
      <c r="D382" s="18">
        <f>'12 - Deployments &amp; Config'!AK387</f>
        <v>0</v>
      </c>
      <c r="E382" s="18">
        <f>'12 - Deployments &amp; Config'!J387</f>
        <v>0</v>
      </c>
      <c r="F382" s="34">
        <f>'12 - Deployments &amp; Config'!K387</f>
        <v>0</v>
      </c>
      <c r="G382" s="18">
        <f>'12 - Deployments &amp; Config'!L387</f>
        <v>0</v>
      </c>
      <c r="H382" s="18">
        <f>'13 - Config_Intake_View'!M382</f>
        <v>0</v>
      </c>
      <c r="I382" s="34">
        <f>IF('13 - Config_Intake_View'!Q382&lt;&gt;"",'13 - Config_Intake_View'!Q382,'12 - Deployments &amp; Config'!BI387)</f>
        <v>0</v>
      </c>
      <c r="J382" s="18" t="str">
        <f>IF('13 - Config_Intake_View'!Q382&lt;&gt;"","PM Approved",IF('12 - Deployments &amp; Config'!BI387&lt;&gt;"","Assumed",""))</f>
        <v/>
      </c>
      <c r="K382" s="34">
        <f>'12 - Deployments &amp; Config'!BH387</f>
        <v>0</v>
      </c>
      <c r="L382" s="18">
        <f>'12 - Deployments &amp; Config'!P387</f>
        <v>0</v>
      </c>
      <c r="M382" s="18">
        <f>'12 - Deployments &amp; Config'!Q387</f>
        <v>0</v>
      </c>
      <c r="N382" s="18" t="str">
        <f>'12 - Deployments &amp; Config'!BL387</f>
        <v/>
      </c>
      <c r="O382" s="34" t="str">
        <f>'12 - Deployments &amp; Config'!BM387</f>
        <v/>
      </c>
      <c r="P382" s="2">
        <f>'12 - Deployments &amp; Config'!BB387</f>
        <v>0</v>
      </c>
      <c r="Q382" s="34" t="str">
        <f t="shared" si="20"/>
        <v/>
      </c>
      <c r="R382" s="18" t="str">
        <f t="shared" si="21"/>
        <v>SW NOT INSTALLED</v>
      </c>
      <c r="S382" s="18" t="str">
        <f t="shared" si="22"/>
        <v/>
      </c>
      <c r="T382" s="18" t="str">
        <f t="shared" si="23"/>
        <v>SW NOT INSTALLED</v>
      </c>
    </row>
    <row r="383" spans="1:20">
      <c r="A383" s="34">
        <f>'12 - Deployments &amp; Config'!H388</f>
        <v>0</v>
      </c>
      <c r="B383" s="34">
        <f>'12 - Deployments &amp; Config'!S388</f>
        <v>0</v>
      </c>
      <c r="C383" s="34">
        <f>'12 - Deployments &amp; Config'!T388</f>
        <v>0</v>
      </c>
      <c r="D383" s="18">
        <f>'12 - Deployments &amp; Config'!AK388</f>
        <v>0</v>
      </c>
      <c r="E383" s="18">
        <f>'12 - Deployments &amp; Config'!J388</f>
        <v>0</v>
      </c>
      <c r="F383" s="34">
        <f>'12 - Deployments &amp; Config'!K388</f>
        <v>0</v>
      </c>
      <c r="G383" s="18">
        <f>'12 - Deployments &amp; Config'!L388</f>
        <v>0</v>
      </c>
      <c r="H383" s="18">
        <f>'13 - Config_Intake_View'!M383</f>
        <v>0</v>
      </c>
      <c r="I383" s="34">
        <f>IF('13 - Config_Intake_View'!Q383&lt;&gt;"",'13 - Config_Intake_View'!Q383,'12 - Deployments &amp; Config'!BI388)</f>
        <v>0</v>
      </c>
      <c r="J383" s="18" t="str">
        <f>IF('13 - Config_Intake_View'!Q383&lt;&gt;"","PM Approved",IF('12 - Deployments &amp; Config'!BI388&lt;&gt;"","Assumed",""))</f>
        <v/>
      </c>
      <c r="K383" s="34">
        <f>'12 - Deployments &amp; Config'!BH388</f>
        <v>0</v>
      </c>
      <c r="L383" s="18">
        <f>'12 - Deployments &amp; Config'!P388</f>
        <v>0</v>
      </c>
      <c r="M383" s="18">
        <f>'12 - Deployments &amp; Config'!Q388</f>
        <v>0</v>
      </c>
      <c r="N383" s="18" t="str">
        <f>'12 - Deployments &amp; Config'!BL388</f>
        <v/>
      </c>
      <c r="O383" s="34" t="str">
        <f>'12 - Deployments &amp; Config'!BM388</f>
        <v/>
      </c>
      <c r="P383" s="2">
        <f>'12 - Deployments &amp; Config'!BB388</f>
        <v>0</v>
      </c>
      <c r="Q383" s="34" t="str">
        <f t="shared" si="20"/>
        <v/>
      </c>
      <c r="R383" s="18" t="str">
        <f t="shared" si="21"/>
        <v>SW NOT INSTALLED</v>
      </c>
      <c r="S383" s="18" t="str">
        <f t="shared" si="22"/>
        <v/>
      </c>
      <c r="T383" s="18" t="str">
        <f t="shared" si="23"/>
        <v>SW NOT INSTALLED</v>
      </c>
    </row>
    <row r="384" spans="1:20">
      <c r="A384" s="34">
        <f>'12 - Deployments &amp; Config'!H389</f>
        <v>0</v>
      </c>
      <c r="B384" s="34">
        <f>'12 - Deployments &amp; Config'!S389</f>
        <v>0</v>
      </c>
      <c r="C384" s="34">
        <f>'12 - Deployments &amp; Config'!T389</f>
        <v>0</v>
      </c>
      <c r="D384" s="18">
        <f>'12 - Deployments &amp; Config'!AK389</f>
        <v>0</v>
      </c>
      <c r="E384" s="18">
        <f>'12 - Deployments &amp; Config'!J389</f>
        <v>0</v>
      </c>
      <c r="F384" s="34">
        <f>'12 - Deployments &amp; Config'!K389</f>
        <v>0</v>
      </c>
      <c r="G384" s="18">
        <f>'12 - Deployments &amp; Config'!L389</f>
        <v>0</v>
      </c>
      <c r="H384" s="18">
        <f>'13 - Config_Intake_View'!M384</f>
        <v>0</v>
      </c>
      <c r="I384" s="34">
        <f>IF('13 - Config_Intake_View'!Q384&lt;&gt;"",'13 - Config_Intake_View'!Q384,'12 - Deployments &amp; Config'!BI389)</f>
        <v>0</v>
      </c>
      <c r="J384" s="18" t="str">
        <f>IF('13 - Config_Intake_View'!Q384&lt;&gt;"","PM Approved",IF('12 - Deployments &amp; Config'!BI389&lt;&gt;"","Assumed",""))</f>
        <v/>
      </c>
      <c r="K384" s="34">
        <f>'12 - Deployments &amp; Config'!BH389</f>
        <v>0</v>
      </c>
      <c r="L384" s="18">
        <f>'12 - Deployments &amp; Config'!P389</f>
        <v>0</v>
      </c>
      <c r="M384" s="18">
        <f>'12 - Deployments &amp; Config'!Q389</f>
        <v>0</v>
      </c>
      <c r="N384" s="18" t="str">
        <f>'12 - Deployments &amp; Config'!BL389</f>
        <v/>
      </c>
      <c r="O384" s="34" t="str">
        <f>'12 - Deployments &amp; Config'!BM389</f>
        <v/>
      </c>
      <c r="P384" s="2">
        <f>'12 - Deployments &amp; Config'!BB389</f>
        <v>0</v>
      </c>
      <c r="Q384" s="34" t="str">
        <f t="shared" si="20"/>
        <v/>
      </c>
      <c r="R384" s="18" t="str">
        <f t="shared" si="21"/>
        <v>SW NOT INSTALLED</v>
      </c>
      <c r="S384" s="18" t="str">
        <f t="shared" si="22"/>
        <v/>
      </c>
      <c r="T384" s="18" t="str">
        <f t="shared" si="23"/>
        <v>SW NOT INSTALLED</v>
      </c>
    </row>
    <row r="385" spans="1:20">
      <c r="A385" s="34">
        <f>'12 - Deployments &amp; Config'!H390</f>
        <v>0</v>
      </c>
      <c r="B385" s="34">
        <f>'12 - Deployments &amp; Config'!S390</f>
        <v>0</v>
      </c>
      <c r="C385" s="34">
        <f>'12 - Deployments &amp; Config'!T390</f>
        <v>0</v>
      </c>
      <c r="D385" s="18">
        <f>'12 - Deployments &amp; Config'!AK390</f>
        <v>0</v>
      </c>
      <c r="E385" s="18">
        <f>'12 - Deployments &amp; Config'!J390</f>
        <v>0</v>
      </c>
      <c r="F385" s="34">
        <f>'12 - Deployments &amp; Config'!K390</f>
        <v>0</v>
      </c>
      <c r="G385" s="18">
        <f>'12 - Deployments &amp; Config'!L390</f>
        <v>0</v>
      </c>
      <c r="H385" s="18">
        <f>'13 - Config_Intake_View'!M385</f>
        <v>0</v>
      </c>
      <c r="I385" s="34">
        <f>IF('13 - Config_Intake_View'!Q385&lt;&gt;"",'13 - Config_Intake_View'!Q385,'12 - Deployments &amp; Config'!BI390)</f>
        <v>0</v>
      </c>
      <c r="J385" s="18" t="str">
        <f>IF('13 - Config_Intake_View'!Q385&lt;&gt;"","PM Approved",IF('12 - Deployments &amp; Config'!BI390&lt;&gt;"","Assumed",""))</f>
        <v/>
      </c>
      <c r="K385" s="34">
        <f>'12 - Deployments &amp; Config'!BH390</f>
        <v>0</v>
      </c>
      <c r="L385" s="18">
        <f>'12 - Deployments &amp; Config'!P390</f>
        <v>0</v>
      </c>
      <c r="M385" s="18">
        <f>'12 - Deployments &amp; Config'!Q390</f>
        <v>0</v>
      </c>
      <c r="N385" s="18" t="str">
        <f>'12 - Deployments &amp; Config'!BL390</f>
        <v/>
      </c>
      <c r="O385" s="34" t="str">
        <f>'12 - Deployments &amp; Config'!BM390</f>
        <v/>
      </c>
      <c r="P385" s="2">
        <f>'12 - Deployments &amp; Config'!BB390</f>
        <v>0</v>
      </c>
      <c r="Q385" s="34" t="str">
        <f t="shared" si="20"/>
        <v/>
      </c>
      <c r="R385" s="18" t="str">
        <f t="shared" si="21"/>
        <v>SW NOT INSTALLED</v>
      </c>
      <c r="S385" s="18" t="str">
        <f t="shared" si="22"/>
        <v/>
      </c>
      <c r="T385" s="18" t="str">
        <f t="shared" si="23"/>
        <v>SW NOT INSTALLED</v>
      </c>
    </row>
    <row r="386" spans="1:20">
      <c r="A386" s="34">
        <f>'12 - Deployments &amp; Config'!H391</f>
        <v>0</v>
      </c>
      <c r="B386" s="34">
        <f>'12 - Deployments &amp; Config'!S391</f>
        <v>0</v>
      </c>
      <c r="C386" s="34">
        <f>'12 - Deployments &amp; Config'!T391</f>
        <v>0</v>
      </c>
      <c r="D386" s="18">
        <f>'12 - Deployments &amp; Config'!AK391</f>
        <v>0</v>
      </c>
      <c r="E386" s="18">
        <f>'12 - Deployments &amp; Config'!J391</f>
        <v>0</v>
      </c>
      <c r="F386" s="34">
        <f>'12 - Deployments &amp; Config'!K391</f>
        <v>0</v>
      </c>
      <c r="G386" s="18">
        <f>'12 - Deployments &amp; Config'!L391</f>
        <v>0</v>
      </c>
      <c r="H386" s="18">
        <f>'13 - Config_Intake_View'!M386</f>
        <v>0</v>
      </c>
      <c r="I386" s="34">
        <f>IF('13 - Config_Intake_View'!Q386&lt;&gt;"",'13 - Config_Intake_View'!Q386,'12 - Deployments &amp; Config'!BI391)</f>
        <v>0</v>
      </c>
      <c r="J386" s="18" t="str">
        <f>IF('13 - Config_Intake_View'!Q386&lt;&gt;"","PM Approved",IF('12 - Deployments &amp; Config'!BI391&lt;&gt;"","Assumed",""))</f>
        <v/>
      </c>
      <c r="K386" s="34">
        <f>'12 - Deployments &amp; Config'!BH391</f>
        <v>0</v>
      </c>
      <c r="L386" s="18">
        <f>'12 - Deployments &amp; Config'!P391</f>
        <v>0</v>
      </c>
      <c r="M386" s="18">
        <f>'12 - Deployments &amp; Config'!Q391</f>
        <v>0</v>
      </c>
      <c r="N386" s="18" t="str">
        <f>'12 - Deployments &amp; Config'!BL391</f>
        <v/>
      </c>
      <c r="O386" s="34" t="str">
        <f>'12 - Deployments &amp; Config'!BM391</f>
        <v/>
      </c>
      <c r="P386" s="2">
        <f>'12 - Deployments &amp; Config'!BB391</f>
        <v>0</v>
      </c>
      <c r="Q386" s="34" t="str">
        <f t="shared" ref="Q386:Q449" si="24">IF(OR($A386="",$B386="",$D386=""),"MISSING CORE FIELDS","")</f>
        <v/>
      </c>
      <c r="R386" s="18" t="str">
        <f t="shared" ref="R386:R449" si="25">IF(AND($I386&lt;&gt;"",$K386&lt;&gt;"Yes"),"SW NOT INSTALLED","")</f>
        <v>SW NOT INSTALLED</v>
      </c>
      <c r="S386" s="18" t="str">
        <f t="shared" ref="S386:S449" si="26">IF(AND($H386&lt;&gt;"",ISNUMBER(SEARCH("auto",LOWER($H386))),$F386=""),"AUTOLOGON REQUIRED","")</f>
        <v/>
      </c>
      <c r="T386" s="18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4">
        <f>'12 - Deployments &amp; Config'!H392</f>
        <v>0</v>
      </c>
      <c r="B387" s="34">
        <f>'12 - Deployments &amp; Config'!S392</f>
        <v>0</v>
      </c>
      <c r="C387" s="34">
        <f>'12 - Deployments &amp; Config'!T392</f>
        <v>0</v>
      </c>
      <c r="D387" s="18">
        <f>'12 - Deployments &amp; Config'!AK392</f>
        <v>0</v>
      </c>
      <c r="E387" s="18">
        <f>'12 - Deployments &amp; Config'!J392</f>
        <v>0</v>
      </c>
      <c r="F387" s="34">
        <f>'12 - Deployments &amp; Config'!K392</f>
        <v>0</v>
      </c>
      <c r="G387" s="18">
        <f>'12 - Deployments &amp; Config'!L392</f>
        <v>0</v>
      </c>
      <c r="H387" s="18">
        <f>'13 - Config_Intake_View'!M387</f>
        <v>0</v>
      </c>
      <c r="I387" s="34">
        <f>IF('13 - Config_Intake_View'!Q387&lt;&gt;"",'13 - Config_Intake_View'!Q387,'12 - Deployments &amp; Config'!BI392)</f>
        <v>0</v>
      </c>
      <c r="J387" s="18" t="str">
        <f>IF('13 - Config_Intake_View'!Q387&lt;&gt;"","PM Approved",IF('12 - Deployments &amp; Config'!BI392&lt;&gt;"","Assumed",""))</f>
        <v/>
      </c>
      <c r="K387" s="34">
        <f>'12 - Deployments &amp; Config'!BH392</f>
        <v>0</v>
      </c>
      <c r="L387" s="18">
        <f>'12 - Deployments &amp; Config'!P392</f>
        <v>0</v>
      </c>
      <c r="M387" s="18">
        <f>'12 - Deployments &amp; Config'!Q392</f>
        <v>0</v>
      </c>
      <c r="N387" s="18" t="str">
        <f>'12 - Deployments &amp; Config'!BL392</f>
        <v/>
      </c>
      <c r="O387" s="34" t="str">
        <f>'12 - Deployments &amp; Config'!BM392</f>
        <v/>
      </c>
      <c r="P387" s="2">
        <f>'12 - Deployments &amp; Config'!BB392</f>
        <v>0</v>
      </c>
      <c r="Q387" s="34" t="str">
        <f t="shared" si="24"/>
        <v/>
      </c>
      <c r="R387" s="18" t="str">
        <f t="shared" si="25"/>
        <v>SW NOT INSTALLED</v>
      </c>
      <c r="S387" s="18" t="str">
        <f t="shared" si="26"/>
        <v/>
      </c>
      <c r="T387" s="18" t="str">
        <f t="shared" si="27"/>
        <v>SW NOT INSTALLED</v>
      </c>
    </row>
    <row r="388" spans="1:20">
      <c r="A388" s="34">
        <f>'12 - Deployments &amp; Config'!H393</f>
        <v>0</v>
      </c>
      <c r="B388" s="34">
        <f>'12 - Deployments &amp; Config'!S393</f>
        <v>0</v>
      </c>
      <c r="C388" s="34">
        <f>'12 - Deployments &amp; Config'!T393</f>
        <v>0</v>
      </c>
      <c r="D388" s="18">
        <f>'12 - Deployments &amp; Config'!AK393</f>
        <v>0</v>
      </c>
      <c r="E388" s="18">
        <f>'12 - Deployments &amp; Config'!J393</f>
        <v>0</v>
      </c>
      <c r="F388" s="34">
        <f>'12 - Deployments &amp; Config'!K393</f>
        <v>0</v>
      </c>
      <c r="G388" s="18">
        <f>'12 - Deployments &amp; Config'!L393</f>
        <v>0</v>
      </c>
      <c r="H388" s="18">
        <f>'13 - Config_Intake_View'!M388</f>
        <v>0</v>
      </c>
      <c r="I388" s="34">
        <f>IF('13 - Config_Intake_View'!Q388&lt;&gt;"",'13 - Config_Intake_View'!Q388,'12 - Deployments &amp; Config'!BI393)</f>
        <v>0</v>
      </c>
      <c r="J388" s="18" t="str">
        <f>IF('13 - Config_Intake_View'!Q388&lt;&gt;"","PM Approved",IF('12 - Deployments &amp; Config'!BI393&lt;&gt;"","Assumed",""))</f>
        <v/>
      </c>
      <c r="K388" s="34">
        <f>'12 - Deployments &amp; Config'!BH393</f>
        <v>0</v>
      </c>
      <c r="L388" s="18">
        <f>'12 - Deployments &amp; Config'!P393</f>
        <v>0</v>
      </c>
      <c r="M388" s="18">
        <f>'12 - Deployments &amp; Config'!Q393</f>
        <v>0</v>
      </c>
      <c r="N388" s="18" t="str">
        <f>'12 - Deployments &amp; Config'!BL393</f>
        <v/>
      </c>
      <c r="O388" s="34" t="str">
        <f>'12 - Deployments &amp; Config'!BM393</f>
        <v/>
      </c>
      <c r="P388" s="2">
        <f>'12 - Deployments &amp; Config'!BB393</f>
        <v>0</v>
      </c>
      <c r="Q388" s="34" t="str">
        <f t="shared" si="24"/>
        <v/>
      </c>
      <c r="R388" s="18" t="str">
        <f t="shared" si="25"/>
        <v>SW NOT INSTALLED</v>
      </c>
      <c r="S388" s="18" t="str">
        <f t="shared" si="26"/>
        <v/>
      </c>
      <c r="T388" s="18" t="str">
        <f t="shared" si="27"/>
        <v>SW NOT INSTALLED</v>
      </c>
    </row>
    <row r="389" spans="1:20">
      <c r="A389" s="34">
        <f>'12 - Deployments &amp; Config'!H394</f>
        <v>0</v>
      </c>
      <c r="B389" s="34">
        <f>'12 - Deployments &amp; Config'!S394</f>
        <v>0</v>
      </c>
      <c r="C389" s="34">
        <f>'12 - Deployments &amp; Config'!T394</f>
        <v>0</v>
      </c>
      <c r="D389" s="18">
        <f>'12 - Deployments &amp; Config'!AK394</f>
        <v>0</v>
      </c>
      <c r="E389" s="18">
        <f>'12 - Deployments &amp; Config'!J394</f>
        <v>0</v>
      </c>
      <c r="F389" s="34">
        <f>'12 - Deployments &amp; Config'!K394</f>
        <v>0</v>
      </c>
      <c r="G389" s="18">
        <f>'12 - Deployments &amp; Config'!L394</f>
        <v>0</v>
      </c>
      <c r="H389" s="18">
        <f>'13 - Config_Intake_View'!M389</f>
        <v>0</v>
      </c>
      <c r="I389" s="34">
        <f>IF('13 - Config_Intake_View'!Q389&lt;&gt;"",'13 - Config_Intake_View'!Q389,'12 - Deployments &amp; Config'!BI394)</f>
        <v>0</v>
      </c>
      <c r="J389" s="18" t="str">
        <f>IF('13 - Config_Intake_View'!Q389&lt;&gt;"","PM Approved",IF('12 - Deployments &amp; Config'!BI394&lt;&gt;"","Assumed",""))</f>
        <v/>
      </c>
      <c r="K389" s="34">
        <f>'12 - Deployments &amp; Config'!BH394</f>
        <v>0</v>
      </c>
      <c r="L389" s="18">
        <f>'12 - Deployments &amp; Config'!P394</f>
        <v>0</v>
      </c>
      <c r="M389" s="18">
        <f>'12 - Deployments &amp; Config'!Q394</f>
        <v>0</v>
      </c>
      <c r="N389" s="18" t="str">
        <f>'12 - Deployments &amp; Config'!BL394</f>
        <v/>
      </c>
      <c r="O389" s="34" t="str">
        <f>'12 - Deployments &amp; Config'!BM394</f>
        <v/>
      </c>
      <c r="P389" s="2">
        <f>'12 - Deployments &amp; Config'!BB394</f>
        <v>0</v>
      </c>
      <c r="Q389" s="34" t="str">
        <f t="shared" si="24"/>
        <v/>
      </c>
      <c r="R389" s="18" t="str">
        <f t="shared" si="25"/>
        <v>SW NOT INSTALLED</v>
      </c>
      <c r="S389" s="18" t="str">
        <f t="shared" si="26"/>
        <v/>
      </c>
      <c r="T389" s="18" t="str">
        <f t="shared" si="27"/>
        <v>SW NOT INSTALLED</v>
      </c>
    </row>
    <row r="390" spans="1:20">
      <c r="A390" s="34">
        <f>'12 - Deployments &amp; Config'!H395</f>
        <v>0</v>
      </c>
      <c r="B390" s="34">
        <f>'12 - Deployments &amp; Config'!S395</f>
        <v>0</v>
      </c>
      <c r="C390" s="34">
        <f>'12 - Deployments &amp; Config'!T395</f>
        <v>0</v>
      </c>
      <c r="D390" s="18">
        <f>'12 - Deployments &amp; Config'!AK395</f>
        <v>0</v>
      </c>
      <c r="E390" s="18">
        <f>'12 - Deployments &amp; Config'!J395</f>
        <v>0</v>
      </c>
      <c r="F390" s="34">
        <f>'12 - Deployments &amp; Config'!K395</f>
        <v>0</v>
      </c>
      <c r="G390" s="18">
        <f>'12 - Deployments &amp; Config'!L395</f>
        <v>0</v>
      </c>
      <c r="H390" s="18">
        <f>'13 - Config_Intake_View'!M390</f>
        <v>0</v>
      </c>
      <c r="I390" s="34">
        <f>IF('13 - Config_Intake_View'!Q390&lt;&gt;"",'13 - Config_Intake_View'!Q390,'12 - Deployments &amp; Config'!BI395)</f>
        <v>0</v>
      </c>
      <c r="J390" s="18" t="str">
        <f>IF('13 - Config_Intake_View'!Q390&lt;&gt;"","PM Approved",IF('12 - Deployments &amp; Config'!BI395&lt;&gt;"","Assumed",""))</f>
        <v/>
      </c>
      <c r="K390" s="34">
        <f>'12 - Deployments &amp; Config'!BH395</f>
        <v>0</v>
      </c>
      <c r="L390" s="18">
        <f>'12 - Deployments &amp; Config'!P395</f>
        <v>0</v>
      </c>
      <c r="M390" s="18">
        <f>'12 - Deployments &amp; Config'!Q395</f>
        <v>0</v>
      </c>
      <c r="N390" s="18" t="str">
        <f>'12 - Deployments &amp; Config'!BL395</f>
        <v/>
      </c>
      <c r="O390" s="34" t="str">
        <f>'12 - Deployments &amp; Config'!BM395</f>
        <v/>
      </c>
      <c r="P390" s="2">
        <f>'12 - Deployments &amp; Config'!BB395</f>
        <v>0</v>
      </c>
      <c r="Q390" s="34" t="str">
        <f t="shared" si="24"/>
        <v/>
      </c>
      <c r="R390" s="18" t="str">
        <f t="shared" si="25"/>
        <v>SW NOT INSTALLED</v>
      </c>
      <c r="S390" s="18" t="str">
        <f t="shared" si="26"/>
        <v/>
      </c>
      <c r="T390" s="18" t="str">
        <f t="shared" si="27"/>
        <v>SW NOT INSTALLED</v>
      </c>
    </row>
    <row r="391" spans="1:20">
      <c r="A391" s="34">
        <f>'12 - Deployments &amp; Config'!H396</f>
        <v>0</v>
      </c>
      <c r="B391" s="34">
        <f>'12 - Deployments &amp; Config'!S396</f>
        <v>0</v>
      </c>
      <c r="C391" s="34">
        <f>'12 - Deployments &amp; Config'!T396</f>
        <v>0</v>
      </c>
      <c r="D391" s="18">
        <f>'12 - Deployments &amp; Config'!AK396</f>
        <v>0</v>
      </c>
      <c r="E391" s="18">
        <f>'12 - Deployments &amp; Config'!J396</f>
        <v>0</v>
      </c>
      <c r="F391" s="34">
        <f>'12 - Deployments &amp; Config'!K396</f>
        <v>0</v>
      </c>
      <c r="G391" s="18">
        <f>'12 - Deployments &amp; Config'!L396</f>
        <v>0</v>
      </c>
      <c r="H391" s="18">
        <f>'13 - Config_Intake_View'!M391</f>
        <v>0</v>
      </c>
      <c r="I391" s="34">
        <f>IF('13 - Config_Intake_View'!Q391&lt;&gt;"",'13 - Config_Intake_View'!Q391,'12 - Deployments &amp; Config'!BI396)</f>
        <v>0</v>
      </c>
      <c r="J391" s="18" t="str">
        <f>IF('13 - Config_Intake_View'!Q391&lt;&gt;"","PM Approved",IF('12 - Deployments &amp; Config'!BI396&lt;&gt;"","Assumed",""))</f>
        <v/>
      </c>
      <c r="K391" s="34">
        <f>'12 - Deployments &amp; Config'!BH396</f>
        <v>0</v>
      </c>
      <c r="L391" s="18">
        <f>'12 - Deployments &amp; Config'!P396</f>
        <v>0</v>
      </c>
      <c r="M391" s="18">
        <f>'12 - Deployments &amp; Config'!Q396</f>
        <v>0</v>
      </c>
      <c r="N391" s="18" t="str">
        <f>'12 - Deployments &amp; Config'!BL396</f>
        <v/>
      </c>
      <c r="O391" s="34" t="str">
        <f>'12 - Deployments &amp; Config'!BM396</f>
        <v/>
      </c>
      <c r="P391" s="2">
        <f>'12 - Deployments &amp; Config'!BB396</f>
        <v>0</v>
      </c>
      <c r="Q391" s="34" t="str">
        <f t="shared" si="24"/>
        <v/>
      </c>
      <c r="R391" s="18" t="str">
        <f t="shared" si="25"/>
        <v>SW NOT INSTALLED</v>
      </c>
      <c r="S391" s="18" t="str">
        <f t="shared" si="26"/>
        <v/>
      </c>
      <c r="T391" s="18" t="str">
        <f t="shared" si="27"/>
        <v>SW NOT INSTALLED</v>
      </c>
    </row>
    <row r="392" spans="1:20">
      <c r="A392" s="34">
        <f>'12 - Deployments &amp; Config'!H397</f>
        <v>0</v>
      </c>
      <c r="B392" s="34">
        <f>'12 - Deployments &amp; Config'!S397</f>
        <v>0</v>
      </c>
      <c r="C392" s="34">
        <f>'12 - Deployments &amp; Config'!T397</f>
        <v>0</v>
      </c>
      <c r="D392" s="18">
        <f>'12 - Deployments &amp; Config'!AK397</f>
        <v>0</v>
      </c>
      <c r="E392" s="18">
        <f>'12 - Deployments &amp; Config'!J397</f>
        <v>0</v>
      </c>
      <c r="F392" s="34">
        <f>'12 - Deployments &amp; Config'!K397</f>
        <v>0</v>
      </c>
      <c r="G392" s="18">
        <f>'12 - Deployments &amp; Config'!L397</f>
        <v>0</v>
      </c>
      <c r="H392" s="18">
        <f>'13 - Config_Intake_View'!M392</f>
        <v>0</v>
      </c>
      <c r="I392" s="34">
        <f>IF('13 - Config_Intake_View'!Q392&lt;&gt;"",'13 - Config_Intake_View'!Q392,'12 - Deployments &amp; Config'!BI397)</f>
        <v>0</v>
      </c>
      <c r="J392" s="18" t="str">
        <f>IF('13 - Config_Intake_View'!Q392&lt;&gt;"","PM Approved",IF('12 - Deployments &amp; Config'!BI397&lt;&gt;"","Assumed",""))</f>
        <v/>
      </c>
      <c r="K392" s="34">
        <f>'12 - Deployments &amp; Config'!BH397</f>
        <v>0</v>
      </c>
      <c r="L392" s="18">
        <f>'12 - Deployments &amp; Config'!P397</f>
        <v>0</v>
      </c>
      <c r="M392" s="18">
        <f>'12 - Deployments &amp; Config'!Q397</f>
        <v>0</v>
      </c>
      <c r="N392" s="18" t="str">
        <f>'12 - Deployments &amp; Config'!BL397</f>
        <v/>
      </c>
      <c r="O392" s="34" t="str">
        <f>'12 - Deployments &amp; Config'!BM397</f>
        <v/>
      </c>
      <c r="P392" s="2">
        <f>'12 - Deployments &amp; Config'!BB397</f>
        <v>0</v>
      </c>
      <c r="Q392" s="34" t="str">
        <f t="shared" si="24"/>
        <v/>
      </c>
      <c r="R392" s="18" t="str">
        <f t="shared" si="25"/>
        <v>SW NOT INSTALLED</v>
      </c>
      <c r="S392" s="18" t="str">
        <f t="shared" si="26"/>
        <v/>
      </c>
      <c r="T392" s="18" t="str">
        <f t="shared" si="27"/>
        <v>SW NOT INSTALLED</v>
      </c>
    </row>
    <row r="393" spans="1:20">
      <c r="A393" s="34">
        <f>'12 - Deployments &amp; Config'!H398</f>
        <v>0</v>
      </c>
      <c r="B393" s="34">
        <f>'12 - Deployments &amp; Config'!S398</f>
        <v>0</v>
      </c>
      <c r="C393" s="34">
        <f>'12 - Deployments &amp; Config'!T398</f>
        <v>0</v>
      </c>
      <c r="D393" s="18">
        <f>'12 - Deployments &amp; Config'!AK398</f>
        <v>0</v>
      </c>
      <c r="E393" s="18">
        <f>'12 - Deployments &amp; Config'!J398</f>
        <v>0</v>
      </c>
      <c r="F393" s="34">
        <f>'12 - Deployments &amp; Config'!K398</f>
        <v>0</v>
      </c>
      <c r="G393" s="18">
        <f>'12 - Deployments &amp; Config'!L398</f>
        <v>0</v>
      </c>
      <c r="H393" s="18">
        <f>'13 - Config_Intake_View'!M393</f>
        <v>0</v>
      </c>
      <c r="I393" s="34">
        <f>IF('13 - Config_Intake_View'!Q393&lt;&gt;"",'13 - Config_Intake_View'!Q393,'12 - Deployments &amp; Config'!BI398)</f>
        <v>0</v>
      </c>
      <c r="J393" s="18" t="str">
        <f>IF('13 - Config_Intake_View'!Q393&lt;&gt;"","PM Approved",IF('12 - Deployments &amp; Config'!BI398&lt;&gt;"","Assumed",""))</f>
        <v/>
      </c>
      <c r="K393" s="34">
        <f>'12 - Deployments &amp; Config'!BH398</f>
        <v>0</v>
      </c>
      <c r="L393" s="18">
        <f>'12 - Deployments &amp; Config'!P398</f>
        <v>0</v>
      </c>
      <c r="M393" s="18">
        <f>'12 - Deployments &amp; Config'!Q398</f>
        <v>0</v>
      </c>
      <c r="N393" s="18" t="str">
        <f>'12 - Deployments &amp; Config'!BL398</f>
        <v/>
      </c>
      <c r="O393" s="34" t="str">
        <f>'12 - Deployments &amp; Config'!BM398</f>
        <v/>
      </c>
      <c r="P393" s="2">
        <f>'12 - Deployments &amp; Config'!BB398</f>
        <v>0</v>
      </c>
      <c r="Q393" s="34" t="str">
        <f t="shared" si="24"/>
        <v/>
      </c>
      <c r="R393" s="18" t="str">
        <f t="shared" si="25"/>
        <v>SW NOT INSTALLED</v>
      </c>
      <c r="S393" s="18" t="str">
        <f t="shared" si="26"/>
        <v/>
      </c>
      <c r="T393" s="18" t="str">
        <f t="shared" si="27"/>
        <v>SW NOT INSTALLED</v>
      </c>
    </row>
    <row r="394" spans="1:20">
      <c r="A394" s="34">
        <f>'12 - Deployments &amp; Config'!H399</f>
        <v>0</v>
      </c>
      <c r="B394" s="34">
        <f>'12 - Deployments &amp; Config'!S399</f>
        <v>0</v>
      </c>
      <c r="C394" s="34">
        <f>'12 - Deployments &amp; Config'!T399</f>
        <v>0</v>
      </c>
      <c r="D394" s="18">
        <f>'12 - Deployments &amp; Config'!AK399</f>
        <v>0</v>
      </c>
      <c r="E394" s="18">
        <f>'12 - Deployments &amp; Config'!J399</f>
        <v>0</v>
      </c>
      <c r="F394" s="34">
        <f>'12 - Deployments &amp; Config'!K399</f>
        <v>0</v>
      </c>
      <c r="G394" s="18">
        <f>'12 - Deployments &amp; Config'!L399</f>
        <v>0</v>
      </c>
      <c r="H394" s="18">
        <f>'13 - Config_Intake_View'!M394</f>
        <v>0</v>
      </c>
      <c r="I394" s="34">
        <f>IF('13 - Config_Intake_View'!Q394&lt;&gt;"",'13 - Config_Intake_View'!Q394,'12 - Deployments &amp; Config'!BI399)</f>
        <v>0</v>
      </c>
      <c r="J394" s="18" t="str">
        <f>IF('13 - Config_Intake_View'!Q394&lt;&gt;"","PM Approved",IF('12 - Deployments &amp; Config'!BI399&lt;&gt;"","Assumed",""))</f>
        <v/>
      </c>
      <c r="K394" s="34">
        <f>'12 - Deployments &amp; Config'!BH399</f>
        <v>0</v>
      </c>
      <c r="L394" s="18">
        <f>'12 - Deployments &amp; Config'!P399</f>
        <v>0</v>
      </c>
      <c r="M394" s="18">
        <f>'12 - Deployments &amp; Config'!Q399</f>
        <v>0</v>
      </c>
      <c r="N394" s="18" t="str">
        <f>'12 - Deployments &amp; Config'!BL399</f>
        <v/>
      </c>
      <c r="O394" s="34" t="str">
        <f>'12 - Deployments &amp; Config'!BM399</f>
        <v/>
      </c>
      <c r="P394" s="2">
        <f>'12 - Deployments &amp; Config'!BB399</f>
        <v>0</v>
      </c>
      <c r="Q394" s="34" t="str">
        <f t="shared" si="24"/>
        <v/>
      </c>
      <c r="R394" s="18" t="str">
        <f t="shared" si="25"/>
        <v>SW NOT INSTALLED</v>
      </c>
      <c r="S394" s="18" t="str">
        <f t="shared" si="26"/>
        <v/>
      </c>
      <c r="T394" s="18" t="str">
        <f t="shared" si="27"/>
        <v>SW NOT INSTALLED</v>
      </c>
    </row>
    <row r="395" spans="1:20">
      <c r="A395" s="34">
        <f>'12 - Deployments &amp; Config'!H400</f>
        <v>0</v>
      </c>
      <c r="B395" s="34">
        <f>'12 - Deployments &amp; Config'!S400</f>
        <v>0</v>
      </c>
      <c r="C395" s="34">
        <f>'12 - Deployments &amp; Config'!T400</f>
        <v>0</v>
      </c>
      <c r="D395" s="18">
        <f>'12 - Deployments &amp; Config'!AK400</f>
        <v>0</v>
      </c>
      <c r="E395" s="18">
        <f>'12 - Deployments &amp; Config'!J400</f>
        <v>0</v>
      </c>
      <c r="F395" s="34">
        <f>'12 - Deployments &amp; Config'!K400</f>
        <v>0</v>
      </c>
      <c r="G395" s="18">
        <f>'12 - Deployments &amp; Config'!L400</f>
        <v>0</v>
      </c>
      <c r="H395" s="18">
        <f>'13 - Config_Intake_View'!M395</f>
        <v>0</v>
      </c>
      <c r="I395" s="34">
        <f>IF('13 - Config_Intake_View'!Q395&lt;&gt;"",'13 - Config_Intake_View'!Q395,'12 - Deployments &amp; Config'!BI400)</f>
        <v>0</v>
      </c>
      <c r="J395" s="18" t="str">
        <f>IF('13 - Config_Intake_View'!Q395&lt;&gt;"","PM Approved",IF('12 - Deployments &amp; Config'!BI400&lt;&gt;"","Assumed",""))</f>
        <v/>
      </c>
      <c r="K395" s="34">
        <f>'12 - Deployments &amp; Config'!BH400</f>
        <v>0</v>
      </c>
      <c r="L395" s="18">
        <f>'12 - Deployments &amp; Config'!P400</f>
        <v>0</v>
      </c>
      <c r="M395" s="18">
        <f>'12 - Deployments &amp; Config'!Q400</f>
        <v>0</v>
      </c>
      <c r="N395" s="18" t="str">
        <f>'12 - Deployments &amp; Config'!BL400</f>
        <v/>
      </c>
      <c r="O395" s="34" t="str">
        <f>'12 - Deployments &amp; Config'!BM400</f>
        <v/>
      </c>
      <c r="P395" s="2">
        <f>'12 - Deployments &amp; Config'!BB400</f>
        <v>0</v>
      </c>
      <c r="Q395" s="34" t="str">
        <f t="shared" si="24"/>
        <v/>
      </c>
      <c r="R395" s="18" t="str">
        <f t="shared" si="25"/>
        <v>SW NOT INSTALLED</v>
      </c>
      <c r="S395" s="18" t="str">
        <f t="shared" si="26"/>
        <v/>
      </c>
      <c r="T395" s="18" t="str">
        <f t="shared" si="27"/>
        <v>SW NOT INSTALLED</v>
      </c>
    </row>
    <row r="396" spans="1:20">
      <c r="A396" s="34">
        <f>'12 - Deployments &amp; Config'!H401</f>
        <v>0</v>
      </c>
      <c r="B396" s="34">
        <f>'12 - Deployments &amp; Config'!S401</f>
        <v>0</v>
      </c>
      <c r="C396" s="34">
        <f>'12 - Deployments &amp; Config'!T401</f>
        <v>0</v>
      </c>
      <c r="D396" s="18">
        <f>'12 - Deployments &amp; Config'!AK401</f>
        <v>0</v>
      </c>
      <c r="E396" s="18">
        <f>'12 - Deployments &amp; Config'!J401</f>
        <v>0</v>
      </c>
      <c r="F396" s="34">
        <f>'12 - Deployments &amp; Config'!K401</f>
        <v>0</v>
      </c>
      <c r="G396" s="18">
        <f>'12 - Deployments &amp; Config'!L401</f>
        <v>0</v>
      </c>
      <c r="H396" s="18">
        <f>'13 - Config_Intake_View'!M396</f>
        <v>0</v>
      </c>
      <c r="I396" s="34">
        <f>IF('13 - Config_Intake_View'!Q396&lt;&gt;"",'13 - Config_Intake_View'!Q396,'12 - Deployments &amp; Config'!BI401)</f>
        <v>0</v>
      </c>
      <c r="J396" s="18" t="str">
        <f>IF('13 - Config_Intake_View'!Q396&lt;&gt;"","PM Approved",IF('12 - Deployments &amp; Config'!BI401&lt;&gt;"","Assumed",""))</f>
        <v/>
      </c>
      <c r="K396" s="34">
        <f>'12 - Deployments &amp; Config'!BH401</f>
        <v>0</v>
      </c>
      <c r="L396" s="18">
        <f>'12 - Deployments &amp; Config'!P401</f>
        <v>0</v>
      </c>
      <c r="M396" s="18">
        <f>'12 - Deployments &amp; Config'!Q401</f>
        <v>0</v>
      </c>
      <c r="N396" s="18" t="str">
        <f>'12 - Deployments &amp; Config'!BL401</f>
        <v/>
      </c>
      <c r="O396" s="34" t="str">
        <f>'12 - Deployments &amp; Config'!BM401</f>
        <v/>
      </c>
      <c r="P396" s="2">
        <f>'12 - Deployments &amp; Config'!BB401</f>
        <v>0</v>
      </c>
      <c r="Q396" s="34" t="str">
        <f t="shared" si="24"/>
        <v/>
      </c>
      <c r="R396" s="18" t="str">
        <f t="shared" si="25"/>
        <v>SW NOT INSTALLED</v>
      </c>
      <c r="S396" s="18" t="str">
        <f t="shared" si="26"/>
        <v/>
      </c>
      <c r="T396" s="18" t="str">
        <f t="shared" si="27"/>
        <v>SW NOT INSTALLED</v>
      </c>
    </row>
    <row r="397" spans="1:20">
      <c r="A397" s="34">
        <f>'12 - Deployments &amp; Config'!H402</f>
        <v>0</v>
      </c>
      <c r="B397" s="34">
        <f>'12 - Deployments &amp; Config'!S402</f>
        <v>0</v>
      </c>
      <c r="C397" s="34">
        <f>'12 - Deployments &amp; Config'!T402</f>
        <v>0</v>
      </c>
      <c r="D397" s="18">
        <f>'12 - Deployments &amp; Config'!AK402</f>
        <v>0</v>
      </c>
      <c r="E397" s="18">
        <f>'12 - Deployments &amp; Config'!J402</f>
        <v>0</v>
      </c>
      <c r="F397" s="34">
        <f>'12 - Deployments &amp; Config'!K402</f>
        <v>0</v>
      </c>
      <c r="G397" s="18">
        <f>'12 - Deployments &amp; Config'!L402</f>
        <v>0</v>
      </c>
      <c r="H397" s="18">
        <f>'13 - Config_Intake_View'!M397</f>
        <v>0</v>
      </c>
      <c r="I397" s="34">
        <f>IF('13 - Config_Intake_View'!Q397&lt;&gt;"",'13 - Config_Intake_View'!Q397,'12 - Deployments &amp; Config'!BI402)</f>
        <v>0</v>
      </c>
      <c r="J397" s="18" t="str">
        <f>IF('13 - Config_Intake_View'!Q397&lt;&gt;"","PM Approved",IF('12 - Deployments &amp; Config'!BI402&lt;&gt;"","Assumed",""))</f>
        <v/>
      </c>
      <c r="K397" s="34">
        <f>'12 - Deployments &amp; Config'!BH402</f>
        <v>0</v>
      </c>
      <c r="L397" s="18">
        <f>'12 - Deployments &amp; Config'!P402</f>
        <v>0</v>
      </c>
      <c r="M397" s="18">
        <f>'12 - Deployments &amp; Config'!Q402</f>
        <v>0</v>
      </c>
      <c r="N397" s="18" t="str">
        <f>'12 - Deployments &amp; Config'!BL402</f>
        <v/>
      </c>
      <c r="O397" s="34" t="str">
        <f>'12 - Deployments &amp; Config'!BM402</f>
        <v/>
      </c>
      <c r="P397" s="2">
        <f>'12 - Deployments &amp; Config'!BB402</f>
        <v>0</v>
      </c>
      <c r="Q397" s="34" t="str">
        <f t="shared" si="24"/>
        <v/>
      </c>
      <c r="R397" s="18" t="str">
        <f t="shared" si="25"/>
        <v>SW NOT INSTALLED</v>
      </c>
      <c r="S397" s="18" t="str">
        <f t="shared" si="26"/>
        <v/>
      </c>
      <c r="T397" s="18" t="str">
        <f t="shared" si="27"/>
        <v>SW NOT INSTALLED</v>
      </c>
    </row>
    <row r="398" spans="1:20">
      <c r="A398" s="34">
        <f>'12 - Deployments &amp; Config'!H403</f>
        <v>0</v>
      </c>
      <c r="B398" s="34">
        <f>'12 - Deployments &amp; Config'!S403</f>
        <v>0</v>
      </c>
      <c r="C398" s="34">
        <f>'12 - Deployments &amp; Config'!T403</f>
        <v>0</v>
      </c>
      <c r="D398" s="18">
        <f>'12 - Deployments &amp; Config'!AK403</f>
        <v>0</v>
      </c>
      <c r="E398" s="18">
        <f>'12 - Deployments &amp; Config'!J403</f>
        <v>0</v>
      </c>
      <c r="F398" s="34">
        <f>'12 - Deployments &amp; Config'!K403</f>
        <v>0</v>
      </c>
      <c r="G398" s="18">
        <f>'12 - Deployments &amp; Config'!L403</f>
        <v>0</v>
      </c>
      <c r="H398" s="18">
        <f>'13 - Config_Intake_View'!M398</f>
        <v>0</v>
      </c>
      <c r="I398" s="34">
        <f>IF('13 - Config_Intake_View'!Q398&lt;&gt;"",'13 - Config_Intake_View'!Q398,'12 - Deployments &amp; Config'!BI403)</f>
        <v>0</v>
      </c>
      <c r="J398" s="18" t="str">
        <f>IF('13 - Config_Intake_View'!Q398&lt;&gt;"","PM Approved",IF('12 - Deployments &amp; Config'!BI403&lt;&gt;"","Assumed",""))</f>
        <v/>
      </c>
      <c r="K398" s="34">
        <f>'12 - Deployments &amp; Config'!BH403</f>
        <v>0</v>
      </c>
      <c r="L398" s="18">
        <f>'12 - Deployments &amp; Config'!P403</f>
        <v>0</v>
      </c>
      <c r="M398" s="18">
        <f>'12 - Deployments &amp; Config'!Q403</f>
        <v>0</v>
      </c>
      <c r="N398" s="18" t="str">
        <f>'12 - Deployments &amp; Config'!BL403</f>
        <v/>
      </c>
      <c r="O398" s="34" t="str">
        <f>'12 - Deployments &amp; Config'!BM403</f>
        <v/>
      </c>
      <c r="P398" s="2">
        <f>'12 - Deployments &amp; Config'!BB403</f>
        <v>0</v>
      </c>
      <c r="Q398" s="34" t="str">
        <f t="shared" si="24"/>
        <v/>
      </c>
      <c r="R398" s="18" t="str">
        <f t="shared" si="25"/>
        <v>SW NOT INSTALLED</v>
      </c>
      <c r="S398" s="18" t="str">
        <f t="shared" si="26"/>
        <v/>
      </c>
      <c r="T398" s="18" t="str">
        <f t="shared" si="27"/>
        <v>SW NOT INSTALLED</v>
      </c>
    </row>
    <row r="399" spans="1:20">
      <c r="A399" s="34">
        <f>'12 - Deployments &amp; Config'!H404</f>
        <v>0</v>
      </c>
      <c r="B399" s="34">
        <f>'12 - Deployments &amp; Config'!S404</f>
        <v>0</v>
      </c>
      <c r="C399" s="34">
        <f>'12 - Deployments &amp; Config'!T404</f>
        <v>0</v>
      </c>
      <c r="D399" s="18">
        <f>'12 - Deployments &amp; Config'!AK404</f>
        <v>0</v>
      </c>
      <c r="E399" s="18">
        <f>'12 - Deployments &amp; Config'!J404</f>
        <v>0</v>
      </c>
      <c r="F399" s="34">
        <f>'12 - Deployments &amp; Config'!K404</f>
        <v>0</v>
      </c>
      <c r="G399" s="18">
        <f>'12 - Deployments &amp; Config'!L404</f>
        <v>0</v>
      </c>
      <c r="H399" s="18">
        <f>'13 - Config_Intake_View'!M399</f>
        <v>0</v>
      </c>
      <c r="I399" s="34">
        <f>IF('13 - Config_Intake_View'!Q399&lt;&gt;"",'13 - Config_Intake_View'!Q399,'12 - Deployments &amp; Config'!BI404)</f>
        <v>0</v>
      </c>
      <c r="J399" s="18" t="str">
        <f>IF('13 - Config_Intake_View'!Q399&lt;&gt;"","PM Approved",IF('12 - Deployments &amp; Config'!BI404&lt;&gt;"","Assumed",""))</f>
        <v/>
      </c>
      <c r="K399" s="34">
        <f>'12 - Deployments &amp; Config'!BH404</f>
        <v>0</v>
      </c>
      <c r="L399" s="18">
        <f>'12 - Deployments &amp; Config'!P404</f>
        <v>0</v>
      </c>
      <c r="M399" s="18">
        <f>'12 - Deployments &amp; Config'!Q404</f>
        <v>0</v>
      </c>
      <c r="N399" s="18" t="str">
        <f>'12 - Deployments &amp; Config'!BL404</f>
        <v/>
      </c>
      <c r="O399" s="34" t="str">
        <f>'12 - Deployments &amp; Config'!BM404</f>
        <v/>
      </c>
      <c r="P399" s="2">
        <f>'12 - Deployments &amp; Config'!BB404</f>
        <v>0</v>
      </c>
      <c r="Q399" s="34" t="str">
        <f t="shared" si="24"/>
        <v/>
      </c>
      <c r="R399" s="18" t="str">
        <f t="shared" si="25"/>
        <v>SW NOT INSTALLED</v>
      </c>
      <c r="S399" s="18" t="str">
        <f t="shared" si="26"/>
        <v/>
      </c>
      <c r="T399" s="18" t="str">
        <f t="shared" si="27"/>
        <v>SW NOT INSTALLED</v>
      </c>
    </row>
    <row r="400" spans="1:20">
      <c r="A400" s="34">
        <f>'12 - Deployments &amp; Config'!H405</f>
        <v>0</v>
      </c>
      <c r="B400" s="34">
        <f>'12 - Deployments &amp; Config'!S405</f>
        <v>0</v>
      </c>
      <c r="C400" s="34">
        <f>'12 - Deployments &amp; Config'!T405</f>
        <v>0</v>
      </c>
      <c r="D400" s="18">
        <f>'12 - Deployments &amp; Config'!AK405</f>
        <v>0</v>
      </c>
      <c r="E400" s="18">
        <f>'12 - Deployments &amp; Config'!J405</f>
        <v>0</v>
      </c>
      <c r="F400" s="34">
        <f>'12 - Deployments &amp; Config'!K405</f>
        <v>0</v>
      </c>
      <c r="G400" s="18">
        <f>'12 - Deployments &amp; Config'!L405</f>
        <v>0</v>
      </c>
      <c r="H400" s="18">
        <f>'13 - Config_Intake_View'!M400</f>
        <v>0</v>
      </c>
      <c r="I400" s="34">
        <f>IF('13 - Config_Intake_View'!Q400&lt;&gt;"",'13 - Config_Intake_View'!Q400,'12 - Deployments &amp; Config'!BI405)</f>
        <v>0</v>
      </c>
      <c r="J400" s="18" t="str">
        <f>IF('13 - Config_Intake_View'!Q400&lt;&gt;"","PM Approved",IF('12 - Deployments &amp; Config'!BI405&lt;&gt;"","Assumed",""))</f>
        <v/>
      </c>
      <c r="K400" s="34">
        <f>'12 - Deployments &amp; Config'!BH405</f>
        <v>0</v>
      </c>
      <c r="L400" s="18">
        <f>'12 - Deployments &amp; Config'!P405</f>
        <v>0</v>
      </c>
      <c r="M400" s="18">
        <f>'12 - Deployments &amp; Config'!Q405</f>
        <v>0</v>
      </c>
      <c r="N400" s="18" t="str">
        <f>'12 - Deployments &amp; Config'!BL405</f>
        <v/>
      </c>
      <c r="O400" s="34" t="str">
        <f>'12 - Deployments &amp; Config'!BM405</f>
        <v/>
      </c>
      <c r="P400" s="2">
        <f>'12 - Deployments &amp; Config'!BB405</f>
        <v>0</v>
      </c>
      <c r="Q400" s="34" t="str">
        <f t="shared" si="24"/>
        <v/>
      </c>
      <c r="R400" s="18" t="str">
        <f t="shared" si="25"/>
        <v>SW NOT INSTALLED</v>
      </c>
      <c r="S400" s="18" t="str">
        <f t="shared" si="26"/>
        <v/>
      </c>
      <c r="T400" s="18" t="str">
        <f t="shared" si="27"/>
        <v>SW NOT INSTALLED</v>
      </c>
    </row>
    <row r="401" spans="1:20">
      <c r="A401" s="34">
        <f>'12 - Deployments &amp; Config'!H406</f>
        <v>0</v>
      </c>
      <c r="B401" s="34">
        <f>'12 - Deployments &amp; Config'!S406</f>
        <v>0</v>
      </c>
      <c r="C401" s="34">
        <f>'12 - Deployments &amp; Config'!T406</f>
        <v>0</v>
      </c>
      <c r="D401" s="18">
        <f>'12 - Deployments &amp; Config'!AK406</f>
        <v>0</v>
      </c>
      <c r="E401" s="18">
        <f>'12 - Deployments &amp; Config'!J406</f>
        <v>0</v>
      </c>
      <c r="F401" s="34">
        <f>'12 - Deployments &amp; Config'!K406</f>
        <v>0</v>
      </c>
      <c r="G401" s="18">
        <f>'12 - Deployments &amp; Config'!L406</f>
        <v>0</v>
      </c>
      <c r="H401" s="18">
        <f>'13 - Config_Intake_View'!M401</f>
        <v>0</v>
      </c>
      <c r="I401" s="34">
        <f>IF('13 - Config_Intake_View'!Q401&lt;&gt;"",'13 - Config_Intake_View'!Q401,'12 - Deployments &amp; Config'!BI406)</f>
        <v>0</v>
      </c>
      <c r="J401" s="18" t="str">
        <f>IF('13 - Config_Intake_View'!Q401&lt;&gt;"","PM Approved",IF('12 - Deployments &amp; Config'!BI406&lt;&gt;"","Assumed",""))</f>
        <v/>
      </c>
      <c r="K401" s="34">
        <f>'12 - Deployments &amp; Config'!BH406</f>
        <v>0</v>
      </c>
      <c r="L401" s="18">
        <f>'12 - Deployments &amp; Config'!P406</f>
        <v>0</v>
      </c>
      <c r="M401" s="18">
        <f>'12 - Deployments &amp; Config'!Q406</f>
        <v>0</v>
      </c>
      <c r="N401" s="18" t="str">
        <f>'12 - Deployments &amp; Config'!BL406</f>
        <v/>
      </c>
      <c r="O401" s="34" t="str">
        <f>'12 - Deployments &amp; Config'!BM406</f>
        <v/>
      </c>
      <c r="P401" s="2">
        <f>'12 - Deployments &amp; Config'!BB406</f>
        <v>0</v>
      </c>
      <c r="Q401" s="34" t="str">
        <f t="shared" si="24"/>
        <v/>
      </c>
      <c r="R401" s="18" t="str">
        <f t="shared" si="25"/>
        <v>SW NOT INSTALLED</v>
      </c>
      <c r="S401" s="18" t="str">
        <f t="shared" si="26"/>
        <v/>
      </c>
      <c r="T401" s="18" t="str">
        <f t="shared" si="27"/>
        <v>SW NOT INSTALLED</v>
      </c>
    </row>
    <row r="402" spans="1:20">
      <c r="A402" s="34">
        <f>'12 - Deployments &amp; Config'!H407</f>
        <v>0</v>
      </c>
      <c r="B402" s="34">
        <f>'12 - Deployments &amp; Config'!S407</f>
        <v>0</v>
      </c>
      <c r="C402" s="34">
        <f>'12 - Deployments &amp; Config'!T407</f>
        <v>0</v>
      </c>
      <c r="D402" s="18">
        <f>'12 - Deployments &amp; Config'!AK407</f>
        <v>0</v>
      </c>
      <c r="E402" s="18">
        <f>'12 - Deployments &amp; Config'!J407</f>
        <v>0</v>
      </c>
      <c r="F402" s="34">
        <f>'12 - Deployments &amp; Config'!K407</f>
        <v>0</v>
      </c>
      <c r="G402" s="18">
        <f>'12 - Deployments &amp; Config'!L407</f>
        <v>0</v>
      </c>
      <c r="H402" s="18">
        <f>'13 - Config_Intake_View'!M402</f>
        <v>0</v>
      </c>
      <c r="I402" s="34">
        <f>IF('13 - Config_Intake_View'!Q402&lt;&gt;"",'13 - Config_Intake_View'!Q402,'12 - Deployments &amp; Config'!BI407)</f>
        <v>0</v>
      </c>
      <c r="J402" s="18" t="str">
        <f>IF('13 - Config_Intake_View'!Q402&lt;&gt;"","PM Approved",IF('12 - Deployments &amp; Config'!BI407&lt;&gt;"","Assumed",""))</f>
        <v/>
      </c>
      <c r="K402" s="34">
        <f>'12 - Deployments &amp; Config'!BH407</f>
        <v>0</v>
      </c>
      <c r="L402" s="18">
        <f>'12 - Deployments &amp; Config'!P407</f>
        <v>0</v>
      </c>
      <c r="M402" s="18">
        <f>'12 - Deployments &amp; Config'!Q407</f>
        <v>0</v>
      </c>
      <c r="N402" s="18" t="str">
        <f>'12 - Deployments &amp; Config'!BL407</f>
        <v/>
      </c>
      <c r="O402" s="34" t="str">
        <f>'12 - Deployments &amp; Config'!BM407</f>
        <v/>
      </c>
      <c r="P402" s="2">
        <f>'12 - Deployments &amp; Config'!BB407</f>
        <v>0</v>
      </c>
      <c r="Q402" s="34" t="str">
        <f t="shared" si="24"/>
        <v/>
      </c>
      <c r="R402" s="18" t="str">
        <f t="shared" si="25"/>
        <v>SW NOT INSTALLED</v>
      </c>
      <c r="S402" s="18" t="str">
        <f t="shared" si="26"/>
        <v/>
      </c>
      <c r="T402" s="18" t="str">
        <f t="shared" si="27"/>
        <v>SW NOT INSTALLED</v>
      </c>
    </row>
    <row r="403" spans="1:20">
      <c r="A403" s="34">
        <f>'12 - Deployments &amp; Config'!H408</f>
        <v>0</v>
      </c>
      <c r="B403" s="34">
        <f>'12 - Deployments &amp; Config'!S408</f>
        <v>0</v>
      </c>
      <c r="C403" s="34">
        <f>'12 - Deployments &amp; Config'!T408</f>
        <v>0</v>
      </c>
      <c r="D403" s="18">
        <f>'12 - Deployments &amp; Config'!AK408</f>
        <v>0</v>
      </c>
      <c r="E403" s="18">
        <f>'12 - Deployments &amp; Config'!J408</f>
        <v>0</v>
      </c>
      <c r="F403" s="34">
        <f>'12 - Deployments &amp; Config'!K408</f>
        <v>0</v>
      </c>
      <c r="G403" s="18">
        <f>'12 - Deployments &amp; Config'!L408</f>
        <v>0</v>
      </c>
      <c r="H403" s="18">
        <f>'13 - Config_Intake_View'!M403</f>
        <v>0</v>
      </c>
      <c r="I403" s="34">
        <f>IF('13 - Config_Intake_View'!Q403&lt;&gt;"",'13 - Config_Intake_View'!Q403,'12 - Deployments &amp; Config'!BI408)</f>
        <v>0</v>
      </c>
      <c r="J403" s="18" t="str">
        <f>IF('13 - Config_Intake_View'!Q403&lt;&gt;"","PM Approved",IF('12 - Deployments &amp; Config'!BI408&lt;&gt;"","Assumed",""))</f>
        <v/>
      </c>
      <c r="K403" s="34">
        <f>'12 - Deployments &amp; Config'!BH408</f>
        <v>0</v>
      </c>
      <c r="L403" s="18">
        <f>'12 - Deployments &amp; Config'!P408</f>
        <v>0</v>
      </c>
      <c r="M403" s="18">
        <f>'12 - Deployments &amp; Config'!Q408</f>
        <v>0</v>
      </c>
      <c r="N403" s="18" t="str">
        <f>'12 - Deployments &amp; Config'!BL408</f>
        <v/>
      </c>
      <c r="O403" s="34" t="str">
        <f>'12 - Deployments &amp; Config'!BM408</f>
        <v/>
      </c>
      <c r="P403" s="2">
        <f>'12 - Deployments &amp; Config'!BB408</f>
        <v>0</v>
      </c>
      <c r="Q403" s="34" t="str">
        <f t="shared" si="24"/>
        <v/>
      </c>
      <c r="R403" s="18" t="str">
        <f t="shared" si="25"/>
        <v>SW NOT INSTALLED</v>
      </c>
      <c r="S403" s="18" t="str">
        <f t="shared" si="26"/>
        <v/>
      </c>
      <c r="T403" s="18" t="str">
        <f t="shared" si="27"/>
        <v>SW NOT INSTALLED</v>
      </c>
    </row>
    <row r="404" spans="1:20">
      <c r="A404" s="34">
        <f>'12 - Deployments &amp; Config'!H409</f>
        <v>0</v>
      </c>
      <c r="B404" s="34">
        <f>'12 - Deployments &amp; Config'!S409</f>
        <v>0</v>
      </c>
      <c r="C404" s="34">
        <f>'12 - Deployments &amp; Config'!T409</f>
        <v>0</v>
      </c>
      <c r="D404" s="18">
        <f>'12 - Deployments &amp; Config'!AK409</f>
        <v>0</v>
      </c>
      <c r="E404" s="18">
        <f>'12 - Deployments &amp; Config'!J409</f>
        <v>0</v>
      </c>
      <c r="F404" s="34">
        <f>'12 - Deployments &amp; Config'!K409</f>
        <v>0</v>
      </c>
      <c r="G404" s="18">
        <f>'12 - Deployments &amp; Config'!L409</f>
        <v>0</v>
      </c>
      <c r="H404" s="18">
        <f>'13 - Config_Intake_View'!M404</f>
        <v>0</v>
      </c>
      <c r="I404" s="34">
        <f>IF('13 - Config_Intake_View'!Q404&lt;&gt;"",'13 - Config_Intake_View'!Q404,'12 - Deployments &amp; Config'!BI409)</f>
        <v>0</v>
      </c>
      <c r="J404" s="18" t="str">
        <f>IF('13 - Config_Intake_View'!Q404&lt;&gt;"","PM Approved",IF('12 - Deployments &amp; Config'!BI409&lt;&gt;"","Assumed",""))</f>
        <v/>
      </c>
      <c r="K404" s="34">
        <f>'12 - Deployments &amp; Config'!BH409</f>
        <v>0</v>
      </c>
      <c r="L404" s="18">
        <f>'12 - Deployments &amp; Config'!P409</f>
        <v>0</v>
      </c>
      <c r="M404" s="18">
        <f>'12 - Deployments &amp; Config'!Q409</f>
        <v>0</v>
      </c>
      <c r="N404" s="18" t="str">
        <f>'12 - Deployments &amp; Config'!BL409</f>
        <v/>
      </c>
      <c r="O404" s="34" t="str">
        <f>'12 - Deployments &amp; Config'!BM409</f>
        <v/>
      </c>
      <c r="P404" s="2">
        <f>'12 - Deployments &amp; Config'!BB409</f>
        <v>0</v>
      </c>
      <c r="Q404" s="34" t="str">
        <f t="shared" si="24"/>
        <v/>
      </c>
      <c r="R404" s="18" t="str">
        <f t="shared" si="25"/>
        <v>SW NOT INSTALLED</v>
      </c>
      <c r="S404" s="18" t="str">
        <f t="shared" si="26"/>
        <v/>
      </c>
      <c r="T404" s="18" t="str">
        <f t="shared" si="27"/>
        <v>SW NOT INSTALLED</v>
      </c>
    </row>
    <row r="405" spans="1:20">
      <c r="A405" s="34">
        <f>'12 - Deployments &amp; Config'!H410</f>
        <v>0</v>
      </c>
      <c r="B405" s="34">
        <f>'12 - Deployments &amp; Config'!S410</f>
        <v>0</v>
      </c>
      <c r="C405" s="34">
        <f>'12 - Deployments &amp; Config'!T410</f>
        <v>0</v>
      </c>
      <c r="D405" s="18">
        <f>'12 - Deployments &amp; Config'!AK410</f>
        <v>0</v>
      </c>
      <c r="E405" s="18">
        <f>'12 - Deployments &amp; Config'!J410</f>
        <v>0</v>
      </c>
      <c r="F405" s="34">
        <f>'12 - Deployments &amp; Config'!K410</f>
        <v>0</v>
      </c>
      <c r="G405" s="18">
        <f>'12 - Deployments &amp; Config'!L410</f>
        <v>0</v>
      </c>
      <c r="H405" s="18">
        <f>'13 - Config_Intake_View'!M405</f>
        <v>0</v>
      </c>
      <c r="I405" s="34">
        <f>IF('13 - Config_Intake_View'!Q405&lt;&gt;"",'13 - Config_Intake_View'!Q405,'12 - Deployments &amp; Config'!BI410)</f>
        <v>0</v>
      </c>
      <c r="J405" s="18" t="str">
        <f>IF('13 - Config_Intake_View'!Q405&lt;&gt;"","PM Approved",IF('12 - Deployments &amp; Config'!BI410&lt;&gt;"","Assumed",""))</f>
        <v/>
      </c>
      <c r="K405" s="34">
        <f>'12 - Deployments &amp; Config'!BH410</f>
        <v>0</v>
      </c>
      <c r="L405" s="18">
        <f>'12 - Deployments &amp; Config'!P410</f>
        <v>0</v>
      </c>
      <c r="M405" s="18">
        <f>'12 - Deployments &amp; Config'!Q410</f>
        <v>0</v>
      </c>
      <c r="N405" s="18" t="str">
        <f>'12 - Deployments &amp; Config'!BL410</f>
        <v/>
      </c>
      <c r="O405" s="34" t="str">
        <f>'12 - Deployments &amp; Config'!BM410</f>
        <v/>
      </c>
      <c r="P405" s="2">
        <f>'12 - Deployments &amp; Config'!BB410</f>
        <v>0</v>
      </c>
      <c r="Q405" s="34" t="str">
        <f t="shared" si="24"/>
        <v/>
      </c>
      <c r="R405" s="18" t="str">
        <f t="shared" si="25"/>
        <v>SW NOT INSTALLED</v>
      </c>
      <c r="S405" s="18" t="str">
        <f t="shared" si="26"/>
        <v/>
      </c>
      <c r="T405" s="18" t="str">
        <f t="shared" si="27"/>
        <v>SW NOT INSTALLED</v>
      </c>
    </row>
    <row r="406" spans="1:20">
      <c r="A406" s="34">
        <f>'12 - Deployments &amp; Config'!H411</f>
        <v>0</v>
      </c>
      <c r="B406" s="34">
        <f>'12 - Deployments &amp; Config'!S411</f>
        <v>0</v>
      </c>
      <c r="C406" s="34">
        <f>'12 - Deployments &amp; Config'!T411</f>
        <v>0</v>
      </c>
      <c r="D406" s="18">
        <f>'12 - Deployments &amp; Config'!AK411</f>
        <v>0</v>
      </c>
      <c r="E406" s="18">
        <f>'12 - Deployments &amp; Config'!J411</f>
        <v>0</v>
      </c>
      <c r="F406" s="34">
        <f>'12 - Deployments &amp; Config'!K411</f>
        <v>0</v>
      </c>
      <c r="G406" s="18">
        <f>'12 - Deployments &amp; Config'!L411</f>
        <v>0</v>
      </c>
      <c r="H406" s="18">
        <f>'13 - Config_Intake_View'!M406</f>
        <v>0</v>
      </c>
      <c r="I406" s="34">
        <f>IF('13 - Config_Intake_View'!Q406&lt;&gt;"",'13 - Config_Intake_View'!Q406,'12 - Deployments &amp; Config'!BI411)</f>
        <v>0</v>
      </c>
      <c r="J406" s="18" t="str">
        <f>IF('13 - Config_Intake_View'!Q406&lt;&gt;"","PM Approved",IF('12 - Deployments &amp; Config'!BI411&lt;&gt;"","Assumed",""))</f>
        <v/>
      </c>
      <c r="K406" s="34">
        <f>'12 - Deployments &amp; Config'!BH411</f>
        <v>0</v>
      </c>
      <c r="L406" s="18">
        <f>'12 - Deployments &amp; Config'!P411</f>
        <v>0</v>
      </c>
      <c r="M406" s="18">
        <f>'12 - Deployments &amp; Config'!Q411</f>
        <v>0</v>
      </c>
      <c r="N406" s="18" t="str">
        <f>'12 - Deployments &amp; Config'!BL411</f>
        <v/>
      </c>
      <c r="O406" s="34" t="str">
        <f>'12 - Deployments &amp; Config'!BM411</f>
        <v/>
      </c>
      <c r="P406" s="2">
        <f>'12 - Deployments &amp; Config'!BB411</f>
        <v>0</v>
      </c>
      <c r="Q406" s="34" t="str">
        <f t="shared" si="24"/>
        <v/>
      </c>
      <c r="R406" s="18" t="str">
        <f t="shared" si="25"/>
        <v>SW NOT INSTALLED</v>
      </c>
      <c r="S406" s="18" t="str">
        <f t="shared" si="26"/>
        <v/>
      </c>
      <c r="T406" s="18" t="str">
        <f t="shared" si="27"/>
        <v>SW NOT INSTALLED</v>
      </c>
    </row>
    <row r="407" spans="1:20">
      <c r="A407" s="34">
        <f>'12 - Deployments &amp; Config'!H412</f>
        <v>0</v>
      </c>
      <c r="B407" s="34">
        <f>'12 - Deployments &amp; Config'!S412</f>
        <v>0</v>
      </c>
      <c r="C407" s="34">
        <f>'12 - Deployments &amp; Config'!T412</f>
        <v>0</v>
      </c>
      <c r="D407" s="18">
        <f>'12 - Deployments &amp; Config'!AK412</f>
        <v>0</v>
      </c>
      <c r="E407" s="18">
        <f>'12 - Deployments &amp; Config'!J412</f>
        <v>0</v>
      </c>
      <c r="F407" s="34">
        <f>'12 - Deployments &amp; Config'!K412</f>
        <v>0</v>
      </c>
      <c r="G407" s="18">
        <f>'12 - Deployments &amp; Config'!L412</f>
        <v>0</v>
      </c>
      <c r="H407" s="18">
        <f>'13 - Config_Intake_View'!M407</f>
        <v>0</v>
      </c>
      <c r="I407" s="34">
        <f>IF('13 - Config_Intake_View'!Q407&lt;&gt;"",'13 - Config_Intake_View'!Q407,'12 - Deployments &amp; Config'!BI412)</f>
        <v>0</v>
      </c>
      <c r="J407" s="18" t="str">
        <f>IF('13 - Config_Intake_View'!Q407&lt;&gt;"","PM Approved",IF('12 - Deployments &amp; Config'!BI412&lt;&gt;"","Assumed",""))</f>
        <v/>
      </c>
      <c r="K407" s="34">
        <f>'12 - Deployments &amp; Config'!BH412</f>
        <v>0</v>
      </c>
      <c r="L407" s="18">
        <f>'12 - Deployments &amp; Config'!P412</f>
        <v>0</v>
      </c>
      <c r="M407" s="18">
        <f>'12 - Deployments &amp; Config'!Q412</f>
        <v>0</v>
      </c>
      <c r="N407" s="18" t="str">
        <f>'12 - Deployments &amp; Config'!BL412</f>
        <v/>
      </c>
      <c r="O407" s="34" t="str">
        <f>'12 - Deployments &amp; Config'!BM412</f>
        <v/>
      </c>
      <c r="P407" s="2">
        <f>'12 - Deployments &amp; Config'!BB412</f>
        <v>0</v>
      </c>
      <c r="Q407" s="34" t="str">
        <f t="shared" si="24"/>
        <v/>
      </c>
      <c r="R407" s="18" t="str">
        <f t="shared" si="25"/>
        <v>SW NOT INSTALLED</v>
      </c>
      <c r="S407" s="18" t="str">
        <f t="shared" si="26"/>
        <v/>
      </c>
      <c r="T407" s="18" t="str">
        <f t="shared" si="27"/>
        <v>SW NOT INSTALLED</v>
      </c>
    </row>
    <row r="408" spans="1:20">
      <c r="A408" s="34">
        <f>'12 - Deployments &amp; Config'!H413</f>
        <v>0</v>
      </c>
      <c r="B408" s="34">
        <f>'12 - Deployments &amp; Config'!S413</f>
        <v>0</v>
      </c>
      <c r="C408" s="34">
        <f>'12 - Deployments &amp; Config'!T413</f>
        <v>0</v>
      </c>
      <c r="D408" s="18">
        <f>'12 - Deployments &amp; Config'!AK413</f>
        <v>0</v>
      </c>
      <c r="E408" s="18">
        <f>'12 - Deployments &amp; Config'!J413</f>
        <v>0</v>
      </c>
      <c r="F408" s="34">
        <f>'12 - Deployments &amp; Config'!K413</f>
        <v>0</v>
      </c>
      <c r="G408" s="18">
        <f>'12 - Deployments &amp; Config'!L413</f>
        <v>0</v>
      </c>
      <c r="H408" s="18">
        <f>'13 - Config_Intake_View'!M408</f>
        <v>0</v>
      </c>
      <c r="I408" s="34">
        <f>IF('13 - Config_Intake_View'!Q408&lt;&gt;"",'13 - Config_Intake_View'!Q408,'12 - Deployments &amp; Config'!BI413)</f>
        <v>0</v>
      </c>
      <c r="J408" s="18" t="str">
        <f>IF('13 - Config_Intake_View'!Q408&lt;&gt;"","PM Approved",IF('12 - Deployments &amp; Config'!BI413&lt;&gt;"","Assumed",""))</f>
        <v/>
      </c>
      <c r="K408" s="34">
        <f>'12 - Deployments &amp; Config'!BH413</f>
        <v>0</v>
      </c>
      <c r="L408" s="18">
        <f>'12 - Deployments &amp; Config'!P413</f>
        <v>0</v>
      </c>
      <c r="M408" s="18">
        <f>'12 - Deployments &amp; Config'!Q413</f>
        <v>0</v>
      </c>
      <c r="N408" s="18" t="str">
        <f>'12 - Deployments &amp; Config'!BL413</f>
        <v/>
      </c>
      <c r="O408" s="34" t="str">
        <f>'12 - Deployments &amp; Config'!BM413</f>
        <v/>
      </c>
      <c r="P408" s="2">
        <f>'12 - Deployments &amp; Config'!BB413</f>
        <v>0</v>
      </c>
      <c r="Q408" s="34" t="str">
        <f t="shared" si="24"/>
        <v/>
      </c>
      <c r="R408" s="18" t="str">
        <f t="shared" si="25"/>
        <v>SW NOT INSTALLED</v>
      </c>
      <c r="S408" s="18" t="str">
        <f t="shared" si="26"/>
        <v/>
      </c>
      <c r="T408" s="18" t="str">
        <f t="shared" si="27"/>
        <v>SW NOT INSTALLED</v>
      </c>
    </row>
    <row r="409" spans="1:20">
      <c r="A409" s="34">
        <f>'12 - Deployments &amp; Config'!H414</f>
        <v>0</v>
      </c>
      <c r="B409" s="34">
        <f>'12 - Deployments &amp; Config'!S414</f>
        <v>0</v>
      </c>
      <c r="C409" s="34">
        <f>'12 - Deployments &amp; Config'!T414</f>
        <v>0</v>
      </c>
      <c r="D409" s="18">
        <f>'12 - Deployments &amp; Config'!AK414</f>
        <v>0</v>
      </c>
      <c r="E409" s="18">
        <f>'12 - Deployments &amp; Config'!J414</f>
        <v>0</v>
      </c>
      <c r="F409" s="34">
        <f>'12 - Deployments &amp; Config'!K414</f>
        <v>0</v>
      </c>
      <c r="G409" s="18">
        <f>'12 - Deployments &amp; Config'!L414</f>
        <v>0</v>
      </c>
      <c r="H409" s="18">
        <f>'13 - Config_Intake_View'!M409</f>
        <v>0</v>
      </c>
      <c r="I409" s="34">
        <f>IF('13 - Config_Intake_View'!Q409&lt;&gt;"",'13 - Config_Intake_View'!Q409,'12 - Deployments &amp; Config'!BI414)</f>
        <v>0</v>
      </c>
      <c r="J409" s="18" t="str">
        <f>IF('13 - Config_Intake_View'!Q409&lt;&gt;"","PM Approved",IF('12 - Deployments &amp; Config'!BI414&lt;&gt;"","Assumed",""))</f>
        <v/>
      </c>
      <c r="K409" s="34">
        <f>'12 - Deployments &amp; Config'!BH414</f>
        <v>0</v>
      </c>
      <c r="L409" s="18">
        <f>'12 - Deployments &amp; Config'!P414</f>
        <v>0</v>
      </c>
      <c r="M409" s="18">
        <f>'12 - Deployments &amp; Config'!Q414</f>
        <v>0</v>
      </c>
      <c r="N409" s="18" t="str">
        <f>'12 - Deployments &amp; Config'!BL414</f>
        <v/>
      </c>
      <c r="O409" s="34" t="str">
        <f>'12 - Deployments &amp; Config'!BM414</f>
        <v/>
      </c>
      <c r="P409" s="2">
        <f>'12 - Deployments &amp; Config'!BB414</f>
        <v>0</v>
      </c>
      <c r="Q409" s="34" t="str">
        <f t="shared" si="24"/>
        <v/>
      </c>
      <c r="R409" s="18" t="str">
        <f t="shared" si="25"/>
        <v>SW NOT INSTALLED</v>
      </c>
      <c r="S409" s="18" t="str">
        <f t="shared" si="26"/>
        <v/>
      </c>
      <c r="T409" s="18" t="str">
        <f t="shared" si="27"/>
        <v>SW NOT INSTALLED</v>
      </c>
    </row>
    <row r="410" spans="1:20">
      <c r="A410" s="34">
        <f>'12 - Deployments &amp; Config'!H415</f>
        <v>0</v>
      </c>
      <c r="B410" s="34">
        <f>'12 - Deployments &amp; Config'!S415</f>
        <v>0</v>
      </c>
      <c r="C410" s="34">
        <f>'12 - Deployments &amp; Config'!T415</f>
        <v>0</v>
      </c>
      <c r="D410" s="18">
        <f>'12 - Deployments &amp; Config'!AK415</f>
        <v>0</v>
      </c>
      <c r="E410" s="18">
        <f>'12 - Deployments &amp; Config'!J415</f>
        <v>0</v>
      </c>
      <c r="F410" s="34">
        <f>'12 - Deployments &amp; Config'!K415</f>
        <v>0</v>
      </c>
      <c r="G410" s="18">
        <f>'12 - Deployments &amp; Config'!L415</f>
        <v>0</v>
      </c>
      <c r="H410" s="18">
        <f>'13 - Config_Intake_View'!M410</f>
        <v>0</v>
      </c>
      <c r="I410" s="34">
        <f>IF('13 - Config_Intake_View'!Q410&lt;&gt;"",'13 - Config_Intake_View'!Q410,'12 - Deployments &amp; Config'!BI415)</f>
        <v>0</v>
      </c>
      <c r="J410" s="18" t="str">
        <f>IF('13 - Config_Intake_View'!Q410&lt;&gt;"","PM Approved",IF('12 - Deployments &amp; Config'!BI415&lt;&gt;"","Assumed",""))</f>
        <v/>
      </c>
      <c r="K410" s="34">
        <f>'12 - Deployments &amp; Config'!BH415</f>
        <v>0</v>
      </c>
      <c r="L410" s="18">
        <f>'12 - Deployments &amp; Config'!P415</f>
        <v>0</v>
      </c>
      <c r="M410" s="18">
        <f>'12 - Deployments &amp; Config'!Q415</f>
        <v>0</v>
      </c>
      <c r="N410" s="18" t="str">
        <f>'12 - Deployments &amp; Config'!BL415</f>
        <v/>
      </c>
      <c r="O410" s="34" t="str">
        <f>'12 - Deployments &amp; Config'!BM415</f>
        <v/>
      </c>
      <c r="P410" s="2">
        <f>'12 - Deployments &amp; Config'!BB415</f>
        <v>0</v>
      </c>
      <c r="Q410" s="34" t="str">
        <f t="shared" si="24"/>
        <v/>
      </c>
      <c r="R410" s="18" t="str">
        <f t="shared" si="25"/>
        <v>SW NOT INSTALLED</v>
      </c>
      <c r="S410" s="18" t="str">
        <f t="shared" si="26"/>
        <v/>
      </c>
      <c r="T410" s="18" t="str">
        <f t="shared" si="27"/>
        <v>SW NOT INSTALLED</v>
      </c>
    </row>
    <row r="411" spans="1:20">
      <c r="A411" s="34">
        <f>'12 - Deployments &amp; Config'!H416</f>
        <v>0</v>
      </c>
      <c r="B411" s="34">
        <f>'12 - Deployments &amp; Config'!S416</f>
        <v>0</v>
      </c>
      <c r="C411" s="34">
        <f>'12 - Deployments &amp; Config'!T416</f>
        <v>0</v>
      </c>
      <c r="D411" s="18">
        <f>'12 - Deployments &amp; Config'!AK416</f>
        <v>0</v>
      </c>
      <c r="E411" s="18">
        <f>'12 - Deployments &amp; Config'!J416</f>
        <v>0</v>
      </c>
      <c r="F411" s="34">
        <f>'12 - Deployments &amp; Config'!K416</f>
        <v>0</v>
      </c>
      <c r="G411" s="18">
        <f>'12 - Deployments &amp; Config'!L416</f>
        <v>0</v>
      </c>
      <c r="H411" s="18">
        <f>'13 - Config_Intake_View'!M411</f>
        <v>0</v>
      </c>
      <c r="I411" s="34">
        <f>IF('13 - Config_Intake_View'!Q411&lt;&gt;"",'13 - Config_Intake_View'!Q411,'12 - Deployments &amp; Config'!BI416)</f>
        <v>0</v>
      </c>
      <c r="J411" s="18" t="str">
        <f>IF('13 - Config_Intake_View'!Q411&lt;&gt;"","PM Approved",IF('12 - Deployments &amp; Config'!BI416&lt;&gt;"","Assumed",""))</f>
        <v/>
      </c>
      <c r="K411" s="34">
        <f>'12 - Deployments &amp; Config'!BH416</f>
        <v>0</v>
      </c>
      <c r="L411" s="18">
        <f>'12 - Deployments &amp; Config'!P416</f>
        <v>0</v>
      </c>
      <c r="M411" s="18">
        <f>'12 - Deployments &amp; Config'!Q416</f>
        <v>0</v>
      </c>
      <c r="N411" s="18" t="str">
        <f>'12 - Deployments &amp; Config'!BL416</f>
        <v/>
      </c>
      <c r="O411" s="34" t="str">
        <f>'12 - Deployments &amp; Config'!BM416</f>
        <v/>
      </c>
      <c r="P411" s="2">
        <f>'12 - Deployments &amp; Config'!BB416</f>
        <v>0</v>
      </c>
      <c r="Q411" s="34" t="str">
        <f t="shared" si="24"/>
        <v/>
      </c>
      <c r="R411" s="18" t="str">
        <f t="shared" si="25"/>
        <v>SW NOT INSTALLED</v>
      </c>
      <c r="S411" s="18" t="str">
        <f t="shared" si="26"/>
        <v/>
      </c>
      <c r="T411" s="18" t="str">
        <f t="shared" si="27"/>
        <v>SW NOT INSTALLED</v>
      </c>
    </row>
    <row r="412" spans="1:20">
      <c r="A412" s="34">
        <f>'12 - Deployments &amp; Config'!H417</f>
        <v>0</v>
      </c>
      <c r="B412" s="34">
        <f>'12 - Deployments &amp; Config'!S417</f>
        <v>0</v>
      </c>
      <c r="C412" s="34">
        <f>'12 - Deployments &amp; Config'!T417</f>
        <v>0</v>
      </c>
      <c r="D412" s="18">
        <f>'12 - Deployments &amp; Config'!AK417</f>
        <v>0</v>
      </c>
      <c r="E412" s="18">
        <f>'12 - Deployments &amp; Config'!J417</f>
        <v>0</v>
      </c>
      <c r="F412" s="34">
        <f>'12 - Deployments &amp; Config'!K417</f>
        <v>0</v>
      </c>
      <c r="G412" s="18">
        <f>'12 - Deployments &amp; Config'!L417</f>
        <v>0</v>
      </c>
      <c r="H412" s="18">
        <f>'13 - Config_Intake_View'!M412</f>
        <v>0</v>
      </c>
      <c r="I412" s="34">
        <f>IF('13 - Config_Intake_View'!Q412&lt;&gt;"",'13 - Config_Intake_View'!Q412,'12 - Deployments &amp; Config'!BI417)</f>
        <v>0</v>
      </c>
      <c r="J412" s="18" t="str">
        <f>IF('13 - Config_Intake_View'!Q412&lt;&gt;"","PM Approved",IF('12 - Deployments &amp; Config'!BI417&lt;&gt;"","Assumed",""))</f>
        <v/>
      </c>
      <c r="K412" s="34">
        <f>'12 - Deployments &amp; Config'!BH417</f>
        <v>0</v>
      </c>
      <c r="L412" s="18">
        <f>'12 - Deployments &amp; Config'!P417</f>
        <v>0</v>
      </c>
      <c r="M412" s="18">
        <f>'12 - Deployments &amp; Config'!Q417</f>
        <v>0</v>
      </c>
      <c r="N412" s="18" t="str">
        <f>'12 - Deployments &amp; Config'!BL417</f>
        <v/>
      </c>
      <c r="O412" s="34" t="str">
        <f>'12 - Deployments &amp; Config'!BM417</f>
        <v/>
      </c>
      <c r="P412" s="2">
        <f>'12 - Deployments &amp; Config'!BB417</f>
        <v>0</v>
      </c>
      <c r="Q412" s="34" t="str">
        <f t="shared" si="24"/>
        <v/>
      </c>
      <c r="R412" s="18" t="str">
        <f t="shared" si="25"/>
        <v>SW NOT INSTALLED</v>
      </c>
      <c r="S412" s="18" t="str">
        <f t="shared" si="26"/>
        <v/>
      </c>
      <c r="T412" s="18" t="str">
        <f t="shared" si="27"/>
        <v>SW NOT INSTALLED</v>
      </c>
    </row>
    <row r="413" spans="1:20">
      <c r="A413" s="34">
        <f>'12 - Deployments &amp; Config'!H418</f>
        <v>0</v>
      </c>
      <c r="B413" s="34">
        <f>'12 - Deployments &amp; Config'!S418</f>
        <v>0</v>
      </c>
      <c r="C413" s="34">
        <f>'12 - Deployments &amp; Config'!T418</f>
        <v>0</v>
      </c>
      <c r="D413" s="18">
        <f>'12 - Deployments &amp; Config'!AK418</f>
        <v>0</v>
      </c>
      <c r="E413" s="18">
        <f>'12 - Deployments &amp; Config'!J418</f>
        <v>0</v>
      </c>
      <c r="F413" s="34">
        <f>'12 - Deployments &amp; Config'!K418</f>
        <v>0</v>
      </c>
      <c r="G413" s="18">
        <f>'12 - Deployments &amp; Config'!L418</f>
        <v>0</v>
      </c>
      <c r="H413" s="18">
        <f>'13 - Config_Intake_View'!M413</f>
        <v>0</v>
      </c>
      <c r="I413" s="34">
        <f>IF('13 - Config_Intake_View'!Q413&lt;&gt;"",'13 - Config_Intake_View'!Q413,'12 - Deployments &amp; Config'!BI418)</f>
        <v>0</v>
      </c>
      <c r="J413" s="18" t="str">
        <f>IF('13 - Config_Intake_View'!Q413&lt;&gt;"","PM Approved",IF('12 - Deployments &amp; Config'!BI418&lt;&gt;"","Assumed",""))</f>
        <v/>
      </c>
      <c r="K413" s="34">
        <f>'12 - Deployments &amp; Config'!BH418</f>
        <v>0</v>
      </c>
      <c r="L413" s="18">
        <f>'12 - Deployments &amp; Config'!P418</f>
        <v>0</v>
      </c>
      <c r="M413" s="18">
        <f>'12 - Deployments &amp; Config'!Q418</f>
        <v>0</v>
      </c>
      <c r="N413" s="18" t="str">
        <f>'12 - Deployments &amp; Config'!BL418</f>
        <v/>
      </c>
      <c r="O413" s="34" t="str">
        <f>'12 - Deployments &amp; Config'!BM418</f>
        <v/>
      </c>
      <c r="P413" s="2">
        <f>'12 - Deployments &amp; Config'!BB418</f>
        <v>0</v>
      </c>
      <c r="Q413" s="34" t="str">
        <f t="shared" si="24"/>
        <v/>
      </c>
      <c r="R413" s="18" t="str">
        <f t="shared" si="25"/>
        <v>SW NOT INSTALLED</v>
      </c>
      <c r="S413" s="18" t="str">
        <f t="shared" si="26"/>
        <v/>
      </c>
      <c r="T413" s="18" t="str">
        <f t="shared" si="27"/>
        <v>SW NOT INSTALLED</v>
      </c>
    </row>
    <row r="414" spans="1:20">
      <c r="A414" s="34">
        <f>'12 - Deployments &amp; Config'!H419</f>
        <v>0</v>
      </c>
      <c r="B414" s="34">
        <f>'12 - Deployments &amp; Config'!S419</f>
        <v>0</v>
      </c>
      <c r="C414" s="34">
        <f>'12 - Deployments &amp; Config'!T419</f>
        <v>0</v>
      </c>
      <c r="D414" s="18">
        <f>'12 - Deployments &amp; Config'!AK419</f>
        <v>0</v>
      </c>
      <c r="E414" s="18">
        <f>'12 - Deployments &amp; Config'!J419</f>
        <v>0</v>
      </c>
      <c r="F414" s="34">
        <f>'12 - Deployments &amp; Config'!K419</f>
        <v>0</v>
      </c>
      <c r="G414" s="18">
        <f>'12 - Deployments &amp; Config'!L419</f>
        <v>0</v>
      </c>
      <c r="H414" s="18">
        <f>'13 - Config_Intake_View'!M414</f>
        <v>0</v>
      </c>
      <c r="I414" s="34">
        <f>IF('13 - Config_Intake_View'!Q414&lt;&gt;"",'13 - Config_Intake_View'!Q414,'12 - Deployments &amp; Config'!BI419)</f>
        <v>0</v>
      </c>
      <c r="J414" s="18" t="str">
        <f>IF('13 - Config_Intake_View'!Q414&lt;&gt;"","PM Approved",IF('12 - Deployments &amp; Config'!BI419&lt;&gt;"","Assumed",""))</f>
        <v/>
      </c>
      <c r="K414" s="34">
        <f>'12 - Deployments &amp; Config'!BH419</f>
        <v>0</v>
      </c>
      <c r="L414" s="18">
        <f>'12 - Deployments &amp; Config'!P419</f>
        <v>0</v>
      </c>
      <c r="M414" s="18">
        <f>'12 - Deployments &amp; Config'!Q419</f>
        <v>0</v>
      </c>
      <c r="N414" s="18" t="str">
        <f>'12 - Deployments &amp; Config'!BL419</f>
        <v/>
      </c>
      <c r="O414" s="34" t="str">
        <f>'12 - Deployments &amp; Config'!BM419</f>
        <v/>
      </c>
      <c r="P414" s="2">
        <f>'12 - Deployments &amp; Config'!BB419</f>
        <v>0</v>
      </c>
      <c r="Q414" s="34" t="str">
        <f t="shared" si="24"/>
        <v/>
      </c>
      <c r="R414" s="18" t="str">
        <f t="shared" si="25"/>
        <v>SW NOT INSTALLED</v>
      </c>
      <c r="S414" s="18" t="str">
        <f t="shared" si="26"/>
        <v/>
      </c>
      <c r="T414" s="18" t="str">
        <f t="shared" si="27"/>
        <v>SW NOT INSTALLED</v>
      </c>
    </row>
    <row r="415" spans="1:20">
      <c r="A415" s="34">
        <f>'12 - Deployments &amp; Config'!H420</f>
        <v>0</v>
      </c>
      <c r="B415" s="34">
        <f>'12 - Deployments &amp; Config'!S420</f>
        <v>0</v>
      </c>
      <c r="C415" s="34">
        <f>'12 - Deployments &amp; Config'!T420</f>
        <v>0</v>
      </c>
      <c r="D415" s="18">
        <f>'12 - Deployments &amp; Config'!AK420</f>
        <v>0</v>
      </c>
      <c r="E415" s="18">
        <f>'12 - Deployments &amp; Config'!J420</f>
        <v>0</v>
      </c>
      <c r="F415" s="34">
        <f>'12 - Deployments &amp; Config'!K420</f>
        <v>0</v>
      </c>
      <c r="G415" s="18">
        <f>'12 - Deployments &amp; Config'!L420</f>
        <v>0</v>
      </c>
      <c r="H415" s="18">
        <f>'13 - Config_Intake_View'!M415</f>
        <v>0</v>
      </c>
      <c r="I415" s="34">
        <f>IF('13 - Config_Intake_View'!Q415&lt;&gt;"",'13 - Config_Intake_View'!Q415,'12 - Deployments &amp; Config'!BI420)</f>
        <v>0</v>
      </c>
      <c r="J415" s="18" t="str">
        <f>IF('13 - Config_Intake_View'!Q415&lt;&gt;"","PM Approved",IF('12 - Deployments &amp; Config'!BI420&lt;&gt;"","Assumed",""))</f>
        <v/>
      </c>
      <c r="K415" s="34">
        <f>'12 - Deployments &amp; Config'!BH420</f>
        <v>0</v>
      </c>
      <c r="L415" s="18">
        <f>'12 - Deployments &amp; Config'!P420</f>
        <v>0</v>
      </c>
      <c r="M415" s="18">
        <f>'12 - Deployments &amp; Config'!Q420</f>
        <v>0</v>
      </c>
      <c r="N415" s="18" t="str">
        <f>'12 - Deployments &amp; Config'!BL420</f>
        <v/>
      </c>
      <c r="O415" s="34" t="str">
        <f>'12 - Deployments &amp; Config'!BM420</f>
        <v/>
      </c>
      <c r="P415" s="2">
        <f>'12 - Deployments &amp; Config'!BB420</f>
        <v>0</v>
      </c>
      <c r="Q415" s="34" t="str">
        <f t="shared" si="24"/>
        <v/>
      </c>
      <c r="R415" s="18" t="str">
        <f t="shared" si="25"/>
        <v>SW NOT INSTALLED</v>
      </c>
      <c r="S415" s="18" t="str">
        <f t="shared" si="26"/>
        <v/>
      </c>
      <c r="T415" s="18" t="str">
        <f t="shared" si="27"/>
        <v>SW NOT INSTALLED</v>
      </c>
    </row>
    <row r="416" spans="1:20">
      <c r="A416" s="34">
        <f>'12 - Deployments &amp; Config'!H421</f>
        <v>0</v>
      </c>
      <c r="B416" s="34">
        <f>'12 - Deployments &amp; Config'!S421</f>
        <v>0</v>
      </c>
      <c r="C416" s="34">
        <f>'12 - Deployments &amp; Config'!T421</f>
        <v>0</v>
      </c>
      <c r="D416" s="18">
        <f>'12 - Deployments &amp; Config'!AK421</f>
        <v>0</v>
      </c>
      <c r="E416" s="18">
        <f>'12 - Deployments &amp; Config'!J421</f>
        <v>0</v>
      </c>
      <c r="F416" s="34">
        <f>'12 - Deployments &amp; Config'!K421</f>
        <v>0</v>
      </c>
      <c r="G416" s="18">
        <f>'12 - Deployments &amp; Config'!L421</f>
        <v>0</v>
      </c>
      <c r="H416" s="18">
        <f>'13 - Config_Intake_View'!M416</f>
        <v>0</v>
      </c>
      <c r="I416" s="34">
        <f>IF('13 - Config_Intake_View'!Q416&lt;&gt;"",'13 - Config_Intake_View'!Q416,'12 - Deployments &amp; Config'!BI421)</f>
        <v>0</v>
      </c>
      <c r="J416" s="18" t="str">
        <f>IF('13 - Config_Intake_View'!Q416&lt;&gt;"","PM Approved",IF('12 - Deployments &amp; Config'!BI421&lt;&gt;"","Assumed",""))</f>
        <v/>
      </c>
      <c r="K416" s="34">
        <f>'12 - Deployments &amp; Config'!BH421</f>
        <v>0</v>
      </c>
      <c r="L416" s="18">
        <f>'12 - Deployments &amp; Config'!P421</f>
        <v>0</v>
      </c>
      <c r="M416" s="18">
        <f>'12 - Deployments &amp; Config'!Q421</f>
        <v>0</v>
      </c>
      <c r="N416" s="18" t="str">
        <f>'12 - Deployments &amp; Config'!BL421</f>
        <v/>
      </c>
      <c r="O416" s="34" t="str">
        <f>'12 - Deployments &amp; Config'!BM421</f>
        <v/>
      </c>
      <c r="P416" s="2">
        <f>'12 - Deployments &amp; Config'!BB421</f>
        <v>0</v>
      </c>
      <c r="Q416" s="34" t="str">
        <f t="shared" si="24"/>
        <v/>
      </c>
      <c r="R416" s="18" t="str">
        <f t="shared" si="25"/>
        <v>SW NOT INSTALLED</v>
      </c>
      <c r="S416" s="18" t="str">
        <f t="shared" si="26"/>
        <v/>
      </c>
      <c r="T416" s="18" t="str">
        <f t="shared" si="27"/>
        <v>SW NOT INSTALLED</v>
      </c>
    </row>
    <row r="417" spans="1:20">
      <c r="A417" s="34">
        <f>'12 - Deployments &amp; Config'!H422</f>
        <v>0</v>
      </c>
      <c r="B417" s="34">
        <f>'12 - Deployments &amp; Config'!S422</f>
        <v>0</v>
      </c>
      <c r="C417" s="34">
        <f>'12 - Deployments &amp; Config'!T422</f>
        <v>0</v>
      </c>
      <c r="D417" s="18">
        <f>'12 - Deployments &amp; Config'!AK422</f>
        <v>0</v>
      </c>
      <c r="E417" s="18">
        <f>'12 - Deployments &amp; Config'!J422</f>
        <v>0</v>
      </c>
      <c r="F417" s="34">
        <f>'12 - Deployments &amp; Config'!K422</f>
        <v>0</v>
      </c>
      <c r="G417" s="18">
        <f>'12 - Deployments &amp; Config'!L422</f>
        <v>0</v>
      </c>
      <c r="H417" s="18">
        <f>'13 - Config_Intake_View'!M417</f>
        <v>0</v>
      </c>
      <c r="I417" s="34">
        <f>IF('13 - Config_Intake_View'!Q417&lt;&gt;"",'13 - Config_Intake_View'!Q417,'12 - Deployments &amp; Config'!BI422)</f>
        <v>0</v>
      </c>
      <c r="J417" s="18" t="str">
        <f>IF('13 - Config_Intake_View'!Q417&lt;&gt;"","PM Approved",IF('12 - Deployments &amp; Config'!BI422&lt;&gt;"","Assumed",""))</f>
        <v/>
      </c>
      <c r="K417" s="34">
        <f>'12 - Deployments &amp; Config'!BH422</f>
        <v>0</v>
      </c>
      <c r="L417" s="18">
        <f>'12 - Deployments &amp; Config'!P422</f>
        <v>0</v>
      </c>
      <c r="M417" s="18">
        <f>'12 - Deployments &amp; Config'!Q422</f>
        <v>0</v>
      </c>
      <c r="N417" s="18" t="str">
        <f>'12 - Deployments &amp; Config'!BL422</f>
        <v/>
      </c>
      <c r="O417" s="34" t="str">
        <f>'12 - Deployments &amp; Config'!BM422</f>
        <v/>
      </c>
      <c r="P417" s="2">
        <f>'12 - Deployments &amp; Config'!BB422</f>
        <v>0</v>
      </c>
      <c r="Q417" s="34" t="str">
        <f t="shared" si="24"/>
        <v/>
      </c>
      <c r="R417" s="18" t="str">
        <f t="shared" si="25"/>
        <v>SW NOT INSTALLED</v>
      </c>
      <c r="S417" s="18" t="str">
        <f t="shared" si="26"/>
        <v/>
      </c>
      <c r="T417" s="18" t="str">
        <f t="shared" si="27"/>
        <v>SW NOT INSTALLED</v>
      </c>
    </row>
    <row r="418" spans="1:20">
      <c r="A418" s="34">
        <f>'12 - Deployments &amp; Config'!H423</f>
        <v>0</v>
      </c>
      <c r="B418" s="34">
        <f>'12 - Deployments &amp; Config'!S423</f>
        <v>0</v>
      </c>
      <c r="C418" s="34">
        <f>'12 - Deployments &amp; Config'!T423</f>
        <v>0</v>
      </c>
      <c r="D418" s="18">
        <f>'12 - Deployments &amp; Config'!AK423</f>
        <v>0</v>
      </c>
      <c r="E418" s="18">
        <f>'12 - Deployments &amp; Config'!J423</f>
        <v>0</v>
      </c>
      <c r="F418" s="34">
        <f>'12 - Deployments &amp; Config'!K423</f>
        <v>0</v>
      </c>
      <c r="G418" s="18">
        <f>'12 - Deployments &amp; Config'!L423</f>
        <v>0</v>
      </c>
      <c r="H418" s="18">
        <f>'13 - Config_Intake_View'!M418</f>
        <v>0</v>
      </c>
      <c r="I418" s="34">
        <f>IF('13 - Config_Intake_View'!Q418&lt;&gt;"",'13 - Config_Intake_View'!Q418,'12 - Deployments &amp; Config'!BI423)</f>
        <v>0</v>
      </c>
      <c r="J418" s="18" t="str">
        <f>IF('13 - Config_Intake_View'!Q418&lt;&gt;"","PM Approved",IF('12 - Deployments &amp; Config'!BI423&lt;&gt;"","Assumed",""))</f>
        <v/>
      </c>
      <c r="K418" s="34">
        <f>'12 - Deployments &amp; Config'!BH423</f>
        <v>0</v>
      </c>
      <c r="L418" s="18">
        <f>'12 - Deployments &amp; Config'!P423</f>
        <v>0</v>
      </c>
      <c r="M418" s="18">
        <f>'12 - Deployments &amp; Config'!Q423</f>
        <v>0</v>
      </c>
      <c r="N418" s="18" t="str">
        <f>'12 - Deployments &amp; Config'!BL423</f>
        <v/>
      </c>
      <c r="O418" s="34" t="str">
        <f>'12 - Deployments &amp; Config'!BM423</f>
        <v/>
      </c>
      <c r="P418" s="2">
        <f>'12 - Deployments &amp; Config'!BB423</f>
        <v>0</v>
      </c>
      <c r="Q418" s="34" t="str">
        <f t="shared" si="24"/>
        <v/>
      </c>
      <c r="R418" s="18" t="str">
        <f t="shared" si="25"/>
        <v>SW NOT INSTALLED</v>
      </c>
      <c r="S418" s="18" t="str">
        <f t="shared" si="26"/>
        <v/>
      </c>
      <c r="T418" s="18" t="str">
        <f t="shared" si="27"/>
        <v>SW NOT INSTALLED</v>
      </c>
    </row>
    <row r="419" spans="1:20">
      <c r="A419" s="34">
        <f>'12 - Deployments &amp; Config'!H424</f>
        <v>0</v>
      </c>
      <c r="B419" s="34">
        <f>'12 - Deployments &amp; Config'!S424</f>
        <v>0</v>
      </c>
      <c r="C419" s="34">
        <f>'12 - Deployments &amp; Config'!T424</f>
        <v>0</v>
      </c>
      <c r="D419" s="18">
        <f>'12 - Deployments &amp; Config'!AK424</f>
        <v>0</v>
      </c>
      <c r="E419" s="18">
        <f>'12 - Deployments &amp; Config'!J424</f>
        <v>0</v>
      </c>
      <c r="F419" s="34">
        <f>'12 - Deployments &amp; Config'!K424</f>
        <v>0</v>
      </c>
      <c r="G419" s="18">
        <f>'12 - Deployments &amp; Config'!L424</f>
        <v>0</v>
      </c>
      <c r="H419" s="18">
        <f>'13 - Config_Intake_View'!M419</f>
        <v>0</v>
      </c>
      <c r="I419" s="34">
        <f>IF('13 - Config_Intake_View'!Q419&lt;&gt;"",'13 - Config_Intake_View'!Q419,'12 - Deployments &amp; Config'!BI424)</f>
        <v>0</v>
      </c>
      <c r="J419" s="18" t="str">
        <f>IF('13 - Config_Intake_View'!Q419&lt;&gt;"","PM Approved",IF('12 - Deployments &amp; Config'!BI424&lt;&gt;"","Assumed",""))</f>
        <v/>
      </c>
      <c r="K419" s="34">
        <f>'12 - Deployments &amp; Config'!BH424</f>
        <v>0</v>
      </c>
      <c r="L419" s="18">
        <f>'12 - Deployments &amp; Config'!P424</f>
        <v>0</v>
      </c>
      <c r="M419" s="18">
        <f>'12 - Deployments &amp; Config'!Q424</f>
        <v>0</v>
      </c>
      <c r="N419" s="18" t="str">
        <f>'12 - Deployments &amp; Config'!BL424</f>
        <v/>
      </c>
      <c r="O419" s="34" t="str">
        <f>'12 - Deployments &amp; Config'!BM424</f>
        <v/>
      </c>
      <c r="P419" s="2">
        <f>'12 - Deployments &amp; Config'!BB424</f>
        <v>0</v>
      </c>
      <c r="Q419" s="34" t="str">
        <f t="shared" si="24"/>
        <v/>
      </c>
      <c r="R419" s="18" t="str">
        <f t="shared" si="25"/>
        <v>SW NOT INSTALLED</v>
      </c>
      <c r="S419" s="18" t="str">
        <f t="shared" si="26"/>
        <v/>
      </c>
      <c r="T419" s="18" t="str">
        <f t="shared" si="27"/>
        <v>SW NOT INSTALLED</v>
      </c>
    </row>
    <row r="420" spans="1:20">
      <c r="A420" s="34">
        <f>'12 - Deployments &amp; Config'!H425</f>
        <v>0</v>
      </c>
      <c r="B420" s="34">
        <f>'12 - Deployments &amp; Config'!S425</f>
        <v>0</v>
      </c>
      <c r="C420" s="34">
        <f>'12 - Deployments &amp; Config'!T425</f>
        <v>0</v>
      </c>
      <c r="D420" s="18">
        <f>'12 - Deployments &amp; Config'!AK425</f>
        <v>0</v>
      </c>
      <c r="E420" s="18">
        <f>'12 - Deployments &amp; Config'!J425</f>
        <v>0</v>
      </c>
      <c r="F420" s="34">
        <f>'12 - Deployments &amp; Config'!K425</f>
        <v>0</v>
      </c>
      <c r="G420" s="18">
        <f>'12 - Deployments &amp; Config'!L425</f>
        <v>0</v>
      </c>
      <c r="H420" s="18">
        <f>'13 - Config_Intake_View'!M420</f>
        <v>0</v>
      </c>
      <c r="I420" s="34">
        <f>IF('13 - Config_Intake_View'!Q420&lt;&gt;"",'13 - Config_Intake_View'!Q420,'12 - Deployments &amp; Config'!BI425)</f>
        <v>0</v>
      </c>
      <c r="J420" s="18" t="str">
        <f>IF('13 - Config_Intake_View'!Q420&lt;&gt;"","PM Approved",IF('12 - Deployments &amp; Config'!BI425&lt;&gt;"","Assumed",""))</f>
        <v/>
      </c>
      <c r="K420" s="34">
        <f>'12 - Deployments &amp; Config'!BH425</f>
        <v>0</v>
      </c>
      <c r="L420" s="18">
        <f>'12 - Deployments &amp; Config'!P425</f>
        <v>0</v>
      </c>
      <c r="M420" s="18">
        <f>'12 - Deployments &amp; Config'!Q425</f>
        <v>0</v>
      </c>
      <c r="N420" s="18" t="str">
        <f>'12 - Deployments &amp; Config'!BL425</f>
        <v/>
      </c>
      <c r="O420" s="34" t="str">
        <f>'12 - Deployments &amp; Config'!BM425</f>
        <v/>
      </c>
      <c r="P420" s="2">
        <f>'12 - Deployments &amp; Config'!BB425</f>
        <v>0</v>
      </c>
      <c r="Q420" s="34" t="str">
        <f t="shared" si="24"/>
        <v/>
      </c>
      <c r="R420" s="18" t="str">
        <f t="shared" si="25"/>
        <v>SW NOT INSTALLED</v>
      </c>
      <c r="S420" s="18" t="str">
        <f t="shared" si="26"/>
        <v/>
      </c>
      <c r="T420" s="18" t="str">
        <f t="shared" si="27"/>
        <v>SW NOT INSTALLED</v>
      </c>
    </row>
    <row r="421" spans="1:20">
      <c r="A421" s="34">
        <f>'12 - Deployments &amp; Config'!H426</f>
        <v>0</v>
      </c>
      <c r="B421" s="34">
        <f>'12 - Deployments &amp; Config'!S426</f>
        <v>0</v>
      </c>
      <c r="C421" s="34">
        <f>'12 - Deployments &amp; Config'!T426</f>
        <v>0</v>
      </c>
      <c r="D421" s="18">
        <f>'12 - Deployments &amp; Config'!AK426</f>
        <v>0</v>
      </c>
      <c r="E421" s="18">
        <f>'12 - Deployments &amp; Config'!J426</f>
        <v>0</v>
      </c>
      <c r="F421" s="34">
        <f>'12 - Deployments &amp; Config'!K426</f>
        <v>0</v>
      </c>
      <c r="G421" s="18">
        <f>'12 - Deployments &amp; Config'!L426</f>
        <v>0</v>
      </c>
      <c r="H421" s="18">
        <f>'13 - Config_Intake_View'!M421</f>
        <v>0</v>
      </c>
      <c r="I421" s="34">
        <f>IF('13 - Config_Intake_View'!Q421&lt;&gt;"",'13 - Config_Intake_View'!Q421,'12 - Deployments &amp; Config'!BI426)</f>
        <v>0</v>
      </c>
      <c r="J421" s="18" t="str">
        <f>IF('13 - Config_Intake_View'!Q421&lt;&gt;"","PM Approved",IF('12 - Deployments &amp; Config'!BI426&lt;&gt;"","Assumed",""))</f>
        <v/>
      </c>
      <c r="K421" s="34">
        <f>'12 - Deployments &amp; Config'!BH426</f>
        <v>0</v>
      </c>
      <c r="L421" s="18">
        <f>'12 - Deployments &amp; Config'!P426</f>
        <v>0</v>
      </c>
      <c r="M421" s="18">
        <f>'12 - Deployments &amp; Config'!Q426</f>
        <v>0</v>
      </c>
      <c r="N421" s="18" t="str">
        <f>'12 - Deployments &amp; Config'!BL426</f>
        <v/>
      </c>
      <c r="O421" s="34" t="str">
        <f>'12 - Deployments &amp; Config'!BM426</f>
        <v/>
      </c>
      <c r="P421" s="2">
        <f>'12 - Deployments &amp; Config'!BB426</f>
        <v>0</v>
      </c>
      <c r="Q421" s="34" t="str">
        <f t="shared" si="24"/>
        <v/>
      </c>
      <c r="R421" s="18" t="str">
        <f t="shared" si="25"/>
        <v>SW NOT INSTALLED</v>
      </c>
      <c r="S421" s="18" t="str">
        <f t="shared" si="26"/>
        <v/>
      </c>
      <c r="T421" s="18" t="str">
        <f t="shared" si="27"/>
        <v>SW NOT INSTALLED</v>
      </c>
    </row>
    <row r="422" spans="1:20">
      <c r="A422" s="34">
        <f>'12 - Deployments &amp; Config'!H427</f>
        <v>0</v>
      </c>
      <c r="B422" s="34">
        <f>'12 - Deployments &amp; Config'!S427</f>
        <v>0</v>
      </c>
      <c r="C422" s="34">
        <f>'12 - Deployments &amp; Config'!T427</f>
        <v>0</v>
      </c>
      <c r="D422" s="18">
        <f>'12 - Deployments &amp; Config'!AK427</f>
        <v>0</v>
      </c>
      <c r="E422" s="18">
        <f>'12 - Deployments &amp; Config'!J427</f>
        <v>0</v>
      </c>
      <c r="F422" s="34">
        <f>'12 - Deployments &amp; Config'!K427</f>
        <v>0</v>
      </c>
      <c r="G422" s="18">
        <f>'12 - Deployments &amp; Config'!L427</f>
        <v>0</v>
      </c>
      <c r="H422" s="18">
        <f>'13 - Config_Intake_View'!M422</f>
        <v>0</v>
      </c>
      <c r="I422" s="34">
        <f>IF('13 - Config_Intake_View'!Q422&lt;&gt;"",'13 - Config_Intake_View'!Q422,'12 - Deployments &amp; Config'!BI427)</f>
        <v>0</v>
      </c>
      <c r="J422" s="18" t="str">
        <f>IF('13 - Config_Intake_View'!Q422&lt;&gt;"","PM Approved",IF('12 - Deployments &amp; Config'!BI427&lt;&gt;"","Assumed",""))</f>
        <v/>
      </c>
      <c r="K422" s="34">
        <f>'12 - Deployments &amp; Config'!BH427</f>
        <v>0</v>
      </c>
      <c r="L422" s="18">
        <f>'12 - Deployments &amp; Config'!P427</f>
        <v>0</v>
      </c>
      <c r="M422" s="18">
        <f>'12 - Deployments &amp; Config'!Q427</f>
        <v>0</v>
      </c>
      <c r="N422" s="18" t="str">
        <f>'12 - Deployments &amp; Config'!BL427</f>
        <v/>
      </c>
      <c r="O422" s="34" t="str">
        <f>'12 - Deployments &amp; Config'!BM427</f>
        <v/>
      </c>
      <c r="P422" s="2">
        <f>'12 - Deployments &amp; Config'!BB427</f>
        <v>0</v>
      </c>
      <c r="Q422" s="34" t="str">
        <f t="shared" si="24"/>
        <v/>
      </c>
      <c r="R422" s="18" t="str">
        <f t="shared" si="25"/>
        <v>SW NOT INSTALLED</v>
      </c>
      <c r="S422" s="18" t="str">
        <f t="shared" si="26"/>
        <v/>
      </c>
      <c r="T422" s="18" t="str">
        <f t="shared" si="27"/>
        <v>SW NOT INSTALLED</v>
      </c>
    </row>
    <row r="423" spans="1:20">
      <c r="A423" s="34">
        <f>'12 - Deployments &amp; Config'!H428</f>
        <v>0</v>
      </c>
      <c r="B423" s="34">
        <f>'12 - Deployments &amp; Config'!S428</f>
        <v>0</v>
      </c>
      <c r="C423" s="34">
        <f>'12 - Deployments &amp; Config'!T428</f>
        <v>0</v>
      </c>
      <c r="D423" s="18">
        <f>'12 - Deployments &amp; Config'!AK428</f>
        <v>0</v>
      </c>
      <c r="E423" s="18">
        <f>'12 - Deployments &amp; Config'!J428</f>
        <v>0</v>
      </c>
      <c r="F423" s="34">
        <f>'12 - Deployments &amp; Config'!K428</f>
        <v>0</v>
      </c>
      <c r="G423" s="18">
        <f>'12 - Deployments &amp; Config'!L428</f>
        <v>0</v>
      </c>
      <c r="H423" s="18">
        <f>'13 - Config_Intake_View'!M423</f>
        <v>0</v>
      </c>
      <c r="I423" s="34">
        <f>IF('13 - Config_Intake_View'!Q423&lt;&gt;"",'13 - Config_Intake_View'!Q423,'12 - Deployments &amp; Config'!BI428)</f>
        <v>0</v>
      </c>
      <c r="J423" s="18" t="str">
        <f>IF('13 - Config_Intake_View'!Q423&lt;&gt;"","PM Approved",IF('12 - Deployments &amp; Config'!BI428&lt;&gt;"","Assumed",""))</f>
        <v/>
      </c>
      <c r="K423" s="34">
        <f>'12 - Deployments &amp; Config'!BH428</f>
        <v>0</v>
      </c>
      <c r="L423" s="18">
        <f>'12 - Deployments &amp; Config'!P428</f>
        <v>0</v>
      </c>
      <c r="M423" s="18">
        <f>'12 - Deployments &amp; Config'!Q428</f>
        <v>0</v>
      </c>
      <c r="N423" s="18" t="str">
        <f>'12 - Deployments &amp; Config'!BL428</f>
        <v/>
      </c>
      <c r="O423" s="34" t="str">
        <f>'12 - Deployments &amp; Config'!BM428</f>
        <v/>
      </c>
      <c r="P423" s="2">
        <f>'12 - Deployments &amp; Config'!BB428</f>
        <v>0</v>
      </c>
      <c r="Q423" s="34" t="str">
        <f t="shared" si="24"/>
        <v/>
      </c>
      <c r="R423" s="18" t="str">
        <f t="shared" si="25"/>
        <v>SW NOT INSTALLED</v>
      </c>
      <c r="S423" s="18" t="str">
        <f t="shared" si="26"/>
        <v/>
      </c>
      <c r="T423" s="18" t="str">
        <f t="shared" si="27"/>
        <v>SW NOT INSTALLED</v>
      </c>
    </row>
    <row r="424" spans="1:20">
      <c r="A424" s="34">
        <f>'12 - Deployments &amp; Config'!H429</f>
        <v>0</v>
      </c>
      <c r="B424" s="34">
        <f>'12 - Deployments &amp; Config'!S429</f>
        <v>0</v>
      </c>
      <c r="C424" s="34">
        <f>'12 - Deployments &amp; Config'!T429</f>
        <v>0</v>
      </c>
      <c r="D424" s="18">
        <f>'12 - Deployments &amp; Config'!AK429</f>
        <v>0</v>
      </c>
      <c r="E424" s="18">
        <f>'12 - Deployments &amp; Config'!J429</f>
        <v>0</v>
      </c>
      <c r="F424" s="34">
        <f>'12 - Deployments &amp; Config'!K429</f>
        <v>0</v>
      </c>
      <c r="G424" s="18">
        <f>'12 - Deployments &amp; Config'!L429</f>
        <v>0</v>
      </c>
      <c r="H424" s="18">
        <f>'13 - Config_Intake_View'!M424</f>
        <v>0</v>
      </c>
      <c r="I424" s="34">
        <f>IF('13 - Config_Intake_View'!Q424&lt;&gt;"",'13 - Config_Intake_View'!Q424,'12 - Deployments &amp; Config'!BI429)</f>
        <v>0</v>
      </c>
      <c r="J424" s="18" t="str">
        <f>IF('13 - Config_Intake_View'!Q424&lt;&gt;"","PM Approved",IF('12 - Deployments &amp; Config'!BI429&lt;&gt;"","Assumed",""))</f>
        <v/>
      </c>
      <c r="K424" s="34">
        <f>'12 - Deployments &amp; Config'!BH429</f>
        <v>0</v>
      </c>
      <c r="L424" s="18">
        <f>'12 - Deployments &amp; Config'!P429</f>
        <v>0</v>
      </c>
      <c r="M424" s="18">
        <f>'12 - Deployments &amp; Config'!Q429</f>
        <v>0</v>
      </c>
      <c r="N424" s="18" t="str">
        <f>'12 - Deployments &amp; Config'!BL429</f>
        <v/>
      </c>
      <c r="O424" s="34" t="str">
        <f>'12 - Deployments &amp; Config'!BM429</f>
        <v/>
      </c>
      <c r="P424" s="2">
        <f>'12 - Deployments &amp; Config'!BB429</f>
        <v>0</v>
      </c>
      <c r="Q424" s="34" t="str">
        <f t="shared" si="24"/>
        <v/>
      </c>
      <c r="R424" s="18" t="str">
        <f t="shared" si="25"/>
        <v>SW NOT INSTALLED</v>
      </c>
      <c r="S424" s="18" t="str">
        <f t="shared" si="26"/>
        <v/>
      </c>
      <c r="T424" s="18" t="str">
        <f t="shared" si="27"/>
        <v>SW NOT INSTALLED</v>
      </c>
    </row>
    <row r="425" spans="1:20">
      <c r="A425" s="34">
        <f>'12 - Deployments &amp; Config'!H430</f>
        <v>0</v>
      </c>
      <c r="B425" s="34">
        <f>'12 - Deployments &amp; Config'!S430</f>
        <v>0</v>
      </c>
      <c r="C425" s="34">
        <f>'12 - Deployments &amp; Config'!T430</f>
        <v>0</v>
      </c>
      <c r="D425" s="18">
        <f>'12 - Deployments &amp; Config'!AK430</f>
        <v>0</v>
      </c>
      <c r="E425" s="18">
        <f>'12 - Deployments &amp; Config'!J430</f>
        <v>0</v>
      </c>
      <c r="F425" s="34">
        <f>'12 - Deployments &amp; Config'!K430</f>
        <v>0</v>
      </c>
      <c r="G425" s="18">
        <f>'12 - Deployments &amp; Config'!L430</f>
        <v>0</v>
      </c>
      <c r="H425" s="18">
        <f>'13 - Config_Intake_View'!M425</f>
        <v>0</v>
      </c>
      <c r="I425" s="34">
        <f>IF('13 - Config_Intake_View'!Q425&lt;&gt;"",'13 - Config_Intake_View'!Q425,'12 - Deployments &amp; Config'!BI430)</f>
        <v>0</v>
      </c>
      <c r="J425" s="18" t="str">
        <f>IF('13 - Config_Intake_View'!Q425&lt;&gt;"","PM Approved",IF('12 - Deployments &amp; Config'!BI430&lt;&gt;"","Assumed",""))</f>
        <v/>
      </c>
      <c r="K425" s="34">
        <f>'12 - Deployments &amp; Config'!BH430</f>
        <v>0</v>
      </c>
      <c r="L425" s="18">
        <f>'12 - Deployments &amp; Config'!P430</f>
        <v>0</v>
      </c>
      <c r="M425" s="18">
        <f>'12 - Deployments &amp; Config'!Q430</f>
        <v>0</v>
      </c>
      <c r="N425" s="18" t="str">
        <f>'12 - Deployments &amp; Config'!BL430</f>
        <v/>
      </c>
      <c r="O425" s="34" t="str">
        <f>'12 - Deployments &amp; Config'!BM430</f>
        <v/>
      </c>
      <c r="P425" s="2">
        <f>'12 - Deployments &amp; Config'!BB430</f>
        <v>0</v>
      </c>
      <c r="Q425" s="34" t="str">
        <f t="shared" si="24"/>
        <v/>
      </c>
      <c r="R425" s="18" t="str">
        <f t="shared" si="25"/>
        <v>SW NOT INSTALLED</v>
      </c>
      <c r="S425" s="18" t="str">
        <f t="shared" si="26"/>
        <v/>
      </c>
      <c r="T425" s="18" t="str">
        <f t="shared" si="27"/>
        <v>SW NOT INSTALLED</v>
      </c>
    </row>
    <row r="426" spans="1:20">
      <c r="A426" s="34">
        <f>'12 - Deployments &amp; Config'!H431</f>
        <v>0</v>
      </c>
      <c r="B426" s="34">
        <f>'12 - Deployments &amp; Config'!S431</f>
        <v>0</v>
      </c>
      <c r="C426" s="34">
        <f>'12 - Deployments &amp; Config'!T431</f>
        <v>0</v>
      </c>
      <c r="D426" s="18">
        <f>'12 - Deployments &amp; Config'!AK431</f>
        <v>0</v>
      </c>
      <c r="E426" s="18">
        <f>'12 - Deployments &amp; Config'!J431</f>
        <v>0</v>
      </c>
      <c r="F426" s="34">
        <f>'12 - Deployments &amp; Config'!K431</f>
        <v>0</v>
      </c>
      <c r="G426" s="18">
        <f>'12 - Deployments &amp; Config'!L431</f>
        <v>0</v>
      </c>
      <c r="H426" s="18">
        <f>'13 - Config_Intake_View'!M426</f>
        <v>0</v>
      </c>
      <c r="I426" s="34">
        <f>IF('13 - Config_Intake_View'!Q426&lt;&gt;"",'13 - Config_Intake_View'!Q426,'12 - Deployments &amp; Config'!BI431)</f>
        <v>0</v>
      </c>
      <c r="J426" s="18" t="str">
        <f>IF('13 - Config_Intake_View'!Q426&lt;&gt;"","PM Approved",IF('12 - Deployments &amp; Config'!BI431&lt;&gt;"","Assumed",""))</f>
        <v/>
      </c>
      <c r="K426" s="34">
        <f>'12 - Deployments &amp; Config'!BH431</f>
        <v>0</v>
      </c>
      <c r="L426" s="18">
        <f>'12 - Deployments &amp; Config'!P431</f>
        <v>0</v>
      </c>
      <c r="M426" s="18">
        <f>'12 - Deployments &amp; Config'!Q431</f>
        <v>0</v>
      </c>
      <c r="N426" s="18" t="str">
        <f>'12 - Deployments &amp; Config'!BL431</f>
        <v/>
      </c>
      <c r="O426" s="34" t="str">
        <f>'12 - Deployments &amp; Config'!BM431</f>
        <v/>
      </c>
      <c r="P426" s="2">
        <f>'12 - Deployments &amp; Config'!BB431</f>
        <v>0</v>
      </c>
      <c r="Q426" s="34" t="str">
        <f t="shared" si="24"/>
        <v/>
      </c>
      <c r="R426" s="18" t="str">
        <f t="shared" si="25"/>
        <v>SW NOT INSTALLED</v>
      </c>
      <c r="S426" s="18" t="str">
        <f t="shared" si="26"/>
        <v/>
      </c>
      <c r="T426" s="18" t="str">
        <f t="shared" si="27"/>
        <v>SW NOT INSTALLED</v>
      </c>
    </row>
    <row r="427" spans="1:20">
      <c r="A427" s="34">
        <f>'12 - Deployments &amp; Config'!H432</f>
        <v>0</v>
      </c>
      <c r="B427" s="34">
        <f>'12 - Deployments &amp; Config'!S432</f>
        <v>0</v>
      </c>
      <c r="C427" s="34">
        <f>'12 - Deployments &amp; Config'!T432</f>
        <v>0</v>
      </c>
      <c r="D427" s="18">
        <f>'12 - Deployments &amp; Config'!AK432</f>
        <v>0</v>
      </c>
      <c r="E427" s="18">
        <f>'12 - Deployments &amp; Config'!J432</f>
        <v>0</v>
      </c>
      <c r="F427" s="34">
        <f>'12 - Deployments &amp; Config'!K432</f>
        <v>0</v>
      </c>
      <c r="G427" s="18">
        <f>'12 - Deployments &amp; Config'!L432</f>
        <v>0</v>
      </c>
      <c r="H427" s="18">
        <f>'13 - Config_Intake_View'!M427</f>
        <v>0</v>
      </c>
      <c r="I427" s="34">
        <f>IF('13 - Config_Intake_View'!Q427&lt;&gt;"",'13 - Config_Intake_View'!Q427,'12 - Deployments &amp; Config'!BI432)</f>
        <v>0</v>
      </c>
      <c r="J427" s="18" t="str">
        <f>IF('13 - Config_Intake_View'!Q427&lt;&gt;"","PM Approved",IF('12 - Deployments &amp; Config'!BI432&lt;&gt;"","Assumed",""))</f>
        <v/>
      </c>
      <c r="K427" s="34">
        <f>'12 - Deployments &amp; Config'!BH432</f>
        <v>0</v>
      </c>
      <c r="L427" s="18">
        <f>'12 - Deployments &amp; Config'!P432</f>
        <v>0</v>
      </c>
      <c r="M427" s="18">
        <f>'12 - Deployments &amp; Config'!Q432</f>
        <v>0</v>
      </c>
      <c r="N427" s="18" t="str">
        <f>'12 - Deployments &amp; Config'!BL432</f>
        <v/>
      </c>
      <c r="O427" s="34" t="str">
        <f>'12 - Deployments &amp; Config'!BM432</f>
        <v/>
      </c>
      <c r="P427" s="2">
        <f>'12 - Deployments &amp; Config'!BB432</f>
        <v>0</v>
      </c>
      <c r="Q427" s="34" t="str">
        <f t="shared" si="24"/>
        <v/>
      </c>
      <c r="R427" s="18" t="str">
        <f t="shared" si="25"/>
        <v>SW NOT INSTALLED</v>
      </c>
      <c r="S427" s="18" t="str">
        <f t="shared" si="26"/>
        <v/>
      </c>
      <c r="T427" s="18" t="str">
        <f t="shared" si="27"/>
        <v>SW NOT INSTALLED</v>
      </c>
    </row>
    <row r="428" spans="1:20">
      <c r="A428" s="34">
        <f>'12 - Deployments &amp; Config'!H433</f>
        <v>0</v>
      </c>
      <c r="B428" s="34">
        <f>'12 - Deployments &amp; Config'!S433</f>
        <v>0</v>
      </c>
      <c r="C428" s="34">
        <f>'12 - Deployments &amp; Config'!T433</f>
        <v>0</v>
      </c>
      <c r="D428" s="18">
        <f>'12 - Deployments &amp; Config'!AK433</f>
        <v>0</v>
      </c>
      <c r="E428" s="18">
        <f>'12 - Deployments &amp; Config'!J433</f>
        <v>0</v>
      </c>
      <c r="F428" s="34">
        <f>'12 - Deployments &amp; Config'!K433</f>
        <v>0</v>
      </c>
      <c r="G428" s="18">
        <f>'12 - Deployments &amp; Config'!L433</f>
        <v>0</v>
      </c>
      <c r="H428" s="18">
        <f>'13 - Config_Intake_View'!M428</f>
        <v>0</v>
      </c>
      <c r="I428" s="34">
        <f>IF('13 - Config_Intake_View'!Q428&lt;&gt;"",'13 - Config_Intake_View'!Q428,'12 - Deployments &amp; Config'!BI433)</f>
        <v>0</v>
      </c>
      <c r="J428" s="18" t="str">
        <f>IF('13 - Config_Intake_View'!Q428&lt;&gt;"","PM Approved",IF('12 - Deployments &amp; Config'!BI433&lt;&gt;"","Assumed",""))</f>
        <v/>
      </c>
      <c r="K428" s="34">
        <f>'12 - Deployments &amp; Config'!BH433</f>
        <v>0</v>
      </c>
      <c r="L428" s="18">
        <f>'12 - Deployments &amp; Config'!P433</f>
        <v>0</v>
      </c>
      <c r="M428" s="18">
        <f>'12 - Deployments &amp; Config'!Q433</f>
        <v>0</v>
      </c>
      <c r="N428" s="18" t="str">
        <f>'12 - Deployments &amp; Config'!BL433</f>
        <v/>
      </c>
      <c r="O428" s="34" t="str">
        <f>'12 - Deployments &amp; Config'!BM433</f>
        <v/>
      </c>
      <c r="P428" s="2">
        <f>'12 - Deployments &amp; Config'!BB433</f>
        <v>0</v>
      </c>
      <c r="Q428" s="34" t="str">
        <f t="shared" si="24"/>
        <v/>
      </c>
      <c r="R428" s="18" t="str">
        <f t="shared" si="25"/>
        <v>SW NOT INSTALLED</v>
      </c>
      <c r="S428" s="18" t="str">
        <f t="shared" si="26"/>
        <v/>
      </c>
      <c r="T428" s="18" t="str">
        <f t="shared" si="27"/>
        <v>SW NOT INSTALLED</v>
      </c>
    </row>
    <row r="429" spans="1:20">
      <c r="A429" s="34">
        <f>'12 - Deployments &amp; Config'!H434</f>
        <v>0</v>
      </c>
      <c r="B429" s="34">
        <f>'12 - Deployments &amp; Config'!S434</f>
        <v>0</v>
      </c>
      <c r="C429" s="34">
        <f>'12 - Deployments &amp; Config'!T434</f>
        <v>0</v>
      </c>
      <c r="D429" s="18">
        <f>'12 - Deployments &amp; Config'!AK434</f>
        <v>0</v>
      </c>
      <c r="E429" s="18">
        <f>'12 - Deployments &amp; Config'!J434</f>
        <v>0</v>
      </c>
      <c r="F429" s="34">
        <f>'12 - Deployments &amp; Config'!K434</f>
        <v>0</v>
      </c>
      <c r="G429" s="18">
        <f>'12 - Deployments &amp; Config'!L434</f>
        <v>0</v>
      </c>
      <c r="H429" s="18">
        <f>'13 - Config_Intake_View'!M429</f>
        <v>0</v>
      </c>
      <c r="I429" s="34">
        <f>IF('13 - Config_Intake_View'!Q429&lt;&gt;"",'13 - Config_Intake_View'!Q429,'12 - Deployments &amp; Config'!BI434)</f>
        <v>0</v>
      </c>
      <c r="J429" s="18" t="str">
        <f>IF('13 - Config_Intake_View'!Q429&lt;&gt;"","PM Approved",IF('12 - Deployments &amp; Config'!BI434&lt;&gt;"","Assumed",""))</f>
        <v/>
      </c>
      <c r="K429" s="34">
        <f>'12 - Deployments &amp; Config'!BH434</f>
        <v>0</v>
      </c>
      <c r="L429" s="18">
        <f>'12 - Deployments &amp; Config'!P434</f>
        <v>0</v>
      </c>
      <c r="M429" s="18">
        <f>'12 - Deployments &amp; Config'!Q434</f>
        <v>0</v>
      </c>
      <c r="N429" s="18" t="str">
        <f>'12 - Deployments &amp; Config'!BL434</f>
        <v/>
      </c>
      <c r="O429" s="34" t="str">
        <f>'12 - Deployments &amp; Config'!BM434</f>
        <v/>
      </c>
      <c r="P429" s="2">
        <f>'12 - Deployments &amp; Config'!BB434</f>
        <v>0</v>
      </c>
      <c r="Q429" s="34" t="str">
        <f t="shared" si="24"/>
        <v/>
      </c>
      <c r="R429" s="18" t="str">
        <f t="shared" si="25"/>
        <v>SW NOT INSTALLED</v>
      </c>
      <c r="S429" s="18" t="str">
        <f t="shared" si="26"/>
        <v/>
      </c>
      <c r="T429" s="18" t="str">
        <f t="shared" si="27"/>
        <v>SW NOT INSTALLED</v>
      </c>
    </row>
    <row r="430" spans="1:20">
      <c r="A430" s="34">
        <f>'12 - Deployments &amp; Config'!H435</f>
        <v>0</v>
      </c>
      <c r="B430" s="34">
        <f>'12 - Deployments &amp; Config'!S435</f>
        <v>0</v>
      </c>
      <c r="C430" s="34">
        <f>'12 - Deployments &amp; Config'!T435</f>
        <v>0</v>
      </c>
      <c r="D430" s="18">
        <f>'12 - Deployments &amp; Config'!AK435</f>
        <v>0</v>
      </c>
      <c r="E430" s="18">
        <f>'12 - Deployments &amp; Config'!J435</f>
        <v>0</v>
      </c>
      <c r="F430" s="34">
        <f>'12 - Deployments &amp; Config'!K435</f>
        <v>0</v>
      </c>
      <c r="G430" s="18">
        <f>'12 - Deployments &amp; Config'!L435</f>
        <v>0</v>
      </c>
      <c r="H430" s="18">
        <f>'13 - Config_Intake_View'!M430</f>
        <v>0</v>
      </c>
      <c r="I430" s="34">
        <f>IF('13 - Config_Intake_View'!Q430&lt;&gt;"",'13 - Config_Intake_View'!Q430,'12 - Deployments &amp; Config'!BI435)</f>
        <v>0</v>
      </c>
      <c r="J430" s="18" t="str">
        <f>IF('13 - Config_Intake_View'!Q430&lt;&gt;"","PM Approved",IF('12 - Deployments &amp; Config'!BI435&lt;&gt;"","Assumed",""))</f>
        <v/>
      </c>
      <c r="K430" s="34">
        <f>'12 - Deployments &amp; Config'!BH435</f>
        <v>0</v>
      </c>
      <c r="L430" s="18">
        <f>'12 - Deployments &amp; Config'!P435</f>
        <v>0</v>
      </c>
      <c r="M430" s="18">
        <f>'12 - Deployments &amp; Config'!Q435</f>
        <v>0</v>
      </c>
      <c r="N430" s="18" t="str">
        <f>'12 - Deployments &amp; Config'!BL435</f>
        <v/>
      </c>
      <c r="O430" s="34" t="str">
        <f>'12 - Deployments &amp; Config'!BM435</f>
        <v/>
      </c>
      <c r="P430" s="2">
        <f>'12 - Deployments &amp; Config'!BB435</f>
        <v>0</v>
      </c>
      <c r="Q430" s="34" t="str">
        <f t="shared" si="24"/>
        <v/>
      </c>
      <c r="R430" s="18" t="str">
        <f t="shared" si="25"/>
        <v>SW NOT INSTALLED</v>
      </c>
      <c r="S430" s="18" t="str">
        <f t="shared" si="26"/>
        <v/>
      </c>
      <c r="T430" s="18" t="str">
        <f t="shared" si="27"/>
        <v>SW NOT INSTALLED</v>
      </c>
    </row>
    <row r="431" spans="1:20">
      <c r="A431" s="34">
        <f>'12 - Deployments &amp; Config'!H436</f>
        <v>0</v>
      </c>
      <c r="B431" s="34">
        <f>'12 - Deployments &amp; Config'!S436</f>
        <v>0</v>
      </c>
      <c r="C431" s="34">
        <f>'12 - Deployments &amp; Config'!T436</f>
        <v>0</v>
      </c>
      <c r="D431" s="18">
        <f>'12 - Deployments &amp; Config'!AK436</f>
        <v>0</v>
      </c>
      <c r="E431" s="18">
        <f>'12 - Deployments &amp; Config'!J436</f>
        <v>0</v>
      </c>
      <c r="F431" s="34">
        <f>'12 - Deployments &amp; Config'!K436</f>
        <v>0</v>
      </c>
      <c r="G431" s="18">
        <f>'12 - Deployments &amp; Config'!L436</f>
        <v>0</v>
      </c>
      <c r="H431" s="18">
        <f>'13 - Config_Intake_View'!M431</f>
        <v>0</v>
      </c>
      <c r="I431" s="34">
        <f>IF('13 - Config_Intake_View'!Q431&lt;&gt;"",'13 - Config_Intake_View'!Q431,'12 - Deployments &amp; Config'!BI436)</f>
        <v>0</v>
      </c>
      <c r="J431" s="18" t="str">
        <f>IF('13 - Config_Intake_View'!Q431&lt;&gt;"","PM Approved",IF('12 - Deployments &amp; Config'!BI436&lt;&gt;"","Assumed",""))</f>
        <v/>
      </c>
      <c r="K431" s="34">
        <f>'12 - Deployments &amp; Config'!BH436</f>
        <v>0</v>
      </c>
      <c r="L431" s="18">
        <f>'12 - Deployments &amp; Config'!P436</f>
        <v>0</v>
      </c>
      <c r="M431" s="18">
        <f>'12 - Deployments &amp; Config'!Q436</f>
        <v>0</v>
      </c>
      <c r="N431" s="18" t="str">
        <f>'12 - Deployments &amp; Config'!BL436</f>
        <v/>
      </c>
      <c r="O431" s="34" t="str">
        <f>'12 - Deployments &amp; Config'!BM436</f>
        <v/>
      </c>
      <c r="P431" s="2">
        <f>'12 - Deployments &amp; Config'!BB436</f>
        <v>0</v>
      </c>
      <c r="Q431" s="34" t="str">
        <f t="shared" si="24"/>
        <v/>
      </c>
      <c r="R431" s="18" t="str">
        <f t="shared" si="25"/>
        <v>SW NOT INSTALLED</v>
      </c>
      <c r="S431" s="18" t="str">
        <f t="shared" si="26"/>
        <v/>
      </c>
      <c r="T431" s="18" t="str">
        <f t="shared" si="27"/>
        <v>SW NOT INSTALLED</v>
      </c>
    </row>
    <row r="432" spans="1:20">
      <c r="A432" s="34">
        <f>'12 - Deployments &amp; Config'!H437</f>
        <v>0</v>
      </c>
      <c r="B432" s="34">
        <f>'12 - Deployments &amp; Config'!S437</f>
        <v>0</v>
      </c>
      <c r="C432" s="34">
        <f>'12 - Deployments &amp; Config'!T437</f>
        <v>0</v>
      </c>
      <c r="D432" s="18">
        <f>'12 - Deployments &amp; Config'!AK437</f>
        <v>0</v>
      </c>
      <c r="E432" s="18">
        <f>'12 - Deployments &amp; Config'!J437</f>
        <v>0</v>
      </c>
      <c r="F432" s="34">
        <f>'12 - Deployments &amp; Config'!K437</f>
        <v>0</v>
      </c>
      <c r="G432" s="18">
        <f>'12 - Deployments &amp; Config'!L437</f>
        <v>0</v>
      </c>
      <c r="H432" s="18">
        <f>'13 - Config_Intake_View'!M432</f>
        <v>0</v>
      </c>
      <c r="I432" s="34">
        <f>IF('13 - Config_Intake_View'!Q432&lt;&gt;"",'13 - Config_Intake_View'!Q432,'12 - Deployments &amp; Config'!BI437)</f>
        <v>0</v>
      </c>
      <c r="J432" s="18" t="str">
        <f>IF('13 - Config_Intake_View'!Q432&lt;&gt;"","PM Approved",IF('12 - Deployments &amp; Config'!BI437&lt;&gt;"","Assumed",""))</f>
        <v/>
      </c>
      <c r="K432" s="34">
        <f>'12 - Deployments &amp; Config'!BH437</f>
        <v>0</v>
      </c>
      <c r="L432" s="18">
        <f>'12 - Deployments &amp; Config'!P437</f>
        <v>0</v>
      </c>
      <c r="M432" s="18">
        <f>'12 - Deployments &amp; Config'!Q437</f>
        <v>0</v>
      </c>
      <c r="N432" s="18" t="str">
        <f>'12 - Deployments &amp; Config'!BL437</f>
        <v/>
      </c>
      <c r="O432" s="34" t="str">
        <f>'12 - Deployments &amp; Config'!BM437</f>
        <v/>
      </c>
      <c r="P432" s="2">
        <f>'12 - Deployments &amp; Config'!BB437</f>
        <v>0</v>
      </c>
      <c r="Q432" s="34" t="str">
        <f t="shared" si="24"/>
        <v/>
      </c>
      <c r="R432" s="18" t="str">
        <f t="shared" si="25"/>
        <v>SW NOT INSTALLED</v>
      </c>
      <c r="S432" s="18" t="str">
        <f t="shared" si="26"/>
        <v/>
      </c>
      <c r="T432" s="18" t="str">
        <f t="shared" si="27"/>
        <v>SW NOT INSTALLED</v>
      </c>
    </row>
    <row r="433" spans="1:20">
      <c r="A433" s="34">
        <f>'12 - Deployments &amp; Config'!H438</f>
        <v>0</v>
      </c>
      <c r="B433" s="34">
        <f>'12 - Deployments &amp; Config'!S438</f>
        <v>0</v>
      </c>
      <c r="C433" s="34">
        <f>'12 - Deployments &amp; Config'!T438</f>
        <v>0</v>
      </c>
      <c r="D433" s="18">
        <f>'12 - Deployments &amp; Config'!AK438</f>
        <v>0</v>
      </c>
      <c r="E433" s="18">
        <f>'12 - Deployments &amp; Config'!J438</f>
        <v>0</v>
      </c>
      <c r="F433" s="34">
        <f>'12 - Deployments &amp; Config'!K438</f>
        <v>0</v>
      </c>
      <c r="G433" s="18">
        <f>'12 - Deployments &amp; Config'!L438</f>
        <v>0</v>
      </c>
      <c r="H433" s="18">
        <f>'13 - Config_Intake_View'!M433</f>
        <v>0</v>
      </c>
      <c r="I433" s="34">
        <f>IF('13 - Config_Intake_View'!Q433&lt;&gt;"",'13 - Config_Intake_View'!Q433,'12 - Deployments &amp; Config'!BI438)</f>
        <v>0</v>
      </c>
      <c r="J433" s="18" t="str">
        <f>IF('13 - Config_Intake_View'!Q433&lt;&gt;"","PM Approved",IF('12 - Deployments &amp; Config'!BI438&lt;&gt;"","Assumed",""))</f>
        <v/>
      </c>
      <c r="K433" s="34">
        <f>'12 - Deployments &amp; Config'!BH438</f>
        <v>0</v>
      </c>
      <c r="L433" s="18">
        <f>'12 - Deployments &amp; Config'!P438</f>
        <v>0</v>
      </c>
      <c r="M433" s="18">
        <f>'12 - Deployments &amp; Config'!Q438</f>
        <v>0</v>
      </c>
      <c r="N433" s="18" t="str">
        <f>'12 - Deployments &amp; Config'!BL438</f>
        <v/>
      </c>
      <c r="O433" s="34" t="str">
        <f>'12 - Deployments &amp; Config'!BM438</f>
        <v/>
      </c>
      <c r="P433" s="2">
        <f>'12 - Deployments &amp; Config'!BB438</f>
        <v>0</v>
      </c>
      <c r="Q433" s="34" t="str">
        <f t="shared" si="24"/>
        <v/>
      </c>
      <c r="R433" s="18" t="str">
        <f t="shared" si="25"/>
        <v>SW NOT INSTALLED</v>
      </c>
      <c r="S433" s="18" t="str">
        <f t="shared" si="26"/>
        <v/>
      </c>
      <c r="T433" s="18" t="str">
        <f t="shared" si="27"/>
        <v>SW NOT INSTALLED</v>
      </c>
    </row>
    <row r="434" spans="1:20">
      <c r="A434" s="34">
        <f>'12 - Deployments &amp; Config'!H439</f>
        <v>0</v>
      </c>
      <c r="B434" s="34">
        <f>'12 - Deployments &amp; Config'!S439</f>
        <v>0</v>
      </c>
      <c r="C434" s="34">
        <f>'12 - Deployments &amp; Config'!T439</f>
        <v>0</v>
      </c>
      <c r="D434" s="18">
        <f>'12 - Deployments &amp; Config'!AK439</f>
        <v>0</v>
      </c>
      <c r="E434" s="18">
        <f>'12 - Deployments &amp; Config'!J439</f>
        <v>0</v>
      </c>
      <c r="F434" s="34">
        <f>'12 - Deployments &amp; Config'!K439</f>
        <v>0</v>
      </c>
      <c r="G434" s="18">
        <f>'12 - Deployments &amp; Config'!L439</f>
        <v>0</v>
      </c>
      <c r="H434" s="18">
        <f>'13 - Config_Intake_View'!M434</f>
        <v>0</v>
      </c>
      <c r="I434" s="34">
        <f>IF('13 - Config_Intake_View'!Q434&lt;&gt;"",'13 - Config_Intake_View'!Q434,'12 - Deployments &amp; Config'!BI439)</f>
        <v>0</v>
      </c>
      <c r="J434" s="18" t="str">
        <f>IF('13 - Config_Intake_View'!Q434&lt;&gt;"","PM Approved",IF('12 - Deployments &amp; Config'!BI439&lt;&gt;"","Assumed",""))</f>
        <v/>
      </c>
      <c r="K434" s="34">
        <f>'12 - Deployments &amp; Config'!BH439</f>
        <v>0</v>
      </c>
      <c r="L434" s="18">
        <f>'12 - Deployments &amp; Config'!P439</f>
        <v>0</v>
      </c>
      <c r="M434" s="18">
        <f>'12 - Deployments &amp; Config'!Q439</f>
        <v>0</v>
      </c>
      <c r="N434" s="18" t="str">
        <f>'12 - Deployments &amp; Config'!BL439</f>
        <v/>
      </c>
      <c r="O434" s="34" t="str">
        <f>'12 - Deployments &amp; Config'!BM439</f>
        <v/>
      </c>
      <c r="P434" s="2">
        <f>'12 - Deployments &amp; Config'!BB439</f>
        <v>0</v>
      </c>
      <c r="Q434" s="34" t="str">
        <f t="shared" si="24"/>
        <v/>
      </c>
      <c r="R434" s="18" t="str">
        <f t="shared" si="25"/>
        <v>SW NOT INSTALLED</v>
      </c>
      <c r="S434" s="18" t="str">
        <f t="shared" si="26"/>
        <v/>
      </c>
      <c r="T434" s="18" t="str">
        <f t="shared" si="27"/>
        <v>SW NOT INSTALLED</v>
      </c>
    </row>
    <row r="435" spans="1:20">
      <c r="A435" s="34">
        <f>'12 - Deployments &amp; Config'!H440</f>
        <v>0</v>
      </c>
      <c r="B435" s="34">
        <f>'12 - Deployments &amp; Config'!S440</f>
        <v>0</v>
      </c>
      <c r="C435" s="34">
        <f>'12 - Deployments &amp; Config'!T440</f>
        <v>0</v>
      </c>
      <c r="D435" s="18">
        <f>'12 - Deployments &amp; Config'!AK440</f>
        <v>0</v>
      </c>
      <c r="E435" s="18">
        <f>'12 - Deployments &amp; Config'!J440</f>
        <v>0</v>
      </c>
      <c r="F435" s="34">
        <f>'12 - Deployments &amp; Config'!K440</f>
        <v>0</v>
      </c>
      <c r="G435" s="18">
        <f>'12 - Deployments &amp; Config'!L440</f>
        <v>0</v>
      </c>
      <c r="H435" s="18">
        <f>'13 - Config_Intake_View'!M435</f>
        <v>0</v>
      </c>
      <c r="I435" s="34">
        <f>IF('13 - Config_Intake_View'!Q435&lt;&gt;"",'13 - Config_Intake_View'!Q435,'12 - Deployments &amp; Config'!BI440)</f>
        <v>0</v>
      </c>
      <c r="J435" s="18" t="str">
        <f>IF('13 - Config_Intake_View'!Q435&lt;&gt;"","PM Approved",IF('12 - Deployments &amp; Config'!BI440&lt;&gt;"","Assumed",""))</f>
        <v/>
      </c>
      <c r="K435" s="34">
        <f>'12 - Deployments &amp; Config'!BH440</f>
        <v>0</v>
      </c>
      <c r="L435" s="18">
        <f>'12 - Deployments &amp; Config'!P440</f>
        <v>0</v>
      </c>
      <c r="M435" s="18">
        <f>'12 - Deployments &amp; Config'!Q440</f>
        <v>0</v>
      </c>
      <c r="N435" s="18" t="str">
        <f>'12 - Deployments &amp; Config'!BL440</f>
        <v/>
      </c>
      <c r="O435" s="34" t="str">
        <f>'12 - Deployments &amp; Config'!BM440</f>
        <v/>
      </c>
      <c r="P435" s="2">
        <f>'12 - Deployments &amp; Config'!BB440</f>
        <v>0</v>
      </c>
      <c r="Q435" s="34" t="str">
        <f t="shared" si="24"/>
        <v/>
      </c>
      <c r="R435" s="18" t="str">
        <f t="shared" si="25"/>
        <v>SW NOT INSTALLED</v>
      </c>
      <c r="S435" s="18" t="str">
        <f t="shared" si="26"/>
        <v/>
      </c>
      <c r="T435" s="18" t="str">
        <f t="shared" si="27"/>
        <v>SW NOT INSTALLED</v>
      </c>
    </row>
    <row r="436" spans="1:20">
      <c r="A436" s="34">
        <f>'12 - Deployments &amp; Config'!H441</f>
        <v>0</v>
      </c>
      <c r="B436" s="34">
        <f>'12 - Deployments &amp; Config'!S441</f>
        <v>0</v>
      </c>
      <c r="C436" s="34">
        <f>'12 - Deployments &amp; Config'!T441</f>
        <v>0</v>
      </c>
      <c r="D436" s="18">
        <f>'12 - Deployments &amp; Config'!AK441</f>
        <v>0</v>
      </c>
      <c r="E436" s="18">
        <f>'12 - Deployments &amp; Config'!J441</f>
        <v>0</v>
      </c>
      <c r="F436" s="34">
        <f>'12 - Deployments &amp; Config'!K441</f>
        <v>0</v>
      </c>
      <c r="G436" s="18">
        <f>'12 - Deployments &amp; Config'!L441</f>
        <v>0</v>
      </c>
      <c r="H436" s="18">
        <f>'13 - Config_Intake_View'!M436</f>
        <v>0</v>
      </c>
      <c r="I436" s="34">
        <f>IF('13 - Config_Intake_View'!Q436&lt;&gt;"",'13 - Config_Intake_View'!Q436,'12 - Deployments &amp; Config'!BI441)</f>
        <v>0</v>
      </c>
      <c r="J436" s="18" t="str">
        <f>IF('13 - Config_Intake_View'!Q436&lt;&gt;"","PM Approved",IF('12 - Deployments &amp; Config'!BI441&lt;&gt;"","Assumed",""))</f>
        <v/>
      </c>
      <c r="K436" s="34">
        <f>'12 - Deployments &amp; Config'!BH441</f>
        <v>0</v>
      </c>
      <c r="L436" s="18">
        <f>'12 - Deployments &amp; Config'!P441</f>
        <v>0</v>
      </c>
      <c r="M436" s="18">
        <f>'12 - Deployments &amp; Config'!Q441</f>
        <v>0</v>
      </c>
      <c r="N436" s="18" t="str">
        <f>'12 - Deployments &amp; Config'!BL441</f>
        <v/>
      </c>
      <c r="O436" s="34" t="str">
        <f>'12 - Deployments &amp; Config'!BM441</f>
        <v/>
      </c>
      <c r="P436" s="2">
        <f>'12 - Deployments &amp; Config'!BB441</f>
        <v>0</v>
      </c>
      <c r="Q436" s="34" t="str">
        <f t="shared" si="24"/>
        <v/>
      </c>
      <c r="R436" s="18" t="str">
        <f t="shared" si="25"/>
        <v>SW NOT INSTALLED</v>
      </c>
      <c r="S436" s="18" t="str">
        <f t="shared" si="26"/>
        <v/>
      </c>
      <c r="T436" s="18" t="str">
        <f t="shared" si="27"/>
        <v>SW NOT INSTALLED</v>
      </c>
    </row>
    <row r="437" spans="1:20">
      <c r="A437" s="34">
        <f>'12 - Deployments &amp; Config'!H442</f>
        <v>0</v>
      </c>
      <c r="B437" s="34">
        <f>'12 - Deployments &amp; Config'!S442</f>
        <v>0</v>
      </c>
      <c r="C437" s="34">
        <f>'12 - Deployments &amp; Config'!T442</f>
        <v>0</v>
      </c>
      <c r="D437" s="18">
        <f>'12 - Deployments &amp; Config'!AK442</f>
        <v>0</v>
      </c>
      <c r="E437" s="18">
        <f>'12 - Deployments &amp; Config'!J442</f>
        <v>0</v>
      </c>
      <c r="F437" s="34">
        <f>'12 - Deployments &amp; Config'!K442</f>
        <v>0</v>
      </c>
      <c r="G437" s="18">
        <f>'12 - Deployments &amp; Config'!L442</f>
        <v>0</v>
      </c>
      <c r="H437" s="18">
        <f>'13 - Config_Intake_View'!M437</f>
        <v>0</v>
      </c>
      <c r="I437" s="34">
        <f>IF('13 - Config_Intake_View'!Q437&lt;&gt;"",'13 - Config_Intake_View'!Q437,'12 - Deployments &amp; Config'!BI442)</f>
        <v>0</v>
      </c>
      <c r="J437" s="18" t="str">
        <f>IF('13 - Config_Intake_View'!Q437&lt;&gt;"","PM Approved",IF('12 - Deployments &amp; Config'!BI442&lt;&gt;"","Assumed",""))</f>
        <v/>
      </c>
      <c r="K437" s="34">
        <f>'12 - Deployments &amp; Config'!BH442</f>
        <v>0</v>
      </c>
      <c r="L437" s="18">
        <f>'12 - Deployments &amp; Config'!P442</f>
        <v>0</v>
      </c>
      <c r="M437" s="18">
        <f>'12 - Deployments &amp; Config'!Q442</f>
        <v>0</v>
      </c>
      <c r="N437" s="18" t="str">
        <f>'12 - Deployments &amp; Config'!BL442</f>
        <v/>
      </c>
      <c r="O437" s="34" t="str">
        <f>'12 - Deployments &amp; Config'!BM442</f>
        <v/>
      </c>
      <c r="P437" s="2">
        <f>'12 - Deployments &amp; Config'!BB442</f>
        <v>0</v>
      </c>
      <c r="Q437" s="34" t="str">
        <f t="shared" si="24"/>
        <v/>
      </c>
      <c r="R437" s="18" t="str">
        <f t="shared" si="25"/>
        <v>SW NOT INSTALLED</v>
      </c>
      <c r="S437" s="18" t="str">
        <f t="shared" si="26"/>
        <v/>
      </c>
      <c r="T437" s="18" t="str">
        <f t="shared" si="27"/>
        <v>SW NOT INSTALLED</v>
      </c>
    </row>
    <row r="438" spans="1:20">
      <c r="A438" s="34">
        <f>'12 - Deployments &amp; Config'!H443</f>
        <v>0</v>
      </c>
      <c r="B438" s="34">
        <f>'12 - Deployments &amp; Config'!S443</f>
        <v>0</v>
      </c>
      <c r="C438" s="34">
        <f>'12 - Deployments &amp; Config'!T443</f>
        <v>0</v>
      </c>
      <c r="D438" s="18">
        <f>'12 - Deployments &amp; Config'!AK443</f>
        <v>0</v>
      </c>
      <c r="E438" s="18">
        <f>'12 - Deployments &amp; Config'!J443</f>
        <v>0</v>
      </c>
      <c r="F438" s="34">
        <f>'12 - Deployments &amp; Config'!K443</f>
        <v>0</v>
      </c>
      <c r="G438" s="18">
        <f>'12 - Deployments &amp; Config'!L443</f>
        <v>0</v>
      </c>
      <c r="H438" s="18">
        <f>'13 - Config_Intake_View'!M438</f>
        <v>0</v>
      </c>
      <c r="I438" s="34">
        <f>IF('13 - Config_Intake_View'!Q438&lt;&gt;"",'13 - Config_Intake_View'!Q438,'12 - Deployments &amp; Config'!BI443)</f>
        <v>0</v>
      </c>
      <c r="J438" s="18" t="str">
        <f>IF('13 - Config_Intake_View'!Q438&lt;&gt;"","PM Approved",IF('12 - Deployments &amp; Config'!BI443&lt;&gt;"","Assumed",""))</f>
        <v/>
      </c>
      <c r="K438" s="34">
        <f>'12 - Deployments &amp; Config'!BH443</f>
        <v>0</v>
      </c>
      <c r="L438" s="18">
        <f>'12 - Deployments &amp; Config'!P443</f>
        <v>0</v>
      </c>
      <c r="M438" s="18">
        <f>'12 - Deployments &amp; Config'!Q443</f>
        <v>0</v>
      </c>
      <c r="N438" s="18" t="str">
        <f>'12 - Deployments &amp; Config'!BL443</f>
        <v/>
      </c>
      <c r="O438" s="34" t="str">
        <f>'12 - Deployments &amp; Config'!BM443</f>
        <v/>
      </c>
      <c r="P438" s="2">
        <f>'12 - Deployments &amp; Config'!BB443</f>
        <v>0</v>
      </c>
      <c r="Q438" s="34" t="str">
        <f t="shared" si="24"/>
        <v/>
      </c>
      <c r="R438" s="18" t="str">
        <f t="shared" si="25"/>
        <v>SW NOT INSTALLED</v>
      </c>
      <c r="S438" s="18" t="str">
        <f t="shared" si="26"/>
        <v/>
      </c>
      <c r="T438" s="18" t="str">
        <f t="shared" si="27"/>
        <v>SW NOT INSTALLED</v>
      </c>
    </row>
    <row r="439" spans="1:20">
      <c r="A439" s="34">
        <f>'12 - Deployments &amp; Config'!H444</f>
        <v>0</v>
      </c>
      <c r="B439" s="34">
        <f>'12 - Deployments &amp; Config'!S444</f>
        <v>0</v>
      </c>
      <c r="C439" s="34">
        <f>'12 - Deployments &amp; Config'!T444</f>
        <v>0</v>
      </c>
      <c r="D439" s="18">
        <f>'12 - Deployments &amp; Config'!AK444</f>
        <v>0</v>
      </c>
      <c r="E439" s="18">
        <f>'12 - Deployments &amp; Config'!J444</f>
        <v>0</v>
      </c>
      <c r="F439" s="34">
        <f>'12 - Deployments &amp; Config'!K444</f>
        <v>0</v>
      </c>
      <c r="G439" s="18">
        <f>'12 - Deployments &amp; Config'!L444</f>
        <v>0</v>
      </c>
      <c r="H439" s="18">
        <f>'13 - Config_Intake_View'!M439</f>
        <v>0</v>
      </c>
      <c r="I439" s="34">
        <f>IF('13 - Config_Intake_View'!Q439&lt;&gt;"",'13 - Config_Intake_View'!Q439,'12 - Deployments &amp; Config'!BI444)</f>
        <v>0</v>
      </c>
      <c r="J439" s="18" t="str">
        <f>IF('13 - Config_Intake_View'!Q439&lt;&gt;"","PM Approved",IF('12 - Deployments &amp; Config'!BI444&lt;&gt;"","Assumed",""))</f>
        <v/>
      </c>
      <c r="K439" s="34">
        <f>'12 - Deployments &amp; Config'!BH444</f>
        <v>0</v>
      </c>
      <c r="L439" s="18">
        <f>'12 - Deployments &amp; Config'!P444</f>
        <v>0</v>
      </c>
      <c r="M439" s="18">
        <f>'12 - Deployments &amp; Config'!Q444</f>
        <v>0</v>
      </c>
      <c r="N439" s="18" t="str">
        <f>'12 - Deployments &amp; Config'!BL444</f>
        <v/>
      </c>
      <c r="O439" s="34" t="str">
        <f>'12 - Deployments &amp; Config'!BM444</f>
        <v/>
      </c>
      <c r="P439" s="2">
        <f>'12 - Deployments &amp; Config'!BB444</f>
        <v>0</v>
      </c>
      <c r="Q439" s="34" t="str">
        <f t="shared" si="24"/>
        <v/>
      </c>
      <c r="R439" s="18" t="str">
        <f t="shared" si="25"/>
        <v>SW NOT INSTALLED</v>
      </c>
      <c r="S439" s="18" t="str">
        <f t="shared" si="26"/>
        <v/>
      </c>
      <c r="T439" s="18" t="str">
        <f t="shared" si="27"/>
        <v>SW NOT INSTALLED</v>
      </c>
    </row>
    <row r="440" spans="1:20">
      <c r="A440" s="34">
        <f>'12 - Deployments &amp; Config'!H445</f>
        <v>0</v>
      </c>
      <c r="B440" s="34">
        <f>'12 - Deployments &amp; Config'!S445</f>
        <v>0</v>
      </c>
      <c r="C440" s="34">
        <f>'12 - Deployments &amp; Config'!T445</f>
        <v>0</v>
      </c>
      <c r="D440" s="18">
        <f>'12 - Deployments &amp; Config'!AK445</f>
        <v>0</v>
      </c>
      <c r="E440" s="18">
        <f>'12 - Deployments &amp; Config'!J445</f>
        <v>0</v>
      </c>
      <c r="F440" s="34">
        <f>'12 - Deployments &amp; Config'!K445</f>
        <v>0</v>
      </c>
      <c r="G440" s="18">
        <f>'12 - Deployments &amp; Config'!L445</f>
        <v>0</v>
      </c>
      <c r="H440" s="18">
        <f>'13 - Config_Intake_View'!M440</f>
        <v>0</v>
      </c>
      <c r="I440" s="34">
        <f>IF('13 - Config_Intake_View'!Q440&lt;&gt;"",'13 - Config_Intake_View'!Q440,'12 - Deployments &amp; Config'!BI445)</f>
        <v>0</v>
      </c>
      <c r="J440" s="18" t="str">
        <f>IF('13 - Config_Intake_View'!Q440&lt;&gt;"","PM Approved",IF('12 - Deployments &amp; Config'!BI445&lt;&gt;"","Assumed",""))</f>
        <v/>
      </c>
      <c r="K440" s="34">
        <f>'12 - Deployments &amp; Config'!BH445</f>
        <v>0</v>
      </c>
      <c r="L440" s="18">
        <f>'12 - Deployments &amp; Config'!P445</f>
        <v>0</v>
      </c>
      <c r="M440" s="18">
        <f>'12 - Deployments &amp; Config'!Q445</f>
        <v>0</v>
      </c>
      <c r="N440" s="18" t="str">
        <f>'12 - Deployments &amp; Config'!BL445</f>
        <v/>
      </c>
      <c r="O440" s="34" t="str">
        <f>'12 - Deployments &amp; Config'!BM445</f>
        <v/>
      </c>
      <c r="P440" s="2">
        <f>'12 - Deployments &amp; Config'!BB445</f>
        <v>0</v>
      </c>
      <c r="Q440" s="34" t="str">
        <f t="shared" si="24"/>
        <v/>
      </c>
      <c r="R440" s="18" t="str">
        <f t="shared" si="25"/>
        <v>SW NOT INSTALLED</v>
      </c>
      <c r="S440" s="18" t="str">
        <f t="shared" si="26"/>
        <v/>
      </c>
      <c r="T440" s="18" t="str">
        <f t="shared" si="27"/>
        <v>SW NOT INSTALLED</v>
      </c>
    </row>
    <row r="441" spans="1:20">
      <c r="A441" s="34">
        <f>'12 - Deployments &amp; Config'!H446</f>
        <v>0</v>
      </c>
      <c r="B441" s="34">
        <f>'12 - Deployments &amp; Config'!S446</f>
        <v>0</v>
      </c>
      <c r="C441" s="34">
        <f>'12 - Deployments &amp; Config'!T446</f>
        <v>0</v>
      </c>
      <c r="D441" s="18">
        <f>'12 - Deployments &amp; Config'!AK446</f>
        <v>0</v>
      </c>
      <c r="E441" s="18">
        <f>'12 - Deployments &amp; Config'!J446</f>
        <v>0</v>
      </c>
      <c r="F441" s="34">
        <f>'12 - Deployments &amp; Config'!K446</f>
        <v>0</v>
      </c>
      <c r="G441" s="18">
        <f>'12 - Deployments &amp; Config'!L446</f>
        <v>0</v>
      </c>
      <c r="H441" s="18">
        <f>'13 - Config_Intake_View'!M441</f>
        <v>0</v>
      </c>
      <c r="I441" s="34">
        <f>IF('13 - Config_Intake_View'!Q441&lt;&gt;"",'13 - Config_Intake_View'!Q441,'12 - Deployments &amp; Config'!BI446)</f>
        <v>0</v>
      </c>
      <c r="J441" s="18" t="str">
        <f>IF('13 - Config_Intake_View'!Q441&lt;&gt;"","PM Approved",IF('12 - Deployments &amp; Config'!BI446&lt;&gt;"","Assumed",""))</f>
        <v/>
      </c>
      <c r="K441" s="34">
        <f>'12 - Deployments &amp; Config'!BH446</f>
        <v>0</v>
      </c>
      <c r="L441" s="18">
        <f>'12 - Deployments &amp; Config'!P446</f>
        <v>0</v>
      </c>
      <c r="M441" s="18">
        <f>'12 - Deployments &amp; Config'!Q446</f>
        <v>0</v>
      </c>
      <c r="N441" s="18" t="str">
        <f>'12 - Deployments &amp; Config'!BL446</f>
        <v/>
      </c>
      <c r="O441" s="34" t="str">
        <f>'12 - Deployments &amp; Config'!BM446</f>
        <v/>
      </c>
      <c r="P441" s="2">
        <f>'12 - Deployments &amp; Config'!BB446</f>
        <v>0</v>
      </c>
      <c r="Q441" s="34" t="str">
        <f t="shared" si="24"/>
        <v/>
      </c>
      <c r="R441" s="18" t="str">
        <f t="shared" si="25"/>
        <v>SW NOT INSTALLED</v>
      </c>
      <c r="S441" s="18" t="str">
        <f t="shared" si="26"/>
        <v/>
      </c>
      <c r="T441" s="18" t="str">
        <f t="shared" si="27"/>
        <v>SW NOT INSTALLED</v>
      </c>
    </row>
    <row r="442" spans="1:20">
      <c r="A442" s="34">
        <f>'12 - Deployments &amp; Config'!H447</f>
        <v>0</v>
      </c>
      <c r="B442" s="34">
        <f>'12 - Deployments &amp; Config'!S447</f>
        <v>0</v>
      </c>
      <c r="C442" s="34">
        <f>'12 - Deployments &amp; Config'!T447</f>
        <v>0</v>
      </c>
      <c r="D442" s="18">
        <f>'12 - Deployments &amp; Config'!AK447</f>
        <v>0</v>
      </c>
      <c r="E442" s="18">
        <f>'12 - Deployments &amp; Config'!J447</f>
        <v>0</v>
      </c>
      <c r="F442" s="34">
        <f>'12 - Deployments &amp; Config'!K447</f>
        <v>0</v>
      </c>
      <c r="G442" s="18">
        <f>'12 - Deployments &amp; Config'!L447</f>
        <v>0</v>
      </c>
      <c r="H442" s="18">
        <f>'13 - Config_Intake_View'!M442</f>
        <v>0</v>
      </c>
      <c r="I442" s="34">
        <f>IF('13 - Config_Intake_View'!Q442&lt;&gt;"",'13 - Config_Intake_View'!Q442,'12 - Deployments &amp; Config'!BI447)</f>
        <v>0</v>
      </c>
      <c r="J442" s="18" t="str">
        <f>IF('13 - Config_Intake_View'!Q442&lt;&gt;"","PM Approved",IF('12 - Deployments &amp; Config'!BI447&lt;&gt;"","Assumed",""))</f>
        <v/>
      </c>
      <c r="K442" s="34">
        <f>'12 - Deployments &amp; Config'!BH447</f>
        <v>0</v>
      </c>
      <c r="L442" s="18">
        <f>'12 - Deployments &amp; Config'!P447</f>
        <v>0</v>
      </c>
      <c r="M442" s="18">
        <f>'12 - Deployments &amp; Config'!Q447</f>
        <v>0</v>
      </c>
      <c r="N442" s="18" t="str">
        <f>'12 - Deployments &amp; Config'!BL447</f>
        <v/>
      </c>
      <c r="O442" s="34" t="str">
        <f>'12 - Deployments &amp; Config'!BM447</f>
        <v/>
      </c>
      <c r="P442" s="2">
        <f>'12 - Deployments &amp; Config'!BB447</f>
        <v>0</v>
      </c>
      <c r="Q442" s="34" t="str">
        <f t="shared" si="24"/>
        <v/>
      </c>
      <c r="R442" s="18" t="str">
        <f t="shared" si="25"/>
        <v>SW NOT INSTALLED</v>
      </c>
      <c r="S442" s="18" t="str">
        <f t="shared" si="26"/>
        <v/>
      </c>
      <c r="T442" s="18" t="str">
        <f t="shared" si="27"/>
        <v>SW NOT INSTALLED</v>
      </c>
    </row>
    <row r="443" spans="1:20">
      <c r="A443" s="34">
        <f>'12 - Deployments &amp; Config'!H448</f>
        <v>0</v>
      </c>
      <c r="B443" s="34">
        <f>'12 - Deployments &amp; Config'!S448</f>
        <v>0</v>
      </c>
      <c r="C443" s="34">
        <f>'12 - Deployments &amp; Config'!T448</f>
        <v>0</v>
      </c>
      <c r="D443" s="18">
        <f>'12 - Deployments &amp; Config'!AK448</f>
        <v>0</v>
      </c>
      <c r="E443" s="18">
        <f>'12 - Deployments &amp; Config'!J448</f>
        <v>0</v>
      </c>
      <c r="F443" s="34">
        <f>'12 - Deployments &amp; Config'!K448</f>
        <v>0</v>
      </c>
      <c r="G443" s="18">
        <f>'12 - Deployments &amp; Config'!L448</f>
        <v>0</v>
      </c>
      <c r="H443" s="18">
        <f>'13 - Config_Intake_View'!M443</f>
        <v>0</v>
      </c>
      <c r="I443" s="34">
        <f>IF('13 - Config_Intake_View'!Q443&lt;&gt;"",'13 - Config_Intake_View'!Q443,'12 - Deployments &amp; Config'!BI448)</f>
        <v>0</v>
      </c>
      <c r="J443" s="18" t="str">
        <f>IF('13 - Config_Intake_View'!Q443&lt;&gt;"","PM Approved",IF('12 - Deployments &amp; Config'!BI448&lt;&gt;"","Assumed",""))</f>
        <v/>
      </c>
      <c r="K443" s="34">
        <f>'12 - Deployments &amp; Config'!BH448</f>
        <v>0</v>
      </c>
      <c r="L443" s="18">
        <f>'12 - Deployments &amp; Config'!P448</f>
        <v>0</v>
      </c>
      <c r="M443" s="18">
        <f>'12 - Deployments &amp; Config'!Q448</f>
        <v>0</v>
      </c>
      <c r="N443" s="18" t="str">
        <f>'12 - Deployments &amp; Config'!BL448</f>
        <v/>
      </c>
      <c r="O443" s="34" t="str">
        <f>'12 - Deployments &amp; Config'!BM448</f>
        <v/>
      </c>
      <c r="P443" s="2">
        <f>'12 - Deployments &amp; Config'!BB448</f>
        <v>0</v>
      </c>
      <c r="Q443" s="34" t="str">
        <f t="shared" si="24"/>
        <v/>
      </c>
      <c r="R443" s="18" t="str">
        <f t="shared" si="25"/>
        <v>SW NOT INSTALLED</v>
      </c>
      <c r="S443" s="18" t="str">
        <f t="shared" si="26"/>
        <v/>
      </c>
      <c r="T443" s="18" t="str">
        <f t="shared" si="27"/>
        <v>SW NOT INSTALLED</v>
      </c>
    </row>
    <row r="444" spans="1:20">
      <c r="A444" s="34">
        <f>'12 - Deployments &amp; Config'!H449</f>
        <v>0</v>
      </c>
      <c r="B444" s="34">
        <f>'12 - Deployments &amp; Config'!S449</f>
        <v>0</v>
      </c>
      <c r="C444" s="34">
        <f>'12 - Deployments &amp; Config'!T449</f>
        <v>0</v>
      </c>
      <c r="D444" s="18">
        <f>'12 - Deployments &amp; Config'!AK449</f>
        <v>0</v>
      </c>
      <c r="E444" s="18">
        <f>'12 - Deployments &amp; Config'!J449</f>
        <v>0</v>
      </c>
      <c r="F444" s="34">
        <f>'12 - Deployments &amp; Config'!K449</f>
        <v>0</v>
      </c>
      <c r="G444" s="18">
        <f>'12 - Deployments &amp; Config'!L449</f>
        <v>0</v>
      </c>
      <c r="H444" s="18">
        <f>'13 - Config_Intake_View'!M444</f>
        <v>0</v>
      </c>
      <c r="I444" s="34">
        <f>IF('13 - Config_Intake_View'!Q444&lt;&gt;"",'13 - Config_Intake_View'!Q444,'12 - Deployments &amp; Config'!BI449)</f>
        <v>0</v>
      </c>
      <c r="J444" s="18" t="str">
        <f>IF('13 - Config_Intake_View'!Q444&lt;&gt;"","PM Approved",IF('12 - Deployments &amp; Config'!BI449&lt;&gt;"","Assumed",""))</f>
        <v/>
      </c>
      <c r="K444" s="34">
        <f>'12 - Deployments &amp; Config'!BH449</f>
        <v>0</v>
      </c>
      <c r="L444" s="18">
        <f>'12 - Deployments &amp; Config'!P449</f>
        <v>0</v>
      </c>
      <c r="M444" s="18">
        <f>'12 - Deployments &amp; Config'!Q449</f>
        <v>0</v>
      </c>
      <c r="N444" s="18" t="str">
        <f>'12 - Deployments &amp; Config'!BL449</f>
        <v/>
      </c>
      <c r="O444" s="34" t="str">
        <f>'12 - Deployments &amp; Config'!BM449</f>
        <v/>
      </c>
      <c r="P444" s="2">
        <f>'12 - Deployments &amp; Config'!BB449</f>
        <v>0</v>
      </c>
      <c r="Q444" s="34" t="str">
        <f t="shared" si="24"/>
        <v/>
      </c>
      <c r="R444" s="18" t="str">
        <f t="shared" si="25"/>
        <v>SW NOT INSTALLED</v>
      </c>
      <c r="S444" s="18" t="str">
        <f t="shared" si="26"/>
        <v/>
      </c>
      <c r="T444" s="18" t="str">
        <f t="shared" si="27"/>
        <v>SW NOT INSTALLED</v>
      </c>
    </row>
    <row r="445" spans="1:20">
      <c r="A445" s="34">
        <f>'12 - Deployments &amp; Config'!H450</f>
        <v>0</v>
      </c>
      <c r="B445" s="34">
        <f>'12 - Deployments &amp; Config'!S450</f>
        <v>0</v>
      </c>
      <c r="C445" s="34">
        <f>'12 - Deployments &amp; Config'!T450</f>
        <v>0</v>
      </c>
      <c r="D445" s="18">
        <f>'12 - Deployments &amp; Config'!AK450</f>
        <v>0</v>
      </c>
      <c r="E445" s="18">
        <f>'12 - Deployments &amp; Config'!J450</f>
        <v>0</v>
      </c>
      <c r="F445" s="34">
        <f>'12 - Deployments &amp; Config'!K450</f>
        <v>0</v>
      </c>
      <c r="G445" s="18">
        <f>'12 - Deployments &amp; Config'!L450</f>
        <v>0</v>
      </c>
      <c r="H445" s="18">
        <f>'13 - Config_Intake_View'!M445</f>
        <v>0</v>
      </c>
      <c r="I445" s="34">
        <f>IF('13 - Config_Intake_View'!Q445&lt;&gt;"",'13 - Config_Intake_View'!Q445,'12 - Deployments &amp; Config'!BI450)</f>
        <v>0</v>
      </c>
      <c r="J445" s="18" t="str">
        <f>IF('13 - Config_Intake_View'!Q445&lt;&gt;"","PM Approved",IF('12 - Deployments &amp; Config'!BI450&lt;&gt;"","Assumed",""))</f>
        <v/>
      </c>
      <c r="K445" s="34">
        <f>'12 - Deployments &amp; Config'!BH450</f>
        <v>0</v>
      </c>
      <c r="L445" s="18">
        <f>'12 - Deployments &amp; Config'!P450</f>
        <v>0</v>
      </c>
      <c r="M445" s="18">
        <f>'12 - Deployments &amp; Config'!Q450</f>
        <v>0</v>
      </c>
      <c r="N445" s="18" t="str">
        <f>'12 - Deployments &amp; Config'!BL450</f>
        <v/>
      </c>
      <c r="O445" s="34" t="str">
        <f>'12 - Deployments &amp; Config'!BM450</f>
        <v/>
      </c>
      <c r="P445" s="2">
        <f>'12 - Deployments &amp; Config'!BB450</f>
        <v>0</v>
      </c>
      <c r="Q445" s="34" t="str">
        <f t="shared" si="24"/>
        <v/>
      </c>
      <c r="R445" s="18" t="str">
        <f t="shared" si="25"/>
        <v>SW NOT INSTALLED</v>
      </c>
      <c r="S445" s="18" t="str">
        <f t="shared" si="26"/>
        <v/>
      </c>
      <c r="T445" s="18" t="str">
        <f t="shared" si="27"/>
        <v>SW NOT INSTALLED</v>
      </c>
    </row>
    <row r="446" spans="1:20">
      <c r="A446" s="34">
        <f>'12 - Deployments &amp; Config'!H451</f>
        <v>0</v>
      </c>
      <c r="B446" s="34">
        <f>'12 - Deployments &amp; Config'!S451</f>
        <v>0</v>
      </c>
      <c r="C446" s="34">
        <f>'12 - Deployments &amp; Config'!T451</f>
        <v>0</v>
      </c>
      <c r="D446" s="18">
        <f>'12 - Deployments &amp; Config'!AK451</f>
        <v>0</v>
      </c>
      <c r="E446" s="18">
        <f>'12 - Deployments &amp; Config'!J451</f>
        <v>0</v>
      </c>
      <c r="F446" s="34">
        <f>'12 - Deployments &amp; Config'!K451</f>
        <v>0</v>
      </c>
      <c r="G446" s="18">
        <f>'12 - Deployments &amp; Config'!L451</f>
        <v>0</v>
      </c>
      <c r="H446" s="18">
        <f>'13 - Config_Intake_View'!M446</f>
        <v>0</v>
      </c>
      <c r="I446" s="34">
        <f>IF('13 - Config_Intake_View'!Q446&lt;&gt;"",'13 - Config_Intake_View'!Q446,'12 - Deployments &amp; Config'!BI451)</f>
        <v>0</v>
      </c>
      <c r="J446" s="18" t="str">
        <f>IF('13 - Config_Intake_View'!Q446&lt;&gt;"","PM Approved",IF('12 - Deployments &amp; Config'!BI451&lt;&gt;"","Assumed",""))</f>
        <v/>
      </c>
      <c r="K446" s="34">
        <f>'12 - Deployments &amp; Config'!BH451</f>
        <v>0</v>
      </c>
      <c r="L446" s="18">
        <f>'12 - Deployments &amp; Config'!P451</f>
        <v>0</v>
      </c>
      <c r="M446" s="18">
        <f>'12 - Deployments &amp; Config'!Q451</f>
        <v>0</v>
      </c>
      <c r="N446" s="18" t="str">
        <f>'12 - Deployments &amp; Config'!BL451</f>
        <v/>
      </c>
      <c r="O446" s="34" t="str">
        <f>'12 - Deployments &amp; Config'!BM451</f>
        <v/>
      </c>
      <c r="P446" s="2">
        <f>'12 - Deployments &amp; Config'!BB451</f>
        <v>0</v>
      </c>
      <c r="Q446" s="34" t="str">
        <f t="shared" si="24"/>
        <v/>
      </c>
      <c r="R446" s="18" t="str">
        <f t="shared" si="25"/>
        <v>SW NOT INSTALLED</v>
      </c>
      <c r="S446" s="18" t="str">
        <f t="shared" si="26"/>
        <v/>
      </c>
      <c r="T446" s="18" t="str">
        <f t="shared" si="27"/>
        <v>SW NOT INSTALLED</v>
      </c>
    </row>
    <row r="447" spans="1:20">
      <c r="A447" s="34">
        <f>'12 - Deployments &amp; Config'!H452</f>
        <v>0</v>
      </c>
      <c r="B447" s="34">
        <f>'12 - Deployments &amp; Config'!S452</f>
        <v>0</v>
      </c>
      <c r="C447" s="34">
        <f>'12 - Deployments &amp; Config'!T452</f>
        <v>0</v>
      </c>
      <c r="D447" s="18">
        <f>'12 - Deployments &amp; Config'!AK452</f>
        <v>0</v>
      </c>
      <c r="E447" s="18">
        <f>'12 - Deployments &amp; Config'!J452</f>
        <v>0</v>
      </c>
      <c r="F447" s="34">
        <f>'12 - Deployments &amp; Config'!K452</f>
        <v>0</v>
      </c>
      <c r="G447" s="18">
        <f>'12 - Deployments &amp; Config'!L452</f>
        <v>0</v>
      </c>
      <c r="H447" s="18">
        <f>'13 - Config_Intake_View'!M447</f>
        <v>0</v>
      </c>
      <c r="I447" s="34">
        <f>IF('13 - Config_Intake_View'!Q447&lt;&gt;"",'13 - Config_Intake_View'!Q447,'12 - Deployments &amp; Config'!BI452)</f>
        <v>0</v>
      </c>
      <c r="J447" s="18" t="str">
        <f>IF('13 - Config_Intake_View'!Q447&lt;&gt;"","PM Approved",IF('12 - Deployments &amp; Config'!BI452&lt;&gt;"","Assumed",""))</f>
        <v/>
      </c>
      <c r="K447" s="34">
        <f>'12 - Deployments &amp; Config'!BH452</f>
        <v>0</v>
      </c>
      <c r="L447" s="18">
        <f>'12 - Deployments &amp; Config'!P452</f>
        <v>0</v>
      </c>
      <c r="M447" s="18">
        <f>'12 - Deployments &amp; Config'!Q452</f>
        <v>0</v>
      </c>
      <c r="N447" s="18" t="str">
        <f>'12 - Deployments &amp; Config'!BL452</f>
        <v/>
      </c>
      <c r="O447" s="34" t="str">
        <f>'12 - Deployments &amp; Config'!BM452</f>
        <v/>
      </c>
      <c r="P447" s="2">
        <f>'12 - Deployments &amp; Config'!BB452</f>
        <v>0</v>
      </c>
      <c r="Q447" s="34" t="str">
        <f t="shared" si="24"/>
        <v/>
      </c>
      <c r="R447" s="18" t="str">
        <f t="shared" si="25"/>
        <v>SW NOT INSTALLED</v>
      </c>
      <c r="S447" s="18" t="str">
        <f t="shared" si="26"/>
        <v/>
      </c>
      <c r="T447" s="18" t="str">
        <f t="shared" si="27"/>
        <v>SW NOT INSTALLED</v>
      </c>
    </row>
    <row r="448" spans="1:20">
      <c r="A448" s="34">
        <f>'12 - Deployments &amp; Config'!H453</f>
        <v>0</v>
      </c>
      <c r="B448" s="34">
        <f>'12 - Deployments &amp; Config'!S453</f>
        <v>0</v>
      </c>
      <c r="C448" s="34">
        <f>'12 - Deployments &amp; Config'!T453</f>
        <v>0</v>
      </c>
      <c r="D448" s="18">
        <f>'12 - Deployments &amp; Config'!AK453</f>
        <v>0</v>
      </c>
      <c r="E448" s="18">
        <f>'12 - Deployments &amp; Config'!J453</f>
        <v>0</v>
      </c>
      <c r="F448" s="34">
        <f>'12 - Deployments &amp; Config'!K453</f>
        <v>0</v>
      </c>
      <c r="G448" s="18">
        <f>'12 - Deployments &amp; Config'!L453</f>
        <v>0</v>
      </c>
      <c r="H448" s="18">
        <f>'13 - Config_Intake_View'!M448</f>
        <v>0</v>
      </c>
      <c r="I448" s="34">
        <f>IF('13 - Config_Intake_View'!Q448&lt;&gt;"",'13 - Config_Intake_View'!Q448,'12 - Deployments &amp; Config'!BI453)</f>
        <v>0</v>
      </c>
      <c r="J448" s="18" t="str">
        <f>IF('13 - Config_Intake_View'!Q448&lt;&gt;"","PM Approved",IF('12 - Deployments &amp; Config'!BI453&lt;&gt;"","Assumed",""))</f>
        <v/>
      </c>
      <c r="K448" s="34">
        <f>'12 - Deployments &amp; Config'!BH453</f>
        <v>0</v>
      </c>
      <c r="L448" s="18">
        <f>'12 - Deployments &amp; Config'!P453</f>
        <v>0</v>
      </c>
      <c r="M448" s="18">
        <f>'12 - Deployments &amp; Config'!Q453</f>
        <v>0</v>
      </c>
      <c r="N448" s="18" t="str">
        <f>'12 - Deployments &amp; Config'!BL453</f>
        <v/>
      </c>
      <c r="O448" s="34" t="str">
        <f>'12 - Deployments &amp; Config'!BM453</f>
        <v/>
      </c>
      <c r="P448" s="2">
        <f>'12 - Deployments &amp; Config'!BB453</f>
        <v>0</v>
      </c>
      <c r="Q448" s="34" t="str">
        <f t="shared" si="24"/>
        <v/>
      </c>
      <c r="R448" s="18" t="str">
        <f t="shared" si="25"/>
        <v>SW NOT INSTALLED</v>
      </c>
      <c r="S448" s="18" t="str">
        <f t="shared" si="26"/>
        <v/>
      </c>
      <c r="T448" s="18" t="str">
        <f t="shared" si="27"/>
        <v>SW NOT INSTALLED</v>
      </c>
    </row>
    <row r="449" spans="1:20">
      <c r="A449" s="34">
        <f>'12 - Deployments &amp; Config'!H454</f>
        <v>0</v>
      </c>
      <c r="B449" s="34">
        <f>'12 - Deployments &amp; Config'!S454</f>
        <v>0</v>
      </c>
      <c r="C449" s="34">
        <f>'12 - Deployments &amp; Config'!T454</f>
        <v>0</v>
      </c>
      <c r="D449" s="18">
        <f>'12 - Deployments &amp; Config'!AK454</f>
        <v>0</v>
      </c>
      <c r="E449" s="18">
        <f>'12 - Deployments &amp; Config'!J454</f>
        <v>0</v>
      </c>
      <c r="F449" s="34">
        <f>'12 - Deployments &amp; Config'!K454</f>
        <v>0</v>
      </c>
      <c r="G449" s="18">
        <f>'12 - Deployments &amp; Config'!L454</f>
        <v>0</v>
      </c>
      <c r="H449" s="18">
        <f>'13 - Config_Intake_View'!M449</f>
        <v>0</v>
      </c>
      <c r="I449" s="34">
        <f>IF('13 - Config_Intake_View'!Q449&lt;&gt;"",'13 - Config_Intake_View'!Q449,'12 - Deployments &amp; Config'!BI454)</f>
        <v>0</v>
      </c>
      <c r="J449" s="18" t="str">
        <f>IF('13 - Config_Intake_View'!Q449&lt;&gt;"","PM Approved",IF('12 - Deployments &amp; Config'!BI454&lt;&gt;"","Assumed",""))</f>
        <v/>
      </c>
      <c r="K449" s="34">
        <f>'12 - Deployments &amp; Config'!BH454</f>
        <v>0</v>
      </c>
      <c r="L449" s="18">
        <f>'12 - Deployments &amp; Config'!P454</f>
        <v>0</v>
      </c>
      <c r="M449" s="18">
        <f>'12 - Deployments &amp; Config'!Q454</f>
        <v>0</v>
      </c>
      <c r="N449" s="18" t="str">
        <f>'12 - Deployments &amp; Config'!BL454</f>
        <v/>
      </c>
      <c r="O449" s="34" t="str">
        <f>'12 - Deployments &amp; Config'!BM454</f>
        <v/>
      </c>
      <c r="P449" s="2">
        <f>'12 - Deployments &amp; Config'!BB454</f>
        <v>0</v>
      </c>
      <c r="Q449" s="34" t="str">
        <f t="shared" si="24"/>
        <v/>
      </c>
      <c r="R449" s="18" t="str">
        <f t="shared" si="25"/>
        <v>SW NOT INSTALLED</v>
      </c>
      <c r="S449" s="18" t="str">
        <f t="shared" si="26"/>
        <v/>
      </c>
      <c r="T449" s="18" t="str">
        <f t="shared" si="27"/>
        <v>SW NOT INSTALLED</v>
      </c>
    </row>
    <row r="450" spans="1:20">
      <c r="A450" s="34">
        <f>'12 - Deployments &amp; Config'!H455</f>
        <v>0</v>
      </c>
      <c r="B450" s="34">
        <f>'12 - Deployments &amp; Config'!S455</f>
        <v>0</v>
      </c>
      <c r="C450" s="34">
        <f>'12 - Deployments &amp; Config'!T455</f>
        <v>0</v>
      </c>
      <c r="D450" s="18">
        <f>'12 - Deployments &amp; Config'!AK455</f>
        <v>0</v>
      </c>
      <c r="E450" s="18">
        <f>'12 - Deployments &amp; Config'!J455</f>
        <v>0</v>
      </c>
      <c r="F450" s="34">
        <f>'12 - Deployments &amp; Config'!K455</f>
        <v>0</v>
      </c>
      <c r="G450" s="18">
        <f>'12 - Deployments &amp; Config'!L455</f>
        <v>0</v>
      </c>
      <c r="H450" s="18">
        <f>'13 - Config_Intake_View'!M450</f>
        <v>0</v>
      </c>
      <c r="I450" s="34">
        <f>IF('13 - Config_Intake_View'!Q450&lt;&gt;"",'13 - Config_Intake_View'!Q450,'12 - Deployments &amp; Config'!BI455)</f>
        <v>0</v>
      </c>
      <c r="J450" s="18" t="str">
        <f>IF('13 - Config_Intake_View'!Q450&lt;&gt;"","PM Approved",IF('12 - Deployments &amp; Config'!BI455&lt;&gt;"","Assumed",""))</f>
        <v/>
      </c>
      <c r="K450" s="34">
        <f>'12 - Deployments &amp; Config'!BH455</f>
        <v>0</v>
      </c>
      <c r="L450" s="18">
        <f>'12 - Deployments &amp; Config'!P455</f>
        <v>0</v>
      </c>
      <c r="M450" s="18">
        <f>'12 - Deployments &amp; Config'!Q455</f>
        <v>0</v>
      </c>
      <c r="N450" s="18" t="str">
        <f>'12 - Deployments &amp; Config'!BL455</f>
        <v/>
      </c>
      <c r="O450" s="34" t="str">
        <f>'12 - Deployments &amp; Config'!BM455</f>
        <v/>
      </c>
      <c r="P450" s="2">
        <f>'12 - Deployments &amp; Config'!BB455</f>
        <v>0</v>
      </c>
      <c r="Q450" s="34" t="str">
        <f t="shared" ref="Q450:Q503" si="28">IF(OR($A450="",$B450="",$D450=""),"MISSING CORE FIELDS","")</f>
        <v/>
      </c>
      <c r="R450" s="18" t="str">
        <f t="shared" ref="R450:R503" si="29">IF(AND($I450&lt;&gt;"",$K450&lt;&gt;"Yes"),"SW NOT INSTALLED","")</f>
        <v>SW NOT INSTALLED</v>
      </c>
      <c r="S450" s="18" t="str">
        <f t="shared" ref="S450:S503" si="30">IF(AND($H450&lt;&gt;"",ISNUMBER(SEARCH("auto",LOWER($H450))),$F450=""),"AUTOLOGON REQUIRED","")</f>
        <v/>
      </c>
      <c r="T450" s="18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4">
        <f>'12 - Deployments &amp; Config'!H456</f>
        <v>0</v>
      </c>
      <c r="B451" s="34">
        <f>'12 - Deployments &amp; Config'!S456</f>
        <v>0</v>
      </c>
      <c r="C451" s="34">
        <f>'12 - Deployments &amp; Config'!T456</f>
        <v>0</v>
      </c>
      <c r="D451" s="18">
        <f>'12 - Deployments &amp; Config'!AK456</f>
        <v>0</v>
      </c>
      <c r="E451" s="18">
        <f>'12 - Deployments &amp; Config'!J456</f>
        <v>0</v>
      </c>
      <c r="F451" s="34">
        <f>'12 - Deployments &amp; Config'!K456</f>
        <v>0</v>
      </c>
      <c r="G451" s="18">
        <f>'12 - Deployments &amp; Config'!L456</f>
        <v>0</v>
      </c>
      <c r="H451" s="18">
        <f>'13 - Config_Intake_View'!M451</f>
        <v>0</v>
      </c>
      <c r="I451" s="34">
        <f>IF('13 - Config_Intake_View'!Q451&lt;&gt;"",'13 - Config_Intake_View'!Q451,'12 - Deployments &amp; Config'!BI456)</f>
        <v>0</v>
      </c>
      <c r="J451" s="18" t="str">
        <f>IF('13 - Config_Intake_View'!Q451&lt;&gt;"","PM Approved",IF('12 - Deployments &amp; Config'!BI456&lt;&gt;"","Assumed",""))</f>
        <v/>
      </c>
      <c r="K451" s="34">
        <f>'12 - Deployments &amp; Config'!BH456</f>
        <v>0</v>
      </c>
      <c r="L451" s="18">
        <f>'12 - Deployments &amp; Config'!P456</f>
        <v>0</v>
      </c>
      <c r="M451" s="18">
        <f>'12 - Deployments &amp; Config'!Q456</f>
        <v>0</v>
      </c>
      <c r="N451" s="18" t="str">
        <f>'12 - Deployments &amp; Config'!BL456</f>
        <v/>
      </c>
      <c r="O451" s="34" t="str">
        <f>'12 - Deployments &amp; Config'!BM456</f>
        <v/>
      </c>
      <c r="P451" s="2">
        <f>'12 - Deployments &amp; Config'!BB456</f>
        <v>0</v>
      </c>
      <c r="Q451" s="34" t="str">
        <f t="shared" si="28"/>
        <v/>
      </c>
      <c r="R451" s="18" t="str">
        <f t="shared" si="29"/>
        <v>SW NOT INSTALLED</v>
      </c>
      <c r="S451" s="18" t="str">
        <f t="shared" si="30"/>
        <v/>
      </c>
      <c r="T451" s="18" t="str">
        <f t="shared" si="31"/>
        <v>SW NOT INSTALLED</v>
      </c>
    </row>
    <row r="452" spans="1:20">
      <c r="A452" s="34">
        <f>'12 - Deployments &amp; Config'!H457</f>
        <v>0</v>
      </c>
      <c r="B452" s="34">
        <f>'12 - Deployments &amp; Config'!S457</f>
        <v>0</v>
      </c>
      <c r="C452" s="34">
        <f>'12 - Deployments &amp; Config'!T457</f>
        <v>0</v>
      </c>
      <c r="D452" s="18">
        <f>'12 - Deployments &amp; Config'!AK457</f>
        <v>0</v>
      </c>
      <c r="E452" s="18">
        <f>'12 - Deployments &amp; Config'!J457</f>
        <v>0</v>
      </c>
      <c r="F452" s="34">
        <f>'12 - Deployments &amp; Config'!K457</f>
        <v>0</v>
      </c>
      <c r="G452" s="18">
        <f>'12 - Deployments &amp; Config'!L457</f>
        <v>0</v>
      </c>
      <c r="H452" s="18">
        <f>'13 - Config_Intake_View'!M452</f>
        <v>0</v>
      </c>
      <c r="I452" s="34">
        <f>IF('13 - Config_Intake_View'!Q452&lt;&gt;"",'13 - Config_Intake_View'!Q452,'12 - Deployments &amp; Config'!BI457)</f>
        <v>0</v>
      </c>
      <c r="J452" s="18" t="str">
        <f>IF('13 - Config_Intake_View'!Q452&lt;&gt;"","PM Approved",IF('12 - Deployments &amp; Config'!BI457&lt;&gt;"","Assumed",""))</f>
        <v/>
      </c>
      <c r="K452" s="34">
        <f>'12 - Deployments &amp; Config'!BH457</f>
        <v>0</v>
      </c>
      <c r="L452" s="18">
        <f>'12 - Deployments &amp; Config'!P457</f>
        <v>0</v>
      </c>
      <c r="M452" s="18">
        <f>'12 - Deployments &amp; Config'!Q457</f>
        <v>0</v>
      </c>
      <c r="N452" s="18" t="str">
        <f>'12 - Deployments &amp; Config'!BL457</f>
        <v/>
      </c>
      <c r="O452" s="34" t="str">
        <f>'12 - Deployments &amp; Config'!BM457</f>
        <v/>
      </c>
      <c r="P452" s="2">
        <f>'12 - Deployments &amp; Config'!BB457</f>
        <v>0</v>
      </c>
      <c r="Q452" s="34" t="str">
        <f t="shared" si="28"/>
        <v/>
      </c>
      <c r="R452" s="18" t="str">
        <f t="shared" si="29"/>
        <v>SW NOT INSTALLED</v>
      </c>
      <c r="S452" s="18" t="str">
        <f t="shared" si="30"/>
        <v/>
      </c>
      <c r="T452" s="18" t="str">
        <f t="shared" si="31"/>
        <v>SW NOT INSTALLED</v>
      </c>
    </row>
    <row r="453" spans="1:20">
      <c r="A453" s="34">
        <f>'12 - Deployments &amp; Config'!H458</f>
        <v>0</v>
      </c>
      <c r="B453" s="34">
        <f>'12 - Deployments &amp; Config'!S458</f>
        <v>0</v>
      </c>
      <c r="C453" s="34">
        <f>'12 - Deployments &amp; Config'!T458</f>
        <v>0</v>
      </c>
      <c r="D453" s="18">
        <f>'12 - Deployments &amp; Config'!AK458</f>
        <v>0</v>
      </c>
      <c r="E453" s="18">
        <f>'12 - Deployments &amp; Config'!J458</f>
        <v>0</v>
      </c>
      <c r="F453" s="34">
        <f>'12 - Deployments &amp; Config'!K458</f>
        <v>0</v>
      </c>
      <c r="G453" s="18">
        <f>'12 - Deployments &amp; Config'!L458</f>
        <v>0</v>
      </c>
      <c r="H453" s="18">
        <f>'13 - Config_Intake_View'!M453</f>
        <v>0</v>
      </c>
      <c r="I453" s="34">
        <f>IF('13 - Config_Intake_View'!Q453&lt;&gt;"",'13 - Config_Intake_View'!Q453,'12 - Deployments &amp; Config'!BI458)</f>
        <v>0</v>
      </c>
      <c r="J453" s="18" t="str">
        <f>IF('13 - Config_Intake_View'!Q453&lt;&gt;"","PM Approved",IF('12 - Deployments &amp; Config'!BI458&lt;&gt;"","Assumed",""))</f>
        <v/>
      </c>
      <c r="K453" s="34">
        <f>'12 - Deployments &amp; Config'!BH458</f>
        <v>0</v>
      </c>
      <c r="L453" s="18">
        <f>'12 - Deployments &amp; Config'!P458</f>
        <v>0</v>
      </c>
      <c r="M453" s="18">
        <f>'12 - Deployments &amp; Config'!Q458</f>
        <v>0</v>
      </c>
      <c r="N453" s="18" t="str">
        <f>'12 - Deployments &amp; Config'!BL458</f>
        <v/>
      </c>
      <c r="O453" s="34" t="str">
        <f>'12 - Deployments &amp; Config'!BM458</f>
        <v/>
      </c>
      <c r="P453" s="2">
        <f>'12 - Deployments &amp; Config'!BB458</f>
        <v>0</v>
      </c>
      <c r="Q453" s="34" t="str">
        <f t="shared" si="28"/>
        <v/>
      </c>
      <c r="R453" s="18" t="str">
        <f t="shared" si="29"/>
        <v>SW NOT INSTALLED</v>
      </c>
      <c r="S453" s="18" t="str">
        <f t="shared" si="30"/>
        <v/>
      </c>
      <c r="T453" s="18" t="str">
        <f t="shared" si="31"/>
        <v>SW NOT INSTALLED</v>
      </c>
    </row>
    <row r="454" spans="1:20">
      <c r="A454" s="34">
        <f>'12 - Deployments &amp; Config'!H459</f>
        <v>0</v>
      </c>
      <c r="B454" s="34">
        <f>'12 - Deployments &amp; Config'!S459</f>
        <v>0</v>
      </c>
      <c r="C454" s="34">
        <f>'12 - Deployments &amp; Config'!T459</f>
        <v>0</v>
      </c>
      <c r="D454" s="18">
        <f>'12 - Deployments &amp; Config'!AK459</f>
        <v>0</v>
      </c>
      <c r="E454" s="18">
        <f>'12 - Deployments &amp; Config'!J459</f>
        <v>0</v>
      </c>
      <c r="F454" s="34">
        <f>'12 - Deployments &amp; Config'!K459</f>
        <v>0</v>
      </c>
      <c r="G454" s="18">
        <f>'12 - Deployments &amp; Config'!L459</f>
        <v>0</v>
      </c>
      <c r="H454" s="18">
        <f>'13 - Config_Intake_View'!M454</f>
        <v>0</v>
      </c>
      <c r="I454" s="34">
        <f>IF('13 - Config_Intake_View'!Q454&lt;&gt;"",'13 - Config_Intake_View'!Q454,'12 - Deployments &amp; Config'!BI459)</f>
        <v>0</v>
      </c>
      <c r="J454" s="18" t="str">
        <f>IF('13 - Config_Intake_View'!Q454&lt;&gt;"","PM Approved",IF('12 - Deployments &amp; Config'!BI459&lt;&gt;"","Assumed",""))</f>
        <v/>
      </c>
      <c r="K454" s="34">
        <f>'12 - Deployments &amp; Config'!BH459</f>
        <v>0</v>
      </c>
      <c r="L454" s="18">
        <f>'12 - Deployments &amp; Config'!P459</f>
        <v>0</v>
      </c>
      <c r="M454" s="18">
        <f>'12 - Deployments &amp; Config'!Q459</f>
        <v>0</v>
      </c>
      <c r="N454" s="18" t="str">
        <f>'12 - Deployments &amp; Config'!BL459</f>
        <v/>
      </c>
      <c r="O454" s="34" t="str">
        <f>'12 - Deployments &amp; Config'!BM459</f>
        <v/>
      </c>
      <c r="P454" s="2">
        <f>'12 - Deployments &amp; Config'!BB459</f>
        <v>0</v>
      </c>
      <c r="Q454" s="34" t="str">
        <f t="shared" si="28"/>
        <v/>
      </c>
      <c r="R454" s="18" t="str">
        <f t="shared" si="29"/>
        <v>SW NOT INSTALLED</v>
      </c>
      <c r="S454" s="18" t="str">
        <f t="shared" si="30"/>
        <v/>
      </c>
      <c r="T454" s="18" t="str">
        <f t="shared" si="31"/>
        <v>SW NOT INSTALLED</v>
      </c>
    </row>
    <row r="455" spans="1:20">
      <c r="A455" s="34">
        <f>'12 - Deployments &amp; Config'!H460</f>
        <v>0</v>
      </c>
      <c r="B455" s="34">
        <f>'12 - Deployments &amp; Config'!S460</f>
        <v>0</v>
      </c>
      <c r="C455" s="34">
        <f>'12 - Deployments &amp; Config'!T460</f>
        <v>0</v>
      </c>
      <c r="D455" s="18">
        <f>'12 - Deployments &amp; Config'!AK460</f>
        <v>0</v>
      </c>
      <c r="E455" s="18">
        <f>'12 - Deployments &amp; Config'!J460</f>
        <v>0</v>
      </c>
      <c r="F455" s="34">
        <f>'12 - Deployments &amp; Config'!K460</f>
        <v>0</v>
      </c>
      <c r="G455" s="18">
        <f>'12 - Deployments &amp; Config'!L460</f>
        <v>0</v>
      </c>
      <c r="H455" s="18">
        <f>'13 - Config_Intake_View'!M455</f>
        <v>0</v>
      </c>
      <c r="I455" s="34">
        <f>IF('13 - Config_Intake_View'!Q455&lt;&gt;"",'13 - Config_Intake_View'!Q455,'12 - Deployments &amp; Config'!BI460)</f>
        <v>0</v>
      </c>
      <c r="J455" s="18" t="str">
        <f>IF('13 - Config_Intake_View'!Q455&lt;&gt;"","PM Approved",IF('12 - Deployments &amp; Config'!BI460&lt;&gt;"","Assumed",""))</f>
        <v/>
      </c>
      <c r="K455" s="34">
        <f>'12 - Deployments &amp; Config'!BH460</f>
        <v>0</v>
      </c>
      <c r="L455" s="18">
        <f>'12 - Deployments &amp; Config'!P460</f>
        <v>0</v>
      </c>
      <c r="M455" s="18">
        <f>'12 - Deployments &amp; Config'!Q460</f>
        <v>0</v>
      </c>
      <c r="N455" s="18" t="str">
        <f>'12 - Deployments &amp; Config'!BL460</f>
        <v/>
      </c>
      <c r="O455" s="34" t="str">
        <f>'12 - Deployments &amp; Config'!BM460</f>
        <v/>
      </c>
      <c r="P455" s="2">
        <f>'12 - Deployments &amp; Config'!BB460</f>
        <v>0</v>
      </c>
      <c r="Q455" s="34" t="str">
        <f t="shared" si="28"/>
        <v/>
      </c>
      <c r="R455" s="18" t="str">
        <f t="shared" si="29"/>
        <v>SW NOT INSTALLED</v>
      </c>
      <c r="S455" s="18" t="str">
        <f t="shared" si="30"/>
        <v/>
      </c>
      <c r="T455" s="18" t="str">
        <f t="shared" si="31"/>
        <v>SW NOT INSTALLED</v>
      </c>
    </row>
    <row r="456" spans="1:20">
      <c r="A456" s="34">
        <f>'12 - Deployments &amp; Config'!H461</f>
        <v>0</v>
      </c>
      <c r="B456" s="34">
        <f>'12 - Deployments &amp; Config'!S461</f>
        <v>0</v>
      </c>
      <c r="C456" s="34">
        <f>'12 - Deployments &amp; Config'!T461</f>
        <v>0</v>
      </c>
      <c r="D456" s="18">
        <f>'12 - Deployments &amp; Config'!AK461</f>
        <v>0</v>
      </c>
      <c r="E456" s="18">
        <f>'12 - Deployments &amp; Config'!J461</f>
        <v>0</v>
      </c>
      <c r="F456" s="34">
        <f>'12 - Deployments &amp; Config'!K461</f>
        <v>0</v>
      </c>
      <c r="G456" s="18">
        <f>'12 - Deployments &amp; Config'!L461</f>
        <v>0</v>
      </c>
      <c r="H456" s="18">
        <f>'13 - Config_Intake_View'!M456</f>
        <v>0</v>
      </c>
      <c r="I456" s="34">
        <f>IF('13 - Config_Intake_View'!Q456&lt;&gt;"",'13 - Config_Intake_View'!Q456,'12 - Deployments &amp; Config'!BI461)</f>
        <v>0</v>
      </c>
      <c r="J456" s="18" t="str">
        <f>IF('13 - Config_Intake_View'!Q456&lt;&gt;"","PM Approved",IF('12 - Deployments &amp; Config'!BI461&lt;&gt;"","Assumed",""))</f>
        <v/>
      </c>
      <c r="K456" s="34">
        <f>'12 - Deployments &amp; Config'!BH461</f>
        <v>0</v>
      </c>
      <c r="L456" s="18">
        <f>'12 - Deployments &amp; Config'!P461</f>
        <v>0</v>
      </c>
      <c r="M456" s="18">
        <f>'12 - Deployments &amp; Config'!Q461</f>
        <v>0</v>
      </c>
      <c r="N456" s="18" t="str">
        <f>'12 - Deployments &amp; Config'!BL461</f>
        <v/>
      </c>
      <c r="O456" s="34" t="str">
        <f>'12 - Deployments &amp; Config'!BM461</f>
        <v/>
      </c>
      <c r="P456" s="2">
        <f>'12 - Deployments &amp; Config'!BB461</f>
        <v>0</v>
      </c>
      <c r="Q456" s="34" t="str">
        <f t="shared" si="28"/>
        <v/>
      </c>
      <c r="R456" s="18" t="str">
        <f t="shared" si="29"/>
        <v>SW NOT INSTALLED</v>
      </c>
      <c r="S456" s="18" t="str">
        <f t="shared" si="30"/>
        <v/>
      </c>
      <c r="T456" s="18" t="str">
        <f t="shared" si="31"/>
        <v>SW NOT INSTALLED</v>
      </c>
    </row>
    <row r="457" spans="1:20">
      <c r="A457" s="34">
        <f>'12 - Deployments &amp; Config'!H462</f>
        <v>0</v>
      </c>
      <c r="B457" s="34">
        <f>'12 - Deployments &amp; Config'!S462</f>
        <v>0</v>
      </c>
      <c r="C457" s="34">
        <f>'12 - Deployments &amp; Config'!T462</f>
        <v>0</v>
      </c>
      <c r="D457" s="18">
        <f>'12 - Deployments &amp; Config'!AK462</f>
        <v>0</v>
      </c>
      <c r="E457" s="18">
        <f>'12 - Deployments &amp; Config'!J462</f>
        <v>0</v>
      </c>
      <c r="F457" s="34">
        <f>'12 - Deployments &amp; Config'!K462</f>
        <v>0</v>
      </c>
      <c r="G457" s="18">
        <f>'12 - Deployments &amp; Config'!L462</f>
        <v>0</v>
      </c>
      <c r="H457" s="18">
        <f>'13 - Config_Intake_View'!M457</f>
        <v>0</v>
      </c>
      <c r="I457" s="34">
        <f>IF('13 - Config_Intake_View'!Q457&lt;&gt;"",'13 - Config_Intake_View'!Q457,'12 - Deployments &amp; Config'!BI462)</f>
        <v>0</v>
      </c>
      <c r="J457" s="18" t="str">
        <f>IF('13 - Config_Intake_View'!Q457&lt;&gt;"","PM Approved",IF('12 - Deployments &amp; Config'!BI462&lt;&gt;"","Assumed",""))</f>
        <v/>
      </c>
      <c r="K457" s="34">
        <f>'12 - Deployments &amp; Config'!BH462</f>
        <v>0</v>
      </c>
      <c r="L457" s="18">
        <f>'12 - Deployments &amp; Config'!P462</f>
        <v>0</v>
      </c>
      <c r="M457" s="18">
        <f>'12 - Deployments &amp; Config'!Q462</f>
        <v>0</v>
      </c>
      <c r="N457" s="18" t="str">
        <f>'12 - Deployments &amp; Config'!BL462</f>
        <v/>
      </c>
      <c r="O457" s="34" t="str">
        <f>'12 - Deployments &amp; Config'!BM462</f>
        <v/>
      </c>
      <c r="P457" s="2">
        <f>'12 - Deployments &amp; Config'!BB462</f>
        <v>0</v>
      </c>
      <c r="Q457" s="34" t="str">
        <f t="shared" si="28"/>
        <v/>
      </c>
      <c r="R457" s="18" t="str">
        <f t="shared" si="29"/>
        <v>SW NOT INSTALLED</v>
      </c>
      <c r="S457" s="18" t="str">
        <f t="shared" si="30"/>
        <v/>
      </c>
      <c r="T457" s="18" t="str">
        <f t="shared" si="31"/>
        <v>SW NOT INSTALLED</v>
      </c>
    </row>
    <row r="458" spans="1:20">
      <c r="A458" s="34">
        <f>'12 - Deployments &amp; Config'!H463</f>
        <v>0</v>
      </c>
      <c r="B458" s="34">
        <f>'12 - Deployments &amp; Config'!S463</f>
        <v>0</v>
      </c>
      <c r="C458" s="34">
        <f>'12 - Deployments &amp; Config'!T463</f>
        <v>0</v>
      </c>
      <c r="D458" s="18">
        <f>'12 - Deployments &amp; Config'!AK463</f>
        <v>0</v>
      </c>
      <c r="E458" s="18">
        <f>'12 - Deployments &amp; Config'!J463</f>
        <v>0</v>
      </c>
      <c r="F458" s="34">
        <f>'12 - Deployments &amp; Config'!K463</f>
        <v>0</v>
      </c>
      <c r="G458" s="18">
        <f>'12 - Deployments &amp; Config'!L463</f>
        <v>0</v>
      </c>
      <c r="H458" s="18">
        <f>'13 - Config_Intake_View'!M458</f>
        <v>0</v>
      </c>
      <c r="I458" s="34">
        <f>IF('13 - Config_Intake_View'!Q458&lt;&gt;"",'13 - Config_Intake_View'!Q458,'12 - Deployments &amp; Config'!BI463)</f>
        <v>0</v>
      </c>
      <c r="J458" s="18" t="str">
        <f>IF('13 - Config_Intake_View'!Q458&lt;&gt;"","PM Approved",IF('12 - Deployments &amp; Config'!BI463&lt;&gt;"","Assumed",""))</f>
        <v/>
      </c>
      <c r="K458" s="34">
        <f>'12 - Deployments &amp; Config'!BH463</f>
        <v>0</v>
      </c>
      <c r="L458" s="18">
        <f>'12 - Deployments &amp; Config'!P463</f>
        <v>0</v>
      </c>
      <c r="M458" s="18">
        <f>'12 - Deployments &amp; Config'!Q463</f>
        <v>0</v>
      </c>
      <c r="N458" s="18" t="str">
        <f>'12 - Deployments &amp; Config'!BL463</f>
        <v/>
      </c>
      <c r="O458" s="34" t="str">
        <f>'12 - Deployments &amp; Config'!BM463</f>
        <v/>
      </c>
      <c r="P458" s="2">
        <f>'12 - Deployments &amp; Config'!BB463</f>
        <v>0</v>
      </c>
      <c r="Q458" s="34" t="str">
        <f t="shared" si="28"/>
        <v/>
      </c>
      <c r="R458" s="18" t="str">
        <f t="shared" si="29"/>
        <v>SW NOT INSTALLED</v>
      </c>
      <c r="S458" s="18" t="str">
        <f t="shared" si="30"/>
        <v/>
      </c>
      <c r="T458" s="18" t="str">
        <f t="shared" si="31"/>
        <v>SW NOT INSTALLED</v>
      </c>
    </row>
    <row r="459" spans="1:20">
      <c r="A459" s="34">
        <f>'12 - Deployments &amp; Config'!H464</f>
        <v>0</v>
      </c>
      <c r="B459" s="34">
        <f>'12 - Deployments &amp; Config'!S464</f>
        <v>0</v>
      </c>
      <c r="C459" s="34">
        <f>'12 - Deployments &amp; Config'!T464</f>
        <v>0</v>
      </c>
      <c r="D459" s="18">
        <f>'12 - Deployments &amp; Config'!AK464</f>
        <v>0</v>
      </c>
      <c r="E459" s="18">
        <f>'12 - Deployments &amp; Config'!J464</f>
        <v>0</v>
      </c>
      <c r="F459" s="34">
        <f>'12 - Deployments &amp; Config'!K464</f>
        <v>0</v>
      </c>
      <c r="G459" s="18">
        <f>'12 - Deployments &amp; Config'!L464</f>
        <v>0</v>
      </c>
      <c r="H459" s="18">
        <f>'13 - Config_Intake_View'!M459</f>
        <v>0</v>
      </c>
      <c r="I459" s="34">
        <f>IF('13 - Config_Intake_View'!Q459&lt;&gt;"",'13 - Config_Intake_View'!Q459,'12 - Deployments &amp; Config'!BI464)</f>
        <v>0</v>
      </c>
      <c r="J459" s="18" t="str">
        <f>IF('13 - Config_Intake_View'!Q459&lt;&gt;"","PM Approved",IF('12 - Deployments &amp; Config'!BI464&lt;&gt;"","Assumed",""))</f>
        <v/>
      </c>
      <c r="K459" s="34">
        <f>'12 - Deployments &amp; Config'!BH464</f>
        <v>0</v>
      </c>
      <c r="L459" s="18">
        <f>'12 - Deployments &amp; Config'!P464</f>
        <v>0</v>
      </c>
      <c r="M459" s="18">
        <f>'12 - Deployments &amp; Config'!Q464</f>
        <v>0</v>
      </c>
      <c r="N459" s="18" t="str">
        <f>'12 - Deployments &amp; Config'!BL464</f>
        <v/>
      </c>
      <c r="O459" s="34" t="str">
        <f>'12 - Deployments &amp; Config'!BM464</f>
        <v/>
      </c>
      <c r="P459" s="2">
        <f>'12 - Deployments &amp; Config'!BB464</f>
        <v>0</v>
      </c>
      <c r="Q459" s="34" t="str">
        <f t="shared" si="28"/>
        <v/>
      </c>
      <c r="R459" s="18" t="str">
        <f t="shared" si="29"/>
        <v>SW NOT INSTALLED</v>
      </c>
      <c r="S459" s="18" t="str">
        <f t="shared" si="30"/>
        <v/>
      </c>
      <c r="T459" s="18" t="str">
        <f t="shared" si="31"/>
        <v>SW NOT INSTALLED</v>
      </c>
    </row>
    <row r="460" spans="1:20">
      <c r="A460" s="34">
        <f>'12 - Deployments &amp; Config'!H465</f>
        <v>0</v>
      </c>
      <c r="B460" s="34">
        <f>'12 - Deployments &amp; Config'!S465</f>
        <v>0</v>
      </c>
      <c r="C460" s="34">
        <f>'12 - Deployments &amp; Config'!T465</f>
        <v>0</v>
      </c>
      <c r="D460" s="18">
        <f>'12 - Deployments &amp; Config'!AK465</f>
        <v>0</v>
      </c>
      <c r="E460" s="18">
        <f>'12 - Deployments &amp; Config'!J465</f>
        <v>0</v>
      </c>
      <c r="F460" s="34">
        <f>'12 - Deployments &amp; Config'!K465</f>
        <v>0</v>
      </c>
      <c r="G460" s="18">
        <f>'12 - Deployments &amp; Config'!L465</f>
        <v>0</v>
      </c>
      <c r="H460" s="18">
        <f>'13 - Config_Intake_View'!M460</f>
        <v>0</v>
      </c>
      <c r="I460" s="34">
        <f>IF('13 - Config_Intake_View'!Q460&lt;&gt;"",'13 - Config_Intake_View'!Q460,'12 - Deployments &amp; Config'!BI465)</f>
        <v>0</v>
      </c>
      <c r="J460" s="18" t="str">
        <f>IF('13 - Config_Intake_View'!Q460&lt;&gt;"","PM Approved",IF('12 - Deployments &amp; Config'!BI465&lt;&gt;"","Assumed",""))</f>
        <v/>
      </c>
      <c r="K460" s="34">
        <f>'12 - Deployments &amp; Config'!BH465</f>
        <v>0</v>
      </c>
      <c r="L460" s="18">
        <f>'12 - Deployments &amp; Config'!P465</f>
        <v>0</v>
      </c>
      <c r="M460" s="18">
        <f>'12 - Deployments &amp; Config'!Q465</f>
        <v>0</v>
      </c>
      <c r="N460" s="18" t="str">
        <f>'12 - Deployments &amp; Config'!BL465</f>
        <v/>
      </c>
      <c r="O460" s="34" t="str">
        <f>'12 - Deployments &amp; Config'!BM465</f>
        <v/>
      </c>
      <c r="P460" s="2">
        <f>'12 - Deployments &amp; Config'!BB465</f>
        <v>0</v>
      </c>
      <c r="Q460" s="34" t="str">
        <f t="shared" si="28"/>
        <v/>
      </c>
      <c r="R460" s="18" t="str">
        <f t="shared" si="29"/>
        <v>SW NOT INSTALLED</v>
      </c>
      <c r="S460" s="18" t="str">
        <f t="shared" si="30"/>
        <v/>
      </c>
      <c r="T460" s="18" t="str">
        <f t="shared" si="31"/>
        <v>SW NOT INSTALLED</v>
      </c>
    </row>
    <row r="461" spans="1:20">
      <c r="A461" s="34">
        <f>'12 - Deployments &amp; Config'!H466</f>
        <v>0</v>
      </c>
      <c r="B461" s="34">
        <f>'12 - Deployments &amp; Config'!S466</f>
        <v>0</v>
      </c>
      <c r="C461" s="34">
        <f>'12 - Deployments &amp; Config'!T466</f>
        <v>0</v>
      </c>
      <c r="D461" s="18">
        <f>'12 - Deployments &amp; Config'!AK466</f>
        <v>0</v>
      </c>
      <c r="E461" s="18">
        <f>'12 - Deployments &amp; Config'!J466</f>
        <v>0</v>
      </c>
      <c r="F461" s="34">
        <f>'12 - Deployments &amp; Config'!K466</f>
        <v>0</v>
      </c>
      <c r="G461" s="18">
        <f>'12 - Deployments &amp; Config'!L466</f>
        <v>0</v>
      </c>
      <c r="H461" s="18">
        <f>'13 - Config_Intake_View'!M461</f>
        <v>0</v>
      </c>
      <c r="I461" s="34">
        <f>IF('13 - Config_Intake_View'!Q461&lt;&gt;"",'13 - Config_Intake_View'!Q461,'12 - Deployments &amp; Config'!BI466)</f>
        <v>0</v>
      </c>
      <c r="J461" s="18" t="str">
        <f>IF('13 - Config_Intake_View'!Q461&lt;&gt;"","PM Approved",IF('12 - Deployments &amp; Config'!BI466&lt;&gt;"","Assumed",""))</f>
        <v/>
      </c>
      <c r="K461" s="34">
        <f>'12 - Deployments &amp; Config'!BH466</f>
        <v>0</v>
      </c>
      <c r="L461" s="18">
        <f>'12 - Deployments &amp; Config'!P466</f>
        <v>0</v>
      </c>
      <c r="M461" s="18">
        <f>'12 - Deployments &amp; Config'!Q466</f>
        <v>0</v>
      </c>
      <c r="N461" s="18" t="str">
        <f>'12 - Deployments &amp; Config'!BL466</f>
        <v/>
      </c>
      <c r="O461" s="34" t="str">
        <f>'12 - Deployments &amp; Config'!BM466</f>
        <v/>
      </c>
      <c r="P461" s="2">
        <f>'12 - Deployments &amp; Config'!BB466</f>
        <v>0</v>
      </c>
      <c r="Q461" s="34" t="str">
        <f t="shared" si="28"/>
        <v/>
      </c>
      <c r="R461" s="18" t="str">
        <f t="shared" si="29"/>
        <v>SW NOT INSTALLED</v>
      </c>
      <c r="S461" s="18" t="str">
        <f t="shared" si="30"/>
        <v/>
      </c>
      <c r="T461" s="18" t="str">
        <f t="shared" si="31"/>
        <v>SW NOT INSTALLED</v>
      </c>
    </row>
    <row r="462" spans="1:20">
      <c r="A462" s="34">
        <f>'12 - Deployments &amp; Config'!H467</f>
        <v>0</v>
      </c>
      <c r="B462" s="34">
        <f>'12 - Deployments &amp; Config'!S467</f>
        <v>0</v>
      </c>
      <c r="C462" s="34">
        <f>'12 - Deployments &amp; Config'!T467</f>
        <v>0</v>
      </c>
      <c r="D462" s="18">
        <f>'12 - Deployments &amp; Config'!AK467</f>
        <v>0</v>
      </c>
      <c r="E462" s="18">
        <f>'12 - Deployments &amp; Config'!J467</f>
        <v>0</v>
      </c>
      <c r="F462" s="34">
        <f>'12 - Deployments &amp; Config'!K467</f>
        <v>0</v>
      </c>
      <c r="G462" s="18">
        <f>'12 - Deployments &amp; Config'!L467</f>
        <v>0</v>
      </c>
      <c r="H462" s="18">
        <f>'13 - Config_Intake_View'!M462</f>
        <v>0</v>
      </c>
      <c r="I462" s="34">
        <f>IF('13 - Config_Intake_View'!Q462&lt;&gt;"",'13 - Config_Intake_View'!Q462,'12 - Deployments &amp; Config'!BI467)</f>
        <v>0</v>
      </c>
      <c r="J462" s="18" t="str">
        <f>IF('13 - Config_Intake_View'!Q462&lt;&gt;"","PM Approved",IF('12 - Deployments &amp; Config'!BI467&lt;&gt;"","Assumed",""))</f>
        <v/>
      </c>
      <c r="K462" s="34">
        <f>'12 - Deployments &amp; Config'!BH467</f>
        <v>0</v>
      </c>
      <c r="L462" s="18">
        <f>'12 - Deployments &amp; Config'!P467</f>
        <v>0</v>
      </c>
      <c r="M462" s="18">
        <f>'12 - Deployments &amp; Config'!Q467</f>
        <v>0</v>
      </c>
      <c r="N462" s="18" t="str">
        <f>'12 - Deployments &amp; Config'!BL467</f>
        <v/>
      </c>
      <c r="O462" s="34" t="str">
        <f>'12 - Deployments &amp; Config'!BM467</f>
        <v/>
      </c>
      <c r="P462" s="2">
        <f>'12 - Deployments &amp; Config'!BB467</f>
        <v>0</v>
      </c>
      <c r="Q462" s="34" t="str">
        <f t="shared" si="28"/>
        <v/>
      </c>
      <c r="R462" s="18" t="str">
        <f t="shared" si="29"/>
        <v>SW NOT INSTALLED</v>
      </c>
      <c r="S462" s="18" t="str">
        <f t="shared" si="30"/>
        <v/>
      </c>
      <c r="T462" s="18" t="str">
        <f t="shared" si="31"/>
        <v>SW NOT INSTALLED</v>
      </c>
    </row>
    <row r="463" spans="1:20">
      <c r="A463" s="34">
        <f>'12 - Deployments &amp; Config'!H468</f>
        <v>0</v>
      </c>
      <c r="B463" s="34">
        <f>'12 - Deployments &amp; Config'!S468</f>
        <v>0</v>
      </c>
      <c r="C463" s="34">
        <f>'12 - Deployments &amp; Config'!T468</f>
        <v>0</v>
      </c>
      <c r="D463" s="18">
        <f>'12 - Deployments &amp; Config'!AK468</f>
        <v>0</v>
      </c>
      <c r="E463" s="18">
        <f>'12 - Deployments &amp; Config'!J468</f>
        <v>0</v>
      </c>
      <c r="F463" s="34">
        <f>'12 - Deployments &amp; Config'!K468</f>
        <v>0</v>
      </c>
      <c r="G463" s="18">
        <f>'12 - Deployments &amp; Config'!L468</f>
        <v>0</v>
      </c>
      <c r="H463" s="18">
        <f>'13 - Config_Intake_View'!M463</f>
        <v>0</v>
      </c>
      <c r="I463" s="34">
        <f>IF('13 - Config_Intake_View'!Q463&lt;&gt;"",'13 - Config_Intake_View'!Q463,'12 - Deployments &amp; Config'!BI468)</f>
        <v>0</v>
      </c>
      <c r="J463" s="18" t="str">
        <f>IF('13 - Config_Intake_View'!Q463&lt;&gt;"","PM Approved",IF('12 - Deployments &amp; Config'!BI468&lt;&gt;"","Assumed",""))</f>
        <v/>
      </c>
      <c r="K463" s="34">
        <f>'12 - Deployments &amp; Config'!BH468</f>
        <v>0</v>
      </c>
      <c r="L463" s="18">
        <f>'12 - Deployments &amp; Config'!P468</f>
        <v>0</v>
      </c>
      <c r="M463" s="18">
        <f>'12 - Deployments &amp; Config'!Q468</f>
        <v>0</v>
      </c>
      <c r="N463" s="18" t="str">
        <f>'12 - Deployments &amp; Config'!BL468</f>
        <v/>
      </c>
      <c r="O463" s="34" t="str">
        <f>'12 - Deployments &amp; Config'!BM468</f>
        <v/>
      </c>
      <c r="P463" s="2">
        <f>'12 - Deployments &amp; Config'!BB468</f>
        <v>0</v>
      </c>
      <c r="Q463" s="34" t="str">
        <f t="shared" si="28"/>
        <v/>
      </c>
      <c r="R463" s="18" t="str">
        <f t="shared" si="29"/>
        <v>SW NOT INSTALLED</v>
      </c>
      <c r="S463" s="18" t="str">
        <f t="shared" si="30"/>
        <v/>
      </c>
      <c r="T463" s="18" t="str">
        <f t="shared" si="31"/>
        <v>SW NOT INSTALLED</v>
      </c>
    </row>
    <row r="464" spans="1:20">
      <c r="A464" s="34">
        <f>'12 - Deployments &amp; Config'!H469</f>
        <v>0</v>
      </c>
      <c r="B464" s="34">
        <f>'12 - Deployments &amp; Config'!S469</f>
        <v>0</v>
      </c>
      <c r="C464" s="34">
        <f>'12 - Deployments &amp; Config'!T469</f>
        <v>0</v>
      </c>
      <c r="D464" s="18">
        <f>'12 - Deployments &amp; Config'!AK469</f>
        <v>0</v>
      </c>
      <c r="E464" s="18">
        <f>'12 - Deployments &amp; Config'!J469</f>
        <v>0</v>
      </c>
      <c r="F464" s="34">
        <f>'12 - Deployments &amp; Config'!K469</f>
        <v>0</v>
      </c>
      <c r="G464" s="18">
        <f>'12 - Deployments &amp; Config'!L469</f>
        <v>0</v>
      </c>
      <c r="H464" s="18">
        <f>'13 - Config_Intake_View'!M464</f>
        <v>0</v>
      </c>
      <c r="I464" s="34">
        <f>IF('13 - Config_Intake_View'!Q464&lt;&gt;"",'13 - Config_Intake_View'!Q464,'12 - Deployments &amp; Config'!BI469)</f>
        <v>0</v>
      </c>
      <c r="J464" s="18" t="str">
        <f>IF('13 - Config_Intake_View'!Q464&lt;&gt;"","PM Approved",IF('12 - Deployments &amp; Config'!BI469&lt;&gt;"","Assumed",""))</f>
        <v/>
      </c>
      <c r="K464" s="34">
        <f>'12 - Deployments &amp; Config'!BH469</f>
        <v>0</v>
      </c>
      <c r="L464" s="18">
        <f>'12 - Deployments &amp; Config'!P469</f>
        <v>0</v>
      </c>
      <c r="M464" s="18">
        <f>'12 - Deployments &amp; Config'!Q469</f>
        <v>0</v>
      </c>
      <c r="N464" s="18" t="str">
        <f>'12 - Deployments &amp; Config'!BL469</f>
        <v/>
      </c>
      <c r="O464" s="34" t="str">
        <f>'12 - Deployments &amp; Config'!BM469</f>
        <v/>
      </c>
      <c r="P464" s="2">
        <f>'12 - Deployments &amp; Config'!BB469</f>
        <v>0</v>
      </c>
      <c r="Q464" s="34" t="str">
        <f t="shared" si="28"/>
        <v/>
      </c>
      <c r="R464" s="18" t="str">
        <f t="shared" si="29"/>
        <v>SW NOT INSTALLED</v>
      </c>
      <c r="S464" s="18" t="str">
        <f t="shared" si="30"/>
        <v/>
      </c>
      <c r="T464" s="18" t="str">
        <f t="shared" si="31"/>
        <v>SW NOT INSTALLED</v>
      </c>
    </row>
    <row r="465" spans="1:20">
      <c r="A465" s="34">
        <f>'12 - Deployments &amp; Config'!H470</f>
        <v>0</v>
      </c>
      <c r="B465" s="34">
        <f>'12 - Deployments &amp; Config'!S470</f>
        <v>0</v>
      </c>
      <c r="C465" s="34">
        <f>'12 - Deployments &amp; Config'!T470</f>
        <v>0</v>
      </c>
      <c r="D465" s="18">
        <f>'12 - Deployments &amp; Config'!AK470</f>
        <v>0</v>
      </c>
      <c r="E465" s="18">
        <f>'12 - Deployments &amp; Config'!J470</f>
        <v>0</v>
      </c>
      <c r="F465" s="34">
        <f>'12 - Deployments &amp; Config'!K470</f>
        <v>0</v>
      </c>
      <c r="G465" s="18">
        <f>'12 - Deployments &amp; Config'!L470</f>
        <v>0</v>
      </c>
      <c r="H465" s="18">
        <f>'13 - Config_Intake_View'!M465</f>
        <v>0</v>
      </c>
      <c r="I465" s="34">
        <f>IF('13 - Config_Intake_View'!Q465&lt;&gt;"",'13 - Config_Intake_View'!Q465,'12 - Deployments &amp; Config'!BI470)</f>
        <v>0</v>
      </c>
      <c r="J465" s="18" t="str">
        <f>IF('13 - Config_Intake_View'!Q465&lt;&gt;"","PM Approved",IF('12 - Deployments &amp; Config'!BI470&lt;&gt;"","Assumed",""))</f>
        <v/>
      </c>
      <c r="K465" s="34">
        <f>'12 - Deployments &amp; Config'!BH470</f>
        <v>0</v>
      </c>
      <c r="L465" s="18">
        <f>'12 - Deployments &amp; Config'!P470</f>
        <v>0</v>
      </c>
      <c r="M465" s="18">
        <f>'12 - Deployments &amp; Config'!Q470</f>
        <v>0</v>
      </c>
      <c r="N465" s="18" t="str">
        <f>'12 - Deployments &amp; Config'!BL470</f>
        <v/>
      </c>
      <c r="O465" s="34" t="str">
        <f>'12 - Deployments &amp; Config'!BM470</f>
        <v/>
      </c>
      <c r="P465" s="2">
        <f>'12 - Deployments &amp; Config'!BB470</f>
        <v>0</v>
      </c>
      <c r="Q465" s="34" t="str">
        <f t="shared" si="28"/>
        <v/>
      </c>
      <c r="R465" s="18" t="str">
        <f t="shared" si="29"/>
        <v>SW NOT INSTALLED</v>
      </c>
      <c r="S465" s="18" t="str">
        <f t="shared" si="30"/>
        <v/>
      </c>
      <c r="T465" s="18" t="str">
        <f t="shared" si="31"/>
        <v>SW NOT INSTALLED</v>
      </c>
    </row>
    <row r="466" spans="1:20">
      <c r="A466" s="34">
        <f>'12 - Deployments &amp; Config'!H471</f>
        <v>0</v>
      </c>
      <c r="B466" s="34">
        <f>'12 - Deployments &amp; Config'!S471</f>
        <v>0</v>
      </c>
      <c r="C466" s="34">
        <f>'12 - Deployments &amp; Config'!T471</f>
        <v>0</v>
      </c>
      <c r="D466" s="18">
        <f>'12 - Deployments &amp; Config'!AK471</f>
        <v>0</v>
      </c>
      <c r="E466" s="18">
        <f>'12 - Deployments &amp; Config'!J471</f>
        <v>0</v>
      </c>
      <c r="F466" s="34">
        <f>'12 - Deployments &amp; Config'!K471</f>
        <v>0</v>
      </c>
      <c r="G466" s="18">
        <f>'12 - Deployments &amp; Config'!L471</f>
        <v>0</v>
      </c>
      <c r="H466" s="18">
        <f>'13 - Config_Intake_View'!M466</f>
        <v>0</v>
      </c>
      <c r="I466" s="34">
        <f>IF('13 - Config_Intake_View'!Q466&lt;&gt;"",'13 - Config_Intake_View'!Q466,'12 - Deployments &amp; Config'!BI471)</f>
        <v>0</v>
      </c>
      <c r="J466" s="18" t="str">
        <f>IF('13 - Config_Intake_View'!Q466&lt;&gt;"","PM Approved",IF('12 - Deployments &amp; Config'!BI471&lt;&gt;"","Assumed",""))</f>
        <v/>
      </c>
      <c r="K466" s="34">
        <f>'12 - Deployments &amp; Config'!BH471</f>
        <v>0</v>
      </c>
      <c r="L466" s="18">
        <f>'12 - Deployments &amp; Config'!P471</f>
        <v>0</v>
      </c>
      <c r="M466" s="18">
        <f>'12 - Deployments &amp; Config'!Q471</f>
        <v>0</v>
      </c>
      <c r="N466" s="18" t="str">
        <f>'12 - Deployments &amp; Config'!BL471</f>
        <v/>
      </c>
      <c r="O466" s="34" t="str">
        <f>'12 - Deployments &amp; Config'!BM471</f>
        <v/>
      </c>
      <c r="P466" s="2">
        <f>'12 - Deployments &amp; Config'!BB471</f>
        <v>0</v>
      </c>
      <c r="Q466" s="34" t="str">
        <f t="shared" si="28"/>
        <v/>
      </c>
      <c r="R466" s="18" t="str">
        <f t="shared" si="29"/>
        <v>SW NOT INSTALLED</v>
      </c>
      <c r="S466" s="18" t="str">
        <f t="shared" si="30"/>
        <v/>
      </c>
      <c r="T466" s="18" t="str">
        <f t="shared" si="31"/>
        <v>SW NOT INSTALLED</v>
      </c>
    </row>
    <row r="467" spans="1:20">
      <c r="A467" s="34">
        <f>'12 - Deployments &amp; Config'!H472</f>
        <v>0</v>
      </c>
      <c r="B467" s="34">
        <f>'12 - Deployments &amp; Config'!S472</f>
        <v>0</v>
      </c>
      <c r="C467" s="34">
        <f>'12 - Deployments &amp; Config'!T472</f>
        <v>0</v>
      </c>
      <c r="D467" s="18">
        <f>'12 - Deployments &amp; Config'!AK472</f>
        <v>0</v>
      </c>
      <c r="E467" s="18">
        <f>'12 - Deployments &amp; Config'!J472</f>
        <v>0</v>
      </c>
      <c r="F467" s="34">
        <f>'12 - Deployments &amp; Config'!K472</f>
        <v>0</v>
      </c>
      <c r="G467" s="18">
        <f>'12 - Deployments &amp; Config'!L472</f>
        <v>0</v>
      </c>
      <c r="H467" s="18">
        <f>'13 - Config_Intake_View'!M467</f>
        <v>0</v>
      </c>
      <c r="I467" s="34">
        <f>IF('13 - Config_Intake_View'!Q467&lt;&gt;"",'13 - Config_Intake_View'!Q467,'12 - Deployments &amp; Config'!BI472)</f>
        <v>0</v>
      </c>
      <c r="J467" s="18" t="str">
        <f>IF('13 - Config_Intake_View'!Q467&lt;&gt;"","PM Approved",IF('12 - Deployments &amp; Config'!BI472&lt;&gt;"","Assumed",""))</f>
        <v/>
      </c>
      <c r="K467" s="34">
        <f>'12 - Deployments &amp; Config'!BH472</f>
        <v>0</v>
      </c>
      <c r="L467" s="18">
        <f>'12 - Deployments &amp; Config'!P472</f>
        <v>0</v>
      </c>
      <c r="M467" s="18">
        <f>'12 - Deployments &amp; Config'!Q472</f>
        <v>0</v>
      </c>
      <c r="N467" s="18" t="str">
        <f>'12 - Deployments &amp; Config'!BL472</f>
        <v/>
      </c>
      <c r="O467" s="34" t="str">
        <f>'12 - Deployments &amp; Config'!BM472</f>
        <v/>
      </c>
      <c r="P467" s="2">
        <f>'12 - Deployments &amp; Config'!BB472</f>
        <v>0</v>
      </c>
      <c r="Q467" s="34" t="str">
        <f t="shared" si="28"/>
        <v/>
      </c>
      <c r="R467" s="18" t="str">
        <f t="shared" si="29"/>
        <v>SW NOT INSTALLED</v>
      </c>
      <c r="S467" s="18" t="str">
        <f t="shared" si="30"/>
        <v/>
      </c>
      <c r="T467" s="18" t="str">
        <f t="shared" si="31"/>
        <v>SW NOT INSTALLED</v>
      </c>
    </row>
    <row r="468" spans="1:20">
      <c r="A468" s="34">
        <f>'12 - Deployments &amp; Config'!H473</f>
        <v>0</v>
      </c>
      <c r="B468" s="34">
        <f>'12 - Deployments &amp; Config'!S473</f>
        <v>0</v>
      </c>
      <c r="C468" s="34">
        <f>'12 - Deployments &amp; Config'!T473</f>
        <v>0</v>
      </c>
      <c r="D468" s="18">
        <f>'12 - Deployments &amp; Config'!AK473</f>
        <v>0</v>
      </c>
      <c r="E468" s="18">
        <f>'12 - Deployments &amp; Config'!J473</f>
        <v>0</v>
      </c>
      <c r="F468" s="34">
        <f>'12 - Deployments &amp; Config'!K473</f>
        <v>0</v>
      </c>
      <c r="G468" s="18">
        <f>'12 - Deployments &amp; Config'!L473</f>
        <v>0</v>
      </c>
      <c r="H468" s="18">
        <f>'13 - Config_Intake_View'!M468</f>
        <v>0</v>
      </c>
      <c r="I468" s="34">
        <f>IF('13 - Config_Intake_View'!Q468&lt;&gt;"",'13 - Config_Intake_View'!Q468,'12 - Deployments &amp; Config'!BI473)</f>
        <v>0</v>
      </c>
      <c r="J468" s="18" t="str">
        <f>IF('13 - Config_Intake_View'!Q468&lt;&gt;"","PM Approved",IF('12 - Deployments &amp; Config'!BI473&lt;&gt;"","Assumed",""))</f>
        <v/>
      </c>
      <c r="K468" s="34">
        <f>'12 - Deployments &amp; Config'!BH473</f>
        <v>0</v>
      </c>
      <c r="L468" s="18">
        <f>'12 - Deployments &amp; Config'!P473</f>
        <v>0</v>
      </c>
      <c r="M468" s="18">
        <f>'12 - Deployments &amp; Config'!Q473</f>
        <v>0</v>
      </c>
      <c r="N468" s="18" t="str">
        <f>'12 - Deployments &amp; Config'!BL473</f>
        <v/>
      </c>
      <c r="O468" s="34" t="str">
        <f>'12 - Deployments &amp; Config'!BM473</f>
        <v/>
      </c>
      <c r="P468" s="2">
        <f>'12 - Deployments &amp; Config'!BB473</f>
        <v>0</v>
      </c>
      <c r="Q468" s="34" t="str">
        <f t="shared" si="28"/>
        <v/>
      </c>
      <c r="R468" s="18" t="str">
        <f t="shared" si="29"/>
        <v>SW NOT INSTALLED</v>
      </c>
      <c r="S468" s="18" t="str">
        <f t="shared" si="30"/>
        <v/>
      </c>
      <c r="T468" s="18" t="str">
        <f t="shared" si="31"/>
        <v>SW NOT INSTALLED</v>
      </c>
    </row>
    <row r="469" spans="1:20">
      <c r="A469" s="34">
        <f>'12 - Deployments &amp; Config'!H474</f>
        <v>0</v>
      </c>
      <c r="B469" s="34">
        <f>'12 - Deployments &amp; Config'!S474</f>
        <v>0</v>
      </c>
      <c r="C469" s="34">
        <f>'12 - Deployments &amp; Config'!T474</f>
        <v>0</v>
      </c>
      <c r="D469" s="18">
        <f>'12 - Deployments &amp; Config'!AK474</f>
        <v>0</v>
      </c>
      <c r="E469" s="18">
        <f>'12 - Deployments &amp; Config'!J474</f>
        <v>0</v>
      </c>
      <c r="F469" s="34">
        <f>'12 - Deployments &amp; Config'!K474</f>
        <v>0</v>
      </c>
      <c r="G469" s="18">
        <f>'12 - Deployments &amp; Config'!L474</f>
        <v>0</v>
      </c>
      <c r="H469" s="18">
        <f>'13 - Config_Intake_View'!M469</f>
        <v>0</v>
      </c>
      <c r="I469" s="34">
        <f>IF('13 - Config_Intake_View'!Q469&lt;&gt;"",'13 - Config_Intake_View'!Q469,'12 - Deployments &amp; Config'!BI474)</f>
        <v>0</v>
      </c>
      <c r="J469" s="18" t="str">
        <f>IF('13 - Config_Intake_View'!Q469&lt;&gt;"","PM Approved",IF('12 - Deployments &amp; Config'!BI474&lt;&gt;"","Assumed",""))</f>
        <v/>
      </c>
      <c r="K469" s="34">
        <f>'12 - Deployments &amp; Config'!BH474</f>
        <v>0</v>
      </c>
      <c r="L469" s="18">
        <f>'12 - Deployments &amp; Config'!P474</f>
        <v>0</v>
      </c>
      <c r="M469" s="18">
        <f>'12 - Deployments &amp; Config'!Q474</f>
        <v>0</v>
      </c>
      <c r="N469" s="18" t="str">
        <f>'12 - Deployments &amp; Config'!BL474</f>
        <v/>
      </c>
      <c r="O469" s="34" t="str">
        <f>'12 - Deployments &amp; Config'!BM474</f>
        <v/>
      </c>
      <c r="P469" s="2">
        <f>'12 - Deployments &amp; Config'!BB474</f>
        <v>0</v>
      </c>
      <c r="Q469" s="34" t="str">
        <f t="shared" si="28"/>
        <v/>
      </c>
      <c r="R469" s="18" t="str">
        <f t="shared" si="29"/>
        <v>SW NOT INSTALLED</v>
      </c>
      <c r="S469" s="18" t="str">
        <f t="shared" si="30"/>
        <v/>
      </c>
      <c r="T469" s="18" t="str">
        <f t="shared" si="31"/>
        <v>SW NOT INSTALLED</v>
      </c>
    </row>
    <row r="470" spans="1:20">
      <c r="A470" s="34">
        <f>'12 - Deployments &amp; Config'!H475</f>
        <v>0</v>
      </c>
      <c r="B470" s="34">
        <f>'12 - Deployments &amp; Config'!S475</f>
        <v>0</v>
      </c>
      <c r="C470" s="34">
        <f>'12 - Deployments &amp; Config'!T475</f>
        <v>0</v>
      </c>
      <c r="D470" s="18">
        <f>'12 - Deployments &amp; Config'!AK475</f>
        <v>0</v>
      </c>
      <c r="E470" s="18">
        <f>'12 - Deployments &amp; Config'!J475</f>
        <v>0</v>
      </c>
      <c r="F470" s="34">
        <f>'12 - Deployments &amp; Config'!K475</f>
        <v>0</v>
      </c>
      <c r="G470" s="18">
        <f>'12 - Deployments &amp; Config'!L475</f>
        <v>0</v>
      </c>
      <c r="H470" s="18">
        <f>'13 - Config_Intake_View'!M470</f>
        <v>0</v>
      </c>
      <c r="I470" s="34">
        <f>IF('13 - Config_Intake_View'!Q470&lt;&gt;"",'13 - Config_Intake_View'!Q470,'12 - Deployments &amp; Config'!BI475)</f>
        <v>0</v>
      </c>
      <c r="J470" s="18" t="str">
        <f>IF('13 - Config_Intake_View'!Q470&lt;&gt;"","PM Approved",IF('12 - Deployments &amp; Config'!BI475&lt;&gt;"","Assumed",""))</f>
        <v/>
      </c>
      <c r="K470" s="34">
        <f>'12 - Deployments &amp; Config'!BH475</f>
        <v>0</v>
      </c>
      <c r="L470" s="18">
        <f>'12 - Deployments &amp; Config'!P475</f>
        <v>0</v>
      </c>
      <c r="M470" s="18">
        <f>'12 - Deployments &amp; Config'!Q475</f>
        <v>0</v>
      </c>
      <c r="N470" s="18" t="str">
        <f>'12 - Deployments &amp; Config'!BL475</f>
        <v/>
      </c>
      <c r="O470" s="34" t="str">
        <f>'12 - Deployments &amp; Config'!BM475</f>
        <v/>
      </c>
      <c r="P470" s="2">
        <f>'12 - Deployments &amp; Config'!BB475</f>
        <v>0</v>
      </c>
      <c r="Q470" s="34" t="str">
        <f t="shared" si="28"/>
        <v/>
      </c>
      <c r="R470" s="18" t="str">
        <f t="shared" si="29"/>
        <v>SW NOT INSTALLED</v>
      </c>
      <c r="S470" s="18" t="str">
        <f t="shared" si="30"/>
        <v/>
      </c>
      <c r="T470" s="18" t="str">
        <f t="shared" si="31"/>
        <v>SW NOT INSTALLED</v>
      </c>
    </row>
    <row r="471" spans="1:20">
      <c r="A471" s="34">
        <f>'12 - Deployments &amp; Config'!H476</f>
        <v>0</v>
      </c>
      <c r="B471" s="34">
        <f>'12 - Deployments &amp; Config'!S476</f>
        <v>0</v>
      </c>
      <c r="C471" s="34">
        <f>'12 - Deployments &amp; Config'!T476</f>
        <v>0</v>
      </c>
      <c r="D471" s="18">
        <f>'12 - Deployments &amp; Config'!AK476</f>
        <v>0</v>
      </c>
      <c r="E471" s="18">
        <f>'12 - Deployments &amp; Config'!J476</f>
        <v>0</v>
      </c>
      <c r="F471" s="34">
        <f>'12 - Deployments &amp; Config'!K476</f>
        <v>0</v>
      </c>
      <c r="G471" s="18">
        <f>'12 - Deployments &amp; Config'!L476</f>
        <v>0</v>
      </c>
      <c r="H471" s="18">
        <f>'13 - Config_Intake_View'!M471</f>
        <v>0</v>
      </c>
      <c r="I471" s="34">
        <f>IF('13 - Config_Intake_View'!Q471&lt;&gt;"",'13 - Config_Intake_View'!Q471,'12 - Deployments &amp; Config'!BI476)</f>
        <v>0</v>
      </c>
      <c r="J471" s="18" t="str">
        <f>IF('13 - Config_Intake_View'!Q471&lt;&gt;"","PM Approved",IF('12 - Deployments &amp; Config'!BI476&lt;&gt;"","Assumed",""))</f>
        <v/>
      </c>
      <c r="K471" s="34">
        <f>'12 - Deployments &amp; Config'!BH476</f>
        <v>0</v>
      </c>
      <c r="L471" s="18">
        <f>'12 - Deployments &amp; Config'!P476</f>
        <v>0</v>
      </c>
      <c r="M471" s="18">
        <f>'12 - Deployments &amp; Config'!Q476</f>
        <v>0</v>
      </c>
      <c r="N471" s="18" t="str">
        <f>'12 - Deployments &amp; Config'!BL476</f>
        <v/>
      </c>
      <c r="O471" s="34" t="str">
        <f>'12 - Deployments &amp; Config'!BM476</f>
        <v/>
      </c>
      <c r="P471" s="2">
        <f>'12 - Deployments &amp; Config'!BB476</f>
        <v>0</v>
      </c>
      <c r="Q471" s="34" t="str">
        <f t="shared" si="28"/>
        <v/>
      </c>
      <c r="R471" s="18" t="str">
        <f t="shared" si="29"/>
        <v>SW NOT INSTALLED</v>
      </c>
      <c r="S471" s="18" t="str">
        <f t="shared" si="30"/>
        <v/>
      </c>
      <c r="T471" s="18" t="str">
        <f t="shared" si="31"/>
        <v>SW NOT INSTALLED</v>
      </c>
    </row>
    <row r="472" spans="1:20">
      <c r="A472" s="34">
        <f>'12 - Deployments &amp; Config'!H477</f>
        <v>0</v>
      </c>
      <c r="B472" s="34">
        <f>'12 - Deployments &amp; Config'!S477</f>
        <v>0</v>
      </c>
      <c r="C472" s="34">
        <f>'12 - Deployments &amp; Config'!T477</f>
        <v>0</v>
      </c>
      <c r="D472" s="18">
        <f>'12 - Deployments &amp; Config'!AK477</f>
        <v>0</v>
      </c>
      <c r="E472" s="18">
        <f>'12 - Deployments &amp; Config'!J477</f>
        <v>0</v>
      </c>
      <c r="F472" s="34">
        <f>'12 - Deployments &amp; Config'!K477</f>
        <v>0</v>
      </c>
      <c r="G472" s="18">
        <f>'12 - Deployments &amp; Config'!L477</f>
        <v>0</v>
      </c>
      <c r="H472" s="18">
        <f>'13 - Config_Intake_View'!M472</f>
        <v>0</v>
      </c>
      <c r="I472" s="34">
        <f>IF('13 - Config_Intake_View'!Q472&lt;&gt;"",'13 - Config_Intake_View'!Q472,'12 - Deployments &amp; Config'!BI477)</f>
        <v>0</v>
      </c>
      <c r="J472" s="18" t="str">
        <f>IF('13 - Config_Intake_View'!Q472&lt;&gt;"","PM Approved",IF('12 - Deployments &amp; Config'!BI477&lt;&gt;"","Assumed",""))</f>
        <v/>
      </c>
      <c r="K472" s="34">
        <f>'12 - Deployments &amp; Config'!BH477</f>
        <v>0</v>
      </c>
      <c r="L472" s="18">
        <f>'12 - Deployments &amp; Config'!P477</f>
        <v>0</v>
      </c>
      <c r="M472" s="18">
        <f>'12 - Deployments &amp; Config'!Q477</f>
        <v>0</v>
      </c>
      <c r="N472" s="18" t="str">
        <f>'12 - Deployments &amp; Config'!BL477</f>
        <v/>
      </c>
      <c r="O472" s="34" t="str">
        <f>'12 - Deployments &amp; Config'!BM477</f>
        <v/>
      </c>
      <c r="P472" s="2">
        <f>'12 - Deployments &amp; Config'!BB477</f>
        <v>0</v>
      </c>
      <c r="Q472" s="34" t="str">
        <f t="shared" si="28"/>
        <v/>
      </c>
      <c r="R472" s="18" t="str">
        <f t="shared" si="29"/>
        <v>SW NOT INSTALLED</v>
      </c>
      <c r="S472" s="18" t="str">
        <f t="shared" si="30"/>
        <v/>
      </c>
      <c r="T472" s="18" t="str">
        <f t="shared" si="31"/>
        <v>SW NOT INSTALLED</v>
      </c>
    </row>
    <row r="473" spans="1:20">
      <c r="A473" s="34">
        <f>'12 - Deployments &amp; Config'!H478</f>
        <v>0</v>
      </c>
      <c r="B473" s="34">
        <f>'12 - Deployments &amp; Config'!S478</f>
        <v>0</v>
      </c>
      <c r="C473" s="34">
        <f>'12 - Deployments &amp; Config'!T478</f>
        <v>0</v>
      </c>
      <c r="D473" s="18">
        <f>'12 - Deployments &amp; Config'!AK478</f>
        <v>0</v>
      </c>
      <c r="E473" s="18">
        <f>'12 - Deployments &amp; Config'!J478</f>
        <v>0</v>
      </c>
      <c r="F473" s="34">
        <f>'12 - Deployments &amp; Config'!K478</f>
        <v>0</v>
      </c>
      <c r="G473" s="18">
        <f>'12 - Deployments &amp; Config'!L478</f>
        <v>0</v>
      </c>
      <c r="H473" s="18">
        <f>'13 - Config_Intake_View'!M473</f>
        <v>0</v>
      </c>
      <c r="I473" s="34">
        <f>IF('13 - Config_Intake_View'!Q473&lt;&gt;"",'13 - Config_Intake_View'!Q473,'12 - Deployments &amp; Config'!BI478)</f>
        <v>0</v>
      </c>
      <c r="J473" s="18" t="str">
        <f>IF('13 - Config_Intake_View'!Q473&lt;&gt;"","PM Approved",IF('12 - Deployments &amp; Config'!BI478&lt;&gt;"","Assumed",""))</f>
        <v/>
      </c>
      <c r="K473" s="34">
        <f>'12 - Deployments &amp; Config'!BH478</f>
        <v>0</v>
      </c>
      <c r="L473" s="18">
        <f>'12 - Deployments &amp; Config'!P478</f>
        <v>0</v>
      </c>
      <c r="M473" s="18">
        <f>'12 - Deployments &amp; Config'!Q478</f>
        <v>0</v>
      </c>
      <c r="N473" s="18" t="str">
        <f>'12 - Deployments &amp; Config'!BL478</f>
        <v/>
      </c>
      <c r="O473" s="34" t="str">
        <f>'12 - Deployments &amp; Config'!BM478</f>
        <v/>
      </c>
      <c r="P473" s="2">
        <f>'12 - Deployments &amp; Config'!BB478</f>
        <v>0</v>
      </c>
      <c r="Q473" s="34" t="str">
        <f t="shared" si="28"/>
        <v/>
      </c>
      <c r="R473" s="18" t="str">
        <f t="shared" si="29"/>
        <v>SW NOT INSTALLED</v>
      </c>
      <c r="S473" s="18" t="str">
        <f t="shared" si="30"/>
        <v/>
      </c>
      <c r="T473" s="18" t="str">
        <f t="shared" si="31"/>
        <v>SW NOT INSTALLED</v>
      </c>
    </row>
    <row r="474" spans="1:20">
      <c r="A474" s="34">
        <f>'12 - Deployments &amp; Config'!H479</f>
        <v>0</v>
      </c>
      <c r="B474" s="34">
        <f>'12 - Deployments &amp; Config'!S479</f>
        <v>0</v>
      </c>
      <c r="C474" s="34">
        <f>'12 - Deployments &amp; Config'!T479</f>
        <v>0</v>
      </c>
      <c r="D474" s="18">
        <f>'12 - Deployments &amp; Config'!AK479</f>
        <v>0</v>
      </c>
      <c r="E474" s="18">
        <f>'12 - Deployments &amp; Config'!J479</f>
        <v>0</v>
      </c>
      <c r="F474" s="34">
        <f>'12 - Deployments &amp; Config'!K479</f>
        <v>0</v>
      </c>
      <c r="G474" s="18">
        <f>'12 - Deployments &amp; Config'!L479</f>
        <v>0</v>
      </c>
      <c r="H474" s="18">
        <f>'13 - Config_Intake_View'!M474</f>
        <v>0</v>
      </c>
      <c r="I474" s="34">
        <f>IF('13 - Config_Intake_View'!Q474&lt;&gt;"",'13 - Config_Intake_View'!Q474,'12 - Deployments &amp; Config'!BI479)</f>
        <v>0</v>
      </c>
      <c r="J474" s="18" t="str">
        <f>IF('13 - Config_Intake_View'!Q474&lt;&gt;"","PM Approved",IF('12 - Deployments &amp; Config'!BI479&lt;&gt;"","Assumed",""))</f>
        <v/>
      </c>
      <c r="K474" s="34">
        <f>'12 - Deployments &amp; Config'!BH479</f>
        <v>0</v>
      </c>
      <c r="L474" s="18">
        <f>'12 - Deployments &amp; Config'!P479</f>
        <v>0</v>
      </c>
      <c r="M474" s="18">
        <f>'12 - Deployments &amp; Config'!Q479</f>
        <v>0</v>
      </c>
      <c r="N474" s="18" t="str">
        <f>'12 - Deployments &amp; Config'!BL479</f>
        <v/>
      </c>
      <c r="O474" s="34" t="str">
        <f>'12 - Deployments &amp; Config'!BM479</f>
        <v/>
      </c>
      <c r="P474" s="2">
        <f>'12 - Deployments &amp; Config'!BB479</f>
        <v>0</v>
      </c>
      <c r="Q474" s="34" t="str">
        <f t="shared" si="28"/>
        <v/>
      </c>
      <c r="R474" s="18" t="str">
        <f t="shared" si="29"/>
        <v>SW NOT INSTALLED</v>
      </c>
      <c r="S474" s="18" t="str">
        <f t="shared" si="30"/>
        <v/>
      </c>
      <c r="T474" s="18" t="str">
        <f t="shared" si="31"/>
        <v>SW NOT INSTALLED</v>
      </c>
    </row>
    <row r="475" spans="1:20">
      <c r="A475" s="34">
        <f>'12 - Deployments &amp; Config'!H480</f>
        <v>0</v>
      </c>
      <c r="B475" s="34">
        <f>'12 - Deployments &amp; Config'!S480</f>
        <v>0</v>
      </c>
      <c r="C475" s="34">
        <f>'12 - Deployments &amp; Config'!T480</f>
        <v>0</v>
      </c>
      <c r="D475" s="18">
        <f>'12 - Deployments &amp; Config'!AK480</f>
        <v>0</v>
      </c>
      <c r="E475" s="18">
        <f>'12 - Deployments &amp; Config'!J480</f>
        <v>0</v>
      </c>
      <c r="F475" s="34">
        <f>'12 - Deployments &amp; Config'!K480</f>
        <v>0</v>
      </c>
      <c r="G475" s="18">
        <f>'12 - Deployments &amp; Config'!L480</f>
        <v>0</v>
      </c>
      <c r="H475" s="18">
        <f>'13 - Config_Intake_View'!M475</f>
        <v>0</v>
      </c>
      <c r="I475" s="34">
        <f>IF('13 - Config_Intake_View'!Q475&lt;&gt;"",'13 - Config_Intake_View'!Q475,'12 - Deployments &amp; Config'!BI480)</f>
        <v>0</v>
      </c>
      <c r="J475" s="18" t="str">
        <f>IF('13 - Config_Intake_View'!Q475&lt;&gt;"","PM Approved",IF('12 - Deployments &amp; Config'!BI480&lt;&gt;"","Assumed",""))</f>
        <v/>
      </c>
      <c r="K475" s="34">
        <f>'12 - Deployments &amp; Config'!BH480</f>
        <v>0</v>
      </c>
      <c r="L475" s="18">
        <f>'12 - Deployments &amp; Config'!P480</f>
        <v>0</v>
      </c>
      <c r="M475" s="18">
        <f>'12 - Deployments &amp; Config'!Q480</f>
        <v>0</v>
      </c>
      <c r="N475" s="18" t="str">
        <f>'12 - Deployments &amp; Config'!BL480</f>
        <v/>
      </c>
      <c r="O475" s="34" t="str">
        <f>'12 - Deployments &amp; Config'!BM480</f>
        <v/>
      </c>
      <c r="P475" s="2">
        <f>'12 - Deployments &amp; Config'!BB480</f>
        <v>0</v>
      </c>
      <c r="Q475" s="34" t="str">
        <f t="shared" si="28"/>
        <v/>
      </c>
      <c r="R475" s="18" t="str">
        <f t="shared" si="29"/>
        <v>SW NOT INSTALLED</v>
      </c>
      <c r="S475" s="18" t="str">
        <f t="shared" si="30"/>
        <v/>
      </c>
      <c r="T475" s="18" t="str">
        <f t="shared" si="31"/>
        <v>SW NOT INSTALLED</v>
      </c>
    </row>
    <row r="476" spans="1:20">
      <c r="A476" s="34">
        <f>'12 - Deployments &amp; Config'!H481</f>
        <v>0</v>
      </c>
      <c r="B476" s="34">
        <f>'12 - Deployments &amp; Config'!S481</f>
        <v>0</v>
      </c>
      <c r="C476" s="34">
        <f>'12 - Deployments &amp; Config'!T481</f>
        <v>0</v>
      </c>
      <c r="D476" s="18">
        <f>'12 - Deployments &amp; Config'!AK481</f>
        <v>0</v>
      </c>
      <c r="E476" s="18">
        <f>'12 - Deployments &amp; Config'!J481</f>
        <v>0</v>
      </c>
      <c r="F476" s="34">
        <f>'12 - Deployments &amp; Config'!K481</f>
        <v>0</v>
      </c>
      <c r="G476" s="18">
        <f>'12 - Deployments &amp; Config'!L481</f>
        <v>0</v>
      </c>
      <c r="H476" s="18">
        <f>'13 - Config_Intake_View'!M476</f>
        <v>0</v>
      </c>
      <c r="I476" s="34">
        <f>IF('13 - Config_Intake_View'!Q476&lt;&gt;"",'13 - Config_Intake_View'!Q476,'12 - Deployments &amp; Config'!BI481)</f>
        <v>0</v>
      </c>
      <c r="J476" s="18" t="str">
        <f>IF('13 - Config_Intake_View'!Q476&lt;&gt;"","PM Approved",IF('12 - Deployments &amp; Config'!BI481&lt;&gt;"","Assumed",""))</f>
        <v/>
      </c>
      <c r="K476" s="34">
        <f>'12 - Deployments &amp; Config'!BH481</f>
        <v>0</v>
      </c>
      <c r="L476" s="18">
        <f>'12 - Deployments &amp; Config'!P481</f>
        <v>0</v>
      </c>
      <c r="M476" s="18">
        <f>'12 - Deployments &amp; Config'!Q481</f>
        <v>0</v>
      </c>
      <c r="N476" s="18" t="str">
        <f>'12 - Deployments &amp; Config'!BL481</f>
        <v/>
      </c>
      <c r="O476" s="34" t="str">
        <f>'12 - Deployments &amp; Config'!BM481</f>
        <v/>
      </c>
      <c r="P476" s="2">
        <f>'12 - Deployments &amp; Config'!BB481</f>
        <v>0</v>
      </c>
      <c r="Q476" s="34" t="str">
        <f t="shared" si="28"/>
        <v/>
      </c>
      <c r="R476" s="18" t="str">
        <f t="shared" si="29"/>
        <v>SW NOT INSTALLED</v>
      </c>
      <c r="S476" s="18" t="str">
        <f t="shared" si="30"/>
        <v/>
      </c>
      <c r="T476" s="18" t="str">
        <f t="shared" si="31"/>
        <v>SW NOT INSTALLED</v>
      </c>
    </row>
    <row r="477" spans="1:20">
      <c r="A477" s="34">
        <f>'12 - Deployments &amp; Config'!H482</f>
        <v>0</v>
      </c>
      <c r="B477" s="34">
        <f>'12 - Deployments &amp; Config'!S482</f>
        <v>0</v>
      </c>
      <c r="C477" s="34">
        <f>'12 - Deployments &amp; Config'!T482</f>
        <v>0</v>
      </c>
      <c r="D477" s="18">
        <f>'12 - Deployments &amp; Config'!AK482</f>
        <v>0</v>
      </c>
      <c r="E477" s="18">
        <f>'12 - Deployments &amp; Config'!J482</f>
        <v>0</v>
      </c>
      <c r="F477" s="34">
        <f>'12 - Deployments &amp; Config'!K482</f>
        <v>0</v>
      </c>
      <c r="G477" s="18">
        <f>'12 - Deployments &amp; Config'!L482</f>
        <v>0</v>
      </c>
      <c r="H477" s="18">
        <f>'13 - Config_Intake_View'!M477</f>
        <v>0</v>
      </c>
      <c r="I477" s="34">
        <f>IF('13 - Config_Intake_View'!Q477&lt;&gt;"",'13 - Config_Intake_View'!Q477,'12 - Deployments &amp; Config'!BI482)</f>
        <v>0</v>
      </c>
      <c r="J477" s="18" t="str">
        <f>IF('13 - Config_Intake_View'!Q477&lt;&gt;"","PM Approved",IF('12 - Deployments &amp; Config'!BI482&lt;&gt;"","Assumed",""))</f>
        <v/>
      </c>
      <c r="K477" s="34">
        <f>'12 - Deployments &amp; Config'!BH482</f>
        <v>0</v>
      </c>
      <c r="L477" s="18">
        <f>'12 - Deployments &amp; Config'!P482</f>
        <v>0</v>
      </c>
      <c r="M477" s="18">
        <f>'12 - Deployments &amp; Config'!Q482</f>
        <v>0</v>
      </c>
      <c r="N477" s="18" t="str">
        <f>'12 - Deployments &amp; Config'!BL482</f>
        <v/>
      </c>
      <c r="O477" s="34" t="str">
        <f>'12 - Deployments &amp; Config'!BM482</f>
        <v/>
      </c>
      <c r="P477" s="2">
        <f>'12 - Deployments &amp; Config'!BB482</f>
        <v>0</v>
      </c>
      <c r="Q477" s="34" t="str">
        <f t="shared" si="28"/>
        <v/>
      </c>
      <c r="R477" s="18" t="str">
        <f t="shared" si="29"/>
        <v>SW NOT INSTALLED</v>
      </c>
      <c r="S477" s="18" t="str">
        <f t="shared" si="30"/>
        <v/>
      </c>
      <c r="T477" s="18" t="str">
        <f t="shared" si="31"/>
        <v>SW NOT INSTALLED</v>
      </c>
    </row>
    <row r="478" spans="1:20">
      <c r="A478" s="34">
        <f>'12 - Deployments &amp; Config'!H483</f>
        <v>0</v>
      </c>
      <c r="B478" s="34">
        <f>'12 - Deployments &amp; Config'!S483</f>
        <v>0</v>
      </c>
      <c r="C478" s="34">
        <f>'12 - Deployments &amp; Config'!T483</f>
        <v>0</v>
      </c>
      <c r="D478" s="18">
        <f>'12 - Deployments &amp; Config'!AK483</f>
        <v>0</v>
      </c>
      <c r="E478" s="18">
        <f>'12 - Deployments &amp; Config'!J483</f>
        <v>0</v>
      </c>
      <c r="F478" s="34">
        <f>'12 - Deployments &amp; Config'!K483</f>
        <v>0</v>
      </c>
      <c r="G478" s="18">
        <f>'12 - Deployments &amp; Config'!L483</f>
        <v>0</v>
      </c>
      <c r="H478" s="18">
        <f>'13 - Config_Intake_View'!M478</f>
        <v>0</v>
      </c>
      <c r="I478" s="34">
        <f>IF('13 - Config_Intake_View'!Q478&lt;&gt;"",'13 - Config_Intake_View'!Q478,'12 - Deployments &amp; Config'!BI483)</f>
        <v>0</v>
      </c>
      <c r="J478" s="18" t="str">
        <f>IF('13 - Config_Intake_View'!Q478&lt;&gt;"","PM Approved",IF('12 - Deployments &amp; Config'!BI483&lt;&gt;"","Assumed",""))</f>
        <v/>
      </c>
      <c r="K478" s="34">
        <f>'12 - Deployments &amp; Config'!BH483</f>
        <v>0</v>
      </c>
      <c r="L478" s="18">
        <f>'12 - Deployments &amp; Config'!P483</f>
        <v>0</v>
      </c>
      <c r="M478" s="18">
        <f>'12 - Deployments &amp; Config'!Q483</f>
        <v>0</v>
      </c>
      <c r="N478" s="18" t="str">
        <f>'12 - Deployments &amp; Config'!BL483</f>
        <v/>
      </c>
      <c r="O478" s="34" t="str">
        <f>'12 - Deployments &amp; Config'!BM483</f>
        <v/>
      </c>
      <c r="P478" s="2">
        <f>'12 - Deployments &amp; Config'!BB483</f>
        <v>0</v>
      </c>
      <c r="Q478" s="34" t="str">
        <f t="shared" si="28"/>
        <v/>
      </c>
      <c r="R478" s="18" t="str">
        <f t="shared" si="29"/>
        <v>SW NOT INSTALLED</v>
      </c>
      <c r="S478" s="18" t="str">
        <f t="shared" si="30"/>
        <v/>
      </c>
      <c r="T478" s="18" t="str">
        <f t="shared" si="31"/>
        <v>SW NOT INSTALLED</v>
      </c>
    </row>
    <row r="479" spans="1:20">
      <c r="A479" s="34">
        <f>'12 - Deployments &amp; Config'!H484</f>
        <v>0</v>
      </c>
      <c r="B479" s="34">
        <f>'12 - Deployments &amp; Config'!S484</f>
        <v>0</v>
      </c>
      <c r="C479" s="34">
        <f>'12 - Deployments &amp; Config'!T484</f>
        <v>0</v>
      </c>
      <c r="D479" s="18">
        <f>'12 - Deployments &amp; Config'!AK484</f>
        <v>0</v>
      </c>
      <c r="E479" s="18">
        <f>'12 - Deployments &amp; Config'!J484</f>
        <v>0</v>
      </c>
      <c r="F479" s="34">
        <f>'12 - Deployments &amp; Config'!K484</f>
        <v>0</v>
      </c>
      <c r="G479" s="18">
        <f>'12 - Deployments &amp; Config'!L484</f>
        <v>0</v>
      </c>
      <c r="H479" s="18">
        <f>'13 - Config_Intake_View'!M479</f>
        <v>0</v>
      </c>
      <c r="I479" s="34">
        <f>IF('13 - Config_Intake_View'!Q479&lt;&gt;"",'13 - Config_Intake_View'!Q479,'12 - Deployments &amp; Config'!BI484)</f>
        <v>0</v>
      </c>
      <c r="J479" s="18" t="str">
        <f>IF('13 - Config_Intake_View'!Q479&lt;&gt;"","PM Approved",IF('12 - Deployments &amp; Config'!BI484&lt;&gt;"","Assumed",""))</f>
        <v/>
      </c>
      <c r="K479" s="34">
        <f>'12 - Deployments &amp; Config'!BH484</f>
        <v>0</v>
      </c>
      <c r="L479" s="18">
        <f>'12 - Deployments &amp; Config'!P484</f>
        <v>0</v>
      </c>
      <c r="M479" s="18">
        <f>'12 - Deployments &amp; Config'!Q484</f>
        <v>0</v>
      </c>
      <c r="N479" s="18" t="str">
        <f>'12 - Deployments &amp; Config'!BL484</f>
        <v/>
      </c>
      <c r="O479" s="34" t="str">
        <f>'12 - Deployments &amp; Config'!BM484</f>
        <v/>
      </c>
      <c r="P479" s="2">
        <f>'12 - Deployments &amp; Config'!BB484</f>
        <v>0</v>
      </c>
      <c r="Q479" s="34" t="str">
        <f t="shared" si="28"/>
        <v/>
      </c>
      <c r="R479" s="18" t="str">
        <f t="shared" si="29"/>
        <v>SW NOT INSTALLED</v>
      </c>
      <c r="S479" s="18" t="str">
        <f t="shared" si="30"/>
        <v/>
      </c>
      <c r="T479" s="18" t="str">
        <f t="shared" si="31"/>
        <v>SW NOT INSTALLED</v>
      </c>
    </row>
    <row r="480" spans="1:20">
      <c r="A480" s="34">
        <f>'12 - Deployments &amp; Config'!H485</f>
        <v>0</v>
      </c>
      <c r="B480" s="34">
        <f>'12 - Deployments &amp; Config'!S485</f>
        <v>0</v>
      </c>
      <c r="C480" s="34">
        <f>'12 - Deployments &amp; Config'!T485</f>
        <v>0</v>
      </c>
      <c r="D480" s="18">
        <f>'12 - Deployments &amp; Config'!AK485</f>
        <v>0</v>
      </c>
      <c r="E480" s="18">
        <f>'12 - Deployments &amp; Config'!J485</f>
        <v>0</v>
      </c>
      <c r="F480" s="34">
        <f>'12 - Deployments &amp; Config'!K485</f>
        <v>0</v>
      </c>
      <c r="G480" s="18">
        <f>'12 - Deployments &amp; Config'!L485</f>
        <v>0</v>
      </c>
      <c r="H480" s="18">
        <f>'13 - Config_Intake_View'!M480</f>
        <v>0</v>
      </c>
      <c r="I480" s="34">
        <f>IF('13 - Config_Intake_View'!Q480&lt;&gt;"",'13 - Config_Intake_View'!Q480,'12 - Deployments &amp; Config'!BI485)</f>
        <v>0</v>
      </c>
      <c r="J480" s="18" t="str">
        <f>IF('13 - Config_Intake_View'!Q480&lt;&gt;"","PM Approved",IF('12 - Deployments &amp; Config'!BI485&lt;&gt;"","Assumed",""))</f>
        <v/>
      </c>
      <c r="K480" s="34">
        <f>'12 - Deployments &amp; Config'!BH485</f>
        <v>0</v>
      </c>
      <c r="L480" s="18">
        <f>'12 - Deployments &amp; Config'!P485</f>
        <v>0</v>
      </c>
      <c r="M480" s="18">
        <f>'12 - Deployments &amp; Config'!Q485</f>
        <v>0</v>
      </c>
      <c r="N480" s="18" t="str">
        <f>'12 - Deployments &amp; Config'!BL485</f>
        <v/>
      </c>
      <c r="O480" s="34" t="str">
        <f>'12 - Deployments &amp; Config'!BM485</f>
        <v/>
      </c>
      <c r="P480" s="2">
        <f>'12 - Deployments &amp; Config'!BB485</f>
        <v>0</v>
      </c>
      <c r="Q480" s="34" t="str">
        <f t="shared" si="28"/>
        <v/>
      </c>
      <c r="R480" s="18" t="str">
        <f t="shared" si="29"/>
        <v>SW NOT INSTALLED</v>
      </c>
      <c r="S480" s="18" t="str">
        <f t="shared" si="30"/>
        <v/>
      </c>
      <c r="T480" s="18" t="str">
        <f t="shared" si="31"/>
        <v>SW NOT INSTALLED</v>
      </c>
    </row>
    <row r="481" spans="1:20">
      <c r="A481" s="34">
        <f>'12 - Deployments &amp; Config'!H486</f>
        <v>0</v>
      </c>
      <c r="B481" s="34">
        <f>'12 - Deployments &amp; Config'!S486</f>
        <v>0</v>
      </c>
      <c r="C481" s="34">
        <f>'12 - Deployments &amp; Config'!T486</f>
        <v>0</v>
      </c>
      <c r="D481" s="18">
        <f>'12 - Deployments &amp; Config'!AK486</f>
        <v>0</v>
      </c>
      <c r="E481" s="18">
        <f>'12 - Deployments &amp; Config'!J486</f>
        <v>0</v>
      </c>
      <c r="F481" s="34">
        <f>'12 - Deployments &amp; Config'!K486</f>
        <v>0</v>
      </c>
      <c r="G481" s="18">
        <f>'12 - Deployments &amp; Config'!L486</f>
        <v>0</v>
      </c>
      <c r="H481" s="18">
        <f>'13 - Config_Intake_View'!M481</f>
        <v>0</v>
      </c>
      <c r="I481" s="34">
        <f>IF('13 - Config_Intake_View'!Q481&lt;&gt;"",'13 - Config_Intake_View'!Q481,'12 - Deployments &amp; Config'!BI486)</f>
        <v>0</v>
      </c>
      <c r="J481" s="18" t="str">
        <f>IF('13 - Config_Intake_View'!Q481&lt;&gt;"","PM Approved",IF('12 - Deployments &amp; Config'!BI486&lt;&gt;"","Assumed",""))</f>
        <v/>
      </c>
      <c r="K481" s="34">
        <f>'12 - Deployments &amp; Config'!BH486</f>
        <v>0</v>
      </c>
      <c r="L481" s="18">
        <f>'12 - Deployments &amp; Config'!P486</f>
        <v>0</v>
      </c>
      <c r="M481" s="18">
        <f>'12 - Deployments &amp; Config'!Q486</f>
        <v>0</v>
      </c>
      <c r="N481" s="18" t="str">
        <f>'12 - Deployments &amp; Config'!BL486</f>
        <v/>
      </c>
      <c r="O481" s="34" t="str">
        <f>'12 - Deployments &amp; Config'!BM486</f>
        <v/>
      </c>
      <c r="P481" s="2">
        <f>'12 - Deployments &amp; Config'!BB486</f>
        <v>0</v>
      </c>
      <c r="Q481" s="34" t="str">
        <f t="shared" si="28"/>
        <v/>
      </c>
      <c r="R481" s="18" t="str">
        <f t="shared" si="29"/>
        <v>SW NOT INSTALLED</v>
      </c>
      <c r="S481" s="18" t="str">
        <f t="shared" si="30"/>
        <v/>
      </c>
      <c r="T481" s="18" t="str">
        <f t="shared" si="31"/>
        <v>SW NOT INSTALLED</v>
      </c>
    </row>
    <row r="482" spans="1:20">
      <c r="A482" s="34">
        <f>'12 - Deployments &amp; Config'!H487</f>
        <v>0</v>
      </c>
      <c r="B482" s="34">
        <f>'12 - Deployments &amp; Config'!S487</f>
        <v>0</v>
      </c>
      <c r="C482" s="34">
        <f>'12 - Deployments &amp; Config'!T487</f>
        <v>0</v>
      </c>
      <c r="D482" s="18">
        <f>'12 - Deployments &amp; Config'!AK487</f>
        <v>0</v>
      </c>
      <c r="E482" s="18">
        <f>'12 - Deployments &amp; Config'!J487</f>
        <v>0</v>
      </c>
      <c r="F482" s="34">
        <f>'12 - Deployments &amp; Config'!K487</f>
        <v>0</v>
      </c>
      <c r="G482" s="18">
        <f>'12 - Deployments &amp; Config'!L487</f>
        <v>0</v>
      </c>
      <c r="H482" s="18">
        <f>'13 - Config_Intake_View'!M482</f>
        <v>0</v>
      </c>
      <c r="I482" s="34">
        <f>IF('13 - Config_Intake_View'!Q482&lt;&gt;"",'13 - Config_Intake_View'!Q482,'12 - Deployments &amp; Config'!BI487)</f>
        <v>0</v>
      </c>
      <c r="J482" s="18" t="str">
        <f>IF('13 - Config_Intake_View'!Q482&lt;&gt;"","PM Approved",IF('12 - Deployments &amp; Config'!BI487&lt;&gt;"","Assumed",""))</f>
        <v/>
      </c>
      <c r="K482" s="34">
        <f>'12 - Deployments &amp; Config'!BH487</f>
        <v>0</v>
      </c>
      <c r="L482" s="18">
        <f>'12 - Deployments &amp; Config'!P487</f>
        <v>0</v>
      </c>
      <c r="M482" s="18">
        <f>'12 - Deployments &amp; Config'!Q487</f>
        <v>0</v>
      </c>
      <c r="N482" s="18" t="str">
        <f>'12 - Deployments &amp; Config'!BL487</f>
        <v/>
      </c>
      <c r="O482" s="34" t="str">
        <f>'12 - Deployments &amp; Config'!BM487</f>
        <v/>
      </c>
      <c r="P482" s="2">
        <f>'12 - Deployments &amp; Config'!BB487</f>
        <v>0</v>
      </c>
      <c r="Q482" s="34" t="str">
        <f t="shared" si="28"/>
        <v/>
      </c>
      <c r="R482" s="18" t="str">
        <f t="shared" si="29"/>
        <v>SW NOT INSTALLED</v>
      </c>
      <c r="S482" s="18" t="str">
        <f t="shared" si="30"/>
        <v/>
      </c>
      <c r="T482" s="18" t="str">
        <f t="shared" si="31"/>
        <v>SW NOT INSTALLED</v>
      </c>
    </row>
    <row r="483" spans="1:20">
      <c r="A483" s="34">
        <f>'12 - Deployments &amp; Config'!H488</f>
        <v>0</v>
      </c>
      <c r="B483" s="34">
        <f>'12 - Deployments &amp; Config'!S488</f>
        <v>0</v>
      </c>
      <c r="C483" s="34">
        <f>'12 - Deployments &amp; Config'!T488</f>
        <v>0</v>
      </c>
      <c r="D483" s="18">
        <f>'12 - Deployments &amp; Config'!AK488</f>
        <v>0</v>
      </c>
      <c r="E483" s="18">
        <f>'12 - Deployments &amp; Config'!J488</f>
        <v>0</v>
      </c>
      <c r="F483" s="34">
        <f>'12 - Deployments &amp; Config'!K488</f>
        <v>0</v>
      </c>
      <c r="G483" s="18">
        <f>'12 - Deployments &amp; Config'!L488</f>
        <v>0</v>
      </c>
      <c r="H483" s="18">
        <f>'13 - Config_Intake_View'!M483</f>
        <v>0</v>
      </c>
      <c r="I483" s="34">
        <f>IF('13 - Config_Intake_View'!Q483&lt;&gt;"",'13 - Config_Intake_View'!Q483,'12 - Deployments &amp; Config'!BI488)</f>
        <v>0</v>
      </c>
      <c r="J483" s="18" t="str">
        <f>IF('13 - Config_Intake_View'!Q483&lt;&gt;"","PM Approved",IF('12 - Deployments &amp; Config'!BI488&lt;&gt;"","Assumed",""))</f>
        <v/>
      </c>
      <c r="K483" s="34">
        <f>'12 - Deployments &amp; Config'!BH488</f>
        <v>0</v>
      </c>
      <c r="L483" s="18">
        <f>'12 - Deployments &amp; Config'!P488</f>
        <v>0</v>
      </c>
      <c r="M483" s="18">
        <f>'12 - Deployments &amp; Config'!Q488</f>
        <v>0</v>
      </c>
      <c r="N483" s="18" t="str">
        <f>'12 - Deployments &amp; Config'!BL488</f>
        <v/>
      </c>
      <c r="O483" s="34" t="str">
        <f>'12 - Deployments &amp; Config'!BM488</f>
        <v/>
      </c>
      <c r="P483" s="2">
        <f>'12 - Deployments &amp; Config'!BB488</f>
        <v>0</v>
      </c>
      <c r="Q483" s="34" t="str">
        <f t="shared" si="28"/>
        <v/>
      </c>
      <c r="R483" s="18" t="str">
        <f t="shared" si="29"/>
        <v>SW NOT INSTALLED</v>
      </c>
      <c r="S483" s="18" t="str">
        <f t="shared" si="30"/>
        <v/>
      </c>
      <c r="T483" s="18" t="str">
        <f t="shared" si="31"/>
        <v>SW NOT INSTALLED</v>
      </c>
    </row>
    <row r="484" spans="1:20">
      <c r="A484" s="34">
        <f>'12 - Deployments &amp; Config'!H489</f>
        <v>0</v>
      </c>
      <c r="B484" s="34">
        <f>'12 - Deployments &amp; Config'!S489</f>
        <v>0</v>
      </c>
      <c r="C484" s="34">
        <f>'12 - Deployments &amp; Config'!T489</f>
        <v>0</v>
      </c>
      <c r="D484" s="18">
        <f>'12 - Deployments &amp; Config'!AK489</f>
        <v>0</v>
      </c>
      <c r="E484" s="18">
        <f>'12 - Deployments &amp; Config'!J489</f>
        <v>0</v>
      </c>
      <c r="F484" s="34">
        <f>'12 - Deployments &amp; Config'!K489</f>
        <v>0</v>
      </c>
      <c r="G484" s="18">
        <f>'12 - Deployments &amp; Config'!L489</f>
        <v>0</v>
      </c>
      <c r="H484" s="18">
        <f>'13 - Config_Intake_View'!M484</f>
        <v>0</v>
      </c>
      <c r="I484" s="34">
        <f>IF('13 - Config_Intake_View'!Q484&lt;&gt;"",'13 - Config_Intake_View'!Q484,'12 - Deployments &amp; Config'!BI489)</f>
        <v>0</v>
      </c>
      <c r="J484" s="18" t="str">
        <f>IF('13 - Config_Intake_View'!Q484&lt;&gt;"","PM Approved",IF('12 - Deployments &amp; Config'!BI489&lt;&gt;"","Assumed",""))</f>
        <v/>
      </c>
      <c r="K484" s="34">
        <f>'12 - Deployments &amp; Config'!BH489</f>
        <v>0</v>
      </c>
      <c r="L484" s="18">
        <f>'12 - Deployments &amp; Config'!P489</f>
        <v>0</v>
      </c>
      <c r="M484" s="18">
        <f>'12 - Deployments &amp; Config'!Q489</f>
        <v>0</v>
      </c>
      <c r="N484" s="18" t="str">
        <f>'12 - Deployments &amp; Config'!BL489</f>
        <v/>
      </c>
      <c r="O484" s="34" t="str">
        <f>'12 - Deployments &amp; Config'!BM489</f>
        <v/>
      </c>
      <c r="P484" s="2">
        <f>'12 - Deployments &amp; Config'!BB489</f>
        <v>0</v>
      </c>
      <c r="Q484" s="34" t="str">
        <f t="shared" si="28"/>
        <v/>
      </c>
      <c r="R484" s="18" t="str">
        <f t="shared" si="29"/>
        <v>SW NOT INSTALLED</v>
      </c>
      <c r="S484" s="18" t="str">
        <f t="shared" si="30"/>
        <v/>
      </c>
      <c r="T484" s="18" t="str">
        <f t="shared" si="31"/>
        <v>SW NOT INSTALLED</v>
      </c>
    </row>
    <row r="485" spans="1:20">
      <c r="A485" s="34">
        <f>'12 - Deployments &amp; Config'!H490</f>
        <v>0</v>
      </c>
      <c r="B485" s="34">
        <f>'12 - Deployments &amp; Config'!S490</f>
        <v>0</v>
      </c>
      <c r="C485" s="34">
        <f>'12 - Deployments &amp; Config'!T490</f>
        <v>0</v>
      </c>
      <c r="D485" s="18">
        <f>'12 - Deployments &amp; Config'!AK490</f>
        <v>0</v>
      </c>
      <c r="E485" s="18">
        <f>'12 - Deployments &amp; Config'!J490</f>
        <v>0</v>
      </c>
      <c r="F485" s="34">
        <f>'12 - Deployments &amp; Config'!K490</f>
        <v>0</v>
      </c>
      <c r="G485" s="18">
        <f>'12 - Deployments &amp; Config'!L490</f>
        <v>0</v>
      </c>
      <c r="H485" s="18">
        <f>'13 - Config_Intake_View'!M485</f>
        <v>0</v>
      </c>
      <c r="I485" s="34">
        <f>IF('13 - Config_Intake_View'!Q485&lt;&gt;"",'13 - Config_Intake_View'!Q485,'12 - Deployments &amp; Config'!BI490)</f>
        <v>0</v>
      </c>
      <c r="J485" s="18" t="str">
        <f>IF('13 - Config_Intake_View'!Q485&lt;&gt;"","PM Approved",IF('12 - Deployments &amp; Config'!BI490&lt;&gt;"","Assumed",""))</f>
        <v/>
      </c>
      <c r="K485" s="34">
        <f>'12 - Deployments &amp; Config'!BH490</f>
        <v>0</v>
      </c>
      <c r="L485" s="18">
        <f>'12 - Deployments &amp; Config'!P490</f>
        <v>0</v>
      </c>
      <c r="M485" s="18">
        <f>'12 - Deployments &amp; Config'!Q490</f>
        <v>0</v>
      </c>
      <c r="N485" s="18" t="str">
        <f>'12 - Deployments &amp; Config'!BL490</f>
        <v/>
      </c>
      <c r="O485" s="34" t="str">
        <f>'12 - Deployments &amp; Config'!BM490</f>
        <v/>
      </c>
      <c r="P485" s="2">
        <f>'12 - Deployments &amp; Config'!BB490</f>
        <v>0</v>
      </c>
      <c r="Q485" s="34" t="str">
        <f t="shared" si="28"/>
        <v/>
      </c>
      <c r="R485" s="18" t="str">
        <f t="shared" si="29"/>
        <v>SW NOT INSTALLED</v>
      </c>
      <c r="S485" s="18" t="str">
        <f t="shared" si="30"/>
        <v/>
      </c>
      <c r="T485" s="18" t="str">
        <f t="shared" si="31"/>
        <v>SW NOT INSTALLED</v>
      </c>
    </row>
    <row r="486" spans="1:20">
      <c r="A486" s="34">
        <f>'12 - Deployments &amp; Config'!H491</f>
        <v>0</v>
      </c>
      <c r="B486" s="34">
        <f>'12 - Deployments &amp; Config'!S491</f>
        <v>0</v>
      </c>
      <c r="C486" s="34">
        <f>'12 - Deployments &amp; Config'!T491</f>
        <v>0</v>
      </c>
      <c r="D486" s="18">
        <f>'12 - Deployments &amp; Config'!AK491</f>
        <v>0</v>
      </c>
      <c r="E486" s="18">
        <f>'12 - Deployments &amp; Config'!J491</f>
        <v>0</v>
      </c>
      <c r="F486" s="34">
        <f>'12 - Deployments &amp; Config'!K491</f>
        <v>0</v>
      </c>
      <c r="G486" s="18">
        <f>'12 - Deployments &amp; Config'!L491</f>
        <v>0</v>
      </c>
      <c r="H486" s="18">
        <f>'13 - Config_Intake_View'!M486</f>
        <v>0</v>
      </c>
      <c r="I486" s="34">
        <f>IF('13 - Config_Intake_View'!Q486&lt;&gt;"",'13 - Config_Intake_View'!Q486,'12 - Deployments &amp; Config'!BI491)</f>
        <v>0</v>
      </c>
      <c r="J486" s="18" t="str">
        <f>IF('13 - Config_Intake_View'!Q486&lt;&gt;"","PM Approved",IF('12 - Deployments &amp; Config'!BI491&lt;&gt;"","Assumed",""))</f>
        <v/>
      </c>
      <c r="K486" s="34">
        <f>'12 - Deployments &amp; Config'!BH491</f>
        <v>0</v>
      </c>
      <c r="L486" s="18">
        <f>'12 - Deployments &amp; Config'!P491</f>
        <v>0</v>
      </c>
      <c r="M486" s="18">
        <f>'12 - Deployments &amp; Config'!Q491</f>
        <v>0</v>
      </c>
      <c r="N486" s="18" t="str">
        <f>'12 - Deployments &amp; Config'!BL491</f>
        <v/>
      </c>
      <c r="O486" s="34" t="str">
        <f>'12 - Deployments &amp; Config'!BM491</f>
        <v/>
      </c>
      <c r="P486" s="2">
        <f>'12 - Deployments &amp; Config'!BB491</f>
        <v>0</v>
      </c>
      <c r="Q486" s="34" t="str">
        <f t="shared" si="28"/>
        <v/>
      </c>
      <c r="R486" s="18" t="str">
        <f t="shared" si="29"/>
        <v>SW NOT INSTALLED</v>
      </c>
      <c r="S486" s="18" t="str">
        <f t="shared" si="30"/>
        <v/>
      </c>
      <c r="T486" s="18" t="str">
        <f t="shared" si="31"/>
        <v>SW NOT INSTALLED</v>
      </c>
    </row>
    <row r="487" spans="1:20">
      <c r="A487" s="34">
        <f>'12 - Deployments &amp; Config'!H492</f>
        <v>0</v>
      </c>
      <c r="B487" s="34">
        <f>'12 - Deployments &amp; Config'!S492</f>
        <v>0</v>
      </c>
      <c r="C487" s="34">
        <f>'12 - Deployments &amp; Config'!T492</f>
        <v>0</v>
      </c>
      <c r="D487" s="18">
        <f>'12 - Deployments &amp; Config'!AK492</f>
        <v>0</v>
      </c>
      <c r="E487" s="18">
        <f>'12 - Deployments &amp; Config'!J492</f>
        <v>0</v>
      </c>
      <c r="F487" s="34">
        <f>'12 - Deployments &amp; Config'!K492</f>
        <v>0</v>
      </c>
      <c r="G487" s="18">
        <f>'12 - Deployments &amp; Config'!L492</f>
        <v>0</v>
      </c>
      <c r="H487" s="18">
        <f>'13 - Config_Intake_View'!M487</f>
        <v>0</v>
      </c>
      <c r="I487" s="34">
        <f>IF('13 - Config_Intake_View'!Q487&lt;&gt;"",'13 - Config_Intake_View'!Q487,'12 - Deployments &amp; Config'!BI492)</f>
        <v>0</v>
      </c>
      <c r="J487" s="18" t="str">
        <f>IF('13 - Config_Intake_View'!Q487&lt;&gt;"","PM Approved",IF('12 - Deployments &amp; Config'!BI492&lt;&gt;"","Assumed",""))</f>
        <v/>
      </c>
      <c r="K487" s="34">
        <f>'12 - Deployments &amp; Config'!BH492</f>
        <v>0</v>
      </c>
      <c r="L487" s="18">
        <f>'12 - Deployments &amp; Config'!P492</f>
        <v>0</v>
      </c>
      <c r="M487" s="18">
        <f>'12 - Deployments &amp; Config'!Q492</f>
        <v>0</v>
      </c>
      <c r="N487" s="18" t="str">
        <f>'12 - Deployments &amp; Config'!BL492</f>
        <v/>
      </c>
      <c r="O487" s="34" t="str">
        <f>'12 - Deployments &amp; Config'!BM492</f>
        <v/>
      </c>
      <c r="P487" s="2">
        <f>'12 - Deployments &amp; Config'!BB492</f>
        <v>0</v>
      </c>
      <c r="Q487" s="34" t="str">
        <f t="shared" si="28"/>
        <v/>
      </c>
      <c r="R487" s="18" t="str">
        <f t="shared" si="29"/>
        <v>SW NOT INSTALLED</v>
      </c>
      <c r="S487" s="18" t="str">
        <f t="shared" si="30"/>
        <v/>
      </c>
      <c r="T487" s="18" t="str">
        <f t="shared" si="31"/>
        <v>SW NOT INSTALLED</v>
      </c>
    </row>
    <row r="488" spans="1:20">
      <c r="A488" s="34">
        <f>'12 - Deployments &amp; Config'!H493</f>
        <v>0</v>
      </c>
      <c r="B488" s="34">
        <f>'12 - Deployments &amp; Config'!S493</f>
        <v>0</v>
      </c>
      <c r="C488" s="34">
        <f>'12 - Deployments &amp; Config'!T493</f>
        <v>0</v>
      </c>
      <c r="D488" s="18">
        <f>'12 - Deployments &amp; Config'!AK493</f>
        <v>0</v>
      </c>
      <c r="E488" s="18">
        <f>'12 - Deployments &amp; Config'!J493</f>
        <v>0</v>
      </c>
      <c r="F488" s="34">
        <f>'12 - Deployments &amp; Config'!K493</f>
        <v>0</v>
      </c>
      <c r="G488" s="18">
        <f>'12 - Deployments &amp; Config'!L493</f>
        <v>0</v>
      </c>
      <c r="H488" s="18">
        <f>'13 - Config_Intake_View'!M488</f>
        <v>0</v>
      </c>
      <c r="I488" s="34">
        <f>IF('13 - Config_Intake_View'!Q488&lt;&gt;"",'13 - Config_Intake_View'!Q488,'12 - Deployments &amp; Config'!BI493)</f>
        <v>0</v>
      </c>
      <c r="J488" s="18" t="str">
        <f>IF('13 - Config_Intake_View'!Q488&lt;&gt;"","PM Approved",IF('12 - Deployments &amp; Config'!BI493&lt;&gt;"","Assumed",""))</f>
        <v/>
      </c>
      <c r="K488" s="34">
        <f>'12 - Deployments &amp; Config'!BH493</f>
        <v>0</v>
      </c>
      <c r="L488" s="18">
        <f>'12 - Deployments &amp; Config'!P493</f>
        <v>0</v>
      </c>
      <c r="M488" s="18">
        <f>'12 - Deployments &amp; Config'!Q493</f>
        <v>0</v>
      </c>
      <c r="N488" s="18" t="str">
        <f>'12 - Deployments &amp; Config'!BL493</f>
        <v/>
      </c>
      <c r="O488" s="34" t="str">
        <f>'12 - Deployments &amp; Config'!BM493</f>
        <v/>
      </c>
      <c r="P488" s="2">
        <f>'12 - Deployments &amp; Config'!BB493</f>
        <v>0</v>
      </c>
      <c r="Q488" s="34" t="str">
        <f t="shared" si="28"/>
        <v/>
      </c>
      <c r="R488" s="18" t="str">
        <f t="shared" si="29"/>
        <v>SW NOT INSTALLED</v>
      </c>
      <c r="S488" s="18" t="str">
        <f t="shared" si="30"/>
        <v/>
      </c>
      <c r="T488" s="18" t="str">
        <f t="shared" si="31"/>
        <v>SW NOT INSTALLED</v>
      </c>
    </row>
    <row r="489" spans="1:20">
      <c r="A489" s="34">
        <f>'12 - Deployments &amp; Config'!H494</f>
        <v>0</v>
      </c>
      <c r="B489" s="34">
        <f>'12 - Deployments &amp; Config'!S494</f>
        <v>0</v>
      </c>
      <c r="C489" s="34">
        <f>'12 - Deployments &amp; Config'!T494</f>
        <v>0</v>
      </c>
      <c r="D489" s="18">
        <f>'12 - Deployments &amp; Config'!AK494</f>
        <v>0</v>
      </c>
      <c r="E489" s="18">
        <f>'12 - Deployments &amp; Config'!J494</f>
        <v>0</v>
      </c>
      <c r="F489" s="34">
        <f>'12 - Deployments &amp; Config'!K494</f>
        <v>0</v>
      </c>
      <c r="G489" s="18">
        <f>'12 - Deployments &amp; Config'!L494</f>
        <v>0</v>
      </c>
      <c r="H489" s="18">
        <f>'13 - Config_Intake_View'!M489</f>
        <v>0</v>
      </c>
      <c r="I489" s="34">
        <f>IF('13 - Config_Intake_View'!Q489&lt;&gt;"",'13 - Config_Intake_View'!Q489,'12 - Deployments &amp; Config'!BI494)</f>
        <v>0</v>
      </c>
      <c r="J489" s="18" t="str">
        <f>IF('13 - Config_Intake_View'!Q489&lt;&gt;"","PM Approved",IF('12 - Deployments &amp; Config'!BI494&lt;&gt;"","Assumed",""))</f>
        <v/>
      </c>
      <c r="K489" s="34">
        <f>'12 - Deployments &amp; Config'!BH494</f>
        <v>0</v>
      </c>
      <c r="L489" s="18">
        <f>'12 - Deployments &amp; Config'!P494</f>
        <v>0</v>
      </c>
      <c r="M489" s="18">
        <f>'12 - Deployments &amp; Config'!Q494</f>
        <v>0</v>
      </c>
      <c r="N489" s="18" t="str">
        <f>'12 - Deployments &amp; Config'!BL494</f>
        <v/>
      </c>
      <c r="O489" s="34" t="str">
        <f>'12 - Deployments &amp; Config'!BM494</f>
        <v/>
      </c>
      <c r="P489" s="2">
        <f>'12 - Deployments &amp; Config'!BB494</f>
        <v>0</v>
      </c>
      <c r="Q489" s="34" t="str">
        <f t="shared" si="28"/>
        <v/>
      </c>
      <c r="R489" s="18" t="str">
        <f t="shared" si="29"/>
        <v>SW NOT INSTALLED</v>
      </c>
      <c r="S489" s="18" t="str">
        <f t="shared" si="30"/>
        <v/>
      </c>
      <c r="T489" s="18" t="str">
        <f t="shared" si="31"/>
        <v>SW NOT INSTALLED</v>
      </c>
    </row>
    <row r="490" spans="1:20">
      <c r="A490" s="34">
        <f>'12 - Deployments &amp; Config'!H495</f>
        <v>0</v>
      </c>
      <c r="B490" s="34">
        <f>'12 - Deployments &amp; Config'!S495</f>
        <v>0</v>
      </c>
      <c r="C490" s="34">
        <f>'12 - Deployments &amp; Config'!T495</f>
        <v>0</v>
      </c>
      <c r="D490" s="18">
        <f>'12 - Deployments &amp; Config'!AK495</f>
        <v>0</v>
      </c>
      <c r="E490" s="18">
        <f>'12 - Deployments &amp; Config'!J495</f>
        <v>0</v>
      </c>
      <c r="F490" s="34">
        <f>'12 - Deployments &amp; Config'!K495</f>
        <v>0</v>
      </c>
      <c r="G490" s="18">
        <f>'12 - Deployments &amp; Config'!L495</f>
        <v>0</v>
      </c>
      <c r="H490" s="18">
        <f>'13 - Config_Intake_View'!M490</f>
        <v>0</v>
      </c>
      <c r="I490" s="34">
        <f>IF('13 - Config_Intake_View'!Q490&lt;&gt;"",'13 - Config_Intake_View'!Q490,'12 - Deployments &amp; Config'!BI495)</f>
        <v>0</v>
      </c>
      <c r="J490" s="18" t="str">
        <f>IF('13 - Config_Intake_View'!Q490&lt;&gt;"","PM Approved",IF('12 - Deployments &amp; Config'!BI495&lt;&gt;"","Assumed",""))</f>
        <v/>
      </c>
      <c r="K490" s="34">
        <f>'12 - Deployments &amp; Config'!BH495</f>
        <v>0</v>
      </c>
      <c r="L490" s="18">
        <f>'12 - Deployments &amp; Config'!P495</f>
        <v>0</v>
      </c>
      <c r="M490" s="18">
        <f>'12 - Deployments &amp; Config'!Q495</f>
        <v>0</v>
      </c>
      <c r="N490" s="18" t="str">
        <f>'12 - Deployments &amp; Config'!BL495</f>
        <v/>
      </c>
      <c r="O490" s="34" t="str">
        <f>'12 - Deployments &amp; Config'!BM495</f>
        <v/>
      </c>
      <c r="P490" s="2">
        <f>'12 - Deployments &amp; Config'!BB495</f>
        <v>0</v>
      </c>
      <c r="Q490" s="34" t="str">
        <f t="shared" si="28"/>
        <v/>
      </c>
      <c r="R490" s="18" t="str">
        <f t="shared" si="29"/>
        <v>SW NOT INSTALLED</v>
      </c>
      <c r="S490" s="18" t="str">
        <f t="shared" si="30"/>
        <v/>
      </c>
      <c r="T490" s="18" t="str">
        <f t="shared" si="31"/>
        <v>SW NOT INSTALLED</v>
      </c>
    </row>
    <row r="491" spans="1:20">
      <c r="A491" s="34">
        <f>'12 - Deployments &amp; Config'!H496</f>
        <v>0</v>
      </c>
      <c r="B491" s="34">
        <f>'12 - Deployments &amp; Config'!S496</f>
        <v>0</v>
      </c>
      <c r="C491" s="34">
        <f>'12 - Deployments &amp; Config'!T496</f>
        <v>0</v>
      </c>
      <c r="D491" s="18">
        <f>'12 - Deployments &amp; Config'!AK496</f>
        <v>0</v>
      </c>
      <c r="E491" s="18">
        <f>'12 - Deployments &amp; Config'!J496</f>
        <v>0</v>
      </c>
      <c r="F491" s="34">
        <f>'12 - Deployments &amp; Config'!K496</f>
        <v>0</v>
      </c>
      <c r="G491" s="18">
        <f>'12 - Deployments &amp; Config'!L496</f>
        <v>0</v>
      </c>
      <c r="H491" s="18">
        <f>'13 - Config_Intake_View'!M491</f>
        <v>0</v>
      </c>
      <c r="I491" s="34">
        <f>IF('13 - Config_Intake_View'!Q491&lt;&gt;"",'13 - Config_Intake_View'!Q491,'12 - Deployments &amp; Config'!BI496)</f>
        <v>0</v>
      </c>
      <c r="J491" s="18" t="str">
        <f>IF('13 - Config_Intake_View'!Q491&lt;&gt;"","PM Approved",IF('12 - Deployments &amp; Config'!BI496&lt;&gt;"","Assumed",""))</f>
        <v/>
      </c>
      <c r="K491" s="34">
        <f>'12 - Deployments &amp; Config'!BH496</f>
        <v>0</v>
      </c>
      <c r="L491" s="18">
        <f>'12 - Deployments &amp; Config'!P496</f>
        <v>0</v>
      </c>
      <c r="M491" s="18">
        <f>'12 - Deployments &amp; Config'!Q496</f>
        <v>0</v>
      </c>
      <c r="N491" s="18" t="str">
        <f>'12 - Deployments &amp; Config'!BL496</f>
        <v/>
      </c>
      <c r="O491" s="34" t="str">
        <f>'12 - Deployments &amp; Config'!BM496</f>
        <v/>
      </c>
      <c r="P491" s="2">
        <f>'12 - Deployments &amp; Config'!BB496</f>
        <v>0</v>
      </c>
      <c r="Q491" s="34" t="str">
        <f t="shared" si="28"/>
        <v/>
      </c>
      <c r="R491" s="18" t="str">
        <f t="shared" si="29"/>
        <v>SW NOT INSTALLED</v>
      </c>
      <c r="S491" s="18" t="str">
        <f t="shared" si="30"/>
        <v/>
      </c>
      <c r="T491" s="18" t="str">
        <f t="shared" si="31"/>
        <v>SW NOT INSTALLED</v>
      </c>
    </row>
    <row r="492" spans="1:20">
      <c r="A492" s="34">
        <f>'12 - Deployments &amp; Config'!H497</f>
        <v>0</v>
      </c>
      <c r="B492" s="34">
        <f>'12 - Deployments &amp; Config'!S497</f>
        <v>0</v>
      </c>
      <c r="C492" s="34">
        <f>'12 - Deployments &amp; Config'!T497</f>
        <v>0</v>
      </c>
      <c r="D492" s="18">
        <f>'12 - Deployments &amp; Config'!AK497</f>
        <v>0</v>
      </c>
      <c r="E492" s="18">
        <f>'12 - Deployments &amp; Config'!J497</f>
        <v>0</v>
      </c>
      <c r="F492" s="34">
        <f>'12 - Deployments &amp; Config'!K497</f>
        <v>0</v>
      </c>
      <c r="G492" s="18">
        <f>'12 - Deployments &amp; Config'!L497</f>
        <v>0</v>
      </c>
      <c r="H492" s="18">
        <f>'13 - Config_Intake_View'!M492</f>
        <v>0</v>
      </c>
      <c r="I492" s="34">
        <f>IF('13 - Config_Intake_View'!Q492&lt;&gt;"",'13 - Config_Intake_View'!Q492,'12 - Deployments &amp; Config'!BI497)</f>
        <v>0</v>
      </c>
      <c r="J492" s="18" t="str">
        <f>IF('13 - Config_Intake_View'!Q492&lt;&gt;"","PM Approved",IF('12 - Deployments &amp; Config'!BI497&lt;&gt;"","Assumed",""))</f>
        <v/>
      </c>
      <c r="K492" s="34">
        <f>'12 - Deployments &amp; Config'!BH497</f>
        <v>0</v>
      </c>
      <c r="L492" s="18">
        <f>'12 - Deployments &amp; Config'!P497</f>
        <v>0</v>
      </c>
      <c r="M492" s="18">
        <f>'12 - Deployments &amp; Config'!Q497</f>
        <v>0</v>
      </c>
      <c r="N492" s="18" t="str">
        <f>'12 - Deployments &amp; Config'!BL497</f>
        <v/>
      </c>
      <c r="O492" s="34" t="str">
        <f>'12 - Deployments &amp; Config'!BM497</f>
        <v/>
      </c>
      <c r="P492" s="2">
        <f>'12 - Deployments &amp; Config'!BB497</f>
        <v>0</v>
      </c>
      <c r="Q492" s="34" t="str">
        <f t="shared" si="28"/>
        <v/>
      </c>
      <c r="R492" s="18" t="str">
        <f t="shared" si="29"/>
        <v>SW NOT INSTALLED</v>
      </c>
      <c r="S492" s="18" t="str">
        <f t="shared" si="30"/>
        <v/>
      </c>
      <c r="T492" s="18" t="str">
        <f t="shared" si="31"/>
        <v>SW NOT INSTALLED</v>
      </c>
    </row>
    <row r="493" spans="1:20">
      <c r="A493" s="34">
        <f>'12 - Deployments &amp; Config'!H498</f>
        <v>0</v>
      </c>
      <c r="B493" s="34">
        <f>'12 - Deployments &amp; Config'!S498</f>
        <v>0</v>
      </c>
      <c r="C493" s="34">
        <f>'12 - Deployments &amp; Config'!T498</f>
        <v>0</v>
      </c>
      <c r="D493" s="18">
        <f>'12 - Deployments &amp; Config'!AK498</f>
        <v>0</v>
      </c>
      <c r="E493" s="18">
        <f>'12 - Deployments &amp; Config'!J498</f>
        <v>0</v>
      </c>
      <c r="F493" s="34">
        <f>'12 - Deployments &amp; Config'!K498</f>
        <v>0</v>
      </c>
      <c r="G493" s="18">
        <f>'12 - Deployments &amp; Config'!L498</f>
        <v>0</v>
      </c>
      <c r="H493" s="18">
        <f>'13 - Config_Intake_View'!M493</f>
        <v>0</v>
      </c>
      <c r="I493" s="34">
        <f>IF('13 - Config_Intake_View'!Q493&lt;&gt;"",'13 - Config_Intake_View'!Q493,'12 - Deployments &amp; Config'!BI498)</f>
        <v>0</v>
      </c>
      <c r="J493" s="18" t="str">
        <f>IF('13 - Config_Intake_View'!Q493&lt;&gt;"","PM Approved",IF('12 - Deployments &amp; Config'!BI498&lt;&gt;"","Assumed",""))</f>
        <v/>
      </c>
      <c r="K493" s="34">
        <f>'12 - Deployments &amp; Config'!BH498</f>
        <v>0</v>
      </c>
      <c r="L493" s="18">
        <f>'12 - Deployments &amp; Config'!P498</f>
        <v>0</v>
      </c>
      <c r="M493" s="18">
        <f>'12 - Deployments &amp; Config'!Q498</f>
        <v>0</v>
      </c>
      <c r="N493" s="18" t="str">
        <f>'12 - Deployments &amp; Config'!BL498</f>
        <v/>
      </c>
      <c r="O493" s="34" t="str">
        <f>'12 - Deployments &amp; Config'!BM498</f>
        <v/>
      </c>
      <c r="P493" s="2">
        <f>'12 - Deployments &amp; Config'!BB498</f>
        <v>0</v>
      </c>
      <c r="Q493" s="34" t="str">
        <f t="shared" si="28"/>
        <v/>
      </c>
      <c r="R493" s="18" t="str">
        <f t="shared" si="29"/>
        <v>SW NOT INSTALLED</v>
      </c>
      <c r="S493" s="18" t="str">
        <f t="shared" si="30"/>
        <v/>
      </c>
      <c r="T493" s="18" t="str">
        <f t="shared" si="31"/>
        <v>SW NOT INSTALLED</v>
      </c>
    </row>
    <row r="494" spans="1:20">
      <c r="A494" s="34">
        <f>'12 - Deployments &amp; Config'!H499</f>
        <v>0</v>
      </c>
      <c r="B494" s="34">
        <f>'12 - Deployments &amp; Config'!S499</f>
        <v>0</v>
      </c>
      <c r="C494" s="34">
        <f>'12 - Deployments &amp; Config'!T499</f>
        <v>0</v>
      </c>
      <c r="D494" s="18">
        <f>'12 - Deployments &amp; Config'!AK499</f>
        <v>0</v>
      </c>
      <c r="E494" s="18">
        <f>'12 - Deployments &amp; Config'!J499</f>
        <v>0</v>
      </c>
      <c r="F494" s="34">
        <f>'12 - Deployments &amp; Config'!K499</f>
        <v>0</v>
      </c>
      <c r="G494" s="18">
        <f>'12 - Deployments &amp; Config'!L499</f>
        <v>0</v>
      </c>
      <c r="H494" s="18">
        <f>'13 - Config_Intake_View'!M494</f>
        <v>0</v>
      </c>
      <c r="I494" s="34">
        <f>IF('13 - Config_Intake_View'!Q494&lt;&gt;"",'13 - Config_Intake_View'!Q494,'12 - Deployments &amp; Config'!BI499)</f>
        <v>0</v>
      </c>
      <c r="J494" s="18" t="str">
        <f>IF('13 - Config_Intake_View'!Q494&lt;&gt;"","PM Approved",IF('12 - Deployments &amp; Config'!BI499&lt;&gt;"","Assumed",""))</f>
        <v/>
      </c>
      <c r="K494" s="34">
        <f>'12 - Deployments &amp; Config'!BH499</f>
        <v>0</v>
      </c>
      <c r="L494" s="18">
        <f>'12 - Deployments &amp; Config'!P499</f>
        <v>0</v>
      </c>
      <c r="M494" s="18">
        <f>'12 - Deployments &amp; Config'!Q499</f>
        <v>0</v>
      </c>
      <c r="N494" s="18" t="str">
        <f>'12 - Deployments &amp; Config'!BL499</f>
        <v/>
      </c>
      <c r="O494" s="34" t="str">
        <f>'12 - Deployments &amp; Config'!BM499</f>
        <v/>
      </c>
      <c r="P494" s="2">
        <f>'12 - Deployments &amp; Config'!BB499</f>
        <v>0</v>
      </c>
      <c r="Q494" s="34" t="str">
        <f t="shared" si="28"/>
        <v/>
      </c>
      <c r="R494" s="18" t="str">
        <f t="shared" si="29"/>
        <v>SW NOT INSTALLED</v>
      </c>
      <c r="S494" s="18" t="str">
        <f t="shared" si="30"/>
        <v/>
      </c>
      <c r="T494" s="18" t="str">
        <f t="shared" si="31"/>
        <v>SW NOT INSTALLED</v>
      </c>
    </row>
    <row r="495" spans="1:20">
      <c r="A495" s="34">
        <f>'12 - Deployments &amp; Config'!H500</f>
        <v>0</v>
      </c>
      <c r="B495" s="34">
        <f>'12 - Deployments &amp; Config'!S500</f>
        <v>0</v>
      </c>
      <c r="C495" s="34">
        <f>'12 - Deployments &amp; Config'!T500</f>
        <v>0</v>
      </c>
      <c r="D495" s="18">
        <f>'12 - Deployments &amp; Config'!AK500</f>
        <v>0</v>
      </c>
      <c r="E495" s="18">
        <f>'12 - Deployments &amp; Config'!J500</f>
        <v>0</v>
      </c>
      <c r="F495" s="34">
        <f>'12 - Deployments &amp; Config'!K500</f>
        <v>0</v>
      </c>
      <c r="G495" s="18">
        <f>'12 - Deployments &amp; Config'!L500</f>
        <v>0</v>
      </c>
      <c r="H495" s="18">
        <f>'13 - Config_Intake_View'!M495</f>
        <v>0</v>
      </c>
      <c r="I495" s="34">
        <f>IF('13 - Config_Intake_View'!Q495&lt;&gt;"",'13 - Config_Intake_View'!Q495,'12 - Deployments &amp; Config'!BI500)</f>
        <v>0</v>
      </c>
      <c r="J495" s="18" t="str">
        <f>IF('13 - Config_Intake_View'!Q495&lt;&gt;"","PM Approved",IF('12 - Deployments &amp; Config'!BI500&lt;&gt;"","Assumed",""))</f>
        <v/>
      </c>
      <c r="K495" s="34">
        <f>'12 - Deployments &amp; Config'!BH500</f>
        <v>0</v>
      </c>
      <c r="L495" s="18">
        <f>'12 - Deployments &amp; Config'!P500</f>
        <v>0</v>
      </c>
      <c r="M495" s="18">
        <f>'12 - Deployments &amp; Config'!Q500</f>
        <v>0</v>
      </c>
      <c r="N495" s="18" t="str">
        <f>'12 - Deployments &amp; Config'!BL500</f>
        <v/>
      </c>
      <c r="O495" s="34" t="str">
        <f>'12 - Deployments &amp; Config'!BM500</f>
        <v/>
      </c>
      <c r="P495" s="2">
        <f>'12 - Deployments &amp; Config'!BB500</f>
        <v>0</v>
      </c>
      <c r="Q495" s="34" t="str">
        <f t="shared" si="28"/>
        <v/>
      </c>
      <c r="R495" s="18" t="str">
        <f t="shared" si="29"/>
        <v>SW NOT INSTALLED</v>
      </c>
      <c r="S495" s="18" t="str">
        <f t="shared" si="30"/>
        <v/>
      </c>
      <c r="T495" s="18" t="str">
        <f t="shared" si="31"/>
        <v>SW NOT INSTALLED</v>
      </c>
    </row>
    <row r="496" spans="1:20">
      <c r="A496" s="34">
        <f>'12 - Deployments &amp; Config'!H501</f>
        <v>0</v>
      </c>
      <c r="B496" s="34">
        <f>'12 - Deployments &amp; Config'!S501</f>
        <v>0</v>
      </c>
      <c r="C496" s="34">
        <f>'12 - Deployments &amp; Config'!T501</f>
        <v>0</v>
      </c>
      <c r="D496" s="18">
        <f>'12 - Deployments &amp; Config'!AK501</f>
        <v>0</v>
      </c>
      <c r="E496" s="18">
        <f>'12 - Deployments &amp; Config'!J501</f>
        <v>0</v>
      </c>
      <c r="F496" s="34">
        <f>'12 - Deployments &amp; Config'!K501</f>
        <v>0</v>
      </c>
      <c r="G496" s="18">
        <f>'12 - Deployments &amp; Config'!L501</f>
        <v>0</v>
      </c>
      <c r="H496" s="18">
        <f>'13 - Config_Intake_View'!M496</f>
        <v>0</v>
      </c>
      <c r="I496" s="34">
        <f>IF('13 - Config_Intake_View'!Q496&lt;&gt;"",'13 - Config_Intake_View'!Q496,'12 - Deployments &amp; Config'!BI501)</f>
        <v>0</v>
      </c>
      <c r="J496" s="18" t="str">
        <f>IF('13 - Config_Intake_View'!Q496&lt;&gt;"","PM Approved",IF('12 - Deployments &amp; Config'!BI501&lt;&gt;"","Assumed",""))</f>
        <v/>
      </c>
      <c r="K496" s="34">
        <f>'12 - Deployments &amp; Config'!BH501</f>
        <v>0</v>
      </c>
      <c r="L496" s="18">
        <f>'12 - Deployments &amp; Config'!P501</f>
        <v>0</v>
      </c>
      <c r="M496" s="18">
        <f>'12 - Deployments &amp; Config'!Q501</f>
        <v>0</v>
      </c>
      <c r="N496" s="18" t="str">
        <f>'12 - Deployments &amp; Config'!BL501</f>
        <v/>
      </c>
      <c r="O496" s="34" t="str">
        <f>'12 - Deployments &amp; Config'!BM501</f>
        <v/>
      </c>
      <c r="P496" s="2">
        <f>'12 - Deployments &amp; Config'!BB501</f>
        <v>0</v>
      </c>
      <c r="Q496" s="34" t="str">
        <f t="shared" si="28"/>
        <v/>
      </c>
      <c r="R496" s="18" t="str">
        <f t="shared" si="29"/>
        <v>SW NOT INSTALLED</v>
      </c>
      <c r="S496" s="18" t="str">
        <f t="shared" si="30"/>
        <v/>
      </c>
      <c r="T496" s="18" t="str">
        <f t="shared" si="31"/>
        <v>SW NOT INSTALLED</v>
      </c>
    </row>
    <row r="497" spans="1:20">
      <c r="A497" s="34">
        <f>'12 - Deployments &amp; Config'!H502</f>
        <v>0</v>
      </c>
      <c r="B497" s="34">
        <f>'12 - Deployments &amp; Config'!S502</f>
        <v>0</v>
      </c>
      <c r="C497" s="34">
        <f>'12 - Deployments &amp; Config'!T502</f>
        <v>0</v>
      </c>
      <c r="D497" s="18">
        <f>'12 - Deployments &amp; Config'!AK502</f>
        <v>0</v>
      </c>
      <c r="E497" s="18">
        <f>'12 - Deployments &amp; Config'!J502</f>
        <v>0</v>
      </c>
      <c r="F497" s="34">
        <f>'12 - Deployments &amp; Config'!K502</f>
        <v>0</v>
      </c>
      <c r="G497" s="18">
        <f>'12 - Deployments &amp; Config'!L502</f>
        <v>0</v>
      </c>
      <c r="H497" s="18">
        <f>'13 - Config_Intake_View'!M497</f>
        <v>0</v>
      </c>
      <c r="I497" s="34">
        <f>IF('13 - Config_Intake_View'!Q497&lt;&gt;"",'13 - Config_Intake_View'!Q497,'12 - Deployments &amp; Config'!BI502)</f>
        <v>0</v>
      </c>
      <c r="J497" s="18" t="str">
        <f>IF('13 - Config_Intake_View'!Q497&lt;&gt;"","PM Approved",IF('12 - Deployments &amp; Config'!BI502&lt;&gt;"","Assumed",""))</f>
        <v/>
      </c>
      <c r="K497" s="34">
        <f>'12 - Deployments &amp; Config'!BH502</f>
        <v>0</v>
      </c>
      <c r="L497" s="18">
        <f>'12 - Deployments &amp; Config'!P502</f>
        <v>0</v>
      </c>
      <c r="M497" s="18">
        <f>'12 - Deployments &amp; Config'!Q502</f>
        <v>0</v>
      </c>
      <c r="N497" s="18" t="str">
        <f>'12 - Deployments &amp; Config'!BL502</f>
        <v/>
      </c>
      <c r="O497" s="34" t="str">
        <f>'12 - Deployments &amp; Config'!BM502</f>
        <v/>
      </c>
      <c r="P497" s="2">
        <f>'12 - Deployments &amp; Config'!BB502</f>
        <v>0</v>
      </c>
      <c r="Q497" s="34" t="str">
        <f t="shared" si="28"/>
        <v/>
      </c>
      <c r="R497" s="18" t="str">
        <f t="shared" si="29"/>
        <v>SW NOT INSTALLED</v>
      </c>
      <c r="S497" s="18" t="str">
        <f t="shared" si="30"/>
        <v/>
      </c>
      <c r="T497" s="18" t="str">
        <f t="shared" si="31"/>
        <v>SW NOT INSTALLED</v>
      </c>
    </row>
    <row r="498" spans="1:20">
      <c r="A498" s="34">
        <f>'12 - Deployments &amp; Config'!H503</f>
        <v>0</v>
      </c>
      <c r="B498" s="34">
        <f>'12 - Deployments &amp; Config'!S503</f>
        <v>0</v>
      </c>
      <c r="C498" s="34">
        <f>'12 - Deployments &amp; Config'!T503</f>
        <v>0</v>
      </c>
      <c r="D498" s="18">
        <f>'12 - Deployments &amp; Config'!AK503</f>
        <v>0</v>
      </c>
      <c r="E498" s="18">
        <f>'12 - Deployments &amp; Config'!J503</f>
        <v>0</v>
      </c>
      <c r="F498" s="34">
        <f>'12 - Deployments &amp; Config'!K503</f>
        <v>0</v>
      </c>
      <c r="G498" s="18">
        <f>'12 - Deployments &amp; Config'!L503</f>
        <v>0</v>
      </c>
      <c r="H498" s="18">
        <f>'13 - Config_Intake_View'!M498</f>
        <v>0</v>
      </c>
      <c r="I498" s="34">
        <f>IF('13 - Config_Intake_View'!Q498&lt;&gt;"",'13 - Config_Intake_View'!Q498,'12 - Deployments &amp; Config'!BI503)</f>
        <v>0</v>
      </c>
      <c r="J498" s="18" t="str">
        <f>IF('13 - Config_Intake_View'!Q498&lt;&gt;"","PM Approved",IF('12 - Deployments &amp; Config'!BI503&lt;&gt;"","Assumed",""))</f>
        <v/>
      </c>
      <c r="K498" s="34">
        <f>'12 - Deployments &amp; Config'!BH503</f>
        <v>0</v>
      </c>
      <c r="L498" s="18">
        <f>'12 - Deployments &amp; Config'!P503</f>
        <v>0</v>
      </c>
      <c r="M498" s="18">
        <f>'12 - Deployments &amp; Config'!Q503</f>
        <v>0</v>
      </c>
      <c r="N498" s="18" t="str">
        <f>'12 - Deployments &amp; Config'!BL503</f>
        <v/>
      </c>
      <c r="O498" s="34" t="str">
        <f>'12 - Deployments &amp; Config'!BM503</f>
        <v/>
      </c>
      <c r="P498" s="2">
        <f>'12 - Deployments &amp; Config'!BB503</f>
        <v>0</v>
      </c>
      <c r="Q498" s="34" t="str">
        <f t="shared" si="28"/>
        <v/>
      </c>
      <c r="R498" s="18" t="str">
        <f t="shared" si="29"/>
        <v>SW NOT INSTALLED</v>
      </c>
      <c r="S498" s="18" t="str">
        <f t="shared" si="30"/>
        <v/>
      </c>
      <c r="T498" s="18" t="str">
        <f t="shared" si="31"/>
        <v>SW NOT INSTALLED</v>
      </c>
    </row>
    <row r="499" spans="1:20">
      <c r="A499" s="34">
        <f>'12 - Deployments &amp; Config'!H504</f>
        <v>0</v>
      </c>
      <c r="B499" s="34">
        <f>'12 - Deployments &amp; Config'!S504</f>
        <v>0</v>
      </c>
      <c r="C499" s="34">
        <f>'12 - Deployments &amp; Config'!T504</f>
        <v>0</v>
      </c>
      <c r="D499" s="18">
        <f>'12 - Deployments &amp; Config'!AK504</f>
        <v>0</v>
      </c>
      <c r="E499" s="18">
        <f>'12 - Deployments &amp; Config'!J504</f>
        <v>0</v>
      </c>
      <c r="F499" s="34">
        <f>'12 - Deployments &amp; Config'!K504</f>
        <v>0</v>
      </c>
      <c r="G499" s="18">
        <f>'12 - Deployments &amp; Config'!L504</f>
        <v>0</v>
      </c>
      <c r="H499" s="18">
        <f>'13 - Config_Intake_View'!M499</f>
        <v>0</v>
      </c>
      <c r="I499" s="34">
        <f>IF('13 - Config_Intake_View'!Q499&lt;&gt;"",'13 - Config_Intake_View'!Q499,'12 - Deployments &amp; Config'!BI504)</f>
        <v>0</v>
      </c>
      <c r="J499" s="18" t="str">
        <f>IF('13 - Config_Intake_View'!Q499&lt;&gt;"","PM Approved",IF('12 - Deployments &amp; Config'!BI504&lt;&gt;"","Assumed",""))</f>
        <v/>
      </c>
      <c r="K499" s="34">
        <f>'12 - Deployments &amp; Config'!BH504</f>
        <v>0</v>
      </c>
      <c r="L499" s="18">
        <f>'12 - Deployments &amp; Config'!P504</f>
        <v>0</v>
      </c>
      <c r="M499" s="18">
        <f>'12 - Deployments &amp; Config'!Q504</f>
        <v>0</v>
      </c>
      <c r="N499" s="18" t="str">
        <f>'12 - Deployments &amp; Config'!BL504</f>
        <v/>
      </c>
      <c r="O499" s="34" t="str">
        <f>'12 - Deployments &amp; Config'!BM504</f>
        <v/>
      </c>
      <c r="P499" s="2">
        <f>'12 - Deployments &amp; Config'!BB504</f>
        <v>0</v>
      </c>
      <c r="Q499" s="34" t="str">
        <f t="shared" si="28"/>
        <v/>
      </c>
      <c r="R499" s="18" t="str">
        <f t="shared" si="29"/>
        <v>SW NOT INSTALLED</v>
      </c>
      <c r="S499" s="18" t="str">
        <f t="shared" si="30"/>
        <v/>
      </c>
      <c r="T499" s="18" t="str">
        <f t="shared" si="31"/>
        <v>SW NOT INSTALLED</v>
      </c>
    </row>
    <row r="500" spans="1:20">
      <c r="A500" s="34">
        <f>'12 - Deployments &amp; Config'!H505</f>
        <v>0</v>
      </c>
      <c r="B500" s="34">
        <f>'12 - Deployments &amp; Config'!S505</f>
        <v>0</v>
      </c>
      <c r="C500" s="34">
        <f>'12 - Deployments &amp; Config'!T505</f>
        <v>0</v>
      </c>
      <c r="D500" s="18">
        <f>'12 - Deployments &amp; Config'!AK505</f>
        <v>0</v>
      </c>
      <c r="E500" s="18">
        <f>'12 - Deployments &amp; Config'!J505</f>
        <v>0</v>
      </c>
      <c r="F500" s="34">
        <f>'12 - Deployments &amp; Config'!K505</f>
        <v>0</v>
      </c>
      <c r="G500" s="18">
        <f>'12 - Deployments &amp; Config'!L505</f>
        <v>0</v>
      </c>
      <c r="H500" s="18">
        <f>'13 - Config_Intake_View'!M500</f>
        <v>0</v>
      </c>
      <c r="I500" s="34">
        <f>IF('13 - Config_Intake_View'!Q500&lt;&gt;"",'13 - Config_Intake_View'!Q500,'12 - Deployments &amp; Config'!BI505)</f>
        <v>0</v>
      </c>
      <c r="J500" s="18" t="str">
        <f>IF('13 - Config_Intake_View'!Q500&lt;&gt;"","PM Approved",IF('12 - Deployments &amp; Config'!BI505&lt;&gt;"","Assumed",""))</f>
        <v/>
      </c>
      <c r="K500" s="34">
        <f>'12 - Deployments &amp; Config'!BH505</f>
        <v>0</v>
      </c>
      <c r="L500" s="18">
        <f>'12 - Deployments &amp; Config'!P505</f>
        <v>0</v>
      </c>
      <c r="M500" s="18">
        <f>'12 - Deployments &amp; Config'!Q505</f>
        <v>0</v>
      </c>
      <c r="N500" s="18" t="str">
        <f>'12 - Deployments &amp; Config'!BL505</f>
        <v/>
      </c>
      <c r="O500" s="34" t="str">
        <f>'12 - Deployments &amp; Config'!BM505</f>
        <v/>
      </c>
      <c r="P500" s="2">
        <f>'12 - Deployments &amp; Config'!BB505</f>
        <v>0</v>
      </c>
      <c r="Q500" s="34" t="str">
        <f t="shared" si="28"/>
        <v/>
      </c>
      <c r="R500" s="18" t="str">
        <f t="shared" si="29"/>
        <v>SW NOT INSTALLED</v>
      </c>
      <c r="S500" s="18" t="str">
        <f t="shared" si="30"/>
        <v/>
      </c>
      <c r="T500" s="18" t="str">
        <f t="shared" si="31"/>
        <v>SW NOT INSTALLED</v>
      </c>
    </row>
    <row r="501" spans="1:20">
      <c r="A501" s="34">
        <f>'12 - Deployments &amp; Config'!H506</f>
        <v>0</v>
      </c>
      <c r="B501" s="34">
        <f>'12 - Deployments &amp; Config'!S506</f>
        <v>0</v>
      </c>
      <c r="C501" s="34">
        <f>'12 - Deployments &amp; Config'!T506</f>
        <v>0</v>
      </c>
      <c r="D501" s="18">
        <f>'12 - Deployments &amp; Config'!AK506</f>
        <v>0</v>
      </c>
      <c r="E501" s="18">
        <f>'12 - Deployments &amp; Config'!J506</f>
        <v>0</v>
      </c>
      <c r="F501" s="34">
        <f>'12 - Deployments &amp; Config'!K506</f>
        <v>0</v>
      </c>
      <c r="G501" s="18">
        <f>'12 - Deployments &amp; Config'!L506</f>
        <v>0</v>
      </c>
      <c r="H501" s="18">
        <f>'13 - Config_Intake_View'!M501</f>
        <v>0</v>
      </c>
      <c r="I501" s="34">
        <f>IF('13 - Config_Intake_View'!Q501&lt;&gt;"",'13 - Config_Intake_View'!Q501,'12 - Deployments &amp; Config'!BI506)</f>
        <v>0</v>
      </c>
      <c r="J501" s="18" t="str">
        <f>IF('13 - Config_Intake_View'!Q501&lt;&gt;"","PM Approved",IF('12 - Deployments &amp; Config'!BI506&lt;&gt;"","Assumed",""))</f>
        <v/>
      </c>
      <c r="K501" s="34">
        <f>'12 - Deployments &amp; Config'!BH506</f>
        <v>0</v>
      </c>
      <c r="L501" s="18">
        <f>'12 - Deployments &amp; Config'!P506</f>
        <v>0</v>
      </c>
      <c r="M501" s="18">
        <f>'12 - Deployments &amp; Config'!Q506</f>
        <v>0</v>
      </c>
      <c r="N501" s="18" t="str">
        <f>'12 - Deployments &amp; Config'!BL506</f>
        <v/>
      </c>
      <c r="O501" s="34" t="str">
        <f>'12 - Deployments &amp; Config'!BM506</f>
        <v/>
      </c>
      <c r="P501" s="2">
        <f>'12 - Deployments &amp; Config'!BB506</f>
        <v>0</v>
      </c>
      <c r="Q501" s="34" t="str">
        <f t="shared" si="28"/>
        <v/>
      </c>
      <c r="R501" s="18" t="str">
        <f t="shared" si="29"/>
        <v>SW NOT INSTALLED</v>
      </c>
      <c r="S501" s="18" t="str">
        <f t="shared" si="30"/>
        <v/>
      </c>
      <c r="T501" s="18" t="str">
        <f t="shared" si="31"/>
        <v>SW NOT INSTALLED</v>
      </c>
    </row>
    <row r="502" spans="1:20">
      <c r="A502" s="34">
        <f>'12 - Deployments &amp; Config'!H507</f>
        <v>0</v>
      </c>
      <c r="B502" s="34">
        <f>'12 - Deployments &amp; Config'!S507</f>
        <v>0</v>
      </c>
      <c r="C502" s="34">
        <f>'12 - Deployments &amp; Config'!T507</f>
        <v>0</v>
      </c>
      <c r="D502" s="18">
        <f>'12 - Deployments &amp; Config'!AK507</f>
        <v>0</v>
      </c>
      <c r="E502" s="18">
        <f>'12 - Deployments &amp; Config'!J507</f>
        <v>0</v>
      </c>
      <c r="F502" s="34">
        <f>'12 - Deployments &amp; Config'!K507</f>
        <v>0</v>
      </c>
      <c r="G502" s="18">
        <f>'12 - Deployments &amp; Config'!L507</f>
        <v>0</v>
      </c>
      <c r="H502" s="18">
        <f>'13 - Config_Intake_View'!M502</f>
        <v>0</v>
      </c>
      <c r="I502" s="34">
        <f>IF('13 - Config_Intake_View'!Q502&lt;&gt;"",'13 - Config_Intake_View'!Q502,'12 - Deployments &amp; Config'!BI507)</f>
        <v>0</v>
      </c>
      <c r="J502" s="18" t="str">
        <f>IF('13 - Config_Intake_View'!Q502&lt;&gt;"","PM Approved",IF('12 - Deployments &amp; Config'!BI507&lt;&gt;"","Assumed",""))</f>
        <v/>
      </c>
      <c r="K502" s="34">
        <f>'12 - Deployments &amp; Config'!BH507</f>
        <v>0</v>
      </c>
      <c r="L502" s="18">
        <f>'12 - Deployments &amp; Config'!P507</f>
        <v>0</v>
      </c>
      <c r="M502" s="18">
        <f>'12 - Deployments &amp; Config'!Q507</f>
        <v>0</v>
      </c>
      <c r="N502" s="18" t="str">
        <f>'12 - Deployments &amp; Config'!BL507</f>
        <v/>
      </c>
      <c r="O502" s="34" t="str">
        <f>'12 - Deployments &amp; Config'!BM507</f>
        <v/>
      </c>
      <c r="P502" s="2">
        <f>'12 - Deployments &amp; Config'!BB507</f>
        <v>0</v>
      </c>
      <c r="Q502" s="34" t="str">
        <f t="shared" si="28"/>
        <v/>
      </c>
      <c r="R502" s="18" t="str">
        <f t="shared" si="29"/>
        <v>SW NOT INSTALLED</v>
      </c>
      <c r="S502" s="18" t="str">
        <f t="shared" si="30"/>
        <v/>
      </c>
      <c r="T502" s="18" t="str">
        <f t="shared" si="31"/>
        <v>SW NOT INSTALLED</v>
      </c>
    </row>
    <row r="503" spans="1:20">
      <c r="A503" s="34">
        <f>'12 - Deployments &amp; Config'!H508</f>
        <v>0</v>
      </c>
      <c r="B503" s="34">
        <f>'12 - Deployments &amp; Config'!S508</f>
        <v>0</v>
      </c>
      <c r="C503" s="34">
        <f>'12 - Deployments &amp; Config'!T508</f>
        <v>0</v>
      </c>
      <c r="D503" s="18">
        <f>'12 - Deployments &amp; Config'!AK508</f>
        <v>0</v>
      </c>
      <c r="E503" s="18">
        <f>'12 - Deployments &amp; Config'!J508</f>
        <v>0</v>
      </c>
      <c r="F503" s="34">
        <f>'12 - Deployments &amp; Config'!K508</f>
        <v>0</v>
      </c>
      <c r="G503" s="18">
        <f>'12 - Deployments &amp; Config'!L508</f>
        <v>0</v>
      </c>
      <c r="H503" s="18">
        <f>'13 - Config_Intake_View'!M503</f>
        <v>0</v>
      </c>
      <c r="I503" s="34">
        <f>IF('13 - Config_Intake_View'!Q503&lt;&gt;"",'13 - Config_Intake_View'!Q503,'12 - Deployments &amp; Config'!BI508)</f>
        <v>0</v>
      </c>
      <c r="J503" s="18" t="str">
        <f>IF('13 - Config_Intake_View'!Q503&lt;&gt;"","PM Approved",IF('12 - Deployments &amp; Config'!BI508&lt;&gt;"","Assumed",""))</f>
        <v/>
      </c>
      <c r="K503" s="34">
        <f>'12 - Deployments &amp; Config'!BH508</f>
        <v>0</v>
      </c>
      <c r="L503" s="18">
        <f>'12 - Deployments &amp; Config'!P508</f>
        <v>0</v>
      </c>
      <c r="M503" s="18">
        <f>'12 - Deployments &amp; Config'!Q508</f>
        <v>0</v>
      </c>
      <c r="N503" s="18" t="str">
        <f>'12 - Deployments &amp; Config'!BL508</f>
        <v/>
      </c>
      <c r="O503" s="34" t="str">
        <f>'12 - Deployments &amp; Config'!BM508</f>
        <v/>
      </c>
      <c r="P503" s="2">
        <f>'12 - Deployments &amp; Config'!BB508</f>
        <v>0</v>
      </c>
      <c r="Q503" s="34" t="str">
        <f t="shared" si="28"/>
        <v/>
      </c>
      <c r="R503" s="18" t="str">
        <f t="shared" si="29"/>
        <v>SW NOT INSTALLED</v>
      </c>
      <c r="S503" s="18" t="str">
        <f t="shared" si="30"/>
        <v/>
      </c>
      <c r="T503" s="18" t="str">
        <f t="shared" si="31"/>
        <v>SW NOT INSTALLED</v>
      </c>
    </row>
  </sheetData>
  <conditionalFormatting sqref="I2:I503">
    <cfRule type="expression" dxfId="7" priority="8" stopIfTrue="1">
      <formula>AND($I2&lt;&gt;"",OR($K2="Yes",$J2="PM Approved"))</formula>
    </cfRule>
    <cfRule type="expression" dxfId="6" priority="9" stopIfTrue="1">
      <formula>AND($I2&lt;&gt;"",NOT(OR($K2="Yes",$J2="PM Approved")))</formula>
    </cfRule>
  </conditionalFormatting>
  <conditionalFormatting sqref="Q2:Q503">
    <cfRule type="expression" dxfId="5" priority="10">
      <formula>Q2&lt;&gt;""</formula>
    </cfRule>
  </conditionalFormatting>
  <conditionalFormatting sqref="R2:R503">
    <cfRule type="expression" dxfId="4" priority="11">
      <formula>R2&lt;&gt;""</formula>
    </cfRule>
  </conditionalFormatting>
  <conditionalFormatting sqref="S2:S503">
    <cfRule type="expression" dxfId="3" priority="12">
      <formula>S2&lt;&gt;""</formula>
    </cfRule>
  </conditionalFormatting>
  <conditionalFormatting sqref="T2:T503">
    <cfRule type="expression" dxfId="2" priority="13">
      <formula>AND(T2&lt;&gt;"",T2="OK")</formula>
    </cfRule>
    <cfRule type="expression" dxfId="1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AB15858E-0A73-4753-9AA0-3572BA382034}">
      <formula1>FALSE</formula1>
    </dataValidation>
    <dataValidation type="custom" allowBlank="1" showInputMessage="1" showErrorMessage="1" sqref="A2:XFD1048576" xr:uid="{7F9EAB0C-0AC6-492E-B044-0EF6AFD9387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00F-39E2-4144-BDD4-610951F8EF0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2112</v>
      </c>
      <c r="B1" s="101" t="s">
        <v>2138</v>
      </c>
      <c r="C1" s="103"/>
      <c r="D1" s="101" t="s">
        <v>2139</v>
      </c>
      <c r="E1" s="103"/>
      <c r="F1" s="101" t="s">
        <v>1974</v>
      </c>
      <c r="G1" s="104"/>
      <c r="H1" s="103"/>
      <c r="I1" s="5"/>
      <c r="J1" s="101" t="s">
        <v>2140</v>
      </c>
      <c r="K1" s="103"/>
    </row>
    <row r="2" spans="1:11" ht="30" customHeight="1">
      <c r="A2" s="6"/>
      <c r="B2" s="6" t="s">
        <v>1215</v>
      </c>
      <c r="C2" s="6" t="s">
        <v>1526</v>
      </c>
      <c r="D2" s="6" t="s">
        <v>1215</v>
      </c>
      <c r="E2" s="6" t="s">
        <v>1526</v>
      </c>
      <c r="F2" s="6" t="s">
        <v>2141</v>
      </c>
      <c r="G2" s="6" t="s">
        <v>2142</v>
      </c>
      <c r="H2" s="6" t="s">
        <v>2143</v>
      </c>
      <c r="I2" s="6"/>
      <c r="J2" s="6" t="s">
        <v>1215</v>
      </c>
      <c r="K2" s="6" t="s">
        <v>1526</v>
      </c>
    </row>
    <row r="3" spans="1:11">
      <c r="A3" s="7" t="s">
        <v>2144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2145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2146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2147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2148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2149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2150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2151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2152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2153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2154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2155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2156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2157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2158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2159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2112</v>
      </c>
      <c r="B1" s="101" t="s">
        <v>2138</v>
      </c>
      <c r="C1" s="103"/>
      <c r="D1" s="101" t="s">
        <v>2139</v>
      </c>
      <c r="E1" s="103"/>
      <c r="F1" s="101" t="s">
        <v>1974</v>
      </c>
      <c r="G1" s="104"/>
      <c r="H1" s="103"/>
      <c r="I1" s="5"/>
      <c r="J1" s="101" t="s">
        <v>2140</v>
      </c>
      <c r="K1" s="103"/>
    </row>
    <row r="2" spans="1:11" ht="30" customHeight="1">
      <c r="A2" s="6"/>
      <c r="B2" s="6" t="s">
        <v>1215</v>
      </c>
      <c r="C2" s="6" t="s">
        <v>1526</v>
      </c>
      <c r="D2" s="6" t="s">
        <v>1215</v>
      </c>
      <c r="E2" s="6" t="s">
        <v>1526</v>
      </c>
      <c r="F2" s="6" t="s">
        <v>2141</v>
      </c>
      <c r="G2" s="6" t="s">
        <v>2142</v>
      </c>
      <c r="H2" s="6" t="s">
        <v>2143</v>
      </c>
      <c r="I2" s="6"/>
      <c r="J2" s="6" t="s">
        <v>1215</v>
      </c>
      <c r="K2" s="6" t="s">
        <v>1526</v>
      </c>
    </row>
    <row r="3" spans="1:11">
      <c r="A3" s="7" t="s">
        <v>2144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2145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2146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2147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2148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2149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2150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2151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2152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2153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2154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2155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2156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2157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2158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2159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2112</v>
      </c>
      <c r="B1" s="101" t="s">
        <v>2138</v>
      </c>
      <c r="C1" s="103"/>
      <c r="D1" s="101" t="s">
        <v>2139</v>
      </c>
      <c r="E1" s="103"/>
      <c r="F1" s="101" t="s">
        <v>1974</v>
      </c>
      <c r="G1" s="104"/>
      <c r="H1" s="103"/>
      <c r="I1" s="5"/>
      <c r="J1" s="101" t="s">
        <v>2140</v>
      </c>
      <c r="K1" s="103"/>
    </row>
    <row r="2" spans="1:11" ht="30" customHeight="1">
      <c r="A2" s="6"/>
      <c r="B2" s="6" t="s">
        <v>1215</v>
      </c>
      <c r="C2" s="6" t="s">
        <v>1526</v>
      </c>
      <c r="D2" s="6" t="s">
        <v>1215</v>
      </c>
      <c r="E2" s="6" t="s">
        <v>1526</v>
      </c>
      <c r="F2" s="6" t="s">
        <v>2141</v>
      </c>
      <c r="G2" s="6" t="s">
        <v>2142</v>
      </c>
      <c r="H2" s="6" t="s">
        <v>2143</v>
      </c>
      <c r="I2" s="6"/>
      <c r="J2" s="6" t="s">
        <v>1215</v>
      </c>
      <c r="K2" s="6" t="s">
        <v>1526</v>
      </c>
    </row>
    <row r="3" spans="1:11">
      <c r="A3" s="7" t="s">
        <v>2144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2145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2146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2147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2148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2149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2150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2151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2152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2153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2154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2155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2156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2157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2158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2159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2112</v>
      </c>
      <c r="B1" s="101" t="s">
        <v>2138</v>
      </c>
      <c r="C1" s="103"/>
      <c r="D1" s="101" t="s">
        <v>2139</v>
      </c>
      <c r="E1" s="103"/>
      <c r="F1" s="101" t="s">
        <v>1974</v>
      </c>
      <c r="G1" s="104"/>
      <c r="H1" s="103"/>
      <c r="I1" s="5"/>
      <c r="J1" s="101" t="s">
        <v>2140</v>
      </c>
      <c r="K1" s="103"/>
    </row>
    <row r="2" spans="1:11" ht="30" customHeight="1">
      <c r="A2" s="6"/>
      <c r="B2" s="6" t="s">
        <v>1215</v>
      </c>
      <c r="C2" s="6" t="s">
        <v>1526</v>
      </c>
      <c r="D2" s="6" t="s">
        <v>1215</v>
      </c>
      <c r="E2" s="6" t="s">
        <v>1526</v>
      </c>
      <c r="F2" s="6" t="s">
        <v>2141</v>
      </c>
      <c r="G2" s="6" t="s">
        <v>2142</v>
      </c>
      <c r="H2" s="6" t="s">
        <v>2143</v>
      </c>
      <c r="I2" s="6"/>
      <c r="J2" s="6" t="s">
        <v>1215</v>
      </c>
      <c r="K2" s="6" t="s">
        <v>1526</v>
      </c>
    </row>
    <row r="3" spans="1:11">
      <c r="A3" s="7" t="s">
        <v>2144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2145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2146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2147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2148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2149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2150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2151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2152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2153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2154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2155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2156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2157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2158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2159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2112</v>
      </c>
      <c r="B1" s="101" t="s">
        <v>2138</v>
      </c>
      <c r="C1" s="103"/>
      <c r="D1" s="101" t="s">
        <v>2139</v>
      </c>
      <c r="E1" s="103"/>
      <c r="F1" s="101" t="s">
        <v>1974</v>
      </c>
      <c r="G1" s="104"/>
      <c r="H1" s="103"/>
      <c r="I1" s="5"/>
      <c r="J1" s="101" t="s">
        <v>2140</v>
      </c>
      <c r="K1" s="103"/>
    </row>
    <row r="2" spans="1:11" ht="30" customHeight="1">
      <c r="A2" s="6"/>
      <c r="B2" s="6" t="s">
        <v>1215</v>
      </c>
      <c r="C2" s="6" t="s">
        <v>1526</v>
      </c>
      <c r="D2" s="6" t="s">
        <v>1215</v>
      </c>
      <c r="E2" s="6" t="s">
        <v>1526</v>
      </c>
      <c r="F2" s="6" t="s">
        <v>2141</v>
      </c>
      <c r="G2" s="6" t="s">
        <v>2142</v>
      </c>
      <c r="H2" s="6" t="s">
        <v>2143</v>
      </c>
      <c r="I2" s="6"/>
      <c r="J2" s="6" t="s">
        <v>1215</v>
      </c>
      <c r="K2" s="6" t="s">
        <v>1526</v>
      </c>
    </row>
    <row r="3" spans="1:11">
      <c r="A3" s="7" t="s">
        <v>2144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2145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2146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2147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2148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2149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2150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2151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2152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2153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2154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2155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2156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2157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2158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2159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4" t="s">
        <v>2160</v>
      </c>
      <c r="B1" s="54" t="s">
        <v>2161</v>
      </c>
      <c r="C1" s="54" t="s">
        <v>2162</v>
      </c>
      <c r="D1" s="54" t="s">
        <v>1237</v>
      </c>
      <c r="E1" s="54" t="s">
        <v>2163</v>
      </c>
      <c r="F1" s="54" t="s">
        <v>2164</v>
      </c>
      <c r="G1" s="54" t="s">
        <v>2165</v>
      </c>
      <c r="H1" s="54" t="s">
        <v>2112</v>
      </c>
      <c r="I1" s="54" t="s">
        <v>1267</v>
      </c>
      <c r="J1" s="54" t="s">
        <v>2166</v>
      </c>
      <c r="K1" s="54" t="s">
        <v>72</v>
      </c>
    </row>
    <row r="2" spans="1:11">
      <c r="A2" s="3"/>
      <c r="B2" s="4" t="s">
        <v>2167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2168</v>
      </c>
      <c r="C3" s="4" t="s">
        <v>2169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2170</v>
      </c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 t="s">
        <v>2171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2172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>
      <c r="A7" s="3"/>
      <c r="B7" s="4" t="s">
        <v>2173</v>
      </c>
      <c r="C7" s="4" t="s">
        <v>2174</v>
      </c>
      <c r="D7" s="4"/>
      <c r="E7" s="4"/>
      <c r="F7" s="4"/>
      <c r="G7" s="4"/>
      <c r="H7" s="4"/>
      <c r="I7" s="4"/>
      <c r="J7" s="4"/>
      <c r="K7" s="4"/>
    </row>
    <row r="8" spans="1:11">
      <c r="A8" s="3"/>
      <c r="B8" s="4" t="s">
        <v>2175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2176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2177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2178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2179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2180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2181</v>
      </c>
      <c r="D14" s="4"/>
      <c r="E14" s="4"/>
      <c r="F14" s="4"/>
      <c r="G14" s="4"/>
      <c r="H14" s="4"/>
      <c r="I14" s="4"/>
      <c r="J14" s="4"/>
      <c r="K14" s="4"/>
    </row>
    <row r="15" spans="1:11" ht="27.75">
      <c r="A15" s="3" t="s">
        <v>2182</v>
      </c>
      <c r="B15" s="4" t="s">
        <v>2183</v>
      </c>
      <c r="C15" s="4" t="s">
        <v>2184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2185</v>
      </c>
    </row>
    <row r="3" spans="1:6">
      <c r="A3" s="10" t="s">
        <v>2186</v>
      </c>
    </row>
    <row r="4" spans="1:6" ht="30" customHeight="1">
      <c r="A4" s="54" t="s">
        <v>1267</v>
      </c>
      <c r="B4" s="54" t="s">
        <v>2187</v>
      </c>
      <c r="C4" s="54" t="s">
        <v>2188</v>
      </c>
      <c r="D4" s="54" t="s">
        <v>2189</v>
      </c>
      <c r="E4" s="54" t="s">
        <v>1225</v>
      </c>
      <c r="F4" s="54" t="s">
        <v>2190</v>
      </c>
    </row>
    <row r="5" spans="1:6">
      <c r="A5" s="7" t="s">
        <v>2191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2192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2193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2194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2195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2196</v>
      </c>
    </row>
    <row r="14" spans="1:6">
      <c r="A14" s="54" t="s">
        <v>2197</v>
      </c>
      <c r="B14" s="54" t="s">
        <v>1176</v>
      </c>
    </row>
    <row r="15" spans="1:6">
      <c r="A15" s="7" t="s">
        <v>2198</v>
      </c>
      <c r="B15" s="8">
        <f t="array" ref="B15">SUMPRODUCT(('12 - Deployments &amp; Config'!$T$2:$X$532&lt;&gt;"")*('12 - Deployments &amp; Config'!$AW$2:$BA$532&lt;&gt;"Yes")*('12 - Deployments &amp; Config'!$AW$2:$BA$532&lt;&gt;"N/A"))</f>
        <v>141</v>
      </c>
    </row>
    <row r="16" spans="1:6">
      <c r="A16" s="7" t="s">
        <v>2199</v>
      </c>
      <c r="B16" s="8">
        <f t="array" ref="B16">SUMPRODUCT(('12 - Deployments &amp; Config'!$T$2:$X$532&lt;&gt;"")*('12 - Deployments &amp; Config'!$AX$2:$BB$532&lt;&gt;"Yes")*('12 - Deployments &amp; Config'!$AX$2:$BB$532&lt;&gt;"N/A"))</f>
        <v>145</v>
      </c>
    </row>
    <row r="17" spans="1:2">
      <c r="A17" s="7" t="s">
        <v>2200</v>
      </c>
      <c r="B17" s="8">
        <f t="array" ref="B17">SUMPRODUCT(('12 - Deployments &amp; Config'!$T$2:$X$532&lt;&gt;"")*('12 - Deployments &amp; Config'!$BE$2:$BI$532&lt;&gt;"Yes")*('12 - Deployments &amp; Config'!$BE$2:$BI$532&lt;&gt;"N/A"))</f>
        <v>124</v>
      </c>
    </row>
    <row r="18" spans="1:2">
      <c r="A18" s="7" t="s">
        <v>2201</v>
      </c>
      <c r="B18" s="8">
        <f t="array" ref="B18">SUMPRODUCT(('12 - Deployments &amp; Config'!$T$2:$X$532&lt;&gt;"")*('12 - Deployments &amp; Config'!$BE$2:$BI$532="Yes")*('12 - Deployments &amp; Config'!$BF$2:$BJ$532&lt;&gt;"Yes")*('12 - Deployments &amp; Config'!$BF$2:$BJ$532&lt;&gt;"N/A"))</f>
        <v>34</v>
      </c>
    </row>
    <row r="19" spans="1:2">
      <c r="A19" s="7" t="s">
        <v>2202</v>
      </c>
      <c r="B19" s="8" t="e">
        <f t="array" ref="B19">SUMPRODUCT(('12 - Deployments &amp; Config'!$T$2:$X$532&lt;&gt;"")*('12 - Deployments &amp; Config'!$BJ$2:$BN$532&lt;&gt;"Yes")*('12 - Deployments &amp; Config'!$BJ$2:$BN$532&lt;&gt;"N/A"))</f>
        <v>#REF!</v>
      </c>
    </row>
    <row r="20" spans="1:2">
      <c r="A20" s="7" t="s">
        <v>2203</v>
      </c>
      <c r="B20" s="8" t="e">
        <f t="array" ref="B20">SUMPRODUCT(('12 - Deployments &amp; Config'!$T$2:$X$532&lt;&gt;"")*('12 - Deployments &amp; Config'!$BK$2:$BO$532&lt;&gt;"Yes")*('12 - Deployments &amp; Config'!$BK$2:$BO$532&lt;&gt;"N/A"))</f>
        <v>#REF!</v>
      </c>
    </row>
    <row r="21" spans="1:2">
      <c r="A21" s="7" t="s">
        <v>2204</v>
      </c>
      <c r="B21" s="8">
        <f>COUNTIF('12 - Deployments &amp; Config'!BM2:BQ532,"Yes")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400-000000000000}">
      <formula1>FALSE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2205</v>
      </c>
    </row>
    <row r="3" spans="1:7" ht="30" customHeight="1">
      <c r="A3" s="54" t="s">
        <v>2161</v>
      </c>
      <c r="B3" s="54" t="s">
        <v>2206</v>
      </c>
      <c r="C3" s="54" t="s">
        <v>2207</v>
      </c>
      <c r="D3" s="54" t="s">
        <v>2208</v>
      </c>
      <c r="E3" s="54" t="s">
        <v>2209</v>
      </c>
      <c r="F3" s="54" t="s">
        <v>2210</v>
      </c>
      <c r="G3" s="54" t="s">
        <v>72</v>
      </c>
    </row>
    <row r="4" spans="1:7">
      <c r="A4" s="8" t="s">
        <v>1215</v>
      </c>
      <c r="B4" s="4" t="s">
        <v>2211</v>
      </c>
      <c r="C4" s="8" t="s">
        <v>1215</v>
      </c>
      <c r="D4" s="8" t="s">
        <v>2212</v>
      </c>
      <c r="E4" s="8"/>
      <c r="F4" s="12"/>
      <c r="G4" s="4"/>
    </row>
    <row r="5" spans="1:7" ht="30" customHeight="1">
      <c r="A5" s="8" t="s">
        <v>1215</v>
      </c>
      <c r="B5" s="4" t="s">
        <v>2213</v>
      </c>
      <c r="C5" s="8" t="s">
        <v>1215</v>
      </c>
      <c r="D5" s="8" t="s">
        <v>2212</v>
      </c>
      <c r="E5" s="8"/>
      <c r="F5" s="12"/>
      <c r="G5" s="4"/>
    </row>
    <row r="6" spans="1:7" ht="30" customHeight="1">
      <c r="A6" s="8" t="s">
        <v>1215</v>
      </c>
      <c r="B6" s="4" t="s">
        <v>2214</v>
      </c>
      <c r="C6" s="8" t="s">
        <v>1215</v>
      </c>
      <c r="D6" s="8" t="s">
        <v>2212</v>
      </c>
      <c r="E6" s="8"/>
      <c r="F6" s="12"/>
      <c r="G6" s="4"/>
    </row>
    <row r="7" spans="1:7" ht="30" customHeight="1">
      <c r="A7" s="8" t="s">
        <v>1215</v>
      </c>
      <c r="B7" s="4" t="s">
        <v>2215</v>
      </c>
      <c r="C7" s="8" t="s">
        <v>1215</v>
      </c>
      <c r="D7" s="8" t="s">
        <v>2212</v>
      </c>
      <c r="E7" s="8"/>
      <c r="F7" s="12"/>
      <c r="G7" s="4"/>
    </row>
    <row r="8" spans="1:7">
      <c r="A8" s="8" t="s">
        <v>1215</v>
      </c>
      <c r="B8" s="4" t="s">
        <v>2216</v>
      </c>
      <c r="C8" s="8" t="s">
        <v>1215</v>
      </c>
      <c r="D8" s="8" t="s">
        <v>2212</v>
      </c>
      <c r="E8" s="8"/>
      <c r="F8" s="12"/>
      <c r="G8" s="4"/>
    </row>
    <row r="9" spans="1:7" ht="30" customHeight="1">
      <c r="A9" s="8" t="s">
        <v>1215</v>
      </c>
      <c r="B9" s="4" t="s">
        <v>2217</v>
      </c>
      <c r="C9" s="8" t="s">
        <v>1215</v>
      </c>
      <c r="D9" s="8" t="s">
        <v>2212</v>
      </c>
      <c r="E9" s="8"/>
      <c r="F9" s="12"/>
      <c r="G9" s="4"/>
    </row>
    <row r="10" spans="1:7" ht="45" customHeight="1">
      <c r="A10" s="8" t="s">
        <v>2218</v>
      </c>
      <c r="B10" s="4" t="s">
        <v>2219</v>
      </c>
      <c r="C10" s="8" t="s">
        <v>1215</v>
      </c>
      <c r="D10" s="8" t="s">
        <v>2212</v>
      </c>
      <c r="E10" s="8"/>
      <c r="F10" s="12"/>
      <c r="G10" s="4"/>
    </row>
    <row r="11" spans="1:7" ht="30" customHeight="1">
      <c r="A11" s="8" t="s">
        <v>2220</v>
      </c>
      <c r="B11" s="4" t="s">
        <v>2221</v>
      </c>
      <c r="C11" s="8" t="s">
        <v>2222</v>
      </c>
      <c r="D11" s="8" t="s">
        <v>2212</v>
      </c>
      <c r="E11" s="8"/>
      <c r="F11" s="12"/>
      <c r="G11" s="4"/>
    </row>
    <row r="12" spans="1:7" ht="30" customHeight="1">
      <c r="A12" s="8" t="s">
        <v>2223</v>
      </c>
      <c r="B12" s="4" t="s">
        <v>2224</v>
      </c>
      <c r="C12" s="8" t="s">
        <v>1215</v>
      </c>
      <c r="D12" s="8" t="s">
        <v>2212</v>
      </c>
      <c r="E12" s="8"/>
      <c r="F12" s="12"/>
      <c r="G12" s="4"/>
    </row>
    <row r="13" spans="1:7" ht="30" customHeight="1">
      <c r="A13" s="8" t="s">
        <v>2225</v>
      </c>
      <c r="B13" s="4" t="s">
        <v>2226</v>
      </c>
      <c r="C13" s="8" t="s">
        <v>1215</v>
      </c>
      <c r="D13" s="8" t="s">
        <v>2212</v>
      </c>
      <c r="E13" s="8"/>
      <c r="F13" s="12"/>
      <c r="G13" s="4"/>
    </row>
    <row r="14" spans="1:7" ht="30" customHeight="1">
      <c r="A14" s="8" t="s">
        <v>2227</v>
      </c>
      <c r="B14" s="4" t="s">
        <v>2228</v>
      </c>
      <c r="C14" s="8" t="s">
        <v>2229</v>
      </c>
      <c r="D14" s="8" t="s">
        <v>2212</v>
      </c>
      <c r="E14" s="8"/>
      <c r="F14" s="12"/>
      <c r="G14" s="4"/>
    </row>
    <row r="15" spans="1:7" ht="30" customHeight="1">
      <c r="A15" s="8" t="s">
        <v>2227</v>
      </c>
      <c r="B15" s="4" t="s">
        <v>2230</v>
      </c>
      <c r="C15" s="8" t="s">
        <v>1215</v>
      </c>
      <c r="D15" s="8" t="s">
        <v>2212</v>
      </c>
      <c r="E15" s="8"/>
      <c r="F15" s="12"/>
      <c r="G15" s="4"/>
    </row>
    <row r="16" spans="1:7" ht="30" customHeight="1">
      <c r="A16" s="8" t="s">
        <v>2227</v>
      </c>
      <c r="B16" s="4" t="s">
        <v>2231</v>
      </c>
      <c r="C16" s="8" t="s">
        <v>1526</v>
      </c>
      <c r="D16" s="8" t="s">
        <v>2212</v>
      </c>
      <c r="E16" s="8"/>
      <c r="F16" s="12"/>
      <c r="G16" s="4"/>
    </row>
    <row r="17" spans="1:7" ht="30" customHeight="1">
      <c r="A17" s="8" t="s">
        <v>2227</v>
      </c>
      <c r="B17" s="4" t="s">
        <v>2232</v>
      </c>
      <c r="C17" s="8" t="s">
        <v>1526</v>
      </c>
      <c r="D17" s="8" t="s">
        <v>2212</v>
      </c>
      <c r="E17" s="8"/>
      <c r="F17" s="12"/>
      <c r="G17" s="4"/>
    </row>
    <row r="18" spans="1:7">
      <c r="A18" s="8" t="s">
        <v>2227</v>
      </c>
      <c r="B18" s="4" t="s">
        <v>2233</v>
      </c>
      <c r="C18" s="8" t="s">
        <v>1526</v>
      </c>
      <c r="D18" s="8" t="s">
        <v>2212</v>
      </c>
      <c r="E18" s="8"/>
      <c r="F18" s="12"/>
      <c r="G18" s="4"/>
    </row>
    <row r="19" spans="1:7" ht="30" customHeight="1">
      <c r="A19" s="8" t="s">
        <v>2234</v>
      </c>
      <c r="B19" s="4" t="s">
        <v>2235</v>
      </c>
      <c r="C19" s="8" t="s">
        <v>1526</v>
      </c>
      <c r="D19" s="8" t="s">
        <v>2212</v>
      </c>
      <c r="E19" s="8"/>
      <c r="F19" s="12"/>
      <c r="G19" s="4"/>
    </row>
  </sheetData>
  <dataValidations count="1">
    <dataValidation type="list" allowBlank="1" sqref="D4:D2000" xr:uid="{00000000-0002-0000-14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2236</v>
      </c>
    </row>
    <row r="3" spans="1:8" ht="30" customHeight="1">
      <c r="A3" s="54" t="s">
        <v>2112</v>
      </c>
      <c r="B3" s="54" t="s">
        <v>2237</v>
      </c>
      <c r="C3" s="54" t="s">
        <v>2238</v>
      </c>
      <c r="D3" s="54" t="s">
        <v>2239</v>
      </c>
      <c r="E3" s="54" t="s">
        <v>2240</v>
      </c>
      <c r="F3" s="54" t="s">
        <v>2241</v>
      </c>
      <c r="G3" s="54" t="s">
        <v>2242</v>
      </c>
      <c r="H3" s="54" t="s">
        <v>72</v>
      </c>
    </row>
    <row r="4" spans="1:8">
      <c r="A4" s="8" t="s">
        <v>2144</v>
      </c>
      <c r="B4" s="8" t="s">
        <v>2243</v>
      </c>
      <c r="C4" s="8" t="s">
        <v>2243</v>
      </c>
      <c r="D4" s="8" t="s">
        <v>2243</v>
      </c>
      <c r="E4" s="8" t="s">
        <v>2243</v>
      </c>
      <c r="F4" s="8" t="s">
        <v>2243</v>
      </c>
      <c r="G4" s="8" t="s">
        <v>2243</v>
      </c>
      <c r="H4" s="4"/>
    </row>
    <row r="5" spans="1:8">
      <c r="A5" s="8" t="s">
        <v>2145</v>
      </c>
      <c r="B5" s="8" t="s">
        <v>2243</v>
      </c>
      <c r="C5" s="8" t="s">
        <v>2243</v>
      </c>
      <c r="D5" s="8" t="s">
        <v>2243</v>
      </c>
      <c r="E5" s="8" t="s">
        <v>2243</v>
      </c>
      <c r="F5" s="8" t="s">
        <v>2243</v>
      </c>
      <c r="G5" s="8" t="s">
        <v>2243</v>
      </c>
      <c r="H5" s="4"/>
    </row>
    <row r="6" spans="1:8">
      <c r="A6" s="8" t="s">
        <v>2146</v>
      </c>
      <c r="B6" s="8" t="s">
        <v>2243</v>
      </c>
      <c r="C6" s="8" t="s">
        <v>2243</v>
      </c>
      <c r="D6" s="8" t="s">
        <v>2243</v>
      </c>
      <c r="E6" s="8" t="s">
        <v>2243</v>
      </c>
      <c r="F6" s="8" t="s">
        <v>2243</v>
      </c>
      <c r="G6" s="8" t="s">
        <v>2243</v>
      </c>
      <c r="H6" s="4"/>
    </row>
    <row r="7" spans="1:8">
      <c r="A7" s="8" t="s">
        <v>1532</v>
      </c>
      <c r="B7" s="8" t="s">
        <v>2243</v>
      </c>
      <c r="C7" s="8" t="s">
        <v>2243</v>
      </c>
      <c r="D7" s="8" t="s">
        <v>2243</v>
      </c>
      <c r="E7" s="8" t="s">
        <v>2243</v>
      </c>
      <c r="F7" s="8" t="s">
        <v>2243</v>
      </c>
      <c r="G7" s="8" t="s">
        <v>2243</v>
      </c>
      <c r="H7" s="4"/>
    </row>
    <row r="8" spans="1:8">
      <c r="A8" s="8" t="s">
        <v>2147</v>
      </c>
      <c r="B8" s="8" t="s">
        <v>2243</v>
      </c>
      <c r="C8" s="8" t="s">
        <v>2243</v>
      </c>
      <c r="D8" s="8" t="s">
        <v>2243</v>
      </c>
      <c r="E8" s="8" t="s">
        <v>2243</v>
      </c>
      <c r="F8" s="8" t="s">
        <v>2243</v>
      </c>
      <c r="G8" s="8" t="s">
        <v>2243</v>
      </c>
      <c r="H8" s="4"/>
    </row>
    <row r="9" spans="1:8">
      <c r="A9" s="8" t="s">
        <v>1512</v>
      </c>
      <c r="B9" s="8" t="s">
        <v>2243</v>
      </c>
      <c r="C9" s="8" t="s">
        <v>2243</v>
      </c>
      <c r="D9" s="8" t="s">
        <v>2243</v>
      </c>
      <c r="E9" s="8" t="s">
        <v>2243</v>
      </c>
      <c r="F9" s="8" t="s">
        <v>2243</v>
      </c>
      <c r="G9" s="8" t="s">
        <v>2243</v>
      </c>
      <c r="H9" s="4"/>
    </row>
    <row r="10" spans="1:8">
      <c r="A10" s="8" t="s">
        <v>2148</v>
      </c>
      <c r="B10" s="8" t="s">
        <v>2243</v>
      </c>
      <c r="C10" s="8" t="s">
        <v>2243</v>
      </c>
      <c r="D10" s="8" t="s">
        <v>2243</v>
      </c>
      <c r="E10" s="8" t="s">
        <v>2243</v>
      </c>
      <c r="F10" s="8" t="s">
        <v>2243</v>
      </c>
      <c r="G10" s="8" t="s">
        <v>2243</v>
      </c>
      <c r="H10" s="4"/>
    </row>
    <row r="11" spans="1:8">
      <c r="A11" s="8" t="s">
        <v>2149</v>
      </c>
      <c r="B11" s="8" t="s">
        <v>2243</v>
      </c>
      <c r="C11" s="8" t="s">
        <v>2243</v>
      </c>
      <c r="D11" s="8" t="s">
        <v>2243</v>
      </c>
      <c r="E11" s="8" t="s">
        <v>2243</v>
      </c>
      <c r="F11" s="8" t="s">
        <v>2243</v>
      </c>
      <c r="G11" s="8" t="s">
        <v>2243</v>
      </c>
      <c r="H11" s="4"/>
    </row>
    <row r="12" spans="1:8">
      <c r="A12" s="8" t="s">
        <v>2150</v>
      </c>
      <c r="B12" s="8" t="s">
        <v>2243</v>
      </c>
      <c r="C12" s="8" t="s">
        <v>2243</v>
      </c>
      <c r="D12" s="8" t="s">
        <v>2243</v>
      </c>
      <c r="E12" s="8" t="s">
        <v>2243</v>
      </c>
      <c r="F12" s="8" t="s">
        <v>2243</v>
      </c>
      <c r="G12" s="8" t="s">
        <v>2243</v>
      </c>
      <c r="H12" s="4"/>
    </row>
    <row r="13" spans="1:8">
      <c r="A13" s="8" t="s">
        <v>2151</v>
      </c>
      <c r="B13" s="8" t="s">
        <v>2243</v>
      </c>
      <c r="C13" s="8" t="s">
        <v>2243</v>
      </c>
      <c r="D13" s="8" t="s">
        <v>2243</v>
      </c>
      <c r="E13" s="8" t="s">
        <v>2243</v>
      </c>
      <c r="F13" s="8" t="s">
        <v>2243</v>
      </c>
      <c r="G13" s="8" t="s">
        <v>2243</v>
      </c>
      <c r="H13" s="4"/>
    </row>
    <row r="14" spans="1:8">
      <c r="A14" s="8" t="s">
        <v>2152</v>
      </c>
      <c r="B14" s="8" t="s">
        <v>2243</v>
      </c>
      <c r="C14" s="8" t="s">
        <v>2243</v>
      </c>
      <c r="D14" s="8" t="s">
        <v>2243</v>
      </c>
      <c r="E14" s="8" t="s">
        <v>2243</v>
      </c>
      <c r="F14" s="8" t="s">
        <v>2243</v>
      </c>
      <c r="G14" s="8" t="s">
        <v>2243</v>
      </c>
      <c r="H14" s="4"/>
    </row>
    <row r="15" spans="1:8">
      <c r="A15" s="8" t="s">
        <v>2153</v>
      </c>
      <c r="B15" s="8" t="s">
        <v>2243</v>
      </c>
      <c r="C15" s="8" t="s">
        <v>2243</v>
      </c>
      <c r="D15" s="8" t="s">
        <v>2243</v>
      </c>
      <c r="E15" s="8" t="s">
        <v>2243</v>
      </c>
      <c r="F15" s="8" t="s">
        <v>2243</v>
      </c>
      <c r="G15" s="8" t="s">
        <v>2243</v>
      </c>
      <c r="H15" s="4"/>
    </row>
    <row r="16" spans="1:8">
      <c r="A16" s="8" t="s">
        <v>2154</v>
      </c>
      <c r="B16" s="8" t="s">
        <v>2243</v>
      </c>
      <c r="C16" s="8" t="s">
        <v>2243</v>
      </c>
      <c r="D16" s="8" t="s">
        <v>2243</v>
      </c>
      <c r="E16" s="8" t="s">
        <v>2243</v>
      </c>
      <c r="F16" s="8" t="s">
        <v>2243</v>
      </c>
      <c r="G16" s="8" t="s">
        <v>2243</v>
      </c>
      <c r="H16" s="4"/>
    </row>
    <row r="17" spans="1:8">
      <c r="A17" s="8" t="s">
        <v>2155</v>
      </c>
      <c r="B17" s="8" t="s">
        <v>2243</v>
      </c>
      <c r="C17" s="8" t="s">
        <v>2243</v>
      </c>
      <c r="D17" s="8" t="s">
        <v>2243</v>
      </c>
      <c r="E17" s="8" t="s">
        <v>2243</v>
      </c>
      <c r="F17" s="8" t="s">
        <v>2243</v>
      </c>
      <c r="G17" s="8" t="s">
        <v>2243</v>
      </c>
      <c r="H17" s="4"/>
    </row>
    <row r="18" spans="1:8">
      <c r="A18" s="8" t="s">
        <v>2156</v>
      </c>
      <c r="B18" s="8" t="s">
        <v>2243</v>
      </c>
      <c r="C18" s="8" t="s">
        <v>2243</v>
      </c>
      <c r="D18" s="8" t="s">
        <v>2243</v>
      </c>
      <c r="E18" s="8" t="s">
        <v>2243</v>
      </c>
      <c r="F18" s="8" t="s">
        <v>2243</v>
      </c>
      <c r="G18" s="8" t="s">
        <v>2243</v>
      </c>
      <c r="H18" s="4"/>
    </row>
    <row r="19" spans="1:8">
      <c r="A19" s="8" t="s">
        <v>2157</v>
      </c>
      <c r="B19" s="8" t="s">
        <v>2243</v>
      </c>
      <c r="C19" s="8" t="s">
        <v>2243</v>
      </c>
      <c r="D19" s="8" t="s">
        <v>2243</v>
      </c>
      <c r="E19" s="8" t="s">
        <v>2243</v>
      </c>
      <c r="F19" s="8" t="s">
        <v>2243</v>
      </c>
      <c r="G19" s="8" t="s">
        <v>2243</v>
      </c>
      <c r="H19" s="4"/>
    </row>
    <row r="20" spans="1:8">
      <c r="A20" s="8" t="s">
        <v>2158</v>
      </c>
      <c r="B20" s="8" t="s">
        <v>2243</v>
      </c>
      <c r="C20" s="8" t="s">
        <v>2243</v>
      </c>
      <c r="D20" s="8" t="s">
        <v>2243</v>
      </c>
      <c r="E20" s="8" t="s">
        <v>2243</v>
      </c>
      <c r="F20" s="8" t="s">
        <v>2243</v>
      </c>
      <c r="G20" s="8" t="s">
        <v>2243</v>
      </c>
      <c r="H20" s="4"/>
    </row>
  </sheetData>
  <dataValidations count="1">
    <dataValidation type="list" allowBlank="1" sqref="B4:G500" xr:uid="{00000000-0002-0000-15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2244</v>
      </c>
    </row>
    <row r="3" spans="1:5">
      <c r="A3" s="54" t="s">
        <v>2245</v>
      </c>
      <c r="B3" s="54" t="s">
        <v>2246</v>
      </c>
      <c r="C3" s="54" t="s">
        <v>2247</v>
      </c>
      <c r="D3" s="54" t="s">
        <v>2248</v>
      </c>
      <c r="E3" s="54" t="s">
        <v>2249</v>
      </c>
    </row>
    <row r="4" spans="1:5" ht="60" customHeight="1">
      <c r="A4" s="4">
        <f>374</f>
        <v>374</v>
      </c>
      <c r="B4" s="4" t="s">
        <v>2250</v>
      </c>
      <c r="C4" s="4"/>
      <c r="D4" s="4"/>
      <c r="E4" s="4"/>
    </row>
    <row r="5" spans="1:5" ht="60" customHeight="1">
      <c r="A5" s="4">
        <f>4/4</f>
        <v>1</v>
      </c>
      <c r="B5" s="4" t="s">
        <v>2251</v>
      </c>
      <c r="C5" s="4"/>
      <c r="D5" s="4"/>
      <c r="E5" s="4"/>
    </row>
    <row r="6" spans="1:5" ht="30" customHeight="1">
      <c r="A6" s="4" t="str">
        <f>$D$3</f>
        <v>Where to Use (fill in)</v>
      </c>
      <c r="B6" s="4" t="s">
        <v>2252</v>
      </c>
      <c r="C6" s="4"/>
      <c r="D6" s="4"/>
      <c r="E6" s="4"/>
    </row>
    <row r="7" spans="1:5" ht="30" customHeight="1">
      <c r="A7" s="4">
        <f>D22/38</f>
        <v>0</v>
      </c>
      <c r="B7" s="4" t="s">
        <v>2253</v>
      </c>
      <c r="C7" s="4"/>
      <c r="D7" s="4"/>
      <c r="E7" s="4"/>
    </row>
    <row r="8" spans="1:5" ht="30" customHeight="1">
      <c r="A8" s="4">
        <f>D23/38</f>
        <v>0</v>
      </c>
      <c r="B8" s="4" t="s">
        <v>2254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2255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2256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2257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2258</v>
      </c>
      <c r="C12" s="4"/>
      <c r="D12" s="4"/>
      <c r="E12" s="4"/>
    </row>
    <row r="13" spans="1:5" ht="30" customHeight="1">
      <c r="A13" s="4">
        <f>389/389</f>
        <v>1</v>
      </c>
      <c r="B13" s="4" t="s">
        <v>2259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2260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2261</v>
      </c>
      <c r="C15" s="4"/>
      <c r="D15" s="4"/>
      <c r="E15" s="4"/>
    </row>
    <row r="16" spans="1:5" ht="60" customHeight="1">
      <c r="A16" s="4">
        <f>COUNTA(#REF!)</f>
        <v>1</v>
      </c>
      <c r="B16" s="4" t="s">
        <v>2262</v>
      </c>
      <c r="C16" s="4"/>
      <c r="D16" s="4"/>
      <c r="E16" s="4"/>
    </row>
    <row r="17" spans="1:5" ht="30" customHeight="1">
      <c r="A17" s="4">
        <f>SUM(AY3:AY10)</f>
        <v>0</v>
      </c>
      <c r="B17" s="4" t="s">
        <v>2263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2264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2265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2266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2267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2268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2269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2270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2271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2272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2273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2274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2275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2276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2277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2278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2279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2280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2281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2282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2283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2284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2285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2286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2287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2288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2289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2290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2291</v>
      </c>
      <c r="C45" s="4"/>
      <c r="D45" s="4"/>
      <c r="E45" s="4"/>
    </row>
    <row r="46" spans="1:5" ht="30.75" customHeight="1">
      <c r="A46" s="4" t="e">
        <v>#VALUE!</v>
      </c>
      <c r="B46" s="4" t="s">
        <v>2292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2293</v>
      </c>
      <c r="C47" s="4"/>
      <c r="D47" s="4"/>
      <c r="E47" s="4"/>
    </row>
    <row r="48" spans="1:5" ht="30.75" customHeight="1">
      <c r="A48" s="4" t="e">
        <v>#VALUE!</v>
      </c>
      <c r="B48" s="4" t="s">
        <v>2294</v>
      </c>
      <c r="C48" s="4"/>
      <c r="D48" s="4"/>
      <c r="E48" s="4"/>
    </row>
    <row r="49" spans="1:5" ht="30.75" customHeight="1">
      <c r="A49" s="4" t="e">
        <v>#VALUE!</v>
      </c>
      <c r="B49" s="4" t="s">
        <v>2295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2296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2297</v>
      </c>
      <c r="C51" s="4"/>
      <c r="D51" s="4"/>
      <c r="E51" s="4"/>
    </row>
    <row r="52" spans="1:5" ht="30.75" customHeight="1">
      <c r="A52" s="4" t="e">
        <v>#VALUE!</v>
      </c>
      <c r="B52" s="4" t="s">
        <v>2298</v>
      </c>
      <c r="C52" s="4"/>
      <c r="D52" s="4"/>
      <c r="E52" s="4"/>
    </row>
    <row r="53" spans="1:5" ht="30.75" customHeight="1">
      <c r="A53" s="4" t="e">
        <v>#VALUE!</v>
      </c>
      <c r="B53" s="4" t="s">
        <v>2299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2300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2301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2302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2303</v>
      </c>
      <c r="C57" s="4"/>
      <c r="D57" s="4"/>
      <c r="E57" s="4"/>
    </row>
    <row r="58" spans="1:5" ht="30" customHeight="1">
      <c r="A58" s="4"/>
      <c r="B58" s="4" t="s">
        <v>2304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2305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2306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2307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2308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2309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2310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2311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2312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7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2313</v>
      </c>
    </row>
    <row r="3" spans="1:7">
      <c r="A3" t="s">
        <v>2314</v>
      </c>
      <c r="C3" t="s">
        <v>2315</v>
      </c>
      <c r="E3" t="s">
        <v>2316</v>
      </c>
      <c r="G3" t="s">
        <v>2317</v>
      </c>
    </row>
    <row r="4" spans="1:7" ht="195" customHeight="1">
      <c r="A4" s="2" t="s">
        <v>2318</v>
      </c>
      <c r="C4" s="2" t="s">
        <v>2319</v>
      </c>
      <c r="E4" s="2" t="s">
        <v>2320</v>
      </c>
      <c r="G4" s="2" t="s">
        <v>2321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CE8A-DB19-409F-9B5D-3AAAA6CA7E0F}">
  <sheetPr>
    <pageSetUpPr fitToPage="1"/>
  </sheetPr>
  <dimension ref="A1:O15"/>
  <sheetViews>
    <sheetView workbookViewId="0">
      <pane ySplit="1" topLeftCell="A2" activePane="bottomLeft" state="frozen"/>
      <selection pane="bottomLeft" activeCell="E6" sqref="E6"/>
    </sheetView>
  </sheetViews>
  <sheetFormatPr defaultRowHeight="15"/>
  <cols>
    <col min="1" max="1" width="15.85546875" bestFit="1" customWidth="1"/>
    <col min="2" max="2" width="13.42578125" customWidth="1"/>
    <col min="3" max="3" width="22.140625" customWidth="1"/>
    <col min="4" max="4" width="12.42578125" customWidth="1"/>
    <col min="5" max="5" width="13.140625" customWidth="1"/>
    <col min="6" max="6" width="17.42578125" customWidth="1"/>
    <col min="7" max="7" width="20.7109375" customWidth="1"/>
    <col min="8" max="8" width="22.7109375" customWidth="1"/>
    <col min="9" max="9" width="19.7109375" customWidth="1"/>
    <col min="10" max="11" width="17.85546875" customWidth="1"/>
    <col min="12" max="12" width="19.5703125" customWidth="1"/>
    <col min="13" max="13" width="7.85546875" customWidth="1"/>
    <col min="14" max="14" width="5.42578125" customWidth="1"/>
    <col min="15" max="15" width="60.85546875" bestFit="1" customWidth="1"/>
  </cols>
  <sheetData>
    <row r="1" spans="1:15">
      <c r="A1" t="s">
        <v>2322</v>
      </c>
      <c r="B1" t="s">
        <v>2323</v>
      </c>
      <c r="C1" t="s">
        <v>2324</v>
      </c>
      <c r="D1" t="s">
        <v>2325</v>
      </c>
      <c r="E1" t="s">
        <v>2326</v>
      </c>
      <c r="F1" t="s">
        <v>2327</v>
      </c>
      <c r="G1" t="s">
        <v>2328</v>
      </c>
      <c r="H1" t="s">
        <v>2329</v>
      </c>
      <c r="I1" t="s">
        <v>2330</v>
      </c>
      <c r="J1" t="s">
        <v>2331</v>
      </c>
      <c r="K1" t="s">
        <v>2332</v>
      </c>
      <c r="L1" t="s">
        <v>2333</v>
      </c>
      <c r="M1" t="s">
        <v>2334</v>
      </c>
      <c r="N1" t="s">
        <v>2335</v>
      </c>
      <c r="O1" t="s">
        <v>2336</v>
      </c>
    </row>
    <row r="2" spans="1:15">
      <c r="A2" t="s">
        <v>2337</v>
      </c>
      <c r="B2">
        <v>29</v>
      </c>
      <c r="C2">
        <v>22</v>
      </c>
      <c r="D2">
        <v>7</v>
      </c>
      <c r="E2">
        <v>3</v>
      </c>
      <c r="F2">
        <v>3</v>
      </c>
      <c r="G2">
        <v>10</v>
      </c>
      <c r="H2">
        <v>12</v>
      </c>
      <c r="I2">
        <v>18</v>
      </c>
      <c r="J2">
        <v>13</v>
      </c>
      <c r="K2">
        <v>22</v>
      </c>
      <c r="L2">
        <v>6</v>
      </c>
      <c r="M2" s="81" t="s">
        <v>2338</v>
      </c>
      <c r="N2">
        <f>(SUM(B2:L2))</f>
        <v>145</v>
      </c>
    </row>
    <row r="3" spans="1:15">
      <c r="A3" t="s">
        <v>2339</v>
      </c>
      <c r="M3" s="81"/>
    </row>
    <row r="4" spans="1:15">
      <c r="A4" t="s">
        <v>2340</v>
      </c>
      <c r="B4">
        <f>B2</f>
        <v>29</v>
      </c>
      <c r="C4">
        <f t="shared" ref="C4:L4" si="0">C2</f>
        <v>22</v>
      </c>
      <c r="D4">
        <f t="shared" si="0"/>
        <v>7</v>
      </c>
      <c r="E4">
        <f t="shared" si="0"/>
        <v>3</v>
      </c>
      <c r="F4">
        <f t="shared" si="0"/>
        <v>3</v>
      </c>
      <c r="G4">
        <f t="shared" si="0"/>
        <v>10</v>
      </c>
      <c r="H4">
        <f t="shared" si="0"/>
        <v>12</v>
      </c>
      <c r="I4">
        <f t="shared" si="0"/>
        <v>18</v>
      </c>
      <c r="J4">
        <f t="shared" si="0"/>
        <v>13</v>
      </c>
      <c r="K4">
        <f t="shared" si="0"/>
        <v>22</v>
      </c>
      <c r="L4">
        <f t="shared" si="0"/>
        <v>6</v>
      </c>
      <c r="M4" s="81" t="s">
        <v>2338</v>
      </c>
      <c r="N4">
        <f t="shared" ref="N4:N14" si="1">(SUM(B4:L4))</f>
        <v>145</v>
      </c>
      <c r="O4" t="s">
        <v>2341</v>
      </c>
    </row>
    <row r="5" spans="1:15">
      <c r="A5" t="s">
        <v>2342</v>
      </c>
      <c r="B5">
        <f>B2</f>
        <v>29</v>
      </c>
      <c r="C5">
        <f t="shared" ref="C5:L5" si="2">C2</f>
        <v>22</v>
      </c>
      <c r="D5">
        <f t="shared" si="2"/>
        <v>7</v>
      </c>
      <c r="E5">
        <f t="shared" si="2"/>
        <v>3</v>
      </c>
      <c r="F5">
        <f t="shared" si="2"/>
        <v>3</v>
      </c>
      <c r="G5">
        <f t="shared" si="2"/>
        <v>10</v>
      </c>
      <c r="H5">
        <f t="shared" si="2"/>
        <v>12</v>
      </c>
      <c r="I5">
        <f t="shared" si="2"/>
        <v>18</v>
      </c>
      <c r="J5">
        <f t="shared" si="2"/>
        <v>13</v>
      </c>
      <c r="K5">
        <f t="shared" si="2"/>
        <v>22</v>
      </c>
      <c r="L5">
        <f t="shared" si="2"/>
        <v>6</v>
      </c>
      <c r="M5" s="81" t="s">
        <v>2338</v>
      </c>
      <c r="N5">
        <f t="shared" si="1"/>
        <v>145</v>
      </c>
      <c r="O5" t="s">
        <v>2343</v>
      </c>
    </row>
    <row r="6" spans="1:15">
      <c r="A6" t="s">
        <v>2344</v>
      </c>
      <c r="B6">
        <f>B2</f>
        <v>29</v>
      </c>
      <c r="C6">
        <f>C2</f>
        <v>22</v>
      </c>
      <c r="D6">
        <f t="shared" ref="C6:L6" si="3">D2</f>
        <v>7</v>
      </c>
      <c r="E6">
        <f t="shared" si="3"/>
        <v>3</v>
      </c>
      <c r="F6">
        <f t="shared" si="3"/>
        <v>3</v>
      </c>
      <c r="G6">
        <f t="shared" si="3"/>
        <v>10</v>
      </c>
      <c r="H6">
        <f t="shared" si="3"/>
        <v>12</v>
      </c>
      <c r="I6">
        <f t="shared" si="3"/>
        <v>18</v>
      </c>
      <c r="J6">
        <f t="shared" si="3"/>
        <v>13</v>
      </c>
      <c r="K6">
        <f t="shared" si="3"/>
        <v>22</v>
      </c>
      <c r="L6">
        <f t="shared" si="3"/>
        <v>6</v>
      </c>
      <c r="M6" s="81" t="s">
        <v>2338</v>
      </c>
      <c r="N6">
        <f t="shared" si="1"/>
        <v>145</v>
      </c>
      <c r="O6" t="s">
        <v>2345</v>
      </c>
    </row>
    <row r="7" spans="1:15">
      <c r="A7" t="s">
        <v>2346</v>
      </c>
      <c r="B7">
        <f>B2</f>
        <v>29</v>
      </c>
      <c r="C7">
        <f t="shared" ref="C7:L7" si="4">C2</f>
        <v>22</v>
      </c>
      <c r="D7">
        <f t="shared" si="4"/>
        <v>7</v>
      </c>
      <c r="E7">
        <f t="shared" si="4"/>
        <v>3</v>
      </c>
      <c r="F7">
        <f t="shared" si="4"/>
        <v>3</v>
      </c>
      <c r="G7">
        <f t="shared" si="4"/>
        <v>10</v>
      </c>
      <c r="H7">
        <f t="shared" si="4"/>
        <v>12</v>
      </c>
      <c r="I7">
        <f t="shared" si="4"/>
        <v>18</v>
      </c>
      <c r="J7">
        <f t="shared" si="4"/>
        <v>13</v>
      </c>
      <c r="K7">
        <f t="shared" si="4"/>
        <v>22</v>
      </c>
      <c r="L7">
        <f t="shared" si="4"/>
        <v>6</v>
      </c>
      <c r="M7" s="81" t="s">
        <v>2338</v>
      </c>
      <c r="N7">
        <f t="shared" si="1"/>
        <v>145</v>
      </c>
      <c r="O7" t="s">
        <v>2347</v>
      </c>
    </row>
    <row r="8" spans="1:15">
      <c r="A8" t="s">
        <v>2348</v>
      </c>
      <c r="B8">
        <f>B2*2</f>
        <v>58</v>
      </c>
      <c r="C8">
        <f t="shared" ref="C8:L8" si="5">C2*2</f>
        <v>44</v>
      </c>
      <c r="D8">
        <f t="shared" si="5"/>
        <v>14</v>
      </c>
      <c r="E8">
        <f t="shared" si="5"/>
        <v>6</v>
      </c>
      <c r="F8">
        <f t="shared" si="5"/>
        <v>6</v>
      </c>
      <c r="G8">
        <f t="shared" si="5"/>
        <v>20</v>
      </c>
      <c r="H8">
        <f t="shared" si="5"/>
        <v>24</v>
      </c>
      <c r="I8">
        <f t="shared" si="5"/>
        <v>36</v>
      </c>
      <c r="J8">
        <f t="shared" si="5"/>
        <v>26</v>
      </c>
      <c r="K8">
        <f t="shared" si="5"/>
        <v>44</v>
      </c>
      <c r="L8">
        <f t="shared" si="5"/>
        <v>12</v>
      </c>
      <c r="M8" s="81" t="s">
        <v>2338</v>
      </c>
      <c r="N8">
        <f t="shared" si="1"/>
        <v>290</v>
      </c>
      <c r="O8" t="s">
        <v>2349</v>
      </c>
    </row>
    <row r="9" spans="1:15">
      <c r="A9" t="s">
        <v>2350</v>
      </c>
      <c r="B9">
        <f>B2</f>
        <v>29</v>
      </c>
      <c r="C9">
        <f t="shared" ref="C9:L9" si="6">C2</f>
        <v>22</v>
      </c>
      <c r="D9">
        <f t="shared" si="6"/>
        <v>7</v>
      </c>
      <c r="E9">
        <f t="shared" si="6"/>
        <v>3</v>
      </c>
      <c r="F9">
        <f t="shared" si="6"/>
        <v>3</v>
      </c>
      <c r="G9">
        <f t="shared" si="6"/>
        <v>10</v>
      </c>
      <c r="H9">
        <f t="shared" si="6"/>
        <v>12</v>
      </c>
      <c r="I9">
        <f t="shared" si="6"/>
        <v>18</v>
      </c>
      <c r="J9">
        <f t="shared" si="6"/>
        <v>13</v>
      </c>
      <c r="K9">
        <f t="shared" si="6"/>
        <v>22</v>
      </c>
      <c r="L9">
        <f t="shared" si="6"/>
        <v>6</v>
      </c>
      <c r="M9" s="81" t="s">
        <v>2338</v>
      </c>
      <c r="N9">
        <f t="shared" si="1"/>
        <v>145</v>
      </c>
    </row>
    <row r="10" spans="1:15">
      <c r="A10" t="s">
        <v>1212</v>
      </c>
      <c r="B10">
        <f>B2</f>
        <v>29</v>
      </c>
      <c r="C10">
        <f t="shared" ref="C10:L10" si="7">C2</f>
        <v>22</v>
      </c>
      <c r="D10">
        <f t="shared" si="7"/>
        <v>7</v>
      </c>
      <c r="E10">
        <f t="shared" si="7"/>
        <v>3</v>
      </c>
      <c r="F10">
        <f t="shared" si="7"/>
        <v>3</v>
      </c>
      <c r="G10">
        <f t="shared" si="7"/>
        <v>10</v>
      </c>
      <c r="H10">
        <f t="shared" si="7"/>
        <v>12</v>
      </c>
      <c r="I10">
        <f t="shared" si="7"/>
        <v>18</v>
      </c>
      <c r="J10">
        <f t="shared" si="7"/>
        <v>13</v>
      </c>
      <c r="K10">
        <f t="shared" si="7"/>
        <v>22</v>
      </c>
      <c r="L10">
        <f t="shared" si="7"/>
        <v>6</v>
      </c>
      <c r="M10" s="81" t="s">
        <v>2338</v>
      </c>
      <c r="N10">
        <f t="shared" si="1"/>
        <v>145</v>
      </c>
    </row>
    <row r="11" spans="1:15">
      <c r="A11" t="s">
        <v>2351</v>
      </c>
      <c r="B11">
        <f>B2</f>
        <v>29</v>
      </c>
      <c r="C11">
        <f t="shared" ref="C11:L11" si="8">C2</f>
        <v>22</v>
      </c>
      <c r="D11">
        <f t="shared" si="8"/>
        <v>7</v>
      </c>
      <c r="E11">
        <f t="shared" si="8"/>
        <v>3</v>
      </c>
      <c r="F11">
        <f t="shared" si="8"/>
        <v>3</v>
      </c>
      <c r="G11">
        <f t="shared" si="8"/>
        <v>10</v>
      </c>
      <c r="H11">
        <f t="shared" si="8"/>
        <v>12</v>
      </c>
      <c r="I11">
        <f t="shared" si="8"/>
        <v>18</v>
      </c>
      <c r="J11">
        <f t="shared" si="8"/>
        <v>13</v>
      </c>
      <c r="K11">
        <f t="shared" si="8"/>
        <v>22</v>
      </c>
      <c r="L11">
        <f t="shared" si="8"/>
        <v>6</v>
      </c>
      <c r="M11" s="81" t="s">
        <v>2338</v>
      </c>
      <c r="N11">
        <f t="shared" si="1"/>
        <v>145</v>
      </c>
    </row>
    <row r="12" spans="1:15">
      <c r="A12" t="s">
        <v>2142</v>
      </c>
      <c r="B12">
        <f>B2</f>
        <v>29</v>
      </c>
      <c r="C12">
        <f t="shared" ref="C12:L12" si="9">C2</f>
        <v>22</v>
      </c>
      <c r="D12">
        <f t="shared" si="9"/>
        <v>7</v>
      </c>
      <c r="E12">
        <f t="shared" si="9"/>
        <v>3</v>
      </c>
      <c r="F12">
        <f t="shared" si="9"/>
        <v>3</v>
      </c>
      <c r="G12">
        <f t="shared" si="9"/>
        <v>10</v>
      </c>
      <c r="H12">
        <f t="shared" si="9"/>
        <v>12</v>
      </c>
      <c r="I12">
        <f t="shared" si="9"/>
        <v>18</v>
      </c>
      <c r="J12">
        <f t="shared" si="9"/>
        <v>13</v>
      </c>
      <c r="K12">
        <f t="shared" si="9"/>
        <v>22</v>
      </c>
      <c r="L12">
        <f t="shared" si="9"/>
        <v>6</v>
      </c>
      <c r="M12" s="81" t="s">
        <v>2338</v>
      </c>
      <c r="N12">
        <f t="shared" si="1"/>
        <v>145</v>
      </c>
    </row>
    <row r="13" spans="1:15">
      <c r="A13" t="s">
        <v>2352</v>
      </c>
      <c r="B13">
        <f>2*B2</f>
        <v>58</v>
      </c>
      <c r="C13">
        <f t="shared" ref="C13:L13" si="10">2*C2</f>
        <v>44</v>
      </c>
      <c r="D13">
        <f t="shared" si="10"/>
        <v>14</v>
      </c>
      <c r="E13">
        <f t="shared" si="10"/>
        <v>6</v>
      </c>
      <c r="F13">
        <f t="shared" si="10"/>
        <v>6</v>
      </c>
      <c r="G13">
        <f t="shared" si="10"/>
        <v>20</v>
      </c>
      <c r="H13">
        <f t="shared" si="10"/>
        <v>24</v>
      </c>
      <c r="I13">
        <f t="shared" si="10"/>
        <v>36</v>
      </c>
      <c r="J13">
        <f t="shared" si="10"/>
        <v>26</v>
      </c>
      <c r="K13">
        <f t="shared" si="10"/>
        <v>44</v>
      </c>
      <c r="L13">
        <f t="shared" si="10"/>
        <v>12</v>
      </c>
      <c r="M13" s="81" t="s">
        <v>2338</v>
      </c>
      <c r="N13">
        <f t="shared" si="1"/>
        <v>290</v>
      </c>
    </row>
    <row r="14" spans="1:15">
      <c r="A14" t="s">
        <v>2353</v>
      </c>
      <c r="B14">
        <f>2*B2</f>
        <v>58</v>
      </c>
      <c r="C14">
        <f t="shared" ref="C14:L14" si="11">2*C2</f>
        <v>44</v>
      </c>
      <c r="D14">
        <f t="shared" si="11"/>
        <v>14</v>
      </c>
      <c r="E14">
        <f t="shared" si="11"/>
        <v>6</v>
      </c>
      <c r="F14">
        <f t="shared" si="11"/>
        <v>6</v>
      </c>
      <c r="G14">
        <f t="shared" si="11"/>
        <v>20</v>
      </c>
      <c r="H14">
        <f t="shared" si="11"/>
        <v>24</v>
      </c>
      <c r="I14">
        <f t="shared" si="11"/>
        <v>36</v>
      </c>
      <c r="J14">
        <f t="shared" si="11"/>
        <v>26</v>
      </c>
      <c r="K14">
        <f t="shared" si="11"/>
        <v>44</v>
      </c>
      <c r="L14">
        <f t="shared" si="11"/>
        <v>12</v>
      </c>
      <c r="M14" s="81" t="s">
        <v>2338</v>
      </c>
      <c r="N14">
        <f t="shared" si="1"/>
        <v>290</v>
      </c>
    </row>
    <row r="15" spans="1:15">
      <c r="M15" s="81"/>
    </row>
  </sheetData>
  <printOptions horizontalCentered="1" verticalCentered="1"/>
  <pageMargins left="0.7" right="0.7" top="0.75" bottom="0.75" header="0.3" footer="0.3"/>
  <pageSetup fitToWidth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2026-02-23T18:26:42Z</dcterms:modified>
  <cp:category/>
  <cp:contentStatus/>
</cp:coreProperties>
</file>