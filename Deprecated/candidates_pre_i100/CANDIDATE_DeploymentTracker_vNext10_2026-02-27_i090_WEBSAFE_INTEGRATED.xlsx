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1998B\EXCELCNV\d296cd46-12a0-4350-9df1-3f65f5f11d04\"/>
    </mc:Choice>
  </mc:AlternateContent>
  <xr:revisionPtr revIDLastSave="0" documentId="8_{31877645-A55C-4826-B9D2-752B08174AB0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<sst xmlns="http://schemas.openxmlformats.org/spreadsheetml/2006/main" count="9515" uniqueCount="2462">
  <si>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</si>
  <si>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</si>
  <si>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</si>
  <si>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</si>
  <si>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</si>
  <si>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</si>
  <si>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</si>
  <si>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</si>
  <si>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</si>
  <si>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</si>
  <si>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</si>
  <si>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</si>
  <si>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</si>
  <si>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</si>
  <si>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</si>
  <si>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</si>
  <si>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</si>
  <si>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</si>
  <si>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</si>
  <si>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</si>
  <si>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</si>
  <si>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</si>
  <si>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</si>
  <si>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</si>
  <si>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L2:L528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</si>
  <si>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</si>
  <si>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</si>
  <si>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</si>
  <si>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</si>
  <si>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</si>
  <si>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</si>
  <si>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</si>
  <si>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M2:M528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</si>
  <si>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</si>
  <si>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</si>
  <si>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</si>
  <si>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</si>
  <si>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</si>
  <si>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</si>
  <si>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</si>
  <si>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</si>
  <si>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</si>
  <si>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</si>
  <si>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</si>
  <si>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</si>
  <si>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</si>
  <si>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</si>
  <si>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</si>
  <si>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</si>
  <si>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</si>
  <si>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</si>
  <si>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</si>
  <si>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</si>
  <si>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</si>
  <si>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</si>
  <si>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</si>
  <si>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</si>
  <si>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</si>
  <si>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</si>
  <si>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</si>
  <si>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</si>
  <si>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</si>
  <si>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</si>
  <si>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</si>
  <si>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</si>
  <si>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</si>
  <si>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</si>
  <si>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</si>
  <si>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</si>
  <si>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</si>
  <si>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A2:B528 F2:F528 AE2:AF528 R2:S528</t>
  </si>
  <si>
    <t>$F2="Yes"</t>
  </si>
  <si>
    <t>Duplicates/conflicts (DupDeployed=Yes)</t>
  </si>
  <si>
    <t>R2:R528</t>
  </si>
  <si>
    <t>AND($A2="Cybernet",$B2="Yes",$C2&lt;&gt;"Yes",LEN(TRIM(R2))=0)</t>
  </si>
  <si>
    <t>Cybernet Hostname required (pre-install)</t>
  </si>
  <si>
    <t>S2:S528</t>
  </si>
  <si>
    <t>AND($A2="Neuron",$B2="Yes",$C2&lt;&gt;"Yes",LEN(TRIM(S2))=0)</t>
  </si>
  <si>
    <t>Neuron Hostname required (pre-install)</t>
  </si>
  <si>
    <t>BH2:BH528</t>
  </si>
  <si>
    <t>AND($A2="Cybernet",$B2="Yes",$C2&lt;&gt;"Yes",LEN(TRIM(BH2))=0)</t>
  </si>
  <si>
    <t>Software_List required for Cybernet (pre-install)</t>
  </si>
  <si>
    <t>I2:I528 N2:N528 P2:Q528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</si>
  <si>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</si>
  <si>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</si>
  <si>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</si>
  <si>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</si>
  <si>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</si>
  <si>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</si>
  <si>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</si>
  <si>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</si>
  <si>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</si>
  <si>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</si>
  <si>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</si>
  <si>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</si>
  <si>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</si>
  <si>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</si>
  <si>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</si>
  <si>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</si>
  <si>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</si>
  <si>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</si>
  <si>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</si>
  <si>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</si>
  <si>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</si>
  <si>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</si>
  <si>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</si>
  <si>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</si>
  <si>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</si>
  <si>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</si>
  <si>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</si>
  <si>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</si>
  <si>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</si>
  <si>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</si>
  <si>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</si>
  <si>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</si>
  <si>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</si>
  <si>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</si>
  <si>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</si>
  <si>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</si>
  <si>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</si>
  <si>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</si>
  <si>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</si>
  <si>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</si>
  <si>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</si>
  <si>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</si>
  <si>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</si>
  <si>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</si>
  <si>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</si>
  <si>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</si>
  <si>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</si>
  <si>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</si>
  <si>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</si>
  <si>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</si>
  <si>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</si>
  <si>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</si>
  <si>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</si>
  <si>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</si>
  <si>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</si>
  <si>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</si>
  <si>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</si>
  <si>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</si>
  <si>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</si>
  <si>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</si>
  <si>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</si>
  <si>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</si>
  <si>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</si>
  <si>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</si>
  <si>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</si>
  <si>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</si>
  <si>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</si>
  <si>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</si>
  <si>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</si>
  <si>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</si>
  <si>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</si>
  <si>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</si>
  <si>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</si>
  <si>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</si>
  <si>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</si>
  <si>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</si>
  <si>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</si>
  <si>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</si>
  <si>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</si>
  <si>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</si>
  <si>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</si>
  <si>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</si>
  <si>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</si>
  <si>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</si>
  <si>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</si>
  <si>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</si>
  <si>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</si>
  <si>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</si>
  <si>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</si>
  <si>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</si>
  <si>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_xludf., _xlfn., _xlpm.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</si>
  <si>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</si>
  <si>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</si>
  <si>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</si>
  <si>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</si>
  <si>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</si>
  <si>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</si>
  <si>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</si>
  <si>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</si>
  <si>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</si>
  <si>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</si>
  <si>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</si>
  <si>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</si>
  <si>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</si>
  <si>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</si>
  <si>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</si>
  <si>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</si>
  <si>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</si>
  <si>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</si>
  <si>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</si>
  <si>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</si>
  <si>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</si>
  <si>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</si>
  <si>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</si>
  <si>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</si>
  <si>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</si>
  <si>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</si>
  <si>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</si>
  <si>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</si>
  <si>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</si>
  <si>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</si>
  <si>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</si>
  <si>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</si>
  <si>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</si>
  <si>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</si>
  <si>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</si>
  <si>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</si>
  <si>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</si>
  <si>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</si>
  <si>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</si>
  <si>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</si>
  <si>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</si>
  <si>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</si>
  <si>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</si>
  <si>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</si>
  <si>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</si>
  <si>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</si>
  <si>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</si>
  <si>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</si>
  <si>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</si>
  <si>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</si>
  <si>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</si>
  <si>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</si>
  <si>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</si>
  <si>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</si>
  <si>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</si>
  <si>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</si>
  <si>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</si>
  <si>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</si>
  <si>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</si>
  <si>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</si>
  <si>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</si>
  <si>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</si>
  <si>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</si>
  <si>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</si>
  <si>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</si>
  <si>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</si>
  <si>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</si>
  <si>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</si>
  <si>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</si>
  <si>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</si>
  <si>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</si>
  <si>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</si>
  <si>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</si>
  <si>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</si>
  <si>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</si>
  <si>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</si>
  <si>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</si>
  <si>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</si>
  <si>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</si>
  <si>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</si>
  <si>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</si>
  <si>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</si>
  <si>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</si>
  <si>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</si>
  <si>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</si>
  <si>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</si>
  <si>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</si>
  <si>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</si>
  <si>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</si>
  <si>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</si>
  <si>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</si>
  <si>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</si>
  <si>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</si>
  <si>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</si>
  <si>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</si>
  <si>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</si>
  <si>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</si>
  <si>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</si>
  <si>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</si>
  <si>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</si>
  <si>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</si>
  <si>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</si>
  <si>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</si>
  <si>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</si>
  <si>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</si>
  <si>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</si>
  <si>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</si>
  <si>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</si>
  <si>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</si>
  <si>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</si>
  <si>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</si>
  <si>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</si>
  <si>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</si>
  <si>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</si>
  <si>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</si>
  <si>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</si>
  <si>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</si>
  <si>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</si>
  <si>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</si>
  <si>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</si>
  <si>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</si>
  <si>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</si>
  <si>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</si>
  <si>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</si>
  <si>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</si>
  <si>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</si>
  <si>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</si>
  <si>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</si>
  <si>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</si>
  <si>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</si>
  <si>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</si>
  <si>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</si>
  <si>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</si>
  <si>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</si>
  <si>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</si>
  <si>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</si>
  <si>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</si>
  <si>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</si>
  <si>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</si>
  <si>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</si>
  <si>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</si>
  <si>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</si>
  <si>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</si>
  <si>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</si>
  <si>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</si>
  <si>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</si>
  <si>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</si>
  <si>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</si>
  <si>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</si>
  <si>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</si>
  <si>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</si>
  <si>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</si>
  <si>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</si>
  <si>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</si>
  <si>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</si>
  <si>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</si>
  <si>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</si>
  <si>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</si>
  <si>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</si>
  <si>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</si>
  <si>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</si>
  <si>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</si>
  <si>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</si>
  <si>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</si>
  <si>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</si>
  <si>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</si>
  <si>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</si>
  <si>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</si>
  <si>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</si>
  <si>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</si>
  <si>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</si>
  <si>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</si>
  <si>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</si>
  <si>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</si>
  <si>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</si>
  <si>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</si>
  <si>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</si>
  <si>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</si>
  <si>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</si>
  <si>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</si>
  <si>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</si>
  <si>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</si>
  <si>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</si>
  <si>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</si>
  <si>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</si>
  <si>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</si>
  <si>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</si>
  <si>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</si>
  <si>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</si>
  <si>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</si>
  <si>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</si>
  <si>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</si>
  <si>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</si>
  <si>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</si>
  <si>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</si>
  <si>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</si>
  <si>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</si>
  <si>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</si>
  <si>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</si>
  <si>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</si>
  <si>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</si>
  <si>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</si>
  <si>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</si>
  <si>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</si>
  <si>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</si>
  <si>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</si>
  <si>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</si>
  <si>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</si>
  <si>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</si>
  <si>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</si>
  <si>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</si>
  <si>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</si>
  <si>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</si>
  <si>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</si>
  <si>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</si>
  <si>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</si>
  <si>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</si>
  <si>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</si>
  <si>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</si>
  <si>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</si>
  <si>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</si>
  <si>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</si>
  <si>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</si>
  <si>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</si>
  <si>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</si>
  <si>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</si>
  <si>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</si>
  <si>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</si>
  <si>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</si>
  <si>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</si>
  <si>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</si>
  <si>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</si>
  <si>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</si>
  <si>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</si>
  <si>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</si>
  <si>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</si>
  <si>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</si>
  <si>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</si>
  <si>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</si>
  <si>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</si>
  <si>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</si>
  <si>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</si>
  <si>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</si>
  <si>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</si>
  <si>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</si>
  <si>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</si>
  <si>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</si>
  <si>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</si>
  <si>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</si>
  <si>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</si>
  <si>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</si>
  <si>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</si>
  <si>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</si>
  <si>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</si>
  <si>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</si>
  <si>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</si>
  <si>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</si>
  <si>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</si>
  <si>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</si>
  <si>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</si>
  <si>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</si>
  <si>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</si>
  <si>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</si>
  <si>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</si>
  <si>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</si>
  <si>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</si>
  <si>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</si>
  <si>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</si>
  <si>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</si>
  <si>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</si>
  <si>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</si>
  <si>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</si>
  <si>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</si>
  <si>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</si>
  <si>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</si>
  <si>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</si>
  <si>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</si>
  <si>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</si>
  <si>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</si>
  <si>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</si>
  <si>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</si>
  <si>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</si>
  <si>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</si>
  <si>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</si>
  <si>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</si>
  <si>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</si>
  <si>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</si>
  <si>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</si>
  <si>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</si>
  <si>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</si>
  <si>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</si>
  <si>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</si>
  <si>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</si>
  <si>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</si>
  <si>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</si>
  <si>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</si>
  <si>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</si>
  <si>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</si>
  <si>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</si>
  <si>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</si>
  <si>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</si>
  <si>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</si>
  <si>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</si>
  <si>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</si>
  <si>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</si>
  <si>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</si>
  <si>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</si>
  <si>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</si>
  <si>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</si>
  <si>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</si>
  <si>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</si>
  <si>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</si>
  <si>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</si>
  <si>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</si>
  <si>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</si>
  <si>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</si>
  <si>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</si>
  <si>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</si>
  <si>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</si>
  <si>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</si>
  <si>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</si>
  <si>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</si>
  <si>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</si>
  <si>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</si>
  <si>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</si>
  <si>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</si>
  <si>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</si>
  <si>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</si>
  <si>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</si>
  <si>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</si>
  <si>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</si>
  <si>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</si>
  <si>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</si>
  <si>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</si>
  <si>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</si>
  <si>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</si>
  <si>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</si>
  <si>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</si>
  <si>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</si>
  <si>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</si>
  <si>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</si>
  <si>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</si>
  <si>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</si>
  <si>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</si>
  <si>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</si>
  <si>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</si>
  <si>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</si>
  <si>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</si>
  <si>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</si>
  <si>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</si>
  <si>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</si>
  <si>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</si>
  <si>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</si>
  <si>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</si>
  <si>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</si>
  <si>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</si>
  <si>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</si>
  <si>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</si>
  <si>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</si>
  <si>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</si>
  <si>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</si>
  <si>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</si>
  <si>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</si>
  <si>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</si>
  <si>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</si>
  <si>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</si>
  <si>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</si>
  <si>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</si>
  <si>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</si>
  <si>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</si>
  <si>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</si>
  <si>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</si>
  <si>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</si>
  <si>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</si>
  <si>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</si>
  <si>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</si>
  <si>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</si>
  <si>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</si>
  <si>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</si>
  <si>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</si>
  <si>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</si>
  <si>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</si>
  <si>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</si>
  <si>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</si>
  <si>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</si>
  <si>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</si>
  <si>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</si>
  <si>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</si>
  <si>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</si>
  <si>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</si>
  <si>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</si>
  <si>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</si>
  <si>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</si>
  <si>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</si>
  <si>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</si>
  <si>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</si>
  <si>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</si>
  <si>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</si>
  <si>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</si>
  <si>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</si>
  <si>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</si>
  <si>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</si>
  <si>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</si>
  <si>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</si>
  <si>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</si>
  <si>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</si>
  <si>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</si>
  <si>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</si>
  <si>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</si>
  <si>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</si>
  <si>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</si>
  <si>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</si>
  <si>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</si>
  <si>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</si>
  <si>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</si>
  <si>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</si>
  <si>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</si>
  <si>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</si>
  <si>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</si>
  <si>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</si>
  <si>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</si>
  <si>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</si>
  <si>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</si>
  <si>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</si>
  <si>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</si>
  <si>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</si>
  <si>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</si>
  <si>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</si>
  <si>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</si>
  <si>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</si>
  <si>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</si>
  <si>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</si>
  <si>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</si>
  <si>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</si>
  <si>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</si>
  <si>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</si>
  <si>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</si>
  <si>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</si>
  <si>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</si>
  <si>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</si>
  <si>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</si>
  <si>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</si>
  <si>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</si>
  <si>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</si>
  <si>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</si>
  <si>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</si>
  <si>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</si>
  <si>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</si>
  <si>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</si>
  <si>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</si>
  <si>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</si>
  <si>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</si>
  <si>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</si>
  <si>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</si>
  <si>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</si>
  <si>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</si>
  <si>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</si>
  <si>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</si>
  <si>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</si>
  <si>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</si>
  <si>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</si>
  <si>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</si>
  <si>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</si>
  <si>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</si>
  <si>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</si>
  <si>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</si>
  <si>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</si>
  <si>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</si>
  <si>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</si>
  <si>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</si>
  <si>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</si>
  <si>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</si>
  <si>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</si>
  <si>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</si>
  <si>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</si>
  <si>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</si>
  <si>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</si>
  <si>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</si>
  <si>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</si>
  <si>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</si>
  <si>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</si>
  <si>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</si>
  <si>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</si>
  <si>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</si>
  <si>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</si>
  <si>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</si>
  <si>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</si>
  <si>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</si>
  <si>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</si>
  <si>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</si>
  <si>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</si>
  <si>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</si>
  <si>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</si>
  <si>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</si>
  <si>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</si>
  <si>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</si>
  <si>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</si>
  <si>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</si>
  <si>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</si>
  <si>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</si>
  <si>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</si>
  <si>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</si>
  <si>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</si>
  <si>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</si>
  <si>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</si>
  <si>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</si>
  <si>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</si>
  <si>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</si>
  <si>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</si>
  <si>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</si>
  <si>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</si>
  <si>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</si>
  <si>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</si>
  <si>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</si>
  <si>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</si>
  <si>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</si>
  <si>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</si>
  <si>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</si>
  <si>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</si>
  <si>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</si>
  <si>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</si>
  <si>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</si>
  <si>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</si>
  <si>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</si>
  <si>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</si>
  <si>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</si>
  <si>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</si>
  <si>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</si>
  <si>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</si>
  <si>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</si>
  <si>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</si>
  <si>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</si>
  <si>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</si>
  <si>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</si>
  <si>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</si>
  <si>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</si>
  <si>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</si>
  <si>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</si>
  <si>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</si>
  <si>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</si>
  <si>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</si>
  <si>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</si>
  <si>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</si>
  <si>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</si>
  <si>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</si>
  <si>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</si>
  <si>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</si>
  <si>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</si>
  <si>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</si>
  <si>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</si>
  <si>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</si>
  <si>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</si>
  <si>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</si>
  <si>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</si>
  <si>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</si>
  <si>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</si>
  <si>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</si>
  <si>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</si>
  <si>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</si>
  <si>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</si>
  <si>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</si>
  <si>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</si>
  <si>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</si>
  <si>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</si>
  <si>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</si>
  <si>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</si>
  <si>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</si>
  <si>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</si>
  <si>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</si>
  <si>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</si>
  <si>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</si>
  <si>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</si>
  <si>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</si>
  <si>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</si>
  <si>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</si>
  <si>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</si>
  <si>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</si>
  <si>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</si>
  <si>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</si>
  <si>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</si>
  <si>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</si>
  <si>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</si>
  <si>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</si>
  <si>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</si>
  <si>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</si>
  <si>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</si>
  <si>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</si>
  <si>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</si>
  <si>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</si>
  <si>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</si>
  <si>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</si>
  <si>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</si>
  <si>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</si>
  <si>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</si>
  <si>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</si>
  <si>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</si>
  <si>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</si>
  <si>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</si>
  <si>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</si>
  <si>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</si>
  <si>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</si>
  <si>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</si>
  <si>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</si>
  <si>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</si>
  <si>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</si>
  <si>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</si>
  <si>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</si>
  <si>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</si>
  <si>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</si>
  <si>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</si>
  <si>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</si>
  <si>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</si>
  <si>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</si>
  <si>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</si>
  <si>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</si>
  <si>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</si>
  <si>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</si>
  <si>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</si>
  <si>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</si>
  <si>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</si>
  <si>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</si>
  <si>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</si>
  <si>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</si>
  <si>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</si>
  <si>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</si>
  <si>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</si>
  <si>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</si>
  <si>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</si>
  <si>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</si>
  <si>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</si>
  <si>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</si>
  <si>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</si>
  <si>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</si>
  <si>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</si>
  <si>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</si>
  <si>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</si>
  <si>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</si>
  <si>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</si>
  <si>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</si>
  <si>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</si>
  <si>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</si>
  <si>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</si>
  <si>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</si>
  <si>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</si>
  <si>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</si>
  <si>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</si>
  <si>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</si>
  <si>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</si>
  <si>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</si>
  <si>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</si>
  <si>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</si>
  <si>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</si>
  <si>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</si>
  <si>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</si>
  <si>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</si>
  <si>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</si>
  <si>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</si>
  <si>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</si>
  <si>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</si>
  <si>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</si>
  <si>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</si>
  <si>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</si>
  <si>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</si>
  <si>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</si>
  <si>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</si>
  <si>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</si>
  <si>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</si>
  <si>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</si>
  <si>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</si>
  <si>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</si>
  <si>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</si>
  <si>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</si>
  <si>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</si>
  <si>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</si>
  <si>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</si>
  <si>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</si>
  <si>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</si>
  <si>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</si>
  <si>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</si>
  <si>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</si>
  <si>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</si>
  <si>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</si>
  <si>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</si>
  <si>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</si>
  <si>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</si>
  <si>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</si>
  <si>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</si>
  <si>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</si>
  <si>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</si>
  <si>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</si>
  <si>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</si>
  <si>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</si>
  <si>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</si>
  <si>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</si>
  <si>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</si>
  <si>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</si>
  <si>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</si>
  <si>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</si>
  <si>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</si>
  <si>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</si>
  <si>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</si>
  <si>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</si>
  <si>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</si>
  <si>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</si>
  <si>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</si>
  <si>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</si>
  <si>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</si>
  <si>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</si>
  <si>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</si>
  <si>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</si>
  <si>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</si>
  <si>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</si>
  <si>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</si>
  <si>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</si>
  <si>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</si>
  <si>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</si>
  <si>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</si>
  <si>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</si>
  <si>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</si>
  <si>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</si>
  <si>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</si>
  <si>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</si>
  <si>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</si>
  <si>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</si>
  <si>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</si>
  <si>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</si>
  <si>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</si>
  <si>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</si>
  <si>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</si>
  <si>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</si>
  <si>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</si>
  <si>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</si>
  <si>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</si>
  <si>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</si>
  <si>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</si>
  <si>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</si>
  <si>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</si>
  <si>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</si>
  <si>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</si>
  <si>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</si>
  <si>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</si>
  <si>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</si>
  <si>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</si>
  <si>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</si>
  <si>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</si>
  <si>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</si>
  <si>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</si>
  <si>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</si>
  <si>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</si>
  <si>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</si>
  <si>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</si>
  <si>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</si>
  <si>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</si>
  <si>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</si>
  <si>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</si>
  <si>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</si>
  <si>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</si>
  <si>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</si>
  <si>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</si>
  <si>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</si>
  <si>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</si>
  <si>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</si>
  <si>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</si>
  <si>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</si>
  <si>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</si>
  <si>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</si>
  <si>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</si>
  <si>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</si>
  <si>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</si>
  <si>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</si>
  <si>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</si>
  <si>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</si>
  <si>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</si>
  <si>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</si>
  <si>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</si>
  <si>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</si>
  <si>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</si>
  <si>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</si>
  <si>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</si>
  <si>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</si>
  <si>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</si>
  <si>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</si>
  <si>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</si>
  <si>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</si>
  <si>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</si>
  <si>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</si>
  <si>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</si>
  <si>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</si>
  <si>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</si>
  <si>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</si>
  <si>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</si>
  <si>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</si>
  <si>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</si>
  <si>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</si>
  <si>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</si>
  <si>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</si>
  <si>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</si>
  <si>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</si>
  <si>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</si>
  <si>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</si>
  <si>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</si>
  <si>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</si>
  <si>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</si>
  <si>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</si>
  <si>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</si>
  <si>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</si>
  <si>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</si>
  <si>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</si>
  <si>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</si>
  <si>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</si>
  <si>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</si>
  <si>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</si>
  <si>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</si>
  <si>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</si>
  <si>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</si>
  <si>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</si>
  <si>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</si>
  <si>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</si>
  <si>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</si>
  <si>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</si>
  <si>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</si>
  <si>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</si>
  <si>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</si>
  <si>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</si>
  <si>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</si>
  <si>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</si>
  <si>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</si>
  <si>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</si>
  <si>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</si>
  <si>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</si>
  <si>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</si>
  <si>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</si>
  <si>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</si>
  <si>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</si>
  <si>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</si>
  <si>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</si>
  <si>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</si>
  <si>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</si>
  <si>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</si>
  <si>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</si>
  <si>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</si>
  <si>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</si>
  <si>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</si>
  <si>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</si>
  <si>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</si>
  <si>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</si>
  <si>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</si>
  <si>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</si>
  <si>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</si>
  <si>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</si>
  <si>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</si>
  <si>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</si>
  <si>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</si>
  <si>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</si>
  <si>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</si>
  <si>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</si>
  <si>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</si>
  <si>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</si>
  <si>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</si>
  <si>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</si>
  <si>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</si>
  <si>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</si>
  <si>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</si>
  <si>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</si>
  <si>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</si>
  <si>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</si>
  <si>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</si>
  <si>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</si>
  <si>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</si>
  <si>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</si>
  <si>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</si>
  <si>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</si>
  <si>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</si>
  <si>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</si>
  <si>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</si>
  <si>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</si>
  <si>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</si>
  <si>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</si>
  <si>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</si>
  <si>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</si>
  <si>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</si>
  <si>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</si>
  <si>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</si>
  <si>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</si>
  <si>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</si>
  <si>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</si>
  <si>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</si>
  <si>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</si>
  <si>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</si>
  <si>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</si>
  <si>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</si>
  <si>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</si>
  <si>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</si>
  <si>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</si>
  <si>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</si>
  <si>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</si>
  <si>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</si>
  <si>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</si>
  <si>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</si>
  <si>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</si>
  <si>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</si>
  <si>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</si>
  <si>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</si>
  <si>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</si>
  <si>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</si>
  <si>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</si>
  <si>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</si>
  <si>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</si>
  <si>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</si>
  <si>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</si>
  <si>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</si>
  <si>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</si>
  <si>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</si>
  <si>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</si>
  <si>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</si>
  <si>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</si>
  <si>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</si>
  <si>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</si>
  <si>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</si>
  <si>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</si>
  <si>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</si>
  <si>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</si>
  <si>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</si>
  <si>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</si>
  <si>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</si>
  <si>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</si>
  <si>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</si>
  <si>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</si>
  <si>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</si>
  <si>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</si>
  <si>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</si>
  <si>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</si>
  <si>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</si>
  <si>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</si>
  <si>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</si>
  <si>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</si>
  <si>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</si>
  <si>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</si>
  <si>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</si>
  <si>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</si>
  <si>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</si>
  <si>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</si>
  <si>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</si>
  <si>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</si>
  <si>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</si>
  <si>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</si>
  <si>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</si>
  <si>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</si>
  <si>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</si>
  <si>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</si>
  <si>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</si>
  <si>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</si>
  <si>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</si>
  <si>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</si>
  <si>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</si>
  <si>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</si>
  <si>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</si>
  <si>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</si>
  <si>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</si>
  <si>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</si>
  <si>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</si>
  <si>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</si>
  <si>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</si>
  <si>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</si>
  <si>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</si>
  <si>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</si>
  <si>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</si>
  <si>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</si>
  <si>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</si>
  <si>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</si>
  <si>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</si>
  <si>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</si>
  <si>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</si>
  <si>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</si>
  <si>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</si>
  <si>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</si>
  <si>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</si>
  <si>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</si>
  <si>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</si>
  <si>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</si>
  <si>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</si>
  <si>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</si>
  <si>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</si>
  <si>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</si>
  <si>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</si>
  <si>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</si>
  <si>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</si>
  <si>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</si>
  <si>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</si>
  <si>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</si>
  <si>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</si>
  <si>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</si>
  <si>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</si>
  <si>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</si>
  <si>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</si>
  <si>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</si>
  <si>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</si>
  <si>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</si>
  <si>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</si>
  <si>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</si>
  <si>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</si>
  <si>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</si>
  <si>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</si>
  <si>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</si>
  <si>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</si>
  <si>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</si>
  <si>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</si>
  <si>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</si>
  <si>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</si>
  <si>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</si>
  <si>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</si>
  <si>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</si>
  <si>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</si>
  <si>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</si>
  <si>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</si>
  <si>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</si>
  <si>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</si>
  <si>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</si>
  <si>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</si>
  <si>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</si>
  <si>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</si>
  <si>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</si>
  <si>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</si>
  <si>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</si>
  <si>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</si>
  <si>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</si>
  <si>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</si>
  <si>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</si>
  <si>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</si>
  <si>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</si>
  <si>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</si>
  <si>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</si>
  <si>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</si>
  <si>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</si>
  <si>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</si>
  <si>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</si>
  <si>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</si>
  <si>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</si>
  <si>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</si>
  <si>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</si>
  <si>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</si>
  <si>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</si>
  <si>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</si>
  <si>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</si>
  <si>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</si>
  <si>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</si>
  <si>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</si>
  <si>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</si>
  <si>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</si>
  <si>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</si>
  <si>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</si>
  <si>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</si>
  <si>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</si>
  <si>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</si>
  <si>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</si>
  <si>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</si>
  <si>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</si>
  <si>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</si>
  <si>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</si>
  <si>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</si>
  <si>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</si>
  <si>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</si>
  <si>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</si>
  <si>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</si>
  <si>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</si>
  <si>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</si>
  <si>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</si>
  <si>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</si>
  <si>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</si>
  <si>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</si>
  <si>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</si>
  <si>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</si>
  <si>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</si>
  <si>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</si>
  <si>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</si>
  <si>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</si>
  <si>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</si>
  <si>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</si>
  <si>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</si>
  <si>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</si>
  <si>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</si>
  <si>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</si>
  <si>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</si>
  <si>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</si>
  <si>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</si>
  <si>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</si>
  <si>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</si>
  <si>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</si>
  <si>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</si>
  <si>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</si>
  <si>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</si>
  <si>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</si>
  <si>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</si>
  <si>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</si>
  <si>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</si>
  <si>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</si>
  <si>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</si>
  <si>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</si>
  <si>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</si>
  <si>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</si>
  <si>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</si>
  <si>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</si>
  <si>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</si>
  <si>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</si>
  <si>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</si>
  <si>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</si>
  <si>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</si>
  <si>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</si>
  <si>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</si>
  <si>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</si>
  <si>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</si>
  <si>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</si>
  <si>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</si>
  <si>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</si>
  <si>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</si>
  <si>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</si>
  <si>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</si>
  <si>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</si>
  <si>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</si>
  <si>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</si>
  <si>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</si>
  <si>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</si>
  <si>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</si>
  <si>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</si>
  <si>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</si>
  <si>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</si>
  <si>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</si>
  <si>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</si>
  <si>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</si>
  <si>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</si>
  <si>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</si>
  <si>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</si>
  <si>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</si>
  <si>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</si>
  <si>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</si>
  <si>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</si>
  <si>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</si>
  <si>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</si>
  <si>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</si>
  <si>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</si>
  <si>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</si>
  <si>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</si>
  <si>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</si>
  <si>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</si>
  <si>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</si>
  <si>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</si>
  <si>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</si>
  <si>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</si>
  <si>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</si>
  <si>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</si>
  <si>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</si>
  <si>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</si>
  <si>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</si>
  <si>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</si>
  <si>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</si>
  <si>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</si>
  <si>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</si>
  <si>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</si>
  <si>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</si>
  <si>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</si>
  <si>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</si>
  <si>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</si>
  <si>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</si>
  <si>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</si>
  <si>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</si>
  <si>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</si>
  <si>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</si>
  <si>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</si>
  <si>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</si>
  <si>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</si>
  <si>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</si>
  <si>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</si>
  <si>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</si>
  <si>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</si>
  <si>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</si>
  <si>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</si>
  <si>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</si>
  <si>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</si>
  <si>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</si>
  <si>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</si>
  <si>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</si>
  <si>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</si>
  <si>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</si>
  <si>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</si>
  <si>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</si>
  <si>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</si>
  <si>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</si>
  <si>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Column1</t>
  </si>
  <si>
    <t>CFAM</t>
  </si>
  <si>
    <t xml:space="preserve">WLS450OPR001+ </t>
  </si>
  <si>
    <t>REQ1310102</t>
  </si>
  <si>
    <t>CCMC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</si>
  <si>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</si>
  <si>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</si>
  <si>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</si>
  <si>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</si>
  <si>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</si>
  <si>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</si>
  <si>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</si>
  <si>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</si>
  <si>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</si>
  <si>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</si>
  <si>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</si>
  <si>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</si>
  <si>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</si>
  <si>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</si>
  <si>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n/a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</si>
  <si>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</si>
  <si>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</si>
  <si>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</si>
  <si>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</si>
  <si>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</si>
  <si>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</si>
  <si>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</si>
  <si>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</si>
  <si>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</si>
  <si>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</si>
  <si>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</si>
  <si>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Install Building</t>
  </si>
  <si>
    <t>Area/Unit</t>
  </si>
  <si>
    <t>Room</t>
  </si>
  <si>
    <t>Bay</t>
  </si>
  <si>
    <t>Port No.</t>
  </si>
  <si>
    <t>Manufacturer</t>
  </si>
  <si>
    <t>Medical Device Model</t>
  </si>
  <si>
    <t>Medical Device Class</t>
  </si>
  <si>
    <t>PI_Use_Case</t>
  </si>
  <si>
    <t>Credential Type (Client)</t>
  </si>
  <si>
    <t>PI_Config_Shared</t>
  </si>
  <si>
    <t>PI_Config_Autologon</t>
  </si>
  <si>
    <t>PI_Imprivata</t>
  </si>
  <si>
    <t>Software List (Client Approved)</t>
  </si>
  <si>
    <t>Has Badge Scanner</t>
  </si>
  <si>
    <t>Has Barcode Scanner</t>
  </si>
  <si>
    <t>Power Cable Present</t>
  </si>
  <si>
    <t>Battery Present</t>
  </si>
  <si>
    <t>Ready for Deployment</t>
  </si>
  <si>
    <t>IT Device Status</t>
  </si>
  <si>
    <t>Blocker Reason</t>
  </si>
  <si>
    <t>PI_Validated_By</t>
  </si>
  <si>
    <t>PI_Validated_Date</t>
  </si>
  <si>
    <t>Cybernet</t>
  </si>
  <si>
    <t>Neuron ID</t>
  </si>
  <si>
    <t>Neuron MAC</t>
  </si>
  <si>
    <t>Software List (Operational)</t>
  </si>
  <si>
    <t>Software Source</t>
  </si>
  <si>
    <t>Software Installed</t>
  </si>
  <si>
    <t>Readiness (Auto)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</si>
  <si>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</si>
  <si>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</si>
  <si>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</si>
  <si>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</si>
  <si>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</si>
  <si>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</si>
  <si>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</si>
  <si>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Peripherals</t>
  </si>
  <si>
    <t>Total Sent</t>
  </si>
  <si>
    <t>Mouse &amp; Keyboard</t>
  </si>
  <si>
    <t>Barcode Scanner</t>
  </si>
  <si>
    <t>Tap Badge</t>
  </si>
  <si>
    <t>HQ</t>
  </si>
  <si>
    <t>GVH</t>
  </si>
  <si>
    <t>LHH</t>
  </si>
  <si>
    <t>MEETH</t>
  </si>
  <si>
    <t>NWH</t>
  </si>
  <si>
    <t>PBMC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</si>
  <si>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</si>
  <si>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</si>
  <si>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</si>
  <si>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</si>
  <si>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</si>
  <si>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</si>
  <si>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</si>
  <si>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</si>
  <si>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</si>
  <si>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</si>
  <si>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</si>
  <si>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</si>
  <si>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</si>
  <si>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</si>
  <si>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</si>
  <si>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</si>
  <si>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</si>
  <si>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</si>
  <si>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Wave/PO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</si>
  <si>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</si>
  <si>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</si>
  <si>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</si>
  <si>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</si>
  <si>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</si>
  <si>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</si>
  <si>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</si>
  <si>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</si>
  <si>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</si>
  <si>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</si>
  <si>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</si>
  <si>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</si>
  <si>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</si>
  <si>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</si>
  <si>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</si>
  <si>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</si>
  <si>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</si>
  <si>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</si>
  <si>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</si>
  <si>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</si>
  <si>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</si>
  <si>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</si>
  <si>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</si>
  <si>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</si>
  <si>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</si>
  <si>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</si>
  <si>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</si>
  <si>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</si>
  <si>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</si>
  <si>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</si>
  <si>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</si>
  <si>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</si>
  <si>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</si>
  <si>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</si>
  <si>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</si>
  <si>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</si>
  <si>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</si>
  <si>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</si>
  <si>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</si>
  <si>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</si>
  <si>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</si>
  <si>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</si>
  <si>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</si>
  <si>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</si>
  <si>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</si>
  <si>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</si>
  <si>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</si>
  <si>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</si>
  <si>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</si>
  <si>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</si>
  <si>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</si>
  <si>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</si>
  <si>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</si>
  <si>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</si>
  <si>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</si>
  <si>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</si>
  <si>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</si>
  <si>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</si>
  <si>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</si>
  <si>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</si>
  <si>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</si>
  <si>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</si>
  <si>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</si>
  <si>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</si>
  <si>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</si>
  <si>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</si>
  <si>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</si>
  <si>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</si>
  <si>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</si>
  <si>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</si>
  <si>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</si>
  <si>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</si>
  <si>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</si>
  <si>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</si>
  <si>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</si>
  <si>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</si>
  <si>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</si>
  <si>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</si>
  <si>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</si>
  <si>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</si>
  <si>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</si>
  <si>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</si>
  <si>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</si>
  <si>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</si>
  <si>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</si>
  <si>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</si>
  <si>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</si>
  <si>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</si>
  <si>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</si>
  <si>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</si>
  <si>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</si>
  <si>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</si>
  <si>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</si>
  <si>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</si>
  <si>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</si>
  <si>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</si>
  <si>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</si>
  <si>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</si>
  <si>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</si>
  <si>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</si>
  <si>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</si>
  <si>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</si>
  <si>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</si>
  <si>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</si>
  <si>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</si>
  <si>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</si>
  <si>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</si>
  <si>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</si>
  <si>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</si>
  <si>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</si>
  <si>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</si>
  <si>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</si>
  <si>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</si>
  <si>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</si>
  <si>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</si>
  <si>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</si>
  <si>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</si>
  <si>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</si>
  <si>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</si>
  <si>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</si>
  <si>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</si>
  <si>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</si>
  <si>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</si>
  <si>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</si>
  <si>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</si>
  <si>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</si>
  <si>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</si>
  <si>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</si>
  <si>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</si>
  <si>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</si>
  <si>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</si>
  <si>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</si>
  <si>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</si>
  <si>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</si>
  <si>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</si>
  <si>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</si>
  <si>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</si>
  <si>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</si>
  <si>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</si>
  <si>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</si>
  <si>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</si>
  <si>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</si>
  <si>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</si>
  <si>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</si>
  <si>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</si>
  <si>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</si>
  <si>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</si>
  <si>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</si>
  <si>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</si>
  <si>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</si>
  <si>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</si>
  <si>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</si>
  <si>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</si>
  <si>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</si>
  <si>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MX750 - DE77669043</t>
  </si>
  <si>
    <t>00:0D:05:0A:A8:3B</t>
  </si>
  <si>
    <t>Baud Rate</t>
  </si>
  <si>
    <t>Last Move TS (AUTO)</t>
  </si>
  <si>
    <t>LIJ-SDF-MACH-I</t>
  </si>
  <si>
    <t>00:0D:05:0A:A6:BD</t>
  </si>
  <si>
    <t>GCH-MACH-K</t>
  </si>
  <si>
    <t>MEDSG2425F-3141</t>
  </si>
  <si>
    <t>Mindray A5 - EJ-57023077</t>
  </si>
  <si>
    <t>WA25300319</t>
  </si>
  <si>
    <t>00:0D:05:0A:A7:B9</t>
  </si>
  <si>
    <t>APOLLO</t>
  </si>
  <si>
    <t>WMH300OPR343</t>
  </si>
  <si>
    <t>Philips Intellivue MX800</t>
  </si>
  <si>
    <t>12 - Device_Configuration!$A$2:$CC$532</t>
  </si>
  <si>
    <t>MEDSG2425F-0053</t>
  </si>
  <si>
    <t>WVS900OPR030</t>
  </si>
  <si>
    <t>CyberMed-S24 TGL</t>
  </si>
  <si>
    <t xml:space="preserve">iPro
Epic Satellite
ALLSCRIPTS
EPIC BCA</t>
  </si>
  <si>
    <t>LIJ-MACH-QQ</t>
  </si>
  <si>
    <t>BROKEN - Bluescreen@boot</t>
  </si>
  <si>
    <t>10.134.18.72</t>
  </si>
  <si>
    <t>00:0D:05:0A:B6:e7</t>
  </si>
  <si>
    <t>A0F5097FEF3A</t>
  </si>
  <si>
    <t>Anesthesia Machine - Drager Atlan 350</t>
  </si>
  <si>
    <t>LIJ-MACH-A</t>
  </si>
  <si>
    <t>LIJ-IR</t>
  </si>
  <si>
    <t>A0F5097FF5A7</t>
  </si>
  <si>
    <t>6T0S164337</t>
  </si>
  <si>
    <t>WNH270OPR409</t>
  </si>
  <si>
    <t>LIJ-SDF-MACH-Z</t>
  </si>
  <si>
    <t>MEDSG2425F-3235</t>
  </si>
  <si>
    <t>LIJ-SDF-MACH-J</t>
  </si>
  <si>
    <t>WMH300OPR348</t>
  </si>
  <si>
    <t>WNH270OPR461</t>
  </si>
  <si>
    <t>Medical Peripheral 3</t>
  </si>
  <si>
    <t>MEDSG2425E-3209</t>
  </si>
  <si>
    <t>10.134.18.60</t>
  </si>
  <si>
    <t>Neuron IP</t>
  </si>
  <si>
    <t>WNH269OPR024</t>
  </si>
  <si>
    <t>10.134.18.73</t>
  </si>
  <si>
    <t>IR 11</t>
  </si>
  <si>
    <t>GCH-MACH-J</t>
  </si>
  <si>
    <t>MEDSG2425E-0173</t>
  </si>
  <si>
    <t>Patient Monitor - Philips MX750</t>
  </si>
  <si>
    <t>No</t>
  </si>
  <si>
    <t>101 Commercial St</t>
  </si>
  <si>
    <t xml:space="preserve">Ran POSTINSTALL </t>
  </si>
  <si>
    <t>medng2425e-3739</t>
  </si>
  <si>
    <t>ASCJ-0097</t>
  </si>
  <si>
    <t>MEDNG2425E-3069</t>
  </si>
  <si>
    <t>MEDSG2425F-0019</t>
  </si>
  <si>
    <t>ASCJ-0098</t>
  </si>
  <si>
    <t>10.134.18.71</t>
  </si>
  <si>
    <t>1T0S255982</t>
  </si>
  <si>
    <t>WA25300273</t>
  </si>
  <si>
    <t>WNH270OPR459</t>
  </si>
  <si>
    <t>OR 18</t>
  </si>
  <si>
    <t>NO</t>
  </si>
  <si>
    <t>ASUL-0203</t>
  </si>
  <si>
    <t>LIJ-SDF-MACH-K</t>
  </si>
  <si>
    <t>Has New Breakaway</t>
  </si>
  <si>
    <t>WNH270OPR421</t>
  </si>
  <si>
    <t>ALREADY HAD A BADGE SCANNER INSTALLED / RAN AL</t>
  </si>
  <si>
    <t>WNH270OPR460</t>
  </si>
  <si>
    <t>MEDSG2425F-3173</t>
  </si>
  <si>
    <t>MEDSG2425E-3749</t>
  </si>
  <si>
    <t>ASEA-0168</t>
  </si>
  <si>
    <t>WMH300OPR339</t>
  </si>
  <si>
    <t>Pallet Association</t>
  </si>
  <si>
    <t>LIJ-MACH-S</t>
  </si>
  <si>
    <t>00:0D:05:0A:A4:DD</t>
  </si>
  <si>
    <t>MX750 - DE77669044</t>
  </si>
  <si>
    <t>WNH269OPR026</t>
  </si>
  <si>
    <t>LIJ-SDF-MACH-N</t>
  </si>
  <si>
    <t>OR 7</t>
  </si>
  <si>
    <t>WNH270OPR440</t>
  </si>
  <si>
    <t>8605505-08106008073299</t>
  </si>
  <si>
    <t>9T0S237854</t>
  </si>
  <si>
    <t>SN scratched off slightly;</t>
  </si>
  <si>
    <t>inpatient</t>
  </si>
  <si>
    <t>WNH269OPR018</t>
  </si>
  <si>
    <t>A0F5097B8D8E</t>
  </si>
  <si>
    <t>A0F5097FDF60</t>
  </si>
  <si>
    <t>WNH270OPR424</t>
  </si>
  <si>
    <t>00:0D:05:0A:A6:C7</t>
  </si>
  <si>
    <t>MEDSG2425F-0270</t>
  </si>
  <si>
    <t>WMH300OPR347</t>
  </si>
  <si>
    <t>MX750 - DE77669069</t>
  </si>
  <si>
    <t>00:0D:05:0A:B2:5B</t>
  </si>
  <si>
    <t>00:0D:05:0A:A6:c3</t>
  </si>
  <si>
    <t>WA24406299</t>
  </si>
  <si>
    <t>MEDNG2425E-3136</t>
  </si>
  <si>
    <t>Medical Peripheral 1</t>
  </si>
  <si>
    <t xml:space="preserve">Phillips </t>
  </si>
  <si>
    <t>LIJ</t>
  </si>
  <si>
    <t>PI_Rejection_Reason</t>
  </si>
  <si>
    <t>Floor 1</t>
  </si>
  <si>
    <t>WLS450OPR004</t>
  </si>
  <si>
    <t>00:0D:05:0A:B2:4D</t>
  </si>
  <si>
    <t>9T0S247179</t>
  </si>
  <si>
    <t>9T0S237956</t>
  </si>
  <si>
    <t>10.134.19.46</t>
  </si>
  <si>
    <t>MEETH-MACH-U</t>
  </si>
  <si>
    <t>WNH270OPR425</t>
  </si>
  <si>
    <t>MEDSG2425F-3009</t>
  </si>
  <si>
    <t>00:0D:05:0A:A8:66</t>
  </si>
  <si>
    <t>MEDSG2425F-0213</t>
  </si>
  <si>
    <t>Epic Beans Data Sent</t>
  </si>
  <si>
    <t>WA25300268</t>
  </si>
  <si>
    <t>WA25203896</t>
  </si>
  <si>
    <t>WLS450OPR007</t>
  </si>
  <si>
    <t>OR 4</t>
  </si>
  <si>
    <t>OR 16</t>
  </si>
  <si>
    <t>Ran POSTINSTALL, boxe</t>
  </si>
  <si>
    <t>Yes</t>
  </si>
  <si>
    <t>ASCJ-0113</t>
  </si>
  <si>
    <t>WNH270OPR448</t>
  </si>
  <si>
    <t>WVS900OPR025</t>
  </si>
  <si>
    <t>ZUCKER HOSPITAL</t>
  </si>
  <si>
    <t>WA24406289</t>
  </si>
  <si>
    <t>MEDSG2425F-3319</t>
  </si>
  <si>
    <t xml:space="preserve">BSM 051 B </t>
  </si>
  <si>
    <t>WA25300278</t>
  </si>
  <si>
    <t>OR 6</t>
  </si>
  <si>
    <t>10.134.18.75</t>
  </si>
  <si>
    <t>MEDNG2425E-3061</t>
  </si>
  <si>
    <t>00187DE0E205</t>
  </si>
  <si>
    <t>MEDSG2425F-0151</t>
  </si>
  <si>
    <t>00:0D:05:0A:B6:2D</t>
  </si>
  <si>
    <t>00:0D:05:0A:B6:59</t>
  </si>
  <si>
    <t>WVS900OPR028</t>
  </si>
  <si>
    <t>2T0S264810</t>
  </si>
  <si>
    <t>Serial Connector Cable 5</t>
  </si>
  <si>
    <t>00187DE0E2B9</t>
  </si>
  <si>
    <t>00:0D:05:0A:a5:f7</t>
  </si>
  <si>
    <t>WA25203823</t>
  </si>
  <si>
    <t>A0F5097B8BC2</t>
  </si>
  <si>
    <t>ASPM-0001</t>
  </si>
  <si>
    <t>WNH270OPR434</t>
  </si>
  <si>
    <t>MEDSG2425F-0068</t>
  </si>
  <si>
    <t>WNH270OPR445</t>
  </si>
  <si>
    <t>LIJ-MACH-DD</t>
  </si>
  <si>
    <t>MEDNG2425E-3673</t>
  </si>
  <si>
    <t>MX750 - DE77669022</t>
  </si>
  <si>
    <t>Spare</t>
  </si>
  <si>
    <t>LIJ-SDF-MACH-AA</t>
  </si>
  <si>
    <t>WA25300323</t>
  </si>
  <si>
    <t>MEDSG2425F-3318</t>
  </si>
  <si>
    <t>WNH270OPR423</t>
  </si>
  <si>
    <t>GCH-MACH-G</t>
  </si>
  <si>
    <t>MEDSG2425F-0160</t>
  </si>
  <si>
    <t>00:0D:05:0A:A5:FF</t>
  </si>
  <si>
    <t>10.134.18.59</t>
  </si>
  <si>
    <t>MEDNG2425E-3137</t>
  </si>
  <si>
    <t>WNH270INR001</t>
  </si>
  <si>
    <t>MEDSG2425E-3070</t>
  </si>
  <si>
    <t>00:0D:05:0A:A4:F9</t>
  </si>
  <si>
    <t>WMH300OPR336</t>
  </si>
  <si>
    <t>A0F5097B8CF9</t>
  </si>
  <si>
    <t>ALREADY HAD A BADGE SCANNER INSTALLED / imprivata installed, so cant run  AL / DIDNT PROGRAM SCANNER</t>
  </si>
  <si>
    <t>00:0D:05:0A:A4:D5</t>
  </si>
  <si>
    <t>MEDSG2425F-0060</t>
  </si>
  <si>
    <t>00:0D:05:0A:B2:AD</t>
  </si>
  <si>
    <t>WA25203890</t>
  </si>
  <si>
    <t>10.134.18.57</t>
  </si>
  <si>
    <t>BSM 033 B</t>
  </si>
  <si>
    <t>1T0S260498</t>
  </si>
  <si>
    <t>OR 17</t>
  </si>
  <si>
    <t>00187DE0E2BA</t>
  </si>
  <si>
    <t>0T0S250268</t>
  </si>
  <si>
    <t>WA24406125</t>
  </si>
  <si>
    <t>A0F5097FDF52</t>
  </si>
  <si>
    <t>Has Mouse</t>
  </si>
  <si>
    <t>10.134.19.29</t>
  </si>
  <si>
    <t>00:0d:05:0a:a7:43</t>
  </si>
  <si>
    <t>Device ID Assigned</t>
  </si>
  <si>
    <t>BSM 040 A</t>
  </si>
  <si>
    <t>00:0D:05:0A:B1:85</t>
  </si>
  <si>
    <t>00187DE0ADF1</t>
  </si>
  <si>
    <t>LIJ-MACH-FF</t>
  </si>
  <si>
    <t>A0F5097B8E6F</t>
  </si>
  <si>
    <t>00187DE0E229</t>
  </si>
  <si>
    <t>ZHH-MACH-C</t>
  </si>
  <si>
    <t>ARYJ-0053</t>
  </si>
  <si>
    <t>A0F5097B8E02</t>
  </si>
  <si>
    <t>00:0D:05:0A:b3:0f</t>
  </si>
  <si>
    <t>A0F5097FE3A5</t>
  </si>
  <si>
    <t>10.134.18.77</t>
  </si>
  <si>
    <t>LIJ-SDF-MACH-X</t>
  </si>
  <si>
    <t>LIJ-MACH-H</t>
  </si>
  <si>
    <t>MEDSG2425F-0013</t>
  </si>
  <si>
    <t>OR 3</t>
  </si>
  <si>
    <t>BSM 045D</t>
  </si>
  <si>
    <t>12 - Device_Configuration!$BO$2:$BO$532</t>
  </si>
  <si>
    <t>Dialysis S/N</t>
  </si>
  <si>
    <t>00:0D:05:0A:B2:6b</t>
  </si>
  <si>
    <t>00:0D:05:0A:B3:1f</t>
  </si>
  <si>
    <t>00187DE0E28E</t>
  </si>
  <si>
    <t>ARXM-0366</t>
  </si>
  <si>
    <t>00:0D:05:0A:A8:5b</t>
  </si>
  <si>
    <t>WNH270OPR452</t>
  </si>
  <si>
    <t>WNH270OPR403</t>
  </si>
  <si>
    <t>MX750 - DE77669041</t>
  </si>
  <si>
    <t>10.134.18.61</t>
  </si>
  <si>
    <t>12 - Device_Configuration!$BL$2:$CC$532</t>
  </si>
  <si>
    <t>10.134.19.27</t>
  </si>
  <si>
    <t>BSM 047 D</t>
  </si>
  <si>
    <t>Fix: rehydrated 12 - Device_Configuration (A1:CC532) from the Active tracker, writing values and formulas without per-cell style indexes and using sharedStrings.</t>
  </si>
  <si>
    <t>LIJ-MACH-M</t>
  </si>
  <si>
    <t>ARXM-0371</t>
  </si>
  <si>
    <t>WRI130OPR045</t>
  </si>
  <si>
    <t>scan</t>
  </si>
  <si>
    <t>MINDRAY A5</t>
  </si>
  <si>
    <t>WA25106707</t>
  </si>
  <si>
    <t>8605505-08106008076496</t>
  </si>
  <si>
    <t>MEDNG2425E-3670</t>
  </si>
  <si>
    <t>A0F5097B8AFD</t>
  </si>
  <si>
    <t>WNH270OPR413</t>
  </si>
  <si>
    <t>MEDSG2425F-3155</t>
  </si>
  <si>
    <t>WNH270OPR436</t>
  </si>
  <si>
    <t>WNH270OPR417</t>
  </si>
  <si>
    <t>OR iPro Cybernet Workstation</t>
  </si>
  <si>
    <t>MX550</t>
  </si>
  <si>
    <t>MEDSG2425F-0046</t>
  </si>
  <si>
    <t>00:0D:05:0A:A8:57</t>
  </si>
  <si>
    <t>LIJ-SDF-MACH-L</t>
  </si>
  <si>
    <t>BSM 046D</t>
  </si>
  <si>
    <t>8605505-08106008075770</t>
  </si>
  <si>
    <t>MEDNG2425E-3218</t>
  </si>
  <si>
    <t>ARZD-0003</t>
  </si>
  <si>
    <t>LIJ-MACH-O</t>
  </si>
  <si>
    <t>Serial Connector Cable 1</t>
  </si>
  <si>
    <t>OR#1-TUR / IPRO</t>
  </si>
  <si>
    <t>LIJ-SDF-MACH-M</t>
  </si>
  <si>
    <t>10.134.18.76</t>
  </si>
  <si>
    <t>LIJ-MACH-B</t>
  </si>
  <si>
    <t>MEDSG2425F-3358</t>
  </si>
  <si>
    <t>A0F5097FEEFA</t>
  </si>
  <si>
    <t>MEDSG2425F-0162</t>
  </si>
  <si>
    <t>10.134.19.38</t>
  </si>
  <si>
    <t>BSM 034 B</t>
  </si>
  <si>
    <t>LIJ-SDF-MACH-D</t>
  </si>
  <si>
    <t>WMH300OPR344</t>
  </si>
  <si>
    <t>BSM 039 B</t>
  </si>
  <si>
    <t>MEDSG2425F-0121</t>
  </si>
  <si>
    <t>WNH270OPR411</t>
  </si>
  <si>
    <t>OR 9</t>
  </si>
  <si>
    <t>00187DE0E27F</t>
  </si>
  <si>
    <t>Pallet Status (AUTO)</t>
  </si>
  <si>
    <t>WNH270OPR419</t>
  </si>
  <si>
    <t>Cybernet Manufacturing Inc</t>
  </si>
  <si>
    <t>LIJ-SDF-MACH-R</t>
  </si>
  <si>
    <t>LIJ-SDF-MACH-O</t>
  </si>
  <si>
    <t>Third Floor/Cath Lab</t>
  </si>
  <si>
    <t>MEDSG2425F-0076</t>
  </si>
  <si>
    <t>MEDSG2425F-3168</t>
  </si>
  <si>
    <t>no</t>
  </si>
  <si>
    <t>Dialysis Machine</t>
  </si>
  <si>
    <t>MEDNG2425E-3101</t>
  </si>
  <si>
    <t>00:0D:05:0A:B2:61</t>
  </si>
  <si>
    <t>WMH300OPR338</t>
  </si>
  <si>
    <t>LIJ-SDF-MACH-G</t>
  </si>
  <si>
    <t>00:0D:05:0A:A8:DF</t>
  </si>
  <si>
    <t>Current Building</t>
  </si>
  <si>
    <t>BSM 046 C</t>
  </si>
  <si>
    <t>WNH270OPR439</t>
  </si>
  <si>
    <t>LIJ-MACH-WW</t>
  </si>
  <si>
    <t>MEDSG2425F-0180</t>
  </si>
  <si>
    <t>A0F5097B8ADC</t>
  </si>
  <si>
    <t>LIJ-MACH-L</t>
  </si>
  <si>
    <t>100 Commercial St</t>
  </si>
  <si>
    <t>WA23C03815</t>
  </si>
  <si>
    <t>10.134.18.64</t>
  </si>
  <si>
    <t>MEDSG2425F-0269</t>
  </si>
  <si>
    <t>00:0D:05:0A:b6:65</t>
  </si>
  <si>
    <t>MEDSG2425F-0163</t>
  </si>
  <si>
    <t>GCH-MACH-F</t>
  </si>
  <si>
    <t>OR 25 / OR 13</t>
  </si>
  <si>
    <t>WNH270OPR454</t>
  </si>
  <si>
    <t>Firmware Downloaded</t>
  </si>
  <si>
    <t>WA25300324</t>
  </si>
  <si>
    <t>Asset Tag</t>
  </si>
  <si>
    <t>A0F5097B89E1</t>
  </si>
  <si>
    <t>Neuron S/N</t>
  </si>
  <si>
    <t>00187DE0E350</t>
  </si>
  <si>
    <t>WNH270OPR414</t>
  </si>
  <si>
    <t>1T0S255935</t>
  </si>
  <si>
    <t>MEDSG2425F-3214</t>
  </si>
  <si>
    <t>BSM 051 A</t>
  </si>
  <si>
    <t>MEDSG2425F-3182</t>
  </si>
  <si>
    <t>WA23C03907</t>
  </si>
  <si>
    <t>PHILLIP</t>
  </si>
  <si>
    <t>A0F5097FE012</t>
  </si>
  <si>
    <t>LIJ - Proc</t>
  </si>
  <si>
    <t>LIJ-MACH-Z</t>
  </si>
  <si>
    <t>00:0D:05:0A:A5:6F</t>
  </si>
  <si>
    <t>00:0D:05:0A:B0:E7</t>
  </si>
  <si>
    <t>00:0D:05:0A:B3:05</t>
  </si>
  <si>
    <t>MEDSG2425F-0264</t>
  </si>
  <si>
    <t>Cybernet MAC</t>
  </si>
  <si>
    <t>WMH300OPR340</t>
  </si>
  <si>
    <t>MEDSG2425F-0166</t>
  </si>
  <si>
    <t>MEDSG2425F-3294</t>
  </si>
  <si>
    <t>LIJ-SDF-MACH-C</t>
  </si>
  <si>
    <t>10.134.19.47</t>
  </si>
  <si>
    <t>A0F5097B961B</t>
  </si>
  <si>
    <t>OR 21</t>
  </si>
  <si>
    <t>A0F5097FEBFE</t>
  </si>
  <si>
    <t>LIJ-MACH-W</t>
  </si>
  <si>
    <t>WNH269OPR022</t>
  </si>
  <si>
    <t>A0F5097B8B74</t>
  </si>
  <si>
    <t>00:0D:05:0A:B3:b7</t>
  </si>
  <si>
    <t>WA25203684</t>
  </si>
  <si>
    <t>GCH-MACH-H</t>
  </si>
  <si>
    <t>LIJ-MACH-RR</t>
  </si>
  <si>
    <t>LIJ-SDF-MACH-U</t>
  </si>
  <si>
    <t>RAN AL / DIDNT PROGRAM SCANNER</t>
  </si>
  <si>
    <t>8605505-08106008075761</t>
  </si>
  <si>
    <t>MEDSG2425F-0170</t>
  </si>
  <si>
    <t>WNH270OPR412</t>
  </si>
  <si>
    <t>WNH269OPR015</t>
  </si>
  <si>
    <t>A0F5097FA59B</t>
  </si>
  <si>
    <t>Part Numbers</t>
  </si>
  <si>
    <t>Atlan A350</t>
  </si>
  <si>
    <t>MEDSG2425f-0265</t>
  </si>
  <si>
    <t>WNH269OPR016</t>
  </si>
  <si>
    <t>A0F5097B9C84</t>
  </si>
  <si>
    <t>OR7-TUR- / 1802BM007</t>
  </si>
  <si>
    <t>Ran POSTINSTALL</t>
  </si>
  <si>
    <t>WNH270OPR443</t>
  </si>
  <si>
    <t>WVS900OPR029</t>
  </si>
  <si>
    <t>Serial Connector Cable 2</t>
  </si>
  <si>
    <t>MX750 -  DE77669033</t>
  </si>
  <si>
    <t>WA25203747</t>
  </si>
  <si>
    <t>LIJ-SDF-MACH-W</t>
  </si>
  <si>
    <t>WNH270OPR432</t>
  </si>
  <si>
    <t>Anesthesia Tech 10783</t>
  </si>
  <si>
    <t>LIJ-MACH-F</t>
  </si>
  <si>
    <t>A0F5097FF05E</t>
  </si>
  <si>
    <t>00:0D:05:0A:B2:47</t>
  </si>
  <si>
    <t>00187DE0E213</t>
  </si>
  <si>
    <t>MEDSG2425F-3218</t>
  </si>
  <si>
    <t>BSM 038 B</t>
  </si>
  <si>
    <t>A0F5097FEB57</t>
  </si>
  <si>
    <t>NEURON</t>
  </si>
  <si>
    <t>00:0D:05:0A:B6:D7</t>
  </si>
  <si>
    <t>WVS900OPR023</t>
  </si>
  <si>
    <t>MX750 - DE77668935</t>
  </si>
  <si>
    <t>In Storage</t>
  </si>
  <si>
    <t>WA24406375</t>
  </si>
  <si>
    <t>Neuron Profile</t>
  </si>
  <si>
    <t>00:0D:05:0A:B4:47</t>
  </si>
  <si>
    <t>A0F5097B975D</t>
  </si>
  <si>
    <t>00:0D:05:0A:B4:81</t>
  </si>
  <si>
    <t>WNH270OPR407</t>
  </si>
  <si>
    <t>00:0D:05:0A:B6:AB</t>
  </si>
  <si>
    <t>00187DE0E276</t>
  </si>
  <si>
    <t>OR 14</t>
  </si>
  <si>
    <t>6T0S163941</t>
  </si>
  <si>
    <t>OR 5</t>
  </si>
  <si>
    <t>WA25300280</t>
  </si>
  <si>
    <t>MEDNG2425E-?</t>
  </si>
  <si>
    <t>MEDSG2425F-3044</t>
  </si>
  <si>
    <t>Fix: re-created tblDeviceConfig as a real Excel Table (ref A1:CC532) and attached it to sheet 12 via tableParts.</t>
  </si>
  <si>
    <t>WMH300OPR337</t>
  </si>
  <si>
    <t>Drager Atlan</t>
  </si>
  <si>
    <t>MEDNG2425E-3152</t>
  </si>
  <si>
    <t>10.134.18.62</t>
  </si>
  <si>
    <t>10.134.19.50</t>
  </si>
  <si>
    <t>WLS450OPR001</t>
  </si>
  <si>
    <t>MEDSG2425E-3291</t>
  </si>
  <si>
    <t>MEETH-MACH-V</t>
  </si>
  <si>
    <t>A0F5097F9550</t>
  </si>
  <si>
    <t>00:0D:05:0A:A8:29</t>
  </si>
  <si>
    <t>LIJ Main / LIJ OR</t>
  </si>
  <si>
    <t>GCX Arm Part Numbers</t>
  </si>
  <si>
    <t>WNH269OPR021</t>
  </si>
  <si>
    <t>BSM 035 B</t>
  </si>
  <si>
    <t>OR 10</t>
  </si>
  <si>
    <t>MEDSG2425E-3033</t>
  </si>
  <si>
    <t>WA25203891</t>
  </si>
  <si>
    <t>NX750 - DE77668952</t>
  </si>
  <si>
    <t>Fresenius BlueStar - 2008T</t>
  </si>
  <si>
    <t>LIJ-SDF-MACH-Y</t>
  </si>
  <si>
    <t>Medical Peripheral 4</t>
  </si>
  <si>
    <t>BSM 039 A</t>
  </si>
  <si>
    <t>DC:90:09:61:8B:EA</t>
  </si>
  <si>
    <t>ran AL</t>
  </si>
  <si>
    <t>10.134.19.49</t>
  </si>
  <si>
    <t>WNH270OPR416</t>
  </si>
  <si>
    <t>Open Patient Area</t>
  </si>
  <si>
    <t>Root cause: i085 carried per-cell style indexes that do not exist in the WEBSAFE template, triggering a repair pass that dropped the cell values.</t>
  </si>
  <si>
    <t>WNH270OPR431</t>
  </si>
  <si>
    <t>BSM 038 A</t>
  </si>
  <si>
    <t>WA25203887</t>
  </si>
  <si>
    <t>Endoscopy Suite</t>
  </si>
  <si>
    <t>MEDSG2425F-0283</t>
  </si>
  <si>
    <t>00187DE0E35F</t>
  </si>
  <si>
    <t>10.134.19.43</t>
  </si>
  <si>
    <t>WMH300OPR346</t>
  </si>
  <si>
    <t>OR#6-TUR / IPRO</t>
  </si>
  <si>
    <t>0T0S250288</t>
  </si>
  <si>
    <t>N/A</t>
  </si>
  <si>
    <t>MEDNG2425E-3205</t>
  </si>
  <si>
    <t>ASHH-0186</t>
  </si>
  <si>
    <t>:</t>
  </si>
  <si>
    <t>WNH269OPR020</t>
  </si>
  <si>
    <t>00187DE07843</t>
  </si>
  <si>
    <t>ASEA-0253</t>
  </si>
  <si>
    <t>Changed to MEETH</t>
  </si>
  <si>
    <t>LIJ-MACH-N</t>
  </si>
  <si>
    <t>BSM 033 A</t>
  </si>
  <si>
    <t>MX750 - DE77669027</t>
  </si>
  <si>
    <t>Lab 3/ Neuro BiPlane</t>
  </si>
  <si>
    <t>MEDSG2425F-3063</t>
  </si>
  <si>
    <t>ASKF-0202</t>
  </si>
  <si>
    <t>WLS450OPR006</t>
  </si>
  <si>
    <t>Fix: repaired 00_Error_Log_Device_Config formulas to remove _xlfn.SINGLE and eliminate #REF by pointing at tblDeviceConfig columns.</t>
  </si>
  <si>
    <t>WA24406265</t>
  </si>
  <si>
    <t>WNH270OPR437</t>
  </si>
  <si>
    <t>MEDNG2425E-3235</t>
  </si>
  <si>
    <t>A0F5097FA3F3</t>
  </si>
  <si>
    <t>WA25300317</t>
  </si>
  <si>
    <t>A0F5097FEFFB</t>
  </si>
  <si>
    <t>Anesthesia Machine</t>
  </si>
  <si>
    <t>Neuron Power Cable Present</t>
  </si>
  <si>
    <t>00:0D:05:0A:A8:3F</t>
  </si>
  <si>
    <t>00:0D:05:0A:B2:99</t>
  </si>
  <si>
    <t>042V2</t>
  </si>
  <si>
    <t>10.134.19.34</t>
  </si>
  <si>
    <t>00:0D:05:0A:A5:b7</t>
  </si>
  <si>
    <t>MEDSG2425E-3206</t>
  </si>
  <si>
    <t>10.134.19.41</t>
  </si>
  <si>
    <t>WNH270OPR458</t>
  </si>
  <si>
    <t>00:0D:05:0A:B3:BB</t>
  </si>
  <si>
    <t>MEDSG2425F-0011</t>
  </si>
  <si>
    <t>00:0D:05:0A:A7:49</t>
  </si>
  <si>
    <t>12 - Device_Configuration!$D$2:$D$532</t>
  </si>
  <si>
    <t>LIJ-SDF-MACH-V</t>
  </si>
  <si>
    <t>ASCJ-0095</t>
  </si>
  <si>
    <t>WNH270OPR450</t>
  </si>
  <si>
    <t>0T0S250280</t>
  </si>
  <si>
    <t>9T0S237738</t>
  </si>
  <si>
    <t>00:0D:05:0A:A6:89</t>
  </si>
  <si>
    <t>ARYJ-0052</t>
  </si>
  <si>
    <t>ARXM-0372</t>
  </si>
  <si>
    <t>10.134.19.48</t>
  </si>
  <si>
    <t>MX750 - DE77673010</t>
  </si>
  <si>
    <t>8605505-08106008076500</t>
  </si>
  <si>
    <t>MEDSG2425F-3302</t>
  </si>
  <si>
    <t>LIJ-SDF-MACH-AC</t>
  </si>
  <si>
    <t>BSM 035 A</t>
  </si>
  <si>
    <t>Medical Peripheral 2</t>
  </si>
  <si>
    <t>LIJ-SDF-MACH-F</t>
  </si>
  <si>
    <t>MEDSG2425F-0284</t>
  </si>
  <si>
    <t>00:0D:05:0A:A7:8f</t>
  </si>
  <si>
    <t>OR 20</t>
  </si>
  <si>
    <t>00:0D:05:0A:A7:0D</t>
  </si>
  <si>
    <t>WNH269OPR013</t>
  </si>
  <si>
    <t>00187DE0E265</t>
  </si>
  <si>
    <t>00:0D:05:0A:B3:07</t>
  </si>
  <si>
    <t>WNH270OPR433</t>
  </si>
  <si>
    <t>PI_Result</t>
  </si>
  <si>
    <t>A0F5097B8E58</t>
  </si>
  <si>
    <t>BSM 034 A</t>
  </si>
  <si>
    <t>A0F5097B8B9A</t>
  </si>
  <si>
    <t>10.134.18.74</t>
  </si>
  <si>
    <t>MEDSG2425F-3312</t>
  </si>
  <si>
    <t>DupDeployed</t>
  </si>
  <si>
    <t>LIJ-SDF-MACH-B</t>
  </si>
  <si>
    <t>WMH300OPR342</t>
  </si>
  <si>
    <t>WNH270OPR426</t>
  </si>
  <si>
    <t>LIJ-MACH-EE</t>
  </si>
  <si>
    <t>MEDSG2425F-0109</t>
  </si>
  <si>
    <t>00:0D:05:0A:A5:2D</t>
  </si>
  <si>
    <t>00:0D:05:0A:B2:43</t>
  </si>
  <si>
    <t>00:0D:05:0A:A5:35</t>
  </si>
  <si>
    <t>WNH270OPR428</t>
  </si>
  <si>
    <t>00:0D:05:0A:A6:E5</t>
  </si>
  <si>
    <t>WNH269OPR017</t>
  </si>
  <si>
    <t>WA24406115</t>
  </si>
  <si>
    <t>A0F5097BA067</t>
  </si>
  <si>
    <t>00:0D:05:0A:A6:C1</t>
  </si>
  <si>
    <t>LIJ SDF</t>
  </si>
  <si>
    <t>MEDSG2425F-0149</t>
  </si>
  <si>
    <t>ALREADY HAS BADGE SCANNER / SCANNER PROGRAMMED / RAN AL</t>
  </si>
  <si>
    <t>Ran POSTINSTALL, boxed</t>
  </si>
  <si>
    <t>00:0D:05:0A:B2:C5</t>
  </si>
  <si>
    <t>00:0D:05:0A:B1:73</t>
  </si>
  <si>
    <t>00:0D:05:0A:A6:F9</t>
  </si>
  <si>
    <t>12 - Device_Configuration!$BL$2:$BL$532</t>
  </si>
  <si>
    <t>12 - Device_Configuration!$BP$2:$BP$532</t>
  </si>
  <si>
    <t>WA24406321</t>
  </si>
  <si>
    <t>LIJ ORs</t>
  </si>
  <si>
    <t>1427182 LIJ Installation - Tim W. Seeberger, Akbar, Chris Perkins, Epic Team, Anesthesia Techs, and Admins</t>
  </si>
  <si>
    <t>MEDSG2425F-0287</t>
  </si>
  <si>
    <t>WNH270OPR457</t>
  </si>
  <si>
    <t>WNH270OPR435</t>
  </si>
  <si>
    <t>00:0D:05:0A:a7:91</t>
  </si>
  <si>
    <t>MX750 - DE77669060</t>
  </si>
  <si>
    <t>MEDSG2425F-3058</t>
  </si>
  <si>
    <t>MEDSG2425F-0094</t>
  </si>
  <si>
    <t>Glen Cove</t>
  </si>
  <si>
    <t>00:0D:05:0A:B3:BF</t>
  </si>
  <si>
    <t>00:0D:05:0A:B1:27</t>
  </si>
  <si>
    <t>WA24406274</t>
  </si>
  <si>
    <t>WNY210OPR054</t>
  </si>
  <si>
    <t>PI_Imprivata_Type</t>
  </si>
  <si>
    <t>PBMC-MACH-N</t>
  </si>
  <si>
    <t>A0F5097BA02C</t>
  </si>
  <si>
    <t>MEDSG2425F-0146</t>
  </si>
  <si>
    <t>NA</t>
  </si>
  <si>
    <t>Procedural Room 1</t>
  </si>
  <si>
    <t>A0F5097B8C9F</t>
  </si>
  <si>
    <t>WVS900OPR024</t>
  </si>
  <si>
    <t>WMH300OPR341</t>
  </si>
  <si>
    <t>WNH270OPR405</t>
  </si>
  <si>
    <t>00:0D:05:0A:B1:A9</t>
  </si>
  <si>
    <t>MEDSG2425E-3219</t>
  </si>
  <si>
    <t>ARZD-0002</t>
  </si>
  <si>
    <t>Drager</t>
  </si>
  <si>
    <t>1T0S255978</t>
  </si>
  <si>
    <t>MEDSG2425F-0142</t>
  </si>
  <si>
    <t>A0F5097BA0A3</t>
  </si>
  <si>
    <t>00:0D:05:0A:A7:f7</t>
  </si>
  <si>
    <t>GCH-MACH-I</t>
  </si>
  <si>
    <t>LIJ-MACH-U</t>
  </si>
  <si>
    <t>Fresenius BlueStar</t>
  </si>
  <si>
    <t>LIJ-SDF-MACH-S</t>
  </si>
  <si>
    <t>WA24406353</t>
  </si>
  <si>
    <t>6T0S163895</t>
  </si>
  <si>
    <t>MEDSG2425F-0091</t>
  </si>
  <si>
    <t>OR 1</t>
  </si>
  <si>
    <t>ASUL-0204</t>
  </si>
  <si>
    <t>MEDSG2425F-3222</t>
  </si>
  <si>
    <t>MEDNG2425E-3100</t>
  </si>
  <si>
    <t>1T0S260521</t>
  </si>
  <si>
    <t>A Secret Next Thing</t>
  </si>
  <si>
    <t>WNH270OPR427</t>
  </si>
  <si>
    <t>pass</t>
  </si>
  <si>
    <t>TOOLING ERROR LOG (i086, 2026-02-27)</t>
  </si>
  <si>
    <t>OR 15</t>
  </si>
  <si>
    <t>LIJ-SDF-MACH-AF</t>
  </si>
  <si>
    <t>WA25300315</t>
  </si>
  <si>
    <t>A0F5097B8CD0</t>
  </si>
  <si>
    <t>9T0S247174</t>
  </si>
  <si>
    <t>WA25203864</t>
  </si>
  <si>
    <t>WNH270OPR406</t>
  </si>
  <si>
    <t>Firmware Installed</t>
  </si>
  <si>
    <t>CCMC-MACH-A</t>
  </si>
  <si>
    <t>00187DE0E222</t>
  </si>
  <si>
    <t>Issue observed: i085 opens in Excel for Web as a 'repaired_' copy and the Device_Configuration tab renders blank.</t>
  </si>
  <si>
    <t>WNH270OPR429</t>
  </si>
  <si>
    <t>00:0D:05:0A:B1:A3</t>
  </si>
  <si>
    <t>00:0D:05:0A:B2:77</t>
  </si>
  <si>
    <t>MEDNG2425E-3222</t>
  </si>
  <si>
    <t>00:0D:05:0A:A8:2B</t>
  </si>
  <si>
    <t>BSM 040 B</t>
  </si>
  <si>
    <t>WNH270OPR438</t>
  </si>
  <si>
    <t>MEDSG2425F-0193</t>
  </si>
  <si>
    <t>Inpatient</t>
  </si>
  <si>
    <t>MX750 - DE77668944</t>
  </si>
  <si>
    <t>A0F5097BA00D</t>
  </si>
  <si>
    <t>WA25300321</t>
  </si>
  <si>
    <t>MEDNG2425E-3698</t>
  </si>
  <si>
    <t>MEDSG2425F-3315</t>
  </si>
  <si>
    <t>WA23C03752</t>
  </si>
  <si>
    <t>ARXM-0373</t>
  </si>
  <si>
    <t>WNH270OPR430</t>
  </si>
  <si>
    <t>LIJ-SDF-MACH-T</t>
  </si>
  <si>
    <t>MEDSG2425F-3062</t>
  </si>
  <si>
    <t>00187DE0ADF6</t>
  </si>
  <si>
    <t>MEDSG2425F-3304</t>
  </si>
  <si>
    <t>A0F5097FA58A</t>
  </si>
  <si>
    <t>MX750 - DE77669020</t>
  </si>
  <si>
    <t>12 - Device_Configuration!$BM$2:$BM$532</t>
  </si>
  <si>
    <t>WA24406391</t>
  </si>
  <si>
    <t>LIJ-SDF-MACH-H</t>
  </si>
  <si>
    <t>00:0D:05:0A:B6:a7</t>
  </si>
  <si>
    <t>A0F5097BA08B</t>
  </si>
  <si>
    <t>MEDSG2425E-3210</t>
  </si>
  <si>
    <t>10.134.19.28</t>
  </si>
  <si>
    <t>WNH270OPR447</t>
  </si>
  <si>
    <t>WNH270OPR415</t>
  </si>
  <si>
    <t>00:0D:05:0A:B0:F3</t>
  </si>
  <si>
    <t>MX750 - DE77668950</t>
  </si>
  <si>
    <t>WA24406364</t>
  </si>
  <si>
    <t>1T0S260271</t>
  </si>
  <si>
    <t>WNH270INR002</t>
  </si>
  <si>
    <t>A0F5097BA007</t>
  </si>
  <si>
    <t>WNH269OPR023</t>
  </si>
  <si>
    <t>LIJVS</t>
  </si>
  <si>
    <t>MEDNG2425E-3046</t>
  </si>
  <si>
    <t>BSM 050 D</t>
  </si>
  <si>
    <t xml:space="preserve">Medical Device
Model</t>
  </si>
  <si>
    <t>WNY210OPR053</t>
  </si>
  <si>
    <t>NSUH</t>
  </si>
  <si>
    <t>WNH269OPR025</t>
  </si>
  <si>
    <t>00:0D:05:0A:B2:A1</t>
  </si>
  <si>
    <t>LIJ-MACH-D</t>
  </si>
  <si>
    <t>A0F5097FA52B</t>
  </si>
  <si>
    <t>MEDNG2425E-3059</t>
  </si>
  <si>
    <t>Medical Device ID</t>
  </si>
  <si>
    <t>OR 22</t>
  </si>
  <si>
    <t>WNH270OPR422</t>
  </si>
  <si>
    <t>WA23C03136</t>
  </si>
  <si>
    <t>MEDSG2425F-0165</t>
  </si>
  <si>
    <t>BSM 036 A</t>
  </si>
  <si>
    <t>0T0S248167</t>
  </si>
  <si>
    <t>DesignationChanged</t>
  </si>
  <si>
    <t>9T0S237816</t>
  </si>
  <si>
    <t>A0F5097B99F8</t>
  </si>
  <si>
    <t>MEDSG2425F-0062</t>
  </si>
  <si>
    <t>WA23C03908</t>
  </si>
  <si>
    <t>MEDNG2425E-3342</t>
  </si>
  <si>
    <t>MX750 - DE77669070</t>
  </si>
  <si>
    <t>akbar, Diane from Anesthesia, and Metasource badge-in TDR</t>
  </si>
  <si>
    <t>A0F5097FEC20</t>
  </si>
  <si>
    <t>MEDSG2425E-3050</t>
  </si>
  <si>
    <t>WA25203733</t>
  </si>
  <si>
    <t>gather from Tim's spreadsheet</t>
  </si>
  <si>
    <t>LIJ-SDF-MACH-A</t>
  </si>
  <si>
    <t>042V1</t>
  </si>
  <si>
    <t>WNH270OPR442</t>
  </si>
  <si>
    <t>00:0D:05:0A:A7:69</t>
  </si>
  <si>
    <t>Warehouse Location (AUTO)</t>
  </si>
  <si>
    <t>WA25203818</t>
  </si>
  <si>
    <t>1-C-2</t>
  </si>
  <si>
    <t>MEDSG2425F-3075</t>
  </si>
  <si>
    <t>OR 12</t>
  </si>
  <si>
    <t>WA23C03913</t>
  </si>
  <si>
    <t>WNH269OPR019</t>
  </si>
  <si>
    <t>MEDSG2425F-3131</t>
  </si>
  <si>
    <t>A0F5097B98D9</t>
  </si>
  <si>
    <t>LIJ - OR</t>
  </si>
  <si>
    <t>WNH270OPR451</t>
  </si>
  <si>
    <t>PHILLIPS</t>
  </si>
  <si>
    <t>LIJ-SDF-MACH-AD</t>
  </si>
  <si>
    <t>WNH269OPR014</t>
  </si>
  <si>
    <t>10.134.19.44</t>
  </si>
  <si>
    <t>WVS900OPR026</t>
  </si>
  <si>
    <t>LIJ-SDF-MACH-Q</t>
  </si>
  <si>
    <t>BSM 041 A</t>
  </si>
  <si>
    <t>LIJ-MACH-E</t>
  </si>
  <si>
    <t xml:space="preserve">OR 15-TUR </t>
  </si>
  <si>
    <t>9T0S247133</t>
  </si>
  <si>
    <t>WNH270OPR453</t>
  </si>
  <si>
    <t>LIJ-MACH-AA</t>
  </si>
  <si>
    <t>Apollo</t>
  </si>
  <si>
    <t>MEETH-MACH-W</t>
  </si>
  <si>
    <t>WNH270OPR441</t>
  </si>
  <si>
    <t>00:0D:05:0A:B1:45</t>
  </si>
  <si>
    <t>BSM 036 B</t>
  </si>
  <si>
    <t>0T0S248191</t>
  </si>
  <si>
    <t>Drager Apollo</t>
  </si>
  <si>
    <t>WA24406365</t>
  </si>
  <si>
    <t>Ground Level/Dialysis</t>
  </si>
  <si>
    <t>LIJ-SDF-MACH-P</t>
  </si>
  <si>
    <t>00:0D:05:0A:b6:53</t>
  </si>
  <si>
    <t>MEDSG2425F-0172</t>
  </si>
  <si>
    <t>A0F5097FE29D</t>
  </si>
  <si>
    <t>MEDSG2425F-0168</t>
  </si>
  <si>
    <t>8605505-08106008075769</t>
  </si>
  <si>
    <t>00:0D:05:0A:b4:71</t>
  </si>
  <si>
    <t>WA25300267</t>
  </si>
  <si>
    <t>WA25300322</t>
  </si>
  <si>
    <t>yes</t>
  </si>
  <si>
    <t>00:0D:05:0A:B3:3D</t>
  </si>
  <si>
    <t>GCX Arm Deployed</t>
  </si>
  <si>
    <t>MX750 - DE77669038</t>
  </si>
  <si>
    <t>OR 2</t>
  </si>
  <si>
    <t>Serial Connector Cable 4</t>
  </si>
  <si>
    <t>LIJ-SDF-MACH-AB</t>
  </si>
  <si>
    <t>Has Keyboard</t>
  </si>
  <si>
    <t>Philips Mindray</t>
  </si>
  <si>
    <t>A0F5097B9FA6</t>
  </si>
  <si>
    <t>00:0D:05:0A:B0:B1</t>
  </si>
  <si>
    <t>OR#4-TUR / IPRO</t>
  </si>
  <si>
    <t>WNH270OPR410</t>
  </si>
  <si>
    <t>WA25300237</t>
  </si>
  <si>
    <t>LIJ-MACH-G</t>
  </si>
  <si>
    <t>LIJ - Annex</t>
  </si>
  <si>
    <t>Software Downloaded</t>
  </si>
  <si>
    <t>ZHH-MACH-A</t>
  </si>
  <si>
    <t>A0F5097FF17E</t>
  </si>
  <si>
    <t>OR Cybernet</t>
  </si>
  <si>
    <t>MEDNG2425E-3097</t>
  </si>
  <si>
    <t>MEDSG2425F-3048</t>
  </si>
  <si>
    <t>WNH270OPR404</t>
  </si>
  <si>
    <t>OR 8</t>
  </si>
  <si>
    <t>A0F5097FE484</t>
  </si>
  <si>
    <t>BSM 041 B</t>
  </si>
  <si>
    <t>A0F5097B9BB8</t>
  </si>
  <si>
    <t>WNH270OPR446</t>
  </si>
  <si>
    <t>MEDNG2425E-3214</t>
  </si>
  <si>
    <t>MX750 - DE77669068</t>
  </si>
  <si>
    <t>00187DE09A86</t>
  </si>
  <si>
    <t>MEDSG2425F-3046</t>
  </si>
  <si>
    <t>WMH300OPR350</t>
  </si>
  <si>
    <t>WA24406339</t>
  </si>
  <si>
    <t>9T0S247186</t>
  </si>
  <si>
    <t>WNH270OPR408</t>
  </si>
  <si>
    <t>WLS450OPR003</t>
  </si>
  <si>
    <t>00:0D:05:0A:B3:65</t>
  </si>
  <si>
    <t>00:0D:05:0A:B0:AF</t>
  </si>
  <si>
    <t>OR</t>
  </si>
  <si>
    <t>8605505-08106008076502</t>
  </si>
  <si>
    <t>WA24406279</t>
  </si>
  <si>
    <t>10.134.19.45</t>
  </si>
  <si>
    <t>MX750 - DE77668941</t>
  </si>
  <si>
    <t>A0F5097B969A</t>
  </si>
  <si>
    <t>0018DE0ADF7</t>
  </si>
  <si>
    <t>Configuration Date</t>
  </si>
  <si>
    <t>10.134.19.37</t>
  </si>
  <si>
    <t>WNH270OPR420</t>
  </si>
  <si>
    <t>00:0D:05:0A:B2:29</t>
  </si>
  <si>
    <t>WMH300OPR349</t>
  </si>
  <si>
    <t>00:0D:05:0A:B1:1F</t>
  </si>
  <si>
    <t>00:0D:05:0A:B2:31</t>
  </si>
  <si>
    <t>Column2</t>
  </si>
  <si>
    <t>ZHH-MACH-B</t>
  </si>
  <si>
    <t>8605505-08106008075768</t>
  </si>
  <si>
    <t>10.134.19.36</t>
  </si>
  <si>
    <t>00:0D:05:0A:B0:CD</t>
  </si>
  <si>
    <t>6T0S164346</t>
  </si>
  <si>
    <t>00187DE0E379</t>
  </si>
  <si>
    <t>12 - Device_Configuration!$BN$2:$BN$532</t>
  </si>
  <si>
    <t>A0F5097FA526</t>
  </si>
  <si>
    <t>00:0D:05:0A:A6:DD</t>
  </si>
  <si>
    <t>Anesthesia S/N</t>
  </si>
  <si>
    <t>00187DE07866</t>
  </si>
  <si>
    <t>Has New Ethernet</t>
  </si>
  <si>
    <t>LIJ-SDF-MACH-AE</t>
  </si>
  <si>
    <t>00187DE0E258</t>
  </si>
  <si>
    <t>MEDSG2425E-0026</t>
  </si>
  <si>
    <t xml:space="preserve">Medical Device
Class</t>
  </si>
  <si>
    <t>WA25203816</t>
  </si>
  <si>
    <t>00:0D:05:0A:A4:fb</t>
  </si>
  <si>
    <t>WA24406114</t>
  </si>
  <si>
    <t>000D050AA5A9</t>
  </si>
  <si>
    <t>A0F5097B9629</t>
  </si>
  <si>
    <t>10.134.18.65</t>
  </si>
  <si>
    <t>WA25300259</t>
  </si>
  <si>
    <t>Phillips</t>
  </si>
  <si>
    <t>MEDSG2425F-3224</t>
  </si>
  <si>
    <t>QC: validated no inlineStr, no _xlfn, and no #REF in Error Log formulas; workbook loads cleanly in openpyxl.</t>
  </si>
  <si>
    <t>OR 11</t>
  </si>
  <si>
    <t>ARXM-0293</t>
  </si>
  <si>
    <t>did not get to install</t>
  </si>
  <si>
    <t>WA24406201</t>
  </si>
  <si>
    <t>00:0D:05:0A:A8:F5</t>
  </si>
  <si>
    <t>MX750 - DE77668953</t>
  </si>
  <si>
    <t>MEDSG2425F-0123</t>
  </si>
  <si>
    <t>00:0D:05:0A:a6:85</t>
  </si>
  <si>
    <t>MEDSG2425F-0093</t>
  </si>
  <si>
    <t>MEDNG2425E-3292</t>
  </si>
  <si>
    <t>ASBJ-0311</t>
  </si>
  <si>
    <t>WNH270OPR449</t>
  </si>
  <si>
    <t>LIJ - CCMC</t>
  </si>
  <si>
    <t>LIJ-MACH-I</t>
  </si>
  <si>
    <t>10.134.18.69</t>
  </si>
  <si>
    <t>A0F5097FDD3F</t>
  </si>
  <si>
    <t>2008T</t>
  </si>
  <si>
    <t>10.134.19.31</t>
  </si>
  <si>
    <t>00:0D:05:0A:B6:A1</t>
  </si>
  <si>
    <t>WLS450OPR005</t>
  </si>
  <si>
    <t>PalletID (Manual)</t>
  </si>
  <si>
    <t>MEDSG2425F-3696</t>
  </si>
  <si>
    <t>WA23C03201</t>
  </si>
  <si>
    <t>Spare Unit</t>
  </si>
  <si>
    <t>LIJ-SDF-MACH-E</t>
  </si>
  <si>
    <t>00:0D:05:0A:A8:7D</t>
  </si>
  <si>
    <t>Medical Peripheral 5</t>
  </si>
  <si>
    <t>WMH300OPR345</t>
  </si>
  <si>
    <t>ASEA-0173</t>
  </si>
  <si>
    <t>A0F5097FA5C5</t>
  </si>
  <si>
    <t>MEDSG2425F-0282</t>
  </si>
  <si>
    <t>Pass</t>
  </si>
  <si>
    <t>MX750 - DE77668939</t>
  </si>
  <si>
    <t>MX750 - DE77669023</t>
  </si>
  <si>
    <t>Neuron Renamed</t>
  </si>
  <si>
    <t>iPro OR Workstation</t>
  </si>
  <si>
    <t>MEDNG2425E-3315</t>
  </si>
  <si>
    <t>00:0D:05:0A:A8:A3</t>
  </si>
  <si>
    <t>00:0D:05:0A:A8:3D</t>
  </si>
  <si>
    <t>MEDSG2425F-3310</t>
  </si>
  <si>
    <t>10.134.18.63</t>
  </si>
  <si>
    <t>A0F5097FDE6F</t>
  </si>
  <si>
    <t>MEDSG2425F-0192</t>
  </si>
  <si>
    <t>00:0D:05:0A:B0:BB</t>
  </si>
  <si>
    <t>MEDSG2425F-0083</t>
  </si>
  <si>
    <t>Serial Connector Cable 3</t>
  </si>
  <si>
    <t>ARXM-0403</t>
  </si>
  <si>
    <t>WA25300337</t>
  </si>
  <si>
    <t>WNH270OPR444</t>
  </si>
  <si>
    <t>00:0D:05:0A:A8:4D</t>
  </si>
  <si>
    <t>MEDSG2425F-3097</t>
  </si>
  <si>
    <t>Cybernet Serial</t>
  </si>
  <si>
    <t>ARZJ-0068</t>
  </si>
  <si>
    <t>ASCJ-0102</t>
  </si>
  <si>
    <t>A0F5097B9FB3</t>
  </si>
  <si>
    <t>00:0D:05:0A:A8:C3</t>
  </si>
  <si>
    <t>WLS450OPR002</t>
  </si>
  <si>
    <t>1T0S255909</t>
  </si>
  <si>
    <t>MX750 - DE77669021</t>
  </si>
  <si>
    <t>Changed to GC</t>
  </si>
  <si>
    <t>GCH-MACH-E</t>
  </si>
  <si>
    <t>MEDNG2425E-3312</t>
  </si>
  <si>
    <t>00187DE0E2BB</t>
  </si>
  <si>
    <t>OR 19</t>
  </si>
  <si>
    <t>WA25300338</t>
  </si>
  <si>
    <t>WA25203897</t>
  </si>
  <si>
    <t>WNH270OPR418</t>
  </si>
  <si>
    <t>ASPB0089</t>
  </si>
  <si>
    <t>Change: removed xl/calcChain.xml to avoid calcChain drift after injecting 40k+ cells, which can trigger Web repair prompts.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</si>
  <si>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</si>
  <si>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</si>
  <si>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</si>
  <si>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</si>
  <si>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</si>
  <si>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</si>
  <si>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</si>
  <si>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</si>
  <si>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</si>
  <si>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</si>
  <si>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</si>
  <si>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/xl/worksheets/sheet1.xml</t>
  </si>
  <si>
    <t>Excel repair replaced sheet1-3 (XML error)</t>
  </si>
  <si>
    <t>Sheet XML serialized with non-canonical namespace prefixes (ns0/ns1/ns2) after tool rewrite; Excel for Desktop treats as invalid and replaces parts.</t>
  </si>
  <si>
    <t>Rewrite worksheets 1-3 with canonical namespace prefixes (default worksheet namespace + mc + xr + r). Preserve all other parts byte-for-byte.</t>
  </si>
  <si>
    <t>Desktop open should not prompt repair; Web should open in Edit without 'Couldn't open workbook'.</t>
  </si>
  <si>
    <t>error066400_01.xml: replaced sheet1-3</t>
  </si>
  <si>
    <t>E-012</t>
  </si>
  <si>
    <t>tables</t>
  </si>
  <si>
    <t>/xl/tables/table9.xml</t>
  </si>
  <si>
    <t>Excel repaired tblDeviceConfig table XML</t>
  </si>
  <si>
    <t>table9.xml schema or namespace mismatch triggered table repair in Desktop.</t>
  </si>
  <si>
    <t>Replace table9.xml with Active tblDeviceConfig table XML; set id=10; keep ref A1:CC532.</t>
  </si>
  <si>
    <t>Open in Desktop: no 'Repaired Records: Table ... table9.xml'.</t>
  </si>
  <si>
    <t>error066400_01.xml: repaired table9</t>
  </si>
  <si>
    <t>E-013</t>
  </si>
  <si>
    <t>web</t>
  </si>
  <si>
    <t>Excel for Web open</t>
  </si>
  <si>
    <t>Web rejects workbook as corrupt/unsupported</t>
  </si>
  <si>
    <t>Desktop repair indicates underlying OOXML invalid in sheets 1-3 and/or table; Web hard-fails instead of repairing.</t>
  </si>
  <si>
    <t>After canonicalization + table9 replacement, upload new candidate and confirm Web opens.</t>
  </si>
  <si>
    <t>Open in Web: loads without modal; goes to last tab or activeTab; Device tab not blank.</t>
  </si>
  <si>
    <t>screenshot: 'Couldn't open workbook'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</si>
</sst>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4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1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16"/>
    <tableColumn id="6" xr3:uid="{00000000-0010-0000-0200-000006000000}" name="Site Locations" dataDxfId="15"/>
    <tableColumn id="8" xr3:uid="{00000000-0010-0000-0200-000008000000}" name="Area" dataDxfId="14"/>
    <tableColumn id="5" xr3:uid="{00000000-0010-0000-0200-000005000000}" name="Subarea" dataDxfId="1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 dataDxfId="23"/>
    <tableColumn id="65" xr3:uid="{812267BB-A7AB-40FE-B62B-147AA09254FD}" name="Spare" dataDxfId="22"/>
    <tableColumn id="66" xr3:uid="{65EFAC28-0400-4860-A268-27333A172767}" name="DesignationChanged" dataDxfId="21">
      <calculatedColumnFormula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calculatedColumnFormula>
    </tableColumn>
    <tableColumn id="67" xr3:uid="{21557AC9-B507-4C4D-BA47-3C9660288D9E}" name="DupDeployed" dataDxfId="20">
      <calculatedColumnFormula>IF($B2&lt;&gt;"Yes","",IF($A2="Neuron",IF(OR(AND($S2&lt;&gt;"",LOWER(TRIM($S2))&lt;&gt;"n/a",COUNTIFS($B$2:$B$532,"Yes",$A$2:$A$532,"Neuron",$S$2:$S$532,$S2)&gt;1),AND($T2&lt;&gt;"",LOWER(TRIM($T2))&lt;&gt;"n/a",COUNTIFS($B$2:$B$532,"Yes",$A$2:$A$532,"Neuron",$T$2:$T$532,$T2)&gt;1),AND($W2&lt;&gt;"",LOWER(TRIM($W2))&lt;&gt;"n/a",COUNTIFS($B$2:$B$532,"Yes",$A$2:$A$532,"Neuron",$W$2:$W$532,$W2)&gt;1)),"Yes","No"),IF($A2="Cybernet",IF(OR(AND($Y2&lt;&gt;"",LOWER(TRIM($Y2))&lt;&gt;"n/a",COUNTIFS($B$2:$B$532,"Yes",$A$2:$A$532,"Cybernet",$Y$2:$Y$532,$Y2)&gt;1),AND($Z2&lt;&gt;"",LOWER(TRIM($Z2))&lt;&gt;"n/a",COUNTIFS($B$2:$B$532,"Yes",$A$2:$A$532,"Cybernet",$Z$2:$Z$532,$Z2)&gt;1)),"Yes","No"),IF(AND($AL2&lt;&gt;"",LOWER(TRIM($AL2))&lt;&gt;"n/a"),IF(COUNTIFS($B$2:$B$532,"Yes",$A$2:$A$532,$A2,$AL$2:$AL$532,$AL2)&gt;1,"Yes","No"),"No"))))</calculatedColumnFormula>
    </tableColumn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 dataDxfId="19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 dataDxfId="18"/>
    <tableColumn id="47" xr3:uid="{00000000-0010-0000-0100-00002F000000}" name="Medical Peripheral 2" dataDxfId="17"/>
    <tableColumn id="48" xr3:uid="{00000000-0010-0000-0100-000030000000}" name="Medical Peripheral 3" dataDxfId="16"/>
    <tableColumn id="49" xr3:uid="{00000000-0010-0000-0100-000031000000}" name="Medical Peripheral 4" dataDxfId="15"/>
    <tableColumn id="50" xr3:uid="{00000000-0010-0000-0100-000032000000}" name="Medical Peripheral 5" dataDxfId="14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>
      <calculatedColumnFormula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calculatedColumnFormula>
    </tableColumn>
    <tableColumn id="17" xr3:uid="{00000000-0010-0000-0100-000011000000}" name="Readiness (Auto)">
      <calculatedColumnFormula>IF($T2="","",IF($BL2="","Yes","Blocked"))</calculatedColumnFormula>
    </tableColumn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</c>
      <c r="C2" t="str">
        <f>IFERROR(INDEX(tblDeviceConfig[Deployed],ROW()-1),"")</f>
      </c>
      <c r="D2" t="str">
        <f>IFERROR(INDEX(tblDeviceConfig[Installed],ROW()-1),"")</f>
      </c>
      <c r="E2">
        <f>IFERROR(INDEX(tblDeviceConfig[Cybernet Hostname],ROW()-1),"")</f>
      </c>
      <c r="F2" t="str">
        <f>IFERROR(INDEX(tblDeviceConfig[Neuron Hostname],ROW()-1),"")</f>
      </c>
      <c r="G2" t="str">
        <f>IFERROR(INDEX(tblDeviceConfig[Software List],ROW()-1),"")</f>
      </c>
      <c r="H2" t="str">
        <f>IFERROR(INDEX(tblDeviceConfig[PI_Use_Case],ROW()-1),"")</f>
      </c>
      <c r="I2">
        <f>IFERROR(INDEX(tblDeviceConfig[PI_Result],ROW()-1),"")</f>
      </c>
      <c r="J2">
        <f>IFERROR(INDEX(tblDeviceConfig[PI_Validated_By],ROW()-1),"")</f>
      </c>
      <c r="K2">
        <f>IFERROR(INDEX(tblDeviceConfig[PI_Validated_Date],ROW()-1),"")</f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</c>
      <c r="C3" t="str">
        <f>IFERROR(INDEX(tblDeviceConfig[Deployed],ROW()-1),"")</f>
      </c>
      <c r="D3" t="str">
        <f>IFERROR(INDEX(tblDeviceConfig[Installed],ROW()-1),"")</f>
      </c>
      <c r="E3">
        <f>IFERROR(INDEX(tblDeviceConfig[Cybernet Hostname],ROW()-1),"")</f>
      </c>
      <c r="F3" t="str">
        <f>IFERROR(INDEX(tblDeviceConfig[Neuron Hostname],ROW()-1),"")</f>
      </c>
      <c r="G3">
        <f>IFERROR(INDEX(tblDeviceConfig[Software List],ROW()-1),"")</f>
      </c>
      <c r="H3">
        <f>IFERROR(INDEX(tblDeviceConfig[PI_Use_Case],ROW()-1),"")</f>
      </c>
      <c r="I3">
        <f>IFERROR(INDEX(tblDeviceConfig[PI_Result],ROW()-1),"")</f>
      </c>
      <c r="J3">
        <f>IFERROR(INDEX(tblDeviceConfig[PI_Validated_By],ROW()-1),"")</f>
      </c>
      <c r="K3">
        <f>IFERROR(INDEX(tblDeviceConfig[PI_Validated_Date],ROW()-1),"")</f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</c>
      <c r="C4" t="str">
        <f>IFERROR(INDEX(tblDeviceConfig[Deployed],ROW()-1),"")</f>
      </c>
      <c r="D4" t="str">
        <f>IFERROR(INDEX(tblDeviceConfig[Installed],ROW()-1),"")</f>
      </c>
      <c r="E4">
        <f>IFERROR(INDEX(tblDeviceConfig[Cybernet Hostname],ROW()-1),"")</f>
      </c>
      <c r="F4" t="str">
        <f>IFERROR(INDEX(tblDeviceConfig[Neuron Hostname],ROW()-1),"")</f>
      </c>
      <c r="G4">
        <f>IFERROR(INDEX(tblDeviceConfig[Software List],ROW()-1),"")</f>
      </c>
      <c r="H4">
        <f>IFERROR(INDEX(tblDeviceConfig[PI_Use_Case],ROW()-1),"")</f>
      </c>
      <c r="I4">
        <f>IFERROR(INDEX(tblDeviceConfig[PI_Result],ROW()-1),"")</f>
      </c>
      <c r="J4">
        <f>IFERROR(INDEX(tblDeviceConfig[PI_Validated_By],ROW()-1),"")</f>
      </c>
      <c r="K4">
        <f>IFERROR(INDEX(tblDeviceConfig[PI_Validated_Date],ROW()-1),"")</f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</c>
      <c r="C5" t="str">
        <f>IFERROR(INDEX(tblDeviceConfig[Deployed],ROW()-1),"")</f>
      </c>
      <c r="D5" t="str">
        <f>IFERROR(INDEX(tblDeviceConfig[Installed],ROW()-1),"")</f>
      </c>
      <c r="E5">
        <f>IFERROR(INDEX(tblDeviceConfig[Cybernet Hostname],ROW()-1),"")</f>
      </c>
      <c r="F5" t="str">
        <f>IFERROR(INDEX(tblDeviceConfig[Neuron Hostname],ROW()-1),"")</f>
      </c>
      <c r="G5">
        <f>IFERROR(INDEX(tblDeviceConfig[Software List],ROW()-1),"")</f>
      </c>
      <c r="H5">
        <f>IFERROR(INDEX(tblDeviceConfig[PI_Use_Case],ROW()-1),"")</f>
      </c>
      <c r="I5">
        <f>IFERROR(INDEX(tblDeviceConfig[PI_Result],ROW()-1),"")</f>
      </c>
      <c r="J5">
        <f>IFERROR(INDEX(tblDeviceConfig[PI_Validated_By],ROW()-1),"")</f>
      </c>
      <c r="K5">
        <f>IFERROR(INDEX(tblDeviceConfig[PI_Validated_Date],ROW()-1),"")</f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</c>
      <c r="C6" t="str">
        <f>IFERROR(INDEX(tblDeviceConfig[Deployed],ROW()-1),"")</f>
      </c>
      <c r="D6" t="str">
        <f>IFERROR(INDEX(tblDeviceConfig[Installed],ROW()-1),"")</f>
      </c>
      <c r="E6">
        <f>IFERROR(INDEX(tblDeviceConfig[Cybernet Hostname],ROW()-1),"")</f>
      </c>
      <c r="F6" t="str">
        <f>IFERROR(INDEX(tblDeviceConfig[Neuron Hostname],ROW()-1),"")</f>
      </c>
      <c r="G6">
        <f>IFERROR(INDEX(tblDeviceConfig[Software List],ROW()-1),"")</f>
      </c>
      <c r="H6">
        <f>IFERROR(INDEX(tblDeviceConfig[PI_Use_Case],ROW()-1),"")</f>
      </c>
      <c r="I6">
        <f>IFERROR(INDEX(tblDeviceConfig[PI_Result],ROW()-1),"")</f>
      </c>
      <c r="J6">
        <f>IFERROR(INDEX(tblDeviceConfig[PI_Validated_By],ROW()-1),"")</f>
      </c>
      <c r="K6">
        <f>IFERROR(INDEX(tblDeviceConfig[PI_Validated_Date],ROW()-1),"")</f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</c>
      <c r="C7" t="str">
        <f>IFERROR(INDEX(tblDeviceConfig[Deployed],ROW()-1),"")</f>
      </c>
      <c r="D7" t="str">
        <f>IFERROR(INDEX(tblDeviceConfig[Installed],ROW()-1),"")</f>
      </c>
      <c r="E7">
        <f>IFERROR(INDEX(tblDeviceConfig[Cybernet Hostname],ROW()-1),"")</f>
      </c>
      <c r="F7" t="str">
        <f>IFERROR(INDEX(tblDeviceConfig[Neuron Hostname],ROW()-1),"")</f>
      </c>
      <c r="G7">
        <f>IFERROR(INDEX(tblDeviceConfig[Software List],ROW()-1),"")</f>
      </c>
      <c r="H7">
        <f>IFERROR(INDEX(tblDeviceConfig[PI_Use_Case],ROW()-1),"")</f>
      </c>
      <c r="I7">
        <f>IFERROR(INDEX(tblDeviceConfig[PI_Result],ROW()-1),"")</f>
      </c>
      <c r="J7">
        <f>IFERROR(INDEX(tblDeviceConfig[PI_Validated_By],ROW()-1),"")</f>
      </c>
      <c r="K7">
        <f>IFERROR(INDEX(tblDeviceConfig[PI_Validated_Date],ROW()-1),"")</f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</c>
      <c r="C8" t="str">
        <f>IFERROR(INDEX(tblDeviceConfig[Deployed],ROW()-1),"")</f>
      </c>
      <c r="D8" t="str">
        <f>IFERROR(INDEX(tblDeviceConfig[Installed],ROW()-1),"")</f>
      </c>
      <c r="E8">
        <f>IFERROR(INDEX(tblDeviceConfig[Cybernet Hostname],ROW()-1),"")</f>
      </c>
      <c r="F8" t="str">
        <f>IFERROR(INDEX(tblDeviceConfig[Neuron Hostname],ROW()-1),"")</f>
      </c>
      <c r="G8">
        <f>IFERROR(INDEX(tblDeviceConfig[Software List],ROW()-1),"")</f>
      </c>
      <c r="H8">
        <f>IFERROR(INDEX(tblDeviceConfig[PI_Use_Case],ROW()-1),"")</f>
      </c>
      <c r="I8">
        <f>IFERROR(INDEX(tblDeviceConfig[PI_Result],ROW()-1),"")</f>
      </c>
      <c r="J8">
        <f>IFERROR(INDEX(tblDeviceConfig[PI_Validated_By],ROW()-1),"")</f>
      </c>
      <c r="K8">
        <f>IFERROR(INDEX(tblDeviceConfig[PI_Validated_Date],ROW()-1),"")</f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</c>
      <c r="C9" t="str">
        <f>IFERROR(INDEX(tblDeviceConfig[Deployed],ROW()-1),"")</f>
      </c>
      <c r="D9" t="str">
        <f>IFERROR(INDEX(tblDeviceConfig[Installed],ROW()-1),"")</f>
      </c>
      <c r="E9">
        <f>IFERROR(INDEX(tblDeviceConfig[Cybernet Hostname],ROW()-1),"")</f>
      </c>
      <c r="F9" t="str">
        <f>IFERROR(INDEX(tblDeviceConfig[Neuron Hostname],ROW()-1),"")</f>
      </c>
      <c r="G9">
        <f>IFERROR(INDEX(tblDeviceConfig[Software List],ROW()-1),"")</f>
      </c>
      <c r="H9">
        <f>IFERROR(INDEX(tblDeviceConfig[PI_Use_Case],ROW()-1),"")</f>
      </c>
      <c r="I9">
        <f>IFERROR(INDEX(tblDeviceConfig[PI_Result],ROW()-1),"")</f>
      </c>
      <c r="J9">
        <f>IFERROR(INDEX(tblDeviceConfig[PI_Validated_By],ROW()-1),"")</f>
      </c>
      <c r="K9">
        <f>IFERROR(INDEX(tblDeviceConfig[PI_Validated_Date],ROW()-1),"")</f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</c>
      <c r="C10" t="str">
        <f>IFERROR(INDEX(tblDeviceConfig[Deployed],ROW()-1),"")</f>
      </c>
      <c r="D10" t="str">
        <f>IFERROR(INDEX(tblDeviceConfig[Installed],ROW()-1),"")</f>
      </c>
      <c r="E10">
        <f>IFERROR(INDEX(tblDeviceConfig[Cybernet Hostname],ROW()-1),"")</f>
      </c>
      <c r="F10" t="str">
        <f>IFERROR(INDEX(tblDeviceConfig[Neuron Hostname],ROW()-1),"")</f>
      </c>
      <c r="G10">
        <f>IFERROR(INDEX(tblDeviceConfig[Software List],ROW()-1),"")</f>
      </c>
      <c r="H10">
        <f>IFERROR(INDEX(tblDeviceConfig[PI_Use_Case],ROW()-1),"")</f>
      </c>
      <c r="I10">
        <f>IFERROR(INDEX(tblDeviceConfig[PI_Result],ROW()-1),"")</f>
      </c>
      <c r="J10">
        <f>IFERROR(INDEX(tblDeviceConfig[PI_Validated_By],ROW()-1),"")</f>
      </c>
      <c r="K10">
        <f>IFERROR(INDEX(tblDeviceConfig[PI_Validated_Date],ROW()-1),"")</f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</c>
      <c r="C11" t="str">
        <f>IFERROR(INDEX(tblDeviceConfig[Deployed],ROW()-1),"")</f>
      </c>
      <c r="D11" t="str">
        <f>IFERROR(INDEX(tblDeviceConfig[Installed],ROW()-1),"")</f>
      </c>
      <c r="E11">
        <f>IFERROR(INDEX(tblDeviceConfig[Cybernet Hostname],ROW()-1),"")</f>
      </c>
      <c r="F11" t="str">
        <f>IFERROR(INDEX(tblDeviceConfig[Neuron Hostname],ROW()-1),"")</f>
      </c>
      <c r="G11">
        <f>IFERROR(INDEX(tblDeviceConfig[Software List],ROW()-1),"")</f>
      </c>
      <c r="H11">
        <f>IFERROR(INDEX(tblDeviceConfig[PI_Use_Case],ROW()-1),"")</f>
      </c>
      <c r="I11">
        <f>IFERROR(INDEX(tblDeviceConfig[PI_Result],ROW()-1),"")</f>
      </c>
      <c r="J11">
        <f>IFERROR(INDEX(tblDeviceConfig[PI_Validated_By],ROW()-1),"")</f>
      </c>
      <c r="K11">
        <f>IFERROR(INDEX(tblDeviceConfig[PI_Validated_Date],ROW()-1),"")</f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</c>
      <c r="C12" t="str">
        <f>IFERROR(INDEX(tblDeviceConfig[Deployed],ROW()-1),"")</f>
      </c>
      <c r="D12" t="str">
        <f>IFERROR(INDEX(tblDeviceConfig[Installed],ROW()-1),"")</f>
      </c>
      <c r="E12">
        <f>IFERROR(INDEX(tblDeviceConfig[Cybernet Hostname],ROW()-1),"")</f>
      </c>
      <c r="F12" t="str">
        <f>IFERROR(INDEX(tblDeviceConfig[Neuron Hostname],ROW()-1),"")</f>
      </c>
      <c r="G12">
        <f>IFERROR(INDEX(tblDeviceConfig[Software List],ROW()-1),"")</f>
      </c>
      <c r="H12">
        <f>IFERROR(INDEX(tblDeviceConfig[PI_Use_Case],ROW()-1),"")</f>
      </c>
      <c r="I12">
        <f>IFERROR(INDEX(tblDeviceConfig[PI_Result],ROW()-1),"")</f>
      </c>
      <c r="J12">
        <f>IFERROR(INDEX(tblDeviceConfig[PI_Validated_By],ROW()-1),"")</f>
      </c>
      <c r="K12">
        <f>IFERROR(INDEX(tblDeviceConfig[PI_Validated_Date],ROW()-1),"")</f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</c>
      <c r="C13" t="str">
        <f>IFERROR(INDEX(tblDeviceConfig[Deployed],ROW()-1),"")</f>
      </c>
      <c r="D13" t="str">
        <f>IFERROR(INDEX(tblDeviceConfig[Installed],ROW()-1),"")</f>
      </c>
      <c r="E13">
        <f>IFERROR(INDEX(tblDeviceConfig[Cybernet Hostname],ROW()-1),"")</f>
      </c>
      <c r="F13" t="str">
        <f>IFERROR(INDEX(tblDeviceConfig[Neuron Hostname],ROW()-1),"")</f>
      </c>
      <c r="G13">
        <f>IFERROR(INDEX(tblDeviceConfig[Software List],ROW()-1),"")</f>
      </c>
      <c r="H13">
        <f>IFERROR(INDEX(tblDeviceConfig[PI_Use_Case],ROW()-1),"")</f>
      </c>
      <c r="I13">
        <f>IFERROR(INDEX(tblDeviceConfig[PI_Result],ROW()-1),"")</f>
      </c>
      <c r="J13">
        <f>IFERROR(INDEX(tblDeviceConfig[PI_Validated_By],ROW()-1),"")</f>
      </c>
      <c r="K13">
        <f>IFERROR(INDEX(tblDeviceConfig[PI_Validated_Date],ROW()-1),"")</f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</c>
      <c r="C14" t="str">
        <f>IFERROR(INDEX(tblDeviceConfig[Deployed],ROW()-1),"")</f>
      </c>
      <c r="D14" t="str">
        <f>IFERROR(INDEX(tblDeviceConfig[Installed],ROW()-1),"")</f>
      </c>
      <c r="E14">
        <f>IFERROR(INDEX(tblDeviceConfig[Cybernet Hostname],ROW()-1),"")</f>
      </c>
      <c r="F14" t="str">
        <f>IFERROR(INDEX(tblDeviceConfig[Neuron Hostname],ROW()-1),"")</f>
      </c>
      <c r="G14">
        <f>IFERROR(INDEX(tblDeviceConfig[Software List],ROW()-1),"")</f>
      </c>
      <c r="H14">
        <f>IFERROR(INDEX(tblDeviceConfig[PI_Use_Case],ROW()-1),"")</f>
      </c>
      <c r="I14">
        <f>IFERROR(INDEX(tblDeviceConfig[PI_Result],ROW()-1),"")</f>
      </c>
      <c r="J14">
        <f>IFERROR(INDEX(tblDeviceConfig[PI_Validated_By],ROW()-1),"")</f>
      </c>
      <c r="K14">
        <f>IFERROR(INDEX(tblDeviceConfig[PI_Validated_Date],ROW()-1),"")</f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</c>
      <c r="C15" t="str">
        <f>IFERROR(INDEX(tblDeviceConfig[Deployed],ROW()-1),"")</f>
      </c>
      <c r="D15" t="str">
        <f>IFERROR(INDEX(tblDeviceConfig[Installed],ROW()-1),"")</f>
      </c>
      <c r="E15">
        <f>IFERROR(INDEX(tblDeviceConfig[Cybernet Hostname],ROW()-1),"")</f>
      </c>
      <c r="F15" t="str">
        <f>IFERROR(INDEX(tblDeviceConfig[Neuron Hostname],ROW()-1),"")</f>
      </c>
      <c r="G15">
        <f>IFERROR(INDEX(tblDeviceConfig[Software List],ROW()-1),"")</f>
      </c>
      <c r="H15">
        <f>IFERROR(INDEX(tblDeviceConfig[PI_Use_Case],ROW()-1),"")</f>
      </c>
      <c r="I15">
        <f>IFERROR(INDEX(tblDeviceConfig[PI_Result],ROW()-1),"")</f>
      </c>
      <c r="J15">
        <f>IFERROR(INDEX(tblDeviceConfig[PI_Validated_By],ROW()-1),"")</f>
      </c>
      <c r="K15">
        <f>IFERROR(INDEX(tblDeviceConfig[PI_Validated_Date],ROW()-1),"")</f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</c>
      <c r="C16" t="str">
        <f>IFERROR(INDEX(tblDeviceConfig[Deployed],ROW()-1),"")</f>
      </c>
      <c r="D16" t="str">
        <f>IFERROR(INDEX(tblDeviceConfig[Installed],ROW()-1),"")</f>
      </c>
      <c r="E16">
        <f>IFERROR(INDEX(tblDeviceConfig[Cybernet Hostname],ROW()-1),"")</f>
      </c>
      <c r="F16" t="str">
        <f>IFERROR(INDEX(tblDeviceConfig[Neuron Hostname],ROW()-1),"")</f>
      </c>
      <c r="G16">
        <f>IFERROR(INDEX(tblDeviceConfig[Software List],ROW()-1),"")</f>
      </c>
      <c r="H16">
        <f>IFERROR(INDEX(tblDeviceConfig[PI_Use_Case],ROW()-1),"")</f>
      </c>
      <c r="I16">
        <f>IFERROR(INDEX(tblDeviceConfig[PI_Result],ROW()-1),"")</f>
      </c>
      <c r="J16">
        <f>IFERROR(INDEX(tblDeviceConfig[PI_Validated_By],ROW()-1),"")</f>
      </c>
      <c r="K16">
        <f>IFERROR(INDEX(tblDeviceConfig[PI_Validated_Date],ROW()-1),"")</f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</c>
      <c r="C17" t="str">
        <f>IFERROR(INDEX(tblDeviceConfig[Deployed],ROW()-1),"")</f>
      </c>
      <c r="D17" t="str">
        <f>IFERROR(INDEX(tblDeviceConfig[Installed],ROW()-1),"")</f>
      </c>
      <c r="E17">
        <f>IFERROR(INDEX(tblDeviceConfig[Cybernet Hostname],ROW()-1),"")</f>
      </c>
      <c r="F17" t="str">
        <f>IFERROR(INDEX(tblDeviceConfig[Neuron Hostname],ROW()-1),"")</f>
      </c>
      <c r="G17">
        <f>IFERROR(INDEX(tblDeviceConfig[Software List],ROW()-1),"")</f>
      </c>
      <c r="H17">
        <f>IFERROR(INDEX(tblDeviceConfig[PI_Use_Case],ROW()-1),"")</f>
      </c>
      <c r="I17">
        <f>IFERROR(INDEX(tblDeviceConfig[PI_Result],ROW()-1),"")</f>
      </c>
      <c r="J17">
        <f>IFERROR(INDEX(tblDeviceConfig[PI_Validated_By],ROW()-1),"")</f>
      </c>
      <c r="K17">
        <f>IFERROR(INDEX(tblDeviceConfig[PI_Validated_Date],ROW()-1),"")</f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</c>
      <c r="C18" t="str">
        <f>IFERROR(INDEX(tblDeviceConfig[Deployed],ROW()-1),"")</f>
      </c>
      <c r="D18" t="str">
        <f>IFERROR(INDEX(tblDeviceConfig[Installed],ROW()-1),"")</f>
      </c>
      <c r="E18">
        <f>IFERROR(INDEX(tblDeviceConfig[Cybernet Hostname],ROW()-1),"")</f>
      </c>
      <c r="F18" t="str">
        <f>IFERROR(INDEX(tblDeviceConfig[Neuron Hostname],ROW()-1),"")</f>
      </c>
      <c r="G18">
        <f>IFERROR(INDEX(tblDeviceConfig[Software List],ROW()-1),"")</f>
      </c>
      <c r="H18">
        <f>IFERROR(INDEX(tblDeviceConfig[PI_Use_Case],ROW()-1),"")</f>
      </c>
      <c r="I18">
        <f>IFERROR(INDEX(tblDeviceConfig[PI_Result],ROW()-1),"")</f>
      </c>
      <c r="J18">
        <f>IFERROR(INDEX(tblDeviceConfig[PI_Validated_By],ROW()-1),"")</f>
      </c>
      <c r="K18">
        <f>IFERROR(INDEX(tblDeviceConfig[PI_Validated_Date],ROW()-1),"")</f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</c>
      <c r="C19" t="str">
        <f>IFERROR(INDEX(tblDeviceConfig[Deployed],ROW()-1),"")</f>
      </c>
      <c r="D19" t="str">
        <f>IFERROR(INDEX(tblDeviceConfig[Installed],ROW()-1),"")</f>
      </c>
      <c r="E19">
        <f>IFERROR(INDEX(tblDeviceConfig[Cybernet Hostname],ROW()-1),"")</f>
      </c>
      <c r="F19" t="str">
        <f>IFERROR(INDEX(tblDeviceConfig[Neuron Hostname],ROW()-1),"")</f>
      </c>
      <c r="G19">
        <f>IFERROR(INDEX(tblDeviceConfig[Software List],ROW()-1),"")</f>
      </c>
      <c r="H19">
        <f>IFERROR(INDEX(tblDeviceConfig[PI_Use_Case],ROW()-1),"")</f>
      </c>
      <c r="I19">
        <f>IFERROR(INDEX(tblDeviceConfig[PI_Result],ROW()-1),"")</f>
      </c>
      <c r="J19">
        <f>IFERROR(INDEX(tblDeviceConfig[PI_Validated_By],ROW()-1),"")</f>
      </c>
      <c r="K19">
        <f>IFERROR(INDEX(tblDeviceConfig[PI_Validated_Date],ROW()-1),"")</f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</c>
      <c r="C20" t="str">
        <f>IFERROR(INDEX(tblDeviceConfig[Deployed],ROW()-1),"")</f>
      </c>
      <c r="D20" t="str">
        <f>IFERROR(INDEX(tblDeviceConfig[Installed],ROW()-1),"")</f>
      </c>
      <c r="E20">
        <f>IFERROR(INDEX(tblDeviceConfig[Cybernet Hostname],ROW()-1),"")</f>
      </c>
      <c r="F20" t="str">
        <f>IFERROR(INDEX(tblDeviceConfig[Neuron Hostname],ROW()-1),"")</f>
      </c>
      <c r="G20">
        <f>IFERROR(INDEX(tblDeviceConfig[Software List],ROW()-1),"")</f>
      </c>
      <c r="H20">
        <f>IFERROR(INDEX(tblDeviceConfig[PI_Use_Case],ROW()-1),"")</f>
      </c>
      <c r="I20">
        <f>IFERROR(INDEX(tblDeviceConfig[PI_Result],ROW()-1),"")</f>
      </c>
      <c r="J20">
        <f>IFERROR(INDEX(tblDeviceConfig[PI_Validated_By],ROW()-1),"")</f>
      </c>
      <c r="K20">
        <f>IFERROR(INDEX(tblDeviceConfig[PI_Validated_Date],ROW()-1),"")</f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</c>
      <c r="C21" t="str">
        <f>IFERROR(INDEX(tblDeviceConfig[Deployed],ROW()-1),"")</f>
      </c>
      <c r="D21" t="str">
        <f>IFERROR(INDEX(tblDeviceConfig[Installed],ROW()-1),"")</f>
      </c>
      <c r="E21">
        <f>IFERROR(INDEX(tblDeviceConfig[Cybernet Hostname],ROW()-1),"")</f>
      </c>
      <c r="F21" t="str">
        <f>IFERROR(INDEX(tblDeviceConfig[Neuron Hostname],ROW()-1),"")</f>
      </c>
      <c r="G21">
        <f>IFERROR(INDEX(tblDeviceConfig[Software List],ROW()-1),"")</f>
      </c>
      <c r="H21">
        <f>IFERROR(INDEX(tblDeviceConfig[PI_Use_Case],ROW()-1),"")</f>
      </c>
      <c r="I21">
        <f>IFERROR(INDEX(tblDeviceConfig[PI_Result],ROW()-1),"")</f>
      </c>
      <c r="J21">
        <f>IFERROR(INDEX(tblDeviceConfig[PI_Validated_By],ROW()-1),"")</f>
      </c>
      <c r="K21">
        <f>IFERROR(INDEX(tblDeviceConfig[PI_Validated_Date],ROW()-1),"")</f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</c>
      <c r="C22" t="str">
        <f>IFERROR(INDEX(tblDeviceConfig[Deployed],ROW()-1),"")</f>
      </c>
      <c r="D22" t="str">
        <f>IFERROR(INDEX(tblDeviceConfig[Installed],ROW()-1),"")</f>
      </c>
      <c r="E22">
        <f>IFERROR(INDEX(tblDeviceConfig[Cybernet Hostname],ROW()-1),"")</f>
      </c>
      <c r="F22" t="str">
        <f>IFERROR(INDEX(tblDeviceConfig[Neuron Hostname],ROW()-1),"")</f>
      </c>
      <c r="G22">
        <f>IFERROR(INDEX(tblDeviceConfig[Software List],ROW()-1),"")</f>
      </c>
      <c r="H22">
        <f>IFERROR(INDEX(tblDeviceConfig[PI_Use_Case],ROW()-1),"")</f>
      </c>
      <c r="I22">
        <f>IFERROR(INDEX(tblDeviceConfig[PI_Result],ROW()-1),"")</f>
      </c>
      <c r="J22">
        <f>IFERROR(INDEX(tblDeviceConfig[PI_Validated_By],ROW()-1),"")</f>
      </c>
      <c r="K22">
        <f>IFERROR(INDEX(tblDeviceConfig[PI_Validated_Date],ROW()-1),"")</f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</c>
      <c r="C23" t="str">
        <f>IFERROR(INDEX(tblDeviceConfig[Deployed],ROW()-1),"")</f>
      </c>
      <c r="D23" t="str">
        <f>IFERROR(INDEX(tblDeviceConfig[Installed],ROW()-1),"")</f>
      </c>
      <c r="E23">
        <f>IFERROR(INDEX(tblDeviceConfig[Cybernet Hostname],ROW()-1),"")</f>
      </c>
      <c r="F23" t="str">
        <f>IFERROR(INDEX(tblDeviceConfig[Neuron Hostname],ROW()-1),"")</f>
      </c>
      <c r="G23">
        <f>IFERROR(INDEX(tblDeviceConfig[Software List],ROW()-1),"")</f>
      </c>
      <c r="H23">
        <f>IFERROR(INDEX(tblDeviceConfig[PI_Use_Case],ROW()-1),"")</f>
      </c>
      <c r="I23">
        <f>IFERROR(INDEX(tblDeviceConfig[PI_Result],ROW()-1),"")</f>
      </c>
      <c r="J23">
        <f>IFERROR(INDEX(tblDeviceConfig[PI_Validated_By],ROW()-1),"")</f>
      </c>
      <c r="K23">
        <f>IFERROR(INDEX(tblDeviceConfig[PI_Validated_Date],ROW()-1),"")</f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</c>
      <c r="C24" t="str">
        <f>IFERROR(INDEX(tblDeviceConfig[Deployed],ROW()-1),"")</f>
      </c>
      <c r="D24" t="str">
        <f>IFERROR(INDEX(tblDeviceConfig[Installed],ROW()-1),"")</f>
      </c>
      <c r="E24">
        <f>IFERROR(INDEX(tblDeviceConfig[Cybernet Hostname],ROW()-1),"")</f>
      </c>
      <c r="F24" t="str">
        <f>IFERROR(INDEX(tblDeviceConfig[Neuron Hostname],ROW()-1),"")</f>
      </c>
      <c r="G24">
        <f>IFERROR(INDEX(tblDeviceConfig[Software List],ROW()-1),"")</f>
      </c>
      <c r="H24">
        <f>IFERROR(INDEX(tblDeviceConfig[PI_Use_Case],ROW()-1),"")</f>
      </c>
      <c r="I24">
        <f>IFERROR(INDEX(tblDeviceConfig[PI_Result],ROW()-1),"")</f>
      </c>
      <c r="J24">
        <f>IFERROR(INDEX(tblDeviceConfig[PI_Validated_By],ROW()-1),"")</f>
      </c>
      <c r="K24">
        <f>IFERROR(INDEX(tblDeviceConfig[PI_Validated_Date],ROW()-1),"")</f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</c>
      <c r="C25" t="str">
        <f>IFERROR(INDEX(tblDeviceConfig[Deployed],ROW()-1),"")</f>
      </c>
      <c r="D25" t="str">
        <f>IFERROR(INDEX(tblDeviceConfig[Installed],ROW()-1),"")</f>
      </c>
      <c r="E25">
        <f>IFERROR(INDEX(tblDeviceConfig[Cybernet Hostname],ROW()-1),"")</f>
      </c>
      <c r="F25" t="str">
        <f>IFERROR(INDEX(tblDeviceConfig[Neuron Hostname],ROW()-1),"")</f>
      </c>
      <c r="G25">
        <f>IFERROR(INDEX(tblDeviceConfig[Software List],ROW()-1),"")</f>
      </c>
      <c r="H25">
        <f>IFERROR(INDEX(tblDeviceConfig[PI_Use_Case],ROW()-1),"")</f>
      </c>
      <c r="I25">
        <f>IFERROR(INDEX(tblDeviceConfig[PI_Result],ROW()-1),"")</f>
      </c>
      <c r="J25">
        <f>IFERROR(INDEX(tblDeviceConfig[PI_Validated_By],ROW()-1),"")</f>
      </c>
      <c r="K25">
        <f>IFERROR(INDEX(tblDeviceConfig[PI_Validated_Date],ROW()-1),"")</f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</c>
      <c r="C26" t="str">
        <f>IFERROR(INDEX(tblDeviceConfig[Deployed],ROW()-1),"")</f>
      </c>
      <c r="D26" t="str">
        <f>IFERROR(INDEX(tblDeviceConfig[Installed],ROW()-1),"")</f>
      </c>
      <c r="E26">
        <f>IFERROR(INDEX(tblDeviceConfig[Cybernet Hostname],ROW()-1),"")</f>
      </c>
      <c r="F26" t="str">
        <f>IFERROR(INDEX(tblDeviceConfig[Neuron Hostname],ROW()-1),"")</f>
      </c>
      <c r="G26">
        <f>IFERROR(INDEX(tblDeviceConfig[Software List],ROW()-1),"")</f>
      </c>
      <c r="H26">
        <f>IFERROR(INDEX(tblDeviceConfig[PI_Use_Case],ROW()-1),"")</f>
      </c>
      <c r="I26">
        <f>IFERROR(INDEX(tblDeviceConfig[PI_Result],ROW()-1),"")</f>
      </c>
      <c r="J26">
        <f>IFERROR(INDEX(tblDeviceConfig[PI_Validated_By],ROW()-1),"")</f>
      </c>
      <c r="K26">
        <f>IFERROR(INDEX(tblDeviceConfig[PI_Validated_Date],ROW()-1),"")</f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</c>
      <c r="C27" t="str">
        <f>IFERROR(INDEX(tblDeviceConfig[Deployed],ROW()-1),"")</f>
      </c>
      <c r="D27" t="str">
        <f>IFERROR(INDEX(tblDeviceConfig[Installed],ROW()-1),"")</f>
      </c>
      <c r="E27">
        <f>IFERROR(INDEX(tblDeviceConfig[Cybernet Hostname],ROW()-1),"")</f>
      </c>
      <c r="F27" t="str">
        <f>IFERROR(INDEX(tblDeviceConfig[Neuron Hostname],ROW()-1),"")</f>
      </c>
      <c r="G27">
        <f>IFERROR(INDEX(tblDeviceConfig[Software List],ROW()-1),"")</f>
      </c>
      <c r="H27">
        <f>IFERROR(INDEX(tblDeviceConfig[PI_Use_Case],ROW()-1),"")</f>
      </c>
      <c r="I27">
        <f>IFERROR(INDEX(tblDeviceConfig[PI_Result],ROW()-1),"")</f>
      </c>
      <c r="J27">
        <f>IFERROR(INDEX(tblDeviceConfig[PI_Validated_By],ROW()-1),"")</f>
      </c>
      <c r="K27">
        <f>IFERROR(INDEX(tblDeviceConfig[PI_Validated_Date],ROW()-1),"")</f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</c>
      <c r="C28" t="str">
        <f>IFERROR(INDEX(tblDeviceConfig[Deployed],ROW()-1),"")</f>
      </c>
      <c r="D28" t="str">
        <f>IFERROR(INDEX(tblDeviceConfig[Installed],ROW()-1),"")</f>
      </c>
      <c r="E28">
        <f>IFERROR(INDEX(tblDeviceConfig[Cybernet Hostname],ROW()-1),"")</f>
      </c>
      <c r="F28" t="str">
        <f>IFERROR(INDEX(tblDeviceConfig[Neuron Hostname],ROW()-1),"")</f>
      </c>
      <c r="G28">
        <f>IFERROR(INDEX(tblDeviceConfig[Software List],ROW()-1),"")</f>
      </c>
      <c r="H28">
        <f>IFERROR(INDEX(tblDeviceConfig[PI_Use_Case],ROW()-1),"")</f>
      </c>
      <c r="I28">
        <f>IFERROR(INDEX(tblDeviceConfig[PI_Result],ROW()-1),"")</f>
      </c>
      <c r="J28">
        <f>IFERROR(INDEX(tblDeviceConfig[PI_Validated_By],ROW()-1),"")</f>
      </c>
      <c r="K28">
        <f>IFERROR(INDEX(tblDeviceConfig[PI_Validated_Date],ROW()-1),"")</f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</c>
      <c r="C29" t="str">
        <f>IFERROR(INDEX(tblDeviceConfig[Deployed],ROW()-1),"")</f>
      </c>
      <c r="D29" t="str">
        <f>IFERROR(INDEX(tblDeviceConfig[Installed],ROW()-1),"")</f>
      </c>
      <c r="E29">
        <f>IFERROR(INDEX(tblDeviceConfig[Cybernet Hostname],ROW()-1),"")</f>
      </c>
      <c r="F29" t="str">
        <f>IFERROR(INDEX(tblDeviceConfig[Neuron Hostname],ROW()-1),"")</f>
      </c>
      <c r="G29">
        <f>IFERROR(INDEX(tblDeviceConfig[Software List],ROW()-1),"")</f>
      </c>
      <c r="H29">
        <f>IFERROR(INDEX(tblDeviceConfig[PI_Use_Case],ROW()-1),"")</f>
      </c>
      <c r="I29">
        <f>IFERROR(INDEX(tblDeviceConfig[PI_Result],ROW()-1),"")</f>
      </c>
      <c r="J29">
        <f>IFERROR(INDEX(tblDeviceConfig[PI_Validated_By],ROW()-1),"")</f>
      </c>
      <c r="K29">
        <f>IFERROR(INDEX(tblDeviceConfig[PI_Validated_Date],ROW()-1),"")</f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</c>
      <c r="C30" t="str">
        <f>IFERROR(INDEX(tblDeviceConfig[Deployed],ROW()-1),"")</f>
      </c>
      <c r="D30" t="str">
        <f>IFERROR(INDEX(tblDeviceConfig[Installed],ROW()-1),"")</f>
      </c>
      <c r="E30">
        <f>IFERROR(INDEX(tblDeviceConfig[Cybernet Hostname],ROW()-1),"")</f>
      </c>
      <c r="F30" t="str">
        <f>IFERROR(INDEX(tblDeviceConfig[Neuron Hostname],ROW()-1),"")</f>
      </c>
      <c r="G30">
        <f>IFERROR(INDEX(tblDeviceConfig[Software List],ROW()-1),"")</f>
      </c>
      <c r="H30">
        <f>IFERROR(INDEX(tblDeviceConfig[PI_Use_Case],ROW()-1),"")</f>
      </c>
      <c r="I30">
        <f>IFERROR(INDEX(tblDeviceConfig[PI_Result],ROW()-1),"")</f>
      </c>
      <c r="J30">
        <f>IFERROR(INDEX(tblDeviceConfig[PI_Validated_By],ROW()-1),"")</f>
      </c>
      <c r="K30">
        <f>IFERROR(INDEX(tblDeviceConfig[PI_Validated_Date],ROW()-1),"")</f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</c>
      <c r="C31" t="str">
        <f>IFERROR(INDEX(tblDeviceConfig[Deployed],ROW()-1),"")</f>
      </c>
      <c r="D31" t="str">
        <f>IFERROR(INDEX(tblDeviceConfig[Installed],ROW()-1),"")</f>
      </c>
      <c r="E31">
        <f>IFERROR(INDEX(tblDeviceConfig[Cybernet Hostname],ROW()-1),"")</f>
      </c>
      <c r="F31" t="str">
        <f>IFERROR(INDEX(tblDeviceConfig[Neuron Hostname],ROW()-1),"")</f>
      </c>
      <c r="G31">
        <f>IFERROR(INDEX(tblDeviceConfig[Software List],ROW()-1),"")</f>
      </c>
      <c r="H31">
        <f>IFERROR(INDEX(tblDeviceConfig[PI_Use_Case],ROW()-1),"")</f>
      </c>
      <c r="I31">
        <f>IFERROR(INDEX(tblDeviceConfig[PI_Result],ROW()-1),"")</f>
      </c>
      <c r="J31">
        <f>IFERROR(INDEX(tblDeviceConfig[PI_Validated_By],ROW()-1),"")</f>
      </c>
      <c r="K31">
        <f>IFERROR(INDEX(tblDeviceConfig[PI_Validated_Date],ROW()-1),"")</f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</c>
      <c r="C32" t="str">
        <f>IFERROR(INDEX(tblDeviceConfig[Deployed],ROW()-1),"")</f>
      </c>
      <c r="D32" t="str">
        <f>IFERROR(INDEX(tblDeviceConfig[Installed],ROW()-1),"")</f>
      </c>
      <c r="E32">
        <f>IFERROR(INDEX(tblDeviceConfig[Cybernet Hostname],ROW()-1),"")</f>
      </c>
      <c r="F32" t="str">
        <f>IFERROR(INDEX(tblDeviceConfig[Neuron Hostname],ROW()-1),"")</f>
      </c>
      <c r="G32">
        <f>IFERROR(INDEX(tblDeviceConfig[Software List],ROW()-1),"")</f>
      </c>
      <c r="H32">
        <f>IFERROR(INDEX(tblDeviceConfig[PI_Use_Case],ROW()-1),"")</f>
      </c>
      <c r="I32">
        <f>IFERROR(INDEX(tblDeviceConfig[PI_Result],ROW()-1),"")</f>
      </c>
      <c r="J32">
        <f>IFERROR(INDEX(tblDeviceConfig[PI_Validated_By],ROW()-1),"")</f>
      </c>
      <c r="K32">
        <f>IFERROR(INDEX(tblDeviceConfig[PI_Validated_Date],ROW()-1),"")</f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</c>
      <c r="C33" t="str">
        <f>IFERROR(INDEX(tblDeviceConfig[Deployed],ROW()-1),"")</f>
      </c>
      <c r="D33" t="str">
        <f>IFERROR(INDEX(tblDeviceConfig[Installed],ROW()-1),"")</f>
      </c>
      <c r="E33">
        <f>IFERROR(INDEX(tblDeviceConfig[Cybernet Hostname],ROW()-1),"")</f>
      </c>
      <c r="F33" t="str">
        <f>IFERROR(INDEX(tblDeviceConfig[Neuron Hostname],ROW()-1),"")</f>
      </c>
      <c r="G33">
        <f>IFERROR(INDEX(tblDeviceConfig[Software List],ROW()-1),"")</f>
      </c>
      <c r="H33">
        <f>IFERROR(INDEX(tblDeviceConfig[PI_Use_Case],ROW()-1),"")</f>
      </c>
      <c r="I33">
        <f>IFERROR(INDEX(tblDeviceConfig[PI_Result],ROW()-1),"")</f>
      </c>
      <c r="J33">
        <f>IFERROR(INDEX(tblDeviceConfig[PI_Validated_By],ROW()-1),"")</f>
      </c>
      <c r="K33">
        <f>IFERROR(INDEX(tblDeviceConfig[PI_Validated_Date],ROW()-1),"")</f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</c>
      <c r="C34" t="str">
        <f>IFERROR(INDEX(tblDeviceConfig[Deployed],ROW()-1),"")</f>
      </c>
      <c r="D34" t="str">
        <f>IFERROR(INDEX(tblDeviceConfig[Installed],ROW()-1),"")</f>
      </c>
      <c r="E34">
        <f>IFERROR(INDEX(tblDeviceConfig[Cybernet Hostname],ROW()-1),"")</f>
      </c>
      <c r="F34" t="str">
        <f>IFERROR(INDEX(tblDeviceConfig[Neuron Hostname],ROW()-1),"")</f>
      </c>
      <c r="G34">
        <f>IFERROR(INDEX(tblDeviceConfig[Software List],ROW()-1),"")</f>
      </c>
      <c r="H34">
        <f>IFERROR(INDEX(tblDeviceConfig[PI_Use_Case],ROW()-1),"")</f>
      </c>
      <c r="I34">
        <f>IFERROR(INDEX(tblDeviceConfig[PI_Result],ROW()-1),"")</f>
      </c>
      <c r="J34">
        <f>IFERROR(INDEX(tblDeviceConfig[PI_Validated_By],ROW()-1),"")</f>
      </c>
      <c r="K34">
        <f>IFERROR(INDEX(tblDeviceConfig[PI_Validated_Date],ROW()-1),"")</f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</c>
      <c r="C35" t="str">
        <f>IFERROR(INDEX(tblDeviceConfig[Deployed],ROW()-1),"")</f>
      </c>
      <c r="D35" t="str">
        <f>IFERROR(INDEX(tblDeviceConfig[Installed],ROW()-1),"")</f>
      </c>
      <c r="E35">
        <f>IFERROR(INDEX(tblDeviceConfig[Cybernet Hostname],ROW()-1),"")</f>
      </c>
      <c r="F35" t="str">
        <f>IFERROR(INDEX(tblDeviceConfig[Neuron Hostname],ROW()-1),"")</f>
      </c>
      <c r="G35">
        <f>IFERROR(INDEX(tblDeviceConfig[Software List],ROW()-1),"")</f>
      </c>
      <c r="H35">
        <f>IFERROR(INDEX(tblDeviceConfig[PI_Use_Case],ROW()-1),"")</f>
      </c>
      <c r="I35">
        <f>IFERROR(INDEX(tblDeviceConfig[PI_Result],ROW()-1),"")</f>
      </c>
      <c r="J35">
        <f>IFERROR(INDEX(tblDeviceConfig[PI_Validated_By],ROW()-1),"")</f>
      </c>
      <c r="K35">
        <f>IFERROR(INDEX(tblDeviceConfig[PI_Validated_Date],ROW()-1),"")</f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</c>
      <c r="C36" t="str">
        <f>IFERROR(INDEX(tblDeviceConfig[Deployed],ROW()-1),"")</f>
      </c>
      <c r="D36" t="str">
        <f>IFERROR(INDEX(tblDeviceConfig[Installed],ROW()-1),"")</f>
      </c>
      <c r="E36">
        <f>IFERROR(INDEX(tblDeviceConfig[Cybernet Hostname],ROW()-1),"")</f>
      </c>
      <c r="F36" t="str">
        <f>IFERROR(INDEX(tblDeviceConfig[Neuron Hostname],ROW()-1),"")</f>
      </c>
      <c r="G36">
        <f>IFERROR(INDEX(tblDeviceConfig[Software List],ROW()-1),"")</f>
      </c>
      <c r="H36">
        <f>IFERROR(INDEX(tblDeviceConfig[PI_Use_Case],ROW()-1),"")</f>
      </c>
      <c r="I36">
        <f>IFERROR(INDEX(tblDeviceConfig[PI_Result],ROW()-1),"")</f>
      </c>
      <c r="J36">
        <f>IFERROR(INDEX(tblDeviceConfig[PI_Validated_By],ROW()-1),"")</f>
      </c>
      <c r="K36">
        <f>IFERROR(INDEX(tblDeviceConfig[PI_Validated_Date],ROW()-1),"")</f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</c>
      <c r="C37" t="str">
        <f>IFERROR(INDEX(tblDeviceConfig[Deployed],ROW()-1),"")</f>
      </c>
      <c r="D37" t="str">
        <f>IFERROR(INDEX(tblDeviceConfig[Installed],ROW()-1),"")</f>
      </c>
      <c r="E37">
        <f>IFERROR(INDEX(tblDeviceConfig[Cybernet Hostname],ROW()-1),"")</f>
      </c>
      <c r="F37" t="str">
        <f>IFERROR(INDEX(tblDeviceConfig[Neuron Hostname],ROW()-1),"")</f>
      </c>
      <c r="G37">
        <f>IFERROR(INDEX(tblDeviceConfig[Software List],ROW()-1),"")</f>
      </c>
      <c r="H37">
        <f>IFERROR(INDEX(tblDeviceConfig[PI_Use_Case],ROW()-1),"")</f>
      </c>
      <c r="I37">
        <f>IFERROR(INDEX(tblDeviceConfig[PI_Result],ROW()-1),"")</f>
      </c>
      <c r="J37">
        <f>IFERROR(INDEX(tblDeviceConfig[PI_Validated_By],ROW()-1),"")</f>
      </c>
      <c r="K37">
        <f>IFERROR(INDEX(tblDeviceConfig[PI_Validated_Date],ROW()-1),"")</f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</c>
      <c r="C38" t="str">
        <f>IFERROR(INDEX(tblDeviceConfig[Deployed],ROW()-1),"")</f>
      </c>
      <c r="D38" t="str">
        <f>IFERROR(INDEX(tblDeviceConfig[Installed],ROW()-1),"")</f>
      </c>
      <c r="E38">
        <f>IFERROR(INDEX(tblDeviceConfig[Cybernet Hostname],ROW()-1),"")</f>
      </c>
      <c r="F38" t="str">
        <f>IFERROR(INDEX(tblDeviceConfig[Neuron Hostname],ROW()-1),"")</f>
      </c>
      <c r="G38">
        <f>IFERROR(INDEX(tblDeviceConfig[Software List],ROW()-1),"")</f>
      </c>
      <c r="H38">
        <f>IFERROR(INDEX(tblDeviceConfig[PI_Use_Case],ROW()-1),"")</f>
      </c>
      <c r="I38">
        <f>IFERROR(INDEX(tblDeviceConfig[PI_Result],ROW()-1),"")</f>
      </c>
      <c r="J38">
        <f>IFERROR(INDEX(tblDeviceConfig[PI_Validated_By],ROW()-1),"")</f>
      </c>
      <c r="K38">
        <f>IFERROR(INDEX(tblDeviceConfig[PI_Validated_Date],ROW()-1),"")</f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</c>
      <c r="C39" t="str">
        <f>IFERROR(INDEX(tblDeviceConfig[Deployed],ROW()-1),"")</f>
      </c>
      <c r="D39" t="str">
        <f>IFERROR(INDEX(tblDeviceConfig[Installed],ROW()-1),"")</f>
      </c>
      <c r="E39">
        <f>IFERROR(INDEX(tblDeviceConfig[Cybernet Hostname],ROW()-1),"")</f>
      </c>
      <c r="F39" t="str">
        <f>IFERROR(INDEX(tblDeviceConfig[Neuron Hostname],ROW()-1),"")</f>
      </c>
      <c r="G39">
        <f>IFERROR(INDEX(tblDeviceConfig[Software List],ROW()-1),"")</f>
      </c>
      <c r="H39">
        <f>IFERROR(INDEX(tblDeviceConfig[PI_Use_Case],ROW()-1),"")</f>
      </c>
      <c r="I39">
        <f>IFERROR(INDEX(tblDeviceConfig[PI_Result],ROW()-1),"")</f>
      </c>
      <c r="J39">
        <f>IFERROR(INDEX(tblDeviceConfig[PI_Validated_By],ROW()-1),"")</f>
      </c>
      <c r="K39">
        <f>IFERROR(INDEX(tblDeviceConfig[PI_Validated_Date],ROW()-1),"")</f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</c>
      <c r="C40" t="str">
        <f>IFERROR(INDEX(tblDeviceConfig[Deployed],ROW()-1),"")</f>
      </c>
      <c r="D40" t="str">
        <f>IFERROR(INDEX(tblDeviceConfig[Installed],ROW()-1),"")</f>
      </c>
      <c r="E40">
        <f>IFERROR(INDEX(tblDeviceConfig[Cybernet Hostname],ROW()-1),"")</f>
      </c>
      <c r="F40" t="str">
        <f>IFERROR(INDEX(tblDeviceConfig[Neuron Hostname],ROW()-1),"")</f>
      </c>
      <c r="G40">
        <f>IFERROR(INDEX(tblDeviceConfig[Software List],ROW()-1),"")</f>
      </c>
      <c r="H40">
        <f>IFERROR(INDEX(tblDeviceConfig[PI_Use_Case],ROW()-1),"")</f>
      </c>
      <c r="I40">
        <f>IFERROR(INDEX(tblDeviceConfig[PI_Result],ROW()-1),"")</f>
      </c>
      <c r="J40">
        <f>IFERROR(INDEX(tblDeviceConfig[PI_Validated_By],ROW()-1),"")</f>
      </c>
      <c r="K40">
        <f>IFERROR(INDEX(tblDeviceConfig[PI_Validated_Date],ROW()-1),"")</f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</c>
      <c r="C41" t="str">
        <f>IFERROR(INDEX(tblDeviceConfig[Deployed],ROW()-1),"")</f>
      </c>
      <c r="D41" t="str">
        <f>IFERROR(INDEX(tblDeviceConfig[Installed],ROW()-1),"")</f>
      </c>
      <c r="E41">
        <f>IFERROR(INDEX(tblDeviceConfig[Cybernet Hostname],ROW()-1),"")</f>
      </c>
      <c r="F41" t="str">
        <f>IFERROR(INDEX(tblDeviceConfig[Neuron Hostname],ROW()-1),"")</f>
      </c>
      <c r="G41">
        <f>IFERROR(INDEX(tblDeviceConfig[Software List],ROW()-1),"")</f>
      </c>
      <c r="H41">
        <f>IFERROR(INDEX(tblDeviceConfig[PI_Use_Case],ROW()-1),"")</f>
      </c>
      <c r="I41">
        <f>IFERROR(INDEX(tblDeviceConfig[PI_Result],ROW()-1),"")</f>
      </c>
      <c r="J41">
        <f>IFERROR(INDEX(tblDeviceConfig[PI_Validated_By],ROW()-1),"")</f>
      </c>
      <c r="K41">
        <f>IFERROR(INDEX(tblDeviceConfig[PI_Validated_Date],ROW()-1),"")</f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</c>
      <c r="C42" t="str">
        <f>IFERROR(INDEX(tblDeviceConfig[Deployed],ROW()-1),"")</f>
      </c>
      <c r="D42" t="str">
        <f>IFERROR(INDEX(tblDeviceConfig[Installed],ROW()-1),"")</f>
      </c>
      <c r="E42">
        <f>IFERROR(INDEX(tblDeviceConfig[Cybernet Hostname],ROW()-1),"")</f>
      </c>
      <c r="F42" t="str">
        <f>IFERROR(INDEX(tblDeviceConfig[Neuron Hostname],ROW()-1),"")</f>
      </c>
      <c r="G42">
        <f>IFERROR(INDEX(tblDeviceConfig[Software List],ROW()-1),"")</f>
      </c>
      <c r="H42">
        <f>IFERROR(INDEX(tblDeviceConfig[PI_Use_Case],ROW()-1),"")</f>
      </c>
      <c r="I42">
        <f>IFERROR(INDEX(tblDeviceConfig[PI_Result],ROW()-1),"")</f>
      </c>
      <c r="J42">
        <f>IFERROR(INDEX(tblDeviceConfig[PI_Validated_By],ROW()-1),"")</f>
      </c>
      <c r="K42">
        <f>IFERROR(INDEX(tblDeviceConfig[PI_Validated_Date],ROW()-1),"")</f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</c>
      <c r="C43" t="str">
        <f>IFERROR(INDEX(tblDeviceConfig[Deployed],ROW()-1),"")</f>
      </c>
      <c r="D43" t="str">
        <f>IFERROR(INDEX(tblDeviceConfig[Installed],ROW()-1),"")</f>
      </c>
      <c r="E43">
        <f>IFERROR(INDEX(tblDeviceConfig[Cybernet Hostname],ROW()-1),"")</f>
      </c>
      <c r="F43" t="str">
        <f>IFERROR(INDEX(tblDeviceConfig[Neuron Hostname],ROW()-1),"")</f>
      </c>
      <c r="G43">
        <f>IFERROR(INDEX(tblDeviceConfig[Software List],ROW()-1),"")</f>
      </c>
      <c r="H43">
        <f>IFERROR(INDEX(tblDeviceConfig[PI_Use_Case],ROW()-1),"")</f>
      </c>
      <c r="I43">
        <f>IFERROR(INDEX(tblDeviceConfig[PI_Result],ROW()-1),"")</f>
      </c>
      <c r="J43">
        <f>IFERROR(INDEX(tblDeviceConfig[PI_Validated_By],ROW()-1),"")</f>
      </c>
      <c r="K43">
        <f>IFERROR(INDEX(tblDeviceConfig[PI_Validated_Date],ROW()-1),"")</f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</c>
      <c r="C44" t="str">
        <f>IFERROR(INDEX(tblDeviceConfig[Deployed],ROW()-1),"")</f>
      </c>
      <c r="D44" t="str">
        <f>IFERROR(INDEX(tblDeviceConfig[Installed],ROW()-1),"")</f>
      </c>
      <c r="E44">
        <f>IFERROR(INDEX(tblDeviceConfig[Cybernet Hostname],ROW()-1),"")</f>
      </c>
      <c r="F44" t="str">
        <f>IFERROR(INDEX(tblDeviceConfig[Neuron Hostname],ROW()-1),"")</f>
      </c>
      <c r="G44">
        <f>IFERROR(INDEX(tblDeviceConfig[Software List],ROW()-1),"")</f>
      </c>
      <c r="H44">
        <f>IFERROR(INDEX(tblDeviceConfig[PI_Use_Case],ROW()-1),"")</f>
      </c>
      <c r="I44">
        <f>IFERROR(INDEX(tblDeviceConfig[PI_Result],ROW()-1),"")</f>
      </c>
      <c r="J44">
        <f>IFERROR(INDEX(tblDeviceConfig[PI_Validated_By],ROW()-1),"")</f>
      </c>
      <c r="K44">
        <f>IFERROR(INDEX(tblDeviceConfig[PI_Validated_Date],ROW()-1),"")</f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</c>
      <c r="C45" t="str">
        <f>IFERROR(INDEX(tblDeviceConfig[Deployed],ROW()-1),"")</f>
      </c>
      <c r="D45" t="str">
        <f>IFERROR(INDEX(tblDeviceConfig[Installed],ROW()-1),"")</f>
      </c>
      <c r="E45">
        <f>IFERROR(INDEX(tblDeviceConfig[Cybernet Hostname],ROW()-1),"")</f>
      </c>
      <c r="F45" t="str">
        <f>IFERROR(INDEX(tblDeviceConfig[Neuron Hostname],ROW()-1),"")</f>
      </c>
      <c r="G45">
        <f>IFERROR(INDEX(tblDeviceConfig[Software List],ROW()-1),"")</f>
      </c>
      <c r="H45">
        <f>IFERROR(INDEX(tblDeviceConfig[PI_Use_Case],ROW()-1),"")</f>
      </c>
      <c r="I45">
        <f>IFERROR(INDEX(tblDeviceConfig[PI_Result],ROW()-1),"")</f>
      </c>
      <c r="J45">
        <f>IFERROR(INDEX(tblDeviceConfig[PI_Validated_By],ROW()-1),"")</f>
      </c>
      <c r="K45">
        <f>IFERROR(INDEX(tblDeviceConfig[PI_Validated_Date],ROW()-1),"")</f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</c>
      <c r="C46" t="str">
        <f>IFERROR(INDEX(tblDeviceConfig[Deployed],ROW()-1),"")</f>
      </c>
      <c r="D46" t="str">
        <f>IFERROR(INDEX(tblDeviceConfig[Installed],ROW()-1),"")</f>
      </c>
      <c r="E46">
        <f>IFERROR(INDEX(tblDeviceConfig[Cybernet Hostname],ROW()-1),"")</f>
      </c>
      <c r="F46" t="str">
        <f>IFERROR(INDEX(tblDeviceConfig[Neuron Hostname],ROW()-1),"")</f>
      </c>
      <c r="G46">
        <f>IFERROR(INDEX(tblDeviceConfig[Software List],ROW()-1),"")</f>
      </c>
      <c r="H46">
        <f>IFERROR(INDEX(tblDeviceConfig[PI_Use_Case],ROW()-1),"")</f>
      </c>
      <c r="I46">
        <f>IFERROR(INDEX(tblDeviceConfig[PI_Result],ROW()-1),"")</f>
      </c>
      <c r="J46">
        <f>IFERROR(INDEX(tblDeviceConfig[PI_Validated_By],ROW()-1),"")</f>
      </c>
      <c r="K46">
        <f>IFERROR(INDEX(tblDeviceConfig[PI_Validated_Date],ROW()-1),"")</f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</c>
      <c r="C47" t="str">
        <f>IFERROR(INDEX(tblDeviceConfig[Deployed],ROW()-1),"")</f>
      </c>
      <c r="D47" t="str">
        <f>IFERROR(INDEX(tblDeviceConfig[Installed],ROW()-1),"")</f>
      </c>
      <c r="E47">
        <f>IFERROR(INDEX(tblDeviceConfig[Cybernet Hostname],ROW()-1),"")</f>
      </c>
      <c r="F47" t="str">
        <f>IFERROR(INDEX(tblDeviceConfig[Neuron Hostname],ROW()-1),"")</f>
      </c>
      <c r="G47">
        <f>IFERROR(INDEX(tblDeviceConfig[Software List],ROW()-1),"")</f>
      </c>
      <c r="H47">
        <f>IFERROR(INDEX(tblDeviceConfig[PI_Use_Case],ROW()-1),"")</f>
      </c>
      <c r="I47">
        <f>IFERROR(INDEX(tblDeviceConfig[PI_Result],ROW()-1),"")</f>
      </c>
      <c r="J47">
        <f>IFERROR(INDEX(tblDeviceConfig[PI_Validated_By],ROW()-1),"")</f>
      </c>
      <c r="K47">
        <f>IFERROR(INDEX(tblDeviceConfig[PI_Validated_Date],ROW()-1),"")</f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</c>
      <c r="C48" t="str">
        <f>IFERROR(INDEX(tblDeviceConfig[Deployed],ROW()-1),"")</f>
      </c>
      <c r="D48" t="str">
        <f>IFERROR(INDEX(tblDeviceConfig[Installed],ROW()-1),"")</f>
      </c>
      <c r="E48">
        <f>IFERROR(INDEX(tblDeviceConfig[Cybernet Hostname],ROW()-1),"")</f>
      </c>
      <c r="F48" t="str">
        <f>IFERROR(INDEX(tblDeviceConfig[Neuron Hostname],ROW()-1),"")</f>
      </c>
      <c r="G48">
        <f>IFERROR(INDEX(tblDeviceConfig[Software List],ROW()-1),"")</f>
      </c>
      <c r="H48">
        <f>IFERROR(INDEX(tblDeviceConfig[PI_Use_Case],ROW()-1),"")</f>
      </c>
      <c r="I48">
        <f>IFERROR(INDEX(tblDeviceConfig[PI_Result],ROW()-1),"")</f>
      </c>
      <c r="J48">
        <f>IFERROR(INDEX(tblDeviceConfig[PI_Validated_By],ROW()-1),"")</f>
      </c>
      <c r="K48">
        <f>IFERROR(INDEX(tblDeviceConfig[PI_Validated_Date],ROW()-1),"")</f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</c>
      <c r="C49" t="str">
        <f>IFERROR(INDEX(tblDeviceConfig[Deployed],ROW()-1),"")</f>
      </c>
      <c r="D49" t="str">
        <f>IFERROR(INDEX(tblDeviceConfig[Installed],ROW()-1),"")</f>
      </c>
      <c r="E49">
        <f>IFERROR(INDEX(tblDeviceConfig[Cybernet Hostname],ROW()-1),"")</f>
      </c>
      <c r="F49" t="str">
        <f>IFERROR(INDEX(tblDeviceConfig[Neuron Hostname],ROW()-1),"")</f>
      </c>
      <c r="G49">
        <f>IFERROR(INDEX(tblDeviceConfig[Software List],ROW()-1),"")</f>
      </c>
      <c r="H49">
        <f>IFERROR(INDEX(tblDeviceConfig[PI_Use_Case],ROW()-1),"")</f>
      </c>
      <c r="I49">
        <f>IFERROR(INDEX(tblDeviceConfig[PI_Result],ROW()-1),"")</f>
      </c>
      <c r="J49">
        <f>IFERROR(INDEX(tblDeviceConfig[PI_Validated_By],ROW()-1),"")</f>
      </c>
      <c r="K49">
        <f>IFERROR(INDEX(tblDeviceConfig[PI_Validated_Date],ROW()-1),"")</f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</c>
      <c r="C50" t="str">
        <f>IFERROR(INDEX(tblDeviceConfig[Deployed],ROW()-1),"")</f>
      </c>
      <c r="D50" t="str">
        <f>IFERROR(INDEX(tblDeviceConfig[Installed],ROW()-1),"")</f>
      </c>
      <c r="E50">
        <f>IFERROR(INDEX(tblDeviceConfig[Cybernet Hostname],ROW()-1),"")</f>
      </c>
      <c r="F50" t="str">
        <f>IFERROR(INDEX(tblDeviceConfig[Neuron Hostname],ROW()-1),"")</f>
      </c>
      <c r="G50">
        <f>IFERROR(INDEX(tblDeviceConfig[Software List],ROW()-1),"")</f>
      </c>
      <c r="H50">
        <f>IFERROR(INDEX(tblDeviceConfig[PI_Use_Case],ROW()-1),"")</f>
      </c>
      <c r="I50">
        <f>IFERROR(INDEX(tblDeviceConfig[PI_Result],ROW()-1),"")</f>
      </c>
      <c r="J50">
        <f>IFERROR(INDEX(tblDeviceConfig[PI_Validated_By],ROW()-1),"")</f>
      </c>
      <c r="K50">
        <f>IFERROR(INDEX(tblDeviceConfig[PI_Validated_Date],ROW()-1),"")</f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</c>
      <c r="C51" t="str">
        <f>IFERROR(INDEX(tblDeviceConfig[Deployed],ROW()-1),"")</f>
      </c>
      <c r="D51" t="str">
        <f>IFERROR(INDEX(tblDeviceConfig[Installed],ROW()-1),"")</f>
      </c>
      <c r="E51">
        <f>IFERROR(INDEX(tblDeviceConfig[Cybernet Hostname],ROW()-1),"")</f>
      </c>
      <c r="F51" t="str">
        <f>IFERROR(INDEX(tblDeviceConfig[Neuron Hostname],ROW()-1),"")</f>
      </c>
      <c r="G51">
        <f>IFERROR(INDEX(tblDeviceConfig[Software List],ROW()-1),"")</f>
      </c>
      <c r="H51">
        <f>IFERROR(INDEX(tblDeviceConfig[PI_Use_Case],ROW()-1),"")</f>
      </c>
      <c r="I51">
        <f>IFERROR(INDEX(tblDeviceConfig[PI_Result],ROW()-1),"")</f>
      </c>
      <c r="J51">
        <f>IFERROR(INDEX(tblDeviceConfig[PI_Validated_By],ROW()-1),"")</f>
      </c>
      <c r="K51">
        <f>IFERROR(INDEX(tblDeviceConfig[PI_Validated_Date],ROW()-1),"")</f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</c>
      <c r="C52" t="str">
        <f>IFERROR(INDEX(tblDeviceConfig[Deployed],ROW()-1),"")</f>
      </c>
      <c r="D52" t="str">
        <f>IFERROR(INDEX(tblDeviceConfig[Installed],ROW()-1),"")</f>
      </c>
      <c r="E52">
        <f>IFERROR(INDEX(tblDeviceConfig[Cybernet Hostname],ROW()-1),"")</f>
      </c>
      <c r="F52" t="str">
        <f>IFERROR(INDEX(tblDeviceConfig[Neuron Hostname],ROW()-1),"")</f>
      </c>
      <c r="G52">
        <f>IFERROR(INDEX(tblDeviceConfig[Software List],ROW()-1),"")</f>
      </c>
      <c r="H52">
        <f>IFERROR(INDEX(tblDeviceConfig[PI_Use_Case],ROW()-1),"")</f>
      </c>
      <c r="I52">
        <f>IFERROR(INDEX(tblDeviceConfig[PI_Result],ROW()-1),"")</f>
      </c>
      <c r="J52">
        <f>IFERROR(INDEX(tblDeviceConfig[PI_Validated_By],ROW()-1),"")</f>
      </c>
      <c r="K52">
        <f>IFERROR(INDEX(tblDeviceConfig[PI_Validated_Date],ROW()-1),"")</f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</c>
      <c r="C53" t="str">
        <f>IFERROR(INDEX(tblDeviceConfig[Deployed],ROW()-1),"")</f>
      </c>
      <c r="D53" t="str">
        <f>IFERROR(INDEX(tblDeviceConfig[Installed],ROW()-1),"")</f>
      </c>
      <c r="E53">
        <f>IFERROR(INDEX(tblDeviceConfig[Cybernet Hostname],ROW()-1),"")</f>
      </c>
      <c r="F53" t="str">
        <f>IFERROR(INDEX(tblDeviceConfig[Neuron Hostname],ROW()-1),"")</f>
      </c>
      <c r="G53">
        <f>IFERROR(INDEX(tblDeviceConfig[Software List],ROW()-1),"")</f>
      </c>
      <c r="H53">
        <f>IFERROR(INDEX(tblDeviceConfig[PI_Use_Case],ROW()-1),"")</f>
      </c>
      <c r="I53">
        <f>IFERROR(INDEX(tblDeviceConfig[PI_Result],ROW()-1),"")</f>
      </c>
      <c r="J53">
        <f>IFERROR(INDEX(tblDeviceConfig[PI_Validated_By],ROW()-1),"")</f>
      </c>
      <c r="K53">
        <f>IFERROR(INDEX(tblDeviceConfig[PI_Validated_Date],ROW()-1),"")</f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</c>
      <c r="C54" t="str">
        <f>IFERROR(INDEX(tblDeviceConfig[Deployed],ROW()-1),"")</f>
      </c>
      <c r="D54" t="str">
        <f>IFERROR(INDEX(tblDeviceConfig[Installed],ROW()-1),"")</f>
      </c>
      <c r="E54">
        <f>IFERROR(INDEX(tblDeviceConfig[Cybernet Hostname],ROW()-1),"")</f>
      </c>
      <c r="F54" t="str">
        <f>IFERROR(INDEX(tblDeviceConfig[Neuron Hostname],ROW()-1),"")</f>
      </c>
      <c r="G54">
        <f>IFERROR(INDEX(tblDeviceConfig[Software List],ROW()-1),"")</f>
      </c>
      <c r="H54">
        <f>IFERROR(INDEX(tblDeviceConfig[PI_Use_Case],ROW()-1),"")</f>
      </c>
      <c r="I54">
        <f>IFERROR(INDEX(tblDeviceConfig[PI_Result],ROW()-1),"")</f>
      </c>
      <c r="J54">
        <f>IFERROR(INDEX(tblDeviceConfig[PI_Validated_By],ROW()-1),"")</f>
      </c>
      <c r="K54">
        <f>IFERROR(INDEX(tblDeviceConfig[PI_Validated_Date],ROW()-1),"")</f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</c>
      <c r="C55" t="str">
        <f>IFERROR(INDEX(tblDeviceConfig[Deployed],ROW()-1),"")</f>
      </c>
      <c r="D55" t="str">
        <f>IFERROR(INDEX(tblDeviceConfig[Installed],ROW()-1),"")</f>
      </c>
      <c r="E55">
        <f>IFERROR(INDEX(tblDeviceConfig[Cybernet Hostname],ROW()-1),"")</f>
      </c>
      <c r="F55" t="str">
        <f>IFERROR(INDEX(tblDeviceConfig[Neuron Hostname],ROW()-1),"")</f>
      </c>
      <c r="G55">
        <f>IFERROR(INDEX(tblDeviceConfig[Software List],ROW()-1),"")</f>
      </c>
      <c r="H55">
        <f>IFERROR(INDEX(tblDeviceConfig[PI_Use_Case],ROW()-1),"")</f>
      </c>
      <c r="I55">
        <f>IFERROR(INDEX(tblDeviceConfig[PI_Result],ROW()-1),"")</f>
      </c>
      <c r="J55">
        <f>IFERROR(INDEX(tblDeviceConfig[PI_Validated_By],ROW()-1),"")</f>
      </c>
      <c r="K55">
        <f>IFERROR(INDEX(tblDeviceConfig[PI_Validated_Date],ROW()-1),"")</f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</c>
      <c r="C56" t="str">
        <f>IFERROR(INDEX(tblDeviceConfig[Deployed],ROW()-1),"")</f>
      </c>
      <c r="D56" t="str">
        <f>IFERROR(INDEX(tblDeviceConfig[Installed],ROW()-1),"")</f>
      </c>
      <c r="E56">
        <f>IFERROR(INDEX(tblDeviceConfig[Cybernet Hostname],ROW()-1),"")</f>
      </c>
      <c r="F56" t="str">
        <f>IFERROR(INDEX(tblDeviceConfig[Neuron Hostname],ROW()-1),"")</f>
      </c>
      <c r="G56">
        <f>IFERROR(INDEX(tblDeviceConfig[Software List],ROW()-1),"")</f>
      </c>
      <c r="H56">
        <f>IFERROR(INDEX(tblDeviceConfig[PI_Use_Case],ROW()-1),"")</f>
      </c>
      <c r="I56">
        <f>IFERROR(INDEX(tblDeviceConfig[PI_Result],ROW()-1),"")</f>
      </c>
      <c r="J56">
        <f>IFERROR(INDEX(tblDeviceConfig[PI_Validated_By],ROW()-1),"")</f>
      </c>
      <c r="K56">
        <f>IFERROR(INDEX(tblDeviceConfig[PI_Validated_Date],ROW()-1),"")</f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</c>
      <c r="C57" t="str">
        <f>IFERROR(INDEX(tblDeviceConfig[Deployed],ROW()-1),"")</f>
      </c>
      <c r="D57" t="str">
        <f>IFERROR(INDEX(tblDeviceConfig[Installed],ROW()-1),"")</f>
      </c>
      <c r="E57">
        <f>IFERROR(INDEX(tblDeviceConfig[Cybernet Hostname],ROW()-1),"")</f>
      </c>
      <c r="F57" t="str">
        <f>IFERROR(INDEX(tblDeviceConfig[Neuron Hostname],ROW()-1),"")</f>
      </c>
      <c r="G57">
        <f>IFERROR(INDEX(tblDeviceConfig[Software List],ROW()-1),"")</f>
      </c>
      <c r="H57">
        <f>IFERROR(INDEX(tblDeviceConfig[PI_Use_Case],ROW()-1),"")</f>
      </c>
      <c r="I57">
        <f>IFERROR(INDEX(tblDeviceConfig[PI_Result],ROW()-1),"")</f>
      </c>
      <c r="J57">
        <f>IFERROR(INDEX(tblDeviceConfig[PI_Validated_By],ROW()-1),"")</f>
      </c>
      <c r="K57">
        <f>IFERROR(INDEX(tblDeviceConfig[PI_Validated_Date],ROW()-1),"")</f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</c>
      <c r="C58" t="str">
        <f>IFERROR(INDEX(tblDeviceConfig[Deployed],ROW()-1),"")</f>
      </c>
      <c r="D58" t="str">
        <f>IFERROR(INDEX(tblDeviceConfig[Installed],ROW()-1),"")</f>
      </c>
      <c r="E58">
        <f>IFERROR(INDEX(tblDeviceConfig[Cybernet Hostname],ROW()-1),"")</f>
      </c>
      <c r="F58" t="str">
        <f>IFERROR(INDEX(tblDeviceConfig[Neuron Hostname],ROW()-1),"")</f>
      </c>
      <c r="G58">
        <f>IFERROR(INDEX(tblDeviceConfig[Software List],ROW()-1),"")</f>
      </c>
      <c r="H58">
        <f>IFERROR(INDEX(tblDeviceConfig[PI_Use_Case],ROW()-1),"")</f>
      </c>
      <c r="I58">
        <f>IFERROR(INDEX(tblDeviceConfig[PI_Result],ROW()-1),"")</f>
      </c>
      <c r="J58">
        <f>IFERROR(INDEX(tblDeviceConfig[PI_Validated_By],ROW()-1),"")</f>
      </c>
      <c r="K58">
        <f>IFERROR(INDEX(tblDeviceConfig[PI_Validated_Date],ROW()-1),"")</f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</c>
      <c r="C59" t="str">
        <f>IFERROR(INDEX(tblDeviceConfig[Deployed],ROW()-1),"")</f>
      </c>
      <c r="D59" t="str">
        <f>IFERROR(INDEX(tblDeviceConfig[Installed],ROW()-1),"")</f>
      </c>
      <c r="E59">
        <f>IFERROR(INDEX(tblDeviceConfig[Cybernet Hostname],ROW()-1),"")</f>
      </c>
      <c r="F59" t="str">
        <f>IFERROR(INDEX(tblDeviceConfig[Neuron Hostname],ROW()-1),"")</f>
      </c>
      <c r="G59">
        <f>IFERROR(INDEX(tblDeviceConfig[Software List],ROW()-1),"")</f>
      </c>
      <c r="H59">
        <f>IFERROR(INDEX(tblDeviceConfig[PI_Use_Case],ROW()-1),"")</f>
      </c>
      <c r="I59">
        <f>IFERROR(INDEX(tblDeviceConfig[PI_Result],ROW()-1),"")</f>
      </c>
      <c r="J59">
        <f>IFERROR(INDEX(tblDeviceConfig[PI_Validated_By],ROW()-1),"")</f>
      </c>
      <c r="K59">
        <f>IFERROR(INDEX(tblDeviceConfig[PI_Validated_Date],ROW()-1),"")</f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</c>
      <c r="C60" t="str">
        <f>IFERROR(INDEX(tblDeviceConfig[Deployed],ROW()-1),"")</f>
      </c>
      <c r="D60" t="str">
        <f>IFERROR(INDEX(tblDeviceConfig[Installed],ROW()-1),"")</f>
      </c>
      <c r="E60">
        <f>IFERROR(INDEX(tblDeviceConfig[Cybernet Hostname],ROW()-1),"")</f>
      </c>
      <c r="F60" t="str">
        <f>IFERROR(INDEX(tblDeviceConfig[Neuron Hostname],ROW()-1),"")</f>
      </c>
      <c r="G60">
        <f>IFERROR(INDEX(tblDeviceConfig[Software List],ROW()-1),"")</f>
      </c>
      <c r="H60">
        <f>IFERROR(INDEX(tblDeviceConfig[PI_Use_Case],ROW()-1),"")</f>
      </c>
      <c r="I60">
        <f>IFERROR(INDEX(tblDeviceConfig[PI_Result],ROW()-1),"")</f>
      </c>
      <c r="J60">
        <f>IFERROR(INDEX(tblDeviceConfig[PI_Validated_By],ROW()-1),"")</f>
      </c>
      <c r="K60">
        <f>IFERROR(INDEX(tblDeviceConfig[PI_Validated_Date],ROW()-1),"")</f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</c>
      <c r="C61" t="str">
        <f>IFERROR(INDEX(tblDeviceConfig[Deployed],ROW()-1),"")</f>
      </c>
      <c r="D61" t="str">
        <f>IFERROR(INDEX(tblDeviceConfig[Installed],ROW()-1),"")</f>
      </c>
      <c r="E61">
        <f>IFERROR(INDEX(tblDeviceConfig[Cybernet Hostname],ROW()-1),"")</f>
      </c>
      <c r="F61" t="str">
        <f>IFERROR(INDEX(tblDeviceConfig[Neuron Hostname],ROW()-1),"")</f>
      </c>
      <c r="G61">
        <f>IFERROR(INDEX(tblDeviceConfig[Software List],ROW()-1),"")</f>
      </c>
      <c r="H61">
        <f>IFERROR(INDEX(tblDeviceConfig[PI_Use_Case],ROW()-1),"")</f>
      </c>
      <c r="I61">
        <f>IFERROR(INDEX(tblDeviceConfig[PI_Result],ROW()-1),"")</f>
      </c>
      <c r="J61">
        <f>IFERROR(INDEX(tblDeviceConfig[PI_Validated_By],ROW()-1),"")</f>
      </c>
      <c r="K61">
        <f>IFERROR(INDEX(tblDeviceConfig[PI_Validated_Date],ROW()-1),"")</f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</c>
      <c r="C62" t="str">
        <f>IFERROR(INDEX(tblDeviceConfig[Deployed],ROW()-1),"")</f>
      </c>
      <c r="D62" t="str">
        <f>IFERROR(INDEX(tblDeviceConfig[Installed],ROW()-1),"")</f>
      </c>
      <c r="E62">
        <f>IFERROR(INDEX(tblDeviceConfig[Cybernet Hostname],ROW()-1),"")</f>
      </c>
      <c r="F62" t="str">
        <f>IFERROR(INDEX(tblDeviceConfig[Neuron Hostname],ROW()-1),"")</f>
      </c>
      <c r="G62">
        <f>IFERROR(INDEX(tblDeviceConfig[Software List],ROW()-1),"")</f>
      </c>
      <c r="H62">
        <f>IFERROR(INDEX(tblDeviceConfig[PI_Use_Case],ROW()-1),"")</f>
      </c>
      <c r="I62">
        <f>IFERROR(INDEX(tblDeviceConfig[PI_Result],ROW()-1),"")</f>
      </c>
      <c r="J62">
        <f>IFERROR(INDEX(tblDeviceConfig[PI_Validated_By],ROW()-1),"")</f>
      </c>
      <c r="K62">
        <f>IFERROR(INDEX(tblDeviceConfig[PI_Validated_Date],ROW()-1),"")</f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</c>
      <c r="C63" t="str">
        <f>IFERROR(INDEX(tblDeviceConfig[Deployed],ROW()-1),"")</f>
      </c>
      <c r="D63" t="str">
        <f>IFERROR(INDEX(tblDeviceConfig[Installed],ROW()-1),"")</f>
      </c>
      <c r="E63">
        <f>IFERROR(INDEX(tblDeviceConfig[Cybernet Hostname],ROW()-1),"")</f>
      </c>
      <c r="F63" t="str">
        <f>IFERROR(INDEX(tblDeviceConfig[Neuron Hostname],ROW()-1),"")</f>
      </c>
      <c r="G63">
        <f>IFERROR(INDEX(tblDeviceConfig[Software List],ROW()-1),"")</f>
      </c>
      <c r="H63">
        <f>IFERROR(INDEX(tblDeviceConfig[PI_Use_Case],ROW()-1),"")</f>
      </c>
      <c r="I63">
        <f>IFERROR(INDEX(tblDeviceConfig[PI_Result],ROW()-1),"")</f>
      </c>
      <c r="J63">
        <f>IFERROR(INDEX(tblDeviceConfig[PI_Validated_By],ROW()-1),"")</f>
      </c>
      <c r="K63">
        <f>IFERROR(INDEX(tblDeviceConfig[PI_Validated_Date],ROW()-1),"")</f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</c>
      <c r="C64" t="str">
        <f>IFERROR(INDEX(tblDeviceConfig[Deployed],ROW()-1),"")</f>
      </c>
      <c r="D64" t="str">
        <f>IFERROR(INDEX(tblDeviceConfig[Installed],ROW()-1),"")</f>
      </c>
      <c r="E64">
        <f>IFERROR(INDEX(tblDeviceConfig[Cybernet Hostname],ROW()-1),"")</f>
      </c>
      <c r="F64" t="str">
        <f>IFERROR(INDEX(tblDeviceConfig[Neuron Hostname],ROW()-1),"")</f>
      </c>
      <c r="G64">
        <f>IFERROR(INDEX(tblDeviceConfig[Software List],ROW()-1),"")</f>
      </c>
      <c r="H64">
        <f>IFERROR(INDEX(tblDeviceConfig[PI_Use_Case],ROW()-1),"")</f>
      </c>
      <c r="I64">
        <f>IFERROR(INDEX(tblDeviceConfig[PI_Result],ROW()-1),"")</f>
      </c>
      <c r="J64">
        <f>IFERROR(INDEX(tblDeviceConfig[PI_Validated_By],ROW()-1),"")</f>
      </c>
      <c r="K64">
        <f>IFERROR(INDEX(tblDeviceConfig[PI_Validated_Date],ROW()-1),"")</f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</c>
      <c r="C65" t="str">
        <f>IFERROR(INDEX(tblDeviceConfig[Deployed],ROW()-1),"")</f>
      </c>
      <c r="D65" t="str">
        <f>IFERROR(INDEX(tblDeviceConfig[Installed],ROW()-1),"")</f>
      </c>
      <c r="E65">
        <f>IFERROR(INDEX(tblDeviceConfig[Cybernet Hostname],ROW()-1),"")</f>
      </c>
      <c r="F65" t="str">
        <f>IFERROR(INDEX(tblDeviceConfig[Neuron Hostname],ROW()-1),"")</f>
      </c>
      <c r="G65">
        <f>IFERROR(INDEX(tblDeviceConfig[Software List],ROW()-1),"")</f>
      </c>
      <c r="H65">
        <f>IFERROR(INDEX(tblDeviceConfig[PI_Use_Case],ROW()-1),"")</f>
      </c>
      <c r="I65">
        <f>IFERROR(INDEX(tblDeviceConfig[PI_Result],ROW()-1),"")</f>
      </c>
      <c r="J65">
        <f>IFERROR(INDEX(tblDeviceConfig[PI_Validated_By],ROW()-1),"")</f>
      </c>
      <c r="K65">
        <f>IFERROR(INDEX(tblDeviceConfig[PI_Validated_Date],ROW()-1),"")</f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</c>
      <c r="C66" t="str">
        <f>IFERROR(INDEX(tblDeviceConfig[Deployed],ROW()-1),"")</f>
      </c>
      <c r="D66" t="str">
        <f>IFERROR(INDEX(tblDeviceConfig[Installed],ROW()-1),"")</f>
      </c>
      <c r="E66">
        <f>IFERROR(INDEX(tblDeviceConfig[Cybernet Hostname],ROW()-1),"")</f>
      </c>
      <c r="F66" t="str">
        <f>IFERROR(INDEX(tblDeviceConfig[Neuron Hostname],ROW()-1),"")</f>
      </c>
      <c r="G66">
        <f>IFERROR(INDEX(tblDeviceConfig[Software List],ROW()-1),"")</f>
      </c>
      <c r="H66">
        <f>IFERROR(INDEX(tblDeviceConfig[PI_Use_Case],ROW()-1),"")</f>
      </c>
      <c r="I66">
        <f>IFERROR(INDEX(tblDeviceConfig[PI_Result],ROW()-1),"")</f>
      </c>
      <c r="J66">
        <f>IFERROR(INDEX(tblDeviceConfig[PI_Validated_By],ROW()-1),"")</f>
      </c>
      <c r="K66">
        <f>IFERROR(INDEX(tblDeviceConfig[PI_Validated_Date],ROW()-1),"")</f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</c>
      <c r="C67" t="str">
        <f>IFERROR(INDEX(tblDeviceConfig[Deployed],ROW()-1),"")</f>
      </c>
      <c r="D67" t="str">
        <f>IFERROR(INDEX(tblDeviceConfig[Installed],ROW()-1),"")</f>
      </c>
      <c r="E67">
        <f>IFERROR(INDEX(tblDeviceConfig[Cybernet Hostname],ROW()-1),"")</f>
      </c>
      <c r="F67" t="str">
        <f>IFERROR(INDEX(tblDeviceConfig[Neuron Hostname],ROW()-1),"")</f>
      </c>
      <c r="G67">
        <f>IFERROR(INDEX(tblDeviceConfig[Software List],ROW()-1),"")</f>
      </c>
      <c r="H67">
        <f>IFERROR(INDEX(tblDeviceConfig[PI_Use_Case],ROW()-1),"")</f>
      </c>
      <c r="I67">
        <f>IFERROR(INDEX(tblDeviceConfig[PI_Result],ROW()-1),"")</f>
      </c>
      <c r="J67">
        <f>IFERROR(INDEX(tblDeviceConfig[PI_Validated_By],ROW()-1),"")</f>
      </c>
      <c r="K67">
        <f>IFERROR(INDEX(tblDeviceConfig[PI_Validated_Date],ROW()-1),"")</f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</c>
      <c r="C68" t="str">
        <f>IFERROR(INDEX(tblDeviceConfig[Deployed],ROW()-1),"")</f>
      </c>
      <c r="D68" t="str">
        <f>IFERROR(INDEX(tblDeviceConfig[Installed],ROW()-1),"")</f>
      </c>
      <c r="E68">
        <f>IFERROR(INDEX(tblDeviceConfig[Cybernet Hostname],ROW()-1),"")</f>
      </c>
      <c r="F68" t="str">
        <f>IFERROR(INDEX(tblDeviceConfig[Neuron Hostname],ROW()-1),"")</f>
      </c>
      <c r="G68">
        <f>IFERROR(INDEX(tblDeviceConfig[Software List],ROW()-1),"")</f>
      </c>
      <c r="H68">
        <f>IFERROR(INDEX(tblDeviceConfig[PI_Use_Case],ROW()-1),"")</f>
      </c>
      <c r="I68">
        <f>IFERROR(INDEX(tblDeviceConfig[PI_Result],ROW()-1),"")</f>
      </c>
      <c r="J68">
        <f>IFERROR(INDEX(tblDeviceConfig[PI_Validated_By],ROW()-1),"")</f>
      </c>
      <c r="K68">
        <f>IFERROR(INDEX(tblDeviceConfig[PI_Validated_Date],ROW()-1),"")</f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</c>
      <c r="C69" t="str">
        <f>IFERROR(INDEX(tblDeviceConfig[Deployed],ROW()-1),"")</f>
      </c>
      <c r="D69" t="str">
        <f>IFERROR(INDEX(tblDeviceConfig[Installed],ROW()-1),"")</f>
      </c>
      <c r="E69">
        <f>IFERROR(INDEX(tblDeviceConfig[Cybernet Hostname],ROW()-1),"")</f>
      </c>
      <c r="F69" t="str">
        <f>IFERROR(INDEX(tblDeviceConfig[Neuron Hostname],ROW()-1),"")</f>
      </c>
      <c r="G69">
        <f>IFERROR(INDEX(tblDeviceConfig[Software List],ROW()-1),"")</f>
      </c>
      <c r="H69">
        <f>IFERROR(INDEX(tblDeviceConfig[PI_Use_Case],ROW()-1),"")</f>
      </c>
      <c r="I69">
        <f>IFERROR(INDEX(tblDeviceConfig[PI_Result],ROW()-1),"")</f>
      </c>
      <c r="J69">
        <f>IFERROR(INDEX(tblDeviceConfig[PI_Validated_By],ROW()-1),"")</f>
      </c>
      <c r="K69">
        <f>IFERROR(INDEX(tblDeviceConfig[PI_Validated_Date],ROW()-1),"")</f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</c>
      <c r="C70" t="str">
        <f>IFERROR(INDEX(tblDeviceConfig[Deployed],ROW()-1),"")</f>
      </c>
      <c r="D70" t="str">
        <f>IFERROR(INDEX(tblDeviceConfig[Installed],ROW()-1),"")</f>
      </c>
      <c r="E70">
        <f>IFERROR(INDEX(tblDeviceConfig[Cybernet Hostname],ROW()-1),"")</f>
      </c>
      <c r="F70" t="str">
        <f>IFERROR(INDEX(tblDeviceConfig[Neuron Hostname],ROW()-1),"")</f>
      </c>
      <c r="G70">
        <f>IFERROR(INDEX(tblDeviceConfig[Software List],ROW()-1),"")</f>
      </c>
      <c r="H70">
        <f>IFERROR(INDEX(tblDeviceConfig[PI_Use_Case],ROW()-1),"")</f>
      </c>
      <c r="I70">
        <f>IFERROR(INDEX(tblDeviceConfig[PI_Result],ROW()-1),"")</f>
      </c>
      <c r="J70">
        <f>IFERROR(INDEX(tblDeviceConfig[PI_Validated_By],ROW()-1),"")</f>
      </c>
      <c r="K70">
        <f>IFERROR(INDEX(tblDeviceConfig[PI_Validated_Date],ROW()-1),"")</f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</c>
      <c r="C71" t="str">
        <f>IFERROR(INDEX(tblDeviceConfig[Deployed],ROW()-1),"")</f>
      </c>
      <c r="D71" t="str">
        <f>IFERROR(INDEX(tblDeviceConfig[Installed],ROW()-1),"")</f>
      </c>
      <c r="E71">
        <f>IFERROR(INDEX(tblDeviceConfig[Cybernet Hostname],ROW()-1),"")</f>
      </c>
      <c r="F71" t="str">
        <f>IFERROR(INDEX(tblDeviceConfig[Neuron Hostname],ROW()-1),"")</f>
      </c>
      <c r="G71">
        <f>IFERROR(INDEX(tblDeviceConfig[Software List],ROW()-1),"")</f>
      </c>
      <c r="H71">
        <f>IFERROR(INDEX(tblDeviceConfig[PI_Use_Case],ROW()-1),"")</f>
      </c>
      <c r="I71">
        <f>IFERROR(INDEX(tblDeviceConfig[PI_Result],ROW()-1),"")</f>
      </c>
      <c r="J71">
        <f>IFERROR(INDEX(tblDeviceConfig[PI_Validated_By],ROW()-1),"")</f>
      </c>
      <c r="K71">
        <f>IFERROR(INDEX(tblDeviceConfig[PI_Validated_Date],ROW()-1),"")</f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</c>
      <c r="C72" t="str">
        <f>IFERROR(INDEX(tblDeviceConfig[Deployed],ROW()-1),"")</f>
      </c>
      <c r="D72" t="str">
        <f>IFERROR(INDEX(tblDeviceConfig[Installed],ROW()-1),"")</f>
      </c>
      <c r="E72">
        <f>IFERROR(INDEX(tblDeviceConfig[Cybernet Hostname],ROW()-1),"")</f>
      </c>
      <c r="F72" t="str">
        <f>IFERROR(INDEX(tblDeviceConfig[Neuron Hostname],ROW()-1),"")</f>
      </c>
      <c r="G72">
        <f>IFERROR(INDEX(tblDeviceConfig[Software List],ROW()-1),"")</f>
      </c>
      <c r="H72">
        <f>IFERROR(INDEX(tblDeviceConfig[PI_Use_Case],ROW()-1),"")</f>
      </c>
      <c r="I72">
        <f>IFERROR(INDEX(tblDeviceConfig[PI_Result],ROW()-1),"")</f>
      </c>
      <c r="J72">
        <f>IFERROR(INDEX(tblDeviceConfig[PI_Validated_By],ROW()-1),"")</f>
      </c>
      <c r="K72">
        <f>IFERROR(INDEX(tblDeviceConfig[PI_Validated_Date],ROW()-1),"")</f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</c>
      <c r="C73" t="str">
        <f>IFERROR(INDEX(tblDeviceConfig[Deployed],ROW()-1),"")</f>
      </c>
      <c r="D73" t="str">
        <f>IFERROR(INDEX(tblDeviceConfig[Installed],ROW()-1),"")</f>
      </c>
      <c r="E73">
        <f>IFERROR(INDEX(tblDeviceConfig[Cybernet Hostname],ROW()-1),"")</f>
      </c>
      <c r="F73" t="str">
        <f>IFERROR(INDEX(tblDeviceConfig[Neuron Hostname],ROW()-1),"")</f>
      </c>
      <c r="G73">
        <f>IFERROR(INDEX(tblDeviceConfig[Software List],ROW()-1),"")</f>
      </c>
      <c r="H73">
        <f>IFERROR(INDEX(tblDeviceConfig[PI_Use_Case],ROW()-1),"")</f>
      </c>
      <c r="I73">
        <f>IFERROR(INDEX(tblDeviceConfig[PI_Result],ROW()-1),"")</f>
      </c>
      <c r="J73">
        <f>IFERROR(INDEX(tblDeviceConfig[PI_Validated_By],ROW()-1),"")</f>
      </c>
      <c r="K73">
        <f>IFERROR(INDEX(tblDeviceConfig[PI_Validated_Date],ROW()-1),"")</f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</c>
      <c r="C74" t="str">
        <f>IFERROR(INDEX(tblDeviceConfig[Deployed],ROW()-1),"")</f>
      </c>
      <c r="D74" t="str">
        <f>IFERROR(INDEX(tblDeviceConfig[Installed],ROW()-1),"")</f>
      </c>
      <c r="E74">
        <f>IFERROR(INDEX(tblDeviceConfig[Cybernet Hostname],ROW()-1),"")</f>
      </c>
      <c r="F74" t="str">
        <f>IFERROR(INDEX(tblDeviceConfig[Neuron Hostname],ROW()-1),"")</f>
      </c>
      <c r="G74">
        <f>IFERROR(INDEX(tblDeviceConfig[Software List],ROW()-1),"")</f>
      </c>
      <c r="H74">
        <f>IFERROR(INDEX(tblDeviceConfig[PI_Use_Case],ROW()-1),"")</f>
      </c>
      <c r="I74">
        <f>IFERROR(INDEX(tblDeviceConfig[PI_Result],ROW()-1),"")</f>
      </c>
      <c r="J74">
        <f>IFERROR(INDEX(tblDeviceConfig[PI_Validated_By],ROW()-1),"")</f>
      </c>
      <c r="K74">
        <f>IFERROR(INDEX(tblDeviceConfig[PI_Validated_Date],ROW()-1),"")</f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</c>
      <c r="C75" t="str">
        <f>IFERROR(INDEX(tblDeviceConfig[Deployed],ROW()-1),"")</f>
      </c>
      <c r="D75" t="str">
        <f>IFERROR(INDEX(tblDeviceConfig[Installed],ROW()-1),"")</f>
      </c>
      <c r="E75">
        <f>IFERROR(INDEX(tblDeviceConfig[Cybernet Hostname],ROW()-1),"")</f>
      </c>
      <c r="F75" t="str">
        <f>IFERROR(INDEX(tblDeviceConfig[Neuron Hostname],ROW()-1),"")</f>
      </c>
      <c r="G75">
        <f>IFERROR(INDEX(tblDeviceConfig[Software List],ROW()-1),"")</f>
      </c>
      <c r="H75">
        <f>IFERROR(INDEX(tblDeviceConfig[PI_Use_Case],ROW()-1),"")</f>
      </c>
      <c r="I75">
        <f>IFERROR(INDEX(tblDeviceConfig[PI_Result],ROW()-1),"")</f>
      </c>
      <c r="J75">
        <f>IFERROR(INDEX(tblDeviceConfig[PI_Validated_By],ROW()-1),"")</f>
      </c>
      <c r="K75">
        <f>IFERROR(INDEX(tblDeviceConfig[PI_Validated_Date],ROW()-1),"")</f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</c>
      <c r="C76" t="str">
        <f>IFERROR(INDEX(tblDeviceConfig[Deployed],ROW()-1),"")</f>
      </c>
      <c r="D76" t="str">
        <f>IFERROR(INDEX(tblDeviceConfig[Installed],ROW()-1),"")</f>
      </c>
      <c r="E76">
        <f>IFERROR(INDEX(tblDeviceConfig[Cybernet Hostname],ROW()-1),"")</f>
      </c>
      <c r="F76" t="str">
        <f>IFERROR(INDEX(tblDeviceConfig[Neuron Hostname],ROW()-1),"")</f>
      </c>
      <c r="G76">
        <f>IFERROR(INDEX(tblDeviceConfig[Software List],ROW()-1),"")</f>
      </c>
      <c r="H76">
        <f>IFERROR(INDEX(tblDeviceConfig[PI_Use_Case],ROW()-1),"")</f>
      </c>
      <c r="I76">
        <f>IFERROR(INDEX(tblDeviceConfig[PI_Result],ROW()-1),"")</f>
      </c>
      <c r="J76">
        <f>IFERROR(INDEX(tblDeviceConfig[PI_Validated_By],ROW()-1),"")</f>
      </c>
      <c r="K76">
        <f>IFERROR(INDEX(tblDeviceConfig[PI_Validated_Date],ROW()-1),"")</f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</c>
      <c r="C77" t="str">
        <f>IFERROR(INDEX(tblDeviceConfig[Deployed],ROW()-1),"")</f>
      </c>
      <c r="D77" t="str">
        <f>IFERROR(INDEX(tblDeviceConfig[Installed],ROW()-1),"")</f>
      </c>
      <c r="E77">
        <f>IFERROR(INDEX(tblDeviceConfig[Cybernet Hostname],ROW()-1),"")</f>
      </c>
      <c r="F77" t="str">
        <f>IFERROR(INDEX(tblDeviceConfig[Neuron Hostname],ROW()-1),"")</f>
      </c>
      <c r="G77">
        <f>IFERROR(INDEX(tblDeviceConfig[Software List],ROW()-1),"")</f>
      </c>
      <c r="H77">
        <f>IFERROR(INDEX(tblDeviceConfig[PI_Use_Case],ROW()-1),"")</f>
      </c>
      <c r="I77">
        <f>IFERROR(INDEX(tblDeviceConfig[PI_Result],ROW()-1),"")</f>
      </c>
      <c r="J77">
        <f>IFERROR(INDEX(tblDeviceConfig[PI_Validated_By],ROW()-1),"")</f>
      </c>
      <c r="K77">
        <f>IFERROR(INDEX(tblDeviceConfig[PI_Validated_Date],ROW()-1),"")</f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</c>
      <c r="C78">
        <f>IFERROR(INDEX(tblDeviceConfig[Deployed],ROW()-1),"")</f>
      </c>
      <c r="D78" t="str">
        <f>IFERROR(INDEX(tblDeviceConfig[Installed],ROW()-1),"")</f>
      </c>
      <c r="E78">
        <f>IFERROR(INDEX(tblDeviceConfig[Cybernet Hostname],ROW()-1),"")</f>
      </c>
      <c r="F78" t="str">
        <f>IFERROR(INDEX(tblDeviceConfig[Neuron Hostname],ROW()-1),"")</f>
      </c>
      <c r="G78">
        <f>IFERROR(INDEX(tblDeviceConfig[Software List],ROW()-1),"")</f>
      </c>
      <c r="H78">
        <f>IFERROR(INDEX(tblDeviceConfig[PI_Use_Case],ROW()-1),"")</f>
      </c>
      <c r="I78">
        <f>IFERROR(INDEX(tblDeviceConfig[PI_Result],ROW()-1),"")</f>
      </c>
      <c r="J78">
        <f>IFERROR(INDEX(tblDeviceConfig[PI_Validated_By],ROW()-1),"")</f>
      </c>
      <c r="K78">
        <f>IFERROR(INDEX(tblDeviceConfig[PI_Validated_Date],ROW()-1),"")</f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</c>
      <c r="C79">
        <f>IFERROR(INDEX(tblDeviceConfig[Deployed],ROW()-1),"")</f>
      </c>
      <c r="D79" t="str">
        <f>IFERROR(INDEX(tblDeviceConfig[Installed],ROW()-1),"")</f>
      </c>
      <c r="E79">
        <f>IFERROR(INDEX(tblDeviceConfig[Cybernet Hostname],ROW()-1),"")</f>
      </c>
      <c r="F79" t="str">
        <f>IFERROR(INDEX(tblDeviceConfig[Neuron Hostname],ROW()-1),"")</f>
      </c>
      <c r="G79">
        <f>IFERROR(INDEX(tblDeviceConfig[Software List],ROW()-1),"")</f>
      </c>
      <c r="H79">
        <f>IFERROR(INDEX(tblDeviceConfig[PI_Use_Case],ROW()-1),"")</f>
      </c>
      <c r="I79">
        <f>IFERROR(INDEX(tblDeviceConfig[PI_Result],ROW()-1),"")</f>
      </c>
      <c r="J79">
        <f>IFERROR(INDEX(tblDeviceConfig[PI_Validated_By],ROW()-1),"")</f>
      </c>
      <c r="K79">
        <f>IFERROR(INDEX(tblDeviceConfig[PI_Validated_Date],ROW()-1),"")</f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</c>
      <c r="C80">
        <f>IFERROR(INDEX(tblDeviceConfig[Deployed],ROW()-1),"")</f>
      </c>
      <c r="D80" t="str">
        <f>IFERROR(INDEX(tblDeviceConfig[Installed],ROW()-1),"")</f>
      </c>
      <c r="E80">
        <f>IFERROR(INDEX(tblDeviceConfig[Cybernet Hostname],ROW()-1),"")</f>
      </c>
      <c r="F80" t="str">
        <f>IFERROR(INDEX(tblDeviceConfig[Neuron Hostname],ROW()-1),"")</f>
      </c>
      <c r="G80">
        <f>IFERROR(INDEX(tblDeviceConfig[Software List],ROW()-1),"")</f>
      </c>
      <c r="H80">
        <f>IFERROR(INDEX(tblDeviceConfig[PI_Use_Case],ROW()-1),"")</f>
      </c>
      <c r="I80">
        <f>IFERROR(INDEX(tblDeviceConfig[PI_Result],ROW()-1),"")</f>
      </c>
      <c r="J80">
        <f>IFERROR(INDEX(tblDeviceConfig[PI_Validated_By],ROW()-1),"")</f>
      </c>
      <c r="K80">
        <f>IFERROR(INDEX(tblDeviceConfig[PI_Validated_Date],ROW()-1),"")</f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</c>
      <c r="C81">
        <f>IFERROR(INDEX(tblDeviceConfig[Deployed],ROW()-1),"")</f>
      </c>
      <c r="D81" t="str">
        <f>IFERROR(INDEX(tblDeviceConfig[Installed],ROW()-1),"")</f>
      </c>
      <c r="E81">
        <f>IFERROR(INDEX(tblDeviceConfig[Cybernet Hostname],ROW()-1),"")</f>
      </c>
      <c r="F81" t="str">
        <f>IFERROR(INDEX(tblDeviceConfig[Neuron Hostname],ROW()-1),"")</f>
      </c>
      <c r="G81">
        <f>IFERROR(INDEX(tblDeviceConfig[Software List],ROW()-1),"")</f>
      </c>
      <c r="H81">
        <f>IFERROR(INDEX(tblDeviceConfig[PI_Use_Case],ROW()-1),"")</f>
      </c>
      <c r="I81">
        <f>IFERROR(INDEX(tblDeviceConfig[PI_Result],ROW()-1),"")</f>
      </c>
      <c r="J81">
        <f>IFERROR(INDEX(tblDeviceConfig[PI_Validated_By],ROW()-1),"")</f>
      </c>
      <c r="K81">
        <f>IFERROR(INDEX(tblDeviceConfig[PI_Validated_Date],ROW()-1),"")</f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</c>
      <c r="C82">
        <f>IFERROR(INDEX(tblDeviceConfig[Deployed],ROW()-1),"")</f>
      </c>
      <c r="D82" t="str">
        <f>IFERROR(INDEX(tblDeviceConfig[Installed],ROW()-1),"")</f>
      </c>
      <c r="E82">
        <f>IFERROR(INDEX(tblDeviceConfig[Cybernet Hostname],ROW()-1),"")</f>
      </c>
      <c r="F82" t="str">
        <f>IFERROR(INDEX(tblDeviceConfig[Neuron Hostname],ROW()-1),"")</f>
      </c>
      <c r="G82">
        <f>IFERROR(INDEX(tblDeviceConfig[Software List],ROW()-1),"")</f>
      </c>
      <c r="H82">
        <f>IFERROR(INDEX(tblDeviceConfig[PI_Use_Case],ROW()-1),"")</f>
      </c>
      <c r="I82">
        <f>IFERROR(INDEX(tblDeviceConfig[PI_Result],ROW()-1),"")</f>
      </c>
      <c r="J82">
        <f>IFERROR(INDEX(tblDeviceConfig[PI_Validated_By],ROW()-1),"")</f>
      </c>
      <c r="K82">
        <f>IFERROR(INDEX(tblDeviceConfig[PI_Validated_Date],ROW()-1),"")</f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</c>
      <c r="C83">
        <f>IFERROR(INDEX(tblDeviceConfig[Deployed],ROW()-1),"")</f>
      </c>
      <c r="D83" t="str">
        <f>IFERROR(INDEX(tblDeviceConfig[Installed],ROW()-1),"")</f>
      </c>
      <c r="E83">
        <f>IFERROR(INDEX(tblDeviceConfig[Cybernet Hostname],ROW()-1),"")</f>
      </c>
      <c r="F83" t="str">
        <f>IFERROR(INDEX(tblDeviceConfig[Neuron Hostname],ROW()-1),"")</f>
      </c>
      <c r="G83">
        <f>IFERROR(INDEX(tblDeviceConfig[Software List],ROW()-1),"")</f>
      </c>
      <c r="H83">
        <f>IFERROR(INDEX(tblDeviceConfig[PI_Use_Case],ROW()-1),"")</f>
      </c>
      <c r="I83">
        <f>IFERROR(INDEX(tblDeviceConfig[PI_Result],ROW()-1),"")</f>
      </c>
      <c r="J83">
        <f>IFERROR(INDEX(tblDeviceConfig[PI_Validated_By],ROW()-1),"")</f>
      </c>
      <c r="K83">
        <f>IFERROR(INDEX(tblDeviceConfig[PI_Validated_Date],ROW()-1),"")</f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</c>
      <c r="C84">
        <f>IFERROR(INDEX(tblDeviceConfig[Deployed],ROW()-1),"")</f>
      </c>
      <c r="D84" t="str">
        <f>IFERROR(INDEX(tblDeviceConfig[Installed],ROW()-1),"")</f>
      </c>
      <c r="E84">
        <f>IFERROR(INDEX(tblDeviceConfig[Cybernet Hostname],ROW()-1),"")</f>
      </c>
      <c r="F84" t="str">
        <f>IFERROR(INDEX(tblDeviceConfig[Neuron Hostname],ROW()-1),"")</f>
      </c>
      <c r="G84">
        <f>IFERROR(INDEX(tblDeviceConfig[Software List],ROW()-1),"")</f>
      </c>
      <c r="H84">
        <f>IFERROR(INDEX(tblDeviceConfig[PI_Use_Case],ROW()-1),"")</f>
      </c>
      <c r="I84">
        <f>IFERROR(INDEX(tblDeviceConfig[PI_Result],ROW()-1),"")</f>
      </c>
      <c r="J84">
        <f>IFERROR(INDEX(tblDeviceConfig[PI_Validated_By],ROW()-1),"")</f>
      </c>
      <c r="K84">
        <f>IFERROR(INDEX(tblDeviceConfig[PI_Validated_Date],ROW()-1),"")</f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</c>
      <c r="C85" t="str">
        <f>IFERROR(INDEX(tblDeviceConfig[Deployed],ROW()-1),"")</f>
      </c>
      <c r="D85" t="str">
        <f>IFERROR(INDEX(tblDeviceConfig[Installed],ROW()-1),"")</f>
      </c>
      <c r="E85">
        <f>IFERROR(INDEX(tblDeviceConfig[Cybernet Hostname],ROW()-1),"")</f>
      </c>
      <c r="F85" t="str">
        <f>IFERROR(INDEX(tblDeviceConfig[Neuron Hostname],ROW()-1),"")</f>
      </c>
      <c r="G85">
        <f>IFERROR(INDEX(tblDeviceConfig[Software List],ROW()-1),"")</f>
      </c>
      <c r="H85">
        <f>IFERROR(INDEX(tblDeviceConfig[PI_Use_Case],ROW()-1),"")</f>
      </c>
      <c r="I85">
        <f>IFERROR(INDEX(tblDeviceConfig[PI_Result],ROW()-1),"")</f>
      </c>
      <c r="J85">
        <f>IFERROR(INDEX(tblDeviceConfig[PI_Validated_By],ROW()-1),"")</f>
      </c>
      <c r="K85">
        <f>IFERROR(INDEX(tblDeviceConfig[PI_Validated_Date],ROW()-1),"")</f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</c>
      <c r="C86" t="str">
        <f>IFERROR(INDEX(tblDeviceConfig[Deployed],ROW()-1),"")</f>
      </c>
      <c r="D86" t="str">
        <f>IFERROR(INDEX(tblDeviceConfig[Installed],ROW()-1),"")</f>
      </c>
      <c r="E86">
        <f>IFERROR(INDEX(tblDeviceConfig[Cybernet Hostname],ROW()-1),"")</f>
      </c>
      <c r="F86" t="str">
        <f>IFERROR(INDEX(tblDeviceConfig[Neuron Hostname],ROW()-1),"")</f>
      </c>
      <c r="G86">
        <f>IFERROR(INDEX(tblDeviceConfig[Software List],ROW()-1),"")</f>
      </c>
      <c r="H86">
        <f>IFERROR(INDEX(tblDeviceConfig[PI_Use_Case],ROW()-1),"")</f>
      </c>
      <c r="I86">
        <f>IFERROR(INDEX(tblDeviceConfig[PI_Result],ROW()-1),"")</f>
      </c>
      <c r="J86">
        <f>IFERROR(INDEX(tblDeviceConfig[PI_Validated_By],ROW()-1),"")</f>
      </c>
      <c r="K86">
        <f>IFERROR(INDEX(tblDeviceConfig[PI_Validated_Date],ROW()-1),"")</f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</c>
      <c r="C87" t="str">
        <f>IFERROR(INDEX(tblDeviceConfig[Deployed],ROW()-1),"")</f>
      </c>
      <c r="D87" t="str">
        <f>IFERROR(INDEX(tblDeviceConfig[Installed],ROW()-1),"")</f>
      </c>
      <c r="E87">
        <f>IFERROR(INDEX(tblDeviceConfig[Cybernet Hostname],ROW()-1),"")</f>
      </c>
      <c r="F87" t="str">
        <f>IFERROR(INDEX(tblDeviceConfig[Neuron Hostname],ROW()-1),"")</f>
      </c>
      <c r="G87">
        <f>IFERROR(INDEX(tblDeviceConfig[Software List],ROW()-1),"")</f>
      </c>
      <c r="H87">
        <f>IFERROR(INDEX(tblDeviceConfig[PI_Use_Case],ROW()-1),"")</f>
      </c>
      <c r="I87">
        <f>IFERROR(INDEX(tblDeviceConfig[PI_Result],ROW()-1),"")</f>
      </c>
      <c r="J87">
        <f>IFERROR(INDEX(tblDeviceConfig[PI_Validated_By],ROW()-1),"")</f>
      </c>
      <c r="K87">
        <f>IFERROR(INDEX(tblDeviceConfig[PI_Validated_Date],ROW()-1),"")</f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</c>
      <c r="C88" t="str">
        <f>IFERROR(INDEX(tblDeviceConfig[Deployed],ROW()-1),"")</f>
      </c>
      <c r="D88" t="str">
        <f>IFERROR(INDEX(tblDeviceConfig[Installed],ROW()-1),"")</f>
      </c>
      <c r="E88">
        <f>IFERROR(INDEX(tblDeviceConfig[Cybernet Hostname],ROW()-1),"")</f>
      </c>
      <c r="F88" t="str">
        <f>IFERROR(INDEX(tblDeviceConfig[Neuron Hostname],ROW()-1),"")</f>
      </c>
      <c r="G88">
        <f>IFERROR(INDEX(tblDeviceConfig[Software List],ROW()-1),"")</f>
      </c>
      <c r="H88">
        <f>IFERROR(INDEX(tblDeviceConfig[PI_Use_Case],ROW()-1),"")</f>
      </c>
      <c r="I88">
        <f>IFERROR(INDEX(tblDeviceConfig[PI_Result],ROW()-1),"")</f>
      </c>
      <c r="J88">
        <f>IFERROR(INDEX(tblDeviceConfig[PI_Validated_By],ROW()-1),"")</f>
      </c>
      <c r="K88">
        <f>IFERROR(INDEX(tblDeviceConfig[PI_Validated_Date],ROW()-1),"")</f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</c>
      <c r="C89" t="str">
        <f>IFERROR(INDEX(tblDeviceConfig[Deployed],ROW()-1),"")</f>
      </c>
      <c r="D89" t="str">
        <f>IFERROR(INDEX(tblDeviceConfig[Installed],ROW()-1),"")</f>
      </c>
      <c r="E89">
        <f>IFERROR(INDEX(tblDeviceConfig[Cybernet Hostname],ROW()-1),"")</f>
      </c>
      <c r="F89" t="str">
        <f>IFERROR(INDEX(tblDeviceConfig[Neuron Hostname],ROW()-1),"")</f>
      </c>
      <c r="G89">
        <f>IFERROR(INDEX(tblDeviceConfig[Software List],ROW()-1),"")</f>
      </c>
      <c r="H89">
        <f>IFERROR(INDEX(tblDeviceConfig[PI_Use_Case],ROW()-1),"")</f>
      </c>
      <c r="I89">
        <f>IFERROR(INDEX(tblDeviceConfig[PI_Result],ROW()-1),"")</f>
      </c>
      <c r="J89">
        <f>IFERROR(INDEX(tblDeviceConfig[PI_Validated_By],ROW()-1),"")</f>
      </c>
      <c r="K89">
        <f>IFERROR(INDEX(tblDeviceConfig[PI_Validated_Date],ROW()-1),"")</f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</c>
      <c r="C90">
        <f>IFERROR(INDEX(tblDeviceConfig[Deployed],ROW()-1),"")</f>
      </c>
      <c r="D90" t="str">
        <f>IFERROR(INDEX(tblDeviceConfig[Installed],ROW()-1),"")</f>
      </c>
      <c r="E90">
        <f>IFERROR(INDEX(tblDeviceConfig[Cybernet Hostname],ROW()-1),"")</f>
      </c>
      <c r="F90" t="str">
        <f>IFERROR(INDEX(tblDeviceConfig[Neuron Hostname],ROW()-1),"")</f>
      </c>
      <c r="G90">
        <f>IFERROR(INDEX(tblDeviceConfig[Software List],ROW()-1),"")</f>
      </c>
      <c r="H90">
        <f>IFERROR(INDEX(tblDeviceConfig[PI_Use_Case],ROW()-1),"")</f>
      </c>
      <c r="I90">
        <f>IFERROR(INDEX(tblDeviceConfig[PI_Result],ROW()-1),"")</f>
      </c>
      <c r="J90">
        <f>IFERROR(INDEX(tblDeviceConfig[PI_Validated_By],ROW()-1),"")</f>
      </c>
      <c r="K90">
        <f>IFERROR(INDEX(tblDeviceConfig[PI_Validated_Date],ROW()-1),"")</f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</c>
      <c r="C91">
        <f>IFERROR(INDEX(tblDeviceConfig[Deployed],ROW()-1),"")</f>
      </c>
      <c r="D91" t="str">
        <f>IFERROR(INDEX(tblDeviceConfig[Installed],ROW()-1),"")</f>
      </c>
      <c r="E91">
        <f>IFERROR(INDEX(tblDeviceConfig[Cybernet Hostname],ROW()-1),"")</f>
      </c>
      <c r="F91" t="str">
        <f>IFERROR(INDEX(tblDeviceConfig[Neuron Hostname],ROW()-1),"")</f>
      </c>
      <c r="G91">
        <f>IFERROR(INDEX(tblDeviceConfig[Software List],ROW()-1),"")</f>
      </c>
      <c r="H91">
        <f>IFERROR(INDEX(tblDeviceConfig[PI_Use_Case],ROW()-1),"")</f>
      </c>
      <c r="I91">
        <f>IFERROR(INDEX(tblDeviceConfig[PI_Result],ROW()-1),"")</f>
      </c>
      <c r="J91">
        <f>IFERROR(INDEX(tblDeviceConfig[PI_Validated_By],ROW()-1),"")</f>
      </c>
      <c r="K91">
        <f>IFERROR(INDEX(tblDeviceConfig[PI_Validated_Date],ROW()-1),"")</f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</c>
      <c r="C92">
        <f>IFERROR(INDEX(tblDeviceConfig[Deployed],ROW()-1),"")</f>
      </c>
      <c r="D92" t="str">
        <f>IFERROR(INDEX(tblDeviceConfig[Installed],ROW()-1),"")</f>
      </c>
      <c r="E92">
        <f>IFERROR(INDEX(tblDeviceConfig[Cybernet Hostname],ROW()-1),"")</f>
      </c>
      <c r="F92" t="str">
        <f>IFERROR(INDEX(tblDeviceConfig[Neuron Hostname],ROW()-1),"")</f>
      </c>
      <c r="G92">
        <f>IFERROR(INDEX(tblDeviceConfig[Software List],ROW()-1),"")</f>
      </c>
      <c r="H92">
        <f>IFERROR(INDEX(tblDeviceConfig[PI_Use_Case],ROW()-1),"")</f>
      </c>
      <c r="I92">
        <f>IFERROR(INDEX(tblDeviceConfig[PI_Result],ROW()-1),"")</f>
      </c>
      <c r="J92">
        <f>IFERROR(INDEX(tblDeviceConfig[PI_Validated_By],ROW()-1),"")</f>
      </c>
      <c r="K92">
        <f>IFERROR(INDEX(tblDeviceConfig[PI_Validated_Date],ROW()-1),"")</f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</c>
      <c r="C93">
        <f>IFERROR(INDEX(tblDeviceConfig[Deployed],ROW()-1),"")</f>
      </c>
      <c r="D93" t="str">
        <f>IFERROR(INDEX(tblDeviceConfig[Installed],ROW()-1),"")</f>
      </c>
      <c r="E93">
        <f>IFERROR(INDEX(tblDeviceConfig[Cybernet Hostname],ROW()-1),"")</f>
      </c>
      <c r="F93" t="str">
        <f>IFERROR(INDEX(tblDeviceConfig[Neuron Hostname],ROW()-1),"")</f>
      </c>
      <c r="G93">
        <f>IFERROR(INDEX(tblDeviceConfig[Software List],ROW()-1),"")</f>
      </c>
      <c r="H93">
        <f>IFERROR(INDEX(tblDeviceConfig[PI_Use_Case],ROW()-1),"")</f>
      </c>
      <c r="I93">
        <f>IFERROR(INDEX(tblDeviceConfig[PI_Result],ROW()-1),"")</f>
      </c>
      <c r="J93">
        <f>IFERROR(INDEX(tblDeviceConfig[PI_Validated_By],ROW()-1),"")</f>
      </c>
      <c r="K93">
        <f>IFERROR(INDEX(tblDeviceConfig[PI_Validated_Date],ROW()-1),"")</f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</c>
      <c r="C94">
        <f>IFERROR(INDEX(tblDeviceConfig[Deployed],ROW()-1),"")</f>
      </c>
      <c r="D94" t="str">
        <f>IFERROR(INDEX(tblDeviceConfig[Installed],ROW()-1),"")</f>
      </c>
      <c r="E94">
        <f>IFERROR(INDEX(tblDeviceConfig[Cybernet Hostname],ROW()-1),"")</f>
      </c>
      <c r="F94" t="str">
        <f>IFERROR(INDEX(tblDeviceConfig[Neuron Hostname],ROW()-1),"")</f>
      </c>
      <c r="G94">
        <f>IFERROR(INDEX(tblDeviceConfig[Software List],ROW()-1),"")</f>
      </c>
      <c r="H94">
        <f>IFERROR(INDEX(tblDeviceConfig[PI_Use_Case],ROW()-1),"")</f>
      </c>
      <c r="I94">
        <f>IFERROR(INDEX(tblDeviceConfig[PI_Result],ROW()-1),"")</f>
      </c>
      <c r="J94">
        <f>IFERROR(INDEX(tblDeviceConfig[PI_Validated_By],ROW()-1),"")</f>
      </c>
      <c r="K94">
        <f>IFERROR(INDEX(tblDeviceConfig[PI_Validated_Date],ROW()-1),"")</f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</c>
      <c r="C95">
        <f>IFERROR(INDEX(tblDeviceConfig[Deployed],ROW()-1),"")</f>
      </c>
      <c r="D95" t="str">
        <f>IFERROR(INDEX(tblDeviceConfig[Installed],ROW()-1),"")</f>
      </c>
      <c r="E95">
        <f>IFERROR(INDEX(tblDeviceConfig[Cybernet Hostname],ROW()-1),"")</f>
      </c>
      <c r="F95" t="str">
        <f>IFERROR(INDEX(tblDeviceConfig[Neuron Hostname],ROW()-1),"")</f>
      </c>
      <c r="G95">
        <f>IFERROR(INDEX(tblDeviceConfig[Software List],ROW()-1),"")</f>
      </c>
      <c r="H95">
        <f>IFERROR(INDEX(tblDeviceConfig[PI_Use_Case],ROW()-1),"")</f>
      </c>
      <c r="I95">
        <f>IFERROR(INDEX(tblDeviceConfig[PI_Result],ROW()-1),"")</f>
      </c>
      <c r="J95">
        <f>IFERROR(INDEX(tblDeviceConfig[PI_Validated_By],ROW()-1),"")</f>
      </c>
      <c r="K95">
        <f>IFERROR(INDEX(tblDeviceConfig[PI_Validated_Date],ROW()-1),"")</f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</c>
      <c r="C96">
        <f>IFERROR(INDEX(tblDeviceConfig[Deployed],ROW()-1),"")</f>
      </c>
      <c r="D96" t="str">
        <f>IFERROR(INDEX(tblDeviceConfig[Installed],ROW()-1),"")</f>
      </c>
      <c r="E96">
        <f>IFERROR(INDEX(tblDeviceConfig[Cybernet Hostname],ROW()-1),"")</f>
      </c>
      <c r="F96" t="str">
        <f>IFERROR(INDEX(tblDeviceConfig[Neuron Hostname],ROW()-1),"")</f>
      </c>
      <c r="G96">
        <f>IFERROR(INDEX(tblDeviceConfig[Software List],ROW()-1),"")</f>
      </c>
      <c r="H96">
        <f>IFERROR(INDEX(tblDeviceConfig[PI_Use_Case],ROW()-1),"")</f>
      </c>
      <c r="I96">
        <f>IFERROR(INDEX(tblDeviceConfig[PI_Result],ROW()-1),"")</f>
      </c>
      <c r="J96">
        <f>IFERROR(INDEX(tblDeviceConfig[PI_Validated_By],ROW()-1),"")</f>
      </c>
      <c r="K96">
        <f>IFERROR(INDEX(tblDeviceConfig[PI_Validated_Date],ROW()-1),"")</f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</c>
      <c r="C97">
        <f>IFERROR(INDEX(tblDeviceConfig[Deployed],ROW()-1),"")</f>
      </c>
      <c r="D97" t="str">
        <f>IFERROR(INDEX(tblDeviceConfig[Installed],ROW()-1),"")</f>
      </c>
      <c r="E97">
        <f>IFERROR(INDEX(tblDeviceConfig[Cybernet Hostname],ROW()-1),"")</f>
      </c>
      <c r="F97" t="str">
        <f>IFERROR(INDEX(tblDeviceConfig[Neuron Hostname],ROW()-1),"")</f>
      </c>
      <c r="G97">
        <f>IFERROR(INDEX(tblDeviceConfig[Software List],ROW()-1),"")</f>
      </c>
      <c r="H97">
        <f>IFERROR(INDEX(tblDeviceConfig[PI_Use_Case],ROW()-1),"")</f>
      </c>
      <c r="I97">
        <f>IFERROR(INDEX(tblDeviceConfig[PI_Result],ROW()-1),"")</f>
      </c>
      <c r="J97">
        <f>IFERROR(INDEX(tblDeviceConfig[PI_Validated_By],ROW()-1),"")</f>
      </c>
      <c r="K97">
        <f>IFERROR(INDEX(tblDeviceConfig[PI_Validated_Date],ROW()-1),"")</f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</c>
      <c r="C98">
        <f>IFERROR(INDEX(tblDeviceConfig[Deployed],ROW()-1),"")</f>
      </c>
      <c r="D98" t="str">
        <f>IFERROR(INDEX(tblDeviceConfig[Installed],ROW()-1),"")</f>
      </c>
      <c r="E98">
        <f>IFERROR(INDEX(tblDeviceConfig[Cybernet Hostname],ROW()-1),"")</f>
      </c>
      <c r="F98" t="str">
        <f>IFERROR(INDEX(tblDeviceConfig[Neuron Hostname],ROW()-1),"")</f>
      </c>
      <c r="G98">
        <f>IFERROR(INDEX(tblDeviceConfig[Software List],ROW()-1),"")</f>
      </c>
      <c r="H98">
        <f>IFERROR(INDEX(tblDeviceConfig[PI_Use_Case],ROW()-1),"")</f>
      </c>
      <c r="I98">
        <f>IFERROR(INDEX(tblDeviceConfig[PI_Result],ROW()-1),"")</f>
      </c>
      <c r="J98">
        <f>IFERROR(INDEX(tblDeviceConfig[PI_Validated_By],ROW()-1),"")</f>
      </c>
      <c r="K98">
        <f>IFERROR(INDEX(tblDeviceConfig[PI_Validated_Date],ROW()-1),"")</f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</c>
      <c r="C99">
        <f>IFERROR(INDEX(tblDeviceConfig[Deployed],ROW()-1),"")</f>
      </c>
      <c r="D99" t="str">
        <f>IFERROR(INDEX(tblDeviceConfig[Installed],ROW()-1),"")</f>
      </c>
      <c r="E99">
        <f>IFERROR(INDEX(tblDeviceConfig[Cybernet Hostname],ROW()-1),"")</f>
      </c>
      <c r="F99" t="str">
        <f>IFERROR(INDEX(tblDeviceConfig[Neuron Hostname],ROW()-1),"")</f>
      </c>
      <c r="G99">
        <f>IFERROR(INDEX(tblDeviceConfig[Software List],ROW()-1),"")</f>
      </c>
      <c r="H99">
        <f>IFERROR(INDEX(tblDeviceConfig[PI_Use_Case],ROW()-1),"")</f>
      </c>
      <c r="I99">
        <f>IFERROR(INDEX(tblDeviceConfig[PI_Result],ROW()-1),"")</f>
      </c>
      <c r="J99">
        <f>IFERROR(INDEX(tblDeviceConfig[PI_Validated_By],ROW()-1),"")</f>
      </c>
      <c r="K99">
        <f>IFERROR(INDEX(tblDeviceConfig[PI_Validated_Date],ROW()-1),"")</f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</c>
      <c r="C100">
        <f>IFERROR(INDEX(tblDeviceConfig[Deployed],ROW()-1),"")</f>
      </c>
      <c r="D100" t="str">
        <f>IFERROR(INDEX(tblDeviceConfig[Installed],ROW()-1),"")</f>
      </c>
      <c r="E100">
        <f>IFERROR(INDEX(tblDeviceConfig[Cybernet Hostname],ROW()-1),"")</f>
      </c>
      <c r="F100" t="str">
        <f>IFERROR(INDEX(tblDeviceConfig[Neuron Hostname],ROW()-1),"")</f>
      </c>
      <c r="G100">
        <f>IFERROR(INDEX(tblDeviceConfig[Software List],ROW()-1),"")</f>
      </c>
      <c r="H100">
        <f>IFERROR(INDEX(tblDeviceConfig[PI_Use_Case],ROW()-1),"")</f>
      </c>
      <c r="I100">
        <f>IFERROR(INDEX(tblDeviceConfig[PI_Result],ROW()-1),"")</f>
      </c>
      <c r="J100">
        <f>IFERROR(INDEX(tblDeviceConfig[PI_Validated_By],ROW()-1),"")</f>
      </c>
      <c r="K100">
        <f>IFERROR(INDEX(tblDeviceConfig[PI_Validated_Date],ROW()-1),"")</f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</c>
      <c r="C101">
        <f>IFERROR(INDEX(tblDeviceConfig[Deployed],ROW()-1),"")</f>
      </c>
      <c r="D101" t="str">
        <f>IFERROR(INDEX(tblDeviceConfig[Installed],ROW()-1),"")</f>
      </c>
      <c r="E101">
        <f>IFERROR(INDEX(tblDeviceConfig[Cybernet Hostname],ROW()-1),"")</f>
      </c>
      <c r="F101" t="str">
        <f>IFERROR(INDEX(tblDeviceConfig[Neuron Hostname],ROW()-1),"")</f>
      </c>
      <c r="G101">
        <f>IFERROR(INDEX(tblDeviceConfig[Software List],ROW()-1),"")</f>
      </c>
      <c r="H101">
        <f>IFERROR(INDEX(tblDeviceConfig[PI_Use_Case],ROW()-1),"")</f>
      </c>
      <c r="I101">
        <f>IFERROR(INDEX(tblDeviceConfig[PI_Result],ROW()-1),"")</f>
      </c>
      <c r="J101">
        <f>IFERROR(INDEX(tblDeviceConfig[PI_Validated_By],ROW()-1),"")</f>
      </c>
      <c r="K101">
        <f>IFERROR(INDEX(tblDeviceConfig[PI_Validated_Date],ROW()-1),"")</f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</c>
      <c r="C102">
        <f>IFERROR(INDEX(tblDeviceConfig[Deployed],ROW()-1),"")</f>
      </c>
      <c r="D102" t="str">
        <f>IFERROR(INDEX(tblDeviceConfig[Installed],ROW()-1),"")</f>
      </c>
      <c r="E102">
        <f>IFERROR(INDEX(tblDeviceConfig[Cybernet Hostname],ROW()-1),"")</f>
      </c>
      <c r="F102" t="str">
        <f>IFERROR(INDEX(tblDeviceConfig[Neuron Hostname],ROW()-1),"")</f>
      </c>
      <c r="G102">
        <f>IFERROR(INDEX(tblDeviceConfig[Software List],ROW()-1),"")</f>
      </c>
      <c r="H102">
        <f>IFERROR(INDEX(tblDeviceConfig[PI_Use_Case],ROW()-1),"")</f>
      </c>
      <c r="I102">
        <f>IFERROR(INDEX(tblDeviceConfig[PI_Result],ROW()-1),"")</f>
      </c>
      <c r="J102">
        <f>IFERROR(INDEX(tblDeviceConfig[PI_Validated_By],ROW()-1),"")</f>
      </c>
      <c r="K102">
        <f>IFERROR(INDEX(tblDeviceConfig[PI_Validated_Date],ROW()-1),"")</f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</c>
      <c r="C103">
        <f>IFERROR(INDEX(tblDeviceConfig[Deployed],ROW()-1),"")</f>
      </c>
      <c r="D103" t="str">
        <f>IFERROR(INDEX(tblDeviceConfig[Installed],ROW()-1),"")</f>
      </c>
      <c r="E103">
        <f>IFERROR(INDEX(tblDeviceConfig[Cybernet Hostname],ROW()-1),"")</f>
      </c>
      <c r="F103" t="str">
        <f>IFERROR(INDEX(tblDeviceConfig[Neuron Hostname],ROW()-1),"")</f>
      </c>
      <c r="G103">
        <f>IFERROR(INDEX(tblDeviceConfig[Software List],ROW()-1),"")</f>
      </c>
      <c r="H103">
        <f>IFERROR(INDEX(tblDeviceConfig[PI_Use_Case],ROW()-1),"")</f>
      </c>
      <c r="I103">
        <f>IFERROR(INDEX(tblDeviceConfig[PI_Result],ROW()-1),"")</f>
      </c>
      <c r="J103">
        <f>IFERROR(INDEX(tblDeviceConfig[PI_Validated_By],ROW()-1),"")</f>
      </c>
      <c r="K103">
        <f>IFERROR(INDEX(tblDeviceConfig[PI_Validated_Date],ROW()-1),"")</f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</c>
      <c r="C104">
        <f>IFERROR(INDEX(tblDeviceConfig[Deployed],ROW()-1),"")</f>
      </c>
      <c r="D104" t="str">
        <f>IFERROR(INDEX(tblDeviceConfig[Installed],ROW()-1),"")</f>
      </c>
      <c r="E104">
        <f>IFERROR(INDEX(tblDeviceConfig[Cybernet Hostname],ROW()-1),"")</f>
      </c>
      <c r="F104" t="str">
        <f>IFERROR(INDEX(tblDeviceConfig[Neuron Hostname],ROW()-1),"")</f>
      </c>
      <c r="G104">
        <f>IFERROR(INDEX(tblDeviceConfig[Software List],ROW()-1),"")</f>
      </c>
      <c r="H104">
        <f>IFERROR(INDEX(tblDeviceConfig[PI_Use_Case],ROW()-1),"")</f>
      </c>
      <c r="I104">
        <f>IFERROR(INDEX(tblDeviceConfig[PI_Result],ROW()-1),"")</f>
      </c>
      <c r="J104">
        <f>IFERROR(INDEX(tblDeviceConfig[PI_Validated_By],ROW()-1),"")</f>
      </c>
      <c r="K104">
        <f>IFERROR(INDEX(tblDeviceConfig[PI_Validated_Date],ROW()-1),"")</f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</c>
      <c r="C105">
        <f>IFERROR(INDEX(tblDeviceConfig[Deployed],ROW()-1),"")</f>
      </c>
      <c r="D105" t="str">
        <f>IFERROR(INDEX(tblDeviceConfig[Installed],ROW()-1),"")</f>
      </c>
      <c r="E105">
        <f>IFERROR(INDEX(tblDeviceConfig[Cybernet Hostname],ROW()-1),"")</f>
      </c>
      <c r="F105" t="str">
        <f>IFERROR(INDEX(tblDeviceConfig[Neuron Hostname],ROW()-1),"")</f>
      </c>
      <c r="G105">
        <f>IFERROR(INDEX(tblDeviceConfig[Software List],ROW()-1),"")</f>
      </c>
      <c r="H105">
        <f>IFERROR(INDEX(tblDeviceConfig[PI_Use_Case],ROW()-1),"")</f>
      </c>
      <c r="I105">
        <f>IFERROR(INDEX(tblDeviceConfig[PI_Result],ROW()-1),"")</f>
      </c>
      <c r="J105">
        <f>IFERROR(INDEX(tblDeviceConfig[PI_Validated_By],ROW()-1),"")</f>
      </c>
      <c r="K105">
        <f>IFERROR(INDEX(tblDeviceConfig[PI_Validated_Date],ROW()-1),"")</f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</c>
      <c r="C106">
        <f>IFERROR(INDEX(tblDeviceConfig[Deployed],ROW()-1),"")</f>
      </c>
      <c r="D106" t="str">
        <f>IFERROR(INDEX(tblDeviceConfig[Installed],ROW()-1),"")</f>
      </c>
      <c r="E106">
        <f>IFERROR(INDEX(tblDeviceConfig[Cybernet Hostname],ROW()-1),"")</f>
      </c>
      <c r="F106" t="str">
        <f>IFERROR(INDEX(tblDeviceConfig[Neuron Hostname],ROW()-1),"")</f>
      </c>
      <c r="G106">
        <f>IFERROR(INDEX(tblDeviceConfig[Software List],ROW()-1),"")</f>
      </c>
      <c r="H106">
        <f>IFERROR(INDEX(tblDeviceConfig[PI_Use_Case],ROW()-1),"")</f>
      </c>
      <c r="I106">
        <f>IFERROR(INDEX(tblDeviceConfig[PI_Result],ROW()-1),"")</f>
      </c>
      <c r="J106">
        <f>IFERROR(INDEX(tblDeviceConfig[PI_Validated_By],ROW()-1),"")</f>
      </c>
      <c r="K106">
        <f>IFERROR(INDEX(tblDeviceConfig[PI_Validated_Date],ROW()-1),"")</f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</c>
      <c r="C107">
        <f>IFERROR(INDEX(tblDeviceConfig[Deployed],ROW()-1),"")</f>
      </c>
      <c r="D107" t="str">
        <f>IFERROR(INDEX(tblDeviceConfig[Installed],ROW()-1),"")</f>
      </c>
      <c r="E107">
        <f>IFERROR(INDEX(tblDeviceConfig[Cybernet Hostname],ROW()-1),"")</f>
      </c>
      <c r="F107" t="str">
        <f>IFERROR(INDEX(tblDeviceConfig[Neuron Hostname],ROW()-1),"")</f>
      </c>
      <c r="G107">
        <f>IFERROR(INDEX(tblDeviceConfig[Software List],ROW()-1),"")</f>
      </c>
      <c r="H107">
        <f>IFERROR(INDEX(tblDeviceConfig[PI_Use_Case],ROW()-1),"")</f>
      </c>
      <c r="I107">
        <f>IFERROR(INDEX(tblDeviceConfig[PI_Result],ROW()-1),"")</f>
      </c>
      <c r="J107">
        <f>IFERROR(INDEX(tblDeviceConfig[PI_Validated_By],ROW()-1),"")</f>
      </c>
      <c r="K107">
        <f>IFERROR(INDEX(tblDeviceConfig[PI_Validated_Date],ROW()-1),"")</f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</c>
      <c r="C108">
        <f>IFERROR(INDEX(tblDeviceConfig[Deployed],ROW()-1),"")</f>
      </c>
      <c r="D108" t="str">
        <f>IFERROR(INDEX(tblDeviceConfig[Installed],ROW()-1),"")</f>
      </c>
      <c r="E108">
        <f>IFERROR(INDEX(tblDeviceConfig[Cybernet Hostname],ROW()-1),"")</f>
      </c>
      <c r="F108" t="str">
        <f>IFERROR(INDEX(tblDeviceConfig[Neuron Hostname],ROW()-1),"")</f>
      </c>
      <c r="G108">
        <f>IFERROR(INDEX(tblDeviceConfig[Software List],ROW()-1),"")</f>
      </c>
      <c r="H108">
        <f>IFERROR(INDEX(tblDeviceConfig[PI_Use_Case],ROW()-1),"")</f>
      </c>
      <c r="I108">
        <f>IFERROR(INDEX(tblDeviceConfig[PI_Result],ROW()-1),"")</f>
      </c>
      <c r="J108">
        <f>IFERROR(INDEX(tblDeviceConfig[PI_Validated_By],ROW()-1),"")</f>
      </c>
      <c r="K108">
        <f>IFERROR(INDEX(tblDeviceConfig[PI_Validated_Date],ROW()-1),"")</f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</c>
      <c r="C109">
        <f>IFERROR(INDEX(tblDeviceConfig[Deployed],ROW()-1),"")</f>
      </c>
      <c r="D109" t="str">
        <f>IFERROR(INDEX(tblDeviceConfig[Installed],ROW()-1),"")</f>
      </c>
      <c r="E109">
        <f>IFERROR(INDEX(tblDeviceConfig[Cybernet Hostname],ROW()-1),"")</f>
      </c>
      <c r="F109" t="str">
        <f>IFERROR(INDEX(tblDeviceConfig[Neuron Hostname],ROW()-1),"")</f>
      </c>
      <c r="G109">
        <f>IFERROR(INDEX(tblDeviceConfig[Software List],ROW()-1),"")</f>
      </c>
      <c r="H109">
        <f>IFERROR(INDEX(tblDeviceConfig[PI_Use_Case],ROW()-1),"")</f>
      </c>
      <c r="I109">
        <f>IFERROR(INDEX(tblDeviceConfig[PI_Result],ROW()-1),"")</f>
      </c>
      <c r="J109">
        <f>IFERROR(INDEX(tblDeviceConfig[PI_Validated_By],ROW()-1),"")</f>
      </c>
      <c r="K109">
        <f>IFERROR(INDEX(tblDeviceConfig[PI_Validated_Date],ROW()-1),"")</f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</c>
      <c r="C110">
        <f>IFERROR(INDEX(tblDeviceConfig[Deployed],ROW()-1),"")</f>
      </c>
      <c r="D110" t="str">
        <f>IFERROR(INDEX(tblDeviceConfig[Installed],ROW()-1),"")</f>
      </c>
      <c r="E110">
        <f>IFERROR(INDEX(tblDeviceConfig[Cybernet Hostname],ROW()-1),"")</f>
      </c>
      <c r="F110" t="str">
        <f>IFERROR(INDEX(tblDeviceConfig[Neuron Hostname],ROW()-1),"")</f>
      </c>
      <c r="G110">
        <f>IFERROR(INDEX(tblDeviceConfig[Software List],ROW()-1),"")</f>
      </c>
      <c r="H110">
        <f>IFERROR(INDEX(tblDeviceConfig[PI_Use_Case],ROW()-1),"")</f>
      </c>
      <c r="I110">
        <f>IFERROR(INDEX(tblDeviceConfig[PI_Result],ROW()-1),"")</f>
      </c>
      <c r="J110">
        <f>IFERROR(INDEX(tblDeviceConfig[PI_Validated_By],ROW()-1),"")</f>
      </c>
      <c r="K110">
        <f>IFERROR(INDEX(tblDeviceConfig[PI_Validated_Date],ROW()-1),"")</f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</c>
      <c r="C111">
        <f>IFERROR(INDEX(tblDeviceConfig[Deployed],ROW()-1),"")</f>
      </c>
      <c r="D111" t="str">
        <f>IFERROR(INDEX(tblDeviceConfig[Installed],ROW()-1),"")</f>
      </c>
      <c r="E111">
        <f>IFERROR(INDEX(tblDeviceConfig[Cybernet Hostname],ROW()-1),"")</f>
      </c>
      <c r="F111" t="str">
        <f>IFERROR(INDEX(tblDeviceConfig[Neuron Hostname],ROW()-1),"")</f>
      </c>
      <c r="G111">
        <f>IFERROR(INDEX(tblDeviceConfig[Software List],ROW()-1),"")</f>
      </c>
      <c r="H111">
        <f>IFERROR(INDEX(tblDeviceConfig[PI_Use_Case],ROW()-1),"")</f>
      </c>
      <c r="I111">
        <f>IFERROR(INDEX(tblDeviceConfig[PI_Result],ROW()-1),"")</f>
      </c>
      <c r="J111">
        <f>IFERROR(INDEX(tblDeviceConfig[PI_Validated_By],ROW()-1),"")</f>
      </c>
      <c r="K111">
        <f>IFERROR(INDEX(tblDeviceConfig[PI_Validated_Date],ROW()-1),"")</f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</c>
      <c r="C112">
        <f>IFERROR(INDEX(tblDeviceConfig[Deployed],ROW()-1),"")</f>
      </c>
      <c r="D112" t="str">
        <f>IFERROR(INDEX(tblDeviceConfig[Installed],ROW()-1),"")</f>
      </c>
      <c r="E112">
        <f>IFERROR(INDEX(tblDeviceConfig[Cybernet Hostname],ROW()-1),"")</f>
      </c>
      <c r="F112" t="str">
        <f>IFERROR(INDEX(tblDeviceConfig[Neuron Hostname],ROW()-1),"")</f>
      </c>
      <c r="G112">
        <f>IFERROR(INDEX(tblDeviceConfig[Software List],ROW()-1),"")</f>
      </c>
      <c r="H112">
        <f>IFERROR(INDEX(tblDeviceConfig[PI_Use_Case],ROW()-1),"")</f>
      </c>
      <c r="I112">
        <f>IFERROR(INDEX(tblDeviceConfig[PI_Result],ROW()-1),"")</f>
      </c>
      <c r="J112">
        <f>IFERROR(INDEX(tblDeviceConfig[PI_Validated_By],ROW()-1),"")</f>
      </c>
      <c r="K112">
        <f>IFERROR(INDEX(tblDeviceConfig[PI_Validated_Date],ROW()-1),"")</f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</c>
      <c r="C113">
        <f>IFERROR(INDEX(tblDeviceConfig[Deployed],ROW()-1),"")</f>
      </c>
      <c r="D113" t="str">
        <f>IFERROR(INDEX(tblDeviceConfig[Installed],ROW()-1),"")</f>
      </c>
      <c r="E113">
        <f>IFERROR(INDEX(tblDeviceConfig[Cybernet Hostname],ROW()-1),"")</f>
      </c>
      <c r="F113" t="str">
        <f>IFERROR(INDEX(tblDeviceConfig[Neuron Hostname],ROW()-1),"")</f>
      </c>
      <c r="G113">
        <f>IFERROR(INDEX(tblDeviceConfig[Software List],ROW()-1),"")</f>
      </c>
      <c r="H113">
        <f>IFERROR(INDEX(tblDeviceConfig[PI_Use_Case],ROW()-1),"")</f>
      </c>
      <c r="I113">
        <f>IFERROR(INDEX(tblDeviceConfig[PI_Result],ROW()-1),"")</f>
      </c>
      <c r="J113">
        <f>IFERROR(INDEX(tblDeviceConfig[PI_Validated_By],ROW()-1),"")</f>
      </c>
      <c r="K113">
        <f>IFERROR(INDEX(tblDeviceConfig[PI_Validated_Date],ROW()-1),"")</f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</c>
      <c r="C114">
        <f>IFERROR(INDEX(tblDeviceConfig[Deployed],ROW()-1),"")</f>
      </c>
      <c r="D114" t="str">
        <f>IFERROR(INDEX(tblDeviceConfig[Installed],ROW()-1),"")</f>
      </c>
      <c r="E114">
        <f>IFERROR(INDEX(tblDeviceConfig[Cybernet Hostname],ROW()-1),"")</f>
      </c>
      <c r="F114" t="str">
        <f>IFERROR(INDEX(tblDeviceConfig[Neuron Hostname],ROW()-1),"")</f>
      </c>
      <c r="G114">
        <f>IFERROR(INDEX(tblDeviceConfig[Software List],ROW()-1),"")</f>
      </c>
      <c r="H114">
        <f>IFERROR(INDEX(tblDeviceConfig[PI_Use_Case],ROW()-1),"")</f>
      </c>
      <c r="I114">
        <f>IFERROR(INDEX(tblDeviceConfig[PI_Result],ROW()-1),"")</f>
      </c>
      <c r="J114">
        <f>IFERROR(INDEX(tblDeviceConfig[PI_Validated_By],ROW()-1),"")</f>
      </c>
      <c r="K114">
        <f>IFERROR(INDEX(tblDeviceConfig[PI_Validated_Date],ROW()-1),"")</f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</c>
      <c r="C115">
        <f>IFERROR(INDEX(tblDeviceConfig[Deployed],ROW()-1),"")</f>
      </c>
      <c r="D115" t="str">
        <f>IFERROR(INDEX(tblDeviceConfig[Installed],ROW()-1),"")</f>
      </c>
      <c r="E115">
        <f>IFERROR(INDEX(tblDeviceConfig[Cybernet Hostname],ROW()-1),"")</f>
      </c>
      <c r="F115" t="str">
        <f>IFERROR(INDEX(tblDeviceConfig[Neuron Hostname],ROW()-1),"")</f>
      </c>
      <c r="G115">
        <f>IFERROR(INDEX(tblDeviceConfig[Software List],ROW()-1),"")</f>
      </c>
      <c r="H115">
        <f>IFERROR(INDEX(tblDeviceConfig[PI_Use_Case],ROW()-1),"")</f>
      </c>
      <c r="I115">
        <f>IFERROR(INDEX(tblDeviceConfig[PI_Result],ROW()-1),"")</f>
      </c>
      <c r="J115">
        <f>IFERROR(INDEX(tblDeviceConfig[PI_Validated_By],ROW()-1),"")</f>
      </c>
      <c r="K115">
        <f>IFERROR(INDEX(tblDeviceConfig[PI_Validated_Date],ROW()-1),"")</f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</c>
      <c r="C116">
        <f>IFERROR(INDEX(tblDeviceConfig[Deployed],ROW()-1),"")</f>
      </c>
      <c r="D116" t="str">
        <f>IFERROR(INDEX(tblDeviceConfig[Installed],ROW()-1),"")</f>
      </c>
      <c r="E116">
        <f>IFERROR(INDEX(tblDeviceConfig[Cybernet Hostname],ROW()-1),"")</f>
      </c>
      <c r="F116" t="str">
        <f>IFERROR(INDEX(tblDeviceConfig[Neuron Hostname],ROW()-1),"")</f>
      </c>
      <c r="G116">
        <f>IFERROR(INDEX(tblDeviceConfig[Software List],ROW()-1),"")</f>
      </c>
      <c r="H116">
        <f>IFERROR(INDEX(tblDeviceConfig[PI_Use_Case],ROW()-1),"")</f>
      </c>
      <c r="I116">
        <f>IFERROR(INDEX(tblDeviceConfig[PI_Result],ROW()-1),"")</f>
      </c>
      <c r="J116">
        <f>IFERROR(INDEX(tblDeviceConfig[PI_Validated_By],ROW()-1),"")</f>
      </c>
      <c r="K116">
        <f>IFERROR(INDEX(tblDeviceConfig[PI_Validated_Date],ROW()-1),"")</f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</c>
      <c r="C117">
        <f>IFERROR(INDEX(tblDeviceConfig[Deployed],ROW()-1),"")</f>
      </c>
      <c r="D117" t="str">
        <f>IFERROR(INDEX(tblDeviceConfig[Installed],ROW()-1),"")</f>
      </c>
      <c r="E117">
        <f>IFERROR(INDEX(tblDeviceConfig[Cybernet Hostname],ROW()-1),"")</f>
      </c>
      <c r="F117" t="str">
        <f>IFERROR(INDEX(tblDeviceConfig[Neuron Hostname],ROW()-1),"")</f>
      </c>
      <c r="G117">
        <f>IFERROR(INDEX(tblDeviceConfig[Software List],ROW()-1),"")</f>
      </c>
      <c r="H117">
        <f>IFERROR(INDEX(tblDeviceConfig[PI_Use_Case],ROW()-1),"")</f>
      </c>
      <c r="I117">
        <f>IFERROR(INDEX(tblDeviceConfig[PI_Result],ROW()-1),"")</f>
      </c>
      <c r="J117">
        <f>IFERROR(INDEX(tblDeviceConfig[PI_Validated_By],ROW()-1),"")</f>
      </c>
      <c r="K117">
        <f>IFERROR(INDEX(tblDeviceConfig[PI_Validated_Date],ROW()-1),"")</f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</c>
      <c r="C118">
        <f>IFERROR(INDEX(tblDeviceConfig[Deployed],ROW()-1),"")</f>
      </c>
      <c r="D118" t="str">
        <f>IFERROR(INDEX(tblDeviceConfig[Installed],ROW()-1),"")</f>
      </c>
      <c r="E118">
        <f>IFERROR(INDEX(tblDeviceConfig[Cybernet Hostname],ROW()-1),"")</f>
      </c>
      <c r="F118" t="str">
        <f>IFERROR(INDEX(tblDeviceConfig[Neuron Hostname],ROW()-1),"")</f>
      </c>
      <c r="G118">
        <f>IFERROR(INDEX(tblDeviceConfig[Software List],ROW()-1),"")</f>
      </c>
      <c r="H118">
        <f>IFERROR(INDEX(tblDeviceConfig[PI_Use_Case],ROW()-1),"")</f>
      </c>
      <c r="I118">
        <f>IFERROR(INDEX(tblDeviceConfig[PI_Result],ROW()-1),"")</f>
      </c>
      <c r="J118">
        <f>IFERROR(INDEX(tblDeviceConfig[PI_Validated_By],ROW()-1),"")</f>
      </c>
      <c r="K118">
        <f>IFERROR(INDEX(tblDeviceConfig[PI_Validated_Date],ROW()-1),"")</f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</c>
      <c r="C119">
        <f>IFERROR(INDEX(tblDeviceConfig[Deployed],ROW()-1),"")</f>
      </c>
      <c r="D119" t="str">
        <f>IFERROR(INDEX(tblDeviceConfig[Installed],ROW()-1),"")</f>
      </c>
      <c r="E119">
        <f>IFERROR(INDEX(tblDeviceConfig[Cybernet Hostname],ROW()-1),"")</f>
      </c>
      <c r="F119" t="str">
        <f>IFERROR(INDEX(tblDeviceConfig[Neuron Hostname],ROW()-1),"")</f>
      </c>
      <c r="G119">
        <f>IFERROR(INDEX(tblDeviceConfig[Software List],ROW()-1),"")</f>
      </c>
      <c r="H119">
        <f>IFERROR(INDEX(tblDeviceConfig[PI_Use_Case],ROW()-1),"")</f>
      </c>
      <c r="I119">
        <f>IFERROR(INDEX(tblDeviceConfig[PI_Result],ROW()-1),"")</f>
      </c>
      <c r="J119">
        <f>IFERROR(INDEX(tblDeviceConfig[PI_Validated_By],ROW()-1),"")</f>
      </c>
      <c r="K119">
        <f>IFERROR(INDEX(tblDeviceConfig[PI_Validated_Date],ROW()-1),"")</f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</c>
      <c r="C120">
        <f>IFERROR(INDEX(tblDeviceConfig[Deployed],ROW()-1),"")</f>
      </c>
      <c r="D120" t="str">
        <f>IFERROR(INDEX(tblDeviceConfig[Installed],ROW()-1),"")</f>
      </c>
      <c r="E120">
        <f>IFERROR(INDEX(tblDeviceConfig[Cybernet Hostname],ROW()-1),"")</f>
      </c>
      <c r="F120" t="str">
        <f>IFERROR(INDEX(tblDeviceConfig[Neuron Hostname],ROW()-1),"")</f>
      </c>
      <c r="G120">
        <f>IFERROR(INDEX(tblDeviceConfig[Software List],ROW()-1),"")</f>
      </c>
      <c r="H120">
        <f>IFERROR(INDEX(tblDeviceConfig[PI_Use_Case],ROW()-1),"")</f>
      </c>
      <c r="I120">
        <f>IFERROR(INDEX(tblDeviceConfig[PI_Result],ROW()-1),"")</f>
      </c>
      <c r="J120">
        <f>IFERROR(INDEX(tblDeviceConfig[PI_Validated_By],ROW()-1),"")</f>
      </c>
      <c r="K120">
        <f>IFERROR(INDEX(tblDeviceConfig[PI_Validated_Date],ROW()-1),"")</f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</c>
      <c r="C121">
        <f>IFERROR(INDEX(tblDeviceConfig[Deployed],ROW()-1),"")</f>
      </c>
      <c r="D121" t="str">
        <f>IFERROR(INDEX(tblDeviceConfig[Installed],ROW()-1),"")</f>
      </c>
      <c r="E121">
        <f>IFERROR(INDEX(tblDeviceConfig[Cybernet Hostname],ROW()-1),"")</f>
      </c>
      <c r="F121" t="str">
        <f>IFERROR(INDEX(tblDeviceConfig[Neuron Hostname],ROW()-1),"")</f>
      </c>
      <c r="G121">
        <f>IFERROR(INDEX(tblDeviceConfig[Software List],ROW()-1),"")</f>
      </c>
      <c r="H121">
        <f>IFERROR(INDEX(tblDeviceConfig[PI_Use_Case],ROW()-1),"")</f>
      </c>
      <c r="I121">
        <f>IFERROR(INDEX(tblDeviceConfig[PI_Result],ROW()-1),"")</f>
      </c>
      <c r="J121">
        <f>IFERROR(INDEX(tblDeviceConfig[PI_Validated_By],ROW()-1),"")</f>
      </c>
      <c r="K121">
        <f>IFERROR(INDEX(tblDeviceConfig[PI_Validated_Date],ROW()-1),"")</f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</c>
      <c r="C122">
        <f>IFERROR(INDEX(tblDeviceConfig[Deployed],ROW()-1),"")</f>
      </c>
      <c r="D122" t="str">
        <f>IFERROR(INDEX(tblDeviceConfig[Installed],ROW()-1),"")</f>
      </c>
      <c r="E122">
        <f>IFERROR(INDEX(tblDeviceConfig[Cybernet Hostname],ROW()-1),"")</f>
      </c>
      <c r="F122" t="str">
        <f>IFERROR(INDEX(tblDeviceConfig[Neuron Hostname],ROW()-1),"")</f>
      </c>
      <c r="G122">
        <f>IFERROR(INDEX(tblDeviceConfig[Software List],ROW()-1),"")</f>
      </c>
      <c r="H122">
        <f>IFERROR(INDEX(tblDeviceConfig[PI_Use_Case],ROW()-1),"")</f>
      </c>
      <c r="I122">
        <f>IFERROR(INDEX(tblDeviceConfig[PI_Result],ROW()-1),"")</f>
      </c>
      <c r="J122">
        <f>IFERROR(INDEX(tblDeviceConfig[PI_Validated_By],ROW()-1),"")</f>
      </c>
      <c r="K122">
        <f>IFERROR(INDEX(tblDeviceConfig[PI_Validated_Date],ROW()-1),"")</f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</c>
      <c r="C123">
        <f>IFERROR(INDEX(tblDeviceConfig[Deployed],ROW()-1),"")</f>
      </c>
      <c r="D123" t="str">
        <f>IFERROR(INDEX(tblDeviceConfig[Installed],ROW()-1),"")</f>
      </c>
      <c r="E123">
        <f>IFERROR(INDEX(tblDeviceConfig[Cybernet Hostname],ROW()-1),"")</f>
      </c>
      <c r="F123" t="str">
        <f>IFERROR(INDEX(tblDeviceConfig[Neuron Hostname],ROW()-1),"")</f>
      </c>
      <c r="G123">
        <f>IFERROR(INDEX(tblDeviceConfig[Software List],ROW()-1),"")</f>
      </c>
      <c r="H123">
        <f>IFERROR(INDEX(tblDeviceConfig[PI_Use_Case],ROW()-1),"")</f>
      </c>
      <c r="I123">
        <f>IFERROR(INDEX(tblDeviceConfig[PI_Result],ROW()-1),"")</f>
      </c>
      <c r="J123">
        <f>IFERROR(INDEX(tblDeviceConfig[PI_Validated_By],ROW()-1),"")</f>
      </c>
      <c r="K123">
        <f>IFERROR(INDEX(tblDeviceConfig[PI_Validated_Date],ROW()-1),"")</f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</c>
      <c r="C124">
        <f>IFERROR(INDEX(tblDeviceConfig[Deployed],ROW()-1),"")</f>
      </c>
      <c r="D124" t="str">
        <f>IFERROR(INDEX(tblDeviceConfig[Installed],ROW()-1),"")</f>
      </c>
      <c r="E124">
        <f>IFERROR(INDEX(tblDeviceConfig[Cybernet Hostname],ROW()-1),"")</f>
      </c>
      <c r="F124" t="str">
        <f>IFERROR(INDEX(tblDeviceConfig[Neuron Hostname],ROW()-1),"")</f>
      </c>
      <c r="G124">
        <f>IFERROR(INDEX(tblDeviceConfig[Software List],ROW()-1),"")</f>
      </c>
      <c r="H124">
        <f>IFERROR(INDEX(tblDeviceConfig[PI_Use_Case],ROW()-1),"")</f>
      </c>
      <c r="I124">
        <f>IFERROR(INDEX(tblDeviceConfig[PI_Result],ROW()-1),"")</f>
      </c>
      <c r="J124">
        <f>IFERROR(INDEX(tblDeviceConfig[PI_Validated_By],ROW()-1),"")</f>
      </c>
      <c r="K124">
        <f>IFERROR(INDEX(tblDeviceConfig[PI_Validated_Date],ROW()-1),"")</f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</c>
      <c r="C125">
        <f>IFERROR(INDEX(tblDeviceConfig[Deployed],ROW()-1),"")</f>
      </c>
      <c r="D125" t="str">
        <f>IFERROR(INDEX(tblDeviceConfig[Installed],ROW()-1),"")</f>
      </c>
      <c r="E125">
        <f>IFERROR(INDEX(tblDeviceConfig[Cybernet Hostname],ROW()-1),"")</f>
      </c>
      <c r="F125" t="str">
        <f>IFERROR(INDEX(tblDeviceConfig[Neuron Hostname],ROW()-1),"")</f>
      </c>
      <c r="G125">
        <f>IFERROR(INDEX(tblDeviceConfig[Software List],ROW()-1),"")</f>
      </c>
      <c r="H125">
        <f>IFERROR(INDEX(tblDeviceConfig[PI_Use_Case],ROW()-1),"")</f>
      </c>
      <c r="I125">
        <f>IFERROR(INDEX(tblDeviceConfig[PI_Result],ROW()-1),"")</f>
      </c>
      <c r="J125">
        <f>IFERROR(INDEX(tblDeviceConfig[PI_Validated_By],ROW()-1),"")</f>
      </c>
      <c r="K125">
        <f>IFERROR(INDEX(tblDeviceConfig[PI_Validated_Date],ROW()-1),"")</f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</c>
      <c r="C126">
        <f>IFERROR(INDEX(tblDeviceConfig[Deployed],ROW()-1),"")</f>
      </c>
      <c r="D126" t="str">
        <f>IFERROR(INDEX(tblDeviceConfig[Installed],ROW()-1),"")</f>
      </c>
      <c r="E126">
        <f>IFERROR(INDEX(tblDeviceConfig[Cybernet Hostname],ROW()-1),"")</f>
      </c>
      <c r="F126" t="str">
        <f>IFERROR(INDEX(tblDeviceConfig[Neuron Hostname],ROW()-1),"")</f>
      </c>
      <c r="G126">
        <f>IFERROR(INDEX(tblDeviceConfig[Software List],ROW()-1),"")</f>
      </c>
      <c r="H126">
        <f>IFERROR(INDEX(tblDeviceConfig[PI_Use_Case],ROW()-1),"")</f>
      </c>
      <c r="I126">
        <f>IFERROR(INDEX(tblDeviceConfig[PI_Result],ROW()-1),"")</f>
      </c>
      <c r="J126">
        <f>IFERROR(INDEX(tblDeviceConfig[PI_Validated_By],ROW()-1),"")</f>
      </c>
      <c r="K126">
        <f>IFERROR(INDEX(tblDeviceConfig[PI_Validated_Date],ROW()-1),"")</f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</c>
      <c r="C127" t="str">
        <f>IFERROR(INDEX(tblDeviceConfig[Deployed],ROW()-1),"")</f>
      </c>
      <c r="D127" t="str">
        <f>IFERROR(INDEX(tblDeviceConfig[Installed],ROW()-1),"")</f>
      </c>
      <c r="E127">
        <f>IFERROR(INDEX(tblDeviceConfig[Cybernet Hostname],ROW()-1),"")</f>
      </c>
      <c r="F127" t="str">
        <f>IFERROR(INDEX(tblDeviceConfig[Neuron Hostname],ROW()-1),"")</f>
      </c>
      <c r="G127">
        <f>IFERROR(INDEX(tblDeviceConfig[Software List],ROW()-1),"")</f>
      </c>
      <c r="H127">
        <f>IFERROR(INDEX(tblDeviceConfig[PI_Use_Case],ROW()-1),"")</f>
      </c>
      <c r="I127">
        <f>IFERROR(INDEX(tblDeviceConfig[PI_Result],ROW()-1),"")</f>
      </c>
      <c r="J127">
        <f>IFERROR(INDEX(tblDeviceConfig[PI_Validated_By],ROW()-1),"")</f>
      </c>
      <c r="K127">
        <f>IFERROR(INDEX(tblDeviceConfig[PI_Validated_Date],ROW()-1),"")</f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</c>
      <c r="C128">
        <f>IFERROR(INDEX(tblDeviceConfig[Deployed],ROW()-1),"")</f>
      </c>
      <c r="D128" t="str">
        <f>IFERROR(INDEX(tblDeviceConfig[Installed],ROW()-1),"")</f>
      </c>
      <c r="E128">
        <f>IFERROR(INDEX(tblDeviceConfig[Cybernet Hostname],ROW()-1),"")</f>
      </c>
      <c r="F128" t="str">
        <f>IFERROR(INDEX(tblDeviceConfig[Neuron Hostname],ROW()-1),"")</f>
      </c>
      <c r="G128">
        <f>IFERROR(INDEX(tblDeviceConfig[Software List],ROW()-1),"")</f>
      </c>
      <c r="H128">
        <f>IFERROR(INDEX(tblDeviceConfig[PI_Use_Case],ROW()-1),"")</f>
      </c>
      <c r="I128">
        <f>IFERROR(INDEX(tblDeviceConfig[PI_Result],ROW()-1),"")</f>
      </c>
      <c r="J128">
        <f>IFERROR(INDEX(tblDeviceConfig[PI_Validated_By],ROW()-1),"")</f>
      </c>
      <c r="K128">
        <f>IFERROR(INDEX(tblDeviceConfig[PI_Validated_Date],ROW()-1),"")</f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</c>
      <c r="C129" t="str">
        <f>IFERROR(INDEX(tblDeviceConfig[Deployed],ROW()-1),"")</f>
      </c>
      <c r="D129" t="str">
        <f>IFERROR(INDEX(tblDeviceConfig[Installed],ROW()-1),"")</f>
      </c>
      <c r="E129">
        <f>IFERROR(INDEX(tblDeviceConfig[Cybernet Hostname],ROW()-1),"")</f>
      </c>
      <c r="F129" t="str">
        <f>IFERROR(INDEX(tblDeviceConfig[Neuron Hostname],ROW()-1),"")</f>
      </c>
      <c r="G129">
        <f>IFERROR(INDEX(tblDeviceConfig[Software List],ROW()-1),"")</f>
      </c>
      <c r="H129">
        <f>IFERROR(INDEX(tblDeviceConfig[PI_Use_Case],ROW()-1),"")</f>
      </c>
      <c r="I129">
        <f>IFERROR(INDEX(tblDeviceConfig[PI_Result],ROW()-1),"")</f>
      </c>
      <c r="J129">
        <f>IFERROR(INDEX(tblDeviceConfig[PI_Validated_By],ROW()-1),"")</f>
      </c>
      <c r="K129">
        <f>IFERROR(INDEX(tblDeviceConfig[PI_Validated_Date],ROW()-1),"")</f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</c>
      <c r="C130">
        <f>IFERROR(INDEX(tblDeviceConfig[Deployed],ROW()-1),"")</f>
      </c>
      <c r="D130" t="str">
        <f>IFERROR(INDEX(tblDeviceConfig[Installed],ROW()-1),"")</f>
      </c>
      <c r="E130">
        <f>IFERROR(INDEX(tblDeviceConfig[Cybernet Hostname],ROW()-1),"")</f>
      </c>
      <c r="F130" t="str">
        <f>IFERROR(INDEX(tblDeviceConfig[Neuron Hostname],ROW()-1),"")</f>
      </c>
      <c r="G130">
        <f>IFERROR(INDEX(tblDeviceConfig[Software List],ROW()-1),"")</f>
      </c>
      <c r="H130">
        <f>IFERROR(INDEX(tblDeviceConfig[PI_Use_Case],ROW()-1),"")</f>
      </c>
      <c r="I130">
        <f>IFERROR(INDEX(tblDeviceConfig[PI_Result],ROW()-1),"")</f>
      </c>
      <c r="J130">
        <f>IFERROR(INDEX(tblDeviceConfig[PI_Validated_By],ROW()-1),"")</f>
      </c>
      <c r="K130">
        <f>IFERROR(INDEX(tblDeviceConfig[PI_Validated_Date],ROW()-1),"")</f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</c>
      <c r="C131">
        <f>IFERROR(INDEX(tblDeviceConfig[Deployed],ROW()-1),"")</f>
      </c>
      <c r="D131" t="str">
        <f>IFERROR(INDEX(tblDeviceConfig[Installed],ROW()-1),"")</f>
      </c>
      <c r="E131">
        <f>IFERROR(INDEX(tblDeviceConfig[Cybernet Hostname],ROW()-1),"")</f>
      </c>
      <c r="F131" t="str">
        <f>IFERROR(INDEX(tblDeviceConfig[Neuron Hostname],ROW()-1),"")</f>
      </c>
      <c r="G131">
        <f>IFERROR(INDEX(tblDeviceConfig[Software List],ROW()-1),"")</f>
      </c>
      <c r="H131">
        <f>IFERROR(INDEX(tblDeviceConfig[PI_Use_Case],ROW()-1),"")</f>
      </c>
      <c r="I131">
        <f>IFERROR(INDEX(tblDeviceConfig[PI_Result],ROW()-1),"")</f>
      </c>
      <c r="J131">
        <f>IFERROR(INDEX(tblDeviceConfig[PI_Validated_By],ROW()-1),"")</f>
      </c>
      <c r="K131">
        <f>IFERROR(INDEX(tblDeviceConfig[PI_Validated_Date],ROW()-1),"")</f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</c>
      <c r="C132">
        <f>IFERROR(INDEX(tblDeviceConfig[Deployed],ROW()-1),"")</f>
      </c>
      <c r="D132" t="str">
        <f>IFERROR(INDEX(tblDeviceConfig[Installed],ROW()-1),"")</f>
      </c>
      <c r="E132">
        <f>IFERROR(INDEX(tblDeviceConfig[Cybernet Hostname],ROW()-1),"")</f>
      </c>
      <c r="F132" t="str">
        <f>IFERROR(INDEX(tblDeviceConfig[Neuron Hostname],ROW()-1),"")</f>
      </c>
      <c r="G132">
        <f>IFERROR(INDEX(tblDeviceConfig[Software List],ROW()-1),"")</f>
      </c>
      <c r="H132">
        <f>IFERROR(INDEX(tblDeviceConfig[PI_Use_Case],ROW()-1),"")</f>
      </c>
      <c r="I132">
        <f>IFERROR(INDEX(tblDeviceConfig[PI_Result],ROW()-1),"")</f>
      </c>
      <c r="J132">
        <f>IFERROR(INDEX(tblDeviceConfig[PI_Validated_By],ROW()-1),"")</f>
      </c>
      <c r="K132">
        <f>IFERROR(INDEX(tblDeviceConfig[PI_Validated_Date],ROW()-1),"")</f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</c>
      <c r="C133">
        <f>IFERROR(INDEX(tblDeviceConfig[Deployed],ROW()-1),"")</f>
      </c>
      <c r="D133" t="str">
        <f>IFERROR(INDEX(tblDeviceConfig[Installed],ROW()-1),"")</f>
      </c>
      <c r="E133">
        <f>IFERROR(INDEX(tblDeviceConfig[Cybernet Hostname],ROW()-1),"")</f>
      </c>
      <c r="F133" t="str">
        <f>IFERROR(INDEX(tblDeviceConfig[Neuron Hostname],ROW()-1),"")</f>
      </c>
      <c r="G133">
        <f>IFERROR(INDEX(tblDeviceConfig[Software List],ROW()-1),"")</f>
      </c>
      <c r="H133">
        <f>IFERROR(INDEX(tblDeviceConfig[PI_Use_Case],ROW()-1),"")</f>
      </c>
      <c r="I133">
        <f>IFERROR(INDEX(tblDeviceConfig[PI_Result],ROW()-1),"")</f>
      </c>
      <c r="J133">
        <f>IFERROR(INDEX(tblDeviceConfig[PI_Validated_By],ROW()-1),"")</f>
      </c>
      <c r="K133">
        <f>IFERROR(INDEX(tblDeviceConfig[PI_Validated_Date],ROW()-1),"")</f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</c>
      <c r="C134">
        <f>IFERROR(INDEX(tblDeviceConfig[Deployed],ROW()-1),"")</f>
      </c>
      <c r="D134" t="str">
        <f>IFERROR(INDEX(tblDeviceConfig[Installed],ROW()-1),"")</f>
      </c>
      <c r="E134">
        <f>IFERROR(INDEX(tblDeviceConfig[Cybernet Hostname],ROW()-1),"")</f>
      </c>
      <c r="F134" t="str">
        <f>IFERROR(INDEX(tblDeviceConfig[Neuron Hostname],ROW()-1),"")</f>
      </c>
      <c r="G134">
        <f>IFERROR(INDEX(tblDeviceConfig[Software List],ROW()-1),"")</f>
      </c>
      <c r="H134">
        <f>IFERROR(INDEX(tblDeviceConfig[PI_Use_Case],ROW()-1),"")</f>
      </c>
      <c r="I134">
        <f>IFERROR(INDEX(tblDeviceConfig[PI_Result],ROW()-1),"")</f>
      </c>
      <c r="J134">
        <f>IFERROR(INDEX(tblDeviceConfig[PI_Validated_By],ROW()-1),"")</f>
      </c>
      <c r="K134">
        <f>IFERROR(INDEX(tblDeviceConfig[PI_Validated_Date],ROW()-1),"")</f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</c>
      <c r="C135">
        <f>IFERROR(INDEX(tblDeviceConfig[Deployed],ROW()-1),"")</f>
      </c>
      <c r="D135" t="str">
        <f>IFERROR(INDEX(tblDeviceConfig[Installed],ROW()-1),"")</f>
      </c>
      <c r="E135">
        <f>IFERROR(INDEX(tblDeviceConfig[Cybernet Hostname],ROW()-1),"")</f>
      </c>
      <c r="F135" t="str">
        <f>IFERROR(INDEX(tblDeviceConfig[Neuron Hostname],ROW()-1),"")</f>
      </c>
      <c r="G135">
        <f>IFERROR(INDEX(tblDeviceConfig[Software List],ROW()-1),"")</f>
      </c>
      <c r="H135">
        <f>IFERROR(INDEX(tblDeviceConfig[PI_Use_Case],ROW()-1),"")</f>
      </c>
      <c r="I135">
        <f>IFERROR(INDEX(tblDeviceConfig[PI_Result],ROW()-1),"")</f>
      </c>
      <c r="J135">
        <f>IFERROR(INDEX(tblDeviceConfig[PI_Validated_By],ROW()-1),"")</f>
      </c>
      <c r="K135">
        <f>IFERROR(INDEX(tblDeviceConfig[PI_Validated_Date],ROW()-1),"")</f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</c>
      <c r="C136">
        <f>IFERROR(INDEX(tblDeviceConfig[Deployed],ROW()-1),"")</f>
      </c>
      <c r="D136" t="str">
        <f>IFERROR(INDEX(tblDeviceConfig[Installed],ROW()-1),"")</f>
      </c>
      <c r="E136">
        <f>IFERROR(INDEX(tblDeviceConfig[Cybernet Hostname],ROW()-1),"")</f>
      </c>
      <c r="F136" t="str">
        <f>IFERROR(INDEX(tblDeviceConfig[Neuron Hostname],ROW()-1),"")</f>
      </c>
      <c r="G136">
        <f>IFERROR(INDEX(tblDeviceConfig[Software List],ROW()-1),"")</f>
      </c>
      <c r="H136">
        <f>IFERROR(INDEX(tblDeviceConfig[PI_Use_Case],ROW()-1),"")</f>
      </c>
      <c r="I136">
        <f>IFERROR(INDEX(tblDeviceConfig[PI_Result],ROW()-1),"")</f>
      </c>
      <c r="J136">
        <f>IFERROR(INDEX(tblDeviceConfig[PI_Validated_By],ROW()-1),"")</f>
      </c>
      <c r="K136">
        <f>IFERROR(INDEX(tblDeviceConfig[PI_Validated_Date],ROW()-1),"")</f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</c>
      <c r="C137">
        <f>IFERROR(INDEX(tblDeviceConfig[Deployed],ROW()-1),"")</f>
      </c>
      <c r="D137" t="str">
        <f>IFERROR(INDEX(tblDeviceConfig[Installed],ROW()-1),"")</f>
      </c>
      <c r="E137">
        <f>IFERROR(INDEX(tblDeviceConfig[Cybernet Hostname],ROW()-1),"")</f>
      </c>
      <c r="F137" t="str">
        <f>IFERROR(INDEX(tblDeviceConfig[Neuron Hostname],ROW()-1),"")</f>
      </c>
      <c r="G137">
        <f>IFERROR(INDEX(tblDeviceConfig[Software List],ROW()-1),"")</f>
      </c>
      <c r="H137">
        <f>IFERROR(INDEX(tblDeviceConfig[PI_Use_Case],ROW()-1),"")</f>
      </c>
      <c r="I137">
        <f>IFERROR(INDEX(tblDeviceConfig[PI_Result],ROW()-1),"")</f>
      </c>
      <c r="J137">
        <f>IFERROR(INDEX(tblDeviceConfig[PI_Validated_By],ROW()-1),"")</f>
      </c>
      <c r="K137">
        <f>IFERROR(INDEX(tblDeviceConfig[PI_Validated_Date],ROW()-1),"")</f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</c>
      <c r="C138">
        <f>IFERROR(INDEX(tblDeviceConfig[Deployed],ROW()-1),"")</f>
      </c>
      <c r="D138" t="str">
        <f>IFERROR(INDEX(tblDeviceConfig[Installed],ROW()-1),"")</f>
      </c>
      <c r="E138">
        <f>IFERROR(INDEX(tblDeviceConfig[Cybernet Hostname],ROW()-1),"")</f>
      </c>
      <c r="F138" t="str">
        <f>IFERROR(INDEX(tblDeviceConfig[Neuron Hostname],ROW()-1),"")</f>
      </c>
      <c r="G138">
        <f>IFERROR(INDEX(tblDeviceConfig[Software List],ROW()-1),"")</f>
      </c>
      <c r="H138">
        <f>IFERROR(INDEX(tblDeviceConfig[PI_Use_Case],ROW()-1),"")</f>
      </c>
      <c r="I138">
        <f>IFERROR(INDEX(tblDeviceConfig[PI_Result],ROW()-1),"")</f>
      </c>
      <c r="J138">
        <f>IFERROR(INDEX(tblDeviceConfig[PI_Validated_By],ROW()-1),"")</f>
      </c>
      <c r="K138">
        <f>IFERROR(INDEX(tblDeviceConfig[PI_Validated_Date],ROW()-1),"")</f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</c>
      <c r="C139" t="str">
        <f>IFERROR(INDEX(tblDeviceConfig[Deployed],ROW()-1),"")</f>
      </c>
      <c r="D139" t="str">
        <f>IFERROR(INDEX(tblDeviceConfig[Installed],ROW()-1),"")</f>
      </c>
      <c r="E139">
        <f>IFERROR(INDEX(tblDeviceConfig[Cybernet Hostname],ROW()-1),"")</f>
      </c>
      <c r="F139" t="str">
        <f>IFERROR(INDEX(tblDeviceConfig[Neuron Hostname],ROW()-1),"")</f>
      </c>
      <c r="G139">
        <f>IFERROR(INDEX(tblDeviceConfig[Software List],ROW()-1),"")</f>
      </c>
      <c r="H139">
        <f>IFERROR(INDEX(tblDeviceConfig[PI_Use_Case],ROW()-1),"")</f>
      </c>
      <c r="I139">
        <f>IFERROR(INDEX(tblDeviceConfig[PI_Result],ROW()-1),"")</f>
      </c>
      <c r="J139">
        <f>IFERROR(INDEX(tblDeviceConfig[PI_Validated_By],ROW()-1),"")</f>
      </c>
      <c r="K139">
        <f>IFERROR(INDEX(tblDeviceConfig[PI_Validated_Date],ROW()-1),"")</f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</c>
      <c r="C140" t="str">
        <f>IFERROR(INDEX(tblDeviceConfig[Deployed],ROW()-1),"")</f>
      </c>
      <c r="D140" t="str">
        <f>IFERROR(INDEX(tblDeviceConfig[Installed],ROW()-1),"")</f>
      </c>
      <c r="E140">
        <f>IFERROR(INDEX(tblDeviceConfig[Cybernet Hostname],ROW()-1),"")</f>
      </c>
      <c r="F140" t="str">
        <f>IFERROR(INDEX(tblDeviceConfig[Neuron Hostname],ROW()-1),"")</f>
      </c>
      <c r="G140">
        <f>IFERROR(INDEX(tblDeviceConfig[Software List],ROW()-1),"")</f>
      </c>
      <c r="H140">
        <f>IFERROR(INDEX(tblDeviceConfig[PI_Use_Case],ROW()-1),"")</f>
      </c>
      <c r="I140">
        <f>IFERROR(INDEX(tblDeviceConfig[PI_Result],ROW()-1),"")</f>
      </c>
      <c r="J140">
        <f>IFERROR(INDEX(tblDeviceConfig[PI_Validated_By],ROW()-1),"")</f>
      </c>
      <c r="K140">
        <f>IFERROR(INDEX(tblDeviceConfig[PI_Validated_Date],ROW()-1),"")</f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</c>
      <c r="C141" t="str">
        <f>IFERROR(INDEX(tblDeviceConfig[Deployed],ROW()-1),"")</f>
      </c>
      <c r="D141" t="str">
        <f>IFERROR(INDEX(tblDeviceConfig[Installed],ROW()-1),"")</f>
      </c>
      <c r="E141">
        <f>IFERROR(INDEX(tblDeviceConfig[Cybernet Hostname],ROW()-1),"")</f>
      </c>
      <c r="F141" t="str">
        <f>IFERROR(INDEX(tblDeviceConfig[Neuron Hostname],ROW()-1),"")</f>
      </c>
      <c r="G141">
        <f>IFERROR(INDEX(tblDeviceConfig[Software List],ROW()-1),"")</f>
      </c>
      <c r="H141">
        <f>IFERROR(INDEX(tblDeviceConfig[PI_Use_Case],ROW()-1),"")</f>
      </c>
      <c r="I141">
        <f>IFERROR(INDEX(tblDeviceConfig[PI_Result],ROW()-1),"")</f>
      </c>
      <c r="J141">
        <f>IFERROR(INDEX(tblDeviceConfig[PI_Validated_By],ROW()-1),"")</f>
      </c>
      <c r="K141">
        <f>IFERROR(INDEX(tblDeviceConfig[PI_Validated_Date],ROW()-1),"")</f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</c>
      <c r="C142" t="str">
        <f>IFERROR(INDEX(tblDeviceConfig[Deployed],ROW()-1),"")</f>
      </c>
      <c r="D142" t="str">
        <f>IFERROR(INDEX(tblDeviceConfig[Installed],ROW()-1),"")</f>
      </c>
      <c r="E142">
        <f>IFERROR(INDEX(tblDeviceConfig[Cybernet Hostname],ROW()-1),"")</f>
      </c>
      <c r="F142" t="str">
        <f>IFERROR(INDEX(tblDeviceConfig[Neuron Hostname],ROW()-1),"")</f>
      </c>
      <c r="G142">
        <f>IFERROR(INDEX(tblDeviceConfig[Software List],ROW()-1),"")</f>
      </c>
      <c r="H142">
        <f>IFERROR(INDEX(tblDeviceConfig[PI_Use_Case],ROW()-1),"")</f>
      </c>
      <c r="I142">
        <f>IFERROR(INDEX(tblDeviceConfig[PI_Result],ROW()-1),"")</f>
      </c>
      <c r="J142">
        <f>IFERROR(INDEX(tblDeviceConfig[PI_Validated_By],ROW()-1),"")</f>
      </c>
      <c r="K142">
        <f>IFERROR(INDEX(tblDeviceConfig[PI_Validated_Date],ROW()-1),"")</f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</c>
      <c r="C143" t="str">
        <f>IFERROR(INDEX(tblDeviceConfig[Deployed],ROW()-1),"")</f>
      </c>
      <c r="D143" t="str">
        <f>IFERROR(INDEX(tblDeviceConfig[Installed],ROW()-1),"")</f>
      </c>
      <c r="E143">
        <f>IFERROR(INDEX(tblDeviceConfig[Cybernet Hostname],ROW()-1),"")</f>
      </c>
      <c r="F143" t="str">
        <f>IFERROR(INDEX(tblDeviceConfig[Neuron Hostname],ROW()-1),"")</f>
      </c>
      <c r="G143">
        <f>IFERROR(INDEX(tblDeviceConfig[Software List],ROW()-1),"")</f>
      </c>
      <c r="H143">
        <f>IFERROR(INDEX(tblDeviceConfig[PI_Use_Case],ROW()-1),"")</f>
      </c>
      <c r="I143">
        <f>IFERROR(INDEX(tblDeviceConfig[PI_Result],ROW()-1),"")</f>
      </c>
      <c r="J143">
        <f>IFERROR(INDEX(tblDeviceConfig[PI_Validated_By],ROW()-1),"")</f>
      </c>
      <c r="K143">
        <f>IFERROR(INDEX(tblDeviceConfig[PI_Validated_Date],ROW()-1),"")</f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</c>
      <c r="C144" t="str">
        <f>IFERROR(INDEX(tblDeviceConfig[Deployed],ROW()-1),"")</f>
      </c>
      <c r="D144" t="str">
        <f>IFERROR(INDEX(tblDeviceConfig[Installed],ROW()-1),"")</f>
      </c>
      <c r="E144">
        <f>IFERROR(INDEX(tblDeviceConfig[Cybernet Hostname],ROW()-1),"")</f>
      </c>
      <c r="F144" t="str">
        <f>IFERROR(INDEX(tblDeviceConfig[Neuron Hostname],ROW()-1),"")</f>
      </c>
      <c r="G144">
        <f>IFERROR(INDEX(tblDeviceConfig[Software List],ROW()-1),"")</f>
      </c>
      <c r="H144">
        <f>IFERROR(INDEX(tblDeviceConfig[PI_Use_Case],ROW()-1),"")</f>
      </c>
      <c r="I144">
        <f>IFERROR(INDEX(tblDeviceConfig[PI_Result],ROW()-1),"")</f>
      </c>
      <c r="J144">
        <f>IFERROR(INDEX(tblDeviceConfig[PI_Validated_By],ROW()-1),"")</f>
      </c>
      <c r="K144">
        <f>IFERROR(INDEX(tblDeviceConfig[PI_Validated_Date],ROW()-1),"")</f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</c>
      <c r="C145" t="str">
        <f>IFERROR(INDEX(tblDeviceConfig[Deployed],ROW()-1),"")</f>
      </c>
      <c r="D145" t="str">
        <f>IFERROR(INDEX(tblDeviceConfig[Installed],ROW()-1),"")</f>
      </c>
      <c r="E145">
        <f>IFERROR(INDEX(tblDeviceConfig[Cybernet Hostname],ROW()-1),"")</f>
      </c>
      <c r="F145" t="str">
        <f>IFERROR(INDEX(tblDeviceConfig[Neuron Hostname],ROW()-1),"")</f>
      </c>
      <c r="G145">
        <f>IFERROR(INDEX(tblDeviceConfig[Software List],ROW()-1),"")</f>
      </c>
      <c r="H145">
        <f>IFERROR(INDEX(tblDeviceConfig[PI_Use_Case],ROW()-1),"")</f>
      </c>
      <c r="I145">
        <f>IFERROR(INDEX(tblDeviceConfig[PI_Result],ROW()-1),"")</f>
      </c>
      <c r="J145">
        <f>IFERROR(INDEX(tblDeviceConfig[PI_Validated_By],ROW()-1),"")</f>
      </c>
      <c r="K145">
        <f>IFERROR(INDEX(tblDeviceConfig[PI_Validated_Date],ROW()-1),"")</f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</c>
      <c r="C146" t="str">
        <f>IFERROR(INDEX(tblDeviceConfig[Deployed],ROW()-1),"")</f>
      </c>
      <c r="D146" t="str">
        <f>IFERROR(INDEX(tblDeviceConfig[Installed],ROW()-1),"")</f>
      </c>
      <c r="E146">
        <f>IFERROR(INDEX(tblDeviceConfig[Cybernet Hostname],ROW()-1),"")</f>
      </c>
      <c r="F146">
        <f>IFERROR(INDEX(tblDeviceConfig[Neuron Hostname],ROW()-1),"")</f>
      </c>
      <c r="G146">
        <f>IFERROR(INDEX(tblDeviceConfig[Software List],ROW()-1),"")</f>
      </c>
      <c r="H146">
        <f>IFERROR(INDEX(tblDeviceConfig[PI_Use_Case],ROW()-1),"")</f>
      </c>
      <c r="I146">
        <f>IFERROR(INDEX(tblDeviceConfig[PI_Result],ROW()-1),"")</f>
      </c>
      <c r="J146">
        <f>IFERROR(INDEX(tblDeviceConfig[PI_Validated_By],ROW()-1),"")</f>
      </c>
      <c r="K146">
        <f>IFERROR(INDEX(tblDeviceConfig[PI_Validated_Date],ROW()-1),"")</f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</c>
      <c r="C147" t="str">
        <f>IFERROR(INDEX(tblDeviceConfig[Deployed],ROW()-1),"")</f>
      </c>
      <c r="D147" t="str">
        <f>IFERROR(INDEX(tblDeviceConfig[Installed],ROW()-1),"")</f>
      </c>
      <c r="E147">
        <f>IFERROR(INDEX(tblDeviceConfig[Cybernet Hostname],ROW()-1),"")</f>
      </c>
      <c r="F147">
        <f>IFERROR(INDEX(tblDeviceConfig[Neuron Hostname],ROW()-1),"")</f>
      </c>
      <c r="G147">
        <f>IFERROR(INDEX(tblDeviceConfig[Software List],ROW()-1),"")</f>
      </c>
      <c r="H147">
        <f>IFERROR(INDEX(tblDeviceConfig[PI_Use_Case],ROW()-1),"")</f>
      </c>
      <c r="I147">
        <f>IFERROR(INDEX(tblDeviceConfig[PI_Result],ROW()-1),"")</f>
      </c>
      <c r="J147">
        <f>IFERROR(INDEX(tblDeviceConfig[PI_Validated_By],ROW()-1),"")</f>
      </c>
      <c r="K147">
        <f>IFERROR(INDEX(tblDeviceConfig[PI_Validated_Date],ROW()-1),"")</f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</c>
      <c r="C148" t="str">
        <f>IFERROR(INDEX(tblDeviceConfig[Deployed],ROW()-1),"")</f>
      </c>
      <c r="D148" t="str">
        <f>IFERROR(INDEX(tblDeviceConfig[Installed],ROW()-1),"")</f>
      </c>
      <c r="E148">
        <f>IFERROR(INDEX(tblDeviceConfig[Cybernet Hostname],ROW()-1),"")</f>
      </c>
      <c r="F148">
        <f>IFERROR(INDEX(tblDeviceConfig[Neuron Hostname],ROW()-1),"")</f>
      </c>
      <c r="G148">
        <f>IFERROR(INDEX(tblDeviceConfig[Software List],ROW()-1),"")</f>
      </c>
      <c r="H148">
        <f>IFERROR(INDEX(tblDeviceConfig[PI_Use_Case],ROW()-1),"")</f>
      </c>
      <c r="I148">
        <f>IFERROR(INDEX(tblDeviceConfig[PI_Result],ROW()-1),"")</f>
      </c>
      <c r="J148">
        <f>IFERROR(INDEX(tblDeviceConfig[PI_Validated_By],ROW()-1),"")</f>
      </c>
      <c r="K148">
        <f>IFERROR(INDEX(tblDeviceConfig[PI_Validated_Date],ROW()-1),"")</f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</c>
      <c r="C149">
        <f>IFERROR(INDEX(tblDeviceConfig[Deployed],ROW()-1),"")</f>
      </c>
      <c r="D149">
        <f>IFERROR(INDEX(tblDeviceConfig[Installed],ROW()-1),"")</f>
      </c>
      <c r="E149">
        <f>IFERROR(INDEX(tblDeviceConfig[Cybernet Hostname],ROW()-1),"")</f>
      </c>
      <c r="F149">
        <f>IFERROR(INDEX(tblDeviceConfig[Neuron Hostname],ROW()-1),"")</f>
      </c>
      <c r="G149">
        <f>IFERROR(INDEX(tblDeviceConfig[Software List],ROW()-1),"")</f>
      </c>
      <c r="H149">
        <f>IFERROR(INDEX(tblDeviceConfig[PI_Use_Case],ROW()-1),"")</f>
      </c>
      <c r="I149">
        <f>IFERROR(INDEX(tblDeviceConfig[PI_Result],ROW()-1),"")</f>
      </c>
      <c r="J149">
        <f>IFERROR(INDEX(tblDeviceConfig[PI_Validated_By],ROW()-1),"")</f>
      </c>
      <c r="K149">
        <f>IFERROR(INDEX(tblDeviceConfig[PI_Validated_Date],ROW()-1),"")</f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</c>
      <c r="C150">
        <f>IFERROR(INDEX(tblDeviceConfig[Deployed],ROW()-1),"")</f>
      </c>
      <c r="D150">
        <f>IFERROR(INDEX(tblDeviceConfig[Installed],ROW()-1),"")</f>
      </c>
      <c r="E150">
        <f>IFERROR(INDEX(tblDeviceConfig[Cybernet Hostname],ROW()-1),"")</f>
      </c>
      <c r="F150">
        <f>IFERROR(INDEX(tblDeviceConfig[Neuron Hostname],ROW()-1),"")</f>
      </c>
      <c r="G150">
        <f>IFERROR(INDEX(tblDeviceConfig[Software List],ROW()-1),"")</f>
      </c>
      <c r="H150">
        <f>IFERROR(INDEX(tblDeviceConfig[PI_Use_Case],ROW()-1),"")</f>
      </c>
      <c r="I150">
        <f>IFERROR(INDEX(tblDeviceConfig[PI_Result],ROW()-1),"")</f>
      </c>
      <c r="J150">
        <f>IFERROR(INDEX(tblDeviceConfig[PI_Validated_By],ROW()-1),"")</f>
      </c>
      <c r="K150">
        <f>IFERROR(INDEX(tblDeviceConfig[PI_Validated_Date],ROW()-1),"")</f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</c>
      <c r="C151">
        <f>IFERROR(INDEX(tblDeviceConfig[Deployed],ROW()-1),"")</f>
      </c>
      <c r="D151">
        <f>IFERROR(INDEX(tblDeviceConfig[Installed],ROW()-1),"")</f>
      </c>
      <c r="E151">
        <f>IFERROR(INDEX(tblDeviceConfig[Cybernet Hostname],ROW()-1),"")</f>
      </c>
      <c r="F151">
        <f>IFERROR(INDEX(tblDeviceConfig[Neuron Hostname],ROW()-1),"")</f>
      </c>
      <c r="G151">
        <f>IFERROR(INDEX(tblDeviceConfig[Software List],ROW()-1),"")</f>
      </c>
      <c r="H151">
        <f>IFERROR(INDEX(tblDeviceConfig[PI_Use_Case],ROW()-1),"")</f>
      </c>
      <c r="I151">
        <f>IFERROR(INDEX(tblDeviceConfig[PI_Result],ROW()-1),"")</f>
      </c>
      <c r="J151">
        <f>IFERROR(INDEX(tblDeviceConfig[PI_Validated_By],ROW()-1),"")</f>
      </c>
      <c r="K151">
        <f>IFERROR(INDEX(tblDeviceConfig[PI_Validated_Date],ROW()-1),"")</f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</c>
      <c r="C152">
        <f>IFERROR(INDEX(tblDeviceConfig[Deployed],ROW()-1),"")</f>
      </c>
      <c r="D152">
        <f>IFERROR(INDEX(tblDeviceConfig[Installed],ROW()-1),"")</f>
      </c>
      <c r="E152">
        <f>IFERROR(INDEX(tblDeviceConfig[Cybernet Hostname],ROW()-1),"")</f>
      </c>
      <c r="F152">
        <f>IFERROR(INDEX(tblDeviceConfig[Neuron Hostname],ROW()-1),"")</f>
      </c>
      <c r="G152">
        <f>IFERROR(INDEX(tblDeviceConfig[Software List],ROW()-1),"")</f>
      </c>
      <c r="H152">
        <f>IFERROR(INDEX(tblDeviceConfig[PI_Use_Case],ROW()-1),"")</f>
      </c>
      <c r="I152">
        <f>IFERROR(INDEX(tblDeviceConfig[PI_Result],ROW()-1),"")</f>
      </c>
      <c r="J152">
        <f>IFERROR(INDEX(tblDeviceConfig[PI_Validated_By],ROW()-1),"")</f>
      </c>
      <c r="K152">
        <f>IFERROR(INDEX(tblDeviceConfig[PI_Validated_Date],ROW()-1),"")</f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</c>
      <c r="C153">
        <f>IFERROR(INDEX(tblDeviceConfig[Deployed],ROW()-1),"")</f>
      </c>
      <c r="D153">
        <f>IFERROR(INDEX(tblDeviceConfig[Installed],ROW()-1),"")</f>
      </c>
      <c r="E153">
        <f>IFERROR(INDEX(tblDeviceConfig[Cybernet Hostname],ROW()-1),"")</f>
      </c>
      <c r="F153">
        <f>IFERROR(INDEX(tblDeviceConfig[Neuron Hostname],ROW()-1),"")</f>
      </c>
      <c r="G153">
        <f>IFERROR(INDEX(tblDeviceConfig[Software List],ROW()-1),"")</f>
      </c>
      <c r="H153">
        <f>IFERROR(INDEX(tblDeviceConfig[PI_Use_Case],ROW()-1),"")</f>
      </c>
      <c r="I153">
        <f>IFERROR(INDEX(tblDeviceConfig[PI_Result],ROW()-1),"")</f>
      </c>
      <c r="J153">
        <f>IFERROR(INDEX(tblDeviceConfig[PI_Validated_By],ROW()-1),"")</f>
      </c>
      <c r="K153">
        <f>IFERROR(INDEX(tblDeviceConfig[PI_Validated_Date],ROW()-1),"")</f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</c>
      <c r="C154">
        <f>IFERROR(INDEX(tblDeviceConfig[Deployed],ROW()-1),"")</f>
      </c>
      <c r="D154">
        <f>IFERROR(INDEX(tblDeviceConfig[Installed],ROW()-1),"")</f>
      </c>
      <c r="E154">
        <f>IFERROR(INDEX(tblDeviceConfig[Cybernet Hostname],ROW()-1),"")</f>
      </c>
      <c r="F154">
        <f>IFERROR(INDEX(tblDeviceConfig[Neuron Hostname],ROW()-1),"")</f>
      </c>
      <c r="G154">
        <f>IFERROR(INDEX(tblDeviceConfig[Software List],ROW()-1),"")</f>
      </c>
      <c r="H154">
        <f>IFERROR(INDEX(tblDeviceConfig[PI_Use_Case],ROW()-1),"")</f>
      </c>
      <c r="I154">
        <f>IFERROR(INDEX(tblDeviceConfig[PI_Result],ROW()-1),"")</f>
      </c>
      <c r="J154">
        <f>IFERROR(INDEX(tblDeviceConfig[PI_Validated_By],ROW()-1),"")</f>
      </c>
      <c r="K154">
        <f>IFERROR(INDEX(tblDeviceConfig[PI_Validated_Date],ROW()-1),"")</f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</c>
      <c r="C155">
        <f>IFERROR(INDEX(tblDeviceConfig[Deployed],ROW()-1),"")</f>
      </c>
      <c r="D155">
        <f>IFERROR(INDEX(tblDeviceConfig[Installed],ROW()-1),"")</f>
      </c>
      <c r="E155">
        <f>IFERROR(INDEX(tblDeviceConfig[Cybernet Hostname],ROW()-1),"")</f>
      </c>
      <c r="F155">
        <f>IFERROR(INDEX(tblDeviceConfig[Neuron Hostname],ROW()-1),"")</f>
      </c>
      <c r="G155">
        <f>IFERROR(INDEX(tblDeviceConfig[Software List],ROW()-1),"")</f>
      </c>
      <c r="H155">
        <f>IFERROR(INDEX(tblDeviceConfig[PI_Use_Case],ROW()-1),"")</f>
      </c>
      <c r="I155">
        <f>IFERROR(INDEX(tblDeviceConfig[PI_Result],ROW()-1),"")</f>
      </c>
      <c r="J155">
        <f>IFERROR(INDEX(tblDeviceConfig[PI_Validated_By],ROW()-1),"")</f>
      </c>
      <c r="K155">
        <f>IFERROR(INDEX(tblDeviceConfig[PI_Validated_Date],ROW()-1),"")</f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</c>
      <c r="C156">
        <f>IFERROR(INDEX(tblDeviceConfig[Deployed],ROW()-1),"")</f>
      </c>
      <c r="D156">
        <f>IFERROR(INDEX(tblDeviceConfig[Installed],ROW()-1),"")</f>
      </c>
      <c r="E156">
        <f>IFERROR(INDEX(tblDeviceConfig[Cybernet Hostname],ROW()-1),"")</f>
      </c>
      <c r="F156">
        <f>IFERROR(INDEX(tblDeviceConfig[Neuron Hostname],ROW()-1),"")</f>
      </c>
      <c r="G156">
        <f>IFERROR(INDEX(tblDeviceConfig[Software List],ROW()-1),"")</f>
      </c>
      <c r="H156">
        <f>IFERROR(INDEX(tblDeviceConfig[PI_Use_Case],ROW()-1),"")</f>
      </c>
      <c r="I156">
        <f>IFERROR(INDEX(tblDeviceConfig[PI_Result],ROW()-1),"")</f>
      </c>
      <c r="J156">
        <f>IFERROR(INDEX(tblDeviceConfig[PI_Validated_By],ROW()-1),"")</f>
      </c>
      <c r="K156">
        <f>IFERROR(INDEX(tblDeviceConfig[PI_Validated_Date],ROW()-1),"")</f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</c>
      <c r="C157">
        <f>IFERROR(INDEX(tblDeviceConfig[Deployed],ROW()-1),"")</f>
      </c>
      <c r="D157">
        <f>IFERROR(INDEX(tblDeviceConfig[Installed],ROW()-1),"")</f>
      </c>
      <c r="E157">
        <f>IFERROR(INDEX(tblDeviceConfig[Cybernet Hostname],ROW()-1),"")</f>
      </c>
      <c r="F157">
        <f>IFERROR(INDEX(tblDeviceConfig[Neuron Hostname],ROW()-1),"")</f>
      </c>
      <c r="G157">
        <f>IFERROR(INDEX(tblDeviceConfig[Software List],ROW()-1),"")</f>
      </c>
      <c r="H157">
        <f>IFERROR(INDEX(tblDeviceConfig[PI_Use_Case],ROW()-1),"")</f>
      </c>
      <c r="I157">
        <f>IFERROR(INDEX(tblDeviceConfig[PI_Result],ROW()-1),"")</f>
      </c>
      <c r="J157">
        <f>IFERROR(INDEX(tblDeviceConfig[PI_Validated_By],ROW()-1),"")</f>
      </c>
      <c r="K157">
        <f>IFERROR(INDEX(tblDeviceConfig[PI_Validated_Date],ROW()-1),"")</f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</c>
      <c r="C158">
        <f>IFERROR(INDEX(tblDeviceConfig[Deployed],ROW()-1),"")</f>
      </c>
      <c r="D158">
        <f>IFERROR(INDEX(tblDeviceConfig[Installed],ROW()-1),"")</f>
      </c>
      <c r="E158">
        <f>IFERROR(INDEX(tblDeviceConfig[Cybernet Hostname],ROW()-1),"")</f>
      </c>
      <c r="F158">
        <f>IFERROR(INDEX(tblDeviceConfig[Neuron Hostname],ROW()-1),"")</f>
      </c>
      <c r="G158">
        <f>IFERROR(INDEX(tblDeviceConfig[Software List],ROW()-1),"")</f>
      </c>
      <c r="H158">
        <f>IFERROR(INDEX(tblDeviceConfig[PI_Use_Case],ROW()-1),"")</f>
      </c>
      <c r="I158">
        <f>IFERROR(INDEX(tblDeviceConfig[PI_Result],ROW()-1),"")</f>
      </c>
      <c r="J158">
        <f>IFERROR(INDEX(tblDeviceConfig[PI_Validated_By],ROW()-1),"")</f>
      </c>
      <c r="K158">
        <f>IFERROR(INDEX(tblDeviceConfig[PI_Validated_Date],ROW()-1),"")</f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</c>
      <c r="C159">
        <f>IFERROR(INDEX(tblDeviceConfig[Deployed],ROW()-1),"")</f>
      </c>
      <c r="D159">
        <f>IFERROR(INDEX(tblDeviceConfig[Installed],ROW()-1),"")</f>
      </c>
      <c r="E159">
        <f>IFERROR(INDEX(tblDeviceConfig[Cybernet Hostname],ROW()-1),"")</f>
      </c>
      <c r="F159">
        <f>IFERROR(INDEX(tblDeviceConfig[Neuron Hostname],ROW()-1),"")</f>
      </c>
      <c r="G159">
        <f>IFERROR(INDEX(tblDeviceConfig[Software List],ROW()-1),"")</f>
      </c>
      <c r="H159">
        <f>IFERROR(INDEX(tblDeviceConfig[PI_Use_Case],ROW()-1),"")</f>
      </c>
      <c r="I159">
        <f>IFERROR(INDEX(tblDeviceConfig[PI_Result],ROW()-1),"")</f>
      </c>
      <c r="J159">
        <f>IFERROR(INDEX(tblDeviceConfig[PI_Validated_By],ROW()-1),"")</f>
      </c>
      <c r="K159">
        <f>IFERROR(INDEX(tblDeviceConfig[PI_Validated_Date],ROW()-1),"")</f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</c>
      <c r="C160">
        <f>IFERROR(INDEX(tblDeviceConfig[Deployed],ROW()-1),"")</f>
      </c>
      <c r="D160">
        <f>IFERROR(INDEX(tblDeviceConfig[Installed],ROW()-1),"")</f>
      </c>
      <c r="E160">
        <f>IFERROR(INDEX(tblDeviceConfig[Cybernet Hostname],ROW()-1),"")</f>
      </c>
      <c r="F160">
        <f>IFERROR(INDEX(tblDeviceConfig[Neuron Hostname],ROW()-1),"")</f>
      </c>
      <c r="G160">
        <f>IFERROR(INDEX(tblDeviceConfig[Software List],ROW()-1),"")</f>
      </c>
      <c r="H160">
        <f>IFERROR(INDEX(tblDeviceConfig[PI_Use_Case],ROW()-1),"")</f>
      </c>
      <c r="I160">
        <f>IFERROR(INDEX(tblDeviceConfig[PI_Result],ROW()-1),"")</f>
      </c>
      <c r="J160">
        <f>IFERROR(INDEX(tblDeviceConfig[PI_Validated_By],ROW()-1),"")</f>
      </c>
      <c r="K160">
        <f>IFERROR(INDEX(tblDeviceConfig[PI_Validated_Date],ROW()-1),"")</f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</c>
      <c r="C161">
        <f>IFERROR(INDEX(tblDeviceConfig[Deployed],ROW()-1),"")</f>
      </c>
      <c r="D161">
        <f>IFERROR(INDEX(tblDeviceConfig[Installed],ROW()-1),"")</f>
      </c>
      <c r="E161">
        <f>IFERROR(INDEX(tblDeviceConfig[Cybernet Hostname],ROW()-1),"")</f>
      </c>
      <c r="F161">
        <f>IFERROR(INDEX(tblDeviceConfig[Neuron Hostname],ROW()-1),"")</f>
      </c>
      <c r="G161">
        <f>IFERROR(INDEX(tblDeviceConfig[Software List],ROW()-1),"")</f>
      </c>
      <c r="H161">
        <f>IFERROR(INDEX(tblDeviceConfig[PI_Use_Case],ROW()-1),"")</f>
      </c>
      <c r="I161">
        <f>IFERROR(INDEX(tblDeviceConfig[PI_Result],ROW()-1),"")</f>
      </c>
      <c r="J161">
        <f>IFERROR(INDEX(tblDeviceConfig[PI_Validated_By],ROW()-1),"")</f>
      </c>
      <c r="K161">
        <f>IFERROR(INDEX(tblDeviceConfig[PI_Validated_Date],ROW()-1),"")</f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</c>
      <c r="C162">
        <f>IFERROR(INDEX(tblDeviceConfig[Deployed],ROW()-1),"")</f>
      </c>
      <c r="D162">
        <f>IFERROR(INDEX(tblDeviceConfig[Installed],ROW()-1),"")</f>
      </c>
      <c r="E162">
        <f>IFERROR(INDEX(tblDeviceConfig[Cybernet Hostname],ROW()-1),"")</f>
      </c>
      <c r="F162">
        <f>IFERROR(INDEX(tblDeviceConfig[Neuron Hostname],ROW()-1),"")</f>
      </c>
      <c r="G162">
        <f>IFERROR(INDEX(tblDeviceConfig[Software List],ROW()-1),"")</f>
      </c>
      <c r="H162">
        <f>IFERROR(INDEX(tblDeviceConfig[PI_Use_Case],ROW()-1),"")</f>
      </c>
      <c r="I162">
        <f>IFERROR(INDEX(tblDeviceConfig[PI_Result],ROW()-1),"")</f>
      </c>
      <c r="J162">
        <f>IFERROR(INDEX(tblDeviceConfig[PI_Validated_By],ROW()-1),"")</f>
      </c>
      <c r="K162">
        <f>IFERROR(INDEX(tblDeviceConfig[PI_Validated_Date],ROW()-1),"")</f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</c>
      <c r="C163">
        <f>IFERROR(INDEX(tblDeviceConfig[Deployed],ROW()-1),"")</f>
      </c>
      <c r="D163">
        <f>IFERROR(INDEX(tblDeviceConfig[Installed],ROW()-1),"")</f>
      </c>
      <c r="E163">
        <f>IFERROR(INDEX(tblDeviceConfig[Cybernet Hostname],ROW()-1),"")</f>
      </c>
      <c r="F163">
        <f>IFERROR(INDEX(tblDeviceConfig[Neuron Hostname],ROW()-1),"")</f>
      </c>
      <c r="G163">
        <f>IFERROR(INDEX(tblDeviceConfig[Software List],ROW()-1),"")</f>
      </c>
      <c r="H163">
        <f>IFERROR(INDEX(tblDeviceConfig[PI_Use_Case],ROW()-1),"")</f>
      </c>
      <c r="I163">
        <f>IFERROR(INDEX(tblDeviceConfig[PI_Result],ROW()-1),"")</f>
      </c>
      <c r="J163">
        <f>IFERROR(INDEX(tblDeviceConfig[PI_Validated_By],ROW()-1),"")</f>
      </c>
      <c r="K163">
        <f>IFERROR(INDEX(tblDeviceConfig[PI_Validated_Date],ROW()-1),"")</f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</c>
      <c r="C164">
        <f>IFERROR(INDEX(tblDeviceConfig[Deployed],ROW()-1),"")</f>
      </c>
      <c r="D164">
        <f>IFERROR(INDEX(tblDeviceConfig[Installed],ROW()-1),"")</f>
      </c>
      <c r="E164">
        <f>IFERROR(INDEX(tblDeviceConfig[Cybernet Hostname],ROW()-1),"")</f>
      </c>
      <c r="F164">
        <f>IFERROR(INDEX(tblDeviceConfig[Neuron Hostname],ROW()-1),"")</f>
      </c>
      <c r="G164">
        <f>IFERROR(INDEX(tblDeviceConfig[Software List],ROW()-1),"")</f>
      </c>
      <c r="H164">
        <f>IFERROR(INDEX(tblDeviceConfig[PI_Use_Case],ROW()-1),"")</f>
      </c>
      <c r="I164">
        <f>IFERROR(INDEX(tblDeviceConfig[PI_Result],ROW()-1),"")</f>
      </c>
      <c r="J164">
        <f>IFERROR(INDEX(tblDeviceConfig[PI_Validated_By],ROW()-1),"")</f>
      </c>
      <c r="K164">
        <f>IFERROR(INDEX(tblDeviceConfig[PI_Validated_Date],ROW()-1),"")</f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</c>
      <c r="C165">
        <f>IFERROR(INDEX(tblDeviceConfig[Deployed],ROW()-1),"")</f>
      </c>
      <c r="D165">
        <f>IFERROR(INDEX(tblDeviceConfig[Installed],ROW()-1),"")</f>
      </c>
      <c r="E165">
        <f>IFERROR(INDEX(tblDeviceConfig[Cybernet Hostname],ROW()-1),"")</f>
      </c>
      <c r="F165">
        <f>IFERROR(INDEX(tblDeviceConfig[Neuron Hostname],ROW()-1),"")</f>
      </c>
      <c r="G165">
        <f>IFERROR(INDEX(tblDeviceConfig[Software List],ROW()-1),"")</f>
      </c>
      <c r="H165">
        <f>IFERROR(INDEX(tblDeviceConfig[PI_Use_Case],ROW()-1),"")</f>
      </c>
      <c r="I165">
        <f>IFERROR(INDEX(tblDeviceConfig[PI_Result],ROW()-1),"")</f>
      </c>
      <c r="J165">
        <f>IFERROR(INDEX(tblDeviceConfig[PI_Validated_By],ROW()-1),"")</f>
      </c>
      <c r="K165">
        <f>IFERROR(INDEX(tblDeviceConfig[PI_Validated_Date],ROW()-1),"")</f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</c>
      <c r="C166">
        <f>IFERROR(INDEX(tblDeviceConfig[Deployed],ROW()-1),"")</f>
      </c>
      <c r="D166">
        <f>IFERROR(INDEX(tblDeviceConfig[Installed],ROW()-1),"")</f>
      </c>
      <c r="E166">
        <f>IFERROR(INDEX(tblDeviceConfig[Cybernet Hostname],ROW()-1),"")</f>
      </c>
      <c r="F166">
        <f>IFERROR(INDEX(tblDeviceConfig[Neuron Hostname],ROW()-1),"")</f>
      </c>
      <c r="G166">
        <f>IFERROR(INDEX(tblDeviceConfig[Software List],ROW()-1),"")</f>
      </c>
      <c r="H166">
        <f>IFERROR(INDEX(tblDeviceConfig[PI_Use_Case],ROW()-1),"")</f>
      </c>
      <c r="I166">
        <f>IFERROR(INDEX(tblDeviceConfig[PI_Result],ROW()-1),"")</f>
      </c>
      <c r="J166">
        <f>IFERROR(INDEX(tblDeviceConfig[PI_Validated_By],ROW()-1),"")</f>
      </c>
      <c r="K166">
        <f>IFERROR(INDEX(tblDeviceConfig[PI_Validated_Date],ROW()-1),"")</f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</c>
      <c r="C167">
        <f>IFERROR(INDEX(tblDeviceConfig[Deployed],ROW()-1),"")</f>
      </c>
      <c r="D167">
        <f>IFERROR(INDEX(tblDeviceConfig[Installed],ROW()-1),"")</f>
      </c>
      <c r="E167">
        <f>IFERROR(INDEX(tblDeviceConfig[Cybernet Hostname],ROW()-1),"")</f>
      </c>
      <c r="F167">
        <f>IFERROR(INDEX(tblDeviceConfig[Neuron Hostname],ROW()-1),"")</f>
      </c>
      <c r="G167">
        <f>IFERROR(INDEX(tblDeviceConfig[Software List],ROW()-1),"")</f>
      </c>
      <c r="H167">
        <f>IFERROR(INDEX(tblDeviceConfig[PI_Use_Case],ROW()-1),"")</f>
      </c>
      <c r="I167">
        <f>IFERROR(INDEX(tblDeviceConfig[PI_Result],ROW()-1),"")</f>
      </c>
      <c r="J167">
        <f>IFERROR(INDEX(tblDeviceConfig[PI_Validated_By],ROW()-1),"")</f>
      </c>
      <c r="K167">
        <f>IFERROR(INDEX(tblDeviceConfig[PI_Validated_Date],ROW()-1),"")</f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</c>
      <c r="C168">
        <f>IFERROR(INDEX(tblDeviceConfig[Deployed],ROW()-1),"")</f>
      </c>
      <c r="D168">
        <f>IFERROR(INDEX(tblDeviceConfig[Installed],ROW()-1),"")</f>
      </c>
      <c r="E168">
        <f>IFERROR(INDEX(tblDeviceConfig[Cybernet Hostname],ROW()-1),"")</f>
      </c>
      <c r="F168">
        <f>IFERROR(INDEX(tblDeviceConfig[Neuron Hostname],ROW()-1),"")</f>
      </c>
      <c r="G168">
        <f>IFERROR(INDEX(tblDeviceConfig[Software List],ROW()-1),"")</f>
      </c>
      <c r="H168">
        <f>IFERROR(INDEX(tblDeviceConfig[PI_Use_Case],ROW()-1),"")</f>
      </c>
      <c r="I168">
        <f>IFERROR(INDEX(tblDeviceConfig[PI_Result],ROW()-1),"")</f>
      </c>
      <c r="J168">
        <f>IFERROR(INDEX(tblDeviceConfig[PI_Validated_By],ROW()-1),"")</f>
      </c>
      <c r="K168">
        <f>IFERROR(INDEX(tblDeviceConfig[PI_Validated_Date],ROW()-1),"")</f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</c>
      <c r="C169">
        <f>IFERROR(INDEX(tblDeviceConfig[Deployed],ROW()-1),"")</f>
      </c>
      <c r="D169">
        <f>IFERROR(INDEX(tblDeviceConfig[Installed],ROW()-1),"")</f>
      </c>
      <c r="E169">
        <f>IFERROR(INDEX(tblDeviceConfig[Cybernet Hostname],ROW()-1),"")</f>
      </c>
      <c r="F169">
        <f>IFERROR(INDEX(tblDeviceConfig[Neuron Hostname],ROW()-1),"")</f>
      </c>
      <c r="G169">
        <f>IFERROR(INDEX(tblDeviceConfig[Software List],ROW()-1),"")</f>
      </c>
      <c r="H169">
        <f>IFERROR(INDEX(tblDeviceConfig[PI_Use_Case],ROW()-1),"")</f>
      </c>
      <c r="I169">
        <f>IFERROR(INDEX(tblDeviceConfig[PI_Result],ROW()-1),"")</f>
      </c>
      <c r="J169">
        <f>IFERROR(INDEX(tblDeviceConfig[PI_Validated_By],ROW()-1),"")</f>
      </c>
      <c r="K169">
        <f>IFERROR(INDEX(tblDeviceConfig[PI_Validated_Date],ROW()-1),"")</f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</c>
      <c r="C170">
        <f>IFERROR(INDEX(tblDeviceConfig[Deployed],ROW()-1),"")</f>
      </c>
      <c r="D170">
        <f>IFERROR(INDEX(tblDeviceConfig[Installed],ROW()-1),"")</f>
      </c>
      <c r="E170">
        <f>IFERROR(INDEX(tblDeviceConfig[Cybernet Hostname],ROW()-1),"")</f>
      </c>
      <c r="F170">
        <f>IFERROR(INDEX(tblDeviceConfig[Neuron Hostname],ROW()-1),"")</f>
      </c>
      <c r="G170">
        <f>IFERROR(INDEX(tblDeviceConfig[Software List],ROW()-1),"")</f>
      </c>
      <c r="H170">
        <f>IFERROR(INDEX(tblDeviceConfig[PI_Use_Case],ROW()-1),"")</f>
      </c>
      <c r="I170">
        <f>IFERROR(INDEX(tblDeviceConfig[PI_Result],ROW()-1),"")</f>
      </c>
      <c r="J170">
        <f>IFERROR(INDEX(tblDeviceConfig[PI_Validated_By],ROW()-1),"")</f>
      </c>
      <c r="K170">
        <f>IFERROR(INDEX(tblDeviceConfig[PI_Validated_Date],ROW()-1),"")</f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</c>
      <c r="C171">
        <f>IFERROR(INDEX(tblDeviceConfig[Deployed],ROW()-1),"")</f>
      </c>
      <c r="D171">
        <f>IFERROR(INDEX(tblDeviceConfig[Installed],ROW()-1),"")</f>
      </c>
      <c r="E171">
        <f>IFERROR(INDEX(tblDeviceConfig[Cybernet Hostname],ROW()-1),"")</f>
      </c>
      <c r="F171">
        <f>IFERROR(INDEX(tblDeviceConfig[Neuron Hostname],ROW()-1),"")</f>
      </c>
      <c r="G171">
        <f>IFERROR(INDEX(tblDeviceConfig[Software List],ROW()-1),"")</f>
      </c>
      <c r="H171">
        <f>IFERROR(INDEX(tblDeviceConfig[PI_Use_Case],ROW()-1),"")</f>
      </c>
      <c r="I171">
        <f>IFERROR(INDEX(tblDeviceConfig[PI_Result],ROW()-1),"")</f>
      </c>
      <c r="J171">
        <f>IFERROR(INDEX(tblDeviceConfig[PI_Validated_By],ROW()-1),"")</f>
      </c>
      <c r="K171">
        <f>IFERROR(INDEX(tblDeviceConfig[PI_Validated_Date],ROW()-1),"")</f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</c>
      <c r="C172">
        <f>IFERROR(INDEX(tblDeviceConfig[Deployed],ROW()-1),"")</f>
      </c>
      <c r="D172">
        <f>IFERROR(INDEX(tblDeviceConfig[Installed],ROW()-1),"")</f>
      </c>
      <c r="E172">
        <f>IFERROR(INDEX(tblDeviceConfig[Cybernet Hostname],ROW()-1),"")</f>
      </c>
      <c r="F172">
        <f>IFERROR(INDEX(tblDeviceConfig[Neuron Hostname],ROW()-1),"")</f>
      </c>
      <c r="G172">
        <f>IFERROR(INDEX(tblDeviceConfig[Software List],ROW()-1),"")</f>
      </c>
      <c r="H172">
        <f>IFERROR(INDEX(tblDeviceConfig[PI_Use_Case],ROW()-1),"")</f>
      </c>
      <c r="I172">
        <f>IFERROR(INDEX(tblDeviceConfig[PI_Result],ROW()-1),"")</f>
      </c>
      <c r="J172">
        <f>IFERROR(INDEX(tblDeviceConfig[PI_Validated_By],ROW()-1),"")</f>
      </c>
      <c r="K172">
        <f>IFERROR(INDEX(tblDeviceConfig[PI_Validated_Date],ROW()-1),"")</f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</c>
      <c r="C173">
        <f>IFERROR(INDEX(tblDeviceConfig[Deployed],ROW()-1),"")</f>
      </c>
      <c r="D173">
        <f>IFERROR(INDEX(tblDeviceConfig[Installed],ROW()-1),"")</f>
      </c>
      <c r="E173">
        <f>IFERROR(INDEX(tblDeviceConfig[Cybernet Hostname],ROW()-1),"")</f>
      </c>
      <c r="F173">
        <f>IFERROR(INDEX(tblDeviceConfig[Neuron Hostname],ROW()-1),"")</f>
      </c>
      <c r="G173">
        <f>IFERROR(INDEX(tblDeviceConfig[Software List],ROW()-1),"")</f>
      </c>
      <c r="H173">
        <f>IFERROR(INDEX(tblDeviceConfig[PI_Use_Case],ROW()-1),"")</f>
      </c>
      <c r="I173">
        <f>IFERROR(INDEX(tblDeviceConfig[PI_Result],ROW()-1),"")</f>
      </c>
      <c r="J173">
        <f>IFERROR(INDEX(tblDeviceConfig[PI_Validated_By],ROW()-1),"")</f>
      </c>
      <c r="K173">
        <f>IFERROR(INDEX(tblDeviceConfig[PI_Validated_Date],ROW()-1),"")</f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</c>
      <c r="C174">
        <f>IFERROR(INDEX(tblDeviceConfig[Deployed],ROW()-1),"")</f>
      </c>
      <c r="D174">
        <f>IFERROR(INDEX(tblDeviceConfig[Installed],ROW()-1),"")</f>
      </c>
      <c r="E174">
        <f>IFERROR(INDEX(tblDeviceConfig[Cybernet Hostname],ROW()-1),"")</f>
      </c>
      <c r="F174">
        <f>IFERROR(INDEX(tblDeviceConfig[Neuron Hostname],ROW()-1),"")</f>
      </c>
      <c r="G174">
        <f>IFERROR(INDEX(tblDeviceConfig[Software List],ROW()-1),"")</f>
      </c>
      <c r="H174">
        <f>IFERROR(INDEX(tblDeviceConfig[PI_Use_Case],ROW()-1),"")</f>
      </c>
      <c r="I174">
        <f>IFERROR(INDEX(tblDeviceConfig[PI_Result],ROW()-1),"")</f>
      </c>
      <c r="J174">
        <f>IFERROR(INDEX(tblDeviceConfig[PI_Validated_By],ROW()-1),"")</f>
      </c>
      <c r="K174">
        <f>IFERROR(INDEX(tblDeviceConfig[PI_Validated_Date],ROW()-1),"")</f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</c>
      <c r="C175">
        <f>IFERROR(INDEX(tblDeviceConfig[Deployed],ROW()-1),"")</f>
      </c>
      <c r="D175">
        <f>IFERROR(INDEX(tblDeviceConfig[Installed],ROW()-1),"")</f>
      </c>
      <c r="E175">
        <f>IFERROR(INDEX(tblDeviceConfig[Cybernet Hostname],ROW()-1),"")</f>
      </c>
      <c r="F175">
        <f>IFERROR(INDEX(tblDeviceConfig[Neuron Hostname],ROW()-1),"")</f>
      </c>
      <c r="G175">
        <f>IFERROR(INDEX(tblDeviceConfig[Software List],ROW()-1),"")</f>
      </c>
      <c r="H175">
        <f>IFERROR(INDEX(tblDeviceConfig[PI_Use_Case],ROW()-1),"")</f>
      </c>
      <c r="I175">
        <f>IFERROR(INDEX(tblDeviceConfig[PI_Result],ROW()-1),"")</f>
      </c>
      <c r="J175">
        <f>IFERROR(INDEX(tblDeviceConfig[PI_Validated_By],ROW()-1),"")</f>
      </c>
      <c r="K175">
        <f>IFERROR(INDEX(tblDeviceConfig[PI_Validated_Date],ROW()-1),"")</f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</c>
      <c r="C176">
        <f>IFERROR(INDEX(tblDeviceConfig[Deployed],ROW()-1),"")</f>
      </c>
      <c r="D176">
        <f>IFERROR(INDEX(tblDeviceConfig[Installed],ROW()-1),"")</f>
      </c>
      <c r="E176">
        <f>IFERROR(INDEX(tblDeviceConfig[Cybernet Hostname],ROW()-1),"")</f>
      </c>
      <c r="F176">
        <f>IFERROR(INDEX(tblDeviceConfig[Neuron Hostname],ROW()-1),"")</f>
      </c>
      <c r="G176">
        <f>IFERROR(INDEX(tblDeviceConfig[Software List],ROW()-1),"")</f>
      </c>
      <c r="H176">
        <f>IFERROR(INDEX(tblDeviceConfig[PI_Use_Case],ROW()-1),"")</f>
      </c>
      <c r="I176">
        <f>IFERROR(INDEX(tblDeviceConfig[PI_Result],ROW()-1),"")</f>
      </c>
      <c r="J176">
        <f>IFERROR(INDEX(tblDeviceConfig[PI_Validated_By],ROW()-1),"")</f>
      </c>
      <c r="K176">
        <f>IFERROR(INDEX(tblDeviceConfig[PI_Validated_Date],ROW()-1),"")</f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</c>
      <c r="C177">
        <f>IFERROR(INDEX(tblDeviceConfig[Deployed],ROW()-1),"")</f>
      </c>
      <c r="D177">
        <f>IFERROR(INDEX(tblDeviceConfig[Installed],ROW()-1),"")</f>
      </c>
      <c r="E177">
        <f>IFERROR(INDEX(tblDeviceConfig[Cybernet Hostname],ROW()-1),"")</f>
      </c>
      <c r="F177">
        <f>IFERROR(INDEX(tblDeviceConfig[Neuron Hostname],ROW()-1),"")</f>
      </c>
      <c r="G177">
        <f>IFERROR(INDEX(tblDeviceConfig[Software List],ROW()-1),"")</f>
      </c>
      <c r="H177">
        <f>IFERROR(INDEX(tblDeviceConfig[PI_Use_Case],ROW()-1),"")</f>
      </c>
      <c r="I177">
        <f>IFERROR(INDEX(tblDeviceConfig[PI_Result],ROW()-1),"")</f>
      </c>
      <c r="J177">
        <f>IFERROR(INDEX(tblDeviceConfig[PI_Validated_By],ROW()-1),"")</f>
      </c>
      <c r="K177">
        <f>IFERROR(INDEX(tblDeviceConfig[PI_Validated_Date],ROW()-1),"")</f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</c>
      <c r="C178">
        <f>IFERROR(INDEX(tblDeviceConfig[Deployed],ROW()-1),"")</f>
      </c>
      <c r="D178">
        <f>IFERROR(INDEX(tblDeviceConfig[Installed],ROW()-1),"")</f>
      </c>
      <c r="E178">
        <f>IFERROR(INDEX(tblDeviceConfig[Cybernet Hostname],ROW()-1),"")</f>
      </c>
      <c r="F178">
        <f>IFERROR(INDEX(tblDeviceConfig[Neuron Hostname],ROW()-1),"")</f>
      </c>
      <c r="G178">
        <f>IFERROR(INDEX(tblDeviceConfig[Software List],ROW()-1),"")</f>
      </c>
      <c r="H178">
        <f>IFERROR(INDEX(tblDeviceConfig[PI_Use_Case],ROW()-1),"")</f>
      </c>
      <c r="I178">
        <f>IFERROR(INDEX(tblDeviceConfig[PI_Result],ROW()-1),"")</f>
      </c>
      <c r="J178">
        <f>IFERROR(INDEX(tblDeviceConfig[PI_Validated_By],ROW()-1),"")</f>
      </c>
      <c r="K178">
        <f>IFERROR(INDEX(tblDeviceConfig[PI_Validated_Date],ROW()-1),"")</f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</c>
      <c r="C179">
        <f>IFERROR(INDEX(tblDeviceConfig[Deployed],ROW()-1),"")</f>
      </c>
      <c r="D179">
        <f>IFERROR(INDEX(tblDeviceConfig[Installed],ROW()-1),"")</f>
      </c>
      <c r="E179">
        <f>IFERROR(INDEX(tblDeviceConfig[Cybernet Hostname],ROW()-1),"")</f>
      </c>
      <c r="F179">
        <f>IFERROR(INDEX(tblDeviceConfig[Neuron Hostname],ROW()-1),"")</f>
      </c>
      <c r="G179">
        <f>IFERROR(INDEX(tblDeviceConfig[Software List],ROW()-1),"")</f>
      </c>
      <c r="H179">
        <f>IFERROR(INDEX(tblDeviceConfig[PI_Use_Case],ROW()-1),"")</f>
      </c>
      <c r="I179">
        <f>IFERROR(INDEX(tblDeviceConfig[PI_Result],ROW()-1),"")</f>
      </c>
      <c r="J179">
        <f>IFERROR(INDEX(tblDeviceConfig[PI_Validated_By],ROW()-1),"")</f>
      </c>
      <c r="K179">
        <f>IFERROR(INDEX(tblDeviceConfig[PI_Validated_Date],ROW()-1),"")</f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</c>
      <c r="C180">
        <f>IFERROR(INDEX(tblDeviceConfig[Deployed],ROW()-1),"")</f>
      </c>
      <c r="D180">
        <f>IFERROR(INDEX(tblDeviceConfig[Installed],ROW()-1),"")</f>
      </c>
      <c r="E180">
        <f>IFERROR(INDEX(tblDeviceConfig[Cybernet Hostname],ROW()-1),"")</f>
      </c>
      <c r="F180">
        <f>IFERROR(INDEX(tblDeviceConfig[Neuron Hostname],ROW()-1),"")</f>
      </c>
      <c r="G180">
        <f>IFERROR(INDEX(tblDeviceConfig[Software List],ROW()-1),"")</f>
      </c>
      <c r="H180">
        <f>IFERROR(INDEX(tblDeviceConfig[PI_Use_Case],ROW()-1),"")</f>
      </c>
      <c r="I180">
        <f>IFERROR(INDEX(tblDeviceConfig[PI_Result],ROW()-1),"")</f>
      </c>
      <c r="J180">
        <f>IFERROR(INDEX(tblDeviceConfig[PI_Validated_By],ROW()-1),"")</f>
      </c>
      <c r="K180">
        <f>IFERROR(INDEX(tblDeviceConfig[PI_Validated_Date],ROW()-1),"")</f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</c>
      <c r="C181">
        <f>IFERROR(INDEX(tblDeviceConfig[Deployed],ROW()-1),"")</f>
      </c>
      <c r="D181">
        <f>IFERROR(INDEX(tblDeviceConfig[Installed],ROW()-1),"")</f>
      </c>
      <c r="E181">
        <f>IFERROR(INDEX(tblDeviceConfig[Cybernet Hostname],ROW()-1),"")</f>
      </c>
      <c r="F181">
        <f>IFERROR(INDEX(tblDeviceConfig[Neuron Hostname],ROW()-1),"")</f>
      </c>
      <c r="G181">
        <f>IFERROR(INDEX(tblDeviceConfig[Software List],ROW()-1),"")</f>
      </c>
      <c r="H181">
        <f>IFERROR(INDEX(tblDeviceConfig[PI_Use_Case],ROW()-1),"")</f>
      </c>
      <c r="I181">
        <f>IFERROR(INDEX(tblDeviceConfig[PI_Result],ROW()-1),"")</f>
      </c>
      <c r="J181">
        <f>IFERROR(INDEX(tblDeviceConfig[PI_Validated_By],ROW()-1),"")</f>
      </c>
      <c r="K181">
        <f>IFERROR(INDEX(tblDeviceConfig[PI_Validated_Date],ROW()-1),"")</f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</c>
      <c r="C182">
        <f>IFERROR(INDEX(tblDeviceConfig[Deployed],ROW()-1),"")</f>
      </c>
      <c r="D182">
        <f>IFERROR(INDEX(tblDeviceConfig[Installed],ROW()-1),"")</f>
      </c>
      <c r="E182">
        <f>IFERROR(INDEX(tblDeviceConfig[Cybernet Hostname],ROW()-1),"")</f>
      </c>
      <c r="F182">
        <f>IFERROR(INDEX(tblDeviceConfig[Neuron Hostname],ROW()-1),"")</f>
      </c>
      <c r="G182">
        <f>IFERROR(INDEX(tblDeviceConfig[Software List],ROW()-1),"")</f>
      </c>
      <c r="H182">
        <f>IFERROR(INDEX(tblDeviceConfig[PI_Use_Case],ROW()-1),"")</f>
      </c>
      <c r="I182">
        <f>IFERROR(INDEX(tblDeviceConfig[PI_Result],ROW()-1),"")</f>
      </c>
      <c r="J182">
        <f>IFERROR(INDEX(tblDeviceConfig[PI_Validated_By],ROW()-1),"")</f>
      </c>
      <c r="K182">
        <f>IFERROR(INDEX(tblDeviceConfig[PI_Validated_Date],ROW()-1),"")</f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</c>
      <c r="C183">
        <f>IFERROR(INDEX(tblDeviceConfig[Deployed],ROW()-1),"")</f>
      </c>
      <c r="D183">
        <f>IFERROR(INDEX(tblDeviceConfig[Installed],ROW()-1),"")</f>
      </c>
      <c r="E183">
        <f>IFERROR(INDEX(tblDeviceConfig[Cybernet Hostname],ROW()-1),"")</f>
      </c>
      <c r="F183">
        <f>IFERROR(INDEX(tblDeviceConfig[Neuron Hostname],ROW()-1),"")</f>
      </c>
      <c r="G183">
        <f>IFERROR(INDEX(tblDeviceConfig[Software List],ROW()-1),"")</f>
      </c>
      <c r="H183">
        <f>IFERROR(INDEX(tblDeviceConfig[PI_Use_Case],ROW()-1),"")</f>
      </c>
      <c r="I183">
        <f>IFERROR(INDEX(tblDeviceConfig[PI_Result],ROW()-1),"")</f>
      </c>
      <c r="J183">
        <f>IFERROR(INDEX(tblDeviceConfig[PI_Validated_By],ROW()-1),"")</f>
      </c>
      <c r="K183">
        <f>IFERROR(INDEX(tblDeviceConfig[PI_Validated_Date],ROW()-1),"")</f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</c>
      <c r="C184">
        <f>IFERROR(INDEX(tblDeviceConfig[Deployed],ROW()-1),"")</f>
      </c>
      <c r="D184">
        <f>IFERROR(INDEX(tblDeviceConfig[Installed],ROW()-1),"")</f>
      </c>
      <c r="E184">
        <f>IFERROR(INDEX(tblDeviceConfig[Cybernet Hostname],ROW()-1),"")</f>
      </c>
      <c r="F184">
        <f>IFERROR(INDEX(tblDeviceConfig[Neuron Hostname],ROW()-1),"")</f>
      </c>
      <c r="G184">
        <f>IFERROR(INDEX(tblDeviceConfig[Software List],ROW()-1),"")</f>
      </c>
      <c r="H184">
        <f>IFERROR(INDEX(tblDeviceConfig[PI_Use_Case],ROW()-1),"")</f>
      </c>
      <c r="I184">
        <f>IFERROR(INDEX(tblDeviceConfig[PI_Result],ROW()-1),"")</f>
      </c>
      <c r="J184">
        <f>IFERROR(INDEX(tblDeviceConfig[PI_Validated_By],ROW()-1),"")</f>
      </c>
      <c r="K184">
        <f>IFERROR(INDEX(tblDeviceConfig[PI_Validated_Date],ROW()-1),"")</f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</c>
      <c r="C185">
        <f>IFERROR(INDEX(tblDeviceConfig[Deployed],ROW()-1),"")</f>
      </c>
      <c r="D185">
        <f>IFERROR(INDEX(tblDeviceConfig[Installed],ROW()-1),"")</f>
      </c>
      <c r="E185">
        <f>IFERROR(INDEX(tblDeviceConfig[Cybernet Hostname],ROW()-1),"")</f>
      </c>
      <c r="F185">
        <f>IFERROR(INDEX(tblDeviceConfig[Neuron Hostname],ROW()-1),"")</f>
      </c>
      <c r="G185">
        <f>IFERROR(INDEX(tblDeviceConfig[Software List],ROW()-1),"")</f>
      </c>
      <c r="H185">
        <f>IFERROR(INDEX(tblDeviceConfig[PI_Use_Case],ROW()-1),"")</f>
      </c>
      <c r="I185">
        <f>IFERROR(INDEX(tblDeviceConfig[PI_Result],ROW()-1),"")</f>
      </c>
      <c r="J185">
        <f>IFERROR(INDEX(tblDeviceConfig[PI_Validated_By],ROW()-1),"")</f>
      </c>
      <c r="K185">
        <f>IFERROR(INDEX(tblDeviceConfig[PI_Validated_Date],ROW()-1),"")</f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</c>
      <c r="C186">
        <f>IFERROR(INDEX(tblDeviceConfig[Deployed],ROW()-1),"")</f>
      </c>
      <c r="D186">
        <f>IFERROR(INDEX(tblDeviceConfig[Installed],ROW()-1),"")</f>
      </c>
      <c r="E186">
        <f>IFERROR(INDEX(tblDeviceConfig[Cybernet Hostname],ROW()-1),"")</f>
      </c>
      <c r="F186">
        <f>IFERROR(INDEX(tblDeviceConfig[Neuron Hostname],ROW()-1),"")</f>
      </c>
      <c r="G186">
        <f>IFERROR(INDEX(tblDeviceConfig[Software List],ROW()-1),"")</f>
      </c>
      <c r="H186">
        <f>IFERROR(INDEX(tblDeviceConfig[PI_Use_Case],ROW()-1),"")</f>
      </c>
      <c r="I186">
        <f>IFERROR(INDEX(tblDeviceConfig[PI_Result],ROW()-1),"")</f>
      </c>
      <c r="J186">
        <f>IFERROR(INDEX(tblDeviceConfig[PI_Validated_By],ROW()-1),"")</f>
      </c>
      <c r="K186">
        <f>IFERROR(INDEX(tblDeviceConfig[PI_Validated_Date],ROW()-1),"")</f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</c>
      <c r="C187">
        <f>IFERROR(INDEX(tblDeviceConfig[Deployed],ROW()-1),"")</f>
      </c>
      <c r="D187">
        <f>IFERROR(INDEX(tblDeviceConfig[Installed],ROW()-1),"")</f>
      </c>
      <c r="E187">
        <f>IFERROR(INDEX(tblDeviceConfig[Cybernet Hostname],ROW()-1),"")</f>
      </c>
      <c r="F187">
        <f>IFERROR(INDEX(tblDeviceConfig[Neuron Hostname],ROW()-1),"")</f>
      </c>
      <c r="G187">
        <f>IFERROR(INDEX(tblDeviceConfig[Software List],ROW()-1),"")</f>
      </c>
      <c r="H187">
        <f>IFERROR(INDEX(tblDeviceConfig[PI_Use_Case],ROW()-1),"")</f>
      </c>
      <c r="I187">
        <f>IFERROR(INDEX(tblDeviceConfig[PI_Result],ROW()-1),"")</f>
      </c>
      <c r="J187">
        <f>IFERROR(INDEX(tblDeviceConfig[PI_Validated_By],ROW()-1),"")</f>
      </c>
      <c r="K187">
        <f>IFERROR(INDEX(tblDeviceConfig[PI_Validated_Date],ROW()-1),"")</f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</c>
      <c r="C188">
        <f>IFERROR(INDEX(tblDeviceConfig[Deployed],ROW()-1),"")</f>
      </c>
      <c r="D188">
        <f>IFERROR(INDEX(tblDeviceConfig[Installed],ROW()-1),"")</f>
      </c>
      <c r="E188">
        <f>IFERROR(INDEX(tblDeviceConfig[Cybernet Hostname],ROW()-1),"")</f>
      </c>
      <c r="F188">
        <f>IFERROR(INDEX(tblDeviceConfig[Neuron Hostname],ROW()-1),"")</f>
      </c>
      <c r="G188">
        <f>IFERROR(INDEX(tblDeviceConfig[Software List],ROW()-1),"")</f>
      </c>
      <c r="H188">
        <f>IFERROR(INDEX(tblDeviceConfig[PI_Use_Case],ROW()-1),"")</f>
      </c>
      <c r="I188">
        <f>IFERROR(INDEX(tblDeviceConfig[PI_Result],ROW()-1),"")</f>
      </c>
      <c r="J188">
        <f>IFERROR(INDEX(tblDeviceConfig[PI_Validated_By],ROW()-1),"")</f>
      </c>
      <c r="K188">
        <f>IFERROR(INDEX(tblDeviceConfig[PI_Validated_Date],ROW()-1),"")</f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</c>
      <c r="C189">
        <f>IFERROR(INDEX(tblDeviceConfig[Deployed],ROW()-1),"")</f>
      </c>
      <c r="D189">
        <f>IFERROR(INDEX(tblDeviceConfig[Installed],ROW()-1),"")</f>
      </c>
      <c r="E189">
        <f>IFERROR(INDEX(tblDeviceConfig[Cybernet Hostname],ROW()-1),"")</f>
      </c>
      <c r="F189">
        <f>IFERROR(INDEX(tblDeviceConfig[Neuron Hostname],ROW()-1),"")</f>
      </c>
      <c r="G189">
        <f>IFERROR(INDEX(tblDeviceConfig[Software List],ROW()-1),"")</f>
      </c>
      <c r="H189">
        <f>IFERROR(INDEX(tblDeviceConfig[PI_Use_Case],ROW()-1),"")</f>
      </c>
      <c r="I189">
        <f>IFERROR(INDEX(tblDeviceConfig[PI_Result],ROW()-1),"")</f>
      </c>
      <c r="J189">
        <f>IFERROR(INDEX(tblDeviceConfig[PI_Validated_By],ROW()-1),"")</f>
      </c>
      <c r="K189">
        <f>IFERROR(INDEX(tblDeviceConfig[PI_Validated_Date],ROW()-1),"")</f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</c>
      <c r="C190">
        <f>IFERROR(INDEX(tblDeviceConfig[Deployed],ROW()-1),"")</f>
      </c>
      <c r="D190">
        <f>IFERROR(INDEX(tblDeviceConfig[Installed],ROW()-1),"")</f>
      </c>
      <c r="E190">
        <f>IFERROR(INDEX(tblDeviceConfig[Cybernet Hostname],ROW()-1),"")</f>
      </c>
      <c r="F190">
        <f>IFERROR(INDEX(tblDeviceConfig[Neuron Hostname],ROW()-1),"")</f>
      </c>
      <c r="G190">
        <f>IFERROR(INDEX(tblDeviceConfig[Software List],ROW()-1),"")</f>
      </c>
      <c r="H190">
        <f>IFERROR(INDEX(tblDeviceConfig[PI_Use_Case],ROW()-1),"")</f>
      </c>
      <c r="I190">
        <f>IFERROR(INDEX(tblDeviceConfig[PI_Result],ROW()-1),"")</f>
      </c>
      <c r="J190">
        <f>IFERROR(INDEX(tblDeviceConfig[PI_Validated_By],ROW()-1),"")</f>
      </c>
      <c r="K190">
        <f>IFERROR(INDEX(tblDeviceConfig[PI_Validated_Date],ROW()-1),"")</f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</c>
      <c r="C191">
        <f>IFERROR(INDEX(tblDeviceConfig[Deployed],ROW()-1),"")</f>
      </c>
      <c r="D191">
        <f>IFERROR(INDEX(tblDeviceConfig[Installed],ROW()-1),"")</f>
      </c>
      <c r="E191">
        <f>IFERROR(INDEX(tblDeviceConfig[Cybernet Hostname],ROW()-1),"")</f>
      </c>
      <c r="F191">
        <f>IFERROR(INDEX(tblDeviceConfig[Neuron Hostname],ROW()-1),"")</f>
      </c>
      <c r="G191">
        <f>IFERROR(INDEX(tblDeviceConfig[Software List],ROW()-1),"")</f>
      </c>
      <c r="H191">
        <f>IFERROR(INDEX(tblDeviceConfig[PI_Use_Case],ROW()-1),"")</f>
      </c>
      <c r="I191">
        <f>IFERROR(INDEX(tblDeviceConfig[PI_Result],ROW()-1),"")</f>
      </c>
      <c r="J191">
        <f>IFERROR(INDEX(tblDeviceConfig[PI_Validated_By],ROW()-1),"")</f>
      </c>
      <c r="K191">
        <f>IFERROR(INDEX(tblDeviceConfig[PI_Validated_Date],ROW()-1),"")</f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</c>
      <c r="C192">
        <f>IFERROR(INDEX(tblDeviceConfig[Deployed],ROW()-1),"")</f>
      </c>
      <c r="D192">
        <f>IFERROR(INDEX(tblDeviceConfig[Installed],ROW()-1),"")</f>
      </c>
      <c r="E192">
        <f>IFERROR(INDEX(tblDeviceConfig[Cybernet Hostname],ROW()-1),"")</f>
      </c>
      <c r="F192">
        <f>IFERROR(INDEX(tblDeviceConfig[Neuron Hostname],ROW()-1),"")</f>
      </c>
      <c r="G192">
        <f>IFERROR(INDEX(tblDeviceConfig[Software List],ROW()-1),"")</f>
      </c>
      <c r="H192">
        <f>IFERROR(INDEX(tblDeviceConfig[PI_Use_Case],ROW()-1),"")</f>
      </c>
      <c r="I192">
        <f>IFERROR(INDEX(tblDeviceConfig[PI_Result],ROW()-1),"")</f>
      </c>
      <c r="J192">
        <f>IFERROR(INDEX(tblDeviceConfig[PI_Validated_By],ROW()-1),"")</f>
      </c>
      <c r="K192">
        <f>IFERROR(INDEX(tblDeviceConfig[PI_Validated_Date],ROW()-1),"")</f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</c>
      <c r="C193">
        <f>IFERROR(INDEX(tblDeviceConfig[Deployed],ROW()-1),"")</f>
      </c>
      <c r="D193">
        <f>IFERROR(INDEX(tblDeviceConfig[Installed],ROW()-1),"")</f>
      </c>
      <c r="E193">
        <f>IFERROR(INDEX(tblDeviceConfig[Cybernet Hostname],ROW()-1),"")</f>
      </c>
      <c r="F193">
        <f>IFERROR(INDEX(tblDeviceConfig[Neuron Hostname],ROW()-1),"")</f>
      </c>
      <c r="G193">
        <f>IFERROR(INDEX(tblDeviceConfig[Software List],ROW()-1),"")</f>
      </c>
      <c r="H193">
        <f>IFERROR(INDEX(tblDeviceConfig[PI_Use_Case],ROW()-1),"")</f>
      </c>
      <c r="I193">
        <f>IFERROR(INDEX(tblDeviceConfig[PI_Result],ROW()-1),"")</f>
      </c>
      <c r="J193">
        <f>IFERROR(INDEX(tblDeviceConfig[PI_Validated_By],ROW()-1),"")</f>
      </c>
      <c r="K193">
        <f>IFERROR(INDEX(tblDeviceConfig[PI_Validated_Date],ROW()-1),"")</f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</c>
      <c r="C194">
        <f>IFERROR(INDEX(tblDeviceConfig[Deployed],ROW()-1),"")</f>
      </c>
      <c r="D194">
        <f>IFERROR(INDEX(tblDeviceConfig[Installed],ROW()-1),"")</f>
      </c>
      <c r="E194">
        <f>IFERROR(INDEX(tblDeviceConfig[Cybernet Hostname],ROW()-1),"")</f>
      </c>
      <c r="F194">
        <f>IFERROR(INDEX(tblDeviceConfig[Neuron Hostname],ROW()-1),"")</f>
      </c>
      <c r="G194">
        <f>IFERROR(INDEX(tblDeviceConfig[Software List],ROW()-1),"")</f>
      </c>
      <c r="H194">
        <f>IFERROR(INDEX(tblDeviceConfig[PI_Use_Case],ROW()-1),"")</f>
      </c>
      <c r="I194">
        <f>IFERROR(INDEX(tblDeviceConfig[PI_Result],ROW()-1),"")</f>
      </c>
      <c r="J194">
        <f>IFERROR(INDEX(tblDeviceConfig[PI_Validated_By],ROW()-1),"")</f>
      </c>
      <c r="K194">
        <f>IFERROR(INDEX(tblDeviceConfig[PI_Validated_Date],ROW()-1),"")</f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</c>
      <c r="C195">
        <f>IFERROR(INDEX(tblDeviceConfig[Deployed],ROW()-1),"")</f>
      </c>
      <c r="D195">
        <f>IFERROR(INDEX(tblDeviceConfig[Installed],ROW()-1),"")</f>
      </c>
      <c r="E195">
        <f>IFERROR(INDEX(tblDeviceConfig[Cybernet Hostname],ROW()-1),"")</f>
      </c>
      <c r="F195">
        <f>IFERROR(INDEX(tblDeviceConfig[Neuron Hostname],ROW()-1),"")</f>
      </c>
      <c r="G195">
        <f>IFERROR(INDEX(tblDeviceConfig[Software List],ROW()-1),"")</f>
      </c>
      <c r="H195">
        <f>IFERROR(INDEX(tblDeviceConfig[PI_Use_Case],ROW()-1),"")</f>
      </c>
      <c r="I195">
        <f>IFERROR(INDEX(tblDeviceConfig[PI_Result],ROW()-1),"")</f>
      </c>
      <c r="J195">
        <f>IFERROR(INDEX(tblDeviceConfig[PI_Validated_By],ROW()-1),"")</f>
      </c>
      <c r="K195">
        <f>IFERROR(INDEX(tblDeviceConfig[PI_Validated_Date],ROW()-1),"")</f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</c>
      <c r="C196">
        <f>IFERROR(INDEX(tblDeviceConfig[Deployed],ROW()-1),"")</f>
      </c>
      <c r="D196">
        <f>IFERROR(INDEX(tblDeviceConfig[Installed],ROW()-1),"")</f>
      </c>
      <c r="E196">
        <f>IFERROR(INDEX(tblDeviceConfig[Cybernet Hostname],ROW()-1),"")</f>
      </c>
      <c r="F196">
        <f>IFERROR(INDEX(tblDeviceConfig[Neuron Hostname],ROW()-1),"")</f>
      </c>
      <c r="G196">
        <f>IFERROR(INDEX(tblDeviceConfig[Software List],ROW()-1),"")</f>
      </c>
      <c r="H196">
        <f>IFERROR(INDEX(tblDeviceConfig[PI_Use_Case],ROW()-1),"")</f>
      </c>
      <c r="I196">
        <f>IFERROR(INDEX(tblDeviceConfig[PI_Result],ROW()-1),"")</f>
      </c>
      <c r="J196">
        <f>IFERROR(INDEX(tblDeviceConfig[PI_Validated_By],ROW()-1),"")</f>
      </c>
      <c r="K196">
        <f>IFERROR(INDEX(tblDeviceConfig[PI_Validated_Date],ROW()-1),"")</f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</c>
      <c r="C197">
        <f>IFERROR(INDEX(tblDeviceConfig[Deployed],ROW()-1),"")</f>
      </c>
      <c r="D197">
        <f>IFERROR(INDEX(tblDeviceConfig[Installed],ROW()-1),"")</f>
      </c>
      <c r="E197">
        <f>IFERROR(INDEX(tblDeviceConfig[Cybernet Hostname],ROW()-1),"")</f>
      </c>
      <c r="F197">
        <f>IFERROR(INDEX(tblDeviceConfig[Neuron Hostname],ROW()-1),"")</f>
      </c>
      <c r="G197">
        <f>IFERROR(INDEX(tblDeviceConfig[Software List],ROW()-1),"")</f>
      </c>
      <c r="H197">
        <f>IFERROR(INDEX(tblDeviceConfig[PI_Use_Case],ROW()-1),"")</f>
      </c>
      <c r="I197">
        <f>IFERROR(INDEX(tblDeviceConfig[PI_Result],ROW()-1),"")</f>
      </c>
      <c r="J197">
        <f>IFERROR(INDEX(tblDeviceConfig[PI_Validated_By],ROW()-1),"")</f>
      </c>
      <c r="K197">
        <f>IFERROR(INDEX(tblDeviceConfig[PI_Validated_Date],ROW()-1),"")</f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</c>
      <c r="C198">
        <f>IFERROR(INDEX(tblDeviceConfig[Deployed],ROW()-1),"")</f>
      </c>
      <c r="D198">
        <f>IFERROR(INDEX(tblDeviceConfig[Installed],ROW()-1),"")</f>
      </c>
      <c r="E198">
        <f>IFERROR(INDEX(tblDeviceConfig[Cybernet Hostname],ROW()-1),"")</f>
      </c>
      <c r="F198">
        <f>IFERROR(INDEX(tblDeviceConfig[Neuron Hostname],ROW()-1),"")</f>
      </c>
      <c r="G198">
        <f>IFERROR(INDEX(tblDeviceConfig[Software List],ROW()-1),"")</f>
      </c>
      <c r="H198">
        <f>IFERROR(INDEX(tblDeviceConfig[PI_Use_Case],ROW()-1),"")</f>
      </c>
      <c r="I198">
        <f>IFERROR(INDEX(tblDeviceConfig[PI_Result],ROW()-1),"")</f>
      </c>
      <c r="J198">
        <f>IFERROR(INDEX(tblDeviceConfig[PI_Validated_By],ROW()-1),"")</f>
      </c>
      <c r="K198">
        <f>IFERROR(INDEX(tblDeviceConfig[PI_Validated_Date],ROW()-1),"")</f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</c>
      <c r="C199">
        <f>IFERROR(INDEX(tblDeviceConfig[Deployed],ROW()-1),"")</f>
      </c>
      <c r="D199">
        <f>IFERROR(INDEX(tblDeviceConfig[Installed],ROW()-1),"")</f>
      </c>
      <c r="E199">
        <f>IFERROR(INDEX(tblDeviceConfig[Cybernet Hostname],ROW()-1),"")</f>
      </c>
      <c r="F199">
        <f>IFERROR(INDEX(tblDeviceConfig[Neuron Hostname],ROW()-1),"")</f>
      </c>
      <c r="G199">
        <f>IFERROR(INDEX(tblDeviceConfig[Software List],ROW()-1),"")</f>
      </c>
      <c r="H199">
        <f>IFERROR(INDEX(tblDeviceConfig[PI_Use_Case],ROW()-1),"")</f>
      </c>
      <c r="I199">
        <f>IFERROR(INDEX(tblDeviceConfig[PI_Result],ROW()-1),"")</f>
      </c>
      <c r="J199">
        <f>IFERROR(INDEX(tblDeviceConfig[PI_Validated_By],ROW()-1),"")</f>
      </c>
      <c r="K199">
        <f>IFERROR(INDEX(tblDeviceConfig[PI_Validated_Date],ROW()-1),"")</f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</c>
      <c r="C200">
        <f>IFERROR(INDEX(tblDeviceConfig[Deployed],ROW()-1),"")</f>
      </c>
      <c r="D200">
        <f>IFERROR(INDEX(tblDeviceConfig[Installed],ROW()-1),"")</f>
      </c>
      <c r="E200">
        <f>IFERROR(INDEX(tblDeviceConfig[Cybernet Hostname],ROW()-1),"")</f>
      </c>
      <c r="F200">
        <f>IFERROR(INDEX(tblDeviceConfig[Neuron Hostname],ROW()-1),"")</f>
      </c>
      <c r="G200">
        <f>IFERROR(INDEX(tblDeviceConfig[Software List],ROW()-1),"")</f>
      </c>
      <c r="H200">
        <f>IFERROR(INDEX(tblDeviceConfig[PI_Use_Case],ROW()-1),"")</f>
      </c>
      <c r="I200">
        <f>IFERROR(INDEX(tblDeviceConfig[PI_Result],ROW()-1),"")</f>
      </c>
      <c r="J200">
        <f>IFERROR(INDEX(tblDeviceConfig[PI_Validated_By],ROW()-1),"")</f>
      </c>
      <c r="K200">
        <f>IFERROR(INDEX(tblDeviceConfig[PI_Validated_Date],ROW()-1),"")</f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</c>
      <c r="C201">
        <f>IFERROR(INDEX(tblDeviceConfig[Deployed],ROW()-1),"")</f>
      </c>
      <c r="D201">
        <f>IFERROR(INDEX(tblDeviceConfig[Installed],ROW()-1),"")</f>
      </c>
      <c r="E201">
        <f>IFERROR(INDEX(tblDeviceConfig[Cybernet Hostname],ROW()-1),"")</f>
      </c>
      <c r="F201">
        <f>IFERROR(INDEX(tblDeviceConfig[Neuron Hostname],ROW()-1),"")</f>
      </c>
      <c r="G201">
        <f>IFERROR(INDEX(tblDeviceConfig[Software List],ROW()-1),"")</f>
      </c>
      <c r="H201">
        <f>IFERROR(INDEX(tblDeviceConfig[PI_Use_Case],ROW()-1),"")</f>
      </c>
      <c r="I201">
        <f>IFERROR(INDEX(tblDeviceConfig[PI_Result],ROW()-1),"")</f>
      </c>
      <c r="J201">
        <f>IFERROR(INDEX(tblDeviceConfig[PI_Validated_By],ROW()-1),"")</f>
      </c>
      <c r="K201">
        <f>IFERROR(INDEX(tblDeviceConfig[PI_Validated_Date],ROW()-1),"")</f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</c>
      <c r="C202">
        <f>IFERROR(INDEX(tblDeviceConfig[Deployed],ROW()-1),"")</f>
      </c>
      <c r="D202">
        <f>IFERROR(INDEX(tblDeviceConfig[Installed],ROW()-1),"")</f>
      </c>
      <c r="E202">
        <f>IFERROR(INDEX(tblDeviceConfig[Cybernet Hostname],ROW()-1),"")</f>
      </c>
      <c r="F202">
        <f>IFERROR(INDEX(tblDeviceConfig[Neuron Hostname],ROW()-1),"")</f>
      </c>
      <c r="G202">
        <f>IFERROR(INDEX(tblDeviceConfig[Software List],ROW()-1),"")</f>
      </c>
      <c r="H202">
        <f>IFERROR(INDEX(tblDeviceConfig[PI_Use_Case],ROW()-1),"")</f>
      </c>
      <c r="I202">
        <f>IFERROR(INDEX(tblDeviceConfig[PI_Result],ROW()-1),"")</f>
      </c>
      <c r="J202">
        <f>IFERROR(INDEX(tblDeviceConfig[PI_Validated_By],ROW()-1),"")</f>
      </c>
      <c r="K202">
        <f>IFERROR(INDEX(tblDeviceConfig[PI_Validated_Date],ROW()-1),"")</f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</c>
      <c r="C203">
        <f>IFERROR(INDEX(tblDeviceConfig[Deployed],ROW()-1),"")</f>
      </c>
      <c r="D203">
        <f>IFERROR(INDEX(tblDeviceConfig[Installed],ROW()-1),"")</f>
      </c>
      <c r="E203">
        <f>IFERROR(INDEX(tblDeviceConfig[Cybernet Hostname],ROW()-1),"")</f>
      </c>
      <c r="F203">
        <f>IFERROR(INDEX(tblDeviceConfig[Neuron Hostname],ROW()-1),"")</f>
      </c>
      <c r="G203">
        <f>IFERROR(INDEX(tblDeviceConfig[Software List],ROW()-1),"")</f>
      </c>
      <c r="H203">
        <f>IFERROR(INDEX(tblDeviceConfig[PI_Use_Case],ROW()-1),"")</f>
      </c>
      <c r="I203">
        <f>IFERROR(INDEX(tblDeviceConfig[PI_Result],ROW()-1),"")</f>
      </c>
      <c r="J203">
        <f>IFERROR(INDEX(tblDeviceConfig[PI_Validated_By],ROW()-1),"")</f>
      </c>
      <c r="K203">
        <f>IFERROR(INDEX(tblDeviceConfig[PI_Validated_Date],ROW()-1),"")</f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</c>
      <c r="C204">
        <f>IFERROR(INDEX(tblDeviceConfig[Deployed],ROW()-1),"")</f>
      </c>
      <c r="D204">
        <f>IFERROR(INDEX(tblDeviceConfig[Installed],ROW()-1),"")</f>
      </c>
      <c r="E204">
        <f>IFERROR(INDEX(tblDeviceConfig[Cybernet Hostname],ROW()-1),"")</f>
      </c>
      <c r="F204">
        <f>IFERROR(INDEX(tblDeviceConfig[Neuron Hostname],ROW()-1),"")</f>
      </c>
      <c r="G204">
        <f>IFERROR(INDEX(tblDeviceConfig[Software List],ROW()-1),"")</f>
      </c>
      <c r="H204">
        <f>IFERROR(INDEX(tblDeviceConfig[PI_Use_Case],ROW()-1),"")</f>
      </c>
      <c r="I204">
        <f>IFERROR(INDEX(tblDeviceConfig[PI_Result],ROW()-1),"")</f>
      </c>
      <c r="J204">
        <f>IFERROR(INDEX(tblDeviceConfig[PI_Validated_By],ROW()-1),"")</f>
      </c>
      <c r="K204">
        <f>IFERROR(INDEX(tblDeviceConfig[PI_Validated_Date],ROW()-1),"")</f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</c>
      <c r="C205">
        <f>IFERROR(INDEX(tblDeviceConfig[Deployed],ROW()-1),"")</f>
      </c>
      <c r="D205">
        <f>IFERROR(INDEX(tblDeviceConfig[Installed],ROW()-1),"")</f>
      </c>
      <c r="E205">
        <f>IFERROR(INDEX(tblDeviceConfig[Cybernet Hostname],ROW()-1),"")</f>
      </c>
      <c r="F205">
        <f>IFERROR(INDEX(tblDeviceConfig[Neuron Hostname],ROW()-1),"")</f>
      </c>
      <c r="G205">
        <f>IFERROR(INDEX(tblDeviceConfig[Software List],ROW()-1),"")</f>
      </c>
      <c r="H205">
        <f>IFERROR(INDEX(tblDeviceConfig[PI_Use_Case],ROW()-1),"")</f>
      </c>
      <c r="I205">
        <f>IFERROR(INDEX(tblDeviceConfig[PI_Result],ROW()-1),"")</f>
      </c>
      <c r="J205">
        <f>IFERROR(INDEX(tblDeviceConfig[PI_Validated_By],ROW()-1),"")</f>
      </c>
      <c r="K205">
        <f>IFERROR(INDEX(tblDeviceConfig[PI_Validated_Date],ROW()-1),"")</f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</c>
      <c r="C206">
        <f>IFERROR(INDEX(tblDeviceConfig[Deployed],ROW()-1),"")</f>
      </c>
      <c r="D206">
        <f>IFERROR(INDEX(tblDeviceConfig[Installed],ROW()-1),"")</f>
      </c>
      <c r="E206">
        <f>IFERROR(INDEX(tblDeviceConfig[Cybernet Hostname],ROW()-1),"")</f>
      </c>
      <c r="F206">
        <f>IFERROR(INDEX(tblDeviceConfig[Neuron Hostname],ROW()-1),"")</f>
      </c>
      <c r="G206">
        <f>IFERROR(INDEX(tblDeviceConfig[Software List],ROW()-1),"")</f>
      </c>
      <c r="H206">
        <f>IFERROR(INDEX(tblDeviceConfig[PI_Use_Case],ROW()-1),"")</f>
      </c>
      <c r="I206">
        <f>IFERROR(INDEX(tblDeviceConfig[PI_Result],ROW()-1),"")</f>
      </c>
      <c r="J206">
        <f>IFERROR(INDEX(tblDeviceConfig[PI_Validated_By],ROW()-1),"")</f>
      </c>
      <c r="K206">
        <f>IFERROR(INDEX(tblDeviceConfig[PI_Validated_Date],ROW()-1),"")</f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</c>
      <c r="C207">
        <f>IFERROR(INDEX(tblDeviceConfig[Deployed],ROW()-1),"")</f>
      </c>
      <c r="D207">
        <f>IFERROR(INDEX(tblDeviceConfig[Installed],ROW()-1),"")</f>
      </c>
      <c r="E207">
        <f>IFERROR(INDEX(tblDeviceConfig[Cybernet Hostname],ROW()-1),"")</f>
      </c>
      <c r="F207">
        <f>IFERROR(INDEX(tblDeviceConfig[Neuron Hostname],ROW()-1),"")</f>
      </c>
      <c r="G207">
        <f>IFERROR(INDEX(tblDeviceConfig[Software List],ROW()-1),"")</f>
      </c>
      <c r="H207">
        <f>IFERROR(INDEX(tblDeviceConfig[PI_Use_Case],ROW()-1),"")</f>
      </c>
      <c r="I207">
        <f>IFERROR(INDEX(tblDeviceConfig[PI_Result],ROW()-1),"")</f>
      </c>
      <c r="J207">
        <f>IFERROR(INDEX(tblDeviceConfig[PI_Validated_By],ROW()-1),"")</f>
      </c>
      <c r="K207">
        <f>IFERROR(INDEX(tblDeviceConfig[PI_Validated_Date],ROW()-1),"")</f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</c>
      <c r="C208">
        <f>IFERROR(INDEX(tblDeviceConfig[Deployed],ROW()-1),"")</f>
      </c>
      <c r="D208">
        <f>IFERROR(INDEX(tblDeviceConfig[Installed],ROW()-1),"")</f>
      </c>
      <c r="E208">
        <f>IFERROR(INDEX(tblDeviceConfig[Cybernet Hostname],ROW()-1),"")</f>
      </c>
      <c r="F208">
        <f>IFERROR(INDEX(tblDeviceConfig[Neuron Hostname],ROW()-1),"")</f>
      </c>
      <c r="G208">
        <f>IFERROR(INDEX(tblDeviceConfig[Software List],ROW()-1),"")</f>
      </c>
      <c r="H208">
        <f>IFERROR(INDEX(tblDeviceConfig[PI_Use_Case],ROW()-1),"")</f>
      </c>
      <c r="I208">
        <f>IFERROR(INDEX(tblDeviceConfig[PI_Result],ROW()-1),"")</f>
      </c>
      <c r="J208">
        <f>IFERROR(INDEX(tblDeviceConfig[PI_Validated_By],ROW()-1),"")</f>
      </c>
      <c r="K208">
        <f>IFERROR(INDEX(tblDeviceConfig[PI_Validated_Date],ROW()-1),"")</f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</c>
      <c r="C209">
        <f>IFERROR(INDEX(tblDeviceConfig[Deployed],ROW()-1),"")</f>
      </c>
      <c r="D209">
        <f>IFERROR(INDEX(tblDeviceConfig[Installed],ROW()-1),"")</f>
      </c>
      <c r="E209">
        <f>IFERROR(INDEX(tblDeviceConfig[Cybernet Hostname],ROW()-1),"")</f>
      </c>
      <c r="F209">
        <f>IFERROR(INDEX(tblDeviceConfig[Neuron Hostname],ROW()-1),"")</f>
      </c>
      <c r="G209">
        <f>IFERROR(INDEX(tblDeviceConfig[Software List],ROW()-1),"")</f>
      </c>
      <c r="H209">
        <f>IFERROR(INDEX(tblDeviceConfig[PI_Use_Case],ROW()-1),"")</f>
      </c>
      <c r="I209">
        <f>IFERROR(INDEX(tblDeviceConfig[PI_Result],ROW()-1),"")</f>
      </c>
      <c r="J209">
        <f>IFERROR(INDEX(tblDeviceConfig[PI_Validated_By],ROW()-1),"")</f>
      </c>
      <c r="K209">
        <f>IFERROR(INDEX(tblDeviceConfig[PI_Validated_Date],ROW()-1),"")</f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</c>
      <c r="C210">
        <f>IFERROR(INDEX(tblDeviceConfig[Deployed],ROW()-1),"")</f>
      </c>
      <c r="D210">
        <f>IFERROR(INDEX(tblDeviceConfig[Installed],ROW()-1),"")</f>
      </c>
      <c r="E210">
        <f>IFERROR(INDEX(tblDeviceConfig[Cybernet Hostname],ROW()-1),"")</f>
      </c>
      <c r="F210">
        <f>IFERROR(INDEX(tblDeviceConfig[Neuron Hostname],ROW()-1),"")</f>
      </c>
      <c r="G210">
        <f>IFERROR(INDEX(tblDeviceConfig[Software List],ROW()-1),"")</f>
      </c>
      <c r="H210">
        <f>IFERROR(INDEX(tblDeviceConfig[PI_Use_Case],ROW()-1),"")</f>
      </c>
      <c r="I210">
        <f>IFERROR(INDEX(tblDeviceConfig[PI_Result],ROW()-1),"")</f>
      </c>
      <c r="J210">
        <f>IFERROR(INDEX(tblDeviceConfig[PI_Validated_By],ROW()-1),"")</f>
      </c>
      <c r="K210">
        <f>IFERROR(INDEX(tblDeviceConfig[PI_Validated_Date],ROW()-1),"")</f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</c>
      <c r="C211">
        <f>IFERROR(INDEX(tblDeviceConfig[Deployed],ROW()-1),"")</f>
      </c>
      <c r="D211">
        <f>IFERROR(INDEX(tblDeviceConfig[Installed],ROW()-1),"")</f>
      </c>
      <c r="E211">
        <f>IFERROR(INDEX(tblDeviceConfig[Cybernet Hostname],ROW()-1),"")</f>
      </c>
      <c r="F211">
        <f>IFERROR(INDEX(tblDeviceConfig[Neuron Hostname],ROW()-1),"")</f>
      </c>
      <c r="G211">
        <f>IFERROR(INDEX(tblDeviceConfig[Software List],ROW()-1),"")</f>
      </c>
      <c r="H211">
        <f>IFERROR(INDEX(tblDeviceConfig[PI_Use_Case],ROW()-1),"")</f>
      </c>
      <c r="I211">
        <f>IFERROR(INDEX(tblDeviceConfig[PI_Result],ROW()-1),"")</f>
      </c>
      <c r="J211">
        <f>IFERROR(INDEX(tblDeviceConfig[PI_Validated_By],ROW()-1),"")</f>
      </c>
      <c r="K211">
        <f>IFERROR(INDEX(tblDeviceConfig[PI_Validated_Date],ROW()-1),"")</f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</c>
      <c r="C212">
        <f>IFERROR(INDEX(tblDeviceConfig[Deployed],ROW()-1),"")</f>
      </c>
      <c r="D212">
        <f>IFERROR(INDEX(tblDeviceConfig[Installed],ROW()-1),"")</f>
      </c>
      <c r="E212">
        <f>IFERROR(INDEX(tblDeviceConfig[Cybernet Hostname],ROW()-1),"")</f>
      </c>
      <c r="F212">
        <f>IFERROR(INDEX(tblDeviceConfig[Neuron Hostname],ROW()-1),"")</f>
      </c>
      <c r="G212">
        <f>IFERROR(INDEX(tblDeviceConfig[Software List],ROW()-1),"")</f>
      </c>
      <c r="H212">
        <f>IFERROR(INDEX(tblDeviceConfig[PI_Use_Case],ROW()-1),"")</f>
      </c>
      <c r="I212">
        <f>IFERROR(INDEX(tblDeviceConfig[PI_Result],ROW()-1),"")</f>
      </c>
      <c r="J212">
        <f>IFERROR(INDEX(tblDeviceConfig[PI_Validated_By],ROW()-1),"")</f>
      </c>
      <c r="K212">
        <f>IFERROR(INDEX(tblDeviceConfig[PI_Validated_Date],ROW()-1),"")</f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</c>
      <c r="C213">
        <f>IFERROR(INDEX(tblDeviceConfig[Deployed],ROW()-1),"")</f>
      </c>
      <c r="D213">
        <f>IFERROR(INDEX(tblDeviceConfig[Installed],ROW()-1),"")</f>
      </c>
      <c r="E213">
        <f>IFERROR(INDEX(tblDeviceConfig[Cybernet Hostname],ROW()-1),"")</f>
      </c>
      <c r="F213">
        <f>IFERROR(INDEX(tblDeviceConfig[Neuron Hostname],ROW()-1),"")</f>
      </c>
      <c r="G213">
        <f>IFERROR(INDEX(tblDeviceConfig[Software List],ROW()-1),"")</f>
      </c>
      <c r="H213">
        <f>IFERROR(INDEX(tblDeviceConfig[PI_Use_Case],ROW()-1),"")</f>
      </c>
      <c r="I213">
        <f>IFERROR(INDEX(tblDeviceConfig[PI_Result],ROW()-1),"")</f>
      </c>
      <c r="J213">
        <f>IFERROR(INDEX(tblDeviceConfig[PI_Validated_By],ROW()-1),"")</f>
      </c>
      <c r="K213">
        <f>IFERROR(INDEX(tblDeviceConfig[PI_Validated_Date],ROW()-1),"")</f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</c>
      <c r="C214">
        <f>IFERROR(INDEX(tblDeviceConfig[Deployed],ROW()-1),"")</f>
      </c>
      <c r="D214">
        <f>IFERROR(INDEX(tblDeviceConfig[Installed],ROW()-1),"")</f>
      </c>
      <c r="E214">
        <f>IFERROR(INDEX(tblDeviceConfig[Cybernet Hostname],ROW()-1),"")</f>
      </c>
      <c r="F214">
        <f>IFERROR(INDEX(tblDeviceConfig[Neuron Hostname],ROW()-1),"")</f>
      </c>
      <c r="G214">
        <f>IFERROR(INDEX(tblDeviceConfig[Software List],ROW()-1),"")</f>
      </c>
      <c r="H214">
        <f>IFERROR(INDEX(tblDeviceConfig[PI_Use_Case],ROW()-1),"")</f>
      </c>
      <c r="I214">
        <f>IFERROR(INDEX(tblDeviceConfig[PI_Result],ROW()-1),"")</f>
      </c>
      <c r="J214">
        <f>IFERROR(INDEX(tblDeviceConfig[PI_Validated_By],ROW()-1),"")</f>
      </c>
      <c r="K214">
        <f>IFERROR(INDEX(tblDeviceConfig[PI_Validated_Date],ROW()-1),"")</f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</c>
      <c r="C215">
        <f>IFERROR(INDEX(tblDeviceConfig[Deployed],ROW()-1),"")</f>
      </c>
      <c r="D215">
        <f>IFERROR(INDEX(tblDeviceConfig[Installed],ROW()-1),"")</f>
      </c>
      <c r="E215">
        <f>IFERROR(INDEX(tblDeviceConfig[Cybernet Hostname],ROW()-1),"")</f>
      </c>
      <c r="F215">
        <f>IFERROR(INDEX(tblDeviceConfig[Neuron Hostname],ROW()-1),"")</f>
      </c>
      <c r="G215">
        <f>IFERROR(INDEX(tblDeviceConfig[Software List],ROW()-1),"")</f>
      </c>
      <c r="H215">
        <f>IFERROR(INDEX(tblDeviceConfig[PI_Use_Case],ROW()-1),"")</f>
      </c>
      <c r="I215">
        <f>IFERROR(INDEX(tblDeviceConfig[PI_Result],ROW()-1),"")</f>
      </c>
      <c r="J215">
        <f>IFERROR(INDEX(tblDeviceConfig[PI_Validated_By],ROW()-1),"")</f>
      </c>
      <c r="K215">
        <f>IFERROR(INDEX(tblDeviceConfig[PI_Validated_Date],ROW()-1),"")</f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</c>
      <c r="C216">
        <f>IFERROR(INDEX(tblDeviceConfig[Deployed],ROW()-1),"")</f>
      </c>
      <c r="D216">
        <f>IFERROR(INDEX(tblDeviceConfig[Installed],ROW()-1),"")</f>
      </c>
      <c r="E216">
        <f>IFERROR(INDEX(tblDeviceConfig[Cybernet Hostname],ROW()-1),"")</f>
      </c>
      <c r="F216">
        <f>IFERROR(INDEX(tblDeviceConfig[Neuron Hostname],ROW()-1),"")</f>
      </c>
      <c r="G216">
        <f>IFERROR(INDEX(tblDeviceConfig[Software List],ROW()-1),"")</f>
      </c>
      <c r="H216">
        <f>IFERROR(INDEX(tblDeviceConfig[PI_Use_Case],ROW()-1),"")</f>
      </c>
      <c r="I216">
        <f>IFERROR(INDEX(tblDeviceConfig[PI_Result],ROW()-1),"")</f>
      </c>
      <c r="J216">
        <f>IFERROR(INDEX(tblDeviceConfig[PI_Validated_By],ROW()-1),"")</f>
      </c>
      <c r="K216">
        <f>IFERROR(INDEX(tblDeviceConfig[PI_Validated_Date],ROW()-1),"")</f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</c>
      <c r="C217">
        <f>IFERROR(INDEX(tblDeviceConfig[Deployed],ROW()-1),"")</f>
      </c>
      <c r="D217">
        <f>IFERROR(INDEX(tblDeviceConfig[Installed],ROW()-1),"")</f>
      </c>
      <c r="E217">
        <f>IFERROR(INDEX(tblDeviceConfig[Cybernet Hostname],ROW()-1),"")</f>
      </c>
      <c r="F217">
        <f>IFERROR(INDEX(tblDeviceConfig[Neuron Hostname],ROW()-1),"")</f>
      </c>
      <c r="G217">
        <f>IFERROR(INDEX(tblDeviceConfig[Software List],ROW()-1),"")</f>
      </c>
      <c r="H217">
        <f>IFERROR(INDEX(tblDeviceConfig[PI_Use_Case],ROW()-1),"")</f>
      </c>
      <c r="I217">
        <f>IFERROR(INDEX(tblDeviceConfig[PI_Result],ROW()-1),"")</f>
      </c>
      <c r="J217">
        <f>IFERROR(INDEX(tblDeviceConfig[PI_Validated_By],ROW()-1),"")</f>
      </c>
      <c r="K217">
        <f>IFERROR(INDEX(tblDeviceConfig[PI_Validated_Date],ROW()-1),"")</f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</c>
      <c r="C218">
        <f>IFERROR(INDEX(tblDeviceConfig[Deployed],ROW()-1),"")</f>
      </c>
      <c r="D218">
        <f>IFERROR(INDEX(tblDeviceConfig[Installed],ROW()-1),"")</f>
      </c>
      <c r="E218">
        <f>IFERROR(INDEX(tblDeviceConfig[Cybernet Hostname],ROW()-1),"")</f>
      </c>
      <c r="F218">
        <f>IFERROR(INDEX(tblDeviceConfig[Neuron Hostname],ROW()-1),"")</f>
      </c>
      <c r="G218">
        <f>IFERROR(INDEX(tblDeviceConfig[Software List],ROW()-1),"")</f>
      </c>
      <c r="H218">
        <f>IFERROR(INDEX(tblDeviceConfig[PI_Use_Case],ROW()-1),"")</f>
      </c>
      <c r="I218">
        <f>IFERROR(INDEX(tblDeviceConfig[PI_Result],ROW()-1),"")</f>
      </c>
      <c r="J218">
        <f>IFERROR(INDEX(tblDeviceConfig[PI_Validated_By],ROW()-1),"")</f>
      </c>
      <c r="K218">
        <f>IFERROR(INDEX(tblDeviceConfig[PI_Validated_Date],ROW()-1),"")</f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</c>
      <c r="C219">
        <f>IFERROR(INDEX(tblDeviceConfig[Deployed],ROW()-1),"")</f>
      </c>
      <c r="D219">
        <f>IFERROR(INDEX(tblDeviceConfig[Installed],ROW()-1),"")</f>
      </c>
      <c r="E219">
        <f>IFERROR(INDEX(tblDeviceConfig[Cybernet Hostname],ROW()-1),"")</f>
      </c>
      <c r="F219">
        <f>IFERROR(INDEX(tblDeviceConfig[Neuron Hostname],ROW()-1),"")</f>
      </c>
      <c r="G219">
        <f>IFERROR(INDEX(tblDeviceConfig[Software List],ROW()-1),"")</f>
      </c>
      <c r="H219">
        <f>IFERROR(INDEX(tblDeviceConfig[PI_Use_Case],ROW()-1),"")</f>
      </c>
      <c r="I219">
        <f>IFERROR(INDEX(tblDeviceConfig[PI_Result],ROW()-1),"")</f>
      </c>
      <c r="J219">
        <f>IFERROR(INDEX(tblDeviceConfig[PI_Validated_By],ROW()-1),"")</f>
      </c>
      <c r="K219">
        <f>IFERROR(INDEX(tblDeviceConfig[PI_Validated_Date],ROW()-1),"")</f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</c>
      <c r="C220">
        <f>IFERROR(INDEX(tblDeviceConfig[Deployed],ROW()-1),"")</f>
      </c>
      <c r="D220">
        <f>IFERROR(INDEX(tblDeviceConfig[Installed],ROW()-1),"")</f>
      </c>
      <c r="E220">
        <f>IFERROR(INDEX(tblDeviceConfig[Cybernet Hostname],ROW()-1),"")</f>
      </c>
      <c r="F220">
        <f>IFERROR(INDEX(tblDeviceConfig[Neuron Hostname],ROW()-1),"")</f>
      </c>
      <c r="G220">
        <f>IFERROR(INDEX(tblDeviceConfig[Software List],ROW()-1),"")</f>
      </c>
      <c r="H220">
        <f>IFERROR(INDEX(tblDeviceConfig[PI_Use_Case],ROW()-1),"")</f>
      </c>
      <c r="I220">
        <f>IFERROR(INDEX(tblDeviceConfig[PI_Result],ROW()-1),"")</f>
      </c>
      <c r="J220">
        <f>IFERROR(INDEX(tblDeviceConfig[PI_Validated_By],ROW()-1),"")</f>
      </c>
      <c r="K220">
        <f>IFERROR(INDEX(tblDeviceConfig[PI_Validated_Date],ROW()-1),"")</f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</c>
      <c r="C221">
        <f>IFERROR(INDEX(tblDeviceConfig[Deployed],ROW()-1),"")</f>
      </c>
      <c r="D221">
        <f>IFERROR(INDEX(tblDeviceConfig[Installed],ROW()-1),"")</f>
      </c>
      <c r="E221">
        <f>IFERROR(INDEX(tblDeviceConfig[Cybernet Hostname],ROW()-1),"")</f>
      </c>
      <c r="F221">
        <f>IFERROR(INDEX(tblDeviceConfig[Neuron Hostname],ROW()-1),"")</f>
      </c>
      <c r="G221">
        <f>IFERROR(INDEX(tblDeviceConfig[Software List],ROW()-1),"")</f>
      </c>
      <c r="H221">
        <f>IFERROR(INDEX(tblDeviceConfig[PI_Use_Case],ROW()-1),"")</f>
      </c>
      <c r="I221">
        <f>IFERROR(INDEX(tblDeviceConfig[PI_Result],ROW()-1),"")</f>
      </c>
      <c r="J221">
        <f>IFERROR(INDEX(tblDeviceConfig[PI_Validated_By],ROW()-1),"")</f>
      </c>
      <c r="K221">
        <f>IFERROR(INDEX(tblDeviceConfig[PI_Validated_Date],ROW()-1),"")</f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</c>
      <c r="C222">
        <f>IFERROR(INDEX(tblDeviceConfig[Deployed],ROW()-1),"")</f>
      </c>
      <c r="D222">
        <f>IFERROR(INDEX(tblDeviceConfig[Installed],ROW()-1),"")</f>
      </c>
      <c r="E222">
        <f>IFERROR(INDEX(tblDeviceConfig[Cybernet Hostname],ROW()-1),"")</f>
      </c>
      <c r="F222">
        <f>IFERROR(INDEX(tblDeviceConfig[Neuron Hostname],ROW()-1),"")</f>
      </c>
      <c r="G222">
        <f>IFERROR(INDEX(tblDeviceConfig[Software List],ROW()-1),"")</f>
      </c>
      <c r="H222">
        <f>IFERROR(INDEX(tblDeviceConfig[PI_Use_Case],ROW()-1),"")</f>
      </c>
      <c r="I222">
        <f>IFERROR(INDEX(tblDeviceConfig[PI_Result],ROW()-1),"")</f>
      </c>
      <c r="J222">
        <f>IFERROR(INDEX(tblDeviceConfig[PI_Validated_By],ROW()-1),"")</f>
      </c>
      <c r="K222">
        <f>IFERROR(INDEX(tblDeviceConfig[PI_Validated_Date],ROW()-1),"")</f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</c>
      <c r="C223">
        <f>IFERROR(INDEX(tblDeviceConfig[Deployed],ROW()-1),"")</f>
      </c>
      <c r="D223">
        <f>IFERROR(INDEX(tblDeviceConfig[Installed],ROW()-1),"")</f>
      </c>
      <c r="E223">
        <f>IFERROR(INDEX(tblDeviceConfig[Cybernet Hostname],ROW()-1),"")</f>
      </c>
      <c r="F223">
        <f>IFERROR(INDEX(tblDeviceConfig[Neuron Hostname],ROW()-1),"")</f>
      </c>
      <c r="G223">
        <f>IFERROR(INDEX(tblDeviceConfig[Software List],ROW()-1),"")</f>
      </c>
      <c r="H223">
        <f>IFERROR(INDEX(tblDeviceConfig[PI_Use_Case],ROW()-1),"")</f>
      </c>
      <c r="I223">
        <f>IFERROR(INDEX(tblDeviceConfig[PI_Result],ROW()-1),"")</f>
      </c>
      <c r="J223">
        <f>IFERROR(INDEX(tblDeviceConfig[PI_Validated_By],ROW()-1),"")</f>
      </c>
      <c r="K223">
        <f>IFERROR(INDEX(tblDeviceConfig[PI_Validated_Date],ROW()-1),"")</f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</c>
      <c r="C224">
        <f>IFERROR(INDEX(tblDeviceConfig[Deployed],ROW()-1),"")</f>
      </c>
      <c r="D224">
        <f>IFERROR(INDEX(tblDeviceConfig[Installed],ROW()-1),"")</f>
      </c>
      <c r="E224">
        <f>IFERROR(INDEX(tblDeviceConfig[Cybernet Hostname],ROW()-1),"")</f>
      </c>
      <c r="F224">
        <f>IFERROR(INDEX(tblDeviceConfig[Neuron Hostname],ROW()-1),"")</f>
      </c>
      <c r="G224">
        <f>IFERROR(INDEX(tblDeviceConfig[Software List],ROW()-1),"")</f>
      </c>
      <c r="H224">
        <f>IFERROR(INDEX(tblDeviceConfig[PI_Use_Case],ROW()-1),"")</f>
      </c>
      <c r="I224">
        <f>IFERROR(INDEX(tblDeviceConfig[PI_Result],ROW()-1),"")</f>
      </c>
      <c r="J224">
        <f>IFERROR(INDEX(tblDeviceConfig[PI_Validated_By],ROW()-1),"")</f>
      </c>
      <c r="K224">
        <f>IFERROR(INDEX(tblDeviceConfig[PI_Validated_Date],ROW()-1),"")</f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</c>
      <c r="C225">
        <f>IFERROR(INDEX(tblDeviceConfig[Deployed],ROW()-1),"")</f>
      </c>
      <c r="D225">
        <f>IFERROR(INDEX(tblDeviceConfig[Installed],ROW()-1),"")</f>
      </c>
      <c r="E225">
        <f>IFERROR(INDEX(tblDeviceConfig[Cybernet Hostname],ROW()-1),"")</f>
      </c>
      <c r="F225">
        <f>IFERROR(INDEX(tblDeviceConfig[Neuron Hostname],ROW()-1),"")</f>
      </c>
      <c r="G225">
        <f>IFERROR(INDEX(tblDeviceConfig[Software List],ROW()-1),"")</f>
      </c>
      <c r="H225">
        <f>IFERROR(INDEX(tblDeviceConfig[PI_Use_Case],ROW()-1),"")</f>
      </c>
      <c r="I225">
        <f>IFERROR(INDEX(tblDeviceConfig[PI_Result],ROW()-1),"")</f>
      </c>
      <c r="J225">
        <f>IFERROR(INDEX(tblDeviceConfig[PI_Validated_By],ROW()-1),"")</f>
      </c>
      <c r="K225">
        <f>IFERROR(INDEX(tblDeviceConfig[PI_Validated_Date],ROW()-1),"")</f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</c>
      <c r="C226">
        <f>IFERROR(INDEX(tblDeviceConfig[Deployed],ROW()-1),"")</f>
      </c>
      <c r="D226">
        <f>IFERROR(INDEX(tblDeviceConfig[Installed],ROW()-1),"")</f>
      </c>
      <c r="E226">
        <f>IFERROR(INDEX(tblDeviceConfig[Cybernet Hostname],ROW()-1),"")</f>
      </c>
      <c r="F226">
        <f>IFERROR(INDEX(tblDeviceConfig[Neuron Hostname],ROW()-1),"")</f>
      </c>
      <c r="G226">
        <f>IFERROR(INDEX(tblDeviceConfig[Software List],ROW()-1),"")</f>
      </c>
      <c r="H226">
        <f>IFERROR(INDEX(tblDeviceConfig[PI_Use_Case],ROW()-1),"")</f>
      </c>
      <c r="I226">
        <f>IFERROR(INDEX(tblDeviceConfig[PI_Result],ROW()-1),"")</f>
      </c>
      <c r="J226">
        <f>IFERROR(INDEX(tblDeviceConfig[PI_Validated_By],ROW()-1),"")</f>
      </c>
      <c r="K226">
        <f>IFERROR(INDEX(tblDeviceConfig[PI_Validated_Date],ROW()-1),"")</f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</c>
      <c r="C227">
        <f>IFERROR(INDEX(tblDeviceConfig[Deployed],ROW()-1),"")</f>
      </c>
      <c r="D227">
        <f>IFERROR(INDEX(tblDeviceConfig[Installed],ROW()-1),"")</f>
      </c>
      <c r="E227">
        <f>IFERROR(INDEX(tblDeviceConfig[Cybernet Hostname],ROW()-1),"")</f>
      </c>
      <c r="F227">
        <f>IFERROR(INDEX(tblDeviceConfig[Neuron Hostname],ROW()-1),"")</f>
      </c>
      <c r="G227">
        <f>IFERROR(INDEX(tblDeviceConfig[Software List],ROW()-1),"")</f>
      </c>
      <c r="H227">
        <f>IFERROR(INDEX(tblDeviceConfig[PI_Use_Case],ROW()-1),"")</f>
      </c>
      <c r="I227">
        <f>IFERROR(INDEX(tblDeviceConfig[PI_Result],ROW()-1),"")</f>
      </c>
      <c r="J227">
        <f>IFERROR(INDEX(tblDeviceConfig[PI_Validated_By],ROW()-1),"")</f>
      </c>
      <c r="K227">
        <f>IFERROR(INDEX(tblDeviceConfig[PI_Validated_Date],ROW()-1),"")</f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</c>
      <c r="C228">
        <f>IFERROR(INDEX(tblDeviceConfig[Deployed],ROW()-1),"")</f>
      </c>
      <c r="D228">
        <f>IFERROR(INDEX(tblDeviceConfig[Installed],ROW()-1),"")</f>
      </c>
      <c r="E228">
        <f>IFERROR(INDEX(tblDeviceConfig[Cybernet Hostname],ROW()-1),"")</f>
      </c>
      <c r="F228">
        <f>IFERROR(INDEX(tblDeviceConfig[Neuron Hostname],ROW()-1),"")</f>
      </c>
      <c r="G228">
        <f>IFERROR(INDEX(tblDeviceConfig[Software List],ROW()-1),"")</f>
      </c>
      <c r="H228">
        <f>IFERROR(INDEX(tblDeviceConfig[PI_Use_Case],ROW()-1),"")</f>
      </c>
      <c r="I228">
        <f>IFERROR(INDEX(tblDeviceConfig[PI_Result],ROW()-1),"")</f>
      </c>
      <c r="J228">
        <f>IFERROR(INDEX(tblDeviceConfig[PI_Validated_By],ROW()-1),"")</f>
      </c>
      <c r="K228">
        <f>IFERROR(INDEX(tblDeviceConfig[PI_Validated_Date],ROW()-1),"")</f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</c>
      <c r="C229">
        <f>IFERROR(INDEX(tblDeviceConfig[Deployed],ROW()-1),"")</f>
      </c>
      <c r="D229">
        <f>IFERROR(INDEX(tblDeviceConfig[Installed],ROW()-1),"")</f>
      </c>
      <c r="E229">
        <f>IFERROR(INDEX(tblDeviceConfig[Cybernet Hostname],ROW()-1),"")</f>
      </c>
      <c r="F229">
        <f>IFERROR(INDEX(tblDeviceConfig[Neuron Hostname],ROW()-1),"")</f>
      </c>
      <c r="G229">
        <f>IFERROR(INDEX(tblDeviceConfig[Software List],ROW()-1),"")</f>
      </c>
      <c r="H229">
        <f>IFERROR(INDEX(tblDeviceConfig[PI_Use_Case],ROW()-1),"")</f>
      </c>
      <c r="I229">
        <f>IFERROR(INDEX(tblDeviceConfig[PI_Result],ROW()-1),"")</f>
      </c>
      <c r="J229">
        <f>IFERROR(INDEX(tblDeviceConfig[PI_Validated_By],ROW()-1),"")</f>
      </c>
      <c r="K229">
        <f>IFERROR(INDEX(tblDeviceConfig[PI_Validated_Date],ROW()-1),"")</f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</c>
      <c r="C230">
        <f>IFERROR(INDEX(tblDeviceConfig[Deployed],ROW()-1),"")</f>
      </c>
      <c r="D230">
        <f>IFERROR(INDEX(tblDeviceConfig[Installed],ROW()-1),"")</f>
      </c>
      <c r="E230">
        <f>IFERROR(INDEX(tblDeviceConfig[Cybernet Hostname],ROW()-1),"")</f>
      </c>
      <c r="F230">
        <f>IFERROR(INDEX(tblDeviceConfig[Neuron Hostname],ROW()-1),"")</f>
      </c>
      <c r="G230">
        <f>IFERROR(INDEX(tblDeviceConfig[Software List],ROW()-1),"")</f>
      </c>
      <c r="H230">
        <f>IFERROR(INDEX(tblDeviceConfig[PI_Use_Case],ROW()-1),"")</f>
      </c>
      <c r="I230">
        <f>IFERROR(INDEX(tblDeviceConfig[PI_Result],ROW()-1),"")</f>
      </c>
      <c r="J230">
        <f>IFERROR(INDEX(tblDeviceConfig[PI_Validated_By],ROW()-1),"")</f>
      </c>
      <c r="K230">
        <f>IFERROR(INDEX(tblDeviceConfig[PI_Validated_Date],ROW()-1),"")</f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</c>
      <c r="C231">
        <f>IFERROR(INDEX(tblDeviceConfig[Deployed],ROW()-1),"")</f>
      </c>
      <c r="D231">
        <f>IFERROR(INDEX(tblDeviceConfig[Installed],ROW()-1),"")</f>
      </c>
      <c r="E231">
        <f>IFERROR(INDEX(tblDeviceConfig[Cybernet Hostname],ROW()-1),"")</f>
      </c>
      <c r="F231">
        <f>IFERROR(INDEX(tblDeviceConfig[Neuron Hostname],ROW()-1),"")</f>
      </c>
      <c r="G231">
        <f>IFERROR(INDEX(tblDeviceConfig[Software List],ROW()-1),"")</f>
      </c>
      <c r="H231">
        <f>IFERROR(INDEX(tblDeviceConfig[PI_Use_Case],ROW()-1),"")</f>
      </c>
      <c r="I231">
        <f>IFERROR(INDEX(tblDeviceConfig[PI_Result],ROW()-1),"")</f>
      </c>
      <c r="J231">
        <f>IFERROR(INDEX(tblDeviceConfig[PI_Validated_By],ROW()-1),"")</f>
      </c>
      <c r="K231">
        <f>IFERROR(INDEX(tblDeviceConfig[PI_Validated_Date],ROW()-1),"")</f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</c>
      <c r="C232">
        <f>IFERROR(INDEX(tblDeviceConfig[Deployed],ROW()-1),"")</f>
      </c>
      <c r="D232">
        <f>IFERROR(INDEX(tblDeviceConfig[Installed],ROW()-1),"")</f>
      </c>
      <c r="E232">
        <f>IFERROR(INDEX(tblDeviceConfig[Cybernet Hostname],ROW()-1),"")</f>
      </c>
      <c r="F232">
        <f>IFERROR(INDEX(tblDeviceConfig[Neuron Hostname],ROW()-1),"")</f>
      </c>
      <c r="G232">
        <f>IFERROR(INDEX(tblDeviceConfig[Software List],ROW()-1),"")</f>
      </c>
      <c r="H232">
        <f>IFERROR(INDEX(tblDeviceConfig[PI_Use_Case],ROW()-1),"")</f>
      </c>
      <c r="I232">
        <f>IFERROR(INDEX(tblDeviceConfig[PI_Result],ROW()-1),"")</f>
      </c>
      <c r="J232">
        <f>IFERROR(INDEX(tblDeviceConfig[PI_Validated_By],ROW()-1),"")</f>
      </c>
      <c r="K232">
        <f>IFERROR(INDEX(tblDeviceConfig[PI_Validated_Date],ROW()-1),"")</f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</c>
      <c r="C233">
        <f>IFERROR(INDEX(tblDeviceConfig[Deployed],ROW()-1),"")</f>
      </c>
      <c r="D233">
        <f>IFERROR(INDEX(tblDeviceConfig[Installed],ROW()-1),"")</f>
      </c>
      <c r="E233">
        <f>IFERROR(INDEX(tblDeviceConfig[Cybernet Hostname],ROW()-1),"")</f>
      </c>
      <c r="F233">
        <f>IFERROR(INDEX(tblDeviceConfig[Neuron Hostname],ROW()-1),"")</f>
      </c>
      <c r="G233">
        <f>IFERROR(INDEX(tblDeviceConfig[Software List],ROW()-1),"")</f>
      </c>
      <c r="H233">
        <f>IFERROR(INDEX(tblDeviceConfig[PI_Use_Case],ROW()-1),"")</f>
      </c>
      <c r="I233">
        <f>IFERROR(INDEX(tblDeviceConfig[PI_Result],ROW()-1),"")</f>
      </c>
      <c r="J233">
        <f>IFERROR(INDEX(tblDeviceConfig[PI_Validated_By],ROW()-1),"")</f>
      </c>
      <c r="K233">
        <f>IFERROR(INDEX(tblDeviceConfig[PI_Validated_Date],ROW()-1),"")</f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</c>
      <c r="C234">
        <f>IFERROR(INDEX(tblDeviceConfig[Deployed],ROW()-1),"")</f>
      </c>
      <c r="D234">
        <f>IFERROR(INDEX(tblDeviceConfig[Installed],ROW()-1),"")</f>
      </c>
      <c r="E234">
        <f>IFERROR(INDEX(tblDeviceConfig[Cybernet Hostname],ROW()-1),"")</f>
      </c>
      <c r="F234">
        <f>IFERROR(INDEX(tblDeviceConfig[Neuron Hostname],ROW()-1),"")</f>
      </c>
      <c r="G234">
        <f>IFERROR(INDEX(tblDeviceConfig[Software List],ROW()-1),"")</f>
      </c>
      <c r="H234">
        <f>IFERROR(INDEX(tblDeviceConfig[PI_Use_Case],ROW()-1),"")</f>
      </c>
      <c r="I234">
        <f>IFERROR(INDEX(tblDeviceConfig[PI_Result],ROW()-1),"")</f>
      </c>
      <c r="J234">
        <f>IFERROR(INDEX(tblDeviceConfig[PI_Validated_By],ROW()-1),"")</f>
      </c>
      <c r="K234">
        <f>IFERROR(INDEX(tblDeviceConfig[PI_Validated_Date],ROW()-1),"")</f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</c>
      <c r="C235">
        <f>IFERROR(INDEX(tblDeviceConfig[Deployed],ROW()-1),"")</f>
      </c>
      <c r="D235">
        <f>IFERROR(INDEX(tblDeviceConfig[Installed],ROW()-1),"")</f>
      </c>
      <c r="E235">
        <f>IFERROR(INDEX(tblDeviceConfig[Cybernet Hostname],ROW()-1),"")</f>
      </c>
      <c r="F235">
        <f>IFERROR(INDEX(tblDeviceConfig[Neuron Hostname],ROW()-1),"")</f>
      </c>
      <c r="G235">
        <f>IFERROR(INDEX(tblDeviceConfig[Software List],ROW()-1),"")</f>
      </c>
      <c r="H235">
        <f>IFERROR(INDEX(tblDeviceConfig[PI_Use_Case],ROW()-1),"")</f>
      </c>
      <c r="I235">
        <f>IFERROR(INDEX(tblDeviceConfig[PI_Result],ROW()-1),"")</f>
      </c>
      <c r="J235">
        <f>IFERROR(INDEX(tblDeviceConfig[PI_Validated_By],ROW()-1),"")</f>
      </c>
      <c r="K235">
        <f>IFERROR(INDEX(tblDeviceConfig[PI_Validated_Date],ROW()-1),"")</f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</c>
      <c r="C236">
        <f>IFERROR(INDEX(tblDeviceConfig[Deployed],ROW()-1),"")</f>
      </c>
      <c r="D236">
        <f>IFERROR(INDEX(tblDeviceConfig[Installed],ROW()-1),"")</f>
      </c>
      <c r="E236">
        <f>IFERROR(INDEX(tblDeviceConfig[Cybernet Hostname],ROW()-1),"")</f>
      </c>
      <c r="F236">
        <f>IFERROR(INDEX(tblDeviceConfig[Neuron Hostname],ROW()-1),"")</f>
      </c>
      <c r="G236">
        <f>IFERROR(INDEX(tblDeviceConfig[Software List],ROW()-1),"")</f>
      </c>
      <c r="H236">
        <f>IFERROR(INDEX(tblDeviceConfig[PI_Use_Case],ROW()-1),"")</f>
      </c>
      <c r="I236">
        <f>IFERROR(INDEX(tblDeviceConfig[PI_Result],ROW()-1),"")</f>
      </c>
      <c r="J236">
        <f>IFERROR(INDEX(tblDeviceConfig[PI_Validated_By],ROW()-1),"")</f>
      </c>
      <c r="K236">
        <f>IFERROR(INDEX(tblDeviceConfig[PI_Validated_Date],ROW()-1),"")</f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</c>
      <c r="C237">
        <f>IFERROR(INDEX(tblDeviceConfig[Deployed],ROW()-1),"")</f>
      </c>
      <c r="D237">
        <f>IFERROR(INDEX(tblDeviceConfig[Installed],ROW()-1),"")</f>
      </c>
      <c r="E237">
        <f>IFERROR(INDEX(tblDeviceConfig[Cybernet Hostname],ROW()-1),"")</f>
      </c>
      <c r="F237">
        <f>IFERROR(INDEX(tblDeviceConfig[Neuron Hostname],ROW()-1),"")</f>
      </c>
      <c r="G237">
        <f>IFERROR(INDEX(tblDeviceConfig[Software List],ROW()-1),"")</f>
      </c>
      <c r="H237">
        <f>IFERROR(INDEX(tblDeviceConfig[PI_Use_Case],ROW()-1),"")</f>
      </c>
      <c r="I237">
        <f>IFERROR(INDEX(tblDeviceConfig[PI_Result],ROW()-1),"")</f>
      </c>
      <c r="J237">
        <f>IFERROR(INDEX(tblDeviceConfig[PI_Validated_By],ROW()-1),"")</f>
      </c>
      <c r="K237">
        <f>IFERROR(INDEX(tblDeviceConfig[PI_Validated_Date],ROW()-1),"")</f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</c>
      <c r="C238">
        <f>IFERROR(INDEX(tblDeviceConfig[Deployed],ROW()-1),"")</f>
      </c>
      <c r="D238">
        <f>IFERROR(INDEX(tblDeviceConfig[Installed],ROW()-1),"")</f>
      </c>
      <c r="E238">
        <f>IFERROR(INDEX(tblDeviceConfig[Cybernet Hostname],ROW()-1),"")</f>
      </c>
      <c r="F238">
        <f>IFERROR(INDEX(tblDeviceConfig[Neuron Hostname],ROW()-1),"")</f>
      </c>
      <c r="G238">
        <f>IFERROR(INDEX(tblDeviceConfig[Software List],ROW()-1),"")</f>
      </c>
      <c r="H238">
        <f>IFERROR(INDEX(tblDeviceConfig[PI_Use_Case],ROW()-1),"")</f>
      </c>
      <c r="I238">
        <f>IFERROR(INDEX(tblDeviceConfig[PI_Result],ROW()-1),"")</f>
      </c>
      <c r="J238">
        <f>IFERROR(INDEX(tblDeviceConfig[PI_Validated_By],ROW()-1),"")</f>
      </c>
      <c r="K238">
        <f>IFERROR(INDEX(tblDeviceConfig[PI_Validated_Date],ROW()-1),"")</f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</c>
      <c r="C239">
        <f>IFERROR(INDEX(tblDeviceConfig[Deployed],ROW()-1),"")</f>
      </c>
      <c r="D239">
        <f>IFERROR(INDEX(tblDeviceConfig[Installed],ROW()-1),"")</f>
      </c>
      <c r="E239">
        <f>IFERROR(INDEX(tblDeviceConfig[Cybernet Hostname],ROW()-1),"")</f>
      </c>
      <c r="F239">
        <f>IFERROR(INDEX(tblDeviceConfig[Neuron Hostname],ROW()-1),"")</f>
      </c>
      <c r="G239">
        <f>IFERROR(INDEX(tblDeviceConfig[Software List],ROW()-1),"")</f>
      </c>
      <c r="H239">
        <f>IFERROR(INDEX(tblDeviceConfig[PI_Use_Case],ROW()-1),"")</f>
      </c>
      <c r="I239">
        <f>IFERROR(INDEX(tblDeviceConfig[PI_Result],ROW()-1),"")</f>
      </c>
      <c r="J239">
        <f>IFERROR(INDEX(tblDeviceConfig[PI_Validated_By],ROW()-1),"")</f>
      </c>
      <c r="K239">
        <f>IFERROR(INDEX(tblDeviceConfig[PI_Validated_Date],ROW()-1),"")</f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</c>
      <c r="C240">
        <f>IFERROR(INDEX(tblDeviceConfig[Deployed],ROW()-1),"")</f>
      </c>
      <c r="D240">
        <f>IFERROR(INDEX(tblDeviceConfig[Installed],ROW()-1),"")</f>
      </c>
      <c r="E240">
        <f>IFERROR(INDEX(tblDeviceConfig[Cybernet Hostname],ROW()-1),"")</f>
      </c>
      <c r="F240">
        <f>IFERROR(INDEX(tblDeviceConfig[Neuron Hostname],ROW()-1),"")</f>
      </c>
      <c r="G240">
        <f>IFERROR(INDEX(tblDeviceConfig[Software List],ROW()-1),"")</f>
      </c>
      <c r="H240">
        <f>IFERROR(INDEX(tblDeviceConfig[PI_Use_Case],ROW()-1),"")</f>
      </c>
      <c r="I240">
        <f>IFERROR(INDEX(tblDeviceConfig[PI_Result],ROW()-1),"")</f>
      </c>
      <c r="J240">
        <f>IFERROR(INDEX(tblDeviceConfig[PI_Validated_By],ROW()-1),"")</f>
      </c>
      <c r="K240">
        <f>IFERROR(INDEX(tblDeviceConfig[PI_Validated_Date],ROW()-1),"")</f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</c>
      <c r="C241">
        <f>IFERROR(INDEX(tblDeviceConfig[Deployed],ROW()-1),"")</f>
      </c>
      <c r="D241">
        <f>IFERROR(INDEX(tblDeviceConfig[Installed],ROW()-1),"")</f>
      </c>
      <c r="E241">
        <f>IFERROR(INDEX(tblDeviceConfig[Cybernet Hostname],ROW()-1),"")</f>
      </c>
      <c r="F241">
        <f>IFERROR(INDEX(tblDeviceConfig[Neuron Hostname],ROW()-1),"")</f>
      </c>
      <c r="G241">
        <f>IFERROR(INDEX(tblDeviceConfig[Software List],ROW()-1),"")</f>
      </c>
      <c r="H241">
        <f>IFERROR(INDEX(tblDeviceConfig[PI_Use_Case],ROW()-1),"")</f>
      </c>
      <c r="I241">
        <f>IFERROR(INDEX(tblDeviceConfig[PI_Result],ROW()-1),"")</f>
      </c>
      <c r="J241">
        <f>IFERROR(INDEX(tblDeviceConfig[PI_Validated_By],ROW()-1),"")</f>
      </c>
      <c r="K241">
        <f>IFERROR(INDEX(tblDeviceConfig[PI_Validated_Date],ROW()-1),"")</f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</c>
      <c r="C242">
        <f>IFERROR(INDEX(tblDeviceConfig[Deployed],ROW()-1),"")</f>
      </c>
      <c r="D242">
        <f>IFERROR(INDEX(tblDeviceConfig[Installed],ROW()-1),"")</f>
      </c>
      <c r="E242">
        <f>IFERROR(INDEX(tblDeviceConfig[Cybernet Hostname],ROW()-1),"")</f>
      </c>
      <c r="F242">
        <f>IFERROR(INDEX(tblDeviceConfig[Neuron Hostname],ROW()-1),"")</f>
      </c>
      <c r="G242">
        <f>IFERROR(INDEX(tblDeviceConfig[Software List],ROW()-1),"")</f>
      </c>
      <c r="H242">
        <f>IFERROR(INDEX(tblDeviceConfig[PI_Use_Case],ROW()-1),"")</f>
      </c>
      <c r="I242">
        <f>IFERROR(INDEX(tblDeviceConfig[PI_Result],ROW()-1),"")</f>
      </c>
      <c r="J242">
        <f>IFERROR(INDEX(tblDeviceConfig[PI_Validated_By],ROW()-1),"")</f>
      </c>
      <c r="K242">
        <f>IFERROR(INDEX(tblDeviceConfig[PI_Validated_Date],ROW()-1),"")</f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</c>
      <c r="C243">
        <f>IFERROR(INDEX(tblDeviceConfig[Deployed],ROW()-1),"")</f>
      </c>
      <c r="D243">
        <f>IFERROR(INDEX(tblDeviceConfig[Installed],ROW()-1),"")</f>
      </c>
      <c r="E243">
        <f>IFERROR(INDEX(tblDeviceConfig[Cybernet Hostname],ROW()-1),"")</f>
      </c>
      <c r="F243">
        <f>IFERROR(INDEX(tblDeviceConfig[Neuron Hostname],ROW()-1),"")</f>
      </c>
      <c r="G243">
        <f>IFERROR(INDEX(tblDeviceConfig[Software List],ROW()-1),"")</f>
      </c>
      <c r="H243">
        <f>IFERROR(INDEX(tblDeviceConfig[PI_Use_Case],ROW()-1),"")</f>
      </c>
      <c r="I243">
        <f>IFERROR(INDEX(tblDeviceConfig[PI_Result],ROW()-1),"")</f>
      </c>
      <c r="J243">
        <f>IFERROR(INDEX(tblDeviceConfig[PI_Validated_By],ROW()-1),"")</f>
      </c>
      <c r="K243">
        <f>IFERROR(INDEX(tblDeviceConfig[PI_Validated_Date],ROW()-1),"")</f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</c>
      <c r="C244">
        <f>IFERROR(INDEX(tblDeviceConfig[Deployed],ROW()-1),"")</f>
      </c>
      <c r="D244">
        <f>IFERROR(INDEX(tblDeviceConfig[Installed],ROW()-1),"")</f>
      </c>
      <c r="E244">
        <f>IFERROR(INDEX(tblDeviceConfig[Cybernet Hostname],ROW()-1),"")</f>
      </c>
      <c r="F244">
        <f>IFERROR(INDEX(tblDeviceConfig[Neuron Hostname],ROW()-1),"")</f>
      </c>
      <c r="G244">
        <f>IFERROR(INDEX(tblDeviceConfig[Software List],ROW()-1),"")</f>
      </c>
      <c r="H244">
        <f>IFERROR(INDEX(tblDeviceConfig[PI_Use_Case],ROW()-1),"")</f>
      </c>
      <c r="I244">
        <f>IFERROR(INDEX(tblDeviceConfig[PI_Result],ROW()-1),"")</f>
      </c>
      <c r="J244">
        <f>IFERROR(INDEX(tblDeviceConfig[PI_Validated_By],ROW()-1),"")</f>
      </c>
      <c r="K244">
        <f>IFERROR(INDEX(tblDeviceConfig[PI_Validated_Date],ROW()-1),"")</f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</c>
      <c r="C245">
        <f>IFERROR(INDEX(tblDeviceConfig[Deployed],ROW()-1),"")</f>
      </c>
      <c r="D245">
        <f>IFERROR(INDEX(tblDeviceConfig[Installed],ROW()-1),"")</f>
      </c>
      <c r="E245">
        <f>IFERROR(INDEX(tblDeviceConfig[Cybernet Hostname],ROW()-1),"")</f>
      </c>
      <c r="F245">
        <f>IFERROR(INDEX(tblDeviceConfig[Neuron Hostname],ROW()-1),"")</f>
      </c>
      <c r="G245">
        <f>IFERROR(INDEX(tblDeviceConfig[Software List],ROW()-1),"")</f>
      </c>
      <c r="H245">
        <f>IFERROR(INDEX(tblDeviceConfig[PI_Use_Case],ROW()-1),"")</f>
      </c>
      <c r="I245">
        <f>IFERROR(INDEX(tblDeviceConfig[PI_Result],ROW()-1),"")</f>
      </c>
      <c r="J245">
        <f>IFERROR(INDEX(tblDeviceConfig[PI_Validated_By],ROW()-1),"")</f>
      </c>
      <c r="K245">
        <f>IFERROR(INDEX(tblDeviceConfig[PI_Validated_Date],ROW()-1),"")</f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</c>
      <c r="C246">
        <f>IFERROR(INDEX(tblDeviceConfig[Deployed],ROW()-1),"")</f>
      </c>
      <c r="D246">
        <f>IFERROR(INDEX(tblDeviceConfig[Installed],ROW()-1),"")</f>
      </c>
      <c r="E246">
        <f>IFERROR(INDEX(tblDeviceConfig[Cybernet Hostname],ROW()-1),"")</f>
      </c>
      <c r="F246">
        <f>IFERROR(INDEX(tblDeviceConfig[Neuron Hostname],ROW()-1),"")</f>
      </c>
      <c r="G246">
        <f>IFERROR(INDEX(tblDeviceConfig[Software List],ROW()-1),"")</f>
      </c>
      <c r="H246">
        <f>IFERROR(INDEX(tblDeviceConfig[PI_Use_Case],ROW()-1),"")</f>
      </c>
      <c r="I246">
        <f>IFERROR(INDEX(tblDeviceConfig[PI_Result],ROW()-1),"")</f>
      </c>
      <c r="J246">
        <f>IFERROR(INDEX(tblDeviceConfig[PI_Validated_By],ROW()-1),"")</f>
      </c>
      <c r="K246">
        <f>IFERROR(INDEX(tblDeviceConfig[PI_Validated_Date],ROW()-1),"")</f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</c>
      <c r="C247">
        <f>IFERROR(INDEX(tblDeviceConfig[Deployed],ROW()-1),"")</f>
      </c>
      <c r="D247">
        <f>IFERROR(INDEX(tblDeviceConfig[Installed],ROW()-1),"")</f>
      </c>
      <c r="E247">
        <f>IFERROR(INDEX(tblDeviceConfig[Cybernet Hostname],ROW()-1),"")</f>
      </c>
      <c r="F247">
        <f>IFERROR(INDEX(tblDeviceConfig[Neuron Hostname],ROW()-1),"")</f>
      </c>
      <c r="G247">
        <f>IFERROR(INDEX(tblDeviceConfig[Software List],ROW()-1),"")</f>
      </c>
      <c r="H247">
        <f>IFERROR(INDEX(tblDeviceConfig[PI_Use_Case],ROW()-1),"")</f>
      </c>
      <c r="I247">
        <f>IFERROR(INDEX(tblDeviceConfig[PI_Result],ROW()-1),"")</f>
      </c>
      <c r="J247">
        <f>IFERROR(INDEX(tblDeviceConfig[PI_Validated_By],ROW()-1),"")</f>
      </c>
      <c r="K247">
        <f>IFERROR(INDEX(tblDeviceConfig[PI_Validated_Date],ROW()-1),"")</f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</c>
      <c r="C248">
        <f>IFERROR(INDEX(tblDeviceConfig[Deployed],ROW()-1),"")</f>
      </c>
      <c r="D248">
        <f>IFERROR(INDEX(tblDeviceConfig[Installed],ROW()-1),"")</f>
      </c>
      <c r="E248">
        <f>IFERROR(INDEX(tblDeviceConfig[Cybernet Hostname],ROW()-1),"")</f>
      </c>
      <c r="F248">
        <f>IFERROR(INDEX(tblDeviceConfig[Neuron Hostname],ROW()-1),"")</f>
      </c>
      <c r="G248">
        <f>IFERROR(INDEX(tblDeviceConfig[Software List],ROW()-1),"")</f>
      </c>
      <c r="H248">
        <f>IFERROR(INDEX(tblDeviceConfig[PI_Use_Case],ROW()-1),"")</f>
      </c>
      <c r="I248">
        <f>IFERROR(INDEX(tblDeviceConfig[PI_Result],ROW()-1),"")</f>
      </c>
      <c r="J248">
        <f>IFERROR(INDEX(tblDeviceConfig[PI_Validated_By],ROW()-1),"")</f>
      </c>
      <c r="K248">
        <f>IFERROR(INDEX(tblDeviceConfig[PI_Validated_Date],ROW()-1),"")</f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</c>
      <c r="C249">
        <f>IFERROR(INDEX(tblDeviceConfig[Deployed],ROW()-1),"")</f>
      </c>
      <c r="D249">
        <f>IFERROR(INDEX(tblDeviceConfig[Installed],ROW()-1),"")</f>
      </c>
      <c r="E249">
        <f>IFERROR(INDEX(tblDeviceConfig[Cybernet Hostname],ROW()-1),"")</f>
      </c>
      <c r="F249">
        <f>IFERROR(INDEX(tblDeviceConfig[Neuron Hostname],ROW()-1),"")</f>
      </c>
      <c r="G249">
        <f>IFERROR(INDEX(tblDeviceConfig[Software List],ROW()-1),"")</f>
      </c>
      <c r="H249">
        <f>IFERROR(INDEX(tblDeviceConfig[PI_Use_Case],ROW()-1),"")</f>
      </c>
      <c r="I249">
        <f>IFERROR(INDEX(tblDeviceConfig[PI_Result],ROW()-1),"")</f>
      </c>
      <c r="J249">
        <f>IFERROR(INDEX(tblDeviceConfig[PI_Validated_By],ROW()-1),"")</f>
      </c>
      <c r="K249">
        <f>IFERROR(INDEX(tblDeviceConfig[PI_Validated_Date],ROW()-1),"")</f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</c>
      <c r="C250">
        <f>IFERROR(INDEX(tblDeviceConfig[Deployed],ROW()-1),"")</f>
      </c>
      <c r="D250">
        <f>IFERROR(INDEX(tblDeviceConfig[Installed],ROW()-1),"")</f>
      </c>
      <c r="E250">
        <f>IFERROR(INDEX(tblDeviceConfig[Cybernet Hostname],ROW()-1),"")</f>
      </c>
      <c r="F250">
        <f>IFERROR(INDEX(tblDeviceConfig[Neuron Hostname],ROW()-1),"")</f>
      </c>
      <c r="G250">
        <f>IFERROR(INDEX(tblDeviceConfig[Software List],ROW()-1),"")</f>
      </c>
      <c r="H250">
        <f>IFERROR(INDEX(tblDeviceConfig[PI_Use_Case],ROW()-1),"")</f>
      </c>
      <c r="I250">
        <f>IFERROR(INDEX(tblDeviceConfig[PI_Result],ROW()-1),"")</f>
      </c>
      <c r="J250">
        <f>IFERROR(INDEX(tblDeviceConfig[PI_Validated_By],ROW()-1),"")</f>
      </c>
      <c r="K250">
        <f>IFERROR(INDEX(tblDeviceConfig[PI_Validated_Date],ROW()-1),"")</f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</c>
      <c r="C251">
        <f>IFERROR(INDEX(tblDeviceConfig[Deployed],ROW()-1),"")</f>
      </c>
      <c r="D251">
        <f>IFERROR(INDEX(tblDeviceConfig[Installed],ROW()-1),"")</f>
      </c>
      <c r="E251">
        <f>IFERROR(INDEX(tblDeviceConfig[Cybernet Hostname],ROW()-1),"")</f>
      </c>
      <c r="F251">
        <f>IFERROR(INDEX(tblDeviceConfig[Neuron Hostname],ROW()-1),"")</f>
      </c>
      <c r="G251">
        <f>IFERROR(INDEX(tblDeviceConfig[Software List],ROW()-1),"")</f>
      </c>
      <c r="H251">
        <f>IFERROR(INDEX(tblDeviceConfig[PI_Use_Case],ROW()-1),"")</f>
      </c>
      <c r="I251">
        <f>IFERROR(INDEX(tblDeviceConfig[PI_Result],ROW()-1),"")</f>
      </c>
      <c r="J251">
        <f>IFERROR(INDEX(tblDeviceConfig[PI_Validated_By],ROW()-1),"")</f>
      </c>
      <c r="K251">
        <f>IFERROR(INDEX(tblDeviceConfig[PI_Validated_Date],ROW()-1),"")</f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</c>
      <c r="C252">
        <f>IFERROR(INDEX(tblDeviceConfig[Deployed],ROW()-1),"")</f>
      </c>
      <c r="D252">
        <f>IFERROR(INDEX(tblDeviceConfig[Installed],ROW()-1),"")</f>
      </c>
      <c r="E252">
        <f>IFERROR(INDEX(tblDeviceConfig[Cybernet Hostname],ROW()-1),"")</f>
      </c>
      <c r="F252">
        <f>IFERROR(INDEX(tblDeviceConfig[Neuron Hostname],ROW()-1),"")</f>
      </c>
      <c r="G252">
        <f>IFERROR(INDEX(tblDeviceConfig[Software List],ROW()-1),"")</f>
      </c>
      <c r="H252">
        <f>IFERROR(INDEX(tblDeviceConfig[PI_Use_Case],ROW()-1),"")</f>
      </c>
      <c r="I252">
        <f>IFERROR(INDEX(tblDeviceConfig[PI_Result],ROW()-1),"")</f>
      </c>
      <c r="J252">
        <f>IFERROR(INDEX(tblDeviceConfig[PI_Validated_By],ROW()-1),"")</f>
      </c>
      <c r="K252">
        <f>IFERROR(INDEX(tblDeviceConfig[PI_Validated_Date],ROW()-1),"")</f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</c>
      <c r="C253">
        <f>IFERROR(INDEX(tblDeviceConfig[Deployed],ROW()-1),"")</f>
      </c>
      <c r="D253">
        <f>IFERROR(INDEX(tblDeviceConfig[Installed],ROW()-1),"")</f>
      </c>
      <c r="E253">
        <f>IFERROR(INDEX(tblDeviceConfig[Cybernet Hostname],ROW()-1),"")</f>
      </c>
      <c r="F253">
        <f>IFERROR(INDEX(tblDeviceConfig[Neuron Hostname],ROW()-1),"")</f>
      </c>
      <c r="G253">
        <f>IFERROR(INDEX(tblDeviceConfig[Software List],ROW()-1),"")</f>
      </c>
      <c r="H253">
        <f>IFERROR(INDEX(tblDeviceConfig[PI_Use_Case],ROW()-1),"")</f>
      </c>
      <c r="I253">
        <f>IFERROR(INDEX(tblDeviceConfig[PI_Result],ROW()-1),"")</f>
      </c>
      <c r="J253">
        <f>IFERROR(INDEX(tblDeviceConfig[PI_Validated_By],ROW()-1),"")</f>
      </c>
      <c r="K253">
        <f>IFERROR(INDEX(tblDeviceConfig[PI_Validated_Date],ROW()-1),"")</f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</c>
      <c r="C254">
        <f>IFERROR(INDEX(tblDeviceConfig[Deployed],ROW()-1),"")</f>
      </c>
      <c r="D254">
        <f>IFERROR(INDEX(tblDeviceConfig[Installed],ROW()-1),"")</f>
      </c>
      <c r="E254">
        <f>IFERROR(INDEX(tblDeviceConfig[Cybernet Hostname],ROW()-1),"")</f>
      </c>
      <c r="F254">
        <f>IFERROR(INDEX(tblDeviceConfig[Neuron Hostname],ROW()-1),"")</f>
      </c>
      <c r="G254">
        <f>IFERROR(INDEX(tblDeviceConfig[Software List],ROW()-1),"")</f>
      </c>
      <c r="H254">
        <f>IFERROR(INDEX(tblDeviceConfig[PI_Use_Case],ROW()-1),"")</f>
      </c>
      <c r="I254">
        <f>IFERROR(INDEX(tblDeviceConfig[PI_Result],ROW()-1),"")</f>
      </c>
      <c r="J254">
        <f>IFERROR(INDEX(tblDeviceConfig[PI_Validated_By],ROW()-1),"")</f>
      </c>
      <c r="K254">
        <f>IFERROR(INDEX(tblDeviceConfig[PI_Validated_Date],ROW()-1),"")</f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</c>
      <c r="C255">
        <f>IFERROR(INDEX(tblDeviceConfig[Deployed],ROW()-1),"")</f>
      </c>
      <c r="D255">
        <f>IFERROR(INDEX(tblDeviceConfig[Installed],ROW()-1),"")</f>
      </c>
      <c r="E255">
        <f>IFERROR(INDEX(tblDeviceConfig[Cybernet Hostname],ROW()-1),"")</f>
      </c>
      <c r="F255">
        <f>IFERROR(INDEX(tblDeviceConfig[Neuron Hostname],ROW()-1),"")</f>
      </c>
      <c r="G255">
        <f>IFERROR(INDEX(tblDeviceConfig[Software List],ROW()-1),"")</f>
      </c>
      <c r="H255">
        <f>IFERROR(INDEX(tblDeviceConfig[PI_Use_Case],ROW()-1),"")</f>
      </c>
      <c r="I255">
        <f>IFERROR(INDEX(tblDeviceConfig[PI_Result],ROW()-1),"")</f>
      </c>
      <c r="J255">
        <f>IFERROR(INDEX(tblDeviceConfig[PI_Validated_By],ROW()-1),"")</f>
      </c>
      <c r="K255">
        <f>IFERROR(INDEX(tblDeviceConfig[PI_Validated_Date],ROW()-1),"")</f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</c>
      <c r="C256">
        <f>IFERROR(INDEX(tblDeviceConfig[Deployed],ROW()-1),"")</f>
      </c>
      <c r="D256">
        <f>IFERROR(INDEX(tblDeviceConfig[Installed],ROW()-1),"")</f>
      </c>
      <c r="E256">
        <f>IFERROR(INDEX(tblDeviceConfig[Cybernet Hostname],ROW()-1),"")</f>
      </c>
      <c r="F256">
        <f>IFERROR(INDEX(tblDeviceConfig[Neuron Hostname],ROW()-1),"")</f>
      </c>
      <c r="G256">
        <f>IFERROR(INDEX(tblDeviceConfig[Software List],ROW()-1),"")</f>
      </c>
      <c r="H256">
        <f>IFERROR(INDEX(tblDeviceConfig[PI_Use_Case],ROW()-1),"")</f>
      </c>
      <c r="I256">
        <f>IFERROR(INDEX(tblDeviceConfig[PI_Result],ROW()-1),"")</f>
      </c>
      <c r="J256">
        <f>IFERROR(INDEX(tblDeviceConfig[PI_Validated_By],ROW()-1),"")</f>
      </c>
      <c r="K256">
        <f>IFERROR(INDEX(tblDeviceConfig[PI_Validated_Date],ROW()-1),"")</f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</c>
      <c r="C257">
        <f>IFERROR(INDEX(tblDeviceConfig[Deployed],ROW()-1),"")</f>
      </c>
      <c r="D257">
        <f>IFERROR(INDEX(tblDeviceConfig[Installed],ROW()-1),"")</f>
      </c>
      <c r="E257">
        <f>IFERROR(INDEX(tblDeviceConfig[Cybernet Hostname],ROW()-1),"")</f>
      </c>
      <c r="F257">
        <f>IFERROR(INDEX(tblDeviceConfig[Neuron Hostname],ROW()-1),"")</f>
      </c>
      <c r="G257">
        <f>IFERROR(INDEX(tblDeviceConfig[Software List],ROW()-1),"")</f>
      </c>
      <c r="H257">
        <f>IFERROR(INDEX(tblDeviceConfig[PI_Use_Case],ROW()-1),"")</f>
      </c>
      <c r="I257">
        <f>IFERROR(INDEX(tblDeviceConfig[PI_Result],ROW()-1),"")</f>
      </c>
      <c r="J257">
        <f>IFERROR(INDEX(tblDeviceConfig[PI_Validated_By],ROW()-1),"")</f>
      </c>
      <c r="K257">
        <f>IFERROR(INDEX(tblDeviceConfig[PI_Validated_Date],ROW()-1),"")</f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</c>
      <c r="C258">
        <f>IFERROR(INDEX(tblDeviceConfig[Deployed],ROW()-1),"")</f>
      </c>
      <c r="D258">
        <f>IFERROR(INDEX(tblDeviceConfig[Installed],ROW()-1),"")</f>
      </c>
      <c r="E258">
        <f>IFERROR(INDEX(tblDeviceConfig[Cybernet Hostname],ROW()-1),"")</f>
      </c>
      <c r="F258">
        <f>IFERROR(INDEX(tblDeviceConfig[Neuron Hostname],ROW()-1),"")</f>
      </c>
      <c r="G258">
        <f>IFERROR(INDEX(tblDeviceConfig[Software List],ROW()-1),"")</f>
      </c>
      <c r="H258">
        <f>IFERROR(INDEX(tblDeviceConfig[PI_Use_Case],ROW()-1),"")</f>
      </c>
      <c r="I258">
        <f>IFERROR(INDEX(tblDeviceConfig[PI_Result],ROW()-1),"")</f>
      </c>
      <c r="J258">
        <f>IFERROR(INDEX(tblDeviceConfig[PI_Validated_By],ROW()-1),"")</f>
      </c>
      <c r="K258">
        <f>IFERROR(INDEX(tblDeviceConfig[PI_Validated_Date],ROW()-1),"")</f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</c>
      <c r="C259">
        <f>IFERROR(INDEX(tblDeviceConfig[Deployed],ROW()-1),"")</f>
      </c>
      <c r="D259">
        <f>IFERROR(INDEX(tblDeviceConfig[Installed],ROW()-1),"")</f>
      </c>
      <c r="E259">
        <f>IFERROR(INDEX(tblDeviceConfig[Cybernet Hostname],ROW()-1),"")</f>
      </c>
      <c r="F259">
        <f>IFERROR(INDEX(tblDeviceConfig[Neuron Hostname],ROW()-1),"")</f>
      </c>
      <c r="G259">
        <f>IFERROR(INDEX(tblDeviceConfig[Software List],ROW()-1),"")</f>
      </c>
      <c r="H259">
        <f>IFERROR(INDEX(tblDeviceConfig[PI_Use_Case],ROW()-1),"")</f>
      </c>
      <c r="I259">
        <f>IFERROR(INDEX(tblDeviceConfig[PI_Result],ROW()-1),"")</f>
      </c>
      <c r="J259">
        <f>IFERROR(INDEX(tblDeviceConfig[PI_Validated_By],ROW()-1),"")</f>
      </c>
      <c r="K259">
        <f>IFERROR(INDEX(tblDeviceConfig[PI_Validated_Date],ROW()-1),"")</f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</c>
      <c r="C260">
        <f>IFERROR(INDEX(tblDeviceConfig[Deployed],ROW()-1),"")</f>
      </c>
      <c r="D260">
        <f>IFERROR(INDEX(tblDeviceConfig[Installed],ROW()-1),"")</f>
      </c>
      <c r="E260">
        <f>IFERROR(INDEX(tblDeviceConfig[Cybernet Hostname],ROW()-1),"")</f>
      </c>
      <c r="F260">
        <f>IFERROR(INDEX(tblDeviceConfig[Neuron Hostname],ROW()-1),"")</f>
      </c>
      <c r="G260">
        <f>IFERROR(INDEX(tblDeviceConfig[Software List],ROW()-1),"")</f>
      </c>
      <c r="H260">
        <f>IFERROR(INDEX(tblDeviceConfig[PI_Use_Case],ROW()-1),"")</f>
      </c>
      <c r="I260">
        <f>IFERROR(INDEX(tblDeviceConfig[PI_Result],ROW()-1),"")</f>
      </c>
      <c r="J260">
        <f>IFERROR(INDEX(tblDeviceConfig[PI_Validated_By],ROW()-1),"")</f>
      </c>
      <c r="K260">
        <f>IFERROR(INDEX(tblDeviceConfig[PI_Validated_Date],ROW()-1),"")</f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</c>
      <c r="C261">
        <f>IFERROR(INDEX(tblDeviceConfig[Deployed],ROW()-1),"")</f>
      </c>
      <c r="D261">
        <f>IFERROR(INDEX(tblDeviceConfig[Installed],ROW()-1),"")</f>
      </c>
      <c r="E261">
        <f>IFERROR(INDEX(tblDeviceConfig[Cybernet Hostname],ROW()-1),"")</f>
      </c>
      <c r="F261">
        <f>IFERROR(INDEX(tblDeviceConfig[Neuron Hostname],ROW()-1),"")</f>
      </c>
      <c r="G261">
        <f>IFERROR(INDEX(tblDeviceConfig[Software List],ROW()-1),"")</f>
      </c>
      <c r="H261">
        <f>IFERROR(INDEX(tblDeviceConfig[PI_Use_Case],ROW()-1),"")</f>
      </c>
      <c r="I261">
        <f>IFERROR(INDEX(tblDeviceConfig[PI_Result],ROW()-1),"")</f>
      </c>
      <c r="J261">
        <f>IFERROR(INDEX(tblDeviceConfig[PI_Validated_By],ROW()-1),"")</f>
      </c>
      <c r="K261">
        <f>IFERROR(INDEX(tblDeviceConfig[PI_Validated_Date],ROW()-1),"")</f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</c>
      <c r="C262">
        <f>IFERROR(INDEX(tblDeviceConfig[Deployed],ROW()-1),"")</f>
      </c>
      <c r="D262">
        <f>IFERROR(INDEX(tblDeviceConfig[Installed],ROW()-1),"")</f>
      </c>
      <c r="E262">
        <f>IFERROR(INDEX(tblDeviceConfig[Cybernet Hostname],ROW()-1),"")</f>
      </c>
      <c r="F262">
        <f>IFERROR(INDEX(tblDeviceConfig[Neuron Hostname],ROW()-1),"")</f>
      </c>
      <c r="G262">
        <f>IFERROR(INDEX(tblDeviceConfig[Software List],ROW()-1),"")</f>
      </c>
      <c r="H262">
        <f>IFERROR(INDEX(tblDeviceConfig[PI_Use_Case],ROW()-1),"")</f>
      </c>
      <c r="I262">
        <f>IFERROR(INDEX(tblDeviceConfig[PI_Result],ROW()-1),"")</f>
      </c>
      <c r="J262">
        <f>IFERROR(INDEX(tblDeviceConfig[PI_Validated_By],ROW()-1),"")</f>
      </c>
      <c r="K262">
        <f>IFERROR(INDEX(tblDeviceConfig[PI_Validated_Date],ROW()-1),"")</f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</c>
      <c r="C263">
        <f>IFERROR(INDEX(tblDeviceConfig[Deployed],ROW()-1),"")</f>
      </c>
      <c r="D263">
        <f>IFERROR(INDEX(tblDeviceConfig[Installed],ROW()-1),"")</f>
      </c>
      <c r="E263">
        <f>IFERROR(INDEX(tblDeviceConfig[Cybernet Hostname],ROW()-1),"")</f>
      </c>
      <c r="F263">
        <f>IFERROR(INDEX(tblDeviceConfig[Neuron Hostname],ROW()-1),"")</f>
      </c>
      <c r="G263">
        <f>IFERROR(INDEX(tblDeviceConfig[Software List],ROW()-1),"")</f>
      </c>
      <c r="H263">
        <f>IFERROR(INDEX(tblDeviceConfig[PI_Use_Case],ROW()-1),"")</f>
      </c>
      <c r="I263">
        <f>IFERROR(INDEX(tblDeviceConfig[PI_Result],ROW()-1),"")</f>
      </c>
      <c r="J263">
        <f>IFERROR(INDEX(tblDeviceConfig[PI_Validated_By],ROW()-1),"")</f>
      </c>
      <c r="K263">
        <f>IFERROR(INDEX(tblDeviceConfig[PI_Validated_Date],ROW()-1),"")</f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</c>
      <c r="C264">
        <f>IFERROR(INDEX(tblDeviceConfig[Deployed],ROW()-1),"")</f>
      </c>
      <c r="D264">
        <f>IFERROR(INDEX(tblDeviceConfig[Installed],ROW()-1),"")</f>
      </c>
      <c r="E264">
        <f>IFERROR(INDEX(tblDeviceConfig[Cybernet Hostname],ROW()-1),"")</f>
      </c>
      <c r="F264">
        <f>IFERROR(INDEX(tblDeviceConfig[Neuron Hostname],ROW()-1),"")</f>
      </c>
      <c r="G264">
        <f>IFERROR(INDEX(tblDeviceConfig[Software List],ROW()-1),"")</f>
      </c>
      <c r="H264">
        <f>IFERROR(INDEX(tblDeviceConfig[PI_Use_Case],ROW()-1),"")</f>
      </c>
      <c r="I264">
        <f>IFERROR(INDEX(tblDeviceConfig[PI_Result],ROW()-1),"")</f>
      </c>
      <c r="J264">
        <f>IFERROR(INDEX(tblDeviceConfig[PI_Validated_By],ROW()-1),"")</f>
      </c>
      <c r="K264">
        <f>IFERROR(INDEX(tblDeviceConfig[PI_Validated_Date],ROW()-1),"")</f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</c>
      <c r="C265">
        <f>IFERROR(INDEX(tblDeviceConfig[Deployed],ROW()-1),"")</f>
      </c>
      <c r="D265">
        <f>IFERROR(INDEX(tblDeviceConfig[Installed],ROW()-1),"")</f>
      </c>
      <c r="E265">
        <f>IFERROR(INDEX(tblDeviceConfig[Cybernet Hostname],ROW()-1),"")</f>
      </c>
      <c r="F265">
        <f>IFERROR(INDEX(tblDeviceConfig[Neuron Hostname],ROW()-1),"")</f>
      </c>
      <c r="G265">
        <f>IFERROR(INDEX(tblDeviceConfig[Software List],ROW()-1),"")</f>
      </c>
      <c r="H265">
        <f>IFERROR(INDEX(tblDeviceConfig[PI_Use_Case],ROW()-1),"")</f>
      </c>
      <c r="I265">
        <f>IFERROR(INDEX(tblDeviceConfig[PI_Result],ROW()-1),"")</f>
      </c>
      <c r="J265">
        <f>IFERROR(INDEX(tblDeviceConfig[PI_Validated_By],ROW()-1),"")</f>
      </c>
      <c r="K265">
        <f>IFERROR(INDEX(tblDeviceConfig[PI_Validated_Date],ROW()-1),"")</f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</c>
      <c r="C266">
        <f>IFERROR(INDEX(tblDeviceConfig[Deployed],ROW()-1),"")</f>
      </c>
      <c r="D266">
        <f>IFERROR(INDEX(tblDeviceConfig[Installed],ROW()-1),"")</f>
      </c>
      <c r="E266">
        <f>IFERROR(INDEX(tblDeviceConfig[Cybernet Hostname],ROW()-1),"")</f>
      </c>
      <c r="F266">
        <f>IFERROR(INDEX(tblDeviceConfig[Neuron Hostname],ROW()-1),"")</f>
      </c>
      <c r="G266">
        <f>IFERROR(INDEX(tblDeviceConfig[Software List],ROW()-1),"")</f>
      </c>
      <c r="H266">
        <f>IFERROR(INDEX(tblDeviceConfig[PI_Use_Case],ROW()-1),"")</f>
      </c>
      <c r="I266">
        <f>IFERROR(INDEX(tblDeviceConfig[PI_Result],ROW()-1),"")</f>
      </c>
      <c r="J266">
        <f>IFERROR(INDEX(tblDeviceConfig[PI_Validated_By],ROW()-1),"")</f>
      </c>
      <c r="K266">
        <f>IFERROR(INDEX(tblDeviceConfig[PI_Validated_Date],ROW()-1),"")</f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</c>
      <c r="C267">
        <f>IFERROR(INDEX(tblDeviceConfig[Deployed],ROW()-1),"")</f>
      </c>
      <c r="D267">
        <f>IFERROR(INDEX(tblDeviceConfig[Installed],ROW()-1),"")</f>
      </c>
      <c r="E267">
        <f>IFERROR(INDEX(tblDeviceConfig[Cybernet Hostname],ROW()-1),"")</f>
      </c>
      <c r="F267">
        <f>IFERROR(INDEX(tblDeviceConfig[Neuron Hostname],ROW()-1),"")</f>
      </c>
      <c r="G267">
        <f>IFERROR(INDEX(tblDeviceConfig[Software List],ROW()-1),"")</f>
      </c>
      <c r="H267">
        <f>IFERROR(INDEX(tblDeviceConfig[PI_Use_Case],ROW()-1),"")</f>
      </c>
      <c r="I267">
        <f>IFERROR(INDEX(tblDeviceConfig[PI_Result],ROW()-1),"")</f>
      </c>
      <c r="J267">
        <f>IFERROR(INDEX(tblDeviceConfig[PI_Validated_By],ROW()-1),"")</f>
      </c>
      <c r="K267">
        <f>IFERROR(INDEX(tblDeviceConfig[PI_Validated_Date],ROW()-1),"")</f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</c>
      <c r="C268">
        <f>IFERROR(INDEX(tblDeviceConfig[Deployed],ROW()-1),"")</f>
      </c>
      <c r="D268">
        <f>IFERROR(INDEX(tblDeviceConfig[Installed],ROW()-1),"")</f>
      </c>
      <c r="E268">
        <f>IFERROR(INDEX(tblDeviceConfig[Cybernet Hostname],ROW()-1),"")</f>
      </c>
      <c r="F268">
        <f>IFERROR(INDEX(tblDeviceConfig[Neuron Hostname],ROW()-1),"")</f>
      </c>
      <c r="G268">
        <f>IFERROR(INDEX(tblDeviceConfig[Software List],ROW()-1),"")</f>
      </c>
      <c r="H268">
        <f>IFERROR(INDEX(tblDeviceConfig[PI_Use_Case],ROW()-1),"")</f>
      </c>
      <c r="I268">
        <f>IFERROR(INDEX(tblDeviceConfig[PI_Result],ROW()-1),"")</f>
      </c>
      <c r="J268">
        <f>IFERROR(INDEX(tblDeviceConfig[PI_Validated_By],ROW()-1),"")</f>
      </c>
      <c r="K268">
        <f>IFERROR(INDEX(tblDeviceConfig[PI_Validated_Date],ROW()-1),"")</f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</c>
      <c r="C269">
        <f>IFERROR(INDEX(tblDeviceConfig[Deployed],ROW()-1),"")</f>
      </c>
      <c r="D269">
        <f>IFERROR(INDEX(tblDeviceConfig[Installed],ROW()-1),"")</f>
      </c>
      <c r="E269">
        <f>IFERROR(INDEX(tblDeviceConfig[Cybernet Hostname],ROW()-1),"")</f>
      </c>
      <c r="F269">
        <f>IFERROR(INDEX(tblDeviceConfig[Neuron Hostname],ROW()-1),"")</f>
      </c>
      <c r="G269">
        <f>IFERROR(INDEX(tblDeviceConfig[Software List],ROW()-1),"")</f>
      </c>
      <c r="H269">
        <f>IFERROR(INDEX(tblDeviceConfig[PI_Use_Case],ROW()-1),"")</f>
      </c>
      <c r="I269">
        <f>IFERROR(INDEX(tblDeviceConfig[PI_Result],ROW()-1),"")</f>
      </c>
      <c r="J269">
        <f>IFERROR(INDEX(tblDeviceConfig[PI_Validated_By],ROW()-1),"")</f>
      </c>
      <c r="K269">
        <f>IFERROR(INDEX(tblDeviceConfig[PI_Validated_Date],ROW()-1),"")</f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</c>
      <c r="C270">
        <f>IFERROR(INDEX(tblDeviceConfig[Deployed],ROW()-1),"")</f>
      </c>
      <c r="D270">
        <f>IFERROR(INDEX(tblDeviceConfig[Installed],ROW()-1),"")</f>
      </c>
      <c r="E270">
        <f>IFERROR(INDEX(tblDeviceConfig[Cybernet Hostname],ROW()-1),"")</f>
      </c>
      <c r="F270">
        <f>IFERROR(INDEX(tblDeviceConfig[Neuron Hostname],ROW()-1),"")</f>
      </c>
      <c r="G270">
        <f>IFERROR(INDEX(tblDeviceConfig[Software List],ROW()-1),"")</f>
      </c>
      <c r="H270">
        <f>IFERROR(INDEX(tblDeviceConfig[PI_Use_Case],ROW()-1),"")</f>
      </c>
      <c r="I270">
        <f>IFERROR(INDEX(tblDeviceConfig[PI_Result],ROW()-1),"")</f>
      </c>
      <c r="J270">
        <f>IFERROR(INDEX(tblDeviceConfig[PI_Validated_By],ROW()-1),"")</f>
      </c>
      <c r="K270">
        <f>IFERROR(INDEX(tblDeviceConfig[PI_Validated_Date],ROW()-1),"")</f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</c>
      <c r="C271">
        <f>IFERROR(INDEX(tblDeviceConfig[Deployed],ROW()-1),"")</f>
      </c>
      <c r="D271">
        <f>IFERROR(INDEX(tblDeviceConfig[Installed],ROW()-1),"")</f>
      </c>
      <c r="E271">
        <f>IFERROR(INDEX(tblDeviceConfig[Cybernet Hostname],ROW()-1),"")</f>
      </c>
      <c r="F271">
        <f>IFERROR(INDEX(tblDeviceConfig[Neuron Hostname],ROW()-1),"")</f>
      </c>
      <c r="G271">
        <f>IFERROR(INDEX(tblDeviceConfig[Software List],ROW()-1),"")</f>
      </c>
      <c r="H271">
        <f>IFERROR(INDEX(tblDeviceConfig[PI_Use_Case],ROW()-1),"")</f>
      </c>
      <c r="I271">
        <f>IFERROR(INDEX(tblDeviceConfig[PI_Result],ROW()-1),"")</f>
      </c>
      <c r="J271">
        <f>IFERROR(INDEX(tblDeviceConfig[PI_Validated_By],ROW()-1),"")</f>
      </c>
      <c r="K271">
        <f>IFERROR(INDEX(tblDeviceConfig[PI_Validated_Date],ROW()-1),"")</f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</c>
      <c r="C272">
        <f>IFERROR(INDEX(tblDeviceConfig[Deployed],ROW()-1),"")</f>
      </c>
      <c r="D272">
        <f>IFERROR(INDEX(tblDeviceConfig[Installed],ROW()-1),"")</f>
      </c>
      <c r="E272">
        <f>IFERROR(INDEX(tblDeviceConfig[Cybernet Hostname],ROW()-1),"")</f>
      </c>
      <c r="F272">
        <f>IFERROR(INDEX(tblDeviceConfig[Neuron Hostname],ROW()-1),"")</f>
      </c>
      <c r="G272">
        <f>IFERROR(INDEX(tblDeviceConfig[Software List],ROW()-1),"")</f>
      </c>
      <c r="H272">
        <f>IFERROR(INDEX(tblDeviceConfig[PI_Use_Case],ROW()-1),"")</f>
      </c>
      <c r="I272">
        <f>IFERROR(INDEX(tblDeviceConfig[PI_Result],ROW()-1),"")</f>
      </c>
      <c r="J272">
        <f>IFERROR(INDEX(tblDeviceConfig[PI_Validated_By],ROW()-1),"")</f>
      </c>
      <c r="K272">
        <f>IFERROR(INDEX(tblDeviceConfig[PI_Validated_Date],ROW()-1),"")</f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</c>
      <c r="C273">
        <f>IFERROR(INDEX(tblDeviceConfig[Deployed],ROW()-1),"")</f>
      </c>
      <c r="D273">
        <f>IFERROR(INDEX(tblDeviceConfig[Installed],ROW()-1),"")</f>
      </c>
      <c r="E273">
        <f>IFERROR(INDEX(tblDeviceConfig[Cybernet Hostname],ROW()-1),"")</f>
      </c>
      <c r="F273">
        <f>IFERROR(INDEX(tblDeviceConfig[Neuron Hostname],ROW()-1),"")</f>
      </c>
      <c r="G273">
        <f>IFERROR(INDEX(tblDeviceConfig[Software List],ROW()-1),"")</f>
      </c>
      <c r="H273">
        <f>IFERROR(INDEX(tblDeviceConfig[PI_Use_Case],ROW()-1),"")</f>
      </c>
      <c r="I273">
        <f>IFERROR(INDEX(tblDeviceConfig[PI_Result],ROW()-1),"")</f>
      </c>
      <c r="J273">
        <f>IFERROR(INDEX(tblDeviceConfig[PI_Validated_By],ROW()-1),"")</f>
      </c>
      <c r="K273">
        <f>IFERROR(INDEX(tblDeviceConfig[PI_Validated_Date],ROW()-1),"")</f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</c>
      <c r="C274">
        <f>IFERROR(INDEX(tblDeviceConfig[Deployed],ROW()-1),"")</f>
      </c>
      <c r="D274">
        <f>IFERROR(INDEX(tblDeviceConfig[Installed],ROW()-1),"")</f>
      </c>
      <c r="E274">
        <f>IFERROR(INDEX(tblDeviceConfig[Cybernet Hostname],ROW()-1),"")</f>
      </c>
      <c r="F274">
        <f>IFERROR(INDEX(tblDeviceConfig[Neuron Hostname],ROW()-1),"")</f>
      </c>
      <c r="G274">
        <f>IFERROR(INDEX(tblDeviceConfig[Software List],ROW()-1),"")</f>
      </c>
      <c r="H274">
        <f>IFERROR(INDEX(tblDeviceConfig[PI_Use_Case],ROW()-1),"")</f>
      </c>
      <c r="I274">
        <f>IFERROR(INDEX(tblDeviceConfig[PI_Result],ROW()-1),"")</f>
      </c>
      <c r="J274">
        <f>IFERROR(INDEX(tblDeviceConfig[PI_Validated_By],ROW()-1),"")</f>
      </c>
      <c r="K274">
        <f>IFERROR(INDEX(tblDeviceConfig[PI_Validated_Date],ROW()-1),"")</f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</c>
      <c r="C275">
        <f>IFERROR(INDEX(tblDeviceConfig[Deployed],ROW()-1),"")</f>
      </c>
      <c r="D275">
        <f>IFERROR(INDEX(tblDeviceConfig[Installed],ROW()-1),"")</f>
      </c>
      <c r="E275">
        <f>IFERROR(INDEX(tblDeviceConfig[Cybernet Hostname],ROW()-1),"")</f>
      </c>
      <c r="F275">
        <f>IFERROR(INDEX(tblDeviceConfig[Neuron Hostname],ROW()-1),"")</f>
      </c>
      <c r="G275">
        <f>IFERROR(INDEX(tblDeviceConfig[Software List],ROW()-1),"")</f>
      </c>
      <c r="H275">
        <f>IFERROR(INDEX(tblDeviceConfig[PI_Use_Case],ROW()-1),"")</f>
      </c>
      <c r="I275">
        <f>IFERROR(INDEX(tblDeviceConfig[PI_Result],ROW()-1),"")</f>
      </c>
      <c r="J275">
        <f>IFERROR(INDEX(tblDeviceConfig[PI_Validated_By],ROW()-1),"")</f>
      </c>
      <c r="K275">
        <f>IFERROR(INDEX(tblDeviceConfig[PI_Validated_Date],ROW()-1),"")</f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</c>
      <c r="C276">
        <f>IFERROR(INDEX(tblDeviceConfig[Deployed],ROW()-1),"")</f>
      </c>
      <c r="D276">
        <f>IFERROR(INDEX(tblDeviceConfig[Installed],ROW()-1),"")</f>
      </c>
      <c r="E276">
        <f>IFERROR(INDEX(tblDeviceConfig[Cybernet Hostname],ROW()-1),"")</f>
      </c>
      <c r="F276">
        <f>IFERROR(INDEX(tblDeviceConfig[Neuron Hostname],ROW()-1),"")</f>
      </c>
      <c r="G276">
        <f>IFERROR(INDEX(tblDeviceConfig[Software List],ROW()-1),"")</f>
      </c>
      <c r="H276">
        <f>IFERROR(INDEX(tblDeviceConfig[PI_Use_Case],ROW()-1),"")</f>
      </c>
      <c r="I276">
        <f>IFERROR(INDEX(tblDeviceConfig[PI_Result],ROW()-1),"")</f>
      </c>
      <c r="J276">
        <f>IFERROR(INDEX(tblDeviceConfig[PI_Validated_By],ROW()-1),"")</f>
      </c>
      <c r="K276">
        <f>IFERROR(INDEX(tblDeviceConfig[PI_Validated_Date],ROW()-1),"")</f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</c>
      <c r="C277">
        <f>IFERROR(INDEX(tblDeviceConfig[Deployed],ROW()-1),"")</f>
      </c>
      <c r="D277">
        <f>IFERROR(INDEX(tblDeviceConfig[Installed],ROW()-1),"")</f>
      </c>
      <c r="E277">
        <f>IFERROR(INDEX(tblDeviceConfig[Cybernet Hostname],ROW()-1),"")</f>
      </c>
      <c r="F277">
        <f>IFERROR(INDEX(tblDeviceConfig[Neuron Hostname],ROW()-1),"")</f>
      </c>
      <c r="G277">
        <f>IFERROR(INDEX(tblDeviceConfig[Software List],ROW()-1),"")</f>
      </c>
      <c r="H277">
        <f>IFERROR(INDEX(tblDeviceConfig[PI_Use_Case],ROW()-1),"")</f>
      </c>
      <c r="I277">
        <f>IFERROR(INDEX(tblDeviceConfig[PI_Result],ROW()-1),"")</f>
      </c>
      <c r="J277">
        <f>IFERROR(INDEX(tblDeviceConfig[PI_Validated_By],ROW()-1),"")</f>
      </c>
      <c r="K277">
        <f>IFERROR(INDEX(tblDeviceConfig[PI_Validated_Date],ROW()-1),"")</f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</c>
      <c r="C278">
        <f>IFERROR(INDEX(tblDeviceConfig[Deployed],ROW()-1),"")</f>
      </c>
      <c r="D278">
        <f>IFERROR(INDEX(tblDeviceConfig[Installed],ROW()-1),"")</f>
      </c>
      <c r="E278">
        <f>IFERROR(INDEX(tblDeviceConfig[Cybernet Hostname],ROW()-1),"")</f>
      </c>
      <c r="F278">
        <f>IFERROR(INDEX(tblDeviceConfig[Neuron Hostname],ROW()-1),"")</f>
      </c>
      <c r="G278">
        <f>IFERROR(INDEX(tblDeviceConfig[Software List],ROW()-1),"")</f>
      </c>
      <c r="H278">
        <f>IFERROR(INDEX(tblDeviceConfig[PI_Use_Case],ROW()-1),"")</f>
      </c>
      <c r="I278">
        <f>IFERROR(INDEX(tblDeviceConfig[PI_Result],ROW()-1),"")</f>
      </c>
      <c r="J278">
        <f>IFERROR(INDEX(tblDeviceConfig[PI_Validated_By],ROW()-1),"")</f>
      </c>
      <c r="K278">
        <f>IFERROR(INDEX(tblDeviceConfig[PI_Validated_Date],ROW()-1),"")</f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</c>
      <c r="C279">
        <f>IFERROR(INDEX(tblDeviceConfig[Deployed],ROW()-1),"")</f>
      </c>
      <c r="D279">
        <f>IFERROR(INDEX(tblDeviceConfig[Installed],ROW()-1),"")</f>
      </c>
      <c r="E279">
        <f>IFERROR(INDEX(tblDeviceConfig[Cybernet Hostname],ROW()-1),"")</f>
      </c>
      <c r="F279">
        <f>IFERROR(INDEX(tblDeviceConfig[Neuron Hostname],ROW()-1),"")</f>
      </c>
      <c r="G279">
        <f>IFERROR(INDEX(tblDeviceConfig[Software List],ROW()-1),"")</f>
      </c>
      <c r="H279">
        <f>IFERROR(INDEX(tblDeviceConfig[PI_Use_Case],ROW()-1),"")</f>
      </c>
      <c r="I279">
        <f>IFERROR(INDEX(tblDeviceConfig[PI_Result],ROW()-1),"")</f>
      </c>
      <c r="J279">
        <f>IFERROR(INDEX(tblDeviceConfig[PI_Validated_By],ROW()-1),"")</f>
      </c>
      <c r="K279">
        <f>IFERROR(INDEX(tblDeviceConfig[PI_Validated_Date],ROW()-1),"")</f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</c>
      <c r="C280">
        <f>IFERROR(INDEX(tblDeviceConfig[Deployed],ROW()-1),"")</f>
      </c>
      <c r="D280">
        <f>IFERROR(INDEX(tblDeviceConfig[Installed],ROW()-1),"")</f>
      </c>
      <c r="E280">
        <f>IFERROR(INDEX(tblDeviceConfig[Cybernet Hostname],ROW()-1),"")</f>
      </c>
      <c r="F280">
        <f>IFERROR(INDEX(tblDeviceConfig[Neuron Hostname],ROW()-1),"")</f>
      </c>
      <c r="G280">
        <f>IFERROR(INDEX(tblDeviceConfig[Software List],ROW()-1),"")</f>
      </c>
      <c r="H280">
        <f>IFERROR(INDEX(tblDeviceConfig[PI_Use_Case],ROW()-1),"")</f>
      </c>
      <c r="I280">
        <f>IFERROR(INDEX(tblDeviceConfig[PI_Result],ROW()-1),"")</f>
      </c>
      <c r="J280">
        <f>IFERROR(INDEX(tblDeviceConfig[PI_Validated_By],ROW()-1),"")</f>
      </c>
      <c r="K280">
        <f>IFERROR(INDEX(tblDeviceConfig[PI_Validated_Date],ROW()-1),"")</f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</c>
      <c r="C281">
        <f>IFERROR(INDEX(tblDeviceConfig[Deployed],ROW()-1),"")</f>
      </c>
      <c r="D281">
        <f>IFERROR(INDEX(tblDeviceConfig[Installed],ROW()-1),"")</f>
      </c>
      <c r="E281">
        <f>IFERROR(INDEX(tblDeviceConfig[Cybernet Hostname],ROW()-1),"")</f>
      </c>
      <c r="F281">
        <f>IFERROR(INDEX(tblDeviceConfig[Neuron Hostname],ROW()-1),"")</f>
      </c>
      <c r="G281">
        <f>IFERROR(INDEX(tblDeviceConfig[Software List],ROW()-1),"")</f>
      </c>
      <c r="H281">
        <f>IFERROR(INDEX(tblDeviceConfig[PI_Use_Case],ROW()-1),"")</f>
      </c>
      <c r="I281">
        <f>IFERROR(INDEX(tblDeviceConfig[PI_Result],ROW()-1),"")</f>
      </c>
      <c r="J281">
        <f>IFERROR(INDEX(tblDeviceConfig[PI_Validated_By],ROW()-1),"")</f>
      </c>
      <c r="K281">
        <f>IFERROR(INDEX(tblDeviceConfig[PI_Validated_Date],ROW()-1),"")</f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</c>
      <c r="C282">
        <f>IFERROR(INDEX(tblDeviceConfig[Deployed],ROW()-1),"")</f>
      </c>
      <c r="D282">
        <f>IFERROR(INDEX(tblDeviceConfig[Installed],ROW()-1),"")</f>
      </c>
      <c r="E282">
        <f>IFERROR(INDEX(tblDeviceConfig[Cybernet Hostname],ROW()-1),"")</f>
      </c>
      <c r="F282">
        <f>IFERROR(INDEX(tblDeviceConfig[Neuron Hostname],ROW()-1),"")</f>
      </c>
      <c r="G282">
        <f>IFERROR(INDEX(tblDeviceConfig[Software List],ROW()-1),"")</f>
      </c>
      <c r="H282">
        <f>IFERROR(INDEX(tblDeviceConfig[PI_Use_Case],ROW()-1),"")</f>
      </c>
      <c r="I282">
        <f>IFERROR(INDEX(tblDeviceConfig[PI_Result],ROW()-1),"")</f>
      </c>
      <c r="J282">
        <f>IFERROR(INDEX(tblDeviceConfig[PI_Validated_By],ROW()-1),"")</f>
      </c>
      <c r="K282">
        <f>IFERROR(INDEX(tblDeviceConfig[PI_Validated_Date],ROW()-1),"")</f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</c>
      <c r="C283">
        <f>IFERROR(INDEX(tblDeviceConfig[Deployed],ROW()-1),"")</f>
      </c>
      <c r="D283">
        <f>IFERROR(INDEX(tblDeviceConfig[Installed],ROW()-1),"")</f>
      </c>
      <c r="E283">
        <f>IFERROR(INDEX(tblDeviceConfig[Cybernet Hostname],ROW()-1),"")</f>
      </c>
      <c r="F283">
        <f>IFERROR(INDEX(tblDeviceConfig[Neuron Hostname],ROW()-1),"")</f>
      </c>
      <c r="G283">
        <f>IFERROR(INDEX(tblDeviceConfig[Software List],ROW()-1),"")</f>
      </c>
      <c r="H283">
        <f>IFERROR(INDEX(tblDeviceConfig[PI_Use_Case],ROW()-1),"")</f>
      </c>
      <c r="I283">
        <f>IFERROR(INDEX(tblDeviceConfig[PI_Result],ROW()-1),"")</f>
      </c>
      <c r="J283">
        <f>IFERROR(INDEX(tblDeviceConfig[PI_Validated_By],ROW()-1),"")</f>
      </c>
      <c r="K283">
        <f>IFERROR(INDEX(tblDeviceConfig[PI_Validated_Date],ROW()-1),"")</f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</c>
      <c r="C284">
        <f>IFERROR(INDEX(tblDeviceConfig[Deployed],ROW()-1),"")</f>
      </c>
      <c r="D284">
        <f>IFERROR(INDEX(tblDeviceConfig[Installed],ROW()-1),"")</f>
      </c>
      <c r="E284">
        <f>IFERROR(INDEX(tblDeviceConfig[Cybernet Hostname],ROW()-1),"")</f>
      </c>
      <c r="F284">
        <f>IFERROR(INDEX(tblDeviceConfig[Neuron Hostname],ROW()-1),"")</f>
      </c>
      <c r="G284">
        <f>IFERROR(INDEX(tblDeviceConfig[Software List],ROW()-1),"")</f>
      </c>
      <c r="H284">
        <f>IFERROR(INDEX(tblDeviceConfig[PI_Use_Case],ROW()-1),"")</f>
      </c>
      <c r="I284">
        <f>IFERROR(INDEX(tblDeviceConfig[PI_Result],ROW()-1),"")</f>
      </c>
      <c r="J284">
        <f>IFERROR(INDEX(tblDeviceConfig[PI_Validated_By],ROW()-1),"")</f>
      </c>
      <c r="K284">
        <f>IFERROR(INDEX(tblDeviceConfig[PI_Validated_Date],ROW()-1),"")</f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</c>
      <c r="C285">
        <f>IFERROR(INDEX(tblDeviceConfig[Deployed],ROW()-1),"")</f>
      </c>
      <c r="D285">
        <f>IFERROR(INDEX(tblDeviceConfig[Installed],ROW()-1),"")</f>
      </c>
      <c r="E285">
        <f>IFERROR(INDEX(tblDeviceConfig[Cybernet Hostname],ROW()-1),"")</f>
      </c>
      <c r="F285">
        <f>IFERROR(INDEX(tblDeviceConfig[Neuron Hostname],ROW()-1),"")</f>
      </c>
      <c r="G285">
        <f>IFERROR(INDEX(tblDeviceConfig[Software List],ROW()-1),"")</f>
      </c>
      <c r="H285">
        <f>IFERROR(INDEX(tblDeviceConfig[PI_Use_Case],ROW()-1),"")</f>
      </c>
      <c r="I285">
        <f>IFERROR(INDEX(tblDeviceConfig[PI_Result],ROW()-1),"")</f>
      </c>
      <c r="J285">
        <f>IFERROR(INDEX(tblDeviceConfig[PI_Validated_By],ROW()-1),"")</f>
      </c>
      <c r="K285">
        <f>IFERROR(INDEX(tblDeviceConfig[PI_Validated_Date],ROW()-1),"")</f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</c>
      <c r="C286">
        <f>IFERROR(INDEX(tblDeviceConfig[Deployed],ROW()-1),"")</f>
      </c>
      <c r="D286">
        <f>IFERROR(INDEX(tblDeviceConfig[Installed],ROW()-1),"")</f>
      </c>
      <c r="E286">
        <f>IFERROR(INDEX(tblDeviceConfig[Cybernet Hostname],ROW()-1),"")</f>
      </c>
      <c r="F286">
        <f>IFERROR(INDEX(tblDeviceConfig[Neuron Hostname],ROW()-1),"")</f>
      </c>
      <c r="G286">
        <f>IFERROR(INDEX(tblDeviceConfig[Software List],ROW()-1),"")</f>
      </c>
      <c r="H286">
        <f>IFERROR(INDEX(tblDeviceConfig[PI_Use_Case],ROW()-1),"")</f>
      </c>
      <c r="I286">
        <f>IFERROR(INDEX(tblDeviceConfig[PI_Result],ROW()-1),"")</f>
      </c>
      <c r="J286">
        <f>IFERROR(INDEX(tblDeviceConfig[PI_Validated_By],ROW()-1),"")</f>
      </c>
      <c r="K286">
        <f>IFERROR(INDEX(tblDeviceConfig[PI_Validated_Date],ROW()-1),"")</f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</c>
      <c r="C287">
        <f>IFERROR(INDEX(tblDeviceConfig[Deployed],ROW()-1),"")</f>
      </c>
      <c r="D287">
        <f>IFERROR(INDEX(tblDeviceConfig[Installed],ROW()-1),"")</f>
      </c>
      <c r="E287">
        <f>IFERROR(INDEX(tblDeviceConfig[Cybernet Hostname],ROW()-1),"")</f>
      </c>
      <c r="F287">
        <f>IFERROR(INDEX(tblDeviceConfig[Neuron Hostname],ROW()-1),"")</f>
      </c>
      <c r="G287">
        <f>IFERROR(INDEX(tblDeviceConfig[Software List],ROW()-1),"")</f>
      </c>
      <c r="H287">
        <f>IFERROR(INDEX(tblDeviceConfig[PI_Use_Case],ROW()-1),"")</f>
      </c>
      <c r="I287">
        <f>IFERROR(INDEX(tblDeviceConfig[PI_Result],ROW()-1),"")</f>
      </c>
      <c r="J287">
        <f>IFERROR(INDEX(tblDeviceConfig[PI_Validated_By],ROW()-1),"")</f>
      </c>
      <c r="K287">
        <f>IFERROR(INDEX(tblDeviceConfig[PI_Validated_Date],ROW()-1),"")</f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</c>
      <c r="C288">
        <f>IFERROR(INDEX(tblDeviceConfig[Deployed],ROW()-1),"")</f>
      </c>
      <c r="D288">
        <f>IFERROR(INDEX(tblDeviceConfig[Installed],ROW()-1),"")</f>
      </c>
      <c r="E288">
        <f>IFERROR(INDEX(tblDeviceConfig[Cybernet Hostname],ROW()-1),"")</f>
      </c>
      <c r="F288">
        <f>IFERROR(INDEX(tblDeviceConfig[Neuron Hostname],ROW()-1),"")</f>
      </c>
      <c r="G288">
        <f>IFERROR(INDEX(tblDeviceConfig[Software List],ROW()-1),"")</f>
      </c>
      <c r="H288">
        <f>IFERROR(INDEX(tblDeviceConfig[PI_Use_Case],ROW()-1),"")</f>
      </c>
      <c r="I288">
        <f>IFERROR(INDEX(tblDeviceConfig[PI_Result],ROW()-1),"")</f>
      </c>
      <c r="J288">
        <f>IFERROR(INDEX(tblDeviceConfig[PI_Validated_By],ROW()-1),"")</f>
      </c>
      <c r="K288">
        <f>IFERROR(INDEX(tblDeviceConfig[PI_Validated_Date],ROW()-1),"")</f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</c>
      <c r="C289">
        <f>IFERROR(INDEX(tblDeviceConfig[Deployed],ROW()-1),"")</f>
      </c>
      <c r="D289">
        <f>IFERROR(INDEX(tblDeviceConfig[Installed],ROW()-1),"")</f>
      </c>
      <c r="E289">
        <f>IFERROR(INDEX(tblDeviceConfig[Cybernet Hostname],ROW()-1),"")</f>
      </c>
      <c r="F289">
        <f>IFERROR(INDEX(tblDeviceConfig[Neuron Hostname],ROW()-1),"")</f>
      </c>
      <c r="G289">
        <f>IFERROR(INDEX(tblDeviceConfig[Software List],ROW()-1),"")</f>
      </c>
      <c r="H289">
        <f>IFERROR(INDEX(tblDeviceConfig[PI_Use_Case],ROW()-1),"")</f>
      </c>
      <c r="I289">
        <f>IFERROR(INDEX(tblDeviceConfig[PI_Result],ROW()-1),"")</f>
      </c>
      <c r="J289">
        <f>IFERROR(INDEX(tblDeviceConfig[PI_Validated_By],ROW()-1),"")</f>
      </c>
      <c r="K289">
        <f>IFERROR(INDEX(tblDeviceConfig[PI_Validated_Date],ROW()-1),"")</f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</c>
      <c r="C290">
        <f>IFERROR(INDEX(tblDeviceConfig[Deployed],ROW()-1),"")</f>
      </c>
      <c r="D290">
        <f>IFERROR(INDEX(tblDeviceConfig[Installed],ROW()-1),"")</f>
      </c>
      <c r="E290">
        <f>IFERROR(INDEX(tblDeviceConfig[Cybernet Hostname],ROW()-1),"")</f>
      </c>
      <c r="F290">
        <f>IFERROR(INDEX(tblDeviceConfig[Neuron Hostname],ROW()-1),"")</f>
      </c>
      <c r="G290">
        <f>IFERROR(INDEX(tblDeviceConfig[Software List],ROW()-1),"")</f>
      </c>
      <c r="H290">
        <f>IFERROR(INDEX(tblDeviceConfig[PI_Use_Case],ROW()-1),"")</f>
      </c>
      <c r="I290">
        <f>IFERROR(INDEX(tblDeviceConfig[PI_Result],ROW()-1),"")</f>
      </c>
      <c r="J290">
        <f>IFERROR(INDEX(tblDeviceConfig[PI_Validated_By],ROW()-1),"")</f>
      </c>
      <c r="K290">
        <f>IFERROR(INDEX(tblDeviceConfig[PI_Validated_Date],ROW()-1),"")</f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</c>
      <c r="C291">
        <f>IFERROR(INDEX(tblDeviceConfig[Deployed],ROW()-1),"")</f>
      </c>
      <c r="D291">
        <f>IFERROR(INDEX(tblDeviceConfig[Installed],ROW()-1),"")</f>
      </c>
      <c r="E291">
        <f>IFERROR(INDEX(tblDeviceConfig[Cybernet Hostname],ROW()-1),"")</f>
      </c>
      <c r="F291">
        <f>IFERROR(INDEX(tblDeviceConfig[Neuron Hostname],ROW()-1),"")</f>
      </c>
      <c r="G291">
        <f>IFERROR(INDEX(tblDeviceConfig[Software List],ROW()-1),"")</f>
      </c>
      <c r="H291">
        <f>IFERROR(INDEX(tblDeviceConfig[PI_Use_Case],ROW()-1),"")</f>
      </c>
      <c r="I291">
        <f>IFERROR(INDEX(tblDeviceConfig[PI_Result],ROW()-1),"")</f>
      </c>
      <c r="J291">
        <f>IFERROR(INDEX(tblDeviceConfig[PI_Validated_By],ROW()-1),"")</f>
      </c>
      <c r="K291">
        <f>IFERROR(INDEX(tblDeviceConfig[PI_Validated_Date],ROW()-1),"")</f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</c>
      <c r="C292">
        <f>IFERROR(INDEX(tblDeviceConfig[Deployed],ROW()-1),"")</f>
      </c>
      <c r="D292">
        <f>IFERROR(INDEX(tblDeviceConfig[Installed],ROW()-1),"")</f>
      </c>
      <c r="E292">
        <f>IFERROR(INDEX(tblDeviceConfig[Cybernet Hostname],ROW()-1),"")</f>
      </c>
      <c r="F292">
        <f>IFERROR(INDEX(tblDeviceConfig[Neuron Hostname],ROW()-1),"")</f>
      </c>
      <c r="G292">
        <f>IFERROR(INDEX(tblDeviceConfig[Software List],ROW()-1),"")</f>
      </c>
      <c r="H292">
        <f>IFERROR(INDEX(tblDeviceConfig[PI_Use_Case],ROW()-1),"")</f>
      </c>
      <c r="I292">
        <f>IFERROR(INDEX(tblDeviceConfig[PI_Result],ROW()-1),"")</f>
      </c>
      <c r="J292">
        <f>IFERROR(INDEX(tblDeviceConfig[PI_Validated_By],ROW()-1),"")</f>
      </c>
      <c r="K292">
        <f>IFERROR(INDEX(tblDeviceConfig[PI_Validated_Date],ROW()-1),"")</f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</c>
      <c r="C293">
        <f>IFERROR(INDEX(tblDeviceConfig[Deployed],ROW()-1),"")</f>
      </c>
      <c r="D293">
        <f>IFERROR(INDEX(tblDeviceConfig[Installed],ROW()-1),"")</f>
      </c>
      <c r="E293">
        <f>IFERROR(INDEX(tblDeviceConfig[Cybernet Hostname],ROW()-1),"")</f>
      </c>
      <c r="F293">
        <f>IFERROR(INDEX(tblDeviceConfig[Neuron Hostname],ROW()-1),"")</f>
      </c>
      <c r="G293">
        <f>IFERROR(INDEX(tblDeviceConfig[Software List],ROW()-1),"")</f>
      </c>
      <c r="H293">
        <f>IFERROR(INDEX(tblDeviceConfig[PI_Use_Case],ROW()-1),"")</f>
      </c>
      <c r="I293">
        <f>IFERROR(INDEX(tblDeviceConfig[PI_Result],ROW()-1),"")</f>
      </c>
      <c r="J293">
        <f>IFERROR(INDEX(tblDeviceConfig[PI_Validated_By],ROW()-1),"")</f>
      </c>
      <c r="K293">
        <f>IFERROR(INDEX(tblDeviceConfig[PI_Validated_Date],ROW()-1),"")</f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</c>
      <c r="C294">
        <f>IFERROR(INDEX(tblDeviceConfig[Deployed],ROW()-1),"")</f>
      </c>
      <c r="D294">
        <f>IFERROR(INDEX(tblDeviceConfig[Installed],ROW()-1),"")</f>
      </c>
      <c r="E294">
        <f>IFERROR(INDEX(tblDeviceConfig[Cybernet Hostname],ROW()-1),"")</f>
      </c>
      <c r="F294">
        <f>IFERROR(INDEX(tblDeviceConfig[Neuron Hostname],ROW()-1),"")</f>
      </c>
      <c r="G294">
        <f>IFERROR(INDEX(tblDeviceConfig[Software List],ROW()-1),"")</f>
      </c>
      <c r="H294">
        <f>IFERROR(INDEX(tblDeviceConfig[PI_Use_Case],ROW()-1),"")</f>
      </c>
      <c r="I294">
        <f>IFERROR(INDEX(tblDeviceConfig[PI_Result],ROW()-1),"")</f>
      </c>
      <c r="J294">
        <f>IFERROR(INDEX(tblDeviceConfig[PI_Validated_By],ROW()-1),"")</f>
      </c>
      <c r="K294">
        <f>IFERROR(INDEX(tblDeviceConfig[PI_Validated_Date],ROW()-1),"")</f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</c>
      <c r="C295">
        <f>IFERROR(INDEX(tblDeviceConfig[Deployed],ROW()-1),"")</f>
      </c>
      <c r="D295">
        <f>IFERROR(INDEX(tblDeviceConfig[Installed],ROW()-1),"")</f>
      </c>
      <c r="E295">
        <f>IFERROR(INDEX(tblDeviceConfig[Cybernet Hostname],ROW()-1),"")</f>
      </c>
      <c r="F295">
        <f>IFERROR(INDEX(tblDeviceConfig[Neuron Hostname],ROW()-1),"")</f>
      </c>
      <c r="G295">
        <f>IFERROR(INDEX(tblDeviceConfig[Software List],ROW()-1),"")</f>
      </c>
      <c r="H295">
        <f>IFERROR(INDEX(tblDeviceConfig[PI_Use_Case],ROW()-1),"")</f>
      </c>
      <c r="I295">
        <f>IFERROR(INDEX(tblDeviceConfig[PI_Result],ROW()-1),"")</f>
      </c>
      <c r="J295">
        <f>IFERROR(INDEX(tblDeviceConfig[PI_Validated_By],ROW()-1),"")</f>
      </c>
      <c r="K295">
        <f>IFERROR(INDEX(tblDeviceConfig[PI_Validated_Date],ROW()-1),"")</f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</c>
      <c r="C296">
        <f>IFERROR(INDEX(tblDeviceConfig[Deployed],ROW()-1),"")</f>
      </c>
      <c r="D296">
        <f>IFERROR(INDEX(tblDeviceConfig[Installed],ROW()-1),"")</f>
      </c>
      <c r="E296">
        <f>IFERROR(INDEX(tblDeviceConfig[Cybernet Hostname],ROW()-1),"")</f>
      </c>
      <c r="F296">
        <f>IFERROR(INDEX(tblDeviceConfig[Neuron Hostname],ROW()-1),"")</f>
      </c>
      <c r="G296">
        <f>IFERROR(INDEX(tblDeviceConfig[Software List],ROW()-1),"")</f>
      </c>
      <c r="H296">
        <f>IFERROR(INDEX(tblDeviceConfig[PI_Use_Case],ROW()-1),"")</f>
      </c>
      <c r="I296">
        <f>IFERROR(INDEX(tblDeviceConfig[PI_Result],ROW()-1),"")</f>
      </c>
      <c r="J296">
        <f>IFERROR(INDEX(tblDeviceConfig[PI_Validated_By],ROW()-1),"")</f>
      </c>
      <c r="K296">
        <f>IFERROR(INDEX(tblDeviceConfig[PI_Validated_Date],ROW()-1),"")</f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</c>
      <c r="C297">
        <f>IFERROR(INDEX(tblDeviceConfig[Deployed],ROW()-1),"")</f>
      </c>
      <c r="D297">
        <f>IFERROR(INDEX(tblDeviceConfig[Installed],ROW()-1),"")</f>
      </c>
      <c r="E297">
        <f>IFERROR(INDEX(tblDeviceConfig[Cybernet Hostname],ROW()-1),"")</f>
      </c>
      <c r="F297">
        <f>IFERROR(INDEX(tblDeviceConfig[Neuron Hostname],ROW()-1),"")</f>
      </c>
      <c r="G297">
        <f>IFERROR(INDEX(tblDeviceConfig[Software List],ROW()-1),"")</f>
      </c>
      <c r="H297">
        <f>IFERROR(INDEX(tblDeviceConfig[PI_Use_Case],ROW()-1),"")</f>
      </c>
      <c r="I297">
        <f>IFERROR(INDEX(tblDeviceConfig[PI_Result],ROW()-1),"")</f>
      </c>
      <c r="J297">
        <f>IFERROR(INDEX(tblDeviceConfig[PI_Validated_By],ROW()-1),"")</f>
      </c>
      <c r="K297">
        <f>IFERROR(INDEX(tblDeviceConfig[PI_Validated_Date],ROW()-1),"")</f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</c>
      <c r="C298">
        <f>IFERROR(INDEX(tblDeviceConfig[Deployed],ROW()-1),"")</f>
      </c>
      <c r="D298">
        <f>IFERROR(INDEX(tblDeviceConfig[Installed],ROW()-1),"")</f>
      </c>
      <c r="E298">
        <f>IFERROR(INDEX(tblDeviceConfig[Cybernet Hostname],ROW()-1),"")</f>
      </c>
      <c r="F298">
        <f>IFERROR(INDEX(tblDeviceConfig[Neuron Hostname],ROW()-1),"")</f>
      </c>
      <c r="G298">
        <f>IFERROR(INDEX(tblDeviceConfig[Software List],ROW()-1),"")</f>
      </c>
      <c r="H298">
        <f>IFERROR(INDEX(tblDeviceConfig[PI_Use_Case],ROW()-1),"")</f>
      </c>
      <c r="I298">
        <f>IFERROR(INDEX(tblDeviceConfig[PI_Result],ROW()-1),"")</f>
      </c>
      <c r="J298">
        <f>IFERROR(INDEX(tblDeviceConfig[PI_Validated_By],ROW()-1),"")</f>
      </c>
      <c r="K298">
        <f>IFERROR(INDEX(tblDeviceConfig[PI_Validated_Date],ROW()-1),"")</f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</c>
      <c r="C299">
        <f>IFERROR(INDEX(tblDeviceConfig[Deployed],ROW()-1),"")</f>
      </c>
      <c r="D299">
        <f>IFERROR(INDEX(tblDeviceConfig[Installed],ROW()-1),"")</f>
      </c>
      <c r="E299">
        <f>IFERROR(INDEX(tblDeviceConfig[Cybernet Hostname],ROW()-1),"")</f>
      </c>
      <c r="F299">
        <f>IFERROR(INDEX(tblDeviceConfig[Neuron Hostname],ROW()-1),"")</f>
      </c>
      <c r="G299">
        <f>IFERROR(INDEX(tblDeviceConfig[Software List],ROW()-1),"")</f>
      </c>
      <c r="H299">
        <f>IFERROR(INDEX(tblDeviceConfig[PI_Use_Case],ROW()-1),"")</f>
      </c>
      <c r="I299">
        <f>IFERROR(INDEX(tblDeviceConfig[PI_Result],ROW()-1),"")</f>
      </c>
      <c r="J299">
        <f>IFERROR(INDEX(tblDeviceConfig[PI_Validated_By],ROW()-1),"")</f>
      </c>
      <c r="K299">
        <f>IFERROR(INDEX(tblDeviceConfig[PI_Validated_Date],ROW()-1),"")</f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</c>
      <c r="C300">
        <f>IFERROR(INDEX(tblDeviceConfig[Deployed],ROW()-1),"")</f>
      </c>
      <c r="D300">
        <f>IFERROR(INDEX(tblDeviceConfig[Installed],ROW()-1),"")</f>
      </c>
      <c r="E300">
        <f>IFERROR(INDEX(tblDeviceConfig[Cybernet Hostname],ROW()-1),"")</f>
      </c>
      <c r="F300">
        <f>IFERROR(INDEX(tblDeviceConfig[Neuron Hostname],ROW()-1),"")</f>
      </c>
      <c r="G300">
        <f>IFERROR(INDEX(tblDeviceConfig[Software List],ROW()-1),"")</f>
      </c>
      <c r="H300">
        <f>IFERROR(INDEX(tblDeviceConfig[PI_Use_Case],ROW()-1),"")</f>
      </c>
      <c r="I300">
        <f>IFERROR(INDEX(tblDeviceConfig[PI_Result],ROW()-1),"")</f>
      </c>
      <c r="J300">
        <f>IFERROR(INDEX(tblDeviceConfig[PI_Validated_By],ROW()-1),"")</f>
      </c>
      <c r="K300">
        <f>IFERROR(INDEX(tblDeviceConfig[PI_Validated_Date],ROW()-1),"")</f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</c>
      <c r="C301">
        <f>IFERROR(INDEX(tblDeviceConfig[Deployed],ROW()-1),"")</f>
      </c>
      <c r="D301">
        <f>IFERROR(INDEX(tblDeviceConfig[Installed],ROW()-1),"")</f>
      </c>
      <c r="E301">
        <f>IFERROR(INDEX(tblDeviceConfig[Cybernet Hostname],ROW()-1),"")</f>
      </c>
      <c r="F301">
        <f>IFERROR(INDEX(tblDeviceConfig[Neuron Hostname],ROW()-1),"")</f>
      </c>
      <c r="G301">
        <f>IFERROR(INDEX(tblDeviceConfig[Software List],ROW()-1),"")</f>
      </c>
      <c r="H301">
        <f>IFERROR(INDEX(tblDeviceConfig[PI_Use_Case],ROW()-1),"")</f>
      </c>
      <c r="I301">
        <f>IFERROR(INDEX(tblDeviceConfig[PI_Result],ROW()-1),"")</f>
      </c>
      <c r="J301">
        <f>IFERROR(INDEX(tblDeviceConfig[PI_Validated_By],ROW()-1),"")</f>
      </c>
      <c r="K301">
        <f>IFERROR(INDEX(tblDeviceConfig[PI_Validated_Date],ROW()-1),"")</f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</c>
      <c r="C302">
        <f>IFERROR(INDEX(tblDeviceConfig[Deployed],ROW()-1),"")</f>
      </c>
      <c r="D302">
        <f>IFERROR(INDEX(tblDeviceConfig[Installed],ROW()-1),"")</f>
      </c>
      <c r="E302">
        <f>IFERROR(INDEX(tblDeviceConfig[Cybernet Hostname],ROW()-1),"")</f>
      </c>
      <c r="F302">
        <f>IFERROR(INDEX(tblDeviceConfig[Neuron Hostname],ROW()-1),"")</f>
      </c>
      <c r="G302">
        <f>IFERROR(INDEX(tblDeviceConfig[Software List],ROW()-1),"")</f>
      </c>
      <c r="H302">
        <f>IFERROR(INDEX(tblDeviceConfig[PI_Use_Case],ROW()-1),"")</f>
      </c>
      <c r="I302">
        <f>IFERROR(INDEX(tblDeviceConfig[PI_Result],ROW()-1),"")</f>
      </c>
      <c r="J302">
        <f>IFERROR(INDEX(tblDeviceConfig[PI_Validated_By],ROW()-1),"")</f>
      </c>
      <c r="K302">
        <f>IFERROR(INDEX(tblDeviceConfig[PI_Validated_Date],ROW()-1),"")</f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</c>
      <c r="C303">
        <f>IFERROR(INDEX(tblDeviceConfig[Deployed],ROW()-1),"")</f>
      </c>
      <c r="D303">
        <f>IFERROR(INDEX(tblDeviceConfig[Installed],ROW()-1),"")</f>
      </c>
      <c r="E303">
        <f>IFERROR(INDEX(tblDeviceConfig[Cybernet Hostname],ROW()-1),"")</f>
      </c>
      <c r="F303">
        <f>IFERROR(INDEX(tblDeviceConfig[Neuron Hostname],ROW()-1),"")</f>
      </c>
      <c r="G303">
        <f>IFERROR(INDEX(tblDeviceConfig[Software List],ROW()-1),"")</f>
      </c>
      <c r="H303">
        <f>IFERROR(INDEX(tblDeviceConfig[PI_Use_Case],ROW()-1),"")</f>
      </c>
      <c r="I303">
        <f>IFERROR(INDEX(tblDeviceConfig[PI_Result],ROW()-1),"")</f>
      </c>
      <c r="J303">
        <f>IFERROR(INDEX(tblDeviceConfig[PI_Validated_By],ROW()-1),"")</f>
      </c>
      <c r="K303">
        <f>IFERROR(INDEX(tblDeviceConfig[PI_Validated_Date],ROW()-1),"")</f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</c>
      <c r="C304">
        <f>IFERROR(INDEX(tblDeviceConfig[Deployed],ROW()-1),"")</f>
      </c>
      <c r="D304">
        <f>IFERROR(INDEX(tblDeviceConfig[Installed],ROW()-1),"")</f>
      </c>
      <c r="E304">
        <f>IFERROR(INDEX(tblDeviceConfig[Cybernet Hostname],ROW()-1),"")</f>
      </c>
      <c r="F304">
        <f>IFERROR(INDEX(tblDeviceConfig[Neuron Hostname],ROW()-1),"")</f>
      </c>
      <c r="G304">
        <f>IFERROR(INDEX(tblDeviceConfig[Software List],ROW()-1),"")</f>
      </c>
      <c r="H304">
        <f>IFERROR(INDEX(tblDeviceConfig[PI_Use_Case],ROW()-1),"")</f>
      </c>
      <c r="I304">
        <f>IFERROR(INDEX(tblDeviceConfig[PI_Result],ROW()-1),"")</f>
      </c>
      <c r="J304">
        <f>IFERROR(INDEX(tblDeviceConfig[PI_Validated_By],ROW()-1),"")</f>
      </c>
      <c r="K304">
        <f>IFERROR(INDEX(tblDeviceConfig[PI_Validated_Date],ROW()-1),"")</f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</c>
      <c r="C305">
        <f>IFERROR(INDEX(tblDeviceConfig[Deployed],ROW()-1),"")</f>
      </c>
      <c r="D305">
        <f>IFERROR(INDEX(tblDeviceConfig[Installed],ROW()-1),"")</f>
      </c>
      <c r="E305">
        <f>IFERROR(INDEX(tblDeviceConfig[Cybernet Hostname],ROW()-1),"")</f>
      </c>
      <c r="F305">
        <f>IFERROR(INDEX(tblDeviceConfig[Neuron Hostname],ROW()-1),"")</f>
      </c>
      <c r="G305">
        <f>IFERROR(INDEX(tblDeviceConfig[Software List],ROW()-1),"")</f>
      </c>
      <c r="H305">
        <f>IFERROR(INDEX(tblDeviceConfig[PI_Use_Case],ROW()-1),"")</f>
      </c>
      <c r="I305">
        <f>IFERROR(INDEX(tblDeviceConfig[PI_Result],ROW()-1),"")</f>
      </c>
      <c r="J305">
        <f>IFERROR(INDEX(tblDeviceConfig[PI_Validated_By],ROW()-1),"")</f>
      </c>
      <c r="K305">
        <f>IFERROR(INDEX(tblDeviceConfig[PI_Validated_Date],ROW()-1),"")</f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</c>
      <c r="C306">
        <f>IFERROR(INDEX(tblDeviceConfig[Deployed],ROW()-1),"")</f>
      </c>
      <c r="D306">
        <f>IFERROR(INDEX(tblDeviceConfig[Installed],ROW()-1),"")</f>
      </c>
      <c r="E306">
        <f>IFERROR(INDEX(tblDeviceConfig[Cybernet Hostname],ROW()-1),"")</f>
      </c>
      <c r="F306">
        <f>IFERROR(INDEX(tblDeviceConfig[Neuron Hostname],ROW()-1),"")</f>
      </c>
      <c r="G306">
        <f>IFERROR(INDEX(tblDeviceConfig[Software List],ROW()-1),"")</f>
      </c>
      <c r="H306">
        <f>IFERROR(INDEX(tblDeviceConfig[PI_Use_Case],ROW()-1),"")</f>
      </c>
      <c r="I306">
        <f>IFERROR(INDEX(tblDeviceConfig[PI_Result],ROW()-1),"")</f>
      </c>
      <c r="J306">
        <f>IFERROR(INDEX(tblDeviceConfig[PI_Validated_By],ROW()-1),"")</f>
      </c>
      <c r="K306">
        <f>IFERROR(INDEX(tblDeviceConfig[PI_Validated_Date],ROW()-1),"")</f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</c>
      <c r="C307">
        <f>IFERROR(INDEX(tblDeviceConfig[Deployed],ROW()-1),"")</f>
      </c>
      <c r="D307">
        <f>IFERROR(INDEX(tblDeviceConfig[Installed],ROW()-1),"")</f>
      </c>
      <c r="E307">
        <f>IFERROR(INDEX(tblDeviceConfig[Cybernet Hostname],ROW()-1),"")</f>
      </c>
      <c r="F307">
        <f>IFERROR(INDEX(tblDeviceConfig[Neuron Hostname],ROW()-1),"")</f>
      </c>
      <c r="G307">
        <f>IFERROR(INDEX(tblDeviceConfig[Software List],ROW()-1),"")</f>
      </c>
      <c r="H307">
        <f>IFERROR(INDEX(tblDeviceConfig[PI_Use_Case],ROW()-1),"")</f>
      </c>
      <c r="I307">
        <f>IFERROR(INDEX(tblDeviceConfig[PI_Result],ROW()-1),"")</f>
      </c>
      <c r="J307">
        <f>IFERROR(INDEX(tblDeviceConfig[PI_Validated_By],ROW()-1),"")</f>
      </c>
      <c r="K307">
        <f>IFERROR(INDEX(tblDeviceConfig[PI_Validated_Date],ROW()-1),"")</f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</c>
      <c r="C308">
        <f>IFERROR(INDEX(tblDeviceConfig[Deployed],ROW()-1),"")</f>
      </c>
      <c r="D308">
        <f>IFERROR(INDEX(tblDeviceConfig[Installed],ROW()-1),"")</f>
      </c>
      <c r="E308">
        <f>IFERROR(INDEX(tblDeviceConfig[Cybernet Hostname],ROW()-1),"")</f>
      </c>
      <c r="F308">
        <f>IFERROR(INDEX(tblDeviceConfig[Neuron Hostname],ROW()-1),"")</f>
      </c>
      <c r="G308">
        <f>IFERROR(INDEX(tblDeviceConfig[Software List],ROW()-1),"")</f>
      </c>
      <c r="H308">
        <f>IFERROR(INDEX(tblDeviceConfig[PI_Use_Case],ROW()-1),"")</f>
      </c>
      <c r="I308">
        <f>IFERROR(INDEX(tblDeviceConfig[PI_Result],ROW()-1),"")</f>
      </c>
      <c r="J308">
        <f>IFERROR(INDEX(tblDeviceConfig[PI_Validated_By],ROW()-1),"")</f>
      </c>
      <c r="K308">
        <f>IFERROR(INDEX(tblDeviceConfig[PI_Validated_Date],ROW()-1),"")</f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</c>
      <c r="C309">
        <f>IFERROR(INDEX(tblDeviceConfig[Deployed],ROW()-1),"")</f>
      </c>
      <c r="D309">
        <f>IFERROR(INDEX(tblDeviceConfig[Installed],ROW()-1),"")</f>
      </c>
      <c r="E309">
        <f>IFERROR(INDEX(tblDeviceConfig[Cybernet Hostname],ROW()-1),"")</f>
      </c>
      <c r="F309">
        <f>IFERROR(INDEX(tblDeviceConfig[Neuron Hostname],ROW()-1),"")</f>
      </c>
      <c r="G309">
        <f>IFERROR(INDEX(tblDeviceConfig[Software List],ROW()-1),"")</f>
      </c>
      <c r="H309">
        <f>IFERROR(INDEX(tblDeviceConfig[PI_Use_Case],ROW()-1),"")</f>
      </c>
      <c r="I309">
        <f>IFERROR(INDEX(tblDeviceConfig[PI_Result],ROW()-1),"")</f>
      </c>
      <c r="J309">
        <f>IFERROR(INDEX(tblDeviceConfig[PI_Validated_By],ROW()-1),"")</f>
      </c>
      <c r="K309">
        <f>IFERROR(INDEX(tblDeviceConfig[PI_Validated_Date],ROW()-1),"")</f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</c>
      <c r="C310">
        <f>IFERROR(INDEX(tblDeviceConfig[Deployed],ROW()-1),"")</f>
      </c>
      <c r="D310">
        <f>IFERROR(INDEX(tblDeviceConfig[Installed],ROW()-1),"")</f>
      </c>
      <c r="E310">
        <f>IFERROR(INDEX(tblDeviceConfig[Cybernet Hostname],ROW()-1),"")</f>
      </c>
      <c r="F310">
        <f>IFERROR(INDEX(tblDeviceConfig[Neuron Hostname],ROW()-1),"")</f>
      </c>
      <c r="G310">
        <f>IFERROR(INDEX(tblDeviceConfig[Software List],ROW()-1),"")</f>
      </c>
      <c r="H310">
        <f>IFERROR(INDEX(tblDeviceConfig[PI_Use_Case],ROW()-1),"")</f>
      </c>
      <c r="I310">
        <f>IFERROR(INDEX(tblDeviceConfig[PI_Result],ROW()-1),"")</f>
      </c>
      <c r="J310">
        <f>IFERROR(INDEX(tblDeviceConfig[PI_Validated_By],ROW()-1),"")</f>
      </c>
      <c r="K310">
        <f>IFERROR(INDEX(tblDeviceConfig[PI_Validated_Date],ROW()-1),"")</f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</c>
      <c r="C311">
        <f>IFERROR(INDEX(tblDeviceConfig[Deployed],ROW()-1),"")</f>
      </c>
      <c r="D311">
        <f>IFERROR(INDEX(tblDeviceConfig[Installed],ROW()-1),"")</f>
      </c>
      <c r="E311">
        <f>IFERROR(INDEX(tblDeviceConfig[Cybernet Hostname],ROW()-1),"")</f>
      </c>
      <c r="F311">
        <f>IFERROR(INDEX(tblDeviceConfig[Neuron Hostname],ROW()-1),"")</f>
      </c>
      <c r="G311">
        <f>IFERROR(INDEX(tblDeviceConfig[Software List],ROW()-1),"")</f>
      </c>
      <c r="H311">
        <f>IFERROR(INDEX(tblDeviceConfig[PI_Use_Case],ROW()-1),"")</f>
      </c>
      <c r="I311">
        <f>IFERROR(INDEX(tblDeviceConfig[PI_Result],ROW()-1),"")</f>
      </c>
      <c r="J311">
        <f>IFERROR(INDEX(tblDeviceConfig[PI_Validated_By],ROW()-1),"")</f>
      </c>
      <c r="K311">
        <f>IFERROR(INDEX(tblDeviceConfig[PI_Validated_Date],ROW()-1),"")</f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</c>
      <c r="C312">
        <f>IFERROR(INDEX(tblDeviceConfig[Deployed],ROW()-1),"")</f>
      </c>
      <c r="D312">
        <f>IFERROR(INDEX(tblDeviceConfig[Installed],ROW()-1),"")</f>
      </c>
      <c r="E312">
        <f>IFERROR(INDEX(tblDeviceConfig[Cybernet Hostname],ROW()-1),"")</f>
      </c>
      <c r="F312">
        <f>IFERROR(INDEX(tblDeviceConfig[Neuron Hostname],ROW()-1),"")</f>
      </c>
      <c r="G312">
        <f>IFERROR(INDEX(tblDeviceConfig[Software List],ROW()-1),"")</f>
      </c>
      <c r="H312">
        <f>IFERROR(INDEX(tblDeviceConfig[PI_Use_Case],ROW()-1),"")</f>
      </c>
      <c r="I312">
        <f>IFERROR(INDEX(tblDeviceConfig[PI_Result],ROW()-1),"")</f>
      </c>
      <c r="J312">
        <f>IFERROR(INDEX(tblDeviceConfig[PI_Validated_By],ROW()-1),"")</f>
      </c>
      <c r="K312">
        <f>IFERROR(INDEX(tblDeviceConfig[PI_Validated_Date],ROW()-1),"")</f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</c>
      <c r="C313">
        <f>IFERROR(INDEX(tblDeviceConfig[Deployed],ROW()-1),"")</f>
      </c>
      <c r="D313">
        <f>IFERROR(INDEX(tblDeviceConfig[Installed],ROW()-1),"")</f>
      </c>
      <c r="E313">
        <f>IFERROR(INDEX(tblDeviceConfig[Cybernet Hostname],ROW()-1),"")</f>
      </c>
      <c r="F313">
        <f>IFERROR(INDEX(tblDeviceConfig[Neuron Hostname],ROW()-1),"")</f>
      </c>
      <c r="G313">
        <f>IFERROR(INDEX(tblDeviceConfig[Software List],ROW()-1),"")</f>
      </c>
      <c r="H313">
        <f>IFERROR(INDEX(tblDeviceConfig[PI_Use_Case],ROW()-1),"")</f>
      </c>
      <c r="I313">
        <f>IFERROR(INDEX(tblDeviceConfig[PI_Result],ROW()-1),"")</f>
      </c>
      <c r="J313">
        <f>IFERROR(INDEX(tblDeviceConfig[PI_Validated_By],ROW()-1),"")</f>
      </c>
      <c r="K313">
        <f>IFERROR(INDEX(tblDeviceConfig[PI_Validated_Date],ROW()-1),"")</f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</c>
      <c r="C314">
        <f>IFERROR(INDEX(tblDeviceConfig[Deployed],ROW()-1),"")</f>
      </c>
      <c r="D314">
        <f>IFERROR(INDEX(tblDeviceConfig[Installed],ROW()-1),"")</f>
      </c>
      <c r="E314">
        <f>IFERROR(INDEX(tblDeviceConfig[Cybernet Hostname],ROW()-1),"")</f>
      </c>
      <c r="F314">
        <f>IFERROR(INDEX(tblDeviceConfig[Neuron Hostname],ROW()-1),"")</f>
      </c>
      <c r="G314">
        <f>IFERROR(INDEX(tblDeviceConfig[Software List],ROW()-1),"")</f>
      </c>
      <c r="H314">
        <f>IFERROR(INDEX(tblDeviceConfig[PI_Use_Case],ROW()-1),"")</f>
      </c>
      <c r="I314">
        <f>IFERROR(INDEX(tblDeviceConfig[PI_Result],ROW()-1),"")</f>
      </c>
      <c r="J314">
        <f>IFERROR(INDEX(tblDeviceConfig[PI_Validated_By],ROW()-1),"")</f>
      </c>
      <c r="K314">
        <f>IFERROR(INDEX(tblDeviceConfig[PI_Validated_Date],ROW()-1),"")</f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</c>
      <c r="C315">
        <f>IFERROR(INDEX(tblDeviceConfig[Deployed],ROW()-1),"")</f>
      </c>
      <c r="D315">
        <f>IFERROR(INDEX(tblDeviceConfig[Installed],ROW()-1),"")</f>
      </c>
      <c r="E315">
        <f>IFERROR(INDEX(tblDeviceConfig[Cybernet Hostname],ROW()-1),"")</f>
      </c>
      <c r="F315">
        <f>IFERROR(INDEX(tblDeviceConfig[Neuron Hostname],ROW()-1),"")</f>
      </c>
      <c r="G315">
        <f>IFERROR(INDEX(tblDeviceConfig[Software List],ROW()-1),"")</f>
      </c>
      <c r="H315">
        <f>IFERROR(INDEX(tblDeviceConfig[PI_Use_Case],ROW()-1),"")</f>
      </c>
      <c r="I315">
        <f>IFERROR(INDEX(tblDeviceConfig[PI_Result],ROW()-1),"")</f>
      </c>
      <c r="J315">
        <f>IFERROR(INDEX(tblDeviceConfig[PI_Validated_By],ROW()-1),"")</f>
      </c>
      <c r="K315">
        <f>IFERROR(INDEX(tblDeviceConfig[PI_Validated_Date],ROW()-1),"")</f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</c>
      <c r="C316">
        <f>IFERROR(INDEX(tblDeviceConfig[Deployed],ROW()-1),"")</f>
      </c>
      <c r="D316">
        <f>IFERROR(INDEX(tblDeviceConfig[Installed],ROW()-1),"")</f>
      </c>
      <c r="E316">
        <f>IFERROR(INDEX(tblDeviceConfig[Cybernet Hostname],ROW()-1),"")</f>
      </c>
      <c r="F316">
        <f>IFERROR(INDEX(tblDeviceConfig[Neuron Hostname],ROW()-1),"")</f>
      </c>
      <c r="G316">
        <f>IFERROR(INDEX(tblDeviceConfig[Software List],ROW()-1),"")</f>
      </c>
      <c r="H316">
        <f>IFERROR(INDEX(tblDeviceConfig[PI_Use_Case],ROW()-1),"")</f>
      </c>
      <c r="I316">
        <f>IFERROR(INDEX(tblDeviceConfig[PI_Result],ROW()-1),"")</f>
      </c>
      <c r="J316">
        <f>IFERROR(INDEX(tblDeviceConfig[PI_Validated_By],ROW()-1),"")</f>
      </c>
      <c r="K316">
        <f>IFERROR(INDEX(tblDeviceConfig[PI_Validated_Date],ROW()-1),"")</f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</c>
      <c r="C317">
        <f>IFERROR(INDEX(tblDeviceConfig[Deployed],ROW()-1),"")</f>
      </c>
      <c r="D317">
        <f>IFERROR(INDEX(tblDeviceConfig[Installed],ROW()-1),"")</f>
      </c>
      <c r="E317">
        <f>IFERROR(INDEX(tblDeviceConfig[Cybernet Hostname],ROW()-1),"")</f>
      </c>
      <c r="F317">
        <f>IFERROR(INDEX(tblDeviceConfig[Neuron Hostname],ROW()-1),"")</f>
      </c>
      <c r="G317">
        <f>IFERROR(INDEX(tblDeviceConfig[Software List],ROW()-1),"")</f>
      </c>
      <c r="H317">
        <f>IFERROR(INDEX(tblDeviceConfig[PI_Use_Case],ROW()-1),"")</f>
      </c>
      <c r="I317">
        <f>IFERROR(INDEX(tblDeviceConfig[PI_Result],ROW()-1),"")</f>
      </c>
      <c r="J317">
        <f>IFERROR(INDEX(tblDeviceConfig[PI_Validated_By],ROW()-1),"")</f>
      </c>
      <c r="K317">
        <f>IFERROR(INDEX(tblDeviceConfig[PI_Validated_Date],ROW()-1),"")</f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</c>
      <c r="C318">
        <f>IFERROR(INDEX(tblDeviceConfig[Deployed],ROW()-1),"")</f>
      </c>
      <c r="D318">
        <f>IFERROR(INDEX(tblDeviceConfig[Installed],ROW()-1),"")</f>
      </c>
      <c r="E318">
        <f>IFERROR(INDEX(tblDeviceConfig[Cybernet Hostname],ROW()-1),"")</f>
      </c>
      <c r="F318">
        <f>IFERROR(INDEX(tblDeviceConfig[Neuron Hostname],ROW()-1),"")</f>
      </c>
      <c r="G318">
        <f>IFERROR(INDEX(tblDeviceConfig[Software List],ROW()-1),"")</f>
      </c>
      <c r="H318">
        <f>IFERROR(INDEX(tblDeviceConfig[PI_Use_Case],ROW()-1),"")</f>
      </c>
      <c r="I318">
        <f>IFERROR(INDEX(tblDeviceConfig[PI_Result],ROW()-1),"")</f>
      </c>
      <c r="J318">
        <f>IFERROR(INDEX(tblDeviceConfig[PI_Validated_By],ROW()-1),"")</f>
      </c>
      <c r="K318">
        <f>IFERROR(INDEX(tblDeviceConfig[PI_Validated_Date],ROW()-1),"")</f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</c>
      <c r="C319">
        <f>IFERROR(INDEX(tblDeviceConfig[Deployed],ROW()-1),"")</f>
      </c>
      <c r="D319">
        <f>IFERROR(INDEX(tblDeviceConfig[Installed],ROW()-1),"")</f>
      </c>
      <c r="E319">
        <f>IFERROR(INDEX(tblDeviceConfig[Cybernet Hostname],ROW()-1),"")</f>
      </c>
      <c r="F319">
        <f>IFERROR(INDEX(tblDeviceConfig[Neuron Hostname],ROW()-1),"")</f>
      </c>
      <c r="G319">
        <f>IFERROR(INDEX(tblDeviceConfig[Software List],ROW()-1),"")</f>
      </c>
      <c r="H319">
        <f>IFERROR(INDEX(tblDeviceConfig[PI_Use_Case],ROW()-1),"")</f>
      </c>
      <c r="I319">
        <f>IFERROR(INDEX(tblDeviceConfig[PI_Result],ROW()-1),"")</f>
      </c>
      <c r="J319">
        <f>IFERROR(INDEX(tblDeviceConfig[PI_Validated_By],ROW()-1),"")</f>
      </c>
      <c r="K319">
        <f>IFERROR(INDEX(tblDeviceConfig[PI_Validated_Date],ROW()-1),"")</f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</c>
      <c r="C320">
        <f>IFERROR(INDEX(tblDeviceConfig[Deployed],ROW()-1),"")</f>
      </c>
      <c r="D320">
        <f>IFERROR(INDEX(tblDeviceConfig[Installed],ROW()-1),"")</f>
      </c>
      <c r="E320">
        <f>IFERROR(INDEX(tblDeviceConfig[Cybernet Hostname],ROW()-1),"")</f>
      </c>
      <c r="F320">
        <f>IFERROR(INDEX(tblDeviceConfig[Neuron Hostname],ROW()-1),"")</f>
      </c>
      <c r="G320">
        <f>IFERROR(INDEX(tblDeviceConfig[Software List],ROW()-1),"")</f>
      </c>
      <c r="H320">
        <f>IFERROR(INDEX(tblDeviceConfig[PI_Use_Case],ROW()-1),"")</f>
      </c>
      <c r="I320">
        <f>IFERROR(INDEX(tblDeviceConfig[PI_Result],ROW()-1),"")</f>
      </c>
      <c r="J320">
        <f>IFERROR(INDEX(tblDeviceConfig[PI_Validated_By],ROW()-1),"")</f>
      </c>
      <c r="K320">
        <f>IFERROR(INDEX(tblDeviceConfig[PI_Validated_Date],ROW()-1),"")</f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</c>
      <c r="C321">
        <f>IFERROR(INDEX(tblDeviceConfig[Deployed],ROW()-1),"")</f>
      </c>
      <c r="D321">
        <f>IFERROR(INDEX(tblDeviceConfig[Installed],ROW()-1),"")</f>
      </c>
      <c r="E321">
        <f>IFERROR(INDEX(tblDeviceConfig[Cybernet Hostname],ROW()-1),"")</f>
      </c>
      <c r="F321">
        <f>IFERROR(INDEX(tblDeviceConfig[Neuron Hostname],ROW()-1),"")</f>
      </c>
      <c r="G321">
        <f>IFERROR(INDEX(tblDeviceConfig[Software List],ROW()-1),"")</f>
      </c>
      <c r="H321">
        <f>IFERROR(INDEX(tblDeviceConfig[PI_Use_Case],ROW()-1),"")</f>
      </c>
      <c r="I321">
        <f>IFERROR(INDEX(tblDeviceConfig[PI_Result],ROW()-1),"")</f>
      </c>
      <c r="J321">
        <f>IFERROR(INDEX(tblDeviceConfig[PI_Validated_By],ROW()-1),"")</f>
      </c>
      <c r="K321">
        <f>IFERROR(INDEX(tblDeviceConfig[PI_Validated_Date],ROW()-1),"")</f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</c>
      <c r="C322">
        <f>IFERROR(INDEX(tblDeviceConfig[Deployed],ROW()-1),"")</f>
      </c>
      <c r="D322">
        <f>IFERROR(INDEX(tblDeviceConfig[Installed],ROW()-1),"")</f>
      </c>
      <c r="E322">
        <f>IFERROR(INDEX(tblDeviceConfig[Cybernet Hostname],ROW()-1),"")</f>
      </c>
      <c r="F322">
        <f>IFERROR(INDEX(tblDeviceConfig[Neuron Hostname],ROW()-1),"")</f>
      </c>
      <c r="G322">
        <f>IFERROR(INDEX(tblDeviceConfig[Software List],ROW()-1),"")</f>
      </c>
      <c r="H322">
        <f>IFERROR(INDEX(tblDeviceConfig[PI_Use_Case],ROW()-1),"")</f>
      </c>
      <c r="I322">
        <f>IFERROR(INDEX(tblDeviceConfig[PI_Result],ROW()-1),"")</f>
      </c>
      <c r="J322">
        <f>IFERROR(INDEX(tblDeviceConfig[PI_Validated_By],ROW()-1),"")</f>
      </c>
      <c r="K322">
        <f>IFERROR(INDEX(tblDeviceConfig[PI_Validated_Date],ROW()-1),"")</f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</c>
      <c r="C323">
        <f>IFERROR(INDEX(tblDeviceConfig[Deployed],ROW()-1),"")</f>
      </c>
      <c r="D323">
        <f>IFERROR(INDEX(tblDeviceConfig[Installed],ROW()-1),"")</f>
      </c>
      <c r="E323">
        <f>IFERROR(INDEX(tblDeviceConfig[Cybernet Hostname],ROW()-1),"")</f>
      </c>
      <c r="F323">
        <f>IFERROR(INDEX(tblDeviceConfig[Neuron Hostname],ROW()-1),"")</f>
      </c>
      <c r="G323">
        <f>IFERROR(INDEX(tblDeviceConfig[Software List],ROW()-1),"")</f>
      </c>
      <c r="H323">
        <f>IFERROR(INDEX(tblDeviceConfig[PI_Use_Case],ROW()-1),"")</f>
      </c>
      <c r="I323">
        <f>IFERROR(INDEX(tblDeviceConfig[PI_Result],ROW()-1),"")</f>
      </c>
      <c r="J323">
        <f>IFERROR(INDEX(tblDeviceConfig[PI_Validated_By],ROW()-1),"")</f>
      </c>
      <c r="K323">
        <f>IFERROR(INDEX(tblDeviceConfig[PI_Validated_Date],ROW()-1),"")</f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</c>
      <c r="C324">
        <f>IFERROR(INDEX(tblDeviceConfig[Deployed],ROW()-1),"")</f>
      </c>
      <c r="D324">
        <f>IFERROR(INDEX(tblDeviceConfig[Installed],ROW()-1),"")</f>
      </c>
      <c r="E324">
        <f>IFERROR(INDEX(tblDeviceConfig[Cybernet Hostname],ROW()-1),"")</f>
      </c>
      <c r="F324">
        <f>IFERROR(INDEX(tblDeviceConfig[Neuron Hostname],ROW()-1),"")</f>
      </c>
      <c r="G324">
        <f>IFERROR(INDEX(tblDeviceConfig[Software List],ROW()-1),"")</f>
      </c>
      <c r="H324">
        <f>IFERROR(INDEX(tblDeviceConfig[PI_Use_Case],ROW()-1),"")</f>
      </c>
      <c r="I324">
        <f>IFERROR(INDEX(tblDeviceConfig[PI_Result],ROW()-1),"")</f>
      </c>
      <c r="J324">
        <f>IFERROR(INDEX(tblDeviceConfig[PI_Validated_By],ROW()-1),"")</f>
      </c>
      <c r="K324">
        <f>IFERROR(INDEX(tblDeviceConfig[PI_Validated_Date],ROW()-1),"")</f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</c>
      <c r="C325">
        <f>IFERROR(INDEX(tblDeviceConfig[Deployed],ROW()-1),"")</f>
      </c>
      <c r="D325">
        <f>IFERROR(INDEX(tblDeviceConfig[Installed],ROW()-1),"")</f>
      </c>
      <c r="E325">
        <f>IFERROR(INDEX(tblDeviceConfig[Cybernet Hostname],ROW()-1),"")</f>
      </c>
      <c r="F325">
        <f>IFERROR(INDEX(tblDeviceConfig[Neuron Hostname],ROW()-1),"")</f>
      </c>
      <c r="G325">
        <f>IFERROR(INDEX(tblDeviceConfig[Software List],ROW()-1),"")</f>
      </c>
      <c r="H325">
        <f>IFERROR(INDEX(tblDeviceConfig[PI_Use_Case],ROW()-1),"")</f>
      </c>
      <c r="I325">
        <f>IFERROR(INDEX(tblDeviceConfig[PI_Result],ROW()-1),"")</f>
      </c>
      <c r="J325">
        <f>IFERROR(INDEX(tblDeviceConfig[PI_Validated_By],ROW()-1),"")</f>
      </c>
      <c r="K325">
        <f>IFERROR(INDEX(tblDeviceConfig[PI_Validated_Date],ROW()-1),"")</f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</c>
      <c r="C326">
        <f>IFERROR(INDEX(tblDeviceConfig[Deployed],ROW()-1),"")</f>
      </c>
      <c r="D326">
        <f>IFERROR(INDEX(tblDeviceConfig[Installed],ROW()-1),"")</f>
      </c>
      <c r="E326">
        <f>IFERROR(INDEX(tblDeviceConfig[Cybernet Hostname],ROW()-1),"")</f>
      </c>
      <c r="F326">
        <f>IFERROR(INDEX(tblDeviceConfig[Neuron Hostname],ROW()-1),"")</f>
      </c>
      <c r="G326">
        <f>IFERROR(INDEX(tblDeviceConfig[Software List],ROW()-1),"")</f>
      </c>
      <c r="H326">
        <f>IFERROR(INDEX(tblDeviceConfig[PI_Use_Case],ROW()-1),"")</f>
      </c>
      <c r="I326">
        <f>IFERROR(INDEX(tblDeviceConfig[PI_Result],ROW()-1),"")</f>
      </c>
      <c r="J326">
        <f>IFERROR(INDEX(tblDeviceConfig[PI_Validated_By],ROW()-1),"")</f>
      </c>
      <c r="K326">
        <f>IFERROR(INDEX(tblDeviceConfig[PI_Validated_Date],ROW()-1),"")</f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</c>
      <c r="C327">
        <f>IFERROR(INDEX(tblDeviceConfig[Deployed],ROW()-1),"")</f>
      </c>
      <c r="D327">
        <f>IFERROR(INDEX(tblDeviceConfig[Installed],ROW()-1),"")</f>
      </c>
      <c r="E327">
        <f>IFERROR(INDEX(tblDeviceConfig[Cybernet Hostname],ROW()-1),"")</f>
      </c>
      <c r="F327">
        <f>IFERROR(INDEX(tblDeviceConfig[Neuron Hostname],ROW()-1),"")</f>
      </c>
      <c r="G327">
        <f>IFERROR(INDEX(tblDeviceConfig[Software List],ROW()-1),"")</f>
      </c>
      <c r="H327">
        <f>IFERROR(INDEX(tblDeviceConfig[PI_Use_Case],ROW()-1),"")</f>
      </c>
      <c r="I327">
        <f>IFERROR(INDEX(tblDeviceConfig[PI_Result],ROW()-1),"")</f>
      </c>
      <c r="J327">
        <f>IFERROR(INDEX(tblDeviceConfig[PI_Validated_By],ROW()-1),"")</f>
      </c>
      <c r="K327">
        <f>IFERROR(INDEX(tblDeviceConfig[PI_Validated_Date],ROW()-1),"")</f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</c>
      <c r="C328">
        <f>IFERROR(INDEX(tblDeviceConfig[Deployed],ROW()-1),"")</f>
      </c>
      <c r="D328">
        <f>IFERROR(INDEX(tblDeviceConfig[Installed],ROW()-1),"")</f>
      </c>
      <c r="E328">
        <f>IFERROR(INDEX(tblDeviceConfig[Cybernet Hostname],ROW()-1),"")</f>
      </c>
      <c r="F328">
        <f>IFERROR(INDEX(tblDeviceConfig[Neuron Hostname],ROW()-1),"")</f>
      </c>
      <c r="G328">
        <f>IFERROR(INDEX(tblDeviceConfig[Software List],ROW()-1),"")</f>
      </c>
      <c r="H328">
        <f>IFERROR(INDEX(tblDeviceConfig[PI_Use_Case],ROW()-1),"")</f>
      </c>
      <c r="I328">
        <f>IFERROR(INDEX(tblDeviceConfig[PI_Result],ROW()-1),"")</f>
      </c>
      <c r="J328">
        <f>IFERROR(INDEX(tblDeviceConfig[PI_Validated_By],ROW()-1),"")</f>
      </c>
      <c r="K328">
        <f>IFERROR(INDEX(tblDeviceConfig[PI_Validated_Date],ROW()-1),"")</f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</c>
      <c r="C329">
        <f>IFERROR(INDEX(tblDeviceConfig[Deployed],ROW()-1),"")</f>
      </c>
      <c r="D329">
        <f>IFERROR(INDEX(tblDeviceConfig[Installed],ROW()-1),"")</f>
      </c>
      <c r="E329">
        <f>IFERROR(INDEX(tblDeviceConfig[Cybernet Hostname],ROW()-1),"")</f>
      </c>
      <c r="F329">
        <f>IFERROR(INDEX(tblDeviceConfig[Neuron Hostname],ROW()-1),"")</f>
      </c>
      <c r="G329">
        <f>IFERROR(INDEX(tblDeviceConfig[Software List],ROW()-1),"")</f>
      </c>
      <c r="H329">
        <f>IFERROR(INDEX(tblDeviceConfig[PI_Use_Case],ROW()-1),"")</f>
      </c>
      <c r="I329">
        <f>IFERROR(INDEX(tblDeviceConfig[PI_Result],ROW()-1),"")</f>
      </c>
      <c r="J329">
        <f>IFERROR(INDEX(tblDeviceConfig[PI_Validated_By],ROW()-1),"")</f>
      </c>
      <c r="K329">
        <f>IFERROR(INDEX(tblDeviceConfig[PI_Validated_Date],ROW()-1),"")</f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</c>
      <c r="C330">
        <f>IFERROR(INDEX(tblDeviceConfig[Deployed],ROW()-1),"")</f>
      </c>
      <c r="D330">
        <f>IFERROR(INDEX(tblDeviceConfig[Installed],ROW()-1),"")</f>
      </c>
      <c r="E330">
        <f>IFERROR(INDEX(tblDeviceConfig[Cybernet Hostname],ROW()-1),"")</f>
      </c>
      <c r="F330">
        <f>IFERROR(INDEX(tblDeviceConfig[Neuron Hostname],ROW()-1),"")</f>
      </c>
      <c r="G330">
        <f>IFERROR(INDEX(tblDeviceConfig[Software List],ROW()-1),"")</f>
      </c>
      <c r="H330">
        <f>IFERROR(INDEX(tblDeviceConfig[PI_Use_Case],ROW()-1),"")</f>
      </c>
      <c r="I330">
        <f>IFERROR(INDEX(tblDeviceConfig[PI_Result],ROW()-1),"")</f>
      </c>
      <c r="J330">
        <f>IFERROR(INDEX(tblDeviceConfig[PI_Validated_By],ROW()-1),"")</f>
      </c>
      <c r="K330">
        <f>IFERROR(INDEX(tblDeviceConfig[PI_Validated_Date],ROW()-1),"")</f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</c>
      <c r="C331">
        <f>IFERROR(INDEX(tblDeviceConfig[Deployed],ROW()-1),"")</f>
      </c>
      <c r="D331">
        <f>IFERROR(INDEX(tblDeviceConfig[Installed],ROW()-1),"")</f>
      </c>
      <c r="E331">
        <f>IFERROR(INDEX(tblDeviceConfig[Cybernet Hostname],ROW()-1),"")</f>
      </c>
      <c r="F331">
        <f>IFERROR(INDEX(tblDeviceConfig[Neuron Hostname],ROW()-1),"")</f>
      </c>
      <c r="G331">
        <f>IFERROR(INDEX(tblDeviceConfig[Software List],ROW()-1),"")</f>
      </c>
      <c r="H331">
        <f>IFERROR(INDEX(tblDeviceConfig[PI_Use_Case],ROW()-1),"")</f>
      </c>
      <c r="I331">
        <f>IFERROR(INDEX(tblDeviceConfig[PI_Result],ROW()-1),"")</f>
      </c>
      <c r="J331">
        <f>IFERROR(INDEX(tblDeviceConfig[PI_Validated_By],ROW()-1),"")</f>
      </c>
      <c r="K331">
        <f>IFERROR(INDEX(tblDeviceConfig[PI_Validated_Date],ROW()-1),"")</f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</c>
      <c r="C332">
        <f>IFERROR(INDEX(tblDeviceConfig[Deployed],ROW()-1),"")</f>
      </c>
      <c r="D332">
        <f>IFERROR(INDEX(tblDeviceConfig[Installed],ROW()-1),"")</f>
      </c>
      <c r="E332">
        <f>IFERROR(INDEX(tblDeviceConfig[Cybernet Hostname],ROW()-1),"")</f>
      </c>
      <c r="F332">
        <f>IFERROR(INDEX(tblDeviceConfig[Neuron Hostname],ROW()-1),"")</f>
      </c>
      <c r="G332">
        <f>IFERROR(INDEX(tblDeviceConfig[Software List],ROW()-1),"")</f>
      </c>
      <c r="H332">
        <f>IFERROR(INDEX(tblDeviceConfig[PI_Use_Case],ROW()-1),"")</f>
      </c>
      <c r="I332">
        <f>IFERROR(INDEX(tblDeviceConfig[PI_Result],ROW()-1),"")</f>
      </c>
      <c r="J332">
        <f>IFERROR(INDEX(tblDeviceConfig[PI_Validated_By],ROW()-1),"")</f>
      </c>
      <c r="K332">
        <f>IFERROR(INDEX(tblDeviceConfig[PI_Validated_Date],ROW()-1),"")</f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</c>
      <c r="C333">
        <f>IFERROR(INDEX(tblDeviceConfig[Deployed],ROW()-1),"")</f>
      </c>
      <c r="D333">
        <f>IFERROR(INDEX(tblDeviceConfig[Installed],ROW()-1),"")</f>
      </c>
      <c r="E333">
        <f>IFERROR(INDEX(tblDeviceConfig[Cybernet Hostname],ROW()-1),"")</f>
      </c>
      <c r="F333">
        <f>IFERROR(INDEX(tblDeviceConfig[Neuron Hostname],ROW()-1),"")</f>
      </c>
      <c r="G333">
        <f>IFERROR(INDEX(tblDeviceConfig[Software List],ROW()-1),"")</f>
      </c>
      <c r="H333">
        <f>IFERROR(INDEX(tblDeviceConfig[PI_Use_Case],ROW()-1),"")</f>
      </c>
      <c r="I333">
        <f>IFERROR(INDEX(tblDeviceConfig[PI_Result],ROW()-1),"")</f>
      </c>
      <c r="J333">
        <f>IFERROR(INDEX(tblDeviceConfig[PI_Validated_By],ROW()-1),"")</f>
      </c>
      <c r="K333">
        <f>IFERROR(INDEX(tblDeviceConfig[PI_Validated_Date],ROW()-1),"")</f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</c>
      <c r="C334">
        <f>IFERROR(INDEX(tblDeviceConfig[Deployed],ROW()-1),"")</f>
      </c>
      <c r="D334">
        <f>IFERROR(INDEX(tblDeviceConfig[Installed],ROW()-1),"")</f>
      </c>
      <c r="E334">
        <f>IFERROR(INDEX(tblDeviceConfig[Cybernet Hostname],ROW()-1),"")</f>
      </c>
      <c r="F334">
        <f>IFERROR(INDEX(tblDeviceConfig[Neuron Hostname],ROW()-1),"")</f>
      </c>
      <c r="G334">
        <f>IFERROR(INDEX(tblDeviceConfig[Software List],ROW()-1),"")</f>
      </c>
      <c r="H334">
        <f>IFERROR(INDEX(tblDeviceConfig[PI_Use_Case],ROW()-1),"")</f>
      </c>
      <c r="I334">
        <f>IFERROR(INDEX(tblDeviceConfig[PI_Result],ROW()-1),"")</f>
      </c>
      <c r="J334">
        <f>IFERROR(INDEX(tblDeviceConfig[PI_Validated_By],ROW()-1),"")</f>
      </c>
      <c r="K334">
        <f>IFERROR(INDEX(tblDeviceConfig[PI_Validated_Date],ROW()-1),"")</f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</c>
      <c r="C335">
        <f>IFERROR(INDEX(tblDeviceConfig[Deployed],ROW()-1),"")</f>
      </c>
      <c r="D335">
        <f>IFERROR(INDEX(tblDeviceConfig[Installed],ROW()-1),"")</f>
      </c>
      <c r="E335">
        <f>IFERROR(INDEX(tblDeviceConfig[Cybernet Hostname],ROW()-1),"")</f>
      </c>
      <c r="F335">
        <f>IFERROR(INDEX(tblDeviceConfig[Neuron Hostname],ROW()-1),"")</f>
      </c>
      <c r="G335">
        <f>IFERROR(INDEX(tblDeviceConfig[Software List],ROW()-1),"")</f>
      </c>
      <c r="H335">
        <f>IFERROR(INDEX(tblDeviceConfig[PI_Use_Case],ROW()-1),"")</f>
      </c>
      <c r="I335">
        <f>IFERROR(INDEX(tblDeviceConfig[PI_Result],ROW()-1),"")</f>
      </c>
      <c r="J335">
        <f>IFERROR(INDEX(tblDeviceConfig[PI_Validated_By],ROW()-1),"")</f>
      </c>
      <c r="K335">
        <f>IFERROR(INDEX(tblDeviceConfig[PI_Validated_Date],ROW()-1),"")</f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</c>
      <c r="C336">
        <f>IFERROR(INDEX(tblDeviceConfig[Deployed],ROW()-1),"")</f>
      </c>
      <c r="D336">
        <f>IFERROR(INDEX(tblDeviceConfig[Installed],ROW()-1),"")</f>
      </c>
      <c r="E336">
        <f>IFERROR(INDEX(tblDeviceConfig[Cybernet Hostname],ROW()-1),"")</f>
      </c>
      <c r="F336">
        <f>IFERROR(INDEX(tblDeviceConfig[Neuron Hostname],ROW()-1),"")</f>
      </c>
      <c r="G336">
        <f>IFERROR(INDEX(tblDeviceConfig[Software List],ROW()-1),"")</f>
      </c>
      <c r="H336">
        <f>IFERROR(INDEX(tblDeviceConfig[PI_Use_Case],ROW()-1),"")</f>
      </c>
      <c r="I336">
        <f>IFERROR(INDEX(tblDeviceConfig[PI_Result],ROW()-1),"")</f>
      </c>
      <c r="J336">
        <f>IFERROR(INDEX(tblDeviceConfig[PI_Validated_By],ROW()-1),"")</f>
      </c>
      <c r="K336">
        <f>IFERROR(INDEX(tblDeviceConfig[PI_Validated_Date],ROW()-1),"")</f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</c>
      <c r="C337">
        <f>IFERROR(INDEX(tblDeviceConfig[Deployed],ROW()-1),"")</f>
      </c>
      <c r="D337">
        <f>IFERROR(INDEX(tblDeviceConfig[Installed],ROW()-1),"")</f>
      </c>
      <c r="E337">
        <f>IFERROR(INDEX(tblDeviceConfig[Cybernet Hostname],ROW()-1),"")</f>
      </c>
      <c r="F337">
        <f>IFERROR(INDEX(tblDeviceConfig[Neuron Hostname],ROW()-1),"")</f>
      </c>
      <c r="G337">
        <f>IFERROR(INDEX(tblDeviceConfig[Software List],ROW()-1),"")</f>
      </c>
      <c r="H337">
        <f>IFERROR(INDEX(tblDeviceConfig[PI_Use_Case],ROW()-1),"")</f>
      </c>
      <c r="I337">
        <f>IFERROR(INDEX(tblDeviceConfig[PI_Result],ROW()-1),"")</f>
      </c>
      <c r="J337">
        <f>IFERROR(INDEX(tblDeviceConfig[PI_Validated_By],ROW()-1),"")</f>
      </c>
      <c r="K337">
        <f>IFERROR(INDEX(tblDeviceConfig[PI_Validated_Date],ROW()-1),"")</f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</c>
      <c r="C338">
        <f>IFERROR(INDEX(tblDeviceConfig[Deployed],ROW()-1),"")</f>
      </c>
      <c r="D338">
        <f>IFERROR(INDEX(tblDeviceConfig[Installed],ROW()-1),"")</f>
      </c>
      <c r="E338">
        <f>IFERROR(INDEX(tblDeviceConfig[Cybernet Hostname],ROW()-1),"")</f>
      </c>
      <c r="F338">
        <f>IFERROR(INDEX(tblDeviceConfig[Neuron Hostname],ROW()-1),"")</f>
      </c>
      <c r="G338">
        <f>IFERROR(INDEX(tblDeviceConfig[Software List],ROW()-1),"")</f>
      </c>
      <c r="H338">
        <f>IFERROR(INDEX(tblDeviceConfig[PI_Use_Case],ROW()-1),"")</f>
      </c>
      <c r="I338">
        <f>IFERROR(INDEX(tblDeviceConfig[PI_Result],ROW()-1),"")</f>
      </c>
      <c r="J338">
        <f>IFERROR(INDEX(tblDeviceConfig[PI_Validated_By],ROW()-1),"")</f>
      </c>
      <c r="K338">
        <f>IFERROR(INDEX(tblDeviceConfig[PI_Validated_Date],ROW()-1),"")</f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</c>
      <c r="C339">
        <f>IFERROR(INDEX(tblDeviceConfig[Deployed],ROW()-1),"")</f>
      </c>
      <c r="D339">
        <f>IFERROR(INDEX(tblDeviceConfig[Installed],ROW()-1),"")</f>
      </c>
      <c r="E339">
        <f>IFERROR(INDEX(tblDeviceConfig[Cybernet Hostname],ROW()-1),"")</f>
      </c>
      <c r="F339">
        <f>IFERROR(INDEX(tblDeviceConfig[Neuron Hostname],ROW()-1),"")</f>
      </c>
      <c r="G339">
        <f>IFERROR(INDEX(tblDeviceConfig[Software List],ROW()-1),"")</f>
      </c>
      <c r="H339">
        <f>IFERROR(INDEX(tblDeviceConfig[PI_Use_Case],ROW()-1),"")</f>
      </c>
      <c r="I339">
        <f>IFERROR(INDEX(tblDeviceConfig[PI_Result],ROW()-1),"")</f>
      </c>
      <c r="J339">
        <f>IFERROR(INDEX(tblDeviceConfig[PI_Validated_By],ROW()-1),"")</f>
      </c>
      <c r="K339">
        <f>IFERROR(INDEX(tblDeviceConfig[PI_Validated_Date],ROW()-1),"")</f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</c>
      <c r="C340">
        <f>IFERROR(INDEX(tblDeviceConfig[Deployed],ROW()-1),"")</f>
      </c>
      <c r="D340">
        <f>IFERROR(INDEX(tblDeviceConfig[Installed],ROW()-1),"")</f>
      </c>
      <c r="E340">
        <f>IFERROR(INDEX(tblDeviceConfig[Cybernet Hostname],ROW()-1),"")</f>
      </c>
      <c r="F340">
        <f>IFERROR(INDEX(tblDeviceConfig[Neuron Hostname],ROW()-1),"")</f>
      </c>
      <c r="G340">
        <f>IFERROR(INDEX(tblDeviceConfig[Software List],ROW()-1),"")</f>
      </c>
      <c r="H340">
        <f>IFERROR(INDEX(tblDeviceConfig[PI_Use_Case],ROW()-1),"")</f>
      </c>
      <c r="I340">
        <f>IFERROR(INDEX(tblDeviceConfig[PI_Result],ROW()-1),"")</f>
      </c>
      <c r="J340">
        <f>IFERROR(INDEX(tblDeviceConfig[PI_Validated_By],ROW()-1),"")</f>
      </c>
      <c r="K340">
        <f>IFERROR(INDEX(tblDeviceConfig[PI_Validated_Date],ROW()-1),"")</f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</c>
      <c r="C341">
        <f>IFERROR(INDEX(tblDeviceConfig[Deployed],ROW()-1),"")</f>
      </c>
      <c r="D341">
        <f>IFERROR(INDEX(tblDeviceConfig[Installed],ROW()-1),"")</f>
      </c>
      <c r="E341">
        <f>IFERROR(INDEX(tblDeviceConfig[Cybernet Hostname],ROW()-1),"")</f>
      </c>
      <c r="F341">
        <f>IFERROR(INDEX(tblDeviceConfig[Neuron Hostname],ROW()-1),"")</f>
      </c>
      <c r="G341">
        <f>IFERROR(INDEX(tblDeviceConfig[Software List],ROW()-1),"")</f>
      </c>
      <c r="H341">
        <f>IFERROR(INDEX(tblDeviceConfig[PI_Use_Case],ROW()-1),"")</f>
      </c>
      <c r="I341">
        <f>IFERROR(INDEX(tblDeviceConfig[PI_Result],ROW()-1),"")</f>
      </c>
      <c r="J341">
        <f>IFERROR(INDEX(tblDeviceConfig[PI_Validated_By],ROW()-1),"")</f>
      </c>
      <c r="K341">
        <f>IFERROR(INDEX(tblDeviceConfig[PI_Validated_Date],ROW()-1),"")</f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</c>
      <c r="C342">
        <f>IFERROR(INDEX(tblDeviceConfig[Deployed],ROW()-1),"")</f>
      </c>
      <c r="D342">
        <f>IFERROR(INDEX(tblDeviceConfig[Installed],ROW()-1),"")</f>
      </c>
      <c r="E342">
        <f>IFERROR(INDEX(tblDeviceConfig[Cybernet Hostname],ROW()-1),"")</f>
      </c>
      <c r="F342">
        <f>IFERROR(INDEX(tblDeviceConfig[Neuron Hostname],ROW()-1),"")</f>
      </c>
      <c r="G342">
        <f>IFERROR(INDEX(tblDeviceConfig[Software List],ROW()-1),"")</f>
      </c>
      <c r="H342">
        <f>IFERROR(INDEX(tblDeviceConfig[PI_Use_Case],ROW()-1),"")</f>
      </c>
      <c r="I342">
        <f>IFERROR(INDEX(tblDeviceConfig[PI_Result],ROW()-1),"")</f>
      </c>
      <c r="J342">
        <f>IFERROR(INDEX(tblDeviceConfig[PI_Validated_By],ROW()-1),"")</f>
      </c>
      <c r="K342">
        <f>IFERROR(INDEX(tblDeviceConfig[PI_Validated_Date],ROW()-1),"")</f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</c>
      <c r="C343">
        <f>IFERROR(INDEX(tblDeviceConfig[Deployed],ROW()-1),"")</f>
      </c>
      <c r="D343">
        <f>IFERROR(INDEX(tblDeviceConfig[Installed],ROW()-1),"")</f>
      </c>
      <c r="E343">
        <f>IFERROR(INDEX(tblDeviceConfig[Cybernet Hostname],ROW()-1),"")</f>
      </c>
      <c r="F343">
        <f>IFERROR(INDEX(tblDeviceConfig[Neuron Hostname],ROW()-1),"")</f>
      </c>
      <c r="G343">
        <f>IFERROR(INDEX(tblDeviceConfig[Software List],ROW()-1),"")</f>
      </c>
      <c r="H343">
        <f>IFERROR(INDEX(tblDeviceConfig[PI_Use_Case],ROW()-1),"")</f>
      </c>
      <c r="I343">
        <f>IFERROR(INDEX(tblDeviceConfig[PI_Result],ROW()-1),"")</f>
      </c>
      <c r="J343">
        <f>IFERROR(INDEX(tblDeviceConfig[PI_Validated_By],ROW()-1),"")</f>
      </c>
      <c r="K343">
        <f>IFERROR(INDEX(tblDeviceConfig[PI_Validated_Date],ROW()-1),"")</f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</c>
      <c r="C344">
        <f>IFERROR(INDEX(tblDeviceConfig[Deployed],ROW()-1),"")</f>
      </c>
      <c r="D344">
        <f>IFERROR(INDEX(tblDeviceConfig[Installed],ROW()-1),"")</f>
      </c>
      <c r="E344">
        <f>IFERROR(INDEX(tblDeviceConfig[Cybernet Hostname],ROW()-1),"")</f>
      </c>
      <c r="F344">
        <f>IFERROR(INDEX(tblDeviceConfig[Neuron Hostname],ROW()-1),"")</f>
      </c>
      <c r="G344">
        <f>IFERROR(INDEX(tblDeviceConfig[Software List],ROW()-1),"")</f>
      </c>
      <c r="H344">
        <f>IFERROR(INDEX(tblDeviceConfig[PI_Use_Case],ROW()-1),"")</f>
      </c>
      <c r="I344">
        <f>IFERROR(INDEX(tblDeviceConfig[PI_Result],ROW()-1),"")</f>
      </c>
      <c r="J344">
        <f>IFERROR(INDEX(tblDeviceConfig[PI_Validated_By],ROW()-1),"")</f>
      </c>
      <c r="K344">
        <f>IFERROR(INDEX(tblDeviceConfig[PI_Validated_Date],ROW()-1),"")</f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</c>
      <c r="C345">
        <f>IFERROR(INDEX(tblDeviceConfig[Deployed],ROW()-1),"")</f>
      </c>
      <c r="D345">
        <f>IFERROR(INDEX(tblDeviceConfig[Installed],ROW()-1),"")</f>
      </c>
      <c r="E345">
        <f>IFERROR(INDEX(tblDeviceConfig[Cybernet Hostname],ROW()-1),"")</f>
      </c>
      <c r="F345">
        <f>IFERROR(INDEX(tblDeviceConfig[Neuron Hostname],ROW()-1),"")</f>
      </c>
      <c r="G345">
        <f>IFERROR(INDEX(tblDeviceConfig[Software List],ROW()-1),"")</f>
      </c>
      <c r="H345">
        <f>IFERROR(INDEX(tblDeviceConfig[PI_Use_Case],ROW()-1),"")</f>
      </c>
      <c r="I345">
        <f>IFERROR(INDEX(tblDeviceConfig[PI_Result],ROW()-1),"")</f>
      </c>
      <c r="J345">
        <f>IFERROR(INDEX(tblDeviceConfig[PI_Validated_By],ROW()-1),"")</f>
      </c>
      <c r="K345">
        <f>IFERROR(INDEX(tblDeviceConfig[PI_Validated_Date],ROW()-1),"")</f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</c>
      <c r="C346">
        <f>IFERROR(INDEX(tblDeviceConfig[Deployed],ROW()-1),"")</f>
      </c>
      <c r="D346">
        <f>IFERROR(INDEX(tblDeviceConfig[Installed],ROW()-1),"")</f>
      </c>
      <c r="E346">
        <f>IFERROR(INDEX(tblDeviceConfig[Cybernet Hostname],ROW()-1),"")</f>
      </c>
      <c r="F346">
        <f>IFERROR(INDEX(tblDeviceConfig[Neuron Hostname],ROW()-1),"")</f>
      </c>
      <c r="G346">
        <f>IFERROR(INDEX(tblDeviceConfig[Software List],ROW()-1),"")</f>
      </c>
      <c r="H346">
        <f>IFERROR(INDEX(tblDeviceConfig[PI_Use_Case],ROW()-1),"")</f>
      </c>
      <c r="I346">
        <f>IFERROR(INDEX(tblDeviceConfig[PI_Result],ROW()-1),"")</f>
      </c>
      <c r="J346">
        <f>IFERROR(INDEX(tblDeviceConfig[PI_Validated_By],ROW()-1),"")</f>
      </c>
      <c r="K346">
        <f>IFERROR(INDEX(tblDeviceConfig[PI_Validated_Date],ROW()-1),"")</f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</c>
      <c r="C347">
        <f>IFERROR(INDEX(tblDeviceConfig[Deployed],ROW()-1),"")</f>
      </c>
      <c r="D347">
        <f>IFERROR(INDEX(tblDeviceConfig[Installed],ROW()-1),"")</f>
      </c>
      <c r="E347">
        <f>IFERROR(INDEX(tblDeviceConfig[Cybernet Hostname],ROW()-1),"")</f>
      </c>
      <c r="F347">
        <f>IFERROR(INDEX(tblDeviceConfig[Neuron Hostname],ROW()-1),"")</f>
      </c>
      <c r="G347">
        <f>IFERROR(INDEX(tblDeviceConfig[Software List],ROW()-1),"")</f>
      </c>
      <c r="H347">
        <f>IFERROR(INDEX(tblDeviceConfig[PI_Use_Case],ROW()-1),"")</f>
      </c>
      <c r="I347">
        <f>IFERROR(INDEX(tblDeviceConfig[PI_Result],ROW()-1),"")</f>
      </c>
      <c r="J347">
        <f>IFERROR(INDEX(tblDeviceConfig[PI_Validated_By],ROW()-1),"")</f>
      </c>
      <c r="K347">
        <f>IFERROR(INDEX(tblDeviceConfig[PI_Validated_Date],ROW()-1),"")</f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</c>
      <c r="C348">
        <f>IFERROR(INDEX(tblDeviceConfig[Deployed],ROW()-1),"")</f>
      </c>
      <c r="D348">
        <f>IFERROR(INDEX(tblDeviceConfig[Installed],ROW()-1),"")</f>
      </c>
      <c r="E348">
        <f>IFERROR(INDEX(tblDeviceConfig[Cybernet Hostname],ROW()-1),"")</f>
      </c>
      <c r="F348">
        <f>IFERROR(INDEX(tblDeviceConfig[Neuron Hostname],ROW()-1),"")</f>
      </c>
      <c r="G348">
        <f>IFERROR(INDEX(tblDeviceConfig[Software List],ROW()-1),"")</f>
      </c>
      <c r="H348">
        <f>IFERROR(INDEX(tblDeviceConfig[PI_Use_Case],ROW()-1),"")</f>
      </c>
      <c r="I348">
        <f>IFERROR(INDEX(tblDeviceConfig[PI_Result],ROW()-1),"")</f>
      </c>
      <c r="J348">
        <f>IFERROR(INDEX(tblDeviceConfig[PI_Validated_By],ROW()-1),"")</f>
      </c>
      <c r="K348">
        <f>IFERROR(INDEX(tblDeviceConfig[PI_Validated_Date],ROW()-1),"")</f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</c>
      <c r="C349">
        <f>IFERROR(INDEX(tblDeviceConfig[Deployed],ROW()-1),"")</f>
      </c>
      <c r="D349">
        <f>IFERROR(INDEX(tblDeviceConfig[Installed],ROW()-1),"")</f>
      </c>
      <c r="E349">
        <f>IFERROR(INDEX(tblDeviceConfig[Cybernet Hostname],ROW()-1),"")</f>
      </c>
      <c r="F349">
        <f>IFERROR(INDEX(tblDeviceConfig[Neuron Hostname],ROW()-1),"")</f>
      </c>
      <c r="G349">
        <f>IFERROR(INDEX(tblDeviceConfig[Software List],ROW()-1),"")</f>
      </c>
      <c r="H349">
        <f>IFERROR(INDEX(tblDeviceConfig[PI_Use_Case],ROW()-1),"")</f>
      </c>
      <c r="I349">
        <f>IFERROR(INDEX(tblDeviceConfig[PI_Result],ROW()-1),"")</f>
      </c>
      <c r="J349">
        <f>IFERROR(INDEX(tblDeviceConfig[PI_Validated_By],ROW()-1),"")</f>
      </c>
      <c r="K349">
        <f>IFERROR(INDEX(tblDeviceConfig[PI_Validated_Date],ROW()-1),"")</f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</c>
      <c r="C350">
        <f>IFERROR(INDEX(tblDeviceConfig[Deployed],ROW()-1),"")</f>
      </c>
      <c r="D350">
        <f>IFERROR(INDEX(tblDeviceConfig[Installed],ROW()-1),"")</f>
      </c>
      <c r="E350">
        <f>IFERROR(INDEX(tblDeviceConfig[Cybernet Hostname],ROW()-1),"")</f>
      </c>
      <c r="F350">
        <f>IFERROR(INDEX(tblDeviceConfig[Neuron Hostname],ROW()-1),"")</f>
      </c>
      <c r="G350">
        <f>IFERROR(INDEX(tblDeviceConfig[Software List],ROW()-1),"")</f>
      </c>
      <c r="H350">
        <f>IFERROR(INDEX(tblDeviceConfig[PI_Use_Case],ROW()-1),"")</f>
      </c>
      <c r="I350">
        <f>IFERROR(INDEX(tblDeviceConfig[PI_Result],ROW()-1),"")</f>
      </c>
      <c r="J350">
        <f>IFERROR(INDEX(tblDeviceConfig[PI_Validated_By],ROW()-1),"")</f>
      </c>
      <c r="K350">
        <f>IFERROR(INDEX(tblDeviceConfig[PI_Validated_Date],ROW()-1),"")</f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</c>
      <c r="C351">
        <f>IFERROR(INDEX(tblDeviceConfig[Deployed],ROW()-1),"")</f>
      </c>
      <c r="D351">
        <f>IFERROR(INDEX(tblDeviceConfig[Installed],ROW()-1),"")</f>
      </c>
      <c r="E351">
        <f>IFERROR(INDEX(tblDeviceConfig[Cybernet Hostname],ROW()-1),"")</f>
      </c>
      <c r="F351">
        <f>IFERROR(INDEX(tblDeviceConfig[Neuron Hostname],ROW()-1),"")</f>
      </c>
      <c r="G351">
        <f>IFERROR(INDEX(tblDeviceConfig[Software List],ROW()-1),"")</f>
      </c>
      <c r="H351">
        <f>IFERROR(INDEX(tblDeviceConfig[PI_Use_Case],ROW()-1),"")</f>
      </c>
      <c r="I351">
        <f>IFERROR(INDEX(tblDeviceConfig[PI_Result],ROW()-1),"")</f>
      </c>
      <c r="J351">
        <f>IFERROR(INDEX(tblDeviceConfig[PI_Validated_By],ROW()-1),"")</f>
      </c>
      <c r="K351">
        <f>IFERROR(INDEX(tblDeviceConfig[PI_Validated_Date],ROW()-1),"")</f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</c>
      <c r="C352">
        <f>IFERROR(INDEX(tblDeviceConfig[Deployed],ROW()-1),"")</f>
      </c>
      <c r="D352">
        <f>IFERROR(INDEX(tblDeviceConfig[Installed],ROW()-1),"")</f>
      </c>
      <c r="E352">
        <f>IFERROR(INDEX(tblDeviceConfig[Cybernet Hostname],ROW()-1),"")</f>
      </c>
      <c r="F352">
        <f>IFERROR(INDEX(tblDeviceConfig[Neuron Hostname],ROW()-1),"")</f>
      </c>
      <c r="G352">
        <f>IFERROR(INDEX(tblDeviceConfig[Software List],ROW()-1),"")</f>
      </c>
      <c r="H352">
        <f>IFERROR(INDEX(tblDeviceConfig[PI_Use_Case],ROW()-1),"")</f>
      </c>
      <c r="I352">
        <f>IFERROR(INDEX(tblDeviceConfig[PI_Result],ROW()-1),"")</f>
      </c>
      <c r="J352">
        <f>IFERROR(INDEX(tblDeviceConfig[PI_Validated_By],ROW()-1),"")</f>
      </c>
      <c r="K352">
        <f>IFERROR(INDEX(tblDeviceConfig[PI_Validated_Date],ROW()-1),"")</f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</c>
      <c r="C353">
        <f>IFERROR(INDEX(tblDeviceConfig[Deployed],ROW()-1),"")</f>
      </c>
      <c r="D353">
        <f>IFERROR(INDEX(tblDeviceConfig[Installed],ROW()-1),"")</f>
      </c>
      <c r="E353">
        <f>IFERROR(INDEX(tblDeviceConfig[Cybernet Hostname],ROW()-1),"")</f>
      </c>
      <c r="F353">
        <f>IFERROR(INDEX(tblDeviceConfig[Neuron Hostname],ROW()-1),"")</f>
      </c>
      <c r="G353">
        <f>IFERROR(INDEX(tblDeviceConfig[Software List],ROW()-1),"")</f>
      </c>
      <c r="H353">
        <f>IFERROR(INDEX(tblDeviceConfig[PI_Use_Case],ROW()-1),"")</f>
      </c>
      <c r="I353">
        <f>IFERROR(INDEX(tblDeviceConfig[PI_Result],ROW()-1),"")</f>
      </c>
      <c r="J353">
        <f>IFERROR(INDEX(tblDeviceConfig[PI_Validated_By],ROW()-1),"")</f>
      </c>
      <c r="K353">
        <f>IFERROR(INDEX(tblDeviceConfig[PI_Validated_Date],ROW()-1),"")</f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</c>
      <c r="C354">
        <f>IFERROR(INDEX(tblDeviceConfig[Deployed],ROW()-1),"")</f>
      </c>
      <c r="D354">
        <f>IFERROR(INDEX(tblDeviceConfig[Installed],ROW()-1),"")</f>
      </c>
      <c r="E354">
        <f>IFERROR(INDEX(tblDeviceConfig[Cybernet Hostname],ROW()-1),"")</f>
      </c>
      <c r="F354">
        <f>IFERROR(INDEX(tblDeviceConfig[Neuron Hostname],ROW()-1),"")</f>
      </c>
      <c r="G354">
        <f>IFERROR(INDEX(tblDeviceConfig[Software List],ROW()-1),"")</f>
      </c>
      <c r="H354">
        <f>IFERROR(INDEX(tblDeviceConfig[PI_Use_Case],ROW()-1),"")</f>
      </c>
      <c r="I354">
        <f>IFERROR(INDEX(tblDeviceConfig[PI_Result],ROW()-1),"")</f>
      </c>
      <c r="J354">
        <f>IFERROR(INDEX(tblDeviceConfig[PI_Validated_By],ROW()-1),"")</f>
      </c>
      <c r="K354">
        <f>IFERROR(INDEX(tblDeviceConfig[PI_Validated_Date],ROW()-1),"")</f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</c>
      <c r="C355">
        <f>IFERROR(INDEX(tblDeviceConfig[Deployed],ROW()-1),"")</f>
      </c>
      <c r="D355">
        <f>IFERROR(INDEX(tblDeviceConfig[Installed],ROW()-1),"")</f>
      </c>
      <c r="E355">
        <f>IFERROR(INDEX(tblDeviceConfig[Cybernet Hostname],ROW()-1),"")</f>
      </c>
      <c r="F355">
        <f>IFERROR(INDEX(tblDeviceConfig[Neuron Hostname],ROW()-1),"")</f>
      </c>
      <c r="G355">
        <f>IFERROR(INDEX(tblDeviceConfig[Software List],ROW()-1),"")</f>
      </c>
      <c r="H355">
        <f>IFERROR(INDEX(tblDeviceConfig[PI_Use_Case],ROW()-1),"")</f>
      </c>
      <c r="I355">
        <f>IFERROR(INDEX(tblDeviceConfig[PI_Result],ROW()-1),"")</f>
      </c>
      <c r="J355">
        <f>IFERROR(INDEX(tblDeviceConfig[PI_Validated_By],ROW()-1),"")</f>
      </c>
      <c r="K355">
        <f>IFERROR(INDEX(tblDeviceConfig[PI_Validated_Date],ROW()-1),"")</f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</c>
      <c r="C356">
        <f>IFERROR(INDEX(tblDeviceConfig[Deployed],ROW()-1),"")</f>
      </c>
      <c r="D356">
        <f>IFERROR(INDEX(tblDeviceConfig[Installed],ROW()-1),"")</f>
      </c>
      <c r="E356">
        <f>IFERROR(INDEX(tblDeviceConfig[Cybernet Hostname],ROW()-1),"")</f>
      </c>
      <c r="F356">
        <f>IFERROR(INDEX(tblDeviceConfig[Neuron Hostname],ROW()-1),"")</f>
      </c>
      <c r="G356">
        <f>IFERROR(INDEX(tblDeviceConfig[Software List],ROW()-1),"")</f>
      </c>
      <c r="H356">
        <f>IFERROR(INDEX(tblDeviceConfig[PI_Use_Case],ROW()-1),"")</f>
      </c>
      <c r="I356">
        <f>IFERROR(INDEX(tblDeviceConfig[PI_Result],ROW()-1),"")</f>
      </c>
      <c r="J356">
        <f>IFERROR(INDEX(tblDeviceConfig[PI_Validated_By],ROW()-1),"")</f>
      </c>
      <c r="K356">
        <f>IFERROR(INDEX(tblDeviceConfig[PI_Validated_Date],ROW()-1),"")</f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</c>
      <c r="C357">
        <f>IFERROR(INDEX(tblDeviceConfig[Deployed],ROW()-1),"")</f>
      </c>
      <c r="D357">
        <f>IFERROR(INDEX(tblDeviceConfig[Installed],ROW()-1),"")</f>
      </c>
      <c r="E357">
        <f>IFERROR(INDEX(tblDeviceConfig[Cybernet Hostname],ROW()-1),"")</f>
      </c>
      <c r="F357">
        <f>IFERROR(INDEX(tblDeviceConfig[Neuron Hostname],ROW()-1),"")</f>
      </c>
      <c r="G357">
        <f>IFERROR(INDEX(tblDeviceConfig[Software List],ROW()-1),"")</f>
      </c>
      <c r="H357">
        <f>IFERROR(INDEX(tblDeviceConfig[PI_Use_Case],ROW()-1),"")</f>
      </c>
      <c r="I357">
        <f>IFERROR(INDEX(tblDeviceConfig[PI_Result],ROW()-1),"")</f>
      </c>
      <c r="J357">
        <f>IFERROR(INDEX(tblDeviceConfig[PI_Validated_By],ROW()-1),"")</f>
      </c>
      <c r="K357">
        <f>IFERROR(INDEX(tblDeviceConfig[PI_Validated_Date],ROW()-1),"")</f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</c>
      <c r="C358">
        <f>IFERROR(INDEX(tblDeviceConfig[Deployed],ROW()-1),"")</f>
      </c>
      <c r="D358">
        <f>IFERROR(INDEX(tblDeviceConfig[Installed],ROW()-1),"")</f>
      </c>
      <c r="E358">
        <f>IFERROR(INDEX(tblDeviceConfig[Cybernet Hostname],ROW()-1),"")</f>
      </c>
      <c r="F358">
        <f>IFERROR(INDEX(tblDeviceConfig[Neuron Hostname],ROW()-1),"")</f>
      </c>
      <c r="G358">
        <f>IFERROR(INDEX(tblDeviceConfig[Software List],ROW()-1),"")</f>
      </c>
      <c r="H358">
        <f>IFERROR(INDEX(tblDeviceConfig[PI_Use_Case],ROW()-1),"")</f>
      </c>
      <c r="I358">
        <f>IFERROR(INDEX(tblDeviceConfig[PI_Result],ROW()-1),"")</f>
      </c>
      <c r="J358">
        <f>IFERROR(INDEX(tblDeviceConfig[PI_Validated_By],ROW()-1),"")</f>
      </c>
      <c r="K358">
        <f>IFERROR(INDEX(tblDeviceConfig[PI_Validated_Date],ROW()-1),"")</f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</c>
      <c r="C359">
        <f>IFERROR(INDEX(tblDeviceConfig[Deployed],ROW()-1),"")</f>
      </c>
      <c r="D359">
        <f>IFERROR(INDEX(tblDeviceConfig[Installed],ROW()-1),"")</f>
      </c>
      <c r="E359">
        <f>IFERROR(INDEX(tblDeviceConfig[Cybernet Hostname],ROW()-1),"")</f>
      </c>
      <c r="F359">
        <f>IFERROR(INDEX(tblDeviceConfig[Neuron Hostname],ROW()-1),"")</f>
      </c>
      <c r="G359">
        <f>IFERROR(INDEX(tblDeviceConfig[Software List],ROW()-1),"")</f>
      </c>
      <c r="H359">
        <f>IFERROR(INDEX(tblDeviceConfig[PI_Use_Case],ROW()-1),"")</f>
      </c>
      <c r="I359">
        <f>IFERROR(INDEX(tblDeviceConfig[PI_Result],ROW()-1),"")</f>
      </c>
      <c r="J359">
        <f>IFERROR(INDEX(tblDeviceConfig[PI_Validated_By],ROW()-1),"")</f>
      </c>
      <c r="K359">
        <f>IFERROR(INDEX(tblDeviceConfig[PI_Validated_Date],ROW()-1),"")</f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</c>
      <c r="C360">
        <f>IFERROR(INDEX(tblDeviceConfig[Deployed],ROW()-1),"")</f>
      </c>
      <c r="D360">
        <f>IFERROR(INDEX(tblDeviceConfig[Installed],ROW()-1),"")</f>
      </c>
      <c r="E360">
        <f>IFERROR(INDEX(tblDeviceConfig[Cybernet Hostname],ROW()-1),"")</f>
      </c>
      <c r="F360">
        <f>IFERROR(INDEX(tblDeviceConfig[Neuron Hostname],ROW()-1),"")</f>
      </c>
      <c r="G360">
        <f>IFERROR(INDEX(tblDeviceConfig[Software List],ROW()-1),"")</f>
      </c>
      <c r="H360">
        <f>IFERROR(INDEX(tblDeviceConfig[PI_Use_Case],ROW()-1),"")</f>
      </c>
      <c r="I360">
        <f>IFERROR(INDEX(tblDeviceConfig[PI_Result],ROW()-1),"")</f>
      </c>
      <c r="J360">
        <f>IFERROR(INDEX(tblDeviceConfig[PI_Validated_By],ROW()-1),"")</f>
      </c>
      <c r="K360">
        <f>IFERROR(INDEX(tblDeviceConfig[PI_Validated_Date],ROW()-1),"")</f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</c>
      <c r="C361">
        <f>IFERROR(INDEX(tblDeviceConfig[Deployed],ROW()-1),"")</f>
      </c>
      <c r="D361">
        <f>IFERROR(INDEX(tblDeviceConfig[Installed],ROW()-1),"")</f>
      </c>
      <c r="E361">
        <f>IFERROR(INDEX(tblDeviceConfig[Cybernet Hostname],ROW()-1),"")</f>
      </c>
      <c r="F361">
        <f>IFERROR(INDEX(tblDeviceConfig[Neuron Hostname],ROW()-1),"")</f>
      </c>
      <c r="G361">
        <f>IFERROR(INDEX(tblDeviceConfig[Software List],ROW()-1),"")</f>
      </c>
      <c r="H361">
        <f>IFERROR(INDEX(tblDeviceConfig[PI_Use_Case],ROW()-1),"")</f>
      </c>
      <c r="I361">
        <f>IFERROR(INDEX(tblDeviceConfig[PI_Result],ROW()-1),"")</f>
      </c>
      <c r="J361">
        <f>IFERROR(INDEX(tblDeviceConfig[PI_Validated_By],ROW()-1),"")</f>
      </c>
      <c r="K361">
        <f>IFERROR(INDEX(tblDeviceConfig[PI_Validated_Date],ROW()-1),"")</f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</c>
      <c r="C362">
        <f>IFERROR(INDEX(tblDeviceConfig[Deployed],ROW()-1),"")</f>
      </c>
      <c r="D362">
        <f>IFERROR(INDEX(tblDeviceConfig[Installed],ROW()-1),"")</f>
      </c>
      <c r="E362">
        <f>IFERROR(INDEX(tblDeviceConfig[Cybernet Hostname],ROW()-1),"")</f>
      </c>
      <c r="F362">
        <f>IFERROR(INDEX(tblDeviceConfig[Neuron Hostname],ROW()-1),"")</f>
      </c>
      <c r="G362">
        <f>IFERROR(INDEX(tblDeviceConfig[Software List],ROW()-1),"")</f>
      </c>
      <c r="H362">
        <f>IFERROR(INDEX(tblDeviceConfig[PI_Use_Case],ROW()-1),"")</f>
      </c>
      <c r="I362">
        <f>IFERROR(INDEX(tblDeviceConfig[PI_Result],ROW()-1),"")</f>
      </c>
      <c r="J362">
        <f>IFERROR(INDEX(tblDeviceConfig[PI_Validated_By],ROW()-1),"")</f>
      </c>
      <c r="K362">
        <f>IFERROR(INDEX(tblDeviceConfig[PI_Validated_Date],ROW()-1),"")</f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</c>
      <c r="C363">
        <f>IFERROR(INDEX(tblDeviceConfig[Deployed],ROW()-1),"")</f>
      </c>
      <c r="D363">
        <f>IFERROR(INDEX(tblDeviceConfig[Installed],ROW()-1),"")</f>
      </c>
      <c r="E363">
        <f>IFERROR(INDEX(tblDeviceConfig[Cybernet Hostname],ROW()-1),"")</f>
      </c>
      <c r="F363">
        <f>IFERROR(INDEX(tblDeviceConfig[Neuron Hostname],ROW()-1),"")</f>
      </c>
      <c r="G363">
        <f>IFERROR(INDEX(tblDeviceConfig[Software List],ROW()-1),"")</f>
      </c>
      <c r="H363">
        <f>IFERROR(INDEX(tblDeviceConfig[PI_Use_Case],ROW()-1),"")</f>
      </c>
      <c r="I363">
        <f>IFERROR(INDEX(tblDeviceConfig[PI_Result],ROW()-1),"")</f>
      </c>
      <c r="J363">
        <f>IFERROR(INDEX(tblDeviceConfig[PI_Validated_By],ROW()-1),"")</f>
      </c>
      <c r="K363">
        <f>IFERROR(INDEX(tblDeviceConfig[PI_Validated_Date],ROW()-1),"")</f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</c>
      <c r="C364">
        <f>IFERROR(INDEX(tblDeviceConfig[Deployed],ROW()-1),"")</f>
      </c>
      <c r="D364">
        <f>IFERROR(INDEX(tblDeviceConfig[Installed],ROW()-1),"")</f>
      </c>
      <c r="E364">
        <f>IFERROR(INDEX(tblDeviceConfig[Cybernet Hostname],ROW()-1),"")</f>
      </c>
      <c r="F364">
        <f>IFERROR(INDEX(tblDeviceConfig[Neuron Hostname],ROW()-1),"")</f>
      </c>
      <c r="G364">
        <f>IFERROR(INDEX(tblDeviceConfig[Software List],ROW()-1),"")</f>
      </c>
      <c r="H364">
        <f>IFERROR(INDEX(tblDeviceConfig[PI_Use_Case],ROW()-1),"")</f>
      </c>
      <c r="I364">
        <f>IFERROR(INDEX(tblDeviceConfig[PI_Result],ROW()-1),"")</f>
      </c>
      <c r="J364">
        <f>IFERROR(INDEX(tblDeviceConfig[PI_Validated_By],ROW()-1),"")</f>
      </c>
      <c r="K364">
        <f>IFERROR(INDEX(tblDeviceConfig[PI_Validated_Date],ROW()-1),"")</f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</c>
      <c r="C365">
        <f>IFERROR(INDEX(tblDeviceConfig[Deployed],ROW()-1),"")</f>
      </c>
      <c r="D365">
        <f>IFERROR(INDEX(tblDeviceConfig[Installed],ROW()-1),"")</f>
      </c>
      <c r="E365">
        <f>IFERROR(INDEX(tblDeviceConfig[Cybernet Hostname],ROW()-1),"")</f>
      </c>
      <c r="F365">
        <f>IFERROR(INDEX(tblDeviceConfig[Neuron Hostname],ROW()-1),"")</f>
      </c>
      <c r="G365">
        <f>IFERROR(INDEX(tblDeviceConfig[Software List],ROW()-1),"")</f>
      </c>
      <c r="H365">
        <f>IFERROR(INDEX(tblDeviceConfig[PI_Use_Case],ROW()-1),"")</f>
      </c>
      <c r="I365">
        <f>IFERROR(INDEX(tblDeviceConfig[PI_Result],ROW()-1),"")</f>
      </c>
      <c r="J365">
        <f>IFERROR(INDEX(tblDeviceConfig[PI_Validated_By],ROW()-1),"")</f>
      </c>
      <c r="K365">
        <f>IFERROR(INDEX(tblDeviceConfig[PI_Validated_Date],ROW()-1),"")</f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</c>
      <c r="C366">
        <f>IFERROR(INDEX(tblDeviceConfig[Deployed],ROW()-1),"")</f>
      </c>
      <c r="D366">
        <f>IFERROR(INDEX(tblDeviceConfig[Installed],ROW()-1),"")</f>
      </c>
      <c r="E366">
        <f>IFERROR(INDEX(tblDeviceConfig[Cybernet Hostname],ROW()-1),"")</f>
      </c>
      <c r="F366">
        <f>IFERROR(INDEX(tblDeviceConfig[Neuron Hostname],ROW()-1),"")</f>
      </c>
      <c r="G366">
        <f>IFERROR(INDEX(tblDeviceConfig[Software List],ROW()-1),"")</f>
      </c>
      <c r="H366">
        <f>IFERROR(INDEX(tblDeviceConfig[PI_Use_Case],ROW()-1),"")</f>
      </c>
      <c r="I366">
        <f>IFERROR(INDEX(tblDeviceConfig[PI_Result],ROW()-1),"")</f>
      </c>
      <c r="J366">
        <f>IFERROR(INDEX(tblDeviceConfig[PI_Validated_By],ROW()-1),"")</f>
      </c>
      <c r="K366">
        <f>IFERROR(INDEX(tblDeviceConfig[PI_Validated_Date],ROW()-1),"")</f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</c>
      <c r="C367">
        <f>IFERROR(INDEX(tblDeviceConfig[Deployed],ROW()-1),"")</f>
      </c>
      <c r="D367">
        <f>IFERROR(INDEX(tblDeviceConfig[Installed],ROW()-1),"")</f>
      </c>
      <c r="E367">
        <f>IFERROR(INDEX(tblDeviceConfig[Cybernet Hostname],ROW()-1),"")</f>
      </c>
      <c r="F367">
        <f>IFERROR(INDEX(tblDeviceConfig[Neuron Hostname],ROW()-1),"")</f>
      </c>
      <c r="G367">
        <f>IFERROR(INDEX(tblDeviceConfig[Software List],ROW()-1),"")</f>
      </c>
      <c r="H367">
        <f>IFERROR(INDEX(tblDeviceConfig[PI_Use_Case],ROW()-1),"")</f>
      </c>
      <c r="I367">
        <f>IFERROR(INDEX(tblDeviceConfig[PI_Result],ROW()-1),"")</f>
      </c>
      <c r="J367">
        <f>IFERROR(INDEX(tblDeviceConfig[PI_Validated_By],ROW()-1),"")</f>
      </c>
      <c r="K367">
        <f>IFERROR(INDEX(tblDeviceConfig[PI_Validated_Date],ROW()-1),"")</f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</c>
      <c r="C368">
        <f>IFERROR(INDEX(tblDeviceConfig[Deployed],ROW()-1),"")</f>
      </c>
      <c r="D368">
        <f>IFERROR(INDEX(tblDeviceConfig[Installed],ROW()-1),"")</f>
      </c>
      <c r="E368">
        <f>IFERROR(INDEX(tblDeviceConfig[Cybernet Hostname],ROW()-1),"")</f>
      </c>
      <c r="F368">
        <f>IFERROR(INDEX(tblDeviceConfig[Neuron Hostname],ROW()-1),"")</f>
      </c>
      <c r="G368">
        <f>IFERROR(INDEX(tblDeviceConfig[Software List],ROW()-1),"")</f>
      </c>
      <c r="H368">
        <f>IFERROR(INDEX(tblDeviceConfig[PI_Use_Case],ROW()-1),"")</f>
      </c>
      <c r="I368">
        <f>IFERROR(INDEX(tblDeviceConfig[PI_Result],ROW()-1),"")</f>
      </c>
      <c r="J368">
        <f>IFERROR(INDEX(tblDeviceConfig[PI_Validated_By],ROW()-1),"")</f>
      </c>
      <c r="K368">
        <f>IFERROR(INDEX(tblDeviceConfig[PI_Validated_Date],ROW()-1),"")</f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</c>
      <c r="C369">
        <f>IFERROR(INDEX(tblDeviceConfig[Deployed],ROW()-1),"")</f>
      </c>
      <c r="D369">
        <f>IFERROR(INDEX(tblDeviceConfig[Installed],ROW()-1),"")</f>
      </c>
      <c r="E369">
        <f>IFERROR(INDEX(tblDeviceConfig[Cybernet Hostname],ROW()-1),"")</f>
      </c>
      <c r="F369">
        <f>IFERROR(INDEX(tblDeviceConfig[Neuron Hostname],ROW()-1),"")</f>
      </c>
      <c r="G369">
        <f>IFERROR(INDEX(tblDeviceConfig[Software List],ROW()-1),"")</f>
      </c>
      <c r="H369">
        <f>IFERROR(INDEX(tblDeviceConfig[PI_Use_Case],ROW()-1),"")</f>
      </c>
      <c r="I369">
        <f>IFERROR(INDEX(tblDeviceConfig[PI_Result],ROW()-1),"")</f>
      </c>
      <c r="J369">
        <f>IFERROR(INDEX(tblDeviceConfig[PI_Validated_By],ROW()-1),"")</f>
      </c>
      <c r="K369">
        <f>IFERROR(INDEX(tblDeviceConfig[PI_Validated_Date],ROW()-1),"")</f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</c>
      <c r="C370">
        <f>IFERROR(INDEX(tblDeviceConfig[Deployed],ROW()-1),"")</f>
      </c>
      <c r="D370">
        <f>IFERROR(INDEX(tblDeviceConfig[Installed],ROW()-1),"")</f>
      </c>
      <c r="E370">
        <f>IFERROR(INDEX(tblDeviceConfig[Cybernet Hostname],ROW()-1),"")</f>
      </c>
      <c r="F370">
        <f>IFERROR(INDEX(tblDeviceConfig[Neuron Hostname],ROW()-1),"")</f>
      </c>
      <c r="G370">
        <f>IFERROR(INDEX(tblDeviceConfig[Software List],ROW()-1),"")</f>
      </c>
      <c r="H370">
        <f>IFERROR(INDEX(tblDeviceConfig[PI_Use_Case],ROW()-1),"")</f>
      </c>
      <c r="I370">
        <f>IFERROR(INDEX(tblDeviceConfig[PI_Result],ROW()-1),"")</f>
      </c>
      <c r="J370">
        <f>IFERROR(INDEX(tblDeviceConfig[PI_Validated_By],ROW()-1),"")</f>
      </c>
      <c r="K370">
        <f>IFERROR(INDEX(tblDeviceConfig[PI_Validated_Date],ROW()-1),"")</f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</c>
      <c r="C371">
        <f>IFERROR(INDEX(tblDeviceConfig[Deployed],ROW()-1),"")</f>
      </c>
      <c r="D371">
        <f>IFERROR(INDEX(tblDeviceConfig[Installed],ROW()-1),"")</f>
      </c>
      <c r="E371">
        <f>IFERROR(INDEX(tblDeviceConfig[Cybernet Hostname],ROW()-1),"")</f>
      </c>
      <c r="F371">
        <f>IFERROR(INDEX(tblDeviceConfig[Neuron Hostname],ROW()-1),"")</f>
      </c>
      <c r="G371">
        <f>IFERROR(INDEX(tblDeviceConfig[Software List],ROW()-1),"")</f>
      </c>
      <c r="H371">
        <f>IFERROR(INDEX(tblDeviceConfig[PI_Use_Case],ROW()-1),"")</f>
      </c>
      <c r="I371">
        <f>IFERROR(INDEX(tblDeviceConfig[PI_Result],ROW()-1),"")</f>
      </c>
      <c r="J371">
        <f>IFERROR(INDEX(tblDeviceConfig[PI_Validated_By],ROW()-1),"")</f>
      </c>
      <c r="K371">
        <f>IFERROR(INDEX(tblDeviceConfig[PI_Validated_Date],ROW()-1),"")</f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</c>
      <c r="C372">
        <f>IFERROR(INDEX(tblDeviceConfig[Deployed],ROW()-1),"")</f>
      </c>
      <c r="D372">
        <f>IFERROR(INDEX(tblDeviceConfig[Installed],ROW()-1),"")</f>
      </c>
      <c r="E372">
        <f>IFERROR(INDEX(tblDeviceConfig[Cybernet Hostname],ROW()-1),"")</f>
      </c>
      <c r="F372">
        <f>IFERROR(INDEX(tblDeviceConfig[Neuron Hostname],ROW()-1),"")</f>
      </c>
      <c r="G372">
        <f>IFERROR(INDEX(tblDeviceConfig[Software List],ROW()-1),"")</f>
      </c>
      <c r="H372">
        <f>IFERROR(INDEX(tblDeviceConfig[PI_Use_Case],ROW()-1),"")</f>
      </c>
      <c r="I372">
        <f>IFERROR(INDEX(tblDeviceConfig[PI_Result],ROW()-1),"")</f>
      </c>
      <c r="J372">
        <f>IFERROR(INDEX(tblDeviceConfig[PI_Validated_By],ROW()-1),"")</f>
      </c>
      <c r="K372">
        <f>IFERROR(INDEX(tblDeviceConfig[PI_Validated_Date],ROW()-1),"")</f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</c>
      <c r="C373">
        <f>IFERROR(INDEX(tblDeviceConfig[Deployed],ROW()-1),"")</f>
      </c>
      <c r="D373">
        <f>IFERROR(INDEX(tblDeviceConfig[Installed],ROW()-1),"")</f>
      </c>
      <c r="E373">
        <f>IFERROR(INDEX(tblDeviceConfig[Cybernet Hostname],ROW()-1),"")</f>
      </c>
      <c r="F373">
        <f>IFERROR(INDEX(tblDeviceConfig[Neuron Hostname],ROW()-1),"")</f>
      </c>
      <c r="G373">
        <f>IFERROR(INDEX(tblDeviceConfig[Software List],ROW()-1),"")</f>
      </c>
      <c r="H373">
        <f>IFERROR(INDEX(tblDeviceConfig[PI_Use_Case],ROW()-1),"")</f>
      </c>
      <c r="I373">
        <f>IFERROR(INDEX(tblDeviceConfig[PI_Result],ROW()-1),"")</f>
      </c>
      <c r="J373">
        <f>IFERROR(INDEX(tblDeviceConfig[PI_Validated_By],ROW()-1),"")</f>
      </c>
      <c r="K373">
        <f>IFERROR(INDEX(tblDeviceConfig[PI_Validated_Date],ROW()-1),"")</f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</c>
      <c r="C374">
        <f>IFERROR(INDEX(tblDeviceConfig[Deployed],ROW()-1),"")</f>
      </c>
      <c r="D374">
        <f>IFERROR(INDEX(tblDeviceConfig[Installed],ROW()-1),"")</f>
      </c>
      <c r="E374">
        <f>IFERROR(INDEX(tblDeviceConfig[Cybernet Hostname],ROW()-1),"")</f>
      </c>
      <c r="F374">
        <f>IFERROR(INDEX(tblDeviceConfig[Neuron Hostname],ROW()-1),"")</f>
      </c>
      <c r="G374">
        <f>IFERROR(INDEX(tblDeviceConfig[Software List],ROW()-1),"")</f>
      </c>
      <c r="H374">
        <f>IFERROR(INDEX(tblDeviceConfig[PI_Use_Case],ROW()-1),"")</f>
      </c>
      <c r="I374">
        <f>IFERROR(INDEX(tblDeviceConfig[PI_Result],ROW()-1),"")</f>
      </c>
      <c r="J374">
        <f>IFERROR(INDEX(tblDeviceConfig[PI_Validated_By],ROW()-1),"")</f>
      </c>
      <c r="K374">
        <f>IFERROR(INDEX(tblDeviceConfig[PI_Validated_Date],ROW()-1),"")</f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</c>
      <c r="C375">
        <f>IFERROR(INDEX(tblDeviceConfig[Deployed],ROW()-1),"")</f>
      </c>
      <c r="D375">
        <f>IFERROR(INDEX(tblDeviceConfig[Installed],ROW()-1),"")</f>
      </c>
      <c r="E375">
        <f>IFERROR(INDEX(tblDeviceConfig[Cybernet Hostname],ROW()-1),"")</f>
      </c>
      <c r="F375">
        <f>IFERROR(INDEX(tblDeviceConfig[Neuron Hostname],ROW()-1),"")</f>
      </c>
      <c r="G375">
        <f>IFERROR(INDEX(tblDeviceConfig[Software List],ROW()-1),"")</f>
      </c>
      <c r="H375">
        <f>IFERROR(INDEX(tblDeviceConfig[PI_Use_Case],ROW()-1),"")</f>
      </c>
      <c r="I375">
        <f>IFERROR(INDEX(tblDeviceConfig[PI_Result],ROW()-1),"")</f>
      </c>
      <c r="J375">
        <f>IFERROR(INDEX(tblDeviceConfig[PI_Validated_By],ROW()-1),"")</f>
      </c>
      <c r="K375">
        <f>IFERROR(INDEX(tblDeviceConfig[PI_Validated_Date],ROW()-1),"")</f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</c>
      <c r="C376">
        <f>IFERROR(INDEX(tblDeviceConfig[Deployed],ROW()-1),"")</f>
      </c>
      <c r="D376">
        <f>IFERROR(INDEX(tblDeviceConfig[Installed],ROW()-1),"")</f>
      </c>
      <c r="E376">
        <f>IFERROR(INDEX(tblDeviceConfig[Cybernet Hostname],ROW()-1),"")</f>
      </c>
      <c r="F376">
        <f>IFERROR(INDEX(tblDeviceConfig[Neuron Hostname],ROW()-1),"")</f>
      </c>
      <c r="G376">
        <f>IFERROR(INDEX(tblDeviceConfig[Software List],ROW()-1),"")</f>
      </c>
      <c r="H376">
        <f>IFERROR(INDEX(tblDeviceConfig[PI_Use_Case],ROW()-1),"")</f>
      </c>
      <c r="I376">
        <f>IFERROR(INDEX(tblDeviceConfig[PI_Result],ROW()-1),"")</f>
      </c>
      <c r="J376">
        <f>IFERROR(INDEX(tblDeviceConfig[PI_Validated_By],ROW()-1),"")</f>
      </c>
      <c r="K376">
        <f>IFERROR(INDEX(tblDeviceConfig[PI_Validated_Date],ROW()-1),"")</f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</c>
      <c r="C377">
        <f>IFERROR(INDEX(tblDeviceConfig[Deployed],ROW()-1),"")</f>
      </c>
      <c r="D377">
        <f>IFERROR(INDEX(tblDeviceConfig[Installed],ROW()-1),"")</f>
      </c>
      <c r="E377">
        <f>IFERROR(INDEX(tblDeviceConfig[Cybernet Hostname],ROW()-1),"")</f>
      </c>
      <c r="F377">
        <f>IFERROR(INDEX(tblDeviceConfig[Neuron Hostname],ROW()-1),"")</f>
      </c>
      <c r="G377">
        <f>IFERROR(INDEX(tblDeviceConfig[Software List],ROW()-1),"")</f>
      </c>
      <c r="H377">
        <f>IFERROR(INDEX(tblDeviceConfig[PI_Use_Case],ROW()-1),"")</f>
      </c>
      <c r="I377">
        <f>IFERROR(INDEX(tblDeviceConfig[PI_Result],ROW()-1),"")</f>
      </c>
      <c r="J377">
        <f>IFERROR(INDEX(tblDeviceConfig[PI_Validated_By],ROW()-1),"")</f>
      </c>
      <c r="K377">
        <f>IFERROR(INDEX(tblDeviceConfig[PI_Validated_Date],ROW()-1),"")</f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</c>
      <c r="C378">
        <f>IFERROR(INDEX(tblDeviceConfig[Deployed],ROW()-1),"")</f>
      </c>
      <c r="D378">
        <f>IFERROR(INDEX(tblDeviceConfig[Installed],ROW()-1),"")</f>
      </c>
      <c r="E378">
        <f>IFERROR(INDEX(tblDeviceConfig[Cybernet Hostname],ROW()-1),"")</f>
      </c>
      <c r="F378">
        <f>IFERROR(INDEX(tblDeviceConfig[Neuron Hostname],ROW()-1),"")</f>
      </c>
      <c r="G378">
        <f>IFERROR(INDEX(tblDeviceConfig[Software List],ROW()-1),"")</f>
      </c>
      <c r="H378">
        <f>IFERROR(INDEX(tblDeviceConfig[PI_Use_Case],ROW()-1),"")</f>
      </c>
      <c r="I378">
        <f>IFERROR(INDEX(tblDeviceConfig[PI_Result],ROW()-1),"")</f>
      </c>
      <c r="J378">
        <f>IFERROR(INDEX(tblDeviceConfig[PI_Validated_By],ROW()-1),"")</f>
      </c>
      <c r="K378">
        <f>IFERROR(INDEX(tblDeviceConfig[PI_Validated_Date],ROW()-1),"")</f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</c>
      <c r="C379">
        <f>IFERROR(INDEX(tblDeviceConfig[Deployed],ROW()-1),"")</f>
      </c>
      <c r="D379">
        <f>IFERROR(INDEX(tblDeviceConfig[Installed],ROW()-1),"")</f>
      </c>
      <c r="E379">
        <f>IFERROR(INDEX(tblDeviceConfig[Cybernet Hostname],ROW()-1),"")</f>
      </c>
      <c r="F379">
        <f>IFERROR(INDEX(tblDeviceConfig[Neuron Hostname],ROW()-1),"")</f>
      </c>
      <c r="G379">
        <f>IFERROR(INDEX(tblDeviceConfig[Software List],ROW()-1),"")</f>
      </c>
      <c r="H379">
        <f>IFERROR(INDEX(tblDeviceConfig[PI_Use_Case],ROW()-1),"")</f>
      </c>
      <c r="I379">
        <f>IFERROR(INDEX(tblDeviceConfig[PI_Result],ROW()-1),"")</f>
      </c>
      <c r="J379">
        <f>IFERROR(INDEX(tblDeviceConfig[PI_Validated_By],ROW()-1),"")</f>
      </c>
      <c r="K379">
        <f>IFERROR(INDEX(tblDeviceConfig[PI_Validated_Date],ROW()-1),"")</f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</c>
      <c r="C380">
        <f>IFERROR(INDEX(tblDeviceConfig[Deployed],ROW()-1),"")</f>
      </c>
      <c r="D380">
        <f>IFERROR(INDEX(tblDeviceConfig[Installed],ROW()-1),"")</f>
      </c>
      <c r="E380">
        <f>IFERROR(INDEX(tblDeviceConfig[Cybernet Hostname],ROW()-1),"")</f>
      </c>
      <c r="F380">
        <f>IFERROR(INDEX(tblDeviceConfig[Neuron Hostname],ROW()-1),"")</f>
      </c>
      <c r="G380">
        <f>IFERROR(INDEX(tblDeviceConfig[Software List],ROW()-1),"")</f>
      </c>
      <c r="H380">
        <f>IFERROR(INDEX(tblDeviceConfig[PI_Use_Case],ROW()-1),"")</f>
      </c>
      <c r="I380">
        <f>IFERROR(INDEX(tblDeviceConfig[PI_Result],ROW()-1),"")</f>
      </c>
      <c r="J380">
        <f>IFERROR(INDEX(tblDeviceConfig[PI_Validated_By],ROW()-1),"")</f>
      </c>
      <c r="K380">
        <f>IFERROR(INDEX(tblDeviceConfig[PI_Validated_Date],ROW()-1),"")</f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</c>
      <c r="C381">
        <f>IFERROR(INDEX(tblDeviceConfig[Deployed],ROW()-1),"")</f>
      </c>
      <c r="D381">
        <f>IFERROR(INDEX(tblDeviceConfig[Installed],ROW()-1),"")</f>
      </c>
      <c r="E381">
        <f>IFERROR(INDEX(tblDeviceConfig[Cybernet Hostname],ROW()-1),"")</f>
      </c>
      <c r="F381">
        <f>IFERROR(INDEX(tblDeviceConfig[Neuron Hostname],ROW()-1),"")</f>
      </c>
      <c r="G381">
        <f>IFERROR(INDEX(tblDeviceConfig[Software List],ROW()-1),"")</f>
      </c>
      <c r="H381">
        <f>IFERROR(INDEX(tblDeviceConfig[PI_Use_Case],ROW()-1),"")</f>
      </c>
      <c r="I381">
        <f>IFERROR(INDEX(tblDeviceConfig[PI_Result],ROW()-1),"")</f>
      </c>
      <c r="J381">
        <f>IFERROR(INDEX(tblDeviceConfig[PI_Validated_By],ROW()-1),"")</f>
      </c>
      <c r="K381">
        <f>IFERROR(INDEX(tblDeviceConfig[PI_Validated_Date],ROW()-1),"")</f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</c>
      <c r="C382">
        <f>IFERROR(INDEX(tblDeviceConfig[Deployed],ROW()-1),"")</f>
      </c>
      <c r="D382">
        <f>IFERROR(INDEX(tblDeviceConfig[Installed],ROW()-1),"")</f>
      </c>
      <c r="E382">
        <f>IFERROR(INDEX(tblDeviceConfig[Cybernet Hostname],ROW()-1),"")</f>
      </c>
      <c r="F382">
        <f>IFERROR(INDEX(tblDeviceConfig[Neuron Hostname],ROW()-1),"")</f>
      </c>
      <c r="G382">
        <f>IFERROR(INDEX(tblDeviceConfig[Software List],ROW()-1),"")</f>
      </c>
      <c r="H382">
        <f>IFERROR(INDEX(tblDeviceConfig[PI_Use_Case],ROW()-1),"")</f>
      </c>
      <c r="I382">
        <f>IFERROR(INDEX(tblDeviceConfig[PI_Result],ROW()-1),"")</f>
      </c>
      <c r="J382">
        <f>IFERROR(INDEX(tblDeviceConfig[PI_Validated_By],ROW()-1),"")</f>
      </c>
      <c r="K382">
        <f>IFERROR(INDEX(tblDeviceConfig[PI_Validated_Date],ROW()-1),"")</f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</c>
      <c r="C383">
        <f>IFERROR(INDEX(tblDeviceConfig[Deployed],ROW()-1),"")</f>
      </c>
      <c r="D383">
        <f>IFERROR(INDEX(tblDeviceConfig[Installed],ROW()-1),"")</f>
      </c>
      <c r="E383">
        <f>IFERROR(INDEX(tblDeviceConfig[Cybernet Hostname],ROW()-1),"")</f>
      </c>
      <c r="F383">
        <f>IFERROR(INDEX(tblDeviceConfig[Neuron Hostname],ROW()-1),"")</f>
      </c>
      <c r="G383">
        <f>IFERROR(INDEX(tblDeviceConfig[Software List],ROW()-1),"")</f>
      </c>
      <c r="H383">
        <f>IFERROR(INDEX(tblDeviceConfig[PI_Use_Case],ROW()-1),"")</f>
      </c>
      <c r="I383">
        <f>IFERROR(INDEX(tblDeviceConfig[PI_Result],ROW()-1),"")</f>
      </c>
      <c r="J383">
        <f>IFERROR(INDEX(tblDeviceConfig[PI_Validated_By],ROW()-1),"")</f>
      </c>
      <c r="K383">
        <f>IFERROR(INDEX(tblDeviceConfig[PI_Validated_Date],ROW()-1),"")</f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</c>
      <c r="C384">
        <f>IFERROR(INDEX(tblDeviceConfig[Deployed],ROW()-1),"")</f>
      </c>
      <c r="D384">
        <f>IFERROR(INDEX(tblDeviceConfig[Installed],ROW()-1),"")</f>
      </c>
      <c r="E384">
        <f>IFERROR(INDEX(tblDeviceConfig[Cybernet Hostname],ROW()-1),"")</f>
      </c>
      <c r="F384">
        <f>IFERROR(INDEX(tblDeviceConfig[Neuron Hostname],ROW()-1),"")</f>
      </c>
      <c r="G384">
        <f>IFERROR(INDEX(tblDeviceConfig[Software List],ROW()-1),"")</f>
      </c>
      <c r="H384">
        <f>IFERROR(INDEX(tblDeviceConfig[PI_Use_Case],ROW()-1),"")</f>
      </c>
      <c r="I384">
        <f>IFERROR(INDEX(tblDeviceConfig[PI_Result],ROW()-1),"")</f>
      </c>
      <c r="J384">
        <f>IFERROR(INDEX(tblDeviceConfig[PI_Validated_By],ROW()-1),"")</f>
      </c>
      <c r="K384">
        <f>IFERROR(INDEX(tblDeviceConfig[PI_Validated_Date],ROW()-1),"")</f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</c>
      <c r="C385">
        <f>IFERROR(INDEX(tblDeviceConfig[Deployed],ROW()-1),"")</f>
      </c>
      <c r="D385">
        <f>IFERROR(INDEX(tblDeviceConfig[Installed],ROW()-1),"")</f>
      </c>
      <c r="E385">
        <f>IFERROR(INDEX(tblDeviceConfig[Cybernet Hostname],ROW()-1),"")</f>
      </c>
      <c r="F385">
        <f>IFERROR(INDEX(tblDeviceConfig[Neuron Hostname],ROW()-1),"")</f>
      </c>
      <c r="G385">
        <f>IFERROR(INDEX(tblDeviceConfig[Software List],ROW()-1),"")</f>
      </c>
      <c r="H385">
        <f>IFERROR(INDEX(tblDeviceConfig[PI_Use_Case],ROW()-1),"")</f>
      </c>
      <c r="I385">
        <f>IFERROR(INDEX(tblDeviceConfig[PI_Result],ROW()-1),"")</f>
      </c>
      <c r="J385">
        <f>IFERROR(INDEX(tblDeviceConfig[PI_Validated_By],ROW()-1),"")</f>
      </c>
      <c r="K385">
        <f>IFERROR(INDEX(tblDeviceConfig[PI_Validated_Date],ROW()-1),"")</f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</c>
      <c r="C386">
        <f>IFERROR(INDEX(tblDeviceConfig[Deployed],ROW()-1),"")</f>
      </c>
      <c r="D386">
        <f>IFERROR(INDEX(tblDeviceConfig[Installed],ROW()-1),"")</f>
      </c>
      <c r="E386">
        <f>IFERROR(INDEX(tblDeviceConfig[Cybernet Hostname],ROW()-1),"")</f>
      </c>
      <c r="F386">
        <f>IFERROR(INDEX(tblDeviceConfig[Neuron Hostname],ROW()-1),"")</f>
      </c>
      <c r="G386">
        <f>IFERROR(INDEX(tblDeviceConfig[Software List],ROW()-1),"")</f>
      </c>
      <c r="H386">
        <f>IFERROR(INDEX(tblDeviceConfig[PI_Use_Case],ROW()-1),"")</f>
      </c>
      <c r="I386">
        <f>IFERROR(INDEX(tblDeviceConfig[PI_Result],ROW()-1),"")</f>
      </c>
      <c r="J386">
        <f>IFERROR(INDEX(tblDeviceConfig[PI_Validated_By],ROW()-1),"")</f>
      </c>
      <c r="K386">
        <f>IFERROR(INDEX(tblDeviceConfig[PI_Validated_Date],ROW()-1),"")</f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</c>
      <c r="C387">
        <f>IFERROR(INDEX(tblDeviceConfig[Deployed],ROW()-1),"")</f>
      </c>
      <c r="D387">
        <f>IFERROR(INDEX(tblDeviceConfig[Installed],ROW()-1),"")</f>
      </c>
      <c r="E387">
        <f>IFERROR(INDEX(tblDeviceConfig[Cybernet Hostname],ROW()-1),"")</f>
      </c>
      <c r="F387">
        <f>IFERROR(INDEX(tblDeviceConfig[Neuron Hostname],ROW()-1),"")</f>
      </c>
      <c r="G387">
        <f>IFERROR(INDEX(tblDeviceConfig[Software List],ROW()-1),"")</f>
      </c>
      <c r="H387">
        <f>IFERROR(INDEX(tblDeviceConfig[PI_Use_Case],ROW()-1),"")</f>
      </c>
      <c r="I387">
        <f>IFERROR(INDEX(tblDeviceConfig[PI_Result],ROW()-1),"")</f>
      </c>
      <c r="J387">
        <f>IFERROR(INDEX(tblDeviceConfig[PI_Validated_By],ROW()-1),"")</f>
      </c>
      <c r="K387">
        <f>IFERROR(INDEX(tblDeviceConfig[PI_Validated_Date],ROW()-1),"")</f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</c>
      <c r="C388">
        <f>IFERROR(INDEX(tblDeviceConfig[Deployed],ROW()-1),"")</f>
      </c>
      <c r="D388">
        <f>IFERROR(INDEX(tblDeviceConfig[Installed],ROW()-1),"")</f>
      </c>
      <c r="E388">
        <f>IFERROR(INDEX(tblDeviceConfig[Cybernet Hostname],ROW()-1),"")</f>
      </c>
      <c r="F388">
        <f>IFERROR(INDEX(tblDeviceConfig[Neuron Hostname],ROW()-1),"")</f>
      </c>
      <c r="G388">
        <f>IFERROR(INDEX(tblDeviceConfig[Software List],ROW()-1),"")</f>
      </c>
      <c r="H388">
        <f>IFERROR(INDEX(tblDeviceConfig[PI_Use_Case],ROW()-1),"")</f>
      </c>
      <c r="I388">
        <f>IFERROR(INDEX(tblDeviceConfig[PI_Result],ROW()-1),"")</f>
      </c>
      <c r="J388">
        <f>IFERROR(INDEX(tblDeviceConfig[PI_Validated_By],ROW()-1),"")</f>
      </c>
      <c r="K388">
        <f>IFERROR(INDEX(tblDeviceConfig[PI_Validated_Date],ROW()-1),"")</f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</c>
      <c r="C389">
        <f>IFERROR(INDEX(tblDeviceConfig[Deployed],ROW()-1),"")</f>
      </c>
      <c r="D389">
        <f>IFERROR(INDEX(tblDeviceConfig[Installed],ROW()-1),"")</f>
      </c>
      <c r="E389">
        <f>IFERROR(INDEX(tblDeviceConfig[Cybernet Hostname],ROW()-1),"")</f>
      </c>
      <c r="F389">
        <f>IFERROR(INDEX(tblDeviceConfig[Neuron Hostname],ROW()-1),"")</f>
      </c>
      <c r="G389">
        <f>IFERROR(INDEX(tblDeviceConfig[Software List],ROW()-1),"")</f>
      </c>
      <c r="H389">
        <f>IFERROR(INDEX(tblDeviceConfig[PI_Use_Case],ROW()-1),"")</f>
      </c>
      <c r="I389">
        <f>IFERROR(INDEX(tblDeviceConfig[PI_Result],ROW()-1),"")</f>
      </c>
      <c r="J389">
        <f>IFERROR(INDEX(tblDeviceConfig[PI_Validated_By],ROW()-1),"")</f>
      </c>
      <c r="K389">
        <f>IFERROR(INDEX(tblDeviceConfig[PI_Validated_Date],ROW()-1),"")</f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</c>
      <c r="C390">
        <f>IFERROR(INDEX(tblDeviceConfig[Deployed],ROW()-1),"")</f>
      </c>
      <c r="D390">
        <f>IFERROR(INDEX(tblDeviceConfig[Installed],ROW()-1),"")</f>
      </c>
      <c r="E390">
        <f>IFERROR(INDEX(tblDeviceConfig[Cybernet Hostname],ROW()-1),"")</f>
      </c>
      <c r="F390">
        <f>IFERROR(INDEX(tblDeviceConfig[Neuron Hostname],ROW()-1),"")</f>
      </c>
      <c r="G390">
        <f>IFERROR(INDEX(tblDeviceConfig[Software List],ROW()-1),"")</f>
      </c>
      <c r="H390">
        <f>IFERROR(INDEX(tblDeviceConfig[PI_Use_Case],ROW()-1),"")</f>
      </c>
      <c r="I390">
        <f>IFERROR(INDEX(tblDeviceConfig[PI_Result],ROW()-1),"")</f>
      </c>
      <c r="J390">
        <f>IFERROR(INDEX(tblDeviceConfig[PI_Validated_By],ROW()-1),"")</f>
      </c>
      <c r="K390">
        <f>IFERROR(INDEX(tblDeviceConfig[PI_Validated_Date],ROW()-1),"")</f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</c>
      <c r="C391">
        <f>IFERROR(INDEX(tblDeviceConfig[Deployed],ROW()-1),"")</f>
      </c>
      <c r="D391">
        <f>IFERROR(INDEX(tblDeviceConfig[Installed],ROW()-1),"")</f>
      </c>
      <c r="E391">
        <f>IFERROR(INDEX(tblDeviceConfig[Cybernet Hostname],ROW()-1),"")</f>
      </c>
      <c r="F391">
        <f>IFERROR(INDEX(tblDeviceConfig[Neuron Hostname],ROW()-1),"")</f>
      </c>
      <c r="G391">
        <f>IFERROR(INDEX(tblDeviceConfig[Software List],ROW()-1),"")</f>
      </c>
      <c r="H391">
        <f>IFERROR(INDEX(tblDeviceConfig[PI_Use_Case],ROW()-1),"")</f>
      </c>
      <c r="I391">
        <f>IFERROR(INDEX(tblDeviceConfig[PI_Result],ROW()-1),"")</f>
      </c>
      <c r="J391">
        <f>IFERROR(INDEX(tblDeviceConfig[PI_Validated_By],ROW()-1),"")</f>
      </c>
      <c r="K391">
        <f>IFERROR(INDEX(tblDeviceConfig[PI_Validated_Date],ROW()-1),"")</f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</c>
      <c r="C392">
        <f>IFERROR(INDEX(tblDeviceConfig[Deployed],ROW()-1),"")</f>
      </c>
      <c r="D392">
        <f>IFERROR(INDEX(tblDeviceConfig[Installed],ROW()-1),"")</f>
      </c>
      <c r="E392">
        <f>IFERROR(INDEX(tblDeviceConfig[Cybernet Hostname],ROW()-1),"")</f>
      </c>
      <c r="F392">
        <f>IFERROR(INDEX(tblDeviceConfig[Neuron Hostname],ROW()-1),"")</f>
      </c>
      <c r="G392">
        <f>IFERROR(INDEX(tblDeviceConfig[Software List],ROW()-1),"")</f>
      </c>
      <c r="H392">
        <f>IFERROR(INDEX(tblDeviceConfig[PI_Use_Case],ROW()-1),"")</f>
      </c>
      <c r="I392">
        <f>IFERROR(INDEX(tblDeviceConfig[PI_Result],ROW()-1),"")</f>
      </c>
      <c r="J392">
        <f>IFERROR(INDEX(tblDeviceConfig[PI_Validated_By],ROW()-1),"")</f>
      </c>
      <c r="K392">
        <f>IFERROR(INDEX(tblDeviceConfig[PI_Validated_Date],ROW()-1),"")</f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</c>
      <c r="C393">
        <f>IFERROR(INDEX(tblDeviceConfig[Deployed],ROW()-1),"")</f>
      </c>
      <c r="D393">
        <f>IFERROR(INDEX(tblDeviceConfig[Installed],ROW()-1),"")</f>
      </c>
      <c r="E393">
        <f>IFERROR(INDEX(tblDeviceConfig[Cybernet Hostname],ROW()-1),"")</f>
      </c>
      <c r="F393">
        <f>IFERROR(INDEX(tblDeviceConfig[Neuron Hostname],ROW()-1),"")</f>
      </c>
      <c r="G393">
        <f>IFERROR(INDEX(tblDeviceConfig[Software List],ROW()-1),"")</f>
      </c>
      <c r="H393">
        <f>IFERROR(INDEX(tblDeviceConfig[PI_Use_Case],ROW()-1),"")</f>
      </c>
      <c r="I393">
        <f>IFERROR(INDEX(tblDeviceConfig[PI_Result],ROW()-1),"")</f>
      </c>
      <c r="J393">
        <f>IFERROR(INDEX(tblDeviceConfig[PI_Validated_By],ROW()-1),"")</f>
      </c>
      <c r="K393">
        <f>IFERROR(INDEX(tblDeviceConfig[PI_Validated_Date],ROW()-1),"")</f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</c>
      <c r="C394">
        <f>IFERROR(INDEX(tblDeviceConfig[Deployed],ROW()-1),"")</f>
      </c>
      <c r="D394">
        <f>IFERROR(INDEX(tblDeviceConfig[Installed],ROW()-1),"")</f>
      </c>
      <c r="E394">
        <f>IFERROR(INDEX(tblDeviceConfig[Cybernet Hostname],ROW()-1),"")</f>
      </c>
      <c r="F394">
        <f>IFERROR(INDEX(tblDeviceConfig[Neuron Hostname],ROW()-1),"")</f>
      </c>
      <c r="G394">
        <f>IFERROR(INDEX(tblDeviceConfig[Software List],ROW()-1),"")</f>
      </c>
      <c r="H394">
        <f>IFERROR(INDEX(tblDeviceConfig[PI_Use_Case],ROW()-1),"")</f>
      </c>
      <c r="I394">
        <f>IFERROR(INDEX(tblDeviceConfig[PI_Result],ROW()-1),"")</f>
      </c>
      <c r="J394">
        <f>IFERROR(INDEX(tblDeviceConfig[PI_Validated_By],ROW()-1),"")</f>
      </c>
      <c r="K394">
        <f>IFERROR(INDEX(tblDeviceConfig[PI_Validated_Date],ROW()-1),"")</f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</c>
      <c r="C395">
        <f>IFERROR(INDEX(tblDeviceConfig[Deployed],ROW()-1),"")</f>
      </c>
      <c r="D395">
        <f>IFERROR(INDEX(tblDeviceConfig[Installed],ROW()-1),"")</f>
      </c>
      <c r="E395">
        <f>IFERROR(INDEX(tblDeviceConfig[Cybernet Hostname],ROW()-1),"")</f>
      </c>
      <c r="F395">
        <f>IFERROR(INDEX(tblDeviceConfig[Neuron Hostname],ROW()-1),"")</f>
      </c>
      <c r="G395">
        <f>IFERROR(INDEX(tblDeviceConfig[Software List],ROW()-1),"")</f>
      </c>
      <c r="H395">
        <f>IFERROR(INDEX(tblDeviceConfig[PI_Use_Case],ROW()-1),"")</f>
      </c>
      <c r="I395">
        <f>IFERROR(INDEX(tblDeviceConfig[PI_Result],ROW()-1),"")</f>
      </c>
      <c r="J395">
        <f>IFERROR(INDEX(tblDeviceConfig[PI_Validated_By],ROW()-1),"")</f>
      </c>
      <c r="K395">
        <f>IFERROR(INDEX(tblDeviceConfig[PI_Validated_Date],ROW()-1),"")</f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</c>
      <c r="C396">
        <f>IFERROR(INDEX(tblDeviceConfig[Deployed],ROW()-1),"")</f>
      </c>
      <c r="D396">
        <f>IFERROR(INDEX(tblDeviceConfig[Installed],ROW()-1),"")</f>
      </c>
      <c r="E396">
        <f>IFERROR(INDEX(tblDeviceConfig[Cybernet Hostname],ROW()-1),"")</f>
      </c>
      <c r="F396">
        <f>IFERROR(INDEX(tblDeviceConfig[Neuron Hostname],ROW()-1),"")</f>
      </c>
      <c r="G396">
        <f>IFERROR(INDEX(tblDeviceConfig[Software List],ROW()-1),"")</f>
      </c>
      <c r="H396">
        <f>IFERROR(INDEX(tblDeviceConfig[PI_Use_Case],ROW()-1),"")</f>
      </c>
      <c r="I396">
        <f>IFERROR(INDEX(tblDeviceConfig[PI_Result],ROW()-1),"")</f>
      </c>
      <c r="J396">
        <f>IFERROR(INDEX(tblDeviceConfig[PI_Validated_By],ROW()-1),"")</f>
      </c>
      <c r="K396">
        <f>IFERROR(INDEX(tblDeviceConfig[PI_Validated_Date],ROW()-1),"")</f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</c>
      <c r="C397">
        <f>IFERROR(INDEX(tblDeviceConfig[Deployed],ROW()-1),"")</f>
      </c>
      <c r="D397">
        <f>IFERROR(INDEX(tblDeviceConfig[Installed],ROW()-1),"")</f>
      </c>
      <c r="E397">
        <f>IFERROR(INDEX(tblDeviceConfig[Cybernet Hostname],ROW()-1),"")</f>
      </c>
      <c r="F397">
        <f>IFERROR(INDEX(tblDeviceConfig[Neuron Hostname],ROW()-1),"")</f>
      </c>
      <c r="G397">
        <f>IFERROR(INDEX(tblDeviceConfig[Software List],ROW()-1),"")</f>
      </c>
      <c r="H397">
        <f>IFERROR(INDEX(tblDeviceConfig[PI_Use_Case],ROW()-1),"")</f>
      </c>
      <c r="I397">
        <f>IFERROR(INDEX(tblDeviceConfig[PI_Result],ROW()-1),"")</f>
      </c>
      <c r="J397">
        <f>IFERROR(INDEX(tblDeviceConfig[PI_Validated_By],ROW()-1),"")</f>
      </c>
      <c r="K397">
        <f>IFERROR(INDEX(tblDeviceConfig[PI_Validated_Date],ROW()-1),"")</f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</c>
      <c r="C398">
        <f>IFERROR(INDEX(tblDeviceConfig[Deployed],ROW()-1),"")</f>
      </c>
      <c r="D398">
        <f>IFERROR(INDEX(tblDeviceConfig[Installed],ROW()-1),"")</f>
      </c>
      <c r="E398">
        <f>IFERROR(INDEX(tblDeviceConfig[Cybernet Hostname],ROW()-1),"")</f>
      </c>
      <c r="F398">
        <f>IFERROR(INDEX(tblDeviceConfig[Neuron Hostname],ROW()-1),"")</f>
      </c>
      <c r="G398">
        <f>IFERROR(INDEX(tblDeviceConfig[Software List],ROW()-1),"")</f>
      </c>
      <c r="H398">
        <f>IFERROR(INDEX(tblDeviceConfig[PI_Use_Case],ROW()-1),"")</f>
      </c>
      <c r="I398">
        <f>IFERROR(INDEX(tblDeviceConfig[PI_Result],ROW()-1),"")</f>
      </c>
      <c r="J398">
        <f>IFERROR(INDEX(tblDeviceConfig[PI_Validated_By],ROW()-1),"")</f>
      </c>
      <c r="K398">
        <f>IFERROR(INDEX(tblDeviceConfig[PI_Validated_Date],ROW()-1),"")</f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</c>
      <c r="C399">
        <f>IFERROR(INDEX(tblDeviceConfig[Deployed],ROW()-1),"")</f>
      </c>
      <c r="D399">
        <f>IFERROR(INDEX(tblDeviceConfig[Installed],ROW()-1),"")</f>
      </c>
      <c r="E399">
        <f>IFERROR(INDEX(tblDeviceConfig[Cybernet Hostname],ROW()-1),"")</f>
      </c>
      <c r="F399">
        <f>IFERROR(INDEX(tblDeviceConfig[Neuron Hostname],ROW()-1),"")</f>
      </c>
      <c r="G399">
        <f>IFERROR(INDEX(tblDeviceConfig[Software List],ROW()-1),"")</f>
      </c>
      <c r="H399">
        <f>IFERROR(INDEX(tblDeviceConfig[PI_Use_Case],ROW()-1),"")</f>
      </c>
      <c r="I399">
        <f>IFERROR(INDEX(tblDeviceConfig[PI_Result],ROW()-1),"")</f>
      </c>
      <c r="J399">
        <f>IFERROR(INDEX(tblDeviceConfig[PI_Validated_By],ROW()-1),"")</f>
      </c>
      <c r="K399">
        <f>IFERROR(INDEX(tblDeviceConfig[PI_Validated_Date],ROW()-1),"")</f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</c>
      <c r="C400">
        <f>IFERROR(INDEX(tblDeviceConfig[Deployed],ROW()-1),"")</f>
      </c>
      <c r="D400">
        <f>IFERROR(INDEX(tblDeviceConfig[Installed],ROW()-1),"")</f>
      </c>
      <c r="E400">
        <f>IFERROR(INDEX(tblDeviceConfig[Cybernet Hostname],ROW()-1),"")</f>
      </c>
      <c r="F400">
        <f>IFERROR(INDEX(tblDeviceConfig[Neuron Hostname],ROW()-1),"")</f>
      </c>
      <c r="G400">
        <f>IFERROR(INDEX(tblDeviceConfig[Software List],ROW()-1),"")</f>
      </c>
      <c r="H400">
        <f>IFERROR(INDEX(tblDeviceConfig[PI_Use_Case],ROW()-1),"")</f>
      </c>
      <c r="I400">
        <f>IFERROR(INDEX(tblDeviceConfig[PI_Result],ROW()-1),"")</f>
      </c>
      <c r="J400">
        <f>IFERROR(INDEX(tblDeviceConfig[PI_Validated_By],ROW()-1),"")</f>
      </c>
      <c r="K400">
        <f>IFERROR(INDEX(tblDeviceConfig[PI_Validated_Date],ROW()-1),"")</f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</c>
      <c r="C401">
        <f>IFERROR(INDEX(tblDeviceConfig[Deployed],ROW()-1),"")</f>
      </c>
      <c r="D401">
        <f>IFERROR(INDEX(tblDeviceConfig[Installed],ROW()-1),"")</f>
      </c>
      <c r="E401">
        <f>IFERROR(INDEX(tblDeviceConfig[Cybernet Hostname],ROW()-1),"")</f>
      </c>
      <c r="F401">
        <f>IFERROR(INDEX(tblDeviceConfig[Neuron Hostname],ROW()-1),"")</f>
      </c>
      <c r="G401">
        <f>IFERROR(INDEX(tblDeviceConfig[Software List],ROW()-1),"")</f>
      </c>
      <c r="H401">
        <f>IFERROR(INDEX(tblDeviceConfig[PI_Use_Case],ROW()-1),"")</f>
      </c>
      <c r="I401">
        <f>IFERROR(INDEX(tblDeviceConfig[PI_Result],ROW()-1),"")</f>
      </c>
      <c r="J401">
        <f>IFERROR(INDEX(tblDeviceConfig[PI_Validated_By],ROW()-1),"")</f>
      </c>
      <c r="K401">
        <f>IFERROR(INDEX(tblDeviceConfig[PI_Validated_Date],ROW()-1),"")</f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</c>
      <c r="C402">
        <f>IFERROR(INDEX(tblDeviceConfig[Deployed],ROW()-1),"")</f>
      </c>
      <c r="D402">
        <f>IFERROR(INDEX(tblDeviceConfig[Installed],ROW()-1),"")</f>
      </c>
      <c r="E402">
        <f>IFERROR(INDEX(tblDeviceConfig[Cybernet Hostname],ROW()-1),"")</f>
      </c>
      <c r="F402">
        <f>IFERROR(INDEX(tblDeviceConfig[Neuron Hostname],ROW()-1),"")</f>
      </c>
      <c r="G402">
        <f>IFERROR(INDEX(tblDeviceConfig[Software List],ROW()-1),"")</f>
      </c>
      <c r="H402">
        <f>IFERROR(INDEX(tblDeviceConfig[PI_Use_Case],ROW()-1),"")</f>
      </c>
      <c r="I402">
        <f>IFERROR(INDEX(tblDeviceConfig[PI_Result],ROW()-1),"")</f>
      </c>
      <c r="J402">
        <f>IFERROR(INDEX(tblDeviceConfig[PI_Validated_By],ROW()-1),"")</f>
      </c>
      <c r="K402">
        <f>IFERROR(INDEX(tblDeviceConfig[PI_Validated_Date],ROW()-1),"")</f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</c>
      <c r="C403">
        <f>IFERROR(INDEX(tblDeviceConfig[Deployed],ROW()-1),"")</f>
      </c>
      <c r="D403">
        <f>IFERROR(INDEX(tblDeviceConfig[Installed],ROW()-1),"")</f>
      </c>
      <c r="E403">
        <f>IFERROR(INDEX(tblDeviceConfig[Cybernet Hostname],ROW()-1),"")</f>
      </c>
      <c r="F403">
        <f>IFERROR(INDEX(tblDeviceConfig[Neuron Hostname],ROW()-1),"")</f>
      </c>
      <c r="G403">
        <f>IFERROR(INDEX(tblDeviceConfig[Software List],ROW()-1),"")</f>
      </c>
      <c r="H403">
        <f>IFERROR(INDEX(tblDeviceConfig[PI_Use_Case],ROW()-1),"")</f>
      </c>
      <c r="I403">
        <f>IFERROR(INDEX(tblDeviceConfig[PI_Result],ROW()-1),"")</f>
      </c>
      <c r="J403">
        <f>IFERROR(INDEX(tblDeviceConfig[PI_Validated_By],ROW()-1),"")</f>
      </c>
      <c r="K403">
        <f>IFERROR(INDEX(tblDeviceConfig[PI_Validated_Date],ROW()-1),"")</f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</c>
      <c r="C404">
        <f>IFERROR(INDEX(tblDeviceConfig[Deployed],ROW()-1),"")</f>
      </c>
      <c r="D404">
        <f>IFERROR(INDEX(tblDeviceConfig[Installed],ROW()-1),"")</f>
      </c>
      <c r="E404">
        <f>IFERROR(INDEX(tblDeviceConfig[Cybernet Hostname],ROW()-1),"")</f>
      </c>
      <c r="F404">
        <f>IFERROR(INDEX(tblDeviceConfig[Neuron Hostname],ROW()-1),"")</f>
      </c>
      <c r="G404">
        <f>IFERROR(INDEX(tblDeviceConfig[Software List],ROW()-1),"")</f>
      </c>
      <c r="H404">
        <f>IFERROR(INDEX(tblDeviceConfig[PI_Use_Case],ROW()-1),"")</f>
      </c>
      <c r="I404">
        <f>IFERROR(INDEX(tblDeviceConfig[PI_Result],ROW()-1),"")</f>
      </c>
      <c r="J404">
        <f>IFERROR(INDEX(tblDeviceConfig[PI_Validated_By],ROW()-1),"")</f>
      </c>
      <c r="K404">
        <f>IFERROR(INDEX(tblDeviceConfig[PI_Validated_Date],ROW()-1),"")</f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</c>
      <c r="C405">
        <f>IFERROR(INDEX(tblDeviceConfig[Deployed],ROW()-1),"")</f>
      </c>
      <c r="D405">
        <f>IFERROR(INDEX(tblDeviceConfig[Installed],ROW()-1),"")</f>
      </c>
      <c r="E405">
        <f>IFERROR(INDEX(tblDeviceConfig[Cybernet Hostname],ROW()-1),"")</f>
      </c>
      <c r="F405">
        <f>IFERROR(INDEX(tblDeviceConfig[Neuron Hostname],ROW()-1),"")</f>
      </c>
      <c r="G405">
        <f>IFERROR(INDEX(tblDeviceConfig[Software List],ROW()-1),"")</f>
      </c>
      <c r="H405">
        <f>IFERROR(INDEX(tblDeviceConfig[PI_Use_Case],ROW()-1),"")</f>
      </c>
      <c r="I405">
        <f>IFERROR(INDEX(tblDeviceConfig[PI_Result],ROW()-1),"")</f>
      </c>
      <c r="J405">
        <f>IFERROR(INDEX(tblDeviceConfig[PI_Validated_By],ROW()-1),"")</f>
      </c>
      <c r="K405">
        <f>IFERROR(INDEX(tblDeviceConfig[PI_Validated_Date],ROW()-1),"")</f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</c>
      <c r="C406">
        <f>IFERROR(INDEX(tblDeviceConfig[Deployed],ROW()-1),"")</f>
      </c>
      <c r="D406">
        <f>IFERROR(INDEX(tblDeviceConfig[Installed],ROW()-1),"")</f>
      </c>
      <c r="E406">
        <f>IFERROR(INDEX(tblDeviceConfig[Cybernet Hostname],ROW()-1),"")</f>
      </c>
      <c r="F406">
        <f>IFERROR(INDEX(tblDeviceConfig[Neuron Hostname],ROW()-1),"")</f>
      </c>
      <c r="G406">
        <f>IFERROR(INDEX(tblDeviceConfig[Software List],ROW()-1),"")</f>
      </c>
      <c r="H406">
        <f>IFERROR(INDEX(tblDeviceConfig[PI_Use_Case],ROW()-1),"")</f>
      </c>
      <c r="I406">
        <f>IFERROR(INDEX(tblDeviceConfig[PI_Result],ROW()-1),"")</f>
      </c>
      <c r="J406">
        <f>IFERROR(INDEX(tblDeviceConfig[PI_Validated_By],ROW()-1),"")</f>
      </c>
      <c r="K406">
        <f>IFERROR(INDEX(tblDeviceConfig[PI_Validated_Date],ROW()-1),"")</f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</c>
      <c r="C407">
        <f>IFERROR(INDEX(tblDeviceConfig[Deployed],ROW()-1),"")</f>
      </c>
      <c r="D407">
        <f>IFERROR(INDEX(tblDeviceConfig[Installed],ROW()-1),"")</f>
      </c>
      <c r="E407">
        <f>IFERROR(INDEX(tblDeviceConfig[Cybernet Hostname],ROW()-1),"")</f>
      </c>
      <c r="F407">
        <f>IFERROR(INDEX(tblDeviceConfig[Neuron Hostname],ROW()-1),"")</f>
      </c>
      <c r="G407">
        <f>IFERROR(INDEX(tblDeviceConfig[Software List],ROW()-1),"")</f>
      </c>
      <c r="H407">
        <f>IFERROR(INDEX(tblDeviceConfig[PI_Use_Case],ROW()-1),"")</f>
      </c>
      <c r="I407">
        <f>IFERROR(INDEX(tblDeviceConfig[PI_Result],ROW()-1),"")</f>
      </c>
      <c r="J407">
        <f>IFERROR(INDEX(tblDeviceConfig[PI_Validated_By],ROW()-1),"")</f>
      </c>
      <c r="K407">
        <f>IFERROR(INDEX(tblDeviceConfig[PI_Validated_Date],ROW()-1),"")</f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</c>
      <c r="C408">
        <f>IFERROR(INDEX(tblDeviceConfig[Deployed],ROW()-1),"")</f>
      </c>
      <c r="D408">
        <f>IFERROR(INDEX(tblDeviceConfig[Installed],ROW()-1),"")</f>
      </c>
      <c r="E408">
        <f>IFERROR(INDEX(tblDeviceConfig[Cybernet Hostname],ROW()-1),"")</f>
      </c>
      <c r="F408">
        <f>IFERROR(INDEX(tblDeviceConfig[Neuron Hostname],ROW()-1),"")</f>
      </c>
      <c r="G408">
        <f>IFERROR(INDEX(tblDeviceConfig[Software List],ROW()-1),"")</f>
      </c>
      <c r="H408">
        <f>IFERROR(INDEX(tblDeviceConfig[PI_Use_Case],ROW()-1),"")</f>
      </c>
      <c r="I408">
        <f>IFERROR(INDEX(tblDeviceConfig[PI_Result],ROW()-1),"")</f>
      </c>
      <c r="J408">
        <f>IFERROR(INDEX(tblDeviceConfig[PI_Validated_By],ROW()-1),"")</f>
      </c>
      <c r="K408">
        <f>IFERROR(INDEX(tblDeviceConfig[PI_Validated_Date],ROW()-1),"")</f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</c>
      <c r="C409">
        <f>IFERROR(INDEX(tblDeviceConfig[Deployed],ROW()-1),"")</f>
      </c>
      <c r="D409">
        <f>IFERROR(INDEX(tblDeviceConfig[Installed],ROW()-1),"")</f>
      </c>
      <c r="E409">
        <f>IFERROR(INDEX(tblDeviceConfig[Cybernet Hostname],ROW()-1),"")</f>
      </c>
      <c r="F409">
        <f>IFERROR(INDEX(tblDeviceConfig[Neuron Hostname],ROW()-1),"")</f>
      </c>
      <c r="G409">
        <f>IFERROR(INDEX(tblDeviceConfig[Software List],ROW()-1),"")</f>
      </c>
      <c r="H409">
        <f>IFERROR(INDEX(tblDeviceConfig[PI_Use_Case],ROW()-1),"")</f>
      </c>
      <c r="I409">
        <f>IFERROR(INDEX(tblDeviceConfig[PI_Result],ROW()-1),"")</f>
      </c>
      <c r="J409">
        <f>IFERROR(INDEX(tblDeviceConfig[PI_Validated_By],ROW()-1),"")</f>
      </c>
      <c r="K409">
        <f>IFERROR(INDEX(tblDeviceConfig[PI_Validated_Date],ROW()-1),"")</f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</c>
      <c r="C410">
        <f>IFERROR(INDEX(tblDeviceConfig[Deployed],ROW()-1),"")</f>
      </c>
      <c r="D410">
        <f>IFERROR(INDEX(tblDeviceConfig[Installed],ROW()-1),"")</f>
      </c>
      <c r="E410">
        <f>IFERROR(INDEX(tblDeviceConfig[Cybernet Hostname],ROW()-1),"")</f>
      </c>
      <c r="F410">
        <f>IFERROR(INDEX(tblDeviceConfig[Neuron Hostname],ROW()-1),"")</f>
      </c>
      <c r="G410">
        <f>IFERROR(INDEX(tblDeviceConfig[Software List],ROW()-1),"")</f>
      </c>
      <c r="H410">
        <f>IFERROR(INDEX(tblDeviceConfig[PI_Use_Case],ROW()-1),"")</f>
      </c>
      <c r="I410">
        <f>IFERROR(INDEX(tblDeviceConfig[PI_Result],ROW()-1),"")</f>
      </c>
      <c r="J410">
        <f>IFERROR(INDEX(tblDeviceConfig[PI_Validated_By],ROW()-1),"")</f>
      </c>
      <c r="K410">
        <f>IFERROR(INDEX(tblDeviceConfig[PI_Validated_Date],ROW()-1),"")</f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</c>
      <c r="C411">
        <f>IFERROR(INDEX(tblDeviceConfig[Deployed],ROW()-1),"")</f>
      </c>
      <c r="D411">
        <f>IFERROR(INDEX(tblDeviceConfig[Installed],ROW()-1),"")</f>
      </c>
      <c r="E411">
        <f>IFERROR(INDEX(tblDeviceConfig[Cybernet Hostname],ROW()-1),"")</f>
      </c>
      <c r="F411">
        <f>IFERROR(INDEX(tblDeviceConfig[Neuron Hostname],ROW()-1),"")</f>
      </c>
      <c r="G411">
        <f>IFERROR(INDEX(tblDeviceConfig[Software List],ROW()-1),"")</f>
      </c>
      <c r="H411">
        <f>IFERROR(INDEX(tblDeviceConfig[PI_Use_Case],ROW()-1),"")</f>
      </c>
      <c r="I411">
        <f>IFERROR(INDEX(tblDeviceConfig[PI_Result],ROW()-1),"")</f>
      </c>
      <c r="J411">
        <f>IFERROR(INDEX(tblDeviceConfig[PI_Validated_By],ROW()-1),"")</f>
      </c>
      <c r="K411">
        <f>IFERROR(INDEX(tblDeviceConfig[PI_Validated_Date],ROW()-1),"")</f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</c>
      <c r="C412">
        <f>IFERROR(INDEX(tblDeviceConfig[Deployed],ROW()-1),"")</f>
      </c>
      <c r="D412">
        <f>IFERROR(INDEX(tblDeviceConfig[Installed],ROW()-1),"")</f>
      </c>
      <c r="E412">
        <f>IFERROR(INDEX(tblDeviceConfig[Cybernet Hostname],ROW()-1),"")</f>
      </c>
      <c r="F412">
        <f>IFERROR(INDEX(tblDeviceConfig[Neuron Hostname],ROW()-1),"")</f>
      </c>
      <c r="G412">
        <f>IFERROR(INDEX(tblDeviceConfig[Software List],ROW()-1),"")</f>
      </c>
      <c r="H412">
        <f>IFERROR(INDEX(tblDeviceConfig[PI_Use_Case],ROW()-1),"")</f>
      </c>
      <c r="I412">
        <f>IFERROR(INDEX(tblDeviceConfig[PI_Result],ROW()-1),"")</f>
      </c>
      <c r="J412">
        <f>IFERROR(INDEX(tblDeviceConfig[PI_Validated_By],ROW()-1),"")</f>
      </c>
      <c r="K412">
        <f>IFERROR(INDEX(tblDeviceConfig[PI_Validated_Date],ROW()-1),"")</f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</c>
      <c r="C413">
        <f>IFERROR(INDEX(tblDeviceConfig[Deployed],ROW()-1),"")</f>
      </c>
      <c r="D413">
        <f>IFERROR(INDEX(tblDeviceConfig[Installed],ROW()-1),"")</f>
      </c>
      <c r="E413">
        <f>IFERROR(INDEX(tblDeviceConfig[Cybernet Hostname],ROW()-1),"")</f>
      </c>
      <c r="F413">
        <f>IFERROR(INDEX(tblDeviceConfig[Neuron Hostname],ROW()-1),"")</f>
      </c>
      <c r="G413">
        <f>IFERROR(INDEX(tblDeviceConfig[Software List],ROW()-1),"")</f>
      </c>
      <c r="H413">
        <f>IFERROR(INDEX(tblDeviceConfig[PI_Use_Case],ROW()-1),"")</f>
      </c>
      <c r="I413">
        <f>IFERROR(INDEX(tblDeviceConfig[PI_Result],ROW()-1),"")</f>
      </c>
      <c r="J413">
        <f>IFERROR(INDEX(tblDeviceConfig[PI_Validated_By],ROW()-1),"")</f>
      </c>
      <c r="K413">
        <f>IFERROR(INDEX(tblDeviceConfig[PI_Validated_Date],ROW()-1),"")</f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</c>
      <c r="C414">
        <f>IFERROR(INDEX(tblDeviceConfig[Deployed],ROW()-1),"")</f>
      </c>
      <c r="D414">
        <f>IFERROR(INDEX(tblDeviceConfig[Installed],ROW()-1),"")</f>
      </c>
      <c r="E414">
        <f>IFERROR(INDEX(tblDeviceConfig[Cybernet Hostname],ROW()-1),"")</f>
      </c>
      <c r="F414">
        <f>IFERROR(INDEX(tblDeviceConfig[Neuron Hostname],ROW()-1),"")</f>
      </c>
      <c r="G414">
        <f>IFERROR(INDEX(tblDeviceConfig[Software List],ROW()-1),"")</f>
      </c>
      <c r="H414">
        <f>IFERROR(INDEX(tblDeviceConfig[PI_Use_Case],ROW()-1),"")</f>
      </c>
      <c r="I414">
        <f>IFERROR(INDEX(tblDeviceConfig[PI_Result],ROW()-1),"")</f>
      </c>
      <c r="J414">
        <f>IFERROR(INDEX(tblDeviceConfig[PI_Validated_By],ROW()-1),"")</f>
      </c>
      <c r="K414">
        <f>IFERROR(INDEX(tblDeviceConfig[PI_Validated_Date],ROW()-1),"")</f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</c>
      <c r="C415">
        <f>IFERROR(INDEX(tblDeviceConfig[Deployed],ROW()-1),"")</f>
      </c>
      <c r="D415">
        <f>IFERROR(INDEX(tblDeviceConfig[Installed],ROW()-1),"")</f>
      </c>
      <c r="E415">
        <f>IFERROR(INDEX(tblDeviceConfig[Cybernet Hostname],ROW()-1),"")</f>
      </c>
      <c r="F415">
        <f>IFERROR(INDEX(tblDeviceConfig[Neuron Hostname],ROW()-1),"")</f>
      </c>
      <c r="G415">
        <f>IFERROR(INDEX(tblDeviceConfig[Software List],ROW()-1),"")</f>
      </c>
      <c r="H415">
        <f>IFERROR(INDEX(tblDeviceConfig[PI_Use_Case],ROW()-1),"")</f>
      </c>
      <c r="I415">
        <f>IFERROR(INDEX(tblDeviceConfig[PI_Result],ROW()-1),"")</f>
      </c>
      <c r="J415">
        <f>IFERROR(INDEX(tblDeviceConfig[PI_Validated_By],ROW()-1),"")</f>
      </c>
      <c r="K415">
        <f>IFERROR(INDEX(tblDeviceConfig[PI_Validated_Date],ROW()-1),"")</f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</c>
      <c r="C416">
        <f>IFERROR(INDEX(tblDeviceConfig[Deployed],ROW()-1),"")</f>
      </c>
      <c r="D416">
        <f>IFERROR(INDEX(tblDeviceConfig[Installed],ROW()-1),"")</f>
      </c>
      <c r="E416">
        <f>IFERROR(INDEX(tblDeviceConfig[Cybernet Hostname],ROW()-1),"")</f>
      </c>
      <c r="F416">
        <f>IFERROR(INDEX(tblDeviceConfig[Neuron Hostname],ROW()-1),"")</f>
      </c>
      <c r="G416">
        <f>IFERROR(INDEX(tblDeviceConfig[Software List],ROW()-1),"")</f>
      </c>
      <c r="H416">
        <f>IFERROR(INDEX(tblDeviceConfig[PI_Use_Case],ROW()-1),"")</f>
      </c>
      <c r="I416">
        <f>IFERROR(INDEX(tblDeviceConfig[PI_Result],ROW()-1),"")</f>
      </c>
      <c r="J416">
        <f>IFERROR(INDEX(tblDeviceConfig[PI_Validated_By],ROW()-1),"")</f>
      </c>
      <c r="K416">
        <f>IFERROR(INDEX(tblDeviceConfig[PI_Validated_Date],ROW()-1),"")</f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</c>
      <c r="C417">
        <f>IFERROR(INDEX(tblDeviceConfig[Deployed],ROW()-1),"")</f>
      </c>
      <c r="D417">
        <f>IFERROR(INDEX(tblDeviceConfig[Installed],ROW()-1),"")</f>
      </c>
      <c r="E417">
        <f>IFERROR(INDEX(tblDeviceConfig[Cybernet Hostname],ROW()-1),"")</f>
      </c>
      <c r="F417">
        <f>IFERROR(INDEX(tblDeviceConfig[Neuron Hostname],ROW()-1),"")</f>
      </c>
      <c r="G417">
        <f>IFERROR(INDEX(tblDeviceConfig[Software List],ROW()-1),"")</f>
      </c>
      <c r="H417">
        <f>IFERROR(INDEX(tblDeviceConfig[PI_Use_Case],ROW()-1),"")</f>
      </c>
      <c r="I417">
        <f>IFERROR(INDEX(tblDeviceConfig[PI_Result],ROW()-1),"")</f>
      </c>
      <c r="J417">
        <f>IFERROR(INDEX(tblDeviceConfig[PI_Validated_By],ROW()-1),"")</f>
      </c>
      <c r="K417">
        <f>IFERROR(INDEX(tblDeviceConfig[PI_Validated_Date],ROW()-1),"")</f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</c>
      <c r="C418">
        <f>IFERROR(INDEX(tblDeviceConfig[Deployed],ROW()-1),"")</f>
      </c>
      <c r="D418">
        <f>IFERROR(INDEX(tblDeviceConfig[Installed],ROW()-1),"")</f>
      </c>
      <c r="E418">
        <f>IFERROR(INDEX(tblDeviceConfig[Cybernet Hostname],ROW()-1),"")</f>
      </c>
      <c r="F418">
        <f>IFERROR(INDEX(tblDeviceConfig[Neuron Hostname],ROW()-1),"")</f>
      </c>
      <c r="G418">
        <f>IFERROR(INDEX(tblDeviceConfig[Software List],ROW()-1),"")</f>
      </c>
      <c r="H418">
        <f>IFERROR(INDEX(tblDeviceConfig[PI_Use_Case],ROW()-1),"")</f>
      </c>
      <c r="I418">
        <f>IFERROR(INDEX(tblDeviceConfig[PI_Result],ROW()-1),"")</f>
      </c>
      <c r="J418">
        <f>IFERROR(INDEX(tblDeviceConfig[PI_Validated_By],ROW()-1),"")</f>
      </c>
      <c r="K418">
        <f>IFERROR(INDEX(tblDeviceConfig[PI_Validated_Date],ROW()-1),"")</f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</c>
      <c r="C419">
        <f>IFERROR(INDEX(tblDeviceConfig[Deployed],ROW()-1),"")</f>
      </c>
      <c r="D419">
        <f>IFERROR(INDEX(tblDeviceConfig[Installed],ROW()-1),"")</f>
      </c>
      <c r="E419">
        <f>IFERROR(INDEX(tblDeviceConfig[Cybernet Hostname],ROW()-1),"")</f>
      </c>
      <c r="F419">
        <f>IFERROR(INDEX(tblDeviceConfig[Neuron Hostname],ROW()-1),"")</f>
      </c>
      <c r="G419">
        <f>IFERROR(INDEX(tblDeviceConfig[Software List],ROW()-1),"")</f>
      </c>
      <c r="H419">
        <f>IFERROR(INDEX(tblDeviceConfig[PI_Use_Case],ROW()-1),"")</f>
      </c>
      <c r="I419">
        <f>IFERROR(INDEX(tblDeviceConfig[PI_Result],ROW()-1),"")</f>
      </c>
      <c r="J419">
        <f>IFERROR(INDEX(tblDeviceConfig[PI_Validated_By],ROW()-1),"")</f>
      </c>
      <c r="K419">
        <f>IFERROR(INDEX(tblDeviceConfig[PI_Validated_Date],ROW()-1),"")</f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</c>
      <c r="C420">
        <f>IFERROR(INDEX(tblDeviceConfig[Deployed],ROW()-1),"")</f>
      </c>
      <c r="D420">
        <f>IFERROR(INDEX(tblDeviceConfig[Installed],ROW()-1),"")</f>
      </c>
      <c r="E420">
        <f>IFERROR(INDEX(tblDeviceConfig[Cybernet Hostname],ROW()-1),"")</f>
      </c>
      <c r="F420">
        <f>IFERROR(INDEX(tblDeviceConfig[Neuron Hostname],ROW()-1),"")</f>
      </c>
      <c r="G420">
        <f>IFERROR(INDEX(tblDeviceConfig[Software List],ROW()-1),"")</f>
      </c>
      <c r="H420">
        <f>IFERROR(INDEX(tblDeviceConfig[PI_Use_Case],ROW()-1),"")</f>
      </c>
      <c r="I420">
        <f>IFERROR(INDEX(tblDeviceConfig[PI_Result],ROW()-1),"")</f>
      </c>
      <c r="J420">
        <f>IFERROR(INDEX(tblDeviceConfig[PI_Validated_By],ROW()-1),"")</f>
      </c>
      <c r="K420">
        <f>IFERROR(INDEX(tblDeviceConfig[PI_Validated_Date],ROW()-1),"")</f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</c>
      <c r="C421">
        <f>IFERROR(INDEX(tblDeviceConfig[Deployed],ROW()-1),"")</f>
      </c>
      <c r="D421">
        <f>IFERROR(INDEX(tblDeviceConfig[Installed],ROW()-1),"")</f>
      </c>
      <c r="E421">
        <f>IFERROR(INDEX(tblDeviceConfig[Cybernet Hostname],ROW()-1),"")</f>
      </c>
      <c r="F421">
        <f>IFERROR(INDEX(tblDeviceConfig[Neuron Hostname],ROW()-1),"")</f>
      </c>
      <c r="G421">
        <f>IFERROR(INDEX(tblDeviceConfig[Software List],ROW()-1),"")</f>
      </c>
      <c r="H421">
        <f>IFERROR(INDEX(tblDeviceConfig[PI_Use_Case],ROW()-1),"")</f>
      </c>
      <c r="I421">
        <f>IFERROR(INDEX(tblDeviceConfig[PI_Result],ROW()-1),"")</f>
      </c>
      <c r="J421">
        <f>IFERROR(INDEX(tblDeviceConfig[PI_Validated_By],ROW()-1),"")</f>
      </c>
      <c r="K421">
        <f>IFERROR(INDEX(tblDeviceConfig[PI_Validated_Date],ROW()-1),"")</f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</c>
      <c r="C422">
        <f>IFERROR(INDEX(tblDeviceConfig[Deployed],ROW()-1),"")</f>
      </c>
      <c r="D422">
        <f>IFERROR(INDEX(tblDeviceConfig[Installed],ROW()-1),"")</f>
      </c>
      <c r="E422">
        <f>IFERROR(INDEX(tblDeviceConfig[Cybernet Hostname],ROW()-1),"")</f>
      </c>
      <c r="F422">
        <f>IFERROR(INDEX(tblDeviceConfig[Neuron Hostname],ROW()-1),"")</f>
      </c>
      <c r="G422">
        <f>IFERROR(INDEX(tblDeviceConfig[Software List],ROW()-1),"")</f>
      </c>
      <c r="H422">
        <f>IFERROR(INDEX(tblDeviceConfig[PI_Use_Case],ROW()-1),"")</f>
      </c>
      <c r="I422">
        <f>IFERROR(INDEX(tblDeviceConfig[PI_Result],ROW()-1),"")</f>
      </c>
      <c r="J422">
        <f>IFERROR(INDEX(tblDeviceConfig[PI_Validated_By],ROW()-1),"")</f>
      </c>
      <c r="K422">
        <f>IFERROR(INDEX(tblDeviceConfig[PI_Validated_Date],ROW()-1),"")</f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</c>
      <c r="C423">
        <f>IFERROR(INDEX(tblDeviceConfig[Deployed],ROW()-1),"")</f>
      </c>
      <c r="D423">
        <f>IFERROR(INDEX(tblDeviceConfig[Installed],ROW()-1),"")</f>
      </c>
      <c r="E423">
        <f>IFERROR(INDEX(tblDeviceConfig[Cybernet Hostname],ROW()-1),"")</f>
      </c>
      <c r="F423">
        <f>IFERROR(INDEX(tblDeviceConfig[Neuron Hostname],ROW()-1),"")</f>
      </c>
      <c r="G423">
        <f>IFERROR(INDEX(tblDeviceConfig[Software List],ROW()-1),"")</f>
      </c>
      <c r="H423">
        <f>IFERROR(INDEX(tblDeviceConfig[PI_Use_Case],ROW()-1),"")</f>
      </c>
      <c r="I423">
        <f>IFERROR(INDEX(tblDeviceConfig[PI_Result],ROW()-1),"")</f>
      </c>
      <c r="J423">
        <f>IFERROR(INDEX(tblDeviceConfig[PI_Validated_By],ROW()-1),"")</f>
      </c>
      <c r="K423">
        <f>IFERROR(INDEX(tblDeviceConfig[PI_Validated_Date],ROW()-1),"")</f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</c>
      <c r="C424">
        <f>IFERROR(INDEX(tblDeviceConfig[Deployed],ROW()-1),"")</f>
      </c>
      <c r="D424">
        <f>IFERROR(INDEX(tblDeviceConfig[Installed],ROW()-1),"")</f>
      </c>
      <c r="E424">
        <f>IFERROR(INDEX(tblDeviceConfig[Cybernet Hostname],ROW()-1),"")</f>
      </c>
      <c r="F424">
        <f>IFERROR(INDEX(tblDeviceConfig[Neuron Hostname],ROW()-1),"")</f>
      </c>
      <c r="G424">
        <f>IFERROR(INDEX(tblDeviceConfig[Software List],ROW()-1),"")</f>
      </c>
      <c r="H424">
        <f>IFERROR(INDEX(tblDeviceConfig[PI_Use_Case],ROW()-1),"")</f>
      </c>
      <c r="I424">
        <f>IFERROR(INDEX(tblDeviceConfig[PI_Result],ROW()-1),"")</f>
      </c>
      <c r="J424">
        <f>IFERROR(INDEX(tblDeviceConfig[PI_Validated_By],ROW()-1),"")</f>
      </c>
      <c r="K424">
        <f>IFERROR(INDEX(tblDeviceConfig[PI_Validated_Date],ROW()-1),"")</f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</c>
      <c r="C425">
        <f>IFERROR(INDEX(tblDeviceConfig[Deployed],ROW()-1),"")</f>
      </c>
      <c r="D425">
        <f>IFERROR(INDEX(tblDeviceConfig[Installed],ROW()-1),"")</f>
      </c>
      <c r="E425">
        <f>IFERROR(INDEX(tblDeviceConfig[Cybernet Hostname],ROW()-1),"")</f>
      </c>
      <c r="F425">
        <f>IFERROR(INDEX(tblDeviceConfig[Neuron Hostname],ROW()-1),"")</f>
      </c>
      <c r="G425">
        <f>IFERROR(INDEX(tblDeviceConfig[Software List],ROW()-1),"")</f>
      </c>
      <c r="H425">
        <f>IFERROR(INDEX(tblDeviceConfig[PI_Use_Case],ROW()-1),"")</f>
      </c>
      <c r="I425">
        <f>IFERROR(INDEX(tblDeviceConfig[PI_Result],ROW()-1),"")</f>
      </c>
      <c r="J425">
        <f>IFERROR(INDEX(tblDeviceConfig[PI_Validated_By],ROW()-1),"")</f>
      </c>
      <c r="K425">
        <f>IFERROR(INDEX(tblDeviceConfig[PI_Validated_Date],ROW()-1),"")</f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</c>
      <c r="C426">
        <f>IFERROR(INDEX(tblDeviceConfig[Deployed],ROW()-1),"")</f>
      </c>
      <c r="D426">
        <f>IFERROR(INDEX(tblDeviceConfig[Installed],ROW()-1),"")</f>
      </c>
      <c r="E426">
        <f>IFERROR(INDEX(tblDeviceConfig[Cybernet Hostname],ROW()-1),"")</f>
      </c>
      <c r="F426">
        <f>IFERROR(INDEX(tblDeviceConfig[Neuron Hostname],ROW()-1),"")</f>
      </c>
      <c r="G426">
        <f>IFERROR(INDEX(tblDeviceConfig[Software List],ROW()-1),"")</f>
      </c>
      <c r="H426">
        <f>IFERROR(INDEX(tblDeviceConfig[PI_Use_Case],ROW()-1),"")</f>
      </c>
      <c r="I426">
        <f>IFERROR(INDEX(tblDeviceConfig[PI_Result],ROW()-1),"")</f>
      </c>
      <c r="J426">
        <f>IFERROR(INDEX(tblDeviceConfig[PI_Validated_By],ROW()-1),"")</f>
      </c>
      <c r="K426">
        <f>IFERROR(INDEX(tblDeviceConfig[PI_Validated_Date],ROW()-1),"")</f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</c>
      <c r="C427">
        <f>IFERROR(INDEX(tblDeviceConfig[Deployed],ROW()-1),"")</f>
      </c>
      <c r="D427">
        <f>IFERROR(INDEX(tblDeviceConfig[Installed],ROW()-1),"")</f>
      </c>
      <c r="E427">
        <f>IFERROR(INDEX(tblDeviceConfig[Cybernet Hostname],ROW()-1),"")</f>
      </c>
      <c r="F427">
        <f>IFERROR(INDEX(tblDeviceConfig[Neuron Hostname],ROW()-1),"")</f>
      </c>
      <c r="G427">
        <f>IFERROR(INDEX(tblDeviceConfig[Software List],ROW()-1),"")</f>
      </c>
      <c r="H427">
        <f>IFERROR(INDEX(tblDeviceConfig[PI_Use_Case],ROW()-1),"")</f>
      </c>
      <c r="I427">
        <f>IFERROR(INDEX(tblDeviceConfig[PI_Result],ROW()-1),"")</f>
      </c>
      <c r="J427">
        <f>IFERROR(INDEX(tblDeviceConfig[PI_Validated_By],ROW()-1),"")</f>
      </c>
      <c r="K427">
        <f>IFERROR(INDEX(tblDeviceConfig[PI_Validated_Date],ROW()-1),"")</f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</c>
      <c r="C428">
        <f>IFERROR(INDEX(tblDeviceConfig[Deployed],ROW()-1),"")</f>
      </c>
      <c r="D428">
        <f>IFERROR(INDEX(tblDeviceConfig[Installed],ROW()-1),"")</f>
      </c>
      <c r="E428">
        <f>IFERROR(INDEX(tblDeviceConfig[Cybernet Hostname],ROW()-1),"")</f>
      </c>
      <c r="F428">
        <f>IFERROR(INDEX(tblDeviceConfig[Neuron Hostname],ROW()-1),"")</f>
      </c>
      <c r="G428">
        <f>IFERROR(INDEX(tblDeviceConfig[Software List],ROW()-1),"")</f>
      </c>
      <c r="H428">
        <f>IFERROR(INDEX(tblDeviceConfig[PI_Use_Case],ROW()-1),"")</f>
      </c>
      <c r="I428">
        <f>IFERROR(INDEX(tblDeviceConfig[PI_Result],ROW()-1),"")</f>
      </c>
      <c r="J428">
        <f>IFERROR(INDEX(tblDeviceConfig[PI_Validated_By],ROW()-1),"")</f>
      </c>
      <c r="K428">
        <f>IFERROR(INDEX(tblDeviceConfig[PI_Validated_Date],ROW()-1),"")</f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</c>
      <c r="C429">
        <f>IFERROR(INDEX(tblDeviceConfig[Deployed],ROW()-1),"")</f>
      </c>
      <c r="D429">
        <f>IFERROR(INDEX(tblDeviceConfig[Installed],ROW()-1),"")</f>
      </c>
      <c r="E429">
        <f>IFERROR(INDEX(tblDeviceConfig[Cybernet Hostname],ROW()-1),"")</f>
      </c>
      <c r="F429">
        <f>IFERROR(INDEX(tblDeviceConfig[Neuron Hostname],ROW()-1),"")</f>
      </c>
      <c r="G429">
        <f>IFERROR(INDEX(tblDeviceConfig[Software List],ROW()-1),"")</f>
      </c>
      <c r="H429">
        <f>IFERROR(INDEX(tblDeviceConfig[PI_Use_Case],ROW()-1),"")</f>
      </c>
      <c r="I429">
        <f>IFERROR(INDEX(tblDeviceConfig[PI_Result],ROW()-1),"")</f>
      </c>
      <c r="J429">
        <f>IFERROR(INDEX(tblDeviceConfig[PI_Validated_By],ROW()-1),"")</f>
      </c>
      <c r="K429">
        <f>IFERROR(INDEX(tblDeviceConfig[PI_Validated_Date],ROW()-1),"")</f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</c>
      <c r="C430">
        <f>IFERROR(INDEX(tblDeviceConfig[Deployed],ROW()-1),"")</f>
      </c>
      <c r="D430">
        <f>IFERROR(INDEX(tblDeviceConfig[Installed],ROW()-1),"")</f>
      </c>
      <c r="E430">
        <f>IFERROR(INDEX(tblDeviceConfig[Cybernet Hostname],ROW()-1),"")</f>
      </c>
      <c r="F430">
        <f>IFERROR(INDEX(tblDeviceConfig[Neuron Hostname],ROW()-1),"")</f>
      </c>
      <c r="G430">
        <f>IFERROR(INDEX(tblDeviceConfig[Software List],ROW()-1),"")</f>
      </c>
      <c r="H430">
        <f>IFERROR(INDEX(tblDeviceConfig[PI_Use_Case],ROW()-1),"")</f>
      </c>
      <c r="I430">
        <f>IFERROR(INDEX(tblDeviceConfig[PI_Result],ROW()-1),"")</f>
      </c>
      <c r="J430">
        <f>IFERROR(INDEX(tblDeviceConfig[PI_Validated_By],ROW()-1),"")</f>
      </c>
      <c r="K430">
        <f>IFERROR(INDEX(tblDeviceConfig[PI_Validated_Date],ROW()-1),"")</f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</c>
      <c r="C431">
        <f>IFERROR(INDEX(tblDeviceConfig[Deployed],ROW()-1),"")</f>
      </c>
      <c r="D431">
        <f>IFERROR(INDEX(tblDeviceConfig[Installed],ROW()-1),"")</f>
      </c>
      <c r="E431">
        <f>IFERROR(INDEX(tblDeviceConfig[Cybernet Hostname],ROW()-1),"")</f>
      </c>
      <c r="F431">
        <f>IFERROR(INDEX(tblDeviceConfig[Neuron Hostname],ROW()-1),"")</f>
      </c>
      <c r="G431">
        <f>IFERROR(INDEX(tblDeviceConfig[Software List],ROW()-1),"")</f>
      </c>
      <c r="H431">
        <f>IFERROR(INDEX(tblDeviceConfig[PI_Use_Case],ROW()-1),"")</f>
      </c>
      <c r="I431">
        <f>IFERROR(INDEX(tblDeviceConfig[PI_Result],ROW()-1),"")</f>
      </c>
      <c r="J431">
        <f>IFERROR(INDEX(tblDeviceConfig[PI_Validated_By],ROW()-1),"")</f>
      </c>
      <c r="K431">
        <f>IFERROR(INDEX(tblDeviceConfig[PI_Validated_Date],ROW()-1),"")</f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</c>
      <c r="C432">
        <f>IFERROR(INDEX(tblDeviceConfig[Deployed],ROW()-1),"")</f>
      </c>
      <c r="D432">
        <f>IFERROR(INDEX(tblDeviceConfig[Installed],ROW()-1),"")</f>
      </c>
      <c r="E432">
        <f>IFERROR(INDEX(tblDeviceConfig[Cybernet Hostname],ROW()-1),"")</f>
      </c>
      <c r="F432">
        <f>IFERROR(INDEX(tblDeviceConfig[Neuron Hostname],ROW()-1),"")</f>
      </c>
      <c r="G432">
        <f>IFERROR(INDEX(tblDeviceConfig[Software List],ROW()-1),"")</f>
      </c>
      <c r="H432">
        <f>IFERROR(INDEX(tblDeviceConfig[PI_Use_Case],ROW()-1),"")</f>
      </c>
      <c r="I432">
        <f>IFERROR(INDEX(tblDeviceConfig[PI_Result],ROW()-1),"")</f>
      </c>
      <c r="J432">
        <f>IFERROR(INDEX(tblDeviceConfig[PI_Validated_By],ROW()-1),"")</f>
      </c>
      <c r="K432">
        <f>IFERROR(INDEX(tblDeviceConfig[PI_Validated_Date],ROW()-1),"")</f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</c>
      <c r="C433">
        <f>IFERROR(INDEX(tblDeviceConfig[Deployed],ROW()-1),"")</f>
      </c>
      <c r="D433">
        <f>IFERROR(INDEX(tblDeviceConfig[Installed],ROW()-1),"")</f>
      </c>
      <c r="E433">
        <f>IFERROR(INDEX(tblDeviceConfig[Cybernet Hostname],ROW()-1),"")</f>
      </c>
      <c r="F433">
        <f>IFERROR(INDEX(tblDeviceConfig[Neuron Hostname],ROW()-1),"")</f>
      </c>
      <c r="G433">
        <f>IFERROR(INDEX(tblDeviceConfig[Software List],ROW()-1),"")</f>
      </c>
      <c r="H433">
        <f>IFERROR(INDEX(tblDeviceConfig[PI_Use_Case],ROW()-1),"")</f>
      </c>
      <c r="I433">
        <f>IFERROR(INDEX(tblDeviceConfig[PI_Result],ROW()-1),"")</f>
      </c>
      <c r="J433">
        <f>IFERROR(INDEX(tblDeviceConfig[PI_Validated_By],ROW()-1),"")</f>
      </c>
      <c r="K433">
        <f>IFERROR(INDEX(tblDeviceConfig[PI_Validated_Date],ROW()-1),"")</f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</c>
      <c r="C434">
        <f>IFERROR(INDEX(tblDeviceConfig[Deployed],ROW()-1),"")</f>
      </c>
      <c r="D434">
        <f>IFERROR(INDEX(tblDeviceConfig[Installed],ROW()-1),"")</f>
      </c>
      <c r="E434">
        <f>IFERROR(INDEX(tblDeviceConfig[Cybernet Hostname],ROW()-1),"")</f>
      </c>
      <c r="F434">
        <f>IFERROR(INDEX(tblDeviceConfig[Neuron Hostname],ROW()-1),"")</f>
      </c>
      <c r="G434">
        <f>IFERROR(INDEX(tblDeviceConfig[Software List],ROW()-1),"")</f>
      </c>
      <c r="H434">
        <f>IFERROR(INDEX(tblDeviceConfig[PI_Use_Case],ROW()-1),"")</f>
      </c>
      <c r="I434">
        <f>IFERROR(INDEX(tblDeviceConfig[PI_Result],ROW()-1),"")</f>
      </c>
      <c r="J434">
        <f>IFERROR(INDEX(tblDeviceConfig[PI_Validated_By],ROW()-1),"")</f>
      </c>
      <c r="K434">
        <f>IFERROR(INDEX(tblDeviceConfig[PI_Validated_Date],ROW()-1),"")</f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</c>
      <c r="C435">
        <f>IFERROR(INDEX(tblDeviceConfig[Deployed],ROW()-1),"")</f>
      </c>
      <c r="D435">
        <f>IFERROR(INDEX(tblDeviceConfig[Installed],ROW()-1),"")</f>
      </c>
      <c r="E435">
        <f>IFERROR(INDEX(tblDeviceConfig[Cybernet Hostname],ROW()-1),"")</f>
      </c>
      <c r="F435">
        <f>IFERROR(INDEX(tblDeviceConfig[Neuron Hostname],ROW()-1),"")</f>
      </c>
      <c r="G435">
        <f>IFERROR(INDEX(tblDeviceConfig[Software List],ROW()-1),"")</f>
      </c>
      <c r="H435">
        <f>IFERROR(INDEX(tblDeviceConfig[PI_Use_Case],ROW()-1),"")</f>
      </c>
      <c r="I435">
        <f>IFERROR(INDEX(tblDeviceConfig[PI_Result],ROW()-1),"")</f>
      </c>
      <c r="J435">
        <f>IFERROR(INDEX(tblDeviceConfig[PI_Validated_By],ROW()-1),"")</f>
      </c>
      <c r="K435">
        <f>IFERROR(INDEX(tblDeviceConfig[PI_Validated_Date],ROW()-1),"")</f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</c>
      <c r="C436">
        <f>IFERROR(INDEX(tblDeviceConfig[Deployed],ROW()-1),"")</f>
      </c>
      <c r="D436">
        <f>IFERROR(INDEX(tblDeviceConfig[Installed],ROW()-1),"")</f>
      </c>
      <c r="E436">
        <f>IFERROR(INDEX(tblDeviceConfig[Cybernet Hostname],ROW()-1),"")</f>
      </c>
      <c r="F436">
        <f>IFERROR(INDEX(tblDeviceConfig[Neuron Hostname],ROW()-1),"")</f>
      </c>
      <c r="G436">
        <f>IFERROR(INDEX(tblDeviceConfig[Software List],ROW()-1),"")</f>
      </c>
      <c r="H436">
        <f>IFERROR(INDEX(tblDeviceConfig[PI_Use_Case],ROW()-1),"")</f>
      </c>
      <c r="I436">
        <f>IFERROR(INDEX(tblDeviceConfig[PI_Result],ROW()-1),"")</f>
      </c>
      <c r="J436">
        <f>IFERROR(INDEX(tblDeviceConfig[PI_Validated_By],ROW()-1),"")</f>
      </c>
      <c r="K436">
        <f>IFERROR(INDEX(tblDeviceConfig[PI_Validated_Date],ROW()-1),"")</f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</c>
      <c r="C437">
        <f>IFERROR(INDEX(tblDeviceConfig[Deployed],ROW()-1),"")</f>
      </c>
      <c r="D437">
        <f>IFERROR(INDEX(tblDeviceConfig[Installed],ROW()-1),"")</f>
      </c>
      <c r="E437">
        <f>IFERROR(INDEX(tblDeviceConfig[Cybernet Hostname],ROW()-1),"")</f>
      </c>
      <c r="F437">
        <f>IFERROR(INDEX(tblDeviceConfig[Neuron Hostname],ROW()-1),"")</f>
      </c>
      <c r="G437">
        <f>IFERROR(INDEX(tblDeviceConfig[Software List],ROW()-1),"")</f>
      </c>
      <c r="H437">
        <f>IFERROR(INDEX(tblDeviceConfig[PI_Use_Case],ROW()-1),"")</f>
      </c>
      <c r="I437">
        <f>IFERROR(INDEX(tblDeviceConfig[PI_Result],ROW()-1),"")</f>
      </c>
      <c r="J437">
        <f>IFERROR(INDEX(tblDeviceConfig[PI_Validated_By],ROW()-1),"")</f>
      </c>
      <c r="K437">
        <f>IFERROR(INDEX(tblDeviceConfig[PI_Validated_Date],ROW()-1),"")</f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</c>
      <c r="C438">
        <f>IFERROR(INDEX(tblDeviceConfig[Deployed],ROW()-1),"")</f>
      </c>
      <c r="D438">
        <f>IFERROR(INDEX(tblDeviceConfig[Installed],ROW()-1),"")</f>
      </c>
      <c r="E438">
        <f>IFERROR(INDEX(tblDeviceConfig[Cybernet Hostname],ROW()-1),"")</f>
      </c>
      <c r="F438">
        <f>IFERROR(INDEX(tblDeviceConfig[Neuron Hostname],ROW()-1),"")</f>
      </c>
      <c r="G438">
        <f>IFERROR(INDEX(tblDeviceConfig[Software List],ROW()-1),"")</f>
      </c>
      <c r="H438">
        <f>IFERROR(INDEX(tblDeviceConfig[PI_Use_Case],ROW()-1),"")</f>
      </c>
      <c r="I438">
        <f>IFERROR(INDEX(tblDeviceConfig[PI_Result],ROW()-1),"")</f>
      </c>
      <c r="J438">
        <f>IFERROR(INDEX(tblDeviceConfig[PI_Validated_By],ROW()-1),"")</f>
      </c>
      <c r="K438">
        <f>IFERROR(INDEX(tblDeviceConfig[PI_Validated_Date],ROW()-1),"")</f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</c>
      <c r="C439">
        <f>IFERROR(INDEX(tblDeviceConfig[Deployed],ROW()-1),"")</f>
      </c>
      <c r="D439">
        <f>IFERROR(INDEX(tblDeviceConfig[Installed],ROW()-1),"")</f>
      </c>
      <c r="E439">
        <f>IFERROR(INDEX(tblDeviceConfig[Cybernet Hostname],ROW()-1),"")</f>
      </c>
      <c r="F439">
        <f>IFERROR(INDEX(tblDeviceConfig[Neuron Hostname],ROW()-1),"")</f>
      </c>
      <c r="G439">
        <f>IFERROR(INDEX(tblDeviceConfig[Software List],ROW()-1),"")</f>
      </c>
      <c r="H439">
        <f>IFERROR(INDEX(tblDeviceConfig[PI_Use_Case],ROW()-1),"")</f>
      </c>
      <c r="I439">
        <f>IFERROR(INDEX(tblDeviceConfig[PI_Result],ROW()-1),"")</f>
      </c>
      <c r="J439">
        <f>IFERROR(INDEX(tblDeviceConfig[PI_Validated_By],ROW()-1),"")</f>
      </c>
      <c r="K439">
        <f>IFERROR(INDEX(tblDeviceConfig[PI_Validated_Date],ROW()-1),"")</f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</c>
      <c r="C440">
        <f>IFERROR(INDEX(tblDeviceConfig[Deployed],ROW()-1),"")</f>
      </c>
      <c r="D440">
        <f>IFERROR(INDEX(tblDeviceConfig[Installed],ROW()-1),"")</f>
      </c>
      <c r="E440">
        <f>IFERROR(INDEX(tblDeviceConfig[Cybernet Hostname],ROW()-1),"")</f>
      </c>
      <c r="F440">
        <f>IFERROR(INDEX(tblDeviceConfig[Neuron Hostname],ROW()-1),"")</f>
      </c>
      <c r="G440">
        <f>IFERROR(INDEX(tblDeviceConfig[Software List],ROW()-1),"")</f>
      </c>
      <c r="H440">
        <f>IFERROR(INDEX(tblDeviceConfig[PI_Use_Case],ROW()-1),"")</f>
      </c>
      <c r="I440">
        <f>IFERROR(INDEX(tblDeviceConfig[PI_Result],ROW()-1),"")</f>
      </c>
      <c r="J440">
        <f>IFERROR(INDEX(tblDeviceConfig[PI_Validated_By],ROW()-1),"")</f>
      </c>
      <c r="K440">
        <f>IFERROR(INDEX(tblDeviceConfig[PI_Validated_Date],ROW()-1),"")</f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</c>
      <c r="C441">
        <f>IFERROR(INDEX(tblDeviceConfig[Deployed],ROW()-1),"")</f>
      </c>
      <c r="D441">
        <f>IFERROR(INDEX(tblDeviceConfig[Installed],ROW()-1),"")</f>
      </c>
      <c r="E441">
        <f>IFERROR(INDEX(tblDeviceConfig[Cybernet Hostname],ROW()-1),"")</f>
      </c>
      <c r="F441">
        <f>IFERROR(INDEX(tblDeviceConfig[Neuron Hostname],ROW()-1),"")</f>
      </c>
      <c r="G441">
        <f>IFERROR(INDEX(tblDeviceConfig[Software List],ROW()-1),"")</f>
      </c>
      <c r="H441">
        <f>IFERROR(INDEX(tblDeviceConfig[PI_Use_Case],ROW()-1),"")</f>
      </c>
      <c r="I441">
        <f>IFERROR(INDEX(tblDeviceConfig[PI_Result],ROW()-1),"")</f>
      </c>
      <c r="J441">
        <f>IFERROR(INDEX(tblDeviceConfig[PI_Validated_By],ROW()-1),"")</f>
      </c>
      <c r="K441">
        <f>IFERROR(INDEX(tblDeviceConfig[PI_Validated_Date],ROW()-1),"")</f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</c>
      <c r="C442">
        <f>IFERROR(INDEX(tblDeviceConfig[Deployed],ROW()-1),"")</f>
      </c>
      <c r="D442">
        <f>IFERROR(INDEX(tblDeviceConfig[Installed],ROW()-1),"")</f>
      </c>
      <c r="E442">
        <f>IFERROR(INDEX(tblDeviceConfig[Cybernet Hostname],ROW()-1),"")</f>
      </c>
      <c r="F442">
        <f>IFERROR(INDEX(tblDeviceConfig[Neuron Hostname],ROW()-1),"")</f>
      </c>
      <c r="G442">
        <f>IFERROR(INDEX(tblDeviceConfig[Software List],ROW()-1),"")</f>
      </c>
      <c r="H442">
        <f>IFERROR(INDEX(tblDeviceConfig[PI_Use_Case],ROW()-1),"")</f>
      </c>
      <c r="I442">
        <f>IFERROR(INDEX(tblDeviceConfig[PI_Result],ROW()-1),"")</f>
      </c>
      <c r="J442">
        <f>IFERROR(INDEX(tblDeviceConfig[PI_Validated_By],ROW()-1),"")</f>
      </c>
      <c r="K442">
        <f>IFERROR(INDEX(tblDeviceConfig[PI_Validated_Date],ROW()-1),"")</f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</c>
      <c r="C443">
        <f>IFERROR(INDEX(tblDeviceConfig[Deployed],ROW()-1),"")</f>
      </c>
      <c r="D443">
        <f>IFERROR(INDEX(tblDeviceConfig[Installed],ROW()-1),"")</f>
      </c>
      <c r="E443">
        <f>IFERROR(INDEX(tblDeviceConfig[Cybernet Hostname],ROW()-1),"")</f>
      </c>
      <c r="F443">
        <f>IFERROR(INDEX(tblDeviceConfig[Neuron Hostname],ROW()-1),"")</f>
      </c>
      <c r="G443">
        <f>IFERROR(INDEX(tblDeviceConfig[Software List],ROW()-1),"")</f>
      </c>
      <c r="H443">
        <f>IFERROR(INDEX(tblDeviceConfig[PI_Use_Case],ROW()-1),"")</f>
      </c>
      <c r="I443">
        <f>IFERROR(INDEX(tblDeviceConfig[PI_Result],ROW()-1),"")</f>
      </c>
      <c r="J443">
        <f>IFERROR(INDEX(tblDeviceConfig[PI_Validated_By],ROW()-1),"")</f>
      </c>
      <c r="K443">
        <f>IFERROR(INDEX(tblDeviceConfig[PI_Validated_Date],ROW()-1),"")</f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</c>
      <c r="C444">
        <f>IFERROR(INDEX(tblDeviceConfig[Deployed],ROW()-1),"")</f>
      </c>
      <c r="D444">
        <f>IFERROR(INDEX(tblDeviceConfig[Installed],ROW()-1),"")</f>
      </c>
      <c r="E444">
        <f>IFERROR(INDEX(tblDeviceConfig[Cybernet Hostname],ROW()-1),"")</f>
      </c>
      <c r="F444">
        <f>IFERROR(INDEX(tblDeviceConfig[Neuron Hostname],ROW()-1),"")</f>
      </c>
      <c r="G444">
        <f>IFERROR(INDEX(tblDeviceConfig[Software List],ROW()-1),"")</f>
      </c>
      <c r="H444">
        <f>IFERROR(INDEX(tblDeviceConfig[PI_Use_Case],ROW()-1),"")</f>
      </c>
      <c r="I444">
        <f>IFERROR(INDEX(tblDeviceConfig[PI_Result],ROW()-1),"")</f>
      </c>
      <c r="J444">
        <f>IFERROR(INDEX(tblDeviceConfig[PI_Validated_By],ROW()-1),"")</f>
      </c>
      <c r="K444">
        <f>IFERROR(INDEX(tblDeviceConfig[PI_Validated_Date],ROW()-1),"")</f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</c>
      <c r="C445">
        <f>IFERROR(INDEX(tblDeviceConfig[Deployed],ROW()-1),"")</f>
      </c>
      <c r="D445">
        <f>IFERROR(INDEX(tblDeviceConfig[Installed],ROW()-1),"")</f>
      </c>
      <c r="E445">
        <f>IFERROR(INDEX(tblDeviceConfig[Cybernet Hostname],ROW()-1),"")</f>
      </c>
      <c r="F445">
        <f>IFERROR(INDEX(tblDeviceConfig[Neuron Hostname],ROW()-1),"")</f>
      </c>
      <c r="G445">
        <f>IFERROR(INDEX(tblDeviceConfig[Software List],ROW()-1),"")</f>
      </c>
      <c r="H445">
        <f>IFERROR(INDEX(tblDeviceConfig[PI_Use_Case],ROW()-1),"")</f>
      </c>
      <c r="I445">
        <f>IFERROR(INDEX(tblDeviceConfig[PI_Result],ROW()-1),"")</f>
      </c>
      <c r="J445">
        <f>IFERROR(INDEX(tblDeviceConfig[PI_Validated_By],ROW()-1),"")</f>
      </c>
      <c r="K445">
        <f>IFERROR(INDEX(tblDeviceConfig[PI_Validated_Date],ROW()-1),"")</f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</c>
      <c r="C446">
        <f>IFERROR(INDEX(tblDeviceConfig[Deployed],ROW()-1),"")</f>
      </c>
      <c r="D446">
        <f>IFERROR(INDEX(tblDeviceConfig[Installed],ROW()-1),"")</f>
      </c>
      <c r="E446">
        <f>IFERROR(INDEX(tblDeviceConfig[Cybernet Hostname],ROW()-1),"")</f>
      </c>
      <c r="F446">
        <f>IFERROR(INDEX(tblDeviceConfig[Neuron Hostname],ROW()-1),"")</f>
      </c>
      <c r="G446">
        <f>IFERROR(INDEX(tblDeviceConfig[Software List],ROW()-1),"")</f>
      </c>
      <c r="H446">
        <f>IFERROR(INDEX(tblDeviceConfig[PI_Use_Case],ROW()-1),"")</f>
      </c>
      <c r="I446">
        <f>IFERROR(INDEX(tblDeviceConfig[PI_Result],ROW()-1),"")</f>
      </c>
      <c r="J446">
        <f>IFERROR(INDEX(tblDeviceConfig[PI_Validated_By],ROW()-1),"")</f>
      </c>
      <c r="K446">
        <f>IFERROR(INDEX(tblDeviceConfig[PI_Validated_Date],ROW()-1),"")</f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</c>
      <c r="C447">
        <f>IFERROR(INDEX(tblDeviceConfig[Deployed],ROW()-1),"")</f>
      </c>
      <c r="D447">
        <f>IFERROR(INDEX(tblDeviceConfig[Installed],ROW()-1),"")</f>
      </c>
      <c r="E447">
        <f>IFERROR(INDEX(tblDeviceConfig[Cybernet Hostname],ROW()-1),"")</f>
      </c>
      <c r="F447">
        <f>IFERROR(INDEX(tblDeviceConfig[Neuron Hostname],ROW()-1),"")</f>
      </c>
      <c r="G447">
        <f>IFERROR(INDEX(tblDeviceConfig[Software List],ROW()-1),"")</f>
      </c>
      <c r="H447">
        <f>IFERROR(INDEX(tblDeviceConfig[PI_Use_Case],ROW()-1),"")</f>
      </c>
      <c r="I447">
        <f>IFERROR(INDEX(tblDeviceConfig[PI_Result],ROW()-1),"")</f>
      </c>
      <c r="J447">
        <f>IFERROR(INDEX(tblDeviceConfig[PI_Validated_By],ROW()-1),"")</f>
      </c>
      <c r="K447">
        <f>IFERROR(INDEX(tblDeviceConfig[PI_Validated_Date],ROW()-1),"")</f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</c>
      <c r="C448">
        <f>IFERROR(INDEX(tblDeviceConfig[Deployed],ROW()-1),"")</f>
      </c>
      <c r="D448">
        <f>IFERROR(INDEX(tblDeviceConfig[Installed],ROW()-1),"")</f>
      </c>
      <c r="E448">
        <f>IFERROR(INDEX(tblDeviceConfig[Cybernet Hostname],ROW()-1),"")</f>
      </c>
      <c r="F448">
        <f>IFERROR(INDEX(tblDeviceConfig[Neuron Hostname],ROW()-1),"")</f>
      </c>
      <c r="G448">
        <f>IFERROR(INDEX(tblDeviceConfig[Software List],ROW()-1),"")</f>
      </c>
      <c r="H448">
        <f>IFERROR(INDEX(tblDeviceConfig[PI_Use_Case],ROW()-1),"")</f>
      </c>
      <c r="I448">
        <f>IFERROR(INDEX(tblDeviceConfig[PI_Result],ROW()-1),"")</f>
      </c>
      <c r="J448">
        <f>IFERROR(INDEX(tblDeviceConfig[PI_Validated_By],ROW()-1),"")</f>
      </c>
      <c r="K448">
        <f>IFERROR(INDEX(tblDeviceConfig[PI_Validated_Date],ROW()-1),"")</f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</c>
      <c r="C449">
        <f>IFERROR(INDEX(tblDeviceConfig[Deployed],ROW()-1),"")</f>
      </c>
      <c r="D449">
        <f>IFERROR(INDEX(tblDeviceConfig[Installed],ROW()-1),"")</f>
      </c>
      <c r="E449">
        <f>IFERROR(INDEX(tblDeviceConfig[Cybernet Hostname],ROW()-1),"")</f>
      </c>
      <c r="F449">
        <f>IFERROR(INDEX(tblDeviceConfig[Neuron Hostname],ROW()-1),"")</f>
      </c>
      <c r="G449">
        <f>IFERROR(INDEX(tblDeviceConfig[Software List],ROW()-1),"")</f>
      </c>
      <c r="H449">
        <f>IFERROR(INDEX(tblDeviceConfig[PI_Use_Case],ROW()-1),"")</f>
      </c>
      <c r="I449">
        <f>IFERROR(INDEX(tblDeviceConfig[PI_Result],ROW()-1),"")</f>
      </c>
      <c r="J449">
        <f>IFERROR(INDEX(tblDeviceConfig[PI_Validated_By],ROW()-1),"")</f>
      </c>
      <c r="K449">
        <f>IFERROR(INDEX(tblDeviceConfig[PI_Validated_Date],ROW()-1),"")</f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</c>
      <c r="C450">
        <f>IFERROR(INDEX(tblDeviceConfig[Deployed],ROW()-1),"")</f>
      </c>
      <c r="D450">
        <f>IFERROR(INDEX(tblDeviceConfig[Installed],ROW()-1),"")</f>
      </c>
      <c r="E450">
        <f>IFERROR(INDEX(tblDeviceConfig[Cybernet Hostname],ROW()-1),"")</f>
      </c>
      <c r="F450">
        <f>IFERROR(INDEX(tblDeviceConfig[Neuron Hostname],ROW()-1),"")</f>
      </c>
      <c r="G450">
        <f>IFERROR(INDEX(tblDeviceConfig[Software List],ROW()-1),"")</f>
      </c>
      <c r="H450">
        <f>IFERROR(INDEX(tblDeviceConfig[PI_Use_Case],ROW()-1),"")</f>
      </c>
      <c r="I450">
        <f>IFERROR(INDEX(tblDeviceConfig[PI_Result],ROW()-1),"")</f>
      </c>
      <c r="J450">
        <f>IFERROR(INDEX(tblDeviceConfig[PI_Validated_By],ROW()-1),"")</f>
      </c>
      <c r="K450">
        <f>IFERROR(INDEX(tblDeviceConfig[PI_Validated_Date],ROW()-1),"")</f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</c>
      <c r="C451">
        <f>IFERROR(INDEX(tblDeviceConfig[Deployed],ROW()-1),"")</f>
      </c>
      <c r="D451">
        <f>IFERROR(INDEX(tblDeviceConfig[Installed],ROW()-1),"")</f>
      </c>
      <c r="E451">
        <f>IFERROR(INDEX(tblDeviceConfig[Cybernet Hostname],ROW()-1),"")</f>
      </c>
      <c r="F451">
        <f>IFERROR(INDEX(tblDeviceConfig[Neuron Hostname],ROW()-1),"")</f>
      </c>
      <c r="G451">
        <f>IFERROR(INDEX(tblDeviceConfig[Software List],ROW()-1),"")</f>
      </c>
      <c r="H451">
        <f>IFERROR(INDEX(tblDeviceConfig[PI_Use_Case],ROW()-1),"")</f>
      </c>
      <c r="I451">
        <f>IFERROR(INDEX(tblDeviceConfig[PI_Result],ROW()-1),"")</f>
      </c>
      <c r="J451">
        <f>IFERROR(INDEX(tblDeviceConfig[PI_Validated_By],ROW()-1),"")</f>
      </c>
      <c r="K451">
        <f>IFERROR(INDEX(tblDeviceConfig[PI_Validated_Date],ROW()-1),"")</f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</c>
      <c r="C452">
        <f>IFERROR(INDEX(tblDeviceConfig[Deployed],ROW()-1),"")</f>
      </c>
      <c r="D452">
        <f>IFERROR(INDEX(tblDeviceConfig[Installed],ROW()-1),"")</f>
      </c>
      <c r="E452">
        <f>IFERROR(INDEX(tblDeviceConfig[Cybernet Hostname],ROW()-1),"")</f>
      </c>
      <c r="F452">
        <f>IFERROR(INDEX(tblDeviceConfig[Neuron Hostname],ROW()-1),"")</f>
      </c>
      <c r="G452">
        <f>IFERROR(INDEX(tblDeviceConfig[Software List],ROW()-1),"")</f>
      </c>
      <c r="H452">
        <f>IFERROR(INDEX(tblDeviceConfig[PI_Use_Case],ROW()-1),"")</f>
      </c>
      <c r="I452">
        <f>IFERROR(INDEX(tblDeviceConfig[PI_Result],ROW()-1),"")</f>
      </c>
      <c r="J452">
        <f>IFERROR(INDEX(tblDeviceConfig[PI_Validated_By],ROW()-1),"")</f>
      </c>
      <c r="K452">
        <f>IFERROR(INDEX(tblDeviceConfig[PI_Validated_Date],ROW()-1),"")</f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</c>
      <c r="C453">
        <f>IFERROR(INDEX(tblDeviceConfig[Deployed],ROW()-1),"")</f>
      </c>
      <c r="D453">
        <f>IFERROR(INDEX(tblDeviceConfig[Installed],ROW()-1),"")</f>
      </c>
      <c r="E453">
        <f>IFERROR(INDEX(tblDeviceConfig[Cybernet Hostname],ROW()-1),"")</f>
      </c>
      <c r="F453">
        <f>IFERROR(INDEX(tblDeviceConfig[Neuron Hostname],ROW()-1),"")</f>
      </c>
      <c r="G453">
        <f>IFERROR(INDEX(tblDeviceConfig[Software List],ROW()-1),"")</f>
      </c>
      <c r="H453">
        <f>IFERROR(INDEX(tblDeviceConfig[PI_Use_Case],ROW()-1),"")</f>
      </c>
      <c r="I453">
        <f>IFERROR(INDEX(tblDeviceConfig[PI_Result],ROW()-1),"")</f>
      </c>
      <c r="J453">
        <f>IFERROR(INDEX(tblDeviceConfig[PI_Validated_By],ROW()-1),"")</f>
      </c>
      <c r="K453">
        <f>IFERROR(INDEX(tblDeviceConfig[PI_Validated_Date],ROW()-1),"")</f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</c>
      <c r="C454">
        <f>IFERROR(INDEX(tblDeviceConfig[Deployed],ROW()-1),"")</f>
      </c>
      <c r="D454">
        <f>IFERROR(INDEX(tblDeviceConfig[Installed],ROW()-1),"")</f>
      </c>
      <c r="E454">
        <f>IFERROR(INDEX(tblDeviceConfig[Cybernet Hostname],ROW()-1),"")</f>
      </c>
      <c r="F454">
        <f>IFERROR(INDEX(tblDeviceConfig[Neuron Hostname],ROW()-1),"")</f>
      </c>
      <c r="G454">
        <f>IFERROR(INDEX(tblDeviceConfig[Software List],ROW()-1),"")</f>
      </c>
      <c r="H454">
        <f>IFERROR(INDEX(tblDeviceConfig[PI_Use_Case],ROW()-1),"")</f>
      </c>
      <c r="I454">
        <f>IFERROR(INDEX(tblDeviceConfig[PI_Result],ROW()-1),"")</f>
      </c>
      <c r="J454">
        <f>IFERROR(INDEX(tblDeviceConfig[PI_Validated_By],ROW()-1),"")</f>
      </c>
      <c r="K454">
        <f>IFERROR(INDEX(tblDeviceConfig[PI_Validated_Date],ROW()-1),"")</f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</c>
      <c r="C455">
        <f>IFERROR(INDEX(tblDeviceConfig[Deployed],ROW()-1),"")</f>
      </c>
      <c r="D455">
        <f>IFERROR(INDEX(tblDeviceConfig[Installed],ROW()-1),"")</f>
      </c>
      <c r="E455">
        <f>IFERROR(INDEX(tblDeviceConfig[Cybernet Hostname],ROW()-1),"")</f>
      </c>
      <c r="F455">
        <f>IFERROR(INDEX(tblDeviceConfig[Neuron Hostname],ROW()-1),"")</f>
      </c>
      <c r="G455">
        <f>IFERROR(INDEX(tblDeviceConfig[Software List],ROW()-1),"")</f>
      </c>
      <c r="H455">
        <f>IFERROR(INDEX(tblDeviceConfig[PI_Use_Case],ROW()-1),"")</f>
      </c>
      <c r="I455">
        <f>IFERROR(INDEX(tblDeviceConfig[PI_Result],ROW()-1),"")</f>
      </c>
      <c r="J455">
        <f>IFERROR(INDEX(tblDeviceConfig[PI_Validated_By],ROW()-1),"")</f>
      </c>
      <c r="K455">
        <f>IFERROR(INDEX(tblDeviceConfig[PI_Validated_Date],ROW()-1),"")</f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</c>
      <c r="C456">
        <f>IFERROR(INDEX(tblDeviceConfig[Deployed],ROW()-1),"")</f>
      </c>
      <c r="D456">
        <f>IFERROR(INDEX(tblDeviceConfig[Installed],ROW()-1),"")</f>
      </c>
      <c r="E456">
        <f>IFERROR(INDEX(tblDeviceConfig[Cybernet Hostname],ROW()-1),"")</f>
      </c>
      <c r="F456">
        <f>IFERROR(INDEX(tblDeviceConfig[Neuron Hostname],ROW()-1),"")</f>
      </c>
      <c r="G456">
        <f>IFERROR(INDEX(tblDeviceConfig[Software List],ROW()-1),"")</f>
      </c>
      <c r="H456">
        <f>IFERROR(INDEX(tblDeviceConfig[PI_Use_Case],ROW()-1),"")</f>
      </c>
      <c r="I456">
        <f>IFERROR(INDEX(tblDeviceConfig[PI_Result],ROW()-1),"")</f>
      </c>
      <c r="J456">
        <f>IFERROR(INDEX(tblDeviceConfig[PI_Validated_By],ROW()-1),"")</f>
      </c>
      <c r="K456">
        <f>IFERROR(INDEX(tblDeviceConfig[PI_Validated_Date],ROW()-1),"")</f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</c>
      <c r="C457">
        <f>IFERROR(INDEX(tblDeviceConfig[Deployed],ROW()-1),"")</f>
      </c>
      <c r="D457">
        <f>IFERROR(INDEX(tblDeviceConfig[Installed],ROW()-1),"")</f>
      </c>
      <c r="E457">
        <f>IFERROR(INDEX(tblDeviceConfig[Cybernet Hostname],ROW()-1),"")</f>
      </c>
      <c r="F457">
        <f>IFERROR(INDEX(tblDeviceConfig[Neuron Hostname],ROW()-1),"")</f>
      </c>
      <c r="G457">
        <f>IFERROR(INDEX(tblDeviceConfig[Software List],ROW()-1),"")</f>
      </c>
      <c r="H457">
        <f>IFERROR(INDEX(tblDeviceConfig[PI_Use_Case],ROW()-1),"")</f>
      </c>
      <c r="I457">
        <f>IFERROR(INDEX(tblDeviceConfig[PI_Result],ROW()-1),"")</f>
      </c>
      <c r="J457">
        <f>IFERROR(INDEX(tblDeviceConfig[PI_Validated_By],ROW()-1),"")</f>
      </c>
      <c r="K457">
        <f>IFERROR(INDEX(tblDeviceConfig[PI_Validated_Date],ROW()-1),"")</f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</c>
      <c r="C458">
        <f>IFERROR(INDEX(tblDeviceConfig[Deployed],ROW()-1),"")</f>
      </c>
      <c r="D458">
        <f>IFERROR(INDEX(tblDeviceConfig[Installed],ROW()-1),"")</f>
      </c>
      <c r="E458">
        <f>IFERROR(INDEX(tblDeviceConfig[Cybernet Hostname],ROW()-1),"")</f>
      </c>
      <c r="F458">
        <f>IFERROR(INDEX(tblDeviceConfig[Neuron Hostname],ROW()-1),"")</f>
      </c>
      <c r="G458">
        <f>IFERROR(INDEX(tblDeviceConfig[Software List],ROW()-1),"")</f>
      </c>
      <c r="H458">
        <f>IFERROR(INDEX(tblDeviceConfig[PI_Use_Case],ROW()-1),"")</f>
      </c>
      <c r="I458">
        <f>IFERROR(INDEX(tblDeviceConfig[PI_Result],ROW()-1),"")</f>
      </c>
      <c r="J458">
        <f>IFERROR(INDEX(tblDeviceConfig[PI_Validated_By],ROW()-1),"")</f>
      </c>
      <c r="K458">
        <f>IFERROR(INDEX(tblDeviceConfig[PI_Validated_Date],ROW()-1),"")</f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</c>
      <c r="C459">
        <f>IFERROR(INDEX(tblDeviceConfig[Deployed],ROW()-1),"")</f>
      </c>
      <c r="D459">
        <f>IFERROR(INDEX(tblDeviceConfig[Installed],ROW()-1),"")</f>
      </c>
      <c r="E459">
        <f>IFERROR(INDEX(tblDeviceConfig[Cybernet Hostname],ROW()-1),"")</f>
      </c>
      <c r="F459">
        <f>IFERROR(INDEX(tblDeviceConfig[Neuron Hostname],ROW()-1),"")</f>
      </c>
      <c r="G459">
        <f>IFERROR(INDEX(tblDeviceConfig[Software List],ROW()-1),"")</f>
      </c>
      <c r="H459">
        <f>IFERROR(INDEX(tblDeviceConfig[PI_Use_Case],ROW()-1),"")</f>
      </c>
      <c r="I459">
        <f>IFERROR(INDEX(tblDeviceConfig[PI_Result],ROW()-1),"")</f>
      </c>
      <c r="J459">
        <f>IFERROR(INDEX(tblDeviceConfig[PI_Validated_By],ROW()-1),"")</f>
      </c>
      <c r="K459">
        <f>IFERROR(INDEX(tblDeviceConfig[PI_Validated_Date],ROW()-1),"")</f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</c>
      <c r="C460">
        <f>IFERROR(INDEX(tblDeviceConfig[Deployed],ROW()-1),"")</f>
      </c>
      <c r="D460">
        <f>IFERROR(INDEX(tblDeviceConfig[Installed],ROW()-1),"")</f>
      </c>
      <c r="E460">
        <f>IFERROR(INDEX(tblDeviceConfig[Cybernet Hostname],ROW()-1),"")</f>
      </c>
      <c r="F460">
        <f>IFERROR(INDEX(tblDeviceConfig[Neuron Hostname],ROW()-1),"")</f>
      </c>
      <c r="G460">
        <f>IFERROR(INDEX(tblDeviceConfig[Software List],ROW()-1),"")</f>
      </c>
      <c r="H460">
        <f>IFERROR(INDEX(tblDeviceConfig[PI_Use_Case],ROW()-1),"")</f>
      </c>
      <c r="I460">
        <f>IFERROR(INDEX(tblDeviceConfig[PI_Result],ROW()-1),"")</f>
      </c>
      <c r="J460">
        <f>IFERROR(INDEX(tblDeviceConfig[PI_Validated_By],ROW()-1),"")</f>
      </c>
      <c r="K460">
        <f>IFERROR(INDEX(tblDeviceConfig[PI_Validated_Date],ROW()-1),"")</f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</c>
      <c r="C461">
        <f>IFERROR(INDEX(tblDeviceConfig[Deployed],ROW()-1),"")</f>
      </c>
      <c r="D461">
        <f>IFERROR(INDEX(tblDeviceConfig[Installed],ROW()-1),"")</f>
      </c>
      <c r="E461">
        <f>IFERROR(INDEX(tblDeviceConfig[Cybernet Hostname],ROW()-1),"")</f>
      </c>
      <c r="F461">
        <f>IFERROR(INDEX(tblDeviceConfig[Neuron Hostname],ROW()-1),"")</f>
      </c>
      <c r="G461">
        <f>IFERROR(INDEX(tblDeviceConfig[Software List],ROW()-1),"")</f>
      </c>
      <c r="H461">
        <f>IFERROR(INDEX(tblDeviceConfig[PI_Use_Case],ROW()-1),"")</f>
      </c>
      <c r="I461">
        <f>IFERROR(INDEX(tblDeviceConfig[PI_Result],ROW()-1),"")</f>
      </c>
      <c r="J461">
        <f>IFERROR(INDEX(tblDeviceConfig[PI_Validated_By],ROW()-1),"")</f>
      </c>
      <c r="K461">
        <f>IFERROR(INDEX(tblDeviceConfig[PI_Validated_Date],ROW()-1),"")</f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</c>
      <c r="C462">
        <f>IFERROR(INDEX(tblDeviceConfig[Deployed],ROW()-1),"")</f>
      </c>
      <c r="D462">
        <f>IFERROR(INDEX(tblDeviceConfig[Installed],ROW()-1),"")</f>
      </c>
      <c r="E462">
        <f>IFERROR(INDEX(tblDeviceConfig[Cybernet Hostname],ROW()-1),"")</f>
      </c>
      <c r="F462">
        <f>IFERROR(INDEX(tblDeviceConfig[Neuron Hostname],ROW()-1),"")</f>
      </c>
      <c r="G462">
        <f>IFERROR(INDEX(tblDeviceConfig[Software List],ROW()-1),"")</f>
      </c>
      <c r="H462">
        <f>IFERROR(INDEX(tblDeviceConfig[PI_Use_Case],ROW()-1),"")</f>
      </c>
      <c r="I462">
        <f>IFERROR(INDEX(tblDeviceConfig[PI_Result],ROW()-1),"")</f>
      </c>
      <c r="J462">
        <f>IFERROR(INDEX(tblDeviceConfig[PI_Validated_By],ROW()-1),"")</f>
      </c>
      <c r="K462">
        <f>IFERROR(INDEX(tblDeviceConfig[PI_Validated_Date],ROW()-1),"")</f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</c>
      <c r="C463">
        <f>IFERROR(INDEX(tblDeviceConfig[Deployed],ROW()-1),"")</f>
      </c>
      <c r="D463">
        <f>IFERROR(INDEX(tblDeviceConfig[Installed],ROW()-1),"")</f>
      </c>
      <c r="E463">
        <f>IFERROR(INDEX(tblDeviceConfig[Cybernet Hostname],ROW()-1),"")</f>
      </c>
      <c r="F463">
        <f>IFERROR(INDEX(tblDeviceConfig[Neuron Hostname],ROW()-1),"")</f>
      </c>
      <c r="G463">
        <f>IFERROR(INDEX(tblDeviceConfig[Software List],ROW()-1),"")</f>
      </c>
      <c r="H463">
        <f>IFERROR(INDEX(tblDeviceConfig[PI_Use_Case],ROW()-1),"")</f>
      </c>
      <c r="I463">
        <f>IFERROR(INDEX(tblDeviceConfig[PI_Result],ROW()-1),"")</f>
      </c>
      <c r="J463">
        <f>IFERROR(INDEX(tblDeviceConfig[PI_Validated_By],ROW()-1),"")</f>
      </c>
      <c r="K463">
        <f>IFERROR(INDEX(tblDeviceConfig[PI_Validated_Date],ROW()-1),"")</f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</c>
      <c r="C464">
        <f>IFERROR(INDEX(tblDeviceConfig[Deployed],ROW()-1),"")</f>
      </c>
      <c r="D464">
        <f>IFERROR(INDEX(tblDeviceConfig[Installed],ROW()-1),"")</f>
      </c>
      <c r="E464">
        <f>IFERROR(INDEX(tblDeviceConfig[Cybernet Hostname],ROW()-1),"")</f>
      </c>
      <c r="F464">
        <f>IFERROR(INDEX(tblDeviceConfig[Neuron Hostname],ROW()-1),"")</f>
      </c>
      <c r="G464">
        <f>IFERROR(INDEX(tblDeviceConfig[Software List],ROW()-1),"")</f>
      </c>
      <c r="H464">
        <f>IFERROR(INDEX(tblDeviceConfig[PI_Use_Case],ROW()-1),"")</f>
      </c>
      <c r="I464">
        <f>IFERROR(INDEX(tblDeviceConfig[PI_Result],ROW()-1),"")</f>
      </c>
      <c r="J464">
        <f>IFERROR(INDEX(tblDeviceConfig[PI_Validated_By],ROW()-1),"")</f>
      </c>
      <c r="K464">
        <f>IFERROR(INDEX(tblDeviceConfig[PI_Validated_Date],ROW()-1),"")</f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</c>
      <c r="C465">
        <f>IFERROR(INDEX(tblDeviceConfig[Deployed],ROW()-1),"")</f>
      </c>
      <c r="D465">
        <f>IFERROR(INDEX(tblDeviceConfig[Installed],ROW()-1),"")</f>
      </c>
      <c r="E465">
        <f>IFERROR(INDEX(tblDeviceConfig[Cybernet Hostname],ROW()-1),"")</f>
      </c>
      <c r="F465">
        <f>IFERROR(INDEX(tblDeviceConfig[Neuron Hostname],ROW()-1),"")</f>
      </c>
      <c r="G465">
        <f>IFERROR(INDEX(tblDeviceConfig[Software List],ROW()-1),"")</f>
      </c>
      <c r="H465">
        <f>IFERROR(INDEX(tblDeviceConfig[PI_Use_Case],ROW()-1),"")</f>
      </c>
      <c r="I465">
        <f>IFERROR(INDEX(tblDeviceConfig[PI_Result],ROW()-1),"")</f>
      </c>
      <c r="J465">
        <f>IFERROR(INDEX(tblDeviceConfig[PI_Validated_By],ROW()-1),"")</f>
      </c>
      <c r="K465">
        <f>IFERROR(INDEX(tblDeviceConfig[PI_Validated_Date],ROW()-1),"")</f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</c>
      <c r="C466">
        <f>IFERROR(INDEX(tblDeviceConfig[Deployed],ROW()-1),"")</f>
      </c>
      <c r="D466">
        <f>IFERROR(INDEX(tblDeviceConfig[Installed],ROW()-1),"")</f>
      </c>
      <c r="E466">
        <f>IFERROR(INDEX(tblDeviceConfig[Cybernet Hostname],ROW()-1),"")</f>
      </c>
      <c r="F466">
        <f>IFERROR(INDEX(tblDeviceConfig[Neuron Hostname],ROW()-1),"")</f>
      </c>
      <c r="G466">
        <f>IFERROR(INDEX(tblDeviceConfig[Software List],ROW()-1),"")</f>
      </c>
      <c r="H466">
        <f>IFERROR(INDEX(tblDeviceConfig[PI_Use_Case],ROW()-1),"")</f>
      </c>
      <c r="I466">
        <f>IFERROR(INDEX(tblDeviceConfig[PI_Result],ROW()-1),"")</f>
      </c>
      <c r="J466">
        <f>IFERROR(INDEX(tblDeviceConfig[PI_Validated_By],ROW()-1),"")</f>
      </c>
      <c r="K466">
        <f>IFERROR(INDEX(tblDeviceConfig[PI_Validated_Date],ROW()-1),"")</f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</c>
      <c r="C467">
        <f>IFERROR(INDEX(tblDeviceConfig[Deployed],ROW()-1),"")</f>
      </c>
      <c r="D467">
        <f>IFERROR(INDEX(tblDeviceConfig[Installed],ROW()-1),"")</f>
      </c>
      <c r="E467">
        <f>IFERROR(INDEX(tblDeviceConfig[Cybernet Hostname],ROW()-1),"")</f>
      </c>
      <c r="F467">
        <f>IFERROR(INDEX(tblDeviceConfig[Neuron Hostname],ROW()-1),"")</f>
      </c>
      <c r="G467">
        <f>IFERROR(INDEX(tblDeviceConfig[Software List],ROW()-1),"")</f>
      </c>
      <c r="H467">
        <f>IFERROR(INDEX(tblDeviceConfig[PI_Use_Case],ROW()-1),"")</f>
      </c>
      <c r="I467">
        <f>IFERROR(INDEX(tblDeviceConfig[PI_Result],ROW()-1),"")</f>
      </c>
      <c r="J467">
        <f>IFERROR(INDEX(tblDeviceConfig[PI_Validated_By],ROW()-1),"")</f>
      </c>
      <c r="K467">
        <f>IFERROR(INDEX(tblDeviceConfig[PI_Validated_Date],ROW()-1),"")</f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</c>
      <c r="C468">
        <f>IFERROR(INDEX(tblDeviceConfig[Deployed],ROW()-1),"")</f>
      </c>
      <c r="D468">
        <f>IFERROR(INDEX(tblDeviceConfig[Installed],ROW()-1),"")</f>
      </c>
      <c r="E468">
        <f>IFERROR(INDEX(tblDeviceConfig[Cybernet Hostname],ROW()-1),"")</f>
      </c>
      <c r="F468">
        <f>IFERROR(INDEX(tblDeviceConfig[Neuron Hostname],ROW()-1),"")</f>
      </c>
      <c r="G468">
        <f>IFERROR(INDEX(tblDeviceConfig[Software List],ROW()-1),"")</f>
      </c>
      <c r="H468">
        <f>IFERROR(INDEX(tblDeviceConfig[PI_Use_Case],ROW()-1),"")</f>
      </c>
      <c r="I468">
        <f>IFERROR(INDEX(tblDeviceConfig[PI_Result],ROW()-1),"")</f>
      </c>
      <c r="J468">
        <f>IFERROR(INDEX(tblDeviceConfig[PI_Validated_By],ROW()-1),"")</f>
      </c>
      <c r="K468">
        <f>IFERROR(INDEX(tblDeviceConfig[PI_Validated_Date],ROW()-1),"")</f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</c>
      <c r="C469">
        <f>IFERROR(INDEX(tblDeviceConfig[Deployed],ROW()-1),"")</f>
      </c>
      <c r="D469">
        <f>IFERROR(INDEX(tblDeviceConfig[Installed],ROW()-1),"")</f>
      </c>
      <c r="E469">
        <f>IFERROR(INDEX(tblDeviceConfig[Cybernet Hostname],ROW()-1),"")</f>
      </c>
      <c r="F469">
        <f>IFERROR(INDEX(tblDeviceConfig[Neuron Hostname],ROW()-1),"")</f>
      </c>
      <c r="G469">
        <f>IFERROR(INDEX(tblDeviceConfig[Software List],ROW()-1),"")</f>
      </c>
      <c r="H469">
        <f>IFERROR(INDEX(tblDeviceConfig[PI_Use_Case],ROW()-1),"")</f>
      </c>
      <c r="I469">
        <f>IFERROR(INDEX(tblDeviceConfig[PI_Result],ROW()-1),"")</f>
      </c>
      <c r="J469">
        <f>IFERROR(INDEX(tblDeviceConfig[PI_Validated_By],ROW()-1),"")</f>
      </c>
      <c r="K469">
        <f>IFERROR(INDEX(tblDeviceConfig[PI_Validated_Date],ROW()-1),"")</f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</c>
      <c r="C470">
        <f>IFERROR(INDEX(tblDeviceConfig[Deployed],ROW()-1),"")</f>
      </c>
      <c r="D470">
        <f>IFERROR(INDEX(tblDeviceConfig[Installed],ROW()-1),"")</f>
      </c>
      <c r="E470">
        <f>IFERROR(INDEX(tblDeviceConfig[Cybernet Hostname],ROW()-1),"")</f>
      </c>
      <c r="F470">
        <f>IFERROR(INDEX(tblDeviceConfig[Neuron Hostname],ROW()-1),"")</f>
      </c>
      <c r="G470">
        <f>IFERROR(INDEX(tblDeviceConfig[Software List],ROW()-1),"")</f>
      </c>
      <c r="H470">
        <f>IFERROR(INDEX(tblDeviceConfig[PI_Use_Case],ROW()-1),"")</f>
      </c>
      <c r="I470">
        <f>IFERROR(INDEX(tblDeviceConfig[PI_Result],ROW()-1),"")</f>
      </c>
      <c r="J470">
        <f>IFERROR(INDEX(tblDeviceConfig[PI_Validated_By],ROW()-1),"")</f>
      </c>
      <c r="K470">
        <f>IFERROR(INDEX(tblDeviceConfig[PI_Validated_Date],ROW()-1),"")</f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</c>
      <c r="C471">
        <f>IFERROR(INDEX(tblDeviceConfig[Deployed],ROW()-1),"")</f>
      </c>
      <c r="D471">
        <f>IFERROR(INDEX(tblDeviceConfig[Installed],ROW()-1),"")</f>
      </c>
      <c r="E471">
        <f>IFERROR(INDEX(tblDeviceConfig[Cybernet Hostname],ROW()-1),"")</f>
      </c>
      <c r="F471">
        <f>IFERROR(INDEX(tblDeviceConfig[Neuron Hostname],ROW()-1),"")</f>
      </c>
      <c r="G471">
        <f>IFERROR(INDEX(tblDeviceConfig[Software List],ROW()-1),"")</f>
      </c>
      <c r="H471">
        <f>IFERROR(INDEX(tblDeviceConfig[PI_Use_Case],ROW()-1),"")</f>
      </c>
      <c r="I471">
        <f>IFERROR(INDEX(tblDeviceConfig[PI_Result],ROW()-1),"")</f>
      </c>
      <c r="J471">
        <f>IFERROR(INDEX(tblDeviceConfig[PI_Validated_By],ROW()-1),"")</f>
      </c>
      <c r="K471">
        <f>IFERROR(INDEX(tblDeviceConfig[PI_Validated_Date],ROW()-1),"")</f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</c>
      <c r="C472">
        <f>IFERROR(INDEX(tblDeviceConfig[Deployed],ROW()-1),"")</f>
      </c>
      <c r="D472">
        <f>IFERROR(INDEX(tblDeviceConfig[Installed],ROW()-1),"")</f>
      </c>
      <c r="E472">
        <f>IFERROR(INDEX(tblDeviceConfig[Cybernet Hostname],ROW()-1),"")</f>
      </c>
      <c r="F472">
        <f>IFERROR(INDEX(tblDeviceConfig[Neuron Hostname],ROW()-1),"")</f>
      </c>
      <c r="G472">
        <f>IFERROR(INDEX(tblDeviceConfig[Software List],ROW()-1),"")</f>
      </c>
      <c r="H472">
        <f>IFERROR(INDEX(tblDeviceConfig[PI_Use_Case],ROW()-1),"")</f>
      </c>
      <c r="I472">
        <f>IFERROR(INDEX(tblDeviceConfig[PI_Result],ROW()-1),"")</f>
      </c>
      <c r="J472">
        <f>IFERROR(INDEX(tblDeviceConfig[PI_Validated_By],ROW()-1),"")</f>
      </c>
      <c r="K472">
        <f>IFERROR(INDEX(tblDeviceConfig[PI_Validated_Date],ROW()-1),"")</f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</c>
      <c r="C473">
        <f>IFERROR(INDEX(tblDeviceConfig[Deployed],ROW()-1),"")</f>
      </c>
      <c r="D473">
        <f>IFERROR(INDEX(tblDeviceConfig[Installed],ROW()-1),"")</f>
      </c>
      <c r="E473">
        <f>IFERROR(INDEX(tblDeviceConfig[Cybernet Hostname],ROW()-1),"")</f>
      </c>
      <c r="F473">
        <f>IFERROR(INDEX(tblDeviceConfig[Neuron Hostname],ROW()-1),"")</f>
      </c>
      <c r="G473">
        <f>IFERROR(INDEX(tblDeviceConfig[Software List],ROW()-1),"")</f>
      </c>
      <c r="H473">
        <f>IFERROR(INDEX(tblDeviceConfig[PI_Use_Case],ROW()-1),"")</f>
      </c>
      <c r="I473">
        <f>IFERROR(INDEX(tblDeviceConfig[PI_Result],ROW()-1),"")</f>
      </c>
      <c r="J473">
        <f>IFERROR(INDEX(tblDeviceConfig[PI_Validated_By],ROW()-1),"")</f>
      </c>
      <c r="K473">
        <f>IFERROR(INDEX(tblDeviceConfig[PI_Validated_Date],ROW()-1),"")</f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</c>
      <c r="C474">
        <f>IFERROR(INDEX(tblDeviceConfig[Deployed],ROW()-1),"")</f>
      </c>
      <c r="D474">
        <f>IFERROR(INDEX(tblDeviceConfig[Installed],ROW()-1),"")</f>
      </c>
      <c r="E474">
        <f>IFERROR(INDEX(tblDeviceConfig[Cybernet Hostname],ROW()-1),"")</f>
      </c>
      <c r="F474">
        <f>IFERROR(INDEX(tblDeviceConfig[Neuron Hostname],ROW()-1),"")</f>
      </c>
      <c r="G474">
        <f>IFERROR(INDEX(tblDeviceConfig[Software List],ROW()-1),"")</f>
      </c>
      <c r="H474">
        <f>IFERROR(INDEX(tblDeviceConfig[PI_Use_Case],ROW()-1),"")</f>
      </c>
      <c r="I474">
        <f>IFERROR(INDEX(tblDeviceConfig[PI_Result],ROW()-1),"")</f>
      </c>
      <c r="J474">
        <f>IFERROR(INDEX(tblDeviceConfig[PI_Validated_By],ROW()-1),"")</f>
      </c>
      <c r="K474">
        <f>IFERROR(INDEX(tblDeviceConfig[PI_Validated_Date],ROW()-1),"")</f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</c>
      <c r="C475">
        <f>IFERROR(INDEX(tblDeviceConfig[Deployed],ROW()-1),"")</f>
      </c>
      <c r="D475">
        <f>IFERROR(INDEX(tblDeviceConfig[Installed],ROW()-1),"")</f>
      </c>
      <c r="E475">
        <f>IFERROR(INDEX(tblDeviceConfig[Cybernet Hostname],ROW()-1),"")</f>
      </c>
      <c r="F475">
        <f>IFERROR(INDEX(tblDeviceConfig[Neuron Hostname],ROW()-1),"")</f>
      </c>
      <c r="G475">
        <f>IFERROR(INDEX(tblDeviceConfig[Software List],ROW()-1),"")</f>
      </c>
      <c r="H475">
        <f>IFERROR(INDEX(tblDeviceConfig[PI_Use_Case],ROW()-1),"")</f>
      </c>
      <c r="I475">
        <f>IFERROR(INDEX(tblDeviceConfig[PI_Result],ROW()-1),"")</f>
      </c>
      <c r="J475">
        <f>IFERROR(INDEX(tblDeviceConfig[PI_Validated_By],ROW()-1),"")</f>
      </c>
      <c r="K475">
        <f>IFERROR(INDEX(tblDeviceConfig[PI_Validated_Date],ROW()-1),"")</f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</c>
      <c r="C476">
        <f>IFERROR(INDEX(tblDeviceConfig[Deployed],ROW()-1),"")</f>
      </c>
      <c r="D476">
        <f>IFERROR(INDEX(tblDeviceConfig[Installed],ROW()-1),"")</f>
      </c>
      <c r="E476">
        <f>IFERROR(INDEX(tblDeviceConfig[Cybernet Hostname],ROW()-1),"")</f>
      </c>
      <c r="F476">
        <f>IFERROR(INDEX(tblDeviceConfig[Neuron Hostname],ROW()-1),"")</f>
      </c>
      <c r="G476">
        <f>IFERROR(INDEX(tblDeviceConfig[Software List],ROW()-1),"")</f>
      </c>
      <c r="H476">
        <f>IFERROR(INDEX(tblDeviceConfig[PI_Use_Case],ROW()-1),"")</f>
      </c>
      <c r="I476">
        <f>IFERROR(INDEX(tblDeviceConfig[PI_Result],ROW()-1),"")</f>
      </c>
      <c r="J476">
        <f>IFERROR(INDEX(tblDeviceConfig[PI_Validated_By],ROW()-1),"")</f>
      </c>
      <c r="K476">
        <f>IFERROR(INDEX(tblDeviceConfig[PI_Validated_Date],ROW()-1),"")</f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</c>
      <c r="C477">
        <f>IFERROR(INDEX(tblDeviceConfig[Deployed],ROW()-1),"")</f>
      </c>
      <c r="D477">
        <f>IFERROR(INDEX(tblDeviceConfig[Installed],ROW()-1),"")</f>
      </c>
      <c r="E477">
        <f>IFERROR(INDEX(tblDeviceConfig[Cybernet Hostname],ROW()-1),"")</f>
      </c>
      <c r="F477">
        <f>IFERROR(INDEX(tblDeviceConfig[Neuron Hostname],ROW()-1),"")</f>
      </c>
      <c r="G477">
        <f>IFERROR(INDEX(tblDeviceConfig[Software List],ROW()-1),"")</f>
      </c>
      <c r="H477">
        <f>IFERROR(INDEX(tblDeviceConfig[PI_Use_Case],ROW()-1),"")</f>
      </c>
      <c r="I477">
        <f>IFERROR(INDEX(tblDeviceConfig[PI_Result],ROW()-1),"")</f>
      </c>
      <c r="J477">
        <f>IFERROR(INDEX(tblDeviceConfig[PI_Validated_By],ROW()-1),"")</f>
      </c>
      <c r="K477">
        <f>IFERROR(INDEX(tblDeviceConfig[PI_Validated_Date],ROW()-1),"")</f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</c>
      <c r="C478">
        <f>IFERROR(INDEX(tblDeviceConfig[Deployed],ROW()-1),"")</f>
      </c>
      <c r="D478">
        <f>IFERROR(INDEX(tblDeviceConfig[Installed],ROW()-1),"")</f>
      </c>
      <c r="E478">
        <f>IFERROR(INDEX(tblDeviceConfig[Cybernet Hostname],ROW()-1),"")</f>
      </c>
      <c r="F478">
        <f>IFERROR(INDEX(tblDeviceConfig[Neuron Hostname],ROW()-1),"")</f>
      </c>
      <c r="G478">
        <f>IFERROR(INDEX(tblDeviceConfig[Software List],ROW()-1),"")</f>
      </c>
      <c r="H478">
        <f>IFERROR(INDEX(tblDeviceConfig[PI_Use_Case],ROW()-1),"")</f>
      </c>
      <c r="I478">
        <f>IFERROR(INDEX(tblDeviceConfig[PI_Result],ROW()-1),"")</f>
      </c>
      <c r="J478">
        <f>IFERROR(INDEX(tblDeviceConfig[PI_Validated_By],ROW()-1),"")</f>
      </c>
      <c r="K478">
        <f>IFERROR(INDEX(tblDeviceConfig[PI_Validated_Date],ROW()-1),"")</f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</c>
      <c r="C479">
        <f>IFERROR(INDEX(tblDeviceConfig[Deployed],ROW()-1),"")</f>
      </c>
      <c r="D479">
        <f>IFERROR(INDEX(tblDeviceConfig[Installed],ROW()-1),"")</f>
      </c>
      <c r="E479">
        <f>IFERROR(INDEX(tblDeviceConfig[Cybernet Hostname],ROW()-1),"")</f>
      </c>
      <c r="F479">
        <f>IFERROR(INDEX(tblDeviceConfig[Neuron Hostname],ROW()-1),"")</f>
      </c>
      <c r="G479">
        <f>IFERROR(INDEX(tblDeviceConfig[Software List],ROW()-1),"")</f>
      </c>
      <c r="H479">
        <f>IFERROR(INDEX(tblDeviceConfig[PI_Use_Case],ROW()-1),"")</f>
      </c>
      <c r="I479">
        <f>IFERROR(INDEX(tblDeviceConfig[PI_Result],ROW()-1),"")</f>
      </c>
      <c r="J479">
        <f>IFERROR(INDEX(tblDeviceConfig[PI_Validated_By],ROW()-1),"")</f>
      </c>
      <c r="K479">
        <f>IFERROR(INDEX(tblDeviceConfig[PI_Validated_Date],ROW()-1),"")</f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</c>
      <c r="C480">
        <f>IFERROR(INDEX(tblDeviceConfig[Deployed],ROW()-1),"")</f>
      </c>
      <c r="D480">
        <f>IFERROR(INDEX(tblDeviceConfig[Installed],ROW()-1),"")</f>
      </c>
      <c r="E480">
        <f>IFERROR(INDEX(tblDeviceConfig[Cybernet Hostname],ROW()-1),"")</f>
      </c>
      <c r="F480">
        <f>IFERROR(INDEX(tblDeviceConfig[Neuron Hostname],ROW()-1),"")</f>
      </c>
      <c r="G480">
        <f>IFERROR(INDEX(tblDeviceConfig[Software List],ROW()-1),"")</f>
      </c>
      <c r="H480">
        <f>IFERROR(INDEX(tblDeviceConfig[PI_Use_Case],ROW()-1),"")</f>
      </c>
      <c r="I480">
        <f>IFERROR(INDEX(tblDeviceConfig[PI_Result],ROW()-1),"")</f>
      </c>
      <c r="J480">
        <f>IFERROR(INDEX(tblDeviceConfig[PI_Validated_By],ROW()-1),"")</f>
      </c>
      <c r="K480">
        <f>IFERROR(INDEX(tblDeviceConfig[PI_Validated_Date],ROW()-1),"")</f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</c>
      <c r="C481">
        <f>IFERROR(INDEX(tblDeviceConfig[Deployed],ROW()-1),"")</f>
      </c>
      <c r="D481">
        <f>IFERROR(INDEX(tblDeviceConfig[Installed],ROW()-1),"")</f>
      </c>
      <c r="E481">
        <f>IFERROR(INDEX(tblDeviceConfig[Cybernet Hostname],ROW()-1),"")</f>
      </c>
      <c r="F481">
        <f>IFERROR(INDEX(tblDeviceConfig[Neuron Hostname],ROW()-1),"")</f>
      </c>
      <c r="G481">
        <f>IFERROR(INDEX(tblDeviceConfig[Software List],ROW()-1),"")</f>
      </c>
      <c r="H481">
        <f>IFERROR(INDEX(tblDeviceConfig[PI_Use_Case],ROW()-1),"")</f>
      </c>
      <c r="I481">
        <f>IFERROR(INDEX(tblDeviceConfig[PI_Result],ROW()-1),"")</f>
      </c>
      <c r="J481">
        <f>IFERROR(INDEX(tblDeviceConfig[PI_Validated_By],ROW()-1),"")</f>
      </c>
      <c r="K481">
        <f>IFERROR(INDEX(tblDeviceConfig[PI_Validated_Date],ROW()-1),"")</f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</c>
      <c r="C482">
        <f>IFERROR(INDEX(tblDeviceConfig[Deployed],ROW()-1),"")</f>
      </c>
      <c r="D482">
        <f>IFERROR(INDEX(tblDeviceConfig[Installed],ROW()-1),"")</f>
      </c>
      <c r="E482">
        <f>IFERROR(INDEX(tblDeviceConfig[Cybernet Hostname],ROW()-1),"")</f>
      </c>
      <c r="F482">
        <f>IFERROR(INDEX(tblDeviceConfig[Neuron Hostname],ROW()-1),"")</f>
      </c>
      <c r="G482">
        <f>IFERROR(INDEX(tblDeviceConfig[Software List],ROW()-1),"")</f>
      </c>
      <c r="H482">
        <f>IFERROR(INDEX(tblDeviceConfig[PI_Use_Case],ROW()-1),"")</f>
      </c>
      <c r="I482">
        <f>IFERROR(INDEX(tblDeviceConfig[PI_Result],ROW()-1),"")</f>
      </c>
      <c r="J482">
        <f>IFERROR(INDEX(tblDeviceConfig[PI_Validated_By],ROW()-1),"")</f>
      </c>
      <c r="K482">
        <f>IFERROR(INDEX(tblDeviceConfig[PI_Validated_Date],ROW()-1),"")</f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</c>
      <c r="C483">
        <f>IFERROR(INDEX(tblDeviceConfig[Deployed],ROW()-1),"")</f>
      </c>
      <c r="D483">
        <f>IFERROR(INDEX(tblDeviceConfig[Installed],ROW()-1),"")</f>
      </c>
      <c r="E483">
        <f>IFERROR(INDEX(tblDeviceConfig[Cybernet Hostname],ROW()-1),"")</f>
      </c>
      <c r="F483">
        <f>IFERROR(INDEX(tblDeviceConfig[Neuron Hostname],ROW()-1),"")</f>
      </c>
      <c r="G483">
        <f>IFERROR(INDEX(tblDeviceConfig[Software List],ROW()-1),"")</f>
      </c>
      <c r="H483">
        <f>IFERROR(INDEX(tblDeviceConfig[PI_Use_Case],ROW()-1),"")</f>
      </c>
      <c r="I483">
        <f>IFERROR(INDEX(tblDeviceConfig[PI_Result],ROW()-1),"")</f>
      </c>
      <c r="J483">
        <f>IFERROR(INDEX(tblDeviceConfig[PI_Validated_By],ROW()-1),"")</f>
      </c>
      <c r="K483">
        <f>IFERROR(INDEX(tblDeviceConfig[PI_Validated_Date],ROW()-1),"")</f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</c>
      <c r="C484">
        <f>IFERROR(INDEX(tblDeviceConfig[Deployed],ROW()-1),"")</f>
      </c>
      <c r="D484">
        <f>IFERROR(INDEX(tblDeviceConfig[Installed],ROW()-1),"")</f>
      </c>
      <c r="E484">
        <f>IFERROR(INDEX(tblDeviceConfig[Cybernet Hostname],ROW()-1),"")</f>
      </c>
      <c r="F484">
        <f>IFERROR(INDEX(tblDeviceConfig[Neuron Hostname],ROW()-1),"")</f>
      </c>
      <c r="G484">
        <f>IFERROR(INDEX(tblDeviceConfig[Software List],ROW()-1),"")</f>
      </c>
      <c r="H484">
        <f>IFERROR(INDEX(tblDeviceConfig[PI_Use_Case],ROW()-1),"")</f>
      </c>
      <c r="I484">
        <f>IFERROR(INDEX(tblDeviceConfig[PI_Result],ROW()-1),"")</f>
      </c>
      <c r="J484">
        <f>IFERROR(INDEX(tblDeviceConfig[PI_Validated_By],ROW()-1),"")</f>
      </c>
      <c r="K484">
        <f>IFERROR(INDEX(tblDeviceConfig[PI_Validated_Date],ROW()-1),"")</f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</c>
      <c r="C485">
        <f>IFERROR(INDEX(tblDeviceConfig[Deployed],ROW()-1),"")</f>
      </c>
      <c r="D485">
        <f>IFERROR(INDEX(tblDeviceConfig[Installed],ROW()-1),"")</f>
      </c>
      <c r="E485">
        <f>IFERROR(INDEX(tblDeviceConfig[Cybernet Hostname],ROW()-1),"")</f>
      </c>
      <c r="F485">
        <f>IFERROR(INDEX(tblDeviceConfig[Neuron Hostname],ROW()-1),"")</f>
      </c>
      <c r="G485">
        <f>IFERROR(INDEX(tblDeviceConfig[Software List],ROW()-1),"")</f>
      </c>
      <c r="H485">
        <f>IFERROR(INDEX(tblDeviceConfig[PI_Use_Case],ROW()-1),"")</f>
      </c>
      <c r="I485">
        <f>IFERROR(INDEX(tblDeviceConfig[PI_Result],ROW()-1),"")</f>
      </c>
      <c r="J485">
        <f>IFERROR(INDEX(tblDeviceConfig[PI_Validated_By],ROW()-1),"")</f>
      </c>
      <c r="K485">
        <f>IFERROR(INDEX(tblDeviceConfig[PI_Validated_Date],ROW()-1),"")</f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</c>
      <c r="C486">
        <f>IFERROR(INDEX(tblDeviceConfig[Deployed],ROW()-1),"")</f>
      </c>
      <c r="D486">
        <f>IFERROR(INDEX(tblDeviceConfig[Installed],ROW()-1),"")</f>
      </c>
      <c r="E486">
        <f>IFERROR(INDEX(tblDeviceConfig[Cybernet Hostname],ROW()-1),"")</f>
      </c>
      <c r="F486">
        <f>IFERROR(INDEX(tblDeviceConfig[Neuron Hostname],ROW()-1),"")</f>
      </c>
      <c r="G486">
        <f>IFERROR(INDEX(tblDeviceConfig[Software List],ROW()-1),"")</f>
      </c>
      <c r="H486">
        <f>IFERROR(INDEX(tblDeviceConfig[PI_Use_Case],ROW()-1),"")</f>
      </c>
      <c r="I486">
        <f>IFERROR(INDEX(tblDeviceConfig[PI_Result],ROW()-1),"")</f>
      </c>
      <c r="J486">
        <f>IFERROR(INDEX(tblDeviceConfig[PI_Validated_By],ROW()-1),"")</f>
      </c>
      <c r="K486">
        <f>IFERROR(INDEX(tblDeviceConfig[PI_Validated_Date],ROW()-1),"")</f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</c>
      <c r="C487">
        <f>IFERROR(INDEX(tblDeviceConfig[Deployed],ROW()-1),"")</f>
      </c>
      <c r="D487">
        <f>IFERROR(INDEX(tblDeviceConfig[Installed],ROW()-1),"")</f>
      </c>
      <c r="E487">
        <f>IFERROR(INDEX(tblDeviceConfig[Cybernet Hostname],ROW()-1),"")</f>
      </c>
      <c r="F487">
        <f>IFERROR(INDEX(tblDeviceConfig[Neuron Hostname],ROW()-1),"")</f>
      </c>
      <c r="G487">
        <f>IFERROR(INDEX(tblDeviceConfig[Software List],ROW()-1),"")</f>
      </c>
      <c r="H487">
        <f>IFERROR(INDEX(tblDeviceConfig[PI_Use_Case],ROW()-1),"")</f>
      </c>
      <c r="I487">
        <f>IFERROR(INDEX(tblDeviceConfig[PI_Result],ROW()-1),"")</f>
      </c>
      <c r="J487">
        <f>IFERROR(INDEX(tblDeviceConfig[PI_Validated_By],ROW()-1),"")</f>
      </c>
      <c r="K487">
        <f>IFERROR(INDEX(tblDeviceConfig[PI_Validated_Date],ROW()-1),"")</f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</c>
      <c r="C488">
        <f>IFERROR(INDEX(tblDeviceConfig[Deployed],ROW()-1),"")</f>
      </c>
      <c r="D488">
        <f>IFERROR(INDEX(tblDeviceConfig[Installed],ROW()-1),"")</f>
      </c>
      <c r="E488">
        <f>IFERROR(INDEX(tblDeviceConfig[Cybernet Hostname],ROW()-1),"")</f>
      </c>
      <c r="F488">
        <f>IFERROR(INDEX(tblDeviceConfig[Neuron Hostname],ROW()-1),"")</f>
      </c>
      <c r="G488">
        <f>IFERROR(INDEX(tblDeviceConfig[Software List],ROW()-1),"")</f>
      </c>
      <c r="H488">
        <f>IFERROR(INDEX(tblDeviceConfig[PI_Use_Case],ROW()-1),"")</f>
      </c>
      <c r="I488">
        <f>IFERROR(INDEX(tblDeviceConfig[PI_Result],ROW()-1),"")</f>
      </c>
      <c r="J488">
        <f>IFERROR(INDEX(tblDeviceConfig[PI_Validated_By],ROW()-1),"")</f>
      </c>
      <c r="K488">
        <f>IFERROR(INDEX(tblDeviceConfig[PI_Validated_Date],ROW()-1),"")</f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</c>
      <c r="C489">
        <f>IFERROR(INDEX(tblDeviceConfig[Deployed],ROW()-1),"")</f>
      </c>
      <c r="D489">
        <f>IFERROR(INDEX(tblDeviceConfig[Installed],ROW()-1),"")</f>
      </c>
      <c r="E489">
        <f>IFERROR(INDEX(tblDeviceConfig[Cybernet Hostname],ROW()-1),"")</f>
      </c>
      <c r="F489">
        <f>IFERROR(INDEX(tblDeviceConfig[Neuron Hostname],ROW()-1),"")</f>
      </c>
      <c r="G489">
        <f>IFERROR(INDEX(tblDeviceConfig[Software List],ROW()-1),"")</f>
      </c>
      <c r="H489">
        <f>IFERROR(INDEX(tblDeviceConfig[PI_Use_Case],ROW()-1),"")</f>
      </c>
      <c r="I489">
        <f>IFERROR(INDEX(tblDeviceConfig[PI_Result],ROW()-1),"")</f>
      </c>
      <c r="J489">
        <f>IFERROR(INDEX(tblDeviceConfig[PI_Validated_By],ROW()-1),"")</f>
      </c>
      <c r="K489">
        <f>IFERROR(INDEX(tblDeviceConfig[PI_Validated_Date],ROW()-1),"")</f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</c>
      <c r="C490">
        <f>IFERROR(INDEX(tblDeviceConfig[Deployed],ROW()-1),"")</f>
      </c>
      <c r="D490">
        <f>IFERROR(INDEX(tblDeviceConfig[Installed],ROW()-1),"")</f>
      </c>
      <c r="E490">
        <f>IFERROR(INDEX(tblDeviceConfig[Cybernet Hostname],ROW()-1),"")</f>
      </c>
      <c r="F490">
        <f>IFERROR(INDEX(tblDeviceConfig[Neuron Hostname],ROW()-1),"")</f>
      </c>
      <c r="G490">
        <f>IFERROR(INDEX(tblDeviceConfig[Software List],ROW()-1),"")</f>
      </c>
      <c r="H490">
        <f>IFERROR(INDEX(tblDeviceConfig[PI_Use_Case],ROW()-1),"")</f>
      </c>
      <c r="I490">
        <f>IFERROR(INDEX(tblDeviceConfig[PI_Result],ROW()-1),"")</f>
      </c>
      <c r="J490">
        <f>IFERROR(INDEX(tblDeviceConfig[PI_Validated_By],ROW()-1),"")</f>
      </c>
      <c r="K490">
        <f>IFERROR(INDEX(tblDeviceConfig[PI_Validated_Date],ROW()-1),"")</f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</c>
      <c r="C491">
        <f>IFERROR(INDEX(tblDeviceConfig[Deployed],ROW()-1),"")</f>
      </c>
      <c r="D491">
        <f>IFERROR(INDEX(tblDeviceConfig[Installed],ROW()-1),"")</f>
      </c>
      <c r="E491">
        <f>IFERROR(INDEX(tblDeviceConfig[Cybernet Hostname],ROW()-1),"")</f>
      </c>
      <c r="F491">
        <f>IFERROR(INDEX(tblDeviceConfig[Neuron Hostname],ROW()-1),"")</f>
      </c>
      <c r="G491">
        <f>IFERROR(INDEX(tblDeviceConfig[Software List],ROW()-1),"")</f>
      </c>
      <c r="H491">
        <f>IFERROR(INDEX(tblDeviceConfig[PI_Use_Case],ROW()-1),"")</f>
      </c>
      <c r="I491">
        <f>IFERROR(INDEX(tblDeviceConfig[PI_Result],ROW()-1),"")</f>
      </c>
      <c r="J491">
        <f>IFERROR(INDEX(tblDeviceConfig[PI_Validated_By],ROW()-1),"")</f>
      </c>
      <c r="K491">
        <f>IFERROR(INDEX(tblDeviceConfig[PI_Validated_Date],ROW()-1),"")</f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</c>
      <c r="C492">
        <f>IFERROR(INDEX(tblDeviceConfig[Deployed],ROW()-1),"")</f>
      </c>
      <c r="D492">
        <f>IFERROR(INDEX(tblDeviceConfig[Installed],ROW()-1),"")</f>
      </c>
      <c r="E492">
        <f>IFERROR(INDEX(tblDeviceConfig[Cybernet Hostname],ROW()-1),"")</f>
      </c>
      <c r="F492">
        <f>IFERROR(INDEX(tblDeviceConfig[Neuron Hostname],ROW()-1),"")</f>
      </c>
      <c r="G492">
        <f>IFERROR(INDEX(tblDeviceConfig[Software List],ROW()-1),"")</f>
      </c>
      <c r="H492">
        <f>IFERROR(INDEX(tblDeviceConfig[PI_Use_Case],ROW()-1),"")</f>
      </c>
      <c r="I492">
        <f>IFERROR(INDEX(tblDeviceConfig[PI_Result],ROW()-1),"")</f>
      </c>
      <c r="J492">
        <f>IFERROR(INDEX(tblDeviceConfig[PI_Validated_By],ROW()-1),"")</f>
      </c>
      <c r="K492">
        <f>IFERROR(INDEX(tblDeviceConfig[PI_Validated_Date],ROW()-1),"")</f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</c>
      <c r="C493">
        <f>IFERROR(INDEX(tblDeviceConfig[Deployed],ROW()-1),"")</f>
      </c>
      <c r="D493">
        <f>IFERROR(INDEX(tblDeviceConfig[Installed],ROW()-1),"")</f>
      </c>
      <c r="E493">
        <f>IFERROR(INDEX(tblDeviceConfig[Cybernet Hostname],ROW()-1),"")</f>
      </c>
      <c r="F493">
        <f>IFERROR(INDEX(tblDeviceConfig[Neuron Hostname],ROW()-1),"")</f>
      </c>
      <c r="G493">
        <f>IFERROR(INDEX(tblDeviceConfig[Software List],ROW()-1),"")</f>
      </c>
      <c r="H493">
        <f>IFERROR(INDEX(tblDeviceConfig[PI_Use_Case],ROW()-1),"")</f>
      </c>
      <c r="I493">
        <f>IFERROR(INDEX(tblDeviceConfig[PI_Result],ROW()-1),"")</f>
      </c>
      <c r="J493">
        <f>IFERROR(INDEX(tblDeviceConfig[PI_Validated_By],ROW()-1),"")</f>
      </c>
      <c r="K493">
        <f>IFERROR(INDEX(tblDeviceConfig[PI_Validated_Date],ROW()-1),"")</f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</c>
      <c r="C494">
        <f>IFERROR(INDEX(tblDeviceConfig[Deployed],ROW()-1),"")</f>
      </c>
      <c r="D494">
        <f>IFERROR(INDEX(tblDeviceConfig[Installed],ROW()-1),"")</f>
      </c>
      <c r="E494">
        <f>IFERROR(INDEX(tblDeviceConfig[Cybernet Hostname],ROW()-1),"")</f>
      </c>
      <c r="F494">
        <f>IFERROR(INDEX(tblDeviceConfig[Neuron Hostname],ROW()-1),"")</f>
      </c>
      <c r="G494">
        <f>IFERROR(INDEX(tblDeviceConfig[Software List],ROW()-1),"")</f>
      </c>
      <c r="H494">
        <f>IFERROR(INDEX(tblDeviceConfig[PI_Use_Case],ROW()-1),"")</f>
      </c>
      <c r="I494">
        <f>IFERROR(INDEX(tblDeviceConfig[PI_Result],ROW()-1),"")</f>
      </c>
      <c r="J494">
        <f>IFERROR(INDEX(tblDeviceConfig[PI_Validated_By],ROW()-1),"")</f>
      </c>
      <c r="K494">
        <f>IFERROR(INDEX(tblDeviceConfig[PI_Validated_Date],ROW()-1),"")</f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</c>
      <c r="C495">
        <f>IFERROR(INDEX(tblDeviceConfig[Deployed],ROW()-1),"")</f>
      </c>
      <c r="D495">
        <f>IFERROR(INDEX(tblDeviceConfig[Installed],ROW()-1),"")</f>
      </c>
      <c r="E495">
        <f>IFERROR(INDEX(tblDeviceConfig[Cybernet Hostname],ROW()-1),"")</f>
      </c>
      <c r="F495">
        <f>IFERROR(INDEX(tblDeviceConfig[Neuron Hostname],ROW()-1),"")</f>
      </c>
      <c r="G495">
        <f>IFERROR(INDEX(tblDeviceConfig[Software List],ROW()-1),"")</f>
      </c>
      <c r="H495">
        <f>IFERROR(INDEX(tblDeviceConfig[PI_Use_Case],ROW()-1),"")</f>
      </c>
      <c r="I495">
        <f>IFERROR(INDEX(tblDeviceConfig[PI_Result],ROW()-1),"")</f>
      </c>
      <c r="J495">
        <f>IFERROR(INDEX(tblDeviceConfig[PI_Validated_By],ROW()-1),"")</f>
      </c>
      <c r="K495">
        <f>IFERROR(INDEX(tblDeviceConfig[PI_Validated_Date],ROW()-1),"")</f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</c>
      <c r="C496">
        <f>IFERROR(INDEX(tblDeviceConfig[Deployed],ROW()-1),"")</f>
      </c>
      <c r="D496">
        <f>IFERROR(INDEX(tblDeviceConfig[Installed],ROW()-1),"")</f>
      </c>
      <c r="E496">
        <f>IFERROR(INDEX(tblDeviceConfig[Cybernet Hostname],ROW()-1),"")</f>
      </c>
      <c r="F496">
        <f>IFERROR(INDEX(tblDeviceConfig[Neuron Hostname],ROW()-1),"")</f>
      </c>
      <c r="G496">
        <f>IFERROR(INDEX(tblDeviceConfig[Software List],ROW()-1),"")</f>
      </c>
      <c r="H496">
        <f>IFERROR(INDEX(tblDeviceConfig[PI_Use_Case],ROW()-1),"")</f>
      </c>
      <c r="I496">
        <f>IFERROR(INDEX(tblDeviceConfig[PI_Result],ROW()-1),"")</f>
      </c>
      <c r="J496">
        <f>IFERROR(INDEX(tblDeviceConfig[PI_Validated_By],ROW()-1),"")</f>
      </c>
      <c r="K496">
        <f>IFERROR(INDEX(tblDeviceConfig[PI_Validated_Date],ROW()-1),"")</f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</c>
      <c r="C497">
        <f>IFERROR(INDEX(tblDeviceConfig[Deployed],ROW()-1),"")</f>
      </c>
      <c r="D497">
        <f>IFERROR(INDEX(tblDeviceConfig[Installed],ROW()-1),"")</f>
      </c>
      <c r="E497">
        <f>IFERROR(INDEX(tblDeviceConfig[Cybernet Hostname],ROW()-1),"")</f>
      </c>
      <c r="F497">
        <f>IFERROR(INDEX(tblDeviceConfig[Neuron Hostname],ROW()-1),"")</f>
      </c>
      <c r="G497">
        <f>IFERROR(INDEX(tblDeviceConfig[Software List],ROW()-1),"")</f>
      </c>
      <c r="H497">
        <f>IFERROR(INDEX(tblDeviceConfig[PI_Use_Case],ROW()-1),"")</f>
      </c>
      <c r="I497">
        <f>IFERROR(INDEX(tblDeviceConfig[PI_Result],ROW()-1),"")</f>
      </c>
      <c r="J497">
        <f>IFERROR(INDEX(tblDeviceConfig[PI_Validated_By],ROW()-1),"")</f>
      </c>
      <c r="K497">
        <f>IFERROR(INDEX(tblDeviceConfig[PI_Validated_Date],ROW()-1),"")</f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</c>
      <c r="C498">
        <f>IFERROR(INDEX(tblDeviceConfig[Deployed],ROW()-1),"")</f>
      </c>
      <c r="D498">
        <f>IFERROR(INDEX(tblDeviceConfig[Installed],ROW()-1),"")</f>
      </c>
      <c r="E498">
        <f>IFERROR(INDEX(tblDeviceConfig[Cybernet Hostname],ROW()-1),"")</f>
      </c>
      <c r="F498">
        <f>IFERROR(INDEX(tblDeviceConfig[Neuron Hostname],ROW()-1),"")</f>
      </c>
      <c r="G498">
        <f>IFERROR(INDEX(tblDeviceConfig[Software List],ROW()-1),"")</f>
      </c>
      <c r="H498">
        <f>IFERROR(INDEX(tblDeviceConfig[PI_Use_Case],ROW()-1),"")</f>
      </c>
      <c r="I498">
        <f>IFERROR(INDEX(tblDeviceConfig[PI_Result],ROW()-1),"")</f>
      </c>
      <c r="J498">
        <f>IFERROR(INDEX(tblDeviceConfig[PI_Validated_By],ROW()-1),"")</f>
      </c>
      <c r="K498">
        <f>IFERROR(INDEX(tblDeviceConfig[PI_Validated_Date],ROW()-1),"")</f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</c>
      <c r="C499">
        <f>IFERROR(INDEX(tblDeviceConfig[Deployed],ROW()-1),"")</f>
      </c>
      <c r="D499">
        <f>IFERROR(INDEX(tblDeviceConfig[Installed],ROW()-1),"")</f>
      </c>
      <c r="E499">
        <f>IFERROR(INDEX(tblDeviceConfig[Cybernet Hostname],ROW()-1),"")</f>
      </c>
      <c r="F499">
        <f>IFERROR(INDEX(tblDeviceConfig[Neuron Hostname],ROW()-1),"")</f>
      </c>
      <c r="G499">
        <f>IFERROR(INDEX(tblDeviceConfig[Software List],ROW()-1),"")</f>
      </c>
      <c r="H499">
        <f>IFERROR(INDEX(tblDeviceConfig[PI_Use_Case],ROW()-1),"")</f>
      </c>
      <c r="I499">
        <f>IFERROR(INDEX(tblDeviceConfig[PI_Result],ROW()-1),"")</f>
      </c>
      <c r="J499">
        <f>IFERROR(INDEX(tblDeviceConfig[PI_Validated_By],ROW()-1),"")</f>
      </c>
      <c r="K499">
        <f>IFERROR(INDEX(tblDeviceConfig[PI_Validated_Date],ROW()-1),"")</f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</c>
      <c r="C500">
        <f>IFERROR(INDEX(tblDeviceConfig[Deployed],ROW()-1),"")</f>
      </c>
      <c r="D500">
        <f>IFERROR(INDEX(tblDeviceConfig[Installed],ROW()-1),"")</f>
      </c>
      <c r="E500">
        <f>IFERROR(INDEX(tblDeviceConfig[Cybernet Hostname],ROW()-1),"")</f>
      </c>
      <c r="F500">
        <f>IFERROR(INDEX(tblDeviceConfig[Neuron Hostname],ROW()-1),"")</f>
      </c>
      <c r="G500">
        <f>IFERROR(INDEX(tblDeviceConfig[Software List],ROW()-1),"")</f>
      </c>
      <c r="H500">
        <f>IFERROR(INDEX(tblDeviceConfig[PI_Use_Case],ROW()-1),"")</f>
      </c>
      <c r="I500">
        <f>IFERROR(INDEX(tblDeviceConfig[PI_Result],ROW()-1),"")</f>
      </c>
      <c r="J500">
        <f>IFERROR(INDEX(tblDeviceConfig[PI_Validated_By],ROW()-1),"")</f>
      </c>
      <c r="K500">
        <f>IFERROR(INDEX(tblDeviceConfig[PI_Validated_Date],ROW()-1),"")</f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</c>
      <c r="C501">
        <f>IFERROR(INDEX(tblDeviceConfig[Deployed],ROW()-1),"")</f>
      </c>
      <c r="D501">
        <f>IFERROR(INDEX(tblDeviceConfig[Installed],ROW()-1),"")</f>
      </c>
      <c r="E501">
        <f>IFERROR(INDEX(tblDeviceConfig[Cybernet Hostname],ROW()-1),"")</f>
      </c>
      <c r="F501">
        <f>IFERROR(INDEX(tblDeviceConfig[Neuron Hostname],ROW()-1),"")</f>
      </c>
      <c r="G501">
        <f>IFERROR(INDEX(tblDeviceConfig[Software List],ROW()-1),"")</f>
      </c>
      <c r="H501">
        <f>IFERROR(INDEX(tblDeviceConfig[PI_Use_Case],ROW()-1),"")</f>
      </c>
      <c r="I501">
        <f>IFERROR(INDEX(tblDeviceConfig[PI_Result],ROW()-1),"")</f>
      </c>
      <c r="J501">
        <f>IFERROR(INDEX(tblDeviceConfig[PI_Validated_By],ROW()-1),"")</f>
      </c>
      <c r="K501">
        <f>IFERROR(INDEX(tblDeviceConfig[PI_Validated_Date],ROW()-1),"")</f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</c>
      <c r="C502">
        <f>IFERROR(INDEX(tblDeviceConfig[Deployed],ROW()-1),"")</f>
      </c>
      <c r="D502">
        <f>IFERROR(INDEX(tblDeviceConfig[Installed],ROW()-1),"")</f>
      </c>
      <c r="E502">
        <f>IFERROR(INDEX(tblDeviceConfig[Cybernet Hostname],ROW()-1),"")</f>
      </c>
      <c r="F502">
        <f>IFERROR(INDEX(tblDeviceConfig[Neuron Hostname],ROW()-1),"")</f>
      </c>
      <c r="G502">
        <f>IFERROR(INDEX(tblDeviceConfig[Software List],ROW()-1),"")</f>
      </c>
      <c r="H502">
        <f>IFERROR(INDEX(tblDeviceConfig[PI_Use_Case],ROW()-1),"")</f>
      </c>
      <c r="I502">
        <f>IFERROR(INDEX(tblDeviceConfig[PI_Result],ROW()-1),"")</f>
      </c>
      <c r="J502">
        <f>IFERROR(INDEX(tblDeviceConfig[PI_Validated_By],ROW()-1),"")</f>
      </c>
      <c r="K502">
        <f>IFERROR(INDEX(tblDeviceConfig[PI_Validated_Date],ROW()-1),"")</f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</c>
      <c r="C503">
        <f>IFERROR(INDEX(tblDeviceConfig[Deployed],ROW()-1),"")</f>
      </c>
      <c r="D503">
        <f>IFERROR(INDEX(tblDeviceConfig[Installed],ROW()-1),"")</f>
      </c>
      <c r="E503">
        <f>IFERROR(INDEX(tblDeviceConfig[Cybernet Hostname],ROW()-1),"")</f>
      </c>
      <c r="F503">
        <f>IFERROR(INDEX(tblDeviceConfig[Neuron Hostname],ROW()-1),"")</f>
      </c>
      <c r="G503">
        <f>IFERROR(INDEX(tblDeviceConfig[Software List],ROW()-1),"")</f>
      </c>
      <c r="H503">
        <f>IFERROR(INDEX(tblDeviceConfig[PI_Use_Case],ROW()-1),"")</f>
      </c>
      <c r="I503">
        <f>IFERROR(INDEX(tblDeviceConfig[PI_Result],ROW()-1),"")</f>
      </c>
      <c r="J503">
        <f>IFERROR(INDEX(tblDeviceConfig[PI_Validated_By],ROW()-1),"")</f>
      </c>
      <c r="K503">
        <f>IFERROR(INDEX(tblDeviceConfig[PI_Validated_Date],ROW()-1),"")</f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</c>
      <c r="C504">
        <f>IFERROR(INDEX(tblDeviceConfig[Deployed],ROW()-1),"")</f>
      </c>
      <c r="D504">
        <f>IFERROR(INDEX(tblDeviceConfig[Installed],ROW()-1),"")</f>
      </c>
      <c r="E504">
        <f>IFERROR(INDEX(tblDeviceConfig[Cybernet Hostname],ROW()-1),"")</f>
      </c>
      <c r="F504">
        <f>IFERROR(INDEX(tblDeviceConfig[Neuron Hostname],ROW()-1),"")</f>
      </c>
      <c r="G504">
        <f>IFERROR(INDEX(tblDeviceConfig[Software List],ROW()-1),"")</f>
      </c>
      <c r="H504">
        <f>IFERROR(INDEX(tblDeviceConfig[PI_Use_Case],ROW()-1),"")</f>
      </c>
      <c r="I504">
        <f>IFERROR(INDEX(tblDeviceConfig[PI_Result],ROW()-1),"")</f>
      </c>
      <c r="J504">
        <f>IFERROR(INDEX(tblDeviceConfig[PI_Validated_By],ROW()-1),"")</f>
      </c>
      <c r="K504">
        <f>IFERROR(INDEX(tblDeviceConfig[PI_Validated_Date],ROW()-1),"")</f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</c>
      <c r="C505">
        <f>IFERROR(INDEX(tblDeviceConfig[Deployed],ROW()-1),"")</f>
      </c>
      <c r="D505">
        <f>IFERROR(INDEX(tblDeviceConfig[Installed],ROW()-1),"")</f>
      </c>
      <c r="E505">
        <f>IFERROR(INDEX(tblDeviceConfig[Cybernet Hostname],ROW()-1),"")</f>
      </c>
      <c r="F505">
        <f>IFERROR(INDEX(tblDeviceConfig[Neuron Hostname],ROW()-1),"")</f>
      </c>
      <c r="G505">
        <f>IFERROR(INDEX(tblDeviceConfig[Software List],ROW()-1),"")</f>
      </c>
      <c r="H505">
        <f>IFERROR(INDEX(tblDeviceConfig[PI_Use_Case],ROW()-1),"")</f>
      </c>
      <c r="I505">
        <f>IFERROR(INDEX(tblDeviceConfig[PI_Result],ROW()-1),"")</f>
      </c>
      <c r="J505">
        <f>IFERROR(INDEX(tblDeviceConfig[PI_Validated_By],ROW()-1),"")</f>
      </c>
      <c r="K505">
        <f>IFERROR(INDEX(tblDeviceConfig[PI_Validated_Date],ROW()-1),"")</f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</c>
      <c r="C506">
        <f>IFERROR(INDEX(tblDeviceConfig[Deployed],ROW()-1),"")</f>
      </c>
      <c r="D506">
        <f>IFERROR(INDEX(tblDeviceConfig[Installed],ROW()-1),"")</f>
      </c>
      <c r="E506">
        <f>IFERROR(INDEX(tblDeviceConfig[Cybernet Hostname],ROW()-1),"")</f>
      </c>
      <c r="F506">
        <f>IFERROR(INDEX(tblDeviceConfig[Neuron Hostname],ROW()-1),"")</f>
      </c>
      <c r="G506">
        <f>IFERROR(INDEX(tblDeviceConfig[Software List],ROW()-1),"")</f>
      </c>
      <c r="H506">
        <f>IFERROR(INDEX(tblDeviceConfig[PI_Use_Case],ROW()-1),"")</f>
      </c>
      <c r="I506">
        <f>IFERROR(INDEX(tblDeviceConfig[PI_Result],ROW()-1),"")</f>
      </c>
      <c r="J506">
        <f>IFERROR(INDEX(tblDeviceConfig[PI_Validated_By],ROW()-1),"")</f>
      </c>
      <c r="K506">
        <f>IFERROR(INDEX(tblDeviceConfig[PI_Validated_Date],ROW()-1),"")</f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</c>
      <c r="C507">
        <f>IFERROR(INDEX(tblDeviceConfig[Deployed],ROW()-1),"")</f>
      </c>
      <c r="D507">
        <f>IFERROR(INDEX(tblDeviceConfig[Installed],ROW()-1),"")</f>
      </c>
      <c r="E507">
        <f>IFERROR(INDEX(tblDeviceConfig[Cybernet Hostname],ROW()-1),"")</f>
      </c>
      <c r="F507">
        <f>IFERROR(INDEX(tblDeviceConfig[Neuron Hostname],ROW()-1),"")</f>
      </c>
      <c r="G507">
        <f>IFERROR(INDEX(tblDeviceConfig[Software List],ROW()-1),"")</f>
      </c>
      <c r="H507">
        <f>IFERROR(INDEX(tblDeviceConfig[PI_Use_Case],ROW()-1),"")</f>
      </c>
      <c r="I507">
        <f>IFERROR(INDEX(tblDeviceConfig[PI_Result],ROW()-1),"")</f>
      </c>
      <c r="J507">
        <f>IFERROR(INDEX(tblDeviceConfig[PI_Validated_By],ROW()-1),"")</f>
      </c>
      <c r="K507">
        <f>IFERROR(INDEX(tblDeviceConfig[PI_Validated_Date],ROW()-1),"")</f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</c>
      <c r="C508">
        <f>IFERROR(INDEX(tblDeviceConfig[Deployed],ROW()-1),"")</f>
      </c>
      <c r="D508">
        <f>IFERROR(INDEX(tblDeviceConfig[Installed],ROW()-1),"")</f>
      </c>
      <c r="E508">
        <f>IFERROR(INDEX(tblDeviceConfig[Cybernet Hostname],ROW()-1),"")</f>
      </c>
      <c r="F508">
        <f>IFERROR(INDEX(tblDeviceConfig[Neuron Hostname],ROW()-1),"")</f>
      </c>
      <c r="G508">
        <f>IFERROR(INDEX(tblDeviceConfig[Software List],ROW()-1),"")</f>
      </c>
      <c r="H508">
        <f>IFERROR(INDEX(tblDeviceConfig[PI_Use_Case],ROW()-1),"")</f>
      </c>
      <c r="I508">
        <f>IFERROR(INDEX(tblDeviceConfig[PI_Result],ROW()-1),"")</f>
      </c>
      <c r="J508">
        <f>IFERROR(INDEX(tblDeviceConfig[PI_Validated_By],ROW()-1),"")</f>
      </c>
      <c r="K508">
        <f>IFERROR(INDEX(tblDeviceConfig[PI_Validated_Date],ROW()-1),"")</f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</c>
      <c r="C509">
        <f>IFERROR(INDEX(tblDeviceConfig[Deployed],ROW()-1),"")</f>
      </c>
      <c r="D509">
        <f>IFERROR(INDEX(tblDeviceConfig[Installed],ROW()-1),"")</f>
      </c>
      <c r="E509">
        <f>IFERROR(INDEX(tblDeviceConfig[Cybernet Hostname],ROW()-1),"")</f>
      </c>
      <c r="F509">
        <f>IFERROR(INDEX(tblDeviceConfig[Neuron Hostname],ROW()-1),"")</f>
      </c>
      <c r="G509">
        <f>IFERROR(INDEX(tblDeviceConfig[Software List],ROW()-1),"")</f>
      </c>
      <c r="H509">
        <f>IFERROR(INDEX(tblDeviceConfig[PI_Use_Case],ROW()-1),"")</f>
      </c>
      <c r="I509">
        <f>IFERROR(INDEX(tblDeviceConfig[PI_Result],ROW()-1),"")</f>
      </c>
      <c r="J509">
        <f>IFERROR(INDEX(tblDeviceConfig[PI_Validated_By],ROW()-1),"")</f>
      </c>
      <c r="K509">
        <f>IFERROR(INDEX(tblDeviceConfig[PI_Validated_Date],ROW()-1),"")</f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</c>
      <c r="C510">
        <f>IFERROR(INDEX(tblDeviceConfig[Deployed],ROW()-1),"")</f>
      </c>
      <c r="D510">
        <f>IFERROR(INDEX(tblDeviceConfig[Installed],ROW()-1),"")</f>
      </c>
      <c r="E510">
        <f>IFERROR(INDEX(tblDeviceConfig[Cybernet Hostname],ROW()-1),"")</f>
      </c>
      <c r="F510">
        <f>IFERROR(INDEX(tblDeviceConfig[Neuron Hostname],ROW()-1),"")</f>
      </c>
      <c r="G510">
        <f>IFERROR(INDEX(tblDeviceConfig[Software List],ROW()-1),"")</f>
      </c>
      <c r="H510">
        <f>IFERROR(INDEX(tblDeviceConfig[PI_Use_Case],ROW()-1),"")</f>
      </c>
      <c r="I510">
        <f>IFERROR(INDEX(tblDeviceConfig[PI_Result],ROW()-1),"")</f>
      </c>
      <c r="J510">
        <f>IFERROR(INDEX(tblDeviceConfig[PI_Validated_By],ROW()-1),"")</f>
      </c>
      <c r="K510">
        <f>IFERROR(INDEX(tblDeviceConfig[PI_Validated_Date],ROW()-1),"")</f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</c>
      <c r="C511">
        <f>IFERROR(INDEX(tblDeviceConfig[Deployed],ROW()-1),"")</f>
      </c>
      <c r="D511">
        <f>IFERROR(INDEX(tblDeviceConfig[Installed],ROW()-1),"")</f>
      </c>
      <c r="E511">
        <f>IFERROR(INDEX(tblDeviceConfig[Cybernet Hostname],ROW()-1),"")</f>
      </c>
      <c r="F511">
        <f>IFERROR(INDEX(tblDeviceConfig[Neuron Hostname],ROW()-1),"")</f>
      </c>
      <c r="G511">
        <f>IFERROR(INDEX(tblDeviceConfig[Software List],ROW()-1),"")</f>
      </c>
      <c r="H511">
        <f>IFERROR(INDEX(tblDeviceConfig[PI_Use_Case],ROW()-1),"")</f>
      </c>
      <c r="I511">
        <f>IFERROR(INDEX(tblDeviceConfig[PI_Result],ROW()-1),"")</f>
      </c>
      <c r="J511">
        <f>IFERROR(INDEX(tblDeviceConfig[PI_Validated_By],ROW()-1),"")</f>
      </c>
      <c r="K511">
        <f>IFERROR(INDEX(tblDeviceConfig[PI_Validated_Date],ROW()-1),"")</f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</c>
      <c r="C512">
        <f>IFERROR(INDEX(tblDeviceConfig[Deployed],ROW()-1),"")</f>
      </c>
      <c r="D512">
        <f>IFERROR(INDEX(tblDeviceConfig[Installed],ROW()-1),"")</f>
      </c>
      <c r="E512">
        <f>IFERROR(INDEX(tblDeviceConfig[Cybernet Hostname],ROW()-1),"")</f>
      </c>
      <c r="F512">
        <f>IFERROR(INDEX(tblDeviceConfig[Neuron Hostname],ROW()-1),"")</f>
      </c>
      <c r="G512">
        <f>IFERROR(INDEX(tblDeviceConfig[Software List],ROW()-1),"")</f>
      </c>
      <c r="H512">
        <f>IFERROR(INDEX(tblDeviceConfig[PI_Use_Case],ROW()-1),"")</f>
      </c>
      <c r="I512">
        <f>IFERROR(INDEX(tblDeviceConfig[PI_Result],ROW()-1),"")</f>
      </c>
      <c r="J512">
        <f>IFERROR(INDEX(tblDeviceConfig[PI_Validated_By],ROW()-1),"")</f>
      </c>
      <c r="K512">
        <f>IFERROR(INDEX(tblDeviceConfig[PI_Validated_Date],ROW()-1),"")</f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</c>
      <c r="C513">
        <f>IFERROR(INDEX(tblDeviceConfig[Deployed],ROW()-1),"")</f>
      </c>
      <c r="D513">
        <f>IFERROR(INDEX(tblDeviceConfig[Installed],ROW()-1),"")</f>
      </c>
      <c r="E513">
        <f>IFERROR(INDEX(tblDeviceConfig[Cybernet Hostname],ROW()-1),"")</f>
      </c>
      <c r="F513">
        <f>IFERROR(INDEX(tblDeviceConfig[Neuron Hostname],ROW()-1),"")</f>
      </c>
      <c r="G513">
        <f>IFERROR(INDEX(tblDeviceConfig[Software List],ROW()-1),"")</f>
      </c>
      <c r="H513">
        <f>IFERROR(INDEX(tblDeviceConfig[PI_Use_Case],ROW()-1),"")</f>
      </c>
      <c r="I513">
        <f>IFERROR(INDEX(tblDeviceConfig[PI_Result],ROW()-1),"")</f>
      </c>
      <c r="J513">
        <f>IFERROR(INDEX(tblDeviceConfig[PI_Validated_By],ROW()-1),"")</f>
      </c>
      <c r="K513">
        <f>IFERROR(INDEX(tblDeviceConfig[PI_Validated_Date],ROW()-1),"")</f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</c>
      <c r="C514">
        <f>IFERROR(INDEX(tblDeviceConfig[Deployed],ROW()-1),"")</f>
      </c>
      <c r="D514">
        <f>IFERROR(INDEX(tblDeviceConfig[Installed],ROW()-1),"")</f>
      </c>
      <c r="E514">
        <f>IFERROR(INDEX(tblDeviceConfig[Cybernet Hostname],ROW()-1),"")</f>
      </c>
      <c r="F514">
        <f>IFERROR(INDEX(tblDeviceConfig[Neuron Hostname],ROW()-1),"")</f>
      </c>
      <c r="G514">
        <f>IFERROR(INDEX(tblDeviceConfig[Software List],ROW()-1),"")</f>
      </c>
      <c r="H514">
        <f>IFERROR(INDEX(tblDeviceConfig[PI_Use_Case],ROW()-1),"")</f>
      </c>
      <c r="I514">
        <f>IFERROR(INDEX(tblDeviceConfig[PI_Result],ROW()-1),"")</f>
      </c>
      <c r="J514">
        <f>IFERROR(INDEX(tblDeviceConfig[PI_Validated_By],ROW()-1),"")</f>
      </c>
      <c r="K514">
        <f>IFERROR(INDEX(tblDeviceConfig[PI_Validated_Date],ROW()-1),"")</f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</c>
      <c r="C515">
        <f>IFERROR(INDEX(tblDeviceConfig[Deployed],ROW()-1),"")</f>
      </c>
      <c r="D515">
        <f>IFERROR(INDEX(tblDeviceConfig[Installed],ROW()-1),"")</f>
      </c>
      <c r="E515">
        <f>IFERROR(INDEX(tblDeviceConfig[Cybernet Hostname],ROW()-1),"")</f>
      </c>
      <c r="F515">
        <f>IFERROR(INDEX(tblDeviceConfig[Neuron Hostname],ROW()-1),"")</f>
      </c>
      <c r="G515">
        <f>IFERROR(INDEX(tblDeviceConfig[Software List],ROW()-1),"")</f>
      </c>
      <c r="H515">
        <f>IFERROR(INDEX(tblDeviceConfig[PI_Use_Case],ROW()-1),"")</f>
      </c>
      <c r="I515">
        <f>IFERROR(INDEX(tblDeviceConfig[PI_Result],ROW()-1),"")</f>
      </c>
      <c r="J515">
        <f>IFERROR(INDEX(tblDeviceConfig[PI_Validated_By],ROW()-1),"")</f>
      </c>
      <c r="K515">
        <f>IFERROR(INDEX(tblDeviceConfig[PI_Validated_Date],ROW()-1),"")</f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</c>
      <c r="C516">
        <f>IFERROR(INDEX(tblDeviceConfig[Deployed],ROW()-1),"")</f>
      </c>
      <c r="D516">
        <f>IFERROR(INDEX(tblDeviceConfig[Installed],ROW()-1),"")</f>
      </c>
      <c r="E516">
        <f>IFERROR(INDEX(tblDeviceConfig[Cybernet Hostname],ROW()-1),"")</f>
      </c>
      <c r="F516">
        <f>IFERROR(INDEX(tblDeviceConfig[Neuron Hostname],ROW()-1),"")</f>
      </c>
      <c r="G516">
        <f>IFERROR(INDEX(tblDeviceConfig[Software List],ROW()-1),"")</f>
      </c>
      <c r="H516">
        <f>IFERROR(INDEX(tblDeviceConfig[PI_Use_Case],ROW()-1),"")</f>
      </c>
      <c r="I516">
        <f>IFERROR(INDEX(tblDeviceConfig[PI_Result],ROW()-1),"")</f>
      </c>
      <c r="J516">
        <f>IFERROR(INDEX(tblDeviceConfig[PI_Validated_By],ROW()-1),"")</f>
      </c>
      <c r="K516">
        <f>IFERROR(INDEX(tblDeviceConfig[PI_Validated_Date],ROW()-1),"")</f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</c>
      <c r="C517">
        <f>IFERROR(INDEX(tblDeviceConfig[Deployed],ROW()-1),"")</f>
      </c>
      <c r="D517">
        <f>IFERROR(INDEX(tblDeviceConfig[Installed],ROW()-1),"")</f>
      </c>
      <c r="E517">
        <f>IFERROR(INDEX(tblDeviceConfig[Cybernet Hostname],ROW()-1),"")</f>
      </c>
      <c r="F517">
        <f>IFERROR(INDEX(tblDeviceConfig[Neuron Hostname],ROW()-1),"")</f>
      </c>
      <c r="G517">
        <f>IFERROR(INDEX(tblDeviceConfig[Software List],ROW()-1),"")</f>
      </c>
      <c r="H517">
        <f>IFERROR(INDEX(tblDeviceConfig[PI_Use_Case],ROW()-1),"")</f>
      </c>
      <c r="I517">
        <f>IFERROR(INDEX(tblDeviceConfig[PI_Result],ROW()-1),"")</f>
      </c>
      <c r="J517">
        <f>IFERROR(INDEX(tblDeviceConfig[PI_Validated_By],ROW()-1),"")</f>
      </c>
      <c r="K517">
        <f>IFERROR(INDEX(tblDeviceConfig[PI_Validated_Date],ROW()-1),"")</f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</c>
      <c r="C518">
        <f>IFERROR(INDEX(tblDeviceConfig[Deployed],ROW()-1),"")</f>
      </c>
      <c r="D518">
        <f>IFERROR(INDEX(tblDeviceConfig[Installed],ROW()-1),"")</f>
      </c>
      <c r="E518">
        <f>IFERROR(INDEX(tblDeviceConfig[Cybernet Hostname],ROW()-1),"")</f>
      </c>
      <c r="F518">
        <f>IFERROR(INDEX(tblDeviceConfig[Neuron Hostname],ROW()-1),"")</f>
      </c>
      <c r="G518">
        <f>IFERROR(INDEX(tblDeviceConfig[Software List],ROW()-1),"")</f>
      </c>
      <c r="H518">
        <f>IFERROR(INDEX(tblDeviceConfig[PI_Use_Case],ROW()-1),"")</f>
      </c>
      <c r="I518">
        <f>IFERROR(INDEX(tblDeviceConfig[PI_Result],ROW()-1),"")</f>
      </c>
      <c r="J518">
        <f>IFERROR(INDEX(tblDeviceConfig[PI_Validated_By],ROW()-1),"")</f>
      </c>
      <c r="K518">
        <f>IFERROR(INDEX(tblDeviceConfig[PI_Validated_Date],ROW()-1),"")</f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</c>
      <c r="C519">
        <f>IFERROR(INDEX(tblDeviceConfig[Deployed],ROW()-1),"")</f>
      </c>
      <c r="D519">
        <f>IFERROR(INDEX(tblDeviceConfig[Installed],ROW()-1),"")</f>
      </c>
      <c r="E519">
        <f>IFERROR(INDEX(tblDeviceConfig[Cybernet Hostname],ROW()-1),"")</f>
      </c>
      <c r="F519">
        <f>IFERROR(INDEX(tblDeviceConfig[Neuron Hostname],ROW()-1),"")</f>
      </c>
      <c r="G519">
        <f>IFERROR(INDEX(tblDeviceConfig[Software List],ROW()-1),"")</f>
      </c>
      <c r="H519">
        <f>IFERROR(INDEX(tblDeviceConfig[PI_Use_Case],ROW()-1),"")</f>
      </c>
      <c r="I519">
        <f>IFERROR(INDEX(tblDeviceConfig[PI_Result],ROW()-1),"")</f>
      </c>
      <c r="J519">
        <f>IFERROR(INDEX(tblDeviceConfig[PI_Validated_By],ROW()-1),"")</f>
      </c>
      <c r="K519">
        <f>IFERROR(INDEX(tblDeviceConfig[PI_Validated_Date],ROW()-1),"")</f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</c>
      <c r="C520">
        <f>IFERROR(INDEX(tblDeviceConfig[Deployed],ROW()-1),"")</f>
      </c>
      <c r="D520">
        <f>IFERROR(INDEX(tblDeviceConfig[Installed],ROW()-1),"")</f>
      </c>
      <c r="E520">
        <f>IFERROR(INDEX(tblDeviceConfig[Cybernet Hostname],ROW()-1),"")</f>
      </c>
      <c r="F520">
        <f>IFERROR(INDEX(tblDeviceConfig[Neuron Hostname],ROW()-1),"")</f>
      </c>
      <c r="G520">
        <f>IFERROR(INDEX(tblDeviceConfig[Software List],ROW()-1),"")</f>
      </c>
      <c r="H520">
        <f>IFERROR(INDEX(tblDeviceConfig[PI_Use_Case],ROW()-1),"")</f>
      </c>
      <c r="I520">
        <f>IFERROR(INDEX(tblDeviceConfig[PI_Result],ROW()-1),"")</f>
      </c>
      <c r="J520">
        <f>IFERROR(INDEX(tblDeviceConfig[PI_Validated_By],ROW()-1),"")</f>
      </c>
      <c r="K520">
        <f>IFERROR(INDEX(tblDeviceConfig[PI_Validated_Date],ROW()-1),"")</f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</c>
      <c r="C521">
        <f>IFERROR(INDEX(tblDeviceConfig[Deployed],ROW()-1),"")</f>
      </c>
      <c r="D521">
        <f>IFERROR(INDEX(tblDeviceConfig[Installed],ROW()-1),"")</f>
      </c>
      <c r="E521">
        <f>IFERROR(INDEX(tblDeviceConfig[Cybernet Hostname],ROW()-1),"")</f>
      </c>
      <c r="F521">
        <f>IFERROR(INDEX(tblDeviceConfig[Neuron Hostname],ROW()-1),"")</f>
      </c>
      <c r="G521">
        <f>IFERROR(INDEX(tblDeviceConfig[Software List],ROW()-1),"")</f>
      </c>
      <c r="H521">
        <f>IFERROR(INDEX(tblDeviceConfig[PI_Use_Case],ROW()-1),"")</f>
      </c>
      <c r="I521">
        <f>IFERROR(INDEX(tblDeviceConfig[PI_Result],ROW()-1),"")</f>
      </c>
      <c r="J521">
        <f>IFERROR(INDEX(tblDeviceConfig[PI_Validated_By],ROW()-1),"")</f>
      </c>
      <c r="K521">
        <f>IFERROR(INDEX(tblDeviceConfig[PI_Validated_Date],ROW()-1),"")</f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</c>
      <c r="C522">
        <f>IFERROR(INDEX(tblDeviceConfig[Deployed],ROW()-1),"")</f>
      </c>
      <c r="D522">
        <f>IFERROR(INDEX(tblDeviceConfig[Installed],ROW()-1),"")</f>
      </c>
      <c r="E522">
        <f>IFERROR(INDEX(tblDeviceConfig[Cybernet Hostname],ROW()-1),"")</f>
      </c>
      <c r="F522">
        <f>IFERROR(INDEX(tblDeviceConfig[Neuron Hostname],ROW()-1),"")</f>
      </c>
      <c r="G522">
        <f>IFERROR(INDEX(tblDeviceConfig[Software List],ROW()-1),"")</f>
      </c>
      <c r="H522">
        <f>IFERROR(INDEX(tblDeviceConfig[PI_Use_Case],ROW()-1),"")</f>
      </c>
      <c r="I522">
        <f>IFERROR(INDEX(tblDeviceConfig[PI_Result],ROW()-1),"")</f>
      </c>
      <c r="J522">
        <f>IFERROR(INDEX(tblDeviceConfig[PI_Validated_By],ROW()-1),"")</f>
      </c>
      <c r="K522">
        <f>IFERROR(INDEX(tblDeviceConfig[PI_Validated_Date],ROW()-1),"")</f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</c>
      <c r="C523">
        <f>IFERROR(INDEX(tblDeviceConfig[Deployed],ROW()-1),"")</f>
      </c>
      <c r="D523">
        <f>IFERROR(INDEX(tblDeviceConfig[Installed],ROW()-1),"")</f>
      </c>
      <c r="E523">
        <f>IFERROR(INDEX(tblDeviceConfig[Cybernet Hostname],ROW()-1),"")</f>
      </c>
      <c r="F523">
        <f>IFERROR(INDEX(tblDeviceConfig[Neuron Hostname],ROW()-1),"")</f>
      </c>
      <c r="G523">
        <f>IFERROR(INDEX(tblDeviceConfig[Software List],ROW()-1),"")</f>
      </c>
      <c r="H523">
        <f>IFERROR(INDEX(tblDeviceConfig[PI_Use_Case],ROW()-1),"")</f>
      </c>
      <c r="I523">
        <f>IFERROR(INDEX(tblDeviceConfig[PI_Result],ROW()-1),"")</f>
      </c>
      <c r="J523">
        <f>IFERROR(INDEX(tblDeviceConfig[PI_Validated_By],ROW()-1),"")</f>
      </c>
      <c r="K523">
        <f>IFERROR(INDEX(tblDeviceConfig[PI_Validated_Date],ROW()-1),"")</f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</c>
      <c r="C524">
        <f>IFERROR(INDEX(tblDeviceConfig[Deployed],ROW()-1),"")</f>
      </c>
      <c r="D524">
        <f>IFERROR(INDEX(tblDeviceConfig[Installed],ROW()-1),"")</f>
      </c>
      <c r="E524">
        <f>IFERROR(INDEX(tblDeviceConfig[Cybernet Hostname],ROW()-1),"")</f>
      </c>
      <c r="F524">
        <f>IFERROR(INDEX(tblDeviceConfig[Neuron Hostname],ROW()-1),"")</f>
      </c>
      <c r="G524">
        <f>IFERROR(INDEX(tblDeviceConfig[Software List],ROW()-1),"")</f>
      </c>
      <c r="H524">
        <f>IFERROR(INDEX(tblDeviceConfig[PI_Use_Case],ROW()-1),"")</f>
      </c>
      <c r="I524">
        <f>IFERROR(INDEX(tblDeviceConfig[PI_Result],ROW()-1),"")</f>
      </c>
      <c r="J524">
        <f>IFERROR(INDEX(tblDeviceConfig[PI_Validated_By],ROW()-1),"")</f>
      </c>
      <c r="K524">
        <f>IFERROR(INDEX(tblDeviceConfig[PI_Validated_Date],ROW()-1),"")</f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</c>
      <c r="C525">
        <f>IFERROR(INDEX(tblDeviceConfig[Deployed],ROW()-1),"")</f>
      </c>
      <c r="D525">
        <f>IFERROR(INDEX(tblDeviceConfig[Installed],ROW()-1),"")</f>
      </c>
      <c r="E525">
        <f>IFERROR(INDEX(tblDeviceConfig[Cybernet Hostname],ROW()-1),"")</f>
      </c>
      <c r="F525">
        <f>IFERROR(INDEX(tblDeviceConfig[Neuron Hostname],ROW()-1),"")</f>
      </c>
      <c r="G525">
        <f>IFERROR(INDEX(tblDeviceConfig[Software List],ROW()-1),"")</f>
      </c>
      <c r="H525">
        <f>IFERROR(INDEX(tblDeviceConfig[PI_Use_Case],ROW()-1),"")</f>
      </c>
      <c r="I525">
        <f>IFERROR(INDEX(tblDeviceConfig[PI_Result],ROW()-1),"")</f>
      </c>
      <c r="J525">
        <f>IFERROR(INDEX(tblDeviceConfig[PI_Validated_By],ROW()-1),"")</f>
      </c>
      <c r="K525">
        <f>IFERROR(INDEX(tblDeviceConfig[PI_Validated_Date],ROW()-1),"")</f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</c>
      <c r="C526">
        <f>IFERROR(INDEX(tblDeviceConfig[Deployed],ROW()-1),"")</f>
      </c>
      <c r="D526">
        <f>IFERROR(INDEX(tblDeviceConfig[Installed],ROW()-1),"")</f>
      </c>
      <c r="E526">
        <f>IFERROR(INDEX(tblDeviceConfig[Cybernet Hostname],ROW()-1),"")</f>
      </c>
      <c r="F526">
        <f>IFERROR(INDEX(tblDeviceConfig[Neuron Hostname],ROW()-1),"")</f>
      </c>
      <c r="G526">
        <f>IFERROR(INDEX(tblDeviceConfig[Software List],ROW()-1),"")</f>
      </c>
      <c r="H526">
        <f>IFERROR(INDEX(tblDeviceConfig[PI_Use_Case],ROW()-1),"")</f>
      </c>
      <c r="I526">
        <f>IFERROR(INDEX(tblDeviceConfig[PI_Result],ROW()-1),"")</f>
      </c>
      <c r="J526">
        <f>IFERROR(INDEX(tblDeviceConfig[PI_Validated_By],ROW()-1),"")</f>
      </c>
      <c r="K526">
        <f>IFERROR(INDEX(tblDeviceConfig[PI_Validated_Date],ROW()-1),"")</f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</c>
      <c r="C527">
        <f>IFERROR(INDEX(tblDeviceConfig[Deployed],ROW()-1),"")</f>
      </c>
      <c r="D527">
        <f>IFERROR(INDEX(tblDeviceConfig[Installed],ROW()-1),"")</f>
      </c>
      <c r="E527">
        <f>IFERROR(INDEX(tblDeviceConfig[Cybernet Hostname],ROW()-1),"")</f>
      </c>
      <c r="F527">
        <f>IFERROR(INDEX(tblDeviceConfig[Neuron Hostname],ROW()-1),"")</f>
      </c>
      <c r="G527">
        <f>IFERROR(INDEX(tblDeviceConfig[Software List],ROW()-1),"")</f>
      </c>
      <c r="H527">
        <f>IFERROR(INDEX(tblDeviceConfig[PI_Use_Case],ROW()-1),"")</f>
      </c>
      <c r="I527">
        <f>IFERROR(INDEX(tblDeviceConfig[PI_Result],ROW()-1),"")</f>
      </c>
      <c r="J527">
        <f>IFERROR(INDEX(tblDeviceConfig[PI_Validated_By],ROW()-1),"")</f>
      </c>
      <c r="K527">
        <f>IFERROR(INDEX(tblDeviceConfig[PI_Validated_Date],ROW()-1),"")</f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</c>
      <c r="C528">
        <f>IFERROR(INDEX(tblDeviceConfig[Deployed],ROW()-1),"")</f>
      </c>
      <c r="D528">
        <f>IFERROR(INDEX(tblDeviceConfig[Installed],ROW()-1),"")</f>
      </c>
      <c r="E528">
        <f>IFERROR(INDEX(tblDeviceConfig[Cybernet Hostname],ROW()-1),"")</f>
      </c>
      <c r="F528">
        <f>IFERROR(INDEX(tblDeviceConfig[Neuron Hostname],ROW()-1),"")</f>
      </c>
      <c r="G528">
        <f>IFERROR(INDEX(tblDeviceConfig[Software List],ROW()-1),"")</f>
      </c>
      <c r="H528">
        <f>IFERROR(INDEX(tblDeviceConfig[PI_Use_Case],ROW()-1),"")</f>
      </c>
      <c r="I528">
        <f>IFERROR(INDEX(tblDeviceConfig[PI_Result],ROW()-1),"")</f>
      </c>
      <c r="J528">
        <f>IFERROR(INDEX(tblDeviceConfig[PI_Validated_By],ROW()-1),"")</f>
      </c>
      <c r="K528">
        <f>IFERROR(INDEX(tblDeviceConfig[PI_Validated_Date],ROW()-1),"")</f>
      </c>
      <c r="L528">
        <f t="shared" si="16"/>
        <v>0</v>
      </c>
      <c r="M528" t="str">
        <f t="shared" si="17"/>
        <v/>
      </c>
    </row>
    <row r="529">
      <c r="A529">
        <f>ROW()</f>
      </c>
      <c r="B529">
        <f>IFERROR(INDEX(tblDeviceConfig[Device Type],ROW()-1),"")</f>
      </c>
      <c r="C529">
        <f>IFERROR(INDEX(tblDeviceConfig[Deployed],ROW()-1),"")</f>
      </c>
      <c r="D529">
        <f>IFERROR(INDEX(tblDeviceConfig[Installed],ROW()-1),"")</f>
      </c>
      <c r="E529">
        <f>IFERROR(INDEX(tblDeviceConfig[Cybernet Hostname],ROW()-1),"")</f>
      </c>
      <c r="F529">
        <f>IFERROR(INDEX(tblDeviceConfig[Neuron Hostname],ROW()-1),"")</f>
      </c>
      <c r="G529">
        <f>IFERROR(INDEX(tblDeviceConfig[Software List],ROW()-1),"")</f>
      </c>
      <c r="H529">
        <f>IFERROR(INDEX(tblDeviceConfig[PI_Use_Case],ROW()-1),"")</f>
      </c>
      <c r="I529">
        <f>IFERROR(INDEX(tblDeviceConfig[PI_Result],ROW()-1),"")</f>
      </c>
      <c r="J529">
        <f>IFERROR(INDEX(tblDeviceConfig[PI_Validated_By],ROW()-1),"")</f>
      </c>
      <c r="K529">
        <f>IFERROR(INDEX(tblDeviceConfig[PI_Validated_Date],ROW()-1),"")</f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</c>
      <c r="M529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</c>
    </row>
    <row r="530">
      <c r="A530">
        <f>ROW()</f>
      </c>
      <c r="B530">
        <f>IFERROR(INDEX(tblDeviceConfig[Device Type],ROW()-1),"")</f>
      </c>
      <c r="C530">
        <f>IFERROR(INDEX(tblDeviceConfig[Deployed],ROW()-1),"")</f>
      </c>
      <c r="D530">
        <f>IFERROR(INDEX(tblDeviceConfig[Installed],ROW()-1),"")</f>
      </c>
      <c r="E530">
        <f>IFERROR(INDEX(tblDeviceConfig[Cybernet Hostname],ROW()-1),"")</f>
      </c>
      <c r="F530">
        <f>IFERROR(INDEX(tblDeviceConfig[Neuron Hostname],ROW()-1),"")</f>
      </c>
      <c r="G530">
        <f>IFERROR(INDEX(tblDeviceConfig[Software List],ROW()-1),"")</f>
      </c>
      <c r="H530">
        <f>IFERROR(INDEX(tblDeviceConfig[PI_Use_Case],ROW()-1),"")</f>
      </c>
      <c r="I530">
        <f>IFERROR(INDEX(tblDeviceConfig[PI_Result],ROW()-1),"")</f>
      </c>
      <c r="J530">
        <f>IFERROR(INDEX(tblDeviceConfig[PI_Validated_By],ROW()-1),"")</f>
      </c>
      <c r="K530">
        <f>IFERROR(INDEX(tblDeviceConfig[PI_Validated_Date],ROW()-1),"")</f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</c>
      <c r="M530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</c>
    </row>
    <row r="531">
      <c r="A531">
        <f>ROW()</f>
      </c>
      <c r="B531">
        <f>IFERROR(INDEX(tblDeviceConfig[Device Type],ROW()-1),"")</f>
      </c>
      <c r="C531">
        <f>IFERROR(INDEX(tblDeviceConfig[Deployed],ROW()-1),"")</f>
      </c>
      <c r="D531">
        <f>IFERROR(INDEX(tblDeviceConfig[Installed],ROW()-1),"")</f>
      </c>
      <c r="E531">
        <f>IFERROR(INDEX(tblDeviceConfig[Cybernet Hostname],ROW()-1),"")</f>
      </c>
      <c r="F531">
        <f>IFERROR(INDEX(tblDeviceConfig[Neuron Hostname],ROW()-1),"")</f>
      </c>
      <c r="G531">
        <f>IFERROR(INDEX(tblDeviceConfig[Software List],ROW()-1),"")</f>
      </c>
      <c r="H531">
        <f>IFERROR(INDEX(tblDeviceConfig[PI_Use_Case],ROW()-1),"")</f>
      </c>
      <c r="I531">
        <f>IFERROR(INDEX(tblDeviceConfig[PI_Result],ROW()-1),"")</f>
      </c>
      <c r="J531">
        <f>IFERROR(INDEX(tblDeviceConfig[PI_Validated_By],ROW()-1),"")</f>
      </c>
      <c r="K531">
        <f>IFERROR(INDEX(tblDeviceConfig[PI_Validated_Date],ROW()-1),"")</f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</c>
      <c r="M531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</c>
    </row>
    <row r="532">
      <c r="A532">
        <f>ROW()</f>
      </c>
      <c r="B532">
        <f>IFERROR(INDEX(tblDeviceConfig[Device Type],ROW()-1),"")</f>
      </c>
      <c r="C532">
        <f>IFERROR(INDEX(tblDeviceConfig[Deployed],ROW()-1),"")</f>
      </c>
      <c r="D532">
        <f>IFERROR(INDEX(tblDeviceConfig[Installed],ROW()-1),"")</f>
      </c>
      <c r="E532">
        <f>IFERROR(INDEX(tblDeviceConfig[Cybernet Hostname],ROW()-1),"")</f>
      </c>
      <c r="F532">
        <f>IFERROR(INDEX(tblDeviceConfig[Neuron Hostname],ROW()-1),"")</f>
      </c>
      <c r="G532">
        <f>IFERROR(INDEX(tblDeviceConfig[Software List],ROW()-1),"")</f>
      </c>
      <c r="H532">
        <f>IFERROR(INDEX(tblDeviceConfig[PI_Use_Case],ROW()-1),"")</f>
      </c>
      <c r="I532">
        <f>IFERROR(INDEX(tblDeviceConfig[PI_Result],ROW()-1),"")</f>
      </c>
      <c r="J532">
        <f>IFERROR(INDEX(tblDeviceConfig[PI_Validated_By],ROW()-1),"")</f>
      </c>
      <c r="K532">
        <f>IFERROR(INDEX(tblDeviceConfig[PI_Validated_Date],ROW()-1),"")</f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</c>
      <c r="M532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</c>
    </row>
  </sheetData>
  <conditionalFormatting sqref="L2:L528">
    <cfRule type="expression" dxfId="39" priority="2">
      <formula>$L2&gt;0</formula>
    </cfRule>
    <cfRule type="expression" dxfId="38" priority="3">
      <formula>$L2=0</formula>
    </cfRule>
  </conditionalFormatting>
  <conditionalFormatting sqref="M2:M528">
    <cfRule type="expression" dxfId="3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1627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1818</v>
      </c>
      <c r="D3" t="s">
        <v>25</v>
      </c>
      <c r="E3">
        <v>3</v>
      </c>
      <c r="F3" t="s">
        <v>29</v>
      </c>
      <c r="G3">
        <v>43</v>
      </c>
      <c r="H3" t="s">
        <v>30</v>
      </c>
      <c r="I3" t="s">
        <v>31</v>
      </c>
    </row>
    <row r="4" spans="1:9">
      <c r="A4" t="s">
        <v>22</v>
      </c>
      <c r="B4" t="s">
        <v>23</v>
      </c>
      <c r="C4" t="s">
        <v>2051</v>
      </c>
      <c r="D4" t="s">
        <v>25</v>
      </c>
      <c r="E4">
        <v>4</v>
      </c>
      <c r="F4" t="s">
        <v>26</v>
      </c>
      <c r="G4">
        <v>42</v>
      </c>
      <c r="H4" t="s">
        <v>33</v>
      </c>
      <c r="I4" t="s">
        <v>34</v>
      </c>
    </row>
    <row r="5" spans="1:9">
      <c r="A5" t="s">
        <v>35</v>
      </c>
      <c r="C5" t="s">
        <v>36</v>
      </c>
      <c r="D5" t="s">
        <v>25</v>
      </c>
      <c r="E5">
        <v>1</v>
      </c>
      <c r="F5" t="s">
        <v>37</v>
      </c>
      <c r="G5">
        <v>37</v>
      </c>
      <c r="I5" t="s">
        <v>38</v>
      </c>
    </row>
    <row r="6" spans="1:9">
      <c r="A6" t="s">
        <v>35</v>
      </c>
      <c r="C6" t="s">
        <v>36</v>
      </c>
      <c r="D6" t="s">
        <v>25</v>
      </c>
      <c r="E6">
        <v>2</v>
      </c>
      <c r="F6" t="s">
        <v>39</v>
      </c>
      <c r="G6">
        <v>36</v>
      </c>
      <c r="I6" t="s">
        <v>38</v>
      </c>
    </row>
    <row r="7" spans="1:9">
      <c r="A7" t="s">
        <v>35</v>
      </c>
      <c r="C7" t="s">
        <v>40</v>
      </c>
      <c r="D7" t="s">
        <v>25</v>
      </c>
      <c r="E7">
        <v>3</v>
      </c>
      <c r="F7" t="s">
        <v>41</v>
      </c>
      <c r="G7">
        <v>41</v>
      </c>
      <c r="I7" t="s">
        <v>38</v>
      </c>
    </row>
    <row r="8" spans="1:9">
      <c r="A8" t="s">
        <v>35</v>
      </c>
      <c r="C8" t="s">
        <v>40</v>
      </c>
      <c r="D8" t="s">
        <v>25</v>
      </c>
      <c r="E8">
        <v>4</v>
      </c>
      <c r="F8" t="s">
        <v>42</v>
      </c>
      <c r="G8">
        <v>40</v>
      </c>
      <c r="I8" t="s">
        <v>38</v>
      </c>
    </row>
    <row r="9" spans="1:9">
      <c r="A9" t="s">
        <v>35</v>
      </c>
      <c r="C9" t="s">
        <v>40</v>
      </c>
      <c r="D9" t="s">
        <v>25</v>
      </c>
      <c r="E9">
        <v>5</v>
      </c>
      <c r="F9" t="s">
        <v>43</v>
      </c>
      <c r="G9">
        <v>39</v>
      </c>
      <c r="I9" t="s">
        <v>38</v>
      </c>
    </row>
    <row r="10" spans="1:9">
      <c r="A10" t="s">
        <v>35</v>
      </c>
      <c r="C10" t="s">
        <v>40</v>
      </c>
      <c r="D10" t="s">
        <v>25</v>
      </c>
      <c r="E10">
        <v>6</v>
      </c>
      <c r="F10" t="s">
        <v>44</v>
      </c>
      <c r="G10">
        <v>38</v>
      </c>
      <c r="I10" t="s">
        <v>45</v>
      </c>
    </row>
    <row r="11" spans="1:9">
      <c r="A11" t="s">
        <v>46</v>
      </c>
      <c r="C11" t="s">
        <v>47</v>
      </c>
      <c r="D11" t="s">
        <v>25</v>
      </c>
      <c r="E11">
        <v>1</v>
      </c>
      <c r="F11" t="s">
        <v>48</v>
      </c>
      <c r="G11">
        <v>35</v>
      </c>
      <c r="I11" t="s">
        <v>38</v>
      </c>
    </row>
    <row r="12" spans="1:9">
      <c r="A12" t="s">
        <v>46</v>
      </c>
      <c r="C12" t="s">
        <v>47</v>
      </c>
      <c r="D12" t="s">
        <v>25</v>
      </c>
      <c r="E12">
        <v>2</v>
      </c>
      <c r="F12" t="s">
        <v>49</v>
      </c>
      <c r="G12">
        <v>34</v>
      </c>
      <c r="I12" t="s">
        <v>38</v>
      </c>
    </row>
    <row r="13" spans="1:9">
      <c r="A13" t="s">
        <v>46</v>
      </c>
      <c r="C13" t="s">
        <v>50</v>
      </c>
      <c r="D13" t="s">
        <v>25</v>
      </c>
      <c r="E13">
        <v>3</v>
      </c>
      <c r="F13" t="s">
        <v>51</v>
      </c>
      <c r="G13">
        <v>33</v>
      </c>
      <c r="I13" t="s">
        <v>38</v>
      </c>
    </row>
    <row r="14" spans="1:9">
      <c r="A14" t="s">
        <v>46</v>
      </c>
      <c r="C14" t="s">
        <v>50</v>
      </c>
      <c r="D14" t="s">
        <v>25</v>
      </c>
      <c r="E14">
        <v>4</v>
      </c>
      <c r="F14" t="s">
        <v>43</v>
      </c>
      <c r="G14">
        <v>32</v>
      </c>
      <c r="I14" t="s">
        <v>38</v>
      </c>
    </row>
    <row r="15" spans="1:9">
      <c r="A15" t="s">
        <v>46</v>
      </c>
      <c r="C15" t="s">
        <v>52</v>
      </c>
      <c r="D15" t="s">
        <v>25</v>
      </c>
      <c r="E15">
        <v>116</v>
      </c>
      <c r="F15" t="s">
        <v>53</v>
      </c>
      <c r="G15">
        <v>31</v>
      </c>
      <c r="I15" t="s">
        <v>38</v>
      </c>
    </row>
    <row r="16" spans="1:9">
      <c r="A16" t="s">
        <v>46</v>
      </c>
      <c r="C16" t="s">
        <v>52</v>
      </c>
      <c r="D16" t="s">
        <v>25</v>
      </c>
      <c r="E16">
        <v>117</v>
      </c>
      <c r="F16" t="s">
        <v>54</v>
      </c>
      <c r="G16">
        <v>30</v>
      </c>
      <c r="I16" t="s">
        <v>38</v>
      </c>
    </row>
    <row r="17" spans="1:9">
      <c r="A17" t="s">
        <v>55</v>
      </c>
      <c r="C17" t="s">
        <v>56</v>
      </c>
      <c r="D17" t="s">
        <v>25</v>
      </c>
      <c r="E17">
        <v>1</v>
      </c>
      <c r="F17" t="s">
        <v>57</v>
      </c>
      <c r="G17">
        <v>29</v>
      </c>
      <c r="I17" t="s">
        <v>38</v>
      </c>
    </row>
    <row r="18" spans="1:9">
      <c r="A18" t="s">
        <v>55</v>
      </c>
      <c r="C18" t="s">
        <v>56</v>
      </c>
      <c r="D18" t="s">
        <v>25</v>
      </c>
      <c r="E18">
        <v>4</v>
      </c>
      <c r="F18" t="s">
        <v>58</v>
      </c>
      <c r="G18">
        <v>28</v>
      </c>
      <c r="I18" t="s">
        <v>45</v>
      </c>
    </row>
    <row r="19" spans="1:9">
      <c r="A19" t="s">
        <v>59</v>
      </c>
      <c r="C19" t="s">
        <v>60</v>
      </c>
      <c r="D19" t="s">
        <v>25</v>
      </c>
      <c r="E19">
        <v>3</v>
      </c>
      <c r="F19" t="s">
        <v>61</v>
      </c>
      <c r="G19">
        <v>27</v>
      </c>
      <c r="I19" t="s">
        <v>45</v>
      </c>
    </row>
    <row r="20" spans="1:9">
      <c r="A20" t="s">
        <v>62</v>
      </c>
      <c r="C20" t="s">
        <v>63</v>
      </c>
      <c r="D20" t="s">
        <v>25</v>
      </c>
      <c r="E20">
        <v>1</v>
      </c>
      <c r="F20" t="s">
        <v>64</v>
      </c>
      <c r="G20">
        <v>26</v>
      </c>
      <c r="I20" t="s">
        <v>38</v>
      </c>
    </row>
    <row r="21" spans="1:9">
      <c r="A21" t="s">
        <v>62</v>
      </c>
      <c r="C21" t="s">
        <v>63</v>
      </c>
      <c r="D21" t="s">
        <v>25</v>
      </c>
      <c r="E21">
        <v>2</v>
      </c>
      <c r="F21" t="s">
        <v>65</v>
      </c>
      <c r="G21">
        <v>25</v>
      </c>
      <c r="I21" t="s">
        <v>38</v>
      </c>
    </row>
    <row r="22" spans="1:9">
      <c r="A22" t="s">
        <v>62</v>
      </c>
      <c r="C22" t="s">
        <v>63</v>
      </c>
      <c r="D22" t="s">
        <v>25</v>
      </c>
      <c r="E22">
        <v>3</v>
      </c>
      <c r="F22" t="s">
        <v>66</v>
      </c>
      <c r="G22">
        <v>24</v>
      </c>
      <c r="I22" t="s">
        <v>38</v>
      </c>
    </row>
    <row r="23" spans="1:9">
      <c r="A23" t="s">
        <v>62</v>
      </c>
      <c r="C23" t="s">
        <v>63</v>
      </c>
      <c r="D23" t="s">
        <v>25</v>
      </c>
      <c r="E23">
        <v>4</v>
      </c>
      <c r="F23" t="s">
        <v>67</v>
      </c>
      <c r="G23">
        <v>23</v>
      </c>
      <c r="I23" t="s">
        <v>45</v>
      </c>
    </row>
    <row r="24" spans="1:9">
      <c r="A24" t="s">
        <v>68</v>
      </c>
      <c r="B24" t="s">
        <v>69</v>
      </c>
      <c r="C24" t="s">
        <v>2104</v>
      </c>
      <c r="D24" t="s">
        <v>25</v>
      </c>
      <c r="E24">
        <v>1</v>
      </c>
      <c r="F24" t="s">
        <v>71</v>
      </c>
      <c r="G24">
        <v>0</v>
      </c>
      <c r="H24" t="s">
        <v>72</v>
      </c>
      <c r="I24" t="s">
        <v>28</v>
      </c>
    </row>
    <row r="25" spans="1:9">
      <c r="A25" t="s">
        <v>68</v>
      </c>
      <c r="B25" t="s">
        <v>69</v>
      </c>
      <c r="C25" t="s">
        <v>2189</v>
      </c>
      <c r="D25" t="s">
        <v>25</v>
      </c>
      <c r="E25">
        <v>2</v>
      </c>
      <c r="F25" t="s">
        <v>74</v>
      </c>
      <c r="G25">
        <v>5</v>
      </c>
      <c r="H25" t="s">
        <v>75</v>
      </c>
      <c r="I25" t="s">
        <v>34</v>
      </c>
    </row>
    <row r="26" spans="1:9">
      <c r="A26" t="s">
        <v>68</v>
      </c>
      <c r="B26" t="s">
        <v>69</v>
      </c>
      <c r="C26" t="s">
        <v>2340</v>
      </c>
      <c r="D26" t="s">
        <v>25</v>
      </c>
      <c r="E26">
        <v>3</v>
      </c>
      <c r="F26" t="s">
        <v>77</v>
      </c>
      <c r="G26">
        <v>5</v>
      </c>
      <c r="H26" t="s">
        <v>78</v>
      </c>
      <c r="I26" t="s">
        <v>34</v>
      </c>
    </row>
    <row r="27" spans="1:9">
      <c r="A27" t="s">
        <v>68</v>
      </c>
      <c r="B27" t="s">
        <v>69</v>
      </c>
      <c r="C27" t="s">
        <v>1807</v>
      </c>
      <c r="D27" t="s">
        <v>25</v>
      </c>
      <c r="E27">
        <v>4</v>
      </c>
      <c r="F27" t="s">
        <v>80</v>
      </c>
      <c r="G27">
        <v>5</v>
      </c>
      <c r="H27" t="s">
        <v>81</v>
      </c>
      <c r="I27" t="s">
        <v>34</v>
      </c>
    </row>
    <row r="28" spans="1:9">
      <c r="A28" t="s">
        <v>68</v>
      </c>
      <c r="B28" t="s">
        <v>69</v>
      </c>
      <c r="C28" t="s">
        <v>2105</v>
      </c>
      <c r="D28" t="s">
        <v>25</v>
      </c>
      <c r="E28">
        <v>5</v>
      </c>
      <c r="F28" t="s">
        <v>83</v>
      </c>
      <c r="G28">
        <v>45</v>
      </c>
      <c r="H28" t="s">
        <v>84</v>
      </c>
      <c r="I28" t="s">
        <v>85</v>
      </c>
    </row>
    <row r="29" spans="1:9">
      <c r="A29" t="s">
        <v>86</v>
      </c>
      <c r="B29" t="s">
        <v>87</v>
      </c>
      <c r="C29" t="s">
        <v>88</v>
      </c>
      <c r="D29" t="s">
        <v>25</v>
      </c>
      <c r="E29">
        <v>8</v>
      </c>
      <c r="F29" t="s">
        <v>89</v>
      </c>
      <c r="G29">
        <v>6</v>
      </c>
      <c r="I29" t="s">
        <v>31</v>
      </c>
    </row>
    <row r="30" spans="1:9">
      <c r="A30" t="s">
        <v>86</v>
      </c>
      <c r="B30" t="s">
        <v>87</v>
      </c>
      <c r="C30" t="s">
        <v>88</v>
      </c>
      <c r="D30" t="s">
        <v>25</v>
      </c>
      <c r="E30">
        <v>9</v>
      </c>
      <c r="F30" t="s">
        <v>90</v>
      </c>
      <c r="G30">
        <v>5</v>
      </c>
      <c r="I30" t="s">
        <v>34</v>
      </c>
    </row>
    <row r="31" spans="1:9">
      <c r="A31" t="s">
        <v>86</v>
      </c>
      <c r="B31" t="s">
        <v>87</v>
      </c>
      <c r="C31" t="s">
        <v>91</v>
      </c>
      <c r="D31" t="s">
        <v>25</v>
      </c>
      <c r="E31">
        <v>10</v>
      </c>
      <c r="F31" t="s">
        <v>92</v>
      </c>
      <c r="G31">
        <v>4</v>
      </c>
      <c r="I31" t="s">
        <v>28</v>
      </c>
    </row>
    <row r="32" spans="1:9">
      <c r="A32" t="s">
        <v>86</v>
      </c>
      <c r="B32" t="s">
        <v>87</v>
      </c>
      <c r="C32" t="s">
        <v>93</v>
      </c>
      <c r="D32" t="s">
        <v>25</v>
      </c>
      <c r="E32">
        <v>11</v>
      </c>
      <c r="F32" t="s">
        <v>94</v>
      </c>
      <c r="G32">
        <v>3</v>
      </c>
      <c r="I32" t="s">
        <v>95</v>
      </c>
    </row>
    <row r="33" spans="1:9">
      <c r="A33" t="s">
        <v>86</v>
      </c>
      <c r="B33" t="s">
        <v>87</v>
      </c>
      <c r="C33" t="s">
        <v>96</v>
      </c>
      <c r="D33" t="s">
        <v>25</v>
      </c>
      <c r="E33">
        <v>12</v>
      </c>
      <c r="F33" t="s">
        <v>97</v>
      </c>
      <c r="G33">
        <v>2</v>
      </c>
      <c r="I33" t="s">
        <v>95</v>
      </c>
    </row>
    <row r="34" spans="1:9">
      <c r="A34" t="s">
        <v>86</v>
      </c>
      <c r="B34" t="s">
        <v>87</v>
      </c>
      <c r="C34" t="s">
        <v>98</v>
      </c>
      <c r="D34" t="s">
        <v>25</v>
      </c>
      <c r="E34">
        <v>13</v>
      </c>
      <c r="F34" t="s">
        <v>99</v>
      </c>
      <c r="G34">
        <v>1</v>
      </c>
      <c r="I34" t="s">
        <v>31</v>
      </c>
    </row>
    <row r="35" spans="1:9">
      <c r="A35" t="s">
        <v>86</v>
      </c>
      <c r="B35" t="s">
        <v>87</v>
      </c>
      <c r="C35" t="s">
        <v>98</v>
      </c>
      <c r="D35" t="s">
        <v>25</v>
      </c>
      <c r="E35">
        <v>14</v>
      </c>
      <c r="F35" t="s">
        <v>100</v>
      </c>
      <c r="G35">
        <v>0</v>
      </c>
      <c r="I35" t="s">
        <v>28</v>
      </c>
    </row>
    <row r="36" spans="1:9">
      <c r="A36" t="s">
        <v>101</v>
      </c>
      <c r="C36" t="s">
        <v>102</v>
      </c>
      <c r="D36" t="s">
        <v>103</v>
      </c>
      <c r="E36">
        <v>1</v>
      </c>
      <c r="F36" t="s">
        <v>104</v>
      </c>
      <c r="G36">
        <v>12</v>
      </c>
    </row>
    <row r="37" spans="1:9">
      <c r="A37" t="s">
        <v>101</v>
      </c>
      <c r="C37" t="s">
        <v>105</v>
      </c>
      <c r="D37" t="s">
        <v>103</v>
      </c>
      <c r="E37">
        <v>2</v>
      </c>
      <c r="F37" t="s">
        <v>106</v>
      </c>
      <c r="G37">
        <v>11</v>
      </c>
    </row>
    <row r="38" spans="1:9">
      <c r="A38" t="s">
        <v>101</v>
      </c>
      <c r="C38" t="s">
        <v>105</v>
      </c>
      <c r="D38" t="s">
        <v>103</v>
      </c>
      <c r="E38">
        <v>3</v>
      </c>
      <c r="F38" t="s">
        <v>107</v>
      </c>
      <c r="G38">
        <v>10</v>
      </c>
    </row>
    <row r="39" spans="1:9">
      <c r="A39" t="s">
        <v>101</v>
      </c>
      <c r="C39" t="s">
        <v>105</v>
      </c>
      <c r="D39" t="s">
        <v>103</v>
      </c>
      <c r="E39">
        <v>4</v>
      </c>
      <c r="F39" t="s">
        <v>108</v>
      </c>
      <c r="G39">
        <v>9</v>
      </c>
    </row>
    <row r="40" spans="1:9">
      <c r="A40" t="s">
        <v>101</v>
      </c>
      <c r="C40" t="s">
        <v>105</v>
      </c>
      <c r="D40" t="s">
        <v>103</v>
      </c>
      <c r="E40">
        <v>5</v>
      </c>
      <c r="F40" t="s">
        <v>109</v>
      </c>
      <c r="G40">
        <v>8</v>
      </c>
    </row>
    <row r="41" spans="1:9">
      <c r="A41" t="s">
        <v>101</v>
      </c>
      <c r="C41" t="s">
        <v>110</v>
      </c>
      <c r="D41" t="s">
        <v>103</v>
      </c>
      <c r="E41">
        <v>6</v>
      </c>
      <c r="F41" t="s">
        <v>111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7" t="s">
        <v>112</v>
      </c>
      <c r="B1" s="62"/>
      <c r="C1" s="62"/>
      <c r="D1" s="62"/>
    </row>
    <row r="2" spans="1:4" ht="15" customHeight="1">
      <c r="A2" s="60" t="s">
        <v>113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114</v>
      </c>
      <c r="B4" s="43" t="s">
        <v>115</v>
      </c>
      <c r="C4" s="43" t="s">
        <v>116</v>
      </c>
      <c r="D4" s="43" t="s">
        <v>117</v>
      </c>
    </row>
    <row r="5" spans="1:4" ht="15" customHeight="1">
      <c r="A5" s="44" t="s">
        <v>35</v>
      </c>
      <c r="B5" s="44" t="s">
        <v>118</v>
      </c>
      <c r="C5" s="44" t="s">
        <v>119</v>
      </c>
      <c r="D5" s="44" t="s">
        <v>120</v>
      </c>
    </row>
    <row r="6" spans="1:4" ht="15" customHeight="1">
      <c r="A6" s="44" t="s">
        <v>55</v>
      </c>
      <c r="B6" s="44" t="s">
        <v>121</v>
      </c>
      <c r="C6" s="44" t="s">
        <v>122</v>
      </c>
      <c r="D6" s="44" t="s">
        <v>123</v>
      </c>
    </row>
    <row r="7" spans="1:4" ht="15" customHeight="1">
      <c r="A7" s="44" t="s">
        <v>46</v>
      </c>
      <c r="B7" s="44" t="s">
        <v>124</v>
      </c>
      <c r="C7" s="44" t="s">
        <v>125</v>
      </c>
      <c r="D7" s="44" t="s">
        <v>126</v>
      </c>
    </row>
    <row r="8" spans="1:4" ht="15" customHeight="1">
      <c r="A8" s="44" t="s">
        <v>59</v>
      </c>
      <c r="B8" s="44" t="s">
        <v>127</v>
      </c>
      <c r="C8" s="44" t="s">
        <v>128</v>
      </c>
      <c r="D8" s="44" t="s">
        <v>129</v>
      </c>
    </row>
    <row r="9" spans="1:4" ht="15" customHeight="1">
      <c r="A9" s="44" t="s">
        <v>62</v>
      </c>
      <c r="B9" s="44" t="s">
        <v>130</v>
      </c>
      <c r="C9" s="44" t="s">
        <v>131</v>
      </c>
      <c r="D9" s="44" t="s">
        <v>132</v>
      </c>
    </row>
    <row r="10" spans="1:4" ht="15" customHeight="1">
      <c r="A10" s="44" t="s">
        <v>133</v>
      </c>
      <c r="B10" s="44" t="s">
        <v>68</v>
      </c>
      <c r="C10" s="44" t="s">
        <v>134</v>
      </c>
      <c r="D10" s="44" t="s">
        <v>135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9" t="s">
        <v>136</v>
      </c>
      <c r="B13" s="62"/>
      <c r="C13" s="62"/>
      <c r="D13" s="62"/>
    </row>
    <row r="14" spans="1:4" ht="15" customHeight="1">
      <c r="A14" s="49" t="s">
        <v>137</v>
      </c>
      <c r="B14" s="58" t="s">
        <v>138</v>
      </c>
      <c r="C14" s="62"/>
      <c r="D14" s="62"/>
    </row>
    <row r="15" spans="1:4" ht="15" customHeight="1">
      <c r="A15" s="49" t="s">
        <v>139</v>
      </c>
      <c r="B15" s="58" t="s">
        <v>140</v>
      </c>
      <c r="C15" s="62"/>
      <c r="D15" s="62"/>
    </row>
    <row r="16" spans="1:4" ht="15" customHeight="1">
      <c r="A16" s="49" t="s">
        <v>141</v>
      </c>
      <c r="B16" s="58" t="s">
        <v>142</v>
      </c>
      <c r="C16" s="62"/>
      <c r="D16" s="62"/>
    </row>
    <row r="17" spans="1:4" ht="15" customHeight="1">
      <c r="A17" s="49" t="s">
        <v>143</v>
      </c>
      <c r="B17" s="58" t="s">
        <v>144</v>
      </c>
      <c r="C17" s="62"/>
      <c r="D17" s="62"/>
    </row>
    <row r="18" spans="1:4" ht="15" customHeight="1">
      <c r="A18" s="49" t="s">
        <v>145</v>
      </c>
      <c r="B18" s="58" t="s">
        <v>146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9" t="s">
        <v>147</v>
      </c>
      <c r="B20" s="62"/>
      <c r="C20" s="62"/>
      <c r="D20" s="62"/>
    </row>
    <row r="21" spans="1:4" ht="15" customHeight="1">
      <c r="A21" s="58" t="s">
        <v>148</v>
      </c>
      <c r="B21" s="62"/>
      <c r="C21" s="62"/>
      <c r="D21" s="62"/>
    </row>
    <row r="22" spans="1:4" ht="15" customHeight="1">
      <c r="A22" s="58" t="s">
        <v>149</v>
      </c>
      <c r="B22" s="62"/>
      <c r="C22" s="62"/>
      <c r="D22" s="62"/>
    </row>
    <row r="23" spans="1:4" ht="15" customHeight="1">
      <c r="A23" s="58" t="s">
        <v>150</v>
      </c>
      <c r="B23" s="62"/>
      <c r="C23" s="62"/>
      <c r="D23" s="62"/>
    </row>
    <row r="24" spans="1:4" ht="15" customHeight="1">
      <c r="A24" s="58" t="s">
        <v>151</v>
      </c>
      <c r="B24" s="62"/>
      <c r="C24" s="62"/>
      <c r="D24" s="62"/>
    </row>
    <row r="25" spans="1:4" ht="15" customHeight="1">
      <c r="A25" s="58" t="s">
        <v>152</v>
      </c>
      <c r="B25" s="62"/>
      <c r="C25" s="62"/>
      <c r="D25" s="62"/>
    </row>
    <row r="26" spans="1:4" ht="41.25" customHeight="1">
      <c r="A26" s="49" t="s">
        <v>153</v>
      </c>
      <c r="B26" s="49"/>
      <c r="C26" s="49"/>
      <c r="D26" s="49"/>
    </row>
    <row r="27" spans="1:4" ht="15.75" customHeight="1">
      <c r="A27" s="59" t="s">
        <v>154</v>
      </c>
      <c r="B27" s="62"/>
      <c r="C27" s="62"/>
      <c r="D27" s="62"/>
    </row>
    <row r="28" spans="1:4" ht="15" customHeight="1">
      <c r="A28" s="58"/>
      <c r="B28" s="62"/>
      <c r="C28" s="62"/>
      <c r="D28" s="62"/>
    </row>
    <row r="29" spans="1:4" ht="15" customHeight="1">
      <c r="A29" s="58" t="s">
        <v>155</v>
      </c>
      <c r="B29" s="62"/>
      <c r="C29" s="62"/>
      <c r="D29" s="62"/>
    </row>
    <row r="30" spans="1:4" ht="15" customHeight="1">
      <c r="A30" s="58" t="s">
        <v>156</v>
      </c>
      <c r="B30" s="62"/>
      <c r="C30" s="62"/>
      <c r="D30" s="62"/>
    </row>
    <row r="31" spans="1:4" ht="15" customHeight="1">
      <c r="A31" s="58" t="s">
        <v>157</v>
      </c>
      <c r="B31" s="62"/>
      <c r="C31" s="62"/>
      <c r="D31" s="62"/>
    </row>
    <row r="32" spans="1:4" ht="94.5" customHeight="1">
      <c r="A32" s="49" t="s">
        <v>158</v>
      </c>
      <c r="B32" s="49"/>
      <c r="C32" s="49"/>
      <c r="D32" s="49"/>
    </row>
    <row r="33" spans="1:4" ht="94.5" customHeight="1">
      <c r="A33" s="49" t="s">
        <v>159</v>
      </c>
      <c r="B33" s="49"/>
      <c r="C33" s="49"/>
      <c r="D33" s="49"/>
    </row>
    <row r="34" spans="1:4" ht="68.25" customHeight="1">
      <c r="A34" s="49" t="s">
        <v>160</v>
      </c>
      <c r="B34" s="49"/>
      <c r="C34" s="49"/>
      <c r="D34" s="49"/>
    </row>
    <row r="35" spans="1:4" ht="68.25" customHeight="1">
      <c r="A35" s="49" t="s">
        <v>161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162</v>
      </c>
      <c r="B37" s="49"/>
      <c r="C37" s="49"/>
      <c r="D37" s="49"/>
    </row>
    <row r="38" spans="1:4" ht="54.75" customHeight="1">
      <c r="A38" s="49" t="s">
        <v>163</v>
      </c>
      <c r="B38" s="49"/>
      <c r="C38" s="49"/>
      <c r="D38" s="49"/>
    </row>
    <row r="39" spans="1:4" ht="54.75" customHeight="1">
      <c r="A39" s="49" t="s">
        <v>164</v>
      </c>
      <c r="B39" s="49"/>
      <c r="C39" s="49"/>
      <c r="D39" s="49"/>
    </row>
    <row r="40" spans="1:4" ht="68.25" customHeight="1">
      <c r="A40" s="49" t="s">
        <v>165</v>
      </c>
      <c r="B40" s="49"/>
      <c r="C40" s="49"/>
      <c r="D40" s="49"/>
    </row>
    <row r="41" spans="1:4" ht="68.25" customHeight="1">
      <c r="A41" s="49" t="s">
        <v>166</v>
      </c>
      <c r="B41" s="49"/>
      <c r="C41" s="49"/>
      <c r="D41" s="49"/>
    </row>
    <row r="42" spans="1:4" ht="54.75" customHeight="1">
      <c r="A42" s="49" t="s">
        <v>167</v>
      </c>
      <c r="B42" s="49"/>
      <c r="C42" s="49"/>
      <c r="D42" s="49"/>
    </row>
    <row r="43" spans="1:4" ht="54.75" customHeight="1">
      <c r="A43" s="49" t="s">
        <v>168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169</v>
      </c>
      <c r="B45" s="49"/>
      <c r="C45" s="49"/>
      <c r="D45" s="49"/>
    </row>
    <row r="46" spans="1:4" ht="45">
      <c r="A46" s="49" t="s">
        <v>170</v>
      </c>
      <c r="B46" s="49"/>
      <c r="C46" s="49"/>
      <c r="D46" s="49"/>
    </row>
    <row r="47" spans="1:4" ht="60">
      <c r="A47" s="49" t="s">
        <v>171</v>
      </c>
      <c r="B47" s="49"/>
      <c r="C47" s="49"/>
      <c r="D47" s="49"/>
    </row>
    <row r="48" spans="1:4" ht="60">
      <c r="A48" s="49" t="s">
        <v>172</v>
      </c>
      <c r="B48" s="49"/>
      <c r="C48" s="49"/>
      <c r="D48" s="49"/>
    </row>
    <row r="49" spans="1:4" ht="75">
      <c r="A49" s="49" t="s">
        <v>173</v>
      </c>
      <c r="B49" s="49"/>
      <c r="C49" s="49"/>
      <c r="D49" s="49"/>
    </row>
    <row r="50" spans="1:4" ht="75">
      <c r="A50" s="49" t="s">
        <v>174</v>
      </c>
      <c r="B50" s="49"/>
      <c r="C50" s="49"/>
      <c r="D50" s="49"/>
    </row>
    <row r="51" spans="1:4">
      <c r="A51" s="49" t="s">
        <v>175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176</v>
      </c>
      <c r="B53" s="49"/>
      <c r="C53" s="49"/>
      <c r="D53" s="49"/>
    </row>
    <row r="54" spans="1:4" ht="60">
      <c r="A54" s="49" t="s">
        <v>177</v>
      </c>
      <c r="B54" s="49"/>
      <c r="C54" s="49"/>
      <c r="D54" s="49"/>
    </row>
    <row r="55" spans="1:4" ht="60">
      <c r="A55" s="49" t="s">
        <v>178</v>
      </c>
      <c r="B55" s="49"/>
      <c r="C55" s="49"/>
      <c r="D55" s="49"/>
    </row>
    <row r="56" spans="1:4">
      <c r="A56" s="49" t="s">
        <v>179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>
      <c r="A82" t="s">
        <v>2154</v>
      </c>
    </row>
    <row r="83">
      <c r="A83" t="s">
        <v>2165</v>
      </c>
    </row>
    <row r="84">
      <c r="A84" t="s">
        <v>2005</v>
      </c>
    </row>
    <row r="85">
      <c r="A85" t="s">
        <v>1821</v>
      </c>
    </row>
    <row r="86">
      <c r="A86" t="s">
        <v>1977</v>
      </c>
    </row>
    <row r="87">
      <c r="A87" t="s">
        <v>2031</v>
      </c>
    </row>
    <row r="88">
      <c r="A88" t="s">
        <v>2428</v>
      </c>
    </row>
    <row r="89">
      <c r="A89" t="s">
        <v>2359</v>
      </c>
    </row>
    <row r="92">
      <c r="A92" t="s">
        <v>2429</v>
      </c>
    </row>
    <row r="94">
      <c r="A94" t="s">
        <v>2430</v>
      </c>
      <c r="B94" t="s">
        <v>2431</v>
      </c>
      <c r="C94" t="s">
        <v>2432</v>
      </c>
      <c r="D94" t="s">
        <v>2433</v>
      </c>
      <c r="E94" t="s">
        <v>2434</v>
      </c>
      <c r="F94" t="s">
        <v>2435</v>
      </c>
      <c r="G94" t="s">
        <v>2436</v>
      </c>
      <c r="H94" t="s">
        <v>2437</v>
      </c>
    </row>
    <row r="95">
      <c r="A95" t="s">
        <v>2438</v>
      </c>
      <c r="B95" t="s">
        <v>2439</v>
      </c>
      <c r="C95" t="s">
        <v>2440</v>
      </c>
      <c r="D95" t="s">
        <v>2441</v>
      </c>
      <c r="E95" t="s">
        <v>2442</v>
      </c>
      <c r="F95" t="s">
        <v>2443</v>
      </c>
      <c r="G95" t="s">
        <v>2444</v>
      </c>
      <c r="H95" t="s">
        <v>2445</v>
      </c>
    </row>
    <row r="96">
      <c r="A96" t="s">
        <v>2446</v>
      </c>
      <c r="B96" t="s">
        <v>2447</v>
      </c>
      <c r="C96" t="s">
        <v>2448</v>
      </c>
      <c r="D96" t="s">
        <v>2449</v>
      </c>
      <c r="E96" t="s">
        <v>2450</v>
      </c>
      <c r="F96" t="s">
        <v>2451</v>
      </c>
      <c r="G96" t="s">
        <v>2452</v>
      </c>
      <c r="H96" t="s">
        <v>2453</v>
      </c>
    </row>
    <row r="97">
      <c r="A97" t="s">
        <v>2454</v>
      </c>
      <c r="B97" t="s">
        <v>2455</v>
      </c>
      <c r="C97" t="s">
        <v>2456</v>
      </c>
      <c r="D97" t="s">
        <v>2457</v>
      </c>
      <c r="E97" t="s">
        <v>2458</v>
      </c>
      <c r="F97" t="s">
        <v>2459</v>
      </c>
      <c r="G97" t="s">
        <v>2460</v>
      </c>
      <c r="H97" t="s">
        <v>2461</v>
      </c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180</v>
      </c>
      <c r="B1" s="50" t="s">
        <v>181</v>
      </c>
      <c r="C1" s="50" t="s">
        <v>182</v>
      </c>
      <c r="D1" s="50" t="s">
        <v>183</v>
      </c>
      <c r="E1" s="50" t="s">
        <v>184</v>
      </c>
      <c r="F1" s="50" t="s">
        <v>185</v>
      </c>
      <c r="G1" s="50" t="s">
        <v>186</v>
      </c>
      <c r="H1" s="50" t="s">
        <v>187</v>
      </c>
      <c r="I1" s="50" t="s">
        <v>188</v>
      </c>
      <c r="J1" s="50" t="s">
        <v>189</v>
      </c>
      <c r="K1" s="50" t="s">
        <v>190</v>
      </c>
      <c r="L1" s="50" t="s">
        <v>191</v>
      </c>
      <c r="M1" s="50" t="s">
        <v>192</v>
      </c>
      <c r="N1" s="50" t="s">
        <v>193</v>
      </c>
      <c r="O1" s="50" t="s">
        <v>194</v>
      </c>
      <c r="P1" s="50" t="s">
        <v>195</v>
      </c>
      <c r="Q1" s="50" t="s">
        <v>196</v>
      </c>
      <c r="R1" s="50" t="s">
        <v>197</v>
      </c>
      <c r="S1" s="50" t="s">
        <v>198</v>
      </c>
      <c r="T1" s="50" t="s">
        <v>199</v>
      </c>
      <c r="U1" s="50" t="s">
        <v>200</v>
      </c>
      <c r="V1" s="50" t="s">
        <v>201</v>
      </c>
      <c r="W1" s="50" t="s">
        <v>202</v>
      </c>
      <c r="X1" s="50" t="s">
        <v>203</v>
      </c>
      <c r="Y1" s="50" t="s">
        <v>204</v>
      </c>
      <c r="Z1" s="50" t="s">
        <v>205</v>
      </c>
    </row>
    <row r="2" spans="1:26" ht="45.75" customHeight="1">
      <c r="A2" s="4" t="s">
        <v>206</v>
      </c>
      <c r="B2" s="24" t="s">
        <v>207</v>
      </c>
      <c r="C2" t="s">
        <v>208</v>
      </c>
      <c r="D2" t="str">
        <f>IF($C2="","",IFERROR(LOOKUP(2,1/('03_Warehouse_Movements'!$C$2:$C$500=$A2),'03_Warehouse_Movements'!$E$2:$E$500),$C2))</f>
        <v>ACTIVE</v>
      </c>
      <c r="E2" t="s">
        <v>209</v>
      </c>
      <c r="F2" t="s">
        <v>210</v>
      </c>
      <c r="G2" s="25">
        <v>7</v>
      </c>
      <c r="H2" s="3" t="str">
        <f t="shared" ref="H2:H65" si="0">IF(AND($F2="TEMP",$G2&gt;0,$M2&lt;&gt;""),$M2+$G2,"")</f>
        <v/>
      </c>
      <c r="I2" s="3" t="s">
        <v>211</v>
      </c>
      <c r="J2" s="4" t="s">
        <v>212</v>
      </c>
      <c r="K2" s="3">
        <v>46053</v>
      </c>
      <c r="L2" s="4" t="s">
        <v>213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214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215</v>
      </c>
      <c r="B3" s="24"/>
      <c r="C3" t="s">
        <v>216</v>
      </c>
      <c r="D3" t="str">
        <f>IF($C3="","",IFERROR(LOOKUP(2,1/('03_Warehouse_Movements'!$C$2:$C$500=$A3),'03_Warehouse_Movements'!$E$2:$E$500),$C3))</f>
        <v>STAGED</v>
      </c>
      <c r="E3" t="s">
        <v>217</v>
      </c>
      <c r="F3" t="s">
        <v>218</v>
      </c>
      <c r="G3" s="25"/>
      <c r="H3" s="3" t="str">
        <f t="shared" si="0"/>
        <v/>
      </c>
      <c r="I3" s="3" t="s">
        <v>219</v>
      </c>
      <c r="J3" s="4" t="s">
        <v>220</v>
      </c>
      <c r="K3" s="3">
        <v>46052</v>
      </c>
      <c r="L3" s="4" t="s">
        <v>221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222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223</v>
      </c>
      <c r="B4" s="4" t="s">
        <v>224</v>
      </c>
      <c r="C4" t="s">
        <v>225</v>
      </c>
      <c r="D4" t="str">
        <f>IF($C4="","",IFERROR(LOOKUP(2,1/('03_Warehouse_Movements'!$C$2:$C$500=$A4),'03_Warehouse_Movements'!$E$2:$E$500),$C4))</f>
        <v>UNSAFE</v>
      </c>
      <c r="E4" t="s">
        <v>209</v>
      </c>
      <c r="F4" t="s">
        <v>226</v>
      </c>
      <c r="G4" s="25"/>
      <c r="H4" s="3" t="str">
        <f t="shared" si="0"/>
        <v/>
      </c>
      <c r="I4" s="3" t="s">
        <v>227</v>
      </c>
      <c r="J4" s="4" t="s">
        <v>228</v>
      </c>
      <c r="K4" s="3">
        <v>46046</v>
      </c>
      <c r="L4" s="4" t="s">
        <v>213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229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230</v>
      </c>
      <c r="B5" s="4" t="s">
        <v>231</v>
      </c>
      <c r="C5" t="s">
        <v>231</v>
      </c>
      <c r="D5" t="str">
        <f>IF($C5="","",IFERROR(LOOKUP(2,1/('03_Warehouse_Movements'!$C$2:$C$500=$A5),'03_Warehouse_Movements'!$E$2:$E$500),$C5))</f>
        <v>48x T24i-30</v>
      </c>
      <c r="E5" t="s">
        <v>209</v>
      </c>
      <c r="F5" t="s">
        <v>218</v>
      </c>
      <c r="G5" s="25"/>
      <c r="H5" s="3" t="str">
        <f t="shared" si="0"/>
        <v/>
      </c>
      <c r="I5" s="3" t="s">
        <v>232</v>
      </c>
      <c r="J5" s="4" t="s">
        <v>220</v>
      </c>
      <c r="K5" s="3">
        <v>46051</v>
      </c>
      <c r="L5" s="4" t="s">
        <v>233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234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235</v>
      </c>
      <c r="B6" s="4" t="s">
        <v>236</v>
      </c>
      <c r="C6" t="s">
        <v>237</v>
      </c>
      <c r="D6" t="str">
        <f>IF($C6="","",IFERROR(LOOKUP(2,1/('03_Warehouse_Movements'!$C$2:$C$500=$A6),'03_Warehouse_Movements'!$E$2:$E$500),$C6))</f>
        <v>capsule &amp; GCX</v>
      </c>
      <c r="E6" t="s">
        <v>209</v>
      </c>
      <c r="F6" t="s">
        <v>218</v>
      </c>
      <c r="G6" s="25"/>
      <c r="H6" s="3" t="str">
        <f t="shared" si="0"/>
        <v/>
      </c>
      <c r="I6" s="3" t="s">
        <v>238</v>
      </c>
      <c r="J6" s="4" t="s">
        <v>239</v>
      </c>
      <c r="K6" s="3">
        <v>46059</v>
      </c>
      <c r="L6" s="4" t="s">
        <v>240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241</v>
      </c>
      <c r="B7" s="4"/>
      <c r="C7" t="s">
        <v>242</v>
      </c>
      <c r="D7" t="str">
        <f>IF($C7="","",IFERROR(LOOKUP(2,1/('03_Warehouse_Movements'!$C$2:$C$500=$A7),'03_Warehouse_Movements'!$E$2:$E$500),$C7))</f>
        <v>19x T24 Thinkvision Monitor 63CFMAR1US</v>
      </c>
      <c r="E7" t="s">
        <v>217</v>
      </c>
      <c r="F7" t="s">
        <v>218</v>
      </c>
      <c r="G7" s="25"/>
      <c r="H7" s="3" t="str">
        <f t="shared" si="0"/>
        <v/>
      </c>
      <c r="I7" s="4" t="s">
        <v>243</v>
      </c>
      <c r="K7" s="3">
        <v>46052</v>
      </c>
      <c r="L7" s="4" t="s">
        <v>233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244</v>
      </c>
      <c r="B8" s="4"/>
      <c r="C8" t="s">
        <v>245</v>
      </c>
      <c r="D8" t="str">
        <f>IF($C8="","",IFERROR(LOOKUP(2,1/('03_Warehouse_Movements'!$C$2:$C$500=$A8),'03_Warehouse_Movements'!$E$2:$E$500),$C8))</f>
        <v>TEMP</v>
      </c>
      <c r="E8" t="s">
        <v>217</v>
      </c>
      <c r="F8" t="s">
        <v>246</v>
      </c>
      <c r="G8" s="25">
        <v>14</v>
      </c>
      <c r="H8" s="3" t="str">
        <f t="shared" si="0"/>
        <v/>
      </c>
      <c r="I8" s="3" t="s">
        <v>232</v>
      </c>
      <c r="J8" s="4" t="s">
        <v>220</v>
      </c>
      <c r="K8" s="3">
        <v>46052</v>
      </c>
      <c r="L8" s="4" t="s">
        <v>233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247</v>
      </c>
      <c r="B9" s="4" t="s">
        <v>248</v>
      </c>
      <c r="C9" t="s">
        <v>249</v>
      </c>
      <c r="D9" t="str">
        <f>IF($C9="","",IFERROR(LOOKUP(2,1/('03_Warehouse_Movements'!$C$2:$C$500=$A9),'03_Warehouse_Movements'!$E$2:$E$500),$C9))</f>
        <v>SAMPLE: Power Supplies</v>
      </c>
      <c r="E9" t="s">
        <v>209</v>
      </c>
      <c r="F9" t="s">
        <v>218</v>
      </c>
      <c r="G9" s="25"/>
      <c r="H9" s="3" t="str">
        <f t="shared" si="0"/>
        <v/>
      </c>
      <c r="I9" s="3" t="s">
        <v>250</v>
      </c>
      <c r="J9" s="4" t="s">
        <v>220</v>
      </c>
      <c r="K9" s="3">
        <v>46052</v>
      </c>
      <c r="L9" s="4" t="s">
        <v>221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251</v>
      </c>
      <c r="B10" s="4"/>
      <c r="C10" t="s">
        <v>252</v>
      </c>
      <c r="D10" t="str">
        <f>IF($C10="","",IFERROR(LOOKUP(2,1/('03_Warehouse_Movements'!$C$2:$C$500=$A10),'03_Warehouse_Movements'!$E$2:$E$500),$C10))</f>
        <v>SAMPLE: Imaging Equipment</v>
      </c>
      <c r="E10" t="s">
        <v>209</v>
      </c>
      <c r="F10" t="s">
        <v>218</v>
      </c>
      <c r="G10" s="25"/>
      <c r="H10" s="3" t="str">
        <f t="shared" si="0"/>
        <v/>
      </c>
      <c r="I10" s="3" t="s">
        <v>253</v>
      </c>
      <c r="J10" s="4" t="s">
        <v>220</v>
      </c>
      <c r="K10" s="3">
        <v>46052</v>
      </c>
      <c r="L10" s="4" t="s">
        <v>221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254</v>
      </c>
      <c r="B11" s="4"/>
      <c r="C11" t="s">
        <v>255</v>
      </c>
      <c r="D11" t="str">
        <f>IF($C11="","",IFERROR(LOOKUP(2,1/('03_Warehouse_Movements'!$C$2:$C$500=$A11),'03_Warehouse_Movements'!$E$2:$E$500),$C11))</f>
        <v>SAMPLE: Misc Hardware</v>
      </c>
      <c r="E11" t="s">
        <v>209</v>
      </c>
      <c r="F11" t="s">
        <v>218</v>
      </c>
      <c r="G11" s="25"/>
      <c r="H11" s="3" t="str">
        <f t="shared" si="0"/>
        <v/>
      </c>
      <c r="I11" s="3" t="s">
        <v>256</v>
      </c>
      <c r="J11" s="4" t="s">
        <v>220</v>
      </c>
      <c r="K11" s="3">
        <v>46052</v>
      </c>
      <c r="L11" s="4" t="s">
        <v>221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257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258</v>
      </c>
      <c r="B12" s="4"/>
      <c r="C12" t="s">
        <v>259</v>
      </c>
      <c r="D12" t="str">
        <f>IF($C12="","",IFERROR(LOOKUP(2,1/('03_Warehouse_Movements'!$C$2:$C$500=$A12),'03_Warehouse_Movements'!$E$2:$E$500),$C12))</f>
        <v>SAMPLE: Dell Devices</v>
      </c>
      <c r="E12" t="s">
        <v>209</v>
      </c>
      <c r="F12" t="s">
        <v>218</v>
      </c>
      <c r="G12" s="25"/>
      <c r="H12" s="3" t="str">
        <f t="shared" si="0"/>
        <v/>
      </c>
      <c r="I12" s="3" t="s">
        <v>260</v>
      </c>
      <c r="J12" s="4" t="s">
        <v>220</v>
      </c>
      <c r="K12" s="3">
        <v>46052</v>
      </c>
      <c r="L12" s="4" t="s">
        <v>221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261</v>
      </c>
      <c r="B13" s="4"/>
      <c r="C13" t="s">
        <v>262</v>
      </c>
      <c r="D13" t="str">
        <f>IF($C13="","",IFERROR(LOOKUP(2,1/('03_Warehouse_Movements'!$C$2:$C$500=$A13),'03_Warehouse_Movements'!$E$2:$E$500),$C13))</f>
        <v>PAL-0000013</v>
      </c>
      <c r="E13" t="s">
        <v>209</v>
      </c>
      <c r="F13" t="s">
        <v>218</v>
      </c>
      <c r="G13" s="25"/>
      <c r="H13" s="3" t="str">
        <f t="shared" si="0"/>
        <v/>
      </c>
      <c r="I13" s="3" t="s">
        <v>219</v>
      </c>
      <c r="J13" s="4" t="s">
        <v>220</v>
      </c>
      <c r="K13" s="3">
        <v>46052</v>
      </c>
      <c r="L13" s="4" t="s">
        <v>221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263</v>
      </c>
      <c r="B14" s="4"/>
      <c r="C14" t="s">
        <v>264</v>
      </c>
      <c r="D14" t="str">
        <f>IF($C14="","",IFERROR(LOOKUP(2,1/('03_Warehouse_Movements'!$C$2:$C$500=$A14),'03_Warehouse_Movements'!$E$2:$E$500),$C14))</f>
        <v>SAMPLE: Cables &amp; Adapters</v>
      </c>
      <c r="E14" t="s">
        <v>209</v>
      </c>
      <c r="F14" t="s">
        <v>246</v>
      </c>
      <c r="G14" s="25">
        <v>14</v>
      </c>
      <c r="H14" s="3" t="str">
        <f t="shared" si="0"/>
        <v/>
      </c>
      <c r="I14" s="3" t="s">
        <v>265</v>
      </c>
      <c r="J14" s="4" t="s">
        <v>220</v>
      </c>
      <c r="K14" s="3">
        <v>46052</v>
      </c>
      <c r="L14" s="4" t="s">
        <v>221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266</v>
      </c>
      <c r="B15" s="4"/>
      <c r="C15" t="s">
        <v>267</v>
      </c>
      <c r="D15" t="str">
        <f>IF($C15="","",IFERROR(LOOKUP(2,1/('03_Warehouse_Movements'!$C$2:$C$500=$A15),'03_Warehouse_Movements'!$E$2:$E$500),$C15))</f>
        <v>SAMPLE: Racks &amp; Rails</v>
      </c>
      <c r="E15" t="s">
        <v>209</v>
      </c>
      <c r="F15" t="s">
        <v>218</v>
      </c>
      <c r="G15" s="25"/>
      <c r="H15" s="3" t="str">
        <f t="shared" si="0"/>
        <v/>
      </c>
      <c r="I15" s="3" t="s">
        <v>268</v>
      </c>
      <c r="J15" s="4" t="s">
        <v>220</v>
      </c>
      <c r="K15" s="3">
        <v>46052</v>
      </c>
      <c r="L15" s="4" t="s">
        <v>221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269</v>
      </c>
      <c r="B16" s="4" t="s">
        <v>270</v>
      </c>
      <c r="C16" t="s">
        <v>271</v>
      </c>
      <c r="D16" t="str">
        <f>IF($C16="","",IFERROR(LOOKUP(2,1/('03_Warehouse_Movements'!$C$2:$C$500=$A16),'03_Warehouse_Movements'!$E$2:$E$500),$C16))</f>
        <v>SAMPLE: Networking Gear</v>
      </c>
      <c r="E16" t="s">
        <v>209</v>
      </c>
      <c r="F16" t="s">
        <v>218</v>
      </c>
      <c r="G16" s="25"/>
      <c r="H16" s="3" t="str">
        <f t="shared" si="0"/>
        <v/>
      </c>
      <c r="I16" s="3" t="s">
        <v>272</v>
      </c>
      <c r="J16" s="4" t="s">
        <v>220</v>
      </c>
      <c r="K16" s="3">
        <v>46052</v>
      </c>
      <c r="L16" s="4" t="s">
        <v>221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273</v>
      </c>
      <c r="B17" s="4"/>
      <c r="C17" t="s">
        <v>274</v>
      </c>
      <c r="D17" t="str">
        <f>IF($C17="","",IFERROR(LOOKUP(2,1/('03_Warehouse_Movements'!$C$2:$C$500=$A17),'03_Warehouse_Movements'!$E$2:$E$500),$C17))</f>
        <v>SAMPLE: Keyboards &amp; Mice</v>
      </c>
      <c r="E17" t="s">
        <v>209</v>
      </c>
      <c r="F17" t="s">
        <v>218</v>
      </c>
      <c r="G17" s="25"/>
      <c r="H17" s="3" t="str">
        <f t="shared" si="0"/>
        <v/>
      </c>
      <c r="I17" s="3" t="s">
        <v>275</v>
      </c>
      <c r="J17" s="4" t="s">
        <v>220</v>
      </c>
      <c r="K17" s="3">
        <v>46052</v>
      </c>
      <c r="L17" s="4" t="s">
        <v>221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276</v>
      </c>
      <c r="B18" s="4"/>
      <c r="C18" t="s">
        <v>277</v>
      </c>
      <c r="D18" t="str">
        <f>IF($C18="","",IFERROR(LOOKUP(2,1/('03_Warehouse_Movements'!$C$2:$C$500=$A18),'03_Warehouse_Movements'!$E$2:$E$500),$C18))</f>
        <v>SAMPLE: Spare Parts</v>
      </c>
      <c r="E18" t="s">
        <v>209</v>
      </c>
      <c r="F18" t="s">
        <v>218</v>
      </c>
      <c r="G18" s="25"/>
      <c r="H18" s="3" t="str">
        <f t="shared" si="0"/>
        <v/>
      </c>
      <c r="I18" s="3" t="s">
        <v>278</v>
      </c>
      <c r="J18" s="4" t="s">
        <v>220</v>
      </c>
      <c r="K18" s="3">
        <v>46052</v>
      </c>
      <c r="L18" s="4" t="s">
        <v>221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279</v>
      </c>
      <c r="B19" s="4"/>
      <c r="C19" t="s">
        <v>280</v>
      </c>
      <c r="D19" t="str">
        <f>IF($C19="","",IFERROR(LOOKUP(2,1/('03_Warehouse_Movements'!$C$2:$C$500=$A19),'03_Warehouse_Movements'!$E$2:$E$500),$C19))</f>
        <v>PAL-0000019</v>
      </c>
      <c r="E19" t="s">
        <v>209</v>
      </c>
      <c r="F19" t="s">
        <v>218</v>
      </c>
      <c r="G19" s="25"/>
      <c r="H19" s="3" t="str">
        <f t="shared" si="0"/>
        <v/>
      </c>
      <c r="I19" s="3" t="s">
        <v>250</v>
      </c>
      <c r="J19" s="4" t="s">
        <v>220</v>
      </c>
      <c r="K19" s="3">
        <v>46052</v>
      </c>
      <c r="L19" s="4" t="s">
        <v>221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281</v>
      </c>
      <c r="B20" s="4"/>
      <c r="C20" t="s">
        <v>282</v>
      </c>
      <c r="D20" t="str">
        <f>IF($C20="","",IFERROR(LOOKUP(2,1/('03_Warehouse_Movements'!$C$2:$C$500=$A20),'03_Warehouse_Movements'!$E$2:$E$500),$C20))</f>
        <v>PAL-0000020</v>
      </c>
      <c r="E20" t="s">
        <v>209</v>
      </c>
      <c r="F20" t="s">
        <v>246</v>
      </c>
      <c r="G20" s="25">
        <v>14</v>
      </c>
      <c r="H20" s="3" t="str">
        <f t="shared" si="0"/>
        <v/>
      </c>
      <c r="I20" s="3" t="s">
        <v>253</v>
      </c>
      <c r="J20" s="4" t="s">
        <v>220</v>
      </c>
      <c r="K20" s="3">
        <v>46052</v>
      </c>
      <c r="L20" s="4" t="s">
        <v>221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283</v>
      </c>
      <c r="B21" s="4"/>
      <c r="C21" t="s">
        <v>284</v>
      </c>
      <c r="D21" t="str">
        <f>IF($C21="","",IFERROR(LOOKUP(2,1/('03_Warehouse_Movements'!$C$2:$C$500=$A21),'03_Warehouse_Movements'!$E$2:$E$500),$C21))</f>
        <v>PAL-0000021</v>
      </c>
      <c r="E21" t="s">
        <v>209</v>
      </c>
      <c r="F21" t="s">
        <v>218</v>
      </c>
      <c r="G21" s="25"/>
      <c r="H21" s="3" t="str">
        <f t="shared" si="0"/>
        <v/>
      </c>
      <c r="I21" s="3" t="s">
        <v>256</v>
      </c>
      <c r="J21" s="4" t="s">
        <v>220</v>
      </c>
      <c r="K21" s="3">
        <v>46052</v>
      </c>
      <c r="L21" s="4" t="s">
        <v>221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285</v>
      </c>
      <c r="B22" s="4"/>
      <c r="C22" t="s">
        <v>286</v>
      </c>
      <c r="D22" t="str">
        <f>IF($C22="","",IFERROR(LOOKUP(2,1/('03_Warehouse_Movements'!$C$2:$C$500=$A22),'03_Warehouse_Movements'!$E$2:$E$500),$C22))</f>
        <v>PAL-0000022</v>
      </c>
      <c r="E22" t="s">
        <v>209</v>
      </c>
      <c r="F22" t="s">
        <v>218</v>
      </c>
      <c r="G22" s="25"/>
      <c r="H22" s="3" t="str">
        <f t="shared" si="0"/>
        <v/>
      </c>
      <c r="I22" s="3" t="s">
        <v>260</v>
      </c>
      <c r="J22" s="4" t="s">
        <v>220</v>
      </c>
      <c r="K22" s="3">
        <v>46052</v>
      </c>
      <c r="L22" s="4" t="s">
        <v>221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287</v>
      </c>
      <c r="B23" s="4" t="s">
        <v>288</v>
      </c>
      <c r="C23" t="s">
        <v>289</v>
      </c>
      <c r="D23" t="str">
        <f>IF($C23="","",IFERROR(LOOKUP(2,1/('03_Warehouse_Movements'!$C$2:$C$500=$A23),'03_Warehouse_Movements'!$E$2:$E$500),$C23))</f>
        <v>PAL-0000023</v>
      </c>
      <c r="E23" t="s">
        <v>209</v>
      </c>
      <c r="F23" t="s">
        <v>218</v>
      </c>
      <c r="G23" s="25"/>
      <c r="H23" s="3" t="str">
        <f t="shared" si="0"/>
        <v/>
      </c>
      <c r="I23" s="3" t="s">
        <v>219</v>
      </c>
      <c r="J23" s="4" t="s">
        <v>220</v>
      </c>
      <c r="K23" s="3">
        <v>46052</v>
      </c>
      <c r="L23" s="4" t="s">
        <v>221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290</v>
      </c>
      <c r="B24" s="4"/>
      <c r="C24" t="s">
        <v>291</v>
      </c>
      <c r="D24" t="str">
        <f>IF($C24="","",IFERROR(LOOKUP(2,1/('03_Warehouse_Movements'!$C$2:$C$500=$A24),'03_Warehouse_Movements'!$E$2:$E$500),$C24))</f>
        <v>PAL-0000024</v>
      </c>
      <c r="E24" t="s">
        <v>209</v>
      </c>
      <c r="F24" t="s">
        <v>218</v>
      </c>
      <c r="G24" s="25"/>
      <c r="H24" s="3" t="str">
        <f t="shared" si="0"/>
        <v/>
      </c>
      <c r="I24" s="3" t="s">
        <v>265</v>
      </c>
      <c r="J24" s="4" t="s">
        <v>220</v>
      </c>
      <c r="K24" s="3">
        <v>46052</v>
      </c>
      <c r="L24" s="4" t="s">
        <v>221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292</v>
      </c>
      <c r="B25" s="4"/>
      <c r="C25" t="s">
        <v>293</v>
      </c>
      <c r="D25" t="str">
        <f>IF($C25="","",IFERROR(LOOKUP(2,1/('03_Warehouse_Movements'!$C$2:$C$500=$A25),'03_Warehouse_Movements'!$E$2:$E$500),$C25))</f>
        <v>PAL-0000025</v>
      </c>
      <c r="E25" t="s">
        <v>209</v>
      </c>
      <c r="F25" t="s">
        <v>218</v>
      </c>
      <c r="G25" s="25"/>
      <c r="H25" s="3" t="str">
        <f t="shared" si="0"/>
        <v/>
      </c>
      <c r="I25" s="3" t="s">
        <v>268</v>
      </c>
      <c r="J25" s="4" t="s">
        <v>220</v>
      </c>
      <c r="K25" s="3">
        <v>46052</v>
      </c>
      <c r="L25" s="4" t="s">
        <v>221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294</v>
      </c>
      <c r="B26" s="4"/>
      <c r="C26" t="s">
        <v>295</v>
      </c>
      <c r="D26" t="str">
        <f>IF($C26="","",IFERROR(LOOKUP(2,1/('03_Warehouse_Movements'!$C$2:$C$500=$A26),'03_Warehouse_Movements'!$E$2:$E$500),$C26))</f>
        <v>PAL-0000026</v>
      </c>
      <c r="E26" t="s">
        <v>209</v>
      </c>
      <c r="F26" t="s">
        <v>246</v>
      </c>
      <c r="G26" s="25">
        <v>14</v>
      </c>
      <c r="H26" s="3" t="str">
        <f t="shared" si="0"/>
        <v/>
      </c>
      <c r="I26" s="3" t="s">
        <v>272</v>
      </c>
      <c r="J26" s="4" t="s">
        <v>220</v>
      </c>
      <c r="K26" s="3">
        <v>46052</v>
      </c>
      <c r="L26" s="4" t="s">
        <v>221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296</v>
      </c>
      <c r="B27" s="4"/>
      <c r="C27" t="s">
        <v>297</v>
      </c>
      <c r="D27" t="str">
        <f>IF($C27="","",IFERROR(LOOKUP(2,1/('03_Warehouse_Movements'!$C$2:$C$500=$A27),'03_Warehouse_Movements'!$E$2:$E$500),$C27))</f>
        <v>PAL-0000027</v>
      </c>
      <c r="E27" t="s">
        <v>209</v>
      </c>
      <c r="F27" t="s">
        <v>218</v>
      </c>
      <c r="G27" s="25"/>
      <c r="H27" s="3" t="str">
        <f t="shared" si="0"/>
        <v/>
      </c>
      <c r="I27" s="3" t="s">
        <v>275</v>
      </c>
      <c r="J27" s="4" t="s">
        <v>220</v>
      </c>
      <c r="K27" s="3">
        <v>46052</v>
      </c>
      <c r="L27" s="4" t="s">
        <v>221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298</v>
      </c>
      <c r="B28" s="4"/>
      <c r="C28" t="s">
        <v>299</v>
      </c>
      <c r="D28" t="str">
        <f>IF($C28="","",IFERROR(LOOKUP(2,1/('03_Warehouse_Movements'!$C$2:$C$500=$A28),'03_Warehouse_Movements'!$E$2:$E$500),$C28))</f>
        <v>PAL-0000028</v>
      </c>
      <c r="E28" t="s">
        <v>209</v>
      </c>
      <c r="F28" t="s">
        <v>218</v>
      </c>
      <c r="G28" s="25"/>
      <c r="H28" s="3" t="str">
        <f t="shared" si="0"/>
        <v/>
      </c>
      <c r="I28" s="3" t="s">
        <v>278</v>
      </c>
      <c r="J28" s="4" t="s">
        <v>220</v>
      </c>
      <c r="K28" s="3">
        <v>46052</v>
      </c>
      <c r="L28" s="4" t="s">
        <v>221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300</v>
      </c>
      <c r="B29" s="4"/>
      <c r="C29" t="s">
        <v>301</v>
      </c>
      <c r="D29" t="str">
        <f>IF($C29="","",IFERROR(LOOKUP(2,1/('03_Warehouse_Movements'!$C$2:$C$500=$A29),'03_Warehouse_Movements'!$E$2:$E$500),$C29))</f>
        <v>PAL-0000029</v>
      </c>
      <c r="E29" t="s">
        <v>209</v>
      </c>
      <c r="F29" t="s">
        <v>218</v>
      </c>
      <c r="G29" s="25"/>
      <c r="H29" s="3" t="str">
        <f t="shared" si="0"/>
        <v/>
      </c>
      <c r="I29" s="3" t="s">
        <v>250</v>
      </c>
      <c r="J29" s="4" t="s">
        <v>220</v>
      </c>
      <c r="K29" s="3">
        <v>46052</v>
      </c>
      <c r="L29" s="4" t="s">
        <v>221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302</v>
      </c>
      <c r="B30" s="4" t="s">
        <v>303</v>
      </c>
      <c r="C30" t="s">
        <v>304</v>
      </c>
      <c r="D30" t="str">
        <f>IF($C30="","",IFERROR(LOOKUP(2,1/('03_Warehouse_Movements'!$C$2:$C$500=$A30),'03_Warehouse_Movements'!$E$2:$E$500),$C30))</f>
        <v>PAL-0000030</v>
      </c>
      <c r="E30" t="s">
        <v>209</v>
      </c>
      <c r="F30" t="s">
        <v>218</v>
      </c>
      <c r="G30" s="25"/>
      <c r="H30" s="3" t="str">
        <f t="shared" si="0"/>
        <v/>
      </c>
      <c r="I30" s="3" t="s">
        <v>253</v>
      </c>
      <c r="J30" s="4" t="s">
        <v>220</v>
      </c>
      <c r="K30" s="3">
        <v>46052</v>
      </c>
      <c r="L30" s="4" t="s">
        <v>221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305</v>
      </c>
      <c r="B31" s="4"/>
      <c r="C31" t="s">
        <v>306</v>
      </c>
      <c r="D31" t="str">
        <f>IF($C31="","",IFERROR(LOOKUP(2,1/('03_Warehouse_Movements'!$C$2:$C$500=$A31),'03_Warehouse_Movements'!$E$2:$E$500),$C31))</f>
        <v>PAL-0000031</v>
      </c>
      <c r="E31" t="s">
        <v>209</v>
      </c>
      <c r="F31" t="s">
        <v>218</v>
      </c>
      <c r="G31" s="25"/>
      <c r="H31" s="3" t="str">
        <f t="shared" si="0"/>
        <v/>
      </c>
      <c r="I31" s="3" t="s">
        <v>256</v>
      </c>
      <c r="J31" s="4" t="s">
        <v>220</v>
      </c>
      <c r="K31" s="3">
        <v>46052</v>
      </c>
      <c r="L31" s="4" t="s">
        <v>221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307</v>
      </c>
      <c r="B32" s="4"/>
      <c r="C32" t="s">
        <v>308</v>
      </c>
      <c r="D32" t="str">
        <f>IF($C32="","",IFERROR(LOOKUP(2,1/('03_Warehouse_Movements'!$C$2:$C$500=$A32),'03_Warehouse_Movements'!$E$2:$E$500),$C32))</f>
        <v>PAL-0000032</v>
      </c>
      <c r="E32" t="s">
        <v>209</v>
      </c>
      <c r="F32" t="s">
        <v>246</v>
      </c>
      <c r="G32" s="25">
        <v>14</v>
      </c>
      <c r="H32" s="3" t="str">
        <f t="shared" si="0"/>
        <v/>
      </c>
      <c r="I32" s="3" t="s">
        <v>260</v>
      </c>
      <c r="J32" s="4" t="s">
        <v>220</v>
      </c>
      <c r="K32" s="3">
        <v>46052</v>
      </c>
      <c r="L32" s="4" t="s">
        <v>221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309</v>
      </c>
      <c r="B33" s="4"/>
      <c r="C33" t="s">
        <v>310</v>
      </c>
      <c r="D33" t="str">
        <f>IF($C33="","",IFERROR(LOOKUP(2,1/('03_Warehouse_Movements'!$C$2:$C$500=$A33),'03_Warehouse_Movements'!$E$2:$E$500),$C33))</f>
        <v>PAL-0000033</v>
      </c>
      <c r="E33" t="s">
        <v>209</v>
      </c>
      <c r="F33" t="s">
        <v>218</v>
      </c>
      <c r="G33" s="25"/>
      <c r="H33" s="3" t="str">
        <f t="shared" si="0"/>
        <v/>
      </c>
      <c r="I33" s="3" t="s">
        <v>219</v>
      </c>
      <c r="J33" s="4" t="s">
        <v>220</v>
      </c>
      <c r="K33" s="3">
        <v>46052</v>
      </c>
      <c r="L33" s="4" t="s">
        <v>221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311</v>
      </c>
      <c r="B34" s="4"/>
      <c r="C34" t="s">
        <v>312</v>
      </c>
      <c r="D34" t="str">
        <f>IF($C34="","",IFERROR(LOOKUP(2,1/('03_Warehouse_Movements'!$C$2:$C$500=$A34),'03_Warehouse_Movements'!$E$2:$E$500),$C34))</f>
        <v>PAL-0000034</v>
      </c>
      <c r="E34" t="s">
        <v>209</v>
      </c>
      <c r="F34" t="s">
        <v>218</v>
      </c>
      <c r="G34" s="25"/>
      <c r="H34" s="3" t="str">
        <f t="shared" si="0"/>
        <v/>
      </c>
      <c r="I34" s="3" t="s">
        <v>265</v>
      </c>
      <c r="J34" s="4" t="s">
        <v>220</v>
      </c>
      <c r="K34" s="3">
        <v>46052</v>
      </c>
      <c r="L34" s="4" t="s">
        <v>221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313</v>
      </c>
      <c r="B35" s="4"/>
      <c r="C35" t="s">
        <v>314</v>
      </c>
      <c r="D35" t="str">
        <f>IF($C35="","",IFERROR(LOOKUP(2,1/('03_Warehouse_Movements'!$C$2:$C$500=$A35),'03_Warehouse_Movements'!$E$2:$E$500),$C35))</f>
        <v>PAL-0000035</v>
      </c>
      <c r="E35" t="s">
        <v>209</v>
      </c>
      <c r="F35" t="s">
        <v>218</v>
      </c>
      <c r="G35" s="25"/>
      <c r="H35" s="3" t="str">
        <f t="shared" si="0"/>
        <v/>
      </c>
      <c r="I35" s="3" t="s">
        <v>268</v>
      </c>
      <c r="J35" s="4" t="s">
        <v>220</v>
      </c>
      <c r="K35" s="3">
        <v>46052</v>
      </c>
      <c r="L35" s="4" t="s">
        <v>221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315</v>
      </c>
      <c r="B36" s="4"/>
      <c r="C36" t="s">
        <v>316</v>
      </c>
      <c r="D36" t="str">
        <f>IF($C36="","",IFERROR(LOOKUP(2,1/('03_Warehouse_Movements'!$C$2:$C$500=$A36),'03_Warehouse_Movements'!$E$2:$E$500),$C36))</f>
        <v>PAL-0000036</v>
      </c>
      <c r="E36" t="s">
        <v>209</v>
      </c>
      <c r="F36" t="s">
        <v>218</v>
      </c>
      <c r="G36" s="25"/>
      <c r="H36" s="3" t="str">
        <f t="shared" si="0"/>
        <v/>
      </c>
      <c r="I36" s="3" t="s">
        <v>272</v>
      </c>
      <c r="J36" s="4" t="s">
        <v>220</v>
      </c>
      <c r="K36" s="3">
        <v>46052</v>
      </c>
      <c r="L36" s="4" t="s">
        <v>221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317</v>
      </c>
      <c r="B37" s="4" t="s">
        <v>318</v>
      </c>
      <c r="C37" t="s">
        <v>319</v>
      </c>
      <c r="D37" t="str">
        <f>IF($C37="","",IFERROR(LOOKUP(2,1/('03_Warehouse_Movements'!$C$2:$C$500=$A37),'03_Warehouse_Movements'!$E$2:$E$500),$C37))</f>
        <v>PAL-0000037</v>
      </c>
      <c r="E37" t="s">
        <v>209</v>
      </c>
      <c r="F37" t="s">
        <v>218</v>
      </c>
      <c r="G37" s="25"/>
      <c r="H37" s="3" t="str">
        <f t="shared" si="0"/>
        <v/>
      </c>
      <c r="I37" s="3" t="s">
        <v>275</v>
      </c>
      <c r="J37" s="4" t="s">
        <v>220</v>
      </c>
      <c r="K37" s="3">
        <v>46052</v>
      </c>
      <c r="L37" s="4" t="s">
        <v>221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320</v>
      </c>
      <c r="B38" s="4"/>
      <c r="C38" t="s">
        <v>321</v>
      </c>
      <c r="D38" t="str">
        <f>IF($C38="","",IFERROR(LOOKUP(2,1/('03_Warehouse_Movements'!$C$2:$C$500=$A38),'03_Warehouse_Movements'!$E$2:$E$500),$C38))</f>
        <v>PAL-0000038</v>
      </c>
      <c r="E38" t="s">
        <v>209</v>
      </c>
      <c r="F38" t="s">
        <v>246</v>
      </c>
      <c r="G38" s="25">
        <v>14</v>
      </c>
      <c r="H38" s="3" t="str">
        <f t="shared" si="0"/>
        <v/>
      </c>
      <c r="I38" s="3" t="s">
        <v>278</v>
      </c>
      <c r="J38" s="4" t="s">
        <v>220</v>
      </c>
      <c r="K38" s="3">
        <v>46052</v>
      </c>
      <c r="L38" s="4" t="s">
        <v>221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322</v>
      </c>
      <c r="B39" s="4"/>
      <c r="C39" t="s">
        <v>323</v>
      </c>
      <c r="D39" t="str">
        <f>IF($C39="","",IFERROR(LOOKUP(2,1/('03_Warehouse_Movements'!$C$2:$C$500=$A39),'03_Warehouse_Movements'!$E$2:$E$500),$C39))</f>
        <v>PAL-0000039</v>
      </c>
      <c r="E39" t="s">
        <v>209</v>
      </c>
      <c r="F39" t="s">
        <v>218</v>
      </c>
      <c r="G39" s="25"/>
      <c r="H39" s="3" t="str">
        <f t="shared" si="0"/>
        <v/>
      </c>
      <c r="I39" s="3" t="s">
        <v>250</v>
      </c>
      <c r="J39" s="4" t="s">
        <v>220</v>
      </c>
      <c r="K39" s="3">
        <v>46052</v>
      </c>
      <c r="L39" s="4" t="s">
        <v>221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324</v>
      </c>
      <c r="B40" s="4"/>
      <c r="C40" t="s">
        <v>325</v>
      </c>
      <c r="D40" t="str">
        <f>IF($C40="","",IFERROR(LOOKUP(2,1/('03_Warehouse_Movements'!$C$2:$C$500=$A40),'03_Warehouse_Movements'!$E$2:$E$500),$C40))</f>
        <v>PAL-0000040</v>
      </c>
      <c r="E40" t="s">
        <v>209</v>
      </c>
      <c r="F40" t="s">
        <v>218</v>
      </c>
      <c r="G40" s="25"/>
      <c r="H40" s="3" t="str">
        <f t="shared" si="0"/>
        <v/>
      </c>
      <c r="I40" s="3" t="s">
        <v>253</v>
      </c>
      <c r="J40" s="4" t="s">
        <v>220</v>
      </c>
      <c r="K40" s="3">
        <v>46052</v>
      </c>
      <c r="L40" s="4" t="s">
        <v>221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326</v>
      </c>
      <c r="B41" s="4"/>
      <c r="C41" t="s">
        <v>327</v>
      </c>
      <c r="D41" t="str">
        <f>IF($C41="","",IFERROR(LOOKUP(2,1/('03_Warehouse_Movements'!$C$2:$C$500=$A41),'03_Warehouse_Movements'!$E$2:$E$500),$C41))</f>
        <v>PAL-0000041</v>
      </c>
      <c r="E41" t="s">
        <v>209</v>
      </c>
      <c r="F41" t="s">
        <v>218</v>
      </c>
      <c r="G41" s="25"/>
      <c r="H41" s="3" t="str">
        <f t="shared" si="0"/>
        <v/>
      </c>
      <c r="I41" s="3" t="s">
        <v>256</v>
      </c>
      <c r="J41" s="4" t="s">
        <v>220</v>
      </c>
      <c r="K41" s="3">
        <v>46052</v>
      </c>
      <c r="L41" s="4" t="s">
        <v>221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328</v>
      </c>
      <c r="B42" s="4"/>
      <c r="C42" t="s">
        <v>329</v>
      </c>
      <c r="D42" t="str">
        <f>IF($C42="","",IFERROR(LOOKUP(2,1/('03_Warehouse_Movements'!$C$2:$C$500=$A42),'03_Warehouse_Movements'!$E$2:$E$500),$C42))</f>
        <v>PAL-0000042</v>
      </c>
      <c r="E42" t="s">
        <v>209</v>
      </c>
      <c r="F42" t="s">
        <v>218</v>
      </c>
      <c r="G42" s="25"/>
      <c r="H42" s="3" t="str">
        <f t="shared" si="0"/>
        <v/>
      </c>
      <c r="I42" s="3" t="s">
        <v>260</v>
      </c>
      <c r="J42" s="4" t="s">
        <v>220</v>
      </c>
      <c r="K42" s="3">
        <v>46052</v>
      </c>
      <c r="L42" s="4" t="s">
        <v>221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330</v>
      </c>
      <c r="B43" s="4"/>
      <c r="C43" t="s">
        <v>331</v>
      </c>
      <c r="D43" t="str">
        <f>IF($C43="","",IFERROR(LOOKUP(2,1/('03_Warehouse_Movements'!$C$2:$C$500=$A43),'03_Warehouse_Movements'!$E$2:$E$500),$C43))</f>
        <v>PAL-0000043</v>
      </c>
      <c r="E43" t="s">
        <v>209</v>
      </c>
      <c r="F43" t="s">
        <v>218</v>
      </c>
      <c r="G43" s="25"/>
      <c r="H43" s="3" t="str">
        <f t="shared" si="0"/>
        <v/>
      </c>
      <c r="I43" s="3" t="s">
        <v>219</v>
      </c>
      <c r="J43" s="4" t="s">
        <v>220</v>
      </c>
      <c r="K43" s="3">
        <v>46052</v>
      </c>
      <c r="L43" s="4" t="s">
        <v>221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332</v>
      </c>
      <c r="B44" s="4" t="s">
        <v>333</v>
      </c>
      <c r="C44" t="s">
        <v>334</v>
      </c>
      <c r="D44" t="str">
        <f>IF($C44="","",IFERROR(LOOKUP(2,1/('03_Warehouse_Movements'!$C$2:$C$500=$A44),'03_Warehouse_Movements'!$E$2:$E$500),$C44))</f>
        <v>PAL-0000044</v>
      </c>
      <c r="E44" t="s">
        <v>209</v>
      </c>
      <c r="F44" t="s">
        <v>246</v>
      </c>
      <c r="G44" s="25">
        <v>14</v>
      </c>
      <c r="H44" s="3" t="str">
        <f t="shared" si="0"/>
        <v/>
      </c>
      <c r="I44" s="3" t="s">
        <v>265</v>
      </c>
      <c r="J44" s="4" t="s">
        <v>220</v>
      </c>
      <c r="K44" s="3">
        <v>46052</v>
      </c>
      <c r="L44" s="4" t="s">
        <v>221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335</v>
      </c>
      <c r="B45" s="4"/>
      <c r="C45" t="s">
        <v>336</v>
      </c>
      <c r="D45" t="str">
        <f>IF($C45="","",IFERROR(LOOKUP(2,1/('03_Warehouse_Movements'!$C$2:$C$500=$A45),'03_Warehouse_Movements'!$E$2:$E$500),$C45))</f>
        <v>PAL-0000045</v>
      </c>
      <c r="E45" t="s">
        <v>209</v>
      </c>
      <c r="F45" t="s">
        <v>218</v>
      </c>
      <c r="G45" s="25"/>
      <c r="H45" s="3" t="str">
        <f t="shared" si="0"/>
        <v/>
      </c>
      <c r="I45" s="3" t="s">
        <v>268</v>
      </c>
      <c r="J45" s="4" t="s">
        <v>220</v>
      </c>
      <c r="K45" s="3">
        <v>46052</v>
      </c>
      <c r="L45" s="4" t="s">
        <v>221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337</v>
      </c>
      <c r="B46" s="4"/>
      <c r="C46" t="s">
        <v>338</v>
      </c>
      <c r="D46" t="str">
        <f>IF($C46="","",IFERROR(LOOKUP(2,1/('03_Warehouse_Movements'!$C$2:$C$500=$A46),'03_Warehouse_Movements'!$E$2:$E$500),$C46))</f>
        <v>PAL-0000046</v>
      </c>
      <c r="E46" t="s">
        <v>209</v>
      </c>
      <c r="F46" t="s">
        <v>218</v>
      </c>
      <c r="G46" s="25"/>
      <c r="H46" s="3" t="str">
        <f t="shared" si="0"/>
        <v/>
      </c>
      <c r="I46" s="3" t="s">
        <v>272</v>
      </c>
      <c r="J46" s="4" t="s">
        <v>220</v>
      </c>
      <c r="K46" s="3">
        <v>46052</v>
      </c>
      <c r="L46" s="4" t="s">
        <v>221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339</v>
      </c>
      <c r="B47" s="4"/>
      <c r="C47" t="s">
        <v>340</v>
      </c>
      <c r="D47" t="str">
        <f>IF($C47="","",IFERROR(LOOKUP(2,1/('03_Warehouse_Movements'!$C$2:$C$500=$A47),'03_Warehouse_Movements'!$E$2:$E$500),$C47))</f>
        <v>PAL-0000047</v>
      </c>
      <c r="E47" t="s">
        <v>209</v>
      </c>
      <c r="F47" t="s">
        <v>218</v>
      </c>
      <c r="G47" s="25"/>
      <c r="H47" s="3" t="str">
        <f t="shared" si="0"/>
        <v/>
      </c>
      <c r="I47" s="3" t="s">
        <v>275</v>
      </c>
      <c r="J47" s="4" t="s">
        <v>220</v>
      </c>
      <c r="K47" s="3">
        <v>46052</v>
      </c>
      <c r="L47" s="4" t="s">
        <v>221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341</v>
      </c>
      <c r="B48" s="4"/>
      <c r="C48" t="s">
        <v>342</v>
      </c>
      <c r="D48" t="str">
        <f>IF($C48="","",IFERROR(LOOKUP(2,1/('03_Warehouse_Movements'!$C$2:$C$500=$A48),'03_Warehouse_Movements'!$E$2:$E$500),$C48))</f>
        <v>PAL-0000048</v>
      </c>
      <c r="E48" t="s">
        <v>209</v>
      </c>
      <c r="F48" t="s">
        <v>218</v>
      </c>
      <c r="G48" s="25"/>
      <c r="H48" s="3" t="str">
        <f t="shared" si="0"/>
        <v/>
      </c>
      <c r="I48" s="3" t="s">
        <v>278</v>
      </c>
      <c r="J48" s="4" t="s">
        <v>220</v>
      </c>
      <c r="K48" s="3">
        <v>46052</v>
      </c>
      <c r="L48" s="4" t="s">
        <v>221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343</v>
      </c>
      <c r="B49" s="4"/>
      <c r="C49" t="s">
        <v>344</v>
      </c>
      <c r="D49" t="str">
        <f>IF($C49="","",IFERROR(LOOKUP(2,1/('03_Warehouse_Movements'!$C$2:$C$500=$A49),'03_Warehouse_Movements'!$E$2:$E$500),$C49))</f>
        <v>PAL-0000049</v>
      </c>
      <c r="E49" t="s">
        <v>209</v>
      </c>
      <c r="F49" t="s">
        <v>218</v>
      </c>
      <c r="G49" s="25"/>
      <c r="H49" s="3" t="str">
        <f t="shared" si="0"/>
        <v/>
      </c>
      <c r="I49" s="3" t="s">
        <v>250</v>
      </c>
      <c r="J49" s="4" t="s">
        <v>220</v>
      </c>
      <c r="K49" s="3">
        <v>46052</v>
      </c>
      <c r="L49" s="4" t="s">
        <v>221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345</v>
      </c>
      <c r="B50" s="4"/>
      <c r="C50" t="s">
        <v>346</v>
      </c>
      <c r="D50" t="str">
        <f>IF($C50="","",IFERROR(LOOKUP(2,1/('03_Warehouse_Movements'!$C$2:$C$500=$A50),'03_Warehouse_Movements'!$E$2:$E$500),$C50))</f>
        <v>PAL-0000050</v>
      </c>
      <c r="E50" t="s">
        <v>209</v>
      </c>
      <c r="F50" t="s">
        <v>246</v>
      </c>
      <c r="G50" s="25">
        <v>14</v>
      </c>
      <c r="H50" s="3" t="str">
        <f t="shared" si="0"/>
        <v/>
      </c>
      <c r="I50" s="3" t="s">
        <v>253</v>
      </c>
      <c r="J50" s="4" t="s">
        <v>220</v>
      </c>
      <c r="K50" s="3">
        <v>46052</v>
      </c>
      <c r="L50" s="4" t="s">
        <v>221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347</v>
      </c>
      <c r="B51" s="4" t="s">
        <v>348</v>
      </c>
      <c r="C51" t="s">
        <v>349</v>
      </c>
      <c r="D51" t="str">
        <f>IF($C51="","",IFERROR(LOOKUP(2,1/('03_Warehouse_Movements'!$C$2:$C$500=$A51),'03_Warehouse_Movements'!$E$2:$E$500),$C51))</f>
        <v>RETIRED</v>
      </c>
      <c r="E51" t="s">
        <v>350</v>
      </c>
      <c r="F51" t="s">
        <v>218</v>
      </c>
      <c r="G51" s="25"/>
      <c r="H51" s="3" t="str">
        <f t="shared" si="0"/>
        <v/>
      </c>
      <c r="I51" s="3" t="s">
        <v>256</v>
      </c>
      <c r="J51" s="4" t="s">
        <v>220</v>
      </c>
      <c r="K51" s="3">
        <v>46052</v>
      </c>
      <c r="L51" s="4" t="s">
        <v>221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351</v>
      </c>
      <c r="B52" s="4"/>
      <c r="C52" t="s">
        <v>352</v>
      </c>
      <c r="D52" t="str">
        <f>IF($C52="","",IFERROR(LOOKUP(2,1/('03_Warehouse_Movements'!$C$2:$C$500=$A52),'03_Warehouse_Movements'!$E$2:$E$500),$C52))</f>
        <v>PAL-0000052</v>
      </c>
      <c r="E52" t="s">
        <v>350</v>
      </c>
      <c r="F52" t="s">
        <v>218</v>
      </c>
      <c r="G52" s="25"/>
      <c r="H52" s="3" t="str">
        <f t="shared" si="0"/>
        <v/>
      </c>
      <c r="I52" s="3" t="s">
        <v>260</v>
      </c>
      <c r="J52" s="4" t="s">
        <v>220</v>
      </c>
      <c r="K52" s="3">
        <v>46052</v>
      </c>
      <c r="L52" s="4" t="s">
        <v>221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353</v>
      </c>
      <c r="B53" s="4"/>
      <c r="C53" t="s">
        <v>354</v>
      </c>
      <c r="D53" t="str">
        <f>IF($C53="","",IFERROR(LOOKUP(2,1/('03_Warehouse_Movements'!$C$2:$C$500=$A53),'03_Warehouse_Movements'!$E$2:$E$500),$C53))</f>
        <v>PAL-0000053</v>
      </c>
      <c r="E53" t="s">
        <v>209</v>
      </c>
      <c r="F53" t="s">
        <v>218</v>
      </c>
      <c r="G53" s="25"/>
      <c r="H53" s="3" t="str">
        <f t="shared" si="0"/>
        <v/>
      </c>
      <c r="I53" s="3" t="s">
        <v>219</v>
      </c>
      <c r="J53" s="4" t="s">
        <v>220</v>
      </c>
      <c r="K53" s="3">
        <v>46052</v>
      </c>
      <c r="L53" s="4" t="s">
        <v>221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355</v>
      </c>
      <c r="B54" s="4"/>
      <c r="C54" t="s">
        <v>356</v>
      </c>
      <c r="D54" t="str">
        <f>IF($C54="","",IFERROR(LOOKUP(2,1/('03_Warehouse_Movements'!$C$2:$C$500=$A54),'03_Warehouse_Movements'!$E$2:$E$500),$C54))</f>
        <v>PAL-0000054</v>
      </c>
      <c r="E54" t="s">
        <v>209</v>
      </c>
      <c r="F54" t="s">
        <v>218</v>
      </c>
      <c r="G54" s="25"/>
      <c r="H54" s="3" t="str">
        <f t="shared" si="0"/>
        <v/>
      </c>
      <c r="I54" s="3" t="s">
        <v>265</v>
      </c>
      <c r="J54" s="4" t="s">
        <v>220</v>
      </c>
      <c r="K54" s="3">
        <v>46052</v>
      </c>
      <c r="L54" s="4" t="s">
        <v>221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357</v>
      </c>
      <c r="B55" s="4"/>
      <c r="C55" t="s">
        <v>358</v>
      </c>
      <c r="D55" t="str">
        <f>IF($C55="","",IFERROR(LOOKUP(2,1/('03_Warehouse_Movements'!$C$2:$C$500=$A55),'03_Warehouse_Movements'!$E$2:$E$500),$C55))</f>
        <v>PAL-0000055</v>
      </c>
      <c r="E55" t="s">
        <v>209</v>
      </c>
      <c r="F55" t="s">
        <v>218</v>
      </c>
      <c r="G55" s="25"/>
      <c r="H55" s="3" t="str">
        <f t="shared" si="0"/>
        <v/>
      </c>
      <c r="I55" s="3" t="s">
        <v>268</v>
      </c>
      <c r="J55" s="4" t="s">
        <v>220</v>
      </c>
      <c r="K55" s="3">
        <v>46052</v>
      </c>
      <c r="L55" s="4" t="s">
        <v>221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359</v>
      </c>
      <c r="B56" s="4"/>
      <c r="C56" t="s">
        <v>360</v>
      </c>
      <c r="D56" t="str">
        <f>IF($C56="","",IFERROR(LOOKUP(2,1/('03_Warehouse_Movements'!$C$2:$C$500=$A56),'03_Warehouse_Movements'!$E$2:$E$500),$C56))</f>
        <v>PAL-0000056</v>
      </c>
      <c r="E56" t="s">
        <v>209</v>
      </c>
      <c r="F56" t="s">
        <v>246</v>
      </c>
      <c r="G56" s="25">
        <v>14</v>
      </c>
      <c r="H56" s="3" t="str">
        <f t="shared" si="0"/>
        <v/>
      </c>
      <c r="I56" s="3" t="s">
        <v>272</v>
      </c>
      <c r="J56" s="4" t="s">
        <v>220</v>
      </c>
      <c r="K56" s="3">
        <v>46052</v>
      </c>
      <c r="L56" s="4" t="s">
        <v>221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361</v>
      </c>
      <c r="B57" s="4"/>
      <c r="C57" t="s">
        <v>362</v>
      </c>
      <c r="D57" t="str">
        <f>IF($C57="","",IFERROR(LOOKUP(2,1/('03_Warehouse_Movements'!$C$2:$C$500=$A57),'03_Warehouse_Movements'!$E$2:$E$500),$C57))</f>
        <v>PAL-0000057</v>
      </c>
      <c r="E57" t="s">
        <v>209</v>
      </c>
      <c r="F57" t="s">
        <v>218</v>
      </c>
      <c r="G57" s="25"/>
      <c r="H57" s="3" t="str">
        <f t="shared" si="0"/>
        <v/>
      </c>
      <c r="I57" s="3" t="s">
        <v>275</v>
      </c>
      <c r="J57" s="4" t="s">
        <v>220</v>
      </c>
      <c r="K57" s="3">
        <v>46052</v>
      </c>
      <c r="L57" s="4" t="s">
        <v>221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363</v>
      </c>
      <c r="B58" s="4" t="s">
        <v>364</v>
      </c>
      <c r="C58" t="s">
        <v>365</v>
      </c>
      <c r="D58" t="str">
        <f>IF($C58="","",IFERROR(LOOKUP(2,1/('03_Warehouse_Movements'!$C$2:$C$500=$A58),'03_Warehouse_Movements'!$E$2:$E$500),$C58))</f>
        <v>PAL-0000058</v>
      </c>
      <c r="E58" t="s">
        <v>209</v>
      </c>
      <c r="F58" t="s">
        <v>218</v>
      </c>
      <c r="G58" s="25"/>
      <c r="H58" s="3" t="str">
        <f t="shared" si="0"/>
        <v/>
      </c>
      <c r="I58" s="3" t="s">
        <v>278</v>
      </c>
      <c r="J58" s="4" t="s">
        <v>220</v>
      </c>
      <c r="K58" s="3">
        <v>46052</v>
      </c>
      <c r="L58" s="4" t="s">
        <v>221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366</v>
      </c>
      <c r="B59" s="4"/>
      <c r="C59" t="s">
        <v>367</v>
      </c>
      <c r="D59" t="str">
        <f>IF($C59="","",IFERROR(LOOKUP(2,1/('03_Warehouse_Movements'!$C$2:$C$500=$A59),'03_Warehouse_Movements'!$E$2:$E$500),$C59))</f>
        <v>PAL-0000059</v>
      </c>
      <c r="E59" t="s">
        <v>209</v>
      </c>
      <c r="F59" t="s">
        <v>218</v>
      </c>
      <c r="G59" s="25"/>
      <c r="H59" s="3" t="str">
        <f t="shared" si="0"/>
        <v/>
      </c>
      <c r="I59" s="3" t="s">
        <v>250</v>
      </c>
      <c r="J59" s="4" t="s">
        <v>220</v>
      </c>
      <c r="K59" s="3">
        <v>46052</v>
      </c>
      <c r="L59" s="4" t="s">
        <v>221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368</v>
      </c>
      <c r="B60" s="4"/>
      <c r="C60" t="s">
        <v>369</v>
      </c>
      <c r="D60" t="str">
        <f>IF($C60="","",IFERROR(LOOKUP(2,1/('03_Warehouse_Movements'!$C$2:$C$500=$A60),'03_Warehouse_Movements'!$E$2:$E$500),$C60))</f>
        <v>PAL-0000060</v>
      </c>
      <c r="E60" t="s">
        <v>209</v>
      </c>
      <c r="F60" t="s">
        <v>218</v>
      </c>
      <c r="G60" s="25"/>
      <c r="H60" s="3" t="str">
        <f t="shared" si="0"/>
        <v/>
      </c>
      <c r="I60" s="3" t="s">
        <v>253</v>
      </c>
      <c r="J60" s="4" t="s">
        <v>220</v>
      </c>
      <c r="K60" s="3">
        <v>46052</v>
      </c>
      <c r="L60" s="4" t="s">
        <v>221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370</v>
      </c>
      <c r="B61" s="4"/>
      <c r="C61" t="s">
        <v>371</v>
      </c>
      <c r="D61" t="str">
        <f>IF($C61="","",IFERROR(LOOKUP(2,1/('03_Warehouse_Movements'!$C$2:$C$500=$A61),'03_Warehouse_Movements'!$E$2:$E$500),$C61))</f>
        <v>PAL-0000061</v>
      </c>
      <c r="E61" t="s">
        <v>209</v>
      </c>
      <c r="F61" t="s">
        <v>218</v>
      </c>
      <c r="G61" s="25"/>
      <c r="H61" s="3" t="str">
        <f t="shared" si="0"/>
        <v/>
      </c>
      <c r="I61" s="3" t="s">
        <v>256</v>
      </c>
      <c r="J61" s="4" t="s">
        <v>220</v>
      </c>
      <c r="K61" s="3">
        <v>46052</v>
      </c>
      <c r="L61" s="4" t="s">
        <v>221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372</v>
      </c>
      <c r="B62" s="4"/>
      <c r="D62" t="str">
        <f>IF($C62="","",IFERROR(LOOKUP(2,1/('03_Warehouse_Movements'!$C$2:$C$500=$A62),'03_Warehouse_Movements'!$E$2:$E$500),$C62))</f>
        <v/>
      </c>
      <c r="E62" t="s">
        <v>209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373</v>
      </c>
      <c r="B63" s="4"/>
      <c r="D63" t="str">
        <f>IF($C63="","",IFERROR(LOOKUP(2,1/('03_Warehouse_Movements'!$C$2:$C$500=$A63),'03_Warehouse_Movements'!$E$2:$E$500),$C63))</f>
        <v/>
      </c>
      <c r="E63" t="s">
        <v>209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374</v>
      </c>
      <c r="B64" s="4"/>
      <c r="D64" t="str">
        <f>IF($C64="","",IFERROR(LOOKUP(2,1/('03_Warehouse_Movements'!$C$2:$C$500=$A64),'03_Warehouse_Movements'!$E$2:$E$500),$C64))</f>
        <v/>
      </c>
      <c r="E64" t="s">
        <v>209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375</v>
      </c>
      <c r="B65" s="4"/>
      <c r="D65" t="str">
        <f>IF($C65="","",IFERROR(LOOKUP(2,1/('03_Warehouse_Movements'!$C$2:$C$500=$A65),'03_Warehouse_Movements'!$E$2:$E$500),$C65))</f>
        <v/>
      </c>
      <c r="E65" t="s">
        <v>209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376</v>
      </c>
      <c r="B66" s="4"/>
      <c r="D66" t="str">
        <f>IF($C66="","",IFERROR(LOOKUP(2,1/('03_Warehouse_Movements'!$C$2:$C$500=$A66),'03_Warehouse_Movements'!$E$2:$E$500),$C66))</f>
        <v/>
      </c>
      <c r="E66" t="s">
        <v>209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377</v>
      </c>
      <c r="B67" s="4"/>
      <c r="D67" t="str">
        <f>IF($C67="","",IFERROR(LOOKUP(2,1/('03_Warehouse_Movements'!$C$2:$C$500=$A67),'03_Warehouse_Movements'!$E$2:$E$500),$C67))</f>
        <v/>
      </c>
      <c r="E67" t="s">
        <v>209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378</v>
      </c>
      <c r="B68" s="4"/>
      <c r="D68" t="str">
        <f>IF($C68="","",IFERROR(LOOKUP(2,1/('03_Warehouse_Movements'!$C$2:$C$500=$A68),'03_Warehouse_Movements'!$E$2:$E$500),$C68))</f>
        <v/>
      </c>
      <c r="E68" t="s">
        <v>209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379</v>
      </c>
      <c r="B69" s="4"/>
      <c r="D69" t="str">
        <f>IF($C69="","",IFERROR(LOOKUP(2,1/('03_Warehouse_Movements'!$C$2:$C$500=$A69),'03_Warehouse_Movements'!$E$2:$E$500),$C69))</f>
        <v/>
      </c>
      <c r="E69" t="s">
        <v>209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380</v>
      </c>
      <c r="B70" s="4"/>
      <c r="D70" t="str">
        <f>IF($C70="","",IFERROR(LOOKUP(2,1/('03_Warehouse_Movements'!$C$2:$C$500=$A70),'03_Warehouse_Movements'!$E$2:$E$500),$C70))</f>
        <v/>
      </c>
      <c r="E70" t="s">
        <v>209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381</v>
      </c>
      <c r="B71" s="4"/>
      <c r="D71" t="str">
        <f>IF($C71="","",IFERROR(LOOKUP(2,1/('03_Warehouse_Movements'!$C$2:$C$500=$A71),'03_Warehouse_Movements'!$E$2:$E$500),$C71))</f>
        <v/>
      </c>
      <c r="E71" t="s">
        <v>209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382</v>
      </c>
      <c r="B72" s="4"/>
      <c r="D72" t="str">
        <f>IF($C72="","",IFERROR(LOOKUP(2,1/('03_Warehouse_Movements'!$C$2:$C$500=$A72),'03_Warehouse_Movements'!$E$2:$E$500),$C72))</f>
        <v/>
      </c>
      <c r="E72" t="s">
        <v>209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383</v>
      </c>
      <c r="B73" s="4"/>
      <c r="D73" t="str">
        <f>IF($C73="","",IFERROR(LOOKUP(2,1/('03_Warehouse_Movements'!$C$2:$C$500=$A73),'03_Warehouse_Movements'!$E$2:$E$500),$C73))</f>
        <v/>
      </c>
      <c r="E73" t="s">
        <v>209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384</v>
      </c>
      <c r="B74" s="4"/>
      <c r="D74" t="str">
        <f>IF($C74="","",IFERROR(LOOKUP(2,1/('03_Warehouse_Movements'!$C$2:$C$500=$A74),'03_Warehouse_Movements'!$E$2:$E$500),$C74))</f>
        <v/>
      </c>
      <c r="E74" t="s">
        <v>209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385</v>
      </c>
      <c r="B75" s="4"/>
      <c r="D75" t="str">
        <f>IF($C75="","",IFERROR(LOOKUP(2,1/('03_Warehouse_Movements'!$C$2:$C$500=$A75),'03_Warehouse_Movements'!$E$2:$E$500),$C75))</f>
        <v/>
      </c>
      <c r="E75" t="s">
        <v>209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386</v>
      </c>
      <c r="B76" s="4"/>
      <c r="D76" t="str">
        <f>IF($C76="","",IFERROR(LOOKUP(2,1/('03_Warehouse_Movements'!$C$2:$C$500=$A76),'03_Warehouse_Movements'!$E$2:$E$500),$C76))</f>
        <v/>
      </c>
      <c r="E76" t="s">
        <v>209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387</v>
      </c>
      <c r="B77" s="4"/>
      <c r="D77" t="str">
        <f>IF($C77="","",IFERROR(LOOKUP(2,1/('03_Warehouse_Movements'!$C$2:$C$500=$A77),'03_Warehouse_Movements'!$E$2:$E$500),$C77))</f>
        <v/>
      </c>
      <c r="E77" t="s">
        <v>209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388</v>
      </c>
      <c r="B78" s="4"/>
      <c r="D78" t="str">
        <f>IF($C78="","",IFERROR(LOOKUP(2,1/('03_Warehouse_Movements'!$C$2:$C$500=$A78),'03_Warehouse_Movements'!$E$2:$E$500),$C78))</f>
        <v/>
      </c>
      <c r="E78" t="s">
        <v>209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389</v>
      </c>
      <c r="B79" s="4"/>
      <c r="D79" t="str">
        <f>IF($C79="","",IFERROR(LOOKUP(2,1/('03_Warehouse_Movements'!$C$2:$C$500=$A79),'03_Warehouse_Movements'!$E$2:$E$500),$C79))</f>
        <v/>
      </c>
      <c r="E79" t="s">
        <v>209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390</v>
      </c>
      <c r="B80" s="4"/>
      <c r="D80" t="str">
        <f>IF($C80="","",IFERROR(LOOKUP(2,1/('03_Warehouse_Movements'!$C$2:$C$500=$A80),'03_Warehouse_Movements'!$E$2:$E$500),$C80))</f>
        <v/>
      </c>
      <c r="E80" t="s">
        <v>209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391</v>
      </c>
      <c r="B81" s="4"/>
      <c r="D81" t="str">
        <f>IF($C81="","",IFERROR(LOOKUP(2,1/('03_Warehouse_Movements'!$C$2:$C$500=$A81),'03_Warehouse_Movements'!$E$2:$E$500),$C81))</f>
        <v/>
      </c>
      <c r="E81" t="s">
        <v>209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392</v>
      </c>
      <c r="B82" s="4"/>
      <c r="D82" t="str">
        <f>IF($C82="","",IFERROR(LOOKUP(2,1/('03_Warehouse_Movements'!$C$2:$C$500=$A82),'03_Warehouse_Movements'!$E$2:$E$500),$C82))</f>
        <v/>
      </c>
      <c r="E82" t="s">
        <v>209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393</v>
      </c>
      <c r="B83" s="4"/>
      <c r="D83" t="str">
        <f>IF($C83="","",IFERROR(LOOKUP(2,1/('03_Warehouse_Movements'!$C$2:$C$500=$A83),'03_Warehouse_Movements'!$E$2:$E$500),$C83))</f>
        <v/>
      </c>
      <c r="E83" t="s">
        <v>209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394</v>
      </c>
      <c r="B84" s="4"/>
      <c r="D84" t="str">
        <f>IF($C84="","",IFERROR(LOOKUP(2,1/('03_Warehouse_Movements'!$C$2:$C$500=$A84),'03_Warehouse_Movements'!$E$2:$E$500),$C84))</f>
        <v/>
      </c>
      <c r="E84" t="s">
        <v>209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395</v>
      </c>
      <c r="B85" s="4"/>
      <c r="D85" t="str">
        <f>IF($C85="","",IFERROR(LOOKUP(2,1/('03_Warehouse_Movements'!$C$2:$C$500=$A85),'03_Warehouse_Movements'!$E$2:$E$500),$C85))</f>
        <v/>
      </c>
      <c r="E85" t="s">
        <v>209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396</v>
      </c>
      <c r="B86" s="4"/>
      <c r="D86" t="str">
        <f>IF($C86="","",IFERROR(LOOKUP(2,1/('03_Warehouse_Movements'!$C$2:$C$500=$A86),'03_Warehouse_Movements'!$E$2:$E$500),$C86))</f>
        <v/>
      </c>
      <c r="E86" t="s">
        <v>209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397</v>
      </c>
      <c r="B87" s="4"/>
      <c r="D87" t="str">
        <f>IF($C87="","",IFERROR(LOOKUP(2,1/('03_Warehouse_Movements'!$C$2:$C$500=$A87),'03_Warehouse_Movements'!$E$2:$E$500),$C87))</f>
        <v/>
      </c>
      <c r="E87" t="s">
        <v>209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398</v>
      </c>
      <c r="B88" s="4"/>
      <c r="D88" t="str">
        <f>IF($C88="","",IFERROR(LOOKUP(2,1/('03_Warehouse_Movements'!$C$2:$C$500=$A88),'03_Warehouse_Movements'!$E$2:$E$500),$C88))</f>
        <v/>
      </c>
      <c r="E88" t="s">
        <v>209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399</v>
      </c>
      <c r="B89" s="4"/>
      <c r="D89" t="str">
        <f>IF($C89="","",IFERROR(LOOKUP(2,1/('03_Warehouse_Movements'!$C$2:$C$500=$A89),'03_Warehouse_Movements'!$E$2:$E$500),$C89))</f>
        <v/>
      </c>
      <c r="E89" t="s">
        <v>209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400</v>
      </c>
      <c r="B90" s="4"/>
      <c r="D90" t="str">
        <f>IF($C90="","",IFERROR(LOOKUP(2,1/('03_Warehouse_Movements'!$C$2:$C$500=$A90),'03_Warehouse_Movements'!$E$2:$E$500),$C90))</f>
        <v/>
      </c>
      <c r="E90" t="s">
        <v>209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401</v>
      </c>
      <c r="B91" s="4"/>
      <c r="D91" t="str">
        <f>IF($C91="","",IFERROR(LOOKUP(2,1/('03_Warehouse_Movements'!$C$2:$C$500=$A91),'03_Warehouse_Movements'!$E$2:$E$500),$C91))</f>
        <v/>
      </c>
      <c r="E91" t="s">
        <v>209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402</v>
      </c>
      <c r="B92" s="4"/>
      <c r="D92" t="str">
        <f>IF($C92="","",IFERROR(LOOKUP(2,1/('03_Warehouse_Movements'!$C$2:$C$500=$A92),'03_Warehouse_Movements'!$E$2:$E$500),$C92))</f>
        <v/>
      </c>
      <c r="E92" t="s">
        <v>209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403</v>
      </c>
      <c r="B93" s="4"/>
      <c r="D93" t="str">
        <f>IF($C93="","",IFERROR(LOOKUP(2,1/('03_Warehouse_Movements'!$C$2:$C$500=$A93),'03_Warehouse_Movements'!$E$2:$E$500),$C93))</f>
        <v/>
      </c>
      <c r="E93" t="s">
        <v>209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404</v>
      </c>
      <c r="B94" s="4"/>
      <c r="D94" t="str">
        <f>IF($C94="","",IFERROR(LOOKUP(2,1/('03_Warehouse_Movements'!$C$2:$C$500=$A94),'03_Warehouse_Movements'!$E$2:$E$500),$C94))</f>
        <v/>
      </c>
      <c r="E94" t="s">
        <v>209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405</v>
      </c>
      <c r="B95" s="4"/>
      <c r="D95" t="str">
        <f>IF($C95="","",IFERROR(LOOKUP(2,1/('03_Warehouse_Movements'!$C$2:$C$500=$A95),'03_Warehouse_Movements'!$E$2:$E$500),$C95))</f>
        <v/>
      </c>
      <c r="E95" t="s">
        <v>209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406</v>
      </c>
      <c r="B96" s="4"/>
      <c r="D96" t="str">
        <f>IF($C96="","",IFERROR(LOOKUP(2,1/('03_Warehouse_Movements'!$C$2:$C$500=$A96),'03_Warehouse_Movements'!$E$2:$E$500),$C96))</f>
        <v/>
      </c>
      <c r="E96" t="s">
        <v>209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407</v>
      </c>
      <c r="B97" s="4"/>
      <c r="D97" t="str">
        <f>IF($C97="","",IFERROR(LOOKUP(2,1/('03_Warehouse_Movements'!$C$2:$C$500=$A97),'03_Warehouse_Movements'!$E$2:$E$500),$C97))</f>
        <v/>
      </c>
      <c r="E97" t="s">
        <v>209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408</v>
      </c>
      <c r="B98" s="4"/>
      <c r="D98" t="str">
        <f>IF($C98="","",IFERROR(LOOKUP(2,1/('03_Warehouse_Movements'!$C$2:$C$500=$A98),'03_Warehouse_Movements'!$E$2:$E$500),$C98))</f>
        <v/>
      </c>
      <c r="E98" t="s">
        <v>209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409</v>
      </c>
      <c r="B99" s="4"/>
      <c r="D99" t="str">
        <f>IF($C99="","",IFERROR(LOOKUP(2,1/('03_Warehouse_Movements'!$C$2:$C$500=$A99),'03_Warehouse_Movements'!$E$2:$E$500),$C99))</f>
        <v/>
      </c>
      <c r="E99" t="s">
        <v>209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410</v>
      </c>
      <c r="B100" s="4"/>
      <c r="D100" t="str">
        <f>IF($C100="","",IFERROR(LOOKUP(2,1/('03_Warehouse_Movements'!$C$2:$C$500=$A100),'03_Warehouse_Movements'!$E$2:$E$500),$C100))</f>
        <v/>
      </c>
      <c r="E100" t="s">
        <v>209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411</v>
      </c>
      <c r="B101" s="4"/>
      <c r="D101" t="str">
        <f>IF($C101="","",IFERROR(LOOKUP(2,1/('03_Warehouse_Movements'!$C$2:$C$500=$A101),'03_Warehouse_Movements'!$E$2:$E$500),$C101))</f>
        <v/>
      </c>
      <c r="E101" t="s">
        <v>209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412</v>
      </c>
      <c r="B102" s="4"/>
      <c r="D102" t="str">
        <f>IF($C102="","",IFERROR(LOOKUP(2,1/('03_Warehouse_Movements'!$C$2:$C$500=$A102),'03_Warehouse_Movements'!$E$2:$E$500),$C102))</f>
        <v/>
      </c>
      <c r="E102" t="s">
        <v>209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413</v>
      </c>
      <c r="B103" s="4"/>
      <c r="D103" t="str">
        <f>IF($C103="","",IFERROR(LOOKUP(2,1/('03_Warehouse_Movements'!$C$2:$C$500=$A103),'03_Warehouse_Movements'!$E$2:$E$500),$C103))</f>
        <v/>
      </c>
      <c r="E103" t="s">
        <v>209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414</v>
      </c>
      <c r="B104" s="4"/>
      <c r="D104" t="str">
        <f>IF($C104="","",IFERROR(LOOKUP(2,1/('03_Warehouse_Movements'!$C$2:$C$500=$A104),'03_Warehouse_Movements'!$E$2:$E$500),$C104))</f>
        <v/>
      </c>
      <c r="E104" t="s">
        <v>209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415</v>
      </c>
      <c r="B105" s="4"/>
      <c r="D105" t="str">
        <f>IF($C105="","",IFERROR(LOOKUP(2,1/('03_Warehouse_Movements'!$C$2:$C$500=$A105),'03_Warehouse_Movements'!$E$2:$E$500),$C105))</f>
        <v/>
      </c>
      <c r="E105" t="s">
        <v>209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416</v>
      </c>
      <c r="B106" s="4"/>
      <c r="D106" t="str">
        <f>IF($C106="","",IFERROR(LOOKUP(2,1/('03_Warehouse_Movements'!$C$2:$C$500=$A106),'03_Warehouse_Movements'!$E$2:$E$500),$C106))</f>
        <v/>
      </c>
      <c r="E106" t="s">
        <v>209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417</v>
      </c>
      <c r="B107" s="4"/>
      <c r="D107" t="str">
        <f>IF($C107="","",IFERROR(LOOKUP(2,1/('03_Warehouse_Movements'!$C$2:$C$500=$A107),'03_Warehouse_Movements'!$E$2:$E$500),$C107))</f>
        <v/>
      </c>
      <c r="E107" t="s">
        <v>209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418</v>
      </c>
      <c r="B108" s="4"/>
      <c r="D108" t="str">
        <f>IF($C108="","",IFERROR(LOOKUP(2,1/('03_Warehouse_Movements'!$C$2:$C$500=$A108),'03_Warehouse_Movements'!$E$2:$E$500),$C108))</f>
        <v/>
      </c>
      <c r="E108" t="s">
        <v>209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419</v>
      </c>
      <c r="B109" s="4"/>
      <c r="D109" t="str">
        <f>IF($C109="","",IFERROR(LOOKUP(2,1/('03_Warehouse_Movements'!$C$2:$C$500=$A109),'03_Warehouse_Movements'!$E$2:$E$500),$C109))</f>
        <v/>
      </c>
      <c r="E109" t="s">
        <v>209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420</v>
      </c>
      <c r="B110" s="4"/>
      <c r="D110" t="str">
        <f>IF($C110="","",IFERROR(LOOKUP(2,1/('03_Warehouse_Movements'!$C$2:$C$500=$A110),'03_Warehouse_Movements'!$E$2:$E$500),$C110))</f>
        <v/>
      </c>
      <c r="E110" t="s">
        <v>209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421</v>
      </c>
      <c r="B111" s="4"/>
      <c r="D111" t="str">
        <f>IF($C111="","",IFERROR(LOOKUP(2,1/('03_Warehouse_Movements'!$C$2:$C$500=$A111),'03_Warehouse_Movements'!$E$2:$E$500),$C111))</f>
        <v/>
      </c>
      <c r="E111" t="s">
        <v>209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422</v>
      </c>
      <c r="B112" s="4"/>
      <c r="D112" t="str">
        <f>IF($C112="","",IFERROR(LOOKUP(2,1/('03_Warehouse_Movements'!$C$2:$C$500=$A112),'03_Warehouse_Movements'!$E$2:$E$500),$C112))</f>
        <v/>
      </c>
      <c r="E112" t="s">
        <v>209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423</v>
      </c>
      <c r="B113" s="4"/>
      <c r="D113" t="str">
        <f>IF($C113="","",IFERROR(LOOKUP(2,1/('03_Warehouse_Movements'!$C$2:$C$500=$A113),'03_Warehouse_Movements'!$E$2:$E$500),$C113))</f>
        <v/>
      </c>
      <c r="E113" t="s">
        <v>209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424</v>
      </c>
      <c r="B114" s="4"/>
      <c r="D114" t="str">
        <f>IF($C114="","",IFERROR(LOOKUP(2,1/('03_Warehouse_Movements'!$C$2:$C$500=$A114),'03_Warehouse_Movements'!$E$2:$E$500),$C114))</f>
        <v/>
      </c>
      <c r="E114" t="s">
        <v>209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425</v>
      </c>
      <c r="B115" s="4"/>
      <c r="D115" t="str">
        <f>IF($C115="","",IFERROR(LOOKUP(2,1/('03_Warehouse_Movements'!$C$2:$C$500=$A115),'03_Warehouse_Movements'!$E$2:$E$500),$C115))</f>
        <v/>
      </c>
      <c r="E115" t="s">
        <v>209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426</v>
      </c>
      <c r="B116" s="4"/>
      <c r="D116" t="str">
        <f>IF($C116="","",IFERROR(LOOKUP(2,1/('03_Warehouse_Movements'!$C$2:$C$500=$A116),'03_Warehouse_Movements'!$E$2:$E$500),$C116))</f>
        <v/>
      </c>
      <c r="E116" t="s">
        <v>209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427</v>
      </c>
      <c r="B117" s="4"/>
      <c r="D117" t="str">
        <f>IF($C117="","",IFERROR(LOOKUP(2,1/('03_Warehouse_Movements'!$C$2:$C$500=$A117),'03_Warehouse_Movements'!$E$2:$E$500),$C117))</f>
        <v/>
      </c>
      <c r="E117" t="s">
        <v>209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428</v>
      </c>
      <c r="B118" s="4"/>
      <c r="D118" t="str">
        <f>IF($C118="","",IFERROR(LOOKUP(2,1/('03_Warehouse_Movements'!$C$2:$C$500=$A118),'03_Warehouse_Movements'!$E$2:$E$500),$C118))</f>
        <v/>
      </c>
      <c r="E118" t="s">
        <v>209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429</v>
      </c>
      <c r="B119" s="4"/>
      <c r="D119" t="str">
        <f>IF($C119="","",IFERROR(LOOKUP(2,1/('03_Warehouse_Movements'!$C$2:$C$500=$A119),'03_Warehouse_Movements'!$E$2:$E$500),$C119))</f>
        <v/>
      </c>
      <c r="E119" t="s">
        <v>209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430</v>
      </c>
      <c r="B120" s="4"/>
      <c r="D120" t="str">
        <f>IF($C120="","",IFERROR(LOOKUP(2,1/('03_Warehouse_Movements'!$C$2:$C$500=$A120),'03_Warehouse_Movements'!$E$2:$E$500),$C120))</f>
        <v/>
      </c>
      <c r="E120" t="s">
        <v>209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431</v>
      </c>
      <c r="B121" s="4"/>
      <c r="D121" t="str">
        <f>IF($C121="","",IFERROR(LOOKUP(2,1/('03_Warehouse_Movements'!$C$2:$C$500=$A121),'03_Warehouse_Movements'!$E$2:$E$500),$C121))</f>
        <v/>
      </c>
      <c r="E121" t="s">
        <v>209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432</v>
      </c>
      <c r="B122" s="4"/>
      <c r="D122" t="str">
        <f>IF($C122="","",IFERROR(LOOKUP(2,1/('03_Warehouse_Movements'!$C$2:$C$500=$A122),'03_Warehouse_Movements'!$E$2:$E$500),$C122))</f>
        <v/>
      </c>
      <c r="E122" t="s">
        <v>209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433</v>
      </c>
      <c r="B123" s="4"/>
      <c r="D123" t="str">
        <f>IF($C123="","",IFERROR(LOOKUP(2,1/('03_Warehouse_Movements'!$C$2:$C$500=$A123),'03_Warehouse_Movements'!$E$2:$E$500),$C123))</f>
        <v/>
      </c>
      <c r="E123" t="s">
        <v>209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434</v>
      </c>
      <c r="B124" s="4"/>
      <c r="D124" t="str">
        <f>IF($C124="","",IFERROR(LOOKUP(2,1/('03_Warehouse_Movements'!$C$2:$C$500=$A124),'03_Warehouse_Movements'!$E$2:$E$500),$C124))</f>
        <v/>
      </c>
      <c r="E124" t="s">
        <v>209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435</v>
      </c>
      <c r="B125" s="4"/>
      <c r="D125" t="str">
        <f>IF($C125="","",IFERROR(LOOKUP(2,1/('03_Warehouse_Movements'!$C$2:$C$500=$A125),'03_Warehouse_Movements'!$E$2:$E$500),$C125))</f>
        <v/>
      </c>
      <c r="E125" t="s">
        <v>209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436</v>
      </c>
      <c r="B126" s="4"/>
      <c r="D126" t="str">
        <f>IF($C126="","",IFERROR(LOOKUP(2,1/('03_Warehouse_Movements'!$C$2:$C$500=$A126),'03_Warehouse_Movements'!$E$2:$E$500),$C126))</f>
        <v/>
      </c>
      <c r="E126" t="s">
        <v>209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437</v>
      </c>
      <c r="B127" s="4"/>
      <c r="D127" t="str">
        <f>IF($C127="","",IFERROR(LOOKUP(2,1/('03_Warehouse_Movements'!$C$2:$C$500=$A127),'03_Warehouse_Movements'!$E$2:$E$500),$C127))</f>
        <v/>
      </c>
      <c r="E127" t="s">
        <v>209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438</v>
      </c>
      <c r="B128" s="4"/>
      <c r="D128" t="str">
        <f>IF($C128="","",IFERROR(LOOKUP(2,1/('03_Warehouse_Movements'!$C$2:$C$500=$A128),'03_Warehouse_Movements'!$E$2:$E$500),$C128))</f>
        <v/>
      </c>
      <c r="E128" t="s">
        <v>209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439</v>
      </c>
      <c r="B129" s="4"/>
      <c r="D129" t="str">
        <f>IF($C129="","",IFERROR(LOOKUP(2,1/('03_Warehouse_Movements'!$C$2:$C$500=$A129),'03_Warehouse_Movements'!$E$2:$E$500),$C129))</f>
        <v/>
      </c>
      <c r="E129" t="s">
        <v>209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440</v>
      </c>
      <c r="B130" s="4"/>
      <c r="D130" t="str">
        <f>IF($C130="","",IFERROR(LOOKUP(2,1/('03_Warehouse_Movements'!$C$2:$C$500=$A130),'03_Warehouse_Movements'!$E$2:$E$500),$C130))</f>
        <v/>
      </c>
      <c r="E130" t="s">
        <v>209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441</v>
      </c>
      <c r="B131" s="4"/>
      <c r="D131" t="str">
        <f>IF($C131="","",IFERROR(LOOKUP(2,1/('03_Warehouse_Movements'!$C$2:$C$500=$A131),'03_Warehouse_Movements'!$E$2:$E$500),$C131))</f>
        <v/>
      </c>
      <c r="E131" t="s">
        <v>209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442</v>
      </c>
      <c r="B132" s="4"/>
      <c r="D132" t="str">
        <f>IF($C132="","",IFERROR(LOOKUP(2,1/('03_Warehouse_Movements'!$C$2:$C$500=$A132),'03_Warehouse_Movements'!$E$2:$E$500),$C132))</f>
        <v/>
      </c>
      <c r="E132" t="s">
        <v>209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443</v>
      </c>
      <c r="B133" s="4"/>
      <c r="D133" t="str">
        <f>IF($C133="","",IFERROR(LOOKUP(2,1/('03_Warehouse_Movements'!$C$2:$C$500=$A133),'03_Warehouse_Movements'!$E$2:$E$500),$C133))</f>
        <v/>
      </c>
      <c r="E133" t="s">
        <v>209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444</v>
      </c>
      <c r="B134" s="4"/>
      <c r="D134" t="str">
        <f>IF($C134="","",IFERROR(LOOKUP(2,1/('03_Warehouse_Movements'!$C$2:$C$500=$A134),'03_Warehouse_Movements'!$E$2:$E$500),$C134))</f>
        <v/>
      </c>
      <c r="E134" t="s">
        <v>209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445</v>
      </c>
      <c r="B135" s="4"/>
      <c r="D135" t="str">
        <f>IF($C135="","",IFERROR(LOOKUP(2,1/('03_Warehouse_Movements'!$C$2:$C$500=$A135),'03_Warehouse_Movements'!$E$2:$E$500),$C135))</f>
        <v/>
      </c>
      <c r="E135" t="s">
        <v>209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446</v>
      </c>
      <c r="B136" s="4"/>
      <c r="D136" t="str">
        <f>IF($C136="","",IFERROR(LOOKUP(2,1/('03_Warehouse_Movements'!$C$2:$C$500=$A136),'03_Warehouse_Movements'!$E$2:$E$500),$C136))</f>
        <v/>
      </c>
      <c r="E136" t="s">
        <v>209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447</v>
      </c>
      <c r="B137" s="4"/>
      <c r="D137" t="str">
        <f>IF($C137="","",IFERROR(LOOKUP(2,1/('03_Warehouse_Movements'!$C$2:$C$500=$A137),'03_Warehouse_Movements'!$E$2:$E$500),$C137))</f>
        <v/>
      </c>
      <c r="E137" t="s">
        <v>209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448</v>
      </c>
      <c r="B138" s="4"/>
      <c r="D138" t="str">
        <f>IF($C138="","",IFERROR(LOOKUP(2,1/('03_Warehouse_Movements'!$C$2:$C$500=$A138),'03_Warehouse_Movements'!$E$2:$E$500),$C138))</f>
        <v/>
      </c>
      <c r="E138" t="s">
        <v>209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449</v>
      </c>
      <c r="B139" s="4"/>
      <c r="D139" t="str">
        <f>IF($C139="","",IFERROR(LOOKUP(2,1/('03_Warehouse_Movements'!$C$2:$C$500=$A139),'03_Warehouse_Movements'!$E$2:$E$500),$C139))</f>
        <v/>
      </c>
      <c r="E139" t="s">
        <v>209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450</v>
      </c>
      <c r="B140" s="4"/>
      <c r="D140" t="str">
        <f>IF($C140="","",IFERROR(LOOKUP(2,1/('03_Warehouse_Movements'!$C$2:$C$500=$A140),'03_Warehouse_Movements'!$E$2:$E$500),$C140))</f>
        <v/>
      </c>
      <c r="E140" t="s">
        <v>209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451</v>
      </c>
      <c r="B141" s="4"/>
      <c r="D141" t="str">
        <f>IF($C141="","",IFERROR(LOOKUP(2,1/('03_Warehouse_Movements'!$C$2:$C$500=$A141),'03_Warehouse_Movements'!$E$2:$E$500),$C141))</f>
        <v/>
      </c>
      <c r="E141" t="s">
        <v>209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452</v>
      </c>
      <c r="B142" s="4"/>
      <c r="D142" t="str">
        <f>IF($C142="","",IFERROR(LOOKUP(2,1/('03_Warehouse_Movements'!$C$2:$C$500=$A142),'03_Warehouse_Movements'!$E$2:$E$500),$C142))</f>
        <v/>
      </c>
      <c r="E142" t="s">
        <v>209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453</v>
      </c>
      <c r="B143" s="4"/>
      <c r="D143" t="str">
        <f>IF($C143="","",IFERROR(LOOKUP(2,1/('03_Warehouse_Movements'!$C$2:$C$500=$A143),'03_Warehouse_Movements'!$E$2:$E$500),$C143))</f>
        <v/>
      </c>
      <c r="E143" t="s">
        <v>209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454</v>
      </c>
      <c r="B144" s="4"/>
      <c r="D144" t="str">
        <f>IF($C144="","",IFERROR(LOOKUP(2,1/('03_Warehouse_Movements'!$C$2:$C$500=$A144),'03_Warehouse_Movements'!$E$2:$E$500),$C144))</f>
        <v/>
      </c>
      <c r="E144" t="s">
        <v>209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455</v>
      </c>
      <c r="B145" s="4"/>
      <c r="D145" t="str">
        <f>IF($C145="","",IFERROR(LOOKUP(2,1/('03_Warehouse_Movements'!$C$2:$C$500=$A145),'03_Warehouse_Movements'!$E$2:$E$500),$C145))</f>
        <v/>
      </c>
      <c r="E145" t="s">
        <v>209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456</v>
      </c>
      <c r="B146" s="4"/>
      <c r="D146" t="str">
        <f>IF($C146="","",IFERROR(LOOKUP(2,1/('03_Warehouse_Movements'!$C$2:$C$500=$A146),'03_Warehouse_Movements'!$E$2:$E$500),$C146))</f>
        <v/>
      </c>
      <c r="E146" t="s">
        <v>209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457</v>
      </c>
      <c r="B147" s="4"/>
      <c r="D147" t="str">
        <f>IF($C147="","",IFERROR(LOOKUP(2,1/('03_Warehouse_Movements'!$C$2:$C$500=$A147),'03_Warehouse_Movements'!$E$2:$E$500),$C147))</f>
        <v/>
      </c>
      <c r="E147" t="s">
        <v>209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458</v>
      </c>
      <c r="B148" s="4"/>
      <c r="D148" t="str">
        <f>IF($C148="","",IFERROR(LOOKUP(2,1/('03_Warehouse_Movements'!$C$2:$C$500=$A148),'03_Warehouse_Movements'!$E$2:$E$500),$C148))</f>
        <v/>
      </c>
      <c r="E148" t="s">
        <v>209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459</v>
      </c>
      <c r="B149" s="4"/>
      <c r="D149" t="str">
        <f>IF($C149="","",IFERROR(LOOKUP(2,1/('03_Warehouse_Movements'!$C$2:$C$500=$A149),'03_Warehouse_Movements'!$E$2:$E$500),$C149))</f>
        <v/>
      </c>
      <c r="E149" t="s">
        <v>209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460</v>
      </c>
      <c r="B150" s="4"/>
      <c r="D150" t="str">
        <f>IF($C150="","",IFERROR(LOOKUP(2,1/('03_Warehouse_Movements'!$C$2:$C$500=$A150),'03_Warehouse_Movements'!$E$2:$E$500),$C150))</f>
        <v/>
      </c>
      <c r="E150" t="s">
        <v>209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461</v>
      </c>
      <c r="B151" s="4"/>
      <c r="D151" t="str">
        <f>IF($C151="","",IFERROR(LOOKUP(2,1/('03_Warehouse_Movements'!$C$2:$C$500=$A151),'03_Warehouse_Movements'!$E$2:$E$500),$C151))</f>
        <v/>
      </c>
      <c r="E151" t="s">
        <v>209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462</v>
      </c>
      <c r="B152" s="4"/>
      <c r="D152" t="str">
        <f>IF($C152="","",IFERROR(LOOKUP(2,1/('03_Warehouse_Movements'!$C$2:$C$500=$A152),'03_Warehouse_Movements'!$E$2:$E$500),$C152))</f>
        <v/>
      </c>
      <c r="E152" t="s">
        <v>209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463</v>
      </c>
      <c r="B153" s="4"/>
      <c r="D153" t="str">
        <f>IF($C153="","",IFERROR(LOOKUP(2,1/('03_Warehouse_Movements'!$C$2:$C$500=$A153),'03_Warehouse_Movements'!$E$2:$E$500),$C153))</f>
        <v/>
      </c>
      <c r="E153" t="s">
        <v>209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464</v>
      </c>
      <c r="B154" s="4"/>
      <c r="D154" t="str">
        <f>IF($C154="","",IFERROR(LOOKUP(2,1/('03_Warehouse_Movements'!$C$2:$C$500=$A154),'03_Warehouse_Movements'!$E$2:$E$500),$C154))</f>
        <v/>
      </c>
      <c r="E154" t="s">
        <v>209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465</v>
      </c>
      <c r="B155" s="4"/>
      <c r="D155" t="str">
        <f>IF($C155="","",IFERROR(LOOKUP(2,1/('03_Warehouse_Movements'!$C$2:$C$500=$A155),'03_Warehouse_Movements'!$E$2:$E$500),$C155))</f>
        <v/>
      </c>
      <c r="E155" t="s">
        <v>209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466</v>
      </c>
      <c r="B156" s="4"/>
      <c r="D156" t="str">
        <f>IF($C156="","",IFERROR(LOOKUP(2,1/('03_Warehouse_Movements'!$C$2:$C$500=$A156),'03_Warehouse_Movements'!$E$2:$E$500),$C156))</f>
        <v/>
      </c>
      <c r="E156" t="s">
        <v>209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467</v>
      </c>
      <c r="B157" s="4"/>
      <c r="D157" t="str">
        <f>IF($C157="","",IFERROR(LOOKUP(2,1/('03_Warehouse_Movements'!$C$2:$C$500=$A157),'03_Warehouse_Movements'!$E$2:$E$500),$C157))</f>
        <v/>
      </c>
      <c r="E157" t="s">
        <v>209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468</v>
      </c>
      <c r="B158" s="4"/>
      <c r="D158" t="str">
        <f>IF($C158="","",IFERROR(LOOKUP(2,1/('03_Warehouse_Movements'!$C$2:$C$500=$A158),'03_Warehouse_Movements'!$E$2:$E$500),$C158))</f>
        <v/>
      </c>
      <c r="E158" t="s">
        <v>209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469</v>
      </c>
      <c r="B159" s="4"/>
      <c r="D159" t="str">
        <f>IF($C159="","",IFERROR(LOOKUP(2,1/('03_Warehouse_Movements'!$C$2:$C$500=$A159),'03_Warehouse_Movements'!$E$2:$E$500),$C159))</f>
        <v/>
      </c>
      <c r="E159" t="s">
        <v>209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470</v>
      </c>
      <c r="B160" s="4"/>
      <c r="D160" t="str">
        <f>IF($C160="","",IFERROR(LOOKUP(2,1/('03_Warehouse_Movements'!$C$2:$C$500=$A160),'03_Warehouse_Movements'!$E$2:$E$500),$C160))</f>
        <v/>
      </c>
      <c r="E160" t="s">
        <v>209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471</v>
      </c>
      <c r="B161" s="4"/>
      <c r="D161" t="str">
        <f>IF($C161="","",IFERROR(LOOKUP(2,1/('03_Warehouse_Movements'!$C$2:$C$500=$A161),'03_Warehouse_Movements'!$E$2:$E$500),$C161))</f>
        <v/>
      </c>
      <c r="E161" t="s">
        <v>209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472</v>
      </c>
      <c r="B162" s="4"/>
      <c r="D162" t="str">
        <f>IF($C162="","",IFERROR(LOOKUP(2,1/('03_Warehouse_Movements'!$C$2:$C$500=$A162),'03_Warehouse_Movements'!$E$2:$E$500),$C162))</f>
        <v/>
      </c>
      <c r="E162" t="s">
        <v>209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473</v>
      </c>
      <c r="B163" s="4"/>
      <c r="D163" t="str">
        <f>IF($C163="","",IFERROR(LOOKUP(2,1/('03_Warehouse_Movements'!$C$2:$C$500=$A163),'03_Warehouse_Movements'!$E$2:$E$500),$C163))</f>
        <v/>
      </c>
      <c r="E163" t="s">
        <v>209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474</v>
      </c>
      <c r="B164" s="4"/>
      <c r="D164" t="str">
        <f>IF($C164="","",IFERROR(LOOKUP(2,1/('03_Warehouse_Movements'!$C$2:$C$500=$A164),'03_Warehouse_Movements'!$E$2:$E$500),$C164))</f>
        <v/>
      </c>
      <c r="E164" t="s">
        <v>209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475</v>
      </c>
      <c r="B165" s="4"/>
      <c r="D165" t="str">
        <f>IF($C165="","",IFERROR(LOOKUP(2,1/('03_Warehouse_Movements'!$C$2:$C$500=$A165),'03_Warehouse_Movements'!$E$2:$E$500),$C165))</f>
        <v/>
      </c>
      <c r="E165" t="s">
        <v>209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476</v>
      </c>
      <c r="B166" s="4"/>
      <c r="D166" t="str">
        <f>IF($C166="","",IFERROR(LOOKUP(2,1/('03_Warehouse_Movements'!$C$2:$C$500=$A166),'03_Warehouse_Movements'!$E$2:$E$500),$C166))</f>
        <v/>
      </c>
      <c r="E166" t="s">
        <v>209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477</v>
      </c>
      <c r="B167" s="4"/>
      <c r="D167" t="str">
        <f>IF($C167="","",IFERROR(LOOKUP(2,1/('03_Warehouse_Movements'!$C$2:$C$500=$A167),'03_Warehouse_Movements'!$E$2:$E$500),$C167))</f>
        <v/>
      </c>
      <c r="E167" t="s">
        <v>209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478</v>
      </c>
      <c r="B168" s="4"/>
      <c r="D168" t="str">
        <f>IF($C168="","",IFERROR(LOOKUP(2,1/('03_Warehouse_Movements'!$C$2:$C$500=$A168),'03_Warehouse_Movements'!$E$2:$E$500),$C168))</f>
        <v/>
      </c>
      <c r="E168" t="s">
        <v>209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479</v>
      </c>
      <c r="B169" s="4"/>
      <c r="D169" t="str">
        <f>IF($C169="","",IFERROR(LOOKUP(2,1/('03_Warehouse_Movements'!$C$2:$C$500=$A169),'03_Warehouse_Movements'!$E$2:$E$500),$C169))</f>
        <v/>
      </c>
      <c r="E169" t="s">
        <v>209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480</v>
      </c>
      <c r="B170" s="4"/>
      <c r="D170" t="str">
        <f>IF($C170="","",IFERROR(LOOKUP(2,1/('03_Warehouse_Movements'!$C$2:$C$500=$A170),'03_Warehouse_Movements'!$E$2:$E$500),$C170))</f>
        <v/>
      </c>
      <c r="E170" t="s">
        <v>209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481</v>
      </c>
      <c r="B171" s="4"/>
      <c r="D171" t="str">
        <f>IF($C171="","",IFERROR(LOOKUP(2,1/('03_Warehouse_Movements'!$C$2:$C$500=$A171),'03_Warehouse_Movements'!$E$2:$E$500),$C171))</f>
        <v/>
      </c>
      <c r="E171" t="s">
        <v>209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482</v>
      </c>
      <c r="B172" s="4"/>
      <c r="D172" t="str">
        <f>IF($C172="","",IFERROR(LOOKUP(2,1/('03_Warehouse_Movements'!$C$2:$C$500=$A172),'03_Warehouse_Movements'!$E$2:$E$500),$C172))</f>
        <v/>
      </c>
      <c r="E172" t="s">
        <v>209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483</v>
      </c>
      <c r="B173" s="4"/>
      <c r="D173" t="str">
        <f>IF($C173="","",IFERROR(LOOKUP(2,1/('03_Warehouse_Movements'!$C$2:$C$500=$A173),'03_Warehouse_Movements'!$E$2:$E$500),$C173))</f>
        <v/>
      </c>
      <c r="E173" t="s">
        <v>209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484</v>
      </c>
      <c r="B174" s="4"/>
      <c r="D174" t="str">
        <f>IF($C174="","",IFERROR(LOOKUP(2,1/('03_Warehouse_Movements'!$C$2:$C$500=$A174),'03_Warehouse_Movements'!$E$2:$E$500),$C174))</f>
        <v/>
      </c>
      <c r="E174" t="s">
        <v>209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485</v>
      </c>
      <c r="B175" s="4"/>
      <c r="D175" t="str">
        <f>IF($C175="","",IFERROR(LOOKUP(2,1/('03_Warehouse_Movements'!$C$2:$C$500=$A175),'03_Warehouse_Movements'!$E$2:$E$500),$C175))</f>
        <v/>
      </c>
      <c r="E175" t="s">
        <v>209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486</v>
      </c>
      <c r="B176" s="4"/>
      <c r="D176" t="str">
        <f>IF($C176="","",IFERROR(LOOKUP(2,1/('03_Warehouse_Movements'!$C$2:$C$500=$A176),'03_Warehouse_Movements'!$E$2:$E$500),$C176))</f>
        <v/>
      </c>
      <c r="E176" t="s">
        <v>209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487</v>
      </c>
      <c r="B177" s="4"/>
      <c r="D177" t="str">
        <f>IF($C177="","",IFERROR(LOOKUP(2,1/('03_Warehouse_Movements'!$C$2:$C$500=$A177),'03_Warehouse_Movements'!$E$2:$E$500),$C177))</f>
        <v/>
      </c>
      <c r="E177" t="s">
        <v>209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488</v>
      </c>
      <c r="B178" s="4"/>
      <c r="D178" t="str">
        <f>IF($C178="","",IFERROR(LOOKUP(2,1/('03_Warehouse_Movements'!$C$2:$C$500=$A178),'03_Warehouse_Movements'!$E$2:$E$500),$C178))</f>
        <v/>
      </c>
      <c r="E178" t="s">
        <v>209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489</v>
      </c>
      <c r="B179" s="4"/>
      <c r="D179" t="str">
        <f>IF($C179="","",IFERROR(LOOKUP(2,1/('03_Warehouse_Movements'!$C$2:$C$500=$A179),'03_Warehouse_Movements'!$E$2:$E$500),$C179))</f>
        <v/>
      </c>
      <c r="E179" t="s">
        <v>209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490</v>
      </c>
      <c r="B180" s="4"/>
      <c r="D180" t="str">
        <f>IF($C180="","",IFERROR(LOOKUP(2,1/('03_Warehouse_Movements'!$C$2:$C$500=$A180),'03_Warehouse_Movements'!$E$2:$E$500),$C180))</f>
        <v/>
      </c>
      <c r="E180" t="s">
        <v>209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491</v>
      </c>
      <c r="B181" s="4"/>
      <c r="D181" t="str">
        <f>IF($C181="","",IFERROR(LOOKUP(2,1/('03_Warehouse_Movements'!$C$2:$C$500=$A181),'03_Warehouse_Movements'!$E$2:$E$500),$C181))</f>
        <v/>
      </c>
      <c r="E181" t="s">
        <v>209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492</v>
      </c>
      <c r="B182" s="4"/>
      <c r="D182" t="str">
        <f>IF($C182="","",IFERROR(LOOKUP(2,1/('03_Warehouse_Movements'!$C$2:$C$500=$A182),'03_Warehouse_Movements'!$E$2:$E$500),$C182))</f>
        <v/>
      </c>
      <c r="E182" t="s">
        <v>209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493</v>
      </c>
      <c r="B183" s="4"/>
      <c r="D183" t="str">
        <f>IF($C183="","",IFERROR(LOOKUP(2,1/('03_Warehouse_Movements'!$C$2:$C$500=$A183),'03_Warehouse_Movements'!$E$2:$E$500),$C183))</f>
        <v/>
      </c>
      <c r="E183" t="s">
        <v>209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494</v>
      </c>
      <c r="B184" s="4"/>
      <c r="D184" t="str">
        <f>IF($C184="","",IFERROR(LOOKUP(2,1/('03_Warehouse_Movements'!$C$2:$C$500=$A184),'03_Warehouse_Movements'!$E$2:$E$500),$C184))</f>
        <v/>
      </c>
      <c r="E184" t="s">
        <v>209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495</v>
      </c>
      <c r="B185" s="4"/>
      <c r="D185" t="str">
        <f>IF($C185="","",IFERROR(LOOKUP(2,1/('03_Warehouse_Movements'!$C$2:$C$500=$A185),'03_Warehouse_Movements'!$E$2:$E$500),$C185))</f>
        <v/>
      </c>
      <c r="E185" t="s">
        <v>209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496</v>
      </c>
      <c r="B186" s="4"/>
      <c r="D186" t="str">
        <f>IF($C186="","",IFERROR(LOOKUP(2,1/('03_Warehouse_Movements'!$C$2:$C$500=$A186),'03_Warehouse_Movements'!$E$2:$E$500),$C186))</f>
        <v/>
      </c>
      <c r="E186" t="s">
        <v>209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497</v>
      </c>
      <c r="B187" s="4"/>
      <c r="D187" t="str">
        <f>IF($C187="","",IFERROR(LOOKUP(2,1/('03_Warehouse_Movements'!$C$2:$C$500=$A187),'03_Warehouse_Movements'!$E$2:$E$500),$C187))</f>
        <v/>
      </c>
      <c r="E187" t="s">
        <v>209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498</v>
      </c>
      <c r="B188" s="4"/>
      <c r="D188" t="str">
        <f>IF($C188="","",IFERROR(LOOKUP(2,1/('03_Warehouse_Movements'!$C$2:$C$500=$A188),'03_Warehouse_Movements'!$E$2:$E$500),$C188))</f>
        <v/>
      </c>
      <c r="E188" t="s">
        <v>209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499</v>
      </c>
      <c r="B189" s="4"/>
      <c r="D189" t="str">
        <f>IF($C189="","",IFERROR(LOOKUP(2,1/('03_Warehouse_Movements'!$C$2:$C$500=$A189),'03_Warehouse_Movements'!$E$2:$E$500),$C189))</f>
        <v/>
      </c>
      <c r="E189" t="s">
        <v>209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500</v>
      </c>
      <c r="B190" s="4"/>
      <c r="D190" t="str">
        <f>IF($C190="","",IFERROR(LOOKUP(2,1/('03_Warehouse_Movements'!$C$2:$C$500=$A190),'03_Warehouse_Movements'!$E$2:$E$500),$C190))</f>
        <v/>
      </c>
      <c r="E190" t="s">
        <v>209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501</v>
      </c>
      <c r="B191" s="4"/>
      <c r="D191" t="str">
        <f>IF($C191="","",IFERROR(LOOKUP(2,1/('03_Warehouse_Movements'!$C$2:$C$500=$A191),'03_Warehouse_Movements'!$E$2:$E$500),$C191))</f>
        <v/>
      </c>
      <c r="E191" t="s">
        <v>209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502</v>
      </c>
      <c r="B192" s="4"/>
      <c r="D192" t="str">
        <f>IF($C192="","",IFERROR(LOOKUP(2,1/('03_Warehouse_Movements'!$C$2:$C$500=$A192),'03_Warehouse_Movements'!$E$2:$E$500),$C192))</f>
        <v/>
      </c>
      <c r="E192" t="s">
        <v>209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503</v>
      </c>
      <c r="B193" s="4"/>
      <c r="D193" t="str">
        <f>IF($C193="","",IFERROR(LOOKUP(2,1/('03_Warehouse_Movements'!$C$2:$C$500=$A193),'03_Warehouse_Movements'!$E$2:$E$500),$C193))</f>
        <v/>
      </c>
      <c r="E193" t="s">
        <v>209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504</v>
      </c>
      <c r="B194" s="4"/>
      <c r="D194" t="str">
        <f>IF($C194="","",IFERROR(LOOKUP(2,1/('03_Warehouse_Movements'!$C$2:$C$500=$A194),'03_Warehouse_Movements'!$E$2:$E$500),$C194))</f>
        <v/>
      </c>
      <c r="E194" t="s">
        <v>209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505</v>
      </c>
      <c r="B195" s="4"/>
      <c r="D195" t="str">
        <f>IF($C195="","",IFERROR(LOOKUP(2,1/('03_Warehouse_Movements'!$C$2:$C$500=$A195),'03_Warehouse_Movements'!$E$2:$E$500),$C195))</f>
        <v/>
      </c>
      <c r="E195" t="s">
        <v>209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506</v>
      </c>
      <c r="B196" s="4"/>
      <c r="D196" t="str">
        <f>IF($C196="","",IFERROR(LOOKUP(2,1/('03_Warehouse_Movements'!$C$2:$C$500=$A196),'03_Warehouse_Movements'!$E$2:$E$500),$C196))</f>
        <v/>
      </c>
      <c r="E196" t="s">
        <v>209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507</v>
      </c>
      <c r="B197" s="4"/>
      <c r="D197" t="str">
        <f>IF($C197="","",IFERROR(LOOKUP(2,1/('03_Warehouse_Movements'!$C$2:$C$500=$A197),'03_Warehouse_Movements'!$E$2:$E$500),$C197))</f>
        <v/>
      </c>
      <c r="E197" t="s">
        <v>209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508</v>
      </c>
      <c r="B198" s="4"/>
      <c r="D198" t="str">
        <f>IF($C198="","",IFERROR(LOOKUP(2,1/('03_Warehouse_Movements'!$C$2:$C$500=$A198),'03_Warehouse_Movements'!$E$2:$E$500),$C198))</f>
        <v/>
      </c>
      <c r="E198" t="s">
        <v>209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509</v>
      </c>
      <c r="B199" s="4"/>
      <c r="D199" t="str">
        <f>IF($C199="","",IFERROR(LOOKUP(2,1/('03_Warehouse_Movements'!$C$2:$C$500=$A199),'03_Warehouse_Movements'!$E$2:$E$500),$C199))</f>
        <v/>
      </c>
      <c r="E199" t="s">
        <v>209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510</v>
      </c>
      <c r="B200" s="24"/>
      <c r="D200" t="str">
        <f>IF($C200="","",IFERROR(LOOKUP(2,1/('03_Warehouse_Movements'!$C$2:$C$500=$A200),'03_Warehouse_Movements'!$E$2:$E$500),$C200))</f>
        <v/>
      </c>
      <c r="E200" t="s">
        <v>209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511</v>
      </c>
      <c r="B201" s="24"/>
      <c r="D201" t="str">
        <f>IF($C201="","",IFERROR(LOOKUP(2,1/('03_Warehouse_Movements'!$C$2:$C$500=$A201),'03_Warehouse_Movements'!$E$2:$E$500),$C201))</f>
        <v/>
      </c>
      <c r="E201" t="s">
        <v>209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512</v>
      </c>
      <c r="B202" s="24"/>
      <c r="D202" t="str">
        <f>IF($C202="","",IFERROR(LOOKUP(2,1/('03_Warehouse_Movements'!$C$2:$C$500=$A202),'03_Warehouse_Movements'!$E$2:$E$500),$C202))</f>
        <v/>
      </c>
      <c r="E202" t="s">
        <v>209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513</v>
      </c>
      <c r="B203" s="24"/>
      <c r="D203" t="str">
        <f>IF($C203="","",IFERROR(LOOKUP(2,1/('03_Warehouse_Movements'!$C$2:$C$500=$A203),'03_Warehouse_Movements'!$E$2:$E$500),$C203))</f>
        <v/>
      </c>
      <c r="E203" t="s">
        <v>209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514</v>
      </c>
      <c r="B204" s="24"/>
      <c r="D204" t="str">
        <f>IF($C204="","",IFERROR(LOOKUP(2,1/('03_Warehouse_Movements'!$C$2:$C$500=$A204),'03_Warehouse_Movements'!$E$2:$E$500),$C204))</f>
        <v/>
      </c>
      <c r="E204" t="s">
        <v>209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515</v>
      </c>
      <c r="B205" s="24"/>
      <c r="D205" t="str">
        <f>IF($C205="","",IFERROR(LOOKUP(2,1/('03_Warehouse_Movements'!$C$2:$C$500=$A205),'03_Warehouse_Movements'!$E$2:$E$500),$C205))</f>
        <v/>
      </c>
      <c r="E205" t="s">
        <v>209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516</v>
      </c>
      <c r="B206" s="24"/>
      <c r="D206" t="str">
        <f>IF($C206="","",IFERROR(LOOKUP(2,1/('03_Warehouse_Movements'!$C$2:$C$500=$A206),'03_Warehouse_Movements'!$E$2:$E$500),$C206))</f>
        <v/>
      </c>
      <c r="E206" t="s">
        <v>209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517</v>
      </c>
      <c r="B207" s="24"/>
      <c r="D207" t="str">
        <f>IF($C207="","",IFERROR(LOOKUP(2,1/('03_Warehouse_Movements'!$C$2:$C$500=$A207),'03_Warehouse_Movements'!$E$2:$E$500),$C207))</f>
        <v/>
      </c>
      <c r="E207" t="s">
        <v>209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518</v>
      </c>
      <c r="B208" s="24"/>
      <c r="D208" t="str">
        <f>IF($C208="","",IFERROR(LOOKUP(2,1/('03_Warehouse_Movements'!$C$2:$C$500=$A208),'03_Warehouse_Movements'!$E$2:$E$500),$C208))</f>
        <v/>
      </c>
      <c r="E208" t="s">
        <v>209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519</v>
      </c>
      <c r="B209" s="24"/>
      <c r="D209" t="str">
        <f>IF($C209="","",IFERROR(LOOKUP(2,1/('03_Warehouse_Movements'!$C$2:$C$500=$A209),'03_Warehouse_Movements'!$E$2:$E$500),$C209))</f>
        <v/>
      </c>
      <c r="E209" t="s">
        <v>209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520</v>
      </c>
      <c r="B210" s="24"/>
      <c r="D210" t="str">
        <f>IF($C210="","",IFERROR(LOOKUP(2,1/('03_Warehouse_Movements'!$C$2:$C$500=$A210),'03_Warehouse_Movements'!$E$2:$E$500),$C210))</f>
        <v/>
      </c>
      <c r="E210" t="s">
        <v>209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521</v>
      </c>
      <c r="B211" s="24"/>
      <c r="D211" t="str">
        <f>IF($C211="","",IFERROR(LOOKUP(2,1/('03_Warehouse_Movements'!$C$2:$C$500=$A211),'03_Warehouse_Movements'!$E$2:$E$500),$C211))</f>
        <v/>
      </c>
      <c r="E211" t="s">
        <v>209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522</v>
      </c>
      <c r="B212" s="24"/>
      <c r="D212" t="str">
        <f>IF($C212="","",IFERROR(LOOKUP(2,1/('03_Warehouse_Movements'!$C$2:$C$500=$A212),'03_Warehouse_Movements'!$E$2:$E$500),$C212))</f>
        <v/>
      </c>
      <c r="E212" t="s">
        <v>209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523</v>
      </c>
      <c r="B213" s="24"/>
      <c r="D213" t="str">
        <f>IF($C213="","",IFERROR(LOOKUP(2,1/('03_Warehouse_Movements'!$C$2:$C$500=$A213),'03_Warehouse_Movements'!$E$2:$E$500),$C213))</f>
        <v/>
      </c>
      <c r="E213" t="s">
        <v>209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524</v>
      </c>
      <c r="B214" s="24"/>
      <c r="D214" t="str">
        <f>IF($C214="","",IFERROR(LOOKUP(2,1/('03_Warehouse_Movements'!$C$2:$C$500=$A214),'03_Warehouse_Movements'!$E$2:$E$500),$C214))</f>
        <v/>
      </c>
      <c r="E214" t="s">
        <v>209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525</v>
      </c>
      <c r="B215" s="24"/>
      <c r="D215" t="str">
        <f>IF($C215="","",IFERROR(LOOKUP(2,1/('03_Warehouse_Movements'!$C$2:$C$500=$A215),'03_Warehouse_Movements'!$E$2:$E$500),$C215))</f>
        <v/>
      </c>
      <c r="E215" t="s">
        <v>209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526</v>
      </c>
      <c r="B216" s="24"/>
      <c r="D216" t="str">
        <f>IF($C216="","",IFERROR(LOOKUP(2,1/('03_Warehouse_Movements'!$C$2:$C$500=$A216),'03_Warehouse_Movements'!$E$2:$E$500),$C216))</f>
        <v/>
      </c>
      <c r="E216" t="s">
        <v>209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527</v>
      </c>
      <c r="B217" s="24"/>
      <c r="D217" t="str">
        <f>IF($C217="","",IFERROR(LOOKUP(2,1/('03_Warehouse_Movements'!$C$2:$C$500=$A217),'03_Warehouse_Movements'!$E$2:$E$500),$C217))</f>
        <v/>
      </c>
      <c r="E217" t="s">
        <v>209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528</v>
      </c>
      <c r="B218" s="24"/>
      <c r="D218" t="str">
        <f>IF($C218="","",IFERROR(LOOKUP(2,1/('03_Warehouse_Movements'!$C$2:$C$500=$A218),'03_Warehouse_Movements'!$E$2:$E$500),$C218))</f>
        <v/>
      </c>
      <c r="E218" t="s">
        <v>209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529</v>
      </c>
      <c r="B219" s="24"/>
      <c r="D219" t="str">
        <f>IF($C219="","",IFERROR(LOOKUP(2,1/('03_Warehouse_Movements'!$C$2:$C$500=$A219),'03_Warehouse_Movements'!$E$2:$E$500),$C219))</f>
        <v/>
      </c>
      <c r="E219" t="s">
        <v>209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530</v>
      </c>
      <c r="B220" s="24"/>
      <c r="D220" t="str">
        <f>IF($C220="","",IFERROR(LOOKUP(2,1/('03_Warehouse_Movements'!$C$2:$C$500=$A220),'03_Warehouse_Movements'!$E$2:$E$500),$C220))</f>
        <v/>
      </c>
      <c r="E220" t="s">
        <v>209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531</v>
      </c>
      <c r="B221" s="24"/>
      <c r="D221" t="str">
        <f>IF($C221="","",IFERROR(LOOKUP(2,1/('03_Warehouse_Movements'!$C$2:$C$500=$A221),'03_Warehouse_Movements'!$E$2:$E$500),$C221))</f>
        <v/>
      </c>
      <c r="E221" t="s">
        <v>209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532</v>
      </c>
      <c r="B222" s="24"/>
      <c r="D222" t="str">
        <f>IF($C222="","",IFERROR(LOOKUP(2,1/('03_Warehouse_Movements'!$C$2:$C$500=$A222),'03_Warehouse_Movements'!$E$2:$E$500),$C222))</f>
        <v/>
      </c>
      <c r="E222" t="s">
        <v>209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533</v>
      </c>
      <c r="B223" s="24"/>
      <c r="D223" t="str">
        <f>IF($C223="","",IFERROR(LOOKUP(2,1/('03_Warehouse_Movements'!$C$2:$C$500=$A223),'03_Warehouse_Movements'!$E$2:$E$500),$C223))</f>
        <v/>
      </c>
      <c r="E223" t="s">
        <v>209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534</v>
      </c>
      <c r="B224" s="24"/>
      <c r="D224" t="str">
        <f>IF($C224="","",IFERROR(LOOKUP(2,1/('03_Warehouse_Movements'!$C$2:$C$500=$A224),'03_Warehouse_Movements'!$E$2:$E$500),$C224))</f>
        <v/>
      </c>
      <c r="E224" t="s">
        <v>209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535</v>
      </c>
      <c r="B225" s="24"/>
      <c r="D225" t="str">
        <f>IF($C225="","",IFERROR(LOOKUP(2,1/('03_Warehouse_Movements'!$C$2:$C$500=$A225),'03_Warehouse_Movements'!$E$2:$E$500),$C225))</f>
        <v/>
      </c>
      <c r="E225" t="s">
        <v>209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536</v>
      </c>
      <c r="B226" s="24"/>
      <c r="D226" t="str">
        <f>IF($C226="","",IFERROR(LOOKUP(2,1/('03_Warehouse_Movements'!$C$2:$C$500=$A226),'03_Warehouse_Movements'!$E$2:$E$500),$C226))</f>
        <v/>
      </c>
      <c r="E226" t="s">
        <v>209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537</v>
      </c>
      <c r="B227" s="24"/>
      <c r="D227" t="str">
        <f>IF($C227="","",IFERROR(LOOKUP(2,1/('03_Warehouse_Movements'!$C$2:$C$500=$A227),'03_Warehouse_Movements'!$E$2:$E$500),$C227))</f>
        <v/>
      </c>
      <c r="E227" t="s">
        <v>209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538</v>
      </c>
      <c r="B228" s="24"/>
      <c r="D228" t="str">
        <f>IF($C228="","",IFERROR(LOOKUP(2,1/('03_Warehouse_Movements'!$C$2:$C$500=$A228),'03_Warehouse_Movements'!$E$2:$E$500),$C228))</f>
        <v/>
      </c>
      <c r="E228" t="s">
        <v>209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539</v>
      </c>
      <c r="B229" s="24"/>
      <c r="D229" t="str">
        <f>IF($C229="","",IFERROR(LOOKUP(2,1/('03_Warehouse_Movements'!$C$2:$C$500=$A229),'03_Warehouse_Movements'!$E$2:$E$500),$C229))</f>
        <v/>
      </c>
      <c r="E229" t="s">
        <v>209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540</v>
      </c>
      <c r="B230" s="24"/>
      <c r="D230" t="str">
        <f>IF($C230="","",IFERROR(LOOKUP(2,1/('03_Warehouse_Movements'!$C$2:$C$500=$A230),'03_Warehouse_Movements'!$E$2:$E$500),$C230))</f>
        <v/>
      </c>
      <c r="E230" t="s">
        <v>209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541</v>
      </c>
      <c r="B231" s="24"/>
      <c r="D231" t="str">
        <f>IF($C231="","",IFERROR(LOOKUP(2,1/('03_Warehouse_Movements'!$C$2:$C$500=$A231),'03_Warehouse_Movements'!$E$2:$E$500),$C231))</f>
        <v/>
      </c>
      <c r="E231" t="s">
        <v>209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542</v>
      </c>
      <c r="B232" s="24"/>
      <c r="D232" t="str">
        <f>IF($C232="","",IFERROR(LOOKUP(2,1/('03_Warehouse_Movements'!$C$2:$C$500=$A232),'03_Warehouse_Movements'!$E$2:$E$500),$C232))</f>
        <v/>
      </c>
      <c r="E232" t="s">
        <v>209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543</v>
      </c>
      <c r="B233" s="24"/>
      <c r="D233" t="str">
        <f>IF($C233="","",IFERROR(LOOKUP(2,1/('03_Warehouse_Movements'!$C$2:$C$500=$A233),'03_Warehouse_Movements'!$E$2:$E$500),$C233))</f>
        <v/>
      </c>
      <c r="E233" t="s">
        <v>209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544</v>
      </c>
      <c r="B234" s="24"/>
      <c r="D234" t="str">
        <f>IF($C234="","",IFERROR(LOOKUP(2,1/('03_Warehouse_Movements'!$C$2:$C$500=$A234),'03_Warehouse_Movements'!$E$2:$E$500),$C234))</f>
        <v/>
      </c>
      <c r="E234" t="s">
        <v>209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545</v>
      </c>
      <c r="B235" s="24"/>
      <c r="D235" t="str">
        <f>IF($C235="","",IFERROR(LOOKUP(2,1/('03_Warehouse_Movements'!$C$2:$C$500=$A235),'03_Warehouse_Movements'!$E$2:$E$500),$C235))</f>
        <v/>
      </c>
      <c r="E235" t="s">
        <v>209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546</v>
      </c>
      <c r="B236" s="24"/>
      <c r="D236" t="str">
        <f>IF($C236="","",IFERROR(LOOKUP(2,1/('03_Warehouse_Movements'!$C$2:$C$500=$A236),'03_Warehouse_Movements'!$E$2:$E$500),$C236))</f>
        <v/>
      </c>
      <c r="E236" t="s">
        <v>209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547</v>
      </c>
      <c r="B237" s="24"/>
      <c r="D237" t="str">
        <f>IF($C237="","",IFERROR(LOOKUP(2,1/('03_Warehouse_Movements'!$C$2:$C$500=$A237),'03_Warehouse_Movements'!$E$2:$E$500),$C237))</f>
        <v/>
      </c>
      <c r="E237" t="s">
        <v>209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548</v>
      </c>
      <c r="B238" s="24"/>
      <c r="D238" t="str">
        <f>IF($C238="","",IFERROR(LOOKUP(2,1/('03_Warehouse_Movements'!$C$2:$C$500=$A238),'03_Warehouse_Movements'!$E$2:$E$500),$C238))</f>
        <v/>
      </c>
      <c r="E238" t="s">
        <v>209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549</v>
      </c>
      <c r="B239" s="24"/>
      <c r="D239" t="str">
        <f>IF($C239="","",IFERROR(LOOKUP(2,1/('03_Warehouse_Movements'!$C$2:$C$500=$A239),'03_Warehouse_Movements'!$E$2:$E$500),$C239))</f>
        <v/>
      </c>
      <c r="E239" t="s">
        <v>209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550</v>
      </c>
      <c r="B240" s="24"/>
      <c r="D240" t="str">
        <f>IF($C240="","",IFERROR(LOOKUP(2,1/('03_Warehouse_Movements'!$C$2:$C$500=$A240),'03_Warehouse_Movements'!$E$2:$E$500),$C240))</f>
        <v/>
      </c>
      <c r="E240" t="s">
        <v>209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551</v>
      </c>
      <c r="B241" s="24"/>
      <c r="D241" t="str">
        <f>IF($C241="","",IFERROR(LOOKUP(2,1/('03_Warehouse_Movements'!$C$2:$C$500=$A241),'03_Warehouse_Movements'!$E$2:$E$500),$C241))</f>
        <v/>
      </c>
      <c r="E241" t="s">
        <v>209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552</v>
      </c>
      <c r="B242" s="24"/>
      <c r="D242" t="str">
        <f>IF($C242="","",IFERROR(LOOKUP(2,1/('03_Warehouse_Movements'!$C$2:$C$500=$A242),'03_Warehouse_Movements'!$E$2:$E$500),$C242))</f>
        <v/>
      </c>
      <c r="E242" t="s">
        <v>209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553</v>
      </c>
      <c r="B243" s="24"/>
      <c r="D243" t="str">
        <f>IF($C243="","",IFERROR(LOOKUP(2,1/('03_Warehouse_Movements'!$C$2:$C$500=$A243),'03_Warehouse_Movements'!$E$2:$E$500),$C243))</f>
        <v/>
      </c>
      <c r="E243" t="s">
        <v>209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554</v>
      </c>
      <c r="B244" s="24"/>
      <c r="D244" t="str">
        <f>IF($C244="","",IFERROR(LOOKUP(2,1/('03_Warehouse_Movements'!$C$2:$C$500=$A244),'03_Warehouse_Movements'!$E$2:$E$500),$C244))</f>
        <v/>
      </c>
      <c r="E244" t="s">
        <v>209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555</v>
      </c>
      <c r="B245" s="24"/>
      <c r="D245" t="str">
        <f>IF($C245="","",IFERROR(LOOKUP(2,1/('03_Warehouse_Movements'!$C$2:$C$500=$A245),'03_Warehouse_Movements'!$E$2:$E$500),$C245))</f>
        <v/>
      </c>
      <c r="E245" t="s">
        <v>209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556</v>
      </c>
      <c r="B246" s="24"/>
      <c r="D246" t="str">
        <f>IF($C246="","",IFERROR(LOOKUP(2,1/('03_Warehouse_Movements'!$C$2:$C$500=$A246),'03_Warehouse_Movements'!$E$2:$E$500),$C246))</f>
        <v/>
      </c>
      <c r="E246" t="s">
        <v>209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557</v>
      </c>
      <c r="B247" s="24"/>
      <c r="D247" t="str">
        <f>IF($C247="","",IFERROR(LOOKUP(2,1/('03_Warehouse_Movements'!$C$2:$C$500=$A247),'03_Warehouse_Movements'!$E$2:$E$500),$C247))</f>
        <v/>
      </c>
      <c r="E247" t="s">
        <v>209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558</v>
      </c>
      <c r="B248" s="24"/>
      <c r="D248" t="str">
        <f>IF($C248="","",IFERROR(LOOKUP(2,1/('03_Warehouse_Movements'!$C$2:$C$500=$A248),'03_Warehouse_Movements'!$E$2:$E$500),$C248))</f>
        <v/>
      </c>
      <c r="E248" t="s">
        <v>209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559</v>
      </c>
      <c r="B249" s="24"/>
      <c r="D249" t="str">
        <f>IF($C249="","",IFERROR(LOOKUP(2,1/('03_Warehouse_Movements'!$C$2:$C$500=$A249),'03_Warehouse_Movements'!$E$2:$E$500),$C249))</f>
        <v/>
      </c>
      <c r="E249" t="s">
        <v>209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560</v>
      </c>
      <c r="B250" s="24"/>
      <c r="D250" t="str">
        <f>IF($C250="","",IFERROR(LOOKUP(2,1/('03_Warehouse_Movements'!$C$2:$C$500=$A250),'03_Warehouse_Movements'!$E$2:$E$500),$C250))</f>
        <v/>
      </c>
      <c r="E250" t="s">
        <v>209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561</v>
      </c>
      <c r="B251" s="24"/>
      <c r="D251" t="str">
        <f>IF($C251="","",IFERROR(LOOKUP(2,1/('03_Warehouse_Movements'!$C$2:$C$500=$A251),'03_Warehouse_Movements'!$E$2:$E$500),$C251))</f>
        <v/>
      </c>
      <c r="E251" t="s">
        <v>209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562</v>
      </c>
      <c r="B252" s="24"/>
      <c r="D252" t="str">
        <f>IF($C252="","",IFERROR(LOOKUP(2,1/('03_Warehouse_Movements'!$C$2:$C$500=$A252),'03_Warehouse_Movements'!$E$2:$E$500),$C252))</f>
        <v/>
      </c>
      <c r="E252" t="s">
        <v>209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563</v>
      </c>
      <c r="B253" s="24"/>
      <c r="D253" t="str">
        <f>IF($C253="","",IFERROR(LOOKUP(2,1/('03_Warehouse_Movements'!$C$2:$C$500=$A253),'03_Warehouse_Movements'!$E$2:$E$500),$C253))</f>
        <v/>
      </c>
      <c r="E253" t="s">
        <v>209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564</v>
      </c>
      <c r="B254" s="24"/>
      <c r="D254" t="str">
        <f>IF($C254="","",IFERROR(LOOKUP(2,1/('03_Warehouse_Movements'!$C$2:$C$500=$A254),'03_Warehouse_Movements'!$E$2:$E$500),$C254))</f>
        <v/>
      </c>
      <c r="E254" t="s">
        <v>209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565</v>
      </c>
      <c r="B255" s="24"/>
      <c r="D255" t="str">
        <f>IF($C255="","",IFERROR(LOOKUP(2,1/('03_Warehouse_Movements'!$C$2:$C$500=$A255),'03_Warehouse_Movements'!$E$2:$E$500),$C255))</f>
        <v/>
      </c>
      <c r="E255" t="s">
        <v>209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566</v>
      </c>
      <c r="B256" s="24"/>
      <c r="D256" t="str">
        <f>IF($C256="","",IFERROR(LOOKUP(2,1/('03_Warehouse_Movements'!$C$2:$C$500=$A256),'03_Warehouse_Movements'!$E$2:$E$500),$C256))</f>
        <v/>
      </c>
      <c r="E256" t="s">
        <v>209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567</v>
      </c>
      <c r="B257" s="24"/>
      <c r="D257" t="str">
        <f>IF($C257="","",IFERROR(LOOKUP(2,1/('03_Warehouse_Movements'!$C$2:$C$500=$A257),'03_Warehouse_Movements'!$E$2:$E$500),$C257))</f>
        <v/>
      </c>
      <c r="E257" t="s">
        <v>209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568</v>
      </c>
      <c r="B258" s="24"/>
      <c r="D258" t="str">
        <f>IF($C258="","",IFERROR(LOOKUP(2,1/('03_Warehouse_Movements'!$C$2:$C$500=$A258),'03_Warehouse_Movements'!$E$2:$E$500),$C258))</f>
        <v/>
      </c>
      <c r="E258" t="s">
        <v>209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569</v>
      </c>
      <c r="B259" s="24"/>
      <c r="D259" t="str">
        <f>IF($C259="","",IFERROR(LOOKUP(2,1/('03_Warehouse_Movements'!$C$2:$C$500=$A259),'03_Warehouse_Movements'!$E$2:$E$500),$C259))</f>
        <v/>
      </c>
      <c r="E259" t="s">
        <v>209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570</v>
      </c>
      <c r="B260" s="24"/>
      <c r="D260" t="str">
        <f>IF($C260="","",IFERROR(LOOKUP(2,1/('03_Warehouse_Movements'!$C$2:$C$500=$A260),'03_Warehouse_Movements'!$E$2:$E$500),$C260))</f>
        <v/>
      </c>
      <c r="E260" t="s">
        <v>209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571</v>
      </c>
      <c r="B261" s="24"/>
      <c r="D261" t="str">
        <f>IF($C261="","",IFERROR(LOOKUP(2,1/('03_Warehouse_Movements'!$C$2:$C$500=$A261),'03_Warehouse_Movements'!$E$2:$E$500),$C261))</f>
        <v/>
      </c>
      <c r="E261" t="s">
        <v>209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572</v>
      </c>
      <c r="B262" s="24"/>
      <c r="D262" t="str">
        <f>IF($C262="","",IFERROR(LOOKUP(2,1/('03_Warehouse_Movements'!$C$2:$C$500=$A262),'03_Warehouse_Movements'!$E$2:$E$500),$C262))</f>
        <v/>
      </c>
      <c r="E262" t="s">
        <v>209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573</v>
      </c>
      <c r="B263" s="24"/>
      <c r="D263" t="str">
        <f>IF($C263="","",IFERROR(LOOKUP(2,1/('03_Warehouse_Movements'!$C$2:$C$500=$A263),'03_Warehouse_Movements'!$E$2:$E$500),$C263))</f>
        <v/>
      </c>
      <c r="E263" t="s">
        <v>209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574</v>
      </c>
      <c r="B264" s="24"/>
      <c r="D264" t="str">
        <f>IF($C264="","",IFERROR(LOOKUP(2,1/('03_Warehouse_Movements'!$C$2:$C$500=$A264),'03_Warehouse_Movements'!$E$2:$E$500),$C264))</f>
        <v/>
      </c>
      <c r="E264" t="s">
        <v>209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575</v>
      </c>
      <c r="B265" s="24"/>
      <c r="D265" t="str">
        <f>IF($C265="","",IFERROR(LOOKUP(2,1/('03_Warehouse_Movements'!$C$2:$C$500=$A265),'03_Warehouse_Movements'!$E$2:$E$500),$C265))</f>
        <v/>
      </c>
      <c r="E265" t="s">
        <v>209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576</v>
      </c>
      <c r="B266" s="24"/>
      <c r="D266" t="str">
        <f>IF($C266="","",IFERROR(LOOKUP(2,1/('03_Warehouse_Movements'!$C$2:$C$500=$A266),'03_Warehouse_Movements'!$E$2:$E$500),$C266))</f>
        <v/>
      </c>
      <c r="E266" t="s">
        <v>209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577</v>
      </c>
      <c r="B267" s="24"/>
      <c r="D267" t="str">
        <f>IF($C267="","",IFERROR(LOOKUP(2,1/('03_Warehouse_Movements'!$C$2:$C$500=$A267),'03_Warehouse_Movements'!$E$2:$E$500),$C267))</f>
        <v/>
      </c>
      <c r="E267" t="s">
        <v>209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578</v>
      </c>
      <c r="B268" s="24"/>
      <c r="D268" t="str">
        <f>IF($C268="","",IFERROR(LOOKUP(2,1/('03_Warehouse_Movements'!$C$2:$C$500=$A268),'03_Warehouse_Movements'!$E$2:$E$500),$C268))</f>
        <v/>
      </c>
      <c r="E268" t="s">
        <v>209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579</v>
      </c>
      <c r="B269" s="24"/>
      <c r="D269" t="str">
        <f>IF($C269="","",IFERROR(LOOKUP(2,1/('03_Warehouse_Movements'!$C$2:$C$500=$A269),'03_Warehouse_Movements'!$E$2:$E$500),$C269))</f>
        <v/>
      </c>
      <c r="E269" t="s">
        <v>209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580</v>
      </c>
      <c r="B270" s="24"/>
      <c r="D270" t="str">
        <f>IF($C270="","",IFERROR(LOOKUP(2,1/('03_Warehouse_Movements'!$C$2:$C$500=$A270),'03_Warehouse_Movements'!$E$2:$E$500),$C270))</f>
        <v/>
      </c>
      <c r="E270" t="s">
        <v>209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581</v>
      </c>
      <c r="B271" s="24"/>
      <c r="D271" t="str">
        <f>IF($C271="","",IFERROR(LOOKUP(2,1/('03_Warehouse_Movements'!$C$2:$C$500=$A271),'03_Warehouse_Movements'!$E$2:$E$500),$C271))</f>
        <v/>
      </c>
      <c r="E271" t="s">
        <v>209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582</v>
      </c>
      <c r="B272" s="24"/>
      <c r="D272" t="str">
        <f>IF($C272="","",IFERROR(LOOKUP(2,1/('03_Warehouse_Movements'!$C$2:$C$500=$A272),'03_Warehouse_Movements'!$E$2:$E$500),$C272))</f>
        <v/>
      </c>
      <c r="E272" t="s">
        <v>209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583</v>
      </c>
      <c r="B273" s="24"/>
      <c r="D273" t="str">
        <f>IF($C273="","",IFERROR(LOOKUP(2,1/('03_Warehouse_Movements'!$C$2:$C$500=$A273),'03_Warehouse_Movements'!$E$2:$E$500),$C273))</f>
        <v/>
      </c>
      <c r="E273" t="s">
        <v>209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584</v>
      </c>
      <c r="B274" s="24"/>
      <c r="D274" t="str">
        <f>IF($C274="","",IFERROR(LOOKUP(2,1/('03_Warehouse_Movements'!$C$2:$C$500=$A274),'03_Warehouse_Movements'!$E$2:$E$500),$C274))</f>
        <v/>
      </c>
      <c r="E274" t="s">
        <v>209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585</v>
      </c>
      <c r="B275" s="24"/>
      <c r="D275" t="str">
        <f>IF($C275="","",IFERROR(LOOKUP(2,1/('03_Warehouse_Movements'!$C$2:$C$500=$A275),'03_Warehouse_Movements'!$E$2:$E$500),$C275))</f>
        <v/>
      </c>
      <c r="E275" t="s">
        <v>209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586</v>
      </c>
      <c r="B276" s="24"/>
      <c r="D276" t="str">
        <f>IF($C276="","",IFERROR(LOOKUP(2,1/('03_Warehouse_Movements'!$C$2:$C$500=$A276),'03_Warehouse_Movements'!$E$2:$E$500),$C276))</f>
        <v/>
      </c>
      <c r="E276" t="s">
        <v>209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587</v>
      </c>
      <c r="B277" s="24"/>
      <c r="D277" t="str">
        <f>IF($C277="","",IFERROR(LOOKUP(2,1/('03_Warehouse_Movements'!$C$2:$C$500=$A277),'03_Warehouse_Movements'!$E$2:$E$500),$C277))</f>
        <v/>
      </c>
      <c r="E277" t="s">
        <v>209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588</v>
      </c>
      <c r="B278" s="24"/>
      <c r="D278" t="str">
        <f>IF($C278="","",IFERROR(LOOKUP(2,1/('03_Warehouse_Movements'!$C$2:$C$500=$A278),'03_Warehouse_Movements'!$E$2:$E$500),$C278))</f>
        <v/>
      </c>
      <c r="E278" t="s">
        <v>209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589</v>
      </c>
      <c r="B279" s="24"/>
      <c r="D279" t="str">
        <f>IF($C279="","",IFERROR(LOOKUP(2,1/('03_Warehouse_Movements'!$C$2:$C$500=$A279),'03_Warehouse_Movements'!$E$2:$E$500),$C279))</f>
        <v/>
      </c>
      <c r="E279" t="s">
        <v>209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590</v>
      </c>
      <c r="B280" s="24"/>
      <c r="D280" t="str">
        <f>IF($C280="","",IFERROR(LOOKUP(2,1/('03_Warehouse_Movements'!$C$2:$C$500=$A280),'03_Warehouse_Movements'!$E$2:$E$500),$C280))</f>
        <v/>
      </c>
      <c r="E280" t="s">
        <v>209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591</v>
      </c>
      <c r="B281" s="24"/>
      <c r="D281" t="str">
        <f>IF($C281="","",IFERROR(LOOKUP(2,1/('03_Warehouse_Movements'!$C$2:$C$500=$A281),'03_Warehouse_Movements'!$E$2:$E$500),$C281))</f>
        <v/>
      </c>
      <c r="E281" t="s">
        <v>209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592</v>
      </c>
      <c r="B282" s="24"/>
      <c r="D282" t="str">
        <f>IF($C282="","",IFERROR(LOOKUP(2,1/('03_Warehouse_Movements'!$C$2:$C$500=$A282),'03_Warehouse_Movements'!$E$2:$E$500),$C282))</f>
        <v/>
      </c>
      <c r="E282" t="s">
        <v>209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593</v>
      </c>
      <c r="B283" s="24"/>
      <c r="D283" t="str">
        <f>IF($C283="","",IFERROR(LOOKUP(2,1/('03_Warehouse_Movements'!$C$2:$C$500=$A283),'03_Warehouse_Movements'!$E$2:$E$500),$C283))</f>
        <v/>
      </c>
      <c r="E283" t="s">
        <v>209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594</v>
      </c>
      <c r="B284" s="24"/>
      <c r="D284" t="str">
        <f>IF($C284="","",IFERROR(LOOKUP(2,1/('03_Warehouse_Movements'!$C$2:$C$500=$A284),'03_Warehouse_Movements'!$E$2:$E$500),$C284))</f>
        <v/>
      </c>
      <c r="E284" t="s">
        <v>209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595</v>
      </c>
      <c r="B285" s="24"/>
      <c r="D285" t="str">
        <f>IF($C285="","",IFERROR(LOOKUP(2,1/('03_Warehouse_Movements'!$C$2:$C$500=$A285),'03_Warehouse_Movements'!$E$2:$E$500),$C285))</f>
        <v/>
      </c>
      <c r="E285" t="s">
        <v>209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596</v>
      </c>
      <c r="B286" s="24"/>
      <c r="D286" t="str">
        <f>IF($C286="","",IFERROR(LOOKUP(2,1/('03_Warehouse_Movements'!$C$2:$C$500=$A286),'03_Warehouse_Movements'!$E$2:$E$500),$C286))</f>
        <v/>
      </c>
      <c r="E286" t="s">
        <v>209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597</v>
      </c>
      <c r="B287" s="24"/>
      <c r="D287" t="str">
        <f>IF($C287="","",IFERROR(LOOKUP(2,1/('03_Warehouse_Movements'!$C$2:$C$500=$A287),'03_Warehouse_Movements'!$E$2:$E$500),$C287))</f>
        <v/>
      </c>
      <c r="E287" t="s">
        <v>209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598</v>
      </c>
      <c r="B288" s="24"/>
      <c r="D288" t="str">
        <f>IF($C288="","",IFERROR(LOOKUP(2,1/('03_Warehouse_Movements'!$C$2:$C$500=$A288),'03_Warehouse_Movements'!$E$2:$E$500),$C288))</f>
        <v/>
      </c>
      <c r="E288" t="s">
        <v>209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599</v>
      </c>
      <c r="B289" s="24"/>
      <c r="D289" t="str">
        <f>IF($C289="","",IFERROR(LOOKUP(2,1/('03_Warehouse_Movements'!$C$2:$C$500=$A289),'03_Warehouse_Movements'!$E$2:$E$500),$C289))</f>
        <v/>
      </c>
      <c r="E289" t="s">
        <v>209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600</v>
      </c>
      <c r="B290" s="24"/>
      <c r="D290" t="str">
        <f>IF($C290="","",IFERROR(LOOKUP(2,1/('03_Warehouse_Movements'!$C$2:$C$500=$A290),'03_Warehouse_Movements'!$E$2:$E$500),$C290))</f>
        <v/>
      </c>
      <c r="E290" t="s">
        <v>209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601</v>
      </c>
      <c r="B291" s="24"/>
      <c r="D291" t="str">
        <f>IF($C291="","",IFERROR(LOOKUP(2,1/('03_Warehouse_Movements'!$C$2:$C$500=$A291),'03_Warehouse_Movements'!$E$2:$E$500),$C291))</f>
        <v/>
      </c>
      <c r="E291" t="s">
        <v>209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602</v>
      </c>
      <c r="B292" s="24"/>
      <c r="D292" t="str">
        <f>IF($C292="","",IFERROR(LOOKUP(2,1/('03_Warehouse_Movements'!$C$2:$C$500=$A292),'03_Warehouse_Movements'!$E$2:$E$500),$C292))</f>
        <v/>
      </c>
      <c r="E292" t="s">
        <v>209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603</v>
      </c>
      <c r="B293" s="24"/>
      <c r="D293" t="str">
        <f>IF($C293="","",IFERROR(LOOKUP(2,1/('03_Warehouse_Movements'!$C$2:$C$500=$A293),'03_Warehouse_Movements'!$E$2:$E$500),$C293))</f>
        <v/>
      </c>
      <c r="E293" t="s">
        <v>209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604</v>
      </c>
      <c r="B294" s="24"/>
      <c r="D294" t="str">
        <f>IF($C294="","",IFERROR(LOOKUP(2,1/('03_Warehouse_Movements'!$C$2:$C$500=$A294),'03_Warehouse_Movements'!$E$2:$E$500),$C294))</f>
        <v/>
      </c>
      <c r="E294" t="s">
        <v>209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605</v>
      </c>
      <c r="B295" s="24"/>
      <c r="D295" t="str">
        <f>IF($C295="","",IFERROR(LOOKUP(2,1/('03_Warehouse_Movements'!$C$2:$C$500=$A295),'03_Warehouse_Movements'!$E$2:$E$500),$C295))</f>
        <v/>
      </c>
      <c r="E295" t="s">
        <v>209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606</v>
      </c>
      <c r="B296" s="24"/>
      <c r="D296" t="str">
        <f>IF($C296="","",IFERROR(LOOKUP(2,1/('03_Warehouse_Movements'!$C$2:$C$500=$A296),'03_Warehouse_Movements'!$E$2:$E$500),$C296))</f>
        <v/>
      </c>
      <c r="E296" t="s">
        <v>209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607</v>
      </c>
      <c r="B297" s="24"/>
      <c r="D297" t="str">
        <f>IF($C297="","",IFERROR(LOOKUP(2,1/('03_Warehouse_Movements'!$C$2:$C$500=$A297),'03_Warehouse_Movements'!$E$2:$E$500),$C297))</f>
        <v/>
      </c>
      <c r="E297" t="s">
        <v>209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608</v>
      </c>
      <c r="B298" s="24"/>
      <c r="D298" t="str">
        <f>IF($C298="","",IFERROR(LOOKUP(2,1/('03_Warehouse_Movements'!$C$2:$C$500=$A298),'03_Warehouse_Movements'!$E$2:$E$500),$C298))</f>
        <v/>
      </c>
      <c r="E298" t="s">
        <v>209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609</v>
      </c>
      <c r="B299" s="24"/>
      <c r="D299" t="str">
        <f>IF($C299="","",IFERROR(LOOKUP(2,1/('03_Warehouse_Movements'!$C$2:$C$500=$A299),'03_Warehouse_Movements'!$E$2:$E$500),$C299))</f>
        <v/>
      </c>
      <c r="E299" t="s">
        <v>209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610</v>
      </c>
      <c r="B300" s="24"/>
      <c r="D300" t="str">
        <f>IF($C300="","",IFERROR(LOOKUP(2,1/('03_Warehouse_Movements'!$C$2:$C$500=$A300),'03_Warehouse_Movements'!$E$2:$E$500),$C300))</f>
        <v/>
      </c>
      <c r="E300" t="s">
        <v>209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611</v>
      </c>
      <c r="B301" s="24"/>
      <c r="D301" t="str">
        <f>IF($C301="","",IFERROR(LOOKUP(2,1/('03_Warehouse_Movements'!$C$2:$C$500=$A301),'03_Warehouse_Movements'!$E$2:$E$500),$C301))</f>
        <v/>
      </c>
      <c r="E301" t="s">
        <v>209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612</v>
      </c>
      <c r="B302" s="24"/>
      <c r="D302" t="str">
        <f>IF($C302="","",IFERROR(LOOKUP(2,1/('03_Warehouse_Movements'!$C$2:$C$500=$A302),'03_Warehouse_Movements'!$E$2:$E$500),$C302))</f>
        <v/>
      </c>
      <c r="E302" t="s">
        <v>209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613</v>
      </c>
      <c r="B303" s="24"/>
      <c r="D303" t="str">
        <f>IF($C303="","",IFERROR(LOOKUP(2,1/('03_Warehouse_Movements'!$C$2:$C$500=$A303),'03_Warehouse_Movements'!$E$2:$E$500),$C303))</f>
        <v/>
      </c>
      <c r="E303" t="s">
        <v>209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614</v>
      </c>
      <c r="B304" s="24"/>
      <c r="D304" t="str">
        <f>IF($C304="","",IFERROR(LOOKUP(2,1/('03_Warehouse_Movements'!$C$2:$C$500=$A304),'03_Warehouse_Movements'!$E$2:$E$500),$C304))</f>
        <v/>
      </c>
      <c r="E304" t="s">
        <v>209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615</v>
      </c>
      <c r="B305" s="24"/>
      <c r="D305" t="str">
        <f>IF($C305="","",IFERROR(LOOKUP(2,1/('03_Warehouse_Movements'!$C$2:$C$500=$A305),'03_Warehouse_Movements'!$E$2:$E$500),$C305))</f>
        <v/>
      </c>
      <c r="E305" t="s">
        <v>209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616</v>
      </c>
      <c r="B306" s="24"/>
      <c r="D306" t="str">
        <f>IF($C306="","",IFERROR(LOOKUP(2,1/('03_Warehouse_Movements'!$C$2:$C$500=$A306),'03_Warehouse_Movements'!$E$2:$E$500),$C306))</f>
        <v/>
      </c>
      <c r="E306" t="s">
        <v>209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617</v>
      </c>
      <c r="B307" s="24"/>
      <c r="D307" t="str">
        <f>IF($C307="","",IFERROR(LOOKUP(2,1/('03_Warehouse_Movements'!$C$2:$C$500=$A307),'03_Warehouse_Movements'!$E$2:$E$500),$C307))</f>
        <v/>
      </c>
      <c r="E307" t="s">
        <v>209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618</v>
      </c>
      <c r="B308" s="24"/>
      <c r="D308" t="str">
        <f>IF($C308="","",IFERROR(LOOKUP(2,1/('03_Warehouse_Movements'!$C$2:$C$500=$A308),'03_Warehouse_Movements'!$E$2:$E$500),$C308))</f>
        <v/>
      </c>
      <c r="E308" t="s">
        <v>209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619</v>
      </c>
      <c r="B309" s="24"/>
      <c r="D309" t="str">
        <f>IF($C309="","",IFERROR(LOOKUP(2,1/('03_Warehouse_Movements'!$C$2:$C$500=$A309),'03_Warehouse_Movements'!$E$2:$E$500),$C309))</f>
        <v/>
      </c>
      <c r="E309" t="s">
        <v>209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620</v>
      </c>
      <c r="B310" s="24"/>
      <c r="D310" t="str">
        <f>IF($C310="","",IFERROR(LOOKUP(2,1/('03_Warehouse_Movements'!$C$2:$C$500=$A310),'03_Warehouse_Movements'!$E$2:$E$500),$C310))</f>
        <v/>
      </c>
      <c r="E310" t="s">
        <v>209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621</v>
      </c>
      <c r="B311" s="24"/>
      <c r="D311" t="str">
        <f>IF($C311="","",IFERROR(LOOKUP(2,1/('03_Warehouse_Movements'!$C$2:$C$500=$A311),'03_Warehouse_Movements'!$E$2:$E$500),$C311))</f>
        <v/>
      </c>
      <c r="E311" t="s">
        <v>209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622</v>
      </c>
      <c r="B312" s="24"/>
      <c r="D312" t="str">
        <f>IF($C312="","",IFERROR(LOOKUP(2,1/('03_Warehouse_Movements'!$C$2:$C$500=$A312),'03_Warehouse_Movements'!$E$2:$E$500),$C312))</f>
        <v/>
      </c>
      <c r="E312" t="s">
        <v>209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623</v>
      </c>
      <c r="B313" s="24"/>
      <c r="D313" t="str">
        <f>IF($C313="","",IFERROR(LOOKUP(2,1/('03_Warehouse_Movements'!$C$2:$C$500=$A313),'03_Warehouse_Movements'!$E$2:$E$500),$C313))</f>
        <v/>
      </c>
      <c r="E313" t="s">
        <v>209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624</v>
      </c>
      <c r="B314" s="24"/>
      <c r="D314" t="str">
        <f>IF($C314="","",IFERROR(LOOKUP(2,1/('03_Warehouse_Movements'!$C$2:$C$500=$A314),'03_Warehouse_Movements'!$E$2:$E$500),$C314))</f>
        <v/>
      </c>
      <c r="E314" t="s">
        <v>209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625</v>
      </c>
      <c r="B315" s="24"/>
      <c r="D315" t="str">
        <f>IF($C315="","",IFERROR(LOOKUP(2,1/('03_Warehouse_Movements'!$C$2:$C$500=$A315),'03_Warehouse_Movements'!$E$2:$E$500),$C315))</f>
        <v/>
      </c>
      <c r="E315" t="s">
        <v>209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626</v>
      </c>
      <c r="B316" s="24"/>
      <c r="D316" t="str">
        <f>IF($C316="","",IFERROR(LOOKUP(2,1/('03_Warehouse_Movements'!$C$2:$C$500=$A316),'03_Warehouse_Movements'!$E$2:$E$500),$C316))</f>
        <v/>
      </c>
      <c r="E316" t="s">
        <v>209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627</v>
      </c>
      <c r="B317" s="24"/>
      <c r="D317" t="str">
        <f>IF($C317="","",IFERROR(LOOKUP(2,1/('03_Warehouse_Movements'!$C$2:$C$500=$A317),'03_Warehouse_Movements'!$E$2:$E$500),$C317))</f>
        <v/>
      </c>
      <c r="E317" t="s">
        <v>209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628</v>
      </c>
      <c r="B318" s="24"/>
      <c r="D318" t="str">
        <f>IF($C318="","",IFERROR(LOOKUP(2,1/('03_Warehouse_Movements'!$C$2:$C$500=$A318),'03_Warehouse_Movements'!$E$2:$E$500),$C318))</f>
        <v/>
      </c>
      <c r="E318" t="s">
        <v>209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629</v>
      </c>
      <c r="B319" s="24"/>
      <c r="D319" t="str">
        <f>IF($C319="","",IFERROR(LOOKUP(2,1/('03_Warehouse_Movements'!$C$2:$C$500=$A319),'03_Warehouse_Movements'!$E$2:$E$500),$C319))</f>
        <v/>
      </c>
      <c r="E319" t="s">
        <v>209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630</v>
      </c>
      <c r="B320" s="24"/>
      <c r="D320" t="str">
        <f>IF($C320="","",IFERROR(LOOKUP(2,1/('03_Warehouse_Movements'!$C$2:$C$500=$A320),'03_Warehouse_Movements'!$E$2:$E$500),$C320))</f>
        <v/>
      </c>
      <c r="E320" t="s">
        <v>209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631</v>
      </c>
      <c r="B321" s="24"/>
      <c r="D321" t="str">
        <f>IF($C321="","",IFERROR(LOOKUP(2,1/('03_Warehouse_Movements'!$C$2:$C$500=$A321),'03_Warehouse_Movements'!$E$2:$E$500),$C321))</f>
        <v/>
      </c>
      <c r="E321" t="s">
        <v>209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632</v>
      </c>
      <c r="B322" s="24"/>
      <c r="D322" t="str">
        <f>IF($C322="","",IFERROR(LOOKUP(2,1/('03_Warehouse_Movements'!$C$2:$C$500=$A322),'03_Warehouse_Movements'!$E$2:$E$500),$C322))</f>
        <v/>
      </c>
      <c r="E322" t="s">
        <v>209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633</v>
      </c>
      <c r="B323" s="24"/>
      <c r="D323" t="str">
        <f>IF($C323="","",IFERROR(LOOKUP(2,1/('03_Warehouse_Movements'!$C$2:$C$500=$A323),'03_Warehouse_Movements'!$E$2:$E$500),$C323))</f>
        <v/>
      </c>
      <c r="E323" t="s">
        <v>209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634</v>
      </c>
      <c r="B324" s="24"/>
      <c r="D324" t="str">
        <f>IF($C324="","",IFERROR(LOOKUP(2,1/('03_Warehouse_Movements'!$C$2:$C$500=$A324),'03_Warehouse_Movements'!$E$2:$E$500),$C324))</f>
        <v/>
      </c>
      <c r="E324" t="s">
        <v>209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635</v>
      </c>
      <c r="B325" s="24"/>
      <c r="D325" t="str">
        <f>IF($C325="","",IFERROR(LOOKUP(2,1/('03_Warehouse_Movements'!$C$2:$C$500=$A325),'03_Warehouse_Movements'!$E$2:$E$500),$C325))</f>
        <v/>
      </c>
      <c r="E325" t="s">
        <v>209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636</v>
      </c>
      <c r="B326" s="24"/>
      <c r="D326" t="str">
        <f>IF($C326="","",IFERROR(LOOKUP(2,1/('03_Warehouse_Movements'!$C$2:$C$500=$A326),'03_Warehouse_Movements'!$E$2:$E$500),$C326))</f>
        <v/>
      </c>
      <c r="E326" t="s">
        <v>209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637</v>
      </c>
      <c r="B327" s="24"/>
      <c r="D327" t="str">
        <f>IF($C327="","",IFERROR(LOOKUP(2,1/('03_Warehouse_Movements'!$C$2:$C$500=$A327),'03_Warehouse_Movements'!$E$2:$E$500),$C327))</f>
        <v/>
      </c>
      <c r="E327" t="s">
        <v>209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638</v>
      </c>
      <c r="B328" s="24"/>
      <c r="D328" t="str">
        <f>IF($C328="","",IFERROR(LOOKUP(2,1/('03_Warehouse_Movements'!$C$2:$C$500=$A328),'03_Warehouse_Movements'!$E$2:$E$500),$C328))</f>
        <v/>
      </c>
      <c r="E328" t="s">
        <v>209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639</v>
      </c>
      <c r="B329" s="24"/>
      <c r="D329" t="str">
        <f>IF($C329="","",IFERROR(LOOKUP(2,1/('03_Warehouse_Movements'!$C$2:$C$500=$A329),'03_Warehouse_Movements'!$E$2:$E$500),$C329))</f>
        <v/>
      </c>
      <c r="E329" t="s">
        <v>209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640</v>
      </c>
      <c r="B330" s="24"/>
      <c r="D330" t="str">
        <f>IF($C330="","",IFERROR(LOOKUP(2,1/('03_Warehouse_Movements'!$C$2:$C$500=$A330),'03_Warehouse_Movements'!$E$2:$E$500),$C330))</f>
        <v/>
      </c>
      <c r="E330" t="s">
        <v>209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641</v>
      </c>
      <c r="B331" s="24"/>
      <c r="D331" t="str">
        <f>IF($C331="","",IFERROR(LOOKUP(2,1/('03_Warehouse_Movements'!$C$2:$C$500=$A331),'03_Warehouse_Movements'!$E$2:$E$500),$C331))</f>
        <v/>
      </c>
      <c r="E331" t="s">
        <v>209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642</v>
      </c>
      <c r="B332" s="24"/>
      <c r="D332" t="str">
        <f>IF($C332="","",IFERROR(LOOKUP(2,1/('03_Warehouse_Movements'!$C$2:$C$500=$A332),'03_Warehouse_Movements'!$E$2:$E$500),$C332))</f>
        <v/>
      </c>
      <c r="E332" t="s">
        <v>209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643</v>
      </c>
      <c r="B333" s="24"/>
      <c r="D333" t="str">
        <f>IF($C333="","",IFERROR(LOOKUP(2,1/('03_Warehouse_Movements'!$C$2:$C$500=$A333),'03_Warehouse_Movements'!$E$2:$E$500),$C333))</f>
        <v/>
      </c>
      <c r="E333" t="s">
        <v>209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644</v>
      </c>
      <c r="B334" s="24"/>
      <c r="D334" t="str">
        <f>IF($C334="","",IFERROR(LOOKUP(2,1/('03_Warehouse_Movements'!$C$2:$C$500=$A334),'03_Warehouse_Movements'!$E$2:$E$500),$C334))</f>
        <v/>
      </c>
      <c r="E334" t="s">
        <v>209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645</v>
      </c>
      <c r="B335" s="24"/>
      <c r="D335" t="str">
        <f>IF($C335="","",IFERROR(LOOKUP(2,1/('03_Warehouse_Movements'!$C$2:$C$500=$A335),'03_Warehouse_Movements'!$E$2:$E$500),$C335))</f>
        <v/>
      </c>
      <c r="E335" t="s">
        <v>209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646</v>
      </c>
      <c r="B336" s="24"/>
      <c r="D336" t="str">
        <f>IF($C336="","",IFERROR(LOOKUP(2,1/('03_Warehouse_Movements'!$C$2:$C$500=$A336),'03_Warehouse_Movements'!$E$2:$E$500),$C336))</f>
        <v/>
      </c>
      <c r="E336" t="s">
        <v>209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647</v>
      </c>
      <c r="B337" s="24"/>
      <c r="D337" t="str">
        <f>IF($C337="","",IFERROR(LOOKUP(2,1/('03_Warehouse_Movements'!$C$2:$C$500=$A337),'03_Warehouse_Movements'!$E$2:$E$500),$C337))</f>
        <v/>
      </c>
      <c r="E337" t="s">
        <v>209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648</v>
      </c>
      <c r="B338" s="24"/>
      <c r="D338" t="str">
        <f>IF($C338="","",IFERROR(LOOKUP(2,1/('03_Warehouse_Movements'!$C$2:$C$500=$A338),'03_Warehouse_Movements'!$E$2:$E$500),$C338))</f>
        <v/>
      </c>
      <c r="E338" t="s">
        <v>209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649</v>
      </c>
      <c r="B339" s="24"/>
      <c r="D339" t="str">
        <f>IF($C339="","",IFERROR(LOOKUP(2,1/('03_Warehouse_Movements'!$C$2:$C$500=$A339),'03_Warehouse_Movements'!$E$2:$E$500),$C339))</f>
        <v/>
      </c>
      <c r="E339" t="s">
        <v>209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650</v>
      </c>
      <c r="B340" s="24"/>
      <c r="D340" t="str">
        <f>IF($C340="","",IFERROR(LOOKUP(2,1/('03_Warehouse_Movements'!$C$2:$C$500=$A340),'03_Warehouse_Movements'!$E$2:$E$500),$C340))</f>
        <v/>
      </c>
      <c r="E340" t="s">
        <v>209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651</v>
      </c>
      <c r="B341" s="24"/>
      <c r="D341" t="str">
        <f>IF($C341="","",IFERROR(LOOKUP(2,1/('03_Warehouse_Movements'!$C$2:$C$500=$A341),'03_Warehouse_Movements'!$E$2:$E$500),$C341))</f>
        <v/>
      </c>
      <c r="E341" t="s">
        <v>209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652</v>
      </c>
      <c r="B342" s="24"/>
      <c r="D342" t="str">
        <f>IF($C342="","",IFERROR(LOOKUP(2,1/('03_Warehouse_Movements'!$C$2:$C$500=$A342),'03_Warehouse_Movements'!$E$2:$E$500),$C342))</f>
        <v/>
      </c>
      <c r="E342" t="s">
        <v>209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653</v>
      </c>
      <c r="B343" s="24"/>
      <c r="D343" t="str">
        <f>IF($C343="","",IFERROR(LOOKUP(2,1/('03_Warehouse_Movements'!$C$2:$C$500=$A343),'03_Warehouse_Movements'!$E$2:$E$500),$C343))</f>
        <v/>
      </c>
      <c r="E343" t="s">
        <v>209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654</v>
      </c>
      <c r="B344" s="24"/>
      <c r="D344" t="str">
        <f>IF($C344="","",IFERROR(LOOKUP(2,1/('03_Warehouse_Movements'!$C$2:$C$500=$A344),'03_Warehouse_Movements'!$E$2:$E$500),$C344))</f>
        <v/>
      </c>
      <c r="E344" t="s">
        <v>209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655</v>
      </c>
      <c r="B345" s="24"/>
      <c r="D345" t="str">
        <f>IF($C345="","",IFERROR(LOOKUP(2,1/('03_Warehouse_Movements'!$C$2:$C$500=$A345),'03_Warehouse_Movements'!$E$2:$E$500),$C345))</f>
        <v/>
      </c>
      <c r="E345" t="s">
        <v>209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656</v>
      </c>
      <c r="B346" s="24"/>
      <c r="D346" t="str">
        <f>IF($C346="","",IFERROR(LOOKUP(2,1/('03_Warehouse_Movements'!$C$2:$C$500=$A346),'03_Warehouse_Movements'!$E$2:$E$500),$C346))</f>
        <v/>
      </c>
      <c r="E346" t="s">
        <v>209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657</v>
      </c>
      <c r="B347" s="24"/>
      <c r="D347" t="str">
        <f>IF($C347="","",IFERROR(LOOKUP(2,1/('03_Warehouse_Movements'!$C$2:$C$500=$A347),'03_Warehouse_Movements'!$E$2:$E$500),$C347))</f>
        <v/>
      </c>
      <c r="E347" t="s">
        <v>209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658</v>
      </c>
      <c r="B348" s="24"/>
      <c r="D348" t="str">
        <f>IF($C348="","",IFERROR(LOOKUP(2,1/('03_Warehouse_Movements'!$C$2:$C$500=$A348),'03_Warehouse_Movements'!$E$2:$E$500),$C348))</f>
        <v/>
      </c>
      <c r="E348" t="s">
        <v>209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659</v>
      </c>
      <c r="B349" s="24"/>
      <c r="D349" t="str">
        <f>IF($C349="","",IFERROR(LOOKUP(2,1/('03_Warehouse_Movements'!$C$2:$C$500=$A349),'03_Warehouse_Movements'!$E$2:$E$500),$C349))</f>
        <v/>
      </c>
      <c r="E349" t="s">
        <v>209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660</v>
      </c>
      <c r="B350" s="24"/>
      <c r="D350" t="str">
        <f>IF($C350="","",IFERROR(LOOKUP(2,1/('03_Warehouse_Movements'!$C$2:$C$500=$A350),'03_Warehouse_Movements'!$E$2:$E$500),$C350))</f>
        <v/>
      </c>
      <c r="E350" t="s">
        <v>209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661</v>
      </c>
      <c r="B351" s="24"/>
      <c r="D351" t="str">
        <f>IF($C351="","",IFERROR(LOOKUP(2,1/('03_Warehouse_Movements'!$C$2:$C$500=$A351),'03_Warehouse_Movements'!$E$2:$E$500),$C351))</f>
        <v/>
      </c>
      <c r="E351" t="s">
        <v>209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662</v>
      </c>
      <c r="B352" s="24"/>
      <c r="D352" t="str">
        <f>IF($C352="","",IFERROR(LOOKUP(2,1/('03_Warehouse_Movements'!$C$2:$C$500=$A352),'03_Warehouse_Movements'!$E$2:$E$500),$C352))</f>
        <v/>
      </c>
      <c r="E352" t="s">
        <v>209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663</v>
      </c>
      <c r="B353" s="24"/>
      <c r="D353" t="str">
        <f>IF($C353="","",IFERROR(LOOKUP(2,1/('03_Warehouse_Movements'!$C$2:$C$500=$A353),'03_Warehouse_Movements'!$E$2:$E$500),$C353))</f>
        <v/>
      </c>
      <c r="E353" t="s">
        <v>209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664</v>
      </c>
      <c r="B354" s="24"/>
      <c r="D354" t="str">
        <f>IF($C354="","",IFERROR(LOOKUP(2,1/('03_Warehouse_Movements'!$C$2:$C$500=$A354),'03_Warehouse_Movements'!$E$2:$E$500),$C354))</f>
        <v/>
      </c>
      <c r="E354" t="s">
        <v>209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665</v>
      </c>
      <c r="B355" s="24"/>
      <c r="D355" t="str">
        <f>IF($C355="","",IFERROR(LOOKUP(2,1/('03_Warehouse_Movements'!$C$2:$C$500=$A355),'03_Warehouse_Movements'!$E$2:$E$500),$C355))</f>
        <v/>
      </c>
      <c r="E355" t="s">
        <v>209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666</v>
      </c>
      <c r="B356" s="24"/>
      <c r="D356" t="str">
        <f>IF($C356="","",IFERROR(LOOKUP(2,1/('03_Warehouse_Movements'!$C$2:$C$500=$A356),'03_Warehouse_Movements'!$E$2:$E$500),$C356))</f>
        <v/>
      </c>
      <c r="E356" t="s">
        <v>209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667</v>
      </c>
      <c r="B357" s="24"/>
      <c r="D357" t="str">
        <f>IF($C357="","",IFERROR(LOOKUP(2,1/('03_Warehouse_Movements'!$C$2:$C$500=$A357),'03_Warehouse_Movements'!$E$2:$E$500),$C357))</f>
        <v/>
      </c>
      <c r="E357" t="s">
        <v>209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668</v>
      </c>
      <c r="B358" s="24"/>
      <c r="D358" t="str">
        <f>IF($C358="","",IFERROR(LOOKUP(2,1/('03_Warehouse_Movements'!$C$2:$C$500=$A358),'03_Warehouse_Movements'!$E$2:$E$500),$C358))</f>
        <v/>
      </c>
      <c r="E358" t="s">
        <v>209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669</v>
      </c>
      <c r="B359" s="24"/>
      <c r="D359" t="str">
        <f>IF($C359="","",IFERROR(LOOKUP(2,1/('03_Warehouse_Movements'!$C$2:$C$500=$A359),'03_Warehouse_Movements'!$E$2:$E$500),$C359))</f>
        <v/>
      </c>
      <c r="E359" t="s">
        <v>209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670</v>
      </c>
      <c r="B360" s="24"/>
      <c r="D360" t="str">
        <f>IF($C360="","",IFERROR(LOOKUP(2,1/('03_Warehouse_Movements'!$C$2:$C$500=$A360),'03_Warehouse_Movements'!$E$2:$E$500),$C360))</f>
        <v/>
      </c>
      <c r="E360" t="s">
        <v>209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671</v>
      </c>
      <c r="B361" s="24"/>
      <c r="D361" t="str">
        <f>IF($C361="","",IFERROR(LOOKUP(2,1/('03_Warehouse_Movements'!$C$2:$C$500=$A361),'03_Warehouse_Movements'!$E$2:$E$500),$C361))</f>
        <v/>
      </c>
      <c r="E361" t="s">
        <v>209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672</v>
      </c>
      <c r="B362" s="24"/>
      <c r="D362" t="str">
        <f>IF($C362="","",IFERROR(LOOKUP(2,1/('03_Warehouse_Movements'!$C$2:$C$500=$A362),'03_Warehouse_Movements'!$E$2:$E$500),$C362))</f>
        <v/>
      </c>
      <c r="E362" t="s">
        <v>209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673</v>
      </c>
      <c r="B363" s="24"/>
      <c r="D363" t="str">
        <f>IF($C363="","",IFERROR(LOOKUP(2,1/('03_Warehouse_Movements'!$C$2:$C$500=$A363),'03_Warehouse_Movements'!$E$2:$E$500),$C363))</f>
        <v/>
      </c>
      <c r="E363" t="s">
        <v>209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674</v>
      </c>
      <c r="B364" s="24"/>
      <c r="D364" t="str">
        <f>IF($C364="","",IFERROR(LOOKUP(2,1/('03_Warehouse_Movements'!$C$2:$C$500=$A364),'03_Warehouse_Movements'!$E$2:$E$500),$C364))</f>
        <v/>
      </c>
      <c r="E364" t="s">
        <v>209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675</v>
      </c>
      <c r="B365" s="24"/>
      <c r="D365" t="str">
        <f>IF($C365="","",IFERROR(LOOKUP(2,1/('03_Warehouse_Movements'!$C$2:$C$500=$A365),'03_Warehouse_Movements'!$E$2:$E$500),$C365))</f>
        <v/>
      </c>
      <c r="E365" t="s">
        <v>209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676</v>
      </c>
      <c r="B366" s="24"/>
      <c r="D366" t="str">
        <f>IF($C366="","",IFERROR(LOOKUP(2,1/('03_Warehouse_Movements'!$C$2:$C$500=$A366),'03_Warehouse_Movements'!$E$2:$E$500),$C366))</f>
        <v/>
      </c>
      <c r="E366" t="s">
        <v>209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677</v>
      </c>
      <c r="B367" s="24"/>
      <c r="D367" t="str">
        <f>IF($C367="","",IFERROR(LOOKUP(2,1/('03_Warehouse_Movements'!$C$2:$C$500=$A367),'03_Warehouse_Movements'!$E$2:$E$500),$C367))</f>
        <v/>
      </c>
      <c r="E367" t="s">
        <v>209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678</v>
      </c>
      <c r="B368" s="24"/>
      <c r="D368" t="str">
        <f>IF($C368="","",IFERROR(LOOKUP(2,1/('03_Warehouse_Movements'!$C$2:$C$500=$A368),'03_Warehouse_Movements'!$E$2:$E$500),$C368))</f>
        <v/>
      </c>
      <c r="E368" t="s">
        <v>209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679</v>
      </c>
      <c r="B369" s="24"/>
      <c r="D369" t="str">
        <f>IF($C369="","",IFERROR(LOOKUP(2,1/('03_Warehouse_Movements'!$C$2:$C$500=$A369),'03_Warehouse_Movements'!$E$2:$E$500),$C369))</f>
        <v/>
      </c>
      <c r="E369" t="s">
        <v>209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680</v>
      </c>
      <c r="B370" s="24"/>
      <c r="D370" t="str">
        <f>IF($C370="","",IFERROR(LOOKUP(2,1/('03_Warehouse_Movements'!$C$2:$C$500=$A370),'03_Warehouse_Movements'!$E$2:$E$500),$C370))</f>
        <v/>
      </c>
      <c r="E370" t="s">
        <v>209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681</v>
      </c>
      <c r="B371" s="24"/>
      <c r="D371" t="str">
        <f>IF($C371="","",IFERROR(LOOKUP(2,1/('03_Warehouse_Movements'!$C$2:$C$500=$A371),'03_Warehouse_Movements'!$E$2:$E$500),$C371))</f>
        <v/>
      </c>
      <c r="E371" t="s">
        <v>209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682</v>
      </c>
      <c r="B372" s="24"/>
      <c r="D372" t="str">
        <f>IF($C372="","",IFERROR(LOOKUP(2,1/('03_Warehouse_Movements'!$C$2:$C$500=$A372),'03_Warehouse_Movements'!$E$2:$E$500),$C372))</f>
        <v/>
      </c>
      <c r="E372" t="s">
        <v>209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683</v>
      </c>
      <c r="B373" s="24"/>
      <c r="D373" t="str">
        <f>IF($C373="","",IFERROR(LOOKUP(2,1/('03_Warehouse_Movements'!$C$2:$C$500=$A373),'03_Warehouse_Movements'!$E$2:$E$500),$C373))</f>
        <v/>
      </c>
      <c r="E373" t="s">
        <v>209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684</v>
      </c>
      <c r="B374" s="24"/>
      <c r="D374" t="str">
        <f>IF($C374="","",IFERROR(LOOKUP(2,1/('03_Warehouse_Movements'!$C$2:$C$500=$A374),'03_Warehouse_Movements'!$E$2:$E$500),$C374))</f>
        <v/>
      </c>
      <c r="E374" t="s">
        <v>209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685</v>
      </c>
      <c r="B375" s="24"/>
      <c r="D375" t="str">
        <f>IF($C375="","",IFERROR(LOOKUP(2,1/('03_Warehouse_Movements'!$C$2:$C$500=$A375),'03_Warehouse_Movements'!$E$2:$E$500),$C375))</f>
        <v/>
      </c>
      <c r="E375" t="s">
        <v>209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686</v>
      </c>
      <c r="B376" s="24"/>
      <c r="D376" t="str">
        <f>IF($C376="","",IFERROR(LOOKUP(2,1/('03_Warehouse_Movements'!$C$2:$C$500=$A376),'03_Warehouse_Movements'!$E$2:$E$500),$C376))</f>
        <v/>
      </c>
      <c r="E376" t="s">
        <v>209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687</v>
      </c>
      <c r="B377" s="24"/>
      <c r="D377" t="str">
        <f>IF($C377="","",IFERROR(LOOKUP(2,1/('03_Warehouse_Movements'!$C$2:$C$500=$A377),'03_Warehouse_Movements'!$E$2:$E$500),$C377))</f>
        <v/>
      </c>
      <c r="E377" t="s">
        <v>209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688</v>
      </c>
      <c r="B378" s="24"/>
      <c r="D378" t="str">
        <f>IF($C378="","",IFERROR(LOOKUP(2,1/('03_Warehouse_Movements'!$C$2:$C$500=$A378),'03_Warehouse_Movements'!$E$2:$E$500),$C378))</f>
        <v/>
      </c>
      <c r="E378" t="s">
        <v>209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689</v>
      </c>
      <c r="B379" s="24"/>
      <c r="D379" t="str">
        <f>IF($C379="","",IFERROR(LOOKUP(2,1/('03_Warehouse_Movements'!$C$2:$C$500=$A379),'03_Warehouse_Movements'!$E$2:$E$500),$C379))</f>
        <v/>
      </c>
      <c r="E379" t="s">
        <v>209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690</v>
      </c>
      <c r="B380" s="24"/>
      <c r="D380" t="str">
        <f>IF($C380="","",IFERROR(LOOKUP(2,1/('03_Warehouse_Movements'!$C$2:$C$500=$A380),'03_Warehouse_Movements'!$E$2:$E$500),$C380))</f>
        <v/>
      </c>
      <c r="E380" t="s">
        <v>209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691</v>
      </c>
      <c r="B381" s="24"/>
      <c r="D381" t="str">
        <f>IF($C381="","",IFERROR(LOOKUP(2,1/('03_Warehouse_Movements'!$C$2:$C$500=$A381),'03_Warehouse_Movements'!$E$2:$E$500),$C381))</f>
        <v/>
      </c>
      <c r="E381" t="s">
        <v>209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692</v>
      </c>
      <c r="B382" s="24"/>
      <c r="D382" t="str">
        <f>IF($C382="","",IFERROR(LOOKUP(2,1/('03_Warehouse_Movements'!$C$2:$C$500=$A382),'03_Warehouse_Movements'!$E$2:$E$500),$C382))</f>
        <v/>
      </c>
      <c r="E382" t="s">
        <v>209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693</v>
      </c>
      <c r="B383" s="24"/>
      <c r="D383" t="str">
        <f>IF($C383="","",IFERROR(LOOKUP(2,1/('03_Warehouse_Movements'!$C$2:$C$500=$A383),'03_Warehouse_Movements'!$E$2:$E$500),$C383))</f>
        <v/>
      </c>
      <c r="E383" t="s">
        <v>209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694</v>
      </c>
      <c r="B384" s="24"/>
      <c r="D384" t="str">
        <f>IF($C384="","",IFERROR(LOOKUP(2,1/('03_Warehouse_Movements'!$C$2:$C$500=$A384),'03_Warehouse_Movements'!$E$2:$E$500),$C384))</f>
        <v/>
      </c>
      <c r="E384" t="s">
        <v>209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695</v>
      </c>
      <c r="B385" s="24"/>
      <c r="D385" t="str">
        <f>IF($C385="","",IFERROR(LOOKUP(2,1/('03_Warehouse_Movements'!$C$2:$C$500=$A385),'03_Warehouse_Movements'!$E$2:$E$500),$C385))</f>
        <v/>
      </c>
      <c r="E385" t="s">
        <v>209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696</v>
      </c>
      <c r="B386" s="24"/>
      <c r="D386" t="str">
        <f>IF($C386="","",IFERROR(LOOKUP(2,1/('03_Warehouse_Movements'!$C$2:$C$500=$A386),'03_Warehouse_Movements'!$E$2:$E$500),$C386))</f>
        <v/>
      </c>
      <c r="E386" t="s">
        <v>209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697</v>
      </c>
      <c r="B387" s="24"/>
      <c r="D387" t="str">
        <f>IF($C387="","",IFERROR(LOOKUP(2,1/('03_Warehouse_Movements'!$C$2:$C$500=$A387),'03_Warehouse_Movements'!$E$2:$E$500),$C387))</f>
        <v/>
      </c>
      <c r="E387" t="s">
        <v>209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698</v>
      </c>
      <c r="B388" s="24"/>
      <c r="D388" t="str">
        <f>IF($C388="","",IFERROR(LOOKUP(2,1/('03_Warehouse_Movements'!$C$2:$C$500=$A388),'03_Warehouse_Movements'!$E$2:$E$500),$C388))</f>
        <v/>
      </c>
      <c r="E388" t="s">
        <v>209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699</v>
      </c>
      <c r="B389" s="24"/>
      <c r="D389" t="str">
        <f>IF($C389="","",IFERROR(LOOKUP(2,1/('03_Warehouse_Movements'!$C$2:$C$500=$A389),'03_Warehouse_Movements'!$E$2:$E$500),$C389))</f>
        <v/>
      </c>
      <c r="E389" t="s">
        <v>209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700</v>
      </c>
      <c r="B390" s="24"/>
      <c r="D390" t="str">
        <f>IF($C390="","",IFERROR(LOOKUP(2,1/('03_Warehouse_Movements'!$C$2:$C$500=$A390),'03_Warehouse_Movements'!$E$2:$E$500),$C390))</f>
        <v/>
      </c>
      <c r="E390" t="s">
        <v>209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701</v>
      </c>
      <c r="B391" s="24"/>
      <c r="D391" t="str">
        <f>IF($C391="","",IFERROR(LOOKUP(2,1/('03_Warehouse_Movements'!$C$2:$C$500=$A391),'03_Warehouse_Movements'!$E$2:$E$500),$C391))</f>
        <v/>
      </c>
      <c r="E391" t="s">
        <v>209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702</v>
      </c>
      <c r="B392" s="24"/>
      <c r="D392" t="str">
        <f>IF($C392="","",IFERROR(LOOKUP(2,1/('03_Warehouse_Movements'!$C$2:$C$500=$A392),'03_Warehouse_Movements'!$E$2:$E$500),$C392))</f>
        <v/>
      </c>
      <c r="E392" t="s">
        <v>209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703</v>
      </c>
      <c r="B393" s="24"/>
      <c r="D393" t="str">
        <f>IF($C393="","",IFERROR(LOOKUP(2,1/('03_Warehouse_Movements'!$C$2:$C$500=$A393),'03_Warehouse_Movements'!$E$2:$E$500),$C393))</f>
        <v/>
      </c>
      <c r="E393" t="s">
        <v>209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704</v>
      </c>
      <c r="B394" s="24"/>
      <c r="D394" t="str">
        <f>IF($C394="","",IFERROR(LOOKUP(2,1/('03_Warehouse_Movements'!$C$2:$C$500=$A394),'03_Warehouse_Movements'!$E$2:$E$500),$C394))</f>
        <v/>
      </c>
      <c r="E394" t="s">
        <v>209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705</v>
      </c>
      <c r="B395" s="24"/>
      <c r="D395" t="str">
        <f>IF($C395="","",IFERROR(LOOKUP(2,1/('03_Warehouse_Movements'!$C$2:$C$500=$A395),'03_Warehouse_Movements'!$E$2:$E$500),$C395))</f>
        <v/>
      </c>
      <c r="E395" t="s">
        <v>209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706</v>
      </c>
      <c r="B396" s="24"/>
      <c r="D396" t="str">
        <f>IF($C396="","",IFERROR(LOOKUP(2,1/('03_Warehouse_Movements'!$C$2:$C$500=$A396),'03_Warehouse_Movements'!$E$2:$E$500),$C396))</f>
        <v/>
      </c>
      <c r="E396" t="s">
        <v>209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707</v>
      </c>
      <c r="B397" s="24"/>
      <c r="D397" t="str">
        <f>IF($C397="","",IFERROR(LOOKUP(2,1/('03_Warehouse_Movements'!$C$2:$C$500=$A397),'03_Warehouse_Movements'!$E$2:$E$500),$C397))</f>
        <v/>
      </c>
      <c r="E397" t="s">
        <v>209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708</v>
      </c>
      <c r="B398" s="24"/>
      <c r="D398" t="str">
        <f>IF($C398="","",IFERROR(LOOKUP(2,1/('03_Warehouse_Movements'!$C$2:$C$500=$A398),'03_Warehouse_Movements'!$E$2:$E$500),$C398))</f>
        <v/>
      </c>
      <c r="E398" t="s">
        <v>209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709</v>
      </c>
      <c r="B399" s="24"/>
      <c r="D399" t="str">
        <f>IF($C399="","",IFERROR(LOOKUP(2,1/('03_Warehouse_Movements'!$C$2:$C$500=$A399),'03_Warehouse_Movements'!$E$2:$E$500),$C399))</f>
        <v/>
      </c>
      <c r="E399" t="s">
        <v>209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710</v>
      </c>
      <c r="B400" s="24"/>
      <c r="D400" t="str">
        <f>IF($C400="","",IFERROR(LOOKUP(2,1/('03_Warehouse_Movements'!$C$2:$C$500=$A400),'03_Warehouse_Movements'!$E$2:$E$500),$C400))</f>
        <v/>
      </c>
      <c r="E400" t="s">
        <v>209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711</v>
      </c>
      <c r="B401" s="24"/>
      <c r="D401" t="str">
        <f>IF($C401="","",IFERROR(LOOKUP(2,1/('03_Warehouse_Movements'!$C$2:$C$500=$A401),'03_Warehouse_Movements'!$E$2:$E$500),$C401))</f>
        <v/>
      </c>
      <c r="E401" t="s">
        <v>209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712</v>
      </c>
      <c r="B402" s="24"/>
      <c r="D402" t="str">
        <f>IF($C402="","",IFERROR(LOOKUP(2,1/('03_Warehouse_Movements'!$C$2:$C$500=$A402),'03_Warehouse_Movements'!$E$2:$E$500),$C402))</f>
        <v/>
      </c>
      <c r="E402" t="s">
        <v>209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713</v>
      </c>
      <c r="B403" s="24"/>
      <c r="D403" t="str">
        <f>IF($C403="","",IFERROR(LOOKUP(2,1/('03_Warehouse_Movements'!$C$2:$C$500=$A403),'03_Warehouse_Movements'!$E$2:$E$500),$C403))</f>
        <v/>
      </c>
      <c r="E403" t="s">
        <v>209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714</v>
      </c>
      <c r="B404" s="24"/>
      <c r="D404" t="str">
        <f>IF($C404="","",IFERROR(LOOKUP(2,1/('03_Warehouse_Movements'!$C$2:$C$500=$A404),'03_Warehouse_Movements'!$E$2:$E$500),$C404))</f>
        <v/>
      </c>
      <c r="E404" t="s">
        <v>209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715</v>
      </c>
      <c r="B405" s="24"/>
      <c r="D405" t="str">
        <f>IF($C405="","",IFERROR(LOOKUP(2,1/('03_Warehouse_Movements'!$C$2:$C$500=$A405),'03_Warehouse_Movements'!$E$2:$E$500),$C405))</f>
        <v/>
      </c>
      <c r="E405" t="s">
        <v>209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716</v>
      </c>
      <c r="B406" s="24"/>
      <c r="D406" t="str">
        <f>IF($C406="","",IFERROR(LOOKUP(2,1/('03_Warehouse_Movements'!$C$2:$C$500=$A406),'03_Warehouse_Movements'!$E$2:$E$500),$C406))</f>
        <v/>
      </c>
      <c r="E406" t="s">
        <v>209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717</v>
      </c>
      <c r="B407" s="24"/>
      <c r="D407" t="str">
        <f>IF($C407="","",IFERROR(LOOKUP(2,1/('03_Warehouse_Movements'!$C$2:$C$500=$A407),'03_Warehouse_Movements'!$E$2:$E$500),$C407))</f>
        <v/>
      </c>
      <c r="E407" t="s">
        <v>209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718</v>
      </c>
      <c r="B408" s="24"/>
      <c r="D408" t="str">
        <f>IF($C408="","",IFERROR(LOOKUP(2,1/('03_Warehouse_Movements'!$C$2:$C$500=$A408),'03_Warehouse_Movements'!$E$2:$E$500),$C408))</f>
        <v/>
      </c>
      <c r="E408" t="s">
        <v>209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719</v>
      </c>
      <c r="B409" s="24"/>
      <c r="D409" t="str">
        <f>IF($C409="","",IFERROR(LOOKUP(2,1/('03_Warehouse_Movements'!$C$2:$C$500=$A409),'03_Warehouse_Movements'!$E$2:$E$500),$C409))</f>
        <v/>
      </c>
      <c r="E409" t="s">
        <v>209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720</v>
      </c>
      <c r="B410" s="24"/>
      <c r="D410" t="str">
        <f>IF($C410="","",IFERROR(LOOKUP(2,1/('03_Warehouse_Movements'!$C$2:$C$500=$A410),'03_Warehouse_Movements'!$E$2:$E$500),$C410))</f>
        <v/>
      </c>
      <c r="E410" t="s">
        <v>209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721</v>
      </c>
      <c r="B411" s="24"/>
      <c r="D411" t="str">
        <f>IF($C411="","",IFERROR(LOOKUP(2,1/('03_Warehouse_Movements'!$C$2:$C$500=$A411),'03_Warehouse_Movements'!$E$2:$E$500),$C411))</f>
        <v/>
      </c>
      <c r="E411" t="s">
        <v>209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722</v>
      </c>
      <c r="B412" s="24"/>
      <c r="D412" t="str">
        <f>IF($C412="","",IFERROR(LOOKUP(2,1/('03_Warehouse_Movements'!$C$2:$C$500=$A412),'03_Warehouse_Movements'!$E$2:$E$500),$C412))</f>
        <v/>
      </c>
      <c r="E412" t="s">
        <v>209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723</v>
      </c>
      <c r="B413" s="24"/>
      <c r="D413" t="str">
        <f>IF($C413="","",IFERROR(LOOKUP(2,1/('03_Warehouse_Movements'!$C$2:$C$500=$A413),'03_Warehouse_Movements'!$E$2:$E$500),$C413))</f>
        <v/>
      </c>
      <c r="E413" t="s">
        <v>209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724</v>
      </c>
      <c r="B414" s="24"/>
      <c r="D414" t="str">
        <f>IF($C414="","",IFERROR(LOOKUP(2,1/('03_Warehouse_Movements'!$C$2:$C$500=$A414),'03_Warehouse_Movements'!$E$2:$E$500),$C414))</f>
        <v/>
      </c>
      <c r="E414" t="s">
        <v>209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725</v>
      </c>
      <c r="B415" s="24"/>
      <c r="D415" t="str">
        <f>IF($C415="","",IFERROR(LOOKUP(2,1/('03_Warehouse_Movements'!$C$2:$C$500=$A415),'03_Warehouse_Movements'!$E$2:$E$500),$C415))</f>
        <v/>
      </c>
      <c r="E415" t="s">
        <v>209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726</v>
      </c>
      <c r="B416" s="24"/>
      <c r="D416" t="str">
        <f>IF($C416="","",IFERROR(LOOKUP(2,1/('03_Warehouse_Movements'!$C$2:$C$500=$A416),'03_Warehouse_Movements'!$E$2:$E$500),$C416))</f>
        <v/>
      </c>
      <c r="E416" t="s">
        <v>209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727</v>
      </c>
      <c r="B417" s="24"/>
      <c r="D417" t="str">
        <f>IF($C417="","",IFERROR(LOOKUP(2,1/('03_Warehouse_Movements'!$C$2:$C$500=$A417),'03_Warehouse_Movements'!$E$2:$E$500),$C417))</f>
        <v/>
      </c>
      <c r="E417" t="s">
        <v>209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728</v>
      </c>
      <c r="B418" s="24"/>
      <c r="D418" t="str">
        <f>IF($C418="","",IFERROR(LOOKUP(2,1/('03_Warehouse_Movements'!$C$2:$C$500=$A418),'03_Warehouse_Movements'!$E$2:$E$500),$C418))</f>
        <v/>
      </c>
      <c r="E418" t="s">
        <v>209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729</v>
      </c>
      <c r="B419" s="24"/>
      <c r="D419" t="str">
        <f>IF($C419="","",IFERROR(LOOKUP(2,1/('03_Warehouse_Movements'!$C$2:$C$500=$A419),'03_Warehouse_Movements'!$E$2:$E$500),$C419))</f>
        <v/>
      </c>
      <c r="E419" t="s">
        <v>209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730</v>
      </c>
      <c r="B420" s="24"/>
      <c r="D420" t="str">
        <f>IF($C420="","",IFERROR(LOOKUP(2,1/('03_Warehouse_Movements'!$C$2:$C$500=$A420),'03_Warehouse_Movements'!$E$2:$E$500),$C420))</f>
        <v/>
      </c>
      <c r="E420" t="s">
        <v>209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731</v>
      </c>
      <c r="B421" s="24"/>
      <c r="D421" t="str">
        <f>IF($C421="","",IFERROR(LOOKUP(2,1/('03_Warehouse_Movements'!$C$2:$C$500=$A421),'03_Warehouse_Movements'!$E$2:$E$500),$C421))</f>
        <v/>
      </c>
      <c r="E421" t="s">
        <v>209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732</v>
      </c>
      <c r="B422" s="24"/>
      <c r="D422" t="str">
        <f>IF($C422="","",IFERROR(LOOKUP(2,1/('03_Warehouse_Movements'!$C$2:$C$500=$A422),'03_Warehouse_Movements'!$E$2:$E$500),$C422))</f>
        <v/>
      </c>
      <c r="E422" t="s">
        <v>209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733</v>
      </c>
      <c r="B423" s="24"/>
      <c r="D423" t="str">
        <f>IF($C423="","",IFERROR(LOOKUP(2,1/('03_Warehouse_Movements'!$C$2:$C$500=$A423),'03_Warehouse_Movements'!$E$2:$E$500),$C423))</f>
        <v/>
      </c>
      <c r="E423" t="s">
        <v>209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734</v>
      </c>
      <c r="B424" s="24"/>
      <c r="D424" t="str">
        <f>IF($C424="","",IFERROR(LOOKUP(2,1/('03_Warehouse_Movements'!$C$2:$C$500=$A424),'03_Warehouse_Movements'!$E$2:$E$500),$C424))</f>
        <v/>
      </c>
      <c r="E424" t="s">
        <v>209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735</v>
      </c>
      <c r="B425" s="24"/>
      <c r="D425" t="str">
        <f>IF($C425="","",IFERROR(LOOKUP(2,1/('03_Warehouse_Movements'!$C$2:$C$500=$A425),'03_Warehouse_Movements'!$E$2:$E$500),$C425))</f>
        <v/>
      </c>
      <c r="E425" t="s">
        <v>209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736</v>
      </c>
      <c r="B426" s="24"/>
      <c r="D426" t="str">
        <f>IF($C426="","",IFERROR(LOOKUP(2,1/('03_Warehouse_Movements'!$C$2:$C$500=$A426),'03_Warehouse_Movements'!$E$2:$E$500),$C426))</f>
        <v/>
      </c>
      <c r="E426" t="s">
        <v>209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737</v>
      </c>
      <c r="B427" s="24"/>
      <c r="D427" t="str">
        <f>IF($C427="","",IFERROR(LOOKUP(2,1/('03_Warehouse_Movements'!$C$2:$C$500=$A427),'03_Warehouse_Movements'!$E$2:$E$500),$C427))</f>
        <v/>
      </c>
      <c r="E427" t="s">
        <v>209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738</v>
      </c>
      <c r="B428" s="24"/>
      <c r="D428" t="str">
        <f>IF($C428="","",IFERROR(LOOKUP(2,1/('03_Warehouse_Movements'!$C$2:$C$500=$A428),'03_Warehouse_Movements'!$E$2:$E$500),$C428))</f>
        <v/>
      </c>
      <c r="E428" t="s">
        <v>209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739</v>
      </c>
      <c r="B429" s="24"/>
      <c r="D429" t="str">
        <f>IF($C429="","",IFERROR(LOOKUP(2,1/('03_Warehouse_Movements'!$C$2:$C$500=$A429),'03_Warehouse_Movements'!$E$2:$E$500),$C429))</f>
        <v/>
      </c>
      <c r="E429" t="s">
        <v>209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740</v>
      </c>
      <c r="B430" s="24"/>
      <c r="D430" t="str">
        <f>IF($C430="","",IFERROR(LOOKUP(2,1/('03_Warehouse_Movements'!$C$2:$C$500=$A430),'03_Warehouse_Movements'!$E$2:$E$500),$C430))</f>
        <v/>
      </c>
      <c r="E430" t="s">
        <v>209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741</v>
      </c>
      <c r="B431" s="24"/>
      <c r="D431" t="str">
        <f>IF($C431="","",IFERROR(LOOKUP(2,1/('03_Warehouse_Movements'!$C$2:$C$500=$A431),'03_Warehouse_Movements'!$E$2:$E$500),$C431))</f>
        <v/>
      </c>
      <c r="E431" t="s">
        <v>209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742</v>
      </c>
      <c r="B432" s="24"/>
      <c r="D432" t="str">
        <f>IF($C432="","",IFERROR(LOOKUP(2,1/('03_Warehouse_Movements'!$C$2:$C$500=$A432),'03_Warehouse_Movements'!$E$2:$E$500),$C432))</f>
        <v/>
      </c>
      <c r="E432" t="s">
        <v>209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743</v>
      </c>
      <c r="B433" s="24"/>
      <c r="D433" t="str">
        <f>IF($C433="","",IFERROR(LOOKUP(2,1/('03_Warehouse_Movements'!$C$2:$C$500=$A433),'03_Warehouse_Movements'!$E$2:$E$500),$C433))</f>
        <v/>
      </c>
      <c r="E433" t="s">
        <v>209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744</v>
      </c>
      <c r="B434" s="24"/>
      <c r="D434" t="str">
        <f>IF($C434="","",IFERROR(LOOKUP(2,1/('03_Warehouse_Movements'!$C$2:$C$500=$A434),'03_Warehouse_Movements'!$E$2:$E$500),$C434))</f>
        <v/>
      </c>
      <c r="E434" t="s">
        <v>209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745</v>
      </c>
      <c r="B435" s="24"/>
      <c r="D435" t="str">
        <f>IF($C435="","",IFERROR(LOOKUP(2,1/('03_Warehouse_Movements'!$C$2:$C$500=$A435),'03_Warehouse_Movements'!$E$2:$E$500),$C435))</f>
        <v/>
      </c>
      <c r="E435" t="s">
        <v>209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746</v>
      </c>
      <c r="B436" s="24"/>
      <c r="D436" t="str">
        <f>IF($C436="","",IFERROR(LOOKUP(2,1/('03_Warehouse_Movements'!$C$2:$C$500=$A436),'03_Warehouse_Movements'!$E$2:$E$500),$C436))</f>
        <v/>
      </c>
      <c r="E436" t="s">
        <v>209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747</v>
      </c>
      <c r="B437" s="24"/>
      <c r="D437" t="str">
        <f>IF($C437="","",IFERROR(LOOKUP(2,1/('03_Warehouse_Movements'!$C$2:$C$500=$A437),'03_Warehouse_Movements'!$E$2:$E$500),$C437))</f>
        <v/>
      </c>
      <c r="E437" t="s">
        <v>209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748</v>
      </c>
      <c r="B438" s="24"/>
      <c r="D438" t="str">
        <f>IF($C438="","",IFERROR(LOOKUP(2,1/('03_Warehouse_Movements'!$C$2:$C$500=$A438),'03_Warehouse_Movements'!$E$2:$E$500),$C438))</f>
        <v/>
      </c>
      <c r="E438" t="s">
        <v>209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749</v>
      </c>
      <c r="B439" s="24"/>
      <c r="D439" t="str">
        <f>IF($C439="","",IFERROR(LOOKUP(2,1/('03_Warehouse_Movements'!$C$2:$C$500=$A439),'03_Warehouse_Movements'!$E$2:$E$500),$C439))</f>
        <v/>
      </c>
      <c r="E439" t="s">
        <v>209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750</v>
      </c>
      <c r="B440" s="24"/>
      <c r="D440" t="str">
        <f>IF($C440="","",IFERROR(LOOKUP(2,1/('03_Warehouse_Movements'!$C$2:$C$500=$A440),'03_Warehouse_Movements'!$E$2:$E$500),$C440))</f>
        <v/>
      </c>
      <c r="E440" t="s">
        <v>209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751</v>
      </c>
      <c r="B441" s="24"/>
      <c r="D441" t="str">
        <f>IF($C441="","",IFERROR(LOOKUP(2,1/('03_Warehouse_Movements'!$C$2:$C$500=$A441),'03_Warehouse_Movements'!$E$2:$E$500),$C441))</f>
        <v/>
      </c>
      <c r="E441" t="s">
        <v>209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752</v>
      </c>
      <c r="B442" s="24"/>
      <c r="D442" t="str">
        <f>IF($C442="","",IFERROR(LOOKUP(2,1/('03_Warehouse_Movements'!$C$2:$C$500=$A442),'03_Warehouse_Movements'!$E$2:$E$500),$C442))</f>
        <v/>
      </c>
      <c r="E442" t="s">
        <v>209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753</v>
      </c>
      <c r="B443" s="24"/>
      <c r="D443" t="str">
        <f>IF($C443="","",IFERROR(LOOKUP(2,1/('03_Warehouse_Movements'!$C$2:$C$500=$A443),'03_Warehouse_Movements'!$E$2:$E$500),$C443))</f>
        <v/>
      </c>
      <c r="E443" t="s">
        <v>209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754</v>
      </c>
      <c r="B444" s="24"/>
      <c r="D444" t="str">
        <f>IF($C444="","",IFERROR(LOOKUP(2,1/('03_Warehouse_Movements'!$C$2:$C$500=$A444),'03_Warehouse_Movements'!$E$2:$E$500),$C444))</f>
        <v/>
      </c>
      <c r="E444" t="s">
        <v>209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755</v>
      </c>
      <c r="B445" s="24"/>
      <c r="D445" t="str">
        <f>IF($C445="","",IFERROR(LOOKUP(2,1/('03_Warehouse_Movements'!$C$2:$C$500=$A445),'03_Warehouse_Movements'!$E$2:$E$500),$C445))</f>
        <v/>
      </c>
      <c r="E445" t="s">
        <v>209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756</v>
      </c>
      <c r="B446" s="24"/>
      <c r="D446" t="str">
        <f>IF($C446="","",IFERROR(LOOKUP(2,1/('03_Warehouse_Movements'!$C$2:$C$500=$A446),'03_Warehouse_Movements'!$E$2:$E$500),$C446))</f>
        <v/>
      </c>
      <c r="E446" t="s">
        <v>209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757</v>
      </c>
      <c r="B447" s="24"/>
      <c r="D447" t="str">
        <f>IF($C447="","",IFERROR(LOOKUP(2,1/('03_Warehouse_Movements'!$C$2:$C$500=$A447),'03_Warehouse_Movements'!$E$2:$E$500),$C447))</f>
        <v/>
      </c>
      <c r="E447" t="s">
        <v>209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758</v>
      </c>
      <c r="B448" s="24"/>
      <c r="D448" t="str">
        <f>IF($C448="","",IFERROR(LOOKUP(2,1/('03_Warehouse_Movements'!$C$2:$C$500=$A448),'03_Warehouse_Movements'!$E$2:$E$500),$C448))</f>
        <v/>
      </c>
      <c r="E448" t="s">
        <v>209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759</v>
      </c>
      <c r="B449" s="24"/>
      <c r="D449" t="str">
        <f>IF($C449="","",IFERROR(LOOKUP(2,1/('03_Warehouse_Movements'!$C$2:$C$500=$A449),'03_Warehouse_Movements'!$E$2:$E$500),$C449))</f>
        <v/>
      </c>
      <c r="E449" t="s">
        <v>209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760</v>
      </c>
      <c r="B450" s="24"/>
      <c r="D450" t="str">
        <f>IF($C450="","",IFERROR(LOOKUP(2,1/('03_Warehouse_Movements'!$C$2:$C$500=$A450),'03_Warehouse_Movements'!$E$2:$E$500),$C450))</f>
        <v/>
      </c>
      <c r="E450" t="s">
        <v>209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761</v>
      </c>
      <c r="B451" s="24"/>
      <c r="D451" t="str">
        <f>IF($C451="","",IFERROR(LOOKUP(2,1/('03_Warehouse_Movements'!$C$2:$C$500=$A451),'03_Warehouse_Movements'!$E$2:$E$500),$C451))</f>
        <v/>
      </c>
      <c r="E451" t="s">
        <v>209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762</v>
      </c>
      <c r="B452" s="24"/>
      <c r="D452" t="str">
        <f>IF($C452="","",IFERROR(LOOKUP(2,1/('03_Warehouse_Movements'!$C$2:$C$500=$A452),'03_Warehouse_Movements'!$E$2:$E$500),$C452))</f>
        <v/>
      </c>
      <c r="E452" t="s">
        <v>209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763</v>
      </c>
      <c r="B453" s="24"/>
      <c r="D453" t="str">
        <f>IF($C453="","",IFERROR(LOOKUP(2,1/('03_Warehouse_Movements'!$C$2:$C$500=$A453),'03_Warehouse_Movements'!$E$2:$E$500),$C453))</f>
        <v/>
      </c>
      <c r="E453" t="s">
        <v>209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764</v>
      </c>
      <c r="B454" s="24"/>
      <c r="D454" t="str">
        <f>IF($C454="","",IFERROR(LOOKUP(2,1/('03_Warehouse_Movements'!$C$2:$C$500=$A454),'03_Warehouse_Movements'!$E$2:$E$500),$C454))</f>
        <v/>
      </c>
      <c r="E454" t="s">
        <v>209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765</v>
      </c>
      <c r="B455" s="24"/>
      <c r="D455" t="str">
        <f>IF($C455="","",IFERROR(LOOKUP(2,1/('03_Warehouse_Movements'!$C$2:$C$500=$A455),'03_Warehouse_Movements'!$E$2:$E$500),$C455))</f>
        <v/>
      </c>
      <c r="E455" t="s">
        <v>209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766</v>
      </c>
      <c r="B456" s="24"/>
      <c r="D456" t="str">
        <f>IF($C456="","",IFERROR(LOOKUP(2,1/('03_Warehouse_Movements'!$C$2:$C$500=$A456),'03_Warehouse_Movements'!$E$2:$E$500),$C456))</f>
        <v/>
      </c>
      <c r="E456" t="s">
        <v>209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767</v>
      </c>
      <c r="B457" s="24"/>
      <c r="D457" t="str">
        <f>IF($C457="","",IFERROR(LOOKUP(2,1/('03_Warehouse_Movements'!$C$2:$C$500=$A457),'03_Warehouse_Movements'!$E$2:$E$500),$C457))</f>
        <v/>
      </c>
      <c r="E457" t="s">
        <v>209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768</v>
      </c>
      <c r="B458" s="24"/>
      <c r="D458" t="str">
        <f>IF($C458="","",IFERROR(LOOKUP(2,1/('03_Warehouse_Movements'!$C$2:$C$500=$A458),'03_Warehouse_Movements'!$E$2:$E$500),$C458))</f>
        <v/>
      </c>
      <c r="E458" t="s">
        <v>209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769</v>
      </c>
      <c r="B459" s="24"/>
      <c r="D459" t="str">
        <f>IF($C459="","",IFERROR(LOOKUP(2,1/('03_Warehouse_Movements'!$C$2:$C$500=$A459),'03_Warehouse_Movements'!$E$2:$E$500),$C459))</f>
        <v/>
      </c>
      <c r="E459" t="s">
        <v>209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770</v>
      </c>
      <c r="B460" s="24"/>
      <c r="D460" t="str">
        <f>IF($C460="","",IFERROR(LOOKUP(2,1/('03_Warehouse_Movements'!$C$2:$C$500=$A460),'03_Warehouse_Movements'!$E$2:$E$500),$C460))</f>
        <v/>
      </c>
      <c r="E460" t="s">
        <v>209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771</v>
      </c>
      <c r="B461" s="24"/>
      <c r="D461" t="str">
        <f>IF($C461="","",IFERROR(LOOKUP(2,1/('03_Warehouse_Movements'!$C$2:$C$500=$A461),'03_Warehouse_Movements'!$E$2:$E$500),$C461))</f>
        <v/>
      </c>
      <c r="E461" t="s">
        <v>209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772</v>
      </c>
      <c r="B462" s="24"/>
      <c r="D462" t="str">
        <f>IF($C462="","",IFERROR(LOOKUP(2,1/('03_Warehouse_Movements'!$C$2:$C$500=$A462),'03_Warehouse_Movements'!$E$2:$E$500),$C462))</f>
        <v/>
      </c>
      <c r="E462" t="s">
        <v>209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773</v>
      </c>
      <c r="B463" s="24"/>
      <c r="D463" t="str">
        <f>IF($C463="","",IFERROR(LOOKUP(2,1/('03_Warehouse_Movements'!$C$2:$C$500=$A463),'03_Warehouse_Movements'!$E$2:$E$500),$C463))</f>
        <v/>
      </c>
      <c r="E463" t="s">
        <v>209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774</v>
      </c>
      <c r="B464" s="24"/>
      <c r="D464" t="str">
        <f>IF($C464="","",IFERROR(LOOKUP(2,1/('03_Warehouse_Movements'!$C$2:$C$500=$A464),'03_Warehouse_Movements'!$E$2:$E$500),$C464))</f>
        <v/>
      </c>
      <c r="E464" t="s">
        <v>209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775</v>
      </c>
      <c r="B465" s="24"/>
      <c r="D465" t="str">
        <f>IF($C465="","",IFERROR(LOOKUP(2,1/('03_Warehouse_Movements'!$C$2:$C$500=$A465),'03_Warehouse_Movements'!$E$2:$E$500),$C465))</f>
        <v/>
      </c>
      <c r="E465" t="s">
        <v>209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776</v>
      </c>
      <c r="B466" s="24"/>
      <c r="D466" t="str">
        <f>IF($C466="","",IFERROR(LOOKUP(2,1/('03_Warehouse_Movements'!$C$2:$C$500=$A466),'03_Warehouse_Movements'!$E$2:$E$500),$C466))</f>
        <v/>
      </c>
      <c r="E466" t="s">
        <v>209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777</v>
      </c>
      <c r="B467" s="24"/>
      <c r="D467" t="str">
        <f>IF($C467="","",IFERROR(LOOKUP(2,1/('03_Warehouse_Movements'!$C$2:$C$500=$A467),'03_Warehouse_Movements'!$E$2:$E$500),$C467))</f>
        <v/>
      </c>
      <c r="E467" t="s">
        <v>209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778</v>
      </c>
      <c r="B468" s="24"/>
      <c r="D468" t="str">
        <f>IF($C468="","",IFERROR(LOOKUP(2,1/('03_Warehouse_Movements'!$C$2:$C$500=$A468),'03_Warehouse_Movements'!$E$2:$E$500),$C468))</f>
        <v/>
      </c>
      <c r="E468" t="s">
        <v>209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779</v>
      </c>
      <c r="B469" s="24"/>
      <c r="D469" t="str">
        <f>IF($C469="","",IFERROR(LOOKUP(2,1/('03_Warehouse_Movements'!$C$2:$C$500=$A469),'03_Warehouse_Movements'!$E$2:$E$500),$C469))</f>
        <v/>
      </c>
      <c r="E469" t="s">
        <v>209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780</v>
      </c>
      <c r="B470" s="24"/>
      <c r="D470" t="str">
        <f>IF($C470="","",IFERROR(LOOKUP(2,1/('03_Warehouse_Movements'!$C$2:$C$500=$A470),'03_Warehouse_Movements'!$E$2:$E$500),$C470))</f>
        <v/>
      </c>
      <c r="E470" t="s">
        <v>209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781</v>
      </c>
      <c r="B471" s="24"/>
      <c r="D471" t="str">
        <f>IF($C471="","",IFERROR(LOOKUP(2,1/('03_Warehouse_Movements'!$C$2:$C$500=$A471),'03_Warehouse_Movements'!$E$2:$E$500),$C471))</f>
        <v/>
      </c>
      <c r="E471" t="s">
        <v>209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782</v>
      </c>
      <c r="B472" s="24"/>
      <c r="D472" t="str">
        <f>IF($C472="","",IFERROR(LOOKUP(2,1/('03_Warehouse_Movements'!$C$2:$C$500=$A472),'03_Warehouse_Movements'!$E$2:$E$500),$C472))</f>
        <v/>
      </c>
      <c r="E472" t="s">
        <v>209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783</v>
      </c>
      <c r="B473" s="24"/>
      <c r="D473" t="str">
        <f>IF($C473="","",IFERROR(LOOKUP(2,1/('03_Warehouse_Movements'!$C$2:$C$500=$A473),'03_Warehouse_Movements'!$E$2:$E$500),$C473))</f>
        <v/>
      </c>
      <c r="E473" t="s">
        <v>209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784</v>
      </c>
      <c r="B474" s="24"/>
      <c r="D474" t="str">
        <f>IF($C474="","",IFERROR(LOOKUP(2,1/('03_Warehouse_Movements'!$C$2:$C$500=$A474),'03_Warehouse_Movements'!$E$2:$E$500),$C474))</f>
        <v/>
      </c>
      <c r="E474" t="s">
        <v>209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785</v>
      </c>
      <c r="B475" s="24"/>
      <c r="D475" t="str">
        <f>IF($C475="","",IFERROR(LOOKUP(2,1/('03_Warehouse_Movements'!$C$2:$C$500=$A475),'03_Warehouse_Movements'!$E$2:$E$500),$C475))</f>
        <v/>
      </c>
      <c r="E475" t="s">
        <v>209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786</v>
      </c>
      <c r="B476" s="24"/>
      <c r="D476" t="str">
        <f>IF($C476="","",IFERROR(LOOKUP(2,1/('03_Warehouse_Movements'!$C$2:$C$500=$A476),'03_Warehouse_Movements'!$E$2:$E$500),$C476))</f>
        <v/>
      </c>
      <c r="E476" t="s">
        <v>209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787</v>
      </c>
      <c r="B477" s="24"/>
      <c r="D477" t="str">
        <f>IF($C477="","",IFERROR(LOOKUP(2,1/('03_Warehouse_Movements'!$C$2:$C$500=$A477),'03_Warehouse_Movements'!$E$2:$E$500),$C477))</f>
        <v/>
      </c>
      <c r="E477" t="s">
        <v>209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788</v>
      </c>
      <c r="B478" s="24"/>
      <c r="D478" t="str">
        <f>IF($C478="","",IFERROR(LOOKUP(2,1/('03_Warehouse_Movements'!$C$2:$C$500=$A478),'03_Warehouse_Movements'!$E$2:$E$500),$C478))</f>
        <v/>
      </c>
      <c r="E478" t="s">
        <v>209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789</v>
      </c>
      <c r="B479" s="24"/>
      <c r="D479" t="str">
        <f>IF($C479="","",IFERROR(LOOKUP(2,1/('03_Warehouse_Movements'!$C$2:$C$500=$A479),'03_Warehouse_Movements'!$E$2:$E$500),$C479))</f>
        <v/>
      </c>
      <c r="E479" t="s">
        <v>209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790</v>
      </c>
      <c r="B480" s="24"/>
      <c r="D480" t="str">
        <f>IF($C480="","",IFERROR(LOOKUP(2,1/('03_Warehouse_Movements'!$C$2:$C$500=$A480),'03_Warehouse_Movements'!$E$2:$E$500),$C480))</f>
        <v/>
      </c>
      <c r="E480" t="s">
        <v>209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791</v>
      </c>
      <c r="B481" s="24"/>
      <c r="D481" t="str">
        <f>IF($C481="","",IFERROR(LOOKUP(2,1/('03_Warehouse_Movements'!$C$2:$C$500=$A481),'03_Warehouse_Movements'!$E$2:$E$500),$C481))</f>
        <v/>
      </c>
      <c r="E481" t="s">
        <v>209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792</v>
      </c>
      <c r="B482" s="24"/>
      <c r="D482" t="str">
        <f>IF($C482="","",IFERROR(LOOKUP(2,1/('03_Warehouse_Movements'!$C$2:$C$500=$A482),'03_Warehouse_Movements'!$E$2:$E$500),$C482))</f>
        <v/>
      </c>
      <c r="E482" t="s">
        <v>209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793</v>
      </c>
      <c r="B483" s="24"/>
      <c r="D483" t="str">
        <f>IF($C483="","",IFERROR(LOOKUP(2,1/('03_Warehouse_Movements'!$C$2:$C$500=$A483),'03_Warehouse_Movements'!$E$2:$E$500),$C483))</f>
        <v/>
      </c>
      <c r="E483" t="s">
        <v>209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794</v>
      </c>
      <c r="B484" s="24"/>
      <c r="D484" t="str">
        <f>IF($C484="","",IFERROR(LOOKUP(2,1/('03_Warehouse_Movements'!$C$2:$C$500=$A484),'03_Warehouse_Movements'!$E$2:$E$500),$C484))</f>
        <v/>
      </c>
      <c r="E484" t="s">
        <v>209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795</v>
      </c>
      <c r="B485" s="24"/>
      <c r="D485" t="str">
        <f>IF($C485="","",IFERROR(LOOKUP(2,1/('03_Warehouse_Movements'!$C$2:$C$500=$A485),'03_Warehouse_Movements'!$E$2:$E$500),$C485))</f>
        <v/>
      </c>
      <c r="E485" t="s">
        <v>209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796</v>
      </c>
      <c r="B486" s="24"/>
      <c r="D486" t="str">
        <f>IF($C486="","",IFERROR(LOOKUP(2,1/('03_Warehouse_Movements'!$C$2:$C$500=$A486),'03_Warehouse_Movements'!$E$2:$E$500),$C486))</f>
        <v/>
      </c>
      <c r="E486" t="s">
        <v>209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797</v>
      </c>
      <c r="B487" s="24"/>
      <c r="D487" t="str">
        <f>IF($C487="","",IFERROR(LOOKUP(2,1/('03_Warehouse_Movements'!$C$2:$C$500=$A487),'03_Warehouse_Movements'!$E$2:$E$500),$C487))</f>
        <v/>
      </c>
      <c r="E487" t="s">
        <v>209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798</v>
      </c>
      <c r="B488" s="24"/>
      <c r="D488" t="str">
        <f>IF($C488="","",IFERROR(LOOKUP(2,1/('03_Warehouse_Movements'!$C$2:$C$500=$A488),'03_Warehouse_Movements'!$E$2:$E$500),$C488))</f>
        <v/>
      </c>
      <c r="E488" t="s">
        <v>209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799</v>
      </c>
      <c r="B489" s="24"/>
      <c r="D489" t="str">
        <f>IF($C489="","",IFERROR(LOOKUP(2,1/('03_Warehouse_Movements'!$C$2:$C$500=$A489),'03_Warehouse_Movements'!$E$2:$E$500),$C489))</f>
        <v/>
      </c>
      <c r="E489" t="s">
        <v>209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800</v>
      </c>
      <c r="B490" s="24"/>
      <c r="D490" t="str">
        <f>IF($C490="","",IFERROR(LOOKUP(2,1/('03_Warehouse_Movements'!$C$2:$C$500=$A490),'03_Warehouse_Movements'!$E$2:$E$500),$C490))</f>
        <v/>
      </c>
      <c r="E490" t="s">
        <v>209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801</v>
      </c>
      <c r="B491" s="24"/>
      <c r="D491" t="str">
        <f>IF($C491="","",IFERROR(LOOKUP(2,1/('03_Warehouse_Movements'!$C$2:$C$500=$A491),'03_Warehouse_Movements'!$E$2:$E$500),$C491))</f>
        <v/>
      </c>
      <c r="E491" t="s">
        <v>209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802</v>
      </c>
      <c r="B492" s="24"/>
      <c r="D492" t="str">
        <f>IF($C492="","",IFERROR(LOOKUP(2,1/('03_Warehouse_Movements'!$C$2:$C$500=$A492),'03_Warehouse_Movements'!$E$2:$E$500),$C492))</f>
        <v/>
      </c>
      <c r="E492" t="s">
        <v>209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803</v>
      </c>
      <c r="B493" s="24"/>
      <c r="D493" t="str">
        <f>IF($C493="","",IFERROR(LOOKUP(2,1/('03_Warehouse_Movements'!$C$2:$C$500=$A493),'03_Warehouse_Movements'!$E$2:$E$500),$C493))</f>
        <v/>
      </c>
      <c r="E493" t="s">
        <v>209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804</v>
      </c>
      <c r="B494" s="24"/>
      <c r="D494" t="str">
        <f>IF($C494="","",IFERROR(LOOKUP(2,1/('03_Warehouse_Movements'!$C$2:$C$500=$A494),'03_Warehouse_Movements'!$E$2:$E$500),$C494))</f>
        <v/>
      </c>
      <c r="E494" t="s">
        <v>209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805</v>
      </c>
      <c r="B495" s="24"/>
      <c r="D495" t="str">
        <f>IF($C495="","",IFERROR(LOOKUP(2,1/('03_Warehouse_Movements'!$C$2:$C$500=$A495),'03_Warehouse_Movements'!$E$2:$E$500),$C495))</f>
        <v/>
      </c>
      <c r="E495" t="s">
        <v>209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806</v>
      </c>
      <c r="B496" s="24"/>
      <c r="D496" t="str">
        <f>IF($C496="","",IFERROR(LOOKUP(2,1/('03_Warehouse_Movements'!$C$2:$C$500=$A496),'03_Warehouse_Movements'!$E$2:$E$500),$C496))</f>
        <v/>
      </c>
      <c r="E496" t="s">
        <v>209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807</v>
      </c>
      <c r="B497" s="24"/>
      <c r="D497" t="str">
        <f>IF($C497="","",IFERROR(LOOKUP(2,1/('03_Warehouse_Movements'!$C$2:$C$500=$A497),'03_Warehouse_Movements'!$E$2:$E$500),$C497))</f>
        <v/>
      </c>
      <c r="E497" t="s">
        <v>209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808</v>
      </c>
      <c r="B498" s="24"/>
      <c r="D498" t="str">
        <f>IF($C498="","",IFERROR(LOOKUP(2,1/('03_Warehouse_Movements'!$C$2:$C$500=$A498),'03_Warehouse_Movements'!$E$2:$E$500),$C498))</f>
        <v/>
      </c>
      <c r="E498" t="s">
        <v>209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809</v>
      </c>
      <c r="B499" s="24"/>
      <c r="D499" t="str">
        <f>IF($C499="","",IFERROR(LOOKUP(2,1/('03_Warehouse_Movements'!$C$2:$C$500=$A499),'03_Warehouse_Movements'!$E$2:$E$500),$C499))</f>
        <v/>
      </c>
      <c r="E499" t="s">
        <v>209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810</v>
      </c>
      <c r="B500" s="24"/>
      <c r="D500" t="str">
        <f>IF($C500="","",IFERROR(LOOKUP(2,1/('03_Warehouse_Movements'!$C$2:$C$500=$A500),'03_Warehouse_Movements'!$E$2:$E$500),$C500))</f>
        <v/>
      </c>
      <c r="E500" t="s">
        <v>209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811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812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813</v>
      </c>
      <c r="B2002" s="24"/>
      <c r="D2002" t="str">
        <f>IF($C2002="","",IFERROR(LOOKUP(2,1/('03_Warehouse_Movements'!$C$2:$C$500=$A2002),'03_Warehouse_Movements'!$E$2:$E$500),$C2002))</f>
        <v/>
      </c>
      <c r="E2002" t="s">
        <v>209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36" priority="3" stopIfTrue="1">
      <formula>AND(TRIM($A2)="",OR($B2&lt;&gt;"",$C2&lt;&gt;"",$D2&lt;&gt;"",$E2&lt;&gt;"",$I2&lt;&gt;"",$J2&lt;&gt;""))</formula>
    </cfRule>
    <cfRule type="expression" dxfId="35" priority="4">
      <formula>AND(TRIM($A2)&lt;&gt;"",NOT(AND(LEFT($A2,4)="PAL-",LEN($A2)=11,ISNUMBER(--MID($A2,5,7)))))</formula>
    </cfRule>
    <cfRule type="expression" dxfId="34" priority="5">
      <formula>AND(TRIM($A2)&lt;&gt;"",COUNTIF($A$2:$A$2002,$A2)&gt;1)</formula>
    </cfRule>
    <cfRule type="expression" dxfId="33" priority="6">
      <formula>AND(TRIM($A2)&lt;&gt;"",$C2&lt;&gt;"",$D2&lt;&gt;"",$D2&lt;&gt;"0",$C2&lt;&gt;$D2)</formula>
    </cfRule>
  </conditionalFormatting>
  <conditionalFormatting sqref="C8">
    <cfRule type="expression" dxfId="32" priority="1" stopIfTrue="1">
      <formula>AND(TRIM($A8)="",OR($B8&lt;&gt;"",$C8&lt;&gt;"",$D8&lt;&gt;"",$E8&lt;&gt;"",$F8&lt;&gt;"",$I8&lt;&gt;""))</formula>
    </cfRule>
    <cfRule type="expression" dxfId="3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814</v>
      </c>
      <c r="B1" s="50" t="s">
        <v>815</v>
      </c>
      <c r="C1" s="50" t="s">
        <v>816</v>
      </c>
      <c r="D1" s="50" t="s">
        <v>817</v>
      </c>
      <c r="E1" s="50" t="s">
        <v>818</v>
      </c>
      <c r="F1" s="50" t="s">
        <v>819</v>
      </c>
      <c r="G1" s="50" t="s">
        <v>186</v>
      </c>
      <c r="H1" s="50" t="s">
        <v>820</v>
      </c>
      <c r="I1" s="50" t="s">
        <v>189</v>
      </c>
      <c r="J1" s="40" t="s">
        <v>821</v>
      </c>
      <c r="K1" s="40" t="s">
        <v>822</v>
      </c>
      <c r="L1" s="40" t="s">
        <v>823</v>
      </c>
      <c r="M1" s="40" t="s">
        <v>824</v>
      </c>
      <c r="N1" s="40" t="s">
        <v>825</v>
      </c>
      <c r="O1" t="s">
        <v>826</v>
      </c>
      <c r="P1" t="s">
        <v>827</v>
      </c>
      <c r="Q1" t="s">
        <v>828</v>
      </c>
    </row>
    <row r="2" spans="1:17">
      <c r="A2" t="s">
        <v>216</v>
      </c>
      <c r="B2" t="s">
        <v>829</v>
      </c>
      <c r="E2" t="s">
        <v>830</v>
      </c>
      <c r="F2">
        <v>1</v>
      </c>
      <c r="G2">
        <v>0</v>
      </c>
      <c r="H2" t="str">
        <f t="shared" ref="H2:H33" si="0">A2</f>
        <v>STAGED</v>
      </c>
      <c r="I2" t="s">
        <v>831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832</v>
      </c>
      <c r="B3" t="s">
        <v>829</v>
      </c>
      <c r="E3" t="s">
        <v>833</v>
      </c>
      <c r="F3">
        <v>1</v>
      </c>
      <c r="G3">
        <v>0</v>
      </c>
      <c r="H3" t="str">
        <f t="shared" si="0"/>
        <v>STAGE_OUT</v>
      </c>
      <c r="I3" t="s">
        <v>834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835</v>
      </c>
      <c r="B4" t="s">
        <v>829</v>
      </c>
      <c r="E4" t="s">
        <v>836</v>
      </c>
      <c r="F4">
        <v>2</v>
      </c>
      <c r="G4">
        <v>0</v>
      </c>
      <c r="H4" t="str">
        <f t="shared" si="0"/>
        <v>QUARANTINE</v>
      </c>
      <c r="I4" t="s">
        <v>837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838</v>
      </c>
      <c r="B5" t="s">
        <v>839</v>
      </c>
      <c r="C5" t="s">
        <v>840</v>
      </c>
      <c r="D5" t="s">
        <v>841</v>
      </c>
      <c r="E5" t="s">
        <v>842</v>
      </c>
      <c r="F5">
        <v>1</v>
      </c>
      <c r="G5">
        <v>2</v>
      </c>
      <c r="H5" t="str">
        <f t="shared" si="0"/>
        <v>Z1</v>
      </c>
      <c r="I5" t="s">
        <v>843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844</v>
      </c>
      <c r="B6" t="s">
        <v>839</v>
      </c>
      <c r="C6" t="s">
        <v>845</v>
      </c>
      <c r="D6">
        <v>1</v>
      </c>
      <c r="E6" t="s">
        <v>846</v>
      </c>
      <c r="F6">
        <v>4</v>
      </c>
      <c r="G6">
        <v>2</v>
      </c>
      <c r="H6" t="str">
        <f t="shared" si="0"/>
        <v>A</v>
      </c>
      <c r="I6" t="s">
        <v>847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848</v>
      </c>
      <c r="B7" t="s">
        <v>839</v>
      </c>
      <c r="C7" t="s">
        <v>845</v>
      </c>
      <c r="D7">
        <v>1</v>
      </c>
      <c r="E7" t="s">
        <v>846</v>
      </c>
      <c r="F7">
        <v>4</v>
      </c>
      <c r="G7">
        <v>2</v>
      </c>
      <c r="H7" t="str">
        <f t="shared" si="0"/>
        <v>Between rows segment 02</v>
      </c>
      <c r="I7" t="s">
        <v>849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850</v>
      </c>
      <c r="B8" t="s">
        <v>839</v>
      </c>
      <c r="C8" t="s">
        <v>840</v>
      </c>
      <c r="D8" t="s">
        <v>851</v>
      </c>
      <c r="E8" t="s">
        <v>852</v>
      </c>
      <c r="F8">
        <v>3</v>
      </c>
      <c r="G8">
        <v>7</v>
      </c>
      <c r="H8" t="str">
        <f t="shared" si="0"/>
        <v>01</v>
      </c>
      <c r="I8" t="s">
        <v>853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225</v>
      </c>
      <c r="B9" t="s">
        <v>854</v>
      </c>
      <c r="E9" t="s">
        <v>852</v>
      </c>
      <c r="F9">
        <v>3</v>
      </c>
      <c r="G9">
        <v>0</v>
      </c>
      <c r="H9" t="str">
        <f t="shared" si="0"/>
        <v>UNSAFE</v>
      </c>
      <c r="I9" t="s">
        <v>855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856</v>
      </c>
      <c r="B10" t="s">
        <v>839</v>
      </c>
      <c r="C10" t="s">
        <v>845</v>
      </c>
      <c r="D10">
        <v>1</v>
      </c>
      <c r="E10" t="s">
        <v>846</v>
      </c>
      <c r="F10">
        <v>4</v>
      </c>
      <c r="G10">
        <v>2</v>
      </c>
      <c r="H10" t="str">
        <f t="shared" si="0"/>
        <v>SAMPLE: Grid A03</v>
      </c>
      <c r="I10" t="s">
        <v>857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858</v>
      </c>
      <c r="B11" t="s">
        <v>839</v>
      </c>
      <c r="C11" t="s">
        <v>845</v>
      </c>
      <c r="D11">
        <v>1</v>
      </c>
      <c r="E11" t="s">
        <v>846</v>
      </c>
      <c r="F11">
        <v>4</v>
      </c>
      <c r="G11">
        <v>2</v>
      </c>
      <c r="H11" t="str">
        <f t="shared" si="0"/>
        <v>SAMPLE: Grid A04</v>
      </c>
      <c r="I11" t="s">
        <v>859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249</v>
      </c>
      <c r="B12" t="s">
        <v>839</v>
      </c>
      <c r="C12" t="s">
        <v>845</v>
      </c>
      <c r="D12">
        <v>1</v>
      </c>
      <c r="E12" t="s">
        <v>846</v>
      </c>
      <c r="F12">
        <v>4</v>
      </c>
      <c r="G12">
        <v>2</v>
      </c>
      <c r="H12" t="str">
        <f t="shared" si="0"/>
        <v>SAMPLE: Power Supplies</v>
      </c>
      <c r="I12" t="s">
        <v>860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252</v>
      </c>
      <c r="B13" t="s">
        <v>839</v>
      </c>
      <c r="C13" t="s">
        <v>845</v>
      </c>
      <c r="D13">
        <v>1</v>
      </c>
      <c r="E13" t="s">
        <v>846</v>
      </c>
      <c r="F13">
        <v>4</v>
      </c>
      <c r="G13">
        <v>2</v>
      </c>
      <c r="H13" t="str">
        <f t="shared" si="0"/>
        <v>SAMPLE: Imaging Equipment</v>
      </c>
      <c r="I13" t="s">
        <v>861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255</v>
      </c>
      <c r="B14" t="s">
        <v>839</v>
      </c>
      <c r="C14" t="s">
        <v>845</v>
      </c>
      <c r="D14">
        <v>1</v>
      </c>
      <c r="E14" t="s">
        <v>846</v>
      </c>
      <c r="F14">
        <v>4</v>
      </c>
      <c r="G14">
        <v>2</v>
      </c>
      <c r="H14" t="str">
        <f t="shared" si="0"/>
        <v>SAMPLE: Misc Hardware</v>
      </c>
      <c r="I14" t="s">
        <v>862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259</v>
      </c>
      <c r="B15" t="s">
        <v>839</v>
      </c>
      <c r="C15" t="s">
        <v>845</v>
      </c>
      <c r="D15">
        <v>1</v>
      </c>
      <c r="E15" t="s">
        <v>846</v>
      </c>
      <c r="F15">
        <v>4</v>
      </c>
      <c r="G15">
        <v>2</v>
      </c>
      <c r="H15" t="str">
        <f t="shared" si="0"/>
        <v>SAMPLE: Dell Devices</v>
      </c>
      <c r="I15" t="s">
        <v>863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262</v>
      </c>
      <c r="B16" t="s">
        <v>839</v>
      </c>
      <c r="C16" t="s">
        <v>845</v>
      </c>
      <c r="D16">
        <v>1</v>
      </c>
      <c r="E16" t="s">
        <v>846</v>
      </c>
      <c r="F16">
        <v>4</v>
      </c>
      <c r="G16">
        <v>2</v>
      </c>
      <c r="H16" t="str">
        <f t="shared" si="0"/>
        <v>PAL-0000013</v>
      </c>
      <c r="I16" t="s">
        <v>864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264</v>
      </c>
      <c r="B17" t="s">
        <v>839</v>
      </c>
      <c r="C17" t="s">
        <v>845</v>
      </c>
      <c r="D17">
        <v>1</v>
      </c>
      <c r="E17" t="s">
        <v>846</v>
      </c>
      <c r="F17">
        <v>4</v>
      </c>
      <c r="G17">
        <v>2</v>
      </c>
      <c r="H17" t="str">
        <f t="shared" si="0"/>
        <v>SAMPLE: Cables &amp; Adapters</v>
      </c>
      <c r="I17" t="s">
        <v>865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267</v>
      </c>
      <c r="B18" t="s">
        <v>839</v>
      </c>
      <c r="C18" t="s">
        <v>845</v>
      </c>
      <c r="D18">
        <v>1</v>
      </c>
      <c r="E18" t="s">
        <v>846</v>
      </c>
      <c r="F18">
        <v>4</v>
      </c>
      <c r="G18">
        <v>2</v>
      </c>
      <c r="H18" t="str">
        <f t="shared" si="0"/>
        <v>SAMPLE: Racks &amp; Rails</v>
      </c>
      <c r="I18" t="s">
        <v>866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271</v>
      </c>
      <c r="B19" t="s">
        <v>839</v>
      </c>
      <c r="C19" t="s">
        <v>845</v>
      </c>
      <c r="D19">
        <v>1</v>
      </c>
      <c r="E19" t="s">
        <v>846</v>
      </c>
      <c r="F19">
        <v>4</v>
      </c>
      <c r="G19">
        <v>2</v>
      </c>
      <c r="H19" t="str">
        <f t="shared" si="0"/>
        <v>SAMPLE: Networking Gear</v>
      </c>
      <c r="I19" t="s">
        <v>867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274</v>
      </c>
      <c r="B20" t="s">
        <v>839</v>
      </c>
      <c r="C20" t="s">
        <v>845</v>
      </c>
      <c r="D20">
        <v>1</v>
      </c>
      <c r="E20" t="s">
        <v>846</v>
      </c>
      <c r="F20">
        <v>4</v>
      </c>
      <c r="G20">
        <v>2</v>
      </c>
      <c r="H20" t="str">
        <f t="shared" si="0"/>
        <v>SAMPLE: Keyboards &amp; Mice</v>
      </c>
      <c r="I20" t="s">
        <v>868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277</v>
      </c>
      <c r="B21" t="s">
        <v>839</v>
      </c>
      <c r="C21" t="s">
        <v>845</v>
      </c>
      <c r="D21">
        <v>1</v>
      </c>
      <c r="E21" t="s">
        <v>846</v>
      </c>
      <c r="F21">
        <v>4</v>
      </c>
      <c r="G21">
        <v>2</v>
      </c>
      <c r="H21" t="str">
        <f t="shared" si="0"/>
        <v>SAMPLE: Spare Parts</v>
      </c>
      <c r="I21" t="s">
        <v>869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280</v>
      </c>
      <c r="B22" t="s">
        <v>839</v>
      </c>
      <c r="C22" t="s">
        <v>845</v>
      </c>
      <c r="D22">
        <v>1</v>
      </c>
      <c r="E22" t="s">
        <v>846</v>
      </c>
      <c r="F22">
        <v>4</v>
      </c>
      <c r="G22">
        <v>2</v>
      </c>
      <c r="H22" t="str">
        <f t="shared" si="0"/>
        <v>PAL-0000019</v>
      </c>
      <c r="I22" t="s">
        <v>870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282</v>
      </c>
      <c r="B23" t="s">
        <v>839</v>
      </c>
      <c r="C23" t="s">
        <v>845</v>
      </c>
      <c r="D23">
        <v>1</v>
      </c>
      <c r="E23" t="s">
        <v>846</v>
      </c>
      <c r="F23">
        <v>4</v>
      </c>
      <c r="G23">
        <v>2</v>
      </c>
      <c r="H23" t="str">
        <f t="shared" si="0"/>
        <v>PAL-0000020</v>
      </c>
      <c r="I23" t="s">
        <v>871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284</v>
      </c>
      <c r="B24" t="s">
        <v>839</v>
      </c>
      <c r="C24" t="s">
        <v>845</v>
      </c>
      <c r="D24">
        <v>1</v>
      </c>
      <c r="E24" t="s">
        <v>846</v>
      </c>
      <c r="F24">
        <v>4</v>
      </c>
      <c r="G24">
        <v>2</v>
      </c>
      <c r="H24" t="str">
        <f t="shared" si="0"/>
        <v>PAL-0000021</v>
      </c>
      <c r="I24" t="s">
        <v>872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286</v>
      </c>
      <c r="B25" t="s">
        <v>839</v>
      </c>
      <c r="C25" t="s">
        <v>845</v>
      </c>
      <c r="D25">
        <v>1</v>
      </c>
      <c r="E25" t="s">
        <v>846</v>
      </c>
      <c r="F25">
        <v>4</v>
      </c>
      <c r="G25">
        <v>2</v>
      </c>
      <c r="H25" t="str">
        <f t="shared" si="0"/>
        <v>PAL-0000022</v>
      </c>
      <c r="I25" t="s">
        <v>873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289</v>
      </c>
      <c r="B26" t="s">
        <v>839</v>
      </c>
      <c r="C26" t="s">
        <v>845</v>
      </c>
      <c r="D26">
        <v>1</v>
      </c>
      <c r="E26" t="s">
        <v>846</v>
      </c>
      <c r="F26">
        <v>4</v>
      </c>
      <c r="G26">
        <v>2</v>
      </c>
      <c r="H26" t="str">
        <f t="shared" si="0"/>
        <v>PAL-0000023</v>
      </c>
      <c r="I26" t="s">
        <v>874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291</v>
      </c>
      <c r="B27" t="s">
        <v>839</v>
      </c>
      <c r="C27" t="s">
        <v>845</v>
      </c>
      <c r="D27">
        <v>1</v>
      </c>
      <c r="E27" t="s">
        <v>846</v>
      </c>
      <c r="F27">
        <v>4</v>
      </c>
      <c r="G27">
        <v>2</v>
      </c>
      <c r="H27" t="str">
        <f t="shared" si="0"/>
        <v>PAL-0000024</v>
      </c>
      <c r="I27" t="s">
        <v>875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293</v>
      </c>
      <c r="B28" t="s">
        <v>839</v>
      </c>
      <c r="C28" t="s">
        <v>257</v>
      </c>
      <c r="D28">
        <v>1</v>
      </c>
      <c r="E28" t="s">
        <v>846</v>
      </c>
      <c r="F28">
        <v>4</v>
      </c>
      <c r="G28">
        <v>2</v>
      </c>
      <c r="H28" t="str">
        <f t="shared" si="0"/>
        <v>PAL-0000025</v>
      </c>
      <c r="I28" t="s">
        <v>876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295</v>
      </c>
      <c r="B29" t="s">
        <v>839</v>
      </c>
      <c r="C29" t="s">
        <v>257</v>
      </c>
      <c r="D29">
        <v>1</v>
      </c>
      <c r="E29" t="s">
        <v>846</v>
      </c>
      <c r="F29">
        <v>4</v>
      </c>
      <c r="G29">
        <v>2</v>
      </c>
      <c r="H29" t="str">
        <f t="shared" si="0"/>
        <v>PAL-0000026</v>
      </c>
      <c r="I29" t="s">
        <v>877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297</v>
      </c>
      <c r="B30" t="s">
        <v>839</v>
      </c>
      <c r="C30" t="s">
        <v>257</v>
      </c>
      <c r="D30">
        <v>1</v>
      </c>
      <c r="E30" t="s">
        <v>846</v>
      </c>
      <c r="F30">
        <v>4</v>
      </c>
      <c r="G30">
        <v>2</v>
      </c>
      <c r="H30" t="str">
        <f t="shared" si="0"/>
        <v>PAL-0000027</v>
      </c>
      <c r="I30" t="s">
        <v>878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299</v>
      </c>
      <c r="B31" t="s">
        <v>839</v>
      </c>
      <c r="C31" t="s">
        <v>257</v>
      </c>
      <c r="D31">
        <v>1</v>
      </c>
      <c r="E31" t="s">
        <v>846</v>
      </c>
      <c r="F31">
        <v>4</v>
      </c>
      <c r="G31">
        <v>2</v>
      </c>
      <c r="H31" t="str">
        <f t="shared" si="0"/>
        <v>PAL-0000028</v>
      </c>
      <c r="I31" t="s">
        <v>879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301</v>
      </c>
      <c r="B32" t="s">
        <v>839</v>
      </c>
      <c r="C32" t="s">
        <v>257</v>
      </c>
      <c r="D32">
        <v>1</v>
      </c>
      <c r="E32" t="s">
        <v>846</v>
      </c>
      <c r="F32">
        <v>4</v>
      </c>
      <c r="G32">
        <v>2</v>
      </c>
      <c r="H32" t="str">
        <f t="shared" si="0"/>
        <v>PAL-0000029</v>
      </c>
      <c r="I32" t="s">
        <v>880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304</v>
      </c>
      <c r="B33" t="s">
        <v>839</v>
      </c>
      <c r="C33" t="s">
        <v>257</v>
      </c>
      <c r="D33">
        <v>1</v>
      </c>
      <c r="E33" t="s">
        <v>846</v>
      </c>
      <c r="F33">
        <v>4</v>
      </c>
      <c r="G33">
        <v>2</v>
      </c>
      <c r="H33" t="str">
        <f t="shared" si="0"/>
        <v>PAL-0000030</v>
      </c>
      <c r="I33" t="s">
        <v>881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306</v>
      </c>
      <c r="B34" t="s">
        <v>839</v>
      </c>
      <c r="C34" t="s">
        <v>257</v>
      </c>
      <c r="D34">
        <v>1</v>
      </c>
      <c r="E34" t="s">
        <v>846</v>
      </c>
      <c r="F34">
        <v>4</v>
      </c>
      <c r="G34">
        <v>2</v>
      </c>
      <c r="H34" t="str">
        <f t="shared" ref="H34:H65" si="9">A34</f>
        <v>PAL-0000031</v>
      </c>
      <c r="I34" t="s">
        <v>882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308</v>
      </c>
      <c r="B35" t="s">
        <v>839</v>
      </c>
      <c r="C35" t="s">
        <v>257</v>
      </c>
      <c r="D35">
        <v>1</v>
      </c>
      <c r="E35" t="s">
        <v>846</v>
      </c>
      <c r="F35">
        <v>4</v>
      </c>
      <c r="G35">
        <v>2</v>
      </c>
      <c r="H35" t="str">
        <f t="shared" si="9"/>
        <v>PAL-0000032</v>
      </c>
      <c r="I35" t="s">
        <v>883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310</v>
      </c>
      <c r="B36" t="s">
        <v>839</v>
      </c>
      <c r="C36" t="s">
        <v>257</v>
      </c>
      <c r="D36">
        <v>1</v>
      </c>
      <c r="E36" t="s">
        <v>846</v>
      </c>
      <c r="F36">
        <v>4</v>
      </c>
      <c r="G36">
        <v>2</v>
      </c>
      <c r="H36" t="str">
        <f t="shared" si="9"/>
        <v>PAL-0000033</v>
      </c>
      <c r="I36" t="s">
        <v>884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312</v>
      </c>
      <c r="B37" t="s">
        <v>839</v>
      </c>
      <c r="C37" t="s">
        <v>257</v>
      </c>
      <c r="D37">
        <v>1</v>
      </c>
      <c r="E37" t="s">
        <v>846</v>
      </c>
      <c r="F37">
        <v>4</v>
      </c>
      <c r="G37">
        <v>2</v>
      </c>
      <c r="H37" t="str">
        <f t="shared" si="9"/>
        <v>PAL-0000034</v>
      </c>
      <c r="I37" t="s">
        <v>885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314</v>
      </c>
      <c r="B38" t="s">
        <v>839</v>
      </c>
      <c r="C38" t="s">
        <v>257</v>
      </c>
      <c r="D38">
        <v>1</v>
      </c>
      <c r="E38" t="s">
        <v>846</v>
      </c>
      <c r="F38">
        <v>4</v>
      </c>
      <c r="G38">
        <v>2</v>
      </c>
      <c r="H38" t="str">
        <f t="shared" si="9"/>
        <v>PAL-0000035</v>
      </c>
      <c r="I38" t="s">
        <v>886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316</v>
      </c>
      <c r="B39" t="s">
        <v>839</v>
      </c>
      <c r="C39" t="s">
        <v>257</v>
      </c>
      <c r="D39">
        <v>1</v>
      </c>
      <c r="E39" t="s">
        <v>846</v>
      </c>
      <c r="F39">
        <v>4</v>
      </c>
      <c r="G39">
        <v>2</v>
      </c>
      <c r="H39" t="str">
        <f t="shared" si="9"/>
        <v>PAL-0000036</v>
      </c>
      <c r="I39" t="s">
        <v>887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319</v>
      </c>
      <c r="B40" t="s">
        <v>839</v>
      </c>
      <c r="C40" t="s">
        <v>257</v>
      </c>
      <c r="D40">
        <v>1</v>
      </c>
      <c r="E40" t="s">
        <v>846</v>
      </c>
      <c r="F40">
        <v>4</v>
      </c>
      <c r="G40">
        <v>2</v>
      </c>
      <c r="H40" t="str">
        <f t="shared" si="9"/>
        <v>PAL-0000037</v>
      </c>
      <c r="I40" t="s">
        <v>888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321</v>
      </c>
      <c r="B41" t="s">
        <v>839</v>
      </c>
      <c r="C41" t="s">
        <v>257</v>
      </c>
      <c r="D41">
        <v>1</v>
      </c>
      <c r="E41" t="s">
        <v>846</v>
      </c>
      <c r="F41">
        <v>4</v>
      </c>
      <c r="G41">
        <v>2</v>
      </c>
      <c r="H41" t="str">
        <f t="shared" si="9"/>
        <v>PAL-0000038</v>
      </c>
      <c r="I41" t="s">
        <v>889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323</v>
      </c>
      <c r="B42" t="s">
        <v>839</v>
      </c>
      <c r="C42" t="s">
        <v>257</v>
      </c>
      <c r="D42">
        <v>1</v>
      </c>
      <c r="E42" t="s">
        <v>846</v>
      </c>
      <c r="F42">
        <v>4</v>
      </c>
      <c r="G42">
        <v>2</v>
      </c>
      <c r="H42" t="str">
        <f t="shared" si="9"/>
        <v>PAL-0000039</v>
      </c>
      <c r="I42" t="s">
        <v>890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325</v>
      </c>
      <c r="B43" t="s">
        <v>839</v>
      </c>
      <c r="C43" t="s">
        <v>257</v>
      </c>
      <c r="D43">
        <v>1</v>
      </c>
      <c r="E43" t="s">
        <v>846</v>
      </c>
      <c r="F43">
        <v>4</v>
      </c>
      <c r="G43">
        <v>2</v>
      </c>
      <c r="H43" t="str">
        <f t="shared" si="9"/>
        <v>PAL-0000040</v>
      </c>
      <c r="I43" t="s">
        <v>891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327</v>
      </c>
      <c r="B44" t="s">
        <v>839</v>
      </c>
      <c r="C44" t="s">
        <v>257</v>
      </c>
      <c r="D44">
        <v>1</v>
      </c>
      <c r="E44" t="s">
        <v>846</v>
      </c>
      <c r="F44">
        <v>4</v>
      </c>
      <c r="G44">
        <v>2</v>
      </c>
      <c r="H44" t="str">
        <f t="shared" si="9"/>
        <v>PAL-0000041</v>
      </c>
      <c r="I44" t="s">
        <v>892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329</v>
      </c>
      <c r="B45" t="s">
        <v>839</v>
      </c>
      <c r="C45" t="s">
        <v>257</v>
      </c>
      <c r="D45">
        <v>1</v>
      </c>
      <c r="E45" t="s">
        <v>846</v>
      </c>
      <c r="F45">
        <v>4</v>
      </c>
      <c r="G45">
        <v>2</v>
      </c>
      <c r="H45" t="str">
        <f t="shared" si="9"/>
        <v>PAL-0000042</v>
      </c>
      <c r="I45" t="s">
        <v>893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331</v>
      </c>
      <c r="B46" t="s">
        <v>839</v>
      </c>
      <c r="C46" t="s">
        <v>257</v>
      </c>
      <c r="D46">
        <v>1</v>
      </c>
      <c r="E46" t="s">
        <v>846</v>
      </c>
      <c r="F46">
        <v>4</v>
      </c>
      <c r="G46">
        <v>2</v>
      </c>
      <c r="H46" t="str">
        <f t="shared" si="9"/>
        <v>PAL-0000043</v>
      </c>
      <c r="I46" t="s">
        <v>894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334</v>
      </c>
      <c r="B47" t="s">
        <v>839</v>
      </c>
      <c r="C47" t="s">
        <v>257</v>
      </c>
      <c r="D47">
        <v>1</v>
      </c>
      <c r="E47" t="s">
        <v>846</v>
      </c>
      <c r="F47">
        <v>4</v>
      </c>
      <c r="G47">
        <v>2</v>
      </c>
      <c r="H47" t="str">
        <f t="shared" si="9"/>
        <v>PAL-0000044</v>
      </c>
      <c r="I47" t="s">
        <v>895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336</v>
      </c>
      <c r="B48" t="s">
        <v>839</v>
      </c>
      <c r="C48" t="s">
        <v>896</v>
      </c>
      <c r="D48">
        <v>1</v>
      </c>
      <c r="E48" t="s">
        <v>846</v>
      </c>
      <c r="F48">
        <v>4</v>
      </c>
      <c r="G48">
        <v>2</v>
      </c>
      <c r="H48" t="str">
        <f t="shared" si="9"/>
        <v>PAL-0000045</v>
      </c>
      <c r="I48" t="s">
        <v>897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338</v>
      </c>
      <c r="B49" t="s">
        <v>839</v>
      </c>
      <c r="C49" t="s">
        <v>896</v>
      </c>
      <c r="D49">
        <v>1</v>
      </c>
      <c r="E49" t="s">
        <v>846</v>
      </c>
      <c r="F49">
        <v>4</v>
      </c>
      <c r="G49">
        <v>2</v>
      </c>
      <c r="H49" t="str">
        <f t="shared" si="9"/>
        <v>PAL-0000046</v>
      </c>
      <c r="I49" t="s">
        <v>898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340</v>
      </c>
      <c r="B50" t="s">
        <v>839</v>
      </c>
      <c r="C50" t="s">
        <v>896</v>
      </c>
      <c r="D50">
        <v>1</v>
      </c>
      <c r="E50" t="s">
        <v>846</v>
      </c>
      <c r="F50">
        <v>4</v>
      </c>
      <c r="G50">
        <v>2</v>
      </c>
      <c r="H50" t="str">
        <f t="shared" si="9"/>
        <v>PAL-0000047</v>
      </c>
      <c r="I50" t="s">
        <v>899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342</v>
      </c>
      <c r="B51" t="s">
        <v>839</v>
      </c>
      <c r="C51" t="s">
        <v>896</v>
      </c>
      <c r="D51">
        <v>1</v>
      </c>
      <c r="E51" t="s">
        <v>846</v>
      </c>
      <c r="F51">
        <v>4</v>
      </c>
      <c r="G51">
        <v>2</v>
      </c>
      <c r="H51" t="str">
        <f t="shared" si="9"/>
        <v>PAL-0000048</v>
      </c>
      <c r="I51" t="s">
        <v>900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344</v>
      </c>
      <c r="B52" t="s">
        <v>839</v>
      </c>
      <c r="C52" t="s">
        <v>896</v>
      </c>
      <c r="D52">
        <v>1</v>
      </c>
      <c r="E52" t="s">
        <v>846</v>
      </c>
      <c r="F52">
        <v>4</v>
      </c>
      <c r="G52">
        <v>2</v>
      </c>
      <c r="H52" t="str">
        <f t="shared" si="9"/>
        <v>PAL-0000049</v>
      </c>
      <c r="I52" t="s">
        <v>901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346</v>
      </c>
      <c r="B53" t="s">
        <v>839</v>
      </c>
      <c r="C53" t="s">
        <v>896</v>
      </c>
      <c r="D53">
        <v>1</v>
      </c>
      <c r="E53" t="s">
        <v>846</v>
      </c>
      <c r="F53">
        <v>4</v>
      </c>
      <c r="G53">
        <v>2</v>
      </c>
      <c r="H53" t="str">
        <f t="shared" si="9"/>
        <v>PAL-0000050</v>
      </c>
      <c r="I53" t="s">
        <v>902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349</v>
      </c>
      <c r="B54" t="s">
        <v>839</v>
      </c>
      <c r="C54" t="s">
        <v>896</v>
      </c>
      <c r="D54">
        <v>1</v>
      </c>
      <c r="E54" t="s">
        <v>846</v>
      </c>
      <c r="F54">
        <v>4</v>
      </c>
      <c r="G54">
        <v>2</v>
      </c>
      <c r="H54" t="str">
        <f t="shared" si="9"/>
        <v>RETIRED</v>
      </c>
      <c r="I54" t="s">
        <v>903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352</v>
      </c>
      <c r="B55" t="s">
        <v>839</v>
      </c>
      <c r="C55" t="s">
        <v>896</v>
      </c>
      <c r="D55">
        <v>1</v>
      </c>
      <c r="E55" t="s">
        <v>846</v>
      </c>
      <c r="F55">
        <v>4</v>
      </c>
      <c r="G55">
        <v>2</v>
      </c>
      <c r="H55" t="str">
        <f t="shared" si="9"/>
        <v>PAL-0000052</v>
      </c>
      <c r="I55" t="s">
        <v>904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354</v>
      </c>
      <c r="B56" t="s">
        <v>839</v>
      </c>
      <c r="C56" t="s">
        <v>896</v>
      </c>
      <c r="D56">
        <v>1</v>
      </c>
      <c r="E56" t="s">
        <v>846</v>
      </c>
      <c r="F56">
        <v>4</v>
      </c>
      <c r="G56">
        <v>2</v>
      </c>
      <c r="H56" t="str">
        <f t="shared" si="9"/>
        <v>PAL-0000053</v>
      </c>
      <c r="I56" t="s">
        <v>905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356</v>
      </c>
      <c r="B57" t="s">
        <v>839</v>
      </c>
      <c r="C57" t="s">
        <v>896</v>
      </c>
      <c r="D57">
        <v>1</v>
      </c>
      <c r="E57" t="s">
        <v>846</v>
      </c>
      <c r="F57">
        <v>4</v>
      </c>
      <c r="G57">
        <v>2</v>
      </c>
      <c r="H57" t="str">
        <f t="shared" si="9"/>
        <v>PAL-0000054</v>
      </c>
      <c r="I57" t="s">
        <v>906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358</v>
      </c>
      <c r="B58" t="s">
        <v>839</v>
      </c>
      <c r="C58" t="s">
        <v>896</v>
      </c>
      <c r="D58">
        <v>1</v>
      </c>
      <c r="E58" t="s">
        <v>846</v>
      </c>
      <c r="F58">
        <v>4</v>
      </c>
      <c r="G58">
        <v>2</v>
      </c>
      <c r="H58" t="str">
        <f t="shared" si="9"/>
        <v>PAL-0000055</v>
      </c>
      <c r="I58" t="s">
        <v>907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360</v>
      </c>
      <c r="B59" t="s">
        <v>839</v>
      </c>
      <c r="C59" t="s">
        <v>896</v>
      </c>
      <c r="D59">
        <v>1</v>
      </c>
      <c r="E59" t="s">
        <v>846</v>
      </c>
      <c r="F59">
        <v>4</v>
      </c>
      <c r="G59">
        <v>2</v>
      </c>
      <c r="H59" t="str">
        <f t="shared" si="9"/>
        <v>PAL-0000056</v>
      </c>
      <c r="I59" t="s">
        <v>908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362</v>
      </c>
      <c r="B60" t="s">
        <v>839</v>
      </c>
      <c r="C60" t="s">
        <v>896</v>
      </c>
      <c r="D60">
        <v>1</v>
      </c>
      <c r="E60" t="s">
        <v>846</v>
      </c>
      <c r="F60">
        <v>4</v>
      </c>
      <c r="G60">
        <v>2</v>
      </c>
      <c r="H60" t="str">
        <f t="shared" si="9"/>
        <v>PAL-0000057</v>
      </c>
      <c r="I60" t="s">
        <v>909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365</v>
      </c>
      <c r="B61" t="s">
        <v>839</v>
      </c>
      <c r="C61" t="s">
        <v>896</v>
      </c>
      <c r="D61">
        <v>1</v>
      </c>
      <c r="E61" t="s">
        <v>846</v>
      </c>
      <c r="F61">
        <v>4</v>
      </c>
      <c r="G61">
        <v>2</v>
      </c>
      <c r="H61" t="str">
        <f t="shared" si="9"/>
        <v>PAL-0000058</v>
      </c>
      <c r="I61" t="s">
        <v>910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367</v>
      </c>
      <c r="B62" t="s">
        <v>839</v>
      </c>
      <c r="C62" t="s">
        <v>896</v>
      </c>
      <c r="D62">
        <v>1</v>
      </c>
      <c r="E62" t="s">
        <v>846</v>
      </c>
      <c r="F62">
        <v>4</v>
      </c>
      <c r="G62">
        <v>2</v>
      </c>
      <c r="H62" t="str">
        <f t="shared" si="9"/>
        <v>PAL-0000059</v>
      </c>
      <c r="I62" t="s">
        <v>911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369</v>
      </c>
      <c r="B63" t="s">
        <v>839</v>
      </c>
      <c r="C63" t="s">
        <v>896</v>
      </c>
      <c r="D63">
        <v>1</v>
      </c>
      <c r="E63" t="s">
        <v>846</v>
      </c>
      <c r="F63">
        <v>4</v>
      </c>
      <c r="G63">
        <v>2</v>
      </c>
      <c r="H63" t="str">
        <f t="shared" si="9"/>
        <v>PAL-0000060</v>
      </c>
      <c r="I63" t="s">
        <v>912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371</v>
      </c>
      <c r="B64" t="s">
        <v>839</v>
      </c>
      <c r="C64" t="s">
        <v>896</v>
      </c>
      <c r="D64">
        <v>1</v>
      </c>
      <c r="E64" t="s">
        <v>846</v>
      </c>
      <c r="F64">
        <v>4</v>
      </c>
      <c r="G64">
        <v>2</v>
      </c>
      <c r="H64" t="str">
        <f t="shared" si="9"/>
        <v>PAL-0000061</v>
      </c>
      <c r="I64" t="s">
        <v>913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914</v>
      </c>
      <c r="B65" t="s">
        <v>839</v>
      </c>
      <c r="C65" t="s">
        <v>896</v>
      </c>
      <c r="D65">
        <v>1</v>
      </c>
      <c r="E65" t="s">
        <v>846</v>
      </c>
      <c r="F65">
        <v>4</v>
      </c>
      <c r="G65">
        <v>2</v>
      </c>
      <c r="H65" t="str">
        <f t="shared" si="9"/>
        <v>SAMPLE: Grid C18</v>
      </c>
      <c r="I65" t="s">
        <v>915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916</v>
      </c>
      <c r="B66" t="s">
        <v>839</v>
      </c>
      <c r="C66" t="s">
        <v>896</v>
      </c>
      <c r="D66">
        <v>1</v>
      </c>
      <c r="E66" t="s">
        <v>846</v>
      </c>
      <c r="F66">
        <v>4</v>
      </c>
      <c r="G66">
        <v>2</v>
      </c>
      <c r="H66" t="str">
        <f t="shared" ref="H66:H97" si="13">A66</f>
        <v>SAMPLE: Grid C19</v>
      </c>
      <c r="I66" t="s">
        <v>917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918</v>
      </c>
      <c r="B67" t="s">
        <v>839</v>
      </c>
      <c r="C67" t="s">
        <v>896</v>
      </c>
      <c r="D67">
        <v>1</v>
      </c>
      <c r="E67" t="s">
        <v>846</v>
      </c>
      <c r="F67">
        <v>4</v>
      </c>
      <c r="G67">
        <v>2</v>
      </c>
      <c r="H67" t="str">
        <f t="shared" si="13"/>
        <v>SAMPLE: Grid C20</v>
      </c>
      <c r="I67" t="s">
        <v>919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920</v>
      </c>
      <c r="B68" t="s">
        <v>839</v>
      </c>
      <c r="C68" t="s">
        <v>921</v>
      </c>
      <c r="D68">
        <v>1</v>
      </c>
      <c r="E68" t="s">
        <v>846</v>
      </c>
      <c r="F68">
        <v>4</v>
      </c>
      <c r="G68">
        <v>2</v>
      </c>
      <c r="H68" t="str">
        <f t="shared" si="13"/>
        <v>D</v>
      </c>
      <c r="I68" t="s">
        <v>922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923</v>
      </c>
      <c r="B69" t="s">
        <v>839</v>
      </c>
      <c r="C69" t="s">
        <v>921</v>
      </c>
      <c r="D69">
        <v>1</v>
      </c>
      <c r="E69" t="s">
        <v>846</v>
      </c>
      <c r="F69">
        <v>4</v>
      </c>
      <c r="G69">
        <v>2</v>
      </c>
      <c r="H69" t="str">
        <f t="shared" si="13"/>
        <v>SAMPLE: Grid D02</v>
      </c>
      <c r="I69" t="s">
        <v>924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925</v>
      </c>
      <c r="B70" t="s">
        <v>839</v>
      </c>
      <c r="C70" t="s">
        <v>921</v>
      </c>
      <c r="D70">
        <v>1</v>
      </c>
      <c r="E70" t="s">
        <v>846</v>
      </c>
      <c r="F70">
        <v>4</v>
      </c>
      <c r="G70">
        <v>2</v>
      </c>
      <c r="H70" t="str">
        <f t="shared" si="13"/>
        <v>SAMPLE: Grid D03</v>
      </c>
      <c r="I70" t="s">
        <v>926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927</v>
      </c>
      <c r="B71" t="s">
        <v>839</v>
      </c>
      <c r="C71" t="s">
        <v>921</v>
      </c>
      <c r="D71">
        <v>1</v>
      </c>
      <c r="E71" t="s">
        <v>846</v>
      </c>
      <c r="F71">
        <v>4</v>
      </c>
      <c r="G71">
        <v>2</v>
      </c>
      <c r="H71" t="str">
        <f t="shared" si="13"/>
        <v>SAMPLE: Grid D04</v>
      </c>
      <c r="I71" t="s">
        <v>928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929</v>
      </c>
      <c r="B72" t="s">
        <v>839</v>
      </c>
      <c r="C72" t="s">
        <v>921</v>
      </c>
      <c r="D72">
        <v>1</v>
      </c>
      <c r="E72" t="s">
        <v>846</v>
      </c>
      <c r="F72">
        <v>4</v>
      </c>
      <c r="G72">
        <v>2</v>
      </c>
      <c r="H72" t="str">
        <f t="shared" si="13"/>
        <v>SAMPLE: Grid D05</v>
      </c>
      <c r="I72" t="s">
        <v>930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931</v>
      </c>
      <c r="B73" t="s">
        <v>839</v>
      </c>
      <c r="C73" t="s">
        <v>921</v>
      </c>
      <c r="D73">
        <v>1</v>
      </c>
      <c r="E73" t="s">
        <v>846</v>
      </c>
      <c r="F73">
        <v>4</v>
      </c>
      <c r="G73">
        <v>2</v>
      </c>
      <c r="H73" t="str">
        <f t="shared" si="13"/>
        <v>SAMPLE: Grid D06</v>
      </c>
      <c r="I73" t="s">
        <v>932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933</v>
      </c>
      <c r="B74" t="s">
        <v>839</v>
      </c>
      <c r="C74" t="s">
        <v>921</v>
      </c>
      <c r="D74">
        <v>1</v>
      </c>
      <c r="E74" t="s">
        <v>846</v>
      </c>
      <c r="F74">
        <v>4</v>
      </c>
      <c r="G74">
        <v>2</v>
      </c>
      <c r="H74" t="str">
        <f t="shared" si="13"/>
        <v>SAMPLE: Grid D07</v>
      </c>
      <c r="I74" t="s">
        <v>934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935</v>
      </c>
      <c r="B75" t="s">
        <v>839</v>
      </c>
      <c r="C75" t="s">
        <v>921</v>
      </c>
      <c r="D75">
        <v>1</v>
      </c>
      <c r="E75" t="s">
        <v>846</v>
      </c>
      <c r="F75">
        <v>4</v>
      </c>
      <c r="G75">
        <v>2</v>
      </c>
      <c r="H75" t="str">
        <f t="shared" si="13"/>
        <v>SAMPLE: Grid D08</v>
      </c>
      <c r="I75" t="s">
        <v>936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937</v>
      </c>
      <c r="B76" t="s">
        <v>839</v>
      </c>
      <c r="C76" t="s">
        <v>921</v>
      </c>
      <c r="D76">
        <v>1</v>
      </c>
      <c r="E76" t="s">
        <v>846</v>
      </c>
      <c r="F76">
        <v>4</v>
      </c>
      <c r="G76">
        <v>2</v>
      </c>
      <c r="H76" t="str">
        <f t="shared" si="13"/>
        <v>SAMPLE: Grid D09</v>
      </c>
      <c r="I76" t="s">
        <v>938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939</v>
      </c>
      <c r="B77" t="s">
        <v>839</v>
      </c>
      <c r="C77" t="s">
        <v>921</v>
      </c>
      <c r="D77">
        <v>1</v>
      </c>
      <c r="E77" t="s">
        <v>846</v>
      </c>
      <c r="F77">
        <v>4</v>
      </c>
      <c r="G77">
        <v>2</v>
      </c>
      <c r="H77" t="str">
        <f t="shared" si="13"/>
        <v>SAMPLE: Grid D10</v>
      </c>
      <c r="I77" t="s">
        <v>940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941</v>
      </c>
      <c r="B78" t="s">
        <v>839</v>
      </c>
      <c r="C78" t="s">
        <v>921</v>
      </c>
      <c r="D78">
        <v>1</v>
      </c>
      <c r="E78" t="s">
        <v>846</v>
      </c>
      <c r="F78">
        <v>4</v>
      </c>
      <c r="G78">
        <v>2</v>
      </c>
      <c r="H78" t="str">
        <f t="shared" si="13"/>
        <v>SAMPLE: Grid D11</v>
      </c>
      <c r="I78" t="s">
        <v>942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943</v>
      </c>
      <c r="B79" t="s">
        <v>839</v>
      </c>
      <c r="C79" t="s">
        <v>921</v>
      </c>
      <c r="D79">
        <v>1</v>
      </c>
      <c r="E79" t="s">
        <v>846</v>
      </c>
      <c r="F79">
        <v>4</v>
      </c>
      <c r="G79">
        <v>2</v>
      </c>
      <c r="H79" t="str">
        <f t="shared" si="13"/>
        <v>SAMPLE: Grid D12</v>
      </c>
      <c r="I79" t="s">
        <v>944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945</v>
      </c>
      <c r="B80" t="s">
        <v>839</v>
      </c>
      <c r="C80" t="s">
        <v>921</v>
      </c>
      <c r="D80">
        <v>1</v>
      </c>
      <c r="E80" t="s">
        <v>846</v>
      </c>
      <c r="F80">
        <v>4</v>
      </c>
      <c r="G80">
        <v>2</v>
      </c>
      <c r="H80" t="str">
        <f t="shared" si="13"/>
        <v>SAMPLE: Grid D13</v>
      </c>
      <c r="I80" t="s">
        <v>946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947</v>
      </c>
      <c r="B81" t="s">
        <v>839</v>
      </c>
      <c r="C81" t="s">
        <v>921</v>
      </c>
      <c r="D81">
        <v>1</v>
      </c>
      <c r="E81" t="s">
        <v>846</v>
      </c>
      <c r="F81">
        <v>4</v>
      </c>
      <c r="G81">
        <v>2</v>
      </c>
      <c r="H81" t="str">
        <f t="shared" si="13"/>
        <v>SAMPLE: Grid D14</v>
      </c>
      <c r="I81" t="s">
        <v>948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949</v>
      </c>
      <c r="B82" t="s">
        <v>839</v>
      </c>
      <c r="C82" t="s">
        <v>921</v>
      </c>
      <c r="D82">
        <v>1</v>
      </c>
      <c r="E82" t="s">
        <v>846</v>
      </c>
      <c r="F82">
        <v>4</v>
      </c>
      <c r="G82">
        <v>2</v>
      </c>
      <c r="H82" t="str">
        <f t="shared" si="13"/>
        <v>SAMPLE: Grid D15</v>
      </c>
      <c r="I82" t="s">
        <v>950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951</v>
      </c>
      <c r="B83" t="s">
        <v>839</v>
      </c>
      <c r="C83" t="s">
        <v>921</v>
      </c>
      <c r="D83">
        <v>1</v>
      </c>
      <c r="E83" t="s">
        <v>846</v>
      </c>
      <c r="F83">
        <v>4</v>
      </c>
      <c r="G83">
        <v>2</v>
      </c>
      <c r="H83" t="str">
        <f t="shared" si="13"/>
        <v>SAMPLE: Grid D16</v>
      </c>
      <c r="I83" t="s">
        <v>952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953</v>
      </c>
      <c r="B84" t="s">
        <v>839</v>
      </c>
      <c r="C84" t="s">
        <v>921</v>
      </c>
      <c r="D84">
        <v>1</v>
      </c>
      <c r="E84" t="s">
        <v>846</v>
      </c>
      <c r="F84">
        <v>4</v>
      </c>
      <c r="G84">
        <v>2</v>
      </c>
      <c r="H84" t="str">
        <f t="shared" si="13"/>
        <v>SAMPLE: Grid D17</v>
      </c>
      <c r="I84" t="s">
        <v>954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955</v>
      </c>
      <c r="B85" t="s">
        <v>839</v>
      </c>
      <c r="C85" t="s">
        <v>921</v>
      </c>
      <c r="D85">
        <v>1</v>
      </c>
      <c r="E85" t="s">
        <v>846</v>
      </c>
      <c r="F85">
        <v>4</v>
      </c>
      <c r="G85">
        <v>2</v>
      </c>
      <c r="H85" t="str">
        <f t="shared" si="13"/>
        <v>SAMPLE: Grid D18</v>
      </c>
      <c r="I85" t="s">
        <v>956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957</v>
      </c>
      <c r="B86" t="s">
        <v>839</v>
      </c>
      <c r="C86" t="s">
        <v>921</v>
      </c>
      <c r="D86">
        <v>1</v>
      </c>
      <c r="E86" t="s">
        <v>846</v>
      </c>
      <c r="F86">
        <v>4</v>
      </c>
      <c r="G86">
        <v>2</v>
      </c>
      <c r="H86" t="str">
        <f t="shared" si="13"/>
        <v>SAMPLE: Grid D19</v>
      </c>
      <c r="I86" t="s">
        <v>958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959</v>
      </c>
      <c r="B87" t="s">
        <v>839</v>
      </c>
      <c r="C87" t="s">
        <v>921</v>
      </c>
      <c r="D87">
        <v>1</v>
      </c>
      <c r="E87" t="s">
        <v>846</v>
      </c>
      <c r="F87">
        <v>4</v>
      </c>
      <c r="G87">
        <v>2</v>
      </c>
      <c r="H87" t="str">
        <f t="shared" si="13"/>
        <v>SAMPLE: Grid D20</v>
      </c>
      <c r="I87" t="s">
        <v>960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961</v>
      </c>
      <c r="B88" t="s">
        <v>839</v>
      </c>
      <c r="C88" t="s">
        <v>962</v>
      </c>
      <c r="D88">
        <v>1</v>
      </c>
      <c r="E88" t="s">
        <v>846</v>
      </c>
      <c r="F88">
        <v>4</v>
      </c>
      <c r="G88">
        <v>2</v>
      </c>
      <c r="H88" t="str">
        <f t="shared" si="13"/>
        <v>E</v>
      </c>
      <c r="I88" t="s">
        <v>963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964</v>
      </c>
      <c r="B89" t="s">
        <v>839</v>
      </c>
      <c r="C89" t="s">
        <v>962</v>
      </c>
      <c r="D89">
        <v>1</v>
      </c>
      <c r="E89" t="s">
        <v>846</v>
      </c>
      <c r="F89">
        <v>4</v>
      </c>
      <c r="G89">
        <v>2</v>
      </c>
      <c r="H89" t="str">
        <f t="shared" si="13"/>
        <v>SAMPLE: Grid E02</v>
      </c>
      <c r="I89" t="s">
        <v>965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966</v>
      </c>
      <c r="B90" t="s">
        <v>839</v>
      </c>
      <c r="C90" t="s">
        <v>962</v>
      </c>
      <c r="D90">
        <v>1</v>
      </c>
      <c r="E90" t="s">
        <v>846</v>
      </c>
      <c r="F90">
        <v>4</v>
      </c>
      <c r="G90">
        <v>2</v>
      </c>
      <c r="H90" t="str">
        <f t="shared" si="13"/>
        <v>SAMPLE: Grid E03</v>
      </c>
      <c r="I90" t="s">
        <v>967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968</v>
      </c>
      <c r="B91" t="s">
        <v>839</v>
      </c>
      <c r="C91" t="s">
        <v>962</v>
      </c>
      <c r="D91">
        <v>1</v>
      </c>
      <c r="E91" t="s">
        <v>846</v>
      </c>
      <c r="F91">
        <v>4</v>
      </c>
      <c r="G91">
        <v>2</v>
      </c>
      <c r="H91" t="str">
        <f t="shared" si="13"/>
        <v>SAMPLE: Grid E04</v>
      </c>
      <c r="I91" t="s">
        <v>969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970</v>
      </c>
      <c r="B92" t="s">
        <v>839</v>
      </c>
      <c r="C92" t="s">
        <v>962</v>
      </c>
      <c r="D92">
        <v>1</v>
      </c>
      <c r="E92" t="s">
        <v>846</v>
      </c>
      <c r="F92">
        <v>4</v>
      </c>
      <c r="G92">
        <v>2</v>
      </c>
      <c r="H92" t="str">
        <f t="shared" si="13"/>
        <v>SAMPLE: Grid E05</v>
      </c>
      <c r="I92" t="s">
        <v>971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972</v>
      </c>
      <c r="B93" t="s">
        <v>839</v>
      </c>
      <c r="C93" t="s">
        <v>962</v>
      </c>
      <c r="D93">
        <v>1</v>
      </c>
      <c r="E93" t="s">
        <v>846</v>
      </c>
      <c r="F93">
        <v>4</v>
      </c>
      <c r="G93">
        <v>2</v>
      </c>
      <c r="H93" t="str">
        <f t="shared" si="13"/>
        <v>SAMPLE: Grid E06</v>
      </c>
      <c r="I93" t="s">
        <v>973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974</v>
      </c>
      <c r="B94" t="s">
        <v>839</v>
      </c>
      <c r="C94" t="s">
        <v>962</v>
      </c>
      <c r="D94">
        <v>1</v>
      </c>
      <c r="E94" t="s">
        <v>846</v>
      </c>
      <c r="F94">
        <v>4</v>
      </c>
      <c r="G94">
        <v>2</v>
      </c>
      <c r="H94" t="str">
        <f t="shared" si="13"/>
        <v>SAMPLE: Grid E07</v>
      </c>
      <c r="I94" t="s">
        <v>975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976</v>
      </c>
      <c r="B95" t="s">
        <v>839</v>
      </c>
      <c r="C95" t="s">
        <v>962</v>
      </c>
      <c r="D95">
        <v>1</v>
      </c>
      <c r="E95" t="s">
        <v>846</v>
      </c>
      <c r="F95">
        <v>4</v>
      </c>
      <c r="G95">
        <v>2</v>
      </c>
      <c r="H95" t="str">
        <f t="shared" si="13"/>
        <v>SAMPLE: Grid E08</v>
      </c>
      <c r="I95" t="s">
        <v>977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978</v>
      </c>
      <c r="B96" t="s">
        <v>839</v>
      </c>
      <c r="C96" t="s">
        <v>962</v>
      </c>
      <c r="D96">
        <v>1</v>
      </c>
      <c r="E96" t="s">
        <v>846</v>
      </c>
      <c r="F96">
        <v>4</v>
      </c>
      <c r="G96">
        <v>2</v>
      </c>
      <c r="H96" t="str">
        <f t="shared" si="13"/>
        <v>SAMPLE: Grid E09</v>
      </c>
      <c r="I96" t="s">
        <v>979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980</v>
      </c>
      <c r="B97" t="s">
        <v>839</v>
      </c>
      <c r="C97" t="s">
        <v>962</v>
      </c>
      <c r="D97">
        <v>1</v>
      </c>
      <c r="E97" t="s">
        <v>846</v>
      </c>
      <c r="F97">
        <v>4</v>
      </c>
      <c r="G97">
        <v>2</v>
      </c>
      <c r="H97" t="str">
        <f t="shared" si="13"/>
        <v>SAMPLE: Grid E10</v>
      </c>
      <c r="I97" t="s">
        <v>981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982</v>
      </c>
      <c r="B98" t="s">
        <v>839</v>
      </c>
      <c r="C98" t="s">
        <v>962</v>
      </c>
      <c r="D98">
        <v>1</v>
      </c>
      <c r="E98" t="s">
        <v>846</v>
      </c>
      <c r="F98">
        <v>4</v>
      </c>
      <c r="G98">
        <v>2</v>
      </c>
      <c r="H98" t="str">
        <f t="shared" ref="H98:H133" si="22">A98</f>
        <v>SAMPLE: Grid E11</v>
      </c>
      <c r="I98" t="s">
        <v>983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984</v>
      </c>
      <c r="B99" t="s">
        <v>839</v>
      </c>
      <c r="C99" t="s">
        <v>962</v>
      </c>
      <c r="D99">
        <v>1</v>
      </c>
      <c r="E99" t="s">
        <v>846</v>
      </c>
      <c r="F99">
        <v>4</v>
      </c>
      <c r="G99">
        <v>2</v>
      </c>
      <c r="H99" t="str">
        <f t="shared" si="22"/>
        <v>SAMPLE: Grid E12</v>
      </c>
      <c r="I99" t="s">
        <v>985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986</v>
      </c>
      <c r="B100" t="s">
        <v>839</v>
      </c>
      <c r="C100" t="s">
        <v>962</v>
      </c>
      <c r="D100">
        <v>1</v>
      </c>
      <c r="E100" t="s">
        <v>846</v>
      </c>
      <c r="F100">
        <v>4</v>
      </c>
      <c r="G100">
        <v>2</v>
      </c>
      <c r="H100" t="str">
        <f t="shared" si="22"/>
        <v>SAMPLE: Grid E13</v>
      </c>
      <c r="I100" t="s">
        <v>987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988</v>
      </c>
      <c r="B101" t="s">
        <v>839</v>
      </c>
      <c r="C101" t="s">
        <v>962</v>
      </c>
      <c r="D101">
        <v>1</v>
      </c>
      <c r="E101" t="s">
        <v>846</v>
      </c>
      <c r="F101">
        <v>4</v>
      </c>
      <c r="G101">
        <v>2</v>
      </c>
      <c r="H101" t="str">
        <f t="shared" si="22"/>
        <v>SAMPLE: Grid E14</v>
      </c>
      <c r="I101" t="s">
        <v>989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990</v>
      </c>
      <c r="B102" t="s">
        <v>839</v>
      </c>
      <c r="C102" t="s">
        <v>962</v>
      </c>
      <c r="D102">
        <v>1</v>
      </c>
      <c r="E102" t="s">
        <v>846</v>
      </c>
      <c r="F102">
        <v>4</v>
      </c>
      <c r="G102">
        <v>2</v>
      </c>
      <c r="H102" t="str">
        <f t="shared" si="22"/>
        <v>SAMPLE: Grid E15</v>
      </c>
      <c r="I102" t="s">
        <v>991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992</v>
      </c>
      <c r="B103" t="s">
        <v>839</v>
      </c>
      <c r="C103" t="s">
        <v>962</v>
      </c>
      <c r="D103">
        <v>1</v>
      </c>
      <c r="E103" t="s">
        <v>846</v>
      </c>
      <c r="F103">
        <v>4</v>
      </c>
      <c r="G103">
        <v>2</v>
      </c>
      <c r="H103" t="str">
        <f t="shared" si="22"/>
        <v>SAMPLE: Grid E16</v>
      </c>
      <c r="I103" t="s">
        <v>993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994</v>
      </c>
      <c r="B104" t="s">
        <v>839</v>
      </c>
      <c r="C104" t="s">
        <v>962</v>
      </c>
      <c r="D104">
        <v>1</v>
      </c>
      <c r="E104" t="s">
        <v>846</v>
      </c>
      <c r="F104">
        <v>4</v>
      </c>
      <c r="G104">
        <v>2</v>
      </c>
      <c r="H104" t="str">
        <f t="shared" si="22"/>
        <v>SAMPLE: Grid E17</v>
      </c>
      <c r="I104" t="s">
        <v>995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996</v>
      </c>
      <c r="B105" t="s">
        <v>839</v>
      </c>
      <c r="C105" t="s">
        <v>962</v>
      </c>
      <c r="D105">
        <v>1</v>
      </c>
      <c r="E105" t="s">
        <v>846</v>
      </c>
      <c r="F105">
        <v>4</v>
      </c>
      <c r="G105">
        <v>2</v>
      </c>
      <c r="H105" t="str">
        <f t="shared" si="22"/>
        <v>SAMPLE: Grid E18</v>
      </c>
      <c r="I105" t="s">
        <v>997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998</v>
      </c>
      <c r="B106" t="s">
        <v>839</v>
      </c>
      <c r="C106" t="s">
        <v>962</v>
      </c>
      <c r="D106">
        <v>1</v>
      </c>
      <c r="E106" t="s">
        <v>846</v>
      </c>
      <c r="F106">
        <v>4</v>
      </c>
      <c r="G106">
        <v>2</v>
      </c>
      <c r="H106" t="str">
        <f t="shared" si="22"/>
        <v>SAMPLE: Grid E19</v>
      </c>
      <c r="I106" t="s">
        <v>999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1000</v>
      </c>
      <c r="B107" t="s">
        <v>839</v>
      </c>
      <c r="C107" t="s">
        <v>962</v>
      </c>
      <c r="D107">
        <v>1</v>
      </c>
      <c r="E107" t="s">
        <v>846</v>
      </c>
      <c r="F107">
        <v>4</v>
      </c>
      <c r="G107">
        <v>2</v>
      </c>
      <c r="H107" t="str">
        <f t="shared" si="22"/>
        <v>SAMPLE: Grid E20</v>
      </c>
      <c r="I107" t="s">
        <v>1001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1002</v>
      </c>
      <c r="B108" t="s">
        <v>839</v>
      </c>
      <c r="C108" t="s">
        <v>1003</v>
      </c>
      <c r="D108">
        <v>1</v>
      </c>
      <c r="E108" t="s">
        <v>846</v>
      </c>
      <c r="F108">
        <v>4</v>
      </c>
      <c r="G108">
        <v>2</v>
      </c>
      <c r="H108" t="str">
        <f t="shared" si="22"/>
        <v>F</v>
      </c>
      <c r="I108" t="s">
        <v>1004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1005</v>
      </c>
      <c r="B109" t="s">
        <v>839</v>
      </c>
      <c r="C109" t="s">
        <v>1003</v>
      </c>
      <c r="D109">
        <v>1</v>
      </c>
      <c r="E109" t="s">
        <v>846</v>
      </c>
      <c r="F109">
        <v>4</v>
      </c>
      <c r="G109">
        <v>2</v>
      </c>
      <c r="H109" t="str">
        <f t="shared" si="22"/>
        <v>SAMPLE: Grid F02</v>
      </c>
      <c r="I109" t="s">
        <v>1006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1007</v>
      </c>
      <c r="B110" t="s">
        <v>839</v>
      </c>
      <c r="C110" t="s">
        <v>1003</v>
      </c>
      <c r="D110">
        <v>1</v>
      </c>
      <c r="E110" t="s">
        <v>846</v>
      </c>
      <c r="F110">
        <v>4</v>
      </c>
      <c r="G110">
        <v>2</v>
      </c>
      <c r="H110" t="str">
        <f t="shared" si="22"/>
        <v>SAMPLE: Grid F03</v>
      </c>
      <c r="I110" t="s">
        <v>1008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1009</v>
      </c>
      <c r="B111" t="s">
        <v>839</v>
      </c>
      <c r="C111" t="s">
        <v>1003</v>
      </c>
      <c r="D111">
        <v>1</v>
      </c>
      <c r="E111" t="s">
        <v>846</v>
      </c>
      <c r="F111">
        <v>4</v>
      </c>
      <c r="G111">
        <v>2</v>
      </c>
      <c r="H111" t="str">
        <f t="shared" si="22"/>
        <v>SAMPLE: Grid F04</v>
      </c>
      <c r="I111" t="s">
        <v>1010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1011</v>
      </c>
      <c r="B112" t="s">
        <v>839</v>
      </c>
      <c r="C112" t="s">
        <v>1003</v>
      </c>
      <c r="D112">
        <v>1</v>
      </c>
      <c r="E112" t="s">
        <v>846</v>
      </c>
      <c r="F112">
        <v>4</v>
      </c>
      <c r="G112">
        <v>2</v>
      </c>
      <c r="H112" t="str">
        <f t="shared" si="22"/>
        <v>SAMPLE: Grid F05</v>
      </c>
      <c r="I112" t="s">
        <v>1012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1013</v>
      </c>
      <c r="B113" t="s">
        <v>839</v>
      </c>
      <c r="C113" t="s">
        <v>1003</v>
      </c>
      <c r="D113">
        <v>1</v>
      </c>
      <c r="E113" t="s">
        <v>846</v>
      </c>
      <c r="F113">
        <v>4</v>
      </c>
      <c r="G113">
        <v>2</v>
      </c>
      <c r="H113" t="str">
        <f t="shared" si="22"/>
        <v>SAMPLE: Grid F06</v>
      </c>
      <c r="I113" t="s">
        <v>1014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1015</v>
      </c>
      <c r="B114" t="s">
        <v>839</v>
      </c>
      <c r="C114" t="s">
        <v>1003</v>
      </c>
      <c r="D114">
        <v>1</v>
      </c>
      <c r="E114" t="s">
        <v>846</v>
      </c>
      <c r="F114">
        <v>4</v>
      </c>
      <c r="G114">
        <v>2</v>
      </c>
      <c r="H114" t="str">
        <f t="shared" si="22"/>
        <v>SAMPLE: Grid F07</v>
      </c>
      <c r="I114" t="s">
        <v>1016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1017</v>
      </c>
      <c r="B115" t="s">
        <v>839</v>
      </c>
      <c r="C115" t="s">
        <v>1003</v>
      </c>
      <c r="D115">
        <v>1</v>
      </c>
      <c r="E115" t="s">
        <v>846</v>
      </c>
      <c r="F115">
        <v>4</v>
      </c>
      <c r="G115">
        <v>2</v>
      </c>
      <c r="H115" t="str">
        <f t="shared" si="22"/>
        <v>SAMPLE: Grid F08</v>
      </c>
      <c r="I115" t="s">
        <v>1018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1019</v>
      </c>
      <c r="B116" t="s">
        <v>839</v>
      </c>
      <c r="C116" t="s">
        <v>1003</v>
      </c>
      <c r="D116">
        <v>1</v>
      </c>
      <c r="E116" t="s">
        <v>846</v>
      </c>
      <c r="F116">
        <v>4</v>
      </c>
      <c r="G116">
        <v>2</v>
      </c>
      <c r="H116" t="str">
        <f t="shared" si="22"/>
        <v>SAMPLE: Grid F09</v>
      </c>
      <c r="I116" t="s">
        <v>1020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1021</v>
      </c>
      <c r="B117" t="s">
        <v>839</v>
      </c>
      <c r="C117" t="s">
        <v>1003</v>
      </c>
      <c r="D117">
        <v>1</v>
      </c>
      <c r="E117" t="s">
        <v>846</v>
      </c>
      <c r="F117">
        <v>4</v>
      </c>
      <c r="G117">
        <v>2</v>
      </c>
      <c r="H117" t="str">
        <f t="shared" si="22"/>
        <v>SAMPLE: Grid F10</v>
      </c>
      <c r="I117" t="s">
        <v>1022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1023</v>
      </c>
      <c r="B118" t="s">
        <v>839</v>
      </c>
      <c r="C118" t="s">
        <v>1003</v>
      </c>
      <c r="D118">
        <v>1</v>
      </c>
      <c r="E118" t="s">
        <v>846</v>
      </c>
      <c r="F118">
        <v>4</v>
      </c>
      <c r="G118">
        <v>2</v>
      </c>
      <c r="H118" t="str">
        <f t="shared" si="22"/>
        <v>SAMPLE: Grid F11</v>
      </c>
      <c r="I118" t="s">
        <v>1024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1025</v>
      </c>
      <c r="B119" t="s">
        <v>839</v>
      </c>
      <c r="C119" t="s">
        <v>1003</v>
      </c>
      <c r="D119">
        <v>1</v>
      </c>
      <c r="E119" t="s">
        <v>846</v>
      </c>
      <c r="F119">
        <v>4</v>
      </c>
      <c r="G119">
        <v>2</v>
      </c>
      <c r="H119" t="str">
        <f t="shared" si="22"/>
        <v>SAMPLE: Grid F12</v>
      </c>
      <c r="I119" t="s">
        <v>1026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1027</v>
      </c>
      <c r="B120" t="s">
        <v>839</v>
      </c>
      <c r="C120" t="s">
        <v>1003</v>
      </c>
      <c r="D120">
        <v>1</v>
      </c>
      <c r="E120" t="s">
        <v>846</v>
      </c>
      <c r="F120">
        <v>4</v>
      </c>
      <c r="G120">
        <v>2</v>
      </c>
      <c r="H120" t="str">
        <f t="shared" si="22"/>
        <v>SAMPLE: Grid F13</v>
      </c>
      <c r="I120" t="s">
        <v>1028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1029</v>
      </c>
      <c r="B121" t="s">
        <v>839</v>
      </c>
      <c r="C121" t="s">
        <v>1003</v>
      </c>
      <c r="D121">
        <v>1</v>
      </c>
      <c r="E121" t="s">
        <v>846</v>
      </c>
      <c r="F121">
        <v>4</v>
      </c>
      <c r="G121">
        <v>2</v>
      </c>
      <c r="H121" t="str">
        <f t="shared" si="22"/>
        <v>SAMPLE: Grid F14</v>
      </c>
      <c r="I121" t="s">
        <v>1030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1031</v>
      </c>
      <c r="B122" t="s">
        <v>839</v>
      </c>
      <c r="C122" t="s">
        <v>1003</v>
      </c>
      <c r="D122">
        <v>1</v>
      </c>
      <c r="E122" t="s">
        <v>846</v>
      </c>
      <c r="F122">
        <v>4</v>
      </c>
      <c r="G122">
        <v>2</v>
      </c>
      <c r="H122" t="str">
        <f t="shared" si="22"/>
        <v>SAMPLE: Grid F15</v>
      </c>
      <c r="I122" t="s">
        <v>1032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1033</v>
      </c>
      <c r="B123" t="s">
        <v>839</v>
      </c>
      <c r="C123" t="s">
        <v>1003</v>
      </c>
      <c r="D123">
        <v>1</v>
      </c>
      <c r="E123" t="s">
        <v>846</v>
      </c>
      <c r="F123">
        <v>4</v>
      </c>
      <c r="G123">
        <v>2</v>
      </c>
      <c r="H123" t="str">
        <f t="shared" si="22"/>
        <v>SAMPLE: Grid F16</v>
      </c>
      <c r="I123" t="s">
        <v>1034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1035</v>
      </c>
      <c r="B124" t="s">
        <v>839</v>
      </c>
      <c r="C124" t="s">
        <v>1003</v>
      </c>
      <c r="D124">
        <v>1</v>
      </c>
      <c r="E124" t="s">
        <v>846</v>
      </c>
      <c r="F124">
        <v>4</v>
      </c>
      <c r="G124">
        <v>2</v>
      </c>
      <c r="H124" t="str">
        <f t="shared" si="22"/>
        <v>SAMPLE: Grid F17</v>
      </c>
      <c r="I124" t="s">
        <v>1036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1037</v>
      </c>
      <c r="B125" t="s">
        <v>839</v>
      </c>
      <c r="C125" t="s">
        <v>1003</v>
      </c>
      <c r="D125">
        <v>1</v>
      </c>
      <c r="E125" t="s">
        <v>846</v>
      </c>
      <c r="F125">
        <v>4</v>
      </c>
      <c r="G125">
        <v>2</v>
      </c>
      <c r="H125" t="str">
        <f t="shared" si="22"/>
        <v>SAMPLE: Grid F18</v>
      </c>
      <c r="I125" t="s">
        <v>1038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1039</v>
      </c>
      <c r="B126" t="s">
        <v>839</v>
      </c>
      <c r="C126" t="s">
        <v>1003</v>
      </c>
      <c r="D126">
        <v>1</v>
      </c>
      <c r="E126" t="s">
        <v>846</v>
      </c>
      <c r="F126">
        <v>4</v>
      </c>
      <c r="G126">
        <v>2</v>
      </c>
      <c r="H126" t="str">
        <f t="shared" si="22"/>
        <v>SAMPLE: Grid F19</v>
      </c>
      <c r="I126" t="s">
        <v>1040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1041</v>
      </c>
      <c r="B127" t="s">
        <v>839</v>
      </c>
      <c r="C127" t="s">
        <v>1003</v>
      </c>
      <c r="D127">
        <v>1</v>
      </c>
      <c r="E127" t="s">
        <v>846</v>
      </c>
      <c r="F127">
        <v>4</v>
      </c>
      <c r="G127">
        <v>2</v>
      </c>
      <c r="H127" t="str">
        <f t="shared" si="22"/>
        <v>SAMPLE: Grid F20</v>
      </c>
      <c r="I127" t="s">
        <v>1042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1043</v>
      </c>
      <c r="B128" t="s">
        <v>829</v>
      </c>
      <c r="E128" t="s">
        <v>1044</v>
      </c>
      <c r="F128">
        <v>3</v>
      </c>
      <c r="H128" t="str">
        <f t="shared" si="22"/>
        <v>DISPOSAL</v>
      </c>
      <c r="I128" t="s">
        <v>1045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1046</v>
      </c>
      <c r="B129" t="s">
        <v>829</v>
      </c>
      <c r="E129" t="s">
        <v>1047</v>
      </c>
      <c r="F129">
        <v>3</v>
      </c>
      <c r="H129" t="str">
        <f t="shared" si="22"/>
        <v>OUTBOUND</v>
      </c>
      <c r="I129" t="s">
        <v>1048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208</v>
      </c>
      <c r="B130" t="s">
        <v>854</v>
      </c>
      <c r="E130" t="s">
        <v>852</v>
      </c>
      <c r="F130">
        <v>3</v>
      </c>
      <c r="G130">
        <v>7</v>
      </c>
      <c r="H130" t="str">
        <f t="shared" si="22"/>
        <v>ACTIVE</v>
      </c>
      <c r="I130" t="s">
        <v>855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1049</v>
      </c>
      <c r="B131" t="s">
        <v>839</v>
      </c>
      <c r="C131" t="s">
        <v>1050</v>
      </c>
      <c r="D131">
        <v>3</v>
      </c>
      <c r="E131" t="s">
        <v>846</v>
      </c>
      <c r="F131">
        <v>4</v>
      </c>
      <c r="G131">
        <v>2</v>
      </c>
      <c r="H131" t="str">
        <f t="shared" si="22"/>
        <v>O</v>
      </c>
      <c r="I131" t="s">
        <v>1051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231</v>
      </c>
      <c r="B132" t="s">
        <v>839</v>
      </c>
      <c r="E132" t="s">
        <v>852</v>
      </c>
      <c r="F132">
        <v>3</v>
      </c>
      <c r="G132">
        <v>7</v>
      </c>
      <c r="H132" t="str">
        <f t="shared" si="22"/>
        <v>48x T24i-30</v>
      </c>
      <c r="I132" t="s">
        <v>1052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245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0" priority="1" stopIfTrue="1">
      <formula>AND(TRIM($A133)="",OR($B133&lt;&gt;"",$C133&lt;&gt;"",$D133&lt;&gt;"",$E133&lt;&gt;"",$F133&lt;&gt;"",$I133&lt;&gt;""))</formula>
    </cfRule>
    <cfRule type="expression" dxfId="29" priority="2">
      <formula>AND(TRIM($A133)&lt;&gt;"",COUNTIF($A$2:$A$2002,$A133)&gt;1)</formula>
    </cfRule>
  </conditionalFormatting>
  <conditionalFormatting sqref="A2:I132 A134:I2002">
    <cfRule type="expression" dxfId="28" priority="3" stopIfTrue="1">
      <formula>AND(TRIM($A2)="",OR($B2&lt;&gt;"",$C2&lt;&gt;"",$D2&lt;&gt;"",$E2&lt;&gt;"",$F2&lt;&gt;"",$I2&lt;&gt;""))</formula>
    </cfRule>
    <cfRule type="expression" dxfId="27" priority="4">
      <formula>AND(TRIM($A2)&lt;&gt;"",COUNTIF($A$2:$A$2002,$A2)&gt;1)</formula>
    </cfRule>
  </conditionalFormatting>
  <conditionalFormatting sqref="B133:I133">
    <cfRule type="expression" dxfId="26" priority="116" stopIfTrue="1">
      <formula>AND(TRIM($A133)="",OR($B133&lt;&gt;"",$C133&lt;&gt;"",$D133&lt;&gt;"",$E133&lt;&gt;"",$F133&lt;&gt;"",$I133&lt;&gt;""))</formula>
    </cfRule>
    <cfRule type="expression" dxfId="2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1053</v>
      </c>
      <c r="B1" s="50" t="s">
        <v>1054</v>
      </c>
      <c r="C1" s="50" t="s">
        <v>180</v>
      </c>
      <c r="D1" s="50" t="s">
        <v>1055</v>
      </c>
      <c r="E1" s="50" t="s">
        <v>1056</v>
      </c>
      <c r="F1" s="50" t="s">
        <v>1057</v>
      </c>
      <c r="G1" s="50" t="s">
        <v>1058</v>
      </c>
      <c r="H1" s="50" t="s">
        <v>1059</v>
      </c>
      <c r="I1" s="50" t="s">
        <v>1060</v>
      </c>
      <c r="J1" s="50" t="s">
        <v>189</v>
      </c>
    </row>
    <row r="2" spans="1:10">
      <c r="A2" s="52">
        <v>46052.375</v>
      </c>
      <c r="B2" t="s">
        <v>1061</v>
      </c>
      <c r="C2" t="s">
        <v>1062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1063</v>
      </c>
      <c r="G2" s="27"/>
      <c r="H2" t="s">
        <v>221</v>
      </c>
      <c r="I2" t="s">
        <v>1064</v>
      </c>
      <c r="J2" t="s">
        <v>1065</v>
      </c>
    </row>
    <row r="3" spans="1:10">
      <c r="A3" s="52">
        <v>46052.379861111112</v>
      </c>
      <c r="B3" t="s">
        <v>1061</v>
      </c>
      <c r="C3" t="s">
        <v>1066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216</v>
      </c>
      <c r="G3" s="27"/>
      <c r="H3" t="s">
        <v>221</v>
      </c>
      <c r="I3" t="s">
        <v>1067</v>
      </c>
      <c r="J3" t="s">
        <v>1065</v>
      </c>
    </row>
    <row r="4" spans="1:10">
      <c r="A4" s="52">
        <v>46052.384722222218</v>
      </c>
      <c r="B4" t="s">
        <v>1061</v>
      </c>
      <c r="C4" t="s">
        <v>1068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225</v>
      </c>
      <c r="G4" s="27"/>
      <c r="H4" t="s">
        <v>221</v>
      </c>
      <c r="I4" t="s">
        <v>1069</v>
      </c>
      <c r="J4" t="s">
        <v>1065</v>
      </c>
    </row>
    <row r="5" spans="1:10">
      <c r="A5" s="52">
        <v>46052.38958333333</v>
      </c>
      <c r="B5" t="s">
        <v>1061</v>
      </c>
      <c r="C5" t="s">
        <v>1070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225</v>
      </c>
      <c r="G5" s="27"/>
      <c r="H5" t="s">
        <v>221</v>
      </c>
      <c r="I5" t="s">
        <v>1071</v>
      </c>
      <c r="J5" t="s">
        <v>1065</v>
      </c>
    </row>
    <row r="6" spans="1:10">
      <c r="A6" s="52">
        <v>46052.394444444442</v>
      </c>
      <c r="B6" t="s">
        <v>1061</v>
      </c>
      <c r="C6" t="s">
        <v>1072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1073</v>
      </c>
      <c r="G6" s="27"/>
      <c r="H6" t="s">
        <v>221</v>
      </c>
      <c r="I6" t="s">
        <v>1074</v>
      </c>
      <c r="J6" t="s">
        <v>1065</v>
      </c>
    </row>
    <row r="7" spans="1:10">
      <c r="A7" s="52">
        <v>46052.399305555547</v>
      </c>
      <c r="B7" t="s">
        <v>1061</v>
      </c>
      <c r="C7" t="s">
        <v>1075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1076</v>
      </c>
      <c r="G7" s="27"/>
      <c r="H7" t="s">
        <v>221</v>
      </c>
      <c r="I7" t="s">
        <v>1077</v>
      </c>
      <c r="J7" t="s">
        <v>1065</v>
      </c>
    </row>
    <row r="8" spans="1:10">
      <c r="A8" s="52">
        <v>46052.404166666667</v>
      </c>
      <c r="B8" t="s">
        <v>1061</v>
      </c>
      <c r="C8" t="s">
        <v>1078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1079</v>
      </c>
      <c r="G8" s="27"/>
      <c r="H8" t="s">
        <v>221</v>
      </c>
      <c r="I8" t="s">
        <v>1080</v>
      </c>
      <c r="J8" t="s">
        <v>1065</v>
      </c>
    </row>
    <row r="9" spans="1:10">
      <c r="A9" s="52">
        <v>46052.40902777778</v>
      </c>
      <c r="B9" t="s">
        <v>1061</v>
      </c>
      <c r="C9" t="s">
        <v>1081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1082</v>
      </c>
      <c r="G9" s="27"/>
      <c r="H9" t="s">
        <v>221</v>
      </c>
      <c r="I9" t="s">
        <v>1083</v>
      </c>
      <c r="J9" t="s">
        <v>1065</v>
      </c>
    </row>
    <row r="10" spans="1:10">
      <c r="A10" s="52">
        <v>46052.413888888892</v>
      </c>
      <c r="B10" t="s">
        <v>1061</v>
      </c>
      <c r="C10" t="s">
        <v>1084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1085</v>
      </c>
      <c r="G10" s="27"/>
      <c r="H10" t="s">
        <v>221</v>
      </c>
      <c r="I10" t="s">
        <v>1086</v>
      </c>
      <c r="J10" t="s">
        <v>1065</v>
      </c>
    </row>
    <row r="11" spans="1:10">
      <c r="A11" s="52">
        <v>46052.418749999997</v>
      </c>
      <c r="B11" t="s">
        <v>1061</v>
      </c>
      <c r="C11" t="s">
        <v>1087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1088</v>
      </c>
      <c r="G11" s="27"/>
      <c r="H11" t="s">
        <v>221</v>
      </c>
      <c r="I11" t="s">
        <v>1089</v>
      </c>
      <c r="J11" t="s">
        <v>1065</v>
      </c>
    </row>
    <row r="12" spans="1:10">
      <c r="A12" s="52">
        <v>46052.423611111109</v>
      </c>
      <c r="B12" t="s">
        <v>1061</v>
      </c>
      <c r="C12" t="s">
        <v>1090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1091</v>
      </c>
      <c r="G12" s="27"/>
      <c r="H12" t="s">
        <v>221</v>
      </c>
      <c r="I12" t="s">
        <v>1092</v>
      </c>
      <c r="J12" t="s">
        <v>1065</v>
      </c>
    </row>
    <row r="13" spans="1:10">
      <c r="A13" s="52">
        <v>46052.428472222222</v>
      </c>
      <c r="B13" t="s">
        <v>1061</v>
      </c>
      <c r="C13" t="s">
        <v>1093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1094</v>
      </c>
      <c r="G13" s="27"/>
      <c r="H13" t="s">
        <v>221</v>
      </c>
      <c r="I13" t="s">
        <v>1095</v>
      </c>
      <c r="J13" t="s">
        <v>1065</v>
      </c>
    </row>
    <row r="14" spans="1:10">
      <c r="A14" s="52">
        <v>46052.433333333327</v>
      </c>
      <c r="B14" t="s">
        <v>1061</v>
      </c>
      <c r="C14" t="s">
        <v>1096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1097</v>
      </c>
      <c r="G14" s="27"/>
      <c r="H14" t="s">
        <v>221</v>
      </c>
      <c r="I14" t="s">
        <v>1098</v>
      </c>
      <c r="J14" t="s">
        <v>1065</v>
      </c>
    </row>
    <row r="15" spans="1:10">
      <c r="A15" s="52">
        <v>46052.438194444447</v>
      </c>
      <c r="B15" t="s">
        <v>1061</v>
      </c>
      <c r="C15" t="s">
        <v>1099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1100</v>
      </c>
      <c r="G15" s="27"/>
      <c r="H15" t="s">
        <v>221</v>
      </c>
      <c r="I15" t="s">
        <v>1101</v>
      </c>
      <c r="J15" t="s">
        <v>1065</v>
      </c>
    </row>
    <row r="16" spans="1:10">
      <c r="A16" s="52">
        <v>46052.443055555559</v>
      </c>
      <c r="B16" t="s">
        <v>1061</v>
      </c>
      <c r="C16" t="s">
        <v>1102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1103</v>
      </c>
      <c r="G16" s="27"/>
      <c r="H16" t="s">
        <v>221</v>
      </c>
      <c r="I16" t="s">
        <v>1104</v>
      </c>
      <c r="J16" t="s">
        <v>1065</v>
      </c>
    </row>
    <row r="17" spans="1:10">
      <c r="A17" s="52">
        <v>46052.447916666657</v>
      </c>
      <c r="B17" t="s">
        <v>1061</v>
      </c>
      <c r="C17" t="s">
        <v>1105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1106</v>
      </c>
      <c r="G17" s="27"/>
      <c r="H17" t="s">
        <v>221</v>
      </c>
      <c r="I17" t="s">
        <v>1107</v>
      </c>
      <c r="J17" t="s">
        <v>1065</v>
      </c>
    </row>
    <row r="18" spans="1:10">
      <c r="A18" s="52">
        <v>46052.452777777777</v>
      </c>
      <c r="B18" t="s">
        <v>1061</v>
      </c>
      <c r="C18" t="s">
        <v>1108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1109</v>
      </c>
      <c r="G18" s="27"/>
      <c r="H18" t="s">
        <v>221</v>
      </c>
      <c r="I18" t="s">
        <v>1110</v>
      </c>
      <c r="J18" t="s">
        <v>1065</v>
      </c>
    </row>
    <row r="19" spans="1:10">
      <c r="A19" s="52">
        <v>46052.457638888889</v>
      </c>
      <c r="B19" t="s">
        <v>1061</v>
      </c>
      <c r="C19" t="s">
        <v>1111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1112</v>
      </c>
      <c r="G19" s="27"/>
      <c r="H19" t="s">
        <v>221</v>
      </c>
      <c r="I19" t="s">
        <v>1113</v>
      </c>
      <c r="J19" t="s">
        <v>1065</v>
      </c>
    </row>
    <row r="20" spans="1:10">
      <c r="A20" s="52">
        <v>46052.462500000001</v>
      </c>
      <c r="B20" t="s">
        <v>1061</v>
      </c>
      <c r="C20" t="s">
        <v>1114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1115</v>
      </c>
      <c r="G20" s="27"/>
      <c r="H20" t="s">
        <v>221</v>
      </c>
      <c r="I20" t="s">
        <v>1116</v>
      </c>
      <c r="J20" t="s">
        <v>1065</v>
      </c>
    </row>
    <row r="21" spans="1:10">
      <c r="A21" s="52">
        <v>46052.467361111107</v>
      </c>
      <c r="B21" t="s">
        <v>1061</v>
      </c>
      <c r="C21" t="s">
        <v>1117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1118</v>
      </c>
      <c r="G21" s="27"/>
      <c r="H21" t="s">
        <v>221</v>
      </c>
      <c r="I21" t="s">
        <v>1119</v>
      </c>
      <c r="J21" t="s">
        <v>1065</v>
      </c>
    </row>
    <row r="22" spans="1:10">
      <c r="A22" s="52">
        <v>46052.472222222219</v>
      </c>
      <c r="B22" t="s">
        <v>1061</v>
      </c>
      <c r="C22" t="s">
        <v>1120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1121</v>
      </c>
      <c r="G22" s="27"/>
      <c r="H22" t="s">
        <v>221</v>
      </c>
      <c r="I22" t="s">
        <v>1122</v>
      </c>
      <c r="J22" t="s">
        <v>1065</v>
      </c>
    </row>
    <row r="23" spans="1:10">
      <c r="A23" s="52">
        <v>46052.477083333331</v>
      </c>
      <c r="B23" t="s">
        <v>1061</v>
      </c>
      <c r="C23" t="s">
        <v>1123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1124</v>
      </c>
      <c r="G23" s="27"/>
      <c r="H23" t="s">
        <v>221</v>
      </c>
      <c r="I23" t="s">
        <v>1125</v>
      </c>
      <c r="J23" t="s">
        <v>1065</v>
      </c>
    </row>
    <row r="24" spans="1:10">
      <c r="A24" s="52">
        <v>46052.481944444437</v>
      </c>
      <c r="B24" t="s">
        <v>1061</v>
      </c>
      <c r="C24" t="s">
        <v>1126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1127</v>
      </c>
      <c r="G24" s="27"/>
      <c r="H24" t="s">
        <v>221</v>
      </c>
      <c r="I24" t="s">
        <v>1128</v>
      </c>
      <c r="J24" t="s">
        <v>1065</v>
      </c>
    </row>
    <row r="25" spans="1:10">
      <c r="A25" s="52">
        <v>46052.486805555563</v>
      </c>
      <c r="B25" t="s">
        <v>1061</v>
      </c>
      <c r="C25" t="s">
        <v>1129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1130</v>
      </c>
      <c r="G25" s="27"/>
      <c r="H25" t="s">
        <v>221</v>
      </c>
      <c r="I25" t="s">
        <v>1131</v>
      </c>
      <c r="J25" t="s">
        <v>1065</v>
      </c>
    </row>
    <row r="26" spans="1:10">
      <c r="A26" s="52">
        <v>46052.491666666669</v>
      </c>
      <c r="B26" t="s">
        <v>1061</v>
      </c>
      <c r="C26" t="s">
        <v>1132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1133</v>
      </c>
      <c r="G26" s="27"/>
      <c r="H26" t="s">
        <v>221</v>
      </c>
      <c r="I26" t="s">
        <v>1134</v>
      </c>
      <c r="J26" t="s">
        <v>1065</v>
      </c>
    </row>
    <row r="27" spans="1:10">
      <c r="A27" s="52">
        <v>46052.496527777781</v>
      </c>
      <c r="B27" t="s">
        <v>1061</v>
      </c>
      <c r="C27" t="s">
        <v>1135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1136</v>
      </c>
      <c r="G27" s="27"/>
      <c r="H27" t="s">
        <v>221</v>
      </c>
      <c r="I27" t="s">
        <v>1137</v>
      </c>
      <c r="J27" t="s">
        <v>1065</v>
      </c>
    </row>
    <row r="28" spans="1:10">
      <c r="A28" s="52">
        <v>46052.501388888893</v>
      </c>
      <c r="B28" t="s">
        <v>1061</v>
      </c>
      <c r="C28" t="s">
        <v>1138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1139</v>
      </c>
      <c r="G28" s="27"/>
      <c r="H28" t="s">
        <v>221</v>
      </c>
      <c r="I28" t="s">
        <v>1140</v>
      </c>
      <c r="J28" t="s">
        <v>1065</v>
      </c>
    </row>
    <row r="29" spans="1:10">
      <c r="A29" s="52">
        <v>46052.506249999999</v>
      </c>
      <c r="B29" t="s">
        <v>1061</v>
      </c>
      <c r="C29" t="s">
        <v>1141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1142</v>
      </c>
      <c r="G29" s="27"/>
      <c r="H29" t="s">
        <v>221</v>
      </c>
      <c r="I29" t="s">
        <v>1143</v>
      </c>
      <c r="J29" t="s">
        <v>1065</v>
      </c>
    </row>
    <row r="30" spans="1:10">
      <c r="A30" s="52">
        <v>46052.511111111111</v>
      </c>
      <c r="B30" t="s">
        <v>1061</v>
      </c>
      <c r="C30" t="s">
        <v>1144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1145</v>
      </c>
      <c r="G30" s="27"/>
      <c r="H30" t="s">
        <v>221</v>
      </c>
      <c r="I30" t="s">
        <v>1146</v>
      </c>
      <c r="J30" t="s">
        <v>1065</v>
      </c>
    </row>
    <row r="31" spans="1:10">
      <c r="A31" s="52">
        <v>46052.515972222223</v>
      </c>
      <c r="B31" t="s">
        <v>1061</v>
      </c>
      <c r="C31" t="s">
        <v>1147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1148</v>
      </c>
      <c r="G31" s="27"/>
      <c r="H31" t="s">
        <v>221</v>
      </c>
      <c r="I31" t="s">
        <v>1149</v>
      </c>
      <c r="J31" t="s">
        <v>1065</v>
      </c>
    </row>
    <row r="32" spans="1:10">
      <c r="A32" s="52">
        <v>46052.520833333343</v>
      </c>
      <c r="B32" t="s">
        <v>1061</v>
      </c>
      <c r="C32" t="s">
        <v>1150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1151</v>
      </c>
      <c r="G32" s="27"/>
      <c r="H32" t="s">
        <v>221</v>
      </c>
      <c r="I32" t="s">
        <v>1152</v>
      </c>
      <c r="J32" t="s">
        <v>1065</v>
      </c>
    </row>
    <row r="33" spans="1:10">
      <c r="A33" s="52">
        <v>46052.525694444441</v>
      </c>
      <c r="B33" t="s">
        <v>1061</v>
      </c>
      <c r="C33" t="s">
        <v>1153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1154</v>
      </c>
      <c r="G33" s="27"/>
      <c r="H33" t="s">
        <v>221</v>
      </c>
      <c r="I33" t="s">
        <v>1155</v>
      </c>
      <c r="J33" t="s">
        <v>1065</v>
      </c>
    </row>
    <row r="34" spans="1:10">
      <c r="A34" s="52">
        <v>46052.530555555553</v>
      </c>
      <c r="B34" t="s">
        <v>1061</v>
      </c>
      <c r="C34" t="s">
        <v>1156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1157</v>
      </c>
      <c r="G34" s="27"/>
      <c r="H34" t="s">
        <v>221</v>
      </c>
      <c r="I34" t="s">
        <v>1158</v>
      </c>
      <c r="J34" t="s">
        <v>1065</v>
      </c>
    </row>
    <row r="35" spans="1:10">
      <c r="A35" s="52">
        <v>46052.535416666673</v>
      </c>
      <c r="B35" t="s">
        <v>1061</v>
      </c>
      <c r="C35" t="s">
        <v>1159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1160</v>
      </c>
      <c r="G35" s="27"/>
      <c r="H35" t="s">
        <v>221</v>
      </c>
      <c r="I35" t="s">
        <v>1161</v>
      </c>
      <c r="J35" t="s">
        <v>1065</v>
      </c>
    </row>
    <row r="36" spans="1:10">
      <c r="A36" s="52">
        <v>46052.540277777778</v>
      </c>
      <c r="B36" t="s">
        <v>1061</v>
      </c>
      <c r="C36" t="s">
        <v>1162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1163</v>
      </c>
      <c r="G36" s="27"/>
      <c r="H36" t="s">
        <v>221</v>
      </c>
      <c r="I36" t="s">
        <v>1164</v>
      </c>
      <c r="J36" t="s">
        <v>1065</v>
      </c>
    </row>
    <row r="37" spans="1:10">
      <c r="A37" s="52">
        <v>46052.541666666657</v>
      </c>
      <c r="B37" t="s">
        <v>1165</v>
      </c>
      <c r="C37" t="s">
        <v>1081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1073</v>
      </c>
      <c r="G37" s="27"/>
      <c r="H37" t="s">
        <v>221</v>
      </c>
      <c r="I37" t="s">
        <v>1166</v>
      </c>
      <c r="J37" t="s">
        <v>1167</v>
      </c>
    </row>
    <row r="38" spans="1:10">
      <c r="A38" s="52">
        <v>46052.545138888891</v>
      </c>
      <c r="B38" t="s">
        <v>1061</v>
      </c>
      <c r="C38" t="s">
        <v>1168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1169</v>
      </c>
      <c r="G38" s="27"/>
      <c r="H38" t="s">
        <v>221</v>
      </c>
      <c r="I38" t="s">
        <v>1170</v>
      </c>
      <c r="J38" t="s">
        <v>1065</v>
      </c>
    </row>
    <row r="39" spans="1:10">
      <c r="A39" s="52">
        <v>46052.54791666667</v>
      </c>
      <c r="B39" t="s">
        <v>1165</v>
      </c>
      <c r="C39" t="s">
        <v>1084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1076</v>
      </c>
      <c r="G39" s="27"/>
      <c r="H39" t="s">
        <v>221</v>
      </c>
      <c r="I39" t="s">
        <v>1171</v>
      </c>
      <c r="J39" t="s">
        <v>1167</v>
      </c>
    </row>
    <row r="40" spans="1:10">
      <c r="A40" s="52">
        <v>46052.55</v>
      </c>
      <c r="B40" t="s">
        <v>1061</v>
      </c>
      <c r="C40" t="s">
        <v>1172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1173</v>
      </c>
      <c r="G40" s="27"/>
      <c r="H40" t="s">
        <v>221</v>
      </c>
      <c r="I40" t="s">
        <v>1174</v>
      </c>
      <c r="J40" t="s">
        <v>1065</v>
      </c>
    </row>
    <row r="41" spans="1:10">
      <c r="A41" s="52">
        <v>46052.554166666669</v>
      </c>
      <c r="B41" t="s">
        <v>1165</v>
      </c>
      <c r="C41" t="s">
        <v>1087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1079</v>
      </c>
      <c r="G41" s="27"/>
      <c r="H41" t="s">
        <v>221</v>
      </c>
      <c r="I41" t="s">
        <v>1175</v>
      </c>
      <c r="J41" t="s">
        <v>1167</v>
      </c>
    </row>
    <row r="42" spans="1:10">
      <c r="A42" s="52">
        <v>46052.554861111108</v>
      </c>
      <c r="B42" t="s">
        <v>1061</v>
      </c>
      <c r="C42" t="s">
        <v>1176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1177</v>
      </c>
      <c r="G42" s="27"/>
      <c r="H42" t="s">
        <v>221</v>
      </c>
      <c r="I42" t="s">
        <v>1178</v>
      </c>
      <c r="J42" t="s">
        <v>1065</v>
      </c>
    </row>
    <row r="43" spans="1:10">
      <c r="A43" s="52">
        <v>46052.55972222222</v>
      </c>
      <c r="B43" t="s">
        <v>1061</v>
      </c>
      <c r="C43" t="s">
        <v>1179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1180</v>
      </c>
      <c r="G43" s="27"/>
      <c r="H43" t="s">
        <v>221</v>
      </c>
      <c r="I43" t="s">
        <v>1181</v>
      </c>
      <c r="J43" t="s">
        <v>1065</v>
      </c>
    </row>
    <row r="44" spans="1:10">
      <c r="A44" s="52">
        <v>46052.560416666667</v>
      </c>
      <c r="B44" t="s">
        <v>1165</v>
      </c>
      <c r="C44" t="s">
        <v>1090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1082</v>
      </c>
      <c r="G44" s="27"/>
      <c r="H44" t="s">
        <v>221</v>
      </c>
      <c r="I44" t="s">
        <v>1182</v>
      </c>
      <c r="J44" t="s">
        <v>1167</v>
      </c>
    </row>
    <row r="45" spans="1:10">
      <c r="A45" s="52">
        <v>46052.564583333333</v>
      </c>
      <c r="B45" t="s">
        <v>1061</v>
      </c>
      <c r="C45" t="s">
        <v>1183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1184</v>
      </c>
      <c r="G45" s="27"/>
      <c r="H45" t="s">
        <v>221</v>
      </c>
      <c r="I45" t="s">
        <v>1185</v>
      </c>
      <c r="J45" t="s">
        <v>1065</v>
      </c>
    </row>
    <row r="46" spans="1:10">
      <c r="A46" s="52">
        <v>46052.566666666673</v>
      </c>
      <c r="B46" t="s">
        <v>1165</v>
      </c>
      <c r="C46" t="s">
        <v>1093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1085</v>
      </c>
      <c r="G46" s="27"/>
      <c r="H46" t="s">
        <v>221</v>
      </c>
      <c r="I46" t="s">
        <v>1186</v>
      </c>
      <c r="J46" t="s">
        <v>1167</v>
      </c>
    </row>
    <row r="47" spans="1:10">
      <c r="A47" s="52">
        <v>46052.569444444453</v>
      </c>
      <c r="B47" t="s">
        <v>1061</v>
      </c>
      <c r="C47" t="s">
        <v>1187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1188</v>
      </c>
      <c r="G47" s="27"/>
      <c r="H47" t="s">
        <v>221</v>
      </c>
      <c r="I47" t="s">
        <v>1189</v>
      </c>
      <c r="J47" t="s">
        <v>1065</v>
      </c>
    </row>
    <row r="48" spans="1:10">
      <c r="A48" s="52">
        <v>46052.572916666657</v>
      </c>
      <c r="B48" t="s">
        <v>1165</v>
      </c>
      <c r="C48" t="s">
        <v>1096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1088</v>
      </c>
      <c r="G48" s="27"/>
      <c r="H48" t="s">
        <v>221</v>
      </c>
      <c r="I48" t="s">
        <v>1190</v>
      </c>
      <c r="J48" t="s">
        <v>1167</v>
      </c>
    </row>
    <row r="49" spans="1:10">
      <c r="A49" s="52">
        <v>46052.574305555558</v>
      </c>
      <c r="B49" t="s">
        <v>1061</v>
      </c>
      <c r="C49" t="s">
        <v>1191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1192</v>
      </c>
      <c r="G49" s="27"/>
      <c r="H49" t="s">
        <v>221</v>
      </c>
      <c r="I49" t="s">
        <v>1193</v>
      </c>
      <c r="J49" t="s">
        <v>1065</v>
      </c>
    </row>
    <row r="50" spans="1:10">
      <c r="A50" s="52">
        <v>46052.57916666667</v>
      </c>
      <c r="B50" t="s">
        <v>1061</v>
      </c>
      <c r="C50" t="s">
        <v>1194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1195</v>
      </c>
      <c r="G50" s="27"/>
      <c r="H50" t="s">
        <v>221</v>
      </c>
      <c r="I50" t="s">
        <v>1196</v>
      </c>
      <c r="J50" t="s">
        <v>1065</v>
      </c>
    </row>
    <row r="51" spans="1:10">
      <c r="A51" s="52">
        <v>46052.57916666667</v>
      </c>
      <c r="B51" t="s">
        <v>1165</v>
      </c>
      <c r="C51" t="s">
        <v>1099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1091</v>
      </c>
      <c r="G51" s="27"/>
      <c r="H51" t="s">
        <v>221</v>
      </c>
      <c r="I51" t="s">
        <v>1197</v>
      </c>
      <c r="J51" t="s">
        <v>1167</v>
      </c>
    </row>
    <row r="52" spans="1:10">
      <c r="A52" s="52">
        <v>46052.584027777782</v>
      </c>
      <c r="B52" t="s">
        <v>1061</v>
      </c>
      <c r="C52" t="s">
        <v>1198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1199</v>
      </c>
      <c r="G52" s="27"/>
      <c r="H52" t="s">
        <v>221</v>
      </c>
      <c r="I52" t="s">
        <v>1200</v>
      </c>
      <c r="J52" t="s">
        <v>1065</v>
      </c>
    </row>
    <row r="53" spans="1:10">
      <c r="A53" s="52">
        <v>46052.585416666669</v>
      </c>
      <c r="B53" t="s">
        <v>1165</v>
      </c>
      <c r="C53" t="s">
        <v>1102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1094</v>
      </c>
      <c r="G53" s="27"/>
      <c r="H53" t="s">
        <v>221</v>
      </c>
      <c r="I53" t="s">
        <v>1201</v>
      </c>
      <c r="J53" t="s">
        <v>1167</v>
      </c>
    </row>
    <row r="54" spans="1:10">
      <c r="A54" s="52">
        <v>46052.588888888888</v>
      </c>
      <c r="B54" t="s">
        <v>1061</v>
      </c>
      <c r="C54" t="s">
        <v>1202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1203</v>
      </c>
      <c r="G54" s="27"/>
      <c r="H54" t="s">
        <v>221</v>
      </c>
      <c r="I54" t="s">
        <v>1204</v>
      </c>
      <c r="J54" t="s">
        <v>1065</v>
      </c>
    </row>
    <row r="55" spans="1:10">
      <c r="A55" s="52">
        <v>46052.59375</v>
      </c>
      <c r="B55" t="s">
        <v>1061</v>
      </c>
      <c r="C55" t="s">
        <v>1205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1206</v>
      </c>
      <c r="G55" s="27"/>
      <c r="H55" t="s">
        <v>221</v>
      </c>
      <c r="I55" t="s">
        <v>1207</v>
      </c>
      <c r="J55" t="s">
        <v>1065</v>
      </c>
    </row>
    <row r="56" spans="1:10">
      <c r="A56" s="52">
        <v>46052.598611111112</v>
      </c>
      <c r="B56" t="s">
        <v>1061</v>
      </c>
      <c r="C56" t="s">
        <v>1208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1209</v>
      </c>
      <c r="G56" s="27"/>
      <c r="H56" t="s">
        <v>221</v>
      </c>
      <c r="I56" t="s">
        <v>1210</v>
      </c>
      <c r="J56" t="s">
        <v>1065</v>
      </c>
    </row>
    <row r="57" spans="1:10">
      <c r="A57" s="52">
        <v>46052.603472222218</v>
      </c>
      <c r="B57" t="s">
        <v>1061</v>
      </c>
      <c r="C57" t="s">
        <v>1211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1212</v>
      </c>
      <c r="G57" s="27"/>
      <c r="H57" t="s">
        <v>221</v>
      </c>
      <c r="I57" t="s">
        <v>1213</v>
      </c>
      <c r="J57" t="s">
        <v>1065</v>
      </c>
    </row>
    <row r="58" spans="1:10">
      <c r="A58" s="52">
        <v>46052.60833333333</v>
      </c>
      <c r="B58" t="s">
        <v>1061</v>
      </c>
      <c r="C58" t="s">
        <v>1214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1215</v>
      </c>
      <c r="G58" s="27"/>
      <c r="H58" t="s">
        <v>221</v>
      </c>
      <c r="I58" t="s">
        <v>1216</v>
      </c>
      <c r="J58" t="s">
        <v>1065</v>
      </c>
    </row>
    <row r="59" spans="1:10">
      <c r="A59" s="52">
        <v>46052.613194444442</v>
      </c>
      <c r="B59" t="s">
        <v>1217</v>
      </c>
      <c r="C59" t="s">
        <v>1218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1043</v>
      </c>
      <c r="G59" s="27"/>
      <c r="H59" t="s">
        <v>221</v>
      </c>
      <c r="I59" t="s">
        <v>1219</v>
      </c>
      <c r="J59" t="s">
        <v>1220</v>
      </c>
    </row>
    <row r="60" spans="1:10">
      <c r="A60" s="52">
        <v>46052.618055555547</v>
      </c>
      <c r="B60" t="s">
        <v>1217</v>
      </c>
      <c r="C60" t="s">
        <v>1221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1043</v>
      </c>
      <c r="G60" s="27"/>
      <c r="H60" t="s">
        <v>221</v>
      </c>
      <c r="I60" t="s">
        <v>1222</v>
      </c>
      <c r="J60" t="s">
        <v>1220</v>
      </c>
    </row>
    <row r="61" spans="1:10">
      <c r="A61" s="52">
        <v>46052.622916666667</v>
      </c>
      <c r="B61" t="s">
        <v>1061</v>
      </c>
      <c r="C61" t="s">
        <v>1223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1224</v>
      </c>
      <c r="G61" s="27"/>
      <c r="H61" t="s">
        <v>221</v>
      </c>
      <c r="I61" t="s">
        <v>1225</v>
      </c>
      <c r="J61" t="s">
        <v>1065</v>
      </c>
    </row>
    <row r="62" spans="1:10">
      <c r="A62" s="52">
        <v>46052.62777777778</v>
      </c>
      <c r="B62" t="s">
        <v>1061</v>
      </c>
      <c r="C62" t="s">
        <v>1226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1227</v>
      </c>
      <c r="G62" s="27"/>
      <c r="H62" t="s">
        <v>221</v>
      </c>
      <c r="I62" t="s">
        <v>1228</v>
      </c>
      <c r="J62" t="s">
        <v>1065</v>
      </c>
    </row>
    <row r="63" spans="1:10">
      <c r="A63" s="52">
        <v>46052.632638888892</v>
      </c>
      <c r="B63" t="s">
        <v>1061</v>
      </c>
      <c r="C63" t="s">
        <v>1229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1230</v>
      </c>
      <c r="G63" s="27"/>
      <c r="H63" t="s">
        <v>221</v>
      </c>
      <c r="I63" t="s">
        <v>1231</v>
      </c>
      <c r="J63" t="s">
        <v>1065</v>
      </c>
    </row>
    <row r="64" spans="1:10">
      <c r="A64" s="52">
        <v>46052.637499999997</v>
      </c>
      <c r="B64" t="s">
        <v>1061</v>
      </c>
      <c r="C64" t="s">
        <v>1232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1233</v>
      </c>
      <c r="G64" s="27"/>
      <c r="H64" t="s">
        <v>221</v>
      </c>
      <c r="I64" t="s">
        <v>1234</v>
      </c>
      <c r="J64" t="s">
        <v>1065</v>
      </c>
    </row>
    <row r="65" spans="1:10">
      <c r="A65" s="52">
        <v>46052.642361111109</v>
      </c>
      <c r="B65" t="s">
        <v>1061</v>
      </c>
      <c r="C65" t="s">
        <v>1235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1236</v>
      </c>
      <c r="G65" s="27"/>
      <c r="H65" t="s">
        <v>221</v>
      </c>
      <c r="I65" t="s">
        <v>1237</v>
      </c>
      <c r="J65" t="s">
        <v>1065</v>
      </c>
    </row>
    <row r="66" spans="1:10">
      <c r="A66" s="52">
        <v>46052.647222222222</v>
      </c>
      <c r="B66" t="s">
        <v>1061</v>
      </c>
      <c r="C66" t="s">
        <v>1238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1239</v>
      </c>
      <c r="G66" s="27"/>
      <c r="H66" t="s">
        <v>221</v>
      </c>
      <c r="I66" t="s">
        <v>1240</v>
      </c>
      <c r="J66" t="s">
        <v>1065</v>
      </c>
    </row>
    <row r="67" spans="1:10">
      <c r="A67" s="52">
        <v>46052.652083333327</v>
      </c>
      <c r="B67" t="s">
        <v>1061</v>
      </c>
      <c r="C67" t="s">
        <v>1241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1242</v>
      </c>
      <c r="G67" s="27"/>
      <c r="H67" t="s">
        <v>221</v>
      </c>
      <c r="I67" t="s">
        <v>1243</v>
      </c>
      <c r="J67" t="s">
        <v>1065</v>
      </c>
    </row>
    <row r="68" spans="1:10">
      <c r="A68" s="52">
        <v>46052.656944444447</v>
      </c>
      <c r="B68" t="s">
        <v>1061</v>
      </c>
      <c r="C68" t="s">
        <v>1244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1245</v>
      </c>
      <c r="G68" s="27"/>
      <c r="H68" t="s">
        <v>221</v>
      </c>
      <c r="I68" t="s">
        <v>1246</v>
      </c>
      <c r="J68" t="s">
        <v>1065</v>
      </c>
    </row>
    <row r="69" spans="1:10">
      <c r="A69" s="52">
        <v>46052.661805555559</v>
      </c>
      <c r="B69" t="s">
        <v>1061</v>
      </c>
      <c r="C69" t="s">
        <v>1247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1248</v>
      </c>
      <c r="G69" s="27"/>
      <c r="H69" t="s">
        <v>221</v>
      </c>
      <c r="I69" t="s">
        <v>1249</v>
      </c>
      <c r="J69" t="s">
        <v>1065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24" priority="1" stopIfTrue="1">
      <formula>AND($B2&lt;&gt;"",OR($A2="",TRIM($C2)="",TRIM($E2)=""))</formula>
    </cfRule>
    <cfRule type="expression" dxfId="2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1250</v>
      </c>
      <c r="B1" s="50" t="s">
        <v>1251</v>
      </c>
      <c r="C1" s="50" t="s">
        <v>1252</v>
      </c>
      <c r="D1" s="50" t="s">
        <v>189</v>
      </c>
    </row>
    <row r="2" spans="1:4">
      <c r="A2" s="29" t="s">
        <v>1253</v>
      </c>
    </row>
    <row r="3" spans="1:4">
      <c r="A3" t="s">
        <v>1254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1255</v>
      </c>
    </row>
    <row r="4" spans="1:4">
      <c r="A4" t="s">
        <v>1254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1255</v>
      </c>
    </row>
    <row r="5" spans="1:4">
      <c r="A5" t="s">
        <v>1254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1255</v>
      </c>
    </row>
    <row r="6" spans="1:4">
      <c r="A6" t="s">
        <v>1254</v>
      </c>
      <c r="B6" t="str">
        <f>IF('02_Warehouse_Locations'!A5="","",'02_Warehouse_Locations'!A5)</f>
        <v>Z1</v>
      </c>
      <c r="C6" t="str">
        <f t="shared" si="0"/>
        <v>Z1</v>
      </c>
      <c r="D6" t="s">
        <v>1255</v>
      </c>
    </row>
    <row r="7" spans="1:4">
      <c r="A7" t="s">
        <v>1254</v>
      </c>
      <c r="B7" t="str">
        <f>IF('02_Warehouse_Locations'!A6="","",'02_Warehouse_Locations'!A6)</f>
        <v>A</v>
      </c>
      <c r="C7" t="str">
        <f t="shared" si="0"/>
        <v>A</v>
      </c>
      <c r="D7" t="s">
        <v>1255</v>
      </c>
    </row>
    <row r="8" spans="1:4">
      <c r="A8" t="s">
        <v>1254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1255</v>
      </c>
    </row>
    <row r="9" spans="1:4">
      <c r="A9" t="s">
        <v>1254</v>
      </c>
      <c r="B9" t="str">
        <f>IF('02_Warehouse_Locations'!A8="","",'02_Warehouse_Locations'!A8)</f>
        <v>01</v>
      </c>
      <c r="C9" t="str">
        <f t="shared" si="0"/>
        <v>01</v>
      </c>
      <c r="D9" t="s">
        <v>1255</v>
      </c>
    </row>
    <row r="10" spans="1:4">
      <c r="A10" t="s">
        <v>1254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1255</v>
      </c>
    </row>
    <row r="11" spans="1:4">
      <c r="A11" t="s">
        <v>1254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1255</v>
      </c>
    </row>
    <row r="12" spans="1:4">
      <c r="A12" t="s">
        <v>1254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1255</v>
      </c>
    </row>
    <row r="13" spans="1:4">
      <c r="A13" t="s">
        <v>1254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1255</v>
      </c>
    </row>
    <row r="14" spans="1:4">
      <c r="A14" t="s">
        <v>1254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1255</v>
      </c>
    </row>
    <row r="15" spans="1:4">
      <c r="A15" t="s">
        <v>1254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1255</v>
      </c>
    </row>
    <row r="16" spans="1:4">
      <c r="A16" t="s">
        <v>1254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1255</v>
      </c>
    </row>
    <row r="17" spans="1:4">
      <c r="A17" t="s">
        <v>1254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1255</v>
      </c>
    </row>
    <row r="18" spans="1:4">
      <c r="A18" t="s">
        <v>1254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1255</v>
      </c>
    </row>
    <row r="19" spans="1:4">
      <c r="A19" t="s">
        <v>1254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1255</v>
      </c>
    </row>
    <row r="20" spans="1:4">
      <c r="A20" t="s">
        <v>1254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1255</v>
      </c>
    </row>
    <row r="21" spans="1:4">
      <c r="A21" t="s">
        <v>1254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1255</v>
      </c>
    </row>
    <row r="22" spans="1:4">
      <c r="A22" t="s">
        <v>1254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1255</v>
      </c>
    </row>
    <row r="23" spans="1:4">
      <c r="A23" t="s">
        <v>1254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1255</v>
      </c>
    </row>
    <row r="24" spans="1:4">
      <c r="A24" t="s">
        <v>1254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1255</v>
      </c>
    </row>
    <row r="25" spans="1:4">
      <c r="A25" t="s">
        <v>1254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1255</v>
      </c>
    </row>
    <row r="26" spans="1:4">
      <c r="A26" t="s">
        <v>1254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1255</v>
      </c>
    </row>
    <row r="27" spans="1:4">
      <c r="A27" t="s">
        <v>1254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1255</v>
      </c>
    </row>
    <row r="28" spans="1:4">
      <c r="A28" t="s">
        <v>1254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1255</v>
      </c>
    </row>
    <row r="29" spans="1:4">
      <c r="A29" t="s">
        <v>1254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1255</v>
      </c>
    </row>
    <row r="30" spans="1:4">
      <c r="A30" t="s">
        <v>1254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1255</v>
      </c>
    </row>
    <row r="31" spans="1:4">
      <c r="A31" t="s">
        <v>1254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1255</v>
      </c>
    </row>
    <row r="32" spans="1:4">
      <c r="A32" t="s">
        <v>1254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1255</v>
      </c>
    </row>
    <row r="33" spans="1:4">
      <c r="A33" t="s">
        <v>1254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1255</v>
      </c>
    </row>
    <row r="34" spans="1:4">
      <c r="A34" t="s">
        <v>1254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1255</v>
      </c>
    </row>
    <row r="35" spans="1:4">
      <c r="A35" t="s">
        <v>1254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1255</v>
      </c>
    </row>
    <row r="36" spans="1:4">
      <c r="A36" t="s">
        <v>1254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1255</v>
      </c>
    </row>
    <row r="37" spans="1:4">
      <c r="A37" t="s">
        <v>1254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1255</v>
      </c>
    </row>
    <row r="38" spans="1:4">
      <c r="A38" t="s">
        <v>1254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1255</v>
      </c>
    </row>
    <row r="39" spans="1:4">
      <c r="A39" t="s">
        <v>1254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1255</v>
      </c>
    </row>
    <row r="40" spans="1:4">
      <c r="A40" t="s">
        <v>1254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1255</v>
      </c>
    </row>
    <row r="41" spans="1:4">
      <c r="A41" t="s">
        <v>1254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1255</v>
      </c>
    </row>
    <row r="42" spans="1:4">
      <c r="A42" t="s">
        <v>1254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1255</v>
      </c>
    </row>
    <row r="43" spans="1:4">
      <c r="A43" t="s">
        <v>1254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1255</v>
      </c>
    </row>
    <row r="44" spans="1:4">
      <c r="A44" t="s">
        <v>1254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1255</v>
      </c>
    </row>
    <row r="45" spans="1:4">
      <c r="A45" t="s">
        <v>1254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1255</v>
      </c>
    </row>
    <row r="46" spans="1:4">
      <c r="A46" t="s">
        <v>1254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1255</v>
      </c>
    </row>
    <row r="47" spans="1:4">
      <c r="A47" t="s">
        <v>1254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1255</v>
      </c>
    </row>
    <row r="48" spans="1:4">
      <c r="A48" t="s">
        <v>1254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1255</v>
      </c>
    </row>
    <row r="49" spans="1:4">
      <c r="A49" t="s">
        <v>1254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1255</v>
      </c>
    </row>
    <row r="50" spans="1:4">
      <c r="A50" t="s">
        <v>1254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1255</v>
      </c>
    </row>
    <row r="51" spans="1:4">
      <c r="A51" t="s">
        <v>1254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1255</v>
      </c>
    </row>
    <row r="52" spans="1:4">
      <c r="A52" t="s">
        <v>1254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1255</v>
      </c>
    </row>
    <row r="53" spans="1:4">
      <c r="A53" t="s">
        <v>1254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1255</v>
      </c>
    </row>
    <row r="54" spans="1:4">
      <c r="A54" t="s">
        <v>1254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1255</v>
      </c>
    </row>
    <row r="55" spans="1:4">
      <c r="A55" t="s">
        <v>1254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1255</v>
      </c>
    </row>
    <row r="56" spans="1:4">
      <c r="A56" t="s">
        <v>1254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1255</v>
      </c>
    </row>
    <row r="57" spans="1:4">
      <c r="A57" t="s">
        <v>1254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1255</v>
      </c>
    </row>
    <row r="58" spans="1:4">
      <c r="A58" t="s">
        <v>1254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1255</v>
      </c>
    </row>
    <row r="59" spans="1:4">
      <c r="A59" t="s">
        <v>1254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1255</v>
      </c>
    </row>
    <row r="60" spans="1:4">
      <c r="A60" t="s">
        <v>1254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1255</v>
      </c>
    </row>
    <row r="61" spans="1:4">
      <c r="A61" t="s">
        <v>1254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1255</v>
      </c>
    </row>
    <row r="62" spans="1:4">
      <c r="A62" t="s">
        <v>1254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1255</v>
      </c>
    </row>
    <row r="63" spans="1:4">
      <c r="A63" t="s">
        <v>1254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1255</v>
      </c>
    </row>
    <row r="64" spans="1:4">
      <c r="A64" t="s">
        <v>1254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1255</v>
      </c>
    </row>
    <row r="65" spans="1:4">
      <c r="A65" t="s">
        <v>1254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1255</v>
      </c>
    </row>
    <row r="66" spans="1:4">
      <c r="A66" t="s">
        <v>1254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1255</v>
      </c>
    </row>
    <row r="67" spans="1:4">
      <c r="A67" t="s">
        <v>1254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1255</v>
      </c>
    </row>
    <row r="68" spans="1:4">
      <c r="A68" t="s">
        <v>1254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1255</v>
      </c>
    </row>
    <row r="69" spans="1:4">
      <c r="A69" t="s">
        <v>1254</v>
      </c>
      <c r="B69" t="str">
        <f>IF('02_Warehouse_Locations'!A68="","",'02_Warehouse_Locations'!A68)</f>
        <v>D</v>
      </c>
      <c r="C69" t="str">
        <f t="shared" si="1"/>
        <v>D</v>
      </c>
      <c r="D69" t="s">
        <v>1255</v>
      </c>
    </row>
    <row r="70" spans="1:4">
      <c r="A70" t="s">
        <v>1254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1255</v>
      </c>
    </row>
    <row r="71" spans="1:4">
      <c r="A71" t="s">
        <v>1254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1255</v>
      </c>
    </row>
    <row r="72" spans="1:4">
      <c r="A72" t="s">
        <v>1254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1255</v>
      </c>
    </row>
    <row r="73" spans="1:4">
      <c r="A73" t="s">
        <v>1254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1255</v>
      </c>
    </row>
    <row r="74" spans="1:4">
      <c r="A74" t="s">
        <v>1254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1255</v>
      </c>
    </row>
    <row r="75" spans="1:4">
      <c r="A75" t="s">
        <v>1254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1255</v>
      </c>
    </row>
    <row r="76" spans="1:4">
      <c r="A76" t="s">
        <v>1254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1255</v>
      </c>
    </row>
    <row r="77" spans="1:4">
      <c r="A77" t="s">
        <v>1254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1255</v>
      </c>
    </row>
    <row r="78" spans="1:4">
      <c r="A78" t="s">
        <v>1254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1255</v>
      </c>
    </row>
    <row r="79" spans="1:4">
      <c r="A79" t="s">
        <v>1254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1255</v>
      </c>
    </row>
    <row r="80" spans="1:4">
      <c r="A80" t="s">
        <v>1254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1255</v>
      </c>
    </row>
    <row r="81" spans="1:4">
      <c r="A81" t="s">
        <v>1254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1255</v>
      </c>
    </row>
    <row r="82" spans="1:4">
      <c r="A82" t="s">
        <v>1254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1255</v>
      </c>
    </row>
    <row r="83" spans="1:4">
      <c r="A83" t="s">
        <v>1254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1255</v>
      </c>
    </row>
    <row r="84" spans="1:4">
      <c r="A84" t="s">
        <v>1254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1255</v>
      </c>
    </row>
    <row r="85" spans="1:4">
      <c r="A85" t="s">
        <v>1254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1255</v>
      </c>
    </row>
    <row r="86" spans="1:4">
      <c r="A86" t="s">
        <v>1254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1255</v>
      </c>
    </row>
    <row r="87" spans="1:4">
      <c r="A87" t="s">
        <v>1254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1255</v>
      </c>
    </row>
    <row r="88" spans="1:4">
      <c r="A88" t="s">
        <v>1254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1255</v>
      </c>
    </row>
    <row r="89" spans="1:4">
      <c r="A89" t="s">
        <v>1254</v>
      </c>
      <c r="B89" t="str">
        <f>IF('02_Warehouse_Locations'!A88="","",'02_Warehouse_Locations'!A88)</f>
        <v>E</v>
      </c>
      <c r="C89" t="str">
        <f t="shared" si="1"/>
        <v>E</v>
      </c>
      <c r="D89" t="s">
        <v>1255</v>
      </c>
    </row>
    <row r="90" spans="1:4">
      <c r="A90" t="s">
        <v>1254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1255</v>
      </c>
    </row>
    <row r="91" spans="1:4">
      <c r="A91" t="s">
        <v>1254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1255</v>
      </c>
    </row>
    <row r="92" spans="1:4">
      <c r="A92" t="s">
        <v>1254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1255</v>
      </c>
    </row>
    <row r="93" spans="1:4">
      <c r="A93" t="s">
        <v>1254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1255</v>
      </c>
    </row>
    <row r="94" spans="1:4">
      <c r="A94" t="s">
        <v>1254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1255</v>
      </c>
    </row>
    <row r="95" spans="1:4">
      <c r="A95" t="s">
        <v>1254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1255</v>
      </c>
    </row>
    <row r="96" spans="1:4">
      <c r="A96" t="s">
        <v>1254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1255</v>
      </c>
    </row>
    <row r="97" spans="1:4">
      <c r="A97" t="s">
        <v>1254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1255</v>
      </c>
    </row>
    <row r="98" spans="1:4">
      <c r="A98" t="s">
        <v>1254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1255</v>
      </c>
    </row>
    <row r="99" spans="1:4">
      <c r="A99" t="s">
        <v>1254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1255</v>
      </c>
    </row>
    <row r="100" spans="1:4">
      <c r="A100" t="s">
        <v>1254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1255</v>
      </c>
    </row>
    <row r="101" spans="1:4">
      <c r="A101" t="s">
        <v>1254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1255</v>
      </c>
    </row>
    <row r="102" spans="1:4">
      <c r="A102" t="s">
        <v>1254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1255</v>
      </c>
    </row>
    <row r="103" spans="1:4">
      <c r="A103" t="s">
        <v>1254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1255</v>
      </c>
    </row>
    <row r="104" spans="1:4">
      <c r="A104" t="s">
        <v>1254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1255</v>
      </c>
    </row>
    <row r="105" spans="1:4">
      <c r="A105" t="s">
        <v>1254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1255</v>
      </c>
    </row>
    <row r="106" spans="1:4">
      <c r="A106" t="s">
        <v>1254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1255</v>
      </c>
    </row>
    <row r="107" spans="1:4">
      <c r="A107" t="s">
        <v>1254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1255</v>
      </c>
    </row>
    <row r="108" spans="1:4">
      <c r="A108" t="s">
        <v>1254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1255</v>
      </c>
    </row>
    <row r="109" spans="1:4">
      <c r="A109" t="s">
        <v>1254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1255</v>
      </c>
    </row>
    <row r="110" spans="1:4">
      <c r="A110" t="s">
        <v>1254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1255</v>
      </c>
    </row>
    <row r="111" spans="1:4">
      <c r="A111" t="s">
        <v>1254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1255</v>
      </c>
    </row>
    <row r="112" spans="1:4">
      <c r="A112" t="s">
        <v>1254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1255</v>
      </c>
    </row>
    <row r="113" spans="1:4">
      <c r="A113" t="s">
        <v>1254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1255</v>
      </c>
    </row>
    <row r="114" spans="1:4">
      <c r="A114" t="s">
        <v>1254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1255</v>
      </c>
    </row>
    <row r="115" spans="1:4">
      <c r="A115" t="s">
        <v>1254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1255</v>
      </c>
    </row>
    <row r="116" spans="1:4">
      <c r="A116" t="s">
        <v>1254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1255</v>
      </c>
    </row>
    <row r="117" spans="1:4">
      <c r="A117" t="s">
        <v>1254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1255</v>
      </c>
    </row>
    <row r="118" spans="1:4">
      <c r="A118" t="s">
        <v>1254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1255</v>
      </c>
    </row>
    <row r="119" spans="1:4">
      <c r="A119" t="s">
        <v>1254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1255</v>
      </c>
    </row>
    <row r="120" spans="1:4">
      <c r="A120" t="s">
        <v>1254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1255</v>
      </c>
    </row>
    <row r="121" spans="1:4">
      <c r="A121" t="s">
        <v>1254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1255</v>
      </c>
    </row>
    <row r="122" spans="1:4">
      <c r="A122" t="s">
        <v>1254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1255</v>
      </c>
    </row>
    <row r="123" spans="1:4">
      <c r="A123" t="s">
        <v>1254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1255</v>
      </c>
    </row>
    <row r="124" spans="1:4">
      <c r="A124" t="s">
        <v>1254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1255</v>
      </c>
    </row>
    <row r="125" spans="1:4">
      <c r="A125" t="s">
        <v>1254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1255</v>
      </c>
    </row>
    <row r="126" spans="1:4">
      <c r="A126" t="s">
        <v>1254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1255</v>
      </c>
    </row>
    <row r="127" spans="1:4">
      <c r="A127" t="s">
        <v>1254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1255</v>
      </c>
    </row>
    <row r="128" spans="1:4">
      <c r="A128" t="s">
        <v>1254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1255</v>
      </c>
    </row>
    <row r="129" spans="1:4">
      <c r="A129" t="s">
        <v>1254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1255</v>
      </c>
    </row>
    <row r="130" spans="1:4">
      <c r="A130" t="s">
        <v>1254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1255</v>
      </c>
    </row>
    <row r="131" spans="1:4">
      <c r="A131" t="s">
        <v>1254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1255</v>
      </c>
    </row>
    <row r="132" spans="1:4">
      <c r="A132" t="s">
        <v>1254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1255</v>
      </c>
    </row>
    <row r="133" spans="1:4">
      <c r="A133" t="s">
        <v>1254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1255</v>
      </c>
    </row>
    <row r="134" spans="1:4">
      <c r="A134" t="s">
        <v>1254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1255</v>
      </c>
    </row>
    <row r="135" spans="1:4">
      <c r="A135" t="s">
        <v>1254</v>
      </c>
      <c r="B135" t="str">
        <f>IF('02_Warehouse_Locations'!A134="","",'02_Warehouse_Locations'!A134)</f>
        <v/>
      </c>
      <c r="C135" t="str">
        <f t="shared" si="2"/>
        <v/>
      </c>
      <c r="D135" t="s">
        <v>1255</v>
      </c>
    </row>
    <row r="136" spans="1:4">
      <c r="A136" t="s">
        <v>1254</v>
      </c>
      <c r="B136" t="str">
        <f>IF('02_Warehouse_Locations'!A135="","",'02_Warehouse_Locations'!A135)</f>
        <v/>
      </c>
      <c r="C136" t="str">
        <f t="shared" si="2"/>
        <v/>
      </c>
      <c r="D136" t="s">
        <v>1255</v>
      </c>
    </row>
    <row r="137" spans="1:4">
      <c r="A137" t="s">
        <v>1254</v>
      </c>
      <c r="B137" t="str">
        <f>IF('02_Warehouse_Locations'!A136="","",'02_Warehouse_Locations'!A136)</f>
        <v/>
      </c>
      <c r="C137" t="str">
        <f t="shared" si="2"/>
        <v/>
      </c>
      <c r="D137" t="s">
        <v>1255</v>
      </c>
    </row>
    <row r="138" spans="1:4">
      <c r="A138" t="s">
        <v>1254</v>
      </c>
      <c r="B138" t="str">
        <f>IF('02_Warehouse_Locations'!A137="","",'02_Warehouse_Locations'!A137)</f>
        <v/>
      </c>
      <c r="C138" t="str">
        <f t="shared" si="2"/>
        <v/>
      </c>
      <c r="D138" t="s">
        <v>1255</v>
      </c>
    </row>
    <row r="139" spans="1:4">
      <c r="A139" t="s">
        <v>1254</v>
      </c>
      <c r="B139" t="str">
        <f>IF('02_Warehouse_Locations'!A138="","",'02_Warehouse_Locations'!A138)</f>
        <v/>
      </c>
      <c r="C139" t="str">
        <f t="shared" si="2"/>
        <v/>
      </c>
      <c r="D139" t="s">
        <v>1255</v>
      </c>
    </row>
    <row r="140" spans="1:4">
      <c r="A140" t="s">
        <v>1254</v>
      </c>
      <c r="B140" t="str">
        <f>IF('02_Warehouse_Locations'!A139="","",'02_Warehouse_Locations'!A139)</f>
        <v/>
      </c>
      <c r="C140" t="str">
        <f t="shared" si="2"/>
        <v/>
      </c>
      <c r="D140" t="s">
        <v>1255</v>
      </c>
    </row>
    <row r="141" spans="1:4">
      <c r="A141" t="s">
        <v>1254</v>
      </c>
      <c r="B141" t="str">
        <f>IF('02_Warehouse_Locations'!A140="","",'02_Warehouse_Locations'!A140)</f>
        <v/>
      </c>
      <c r="C141" t="str">
        <f t="shared" si="2"/>
        <v/>
      </c>
      <c r="D141" t="s">
        <v>1255</v>
      </c>
    </row>
    <row r="142" spans="1:4">
      <c r="A142" t="s">
        <v>1254</v>
      </c>
      <c r="B142" t="str">
        <f>IF('02_Warehouse_Locations'!A141="","",'02_Warehouse_Locations'!A141)</f>
        <v/>
      </c>
      <c r="C142" t="str">
        <f t="shared" si="2"/>
        <v/>
      </c>
      <c r="D142" t="s">
        <v>1255</v>
      </c>
    </row>
    <row r="143" spans="1:4">
      <c r="A143" t="s">
        <v>1254</v>
      </c>
      <c r="B143" t="str">
        <f>IF('02_Warehouse_Locations'!A142="","",'02_Warehouse_Locations'!A142)</f>
        <v/>
      </c>
      <c r="C143" t="str">
        <f t="shared" si="2"/>
        <v/>
      </c>
      <c r="D143" t="s">
        <v>1255</v>
      </c>
    </row>
    <row r="144" spans="1:4">
      <c r="A144" t="s">
        <v>1254</v>
      </c>
      <c r="B144" t="str">
        <f>IF('02_Warehouse_Locations'!A143="","",'02_Warehouse_Locations'!A143)</f>
        <v/>
      </c>
      <c r="C144" t="str">
        <f t="shared" si="2"/>
        <v/>
      </c>
      <c r="D144" t="s">
        <v>1255</v>
      </c>
    </row>
    <row r="145" spans="1:4">
      <c r="A145" t="s">
        <v>1254</v>
      </c>
      <c r="B145" t="str">
        <f>IF('02_Warehouse_Locations'!A144="","",'02_Warehouse_Locations'!A144)</f>
        <v/>
      </c>
      <c r="C145" t="str">
        <f t="shared" si="2"/>
        <v/>
      </c>
      <c r="D145" t="s">
        <v>1255</v>
      </c>
    </row>
    <row r="146" spans="1:4">
      <c r="A146" t="s">
        <v>1254</v>
      </c>
      <c r="B146" t="str">
        <f>IF('02_Warehouse_Locations'!A145="","",'02_Warehouse_Locations'!A145)</f>
        <v/>
      </c>
      <c r="C146" t="str">
        <f t="shared" si="2"/>
        <v/>
      </c>
      <c r="D146" t="s">
        <v>1255</v>
      </c>
    </row>
    <row r="147" spans="1:4">
      <c r="A147" t="s">
        <v>1254</v>
      </c>
      <c r="B147" t="str">
        <f>IF('02_Warehouse_Locations'!A146="","",'02_Warehouse_Locations'!A146)</f>
        <v/>
      </c>
      <c r="C147" t="str">
        <f t="shared" si="2"/>
        <v/>
      </c>
      <c r="D147" t="s">
        <v>1255</v>
      </c>
    </row>
    <row r="148" spans="1:4">
      <c r="A148" t="s">
        <v>1254</v>
      </c>
      <c r="B148" t="str">
        <f>IF('02_Warehouse_Locations'!A147="","",'02_Warehouse_Locations'!A147)</f>
        <v/>
      </c>
      <c r="C148" t="str">
        <f t="shared" si="2"/>
        <v/>
      </c>
      <c r="D148" t="s">
        <v>1255</v>
      </c>
    </row>
    <row r="149" spans="1:4">
      <c r="A149" t="s">
        <v>1254</v>
      </c>
      <c r="B149" t="str">
        <f>IF('02_Warehouse_Locations'!A148="","",'02_Warehouse_Locations'!A148)</f>
        <v/>
      </c>
      <c r="C149" t="str">
        <f t="shared" si="2"/>
        <v/>
      </c>
      <c r="D149" t="s">
        <v>1255</v>
      </c>
    </row>
    <row r="150" spans="1:4">
      <c r="A150" t="s">
        <v>1254</v>
      </c>
      <c r="B150" t="str">
        <f>IF('02_Warehouse_Locations'!A149="","",'02_Warehouse_Locations'!A149)</f>
        <v/>
      </c>
      <c r="C150" t="str">
        <f t="shared" si="2"/>
        <v/>
      </c>
      <c r="D150" t="s">
        <v>1255</v>
      </c>
    </row>
    <row r="151" spans="1:4">
      <c r="A151" t="s">
        <v>1254</v>
      </c>
      <c r="B151" t="str">
        <f>IF('02_Warehouse_Locations'!A150="","",'02_Warehouse_Locations'!A150)</f>
        <v/>
      </c>
      <c r="C151" t="str">
        <f t="shared" si="2"/>
        <v/>
      </c>
      <c r="D151" t="s">
        <v>1255</v>
      </c>
    </row>
    <row r="152" spans="1:4">
      <c r="A152" t="s">
        <v>1254</v>
      </c>
      <c r="B152" t="str">
        <f>IF('02_Warehouse_Locations'!A151="","",'02_Warehouse_Locations'!A151)</f>
        <v/>
      </c>
      <c r="C152" t="str">
        <f t="shared" si="2"/>
        <v/>
      </c>
      <c r="D152" t="s">
        <v>1255</v>
      </c>
    </row>
    <row r="153" spans="1:4">
      <c r="A153" t="s">
        <v>1254</v>
      </c>
      <c r="B153" t="str">
        <f>IF('02_Warehouse_Locations'!A152="","",'02_Warehouse_Locations'!A152)</f>
        <v/>
      </c>
      <c r="C153" t="str">
        <f t="shared" si="2"/>
        <v/>
      </c>
      <c r="D153" t="s">
        <v>1255</v>
      </c>
    </row>
    <row r="154" spans="1:4">
      <c r="A154" t="s">
        <v>1254</v>
      </c>
      <c r="B154" t="str">
        <f>IF('02_Warehouse_Locations'!A153="","",'02_Warehouse_Locations'!A153)</f>
        <v/>
      </c>
      <c r="C154" t="str">
        <f t="shared" si="2"/>
        <v/>
      </c>
      <c r="D154" t="s">
        <v>1255</v>
      </c>
    </row>
    <row r="155" spans="1:4">
      <c r="A155" t="s">
        <v>1254</v>
      </c>
      <c r="B155" t="str">
        <f>IF('02_Warehouse_Locations'!A154="","",'02_Warehouse_Locations'!A154)</f>
        <v/>
      </c>
      <c r="C155" t="str">
        <f t="shared" si="2"/>
        <v/>
      </c>
      <c r="D155" t="s">
        <v>1255</v>
      </c>
    </row>
    <row r="156" spans="1:4">
      <c r="A156" t="s">
        <v>1254</v>
      </c>
      <c r="B156" t="str">
        <f>IF('02_Warehouse_Locations'!A155="","",'02_Warehouse_Locations'!A155)</f>
        <v/>
      </c>
      <c r="C156" t="str">
        <f t="shared" si="2"/>
        <v/>
      </c>
      <c r="D156" t="s">
        <v>1255</v>
      </c>
    </row>
    <row r="157" spans="1:4">
      <c r="A157" t="s">
        <v>1254</v>
      </c>
      <c r="B157" t="str">
        <f>IF('02_Warehouse_Locations'!A156="","",'02_Warehouse_Locations'!A156)</f>
        <v/>
      </c>
      <c r="C157" t="str">
        <f t="shared" si="2"/>
        <v/>
      </c>
      <c r="D157" t="s">
        <v>1255</v>
      </c>
    </row>
    <row r="158" spans="1:4">
      <c r="A158" t="s">
        <v>1254</v>
      </c>
      <c r="B158" t="str">
        <f>IF('02_Warehouse_Locations'!A157="","",'02_Warehouse_Locations'!A157)</f>
        <v/>
      </c>
      <c r="C158" t="str">
        <f t="shared" si="2"/>
        <v/>
      </c>
      <c r="D158" t="s">
        <v>1255</v>
      </c>
    </row>
    <row r="159" spans="1:4">
      <c r="A159" t="s">
        <v>1254</v>
      </c>
      <c r="B159" t="str">
        <f>IF('02_Warehouse_Locations'!A158="","",'02_Warehouse_Locations'!A158)</f>
        <v/>
      </c>
      <c r="C159" t="str">
        <f t="shared" si="2"/>
        <v/>
      </c>
      <c r="D159" t="s">
        <v>1255</v>
      </c>
    </row>
    <row r="160" spans="1:4">
      <c r="A160" t="s">
        <v>1254</v>
      </c>
      <c r="B160" t="str">
        <f>IF('02_Warehouse_Locations'!A159="","",'02_Warehouse_Locations'!A159)</f>
        <v/>
      </c>
      <c r="C160" t="str">
        <f t="shared" si="2"/>
        <v/>
      </c>
      <c r="D160" t="s">
        <v>1255</v>
      </c>
    </row>
    <row r="161" spans="1:4">
      <c r="A161" t="s">
        <v>1254</v>
      </c>
      <c r="B161" t="str">
        <f>IF('02_Warehouse_Locations'!A160="","",'02_Warehouse_Locations'!A160)</f>
        <v/>
      </c>
      <c r="C161" t="str">
        <f t="shared" si="2"/>
        <v/>
      </c>
      <c r="D161" t="s">
        <v>1255</v>
      </c>
    </row>
    <row r="162" spans="1:4">
      <c r="A162" t="s">
        <v>1254</v>
      </c>
      <c r="B162" t="str">
        <f>IF('02_Warehouse_Locations'!A161="","",'02_Warehouse_Locations'!A161)</f>
        <v/>
      </c>
      <c r="C162" t="str">
        <f t="shared" si="2"/>
        <v/>
      </c>
      <c r="D162" t="s">
        <v>1255</v>
      </c>
    </row>
    <row r="163" spans="1:4">
      <c r="A163" t="s">
        <v>1254</v>
      </c>
      <c r="B163" t="str">
        <f>IF('02_Warehouse_Locations'!A162="","",'02_Warehouse_Locations'!A162)</f>
        <v/>
      </c>
      <c r="C163" t="str">
        <f t="shared" si="2"/>
        <v/>
      </c>
      <c r="D163" t="s">
        <v>1255</v>
      </c>
    </row>
    <row r="164" spans="1:4">
      <c r="A164" t="s">
        <v>1254</v>
      </c>
      <c r="B164" t="str">
        <f>IF('02_Warehouse_Locations'!A163="","",'02_Warehouse_Locations'!A163)</f>
        <v/>
      </c>
      <c r="C164" t="str">
        <f t="shared" si="2"/>
        <v/>
      </c>
      <c r="D164" t="s">
        <v>1255</v>
      </c>
    </row>
    <row r="165" spans="1:4">
      <c r="A165" t="s">
        <v>1254</v>
      </c>
      <c r="B165" t="str">
        <f>IF('02_Warehouse_Locations'!A164="","",'02_Warehouse_Locations'!A164)</f>
        <v/>
      </c>
      <c r="C165" t="str">
        <f t="shared" si="2"/>
        <v/>
      </c>
      <c r="D165" t="s">
        <v>1255</v>
      </c>
    </row>
    <row r="166" spans="1:4">
      <c r="A166" t="s">
        <v>1254</v>
      </c>
      <c r="B166" t="str">
        <f>IF('02_Warehouse_Locations'!A165="","",'02_Warehouse_Locations'!A165)</f>
        <v/>
      </c>
      <c r="C166" t="str">
        <f t="shared" si="2"/>
        <v/>
      </c>
      <c r="D166" t="s">
        <v>1255</v>
      </c>
    </row>
    <row r="167" spans="1:4">
      <c r="A167" t="s">
        <v>1254</v>
      </c>
      <c r="B167" t="str">
        <f>IF('02_Warehouse_Locations'!A166="","",'02_Warehouse_Locations'!A166)</f>
        <v/>
      </c>
      <c r="C167" t="str">
        <f t="shared" si="2"/>
        <v/>
      </c>
      <c r="D167" t="s">
        <v>1255</v>
      </c>
    </row>
    <row r="168" spans="1:4">
      <c r="A168" t="s">
        <v>1254</v>
      </c>
      <c r="B168" t="str">
        <f>IF('02_Warehouse_Locations'!A167="","",'02_Warehouse_Locations'!A167)</f>
        <v/>
      </c>
      <c r="C168" t="str">
        <f t="shared" si="2"/>
        <v/>
      </c>
      <c r="D168" t="s">
        <v>1255</v>
      </c>
    </row>
    <row r="169" spans="1:4">
      <c r="A169" t="s">
        <v>1254</v>
      </c>
      <c r="B169" t="str">
        <f>IF('02_Warehouse_Locations'!A168="","",'02_Warehouse_Locations'!A168)</f>
        <v/>
      </c>
      <c r="C169" t="str">
        <f t="shared" si="2"/>
        <v/>
      </c>
      <c r="D169" t="s">
        <v>1255</v>
      </c>
    </row>
    <row r="170" spans="1:4">
      <c r="A170" t="s">
        <v>1254</v>
      </c>
      <c r="B170" t="str">
        <f>IF('02_Warehouse_Locations'!A169="","",'02_Warehouse_Locations'!A169)</f>
        <v/>
      </c>
      <c r="C170" t="str">
        <f t="shared" si="2"/>
        <v/>
      </c>
      <c r="D170" t="s">
        <v>1255</v>
      </c>
    </row>
    <row r="171" spans="1:4">
      <c r="A171" t="s">
        <v>1254</v>
      </c>
      <c r="B171" t="str">
        <f>IF('02_Warehouse_Locations'!A170="","",'02_Warehouse_Locations'!A170)</f>
        <v/>
      </c>
      <c r="C171" t="str">
        <f t="shared" si="2"/>
        <v/>
      </c>
      <c r="D171" t="s">
        <v>1255</v>
      </c>
    </row>
    <row r="172" spans="1:4">
      <c r="A172" t="s">
        <v>1254</v>
      </c>
      <c r="B172" t="str">
        <f>IF('02_Warehouse_Locations'!A171="","",'02_Warehouse_Locations'!A171)</f>
        <v/>
      </c>
      <c r="C172" t="str">
        <f t="shared" si="2"/>
        <v/>
      </c>
      <c r="D172" t="s">
        <v>1255</v>
      </c>
    </row>
    <row r="173" spans="1:4">
      <c r="A173" t="s">
        <v>1254</v>
      </c>
      <c r="B173" t="str">
        <f>IF('02_Warehouse_Locations'!A172="","",'02_Warehouse_Locations'!A172)</f>
        <v/>
      </c>
      <c r="C173" t="str">
        <f t="shared" si="2"/>
        <v/>
      </c>
      <c r="D173" t="s">
        <v>1255</v>
      </c>
    </row>
    <row r="174" spans="1:4">
      <c r="A174" t="s">
        <v>1254</v>
      </c>
      <c r="B174" t="str">
        <f>IF('02_Warehouse_Locations'!A173="","",'02_Warehouse_Locations'!A173)</f>
        <v/>
      </c>
      <c r="C174" t="str">
        <f t="shared" si="2"/>
        <v/>
      </c>
      <c r="D174" t="s">
        <v>1255</v>
      </c>
    </row>
    <row r="175" spans="1:4">
      <c r="A175" t="s">
        <v>1254</v>
      </c>
      <c r="B175" t="str">
        <f>IF('02_Warehouse_Locations'!A174="","",'02_Warehouse_Locations'!A174)</f>
        <v/>
      </c>
      <c r="C175" t="str">
        <f t="shared" si="2"/>
        <v/>
      </c>
      <c r="D175" t="s">
        <v>1255</v>
      </c>
    </row>
    <row r="176" spans="1:4">
      <c r="A176" t="s">
        <v>1254</v>
      </c>
      <c r="B176" t="str">
        <f>IF('02_Warehouse_Locations'!A175="","",'02_Warehouse_Locations'!A175)</f>
        <v/>
      </c>
      <c r="C176" t="str">
        <f t="shared" si="2"/>
        <v/>
      </c>
      <c r="D176" t="s">
        <v>1255</v>
      </c>
    </row>
    <row r="177" spans="1:4">
      <c r="A177" t="s">
        <v>1254</v>
      </c>
      <c r="B177" t="str">
        <f>IF('02_Warehouse_Locations'!A176="","",'02_Warehouse_Locations'!A176)</f>
        <v/>
      </c>
      <c r="C177" t="str">
        <f t="shared" si="2"/>
        <v/>
      </c>
      <c r="D177" t="s">
        <v>1255</v>
      </c>
    </row>
    <row r="178" spans="1:4">
      <c r="A178" t="s">
        <v>1254</v>
      </c>
      <c r="B178" t="str">
        <f>IF('02_Warehouse_Locations'!A177="","",'02_Warehouse_Locations'!A177)</f>
        <v/>
      </c>
      <c r="C178" t="str">
        <f t="shared" si="2"/>
        <v/>
      </c>
      <c r="D178" t="s">
        <v>1255</v>
      </c>
    </row>
    <row r="179" spans="1:4">
      <c r="A179" t="s">
        <v>1254</v>
      </c>
      <c r="B179" t="str">
        <f>IF('02_Warehouse_Locations'!A178="","",'02_Warehouse_Locations'!A178)</f>
        <v/>
      </c>
      <c r="C179" t="str">
        <f t="shared" si="2"/>
        <v/>
      </c>
      <c r="D179" t="s">
        <v>1255</v>
      </c>
    </row>
    <row r="180" spans="1:4">
      <c r="A180" t="s">
        <v>1254</v>
      </c>
      <c r="B180" t="str">
        <f>IF('02_Warehouse_Locations'!A179="","",'02_Warehouse_Locations'!A179)</f>
        <v/>
      </c>
      <c r="C180" t="str">
        <f t="shared" si="2"/>
        <v/>
      </c>
      <c r="D180" t="s">
        <v>1255</v>
      </c>
    </row>
    <row r="181" spans="1:4">
      <c r="A181" t="s">
        <v>1254</v>
      </c>
      <c r="B181" t="str">
        <f>IF('02_Warehouse_Locations'!A180="","",'02_Warehouse_Locations'!A180)</f>
        <v/>
      </c>
      <c r="C181" t="str">
        <f t="shared" si="2"/>
        <v/>
      </c>
      <c r="D181" t="s">
        <v>1255</v>
      </c>
    </row>
    <row r="182" spans="1:4">
      <c r="A182" t="s">
        <v>1254</v>
      </c>
      <c r="B182" t="str">
        <f>IF('02_Warehouse_Locations'!A181="","",'02_Warehouse_Locations'!A181)</f>
        <v/>
      </c>
      <c r="C182" t="str">
        <f t="shared" si="2"/>
        <v/>
      </c>
      <c r="D182" t="s">
        <v>1255</v>
      </c>
    </row>
    <row r="183" spans="1:4">
      <c r="A183" t="s">
        <v>1254</v>
      </c>
      <c r="B183" t="str">
        <f>IF('02_Warehouse_Locations'!A182="","",'02_Warehouse_Locations'!A182)</f>
        <v/>
      </c>
      <c r="C183" t="str">
        <f t="shared" si="2"/>
        <v/>
      </c>
      <c r="D183" t="s">
        <v>1255</v>
      </c>
    </row>
    <row r="184" spans="1:4">
      <c r="A184" t="s">
        <v>1254</v>
      </c>
      <c r="B184" t="str">
        <f>IF('02_Warehouse_Locations'!A183="","",'02_Warehouse_Locations'!A183)</f>
        <v/>
      </c>
      <c r="C184" t="str">
        <f t="shared" si="2"/>
        <v/>
      </c>
      <c r="D184" t="s">
        <v>1255</v>
      </c>
    </row>
    <row r="185" spans="1:4">
      <c r="A185" t="s">
        <v>1254</v>
      </c>
      <c r="B185" t="str">
        <f>IF('02_Warehouse_Locations'!A184="","",'02_Warehouse_Locations'!A184)</f>
        <v/>
      </c>
      <c r="C185" t="str">
        <f t="shared" si="2"/>
        <v/>
      </c>
      <c r="D185" t="s">
        <v>1255</v>
      </c>
    </row>
    <row r="186" spans="1:4">
      <c r="A186" t="s">
        <v>1254</v>
      </c>
      <c r="B186" t="str">
        <f>IF('02_Warehouse_Locations'!A185="","",'02_Warehouse_Locations'!A185)</f>
        <v/>
      </c>
      <c r="C186" t="str">
        <f t="shared" si="2"/>
        <v/>
      </c>
      <c r="D186" t="s">
        <v>1255</v>
      </c>
    </row>
    <row r="187" spans="1:4">
      <c r="A187" t="s">
        <v>1254</v>
      </c>
      <c r="B187" t="str">
        <f>IF('02_Warehouse_Locations'!A186="","",'02_Warehouse_Locations'!A186)</f>
        <v/>
      </c>
      <c r="C187" t="str">
        <f t="shared" si="2"/>
        <v/>
      </c>
      <c r="D187" t="s">
        <v>1255</v>
      </c>
    </row>
    <row r="188" spans="1:4">
      <c r="A188" t="s">
        <v>1254</v>
      </c>
      <c r="B188" t="str">
        <f>IF('02_Warehouse_Locations'!A187="","",'02_Warehouse_Locations'!A187)</f>
        <v/>
      </c>
      <c r="C188" t="str">
        <f t="shared" si="2"/>
        <v/>
      </c>
      <c r="D188" t="s">
        <v>1255</v>
      </c>
    </row>
    <row r="189" spans="1:4">
      <c r="A189" t="s">
        <v>1254</v>
      </c>
      <c r="B189" t="str">
        <f>IF('02_Warehouse_Locations'!A188="","",'02_Warehouse_Locations'!A188)</f>
        <v/>
      </c>
      <c r="C189" t="str">
        <f t="shared" si="2"/>
        <v/>
      </c>
      <c r="D189" t="s">
        <v>1255</v>
      </c>
    </row>
    <row r="190" spans="1:4">
      <c r="A190" t="s">
        <v>1254</v>
      </c>
      <c r="B190" t="str">
        <f>IF('02_Warehouse_Locations'!A189="","",'02_Warehouse_Locations'!A189)</f>
        <v/>
      </c>
      <c r="C190" t="str">
        <f t="shared" si="2"/>
        <v/>
      </c>
      <c r="D190" t="s">
        <v>1255</v>
      </c>
    </row>
    <row r="191" spans="1:4">
      <c r="A191" t="s">
        <v>1254</v>
      </c>
      <c r="B191" t="str">
        <f>IF('02_Warehouse_Locations'!A190="","",'02_Warehouse_Locations'!A190)</f>
        <v/>
      </c>
      <c r="C191" t="str">
        <f t="shared" si="2"/>
        <v/>
      </c>
      <c r="D191" t="s">
        <v>1255</v>
      </c>
    </row>
    <row r="192" spans="1:4">
      <c r="A192" t="s">
        <v>1254</v>
      </c>
      <c r="B192" t="str">
        <f>IF('02_Warehouse_Locations'!A191="","",'02_Warehouse_Locations'!A191)</f>
        <v/>
      </c>
      <c r="C192" t="str">
        <f t="shared" si="2"/>
        <v/>
      </c>
      <c r="D192" t="s">
        <v>1255</v>
      </c>
    </row>
    <row r="193" spans="1:4">
      <c r="A193" t="s">
        <v>1254</v>
      </c>
      <c r="B193" t="str">
        <f>IF('02_Warehouse_Locations'!A192="","",'02_Warehouse_Locations'!A192)</f>
        <v/>
      </c>
      <c r="C193" t="str">
        <f t="shared" si="2"/>
        <v/>
      </c>
      <c r="D193" t="s">
        <v>1255</v>
      </c>
    </row>
    <row r="194" spans="1:4">
      <c r="A194" t="s">
        <v>1254</v>
      </c>
      <c r="B194" t="str">
        <f>IF('02_Warehouse_Locations'!A193="","",'02_Warehouse_Locations'!A193)</f>
        <v/>
      </c>
      <c r="C194" t="str">
        <f t="shared" si="2"/>
        <v/>
      </c>
      <c r="D194" t="s">
        <v>1255</v>
      </c>
    </row>
    <row r="195" spans="1:4">
      <c r="A195" t="s">
        <v>1254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1255</v>
      </c>
    </row>
    <row r="196" spans="1:4">
      <c r="A196" t="s">
        <v>1254</v>
      </c>
      <c r="B196" t="str">
        <f>IF('02_Warehouse_Locations'!A195="","",'02_Warehouse_Locations'!A195)</f>
        <v/>
      </c>
      <c r="C196" t="str">
        <f t="shared" si="3"/>
        <v/>
      </c>
      <c r="D196" t="s">
        <v>1255</v>
      </c>
    </row>
    <row r="197" spans="1:4">
      <c r="A197" t="s">
        <v>1254</v>
      </c>
      <c r="B197" t="str">
        <f>IF('02_Warehouse_Locations'!A196="","",'02_Warehouse_Locations'!A196)</f>
        <v/>
      </c>
      <c r="C197" t="str">
        <f t="shared" si="3"/>
        <v/>
      </c>
      <c r="D197" t="s">
        <v>1255</v>
      </c>
    </row>
    <row r="198" spans="1:4">
      <c r="A198" t="s">
        <v>1254</v>
      </c>
      <c r="B198" t="str">
        <f>IF('02_Warehouse_Locations'!A197="","",'02_Warehouse_Locations'!A197)</f>
        <v/>
      </c>
      <c r="C198" t="str">
        <f t="shared" si="3"/>
        <v/>
      </c>
      <c r="D198" t="s">
        <v>1255</v>
      </c>
    </row>
    <row r="199" spans="1:4">
      <c r="A199" t="s">
        <v>1254</v>
      </c>
      <c r="B199" t="str">
        <f>IF('02_Warehouse_Locations'!A198="","",'02_Warehouse_Locations'!A198)</f>
        <v/>
      </c>
      <c r="C199" t="str">
        <f t="shared" si="3"/>
        <v/>
      </c>
      <c r="D199" t="s">
        <v>1255</v>
      </c>
    </row>
    <row r="200" spans="1:4">
      <c r="A200" t="s">
        <v>1254</v>
      </c>
      <c r="B200" t="str">
        <f>IF('02_Warehouse_Locations'!A199="","",'02_Warehouse_Locations'!A199)</f>
        <v/>
      </c>
      <c r="C200" t="str">
        <f t="shared" si="3"/>
        <v/>
      </c>
      <c r="D200" t="s">
        <v>1255</v>
      </c>
    </row>
    <row r="201" spans="1:4">
      <c r="A201" t="s">
        <v>1254</v>
      </c>
      <c r="B201" t="str">
        <f>IF('02_Warehouse_Locations'!A200="","",'02_Warehouse_Locations'!A200)</f>
        <v/>
      </c>
      <c r="C201" t="str">
        <f t="shared" si="3"/>
        <v/>
      </c>
      <c r="D201" t="s">
        <v>1255</v>
      </c>
    </row>
    <row r="202" spans="1:4">
      <c r="A202" t="s">
        <v>1254</v>
      </c>
      <c r="B202" t="str">
        <f>IF('02_Warehouse_Locations'!A201="","",'02_Warehouse_Locations'!A201)</f>
        <v/>
      </c>
      <c r="C202" t="str">
        <f t="shared" si="3"/>
        <v/>
      </c>
      <c r="D202" t="s">
        <v>1255</v>
      </c>
    </row>
    <row r="203" spans="1:4">
      <c r="A203" t="s">
        <v>1254</v>
      </c>
      <c r="B203" t="str">
        <f>IF('02_Warehouse_Locations'!A202="","",'02_Warehouse_Locations'!A202)</f>
        <v/>
      </c>
      <c r="C203" t="str">
        <f t="shared" si="3"/>
        <v/>
      </c>
      <c r="D203" t="s">
        <v>1255</v>
      </c>
    </row>
    <row r="204" spans="1:4">
      <c r="A204" t="s">
        <v>1254</v>
      </c>
      <c r="B204" t="str">
        <f>IF('02_Warehouse_Locations'!A203="","",'02_Warehouse_Locations'!A203)</f>
        <v/>
      </c>
      <c r="C204" t="str">
        <f t="shared" si="3"/>
        <v/>
      </c>
      <c r="D204" t="s">
        <v>1255</v>
      </c>
    </row>
    <row r="205" spans="1:4">
      <c r="A205" t="s">
        <v>1254</v>
      </c>
      <c r="B205" t="str">
        <f>IF('02_Warehouse_Locations'!A204="","",'02_Warehouse_Locations'!A204)</f>
        <v/>
      </c>
      <c r="C205" t="str">
        <f t="shared" si="3"/>
        <v/>
      </c>
      <c r="D205" t="s">
        <v>1255</v>
      </c>
    </row>
    <row r="206" spans="1:4">
      <c r="A206" t="s">
        <v>1254</v>
      </c>
      <c r="B206" t="str">
        <f>IF('02_Warehouse_Locations'!A205="","",'02_Warehouse_Locations'!A205)</f>
        <v/>
      </c>
      <c r="C206" t="str">
        <f t="shared" si="3"/>
        <v/>
      </c>
      <c r="D206" t="s">
        <v>1255</v>
      </c>
    </row>
    <row r="207" spans="1:4">
      <c r="A207" t="s">
        <v>1254</v>
      </c>
      <c r="B207" t="str">
        <f>IF('02_Warehouse_Locations'!A206="","",'02_Warehouse_Locations'!A206)</f>
        <v/>
      </c>
      <c r="C207" t="str">
        <f t="shared" si="3"/>
        <v/>
      </c>
      <c r="D207" t="s">
        <v>1255</v>
      </c>
    </row>
    <row r="208" spans="1:4">
      <c r="A208" t="s">
        <v>1254</v>
      </c>
      <c r="B208" t="str">
        <f>IF('02_Warehouse_Locations'!A207="","",'02_Warehouse_Locations'!A207)</f>
        <v/>
      </c>
      <c r="C208" t="str">
        <f t="shared" si="3"/>
        <v/>
      </c>
      <c r="D208" t="s">
        <v>1255</v>
      </c>
    </row>
    <row r="209" spans="1:4">
      <c r="A209" t="s">
        <v>1254</v>
      </c>
      <c r="B209" t="str">
        <f>IF('02_Warehouse_Locations'!A208="","",'02_Warehouse_Locations'!A208)</f>
        <v/>
      </c>
      <c r="C209" t="str">
        <f t="shared" si="3"/>
        <v/>
      </c>
      <c r="D209" t="s">
        <v>1255</v>
      </c>
    </row>
    <row r="210" spans="1:4">
      <c r="A210" t="s">
        <v>1254</v>
      </c>
      <c r="B210" t="str">
        <f>IF('02_Warehouse_Locations'!A209="","",'02_Warehouse_Locations'!A209)</f>
        <v/>
      </c>
      <c r="C210" t="str">
        <f t="shared" si="3"/>
        <v/>
      </c>
      <c r="D210" t="s">
        <v>1255</v>
      </c>
    </row>
    <row r="211" spans="1:4">
      <c r="A211" t="s">
        <v>1254</v>
      </c>
      <c r="B211" t="str">
        <f>IF('02_Warehouse_Locations'!A210="","",'02_Warehouse_Locations'!A210)</f>
        <v/>
      </c>
      <c r="C211" t="str">
        <f t="shared" si="3"/>
        <v/>
      </c>
      <c r="D211" t="s">
        <v>1255</v>
      </c>
    </row>
    <row r="212" spans="1:4">
      <c r="A212" t="s">
        <v>1254</v>
      </c>
      <c r="B212" t="str">
        <f>IF('02_Warehouse_Locations'!A211="","",'02_Warehouse_Locations'!A211)</f>
        <v/>
      </c>
      <c r="C212" t="str">
        <f t="shared" si="3"/>
        <v/>
      </c>
      <c r="D212" t="s">
        <v>1255</v>
      </c>
    </row>
    <row r="213" spans="1:4">
      <c r="A213" t="s">
        <v>1254</v>
      </c>
      <c r="B213" t="str">
        <f>IF('02_Warehouse_Locations'!A212="","",'02_Warehouse_Locations'!A212)</f>
        <v/>
      </c>
      <c r="C213" t="str">
        <f t="shared" si="3"/>
        <v/>
      </c>
      <c r="D213" t="s">
        <v>1255</v>
      </c>
    </row>
    <row r="214" spans="1:4">
      <c r="A214" t="s">
        <v>1254</v>
      </c>
      <c r="B214" t="str">
        <f>IF('02_Warehouse_Locations'!A213="","",'02_Warehouse_Locations'!A213)</f>
        <v/>
      </c>
      <c r="C214" t="str">
        <f t="shared" si="3"/>
        <v/>
      </c>
      <c r="D214" t="s">
        <v>1255</v>
      </c>
    </row>
    <row r="215" spans="1:4">
      <c r="A215" t="s">
        <v>1254</v>
      </c>
      <c r="B215" t="str">
        <f>IF('02_Warehouse_Locations'!A214="","",'02_Warehouse_Locations'!A214)</f>
        <v/>
      </c>
      <c r="C215" t="str">
        <f t="shared" si="3"/>
        <v/>
      </c>
      <c r="D215" t="s">
        <v>1255</v>
      </c>
    </row>
    <row r="216" spans="1:4">
      <c r="A216" t="s">
        <v>1254</v>
      </c>
      <c r="B216" t="str">
        <f>IF('02_Warehouse_Locations'!A215="","",'02_Warehouse_Locations'!A215)</f>
        <v/>
      </c>
      <c r="C216" t="str">
        <f t="shared" si="3"/>
        <v/>
      </c>
      <c r="D216" t="s">
        <v>1255</v>
      </c>
    </row>
    <row r="217" spans="1:4">
      <c r="A217" t="s">
        <v>1254</v>
      </c>
      <c r="B217" t="str">
        <f>IF('02_Warehouse_Locations'!A216="","",'02_Warehouse_Locations'!A216)</f>
        <v/>
      </c>
      <c r="C217" t="str">
        <f t="shared" si="3"/>
        <v/>
      </c>
      <c r="D217" t="s">
        <v>1255</v>
      </c>
    </row>
    <row r="218" spans="1:4">
      <c r="A218" t="s">
        <v>1254</v>
      </c>
      <c r="B218" t="str">
        <f>IF('02_Warehouse_Locations'!A217="","",'02_Warehouse_Locations'!A217)</f>
        <v/>
      </c>
      <c r="C218" t="str">
        <f t="shared" si="3"/>
        <v/>
      </c>
      <c r="D218" t="s">
        <v>1255</v>
      </c>
    </row>
    <row r="219" spans="1:4">
      <c r="A219" t="s">
        <v>1254</v>
      </c>
      <c r="B219" t="str">
        <f>IF('02_Warehouse_Locations'!A218="","",'02_Warehouse_Locations'!A218)</f>
        <v/>
      </c>
      <c r="C219" t="str">
        <f t="shared" si="3"/>
        <v/>
      </c>
      <c r="D219" t="s">
        <v>1255</v>
      </c>
    </row>
    <row r="220" spans="1:4">
      <c r="A220" t="s">
        <v>1254</v>
      </c>
      <c r="B220" t="str">
        <f>IF('02_Warehouse_Locations'!A219="","",'02_Warehouse_Locations'!A219)</f>
        <v/>
      </c>
      <c r="C220" t="str">
        <f t="shared" si="3"/>
        <v/>
      </c>
      <c r="D220" t="s">
        <v>1255</v>
      </c>
    </row>
    <row r="221" spans="1:4">
      <c r="A221" t="s">
        <v>1254</v>
      </c>
      <c r="B221" t="str">
        <f>IF('02_Warehouse_Locations'!A220="","",'02_Warehouse_Locations'!A220)</f>
        <v/>
      </c>
      <c r="C221" t="str">
        <f t="shared" si="3"/>
        <v/>
      </c>
      <c r="D221" t="s">
        <v>1255</v>
      </c>
    </row>
    <row r="222" spans="1:4">
      <c r="A222" t="s">
        <v>1254</v>
      </c>
      <c r="B222" t="str">
        <f>IF('02_Warehouse_Locations'!A221="","",'02_Warehouse_Locations'!A221)</f>
        <v/>
      </c>
      <c r="C222" t="str">
        <f t="shared" si="3"/>
        <v/>
      </c>
      <c r="D222" t="s">
        <v>1255</v>
      </c>
    </row>
    <row r="223" spans="1:4">
      <c r="A223" t="s">
        <v>1254</v>
      </c>
      <c r="B223" t="str">
        <f>IF('02_Warehouse_Locations'!A222="","",'02_Warehouse_Locations'!A222)</f>
        <v/>
      </c>
      <c r="C223" t="str">
        <f t="shared" si="3"/>
        <v/>
      </c>
      <c r="D223" t="s">
        <v>1255</v>
      </c>
    </row>
    <row r="224" spans="1:4">
      <c r="A224" t="s">
        <v>1254</v>
      </c>
      <c r="B224" t="str">
        <f>IF('02_Warehouse_Locations'!A223="","",'02_Warehouse_Locations'!A223)</f>
        <v/>
      </c>
      <c r="C224" t="str">
        <f t="shared" si="3"/>
        <v/>
      </c>
      <c r="D224" t="s">
        <v>1255</v>
      </c>
    </row>
    <row r="225" spans="1:4">
      <c r="A225" t="s">
        <v>1254</v>
      </c>
      <c r="B225" t="str">
        <f>IF('02_Warehouse_Locations'!A224="","",'02_Warehouse_Locations'!A224)</f>
        <v/>
      </c>
      <c r="C225" t="str">
        <f t="shared" si="3"/>
        <v/>
      </c>
      <c r="D225" t="s">
        <v>1255</v>
      </c>
    </row>
    <row r="226" spans="1:4">
      <c r="A226" t="s">
        <v>1254</v>
      </c>
      <c r="B226" t="str">
        <f>IF('02_Warehouse_Locations'!A225="","",'02_Warehouse_Locations'!A225)</f>
        <v/>
      </c>
      <c r="C226" t="str">
        <f t="shared" si="3"/>
        <v/>
      </c>
      <c r="D226" t="s">
        <v>1255</v>
      </c>
    </row>
    <row r="227" spans="1:4">
      <c r="A227" t="s">
        <v>1254</v>
      </c>
      <c r="B227" t="str">
        <f>IF('02_Warehouse_Locations'!A226="","",'02_Warehouse_Locations'!A226)</f>
        <v/>
      </c>
      <c r="C227" t="str">
        <f t="shared" si="3"/>
        <v/>
      </c>
      <c r="D227" t="s">
        <v>1255</v>
      </c>
    </row>
    <row r="228" spans="1:4">
      <c r="A228" t="s">
        <v>1254</v>
      </c>
      <c r="B228" t="str">
        <f>IF('02_Warehouse_Locations'!A227="","",'02_Warehouse_Locations'!A227)</f>
        <v/>
      </c>
      <c r="C228" t="str">
        <f t="shared" si="3"/>
        <v/>
      </c>
      <c r="D228" t="s">
        <v>1255</v>
      </c>
    </row>
    <row r="229" spans="1:4">
      <c r="A229" t="s">
        <v>1254</v>
      </c>
      <c r="B229" t="str">
        <f>IF('02_Warehouse_Locations'!A228="","",'02_Warehouse_Locations'!A228)</f>
        <v/>
      </c>
      <c r="C229" t="str">
        <f t="shared" si="3"/>
        <v/>
      </c>
      <c r="D229" t="s">
        <v>1255</v>
      </c>
    </row>
    <row r="230" spans="1:4">
      <c r="A230" t="s">
        <v>1254</v>
      </c>
      <c r="B230" t="str">
        <f>IF('02_Warehouse_Locations'!A229="","",'02_Warehouse_Locations'!A229)</f>
        <v/>
      </c>
      <c r="C230" t="str">
        <f t="shared" si="3"/>
        <v/>
      </c>
      <c r="D230" t="s">
        <v>1255</v>
      </c>
    </row>
    <row r="231" spans="1:4">
      <c r="A231" t="s">
        <v>1254</v>
      </c>
      <c r="B231" t="str">
        <f>IF('02_Warehouse_Locations'!A230="","",'02_Warehouse_Locations'!A230)</f>
        <v/>
      </c>
      <c r="C231" t="str">
        <f t="shared" si="3"/>
        <v/>
      </c>
      <c r="D231" t="s">
        <v>1255</v>
      </c>
    </row>
    <row r="232" spans="1:4">
      <c r="A232" t="s">
        <v>1254</v>
      </c>
      <c r="B232" t="str">
        <f>IF('02_Warehouse_Locations'!A231="","",'02_Warehouse_Locations'!A231)</f>
        <v/>
      </c>
      <c r="C232" t="str">
        <f t="shared" si="3"/>
        <v/>
      </c>
      <c r="D232" t="s">
        <v>1255</v>
      </c>
    </row>
    <row r="233" spans="1:4">
      <c r="A233" t="s">
        <v>1254</v>
      </c>
      <c r="B233" t="str">
        <f>IF('02_Warehouse_Locations'!A232="","",'02_Warehouse_Locations'!A232)</f>
        <v/>
      </c>
      <c r="C233" t="str">
        <f t="shared" si="3"/>
        <v/>
      </c>
      <c r="D233" t="s">
        <v>1255</v>
      </c>
    </row>
    <row r="234" spans="1:4">
      <c r="A234" t="s">
        <v>1254</v>
      </c>
      <c r="B234" t="str">
        <f>IF('02_Warehouse_Locations'!A233="","",'02_Warehouse_Locations'!A233)</f>
        <v/>
      </c>
      <c r="C234" t="str">
        <f t="shared" si="3"/>
        <v/>
      </c>
      <c r="D234" t="s">
        <v>1255</v>
      </c>
    </row>
    <row r="235" spans="1:4">
      <c r="A235" t="s">
        <v>1254</v>
      </c>
      <c r="B235" t="str">
        <f>IF('02_Warehouse_Locations'!A234="","",'02_Warehouse_Locations'!A234)</f>
        <v/>
      </c>
      <c r="C235" t="str">
        <f t="shared" si="3"/>
        <v/>
      </c>
      <c r="D235" t="s">
        <v>1255</v>
      </c>
    </row>
    <row r="236" spans="1:4">
      <c r="A236" t="s">
        <v>1254</v>
      </c>
      <c r="B236" t="str">
        <f>IF('02_Warehouse_Locations'!A235="","",'02_Warehouse_Locations'!A235)</f>
        <v/>
      </c>
      <c r="C236" t="str">
        <f t="shared" si="3"/>
        <v/>
      </c>
      <c r="D236" t="s">
        <v>1255</v>
      </c>
    </row>
    <row r="237" spans="1:4">
      <c r="A237" t="s">
        <v>1254</v>
      </c>
      <c r="B237" t="str">
        <f>IF('02_Warehouse_Locations'!A236="","",'02_Warehouse_Locations'!A236)</f>
        <v/>
      </c>
      <c r="C237" t="str">
        <f t="shared" si="3"/>
        <v/>
      </c>
      <c r="D237" t="s">
        <v>1255</v>
      </c>
    </row>
    <row r="238" spans="1:4">
      <c r="A238" t="s">
        <v>1254</v>
      </c>
      <c r="B238" t="str">
        <f>IF('02_Warehouse_Locations'!A237="","",'02_Warehouse_Locations'!A237)</f>
        <v/>
      </c>
      <c r="C238" t="str">
        <f t="shared" si="3"/>
        <v/>
      </c>
      <c r="D238" t="s">
        <v>1255</v>
      </c>
    </row>
    <row r="239" spans="1:4">
      <c r="A239" t="s">
        <v>1254</v>
      </c>
      <c r="B239" t="str">
        <f>IF('02_Warehouse_Locations'!A238="","",'02_Warehouse_Locations'!A238)</f>
        <v/>
      </c>
      <c r="C239" t="str">
        <f t="shared" si="3"/>
        <v/>
      </c>
      <c r="D239" t="s">
        <v>1255</v>
      </c>
    </row>
    <row r="240" spans="1:4">
      <c r="A240" t="s">
        <v>1254</v>
      </c>
      <c r="B240" t="str">
        <f>IF('02_Warehouse_Locations'!A239="","",'02_Warehouse_Locations'!A239)</f>
        <v/>
      </c>
      <c r="C240" t="str">
        <f t="shared" si="3"/>
        <v/>
      </c>
      <c r="D240" t="s">
        <v>1255</v>
      </c>
    </row>
    <row r="241" spans="1:4">
      <c r="A241" t="s">
        <v>1254</v>
      </c>
      <c r="B241" t="str">
        <f>IF('02_Warehouse_Locations'!A240="","",'02_Warehouse_Locations'!A240)</f>
        <v/>
      </c>
      <c r="C241" t="str">
        <f t="shared" si="3"/>
        <v/>
      </c>
      <c r="D241" t="s">
        <v>1255</v>
      </c>
    </row>
    <row r="242" spans="1:4">
      <c r="A242" t="s">
        <v>1254</v>
      </c>
      <c r="B242" t="str">
        <f>IF('02_Warehouse_Locations'!A241="","",'02_Warehouse_Locations'!A241)</f>
        <v/>
      </c>
      <c r="C242" t="str">
        <f t="shared" si="3"/>
        <v/>
      </c>
      <c r="D242" t="s">
        <v>1255</v>
      </c>
    </row>
    <row r="243" spans="1:4">
      <c r="A243" t="s">
        <v>1254</v>
      </c>
      <c r="B243" t="str">
        <f>IF('02_Warehouse_Locations'!A242="","",'02_Warehouse_Locations'!A242)</f>
        <v/>
      </c>
      <c r="C243" t="str">
        <f t="shared" si="3"/>
        <v/>
      </c>
      <c r="D243" t="s">
        <v>1255</v>
      </c>
    </row>
    <row r="244" spans="1:4">
      <c r="A244" t="s">
        <v>1254</v>
      </c>
      <c r="B244" t="str">
        <f>IF('02_Warehouse_Locations'!A243="","",'02_Warehouse_Locations'!A243)</f>
        <v/>
      </c>
      <c r="C244" t="str">
        <f t="shared" si="3"/>
        <v/>
      </c>
      <c r="D244" t="s">
        <v>1255</v>
      </c>
    </row>
    <row r="245" spans="1:4">
      <c r="A245" t="s">
        <v>1254</v>
      </c>
      <c r="B245" t="str">
        <f>IF('02_Warehouse_Locations'!A244="","",'02_Warehouse_Locations'!A244)</f>
        <v/>
      </c>
      <c r="C245" t="str">
        <f t="shared" si="3"/>
        <v/>
      </c>
      <c r="D245" t="s">
        <v>1255</v>
      </c>
    </row>
    <row r="246" spans="1:4">
      <c r="A246" t="s">
        <v>1254</v>
      </c>
      <c r="B246" t="str">
        <f>IF('02_Warehouse_Locations'!A245="","",'02_Warehouse_Locations'!A245)</f>
        <v/>
      </c>
      <c r="C246" t="str">
        <f t="shared" si="3"/>
        <v/>
      </c>
      <c r="D246" t="s">
        <v>1255</v>
      </c>
    </row>
    <row r="247" spans="1:4">
      <c r="A247" t="s">
        <v>1254</v>
      </c>
      <c r="B247" t="str">
        <f>IF('02_Warehouse_Locations'!A246="","",'02_Warehouse_Locations'!A246)</f>
        <v/>
      </c>
      <c r="C247" t="str">
        <f t="shared" si="3"/>
        <v/>
      </c>
      <c r="D247" t="s">
        <v>1255</v>
      </c>
    </row>
    <row r="248" spans="1:4">
      <c r="A248" t="s">
        <v>1254</v>
      </c>
      <c r="B248" t="str">
        <f>IF('02_Warehouse_Locations'!A247="","",'02_Warehouse_Locations'!A247)</f>
        <v/>
      </c>
      <c r="C248" t="str">
        <f t="shared" si="3"/>
        <v/>
      </c>
      <c r="D248" t="s">
        <v>1255</v>
      </c>
    </row>
    <row r="249" spans="1:4">
      <c r="A249" t="s">
        <v>1254</v>
      </c>
      <c r="B249" t="str">
        <f>IF('02_Warehouse_Locations'!A248="","",'02_Warehouse_Locations'!A248)</f>
        <v/>
      </c>
      <c r="C249" t="str">
        <f t="shared" si="3"/>
        <v/>
      </c>
      <c r="D249" t="s">
        <v>1255</v>
      </c>
    </row>
    <row r="250" spans="1:4">
      <c r="A250" t="s">
        <v>1254</v>
      </c>
      <c r="B250" t="str">
        <f>IF('02_Warehouse_Locations'!A249="","",'02_Warehouse_Locations'!A249)</f>
        <v/>
      </c>
      <c r="C250" t="str">
        <f t="shared" si="3"/>
        <v/>
      </c>
      <c r="D250" t="s">
        <v>1255</v>
      </c>
    </row>
    <row r="251" spans="1:4">
      <c r="A251" t="s">
        <v>1254</v>
      </c>
      <c r="B251" t="str">
        <f>IF('02_Warehouse_Locations'!A250="","",'02_Warehouse_Locations'!A250)</f>
        <v/>
      </c>
      <c r="C251" t="str">
        <f t="shared" si="3"/>
        <v/>
      </c>
      <c r="D251" t="s">
        <v>1255</v>
      </c>
    </row>
    <row r="252" spans="1:4">
      <c r="A252" t="s">
        <v>1254</v>
      </c>
      <c r="B252" t="str">
        <f>IF('02_Warehouse_Locations'!A251="","",'02_Warehouse_Locations'!A251)</f>
        <v/>
      </c>
      <c r="C252" t="str">
        <f t="shared" si="3"/>
        <v/>
      </c>
      <c r="D252" t="s">
        <v>1255</v>
      </c>
    </row>
    <row r="253" spans="1:4">
      <c r="A253" t="s">
        <v>1254</v>
      </c>
      <c r="B253" t="str">
        <f>IF('02_Warehouse_Locations'!A252="","",'02_Warehouse_Locations'!A252)</f>
        <v/>
      </c>
      <c r="C253" t="str">
        <f t="shared" si="3"/>
        <v/>
      </c>
      <c r="D253" t="s">
        <v>1255</v>
      </c>
    </row>
    <row r="254" spans="1:4">
      <c r="A254" t="s">
        <v>1254</v>
      </c>
      <c r="B254" t="str">
        <f>IF('02_Warehouse_Locations'!A253="","",'02_Warehouse_Locations'!A253)</f>
        <v/>
      </c>
      <c r="C254" t="str">
        <f t="shared" si="3"/>
        <v/>
      </c>
      <c r="D254" t="s">
        <v>1255</v>
      </c>
    </row>
    <row r="255" spans="1:4">
      <c r="A255" t="s">
        <v>1254</v>
      </c>
      <c r="B255" t="str">
        <f>IF('02_Warehouse_Locations'!A254="","",'02_Warehouse_Locations'!A254)</f>
        <v/>
      </c>
      <c r="C255" t="str">
        <f t="shared" si="3"/>
        <v/>
      </c>
      <c r="D255" t="s">
        <v>1255</v>
      </c>
    </row>
    <row r="256" spans="1:4">
      <c r="A256" t="s">
        <v>1254</v>
      </c>
      <c r="B256" t="str">
        <f>IF('02_Warehouse_Locations'!A255="","",'02_Warehouse_Locations'!A255)</f>
        <v/>
      </c>
      <c r="C256" t="str">
        <f t="shared" si="3"/>
        <v/>
      </c>
      <c r="D256" t="s">
        <v>1255</v>
      </c>
    </row>
    <row r="257" spans="1:4">
      <c r="A257" t="s">
        <v>1254</v>
      </c>
      <c r="B257" t="str">
        <f>IF('02_Warehouse_Locations'!A256="","",'02_Warehouse_Locations'!A256)</f>
        <v/>
      </c>
      <c r="C257" t="str">
        <f t="shared" si="3"/>
        <v/>
      </c>
      <c r="D257" t="s">
        <v>1255</v>
      </c>
    </row>
    <row r="258" spans="1:4">
      <c r="A258" t="s">
        <v>1254</v>
      </c>
      <c r="B258" t="str">
        <f>IF('02_Warehouse_Locations'!A257="","",'02_Warehouse_Locations'!A257)</f>
        <v/>
      </c>
      <c r="C258" t="str">
        <f t="shared" si="3"/>
        <v/>
      </c>
      <c r="D258" t="s">
        <v>1255</v>
      </c>
    </row>
    <row r="259" spans="1:4">
      <c r="A259" t="s">
        <v>1254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1255</v>
      </c>
    </row>
    <row r="260" spans="1:4">
      <c r="A260" t="s">
        <v>1254</v>
      </c>
      <c r="B260" t="str">
        <f>IF('02_Warehouse_Locations'!A259="","",'02_Warehouse_Locations'!A259)</f>
        <v/>
      </c>
      <c r="C260" t="str">
        <f t="shared" si="4"/>
        <v/>
      </c>
      <c r="D260" t="s">
        <v>1255</v>
      </c>
    </row>
    <row r="261" spans="1:4">
      <c r="A261" t="s">
        <v>1254</v>
      </c>
      <c r="B261" t="str">
        <f>IF('02_Warehouse_Locations'!A260="","",'02_Warehouse_Locations'!A260)</f>
        <v/>
      </c>
      <c r="C261" t="str">
        <f t="shared" si="4"/>
        <v/>
      </c>
      <c r="D261" t="s">
        <v>1255</v>
      </c>
    </row>
    <row r="262" spans="1:4">
      <c r="A262" t="s">
        <v>1254</v>
      </c>
      <c r="B262" t="str">
        <f>IF('02_Warehouse_Locations'!A261="","",'02_Warehouse_Locations'!A261)</f>
        <v/>
      </c>
      <c r="C262" t="str">
        <f t="shared" si="4"/>
        <v/>
      </c>
      <c r="D262" t="s">
        <v>1255</v>
      </c>
    </row>
    <row r="263" spans="1:4">
      <c r="A263" t="s">
        <v>1254</v>
      </c>
      <c r="B263" t="str">
        <f>IF('02_Warehouse_Locations'!A262="","",'02_Warehouse_Locations'!A262)</f>
        <v/>
      </c>
      <c r="C263" t="str">
        <f t="shared" si="4"/>
        <v/>
      </c>
      <c r="D263" t="s">
        <v>1255</v>
      </c>
    </row>
    <row r="264" spans="1:4">
      <c r="A264" t="s">
        <v>1254</v>
      </c>
      <c r="B264" t="str">
        <f>IF('02_Warehouse_Locations'!A263="","",'02_Warehouse_Locations'!A263)</f>
        <v/>
      </c>
      <c r="C264" t="str">
        <f t="shared" si="4"/>
        <v/>
      </c>
      <c r="D264" t="s">
        <v>1255</v>
      </c>
    </row>
    <row r="265" spans="1:4">
      <c r="A265" t="s">
        <v>1254</v>
      </c>
      <c r="B265" t="str">
        <f>IF('02_Warehouse_Locations'!A264="","",'02_Warehouse_Locations'!A264)</f>
        <v/>
      </c>
      <c r="C265" t="str">
        <f t="shared" si="4"/>
        <v/>
      </c>
      <c r="D265" t="s">
        <v>1255</v>
      </c>
    </row>
    <row r="266" spans="1:4">
      <c r="A266" t="s">
        <v>1254</v>
      </c>
      <c r="B266" t="str">
        <f>IF('02_Warehouse_Locations'!A265="","",'02_Warehouse_Locations'!A265)</f>
        <v/>
      </c>
      <c r="C266" t="str">
        <f t="shared" si="4"/>
        <v/>
      </c>
      <c r="D266" t="s">
        <v>1255</v>
      </c>
    </row>
    <row r="267" spans="1:4">
      <c r="A267" t="s">
        <v>1254</v>
      </c>
      <c r="B267" t="str">
        <f>IF('02_Warehouse_Locations'!A266="","",'02_Warehouse_Locations'!A266)</f>
        <v/>
      </c>
      <c r="C267" t="str">
        <f t="shared" si="4"/>
        <v/>
      </c>
      <c r="D267" t="s">
        <v>1255</v>
      </c>
    </row>
    <row r="268" spans="1:4">
      <c r="A268" t="s">
        <v>1254</v>
      </c>
      <c r="B268" t="str">
        <f>IF('02_Warehouse_Locations'!A267="","",'02_Warehouse_Locations'!A267)</f>
        <v/>
      </c>
      <c r="C268" t="str">
        <f t="shared" si="4"/>
        <v/>
      </c>
      <c r="D268" t="s">
        <v>1255</v>
      </c>
    </row>
    <row r="269" spans="1:4">
      <c r="A269" t="s">
        <v>1254</v>
      </c>
      <c r="B269" t="str">
        <f>IF('02_Warehouse_Locations'!A268="","",'02_Warehouse_Locations'!A268)</f>
        <v/>
      </c>
      <c r="C269" t="str">
        <f t="shared" si="4"/>
        <v/>
      </c>
      <c r="D269" t="s">
        <v>1255</v>
      </c>
    </row>
    <row r="270" spans="1:4">
      <c r="A270" t="s">
        <v>1254</v>
      </c>
      <c r="B270" t="str">
        <f>IF('02_Warehouse_Locations'!A269="","",'02_Warehouse_Locations'!A269)</f>
        <v/>
      </c>
      <c r="C270" t="str">
        <f t="shared" si="4"/>
        <v/>
      </c>
      <c r="D270" t="s">
        <v>1255</v>
      </c>
    </row>
    <row r="271" spans="1:4">
      <c r="A271" t="s">
        <v>1254</v>
      </c>
      <c r="B271" t="str">
        <f>IF('02_Warehouse_Locations'!A270="","",'02_Warehouse_Locations'!A270)</f>
        <v/>
      </c>
      <c r="C271" t="str">
        <f t="shared" si="4"/>
        <v/>
      </c>
      <c r="D271" t="s">
        <v>1255</v>
      </c>
    </row>
    <row r="272" spans="1:4">
      <c r="A272" t="s">
        <v>1254</v>
      </c>
      <c r="B272" t="str">
        <f>IF('02_Warehouse_Locations'!A271="","",'02_Warehouse_Locations'!A271)</f>
        <v/>
      </c>
      <c r="C272" t="str">
        <f t="shared" si="4"/>
        <v/>
      </c>
      <c r="D272" t="s">
        <v>1255</v>
      </c>
    </row>
    <row r="273" spans="1:4">
      <c r="A273" t="s">
        <v>1254</v>
      </c>
      <c r="B273" t="str">
        <f>IF('02_Warehouse_Locations'!A272="","",'02_Warehouse_Locations'!A272)</f>
        <v/>
      </c>
      <c r="C273" t="str">
        <f t="shared" si="4"/>
        <v/>
      </c>
      <c r="D273" t="s">
        <v>1255</v>
      </c>
    </row>
    <row r="274" spans="1:4">
      <c r="A274" t="s">
        <v>1254</v>
      </c>
      <c r="B274" t="str">
        <f>IF('02_Warehouse_Locations'!A273="","",'02_Warehouse_Locations'!A273)</f>
        <v/>
      </c>
      <c r="C274" t="str">
        <f t="shared" si="4"/>
        <v/>
      </c>
      <c r="D274" t="s">
        <v>1255</v>
      </c>
    </row>
    <row r="275" spans="1:4">
      <c r="A275" t="s">
        <v>1254</v>
      </c>
      <c r="B275" t="str">
        <f>IF('02_Warehouse_Locations'!A274="","",'02_Warehouse_Locations'!A274)</f>
        <v/>
      </c>
      <c r="C275" t="str">
        <f t="shared" si="4"/>
        <v/>
      </c>
      <c r="D275" t="s">
        <v>1255</v>
      </c>
    </row>
    <row r="276" spans="1:4">
      <c r="A276" t="s">
        <v>1254</v>
      </c>
      <c r="B276" t="str">
        <f>IF('02_Warehouse_Locations'!A275="","",'02_Warehouse_Locations'!A275)</f>
        <v/>
      </c>
      <c r="C276" t="str">
        <f t="shared" si="4"/>
        <v/>
      </c>
      <c r="D276" t="s">
        <v>1255</v>
      </c>
    </row>
    <row r="277" spans="1:4">
      <c r="A277" t="s">
        <v>1254</v>
      </c>
      <c r="B277" t="str">
        <f>IF('02_Warehouse_Locations'!A276="","",'02_Warehouse_Locations'!A276)</f>
        <v/>
      </c>
      <c r="C277" t="str">
        <f t="shared" si="4"/>
        <v/>
      </c>
      <c r="D277" t="s">
        <v>1255</v>
      </c>
    </row>
    <row r="278" spans="1:4">
      <c r="A278" t="s">
        <v>1254</v>
      </c>
      <c r="B278" t="str">
        <f>IF('02_Warehouse_Locations'!A277="","",'02_Warehouse_Locations'!A277)</f>
        <v/>
      </c>
      <c r="C278" t="str">
        <f t="shared" si="4"/>
        <v/>
      </c>
      <c r="D278" t="s">
        <v>1255</v>
      </c>
    </row>
    <row r="279" spans="1:4">
      <c r="A279" t="s">
        <v>1254</v>
      </c>
      <c r="B279" t="str">
        <f>IF('02_Warehouse_Locations'!A278="","",'02_Warehouse_Locations'!A278)</f>
        <v/>
      </c>
      <c r="C279" t="str">
        <f t="shared" si="4"/>
        <v/>
      </c>
      <c r="D279" t="s">
        <v>1255</v>
      </c>
    </row>
    <row r="280" spans="1:4">
      <c r="A280" t="s">
        <v>1254</v>
      </c>
      <c r="B280" t="str">
        <f>IF('02_Warehouse_Locations'!A279="","",'02_Warehouse_Locations'!A279)</f>
        <v/>
      </c>
      <c r="C280" t="str">
        <f t="shared" si="4"/>
        <v/>
      </c>
      <c r="D280" t="s">
        <v>1255</v>
      </c>
    </row>
    <row r="281" spans="1:4">
      <c r="A281" t="s">
        <v>1254</v>
      </c>
      <c r="B281" t="str">
        <f>IF('02_Warehouse_Locations'!A280="","",'02_Warehouse_Locations'!A280)</f>
        <v/>
      </c>
      <c r="C281" t="str">
        <f t="shared" si="4"/>
        <v/>
      </c>
      <c r="D281" t="s">
        <v>1255</v>
      </c>
    </row>
    <row r="282" spans="1:4">
      <c r="A282" t="s">
        <v>1254</v>
      </c>
      <c r="B282" t="str">
        <f>IF('02_Warehouse_Locations'!A281="","",'02_Warehouse_Locations'!A281)</f>
        <v/>
      </c>
      <c r="C282" t="str">
        <f t="shared" si="4"/>
        <v/>
      </c>
      <c r="D282" t="s">
        <v>1255</v>
      </c>
    </row>
    <row r="283" spans="1:4">
      <c r="A283" t="s">
        <v>1254</v>
      </c>
      <c r="B283" t="str">
        <f>IF('02_Warehouse_Locations'!A282="","",'02_Warehouse_Locations'!A282)</f>
        <v/>
      </c>
      <c r="C283" t="str">
        <f t="shared" si="4"/>
        <v/>
      </c>
      <c r="D283" t="s">
        <v>1255</v>
      </c>
    </row>
    <row r="284" spans="1:4">
      <c r="A284" t="s">
        <v>1254</v>
      </c>
      <c r="B284" t="str">
        <f>IF('02_Warehouse_Locations'!A283="","",'02_Warehouse_Locations'!A283)</f>
        <v/>
      </c>
      <c r="C284" t="str">
        <f t="shared" si="4"/>
        <v/>
      </c>
      <c r="D284" t="s">
        <v>1255</v>
      </c>
    </row>
    <row r="285" spans="1:4">
      <c r="A285" t="s">
        <v>1254</v>
      </c>
      <c r="B285" t="str">
        <f>IF('02_Warehouse_Locations'!A284="","",'02_Warehouse_Locations'!A284)</f>
        <v/>
      </c>
      <c r="C285" t="str">
        <f t="shared" si="4"/>
        <v/>
      </c>
      <c r="D285" t="s">
        <v>1255</v>
      </c>
    </row>
    <row r="286" spans="1:4">
      <c r="A286" t="s">
        <v>1254</v>
      </c>
      <c r="B286" t="str">
        <f>IF('02_Warehouse_Locations'!A285="","",'02_Warehouse_Locations'!A285)</f>
        <v/>
      </c>
      <c r="C286" t="str">
        <f t="shared" si="4"/>
        <v/>
      </c>
      <c r="D286" t="s">
        <v>1255</v>
      </c>
    </row>
    <row r="287" spans="1:4">
      <c r="A287" t="s">
        <v>1254</v>
      </c>
      <c r="B287" t="str">
        <f>IF('02_Warehouse_Locations'!A286="","",'02_Warehouse_Locations'!A286)</f>
        <v/>
      </c>
      <c r="C287" t="str">
        <f t="shared" si="4"/>
        <v/>
      </c>
      <c r="D287" t="s">
        <v>1255</v>
      </c>
    </row>
    <row r="288" spans="1:4">
      <c r="A288" t="s">
        <v>1254</v>
      </c>
      <c r="B288" t="str">
        <f>IF('02_Warehouse_Locations'!A287="","",'02_Warehouse_Locations'!A287)</f>
        <v/>
      </c>
      <c r="C288" t="str">
        <f t="shared" si="4"/>
        <v/>
      </c>
      <c r="D288" t="s">
        <v>1255</v>
      </c>
    </row>
    <row r="289" spans="1:4">
      <c r="A289" t="s">
        <v>1254</v>
      </c>
      <c r="B289" t="str">
        <f>IF('02_Warehouse_Locations'!A288="","",'02_Warehouse_Locations'!A288)</f>
        <v/>
      </c>
      <c r="C289" t="str">
        <f t="shared" si="4"/>
        <v/>
      </c>
      <c r="D289" t="s">
        <v>1255</v>
      </c>
    </row>
    <row r="290" spans="1:4">
      <c r="A290" t="s">
        <v>1254</v>
      </c>
      <c r="B290" t="str">
        <f>IF('02_Warehouse_Locations'!A289="","",'02_Warehouse_Locations'!A289)</f>
        <v/>
      </c>
      <c r="C290" t="str">
        <f t="shared" si="4"/>
        <v/>
      </c>
      <c r="D290" t="s">
        <v>1255</v>
      </c>
    </row>
    <row r="291" spans="1:4">
      <c r="A291" t="s">
        <v>1254</v>
      </c>
      <c r="B291" t="str">
        <f>IF('02_Warehouse_Locations'!A290="","",'02_Warehouse_Locations'!A290)</f>
        <v/>
      </c>
      <c r="C291" t="str">
        <f t="shared" si="4"/>
        <v/>
      </c>
      <c r="D291" t="s">
        <v>1255</v>
      </c>
    </row>
    <row r="292" spans="1:4">
      <c r="A292" t="s">
        <v>1254</v>
      </c>
      <c r="B292" t="str">
        <f>IF('02_Warehouse_Locations'!A291="","",'02_Warehouse_Locations'!A291)</f>
        <v/>
      </c>
      <c r="C292" t="str">
        <f t="shared" si="4"/>
        <v/>
      </c>
      <c r="D292" t="s">
        <v>1255</v>
      </c>
    </row>
    <row r="293" spans="1:4">
      <c r="A293" t="s">
        <v>1254</v>
      </c>
      <c r="B293" t="str">
        <f>IF('02_Warehouse_Locations'!A292="","",'02_Warehouse_Locations'!A292)</f>
        <v/>
      </c>
      <c r="C293" t="str">
        <f t="shared" si="4"/>
        <v/>
      </c>
      <c r="D293" t="s">
        <v>1255</v>
      </c>
    </row>
    <row r="294" spans="1:4">
      <c r="A294" t="s">
        <v>1254</v>
      </c>
      <c r="B294" t="str">
        <f>IF('02_Warehouse_Locations'!A293="","",'02_Warehouse_Locations'!A293)</f>
        <v/>
      </c>
      <c r="C294" t="str">
        <f t="shared" si="4"/>
        <v/>
      </c>
      <c r="D294" t="s">
        <v>1255</v>
      </c>
    </row>
    <row r="295" spans="1:4">
      <c r="A295" t="s">
        <v>1254</v>
      </c>
      <c r="B295" t="str">
        <f>IF('02_Warehouse_Locations'!A294="","",'02_Warehouse_Locations'!A294)</f>
        <v/>
      </c>
      <c r="C295" t="str">
        <f t="shared" si="4"/>
        <v/>
      </c>
      <c r="D295" t="s">
        <v>1255</v>
      </c>
    </row>
    <row r="296" spans="1:4">
      <c r="A296" t="s">
        <v>1254</v>
      </c>
      <c r="B296" t="str">
        <f>IF('02_Warehouse_Locations'!A295="","",'02_Warehouse_Locations'!A295)</f>
        <v/>
      </c>
      <c r="C296" t="str">
        <f t="shared" si="4"/>
        <v/>
      </c>
      <c r="D296" t="s">
        <v>1255</v>
      </c>
    </row>
    <row r="297" spans="1:4">
      <c r="A297" t="s">
        <v>1254</v>
      </c>
      <c r="B297" t="str">
        <f>IF('02_Warehouse_Locations'!A296="","",'02_Warehouse_Locations'!A296)</f>
        <v/>
      </c>
      <c r="C297" t="str">
        <f t="shared" si="4"/>
        <v/>
      </c>
      <c r="D297" t="s">
        <v>1255</v>
      </c>
    </row>
    <row r="298" spans="1:4">
      <c r="A298" t="s">
        <v>1254</v>
      </c>
      <c r="B298" t="str">
        <f>IF('02_Warehouse_Locations'!A297="","",'02_Warehouse_Locations'!A297)</f>
        <v/>
      </c>
      <c r="C298" t="str">
        <f t="shared" si="4"/>
        <v/>
      </c>
      <c r="D298" t="s">
        <v>1255</v>
      </c>
    </row>
    <row r="299" spans="1:4">
      <c r="A299" t="s">
        <v>1254</v>
      </c>
      <c r="B299" t="str">
        <f>IF('02_Warehouse_Locations'!A298="","",'02_Warehouse_Locations'!A298)</f>
        <v/>
      </c>
      <c r="C299" t="str">
        <f t="shared" si="4"/>
        <v/>
      </c>
      <c r="D299" t="s">
        <v>1255</v>
      </c>
    </row>
    <row r="300" spans="1:4">
      <c r="A300" t="s">
        <v>1254</v>
      </c>
      <c r="B300" t="str">
        <f>IF('02_Warehouse_Locations'!A299="","",'02_Warehouse_Locations'!A299)</f>
        <v/>
      </c>
      <c r="C300" t="str">
        <f t="shared" si="4"/>
        <v/>
      </c>
      <c r="D300" t="s">
        <v>1255</v>
      </c>
    </row>
    <row r="301" spans="1:4">
      <c r="A301" t="s">
        <v>1254</v>
      </c>
      <c r="B301" t="str">
        <f>IF('02_Warehouse_Locations'!A300="","",'02_Warehouse_Locations'!A300)</f>
        <v/>
      </c>
      <c r="C301" t="str">
        <f t="shared" si="4"/>
        <v/>
      </c>
      <c r="D301" t="s">
        <v>1255</v>
      </c>
    </row>
    <row r="302" spans="1:4">
      <c r="A302" t="s">
        <v>1254</v>
      </c>
      <c r="B302" t="str">
        <f>IF('02_Warehouse_Locations'!A301="","",'02_Warehouse_Locations'!A301)</f>
        <v/>
      </c>
      <c r="C302" t="str">
        <f t="shared" si="4"/>
        <v/>
      </c>
      <c r="D302" t="s">
        <v>1255</v>
      </c>
    </row>
    <row r="303" spans="1:4">
      <c r="A303" t="s">
        <v>1254</v>
      </c>
      <c r="B303" t="str">
        <f>IF('02_Warehouse_Locations'!A302="","",'02_Warehouse_Locations'!A302)</f>
        <v/>
      </c>
      <c r="C303" t="str">
        <f t="shared" si="4"/>
        <v/>
      </c>
      <c r="D303" t="s">
        <v>1255</v>
      </c>
    </row>
    <row r="304" spans="1:4">
      <c r="A304" t="s">
        <v>1254</v>
      </c>
      <c r="B304" t="str">
        <f>IF('02_Warehouse_Locations'!A303="","",'02_Warehouse_Locations'!A303)</f>
        <v/>
      </c>
      <c r="C304" t="str">
        <f t="shared" si="4"/>
        <v/>
      </c>
      <c r="D304" t="s">
        <v>1255</v>
      </c>
    </row>
    <row r="305" spans="1:4">
      <c r="A305" t="s">
        <v>1254</v>
      </c>
      <c r="B305" t="str">
        <f>IF('02_Warehouse_Locations'!A304="","",'02_Warehouse_Locations'!A304)</f>
        <v/>
      </c>
      <c r="C305" t="str">
        <f t="shared" si="4"/>
        <v/>
      </c>
      <c r="D305" t="s">
        <v>1255</v>
      </c>
    </row>
    <row r="306" spans="1:4">
      <c r="A306" t="s">
        <v>1254</v>
      </c>
      <c r="B306" t="str">
        <f>IF('02_Warehouse_Locations'!A305="","",'02_Warehouse_Locations'!A305)</f>
        <v/>
      </c>
      <c r="C306" t="str">
        <f t="shared" si="4"/>
        <v/>
      </c>
      <c r="D306" t="s">
        <v>1255</v>
      </c>
    </row>
    <row r="307" spans="1:4">
      <c r="A307" t="s">
        <v>1254</v>
      </c>
      <c r="B307" t="str">
        <f>IF('02_Warehouse_Locations'!A306="","",'02_Warehouse_Locations'!A306)</f>
        <v/>
      </c>
      <c r="C307" t="str">
        <f t="shared" si="4"/>
        <v/>
      </c>
      <c r="D307" t="s">
        <v>1255</v>
      </c>
    </row>
    <row r="308" spans="1:4">
      <c r="A308" t="s">
        <v>1254</v>
      </c>
      <c r="B308" t="str">
        <f>IF('02_Warehouse_Locations'!A307="","",'02_Warehouse_Locations'!A307)</f>
        <v/>
      </c>
      <c r="C308" t="str">
        <f t="shared" si="4"/>
        <v/>
      </c>
      <c r="D308" t="s">
        <v>1255</v>
      </c>
    </row>
    <row r="309" spans="1:4">
      <c r="A309" t="s">
        <v>1254</v>
      </c>
      <c r="B309" t="str">
        <f>IF('02_Warehouse_Locations'!A308="","",'02_Warehouse_Locations'!A308)</f>
        <v/>
      </c>
      <c r="C309" t="str">
        <f t="shared" si="4"/>
        <v/>
      </c>
      <c r="D309" t="s">
        <v>1255</v>
      </c>
    </row>
    <row r="310" spans="1:4">
      <c r="A310" t="s">
        <v>1254</v>
      </c>
      <c r="B310" t="str">
        <f>IF('02_Warehouse_Locations'!A309="","",'02_Warehouse_Locations'!A309)</f>
        <v/>
      </c>
      <c r="C310" t="str">
        <f t="shared" si="4"/>
        <v/>
      </c>
      <c r="D310" t="s">
        <v>1255</v>
      </c>
    </row>
    <row r="311" spans="1:4">
      <c r="A311" t="s">
        <v>1254</v>
      </c>
      <c r="B311" t="str">
        <f>IF('02_Warehouse_Locations'!A310="","",'02_Warehouse_Locations'!A310)</f>
        <v/>
      </c>
      <c r="C311" t="str">
        <f t="shared" si="4"/>
        <v/>
      </c>
      <c r="D311" t="s">
        <v>1255</v>
      </c>
    </row>
    <row r="312" spans="1:4">
      <c r="A312" t="s">
        <v>1254</v>
      </c>
      <c r="B312" t="str">
        <f>IF('02_Warehouse_Locations'!A311="","",'02_Warehouse_Locations'!A311)</f>
        <v/>
      </c>
      <c r="C312" t="str">
        <f t="shared" si="4"/>
        <v/>
      </c>
      <c r="D312" t="s">
        <v>1255</v>
      </c>
    </row>
    <row r="313" spans="1:4">
      <c r="A313" t="s">
        <v>1254</v>
      </c>
      <c r="B313" t="str">
        <f>IF('02_Warehouse_Locations'!A312="","",'02_Warehouse_Locations'!A312)</f>
        <v/>
      </c>
      <c r="C313" t="str">
        <f t="shared" si="4"/>
        <v/>
      </c>
      <c r="D313" t="s">
        <v>1255</v>
      </c>
    </row>
    <row r="314" spans="1:4">
      <c r="A314" t="s">
        <v>1254</v>
      </c>
      <c r="B314" t="str">
        <f>IF('02_Warehouse_Locations'!A313="","",'02_Warehouse_Locations'!A313)</f>
        <v/>
      </c>
      <c r="C314" t="str">
        <f t="shared" si="4"/>
        <v/>
      </c>
      <c r="D314" t="s">
        <v>1255</v>
      </c>
    </row>
    <row r="315" spans="1:4">
      <c r="A315" t="s">
        <v>1254</v>
      </c>
      <c r="B315" t="str">
        <f>IF('02_Warehouse_Locations'!A314="","",'02_Warehouse_Locations'!A314)</f>
        <v/>
      </c>
      <c r="C315" t="str">
        <f t="shared" si="4"/>
        <v/>
      </c>
      <c r="D315" t="s">
        <v>1255</v>
      </c>
    </row>
    <row r="316" spans="1:4">
      <c r="A316" t="s">
        <v>1254</v>
      </c>
      <c r="B316" t="str">
        <f>IF('02_Warehouse_Locations'!A315="","",'02_Warehouse_Locations'!A315)</f>
        <v/>
      </c>
      <c r="C316" t="str">
        <f t="shared" si="4"/>
        <v/>
      </c>
      <c r="D316" t="s">
        <v>1255</v>
      </c>
    </row>
    <row r="317" spans="1:4">
      <c r="A317" t="s">
        <v>1254</v>
      </c>
      <c r="B317" t="str">
        <f>IF('02_Warehouse_Locations'!A316="","",'02_Warehouse_Locations'!A316)</f>
        <v/>
      </c>
      <c r="C317" t="str">
        <f t="shared" si="4"/>
        <v/>
      </c>
      <c r="D317" t="s">
        <v>1255</v>
      </c>
    </row>
    <row r="318" spans="1:4">
      <c r="A318" t="s">
        <v>1254</v>
      </c>
      <c r="B318" t="str">
        <f>IF('02_Warehouse_Locations'!A317="","",'02_Warehouse_Locations'!A317)</f>
        <v/>
      </c>
      <c r="C318" t="str">
        <f t="shared" si="4"/>
        <v/>
      </c>
      <c r="D318" t="s">
        <v>1255</v>
      </c>
    </row>
    <row r="319" spans="1:4">
      <c r="A319" t="s">
        <v>1254</v>
      </c>
      <c r="B319" t="str">
        <f>IF('02_Warehouse_Locations'!A318="","",'02_Warehouse_Locations'!A318)</f>
        <v/>
      </c>
      <c r="C319" t="str">
        <f t="shared" si="4"/>
        <v/>
      </c>
      <c r="D319" t="s">
        <v>1255</v>
      </c>
    </row>
    <row r="320" spans="1:4">
      <c r="A320" t="s">
        <v>1254</v>
      </c>
      <c r="B320" t="str">
        <f>IF('02_Warehouse_Locations'!A319="","",'02_Warehouse_Locations'!A319)</f>
        <v/>
      </c>
      <c r="C320" t="str">
        <f t="shared" si="4"/>
        <v/>
      </c>
      <c r="D320" t="s">
        <v>1255</v>
      </c>
    </row>
    <row r="321" spans="1:4">
      <c r="A321" t="s">
        <v>1254</v>
      </c>
      <c r="B321" t="str">
        <f>IF('02_Warehouse_Locations'!A320="","",'02_Warehouse_Locations'!A320)</f>
        <v/>
      </c>
      <c r="C321" t="str">
        <f t="shared" si="4"/>
        <v/>
      </c>
      <c r="D321" t="s">
        <v>1255</v>
      </c>
    </row>
    <row r="322" spans="1:4">
      <c r="A322" t="s">
        <v>1254</v>
      </c>
      <c r="B322" t="str">
        <f>IF('02_Warehouse_Locations'!A321="","",'02_Warehouse_Locations'!A321)</f>
        <v/>
      </c>
      <c r="C322" t="str">
        <f t="shared" si="4"/>
        <v/>
      </c>
      <c r="D322" t="s">
        <v>1255</v>
      </c>
    </row>
    <row r="323" spans="1:4">
      <c r="A323" t="s">
        <v>1254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1255</v>
      </c>
    </row>
    <row r="324" spans="1:4">
      <c r="A324" t="s">
        <v>1254</v>
      </c>
      <c r="B324" t="str">
        <f>IF('02_Warehouse_Locations'!A323="","",'02_Warehouse_Locations'!A323)</f>
        <v/>
      </c>
      <c r="C324" t="str">
        <f t="shared" si="5"/>
        <v/>
      </c>
      <c r="D324" t="s">
        <v>1255</v>
      </c>
    </row>
    <row r="325" spans="1:4">
      <c r="A325" t="s">
        <v>1254</v>
      </c>
      <c r="B325" t="str">
        <f>IF('02_Warehouse_Locations'!A324="","",'02_Warehouse_Locations'!A324)</f>
        <v/>
      </c>
      <c r="C325" t="str">
        <f t="shared" si="5"/>
        <v/>
      </c>
      <c r="D325" t="s">
        <v>1255</v>
      </c>
    </row>
    <row r="326" spans="1:4">
      <c r="A326" t="s">
        <v>1254</v>
      </c>
      <c r="B326" t="str">
        <f>IF('02_Warehouse_Locations'!A325="","",'02_Warehouse_Locations'!A325)</f>
        <v/>
      </c>
      <c r="C326" t="str">
        <f t="shared" si="5"/>
        <v/>
      </c>
      <c r="D326" t="s">
        <v>1255</v>
      </c>
    </row>
    <row r="327" spans="1:4">
      <c r="A327" t="s">
        <v>1254</v>
      </c>
      <c r="B327" t="str">
        <f>IF('02_Warehouse_Locations'!A326="","",'02_Warehouse_Locations'!A326)</f>
        <v/>
      </c>
      <c r="C327" t="str">
        <f t="shared" si="5"/>
        <v/>
      </c>
      <c r="D327" t="s">
        <v>1255</v>
      </c>
    </row>
    <row r="328" spans="1:4">
      <c r="A328" t="s">
        <v>1254</v>
      </c>
      <c r="B328" t="str">
        <f>IF('02_Warehouse_Locations'!A327="","",'02_Warehouse_Locations'!A327)</f>
        <v/>
      </c>
      <c r="C328" t="str">
        <f t="shared" si="5"/>
        <v/>
      </c>
      <c r="D328" t="s">
        <v>1255</v>
      </c>
    </row>
    <row r="329" spans="1:4">
      <c r="A329" t="s">
        <v>1254</v>
      </c>
      <c r="B329" t="str">
        <f>IF('02_Warehouse_Locations'!A328="","",'02_Warehouse_Locations'!A328)</f>
        <v/>
      </c>
      <c r="C329" t="str">
        <f t="shared" si="5"/>
        <v/>
      </c>
      <c r="D329" t="s">
        <v>1255</v>
      </c>
    </row>
    <row r="330" spans="1:4">
      <c r="A330" t="s">
        <v>1254</v>
      </c>
      <c r="B330" t="str">
        <f>IF('02_Warehouse_Locations'!A329="","",'02_Warehouse_Locations'!A329)</f>
        <v/>
      </c>
      <c r="C330" t="str">
        <f t="shared" si="5"/>
        <v/>
      </c>
      <c r="D330" t="s">
        <v>1255</v>
      </c>
    </row>
    <row r="331" spans="1:4">
      <c r="A331" t="s">
        <v>1254</v>
      </c>
      <c r="B331" t="str">
        <f>IF('02_Warehouse_Locations'!A330="","",'02_Warehouse_Locations'!A330)</f>
        <v/>
      </c>
      <c r="C331" t="str">
        <f t="shared" si="5"/>
        <v/>
      </c>
      <c r="D331" t="s">
        <v>1255</v>
      </c>
    </row>
    <row r="332" spans="1:4">
      <c r="A332" t="s">
        <v>1254</v>
      </c>
      <c r="B332" t="str">
        <f>IF('02_Warehouse_Locations'!A331="","",'02_Warehouse_Locations'!A331)</f>
        <v/>
      </c>
      <c r="C332" t="str">
        <f t="shared" si="5"/>
        <v/>
      </c>
      <c r="D332" t="s">
        <v>1255</v>
      </c>
    </row>
    <row r="333" spans="1:4">
      <c r="A333" t="s">
        <v>1254</v>
      </c>
      <c r="B333" t="str">
        <f>IF('02_Warehouse_Locations'!A332="","",'02_Warehouse_Locations'!A332)</f>
        <v/>
      </c>
      <c r="C333" t="str">
        <f t="shared" si="5"/>
        <v/>
      </c>
      <c r="D333" t="s">
        <v>1255</v>
      </c>
    </row>
    <row r="334" spans="1:4">
      <c r="A334" t="s">
        <v>1254</v>
      </c>
      <c r="B334" t="str">
        <f>IF('02_Warehouse_Locations'!A333="","",'02_Warehouse_Locations'!A333)</f>
        <v/>
      </c>
      <c r="C334" t="str">
        <f t="shared" si="5"/>
        <v/>
      </c>
      <c r="D334" t="s">
        <v>1255</v>
      </c>
    </row>
    <row r="335" spans="1:4">
      <c r="A335" t="s">
        <v>1254</v>
      </c>
      <c r="B335" t="str">
        <f>IF('02_Warehouse_Locations'!A334="","",'02_Warehouse_Locations'!A334)</f>
        <v/>
      </c>
      <c r="C335" t="str">
        <f t="shared" si="5"/>
        <v/>
      </c>
      <c r="D335" t="s">
        <v>1255</v>
      </c>
    </row>
    <row r="336" spans="1:4">
      <c r="A336" t="s">
        <v>1254</v>
      </c>
      <c r="B336" t="str">
        <f>IF('02_Warehouse_Locations'!A335="","",'02_Warehouse_Locations'!A335)</f>
        <v/>
      </c>
      <c r="C336" t="str">
        <f t="shared" si="5"/>
        <v/>
      </c>
      <c r="D336" t="s">
        <v>1255</v>
      </c>
    </row>
    <row r="337" spans="1:4">
      <c r="A337" t="s">
        <v>1254</v>
      </c>
      <c r="B337" t="str">
        <f>IF('02_Warehouse_Locations'!A336="","",'02_Warehouse_Locations'!A336)</f>
        <v/>
      </c>
      <c r="C337" t="str">
        <f t="shared" si="5"/>
        <v/>
      </c>
      <c r="D337" t="s">
        <v>1255</v>
      </c>
    </row>
    <row r="338" spans="1:4">
      <c r="A338" t="s">
        <v>1254</v>
      </c>
      <c r="B338" t="str">
        <f>IF('02_Warehouse_Locations'!A337="","",'02_Warehouse_Locations'!A337)</f>
        <v/>
      </c>
      <c r="C338" t="str">
        <f t="shared" si="5"/>
        <v/>
      </c>
      <c r="D338" t="s">
        <v>1255</v>
      </c>
    </row>
    <row r="339" spans="1:4">
      <c r="A339" t="s">
        <v>1254</v>
      </c>
      <c r="B339" t="str">
        <f>IF('02_Warehouse_Locations'!A338="","",'02_Warehouse_Locations'!A338)</f>
        <v/>
      </c>
      <c r="C339" t="str">
        <f t="shared" si="5"/>
        <v/>
      </c>
      <c r="D339" t="s">
        <v>1255</v>
      </c>
    </row>
    <row r="340" spans="1:4">
      <c r="A340" t="s">
        <v>1254</v>
      </c>
      <c r="B340" t="str">
        <f>IF('02_Warehouse_Locations'!A339="","",'02_Warehouse_Locations'!A339)</f>
        <v/>
      </c>
      <c r="C340" t="str">
        <f t="shared" si="5"/>
        <v/>
      </c>
      <c r="D340" t="s">
        <v>1255</v>
      </c>
    </row>
    <row r="341" spans="1:4">
      <c r="A341" t="s">
        <v>1254</v>
      </c>
      <c r="B341" t="str">
        <f>IF('02_Warehouse_Locations'!A340="","",'02_Warehouse_Locations'!A340)</f>
        <v/>
      </c>
      <c r="C341" t="str">
        <f t="shared" si="5"/>
        <v/>
      </c>
      <c r="D341" t="s">
        <v>1255</v>
      </c>
    </row>
    <row r="342" spans="1:4">
      <c r="A342" t="s">
        <v>1254</v>
      </c>
      <c r="B342" t="str">
        <f>IF('02_Warehouse_Locations'!A341="","",'02_Warehouse_Locations'!A341)</f>
        <v/>
      </c>
      <c r="C342" t="str">
        <f t="shared" si="5"/>
        <v/>
      </c>
      <c r="D342" t="s">
        <v>1255</v>
      </c>
    </row>
    <row r="343" spans="1:4">
      <c r="A343" t="s">
        <v>1254</v>
      </c>
      <c r="B343" t="str">
        <f>IF('02_Warehouse_Locations'!A342="","",'02_Warehouse_Locations'!A342)</f>
        <v/>
      </c>
      <c r="C343" t="str">
        <f t="shared" si="5"/>
        <v/>
      </c>
      <c r="D343" t="s">
        <v>1255</v>
      </c>
    </row>
    <row r="344" spans="1:4">
      <c r="A344" t="s">
        <v>1254</v>
      </c>
      <c r="B344" t="str">
        <f>IF('02_Warehouse_Locations'!A343="","",'02_Warehouse_Locations'!A343)</f>
        <v/>
      </c>
      <c r="C344" t="str">
        <f t="shared" si="5"/>
        <v/>
      </c>
      <c r="D344" t="s">
        <v>1255</v>
      </c>
    </row>
    <row r="345" spans="1:4">
      <c r="A345" t="s">
        <v>1254</v>
      </c>
      <c r="B345" t="str">
        <f>IF('02_Warehouse_Locations'!A344="","",'02_Warehouse_Locations'!A344)</f>
        <v/>
      </c>
      <c r="C345" t="str">
        <f t="shared" si="5"/>
        <v/>
      </c>
      <c r="D345" t="s">
        <v>1255</v>
      </c>
    </row>
    <row r="346" spans="1:4">
      <c r="A346" t="s">
        <v>1254</v>
      </c>
      <c r="B346" t="str">
        <f>IF('02_Warehouse_Locations'!A345="","",'02_Warehouse_Locations'!A345)</f>
        <v/>
      </c>
      <c r="C346" t="str">
        <f t="shared" si="5"/>
        <v/>
      </c>
      <c r="D346" t="s">
        <v>1255</v>
      </c>
    </row>
    <row r="347" spans="1:4">
      <c r="A347" t="s">
        <v>1254</v>
      </c>
      <c r="B347" t="str">
        <f>IF('02_Warehouse_Locations'!A346="","",'02_Warehouse_Locations'!A346)</f>
        <v/>
      </c>
      <c r="C347" t="str">
        <f t="shared" si="5"/>
        <v/>
      </c>
      <c r="D347" t="s">
        <v>1255</v>
      </c>
    </row>
    <row r="348" spans="1:4">
      <c r="A348" t="s">
        <v>1254</v>
      </c>
      <c r="B348" t="str">
        <f>IF('02_Warehouse_Locations'!A347="","",'02_Warehouse_Locations'!A347)</f>
        <v/>
      </c>
      <c r="C348" t="str">
        <f t="shared" si="5"/>
        <v/>
      </c>
      <c r="D348" t="s">
        <v>1255</v>
      </c>
    </row>
    <row r="349" spans="1:4">
      <c r="A349" t="s">
        <v>1254</v>
      </c>
      <c r="B349" t="str">
        <f>IF('02_Warehouse_Locations'!A348="","",'02_Warehouse_Locations'!A348)</f>
        <v/>
      </c>
      <c r="C349" t="str">
        <f t="shared" si="5"/>
        <v/>
      </c>
      <c r="D349" t="s">
        <v>1255</v>
      </c>
    </row>
    <row r="350" spans="1:4">
      <c r="A350" t="s">
        <v>1254</v>
      </c>
      <c r="B350" t="str">
        <f>IF('02_Warehouse_Locations'!A349="","",'02_Warehouse_Locations'!A349)</f>
        <v/>
      </c>
      <c r="C350" t="str">
        <f t="shared" si="5"/>
        <v/>
      </c>
      <c r="D350" t="s">
        <v>1255</v>
      </c>
    </row>
    <row r="351" spans="1:4">
      <c r="A351" t="s">
        <v>1254</v>
      </c>
      <c r="B351" t="str">
        <f>IF('02_Warehouse_Locations'!A350="","",'02_Warehouse_Locations'!A350)</f>
        <v/>
      </c>
      <c r="C351" t="str">
        <f t="shared" si="5"/>
        <v/>
      </c>
      <c r="D351" t="s">
        <v>1255</v>
      </c>
    </row>
    <row r="352" spans="1:4">
      <c r="A352" t="s">
        <v>1254</v>
      </c>
      <c r="B352" t="str">
        <f>IF('02_Warehouse_Locations'!A351="","",'02_Warehouse_Locations'!A351)</f>
        <v/>
      </c>
      <c r="C352" t="str">
        <f t="shared" si="5"/>
        <v/>
      </c>
      <c r="D352" t="s">
        <v>1255</v>
      </c>
    </row>
    <row r="353" spans="1:4">
      <c r="A353" t="s">
        <v>1254</v>
      </c>
      <c r="B353" t="str">
        <f>IF('02_Warehouse_Locations'!A352="","",'02_Warehouse_Locations'!A352)</f>
        <v/>
      </c>
      <c r="C353" t="str">
        <f t="shared" si="5"/>
        <v/>
      </c>
      <c r="D353" t="s">
        <v>1255</v>
      </c>
    </row>
    <row r="354" spans="1:4">
      <c r="A354" t="s">
        <v>1254</v>
      </c>
      <c r="B354" t="str">
        <f>IF('02_Warehouse_Locations'!A353="","",'02_Warehouse_Locations'!A353)</f>
        <v/>
      </c>
      <c r="C354" t="str">
        <f t="shared" si="5"/>
        <v/>
      </c>
      <c r="D354" t="s">
        <v>1255</v>
      </c>
    </row>
    <row r="355" spans="1:4">
      <c r="A355" t="s">
        <v>1254</v>
      </c>
      <c r="B355" t="str">
        <f>IF('02_Warehouse_Locations'!A354="","",'02_Warehouse_Locations'!A354)</f>
        <v/>
      </c>
      <c r="C355" t="str">
        <f t="shared" si="5"/>
        <v/>
      </c>
      <c r="D355" t="s">
        <v>1255</v>
      </c>
    </row>
    <row r="356" spans="1:4">
      <c r="A356" t="s">
        <v>1254</v>
      </c>
      <c r="B356" t="str">
        <f>IF('02_Warehouse_Locations'!A355="","",'02_Warehouse_Locations'!A355)</f>
        <v/>
      </c>
      <c r="C356" t="str">
        <f t="shared" si="5"/>
        <v/>
      </c>
      <c r="D356" t="s">
        <v>1255</v>
      </c>
    </row>
    <row r="357" spans="1:4">
      <c r="A357" t="s">
        <v>1254</v>
      </c>
      <c r="B357" t="str">
        <f>IF('02_Warehouse_Locations'!A356="","",'02_Warehouse_Locations'!A356)</f>
        <v/>
      </c>
      <c r="C357" t="str">
        <f t="shared" si="5"/>
        <v/>
      </c>
      <c r="D357" t="s">
        <v>1255</v>
      </c>
    </row>
    <row r="358" spans="1:4">
      <c r="A358" t="s">
        <v>1254</v>
      </c>
      <c r="B358" t="str">
        <f>IF('02_Warehouse_Locations'!A357="","",'02_Warehouse_Locations'!A357)</f>
        <v/>
      </c>
      <c r="C358" t="str">
        <f t="shared" si="5"/>
        <v/>
      </c>
      <c r="D358" t="s">
        <v>1255</v>
      </c>
    </row>
    <row r="359" spans="1:4">
      <c r="A359" t="s">
        <v>1254</v>
      </c>
      <c r="B359" t="str">
        <f>IF('02_Warehouse_Locations'!A358="","",'02_Warehouse_Locations'!A358)</f>
        <v/>
      </c>
      <c r="C359" t="str">
        <f t="shared" si="5"/>
        <v/>
      </c>
      <c r="D359" t="s">
        <v>1255</v>
      </c>
    </row>
    <row r="360" spans="1:4">
      <c r="A360" t="s">
        <v>1254</v>
      </c>
      <c r="B360" t="str">
        <f>IF('02_Warehouse_Locations'!A359="","",'02_Warehouse_Locations'!A359)</f>
        <v/>
      </c>
      <c r="C360" t="str">
        <f t="shared" si="5"/>
        <v/>
      </c>
      <c r="D360" t="s">
        <v>1255</v>
      </c>
    </row>
    <row r="361" spans="1:4">
      <c r="A361" t="s">
        <v>1254</v>
      </c>
      <c r="B361" t="str">
        <f>IF('02_Warehouse_Locations'!A360="","",'02_Warehouse_Locations'!A360)</f>
        <v/>
      </c>
      <c r="C361" t="str">
        <f t="shared" si="5"/>
        <v/>
      </c>
      <c r="D361" t="s">
        <v>1255</v>
      </c>
    </row>
    <row r="362" spans="1:4">
      <c r="A362" t="s">
        <v>1254</v>
      </c>
      <c r="B362" t="str">
        <f>IF('02_Warehouse_Locations'!A361="","",'02_Warehouse_Locations'!A361)</f>
        <v/>
      </c>
      <c r="C362" t="str">
        <f t="shared" si="5"/>
        <v/>
      </c>
      <c r="D362" t="s">
        <v>1255</v>
      </c>
    </row>
    <row r="363" spans="1:4">
      <c r="A363" t="s">
        <v>1254</v>
      </c>
      <c r="B363" t="str">
        <f>IF('02_Warehouse_Locations'!A362="","",'02_Warehouse_Locations'!A362)</f>
        <v/>
      </c>
      <c r="C363" t="str">
        <f t="shared" si="5"/>
        <v/>
      </c>
      <c r="D363" t="s">
        <v>1255</v>
      </c>
    </row>
    <row r="364" spans="1:4">
      <c r="A364" t="s">
        <v>1254</v>
      </c>
      <c r="B364" t="str">
        <f>IF('02_Warehouse_Locations'!A363="","",'02_Warehouse_Locations'!A363)</f>
        <v/>
      </c>
      <c r="C364" t="str">
        <f t="shared" si="5"/>
        <v/>
      </c>
      <c r="D364" t="s">
        <v>1255</v>
      </c>
    </row>
    <row r="365" spans="1:4">
      <c r="A365" t="s">
        <v>1254</v>
      </c>
      <c r="B365" t="str">
        <f>IF('02_Warehouse_Locations'!A364="","",'02_Warehouse_Locations'!A364)</f>
        <v/>
      </c>
      <c r="C365" t="str">
        <f t="shared" si="5"/>
        <v/>
      </c>
      <c r="D365" t="s">
        <v>1255</v>
      </c>
    </row>
    <row r="366" spans="1:4">
      <c r="A366" t="s">
        <v>1254</v>
      </c>
      <c r="B366" t="str">
        <f>IF('02_Warehouse_Locations'!A365="","",'02_Warehouse_Locations'!A365)</f>
        <v/>
      </c>
      <c r="C366" t="str">
        <f t="shared" si="5"/>
        <v/>
      </c>
      <c r="D366" t="s">
        <v>1255</v>
      </c>
    </row>
    <row r="367" spans="1:4">
      <c r="A367" t="s">
        <v>1254</v>
      </c>
      <c r="B367" t="str">
        <f>IF('02_Warehouse_Locations'!A366="","",'02_Warehouse_Locations'!A366)</f>
        <v/>
      </c>
      <c r="C367" t="str">
        <f t="shared" si="5"/>
        <v/>
      </c>
      <c r="D367" t="s">
        <v>1255</v>
      </c>
    </row>
    <row r="368" spans="1:4">
      <c r="A368" t="s">
        <v>1254</v>
      </c>
      <c r="B368" t="str">
        <f>IF('02_Warehouse_Locations'!A367="","",'02_Warehouse_Locations'!A367)</f>
        <v/>
      </c>
      <c r="C368" t="str">
        <f t="shared" si="5"/>
        <v/>
      </c>
      <c r="D368" t="s">
        <v>1255</v>
      </c>
    </row>
    <row r="369" spans="1:4">
      <c r="A369" t="s">
        <v>1254</v>
      </c>
      <c r="B369" t="str">
        <f>IF('02_Warehouse_Locations'!A368="","",'02_Warehouse_Locations'!A368)</f>
        <v/>
      </c>
      <c r="C369" t="str">
        <f t="shared" si="5"/>
        <v/>
      </c>
      <c r="D369" t="s">
        <v>1255</v>
      </c>
    </row>
    <row r="370" spans="1:4">
      <c r="A370" t="s">
        <v>1254</v>
      </c>
      <c r="B370" t="str">
        <f>IF('02_Warehouse_Locations'!A369="","",'02_Warehouse_Locations'!A369)</f>
        <v/>
      </c>
      <c r="C370" t="str">
        <f t="shared" si="5"/>
        <v/>
      </c>
      <c r="D370" t="s">
        <v>1255</v>
      </c>
    </row>
    <row r="371" spans="1:4">
      <c r="A371" t="s">
        <v>1254</v>
      </c>
      <c r="B371" t="str">
        <f>IF('02_Warehouse_Locations'!A370="","",'02_Warehouse_Locations'!A370)</f>
        <v/>
      </c>
      <c r="C371" t="str">
        <f t="shared" si="5"/>
        <v/>
      </c>
      <c r="D371" t="s">
        <v>1255</v>
      </c>
    </row>
    <row r="372" spans="1:4">
      <c r="A372" t="s">
        <v>1254</v>
      </c>
      <c r="B372" t="str">
        <f>IF('02_Warehouse_Locations'!A371="","",'02_Warehouse_Locations'!A371)</f>
        <v/>
      </c>
      <c r="C372" t="str">
        <f t="shared" si="5"/>
        <v/>
      </c>
      <c r="D372" t="s">
        <v>1255</v>
      </c>
    </row>
    <row r="373" spans="1:4">
      <c r="A373" t="s">
        <v>1254</v>
      </c>
      <c r="B373" t="str">
        <f>IF('02_Warehouse_Locations'!A372="","",'02_Warehouse_Locations'!A372)</f>
        <v/>
      </c>
      <c r="C373" t="str">
        <f t="shared" si="5"/>
        <v/>
      </c>
      <c r="D373" t="s">
        <v>1255</v>
      </c>
    </row>
    <row r="374" spans="1:4">
      <c r="A374" t="s">
        <v>1254</v>
      </c>
      <c r="B374" t="str">
        <f>IF('02_Warehouse_Locations'!A373="","",'02_Warehouse_Locations'!A373)</f>
        <v/>
      </c>
      <c r="C374" t="str">
        <f t="shared" si="5"/>
        <v/>
      </c>
      <c r="D374" t="s">
        <v>1255</v>
      </c>
    </row>
    <row r="375" spans="1:4">
      <c r="A375" t="s">
        <v>1254</v>
      </c>
      <c r="B375" t="str">
        <f>IF('02_Warehouse_Locations'!A374="","",'02_Warehouse_Locations'!A374)</f>
        <v/>
      </c>
      <c r="C375" t="str">
        <f t="shared" si="5"/>
        <v/>
      </c>
      <c r="D375" t="s">
        <v>1255</v>
      </c>
    </row>
    <row r="376" spans="1:4">
      <c r="A376" t="s">
        <v>1254</v>
      </c>
      <c r="B376" t="str">
        <f>IF('02_Warehouse_Locations'!A375="","",'02_Warehouse_Locations'!A375)</f>
        <v/>
      </c>
      <c r="C376" t="str">
        <f t="shared" si="5"/>
        <v/>
      </c>
      <c r="D376" t="s">
        <v>1255</v>
      </c>
    </row>
    <row r="377" spans="1:4">
      <c r="A377" t="s">
        <v>1254</v>
      </c>
      <c r="B377" t="str">
        <f>IF('02_Warehouse_Locations'!A376="","",'02_Warehouse_Locations'!A376)</f>
        <v/>
      </c>
      <c r="C377" t="str">
        <f t="shared" si="5"/>
        <v/>
      </c>
      <c r="D377" t="s">
        <v>1255</v>
      </c>
    </row>
    <row r="378" spans="1:4">
      <c r="A378" t="s">
        <v>1254</v>
      </c>
      <c r="B378" t="str">
        <f>IF('02_Warehouse_Locations'!A377="","",'02_Warehouse_Locations'!A377)</f>
        <v/>
      </c>
      <c r="C378" t="str">
        <f t="shared" si="5"/>
        <v/>
      </c>
      <c r="D378" t="s">
        <v>1255</v>
      </c>
    </row>
    <row r="379" spans="1:4">
      <c r="A379" t="s">
        <v>1254</v>
      </c>
      <c r="B379" t="str">
        <f>IF('02_Warehouse_Locations'!A378="","",'02_Warehouse_Locations'!A378)</f>
        <v/>
      </c>
      <c r="C379" t="str">
        <f t="shared" si="5"/>
        <v/>
      </c>
      <c r="D379" t="s">
        <v>1255</v>
      </c>
    </row>
    <row r="380" spans="1:4">
      <c r="A380" t="s">
        <v>1254</v>
      </c>
      <c r="B380" t="str">
        <f>IF('02_Warehouse_Locations'!A379="","",'02_Warehouse_Locations'!A379)</f>
        <v/>
      </c>
      <c r="C380" t="str">
        <f t="shared" si="5"/>
        <v/>
      </c>
      <c r="D380" t="s">
        <v>1255</v>
      </c>
    </row>
    <row r="381" spans="1:4">
      <c r="A381" t="s">
        <v>1254</v>
      </c>
      <c r="B381" t="str">
        <f>IF('02_Warehouse_Locations'!A380="","",'02_Warehouse_Locations'!A380)</f>
        <v/>
      </c>
      <c r="C381" t="str">
        <f t="shared" si="5"/>
        <v/>
      </c>
      <c r="D381" t="s">
        <v>1255</v>
      </c>
    </row>
    <row r="382" spans="1:4">
      <c r="A382" t="s">
        <v>1254</v>
      </c>
      <c r="B382" t="str">
        <f>IF('02_Warehouse_Locations'!A381="","",'02_Warehouse_Locations'!A381)</f>
        <v/>
      </c>
      <c r="C382" t="str">
        <f t="shared" si="5"/>
        <v/>
      </c>
      <c r="D382" t="s">
        <v>1255</v>
      </c>
    </row>
    <row r="383" spans="1:4">
      <c r="A383" t="s">
        <v>1254</v>
      </c>
      <c r="B383" t="str">
        <f>IF('02_Warehouse_Locations'!A382="","",'02_Warehouse_Locations'!A382)</f>
        <v/>
      </c>
      <c r="C383" t="str">
        <f t="shared" si="5"/>
        <v/>
      </c>
      <c r="D383" t="s">
        <v>1255</v>
      </c>
    </row>
    <row r="384" spans="1:4">
      <c r="A384" t="s">
        <v>1254</v>
      </c>
      <c r="B384" t="str">
        <f>IF('02_Warehouse_Locations'!A383="","",'02_Warehouse_Locations'!A383)</f>
        <v/>
      </c>
      <c r="C384" t="str">
        <f t="shared" si="5"/>
        <v/>
      </c>
      <c r="D384" t="s">
        <v>1255</v>
      </c>
    </row>
    <row r="385" spans="1:4">
      <c r="A385" t="s">
        <v>1254</v>
      </c>
      <c r="B385" t="str">
        <f>IF('02_Warehouse_Locations'!A384="","",'02_Warehouse_Locations'!A384)</f>
        <v/>
      </c>
      <c r="C385" t="str">
        <f t="shared" si="5"/>
        <v/>
      </c>
      <c r="D385" t="s">
        <v>1255</v>
      </c>
    </row>
    <row r="386" spans="1:4">
      <c r="A386" t="s">
        <v>1254</v>
      </c>
      <c r="B386" t="str">
        <f>IF('02_Warehouse_Locations'!A385="","",'02_Warehouse_Locations'!A385)</f>
        <v/>
      </c>
      <c r="C386" t="str">
        <f t="shared" si="5"/>
        <v/>
      </c>
      <c r="D386" t="s">
        <v>1255</v>
      </c>
    </row>
    <row r="387" spans="1:4">
      <c r="A387" t="s">
        <v>1254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1255</v>
      </c>
    </row>
    <row r="388" spans="1:4">
      <c r="A388" t="s">
        <v>1254</v>
      </c>
      <c r="B388" t="str">
        <f>IF('02_Warehouse_Locations'!A387="","",'02_Warehouse_Locations'!A387)</f>
        <v/>
      </c>
      <c r="C388" t="str">
        <f t="shared" si="6"/>
        <v/>
      </c>
      <c r="D388" t="s">
        <v>1255</v>
      </c>
    </row>
    <row r="389" spans="1:4">
      <c r="A389" t="s">
        <v>1254</v>
      </c>
      <c r="B389" t="str">
        <f>IF('02_Warehouse_Locations'!A388="","",'02_Warehouse_Locations'!A388)</f>
        <v/>
      </c>
      <c r="C389" t="str">
        <f t="shared" si="6"/>
        <v/>
      </c>
      <c r="D389" t="s">
        <v>1255</v>
      </c>
    </row>
    <row r="390" spans="1:4">
      <c r="A390" t="s">
        <v>1254</v>
      </c>
      <c r="B390" t="str">
        <f>IF('02_Warehouse_Locations'!A389="","",'02_Warehouse_Locations'!A389)</f>
        <v/>
      </c>
      <c r="C390" t="str">
        <f t="shared" si="6"/>
        <v/>
      </c>
      <c r="D390" t="s">
        <v>1255</v>
      </c>
    </row>
    <row r="391" spans="1:4">
      <c r="A391" t="s">
        <v>1254</v>
      </c>
      <c r="B391" t="str">
        <f>IF('02_Warehouse_Locations'!A390="","",'02_Warehouse_Locations'!A390)</f>
        <v/>
      </c>
      <c r="C391" t="str">
        <f t="shared" si="6"/>
        <v/>
      </c>
      <c r="D391" t="s">
        <v>1255</v>
      </c>
    </row>
    <row r="392" spans="1:4">
      <c r="A392" t="s">
        <v>1254</v>
      </c>
      <c r="B392" t="str">
        <f>IF('02_Warehouse_Locations'!A391="","",'02_Warehouse_Locations'!A391)</f>
        <v/>
      </c>
      <c r="C392" t="str">
        <f t="shared" si="6"/>
        <v/>
      </c>
      <c r="D392" t="s">
        <v>1255</v>
      </c>
    </row>
    <row r="393" spans="1:4">
      <c r="A393" t="s">
        <v>1254</v>
      </c>
      <c r="B393" t="str">
        <f>IF('02_Warehouse_Locations'!A392="","",'02_Warehouse_Locations'!A392)</f>
        <v/>
      </c>
      <c r="C393" t="str">
        <f t="shared" si="6"/>
        <v/>
      </c>
      <c r="D393" t="s">
        <v>1255</v>
      </c>
    </row>
    <row r="394" spans="1:4">
      <c r="A394" t="s">
        <v>1254</v>
      </c>
      <c r="B394" t="str">
        <f>IF('02_Warehouse_Locations'!A393="","",'02_Warehouse_Locations'!A393)</f>
        <v/>
      </c>
      <c r="C394" t="str">
        <f t="shared" si="6"/>
        <v/>
      </c>
      <c r="D394" t="s">
        <v>1255</v>
      </c>
    </row>
    <row r="395" spans="1:4">
      <c r="A395" t="s">
        <v>1254</v>
      </c>
      <c r="B395" t="str">
        <f>IF('02_Warehouse_Locations'!A394="","",'02_Warehouse_Locations'!A394)</f>
        <v/>
      </c>
      <c r="C395" t="str">
        <f t="shared" si="6"/>
        <v/>
      </c>
      <c r="D395" t="s">
        <v>1255</v>
      </c>
    </row>
    <row r="396" spans="1:4">
      <c r="A396" t="s">
        <v>1254</v>
      </c>
      <c r="B396" t="str">
        <f>IF('02_Warehouse_Locations'!A395="","",'02_Warehouse_Locations'!A395)</f>
        <v/>
      </c>
      <c r="C396" t="str">
        <f t="shared" si="6"/>
        <v/>
      </c>
      <c r="D396" t="s">
        <v>1255</v>
      </c>
    </row>
    <row r="397" spans="1:4">
      <c r="A397" t="s">
        <v>1254</v>
      </c>
      <c r="B397" t="str">
        <f>IF('02_Warehouse_Locations'!A396="","",'02_Warehouse_Locations'!A396)</f>
        <v/>
      </c>
      <c r="C397" t="str">
        <f t="shared" si="6"/>
        <v/>
      </c>
      <c r="D397" t="s">
        <v>1255</v>
      </c>
    </row>
    <row r="398" spans="1:4">
      <c r="A398" t="s">
        <v>1254</v>
      </c>
      <c r="B398" t="str">
        <f>IF('02_Warehouse_Locations'!A397="","",'02_Warehouse_Locations'!A397)</f>
        <v/>
      </c>
      <c r="C398" t="str">
        <f t="shared" si="6"/>
        <v/>
      </c>
      <c r="D398" t="s">
        <v>1255</v>
      </c>
    </row>
    <row r="399" spans="1:4">
      <c r="A399" t="s">
        <v>1254</v>
      </c>
      <c r="B399" t="str">
        <f>IF('02_Warehouse_Locations'!A398="","",'02_Warehouse_Locations'!A398)</f>
        <v/>
      </c>
      <c r="C399" t="str">
        <f t="shared" si="6"/>
        <v/>
      </c>
      <c r="D399" t="s">
        <v>1255</v>
      </c>
    </row>
    <row r="400" spans="1:4">
      <c r="A400" t="s">
        <v>1254</v>
      </c>
      <c r="B400" t="str">
        <f>IF('02_Warehouse_Locations'!A399="","",'02_Warehouse_Locations'!A399)</f>
        <v/>
      </c>
      <c r="C400" t="str">
        <f t="shared" si="6"/>
        <v/>
      </c>
      <c r="D400" t="s">
        <v>1255</v>
      </c>
    </row>
    <row r="401" spans="1:4">
      <c r="A401" t="s">
        <v>1254</v>
      </c>
      <c r="B401" t="str">
        <f>IF('02_Warehouse_Locations'!A400="","",'02_Warehouse_Locations'!A400)</f>
        <v/>
      </c>
      <c r="C401" t="str">
        <f t="shared" si="6"/>
        <v/>
      </c>
      <c r="D401" t="s">
        <v>1255</v>
      </c>
    </row>
    <row r="402" spans="1:4">
      <c r="A402" t="s">
        <v>1254</v>
      </c>
      <c r="B402" t="str">
        <f>IF('02_Warehouse_Locations'!A401="","",'02_Warehouse_Locations'!A401)</f>
        <v/>
      </c>
      <c r="C402" t="str">
        <f t="shared" si="6"/>
        <v/>
      </c>
      <c r="D402" t="s">
        <v>1255</v>
      </c>
    </row>
    <row r="403" spans="1:4">
      <c r="A403" t="s">
        <v>1254</v>
      </c>
      <c r="B403" t="str">
        <f>IF('02_Warehouse_Locations'!A402="","",'02_Warehouse_Locations'!A402)</f>
        <v/>
      </c>
      <c r="C403" t="str">
        <f t="shared" si="6"/>
        <v/>
      </c>
      <c r="D403" t="s">
        <v>1255</v>
      </c>
    </row>
    <row r="404" spans="1:4">
      <c r="A404" t="s">
        <v>1254</v>
      </c>
      <c r="B404" t="str">
        <f>IF('02_Warehouse_Locations'!A403="","",'02_Warehouse_Locations'!A403)</f>
        <v/>
      </c>
      <c r="C404" t="str">
        <f t="shared" si="6"/>
        <v/>
      </c>
      <c r="D404" t="s">
        <v>1255</v>
      </c>
    </row>
    <row r="405" spans="1:4">
      <c r="A405" t="s">
        <v>1254</v>
      </c>
      <c r="B405" t="str">
        <f>IF('02_Warehouse_Locations'!A404="","",'02_Warehouse_Locations'!A404)</f>
        <v/>
      </c>
      <c r="C405" t="str">
        <f t="shared" si="6"/>
        <v/>
      </c>
      <c r="D405" t="s">
        <v>1255</v>
      </c>
    </row>
    <row r="406" spans="1:4">
      <c r="A406" t="s">
        <v>1254</v>
      </c>
      <c r="B406" t="str">
        <f>IF('02_Warehouse_Locations'!A405="","",'02_Warehouse_Locations'!A405)</f>
        <v/>
      </c>
      <c r="C406" t="str">
        <f t="shared" si="6"/>
        <v/>
      </c>
      <c r="D406" t="s">
        <v>1255</v>
      </c>
    </row>
    <row r="407" spans="1:4">
      <c r="A407" t="s">
        <v>1254</v>
      </c>
      <c r="B407" t="str">
        <f>IF('02_Warehouse_Locations'!A406="","",'02_Warehouse_Locations'!A406)</f>
        <v/>
      </c>
      <c r="C407" t="str">
        <f t="shared" si="6"/>
        <v/>
      </c>
      <c r="D407" t="s">
        <v>1255</v>
      </c>
    </row>
    <row r="408" spans="1:4">
      <c r="A408" t="s">
        <v>1254</v>
      </c>
      <c r="B408" t="str">
        <f>IF('02_Warehouse_Locations'!A407="","",'02_Warehouse_Locations'!A407)</f>
        <v/>
      </c>
      <c r="C408" t="str">
        <f t="shared" si="6"/>
        <v/>
      </c>
      <c r="D408" t="s">
        <v>1255</v>
      </c>
    </row>
    <row r="409" spans="1:4">
      <c r="A409" t="s">
        <v>1254</v>
      </c>
      <c r="B409" t="str">
        <f>IF('02_Warehouse_Locations'!A408="","",'02_Warehouse_Locations'!A408)</f>
        <v/>
      </c>
      <c r="C409" t="str">
        <f t="shared" si="6"/>
        <v/>
      </c>
      <c r="D409" t="s">
        <v>1255</v>
      </c>
    </row>
    <row r="410" spans="1:4">
      <c r="A410" t="s">
        <v>1254</v>
      </c>
      <c r="B410" t="str">
        <f>IF('02_Warehouse_Locations'!A409="","",'02_Warehouse_Locations'!A409)</f>
        <v/>
      </c>
      <c r="C410" t="str">
        <f t="shared" si="6"/>
        <v/>
      </c>
      <c r="D410" t="s">
        <v>1255</v>
      </c>
    </row>
    <row r="411" spans="1:4">
      <c r="A411" t="s">
        <v>1254</v>
      </c>
      <c r="B411" t="str">
        <f>IF('02_Warehouse_Locations'!A410="","",'02_Warehouse_Locations'!A410)</f>
        <v/>
      </c>
      <c r="C411" t="str">
        <f t="shared" si="6"/>
        <v/>
      </c>
      <c r="D411" t="s">
        <v>1255</v>
      </c>
    </row>
    <row r="412" spans="1:4">
      <c r="A412" t="s">
        <v>1254</v>
      </c>
      <c r="B412" t="str">
        <f>IF('02_Warehouse_Locations'!A411="","",'02_Warehouse_Locations'!A411)</f>
        <v/>
      </c>
      <c r="C412" t="str">
        <f t="shared" si="6"/>
        <v/>
      </c>
      <c r="D412" t="s">
        <v>1255</v>
      </c>
    </row>
    <row r="413" spans="1:4">
      <c r="A413" t="s">
        <v>1254</v>
      </c>
      <c r="B413" t="str">
        <f>IF('02_Warehouse_Locations'!A412="","",'02_Warehouse_Locations'!A412)</f>
        <v/>
      </c>
      <c r="C413" t="str">
        <f t="shared" si="6"/>
        <v/>
      </c>
      <c r="D413" t="s">
        <v>1255</v>
      </c>
    </row>
    <row r="414" spans="1:4">
      <c r="A414" t="s">
        <v>1254</v>
      </c>
      <c r="B414" t="str">
        <f>IF('02_Warehouse_Locations'!A413="","",'02_Warehouse_Locations'!A413)</f>
        <v/>
      </c>
      <c r="C414" t="str">
        <f t="shared" si="6"/>
        <v/>
      </c>
      <c r="D414" t="s">
        <v>1255</v>
      </c>
    </row>
    <row r="415" spans="1:4">
      <c r="A415" t="s">
        <v>1254</v>
      </c>
      <c r="B415" t="str">
        <f>IF('02_Warehouse_Locations'!A414="","",'02_Warehouse_Locations'!A414)</f>
        <v/>
      </c>
      <c r="C415" t="str">
        <f t="shared" si="6"/>
        <v/>
      </c>
      <c r="D415" t="s">
        <v>1255</v>
      </c>
    </row>
    <row r="416" spans="1:4">
      <c r="A416" t="s">
        <v>1254</v>
      </c>
      <c r="B416" t="str">
        <f>IF('02_Warehouse_Locations'!A415="","",'02_Warehouse_Locations'!A415)</f>
        <v/>
      </c>
      <c r="C416" t="str">
        <f t="shared" si="6"/>
        <v/>
      </c>
      <c r="D416" t="s">
        <v>1255</v>
      </c>
    </row>
    <row r="417" spans="1:4">
      <c r="A417" t="s">
        <v>1254</v>
      </c>
      <c r="B417" t="str">
        <f>IF('02_Warehouse_Locations'!A416="","",'02_Warehouse_Locations'!A416)</f>
        <v/>
      </c>
      <c r="C417" t="str">
        <f t="shared" si="6"/>
        <v/>
      </c>
      <c r="D417" t="s">
        <v>1255</v>
      </c>
    </row>
    <row r="418" spans="1:4">
      <c r="A418" t="s">
        <v>1254</v>
      </c>
      <c r="B418" t="str">
        <f>IF('02_Warehouse_Locations'!A417="","",'02_Warehouse_Locations'!A417)</f>
        <v/>
      </c>
      <c r="C418" t="str">
        <f t="shared" si="6"/>
        <v/>
      </c>
      <c r="D418" t="s">
        <v>1255</v>
      </c>
    </row>
    <row r="419" spans="1:4">
      <c r="A419" t="s">
        <v>1254</v>
      </c>
      <c r="B419" t="str">
        <f>IF('02_Warehouse_Locations'!A418="","",'02_Warehouse_Locations'!A418)</f>
        <v/>
      </c>
      <c r="C419" t="str">
        <f t="shared" si="6"/>
        <v/>
      </c>
      <c r="D419" t="s">
        <v>1255</v>
      </c>
    </row>
    <row r="420" spans="1:4">
      <c r="A420" t="s">
        <v>1254</v>
      </c>
      <c r="B420" t="str">
        <f>IF('02_Warehouse_Locations'!A419="","",'02_Warehouse_Locations'!A419)</f>
        <v/>
      </c>
      <c r="C420" t="str">
        <f t="shared" si="6"/>
        <v/>
      </c>
      <c r="D420" t="s">
        <v>1255</v>
      </c>
    </row>
    <row r="421" spans="1:4">
      <c r="A421" t="s">
        <v>1254</v>
      </c>
      <c r="B421" t="str">
        <f>IF('02_Warehouse_Locations'!A420="","",'02_Warehouse_Locations'!A420)</f>
        <v/>
      </c>
      <c r="C421" t="str">
        <f t="shared" si="6"/>
        <v/>
      </c>
      <c r="D421" t="s">
        <v>1255</v>
      </c>
    </row>
    <row r="422" spans="1:4">
      <c r="A422" t="s">
        <v>1254</v>
      </c>
      <c r="B422" t="str">
        <f>IF('02_Warehouse_Locations'!A421="","",'02_Warehouse_Locations'!A421)</f>
        <v/>
      </c>
      <c r="C422" t="str">
        <f t="shared" si="6"/>
        <v/>
      </c>
      <c r="D422" t="s">
        <v>1255</v>
      </c>
    </row>
    <row r="423" spans="1:4">
      <c r="A423" t="s">
        <v>1254</v>
      </c>
      <c r="B423" t="str">
        <f>IF('02_Warehouse_Locations'!A422="","",'02_Warehouse_Locations'!A422)</f>
        <v/>
      </c>
      <c r="C423" t="str">
        <f t="shared" si="6"/>
        <v/>
      </c>
      <c r="D423" t="s">
        <v>1255</v>
      </c>
    </row>
    <row r="424" spans="1:4">
      <c r="A424" t="s">
        <v>1254</v>
      </c>
      <c r="B424" t="str">
        <f>IF('02_Warehouse_Locations'!A423="","",'02_Warehouse_Locations'!A423)</f>
        <v/>
      </c>
      <c r="C424" t="str">
        <f t="shared" si="6"/>
        <v/>
      </c>
      <c r="D424" t="s">
        <v>1255</v>
      </c>
    </row>
    <row r="425" spans="1:4">
      <c r="A425" t="s">
        <v>1254</v>
      </c>
      <c r="B425" t="str">
        <f>IF('02_Warehouse_Locations'!A424="","",'02_Warehouse_Locations'!A424)</f>
        <v/>
      </c>
      <c r="C425" t="str">
        <f t="shared" si="6"/>
        <v/>
      </c>
      <c r="D425" t="s">
        <v>1255</v>
      </c>
    </row>
    <row r="426" spans="1:4">
      <c r="A426" t="s">
        <v>1254</v>
      </c>
      <c r="B426" t="str">
        <f>IF('02_Warehouse_Locations'!A425="","",'02_Warehouse_Locations'!A425)</f>
        <v/>
      </c>
      <c r="C426" t="str">
        <f t="shared" si="6"/>
        <v/>
      </c>
      <c r="D426" t="s">
        <v>1255</v>
      </c>
    </row>
    <row r="427" spans="1:4">
      <c r="A427" t="s">
        <v>1254</v>
      </c>
      <c r="B427" t="str">
        <f>IF('02_Warehouse_Locations'!A426="","",'02_Warehouse_Locations'!A426)</f>
        <v/>
      </c>
      <c r="C427" t="str">
        <f t="shared" si="6"/>
        <v/>
      </c>
      <c r="D427" t="s">
        <v>1255</v>
      </c>
    </row>
    <row r="428" spans="1:4">
      <c r="A428" t="s">
        <v>1254</v>
      </c>
      <c r="B428" t="str">
        <f>IF('02_Warehouse_Locations'!A427="","",'02_Warehouse_Locations'!A427)</f>
        <v/>
      </c>
      <c r="C428" t="str">
        <f t="shared" si="6"/>
        <v/>
      </c>
      <c r="D428" t="s">
        <v>1255</v>
      </c>
    </row>
    <row r="429" spans="1:4">
      <c r="A429" t="s">
        <v>1254</v>
      </c>
      <c r="B429" t="str">
        <f>IF('02_Warehouse_Locations'!A428="","",'02_Warehouse_Locations'!A428)</f>
        <v/>
      </c>
      <c r="C429" t="str">
        <f t="shared" si="6"/>
        <v/>
      </c>
      <c r="D429" t="s">
        <v>1255</v>
      </c>
    </row>
    <row r="430" spans="1:4">
      <c r="A430" t="s">
        <v>1254</v>
      </c>
      <c r="B430" t="str">
        <f>IF('02_Warehouse_Locations'!A429="","",'02_Warehouse_Locations'!A429)</f>
        <v/>
      </c>
      <c r="C430" t="str">
        <f t="shared" si="6"/>
        <v/>
      </c>
      <c r="D430" t="s">
        <v>1255</v>
      </c>
    </row>
    <row r="431" spans="1:4">
      <c r="A431" t="s">
        <v>1254</v>
      </c>
      <c r="B431" t="str">
        <f>IF('02_Warehouse_Locations'!A430="","",'02_Warehouse_Locations'!A430)</f>
        <v/>
      </c>
      <c r="C431" t="str">
        <f t="shared" si="6"/>
        <v/>
      </c>
      <c r="D431" t="s">
        <v>1255</v>
      </c>
    </row>
    <row r="432" spans="1:4">
      <c r="A432" t="s">
        <v>1254</v>
      </c>
      <c r="B432" t="str">
        <f>IF('02_Warehouse_Locations'!A431="","",'02_Warehouse_Locations'!A431)</f>
        <v/>
      </c>
      <c r="C432" t="str">
        <f t="shared" si="6"/>
        <v/>
      </c>
      <c r="D432" t="s">
        <v>1255</v>
      </c>
    </row>
    <row r="433" spans="1:4">
      <c r="A433" t="s">
        <v>1254</v>
      </c>
      <c r="B433" t="str">
        <f>IF('02_Warehouse_Locations'!A432="","",'02_Warehouse_Locations'!A432)</f>
        <v/>
      </c>
      <c r="C433" t="str">
        <f t="shared" si="6"/>
        <v/>
      </c>
      <c r="D433" t="s">
        <v>1255</v>
      </c>
    </row>
    <row r="434" spans="1:4">
      <c r="A434" t="s">
        <v>1254</v>
      </c>
      <c r="B434" t="str">
        <f>IF('02_Warehouse_Locations'!A433="","",'02_Warehouse_Locations'!A433)</f>
        <v/>
      </c>
      <c r="C434" t="str">
        <f t="shared" si="6"/>
        <v/>
      </c>
      <c r="D434" t="s">
        <v>1255</v>
      </c>
    </row>
    <row r="435" spans="1:4">
      <c r="A435" t="s">
        <v>1254</v>
      </c>
      <c r="B435" t="str">
        <f>IF('02_Warehouse_Locations'!A434="","",'02_Warehouse_Locations'!A434)</f>
        <v/>
      </c>
      <c r="C435" t="str">
        <f t="shared" si="6"/>
        <v/>
      </c>
      <c r="D435" t="s">
        <v>1255</v>
      </c>
    </row>
    <row r="436" spans="1:4">
      <c r="A436" t="s">
        <v>1254</v>
      </c>
      <c r="B436" t="str">
        <f>IF('02_Warehouse_Locations'!A435="","",'02_Warehouse_Locations'!A435)</f>
        <v/>
      </c>
      <c r="C436" t="str">
        <f t="shared" si="6"/>
        <v/>
      </c>
      <c r="D436" t="s">
        <v>1255</v>
      </c>
    </row>
    <row r="437" spans="1:4">
      <c r="A437" t="s">
        <v>1254</v>
      </c>
      <c r="B437" t="str">
        <f>IF('02_Warehouse_Locations'!A436="","",'02_Warehouse_Locations'!A436)</f>
        <v/>
      </c>
      <c r="C437" t="str">
        <f t="shared" si="6"/>
        <v/>
      </c>
      <c r="D437" t="s">
        <v>1255</v>
      </c>
    </row>
    <row r="438" spans="1:4">
      <c r="A438" t="s">
        <v>1254</v>
      </c>
      <c r="B438" t="str">
        <f>IF('02_Warehouse_Locations'!A437="","",'02_Warehouse_Locations'!A437)</f>
        <v/>
      </c>
      <c r="C438" t="str">
        <f t="shared" si="6"/>
        <v/>
      </c>
      <c r="D438" t="s">
        <v>1255</v>
      </c>
    </row>
    <row r="439" spans="1:4">
      <c r="A439" t="s">
        <v>1254</v>
      </c>
      <c r="B439" t="str">
        <f>IF('02_Warehouse_Locations'!A438="","",'02_Warehouse_Locations'!A438)</f>
        <v/>
      </c>
      <c r="C439" t="str">
        <f t="shared" si="6"/>
        <v/>
      </c>
      <c r="D439" t="s">
        <v>1255</v>
      </c>
    </row>
    <row r="440" spans="1:4">
      <c r="A440" t="s">
        <v>1254</v>
      </c>
      <c r="B440" t="str">
        <f>IF('02_Warehouse_Locations'!A439="","",'02_Warehouse_Locations'!A439)</f>
        <v/>
      </c>
      <c r="C440" t="str">
        <f t="shared" si="6"/>
        <v/>
      </c>
      <c r="D440" t="s">
        <v>1255</v>
      </c>
    </row>
    <row r="441" spans="1:4">
      <c r="A441" t="s">
        <v>1254</v>
      </c>
      <c r="B441" t="str">
        <f>IF('02_Warehouse_Locations'!A440="","",'02_Warehouse_Locations'!A440)</f>
        <v/>
      </c>
      <c r="C441" t="str">
        <f t="shared" si="6"/>
        <v/>
      </c>
      <c r="D441" t="s">
        <v>1255</v>
      </c>
    </row>
    <row r="442" spans="1:4">
      <c r="A442" t="s">
        <v>1254</v>
      </c>
      <c r="B442" t="str">
        <f>IF('02_Warehouse_Locations'!A441="","",'02_Warehouse_Locations'!A441)</f>
        <v/>
      </c>
      <c r="C442" t="str">
        <f t="shared" si="6"/>
        <v/>
      </c>
      <c r="D442" t="s">
        <v>1255</v>
      </c>
    </row>
    <row r="443" spans="1:4">
      <c r="A443" t="s">
        <v>1254</v>
      </c>
      <c r="B443" t="str">
        <f>IF('02_Warehouse_Locations'!A442="","",'02_Warehouse_Locations'!A442)</f>
        <v/>
      </c>
      <c r="C443" t="str">
        <f t="shared" si="6"/>
        <v/>
      </c>
      <c r="D443" t="s">
        <v>1255</v>
      </c>
    </row>
    <row r="444" spans="1:4">
      <c r="A444" t="s">
        <v>1254</v>
      </c>
      <c r="B444" t="str">
        <f>IF('02_Warehouse_Locations'!A443="","",'02_Warehouse_Locations'!A443)</f>
        <v/>
      </c>
      <c r="C444" t="str">
        <f t="shared" si="6"/>
        <v/>
      </c>
      <c r="D444" t="s">
        <v>1255</v>
      </c>
    </row>
    <row r="445" spans="1:4">
      <c r="A445" t="s">
        <v>1254</v>
      </c>
      <c r="B445" t="str">
        <f>IF('02_Warehouse_Locations'!A444="","",'02_Warehouse_Locations'!A444)</f>
        <v/>
      </c>
      <c r="C445" t="str">
        <f t="shared" si="6"/>
        <v/>
      </c>
      <c r="D445" t="s">
        <v>1255</v>
      </c>
    </row>
    <row r="446" spans="1:4">
      <c r="A446" t="s">
        <v>1254</v>
      </c>
      <c r="B446" t="str">
        <f>IF('02_Warehouse_Locations'!A445="","",'02_Warehouse_Locations'!A445)</f>
        <v/>
      </c>
      <c r="C446" t="str">
        <f t="shared" si="6"/>
        <v/>
      </c>
      <c r="D446" t="s">
        <v>1255</v>
      </c>
    </row>
    <row r="447" spans="1:4">
      <c r="A447" t="s">
        <v>1254</v>
      </c>
      <c r="B447" t="str">
        <f>IF('02_Warehouse_Locations'!A446="","",'02_Warehouse_Locations'!A446)</f>
        <v/>
      </c>
      <c r="C447" t="str">
        <f t="shared" si="6"/>
        <v/>
      </c>
      <c r="D447" t="s">
        <v>1255</v>
      </c>
    </row>
    <row r="448" spans="1:4">
      <c r="A448" t="s">
        <v>1254</v>
      </c>
      <c r="B448" t="str">
        <f>IF('02_Warehouse_Locations'!A447="","",'02_Warehouse_Locations'!A447)</f>
        <v/>
      </c>
      <c r="C448" t="str">
        <f t="shared" si="6"/>
        <v/>
      </c>
      <c r="D448" t="s">
        <v>1255</v>
      </c>
    </row>
    <row r="449" spans="1:4">
      <c r="A449" t="s">
        <v>1254</v>
      </c>
      <c r="B449" t="str">
        <f>IF('02_Warehouse_Locations'!A448="","",'02_Warehouse_Locations'!A448)</f>
        <v/>
      </c>
      <c r="C449" t="str">
        <f t="shared" si="6"/>
        <v/>
      </c>
      <c r="D449" t="s">
        <v>1255</v>
      </c>
    </row>
    <row r="450" spans="1:4">
      <c r="A450" t="s">
        <v>1254</v>
      </c>
      <c r="B450" t="str">
        <f>IF('02_Warehouse_Locations'!A449="","",'02_Warehouse_Locations'!A449)</f>
        <v/>
      </c>
      <c r="C450" t="str">
        <f t="shared" si="6"/>
        <v/>
      </c>
      <c r="D450" t="s">
        <v>1255</v>
      </c>
    </row>
    <row r="451" spans="1:4">
      <c r="A451" t="s">
        <v>1254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1255</v>
      </c>
    </row>
    <row r="452" spans="1:4">
      <c r="A452" t="s">
        <v>1254</v>
      </c>
      <c r="B452" t="str">
        <f>IF('02_Warehouse_Locations'!A451="","",'02_Warehouse_Locations'!A451)</f>
        <v/>
      </c>
      <c r="C452" t="str">
        <f t="shared" si="7"/>
        <v/>
      </c>
      <c r="D452" t="s">
        <v>1255</v>
      </c>
    </row>
    <row r="453" spans="1:4">
      <c r="A453" t="s">
        <v>1254</v>
      </c>
      <c r="B453" t="str">
        <f>IF('02_Warehouse_Locations'!A452="","",'02_Warehouse_Locations'!A452)</f>
        <v/>
      </c>
      <c r="C453" t="str">
        <f t="shared" si="7"/>
        <v/>
      </c>
      <c r="D453" t="s">
        <v>1255</v>
      </c>
    </row>
    <row r="454" spans="1:4">
      <c r="A454" t="s">
        <v>1254</v>
      </c>
      <c r="B454" t="str">
        <f>IF('02_Warehouse_Locations'!A453="","",'02_Warehouse_Locations'!A453)</f>
        <v/>
      </c>
      <c r="C454" t="str">
        <f t="shared" si="7"/>
        <v/>
      </c>
      <c r="D454" t="s">
        <v>1255</v>
      </c>
    </row>
    <row r="455" spans="1:4">
      <c r="A455" t="s">
        <v>1254</v>
      </c>
      <c r="B455" t="str">
        <f>IF('02_Warehouse_Locations'!A454="","",'02_Warehouse_Locations'!A454)</f>
        <v/>
      </c>
      <c r="C455" t="str">
        <f t="shared" si="7"/>
        <v/>
      </c>
      <c r="D455" t="s">
        <v>1255</v>
      </c>
    </row>
    <row r="456" spans="1:4">
      <c r="A456" t="s">
        <v>1254</v>
      </c>
      <c r="B456" t="str">
        <f>IF('02_Warehouse_Locations'!A455="","",'02_Warehouse_Locations'!A455)</f>
        <v/>
      </c>
      <c r="C456" t="str">
        <f t="shared" si="7"/>
        <v/>
      </c>
      <c r="D456" t="s">
        <v>1255</v>
      </c>
    </row>
    <row r="457" spans="1:4">
      <c r="A457" t="s">
        <v>1254</v>
      </c>
      <c r="B457" t="str">
        <f>IF('02_Warehouse_Locations'!A456="","",'02_Warehouse_Locations'!A456)</f>
        <v/>
      </c>
      <c r="C457" t="str">
        <f t="shared" si="7"/>
        <v/>
      </c>
      <c r="D457" t="s">
        <v>1255</v>
      </c>
    </row>
    <row r="458" spans="1:4">
      <c r="A458" t="s">
        <v>1254</v>
      </c>
      <c r="B458" t="str">
        <f>IF('02_Warehouse_Locations'!A457="","",'02_Warehouse_Locations'!A457)</f>
        <v/>
      </c>
      <c r="C458" t="str">
        <f t="shared" si="7"/>
        <v/>
      </c>
      <c r="D458" t="s">
        <v>1255</v>
      </c>
    </row>
    <row r="459" spans="1:4">
      <c r="A459" t="s">
        <v>1254</v>
      </c>
      <c r="B459" t="str">
        <f>IF('02_Warehouse_Locations'!A458="","",'02_Warehouse_Locations'!A458)</f>
        <v/>
      </c>
      <c r="C459" t="str">
        <f t="shared" si="7"/>
        <v/>
      </c>
      <c r="D459" t="s">
        <v>1255</v>
      </c>
    </row>
    <row r="460" spans="1:4">
      <c r="A460" t="s">
        <v>1254</v>
      </c>
      <c r="B460" t="str">
        <f>IF('02_Warehouse_Locations'!A459="","",'02_Warehouse_Locations'!A459)</f>
        <v/>
      </c>
      <c r="C460" t="str">
        <f t="shared" si="7"/>
        <v/>
      </c>
      <c r="D460" t="s">
        <v>1255</v>
      </c>
    </row>
    <row r="461" spans="1:4">
      <c r="A461" t="s">
        <v>1254</v>
      </c>
      <c r="B461" t="str">
        <f>IF('02_Warehouse_Locations'!A460="","",'02_Warehouse_Locations'!A460)</f>
        <v/>
      </c>
      <c r="C461" t="str">
        <f t="shared" si="7"/>
        <v/>
      </c>
      <c r="D461" t="s">
        <v>1255</v>
      </c>
    </row>
    <row r="462" spans="1:4">
      <c r="A462" t="s">
        <v>1254</v>
      </c>
      <c r="B462" t="str">
        <f>IF('02_Warehouse_Locations'!A461="","",'02_Warehouse_Locations'!A461)</f>
        <v/>
      </c>
      <c r="C462" t="str">
        <f t="shared" si="7"/>
        <v/>
      </c>
      <c r="D462" t="s">
        <v>1255</v>
      </c>
    </row>
    <row r="463" spans="1:4">
      <c r="A463" t="s">
        <v>1254</v>
      </c>
      <c r="B463" t="str">
        <f>IF('02_Warehouse_Locations'!A462="","",'02_Warehouse_Locations'!A462)</f>
        <v/>
      </c>
      <c r="C463" t="str">
        <f t="shared" si="7"/>
        <v/>
      </c>
      <c r="D463" t="s">
        <v>1255</v>
      </c>
    </row>
    <row r="464" spans="1:4">
      <c r="A464" t="s">
        <v>1254</v>
      </c>
      <c r="B464" t="str">
        <f>IF('02_Warehouse_Locations'!A463="","",'02_Warehouse_Locations'!A463)</f>
        <v/>
      </c>
      <c r="C464" t="str">
        <f t="shared" si="7"/>
        <v/>
      </c>
      <c r="D464" t="s">
        <v>1255</v>
      </c>
    </row>
    <row r="465" spans="1:4">
      <c r="A465" t="s">
        <v>1254</v>
      </c>
      <c r="B465" t="str">
        <f>IF('02_Warehouse_Locations'!A464="","",'02_Warehouse_Locations'!A464)</f>
        <v/>
      </c>
      <c r="C465" t="str">
        <f t="shared" si="7"/>
        <v/>
      </c>
      <c r="D465" t="s">
        <v>1255</v>
      </c>
    </row>
    <row r="466" spans="1:4">
      <c r="A466" t="s">
        <v>1254</v>
      </c>
      <c r="B466" t="str">
        <f>IF('02_Warehouse_Locations'!A465="","",'02_Warehouse_Locations'!A465)</f>
        <v/>
      </c>
      <c r="C466" t="str">
        <f t="shared" si="7"/>
        <v/>
      </c>
      <c r="D466" t="s">
        <v>1255</v>
      </c>
    </row>
    <row r="467" spans="1:4">
      <c r="A467" t="s">
        <v>1254</v>
      </c>
      <c r="B467" t="str">
        <f>IF('02_Warehouse_Locations'!A466="","",'02_Warehouse_Locations'!A466)</f>
        <v/>
      </c>
      <c r="C467" t="str">
        <f t="shared" si="7"/>
        <v/>
      </c>
      <c r="D467" t="s">
        <v>1255</v>
      </c>
    </row>
    <row r="468" spans="1:4">
      <c r="A468" t="s">
        <v>1254</v>
      </c>
      <c r="B468" t="str">
        <f>IF('02_Warehouse_Locations'!A467="","",'02_Warehouse_Locations'!A467)</f>
        <v/>
      </c>
      <c r="C468" t="str">
        <f t="shared" si="7"/>
        <v/>
      </c>
      <c r="D468" t="s">
        <v>1255</v>
      </c>
    </row>
    <row r="469" spans="1:4">
      <c r="A469" t="s">
        <v>1254</v>
      </c>
      <c r="B469" t="str">
        <f>IF('02_Warehouse_Locations'!A468="","",'02_Warehouse_Locations'!A468)</f>
        <v/>
      </c>
      <c r="C469" t="str">
        <f t="shared" si="7"/>
        <v/>
      </c>
      <c r="D469" t="s">
        <v>1255</v>
      </c>
    </row>
    <row r="470" spans="1:4">
      <c r="A470" t="s">
        <v>1254</v>
      </c>
      <c r="B470" t="str">
        <f>IF('02_Warehouse_Locations'!A469="","",'02_Warehouse_Locations'!A469)</f>
        <v/>
      </c>
      <c r="C470" t="str">
        <f t="shared" si="7"/>
        <v/>
      </c>
      <c r="D470" t="s">
        <v>1255</v>
      </c>
    </row>
    <row r="471" spans="1:4">
      <c r="A471" t="s">
        <v>1254</v>
      </c>
      <c r="B471" t="str">
        <f>IF('02_Warehouse_Locations'!A470="","",'02_Warehouse_Locations'!A470)</f>
        <v/>
      </c>
      <c r="C471" t="str">
        <f t="shared" si="7"/>
        <v/>
      </c>
      <c r="D471" t="s">
        <v>1255</v>
      </c>
    </row>
    <row r="472" spans="1:4">
      <c r="A472" t="s">
        <v>1254</v>
      </c>
      <c r="B472" t="str">
        <f>IF('02_Warehouse_Locations'!A471="","",'02_Warehouse_Locations'!A471)</f>
        <v/>
      </c>
      <c r="C472" t="str">
        <f t="shared" si="7"/>
        <v/>
      </c>
      <c r="D472" t="s">
        <v>1255</v>
      </c>
    </row>
    <row r="473" spans="1:4">
      <c r="A473" t="s">
        <v>1254</v>
      </c>
      <c r="B473" t="str">
        <f>IF('02_Warehouse_Locations'!A472="","",'02_Warehouse_Locations'!A472)</f>
        <v/>
      </c>
      <c r="C473" t="str">
        <f t="shared" si="7"/>
        <v/>
      </c>
      <c r="D473" t="s">
        <v>1255</v>
      </c>
    </row>
    <row r="474" spans="1:4">
      <c r="A474" t="s">
        <v>1254</v>
      </c>
      <c r="B474" t="str">
        <f>IF('02_Warehouse_Locations'!A473="","",'02_Warehouse_Locations'!A473)</f>
        <v/>
      </c>
      <c r="C474" t="str">
        <f t="shared" si="7"/>
        <v/>
      </c>
      <c r="D474" t="s">
        <v>1255</v>
      </c>
    </row>
    <row r="475" spans="1:4">
      <c r="A475" t="s">
        <v>1254</v>
      </c>
      <c r="B475" t="str">
        <f>IF('02_Warehouse_Locations'!A474="","",'02_Warehouse_Locations'!A474)</f>
        <v/>
      </c>
      <c r="C475" t="str">
        <f t="shared" si="7"/>
        <v/>
      </c>
      <c r="D475" t="s">
        <v>1255</v>
      </c>
    </row>
    <row r="476" spans="1:4">
      <c r="A476" t="s">
        <v>1254</v>
      </c>
      <c r="B476" t="str">
        <f>IF('02_Warehouse_Locations'!A475="","",'02_Warehouse_Locations'!A475)</f>
        <v/>
      </c>
      <c r="C476" t="str">
        <f t="shared" si="7"/>
        <v/>
      </c>
      <c r="D476" t="s">
        <v>1255</v>
      </c>
    </row>
    <row r="477" spans="1:4">
      <c r="A477" t="s">
        <v>1254</v>
      </c>
      <c r="B477" t="str">
        <f>IF('02_Warehouse_Locations'!A476="","",'02_Warehouse_Locations'!A476)</f>
        <v/>
      </c>
      <c r="C477" t="str">
        <f t="shared" si="7"/>
        <v/>
      </c>
      <c r="D477" t="s">
        <v>1255</v>
      </c>
    </row>
    <row r="478" spans="1:4">
      <c r="A478" t="s">
        <v>1254</v>
      </c>
      <c r="B478" t="str">
        <f>IF('02_Warehouse_Locations'!A477="","",'02_Warehouse_Locations'!A477)</f>
        <v/>
      </c>
      <c r="C478" t="str">
        <f t="shared" si="7"/>
        <v/>
      </c>
      <c r="D478" t="s">
        <v>1255</v>
      </c>
    </row>
    <row r="479" spans="1:4">
      <c r="A479" t="s">
        <v>1254</v>
      </c>
      <c r="B479" t="str">
        <f>IF('02_Warehouse_Locations'!A478="","",'02_Warehouse_Locations'!A478)</f>
        <v/>
      </c>
      <c r="C479" t="str">
        <f t="shared" si="7"/>
        <v/>
      </c>
      <c r="D479" t="s">
        <v>1255</v>
      </c>
    </row>
    <row r="480" spans="1:4">
      <c r="A480" t="s">
        <v>1254</v>
      </c>
      <c r="B480" t="str">
        <f>IF('02_Warehouse_Locations'!A479="","",'02_Warehouse_Locations'!A479)</f>
        <v/>
      </c>
      <c r="C480" t="str">
        <f t="shared" si="7"/>
        <v/>
      </c>
      <c r="D480" t="s">
        <v>1255</v>
      </c>
    </row>
    <row r="481" spans="1:4">
      <c r="A481" t="s">
        <v>1254</v>
      </c>
      <c r="B481" t="str">
        <f>IF('02_Warehouse_Locations'!A480="","",'02_Warehouse_Locations'!A480)</f>
        <v/>
      </c>
      <c r="C481" t="str">
        <f t="shared" si="7"/>
        <v/>
      </c>
      <c r="D481" t="s">
        <v>1255</v>
      </c>
    </row>
    <row r="482" spans="1:4">
      <c r="A482" t="s">
        <v>1254</v>
      </c>
      <c r="B482" t="str">
        <f>IF('02_Warehouse_Locations'!A481="","",'02_Warehouse_Locations'!A481)</f>
        <v/>
      </c>
      <c r="C482" t="str">
        <f t="shared" si="7"/>
        <v/>
      </c>
      <c r="D482" t="s">
        <v>1255</v>
      </c>
    </row>
    <row r="483" spans="1:4">
      <c r="A483" t="s">
        <v>1254</v>
      </c>
      <c r="B483" t="str">
        <f>IF('02_Warehouse_Locations'!A482="","",'02_Warehouse_Locations'!A482)</f>
        <v/>
      </c>
      <c r="C483" t="str">
        <f t="shared" si="7"/>
        <v/>
      </c>
      <c r="D483" t="s">
        <v>1255</v>
      </c>
    </row>
    <row r="484" spans="1:4">
      <c r="A484" t="s">
        <v>1254</v>
      </c>
      <c r="B484" t="str">
        <f>IF('02_Warehouse_Locations'!A483="","",'02_Warehouse_Locations'!A483)</f>
        <v/>
      </c>
      <c r="C484" t="str">
        <f t="shared" si="7"/>
        <v/>
      </c>
      <c r="D484" t="s">
        <v>1255</v>
      </c>
    </row>
    <row r="485" spans="1:4">
      <c r="A485" t="s">
        <v>1254</v>
      </c>
      <c r="B485" t="str">
        <f>IF('02_Warehouse_Locations'!A484="","",'02_Warehouse_Locations'!A484)</f>
        <v/>
      </c>
      <c r="C485" t="str">
        <f t="shared" si="7"/>
        <v/>
      </c>
      <c r="D485" t="s">
        <v>1255</v>
      </c>
    </row>
    <row r="486" spans="1:4">
      <c r="A486" t="s">
        <v>1254</v>
      </c>
      <c r="B486" t="str">
        <f>IF('02_Warehouse_Locations'!A485="","",'02_Warehouse_Locations'!A485)</f>
        <v/>
      </c>
      <c r="C486" t="str">
        <f t="shared" si="7"/>
        <v/>
      </c>
      <c r="D486" t="s">
        <v>1255</v>
      </c>
    </row>
    <row r="487" spans="1:4">
      <c r="A487" t="s">
        <v>1254</v>
      </c>
      <c r="B487" t="str">
        <f>IF('02_Warehouse_Locations'!A486="","",'02_Warehouse_Locations'!A486)</f>
        <v/>
      </c>
      <c r="C487" t="str">
        <f t="shared" si="7"/>
        <v/>
      </c>
      <c r="D487" t="s">
        <v>1255</v>
      </c>
    </row>
    <row r="488" spans="1:4">
      <c r="A488" t="s">
        <v>1254</v>
      </c>
      <c r="B488" t="str">
        <f>IF('02_Warehouse_Locations'!A487="","",'02_Warehouse_Locations'!A487)</f>
        <v/>
      </c>
      <c r="C488" t="str">
        <f t="shared" si="7"/>
        <v/>
      </c>
      <c r="D488" t="s">
        <v>1255</v>
      </c>
    </row>
    <row r="489" spans="1:4">
      <c r="A489" t="s">
        <v>1254</v>
      </c>
      <c r="B489" t="str">
        <f>IF('02_Warehouse_Locations'!A488="","",'02_Warehouse_Locations'!A488)</f>
        <v/>
      </c>
      <c r="C489" t="str">
        <f t="shared" si="7"/>
        <v/>
      </c>
      <c r="D489" t="s">
        <v>1255</v>
      </c>
    </row>
    <row r="490" spans="1:4">
      <c r="A490" t="s">
        <v>1254</v>
      </c>
      <c r="B490" t="str">
        <f>IF('02_Warehouse_Locations'!A489="","",'02_Warehouse_Locations'!A489)</f>
        <v/>
      </c>
      <c r="C490" t="str">
        <f t="shared" si="7"/>
        <v/>
      </c>
      <c r="D490" t="s">
        <v>1255</v>
      </c>
    </row>
    <row r="491" spans="1:4">
      <c r="A491" t="s">
        <v>1254</v>
      </c>
      <c r="B491" t="str">
        <f>IF('02_Warehouse_Locations'!A490="","",'02_Warehouse_Locations'!A490)</f>
        <v/>
      </c>
      <c r="C491" t="str">
        <f t="shared" si="7"/>
        <v/>
      </c>
      <c r="D491" t="s">
        <v>1255</v>
      </c>
    </row>
    <row r="492" spans="1:4">
      <c r="A492" t="s">
        <v>1254</v>
      </c>
      <c r="B492" t="str">
        <f>IF('02_Warehouse_Locations'!A491="","",'02_Warehouse_Locations'!A491)</f>
        <v/>
      </c>
      <c r="C492" t="str">
        <f t="shared" si="7"/>
        <v/>
      </c>
      <c r="D492" t="s">
        <v>1255</v>
      </c>
    </row>
    <row r="493" spans="1:4">
      <c r="A493" t="s">
        <v>1254</v>
      </c>
      <c r="B493" t="str">
        <f>IF('02_Warehouse_Locations'!A492="","",'02_Warehouse_Locations'!A492)</f>
        <v/>
      </c>
      <c r="C493" t="str">
        <f t="shared" si="7"/>
        <v/>
      </c>
      <c r="D493" t="s">
        <v>1255</v>
      </c>
    </row>
    <row r="494" spans="1:4">
      <c r="A494" t="s">
        <v>1254</v>
      </c>
      <c r="B494" t="str">
        <f>IF('02_Warehouse_Locations'!A493="","",'02_Warehouse_Locations'!A493)</f>
        <v/>
      </c>
      <c r="C494" t="str">
        <f t="shared" si="7"/>
        <v/>
      </c>
      <c r="D494" t="s">
        <v>1255</v>
      </c>
    </row>
    <row r="495" spans="1:4">
      <c r="A495" t="s">
        <v>1254</v>
      </c>
      <c r="B495" t="str">
        <f>IF('02_Warehouse_Locations'!A494="","",'02_Warehouse_Locations'!A494)</f>
        <v/>
      </c>
      <c r="C495" t="str">
        <f t="shared" si="7"/>
        <v/>
      </c>
      <c r="D495" t="s">
        <v>1255</v>
      </c>
    </row>
    <row r="496" spans="1:4">
      <c r="A496" t="s">
        <v>1254</v>
      </c>
      <c r="B496" t="str">
        <f>IF('02_Warehouse_Locations'!A495="","",'02_Warehouse_Locations'!A495)</f>
        <v/>
      </c>
      <c r="C496" t="str">
        <f t="shared" si="7"/>
        <v/>
      </c>
      <c r="D496" t="s">
        <v>1255</v>
      </c>
    </row>
    <row r="497" spans="1:4">
      <c r="A497" t="s">
        <v>1254</v>
      </c>
      <c r="B497" t="str">
        <f>IF('02_Warehouse_Locations'!A496="","",'02_Warehouse_Locations'!A496)</f>
        <v/>
      </c>
      <c r="C497" t="str">
        <f t="shared" si="7"/>
        <v/>
      </c>
      <c r="D497" t="s">
        <v>1255</v>
      </c>
    </row>
    <row r="498" spans="1:4">
      <c r="A498" t="s">
        <v>1254</v>
      </c>
      <c r="B498" t="str">
        <f>IF('02_Warehouse_Locations'!A497="","",'02_Warehouse_Locations'!A497)</f>
        <v/>
      </c>
      <c r="C498" t="str">
        <f t="shared" si="7"/>
        <v/>
      </c>
      <c r="D498" t="s">
        <v>1255</v>
      </c>
    </row>
    <row r="499" spans="1:4">
      <c r="A499" t="s">
        <v>1254</v>
      </c>
      <c r="B499" t="str">
        <f>IF('02_Warehouse_Locations'!A498="","",'02_Warehouse_Locations'!A498)</f>
        <v/>
      </c>
      <c r="C499" t="str">
        <f t="shared" si="7"/>
        <v/>
      </c>
      <c r="D499" t="s">
        <v>1255</v>
      </c>
    </row>
    <row r="500" spans="1:4">
      <c r="A500" t="s">
        <v>1254</v>
      </c>
      <c r="B500" t="str">
        <f>IF('02_Warehouse_Locations'!A499="","",'02_Warehouse_Locations'!A499)</f>
        <v/>
      </c>
      <c r="C500" t="str">
        <f t="shared" si="7"/>
        <v/>
      </c>
      <c r="D500" t="s">
        <v>1255</v>
      </c>
    </row>
    <row r="501" spans="1:4">
      <c r="A501" t="s">
        <v>1254</v>
      </c>
      <c r="B501" t="str">
        <f>IF('02_Warehouse_Locations'!A500="","",'02_Warehouse_Locations'!A500)</f>
        <v/>
      </c>
      <c r="C501" t="str">
        <f t="shared" si="7"/>
        <v/>
      </c>
      <c r="D501" t="s">
        <v>1255</v>
      </c>
    </row>
    <row r="502" spans="1:4">
      <c r="A502" t="s">
        <v>1254</v>
      </c>
      <c r="B502" t="str">
        <f>IF('02_Warehouse_Locations'!A501="","",'02_Warehouse_Locations'!A501)</f>
        <v/>
      </c>
      <c r="C502" t="str">
        <f t="shared" si="7"/>
        <v/>
      </c>
      <c r="D502" t="s">
        <v>1255</v>
      </c>
    </row>
    <row r="505" spans="1:4">
      <c r="A505" s="29" t="s">
        <v>1256</v>
      </c>
    </row>
    <row r="506" spans="1:4">
      <c r="A506" t="s">
        <v>1257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1258</v>
      </c>
    </row>
    <row r="507" spans="1:4">
      <c r="A507" t="s">
        <v>1257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1258</v>
      </c>
    </row>
    <row r="508" spans="1:4">
      <c r="A508" t="s">
        <v>1257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1258</v>
      </c>
    </row>
    <row r="509" spans="1:4">
      <c r="A509" t="s">
        <v>1257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1258</v>
      </c>
    </row>
    <row r="510" spans="1:4">
      <c r="A510" t="s">
        <v>1257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1258</v>
      </c>
    </row>
    <row r="511" spans="1:4">
      <c r="A511" t="s">
        <v>1257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1258</v>
      </c>
    </row>
    <row r="512" spans="1:4">
      <c r="A512" t="s">
        <v>1257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1258</v>
      </c>
    </row>
    <row r="513" spans="1:4">
      <c r="A513" t="s">
        <v>1257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1258</v>
      </c>
    </row>
    <row r="514" spans="1:4">
      <c r="A514" t="s">
        <v>1257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1258</v>
      </c>
    </row>
    <row r="515" spans="1:4">
      <c r="A515" t="s">
        <v>1257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1258</v>
      </c>
    </row>
    <row r="516" spans="1:4">
      <c r="A516" t="s">
        <v>1257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1258</v>
      </c>
    </row>
    <row r="517" spans="1:4">
      <c r="A517" t="s">
        <v>1257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1258</v>
      </c>
    </row>
    <row r="518" spans="1:4">
      <c r="A518" t="s">
        <v>1257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1258</v>
      </c>
    </row>
    <row r="519" spans="1:4">
      <c r="A519" t="s">
        <v>1257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1258</v>
      </c>
    </row>
    <row r="520" spans="1:4">
      <c r="A520" t="s">
        <v>1257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1258</v>
      </c>
    </row>
    <row r="521" spans="1:4">
      <c r="A521" t="s">
        <v>1257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1258</v>
      </c>
    </row>
    <row r="522" spans="1:4">
      <c r="A522" t="s">
        <v>1257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1258</v>
      </c>
    </row>
    <row r="523" spans="1:4">
      <c r="A523" t="s">
        <v>1257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1258</v>
      </c>
    </row>
    <row r="524" spans="1:4">
      <c r="A524" t="s">
        <v>1257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1258</v>
      </c>
    </row>
    <row r="525" spans="1:4">
      <c r="A525" t="s">
        <v>1257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1258</v>
      </c>
    </row>
    <row r="526" spans="1:4">
      <c r="A526" t="s">
        <v>1257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1258</v>
      </c>
    </row>
    <row r="527" spans="1:4">
      <c r="A527" t="s">
        <v>1257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1258</v>
      </c>
    </row>
    <row r="528" spans="1:4">
      <c r="A528" t="s">
        <v>1257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1258</v>
      </c>
    </row>
    <row r="529" spans="1:4">
      <c r="A529" t="s">
        <v>1257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1258</v>
      </c>
    </row>
    <row r="530" spans="1:4">
      <c r="A530" t="s">
        <v>1257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1258</v>
      </c>
    </row>
    <row r="531" spans="1:4">
      <c r="A531" t="s">
        <v>1257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1258</v>
      </c>
    </row>
    <row r="532" spans="1:4">
      <c r="A532" t="s">
        <v>1257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1258</v>
      </c>
    </row>
    <row r="533" spans="1:4">
      <c r="A533" t="s">
        <v>1257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1258</v>
      </c>
    </row>
    <row r="534" spans="1:4">
      <c r="A534" t="s">
        <v>1257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1258</v>
      </c>
    </row>
    <row r="535" spans="1:4">
      <c r="A535" t="s">
        <v>1257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1258</v>
      </c>
    </row>
    <row r="536" spans="1:4">
      <c r="A536" t="s">
        <v>1257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1258</v>
      </c>
    </row>
    <row r="537" spans="1:4">
      <c r="A537" t="s">
        <v>1257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1258</v>
      </c>
    </row>
    <row r="538" spans="1:4">
      <c r="A538" t="s">
        <v>1257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1258</v>
      </c>
    </row>
    <row r="539" spans="1:4">
      <c r="A539" t="s">
        <v>1257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1258</v>
      </c>
    </row>
    <row r="540" spans="1:4">
      <c r="A540" t="s">
        <v>1257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1258</v>
      </c>
    </row>
    <row r="541" spans="1:4">
      <c r="A541" t="s">
        <v>1257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1258</v>
      </c>
    </row>
    <row r="542" spans="1:4">
      <c r="A542" t="s">
        <v>1257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1258</v>
      </c>
    </row>
    <row r="543" spans="1:4">
      <c r="A543" t="s">
        <v>1257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1258</v>
      </c>
    </row>
    <row r="544" spans="1:4">
      <c r="A544" t="s">
        <v>1257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1258</v>
      </c>
    </row>
    <row r="545" spans="1:4">
      <c r="A545" t="s">
        <v>1257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1258</v>
      </c>
    </row>
    <row r="546" spans="1:4">
      <c r="A546" t="s">
        <v>1257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1258</v>
      </c>
    </row>
    <row r="547" spans="1:4">
      <c r="A547" t="s">
        <v>1257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1258</v>
      </c>
    </row>
    <row r="548" spans="1:4">
      <c r="A548" t="s">
        <v>1257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1258</v>
      </c>
    </row>
    <row r="549" spans="1:4">
      <c r="A549" t="s">
        <v>1257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1258</v>
      </c>
    </row>
    <row r="550" spans="1:4">
      <c r="A550" t="s">
        <v>1257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1258</v>
      </c>
    </row>
    <row r="551" spans="1:4">
      <c r="A551" t="s">
        <v>1257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1258</v>
      </c>
    </row>
    <row r="552" spans="1:4">
      <c r="A552" t="s">
        <v>1257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1258</v>
      </c>
    </row>
    <row r="553" spans="1:4">
      <c r="A553" t="s">
        <v>1257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1258</v>
      </c>
    </row>
    <row r="554" spans="1:4">
      <c r="A554" t="s">
        <v>1257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1258</v>
      </c>
    </row>
    <row r="555" spans="1:4">
      <c r="A555" t="s">
        <v>1257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1258</v>
      </c>
    </row>
    <row r="556" spans="1:4">
      <c r="A556" t="s">
        <v>1257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1258</v>
      </c>
    </row>
    <row r="557" spans="1:4">
      <c r="A557" t="s">
        <v>1257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1258</v>
      </c>
    </row>
    <row r="558" spans="1:4">
      <c r="A558" t="s">
        <v>1257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1258</v>
      </c>
    </row>
    <row r="559" spans="1:4">
      <c r="A559" t="s">
        <v>1257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1258</v>
      </c>
    </row>
    <row r="560" spans="1:4">
      <c r="A560" t="s">
        <v>1257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1258</v>
      </c>
    </row>
    <row r="561" spans="1:4">
      <c r="A561" t="s">
        <v>1257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1258</v>
      </c>
    </row>
    <row r="562" spans="1:4">
      <c r="A562" t="s">
        <v>1257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1258</v>
      </c>
    </row>
    <row r="563" spans="1:4">
      <c r="A563" t="s">
        <v>1257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1258</v>
      </c>
    </row>
    <row r="564" spans="1:4">
      <c r="A564" t="s">
        <v>1257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1258</v>
      </c>
    </row>
    <row r="565" spans="1:4">
      <c r="A565" t="s">
        <v>1257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1258</v>
      </c>
    </row>
    <row r="566" spans="1:4">
      <c r="A566" t="s">
        <v>1257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1258</v>
      </c>
    </row>
    <row r="567" spans="1:4">
      <c r="A567" t="s">
        <v>1257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1258</v>
      </c>
    </row>
    <row r="568" spans="1:4">
      <c r="A568" t="s">
        <v>1257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1258</v>
      </c>
    </row>
    <row r="569" spans="1:4">
      <c r="A569" t="s">
        <v>1257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1258</v>
      </c>
    </row>
    <row r="570" spans="1:4">
      <c r="A570" t="s">
        <v>1257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1258</v>
      </c>
    </row>
    <row r="571" spans="1:4">
      <c r="A571" t="s">
        <v>1257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1258</v>
      </c>
    </row>
    <row r="572" spans="1:4">
      <c r="A572" t="s">
        <v>1257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1258</v>
      </c>
    </row>
    <row r="573" spans="1:4">
      <c r="A573" t="s">
        <v>1257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1258</v>
      </c>
    </row>
    <row r="574" spans="1:4">
      <c r="A574" t="s">
        <v>1257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1258</v>
      </c>
    </row>
    <row r="575" spans="1:4">
      <c r="A575" t="s">
        <v>1257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1258</v>
      </c>
    </row>
    <row r="576" spans="1:4">
      <c r="A576" t="s">
        <v>1257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1258</v>
      </c>
    </row>
    <row r="577" spans="1:4">
      <c r="A577" t="s">
        <v>1257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1258</v>
      </c>
    </row>
    <row r="578" spans="1:4">
      <c r="A578" t="s">
        <v>1257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1258</v>
      </c>
    </row>
    <row r="579" spans="1:4">
      <c r="A579" t="s">
        <v>1257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1258</v>
      </c>
    </row>
    <row r="580" spans="1:4">
      <c r="A580" t="s">
        <v>1257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1258</v>
      </c>
    </row>
    <row r="581" spans="1:4">
      <c r="A581" t="s">
        <v>1257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1258</v>
      </c>
    </row>
    <row r="582" spans="1:4">
      <c r="A582" t="s">
        <v>1257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1258</v>
      </c>
    </row>
    <row r="583" spans="1:4">
      <c r="A583" t="s">
        <v>1257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1258</v>
      </c>
    </row>
    <row r="584" spans="1:4">
      <c r="A584" t="s">
        <v>1257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1258</v>
      </c>
    </row>
    <row r="585" spans="1:4">
      <c r="A585" t="s">
        <v>1257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1258</v>
      </c>
    </row>
    <row r="586" spans="1:4">
      <c r="A586" t="s">
        <v>1257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1258</v>
      </c>
    </row>
    <row r="587" spans="1:4">
      <c r="A587" t="s">
        <v>1257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1258</v>
      </c>
    </row>
    <row r="588" spans="1:4">
      <c r="A588" t="s">
        <v>1257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1258</v>
      </c>
    </row>
    <row r="589" spans="1:4">
      <c r="A589" t="s">
        <v>1257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1258</v>
      </c>
    </row>
    <row r="590" spans="1:4">
      <c r="A590" t="s">
        <v>1257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1258</v>
      </c>
    </row>
    <row r="591" spans="1:4">
      <c r="A591" t="s">
        <v>1257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1258</v>
      </c>
    </row>
    <row r="592" spans="1:4">
      <c r="A592" t="s">
        <v>1257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1258</v>
      </c>
    </row>
    <row r="593" spans="1:4">
      <c r="A593" t="s">
        <v>1257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1258</v>
      </c>
    </row>
    <row r="594" spans="1:4">
      <c r="A594" t="s">
        <v>1257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1258</v>
      </c>
    </row>
    <row r="595" spans="1:4">
      <c r="A595" t="s">
        <v>1257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1258</v>
      </c>
    </row>
    <row r="596" spans="1:4">
      <c r="A596" t="s">
        <v>1257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1258</v>
      </c>
    </row>
    <row r="597" spans="1:4">
      <c r="A597" t="s">
        <v>1257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1258</v>
      </c>
    </row>
    <row r="598" spans="1:4">
      <c r="A598" t="s">
        <v>1257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1258</v>
      </c>
    </row>
    <row r="599" spans="1:4">
      <c r="A599" t="s">
        <v>1257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1258</v>
      </c>
    </row>
    <row r="600" spans="1:4">
      <c r="A600" t="s">
        <v>1257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1258</v>
      </c>
    </row>
    <row r="601" spans="1:4">
      <c r="A601" t="s">
        <v>1257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1258</v>
      </c>
    </row>
    <row r="602" spans="1:4">
      <c r="A602" t="s">
        <v>1257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1258</v>
      </c>
    </row>
    <row r="603" spans="1:4">
      <c r="A603" t="s">
        <v>1257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1258</v>
      </c>
    </row>
    <row r="604" spans="1:4">
      <c r="A604" t="s">
        <v>1257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1258</v>
      </c>
    </row>
    <row r="605" spans="1:4">
      <c r="A605" t="s">
        <v>1257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1258</v>
      </c>
    </row>
    <row r="606" spans="1:4">
      <c r="A606" t="s">
        <v>1257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1258</v>
      </c>
    </row>
    <row r="607" spans="1:4">
      <c r="A607" t="s">
        <v>1257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1258</v>
      </c>
    </row>
    <row r="608" spans="1:4">
      <c r="A608" t="s">
        <v>1257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1258</v>
      </c>
    </row>
    <row r="609" spans="1:4">
      <c r="A609" t="s">
        <v>1257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1258</v>
      </c>
    </row>
    <row r="610" spans="1:4">
      <c r="A610" t="s">
        <v>1257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1258</v>
      </c>
    </row>
    <row r="611" spans="1:4">
      <c r="A611" t="s">
        <v>1257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1258</v>
      </c>
    </row>
    <row r="612" spans="1:4">
      <c r="A612" t="s">
        <v>1257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1258</v>
      </c>
    </row>
    <row r="613" spans="1:4">
      <c r="A613" t="s">
        <v>1257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1258</v>
      </c>
    </row>
    <row r="614" spans="1:4">
      <c r="A614" t="s">
        <v>1257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1258</v>
      </c>
    </row>
    <row r="615" spans="1:4">
      <c r="A615" t="s">
        <v>1257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1258</v>
      </c>
    </row>
    <row r="616" spans="1:4">
      <c r="A616" t="s">
        <v>1257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1258</v>
      </c>
    </row>
    <row r="617" spans="1:4">
      <c r="A617" t="s">
        <v>1257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1258</v>
      </c>
    </row>
    <row r="618" spans="1:4">
      <c r="A618" t="s">
        <v>1257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1258</v>
      </c>
    </row>
    <row r="619" spans="1:4">
      <c r="A619" t="s">
        <v>1257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1258</v>
      </c>
    </row>
    <row r="620" spans="1:4">
      <c r="A620" t="s">
        <v>1257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1258</v>
      </c>
    </row>
    <row r="621" spans="1:4">
      <c r="A621" t="s">
        <v>1257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1258</v>
      </c>
    </row>
    <row r="622" spans="1:4">
      <c r="A622" t="s">
        <v>1257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1258</v>
      </c>
    </row>
    <row r="623" spans="1:4">
      <c r="A623" t="s">
        <v>1257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1258</v>
      </c>
    </row>
    <row r="624" spans="1:4">
      <c r="A624" t="s">
        <v>1257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1258</v>
      </c>
    </row>
    <row r="625" spans="1:4">
      <c r="A625" t="s">
        <v>1257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1258</v>
      </c>
    </row>
    <row r="626" spans="1:4">
      <c r="A626" t="s">
        <v>1257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1258</v>
      </c>
    </row>
    <row r="627" spans="1:4">
      <c r="A627" t="s">
        <v>1257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1258</v>
      </c>
    </row>
    <row r="628" spans="1:4">
      <c r="A628" t="s">
        <v>1257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1258</v>
      </c>
    </row>
    <row r="629" spans="1:4">
      <c r="A629" t="s">
        <v>1257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1258</v>
      </c>
    </row>
    <row r="630" spans="1:4">
      <c r="A630" t="s">
        <v>1257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1258</v>
      </c>
    </row>
    <row r="631" spans="1:4">
      <c r="A631" t="s">
        <v>1257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1258</v>
      </c>
    </row>
    <row r="632" spans="1:4">
      <c r="A632" t="s">
        <v>1257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1258</v>
      </c>
    </row>
    <row r="633" spans="1:4">
      <c r="A633" t="s">
        <v>1257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1258</v>
      </c>
    </row>
    <row r="634" spans="1:4">
      <c r="A634" t="s">
        <v>1257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1258</v>
      </c>
    </row>
    <row r="635" spans="1:4">
      <c r="A635" t="s">
        <v>1257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1258</v>
      </c>
    </row>
    <row r="636" spans="1:4">
      <c r="A636" t="s">
        <v>1257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1258</v>
      </c>
    </row>
    <row r="637" spans="1:4">
      <c r="A637" t="s">
        <v>1257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1258</v>
      </c>
    </row>
    <row r="638" spans="1:4">
      <c r="A638" t="s">
        <v>1257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1258</v>
      </c>
    </row>
    <row r="639" spans="1:4">
      <c r="A639" t="s">
        <v>1257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1258</v>
      </c>
    </row>
    <row r="640" spans="1:4">
      <c r="A640" t="s">
        <v>1257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1258</v>
      </c>
    </row>
    <row r="641" spans="1:4">
      <c r="A641" t="s">
        <v>1257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1258</v>
      </c>
    </row>
    <row r="642" spans="1:4">
      <c r="A642" t="s">
        <v>1257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1258</v>
      </c>
    </row>
    <row r="643" spans="1:4">
      <c r="A643" t="s">
        <v>1257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1258</v>
      </c>
    </row>
    <row r="644" spans="1:4">
      <c r="A644" t="s">
        <v>1257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1258</v>
      </c>
    </row>
    <row r="645" spans="1:4">
      <c r="A645" t="s">
        <v>1257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1258</v>
      </c>
    </row>
    <row r="646" spans="1:4">
      <c r="A646" t="s">
        <v>1257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1258</v>
      </c>
    </row>
    <row r="647" spans="1:4">
      <c r="A647" t="s">
        <v>1257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1258</v>
      </c>
    </row>
    <row r="648" spans="1:4">
      <c r="A648" t="s">
        <v>1257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1258</v>
      </c>
    </row>
    <row r="649" spans="1:4">
      <c r="A649" t="s">
        <v>1257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1258</v>
      </c>
    </row>
    <row r="650" spans="1:4">
      <c r="A650" t="s">
        <v>1257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1258</v>
      </c>
    </row>
    <row r="651" spans="1:4">
      <c r="A651" t="s">
        <v>1257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1258</v>
      </c>
    </row>
    <row r="652" spans="1:4">
      <c r="A652" t="s">
        <v>1257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1258</v>
      </c>
    </row>
    <row r="653" spans="1:4">
      <c r="A653" t="s">
        <v>1257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1258</v>
      </c>
    </row>
    <row r="654" spans="1:4">
      <c r="A654" t="s">
        <v>1257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1258</v>
      </c>
    </row>
    <row r="655" spans="1:4">
      <c r="A655" t="s">
        <v>1257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1258</v>
      </c>
    </row>
    <row r="656" spans="1:4">
      <c r="A656" t="s">
        <v>1257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1258</v>
      </c>
    </row>
    <row r="657" spans="1:4">
      <c r="A657" t="s">
        <v>1257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1258</v>
      </c>
    </row>
    <row r="658" spans="1:4">
      <c r="A658" t="s">
        <v>1257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1258</v>
      </c>
    </row>
    <row r="659" spans="1:4">
      <c r="A659" t="s">
        <v>1257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1258</v>
      </c>
    </row>
    <row r="660" spans="1:4">
      <c r="A660" t="s">
        <v>1257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1258</v>
      </c>
    </row>
    <row r="661" spans="1:4">
      <c r="A661" t="s">
        <v>1257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1258</v>
      </c>
    </row>
    <row r="662" spans="1:4">
      <c r="A662" t="s">
        <v>1257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1258</v>
      </c>
    </row>
    <row r="663" spans="1:4">
      <c r="A663" t="s">
        <v>1257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1258</v>
      </c>
    </row>
    <row r="664" spans="1:4">
      <c r="A664" t="s">
        <v>1257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1258</v>
      </c>
    </row>
    <row r="665" spans="1:4">
      <c r="A665" t="s">
        <v>1257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1258</v>
      </c>
    </row>
    <row r="666" spans="1:4">
      <c r="A666" t="s">
        <v>1257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1258</v>
      </c>
    </row>
    <row r="667" spans="1:4">
      <c r="A667" t="s">
        <v>1257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1258</v>
      </c>
    </row>
    <row r="668" spans="1:4">
      <c r="A668" t="s">
        <v>1257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1258</v>
      </c>
    </row>
    <row r="669" spans="1:4">
      <c r="A669" t="s">
        <v>1257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1258</v>
      </c>
    </row>
    <row r="670" spans="1:4">
      <c r="A670" t="s">
        <v>1257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1258</v>
      </c>
    </row>
    <row r="671" spans="1:4">
      <c r="A671" t="s">
        <v>1257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1258</v>
      </c>
    </row>
    <row r="672" spans="1:4">
      <c r="A672" t="s">
        <v>1257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1258</v>
      </c>
    </row>
    <row r="673" spans="1:4">
      <c r="A673" t="s">
        <v>1257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1258</v>
      </c>
    </row>
    <row r="674" spans="1:4">
      <c r="A674" t="s">
        <v>1257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1258</v>
      </c>
    </row>
    <row r="675" spans="1:4">
      <c r="A675" t="s">
        <v>1257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1258</v>
      </c>
    </row>
    <row r="676" spans="1:4">
      <c r="A676" t="s">
        <v>1257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1258</v>
      </c>
    </row>
    <row r="677" spans="1:4">
      <c r="A677" t="s">
        <v>1257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1258</v>
      </c>
    </row>
    <row r="678" spans="1:4">
      <c r="A678" t="s">
        <v>1257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1258</v>
      </c>
    </row>
    <row r="679" spans="1:4">
      <c r="A679" t="s">
        <v>1257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1258</v>
      </c>
    </row>
    <row r="680" spans="1:4">
      <c r="A680" t="s">
        <v>1257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1258</v>
      </c>
    </row>
    <row r="681" spans="1:4">
      <c r="A681" t="s">
        <v>1257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1258</v>
      </c>
    </row>
    <row r="682" spans="1:4">
      <c r="A682" t="s">
        <v>1257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1258</v>
      </c>
    </row>
    <row r="683" spans="1:4">
      <c r="A683" t="s">
        <v>1257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1258</v>
      </c>
    </row>
    <row r="684" spans="1:4">
      <c r="A684" t="s">
        <v>1257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1258</v>
      </c>
    </row>
    <row r="685" spans="1:4">
      <c r="A685" t="s">
        <v>1257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1258</v>
      </c>
    </row>
    <row r="686" spans="1:4">
      <c r="A686" t="s">
        <v>1257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1258</v>
      </c>
    </row>
    <row r="687" spans="1:4">
      <c r="A687" t="s">
        <v>1257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1258</v>
      </c>
    </row>
    <row r="688" spans="1:4">
      <c r="A688" t="s">
        <v>1257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1258</v>
      </c>
    </row>
    <row r="689" spans="1:4">
      <c r="A689" t="s">
        <v>1257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1258</v>
      </c>
    </row>
    <row r="690" spans="1:4">
      <c r="A690" t="s">
        <v>1257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1258</v>
      </c>
    </row>
    <row r="691" spans="1:4">
      <c r="A691" t="s">
        <v>1257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1258</v>
      </c>
    </row>
    <row r="692" spans="1:4">
      <c r="A692" t="s">
        <v>1257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1258</v>
      </c>
    </row>
    <row r="693" spans="1:4">
      <c r="A693" t="s">
        <v>1257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1258</v>
      </c>
    </row>
    <row r="694" spans="1:4">
      <c r="A694" t="s">
        <v>1257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1258</v>
      </c>
    </row>
    <row r="695" spans="1:4">
      <c r="A695" t="s">
        <v>1257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1258</v>
      </c>
    </row>
    <row r="696" spans="1:4">
      <c r="A696" t="s">
        <v>1257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1258</v>
      </c>
    </row>
    <row r="697" spans="1:4">
      <c r="A697" t="s">
        <v>1257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1258</v>
      </c>
    </row>
    <row r="698" spans="1:4">
      <c r="A698" t="s">
        <v>1257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1258</v>
      </c>
    </row>
    <row r="699" spans="1:4">
      <c r="A699" t="s">
        <v>1257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1258</v>
      </c>
    </row>
    <row r="700" spans="1:4">
      <c r="A700" t="s">
        <v>1257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1258</v>
      </c>
    </row>
    <row r="701" spans="1:4">
      <c r="A701" t="s">
        <v>1257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1258</v>
      </c>
    </row>
    <row r="702" spans="1:4">
      <c r="A702" t="s">
        <v>1257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1258</v>
      </c>
    </row>
    <row r="703" spans="1:4">
      <c r="A703" t="s">
        <v>1257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1258</v>
      </c>
    </row>
    <row r="704" spans="1:4">
      <c r="A704" t="s">
        <v>1257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1258</v>
      </c>
    </row>
    <row r="705" spans="1:4">
      <c r="A705" t="s">
        <v>1257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1258</v>
      </c>
    </row>
    <row r="706" spans="1:4">
      <c r="A706" t="s">
        <v>1257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1258</v>
      </c>
    </row>
    <row r="707" spans="1:4">
      <c r="A707" t="s">
        <v>1257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1258</v>
      </c>
    </row>
    <row r="708" spans="1:4">
      <c r="A708" t="s">
        <v>1257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1258</v>
      </c>
    </row>
    <row r="709" spans="1:4">
      <c r="A709" t="s">
        <v>1257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1258</v>
      </c>
    </row>
    <row r="710" spans="1:4">
      <c r="A710" t="s">
        <v>1257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1258</v>
      </c>
    </row>
    <row r="711" spans="1:4">
      <c r="A711" t="s">
        <v>1257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1258</v>
      </c>
    </row>
    <row r="712" spans="1:4">
      <c r="A712" t="s">
        <v>1257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1258</v>
      </c>
    </row>
    <row r="713" spans="1:4">
      <c r="A713" t="s">
        <v>1257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1258</v>
      </c>
    </row>
    <row r="714" spans="1:4">
      <c r="A714" t="s">
        <v>1257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1258</v>
      </c>
    </row>
    <row r="715" spans="1:4">
      <c r="A715" t="s">
        <v>1257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1258</v>
      </c>
    </row>
    <row r="716" spans="1:4">
      <c r="A716" t="s">
        <v>1257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1258</v>
      </c>
    </row>
    <row r="717" spans="1:4">
      <c r="A717" t="s">
        <v>1257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1258</v>
      </c>
    </row>
    <row r="718" spans="1:4">
      <c r="A718" t="s">
        <v>1257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1258</v>
      </c>
    </row>
    <row r="719" spans="1:4">
      <c r="A719" t="s">
        <v>1257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1258</v>
      </c>
    </row>
    <row r="720" spans="1:4">
      <c r="A720" t="s">
        <v>1257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1258</v>
      </c>
    </row>
    <row r="721" spans="1:4">
      <c r="A721" t="s">
        <v>1257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1258</v>
      </c>
    </row>
    <row r="722" spans="1:4">
      <c r="A722" t="s">
        <v>1257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1258</v>
      </c>
    </row>
    <row r="723" spans="1:4">
      <c r="A723" t="s">
        <v>1257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1258</v>
      </c>
    </row>
    <row r="724" spans="1:4">
      <c r="A724" t="s">
        <v>1257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1258</v>
      </c>
    </row>
    <row r="725" spans="1:4">
      <c r="A725" t="s">
        <v>1257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1258</v>
      </c>
    </row>
    <row r="726" spans="1:4">
      <c r="A726" t="s">
        <v>1257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1258</v>
      </c>
    </row>
    <row r="727" spans="1:4">
      <c r="A727" t="s">
        <v>1257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1258</v>
      </c>
    </row>
    <row r="728" spans="1:4">
      <c r="A728" t="s">
        <v>1257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1258</v>
      </c>
    </row>
    <row r="729" spans="1:4">
      <c r="A729" t="s">
        <v>1257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1258</v>
      </c>
    </row>
    <row r="730" spans="1:4">
      <c r="A730" t="s">
        <v>1257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1258</v>
      </c>
    </row>
    <row r="731" spans="1:4">
      <c r="A731" t="s">
        <v>1257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1258</v>
      </c>
    </row>
    <row r="732" spans="1:4">
      <c r="A732" t="s">
        <v>1257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1258</v>
      </c>
    </row>
    <row r="733" spans="1:4">
      <c r="A733" t="s">
        <v>1257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1258</v>
      </c>
    </row>
    <row r="734" spans="1:4">
      <c r="A734" t="s">
        <v>1257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1258</v>
      </c>
    </row>
    <row r="735" spans="1:4">
      <c r="A735" t="s">
        <v>1257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1258</v>
      </c>
    </row>
    <row r="736" spans="1:4">
      <c r="A736" t="s">
        <v>1257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1258</v>
      </c>
    </row>
    <row r="737" spans="1:4">
      <c r="A737" t="s">
        <v>1257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1258</v>
      </c>
    </row>
    <row r="738" spans="1:4">
      <c r="A738" t="s">
        <v>1257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1258</v>
      </c>
    </row>
    <row r="739" spans="1:4">
      <c r="A739" t="s">
        <v>1257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1258</v>
      </c>
    </row>
    <row r="740" spans="1:4">
      <c r="A740" t="s">
        <v>1257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1258</v>
      </c>
    </row>
    <row r="741" spans="1:4">
      <c r="A741" t="s">
        <v>1257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1258</v>
      </c>
    </row>
    <row r="742" spans="1:4">
      <c r="A742" t="s">
        <v>1257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1258</v>
      </c>
    </row>
    <row r="743" spans="1:4">
      <c r="A743" t="s">
        <v>1257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1258</v>
      </c>
    </row>
    <row r="744" spans="1:4">
      <c r="A744" t="s">
        <v>1257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1258</v>
      </c>
    </row>
    <row r="745" spans="1:4">
      <c r="A745" t="s">
        <v>1257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1258</v>
      </c>
    </row>
    <row r="746" spans="1:4">
      <c r="A746" t="s">
        <v>1257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1258</v>
      </c>
    </row>
    <row r="747" spans="1:4">
      <c r="A747" t="s">
        <v>1257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1258</v>
      </c>
    </row>
    <row r="748" spans="1:4">
      <c r="A748" t="s">
        <v>1257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1258</v>
      </c>
    </row>
    <row r="749" spans="1:4">
      <c r="A749" t="s">
        <v>1257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1258</v>
      </c>
    </row>
    <row r="750" spans="1:4">
      <c r="A750" t="s">
        <v>1257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1258</v>
      </c>
    </row>
    <row r="751" spans="1:4">
      <c r="A751" t="s">
        <v>1257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1258</v>
      </c>
    </row>
    <row r="752" spans="1:4">
      <c r="A752" t="s">
        <v>1257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1258</v>
      </c>
    </row>
    <row r="753" spans="1:4">
      <c r="A753" t="s">
        <v>1257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1258</v>
      </c>
    </row>
    <row r="754" spans="1:4">
      <c r="A754" t="s">
        <v>1257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1258</v>
      </c>
    </row>
    <row r="755" spans="1:4">
      <c r="A755" t="s">
        <v>1257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1258</v>
      </c>
    </row>
    <row r="756" spans="1:4">
      <c r="A756" t="s">
        <v>1257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1258</v>
      </c>
    </row>
    <row r="757" spans="1:4">
      <c r="A757" t="s">
        <v>1257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1258</v>
      </c>
    </row>
    <row r="758" spans="1:4">
      <c r="A758" t="s">
        <v>1257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1258</v>
      </c>
    </row>
    <row r="759" spans="1:4">
      <c r="A759" t="s">
        <v>1257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1258</v>
      </c>
    </row>
    <row r="760" spans="1:4">
      <c r="A760" t="s">
        <v>1257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1258</v>
      </c>
    </row>
    <row r="761" spans="1:4">
      <c r="A761" t="s">
        <v>1257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1258</v>
      </c>
    </row>
    <row r="762" spans="1:4">
      <c r="A762" t="s">
        <v>1257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1258</v>
      </c>
    </row>
    <row r="763" spans="1:4">
      <c r="A763" t="s">
        <v>1257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1258</v>
      </c>
    </row>
    <row r="764" spans="1:4">
      <c r="A764" t="s">
        <v>1257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1258</v>
      </c>
    </row>
    <row r="765" spans="1:4">
      <c r="A765" t="s">
        <v>1257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1258</v>
      </c>
    </row>
    <row r="766" spans="1:4">
      <c r="A766" t="s">
        <v>1257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1258</v>
      </c>
    </row>
    <row r="767" spans="1:4">
      <c r="A767" t="s">
        <v>1257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1258</v>
      </c>
    </row>
    <row r="768" spans="1:4">
      <c r="A768" t="s">
        <v>1257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1258</v>
      </c>
    </row>
    <row r="769" spans="1:4">
      <c r="A769" t="s">
        <v>1257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1258</v>
      </c>
    </row>
    <row r="770" spans="1:4">
      <c r="A770" t="s">
        <v>1257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1258</v>
      </c>
    </row>
    <row r="771" spans="1:4">
      <c r="A771" t="s">
        <v>1257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1258</v>
      </c>
    </row>
    <row r="772" spans="1:4">
      <c r="A772" t="s">
        <v>1257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1258</v>
      </c>
    </row>
    <row r="773" spans="1:4">
      <c r="A773" t="s">
        <v>1257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1258</v>
      </c>
    </row>
    <row r="774" spans="1:4">
      <c r="A774" t="s">
        <v>1257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1258</v>
      </c>
    </row>
    <row r="775" spans="1:4">
      <c r="A775" t="s">
        <v>1257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1258</v>
      </c>
    </row>
    <row r="776" spans="1:4">
      <c r="A776" t="s">
        <v>1257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1258</v>
      </c>
    </row>
    <row r="777" spans="1:4">
      <c r="A777" t="s">
        <v>1257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1258</v>
      </c>
    </row>
    <row r="778" spans="1:4">
      <c r="A778" t="s">
        <v>1257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1258</v>
      </c>
    </row>
    <row r="779" spans="1:4">
      <c r="A779" t="s">
        <v>1257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1258</v>
      </c>
    </row>
    <row r="780" spans="1:4">
      <c r="A780" t="s">
        <v>1257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1258</v>
      </c>
    </row>
    <row r="781" spans="1:4">
      <c r="A781" t="s">
        <v>1257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1258</v>
      </c>
    </row>
    <row r="782" spans="1:4">
      <c r="A782" t="s">
        <v>1257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1258</v>
      </c>
    </row>
    <row r="783" spans="1:4">
      <c r="A783" t="s">
        <v>1257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1258</v>
      </c>
    </row>
    <row r="784" spans="1:4">
      <c r="A784" t="s">
        <v>1257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1258</v>
      </c>
    </row>
    <row r="785" spans="1:4">
      <c r="A785" t="s">
        <v>1257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1258</v>
      </c>
    </row>
    <row r="786" spans="1:4">
      <c r="A786" t="s">
        <v>1257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1258</v>
      </c>
    </row>
    <row r="787" spans="1:4">
      <c r="A787" t="s">
        <v>1257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1258</v>
      </c>
    </row>
    <row r="788" spans="1:4">
      <c r="A788" t="s">
        <v>1257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1258</v>
      </c>
    </row>
    <row r="789" spans="1:4">
      <c r="A789" t="s">
        <v>1257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1258</v>
      </c>
    </row>
    <row r="790" spans="1:4">
      <c r="A790" t="s">
        <v>1257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1258</v>
      </c>
    </row>
    <row r="791" spans="1:4">
      <c r="A791" t="s">
        <v>1257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1258</v>
      </c>
    </row>
    <row r="792" spans="1:4">
      <c r="A792" t="s">
        <v>1257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1258</v>
      </c>
    </row>
    <row r="793" spans="1:4">
      <c r="A793" t="s">
        <v>1257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1258</v>
      </c>
    </row>
    <row r="794" spans="1:4">
      <c r="A794" t="s">
        <v>1257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1258</v>
      </c>
    </row>
    <row r="795" spans="1:4">
      <c r="A795" t="s">
        <v>1257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1258</v>
      </c>
    </row>
    <row r="796" spans="1:4">
      <c r="A796" t="s">
        <v>1257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1258</v>
      </c>
    </row>
    <row r="797" spans="1:4">
      <c r="A797" t="s">
        <v>1257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1258</v>
      </c>
    </row>
    <row r="798" spans="1:4">
      <c r="A798" t="s">
        <v>1257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1258</v>
      </c>
    </row>
    <row r="799" spans="1:4">
      <c r="A799" t="s">
        <v>1257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1258</v>
      </c>
    </row>
    <row r="800" spans="1:4">
      <c r="A800" t="s">
        <v>1257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1258</v>
      </c>
    </row>
    <row r="801" spans="1:4">
      <c r="A801" t="s">
        <v>1257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1258</v>
      </c>
    </row>
    <row r="802" spans="1:4">
      <c r="A802" t="s">
        <v>1257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1258</v>
      </c>
    </row>
    <row r="803" spans="1:4">
      <c r="A803" t="s">
        <v>1257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1258</v>
      </c>
    </row>
    <row r="804" spans="1:4">
      <c r="A804" t="s">
        <v>1257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1258</v>
      </c>
    </row>
    <row r="805" spans="1:4">
      <c r="A805" t="s">
        <v>1257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1258</v>
      </c>
    </row>
    <row r="806" spans="1:4">
      <c r="A806" t="s">
        <v>1257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1258</v>
      </c>
    </row>
    <row r="807" spans="1:4">
      <c r="A807" t="s">
        <v>1257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1258</v>
      </c>
    </row>
    <row r="808" spans="1:4">
      <c r="A808" t="s">
        <v>1257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1258</v>
      </c>
    </row>
    <row r="809" spans="1:4">
      <c r="A809" t="s">
        <v>1257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1258</v>
      </c>
    </row>
    <row r="810" spans="1:4">
      <c r="A810" t="s">
        <v>1257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1258</v>
      </c>
    </row>
    <row r="811" spans="1:4">
      <c r="A811" t="s">
        <v>1257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1258</v>
      </c>
    </row>
    <row r="812" spans="1:4">
      <c r="A812" t="s">
        <v>1257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1258</v>
      </c>
    </row>
    <row r="813" spans="1:4">
      <c r="A813" t="s">
        <v>1257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1258</v>
      </c>
    </row>
    <row r="814" spans="1:4">
      <c r="A814" t="s">
        <v>1257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1258</v>
      </c>
    </row>
    <row r="815" spans="1:4">
      <c r="A815" t="s">
        <v>1257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1258</v>
      </c>
    </row>
    <row r="816" spans="1:4">
      <c r="A816" t="s">
        <v>1257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1258</v>
      </c>
    </row>
    <row r="817" spans="1:4">
      <c r="A817" t="s">
        <v>1257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1258</v>
      </c>
    </row>
    <row r="818" spans="1:4">
      <c r="A818" t="s">
        <v>1257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1258</v>
      </c>
    </row>
    <row r="819" spans="1:4">
      <c r="A819" t="s">
        <v>1257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1258</v>
      </c>
    </row>
    <row r="820" spans="1:4">
      <c r="A820" t="s">
        <v>1257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1258</v>
      </c>
    </row>
    <row r="821" spans="1:4">
      <c r="A821" t="s">
        <v>1257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1258</v>
      </c>
    </row>
    <row r="822" spans="1:4">
      <c r="A822" t="s">
        <v>1257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1258</v>
      </c>
    </row>
    <row r="823" spans="1:4">
      <c r="A823" t="s">
        <v>1257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1258</v>
      </c>
    </row>
    <row r="824" spans="1:4">
      <c r="A824" t="s">
        <v>1257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1258</v>
      </c>
    </row>
    <row r="825" spans="1:4">
      <c r="A825" t="s">
        <v>1257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1258</v>
      </c>
    </row>
    <row r="826" spans="1:4">
      <c r="A826" t="s">
        <v>1257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1258</v>
      </c>
    </row>
    <row r="827" spans="1:4">
      <c r="A827" t="s">
        <v>1257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1258</v>
      </c>
    </row>
    <row r="828" spans="1:4">
      <c r="A828" t="s">
        <v>1257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1258</v>
      </c>
    </row>
    <row r="829" spans="1:4">
      <c r="A829" t="s">
        <v>1257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1258</v>
      </c>
    </row>
    <row r="830" spans="1:4">
      <c r="A830" t="s">
        <v>1257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1258</v>
      </c>
    </row>
    <row r="831" spans="1:4">
      <c r="A831" t="s">
        <v>1257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1258</v>
      </c>
    </row>
    <row r="832" spans="1:4">
      <c r="A832" t="s">
        <v>1257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1258</v>
      </c>
    </row>
    <row r="833" spans="1:4">
      <c r="A833" t="s">
        <v>1257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1258</v>
      </c>
    </row>
    <row r="834" spans="1:4">
      <c r="A834" t="s">
        <v>1257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1258</v>
      </c>
    </row>
    <row r="835" spans="1:4">
      <c r="A835" t="s">
        <v>1257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1258</v>
      </c>
    </row>
    <row r="836" spans="1:4">
      <c r="A836" t="s">
        <v>1257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1258</v>
      </c>
    </row>
    <row r="837" spans="1:4">
      <c r="A837" t="s">
        <v>1257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1258</v>
      </c>
    </row>
    <row r="838" spans="1:4">
      <c r="A838" t="s">
        <v>1257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1258</v>
      </c>
    </row>
    <row r="839" spans="1:4">
      <c r="A839" t="s">
        <v>1257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1258</v>
      </c>
    </row>
    <row r="840" spans="1:4">
      <c r="A840" t="s">
        <v>1257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1258</v>
      </c>
    </row>
    <row r="841" spans="1:4">
      <c r="A841" t="s">
        <v>1257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1258</v>
      </c>
    </row>
    <row r="842" spans="1:4">
      <c r="A842" t="s">
        <v>1257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1258</v>
      </c>
    </row>
    <row r="843" spans="1:4">
      <c r="A843" t="s">
        <v>1257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1258</v>
      </c>
    </row>
    <row r="844" spans="1:4">
      <c r="A844" t="s">
        <v>1257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1258</v>
      </c>
    </row>
    <row r="845" spans="1:4">
      <c r="A845" t="s">
        <v>1257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1258</v>
      </c>
    </row>
    <row r="846" spans="1:4">
      <c r="A846" t="s">
        <v>1257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1258</v>
      </c>
    </row>
    <row r="847" spans="1:4">
      <c r="A847" t="s">
        <v>1257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1258</v>
      </c>
    </row>
    <row r="848" spans="1:4">
      <c r="A848" t="s">
        <v>1257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1258</v>
      </c>
    </row>
    <row r="849" spans="1:4">
      <c r="A849" t="s">
        <v>1257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1258</v>
      </c>
    </row>
    <row r="850" spans="1:4">
      <c r="A850" t="s">
        <v>1257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1258</v>
      </c>
    </row>
    <row r="851" spans="1:4">
      <c r="A851" t="s">
        <v>1257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1258</v>
      </c>
    </row>
    <row r="852" spans="1:4">
      <c r="A852" t="s">
        <v>1257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1258</v>
      </c>
    </row>
    <row r="853" spans="1:4">
      <c r="A853" t="s">
        <v>1257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1258</v>
      </c>
    </row>
    <row r="854" spans="1:4">
      <c r="A854" t="s">
        <v>1257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1258</v>
      </c>
    </row>
    <row r="855" spans="1:4">
      <c r="A855" t="s">
        <v>1257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1258</v>
      </c>
    </row>
    <row r="856" spans="1:4">
      <c r="A856" t="s">
        <v>1257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1258</v>
      </c>
    </row>
    <row r="857" spans="1:4">
      <c r="A857" t="s">
        <v>1257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1258</v>
      </c>
    </row>
    <row r="858" spans="1:4">
      <c r="A858" t="s">
        <v>1257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1258</v>
      </c>
    </row>
    <row r="859" spans="1:4">
      <c r="A859" t="s">
        <v>1257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1258</v>
      </c>
    </row>
    <row r="860" spans="1:4">
      <c r="A860" t="s">
        <v>1257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1258</v>
      </c>
    </row>
    <row r="861" spans="1:4">
      <c r="A861" t="s">
        <v>1257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1258</v>
      </c>
    </row>
    <row r="862" spans="1:4">
      <c r="A862" t="s">
        <v>1257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1258</v>
      </c>
    </row>
    <row r="863" spans="1:4">
      <c r="A863" t="s">
        <v>1257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1258</v>
      </c>
    </row>
    <row r="864" spans="1:4">
      <c r="A864" t="s">
        <v>1257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1258</v>
      </c>
    </row>
    <row r="865" spans="1:4">
      <c r="A865" t="s">
        <v>1257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1258</v>
      </c>
    </row>
    <row r="866" spans="1:4">
      <c r="A866" t="s">
        <v>1257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1258</v>
      </c>
    </row>
    <row r="867" spans="1:4">
      <c r="A867" t="s">
        <v>1257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1258</v>
      </c>
    </row>
    <row r="868" spans="1:4">
      <c r="A868" t="s">
        <v>1257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1258</v>
      </c>
    </row>
    <row r="869" spans="1:4">
      <c r="A869" t="s">
        <v>1257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1258</v>
      </c>
    </row>
    <row r="870" spans="1:4">
      <c r="A870" t="s">
        <v>1257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1258</v>
      </c>
    </row>
    <row r="871" spans="1:4">
      <c r="A871" t="s">
        <v>1257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1258</v>
      </c>
    </row>
    <row r="872" spans="1:4">
      <c r="A872" t="s">
        <v>1257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1258</v>
      </c>
    </row>
    <row r="873" spans="1:4">
      <c r="A873" t="s">
        <v>1257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1258</v>
      </c>
    </row>
    <row r="874" spans="1:4">
      <c r="A874" t="s">
        <v>1257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1258</v>
      </c>
    </row>
    <row r="875" spans="1:4">
      <c r="A875" t="s">
        <v>1257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1258</v>
      </c>
    </row>
    <row r="876" spans="1:4">
      <c r="A876" t="s">
        <v>1257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1258</v>
      </c>
    </row>
    <row r="877" spans="1:4">
      <c r="A877" t="s">
        <v>1257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1258</v>
      </c>
    </row>
    <row r="878" spans="1:4">
      <c r="A878" t="s">
        <v>1257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1258</v>
      </c>
    </row>
    <row r="879" spans="1:4">
      <c r="A879" t="s">
        <v>1257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1258</v>
      </c>
    </row>
    <row r="880" spans="1:4">
      <c r="A880" t="s">
        <v>1257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1258</v>
      </c>
    </row>
    <row r="881" spans="1:4">
      <c r="A881" t="s">
        <v>1257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1258</v>
      </c>
    </row>
    <row r="882" spans="1:4">
      <c r="A882" t="s">
        <v>1257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1258</v>
      </c>
    </row>
    <row r="883" spans="1:4">
      <c r="A883" t="s">
        <v>1257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1258</v>
      </c>
    </row>
    <row r="884" spans="1:4">
      <c r="A884" t="s">
        <v>1257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1258</v>
      </c>
    </row>
    <row r="885" spans="1:4">
      <c r="A885" t="s">
        <v>1257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1258</v>
      </c>
    </row>
    <row r="886" spans="1:4">
      <c r="A886" t="s">
        <v>1257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1258</v>
      </c>
    </row>
    <row r="887" spans="1:4">
      <c r="A887" t="s">
        <v>1257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1258</v>
      </c>
    </row>
    <row r="888" spans="1:4">
      <c r="A888" t="s">
        <v>1257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1258</v>
      </c>
    </row>
    <row r="889" spans="1:4">
      <c r="A889" t="s">
        <v>1257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1258</v>
      </c>
    </row>
    <row r="890" spans="1:4">
      <c r="A890" t="s">
        <v>1257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1258</v>
      </c>
    </row>
    <row r="891" spans="1:4">
      <c r="A891" t="s">
        <v>1257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1258</v>
      </c>
    </row>
    <row r="892" spans="1:4">
      <c r="A892" t="s">
        <v>1257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1258</v>
      </c>
    </row>
    <row r="893" spans="1:4">
      <c r="A893" t="s">
        <v>1257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1258</v>
      </c>
    </row>
    <row r="894" spans="1:4">
      <c r="A894" t="s">
        <v>1257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1258</v>
      </c>
    </row>
    <row r="895" spans="1:4">
      <c r="A895" t="s">
        <v>1257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1258</v>
      </c>
    </row>
    <row r="896" spans="1:4">
      <c r="A896" t="s">
        <v>1257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1258</v>
      </c>
    </row>
    <row r="897" spans="1:4">
      <c r="A897" t="s">
        <v>1257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1258</v>
      </c>
    </row>
    <row r="898" spans="1:4">
      <c r="A898" t="s">
        <v>1257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1258</v>
      </c>
    </row>
    <row r="899" spans="1:4">
      <c r="A899" t="s">
        <v>1257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1258</v>
      </c>
    </row>
    <row r="900" spans="1:4">
      <c r="A900" t="s">
        <v>1257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1258</v>
      </c>
    </row>
    <row r="901" spans="1:4">
      <c r="A901" t="s">
        <v>1257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1258</v>
      </c>
    </row>
    <row r="902" spans="1:4">
      <c r="A902" t="s">
        <v>1257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1258</v>
      </c>
    </row>
    <row r="903" spans="1:4">
      <c r="A903" t="s">
        <v>1257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1258</v>
      </c>
    </row>
    <row r="904" spans="1:4">
      <c r="A904" t="s">
        <v>1257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1258</v>
      </c>
    </row>
    <row r="905" spans="1:4">
      <c r="A905" t="s">
        <v>1257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1258</v>
      </c>
    </row>
    <row r="906" spans="1:4">
      <c r="A906" t="s">
        <v>1257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1258</v>
      </c>
    </row>
    <row r="907" spans="1:4">
      <c r="A907" t="s">
        <v>1257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1258</v>
      </c>
    </row>
    <row r="908" spans="1:4">
      <c r="A908" t="s">
        <v>1257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1258</v>
      </c>
    </row>
    <row r="909" spans="1:4">
      <c r="A909" t="s">
        <v>1257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1258</v>
      </c>
    </row>
    <row r="910" spans="1:4">
      <c r="A910" t="s">
        <v>1257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1258</v>
      </c>
    </row>
    <row r="911" spans="1:4">
      <c r="A911" t="s">
        <v>1257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1258</v>
      </c>
    </row>
    <row r="912" spans="1:4">
      <c r="A912" t="s">
        <v>1257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1258</v>
      </c>
    </row>
    <row r="913" spans="1:4">
      <c r="A913" t="s">
        <v>1257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1258</v>
      </c>
    </row>
    <row r="914" spans="1:4">
      <c r="A914" t="s">
        <v>1257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1258</v>
      </c>
    </row>
    <row r="915" spans="1:4">
      <c r="A915" t="s">
        <v>1257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1258</v>
      </c>
    </row>
    <row r="916" spans="1:4">
      <c r="A916" t="s">
        <v>1257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1258</v>
      </c>
    </row>
    <row r="917" spans="1:4">
      <c r="A917" t="s">
        <v>1257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1258</v>
      </c>
    </row>
    <row r="918" spans="1:4">
      <c r="A918" t="s">
        <v>1257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1258</v>
      </c>
    </row>
    <row r="919" spans="1:4">
      <c r="A919" t="s">
        <v>1257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1258</v>
      </c>
    </row>
    <row r="920" spans="1:4">
      <c r="A920" t="s">
        <v>1257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1258</v>
      </c>
    </row>
    <row r="921" spans="1:4">
      <c r="A921" t="s">
        <v>1257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1258</v>
      </c>
    </row>
    <row r="922" spans="1:4">
      <c r="A922" t="s">
        <v>1257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1258</v>
      </c>
    </row>
    <row r="923" spans="1:4">
      <c r="A923" t="s">
        <v>1257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1258</v>
      </c>
    </row>
    <row r="924" spans="1:4">
      <c r="A924" t="s">
        <v>1257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1258</v>
      </c>
    </row>
    <row r="925" spans="1:4">
      <c r="A925" t="s">
        <v>1257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1258</v>
      </c>
    </row>
    <row r="926" spans="1:4">
      <c r="A926" t="s">
        <v>1257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1258</v>
      </c>
    </row>
    <row r="927" spans="1:4">
      <c r="A927" t="s">
        <v>1257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1258</v>
      </c>
    </row>
    <row r="928" spans="1:4">
      <c r="A928" t="s">
        <v>1257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1258</v>
      </c>
    </row>
    <row r="929" spans="1:4">
      <c r="A929" t="s">
        <v>1257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1258</v>
      </c>
    </row>
    <row r="930" spans="1:4">
      <c r="A930" t="s">
        <v>1257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1258</v>
      </c>
    </row>
    <row r="931" spans="1:4">
      <c r="A931" t="s">
        <v>1257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1258</v>
      </c>
    </row>
    <row r="932" spans="1:4">
      <c r="A932" t="s">
        <v>1257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1258</v>
      </c>
    </row>
    <row r="933" spans="1:4">
      <c r="A933" t="s">
        <v>1257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1258</v>
      </c>
    </row>
    <row r="934" spans="1:4">
      <c r="A934" t="s">
        <v>1257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1258</v>
      </c>
    </row>
    <row r="935" spans="1:4">
      <c r="A935" t="s">
        <v>1257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1258</v>
      </c>
    </row>
    <row r="936" spans="1:4">
      <c r="A936" t="s">
        <v>1257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1258</v>
      </c>
    </row>
    <row r="937" spans="1:4">
      <c r="A937" t="s">
        <v>1257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1258</v>
      </c>
    </row>
    <row r="938" spans="1:4">
      <c r="A938" t="s">
        <v>1257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1258</v>
      </c>
    </row>
    <row r="939" spans="1:4">
      <c r="A939" t="s">
        <v>1257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1258</v>
      </c>
    </row>
    <row r="940" spans="1:4">
      <c r="A940" t="s">
        <v>1257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1258</v>
      </c>
    </row>
    <row r="941" spans="1:4">
      <c r="A941" t="s">
        <v>1257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1258</v>
      </c>
    </row>
    <row r="942" spans="1:4">
      <c r="A942" t="s">
        <v>1257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1258</v>
      </c>
    </row>
    <row r="943" spans="1:4">
      <c r="A943" t="s">
        <v>1257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1258</v>
      </c>
    </row>
    <row r="944" spans="1:4">
      <c r="A944" t="s">
        <v>1257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1258</v>
      </c>
    </row>
    <row r="945" spans="1:4">
      <c r="A945" t="s">
        <v>1257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1258</v>
      </c>
    </row>
    <row r="946" spans="1:4">
      <c r="A946" t="s">
        <v>1257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1258</v>
      </c>
    </row>
    <row r="947" spans="1:4">
      <c r="A947" t="s">
        <v>1257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1258</v>
      </c>
    </row>
    <row r="948" spans="1:4">
      <c r="A948" t="s">
        <v>1257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1258</v>
      </c>
    </row>
    <row r="949" spans="1:4">
      <c r="A949" t="s">
        <v>1257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1258</v>
      </c>
    </row>
    <row r="950" spans="1:4">
      <c r="A950" t="s">
        <v>1257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1258</v>
      </c>
    </row>
    <row r="951" spans="1:4">
      <c r="A951" t="s">
        <v>1257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1258</v>
      </c>
    </row>
    <row r="952" spans="1:4">
      <c r="A952" t="s">
        <v>1257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1258</v>
      </c>
    </row>
    <row r="953" spans="1:4">
      <c r="A953" t="s">
        <v>1257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1258</v>
      </c>
    </row>
    <row r="954" spans="1:4">
      <c r="A954" t="s">
        <v>1257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1258</v>
      </c>
    </row>
    <row r="955" spans="1:4">
      <c r="A955" t="s">
        <v>1257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1258</v>
      </c>
    </row>
    <row r="956" spans="1:4">
      <c r="A956" t="s">
        <v>1257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1258</v>
      </c>
    </row>
    <row r="957" spans="1:4">
      <c r="A957" t="s">
        <v>1257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1258</v>
      </c>
    </row>
    <row r="958" spans="1:4">
      <c r="A958" t="s">
        <v>1257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1258</v>
      </c>
    </row>
    <row r="959" spans="1:4">
      <c r="A959" t="s">
        <v>1257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1258</v>
      </c>
    </row>
    <row r="960" spans="1:4">
      <c r="A960" t="s">
        <v>1257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1258</v>
      </c>
    </row>
    <row r="961" spans="1:4">
      <c r="A961" t="s">
        <v>1257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1258</v>
      </c>
    </row>
    <row r="962" spans="1:4">
      <c r="A962" t="s">
        <v>1257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1258</v>
      </c>
    </row>
    <row r="963" spans="1:4">
      <c r="A963" t="s">
        <v>1257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1258</v>
      </c>
    </row>
    <row r="964" spans="1:4">
      <c r="A964" t="s">
        <v>1257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1258</v>
      </c>
    </row>
    <row r="965" spans="1:4">
      <c r="A965" t="s">
        <v>1257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1258</v>
      </c>
    </row>
    <row r="966" spans="1:4">
      <c r="A966" t="s">
        <v>1257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1258</v>
      </c>
    </row>
    <row r="967" spans="1:4">
      <c r="A967" t="s">
        <v>1257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1258</v>
      </c>
    </row>
    <row r="968" spans="1:4">
      <c r="A968" t="s">
        <v>1257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1258</v>
      </c>
    </row>
    <row r="969" spans="1:4">
      <c r="A969" t="s">
        <v>1257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1258</v>
      </c>
    </row>
    <row r="970" spans="1:4">
      <c r="A970" t="s">
        <v>1257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1258</v>
      </c>
    </row>
    <row r="971" spans="1:4">
      <c r="A971" t="s">
        <v>1257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1258</v>
      </c>
    </row>
    <row r="972" spans="1:4">
      <c r="A972" t="s">
        <v>1257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1258</v>
      </c>
    </row>
    <row r="973" spans="1:4">
      <c r="A973" t="s">
        <v>1257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1258</v>
      </c>
    </row>
    <row r="974" spans="1:4">
      <c r="A974" t="s">
        <v>1257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1258</v>
      </c>
    </row>
    <row r="975" spans="1:4">
      <c r="A975" t="s">
        <v>1257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1258</v>
      </c>
    </row>
    <row r="976" spans="1:4">
      <c r="A976" t="s">
        <v>1257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1258</v>
      </c>
    </row>
    <row r="977" spans="1:4">
      <c r="A977" t="s">
        <v>1257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1258</v>
      </c>
    </row>
    <row r="978" spans="1:4">
      <c r="A978" t="s">
        <v>1257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1258</v>
      </c>
    </row>
    <row r="979" spans="1:4">
      <c r="A979" t="s">
        <v>1257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1258</v>
      </c>
    </row>
    <row r="980" spans="1:4">
      <c r="A980" t="s">
        <v>1257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1258</v>
      </c>
    </row>
    <row r="981" spans="1:4">
      <c r="A981" t="s">
        <v>1257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1258</v>
      </c>
    </row>
    <row r="982" spans="1:4">
      <c r="A982" t="s">
        <v>1257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1258</v>
      </c>
    </row>
    <row r="983" spans="1:4">
      <c r="A983" t="s">
        <v>1257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1258</v>
      </c>
    </row>
    <row r="984" spans="1:4">
      <c r="A984" t="s">
        <v>1257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1258</v>
      </c>
    </row>
    <row r="985" spans="1:4">
      <c r="A985" t="s">
        <v>1257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1258</v>
      </c>
    </row>
    <row r="986" spans="1:4">
      <c r="A986" t="s">
        <v>1257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1258</v>
      </c>
    </row>
    <row r="987" spans="1:4">
      <c r="A987" t="s">
        <v>1257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1258</v>
      </c>
    </row>
    <row r="988" spans="1:4">
      <c r="A988" t="s">
        <v>1257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1258</v>
      </c>
    </row>
    <row r="989" spans="1:4">
      <c r="A989" t="s">
        <v>1257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1258</v>
      </c>
    </row>
    <row r="990" spans="1:4">
      <c r="A990" t="s">
        <v>1257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1258</v>
      </c>
    </row>
    <row r="991" spans="1:4">
      <c r="A991" t="s">
        <v>1257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1258</v>
      </c>
    </row>
    <row r="992" spans="1:4">
      <c r="A992" t="s">
        <v>1257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1258</v>
      </c>
    </row>
    <row r="993" spans="1:4">
      <c r="A993" t="s">
        <v>1257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1258</v>
      </c>
    </row>
    <row r="994" spans="1:4">
      <c r="A994" t="s">
        <v>1257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1258</v>
      </c>
    </row>
    <row r="995" spans="1:4">
      <c r="A995" t="s">
        <v>1257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1258</v>
      </c>
    </row>
    <row r="996" spans="1:4">
      <c r="A996" t="s">
        <v>1257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1258</v>
      </c>
    </row>
    <row r="997" spans="1:4">
      <c r="A997" t="s">
        <v>1257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1258</v>
      </c>
    </row>
    <row r="998" spans="1:4">
      <c r="A998" t="s">
        <v>1257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1258</v>
      </c>
    </row>
    <row r="999" spans="1:4">
      <c r="A999" t="s">
        <v>1257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1258</v>
      </c>
    </row>
    <row r="1000" spans="1:4">
      <c r="A1000" t="s">
        <v>1257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1258</v>
      </c>
    </row>
    <row r="1001" spans="1:4">
      <c r="A1001" t="s">
        <v>1257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1258</v>
      </c>
    </row>
    <row r="1002" spans="1:4">
      <c r="A1002" t="s">
        <v>1257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1258</v>
      </c>
    </row>
    <row r="1003" spans="1:4">
      <c r="A1003" t="s">
        <v>1257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1258</v>
      </c>
    </row>
    <row r="1004" spans="1:4">
      <c r="A1004" t="s">
        <v>1257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1258</v>
      </c>
    </row>
    <row r="1005" spans="1:4">
      <c r="A1005" t="s">
        <v>1257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1258</v>
      </c>
    </row>
  </sheetData>
  <conditionalFormatting sqref="A3:D1005">
    <cfRule type="expression" dxfId="2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1259</v>
      </c>
    </row>
    <row r="3" spans="1:4">
      <c r="A3" s="31" t="s">
        <v>1260</v>
      </c>
      <c r="B3" s="4"/>
      <c r="D3" s="32" t="s">
        <v>1261</v>
      </c>
    </row>
    <row r="4" spans="1:4">
      <c r="A4" s="5"/>
      <c r="B4" s="5"/>
    </row>
    <row r="5" spans="1:4">
      <c r="A5" s="33" t="s">
        <v>181</v>
      </c>
      <c r="B5" s="34" t="str">
        <f>IFERROR(INDEX('01_Warehouse_Ledger'!$B$2:$B$2002,MATCH($B$3,'01_Warehouse_Ledger'!$A$2:$A$2002,0)),"")</f>
        <v/>
      </c>
    </row>
    <row r="6" spans="1:4">
      <c r="A6" s="33" t="s">
        <v>1262</v>
      </c>
      <c r="B6" s="34" t="str">
        <f>IFERROR(INDEX('01_Warehouse_Ledger'!$D$2:$D$2002,MATCH($B$3,'01_Warehouse_Ledger'!$A$2:$A$2002,0)),"")</f>
        <v/>
      </c>
    </row>
    <row r="7" spans="1:4">
      <c r="A7" s="33" t="s">
        <v>1263</v>
      </c>
      <c r="B7" s="34" t="str">
        <f>IFERROR(INDEX('02_Warehouse_Locations'!$J$2:$J$501,MATCH($B$6,'02_Warehouse_Locations'!$A$2:$A$501,0)),"")</f>
        <v/>
      </c>
    </row>
    <row r="8" spans="1:4">
      <c r="A8" s="33" t="s">
        <v>815</v>
      </c>
      <c r="B8" s="34" t="str">
        <f>IFERROR(INDEX('02_Warehouse_Locations'!$B$2:$B$501,MATCH($B$6,'02_Warehouse_Locations'!$A$2:$A$501,0)),"")</f>
        <v/>
      </c>
    </row>
    <row r="9" spans="1:4">
      <c r="A9" s="33" t="s">
        <v>816</v>
      </c>
      <c r="B9" s="34" t="str">
        <f>IFERROR(INDEX('02_Warehouse_Locations'!$C$2:$C$501,MATCH($B$6,'02_Warehouse_Locations'!$A$2:$A$501,0)),"")</f>
        <v/>
      </c>
    </row>
    <row r="10" spans="1:4">
      <c r="A10" s="33" t="s">
        <v>1264</v>
      </c>
      <c r="B10" s="34" t="str">
        <f>IFERROR(INDEX('02_Warehouse_Locations'!$D$2:$D$501,MATCH($B$6,'02_Warehouse_Locations'!$A$2:$A$501,0)),"")</f>
        <v/>
      </c>
    </row>
    <row r="11" spans="1:4">
      <c r="A11" s="33" t="s">
        <v>818</v>
      </c>
      <c r="B11" s="34" t="str">
        <f>IFERROR(INDEX('02_Warehouse_Locations'!$E$2:$E$501,MATCH($B$6,'02_Warehouse_Locations'!$A$2:$A$501,0)),"")</f>
        <v/>
      </c>
    </row>
    <row r="12" spans="1:4">
      <c r="A12" s="33" t="s">
        <v>1265</v>
      </c>
      <c r="B12" s="34" t="str">
        <f>IFERROR(INDEX('02_Warehouse_Locations'!$N$2:$N$501,MATCH($B$6,'02_Warehouse_Locations'!$A$2:$A$501,0)),"")</f>
        <v/>
      </c>
    </row>
    <row r="13" spans="1:4">
      <c r="A13" s="33" t="s">
        <v>826</v>
      </c>
      <c r="B13" s="34" t="str">
        <f>IFERROR(INDEX('02_Warehouse_Locations'!$O$2:$O$501,MATCH($B$6,'02_Warehouse_Locations'!$A$2:$A$501,0)),"")</f>
        <v/>
      </c>
    </row>
    <row r="14" spans="1:4">
      <c r="A14" s="33" t="s">
        <v>827</v>
      </c>
      <c r="B14" s="34" t="str">
        <f>IFERROR(INDEX('02_Warehouse_Locations'!$P$2:$P$501,MATCH($B$6,'02_Warehouse_Locations'!$A$2:$A$501,0)),"")</f>
        <v/>
      </c>
    </row>
    <row r="15" spans="1:4">
      <c r="A15" t="s">
        <v>828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1" priority="1" stopIfTrue="1">
      <formula>AND(TRIM($A3)="",OR($B3&lt;&gt;"",$C3&lt;&gt;"",$D3&lt;&gt;"",$E3&lt;&gt;"",$I3&lt;&gt;"",$J3&lt;&gt;""))</formula>
    </cfRule>
    <cfRule type="expression" dxfId="20" priority="2">
      <formula>AND(TRIM($A3)&lt;&gt;"",NOT(AND(LEFT($A3,4)="PAL-",LEN($A3)=11,ISNUMBER(--MID($A3,5,7)))))</formula>
    </cfRule>
    <cfRule type="expression" dxfId="19" priority="3">
      <formula>AND(TRIM($A3)&lt;&gt;"",COUNTIF($A$2:$A$2002,$A3)&gt;1)</formula>
    </cfRule>
    <cfRule type="expression" dxfId="1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1266</v>
      </c>
    </row>
    <row r="2" spans="1:21">
      <c r="A2" s="36" t="s">
        <v>1267</v>
      </c>
      <c r="B2" s="37" t="str">
        <f>IFERROR('05_Scan_Lookup'!$B$13,"")</f>
        <v/>
      </c>
    </row>
    <row r="3" spans="1:21">
      <c r="A3" s="36" t="s">
        <v>1268</v>
      </c>
      <c r="B3" s="37" t="str">
        <f>IFERROR('05_Scan_Lookup'!$B$14,"")</f>
        <v/>
      </c>
    </row>
    <row r="4" spans="1:21">
      <c r="A4" s="36" t="s">
        <v>1269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1270</v>
      </c>
      <c r="B5" s="37" t="s">
        <v>1271</v>
      </c>
    </row>
    <row r="6" spans="1:21" ht="20.100000000000001" customHeight="1">
      <c r="A6" s="40" t="s">
        <v>1272</v>
      </c>
      <c r="B6" s="40" t="s">
        <v>845</v>
      </c>
      <c r="C6" s="40" t="s">
        <v>257</v>
      </c>
      <c r="D6" s="40" t="s">
        <v>896</v>
      </c>
      <c r="E6" s="40" t="s">
        <v>921</v>
      </c>
      <c r="F6" s="40" t="s">
        <v>962</v>
      </c>
      <c r="G6" s="40" t="s">
        <v>1003</v>
      </c>
      <c r="H6" s="40" t="s">
        <v>1273</v>
      </c>
      <c r="I6" s="40" t="s">
        <v>1274</v>
      </c>
      <c r="J6" s="40" t="s">
        <v>1275</v>
      </c>
      <c r="K6" s="40" t="s">
        <v>1276</v>
      </c>
      <c r="L6" s="40" t="s">
        <v>1277</v>
      </c>
      <c r="M6" s="40" t="s">
        <v>841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1278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1279</v>
      </c>
    </row>
    <row r="39" spans="1:21">
      <c r="A39" s="32" t="s">
        <v>1280</v>
      </c>
    </row>
    <row r="40" spans="1:21">
      <c r="A40" s="32" t="s">
        <v>1280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180</v>
      </c>
      <c r="B1" s="50" t="s">
        <v>1281</v>
      </c>
      <c r="C1" s="50" t="s">
        <v>1282</v>
      </c>
      <c r="D1" s="50" t="s">
        <v>1058</v>
      </c>
      <c r="E1" s="50" t="s">
        <v>1283</v>
      </c>
      <c r="F1" s="50" t="s">
        <v>1284</v>
      </c>
      <c r="G1" s="50" t="s">
        <v>1285</v>
      </c>
      <c r="H1" s="50" t="s">
        <v>189</v>
      </c>
      <c r="I1" s="50" t="s">
        <v>1286</v>
      </c>
      <c r="J1" s="50" t="s">
        <v>1287</v>
      </c>
      <c r="L1" s="50" t="s">
        <v>1288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1289</v>
      </c>
      <c r="B1" s="15" t="s">
        <v>1290</v>
      </c>
      <c r="C1" s="15" t="s">
        <v>1291</v>
      </c>
      <c r="D1" s="15" t="s">
        <v>1292</v>
      </c>
      <c r="E1" s="15" t="s">
        <v>1293</v>
      </c>
      <c r="F1" s="15" t="s">
        <v>1294</v>
      </c>
      <c r="G1" s="15" t="s">
        <v>1295</v>
      </c>
      <c r="H1" s="15" t="s">
        <v>189</v>
      </c>
    </row>
    <row r="2" spans="1:8" ht="20.25" customHeight="1">
      <c r="B2" t="s">
        <v>1296</v>
      </c>
      <c r="C2" t="s">
        <v>1297</v>
      </c>
      <c r="D2" s="14">
        <v>56</v>
      </c>
      <c r="E2" s="14" t="s">
        <v>1298</v>
      </c>
      <c r="F2" s="14" t="s">
        <v>1299</v>
      </c>
      <c r="G2" s="14" t="s">
        <v>1300</v>
      </c>
    </row>
    <row r="3" spans="1:8" ht="20.25" customHeight="1">
      <c r="B3" t="s">
        <v>1296</v>
      </c>
      <c r="C3" t="s">
        <v>1301</v>
      </c>
      <c r="D3" s="14">
        <v>35</v>
      </c>
      <c r="E3" s="14" t="s">
        <v>1298</v>
      </c>
      <c r="F3" s="14" t="s">
        <v>1299</v>
      </c>
      <c r="G3" s="14" t="s">
        <v>1300</v>
      </c>
    </row>
    <row r="4" spans="1:8" s="45" customFormat="1" ht="20.25" customHeight="1">
      <c r="B4" s="45" t="s">
        <v>1296</v>
      </c>
      <c r="C4" s="45" t="s">
        <v>1302</v>
      </c>
      <c r="D4" s="46">
        <v>28</v>
      </c>
      <c r="E4" s="46" t="s">
        <v>1298</v>
      </c>
      <c r="F4" s="46" t="s">
        <v>1299</v>
      </c>
      <c r="G4" s="46" t="s">
        <v>1300</v>
      </c>
    </row>
    <row r="5" spans="1:8" s="45" customFormat="1" ht="20.25" customHeight="1">
      <c r="B5" s="45" t="s">
        <v>1296</v>
      </c>
      <c r="C5" s="45" t="s">
        <v>1303</v>
      </c>
      <c r="D5" s="46">
        <v>52</v>
      </c>
      <c r="E5" s="46" t="s">
        <v>1298</v>
      </c>
      <c r="F5" s="46" t="s">
        <v>1299</v>
      </c>
      <c r="G5" s="46" t="s">
        <v>1300</v>
      </c>
    </row>
    <row r="6" spans="1:8" s="45" customFormat="1" ht="20.25" customHeight="1">
      <c r="B6" s="45" t="s">
        <v>1296</v>
      </c>
      <c r="C6" s="45" t="s">
        <v>1304</v>
      </c>
      <c r="D6" s="46">
        <v>50</v>
      </c>
      <c r="E6" s="46" t="s">
        <v>1298</v>
      </c>
      <c r="F6" s="46" t="s">
        <v>1299</v>
      </c>
      <c r="G6" s="46" t="s">
        <v>1300</v>
      </c>
    </row>
    <row r="7" spans="1:8" ht="20.25" customHeight="1">
      <c r="B7" t="s">
        <v>1296</v>
      </c>
      <c r="C7" t="s">
        <v>1305</v>
      </c>
      <c r="D7" s="14">
        <v>29</v>
      </c>
      <c r="E7" s="14" t="s">
        <v>1298</v>
      </c>
      <c r="F7" s="14" t="s">
        <v>1299</v>
      </c>
      <c r="G7" s="14" t="s">
        <v>1300</v>
      </c>
    </row>
    <row r="8" spans="1:8" s="45" customFormat="1" ht="20.25" customHeight="1">
      <c r="B8" s="45" t="s">
        <v>1296</v>
      </c>
      <c r="C8" s="45" t="s">
        <v>1306</v>
      </c>
      <c r="D8" s="46">
        <v>13</v>
      </c>
      <c r="E8" s="46" t="s">
        <v>1298</v>
      </c>
      <c r="F8" s="46" t="s">
        <v>1299</v>
      </c>
      <c r="G8" s="46" t="s">
        <v>1300</v>
      </c>
    </row>
    <row r="9" spans="1:8" s="47" customFormat="1" ht="20.25" customHeight="1">
      <c r="B9" s="47" t="s">
        <v>1296</v>
      </c>
      <c r="C9" s="47" t="s">
        <v>1307</v>
      </c>
      <c r="D9" s="48">
        <v>4</v>
      </c>
      <c r="E9" s="48" t="s">
        <v>1298</v>
      </c>
      <c r="F9" s="48" t="s">
        <v>1299</v>
      </c>
      <c r="G9" s="48" t="s">
        <v>1300</v>
      </c>
    </row>
    <row r="10" spans="1:8" ht="20.25" customHeight="1">
      <c r="B10" t="s">
        <v>1296</v>
      </c>
      <c r="C10" t="s">
        <v>1308</v>
      </c>
      <c r="D10" s="14">
        <v>2</v>
      </c>
      <c r="E10" s="14" t="s">
        <v>1298</v>
      </c>
      <c r="F10" s="14" t="s">
        <v>1299</v>
      </c>
      <c r="G10" s="14" t="s">
        <v>1300</v>
      </c>
    </row>
    <row r="11" spans="1:8" s="45" customFormat="1" ht="20.25" customHeight="1">
      <c r="B11" s="45" t="s">
        <v>1296</v>
      </c>
      <c r="C11" s="45" t="s">
        <v>1309</v>
      </c>
      <c r="D11" s="46">
        <v>2</v>
      </c>
      <c r="E11" s="46" t="s">
        <v>1298</v>
      </c>
      <c r="F11" s="46" t="s">
        <v>1299</v>
      </c>
      <c r="G11" s="46" t="s">
        <v>1300</v>
      </c>
    </row>
    <row r="12" spans="1:8" ht="20.25" customHeight="1">
      <c r="B12" t="s">
        <v>1296</v>
      </c>
      <c r="C12" t="s">
        <v>1310</v>
      </c>
      <c r="D12" s="14">
        <v>117</v>
      </c>
      <c r="E12" s="14" t="s">
        <v>1298</v>
      </c>
      <c r="F12" s="14" t="s">
        <v>1299</v>
      </c>
      <c r="G12" s="14" t="s">
        <v>1300</v>
      </c>
    </row>
    <row r="13" spans="1:8" s="45" customFormat="1" ht="20.25" customHeight="1">
      <c r="B13" s="45" t="s">
        <v>1296</v>
      </c>
      <c r="C13" s="45" t="s">
        <v>1311</v>
      </c>
      <c r="D13" s="46">
        <v>73</v>
      </c>
      <c r="E13" s="46" t="s">
        <v>1298</v>
      </c>
      <c r="F13" s="46" t="s">
        <v>1299</v>
      </c>
      <c r="G13" s="46" t="s">
        <v>1300</v>
      </c>
    </row>
    <row r="14" spans="1:8" ht="20.25" customHeight="1">
      <c r="B14" t="s">
        <v>1296</v>
      </c>
      <c r="C14" t="s">
        <v>1312</v>
      </c>
      <c r="D14" s="14">
        <v>35</v>
      </c>
      <c r="E14" s="14" t="s">
        <v>1298</v>
      </c>
      <c r="F14" s="14" t="s">
        <v>1299</v>
      </c>
      <c r="G14" s="14" t="s">
        <v>1300</v>
      </c>
    </row>
    <row r="15" spans="1:8" ht="20.25" customHeight="1">
      <c r="B15" t="s">
        <v>1296</v>
      </c>
      <c r="C15" t="s">
        <v>1313</v>
      </c>
      <c r="D15" s="14">
        <v>16</v>
      </c>
      <c r="E15" s="14" t="s">
        <v>1298</v>
      </c>
      <c r="F15" s="14" t="s">
        <v>1299</v>
      </c>
      <c r="G15" s="14" t="s">
        <v>1300</v>
      </c>
    </row>
    <row r="16" spans="1:8" ht="20.25" customHeight="1">
      <c r="B16" t="s">
        <v>1296</v>
      </c>
      <c r="C16" t="s">
        <v>1314</v>
      </c>
      <c r="D16" s="14">
        <v>122</v>
      </c>
      <c r="E16" s="14" t="s">
        <v>1298</v>
      </c>
      <c r="F16" s="14" t="s">
        <v>1315</v>
      </c>
      <c r="G16" s="14" t="s">
        <v>1315</v>
      </c>
    </row>
    <row r="17" spans="2:8" ht="20.25" customHeight="1">
      <c r="B17" t="s">
        <v>1296</v>
      </c>
      <c r="C17" t="s">
        <v>1316</v>
      </c>
      <c r="D17" s="14">
        <v>26</v>
      </c>
      <c r="E17" s="14" t="s">
        <v>1317</v>
      </c>
      <c r="F17" s="14" t="s">
        <v>1318</v>
      </c>
      <c r="G17" s="14" t="s">
        <v>1319</v>
      </c>
      <c r="H17" t="s">
        <v>1320</v>
      </c>
    </row>
    <row r="18" spans="2:8" ht="20.25" customHeight="1">
      <c r="B18" t="s">
        <v>1321</v>
      </c>
      <c r="C18" t="s">
        <v>1322</v>
      </c>
      <c r="D18" s="14">
        <v>55</v>
      </c>
      <c r="E18" s="14" t="s">
        <v>1317</v>
      </c>
      <c r="F18" s="14" t="s">
        <v>1318</v>
      </c>
      <c r="G18" s="14" t="s">
        <v>1319</v>
      </c>
      <c r="H18" t="s">
        <v>1320</v>
      </c>
    </row>
    <row r="19" spans="2:8" ht="20.25" customHeight="1">
      <c r="B19" t="s">
        <v>1321</v>
      </c>
      <c r="C19" t="s">
        <v>1323</v>
      </c>
      <c r="D19" s="14">
        <v>98</v>
      </c>
      <c r="E19" s="14" t="s">
        <v>1317</v>
      </c>
      <c r="F19" s="14" t="s">
        <v>1318</v>
      </c>
      <c r="G19" s="14" t="s">
        <v>1319</v>
      </c>
      <c r="H19" t="s">
        <v>1320</v>
      </c>
    </row>
    <row r="20" spans="2:8" ht="20.25" customHeight="1">
      <c r="B20" t="s">
        <v>1321</v>
      </c>
      <c r="C20" t="s">
        <v>1324</v>
      </c>
      <c r="D20" s="14">
        <v>45</v>
      </c>
      <c r="E20" s="14" t="s">
        <v>1317</v>
      </c>
      <c r="F20" s="14" t="s">
        <v>1318</v>
      </c>
      <c r="G20" s="14" t="s">
        <v>1325</v>
      </c>
      <c r="H20" t="s">
        <v>1326</v>
      </c>
    </row>
    <row r="21" spans="2:8" ht="20.25" customHeight="1">
      <c r="B21" t="s">
        <v>1327</v>
      </c>
      <c r="C21" t="s">
        <v>1327</v>
      </c>
      <c r="D21" s="14">
        <v>53</v>
      </c>
      <c r="E21" s="14" t="s">
        <v>1317</v>
      </c>
      <c r="F21" s="14" t="s">
        <v>1318</v>
      </c>
      <c r="G21" s="14" t="s">
        <v>1319</v>
      </c>
      <c r="H21" t="s">
        <v>1320</v>
      </c>
    </row>
    <row r="22" spans="2:8" ht="20.25" customHeight="1">
      <c r="B22" t="s">
        <v>1328</v>
      </c>
      <c r="C22" t="s">
        <v>1329</v>
      </c>
      <c r="D22" s="14">
        <v>25</v>
      </c>
      <c r="E22" s="14" t="s">
        <v>1317</v>
      </c>
      <c r="F22" s="14" t="s">
        <v>1318</v>
      </c>
      <c r="G22" s="14" t="s">
        <v>1319</v>
      </c>
      <c r="H22" t="s">
        <v>1320</v>
      </c>
    </row>
    <row r="23" spans="2:8" ht="20.25" customHeight="1">
      <c r="B23" t="s">
        <v>1330</v>
      </c>
      <c r="C23" t="s">
        <v>1330</v>
      </c>
      <c r="D23" s="14">
        <v>25</v>
      </c>
      <c r="E23" s="14" t="s">
        <v>1317</v>
      </c>
      <c r="F23" s="14" t="s">
        <v>1318</v>
      </c>
      <c r="G23" s="14" t="s">
        <v>1319</v>
      </c>
      <c r="H23" t="s">
        <v>1320</v>
      </c>
    </row>
    <row r="24" spans="2:8" ht="20.25" customHeight="1">
      <c r="B24" t="s">
        <v>1331</v>
      </c>
      <c r="C24" t="s">
        <v>1332</v>
      </c>
      <c r="D24" s="14">
        <v>45</v>
      </c>
      <c r="E24" s="14" t="s">
        <v>1317</v>
      </c>
      <c r="F24" s="14" t="s">
        <v>1318</v>
      </c>
      <c r="G24" s="14" t="s">
        <v>1333</v>
      </c>
      <c r="H24" t="s">
        <v>1326</v>
      </c>
    </row>
    <row r="25" spans="2:8" ht="20.25" customHeight="1">
      <c r="B25" t="s">
        <v>1334</v>
      </c>
      <c r="C25" t="s">
        <v>1335</v>
      </c>
      <c r="D25" s="14">
        <v>28</v>
      </c>
      <c r="E25" s="14" t="s">
        <v>1317</v>
      </c>
      <c r="F25" s="14" t="s">
        <v>1318</v>
      </c>
      <c r="G25" s="14" t="s">
        <v>1319</v>
      </c>
    </row>
    <row r="26" spans="2:8" ht="20.25" customHeight="1">
      <c r="B26" t="s">
        <v>1336</v>
      </c>
      <c r="C26" t="s">
        <v>1337</v>
      </c>
      <c r="D26" s="14">
        <v>25</v>
      </c>
      <c r="E26" s="14" t="s">
        <v>1298</v>
      </c>
      <c r="F26" s="14" t="s">
        <v>1299</v>
      </c>
      <c r="G26" s="14" t="s">
        <v>1338</v>
      </c>
    </row>
    <row r="27" spans="2:8" ht="20.25" customHeight="1">
      <c r="B27" t="s">
        <v>1321</v>
      </c>
      <c r="C27" t="s">
        <v>1339</v>
      </c>
      <c r="D27" s="14">
        <v>25</v>
      </c>
      <c r="E27" s="14" t="s">
        <v>1298</v>
      </c>
      <c r="F27" s="14" t="s">
        <v>1299</v>
      </c>
      <c r="G27" s="14" t="s">
        <v>1338</v>
      </c>
      <c r="H27" t="s">
        <v>1340</v>
      </c>
    </row>
    <row r="28" spans="2:8" ht="20.25" customHeight="1">
      <c r="B28" t="s">
        <v>1321</v>
      </c>
      <c r="C28" t="s">
        <v>1341</v>
      </c>
      <c r="D28" s="14">
        <v>4</v>
      </c>
      <c r="E28" s="14" t="s">
        <v>1298</v>
      </c>
      <c r="F28" s="14" t="s">
        <v>1299</v>
      </c>
      <c r="G28" s="14" t="s">
        <v>1319</v>
      </c>
    </row>
    <row r="29" spans="2:8" ht="20.25" customHeight="1">
      <c r="B29" t="s">
        <v>1334</v>
      </c>
      <c r="C29" s="16" t="s">
        <v>1342</v>
      </c>
      <c r="D29" s="14">
        <v>0</v>
      </c>
      <c r="E29" s="14" t="s">
        <v>1343</v>
      </c>
    </row>
    <row r="30" spans="2:8" ht="20.25" customHeight="1">
      <c r="C30" t="s">
        <v>1344</v>
      </c>
      <c r="D30" s="14">
        <v>1</v>
      </c>
    </row>
    <row r="31" spans="2:8" s="45" customFormat="1" ht="20.25" customHeight="1">
      <c r="B31" s="45" t="s">
        <v>1330</v>
      </c>
      <c r="C31" s="45" t="s">
        <v>1345</v>
      </c>
      <c r="D31" s="46">
        <v>69</v>
      </c>
      <c r="E31" s="46" t="s">
        <v>1298</v>
      </c>
      <c r="F31" s="46" t="s">
        <v>1346</v>
      </c>
      <c r="G31" s="46" t="s">
        <v>1347</v>
      </c>
      <c r="H31" s="45" t="s">
        <v>1348</v>
      </c>
    </row>
    <row r="32" spans="2:8" s="45" customFormat="1" ht="20.25" customHeight="1">
      <c r="B32" s="45" t="s">
        <v>1328</v>
      </c>
      <c r="C32" s="45" t="s">
        <v>1349</v>
      </c>
      <c r="D32" s="46">
        <v>60</v>
      </c>
      <c r="E32" s="46" t="s">
        <v>1298</v>
      </c>
      <c r="F32" s="46" t="s">
        <v>1346</v>
      </c>
      <c r="G32" s="46" t="s">
        <v>1347</v>
      </c>
      <c r="H32" s="45" t="s">
        <v>1348</v>
      </c>
    </row>
    <row r="33" spans="2:8" ht="20.25" customHeight="1">
      <c r="B33" t="s">
        <v>1321</v>
      </c>
      <c r="C33" s="45" t="s">
        <v>1350</v>
      </c>
      <c r="D33" s="14">
        <v>211</v>
      </c>
      <c r="E33" s="14" t="s">
        <v>1298</v>
      </c>
      <c r="F33" s="14" t="s">
        <v>1351</v>
      </c>
      <c r="G33" s="14" t="s">
        <v>1347</v>
      </c>
      <c r="H33" t="s">
        <v>1352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workbookViewId="0"/>
  </sheetViews>
  <sheetFormatPr defaultRowHeight="15"/>
  <sheetData>
    <row r="1">
      <c r="A1" t="s">
        <v>1</v>
      </c>
      <c r="B1" t="s">
        <v>2</v>
      </c>
      <c r="C1" t="s">
        <v>3</v>
      </c>
      <c r="D1" t="s">
        <v>1757</v>
      </c>
      <c r="E1" t="s">
        <v>2210</v>
      </c>
      <c r="F1" t="s">
        <v>2074</v>
      </c>
      <c r="G1" t="s">
        <v>1873</v>
      </c>
      <c r="H1" t="s">
        <v>1392</v>
      </c>
      <c r="I1" t="s">
        <v>1400</v>
      </c>
      <c r="J1" t="s">
        <v>1402</v>
      </c>
      <c r="K1" t="s">
        <v>1403</v>
      </c>
      <c r="L1" t="s">
        <v>1404</v>
      </c>
      <c r="M1" t="s">
        <v>2111</v>
      </c>
      <c r="N1" t="s">
        <v>2068</v>
      </c>
      <c r="O1" t="s">
        <v>1708</v>
      </c>
      <c r="P1" t="s">
        <v>1413</v>
      </c>
      <c r="Q1" t="s">
        <v>1414</v>
      </c>
      <c r="R1" t="s">
        <v>4</v>
      </c>
      <c r="S1" t="s">
        <v>5</v>
      </c>
      <c r="T1" t="s">
        <v>1417</v>
      </c>
      <c r="U1" t="s">
        <v>1650</v>
      </c>
      <c r="V1" t="s">
        <v>2379</v>
      </c>
      <c r="W1" t="s">
        <v>1893</v>
      </c>
      <c r="X1" t="s">
        <v>1960</v>
      </c>
      <c r="Y1" t="s">
        <v>2396</v>
      </c>
      <c r="Z1" t="s">
        <v>1909</v>
      </c>
      <c r="AA1" t="s">
        <v>2335</v>
      </c>
      <c r="AB1" t="s">
        <v>1891</v>
      </c>
      <c r="AC1" t="s">
        <v>1806</v>
      </c>
      <c r="AD1" t="s">
        <v>2329</v>
      </c>
      <c r="AE1" t="s">
        <v>1458</v>
      </c>
      <c r="AF1" t="s">
        <v>1393</v>
      </c>
      <c r="AG1" t="s">
        <v>1394</v>
      </c>
      <c r="AH1" t="s">
        <v>1395</v>
      </c>
      <c r="AI1" t="s">
        <v>1396</v>
      </c>
      <c r="AJ1" t="s">
        <v>1397</v>
      </c>
      <c r="AK1" t="s">
        <v>2195</v>
      </c>
      <c r="AL1" t="s">
        <v>2203</v>
      </c>
      <c r="AM1" t="s">
        <v>1841</v>
      </c>
      <c r="AN1" t="s">
        <v>1941</v>
      </c>
      <c r="AO1" t="s">
        <v>2390</v>
      </c>
      <c r="AP1" t="s">
        <v>2272</v>
      </c>
      <c r="AQ1" t="s">
        <v>1745</v>
      </c>
      <c r="AR1" t="s">
        <v>1705</v>
      </c>
      <c r="AS1" t="s">
        <v>2058</v>
      </c>
      <c r="AT1" t="s">
        <v>1647</v>
      </c>
      <c r="AU1" t="s">
        <v>1993</v>
      </c>
      <c r="AV1" t="s">
        <v>2371</v>
      </c>
      <c r="AW1" t="s">
        <v>2032</v>
      </c>
      <c r="AX1" t="s">
        <v>1409</v>
      </c>
      <c r="AY1" t="s">
        <v>1407</v>
      </c>
      <c r="AZ1" t="s">
        <v>1406</v>
      </c>
      <c r="BA1" t="s">
        <v>2313</v>
      </c>
      <c r="BB1" t="s">
        <v>1410</v>
      </c>
      <c r="BC1" t="s">
        <v>189</v>
      </c>
      <c r="BD1" t="s">
        <v>1411</v>
      </c>
      <c r="BE1" t="s">
        <v>1889</v>
      </c>
      <c r="BF1" t="s">
        <v>2151</v>
      </c>
      <c r="BG1" t="s">
        <v>2283</v>
      </c>
      <c r="BH1" t="s">
        <v>1420</v>
      </c>
      <c r="BI1" t="s">
        <v>6</v>
      </c>
      <c r="BJ1" t="s">
        <v>1788</v>
      </c>
      <c r="BK1" t="s">
        <v>1720</v>
      </c>
      <c r="BL1" t="s">
        <v>1412</v>
      </c>
      <c r="BM1" t="s">
        <v>1421</v>
      </c>
      <c r="BN1" t="s">
        <v>1361</v>
      </c>
      <c r="BO1" t="s">
        <v>2365</v>
      </c>
      <c r="BP1" t="s">
        <v>2226</v>
      </c>
      <c r="BQ1" t="s">
        <v>1858</v>
      </c>
      <c r="BR1" t="s">
        <v>1616</v>
      </c>
      <c r="BS1" t="s">
        <v>1785</v>
      </c>
      <c r="BT1" t="s">
        <v>2274</v>
      </c>
      <c r="BU1" t="s">
        <v>2331</v>
      </c>
      <c r="BV1" t="s">
        <v>1673</v>
      </c>
      <c r="BW1" t="s">
        <v>2269</v>
      </c>
      <c r="BX1" t="s">
        <v>1615</v>
      </c>
      <c r="BY1" t="s">
        <v>1932</v>
      </c>
      <c r="BZ1" t="s">
        <v>1984</v>
      </c>
      <c r="CA1" t="s">
        <v>1681</v>
      </c>
      <c r="CB1" t="s">
        <v>2320</v>
      </c>
      <c r="CC1" t="s">
        <v>2141</v>
      </c>
    </row>
    <row r="2">
      <c r="A2" t="s">
        <v>1331</v>
      </c>
      <c r="B2" t="s">
        <v>1727</v>
      </c>
      <c r="C2" t="s">
        <v>1727</v>
      </c>
      <c r="D2">
        <f>IF($B2&lt;&gt;"Yes","",IF($C2="No","Yes",IF($C2="Yes","No","")))</f>
      </c>
      <c r="E2">
        <f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</c>
      <c r="F2">
        <f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</c>
      <c r="G2" t="s">
        <v>2089</v>
      </c>
      <c r="H2" t="s">
        <v>2089</v>
      </c>
      <c r="J2" t="s">
        <v>2115</v>
      </c>
      <c r="K2" t="s">
        <v>2115</v>
      </c>
      <c r="L2" t="s">
        <v>2115</v>
      </c>
      <c r="S2" t="s">
        <v>2222</v>
      </c>
      <c r="T2" t="s">
        <v>2218</v>
      </c>
      <c r="U2" t="s">
        <v>1777</v>
      </c>
      <c r="V2" t="s">
        <v>1727</v>
      </c>
      <c r="W2" t="s">
        <v>2109</v>
      </c>
      <c r="X2" t="s">
        <v>1707</v>
      </c>
      <c r="Y2" t="s">
        <v>1380</v>
      </c>
      <c r="AA2" t="s">
        <v>1867</v>
      </c>
      <c r="AC2" t="s">
        <v>1690</v>
      </c>
      <c r="AD2" t="s">
        <v>1380</v>
      </c>
      <c r="AF2" t="s">
        <v>2257</v>
      </c>
      <c r="AG2" t="s">
        <v>1999</v>
      </c>
      <c r="AH2">
        <v>1</v>
      </c>
      <c r="AI2" t="s">
        <v>1898</v>
      </c>
      <c r="AJ2" t="s">
        <v>2131</v>
      </c>
      <c r="AK2" t="s">
        <v>2361</v>
      </c>
      <c r="AL2" t="s">
        <v>1690</v>
      </c>
      <c r="AM2" t="s">
        <v>1335</v>
      </c>
      <c r="AR2" t="s">
        <v>1380</v>
      </c>
      <c r="AS2" t="s">
        <v>1991</v>
      </c>
      <c r="AT2" t="s">
        <v>1380</v>
      </c>
      <c r="AU2" t="s">
        <v>1380</v>
      </c>
      <c r="AV2" t="s">
        <v>1380</v>
      </c>
      <c r="AW2" t="s">
        <v>1727</v>
      </c>
      <c r="AX2" t="s">
        <v>1727</v>
      </c>
      <c r="BA2">
        <v>46027.0</v>
      </c>
      <c r="BB2" t="s">
        <v>1727</v>
      </c>
      <c r="BD2" t="s">
        <v>2151</v>
      </c>
      <c r="BE2" t="s">
        <v>1727</v>
      </c>
      <c r="BF2" t="s">
        <v>1727</v>
      </c>
      <c r="BG2" t="s">
        <v>1727</v>
      </c>
      <c r="BH2" t="s">
        <v>1727</v>
      </c>
      <c r="BI2" t="s">
        <v>1630</v>
      </c>
      <c r="BJ2" t="s">
        <v>1727</v>
      </c>
      <c r="BK2" t="s">
        <v>1657</v>
      </c>
      <c r="BL2">
        <f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</c>
      <c r="BM2">
        <f>IF($T2="","",IF($BL2="","Yes","Blocked"))</f>
      </c>
      <c r="BP2">
        <f>IF($BO2="","",IFERROR(VLOOKUP($BO2,'01_Warehouse_Ledger'!$A:$N,4,FALSE),""))</f>
      </c>
      <c r="BQ2">
        <f>IF($BO2="","",IFERROR(VLOOKUP($BO2,'01_Warehouse_Ledger'!$A:$N,5,FALSE),""))</f>
      </c>
      <c r="BR2">
        <f>IF($BO2="","",IFERROR(VLOOKUP($BO2,'01_Warehouse_Ledger'!$A:$N,13,FALSE),""))</f>
      </c>
    </row>
    <row r="3">
      <c r="A3" t="s">
        <v>1331</v>
      </c>
      <c r="B3" t="s">
        <v>1727</v>
      </c>
      <c r="C3" t="s">
        <v>1727</v>
      </c>
      <c r="D3">
        <f>IF($B3&lt;&gt;"Yes","",IF($C3="No","Yes",IF($C3="Yes","No","")))</f>
      </c>
      <c r="E3">
        <f>IF($A3="","",IF($A3="Neuron",IF(OR(AND($S3&lt;&gt;"",LOWER(TRIM($S3))&lt;&gt;"n/a",COUNTIF($S$2:$S$532,$S3)&gt;1),AND($T3&lt;&gt;"",LOWER(TRIM($T3))&lt;&gt;"n/a",COUNTIF($T$2:$T$532,$T3)&gt;1),AND($W3&lt;&gt;"",LOWER(TRIM($W3))&lt;&gt;"n/a",COUNTIF($W$2:$W$532,$W3)&gt;1)),"Yes","No"),IF($A3="Cybernet",IF(OR(AND($Y3&lt;&gt;"",LOWER(TRIM($Y3))&lt;&gt;"n/a",COUNTIF($Y$2:$Y$532,$Y3)&gt;1),AND($Z3&lt;&gt;"",LOWER(TRIM($Z3))&lt;&gt;"n/a",COUNTIF($Z$2:$Z$532,$Z3)&gt;1)),"Yes","No"),IF(AND($AL3&lt;&gt;"",LOWER(TRIM($AL3))&lt;&gt;"n/a",COUNTIF($AL$2:$AL$532,$AL3)&gt;1),"Yes","No"))))</f>
      </c>
      <c r="F3">
        <f>IF($B3&lt;&gt;"Yes","",
IF($A3="Neuron",
IF(OR(
AND($S3&lt;&gt;"",LOWER(TRIM($S3))&lt;&gt;"n/a",COUNTIFS($B$2:$B$532,"Yes",$A$2:$A$532,"Neuron",$S$2:$S$532,$S3)&gt;1),
AND($T3&lt;&gt;"",LOWER(TRIM($T3))&lt;&gt;"n/a",COUNTIFS($B$2:$B$532,"Yes",$A$2:$A$532,"Neuron",$T$2:$T$532,$T3)&gt;1),
AND($W3&lt;&gt;"",LOWER(TRIM($W3))&lt;&gt;"n/a",COUNTIFS($B$2:$B$532,"Yes",$A$2:$A$532,"Neuron",$W$2:$W$532,$W3)&gt;1)
),"Yes","No"),
IF($A3="Cybernet",
IF(OR(
AND($Y3&lt;&gt;"",LOWER(TRIM($Y3))&lt;&gt;"n/a",COUNTIFS($B$2:$B$532,"Yes",$A$2:$A$532,"Cybernet",$Y$2:$Y$532,$Y3)&gt;1),
AND($Z3&lt;&gt;"",LOWER(TRIM($Z3))&lt;&gt;"n/a",COUNTIFS($B$2:$B$532,"Yes",$A$2:$A$532,"Cybernet",$Z$2:$Z$532,$Z3)&gt;1)
),"Yes","No"),
IF(AND($AL3&lt;&gt;"",LOWER(TRIM($AL3))&lt;&gt;"n/a"),
IF(COUNTIFS($B$2:$B$532,"Yes",$A$2:$A$532,$A3,$AL$2:$AL$532,$AL3)&gt;1,"Yes","No"),
"No")
)
)
)</f>
      </c>
      <c r="G3" t="s">
        <v>2089</v>
      </c>
      <c r="H3" t="s">
        <v>2089</v>
      </c>
      <c r="J3" t="s">
        <v>2115</v>
      </c>
      <c r="K3" t="s">
        <v>2115</v>
      </c>
      <c r="L3" t="s">
        <v>2115</v>
      </c>
      <c r="S3" t="s">
        <v>2075</v>
      </c>
      <c r="T3" t="s">
        <v>1847</v>
      </c>
      <c r="U3" t="s">
        <v>2182</v>
      </c>
      <c r="V3" t="s">
        <v>1727</v>
      </c>
      <c r="W3" t="s">
        <v>1732</v>
      </c>
      <c r="X3" t="s">
        <v>1707</v>
      </c>
      <c r="Y3" t="s">
        <v>1380</v>
      </c>
      <c r="AA3" t="s">
        <v>1867</v>
      </c>
      <c r="AC3" t="s">
        <v>2402</v>
      </c>
      <c r="AD3" t="s">
        <v>1380</v>
      </c>
      <c r="AF3" t="s">
        <v>2257</v>
      </c>
      <c r="AG3" t="s">
        <v>1999</v>
      </c>
      <c r="AH3">
        <v>2</v>
      </c>
      <c r="AI3" t="s">
        <v>1734</v>
      </c>
      <c r="AJ3" t="s">
        <v>2131</v>
      </c>
      <c r="AK3" t="s">
        <v>2361</v>
      </c>
      <c r="AL3" t="s">
        <v>2402</v>
      </c>
      <c r="AM3" t="s">
        <v>1335</v>
      </c>
      <c r="AR3" t="s">
        <v>1380</v>
      </c>
      <c r="AS3" t="s">
        <v>1991</v>
      </c>
      <c r="AT3" t="s">
        <v>1380</v>
      </c>
      <c r="AU3" t="s">
        <v>1380</v>
      </c>
      <c r="AV3" t="s">
        <v>1380</v>
      </c>
      <c r="AW3" t="s">
        <v>1727</v>
      </c>
      <c r="AX3" t="s">
        <v>1727</v>
      </c>
      <c r="BA3">
        <v>46027.0</v>
      </c>
      <c r="BB3" t="s">
        <v>1727</v>
      </c>
      <c r="BD3" t="s">
        <v>2151</v>
      </c>
      <c r="BE3" t="s">
        <v>1727</v>
      </c>
      <c r="BF3" t="s">
        <v>1727</v>
      </c>
      <c r="BG3" t="s">
        <v>1727</v>
      </c>
      <c r="BH3" t="s">
        <v>1727</v>
      </c>
      <c r="BJ3" t="s">
        <v>1727</v>
      </c>
      <c r="BK3" t="s">
        <v>1657</v>
      </c>
      <c r="BL3">
        <f>IF($T3="","",IF((IF(AND($AW3&lt;&gt;"Yes",$AW3&lt;&gt;"N/A"),"Power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",""))="","",LEFT(IF(AND($AW3&lt;&gt;"Yes",$AW3&lt;&gt;"N/A"),"Power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",""),LEN(IF(AND($AW3&lt;&gt;"Yes",$AW3&lt;&gt;"N/A"),"Power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",""))-2)))</f>
      </c>
      <c r="BM3">
        <f>IF($T3="","",IF($BL3="","Yes","Blocked"))</f>
      </c>
      <c r="BP3">
        <f>IF($BO3="","",IFERROR(VLOOKUP($BO3,'01_Warehouse_Ledger'!$A:$N,4,FALSE),""))</f>
      </c>
      <c r="BQ3">
        <f>IF($BO3="","",IFERROR(VLOOKUP($BO3,'01_Warehouse_Ledger'!$A:$N,5,FALSE),""))</f>
      </c>
      <c r="BR3">
        <f>IF($BO3="","",IFERROR(VLOOKUP($BO3,'01_Warehouse_Ledger'!$A:$N,13,FALSE),""))</f>
      </c>
    </row>
    <row r="4">
      <c r="A4" t="s">
        <v>1331</v>
      </c>
      <c r="B4" t="s">
        <v>1727</v>
      </c>
      <c r="C4" t="s">
        <v>1727</v>
      </c>
      <c r="D4">
        <f>IF($B4&lt;&gt;"Yes","",IF($C4="No","Yes",IF($C4="Yes","No","")))</f>
      </c>
      <c r="E4">
        <f>IF($A4="","",IF($A4="Neuron",IF(OR(AND($S4&lt;&gt;"",LOWER(TRIM($S4))&lt;&gt;"n/a",COUNTIF($S$2:$S$532,$S4)&gt;1),AND($T4&lt;&gt;"",LOWER(TRIM($T4))&lt;&gt;"n/a",COUNTIF($T$2:$T$532,$T4)&gt;1),AND($W4&lt;&gt;"",LOWER(TRIM($W4))&lt;&gt;"n/a",COUNTIF($W$2:$W$532,$W4)&gt;1)),"Yes","No"),IF($A4="Cybernet",IF(OR(AND($Y4&lt;&gt;"",LOWER(TRIM($Y4))&lt;&gt;"n/a",COUNTIF($Y$2:$Y$532,$Y4)&gt;1),AND($Z4&lt;&gt;"",LOWER(TRIM($Z4))&lt;&gt;"n/a",COUNTIF($Z$2:$Z$532,$Z4)&gt;1)),"Yes","No"),IF(AND($AL4&lt;&gt;"",LOWER(TRIM($AL4))&lt;&gt;"n/a",COUNTIF($AL$2:$AL$532,$AL4)&gt;1),"Yes","No"))))</f>
      </c>
      <c r="F4">
        <f>IF($B4&lt;&gt;"Yes","",
IF($A4="Neuron",
IF(OR(
AND($S4&lt;&gt;"",LOWER(TRIM($S4))&lt;&gt;"n/a",COUNTIFS($B$2:$B$532,"Yes",$A$2:$A$532,"Neuron",$S$2:$S$532,$S4)&gt;1),
AND($T4&lt;&gt;"",LOWER(TRIM($T4))&lt;&gt;"n/a",COUNTIFS($B$2:$B$532,"Yes",$A$2:$A$532,"Neuron",$T$2:$T$532,$T4)&gt;1),
AND($W4&lt;&gt;"",LOWER(TRIM($W4))&lt;&gt;"n/a",COUNTIFS($B$2:$B$532,"Yes",$A$2:$A$532,"Neuron",$W$2:$W$532,$W4)&gt;1)
),"Yes","No"),
IF($A4="Cybernet",
IF(OR(
AND($Y4&lt;&gt;"",LOWER(TRIM($Y4))&lt;&gt;"n/a",COUNTIFS($B$2:$B$532,"Yes",$A$2:$A$532,"Cybernet",$Y$2:$Y$532,$Y4)&gt;1),
AND($Z4&lt;&gt;"",LOWER(TRIM($Z4))&lt;&gt;"n/a",COUNTIFS($B$2:$B$532,"Yes",$A$2:$A$532,"Cybernet",$Z$2:$Z$532,$Z4)&gt;1)
),"Yes","No"),
IF(AND($AL4&lt;&gt;"",LOWER(TRIM($AL4))&lt;&gt;"n/a"),
IF(COUNTIFS($B$2:$B$532,"Yes",$A$2:$A$532,$A4,$AL$2:$AL$532,$AL4)&gt;1,"Yes","No"),
"No")
)
)
)</f>
      </c>
      <c r="G4" t="s">
        <v>2089</v>
      </c>
      <c r="H4" t="s">
        <v>2089</v>
      </c>
      <c r="J4" t="s">
        <v>2115</v>
      </c>
      <c r="K4" t="s">
        <v>2115</v>
      </c>
      <c r="L4" t="s">
        <v>2115</v>
      </c>
      <c r="S4" t="s">
        <v>1913</v>
      </c>
      <c r="T4" t="s">
        <v>1892</v>
      </c>
      <c r="U4" t="s">
        <v>1816</v>
      </c>
      <c r="V4" t="s">
        <v>1727</v>
      </c>
      <c r="W4" t="s">
        <v>1823</v>
      </c>
      <c r="X4" t="s">
        <v>1707</v>
      </c>
      <c r="Y4" t="s">
        <v>1380</v>
      </c>
      <c r="AA4" t="s">
        <v>1867</v>
      </c>
      <c r="AC4" t="s">
        <v>1782</v>
      </c>
      <c r="AD4" t="s">
        <v>1380</v>
      </c>
      <c r="AF4" t="s">
        <v>2257</v>
      </c>
      <c r="AG4" t="s">
        <v>1999</v>
      </c>
      <c r="AH4">
        <v>3</v>
      </c>
      <c r="AI4" t="s">
        <v>2019</v>
      </c>
      <c r="AJ4" t="s">
        <v>2131</v>
      </c>
      <c r="AK4" t="s">
        <v>2361</v>
      </c>
      <c r="AL4" t="s">
        <v>1782</v>
      </c>
      <c r="AM4" t="s">
        <v>1335</v>
      </c>
      <c r="AR4" t="s">
        <v>1380</v>
      </c>
      <c r="AS4" t="s">
        <v>1991</v>
      </c>
      <c r="AT4" t="s">
        <v>1380</v>
      </c>
      <c r="AU4" t="s">
        <v>1380</v>
      </c>
      <c r="AV4" t="s">
        <v>1380</v>
      </c>
      <c r="AW4" t="s">
        <v>1727</v>
      </c>
      <c r="AX4" t="s">
        <v>1727</v>
      </c>
      <c r="BA4">
        <v>46027.0</v>
      </c>
      <c r="BB4" t="s">
        <v>1727</v>
      </c>
      <c r="BD4" t="s">
        <v>2151</v>
      </c>
      <c r="BE4" t="s">
        <v>1727</v>
      </c>
      <c r="BF4" t="s">
        <v>1727</v>
      </c>
      <c r="BG4" t="s">
        <v>1727</v>
      </c>
      <c r="BH4" t="s">
        <v>1727</v>
      </c>
      <c r="BJ4" t="s">
        <v>1727</v>
      </c>
      <c r="BK4" t="s">
        <v>1657</v>
      </c>
      <c r="BL4">
        <f>IF($T4="","",IF((IF(AND($AW4&lt;&gt;"Yes",$AW4&lt;&gt;"N/A"),"Power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",""))="","",LEFT(IF(AND($AW4&lt;&gt;"Yes",$AW4&lt;&gt;"N/A"),"Power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",""),LEN(IF(AND($AW4&lt;&gt;"Yes",$AW4&lt;&gt;"N/A"),"Power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",""))-2)))</f>
      </c>
      <c r="BM4">
        <f>IF($T4="","",IF($BL4="","Yes","Blocked"))</f>
      </c>
      <c r="BP4">
        <f>IF($BO4="","",IFERROR(VLOOKUP($BO4,'01_Warehouse_Ledger'!$A:$N,4,FALSE),""))</f>
      </c>
      <c r="BQ4">
        <f>IF($BO4="","",IFERROR(VLOOKUP($BO4,'01_Warehouse_Ledger'!$A:$N,5,FALSE),""))</f>
      </c>
      <c r="BR4">
        <f>IF($BO4="","",IFERROR(VLOOKUP($BO4,'01_Warehouse_Ledger'!$A:$N,13,FALSE),""))</f>
      </c>
    </row>
    <row r="5">
      <c r="A5" t="s">
        <v>1331</v>
      </c>
      <c r="B5" t="s">
        <v>1727</v>
      </c>
      <c r="C5" t="s">
        <v>1727</v>
      </c>
      <c r="D5">
        <f>IF($B5&lt;&gt;"Yes","",IF($C5="No","Yes",IF($C5="Yes","No","")))</f>
      </c>
      <c r="E5">
        <f>IF($A5="","",IF($A5="Neuron",IF(OR(AND($S5&lt;&gt;"",LOWER(TRIM($S5))&lt;&gt;"n/a",COUNTIF($S$2:$S$532,$S5)&gt;1),AND($T5&lt;&gt;"",LOWER(TRIM($T5))&lt;&gt;"n/a",COUNTIF($T$2:$T$532,$T5)&gt;1),AND($W5&lt;&gt;"",LOWER(TRIM($W5))&lt;&gt;"n/a",COUNTIF($W$2:$W$532,$W5)&gt;1)),"Yes","No"),IF($A5="Cybernet",IF(OR(AND($Y5&lt;&gt;"",LOWER(TRIM($Y5))&lt;&gt;"n/a",COUNTIF($Y$2:$Y$532,$Y5)&gt;1),AND($Z5&lt;&gt;"",LOWER(TRIM($Z5))&lt;&gt;"n/a",COUNTIF($Z$2:$Z$532,$Z5)&gt;1)),"Yes","No"),IF(AND($AL5&lt;&gt;"",LOWER(TRIM($AL5))&lt;&gt;"n/a",COUNTIF($AL$2:$AL$532,$AL5)&gt;1),"Yes","No"))))</f>
      </c>
      <c r="F5">
        <f>IF($B5&lt;&gt;"Yes","",
IF($A5="Neuron",
IF(OR(
AND($S5&lt;&gt;"",LOWER(TRIM($S5))&lt;&gt;"n/a",COUNTIFS($B$2:$B$532,"Yes",$A$2:$A$532,"Neuron",$S$2:$S$532,$S5)&gt;1),
AND($T5&lt;&gt;"",LOWER(TRIM($T5))&lt;&gt;"n/a",COUNTIFS($B$2:$B$532,"Yes",$A$2:$A$532,"Neuron",$T$2:$T$532,$T5)&gt;1),
AND($W5&lt;&gt;"",LOWER(TRIM($W5))&lt;&gt;"n/a",COUNTIFS($B$2:$B$532,"Yes",$A$2:$A$532,"Neuron",$W$2:$W$532,$W5)&gt;1)
),"Yes","No"),
IF($A5="Cybernet",
IF(OR(
AND($Y5&lt;&gt;"",LOWER(TRIM($Y5))&lt;&gt;"n/a",COUNTIFS($B$2:$B$532,"Yes",$A$2:$A$532,"Cybernet",$Y$2:$Y$532,$Y5)&gt;1),
AND($Z5&lt;&gt;"",LOWER(TRIM($Z5))&lt;&gt;"n/a",COUNTIFS($B$2:$B$532,"Yes",$A$2:$A$532,"Cybernet",$Z$2:$Z$532,$Z5)&gt;1)
),"Yes","No"),
IF(AND($AL5&lt;&gt;"",LOWER(TRIM($AL5))&lt;&gt;"n/a"),
IF(COUNTIFS($B$2:$B$532,"Yes",$A$2:$A$532,$A5,$AL$2:$AL$532,$AL5)&gt;1,"Yes","No"),
"No")
)
)
)</f>
      </c>
      <c r="G5" t="s">
        <v>2089</v>
      </c>
      <c r="H5" t="s">
        <v>2089</v>
      </c>
      <c r="J5" t="s">
        <v>2115</v>
      </c>
      <c r="K5" t="s">
        <v>2115</v>
      </c>
      <c r="L5" t="s">
        <v>2115</v>
      </c>
      <c r="S5" t="s">
        <v>1851</v>
      </c>
      <c r="T5" t="s">
        <v>2291</v>
      </c>
      <c r="U5" t="s">
        <v>1765</v>
      </c>
      <c r="V5" t="s">
        <v>1727</v>
      </c>
      <c r="W5" t="s">
        <v>2025</v>
      </c>
      <c r="X5" t="s">
        <v>1707</v>
      </c>
      <c r="Y5" t="s">
        <v>1380</v>
      </c>
      <c r="AA5" t="s">
        <v>1867</v>
      </c>
      <c r="AC5" t="s">
        <v>2211</v>
      </c>
      <c r="AD5" t="s">
        <v>1380</v>
      </c>
      <c r="AF5" t="s">
        <v>2257</v>
      </c>
      <c r="AG5" t="s">
        <v>1999</v>
      </c>
      <c r="AH5">
        <v>4</v>
      </c>
      <c r="AI5" t="s">
        <v>1778</v>
      </c>
      <c r="AJ5" t="s">
        <v>2131</v>
      </c>
      <c r="AK5" t="s">
        <v>2361</v>
      </c>
      <c r="AL5" t="s">
        <v>2211</v>
      </c>
      <c r="AM5" t="s">
        <v>1335</v>
      </c>
      <c r="AR5" t="s">
        <v>1380</v>
      </c>
      <c r="AS5" t="s">
        <v>1991</v>
      </c>
      <c r="AT5" t="s">
        <v>1380</v>
      </c>
      <c r="AU5" t="s">
        <v>1380</v>
      </c>
      <c r="AV5" t="s">
        <v>1380</v>
      </c>
      <c r="AW5" t="s">
        <v>1727</v>
      </c>
      <c r="AX5" t="s">
        <v>1727</v>
      </c>
      <c r="BA5">
        <v>46027.0</v>
      </c>
      <c r="BB5" t="s">
        <v>1727</v>
      </c>
      <c r="BD5" t="s">
        <v>2151</v>
      </c>
      <c r="BE5" t="s">
        <v>1727</v>
      </c>
      <c r="BF5" t="s">
        <v>1727</v>
      </c>
      <c r="BG5" t="s">
        <v>1727</v>
      </c>
      <c r="BH5" t="s">
        <v>1727</v>
      </c>
      <c r="BJ5" t="s">
        <v>1727</v>
      </c>
      <c r="BK5" t="s">
        <v>1657</v>
      </c>
      <c r="BL5">
        <f>IF($T5="","",IF((IF(AND($AW5&lt;&gt;"Yes",$AW5&lt;&gt;"N/A"),"Power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",""))="","",LEFT(IF(AND($AW5&lt;&gt;"Yes",$AW5&lt;&gt;"N/A"),"Power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",""),LEN(IF(AND($AW5&lt;&gt;"Yes",$AW5&lt;&gt;"N/A"),"Power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",""))-2)))</f>
      </c>
      <c r="BM5">
        <f>IF($T5="","",IF($BL5="","Yes","Blocked"))</f>
      </c>
      <c r="BP5">
        <f>IF($BO5="","",IFERROR(VLOOKUP($BO5,'01_Warehouse_Ledger'!$A:$N,4,FALSE),""))</f>
      </c>
      <c r="BQ5">
        <f>IF($BO5="","",IFERROR(VLOOKUP($BO5,'01_Warehouse_Ledger'!$A:$N,5,FALSE),""))</f>
      </c>
      <c r="BR5">
        <f>IF($BO5="","",IFERROR(VLOOKUP($BO5,'01_Warehouse_Ledger'!$A:$N,13,FALSE),""))</f>
      </c>
    </row>
    <row r="6">
      <c r="A6" t="s">
        <v>1331</v>
      </c>
      <c r="B6" t="s">
        <v>1727</v>
      </c>
      <c r="C6" t="s">
        <v>1727</v>
      </c>
      <c r="D6">
        <f>IF($B6&lt;&gt;"Yes","",IF($C6="No","Yes",IF($C6="Yes","No","")))</f>
      </c>
      <c r="E6">
        <f>IF($A6="","",IF($A6="Neuron",IF(OR(AND($S6&lt;&gt;"",LOWER(TRIM($S6))&lt;&gt;"n/a",COUNTIF($S$2:$S$532,$S6)&gt;1),AND($T6&lt;&gt;"",LOWER(TRIM($T6))&lt;&gt;"n/a",COUNTIF($T$2:$T$532,$T6)&gt;1),AND($W6&lt;&gt;"",LOWER(TRIM($W6))&lt;&gt;"n/a",COUNTIF($W$2:$W$532,$W6)&gt;1)),"Yes","No"),IF($A6="Cybernet",IF(OR(AND($Y6&lt;&gt;"",LOWER(TRIM($Y6))&lt;&gt;"n/a",COUNTIF($Y$2:$Y$532,$Y6)&gt;1),AND($Z6&lt;&gt;"",LOWER(TRIM($Z6))&lt;&gt;"n/a",COUNTIF($Z$2:$Z$532,$Z6)&gt;1)),"Yes","No"),IF(AND($AL6&lt;&gt;"",LOWER(TRIM($AL6))&lt;&gt;"n/a",COUNTIF($AL$2:$AL$532,$AL6)&gt;1),"Yes","No"))))</f>
      </c>
      <c r="F6">
        <f>IF($B6&lt;&gt;"Yes","",
IF($A6="Neuron",
IF(OR(
AND($S6&lt;&gt;"",LOWER(TRIM($S6))&lt;&gt;"n/a",COUNTIFS($B$2:$B$532,"Yes",$A$2:$A$532,"Neuron",$S$2:$S$532,$S6)&gt;1),
AND($T6&lt;&gt;"",LOWER(TRIM($T6))&lt;&gt;"n/a",COUNTIFS($B$2:$B$532,"Yes",$A$2:$A$532,"Neuron",$T$2:$T$532,$T6)&gt;1),
AND($W6&lt;&gt;"",LOWER(TRIM($W6))&lt;&gt;"n/a",COUNTIFS($B$2:$B$532,"Yes",$A$2:$A$532,"Neuron",$W$2:$W$532,$W6)&gt;1)
),"Yes","No"),
IF($A6="Cybernet",
IF(OR(
AND($Y6&lt;&gt;"",LOWER(TRIM($Y6))&lt;&gt;"n/a",COUNTIFS($B$2:$B$532,"Yes",$A$2:$A$532,"Cybernet",$Y$2:$Y$532,$Y6)&gt;1),
AND($Z6&lt;&gt;"",LOWER(TRIM($Z6))&lt;&gt;"n/a",COUNTIFS($B$2:$B$532,"Yes",$A$2:$A$532,"Cybernet",$Z$2:$Z$532,$Z6)&gt;1)
),"Yes","No"),
IF(AND($AL6&lt;&gt;"",LOWER(TRIM($AL6))&lt;&gt;"n/a"),
IF(COUNTIFS($B$2:$B$532,"Yes",$A$2:$A$532,$A6,$AL$2:$AL$532,$AL6)&gt;1,"Yes","No"),
"No")
)
)
)</f>
      </c>
      <c r="G6" t="s">
        <v>2089</v>
      </c>
      <c r="H6" t="s">
        <v>2089</v>
      </c>
      <c r="J6" t="s">
        <v>2115</v>
      </c>
      <c r="K6" t="s">
        <v>2115</v>
      </c>
      <c r="L6" t="s">
        <v>2115</v>
      </c>
      <c r="S6" t="s">
        <v>2369</v>
      </c>
      <c r="T6" t="s">
        <v>1948</v>
      </c>
      <c r="U6" t="s">
        <v>1649</v>
      </c>
      <c r="V6" t="s">
        <v>1727</v>
      </c>
      <c r="W6" t="s">
        <v>2308</v>
      </c>
      <c r="X6" t="s">
        <v>1707</v>
      </c>
      <c r="Y6" t="s">
        <v>1380</v>
      </c>
      <c r="AA6" t="s">
        <v>1867</v>
      </c>
      <c r="AC6" t="s">
        <v>2209</v>
      </c>
      <c r="AD6" t="s">
        <v>1380</v>
      </c>
      <c r="AF6" t="s">
        <v>2257</v>
      </c>
      <c r="AG6" t="s">
        <v>1999</v>
      </c>
      <c r="AH6">
        <v>5</v>
      </c>
      <c r="AI6" t="s">
        <v>2070</v>
      </c>
      <c r="AJ6" t="s">
        <v>2131</v>
      </c>
      <c r="AK6" t="s">
        <v>2361</v>
      </c>
      <c r="AL6" t="s">
        <v>2209</v>
      </c>
      <c r="AM6" t="s">
        <v>1335</v>
      </c>
      <c r="AR6" t="s">
        <v>1380</v>
      </c>
      <c r="AS6" t="s">
        <v>1991</v>
      </c>
      <c r="AT6" t="s">
        <v>1380</v>
      </c>
      <c r="AU6" t="s">
        <v>1380</v>
      </c>
      <c r="AV6" t="s">
        <v>1380</v>
      </c>
      <c r="AW6" t="s">
        <v>1727</v>
      </c>
      <c r="AX6" t="s">
        <v>1727</v>
      </c>
      <c r="BA6">
        <v>46027.0</v>
      </c>
      <c r="BB6" t="s">
        <v>1727</v>
      </c>
      <c r="BD6" t="s">
        <v>2151</v>
      </c>
      <c r="BE6" t="s">
        <v>1727</v>
      </c>
      <c r="BF6" t="s">
        <v>1727</v>
      </c>
      <c r="BG6" t="s">
        <v>1727</v>
      </c>
      <c r="BH6" t="s">
        <v>1727</v>
      </c>
      <c r="BJ6" t="s">
        <v>1727</v>
      </c>
      <c r="BK6" t="s">
        <v>1657</v>
      </c>
      <c r="BL6">
        <f>IF($T6="","",IF((IF(AND($AW6&lt;&gt;"Yes",$AW6&lt;&gt;"N/A"),"Power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",""))="","",LEFT(IF(AND($AW6&lt;&gt;"Yes",$AW6&lt;&gt;"N/A"),"Power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",""),LEN(IF(AND($AW6&lt;&gt;"Yes",$AW6&lt;&gt;"N/A"),"Power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",""))-2)))</f>
      </c>
      <c r="BM6">
        <f>IF($T6="","",IF($BL6="","Yes","Blocked"))</f>
      </c>
      <c r="BP6">
        <f>IF($BO6="","",IFERROR(VLOOKUP($BO6,'01_Warehouse_Ledger'!$A:$N,4,FALSE),""))</f>
      </c>
      <c r="BQ6">
        <f>IF($BO6="","",IFERROR(VLOOKUP($BO6,'01_Warehouse_Ledger'!$A:$N,5,FALSE),""))</f>
      </c>
      <c r="BR6">
        <f>IF($BO6="","",IFERROR(VLOOKUP($BO6,'01_Warehouse_Ledger'!$A:$N,13,FALSE),""))</f>
      </c>
    </row>
    <row r="7">
      <c r="A7" t="s">
        <v>1331</v>
      </c>
      <c r="B7" t="s">
        <v>1727</v>
      </c>
      <c r="C7" t="s">
        <v>1727</v>
      </c>
      <c r="D7">
        <f>IF($B7&lt;&gt;"Yes","",IF($C7="No","Yes",IF($C7="Yes","No","")))</f>
      </c>
      <c r="E7">
        <f>IF($A7="","",IF($A7="Neuron",IF(OR(AND($S7&lt;&gt;"",LOWER(TRIM($S7))&lt;&gt;"n/a",COUNTIF($S$2:$S$532,$S7)&gt;1),AND($T7&lt;&gt;"",LOWER(TRIM($T7))&lt;&gt;"n/a",COUNTIF($T$2:$T$532,$T7)&gt;1),AND($W7&lt;&gt;"",LOWER(TRIM($W7))&lt;&gt;"n/a",COUNTIF($W$2:$W$532,$W7)&gt;1)),"Yes","No"),IF($A7="Cybernet",IF(OR(AND($Y7&lt;&gt;"",LOWER(TRIM($Y7))&lt;&gt;"n/a",COUNTIF($Y$2:$Y$532,$Y7)&gt;1),AND($Z7&lt;&gt;"",LOWER(TRIM($Z7))&lt;&gt;"n/a",COUNTIF($Z$2:$Z$532,$Z7)&gt;1)),"Yes","No"),IF(AND($AL7&lt;&gt;"",LOWER(TRIM($AL7))&lt;&gt;"n/a",COUNTIF($AL$2:$AL$532,$AL7)&gt;1),"Yes","No"))))</f>
      </c>
      <c r="F7">
        <f>IF($B7&lt;&gt;"Yes","",
IF($A7="Neuron",
IF(OR(
AND($S7&lt;&gt;"",LOWER(TRIM($S7))&lt;&gt;"n/a",COUNTIFS($B$2:$B$532,"Yes",$A$2:$A$532,"Neuron",$S$2:$S$532,$S7)&gt;1),
AND($T7&lt;&gt;"",LOWER(TRIM($T7))&lt;&gt;"n/a",COUNTIFS($B$2:$B$532,"Yes",$A$2:$A$532,"Neuron",$T$2:$T$532,$T7)&gt;1),
AND($W7&lt;&gt;"",LOWER(TRIM($W7))&lt;&gt;"n/a",COUNTIFS($B$2:$B$532,"Yes",$A$2:$A$532,"Neuron",$W$2:$W$532,$W7)&gt;1)
),"Yes","No"),
IF($A7="Cybernet",
IF(OR(
AND($Y7&lt;&gt;"",LOWER(TRIM($Y7))&lt;&gt;"n/a",COUNTIFS($B$2:$B$532,"Yes",$A$2:$A$532,"Cybernet",$Y$2:$Y$532,$Y7)&gt;1),
AND($Z7&lt;&gt;"",LOWER(TRIM($Z7))&lt;&gt;"n/a",COUNTIFS($B$2:$B$532,"Yes",$A$2:$A$532,"Cybernet",$Z$2:$Z$532,$Z7)&gt;1)
),"Yes","No"),
IF(AND($AL7&lt;&gt;"",LOWER(TRIM($AL7))&lt;&gt;"n/a"),
IF(COUNTIFS($B$2:$B$532,"Yes",$A$2:$A$532,$A7,$AL$2:$AL$532,$AL7)&gt;1,"Yes","No"),
"No")
)
)
)</f>
      </c>
      <c r="G7" t="s">
        <v>2089</v>
      </c>
      <c r="H7" t="s">
        <v>2089</v>
      </c>
      <c r="J7" t="s">
        <v>2115</v>
      </c>
      <c r="K7" t="s">
        <v>2115</v>
      </c>
      <c r="L7" t="s">
        <v>2115</v>
      </c>
      <c r="S7" t="s">
        <v>2059</v>
      </c>
      <c r="T7" t="s">
        <v>1799</v>
      </c>
      <c r="U7" t="s">
        <v>1786</v>
      </c>
      <c r="V7" t="s">
        <v>1727</v>
      </c>
      <c r="W7" t="s">
        <v>1783</v>
      </c>
      <c r="X7" t="s">
        <v>1707</v>
      </c>
      <c r="Y7" t="s">
        <v>1380</v>
      </c>
      <c r="AA7" t="s">
        <v>1867</v>
      </c>
      <c r="AC7" t="s">
        <v>2246</v>
      </c>
      <c r="AD7" t="s">
        <v>1380</v>
      </c>
      <c r="AF7" t="s">
        <v>2257</v>
      </c>
      <c r="AG7" t="s">
        <v>1999</v>
      </c>
      <c r="AH7">
        <v>6</v>
      </c>
      <c r="AI7" t="s">
        <v>1850</v>
      </c>
      <c r="AJ7" t="s">
        <v>2131</v>
      </c>
      <c r="AK7" t="s">
        <v>2361</v>
      </c>
      <c r="AL7" t="s">
        <v>2246</v>
      </c>
      <c r="AM7" t="s">
        <v>1335</v>
      </c>
      <c r="AR7" t="s">
        <v>1380</v>
      </c>
      <c r="AS7" t="s">
        <v>1991</v>
      </c>
      <c r="AT7" t="s">
        <v>1380</v>
      </c>
      <c r="AU7" t="s">
        <v>1380</v>
      </c>
      <c r="AV7" t="s">
        <v>1380</v>
      </c>
      <c r="AW7" t="s">
        <v>1727</v>
      </c>
      <c r="AX7" t="s">
        <v>1727</v>
      </c>
      <c r="BA7">
        <v>46027.0</v>
      </c>
      <c r="BB7" t="s">
        <v>1727</v>
      </c>
      <c r="BD7" t="s">
        <v>2151</v>
      </c>
      <c r="BE7" t="s">
        <v>1727</v>
      </c>
      <c r="BF7" t="s">
        <v>1727</v>
      </c>
      <c r="BG7" t="s">
        <v>1727</v>
      </c>
      <c r="BH7" t="s">
        <v>1727</v>
      </c>
      <c r="BJ7" t="s">
        <v>1727</v>
      </c>
      <c r="BK7" t="s">
        <v>1657</v>
      </c>
      <c r="BL7">
        <f>IF($T7="","",IF((IF(AND($AW7&lt;&gt;"Yes",$AW7&lt;&gt;"N/A"),"Power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",""))="","",LEFT(IF(AND($AW7&lt;&gt;"Yes",$AW7&lt;&gt;"N/A"),"Power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",""),LEN(IF(AND($AW7&lt;&gt;"Yes",$AW7&lt;&gt;"N/A"),"Power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",""))-2)))</f>
      </c>
      <c r="BM7">
        <f>IF($T7="","",IF($BL7="","Yes","Blocked"))</f>
      </c>
      <c r="BP7">
        <f>IF($BO7="","",IFERROR(VLOOKUP($BO7,'01_Warehouse_Ledger'!$A:$N,4,FALSE),""))</f>
      </c>
      <c r="BQ7">
        <f>IF($BO7="","",IFERROR(VLOOKUP($BO7,'01_Warehouse_Ledger'!$A:$N,5,FALSE),""))</f>
      </c>
      <c r="BR7">
        <f>IF($BO7="","",IFERROR(VLOOKUP($BO7,'01_Warehouse_Ledger'!$A:$N,13,FALSE),""))</f>
      </c>
    </row>
    <row r="8">
      <c r="A8" t="s">
        <v>1331</v>
      </c>
      <c r="B8" t="s">
        <v>1727</v>
      </c>
      <c r="C8" t="s">
        <v>1727</v>
      </c>
      <c r="D8">
        <f>IF($B8&lt;&gt;"Yes","",IF($C8="No","Yes",IF($C8="Yes","No","")))</f>
      </c>
      <c r="E8">
        <f>IF($A8="","",IF($A8="Neuron",IF(OR(AND($S8&lt;&gt;"",LOWER(TRIM($S8))&lt;&gt;"n/a",COUNTIF($S$2:$S$532,$S8)&gt;1),AND($T8&lt;&gt;"",LOWER(TRIM($T8))&lt;&gt;"n/a",COUNTIF($T$2:$T$532,$T8)&gt;1),AND($W8&lt;&gt;"",LOWER(TRIM($W8))&lt;&gt;"n/a",COUNTIF($W$2:$W$532,$W8)&gt;1)),"Yes","No"),IF($A8="Cybernet",IF(OR(AND($Y8&lt;&gt;"",LOWER(TRIM($Y8))&lt;&gt;"n/a",COUNTIF($Y$2:$Y$532,$Y8)&gt;1),AND($Z8&lt;&gt;"",LOWER(TRIM($Z8))&lt;&gt;"n/a",COUNTIF($Z$2:$Z$532,$Z8)&gt;1)),"Yes","No"),IF(AND($AL8&lt;&gt;"",LOWER(TRIM($AL8))&lt;&gt;"n/a",COUNTIF($AL$2:$AL$532,$AL8)&gt;1),"Yes","No"))))</f>
      </c>
      <c r="F8">
        <f>IF($B8&lt;&gt;"Yes","",
IF($A8="Neuron",
IF(OR(
AND($S8&lt;&gt;"",LOWER(TRIM($S8))&lt;&gt;"n/a",COUNTIFS($B$2:$B$532,"Yes",$A$2:$A$532,"Neuron",$S$2:$S$532,$S8)&gt;1),
AND($T8&lt;&gt;"",LOWER(TRIM($T8))&lt;&gt;"n/a",COUNTIFS($B$2:$B$532,"Yes",$A$2:$A$532,"Neuron",$T$2:$T$532,$T8)&gt;1),
AND($W8&lt;&gt;"",LOWER(TRIM($W8))&lt;&gt;"n/a",COUNTIFS($B$2:$B$532,"Yes",$A$2:$A$532,"Neuron",$W$2:$W$532,$W8)&gt;1)
),"Yes","No"),
IF($A8="Cybernet",
IF(OR(
AND($Y8&lt;&gt;"",LOWER(TRIM($Y8))&lt;&gt;"n/a",COUNTIFS($B$2:$B$532,"Yes",$A$2:$A$532,"Cybernet",$Y$2:$Y$532,$Y8)&gt;1),
AND($Z8&lt;&gt;"",LOWER(TRIM($Z8))&lt;&gt;"n/a",COUNTIFS($B$2:$B$532,"Yes",$A$2:$A$532,"Cybernet",$Z$2:$Z$532,$Z8)&gt;1)
),"Yes","No"),
IF(AND($AL8&lt;&gt;"",LOWER(TRIM($AL8))&lt;&gt;"n/a"),
IF(COUNTIFS($B$2:$B$532,"Yes",$A$2:$A$532,$A8,$AL$2:$AL$532,$AL8)&gt;1,"Yes","No"),
"No")
)
)
)</f>
      </c>
      <c r="G8" t="s">
        <v>2089</v>
      </c>
      <c r="H8" t="s">
        <v>2089</v>
      </c>
      <c r="J8" t="s">
        <v>2115</v>
      </c>
      <c r="K8" t="s">
        <v>2115</v>
      </c>
      <c r="L8" t="s">
        <v>2115</v>
      </c>
      <c r="S8" t="s">
        <v>1871</v>
      </c>
      <c r="T8" t="s">
        <v>1902</v>
      </c>
      <c r="U8" t="s">
        <v>2036</v>
      </c>
      <c r="V8" t="s">
        <v>1727</v>
      </c>
      <c r="W8" t="s">
        <v>2338</v>
      </c>
      <c r="X8" t="s">
        <v>1707</v>
      </c>
      <c r="Y8" t="s">
        <v>1380</v>
      </c>
      <c r="AA8" t="s">
        <v>1867</v>
      </c>
      <c r="AC8" t="s">
        <v>2047</v>
      </c>
      <c r="AD8" t="s">
        <v>1380</v>
      </c>
      <c r="AF8" t="s">
        <v>2257</v>
      </c>
      <c r="AG8" t="s">
        <v>1999</v>
      </c>
      <c r="AH8">
        <v>7</v>
      </c>
      <c r="AI8" t="s">
        <v>2057</v>
      </c>
      <c r="AJ8" t="s">
        <v>2131</v>
      </c>
      <c r="AK8" t="s">
        <v>2361</v>
      </c>
      <c r="AL8" t="s">
        <v>2047</v>
      </c>
      <c r="AM8" t="s">
        <v>1335</v>
      </c>
      <c r="AR8" t="s">
        <v>1380</v>
      </c>
      <c r="AS8" t="s">
        <v>1991</v>
      </c>
      <c r="AT8" t="s">
        <v>1380</v>
      </c>
      <c r="AU8" t="s">
        <v>1380</v>
      </c>
      <c r="AV8" t="s">
        <v>1380</v>
      </c>
      <c r="AW8" t="s">
        <v>1727</v>
      </c>
      <c r="AX8" t="s">
        <v>1727</v>
      </c>
      <c r="BA8">
        <v>46027.0</v>
      </c>
      <c r="BB8" t="s">
        <v>1727</v>
      </c>
      <c r="BD8" t="s">
        <v>2151</v>
      </c>
      <c r="BE8" t="s">
        <v>1727</v>
      </c>
      <c r="BF8" t="s">
        <v>1727</v>
      </c>
      <c r="BG8" t="s">
        <v>1727</v>
      </c>
      <c r="BH8" t="s">
        <v>1727</v>
      </c>
      <c r="BJ8" t="s">
        <v>1727</v>
      </c>
      <c r="BK8" t="s">
        <v>1657</v>
      </c>
      <c r="BL8">
        <f>IF($T8="","",IF((IF(AND($AW8&lt;&gt;"Yes",$AW8&lt;&gt;"N/A"),"Power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",""))="","",LEFT(IF(AND($AW8&lt;&gt;"Yes",$AW8&lt;&gt;"N/A"),"Power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",""),LEN(IF(AND($AW8&lt;&gt;"Yes",$AW8&lt;&gt;"N/A"),"Power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",""))-2)))</f>
      </c>
      <c r="BM8">
        <f>IF($T8="","",IF($BL8="","Yes","Blocked"))</f>
      </c>
      <c r="BP8">
        <f>IF($BO8="","",IFERROR(VLOOKUP($BO8,'01_Warehouse_Ledger'!$A:$N,4,FALSE),""))</f>
      </c>
      <c r="BQ8">
        <f>IF($BO8="","",IFERROR(VLOOKUP($BO8,'01_Warehouse_Ledger'!$A:$N,5,FALSE),""))</f>
      </c>
      <c r="BR8">
        <f>IF($BO8="","",IFERROR(VLOOKUP($BO8,'01_Warehouse_Ledger'!$A:$N,13,FALSE),""))</f>
      </c>
    </row>
    <row r="9">
      <c r="A9" t="s">
        <v>1331</v>
      </c>
      <c r="B9" t="s">
        <v>1727</v>
      </c>
      <c r="C9" t="s">
        <v>1727</v>
      </c>
      <c r="D9">
        <f>IF($B9&lt;&gt;"Yes","",IF($C9="No","Yes",IF($C9="Yes","No","")))</f>
      </c>
      <c r="E9">
        <f>IF($A9="","",IF($A9="Neuron",IF(OR(AND($S9&lt;&gt;"",LOWER(TRIM($S9))&lt;&gt;"n/a",COUNTIF($S$2:$S$532,$S9)&gt;1),AND($T9&lt;&gt;"",LOWER(TRIM($T9))&lt;&gt;"n/a",COUNTIF($T$2:$T$532,$T9)&gt;1),AND($W9&lt;&gt;"",LOWER(TRIM($W9))&lt;&gt;"n/a",COUNTIF($W$2:$W$532,$W9)&gt;1)),"Yes","No"),IF($A9="Cybernet",IF(OR(AND($Y9&lt;&gt;"",LOWER(TRIM($Y9))&lt;&gt;"n/a",COUNTIF($Y$2:$Y$532,$Y9)&gt;1),AND($Z9&lt;&gt;"",LOWER(TRIM($Z9))&lt;&gt;"n/a",COUNTIF($Z$2:$Z$532,$Z9)&gt;1)),"Yes","No"),IF(AND($AL9&lt;&gt;"",LOWER(TRIM($AL9))&lt;&gt;"n/a",COUNTIF($AL$2:$AL$532,$AL9)&gt;1),"Yes","No"))))</f>
      </c>
      <c r="F9">
        <f>IF($B9&lt;&gt;"Yes","",
IF($A9="Neuron",
IF(OR(
AND($S9&lt;&gt;"",LOWER(TRIM($S9))&lt;&gt;"n/a",COUNTIFS($B$2:$B$532,"Yes",$A$2:$A$532,"Neuron",$S$2:$S$532,$S9)&gt;1),
AND($T9&lt;&gt;"",LOWER(TRIM($T9))&lt;&gt;"n/a",COUNTIFS($B$2:$B$532,"Yes",$A$2:$A$532,"Neuron",$T$2:$T$532,$T9)&gt;1),
AND($W9&lt;&gt;"",LOWER(TRIM($W9))&lt;&gt;"n/a",COUNTIFS($B$2:$B$532,"Yes",$A$2:$A$532,"Neuron",$W$2:$W$532,$W9)&gt;1)
),"Yes","No"),
IF($A9="Cybernet",
IF(OR(
AND($Y9&lt;&gt;"",LOWER(TRIM($Y9))&lt;&gt;"n/a",COUNTIFS($B$2:$B$532,"Yes",$A$2:$A$532,"Cybernet",$Y$2:$Y$532,$Y9)&gt;1),
AND($Z9&lt;&gt;"",LOWER(TRIM($Z9))&lt;&gt;"n/a",COUNTIFS($B$2:$B$532,"Yes",$A$2:$A$532,"Cybernet",$Z$2:$Z$532,$Z9)&gt;1)
),"Yes","No"),
IF(AND($AL9&lt;&gt;"",LOWER(TRIM($AL9))&lt;&gt;"n/a"),
IF(COUNTIFS($B$2:$B$532,"Yes",$A$2:$A$532,$A9,$AL$2:$AL$532,$AL9)&gt;1,"Yes","No"),
"No")
)
)
)</f>
      </c>
      <c r="G9" t="s">
        <v>2089</v>
      </c>
      <c r="H9" t="s">
        <v>2089</v>
      </c>
      <c r="J9" t="s">
        <v>2115</v>
      </c>
      <c r="K9" t="s">
        <v>2115</v>
      </c>
      <c r="L9" t="s">
        <v>2115</v>
      </c>
      <c r="S9" t="s">
        <v>2178</v>
      </c>
      <c r="T9" t="s">
        <v>1953</v>
      </c>
      <c r="U9" t="s">
        <v>2362</v>
      </c>
      <c r="V9" t="s">
        <v>1727</v>
      </c>
      <c r="W9" t="s">
        <v>2348</v>
      </c>
      <c r="X9" t="s">
        <v>1707</v>
      </c>
      <c r="Y9" t="s">
        <v>1380</v>
      </c>
      <c r="AA9" t="s">
        <v>1867</v>
      </c>
      <c r="AC9" t="s">
        <v>2140</v>
      </c>
      <c r="AD9" t="s">
        <v>1380</v>
      </c>
      <c r="AF9" t="s">
        <v>2257</v>
      </c>
      <c r="AG9" t="s">
        <v>1999</v>
      </c>
      <c r="AH9">
        <v>8</v>
      </c>
      <c r="AI9" t="s">
        <v>1986</v>
      </c>
      <c r="AJ9" t="s">
        <v>2131</v>
      </c>
      <c r="AK9" t="s">
        <v>2361</v>
      </c>
      <c r="AL9" t="s">
        <v>2140</v>
      </c>
      <c r="AM9" t="s">
        <v>1335</v>
      </c>
      <c r="AR9" t="s">
        <v>1380</v>
      </c>
      <c r="AS9" t="s">
        <v>1991</v>
      </c>
      <c r="AT9" t="s">
        <v>1380</v>
      </c>
      <c r="AU9" t="s">
        <v>1380</v>
      </c>
      <c r="AV9" t="s">
        <v>1380</v>
      </c>
      <c r="AW9" t="s">
        <v>1727</v>
      </c>
      <c r="AX9" t="s">
        <v>1727</v>
      </c>
      <c r="BA9">
        <v>46027.0</v>
      </c>
      <c r="BB9" t="s">
        <v>1727</v>
      </c>
      <c r="BD9" t="s">
        <v>2151</v>
      </c>
      <c r="BE9" t="s">
        <v>1727</v>
      </c>
      <c r="BF9" t="s">
        <v>1727</v>
      </c>
      <c r="BG9" t="s">
        <v>1727</v>
      </c>
      <c r="BH9" t="s">
        <v>1727</v>
      </c>
      <c r="BJ9" t="s">
        <v>1727</v>
      </c>
      <c r="BK9" t="s">
        <v>1657</v>
      </c>
      <c r="BL9">
        <f>IF($T9="","",IF((IF(AND($AW9&lt;&gt;"Yes",$AW9&lt;&gt;"N/A"),"Power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",""))="","",LEFT(IF(AND($AW9&lt;&gt;"Yes",$AW9&lt;&gt;"N/A"),"Power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",""),LEN(IF(AND($AW9&lt;&gt;"Yes",$AW9&lt;&gt;"N/A"),"Power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",""))-2)))</f>
      </c>
      <c r="BM9">
        <f>IF($T9="","",IF($BL9="","Yes","Blocked"))</f>
      </c>
      <c r="BP9">
        <f>IF($BO9="","",IFERROR(VLOOKUP($BO9,'01_Warehouse_Ledger'!$A:$N,4,FALSE),""))</f>
      </c>
      <c r="BQ9">
        <f>IF($BO9="","",IFERROR(VLOOKUP($BO9,'01_Warehouse_Ledger'!$A:$N,5,FALSE),""))</f>
      </c>
      <c r="BR9">
        <f>IF($BO9="","",IFERROR(VLOOKUP($BO9,'01_Warehouse_Ledger'!$A:$N,13,FALSE),""))</f>
      </c>
    </row>
    <row r="10">
      <c r="A10" t="s">
        <v>1331</v>
      </c>
      <c r="B10" t="s">
        <v>1727</v>
      </c>
      <c r="C10" t="s">
        <v>1727</v>
      </c>
      <c r="D10">
        <f>IF($B10&lt;&gt;"Yes","",IF($C10="No","Yes",IF($C10="Yes","No","")))</f>
      </c>
      <c r="E10">
        <f>IF($A10="","",IF($A10="Neuron",IF(OR(AND($S10&lt;&gt;"",LOWER(TRIM($S10))&lt;&gt;"n/a",COUNTIF($S$2:$S$532,$S10)&gt;1),AND($T10&lt;&gt;"",LOWER(TRIM($T10))&lt;&gt;"n/a",COUNTIF($T$2:$T$532,$T10)&gt;1),AND($W10&lt;&gt;"",LOWER(TRIM($W10))&lt;&gt;"n/a",COUNTIF($W$2:$W$532,$W10)&gt;1)),"Yes","No"),IF($A10="Cybernet",IF(OR(AND($Y10&lt;&gt;"",LOWER(TRIM($Y10))&lt;&gt;"n/a",COUNTIF($Y$2:$Y$532,$Y10)&gt;1),AND($Z10&lt;&gt;"",LOWER(TRIM($Z10))&lt;&gt;"n/a",COUNTIF($Z$2:$Z$532,$Z10)&gt;1)),"Yes","No"),IF(AND($AL10&lt;&gt;"",LOWER(TRIM($AL10))&lt;&gt;"n/a",COUNTIF($AL$2:$AL$532,$AL10)&gt;1),"Yes","No"))))</f>
      </c>
      <c r="F10">
        <f>IF($B10&lt;&gt;"Yes","",
IF($A10="Neuron",
IF(OR(
AND($S10&lt;&gt;"",LOWER(TRIM($S10))&lt;&gt;"n/a",COUNTIFS($B$2:$B$532,"Yes",$A$2:$A$532,"Neuron",$S$2:$S$532,$S10)&gt;1),
AND($T10&lt;&gt;"",LOWER(TRIM($T10))&lt;&gt;"n/a",COUNTIFS($B$2:$B$532,"Yes",$A$2:$A$532,"Neuron",$T$2:$T$532,$T10)&gt;1),
AND($W10&lt;&gt;"",LOWER(TRIM($W10))&lt;&gt;"n/a",COUNTIFS($B$2:$B$532,"Yes",$A$2:$A$532,"Neuron",$W$2:$W$532,$W10)&gt;1)
),"Yes","No"),
IF($A10="Cybernet",
IF(OR(
AND($Y10&lt;&gt;"",LOWER(TRIM($Y10))&lt;&gt;"n/a",COUNTIFS($B$2:$B$532,"Yes",$A$2:$A$532,"Cybernet",$Y$2:$Y$532,$Y10)&gt;1),
AND($Z10&lt;&gt;"",LOWER(TRIM($Z10))&lt;&gt;"n/a",COUNTIFS($B$2:$B$532,"Yes",$A$2:$A$532,"Cybernet",$Z$2:$Z$532,$Z10)&gt;1)
),"Yes","No"),
IF(AND($AL10&lt;&gt;"",LOWER(TRIM($AL10))&lt;&gt;"n/a"),
IF(COUNTIFS($B$2:$B$532,"Yes",$A$2:$A$532,$A10,$AL$2:$AL$532,$AL10)&gt;1,"Yes","No"),
"No")
)
)
)</f>
      </c>
      <c r="G10" t="s">
        <v>2089</v>
      </c>
      <c r="H10" t="s">
        <v>2089</v>
      </c>
      <c r="J10" t="s">
        <v>2115</v>
      </c>
      <c r="K10" t="s">
        <v>2115</v>
      </c>
      <c r="L10" t="s">
        <v>2115</v>
      </c>
      <c r="S10" t="s">
        <v>1617</v>
      </c>
      <c r="T10" t="s">
        <v>1695</v>
      </c>
      <c r="U10" t="s">
        <v>1976</v>
      </c>
      <c r="V10" t="s">
        <v>1727</v>
      </c>
      <c r="W10" t="s">
        <v>2086</v>
      </c>
      <c r="X10" t="s">
        <v>1707</v>
      </c>
      <c r="Y10" t="s">
        <v>1380</v>
      </c>
      <c r="AA10" t="s">
        <v>1867</v>
      </c>
      <c r="AC10" t="s">
        <v>2188</v>
      </c>
      <c r="AD10" t="s">
        <v>1380</v>
      </c>
      <c r="AF10" t="s">
        <v>2257</v>
      </c>
      <c r="AG10" t="s">
        <v>1999</v>
      </c>
      <c r="AH10">
        <v>9</v>
      </c>
      <c r="AI10" t="s">
        <v>2208</v>
      </c>
      <c r="AJ10" t="s">
        <v>2131</v>
      </c>
      <c r="AK10" t="s">
        <v>2361</v>
      </c>
      <c r="AL10" t="s">
        <v>2188</v>
      </c>
      <c r="AM10" t="s">
        <v>1335</v>
      </c>
      <c r="AR10" t="s">
        <v>1380</v>
      </c>
      <c r="AS10" t="s">
        <v>1991</v>
      </c>
      <c r="AT10" t="s">
        <v>1380</v>
      </c>
      <c r="AU10" t="s">
        <v>1380</v>
      </c>
      <c r="AV10" t="s">
        <v>1380</v>
      </c>
      <c r="AW10" t="s">
        <v>1727</v>
      </c>
      <c r="AX10" t="s">
        <v>1727</v>
      </c>
      <c r="BA10">
        <v>46027.0</v>
      </c>
      <c r="BB10" t="s">
        <v>1727</v>
      </c>
      <c r="BD10" t="s">
        <v>2151</v>
      </c>
      <c r="BE10" t="s">
        <v>1727</v>
      </c>
      <c r="BF10" t="s">
        <v>1727</v>
      </c>
      <c r="BG10" t="s">
        <v>1727</v>
      </c>
      <c r="BH10" t="s">
        <v>1727</v>
      </c>
      <c r="BJ10" t="s">
        <v>1727</v>
      </c>
      <c r="BK10" t="s">
        <v>1657</v>
      </c>
      <c r="BL10">
        <f>IF($T10="","",IF((IF(AND($AW10&lt;&gt;"Yes",$AW10&lt;&gt;"N/A"),"Power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",""))="","",LEFT(IF(AND($AW10&lt;&gt;"Yes",$AW10&lt;&gt;"N/A"),"Power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",""),LEN(IF(AND($AW10&lt;&gt;"Yes",$AW10&lt;&gt;"N/A"),"Power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",""))-2)))</f>
      </c>
      <c r="BM10">
        <f>IF($T10="","",IF($BL10="","Yes","Blocked"))</f>
      </c>
      <c r="BP10">
        <f>IF($BO10="","",IFERROR(VLOOKUP($BO10,'01_Warehouse_Ledger'!$A:$N,4,FALSE),""))</f>
      </c>
      <c r="BQ10">
        <f>IF($BO10="","",IFERROR(VLOOKUP($BO10,'01_Warehouse_Ledger'!$A:$N,5,FALSE),""))</f>
      </c>
      <c r="BR10">
        <f>IF($BO10="","",IFERROR(VLOOKUP($BO10,'01_Warehouse_Ledger'!$A:$N,13,FALSE),""))</f>
      </c>
    </row>
    <row r="11">
      <c r="A11" t="s">
        <v>1331</v>
      </c>
      <c r="B11" t="s">
        <v>1727</v>
      </c>
      <c r="C11" t="s">
        <v>1727</v>
      </c>
      <c r="D11">
        <f>IF($B11&lt;&gt;"Yes","",IF($C11="No","Yes",IF($C11="Yes","No","")))</f>
      </c>
      <c r="E11">
        <f>IF($A11="","",IF($A11="Neuron",IF(OR(AND($S11&lt;&gt;"",LOWER(TRIM($S11))&lt;&gt;"n/a",COUNTIF($S$2:$S$532,$S11)&gt;1),AND($T11&lt;&gt;"",LOWER(TRIM($T11))&lt;&gt;"n/a",COUNTIF($T$2:$T$532,$T11)&gt;1),AND($W11&lt;&gt;"",LOWER(TRIM($W11))&lt;&gt;"n/a",COUNTIF($W$2:$W$532,$W11)&gt;1)),"Yes","No"),IF($A11="Cybernet",IF(OR(AND($Y11&lt;&gt;"",LOWER(TRIM($Y11))&lt;&gt;"n/a",COUNTIF($Y$2:$Y$532,$Y11)&gt;1),AND($Z11&lt;&gt;"",LOWER(TRIM($Z11))&lt;&gt;"n/a",COUNTIF($Z$2:$Z$532,$Z11)&gt;1)),"Yes","No"),IF(AND($AL11&lt;&gt;"",LOWER(TRIM($AL11))&lt;&gt;"n/a",COUNTIF($AL$2:$AL$532,$AL11)&gt;1),"Yes","No"))))</f>
      </c>
      <c r="F11">
        <f>IF($B11&lt;&gt;"Yes","",
IF($A11="Neuron",
IF(OR(
AND($S11&lt;&gt;"",LOWER(TRIM($S11))&lt;&gt;"n/a",COUNTIFS($B$2:$B$532,"Yes",$A$2:$A$532,"Neuron",$S$2:$S$532,$S11)&gt;1),
AND($T11&lt;&gt;"",LOWER(TRIM($T11))&lt;&gt;"n/a",COUNTIFS($B$2:$B$532,"Yes",$A$2:$A$532,"Neuron",$T$2:$T$532,$T11)&gt;1),
AND($W11&lt;&gt;"",LOWER(TRIM($W11))&lt;&gt;"n/a",COUNTIFS($B$2:$B$532,"Yes",$A$2:$A$532,"Neuron",$W$2:$W$532,$W11)&gt;1)
),"Yes","No"),
IF($A11="Cybernet",
IF(OR(
AND($Y11&lt;&gt;"",LOWER(TRIM($Y11))&lt;&gt;"n/a",COUNTIFS($B$2:$B$532,"Yes",$A$2:$A$532,"Cybernet",$Y$2:$Y$532,$Y11)&gt;1),
AND($Z11&lt;&gt;"",LOWER(TRIM($Z11))&lt;&gt;"n/a",COUNTIFS($B$2:$B$532,"Yes",$A$2:$A$532,"Cybernet",$Z$2:$Z$532,$Z11)&gt;1)
),"Yes","No"),
IF(AND($AL11&lt;&gt;"",LOWER(TRIM($AL11))&lt;&gt;"n/a"),
IF(COUNTIFS($B$2:$B$532,"Yes",$A$2:$A$532,$A11,$AL$2:$AL$532,$AL11)&gt;1,"Yes","No"),
"No")
)
)
)</f>
      </c>
      <c r="G11" t="s">
        <v>2089</v>
      </c>
      <c r="H11" t="s">
        <v>2089</v>
      </c>
      <c r="J11" t="s">
        <v>2115</v>
      </c>
      <c r="K11" t="s">
        <v>2115</v>
      </c>
      <c r="L11" t="s">
        <v>2115</v>
      </c>
      <c r="S11" t="s">
        <v>1644</v>
      </c>
      <c r="T11" t="s">
        <v>2285</v>
      </c>
      <c r="U11" t="s">
        <v>2323</v>
      </c>
      <c r="V11" t="s">
        <v>1727</v>
      </c>
      <c r="W11" t="s">
        <v>2187</v>
      </c>
      <c r="X11" t="s">
        <v>1707</v>
      </c>
      <c r="Y11" t="s">
        <v>1380</v>
      </c>
      <c r="AA11" t="s">
        <v>1867</v>
      </c>
      <c r="AC11" t="s">
        <v>2148</v>
      </c>
      <c r="AD11" t="s">
        <v>1380</v>
      </c>
      <c r="AF11" t="s">
        <v>2257</v>
      </c>
      <c r="AG11" t="s">
        <v>1999</v>
      </c>
      <c r="AH11">
        <v>10</v>
      </c>
      <c r="AI11" t="s">
        <v>2253</v>
      </c>
      <c r="AJ11" t="s">
        <v>2131</v>
      </c>
      <c r="AK11" t="s">
        <v>2361</v>
      </c>
      <c r="AL11" t="s">
        <v>2148</v>
      </c>
      <c r="AM11" t="s">
        <v>1335</v>
      </c>
      <c r="AR11" t="s">
        <v>1380</v>
      </c>
      <c r="AS11" t="s">
        <v>1991</v>
      </c>
      <c r="AT11" t="s">
        <v>1380</v>
      </c>
      <c r="AU11" t="s">
        <v>1380</v>
      </c>
      <c r="AV11" t="s">
        <v>1380</v>
      </c>
      <c r="AW11" t="s">
        <v>1727</v>
      </c>
      <c r="AX11" t="s">
        <v>1727</v>
      </c>
      <c r="BA11">
        <v>46027.0</v>
      </c>
      <c r="BB11" t="s">
        <v>1727</v>
      </c>
      <c r="BD11" t="s">
        <v>2151</v>
      </c>
      <c r="BE11" t="s">
        <v>1727</v>
      </c>
      <c r="BF11" t="s">
        <v>1727</v>
      </c>
      <c r="BG11" t="s">
        <v>1727</v>
      </c>
      <c r="BH11" t="s">
        <v>1727</v>
      </c>
      <c r="BJ11" t="s">
        <v>1727</v>
      </c>
      <c r="BK11" t="s">
        <v>1657</v>
      </c>
      <c r="BL11">
        <f>IF($T11="","",IF((IF(AND($AW11&lt;&gt;"Yes",$AW11&lt;&gt;"N/A"),"Power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",""))="","",LEFT(IF(AND($AW11&lt;&gt;"Yes",$AW11&lt;&gt;"N/A"),"Power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",""),LEN(IF(AND($AW11&lt;&gt;"Yes",$AW11&lt;&gt;"N/A"),"Power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",""))-2)))</f>
      </c>
      <c r="BM11">
        <f>IF($T11="","",IF($BL11="","Yes","Blocked"))</f>
      </c>
      <c r="BP11">
        <f>IF($BO11="","",IFERROR(VLOOKUP($BO11,'01_Warehouse_Ledger'!$A:$N,4,FALSE),""))</f>
      </c>
      <c r="BQ11">
        <f>IF($BO11="","",IFERROR(VLOOKUP($BO11,'01_Warehouse_Ledger'!$A:$N,5,FALSE),""))</f>
      </c>
      <c r="BR11">
        <f>IF($BO11="","",IFERROR(VLOOKUP($BO11,'01_Warehouse_Ledger'!$A:$N,13,FALSE),""))</f>
      </c>
    </row>
    <row r="12">
      <c r="A12" t="s">
        <v>1331</v>
      </c>
      <c r="B12" t="s">
        <v>1727</v>
      </c>
      <c r="C12" t="s">
        <v>1727</v>
      </c>
      <c r="D12">
        <f>IF($B12&lt;&gt;"Yes","",IF($C12="No","Yes",IF($C12="Yes","No","")))</f>
      </c>
      <c r="E12">
        <f>IF($A12="","",IF($A12="Neuron",IF(OR(AND($S12&lt;&gt;"",LOWER(TRIM($S12))&lt;&gt;"n/a",COUNTIF($S$2:$S$532,$S12)&gt;1),AND($T12&lt;&gt;"",LOWER(TRIM($T12))&lt;&gt;"n/a",COUNTIF($T$2:$T$532,$T12)&gt;1),AND($W12&lt;&gt;"",LOWER(TRIM($W12))&lt;&gt;"n/a",COUNTIF($W$2:$W$532,$W12)&gt;1)),"Yes","No"),IF($A12="Cybernet",IF(OR(AND($Y12&lt;&gt;"",LOWER(TRIM($Y12))&lt;&gt;"n/a",COUNTIF($Y$2:$Y$532,$Y12)&gt;1),AND($Z12&lt;&gt;"",LOWER(TRIM($Z12))&lt;&gt;"n/a",COUNTIF($Z$2:$Z$532,$Z12)&gt;1)),"Yes","No"),IF(AND($AL12&lt;&gt;"",LOWER(TRIM($AL12))&lt;&gt;"n/a",COUNTIF($AL$2:$AL$532,$AL12)&gt;1),"Yes","No"))))</f>
      </c>
      <c r="F12">
        <f>IF($B12&lt;&gt;"Yes","",
IF($A12="Neuron",
IF(OR(
AND($S12&lt;&gt;"",LOWER(TRIM($S12))&lt;&gt;"n/a",COUNTIFS($B$2:$B$532,"Yes",$A$2:$A$532,"Neuron",$S$2:$S$532,$S12)&gt;1),
AND($T12&lt;&gt;"",LOWER(TRIM($T12))&lt;&gt;"n/a",COUNTIFS($B$2:$B$532,"Yes",$A$2:$A$532,"Neuron",$T$2:$T$532,$T12)&gt;1),
AND($W12&lt;&gt;"",LOWER(TRIM($W12))&lt;&gt;"n/a",COUNTIFS($B$2:$B$532,"Yes",$A$2:$A$532,"Neuron",$W$2:$W$532,$W12)&gt;1)
),"Yes","No"),
IF($A12="Cybernet",
IF(OR(
AND($Y12&lt;&gt;"",LOWER(TRIM($Y12))&lt;&gt;"n/a",COUNTIFS($B$2:$B$532,"Yes",$A$2:$A$532,"Cybernet",$Y$2:$Y$532,$Y12)&gt;1),
AND($Z12&lt;&gt;"",LOWER(TRIM($Z12))&lt;&gt;"n/a",COUNTIFS($B$2:$B$532,"Yes",$A$2:$A$532,"Cybernet",$Z$2:$Z$532,$Z12)&gt;1)
),"Yes","No"),
IF(AND($AL12&lt;&gt;"",LOWER(TRIM($AL12))&lt;&gt;"n/a"),
IF(COUNTIFS($B$2:$B$532,"Yes",$A$2:$A$532,$A12,$AL$2:$AL$532,$AL12)&gt;1,"Yes","No"),
"No")
)
)
)</f>
      </c>
      <c r="G12" t="s">
        <v>2089</v>
      </c>
      <c r="H12" t="s">
        <v>2089</v>
      </c>
      <c r="J12" t="s">
        <v>2115</v>
      </c>
      <c r="K12" t="s">
        <v>2115</v>
      </c>
      <c r="L12" t="s">
        <v>2115</v>
      </c>
      <c r="S12" t="s">
        <v>1672</v>
      </c>
      <c r="T12" t="s">
        <v>2386</v>
      </c>
      <c r="U12" t="s">
        <v>1815</v>
      </c>
      <c r="V12" t="s">
        <v>1727</v>
      </c>
      <c r="W12" t="s">
        <v>2300</v>
      </c>
      <c r="X12" t="s">
        <v>1707</v>
      </c>
      <c r="Y12" t="s">
        <v>1380</v>
      </c>
      <c r="AA12" t="s">
        <v>1867</v>
      </c>
      <c r="AC12" t="s">
        <v>1968</v>
      </c>
      <c r="AD12" t="s">
        <v>1380</v>
      </c>
      <c r="AF12" t="s">
        <v>2257</v>
      </c>
      <c r="AG12" t="s">
        <v>1999</v>
      </c>
      <c r="AH12">
        <v>11</v>
      </c>
      <c r="AI12" t="s">
        <v>1817</v>
      </c>
      <c r="AJ12" t="s">
        <v>2131</v>
      </c>
      <c r="AK12" t="s">
        <v>2361</v>
      </c>
      <c r="AL12" t="s">
        <v>1968</v>
      </c>
      <c r="AM12" t="s">
        <v>1335</v>
      </c>
      <c r="AR12" t="s">
        <v>1380</v>
      </c>
      <c r="AS12" t="s">
        <v>1991</v>
      </c>
      <c r="AT12" t="s">
        <v>1380</v>
      </c>
      <c r="AU12" t="s">
        <v>1380</v>
      </c>
      <c r="AV12" t="s">
        <v>1380</v>
      </c>
      <c r="AW12" t="s">
        <v>1727</v>
      </c>
      <c r="AX12" t="s">
        <v>1727</v>
      </c>
      <c r="BA12">
        <v>46027.0</v>
      </c>
      <c r="BB12" t="s">
        <v>1727</v>
      </c>
      <c r="BC12" t="s">
        <v>1691</v>
      </c>
      <c r="BD12" t="s">
        <v>2151</v>
      </c>
      <c r="BE12" t="s">
        <v>1727</v>
      </c>
      <c r="BF12" t="s">
        <v>1727</v>
      </c>
      <c r="BG12" t="s">
        <v>1727</v>
      </c>
      <c r="BH12" t="s">
        <v>1727</v>
      </c>
      <c r="BJ12" t="s">
        <v>1727</v>
      </c>
      <c r="BK12" t="s">
        <v>1657</v>
      </c>
      <c r="BL12">
        <f>IF($T12="","",IF((IF(AND($AW12&lt;&gt;"Yes",$AW12&lt;&gt;"N/A"),"Power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",""))="","",LEFT(IF(AND($AW12&lt;&gt;"Yes",$AW12&lt;&gt;"N/A"),"Power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",""),LEN(IF(AND($AW12&lt;&gt;"Yes",$AW12&lt;&gt;"N/A"),"Power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",""))-2)))</f>
      </c>
      <c r="BM12">
        <f>IF($T12="","",IF($BL12="","Yes","Blocked"))</f>
      </c>
      <c r="BP12">
        <f>IF($BO12="","",IFERROR(VLOOKUP($BO12,'01_Warehouse_Ledger'!$A:$N,4,FALSE),""))</f>
      </c>
      <c r="BQ12">
        <f>IF($BO12="","",IFERROR(VLOOKUP($BO12,'01_Warehouse_Ledger'!$A:$N,5,FALSE),""))</f>
      </c>
      <c r="BR12">
        <f>IF($BO12="","",IFERROR(VLOOKUP($BO12,'01_Warehouse_Ledger'!$A:$N,13,FALSE),""))</f>
      </c>
    </row>
    <row r="13">
      <c r="A13" t="s">
        <v>1331</v>
      </c>
      <c r="B13" t="s">
        <v>1727</v>
      </c>
      <c r="C13" t="s">
        <v>1727</v>
      </c>
      <c r="D13">
        <f>IF($B13&lt;&gt;"Yes","",IF($C13="No","Yes",IF($C13="Yes","No","")))</f>
      </c>
      <c r="E13">
        <f>IF($A13="","",IF($A13="Neuron",IF(OR(AND($S13&lt;&gt;"",LOWER(TRIM($S13))&lt;&gt;"n/a",COUNTIF($S$2:$S$532,$S13)&gt;1),AND($T13&lt;&gt;"",LOWER(TRIM($T13))&lt;&gt;"n/a",COUNTIF($T$2:$T$532,$T13)&gt;1),AND($W13&lt;&gt;"",LOWER(TRIM($W13))&lt;&gt;"n/a",COUNTIF($W$2:$W$532,$W13)&gt;1)),"Yes","No"),IF($A13="Cybernet",IF(OR(AND($Y13&lt;&gt;"",LOWER(TRIM($Y13))&lt;&gt;"n/a",COUNTIF($Y$2:$Y$532,$Y13)&gt;1),AND($Z13&lt;&gt;"",LOWER(TRIM($Z13))&lt;&gt;"n/a",COUNTIF($Z$2:$Z$532,$Z13)&gt;1)),"Yes","No"),IF(AND($AL13&lt;&gt;"",LOWER(TRIM($AL13))&lt;&gt;"n/a",COUNTIF($AL$2:$AL$532,$AL13)&gt;1),"Yes","No"))))</f>
      </c>
      <c r="F13">
        <f>IF($B13&lt;&gt;"Yes","",
IF($A13="Neuron",
IF(OR(
AND($S13&lt;&gt;"",LOWER(TRIM($S13))&lt;&gt;"n/a",COUNTIFS($B$2:$B$532,"Yes",$A$2:$A$532,"Neuron",$S$2:$S$532,$S13)&gt;1),
AND($T13&lt;&gt;"",LOWER(TRIM($T13))&lt;&gt;"n/a",COUNTIFS($B$2:$B$532,"Yes",$A$2:$A$532,"Neuron",$T$2:$T$532,$T13)&gt;1),
AND($W13&lt;&gt;"",LOWER(TRIM($W13))&lt;&gt;"n/a",COUNTIFS($B$2:$B$532,"Yes",$A$2:$A$532,"Neuron",$W$2:$W$532,$W13)&gt;1)
),"Yes","No"),
IF($A13="Cybernet",
IF(OR(
AND($Y13&lt;&gt;"",LOWER(TRIM($Y13))&lt;&gt;"n/a",COUNTIFS($B$2:$B$532,"Yes",$A$2:$A$532,"Cybernet",$Y$2:$Y$532,$Y13)&gt;1),
AND($Z13&lt;&gt;"",LOWER(TRIM($Z13))&lt;&gt;"n/a",COUNTIFS($B$2:$B$532,"Yes",$A$2:$A$532,"Cybernet",$Z$2:$Z$532,$Z13)&gt;1)
),"Yes","No"),
IF(AND($AL13&lt;&gt;"",LOWER(TRIM($AL13))&lt;&gt;"n/a"),
IF(COUNTIFS($B$2:$B$532,"Yes",$A$2:$A$532,$A13,$AL$2:$AL$532,$AL13)&gt;1,"Yes","No"),
"No")
)
)
)</f>
      </c>
      <c r="G13" t="s">
        <v>2089</v>
      </c>
      <c r="H13" t="s">
        <v>2089</v>
      </c>
      <c r="J13" t="s">
        <v>2115</v>
      </c>
      <c r="K13" t="s">
        <v>2115</v>
      </c>
      <c r="L13" t="s">
        <v>2115</v>
      </c>
      <c r="S13" t="s">
        <v>1835</v>
      </c>
      <c r="T13" t="s">
        <v>2030</v>
      </c>
      <c r="U13" t="s">
        <v>2385</v>
      </c>
      <c r="V13" t="s">
        <v>1727</v>
      </c>
      <c r="W13" t="s">
        <v>2133</v>
      </c>
      <c r="X13" t="s">
        <v>1707</v>
      </c>
      <c r="Y13" t="s">
        <v>1380</v>
      </c>
      <c r="AA13" t="s">
        <v>1867</v>
      </c>
      <c r="AC13" t="s">
        <v>1666</v>
      </c>
      <c r="AD13" t="s">
        <v>1380</v>
      </c>
      <c r="AF13" t="s">
        <v>2257</v>
      </c>
      <c r="AG13" t="s">
        <v>1999</v>
      </c>
      <c r="AH13">
        <v>12</v>
      </c>
      <c r="AI13" t="s">
        <v>2194</v>
      </c>
      <c r="AJ13" t="s">
        <v>2131</v>
      </c>
      <c r="AK13" t="s">
        <v>2361</v>
      </c>
      <c r="AL13" t="s">
        <v>1666</v>
      </c>
      <c r="AM13" t="s">
        <v>1335</v>
      </c>
      <c r="AR13" t="s">
        <v>1380</v>
      </c>
      <c r="AS13" t="s">
        <v>1991</v>
      </c>
      <c r="AT13" t="s">
        <v>1380</v>
      </c>
      <c r="AU13" t="s">
        <v>1380</v>
      </c>
      <c r="AV13" t="s">
        <v>1380</v>
      </c>
      <c r="AW13" t="s">
        <v>1727</v>
      </c>
      <c r="AX13" t="s">
        <v>1727</v>
      </c>
      <c r="BA13">
        <v>46027.0</v>
      </c>
      <c r="BB13" t="s">
        <v>1727</v>
      </c>
      <c r="BD13" t="s">
        <v>2151</v>
      </c>
      <c r="BE13" t="s">
        <v>1727</v>
      </c>
      <c r="BF13" t="s">
        <v>1727</v>
      </c>
      <c r="BG13" t="s">
        <v>1727</v>
      </c>
      <c r="BH13" t="s">
        <v>1727</v>
      </c>
      <c r="BJ13" t="s">
        <v>1727</v>
      </c>
      <c r="BK13" t="s">
        <v>1657</v>
      </c>
      <c r="BL13">
        <f>IF($T13="","",IF((IF(AND($AW13&lt;&gt;"Yes",$AW13&lt;&gt;"N/A"),"Power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",""))="","",LEFT(IF(AND($AW13&lt;&gt;"Yes",$AW13&lt;&gt;"N/A"),"Power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",""),LEN(IF(AND($AW13&lt;&gt;"Yes",$AW13&lt;&gt;"N/A"),"Power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",""))-2)))</f>
      </c>
      <c r="BM13">
        <f>IF($T13="","",IF($BL13="","Yes","Blocked"))</f>
      </c>
      <c r="BP13">
        <f>IF($BO13="","",IFERROR(VLOOKUP($BO13,'01_Warehouse_Ledger'!$A:$N,4,FALSE),""))</f>
      </c>
      <c r="BQ13">
        <f>IF($BO13="","",IFERROR(VLOOKUP($BO13,'01_Warehouse_Ledger'!$A:$N,5,FALSE),""))</f>
      </c>
      <c r="BR13">
        <f>IF($BO13="","",IFERROR(VLOOKUP($BO13,'01_Warehouse_Ledger'!$A:$N,13,FALSE),""))</f>
      </c>
    </row>
    <row r="14">
      <c r="A14" t="s">
        <v>1331</v>
      </c>
      <c r="B14" t="s">
        <v>1727</v>
      </c>
      <c r="C14" t="s">
        <v>1727</v>
      </c>
      <c r="D14">
        <f>IF($B14&lt;&gt;"Yes","",IF($C14="No","Yes",IF($C14="Yes","No","")))</f>
      </c>
      <c r="E14">
        <f>IF($A14="","",IF($A14="Neuron",IF(OR(AND($S14&lt;&gt;"",LOWER(TRIM($S14))&lt;&gt;"n/a",COUNTIF($S$2:$S$532,$S14)&gt;1),AND($T14&lt;&gt;"",LOWER(TRIM($T14))&lt;&gt;"n/a",COUNTIF($T$2:$T$532,$T14)&gt;1),AND($W14&lt;&gt;"",LOWER(TRIM($W14))&lt;&gt;"n/a",COUNTIF($W$2:$W$532,$W14)&gt;1)),"Yes","No"),IF($A14="Cybernet",IF(OR(AND($Y14&lt;&gt;"",LOWER(TRIM($Y14))&lt;&gt;"n/a",COUNTIF($Y$2:$Y$532,$Y14)&gt;1),AND($Z14&lt;&gt;"",LOWER(TRIM($Z14))&lt;&gt;"n/a",COUNTIF($Z$2:$Z$532,$Z14)&gt;1)),"Yes","No"),IF(AND($AL14&lt;&gt;"",LOWER(TRIM($AL14))&lt;&gt;"n/a",COUNTIF($AL$2:$AL$532,$AL14)&gt;1),"Yes","No"))))</f>
      </c>
      <c r="F14">
        <f>IF($B14&lt;&gt;"Yes","",
IF($A14="Neuron",
IF(OR(
AND($S14&lt;&gt;"",LOWER(TRIM($S14))&lt;&gt;"n/a",COUNTIFS($B$2:$B$532,"Yes",$A$2:$A$532,"Neuron",$S$2:$S$532,$S14)&gt;1),
AND($T14&lt;&gt;"",LOWER(TRIM($T14))&lt;&gt;"n/a",COUNTIFS($B$2:$B$532,"Yes",$A$2:$A$532,"Neuron",$T$2:$T$532,$T14)&gt;1),
AND($W14&lt;&gt;"",LOWER(TRIM($W14))&lt;&gt;"n/a",COUNTIFS($B$2:$B$532,"Yes",$A$2:$A$532,"Neuron",$W$2:$W$532,$W14)&gt;1)
),"Yes","No"),
IF($A14="Cybernet",
IF(OR(
AND($Y14&lt;&gt;"",LOWER(TRIM($Y14))&lt;&gt;"n/a",COUNTIFS($B$2:$B$532,"Yes",$A$2:$A$532,"Cybernet",$Y$2:$Y$532,$Y14)&gt;1),
AND($Z14&lt;&gt;"",LOWER(TRIM($Z14))&lt;&gt;"n/a",COUNTIFS($B$2:$B$532,"Yes",$A$2:$A$532,"Cybernet",$Z$2:$Z$532,$Z14)&gt;1)
),"Yes","No"),
IF(AND($AL14&lt;&gt;"",LOWER(TRIM($AL14))&lt;&gt;"n/a"),
IF(COUNTIFS($B$2:$B$532,"Yes",$A$2:$A$532,$A14,$AL$2:$AL$532,$AL14)&gt;1,"Yes","No"),
"No")
)
)
)</f>
      </c>
      <c r="G14" t="s">
        <v>2089</v>
      </c>
      <c r="H14" t="s">
        <v>2089</v>
      </c>
      <c r="J14" t="s">
        <v>2115</v>
      </c>
      <c r="K14" t="s">
        <v>2115</v>
      </c>
      <c r="L14" t="s">
        <v>2115</v>
      </c>
      <c r="S14" t="s">
        <v>1843</v>
      </c>
      <c r="T14" t="s">
        <v>1635</v>
      </c>
      <c r="U14" t="s">
        <v>1882</v>
      </c>
      <c r="V14" t="s">
        <v>1727</v>
      </c>
      <c r="W14" t="s">
        <v>2256</v>
      </c>
      <c r="X14" t="s">
        <v>1707</v>
      </c>
      <c r="Y14" t="s">
        <v>1380</v>
      </c>
      <c r="AA14" t="s">
        <v>1867</v>
      </c>
      <c r="AC14" t="s">
        <v>2254</v>
      </c>
      <c r="AD14" t="s">
        <v>1380</v>
      </c>
      <c r="AF14" t="s">
        <v>2257</v>
      </c>
      <c r="AG14" t="s">
        <v>1999</v>
      </c>
      <c r="AH14">
        <v>13</v>
      </c>
      <c r="AI14" t="s">
        <v>2001</v>
      </c>
      <c r="AJ14" t="s">
        <v>2131</v>
      </c>
      <c r="AK14" t="s">
        <v>2361</v>
      </c>
      <c r="AL14" t="s">
        <v>2254</v>
      </c>
      <c r="AM14" t="s">
        <v>1335</v>
      </c>
      <c r="AR14" t="s">
        <v>1380</v>
      </c>
      <c r="AS14" t="s">
        <v>1991</v>
      </c>
      <c r="AT14" t="s">
        <v>1380</v>
      </c>
      <c r="AU14" t="s">
        <v>1380</v>
      </c>
      <c r="AV14" t="s">
        <v>1380</v>
      </c>
      <c r="AW14" t="s">
        <v>1727</v>
      </c>
      <c r="AX14" t="s">
        <v>1727</v>
      </c>
      <c r="BA14">
        <v>46027.0</v>
      </c>
      <c r="BB14" t="s">
        <v>1727</v>
      </c>
      <c r="BD14" t="s">
        <v>2151</v>
      </c>
      <c r="BE14" t="s">
        <v>1727</v>
      </c>
      <c r="BF14" t="s">
        <v>1727</v>
      </c>
      <c r="BG14" t="s">
        <v>1727</v>
      </c>
      <c r="BH14" t="s">
        <v>1727</v>
      </c>
      <c r="BJ14" t="s">
        <v>1727</v>
      </c>
      <c r="BK14" t="s">
        <v>1657</v>
      </c>
      <c r="BL14">
        <f>IF($T14="","",IF((IF(AND($AW14&lt;&gt;"Yes",$AW14&lt;&gt;"N/A"),"Power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",""))="","",LEFT(IF(AND($AW14&lt;&gt;"Yes",$AW14&lt;&gt;"N/A"),"Power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",""),LEN(IF(AND($AW14&lt;&gt;"Yes",$AW14&lt;&gt;"N/A"),"Power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",""))-2)))</f>
      </c>
      <c r="BM14">
        <f>IF($T14="","",IF($BL14="","Yes","Blocked"))</f>
      </c>
      <c r="BP14">
        <f>IF($BO14="","",IFERROR(VLOOKUP($BO14,'01_Warehouse_Ledger'!$A:$N,4,FALSE),""))</f>
      </c>
      <c r="BQ14">
        <f>IF($BO14="","",IFERROR(VLOOKUP($BO14,'01_Warehouse_Ledger'!$A:$N,5,FALSE),""))</f>
      </c>
      <c r="BR14">
        <f>IF($BO14="","",IFERROR(VLOOKUP($BO14,'01_Warehouse_Ledger'!$A:$N,13,FALSE),""))</f>
      </c>
    </row>
    <row r="15">
      <c r="A15" t="s">
        <v>1331</v>
      </c>
      <c r="B15" t="s">
        <v>1727</v>
      </c>
      <c r="C15" t="s">
        <v>1727</v>
      </c>
      <c r="D15">
        <f>IF($B15&lt;&gt;"Yes","",IF($C15="No","Yes",IF($C15="Yes","No","")))</f>
      </c>
      <c r="E15">
        <f>IF($A15="","",IF($A15="Neuron",IF(OR(AND($S15&lt;&gt;"",LOWER(TRIM($S15))&lt;&gt;"n/a",COUNTIF($S$2:$S$532,$S15)&gt;1),AND($T15&lt;&gt;"",LOWER(TRIM($T15))&lt;&gt;"n/a",COUNTIF($T$2:$T$532,$T15)&gt;1),AND($W15&lt;&gt;"",LOWER(TRIM($W15))&lt;&gt;"n/a",COUNTIF($W$2:$W$532,$W15)&gt;1)),"Yes","No"),IF($A15="Cybernet",IF(OR(AND($Y15&lt;&gt;"",LOWER(TRIM($Y15))&lt;&gt;"n/a",COUNTIF($Y$2:$Y$532,$Y15)&gt;1),AND($Z15&lt;&gt;"",LOWER(TRIM($Z15))&lt;&gt;"n/a",COUNTIF($Z$2:$Z$532,$Z15)&gt;1)),"Yes","No"),IF(AND($AL15&lt;&gt;"",LOWER(TRIM($AL15))&lt;&gt;"n/a",COUNTIF($AL$2:$AL$532,$AL15)&gt;1),"Yes","No"))))</f>
      </c>
      <c r="F15">
        <f>IF($B15&lt;&gt;"Yes","",
IF($A15="Neuron",
IF(OR(
AND($S15&lt;&gt;"",LOWER(TRIM($S15))&lt;&gt;"n/a",COUNTIFS($B$2:$B$532,"Yes",$A$2:$A$532,"Neuron",$S$2:$S$532,$S15)&gt;1),
AND($T15&lt;&gt;"",LOWER(TRIM($T15))&lt;&gt;"n/a",COUNTIFS($B$2:$B$532,"Yes",$A$2:$A$532,"Neuron",$T$2:$T$532,$T15)&gt;1),
AND($W15&lt;&gt;"",LOWER(TRIM($W15))&lt;&gt;"n/a",COUNTIFS($B$2:$B$532,"Yes",$A$2:$A$532,"Neuron",$W$2:$W$532,$W15)&gt;1)
),"Yes","No"),
IF($A15="Cybernet",
IF(OR(
AND($Y15&lt;&gt;"",LOWER(TRIM($Y15))&lt;&gt;"n/a",COUNTIFS($B$2:$B$532,"Yes",$A$2:$A$532,"Cybernet",$Y$2:$Y$532,$Y15)&gt;1),
AND($Z15&lt;&gt;"",LOWER(TRIM($Z15))&lt;&gt;"n/a",COUNTIFS($B$2:$B$532,"Yes",$A$2:$A$532,"Cybernet",$Z$2:$Z$532,$Z15)&gt;1)
),"Yes","No"),
IF(AND($AL15&lt;&gt;"",LOWER(TRIM($AL15))&lt;&gt;"n/a"),
IF(COUNTIFS($B$2:$B$532,"Yes",$A$2:$A$532,$A15,$AL$2:$AL$532,$AL15)&gt;1,"Yes","No"),
"No")
)
)
)</f>
      </c>
      <c r="G15" t="s">
        <v>2089</v>
      </c>
      <c r="H15" t="s">
        <v>2089</v>
      </c>
      <c r="J15" t="s">
        <v>2115</v>
      </c>
      <c r="K15" t="s">
        <v>2115</v>
      </c>
      <c r="L15" t="s">
        <v>2115</v>
      </c>
      <c r="S15" t="s">
        <v>1686</v>
      </c>
      <c r="T15" t="s">
        <v>2234</v>
      </c>
      <c r="U15" t="s">
        <v>2341</v>
      </c>
      <c r="V15" t="s">
        <v>1727</v>
      </c>
      <c r="W15" t="s">
        <v>2280</v>
      </c>
      <c r="X15" t="s">
        <v>1707</v>
      </c>
      <c r="Y15" t="s">
        <v>1380</v>
      </c>
      <c r="AA15" t="s">
        <v>1867</v>
      </c>
      <c r="AC15" t="s">
        <v>2134</v>
      </c>
      <c r="AD15" t="s">
        <v>1380</v>
      </c>
      <c r="AF15" t="s">
        <v>2257</v>
      </c>
      <c r="AG15" t="s">
        <v>1999</v>
      </c>
      <c r="AH15">
        <v>14</v>
      </c>
      <c r="AI15" t="s">
        <v>1952</v>
      </c>
      <c r="AJ15" t="s">
        <v>2131</v>
      </c>
      <c r="AK15" t="s">
        <v>2361</v>
      </c>
      <c r="AL15" t="s">
        <v>2134</v>
      </c>
      <c r="AM15" t="s">
        <v>1335</v>
      </c>
      <c r="AR15" t="s">
        <v>1380</v>
      </c>
      <c r="AS15" t="s">
        <v>1991</v>
      </c>
      <c r="AT15" t="s">
        <v>1380</v>
      </c>
      <c r="AU15" t="s">
        <v>1380</v>
      </c>
      <c r="AV15" t="s">
        <v>1380</v>
      </c>
      <c r="AW15" t="s">
        <v>1727</v>
      </c>
      <c r="AX15" t="s">
        <v>1727</v>
      </c>
      <c r="BA15">
        <v>46027.0</v>
      </c>
      <c r="BB15" t="s">
        <v>1727</v>
      </c>
      <c r="BD15" t="s">
        <v>2151</v>
      </c>
      <c r="BE15" t="s">
        <v>1727</v>
      </c>
      <c r="BF15" t="s">
        <v>1727</v>
      </c>
      <c r="BG15" t="s">
        <v>1727</v>
      </c>
      <c r="BH15" t="s">
        <v>1727</v>
      </c>
      <c r="BJ15" t="s">
        <v>1727</v>
      </c>
      <c r="BK15" t="s">
        <v>1657</v>
      </c>
      <c r="BL15">
        <f>IF($T15="","",IF((IF(AND($AW15&lt;&gt;"Yes",$AW15&lt;&gt;"N/A"),"Power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",""))="","",LEFT(IF(AND($AW15&lt;&gt;"Yes",$AW15&lt;&gt;"N/A"),"Power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",""),LEN(IF(AND($AW15&lt;&gt;"Yes",$AW15&lt;&gt;"N/A"),"Power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",""))-2)))</f>
      </c>
      <c r="BM15">
        <f>IF($T15="","",IF($BL15="","Yes","Blocked"))</f>
      </c>
      <c r="BP15">
        <f>IF($BO15="","",IFERROR(VLOOKUP($BO15,'01_Warehouse_Ledger'!$A:$N,4,FALSE),""))</f>
      </c>
      <c r="BQ15">
        <f>IF($BO15="","",IFERROR(VLOOKUP($BO15,'01_Warehouse_Ledger'!$A:$N,5,FALSE),""))</f>
      </c>
      <c r="BR15">
        <f>IF($BO15="","",IFERROR(VLOOKUP($BO15,'01_Warehouse_Ledger'!$A:$N,13,FALSE),""))</f>
      </c>
    </row>
    <row r="16">
      <c r="A16" t="s">
        <v>1331</v>
      </c>
      <c r="B16" t="s">
        <v>1727</v>
      </c>
      <c r="C16" t="s">
        <v>1727</v>
      </c>
      <c r="D16">
        <f>IF($B16&lt;&gt;"Yes","",IF($C16="No","Yes",IF($C16="Yes","No","")))</f>
      </c>
      <c r="E16">
        <f>IF($A16="","",IF($A16="Neuron",IF(OR(AND($S16&lt;&gt;"",LOWER(TRIM($S16))&lt;&gt;"n/a",COUNTIF($S$2:$S$532,$S16)&gt;1),AND($T16&lt;&gt;"",LOWER(TRIM($T16))&lt;&gt;"n/a",COUNTIF($T$2:$T$532,$T16)&gt;1),AND($W16&lt;&gt;"",LOWER(TRIM($W16))&lt;&gt;"n/a",COUNTIF($W$2:$W$532,$W16)&gt;1)),"Yes","No"),IF($A16="Cybernet",IF(OR(AND($Y16&lt;&gt;"",LOWER(TRIM($Y16))&lt;&gt;"n/a",COUNTIF($Y$2:$Y$532,$Y16)&gt;1),AND($Z16&lt;&gt;"",LOWER(TRIM($Z16))&lt;&gt;"n/a",COUNTIF($Z$2:$Z$532,$Z16)&gt;1)),"Yes","No"),IF(AND($AL16&lt;&gt;"",LOWER(TRIM($AL16))&lt;&gt;"n/a",COUNTIF($AL$2:$AL$532,$AL16)&gt;1),"Yes","No"))))</f>
      </c>
      <c r="F16">
        <f>IF($B16&lt;&gt;"Yes","",
IF($A16="Neuron",
IF(OR(
AND($S16&lt;&gt;"",LOWER(TRIM($S16))&lt;&gt;"n/a",COUNTIFS($B$2:$B$532,"Yes",$A$2:$A$532,"Neuron",$S$2:$S$532,$S16)&gt;1),
AND($T16&lt;&gt;"",LOWER(TRIM($T16))&lt;&gt;"n/a",COUNTIFS($B$2:$B$532,"Yes",$A$2:$A$532,"Neuron",$T$2:$T$532,$T16)&gt;1),
AND($W16&lt;&gt;"",LOWER(TRIM($W16))&lt;&gt;"n/a",COUNTIFS($B$2:$B$532,"Yes",$A$2:$A$532,"Neuron",$W$2:$W$532,$W16)&gt;1)
),"Yes","No"),
IF($A16="Cybernet",
IF(OR(
AND($Y16&lt;&gt;"",LOWER(TRIM($Y16))&lt;&gt;"n/a",COUNTIFS($B$2:$B$532,"Yes",$A$2:$A$532,"Cybernet",$Y$2:$Y$532,$Y16)&gt;1),
AND($Z16&lt;&gt;"",LOWER(TRIM($Z16))&lt;&gt;"n/a",COUNTIFS($B$2:$B$532,"Yes",$A$2:$A$532,"Cybernet",$Z$2:$Z$532,$Z16)&gt;1)
),"Yes","No"),
IF(AND($AL16&lt;&gt;"",LOWER(TRIM($AL16))&lt;&gt;"n/a"),
IF(COUNTIFS($B$2:$B$532,"Yes",$A$2:$A$532,$A16,$AL$2:$AL$532,$AL16)&gt;1,"Yes","No"),
"No")
)
)
)</f>
      </c>
      <c r="G16" t="s">
        <v>2089</v>
      </c>
      <c r="H16" t="s">
        <v>2089</v>
      </c>
      <c r="J16" t="s">
        <v>2115</v>
      </c>
      <c r="K16" t="s">
        <v>2115</v>
      </c>
      <c r="L16" t="s">
        <v>2115</v>
      </c>
      <c r="S16" t="s">
        <v>1862</v>
      </c>
      <c r="T16" t="s">
        <v>2127</v>
      </c>
      <c r="U16" t="s">
        <v>2314</v>
      </c>
      <c r="V16" t="s">
        <v>1727</v>
      </c>
      <c r="W16" t="s">
        <v>2342</v>
      </c>
      <c r="X16" t="s">
        <v>1707</v>
      </c>
      <c r="Y16" t="s">
        <v>1380</v>
      </c>
      <c r="AA16" t="s">
        <v>1867</v>
      </c>
      <c r="AC16" t="s">
        <v>2009</v>
      </c>
      <c r="AD16" t="s">
        <v>1380</v>
      </c>
      <c r="AF16" t="s">
        <v>2257</v>
      </c>
      <c r="AG16" t="s">
        <v>1999</v>
      </c>
      <c r="AH16">
        <v>15</v>
      </c>
      <c r="AI16" t="s">
        <v>1994</v>
      </c>
      <c r="AJ16" t="s">
        <v>2131</v>
      </c>
      <c r="AK16" t="s">
        <v>2361</v>
      </c>
      <c r="AL16" t="s">
        <v>2009</v>
      </c>
      <c r="AM16" t="s">
        <v>1335</v>
      </c>
      <c r="AR16" t="s">
        <v>1380</v>
      </c>
      <c r="AS16" t="s">
        <v>1991</v>
      </c>
      <c r="AT16" t="s">
        <v>1380</v>
      </c>
      <c r="AU16" t="s">
        <v>1380</v>
      </c>
      <c r="AV16" t="s">
        <v>1380</v>
      </c>
      <c r="AW16" t="s">
        <v>1727</v>
      </c>
      <c r="AX16" t="s">
        <v>1727</v>
      </c>
      <c r="BA16">
        <v>46027.0</v>
      </c>
      <c r="BB16" t="s">
        <v>1727</v>
      </c>
      <c r="BD16" t="s">
        <v>2151</v>
      </c>
      <c r="BE16" t="s">
        <v>1727</v>
      </c>
      <c r="BF16" t="s">
        <v>1727</v>
      </c>
      <c r="BG16" t="s">
        <v>1727</v>
      </c>
      <c r="BH16" t="s">
        <v>1727</v>
      </c>
      <c r="BJ16" t="s">
        <v>1727</v>
      </c>
      <c r="BK16" t="s">
        <v>1657</v>
      </c>
      <c r="BL16">
        <f>IF($T16="","",IF((IF(AND($AW16&lt;&gt;"Yes",$AW16&lt;&gt;"N/A"),"Power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",""))="","",LEFT(IF(AND($AW16&lt;&gt;"Yes",$AW16&lt;&gt;"N/A"),"Power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",""),LEN(IF(AND($AW16&lt;&gt;"Yes",$AW16&lt;&gt;"N/A"),"Power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",""))-2)))</f>
      </c>
      <c r="BM16">
        <f>IF($T16="","",IF($BL16="","Yes","Blocked"))</f>
      </c>
      <c r="BP16">
        <f>IF($BO16="","",IFERROR(VLOOKUP($BO16,'01_Warehouse_Ledger'!$A:$N,4,FALSE),""))</f>
      </c>
      <c r="BQ16">
        <f>IF($BO16="","",IFERROR(VLOOKUP($BO16,'01_Warehouse_Ledger'!$A:$N,5,FALSE),""))</f>
      </c>
      <c r="BR16">
        <f>IF($BO16="","",IFERROR(VLOOKUP($BO16,'01_Warehouse_Ledger'!$A:$N,13,FALSE),""))</f>
      </c>
    </row>
    <row r="17">
      <c r="A17" t="s">
        <v>1331</v>
      </c>
      <c r="B17" t="s">
        <v>1727</v>
      </c>
      <c r="C17" t="s">
        <v>1727</v>
      </c>
      <c r="D17">
        <f>IF($B17&lt;&gt;"Yes","",IF($C17="No","Yes",IF($C17="Yes","No","")))</f>
      </c>
      <c r="E17">
        <f>IF($A17="","",IF($A17="Neuron",IF(OR(AND($S17&lt;&gt;"",LOWER(TRIM($S17))&lt;&gt;"n/a",COUNTIF($S$2:$S$532,$S17)&gt;1),AND($T17&lt;&gt;"",LOWER(TRIM($T17))&lt;&gt;"n/a",COUNTIF($T$2:$T$532,$T17)&gt;1),AND($W17&lt;&gt;"",LOWER(TRIM($W17))&lt;&gt;"n/a",COUNTIF($W$2:$W$532,$W17)&gt;1)),"Yes","No"),IF($A17="Cybernet",IF(OR(AND($Y17&lt;&gt;"",LOWER(TRIM($Y17))&lt;&gt;"n/a",COUNTIF($Y$2:$Y$532,$Y17)&gt;1),AND($Z17&lt;&gt;"",LOWER(TRIM($Z17))&lt;&gt;"n/a",COUNTIF($Z$2:$Z$532,$Z17)&gt;1)),"Yes","No"),IF(AND($AL17&lt;&gt;"",LOWER(TRIM($AL17))&lt;&gt;"n/a",COUNTIF($AL$2:$AL$532,$AL17)&gt;1),"Yes","No"))))</f>
      </c>
      <c r="F17">
        <f>IF($B17&lt;&gt;"Yes","",
IF($A17="Neuron",
IF(OR(
AND($S17&lt;&gt;"",LOWER(TRIM($S17))&lt;&gt;"n/a",COUNTIFS($B$2:$B$532,"Yes",$A$2:$A$532,"Neuron",$S$2:$S$532,$S17)&gt;1),
AND($T17&lt;&gt;"",LOWER(TRIM($T17))&lt;&gt;"n/a",COUNTIFS($B$2:$B$532,"Yes",$A$2:$A$532,"Neuron",$T$2:$T$532,$T17)&gt;1),
AND($W17&lt;&gt;"",LOWER(TRIM($W17))&lt;&gt;"n/a",COUNTIFS($B$2:$B$532,"Yes",$A$2:$A$532,"Neuron",$W$2:$W$532,$W17)&gt;1)
),"Yes","No"),
IF($A17="Cybernet",
IF(OR(
AND($Y17&lt;&gt;"",LOWER(TRIM($Y17))&lt;&gt;"n/a",COUNTIFS($B$2:$B$532,"Yes",$A$2:$A$532,"Cybernet",$Y$2:$Y$532,$Y17)&gt;1),
AND($Z17&lt;&gt;"",LOWER(TRIM($Z17))&lt;&gt;"n/a",COUNTIFS($B$2:$B$532,"Yes",$A$2:$A$532,"Cybernet",$Z$2:$Z$532,$Z17)&gt;1)
),"Yes","No"),
IF(AND($AL17&lt;&gt;"",LOWER(TRIM($AL17))&lt;&gt;"n/a"),
IF(COUNTIFS($B$2:$B$532,"Yes",$A$2:$A$532,$A17,$AL$2:$AL$532,$AL17)&gt;1,"Yes","No"),
"No")
)
)
)</f>
      </c>
      <c r="G17" t="s">
        <v>2089</v>
      </c>
      <c r="H17" t="s">
        <v>2089</v>
      </c>
      <c r="J17" t="s">
        <v>2115</v>
      </c>
      <c r="K17" t="s">
        <v>2115</v>
      </c>
      <c r="L17" t="s">
        <v>2115</v>
      </c>
      <c r="S17" t="s">
        <v>2258</v>
      </c>
      <c r="T17" t="s">
        <v>2261</v>
      </c>
      <c r="U17" t="s">
        <v>2359</v>
      </c>
      <c r="V17" t="s">
        <v>1727</v>
      </c>
      <c r="W17" t="s">
        <v>2177</v>
      </c>
      <c r="X17" t="s">
        <v>1707</v>
      </c>
      <c r="Y17" t="s">
        <v>1380</v>
      </c>
      <c r="AA17" t="s">
        <v>1867</v>
      </c>
      <c r="AC17" t="s">
        <v>1713</v>
      </c>
      <c r="AD17" t="s">
        <v>1380</v>
      </c>
      <c r="AF17" t="s">
        <v>2257</v>
      </c>
      <c r="AG17" t="s">
        <v>1999</v>
      </c>
      <c r="AH17">
        <v>16</v>
      </c>
      <c r="AI17" t="s">
        <v>1853</v>
      </c>
      <c r="AJ17" t="s">
        <v>2131</v>
      </c>
      <c r="AK17" t="s">
        <v>2361</v>
      </c>
      <c r="AL17" t="s">
        <v>1713</v>
      </c>
      <c r="AM17" t="s">
        <v>1335</v>
      </c>
      <c r="AR17" t="s">
        <v>1380</v>
      </c>
      <c r="AS17" t="s">
        <v>1991</v>
      </c>
      <c r="AT17" t="s">
        <v>1380</v>
      </c>
      <c r="AU17" t="s">
        <v>1380</v>
      </c>
      <c r="AV17" t="s">
        <v>1380</v>
      </c>
      <c r="AW17" t="s">
        <v>1727</v>
      </c>
      <c r="AX17" t="s">
        <v>1727</v>
      </c>
      <c r="BA17">
        <v>46027.0</v>
      </c>
      <c r="BB17" t="s">
        <v>1727</v>
      </c>
      <c r="BD17" t="s">
        <v>2151</v>
      </c>
      <c r="BE17" t="s">
        <v>1727</v>
      </c>
      <c r="BF17" t="s">
        <v>1727</v>
      </c>
      <c r="BG17" t="s">
        <v>1727</v>
      </c>
      <c r="BH17" t="s">
        <v>1727</v>
      </c>
      <c r="BJ17" t="s">
        <v>1727</v>
      </c>
      <c r="BK17" t="s">
        <v>1657</v>
      </c>
      <c r="BL17">
        <f>IF($T17="","",IF((IF(AND($AW17&lt;&gt;"Yes",$AW17&lt;&gt;"N/A"),"Power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",""))="","",LEFT(IF(AND($AW17&lt;&gt;"Yes",$AW17&lt;&gt;"N/A"),"Power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",""),LEN(IF(AND($AW17&lt;&gt;"Yes",$AW17&lt;&gt;"N/A"),"Power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",""))-2)))</f>
      </c>
      <c r="BM17">
        <f>IF($T17="","",IF($BL17="","Yes","Blocked"))</f>
      </c>
      <c r="BP17">
        <f>IF($BO17="","",IFERROR(VLOOKUP($BO17,'01_Warehouse_Ledger'!$A:$N,4,FALSE),""))</f>
      </c>
      <c r="BQ17">
        <f>IF($BO17="","",IFERROR(VLOOKUP($BO17,'01_Warehouse_Ledger'!$A:$N,5,FALSE),""))</f>
      </c>
      <c r="BR17">
        <f>IF($BO17="","",IFERROR(VLOOKUP($BO17,'01_Warehouse_Ledger'!$A:$N,13,FALSE),""))</f>
      </c>
    </row>
    <row r="18">
      <c r="A18" t="s">
        <v>1331</v>
      </c>
      <c r="B18" t="s">
        <v>1727</v>
      </c>
      <c r="C18" t="s">
        <v>1727</v>
      </c>
      <c r="D18">
        <f>IF($B18&lt;&gt;"Yes","",IF($C18="No","Yes",IF($C18="Yes","No","")))</f>
      </c>
      <c r="E18">
        <f>IF($A18="","",IF($A18="Neuron",IF(OR(AND($S18&lt;&gt;"",LOWER(TRIM($S18))&lt;&gt;"n/a",COUNTIF($S$2:$S$532,$S18)&gt;1),AND($T18&lt;&gt;"",LOWER(TRIM($T18))&lt;&gt;"n/a",COUNTIF($T$2:$T$532,$T18)&gt;1),AND($W18&lt;&gt;"",LOWER(TRIM($W18))&lt;&gt;"n/a",COUNTIF($W$2:$W$532,$W18)&gt;1)),"Yes","No"),IF($A18="Cybernet",IF(OR(AND($Y18&lt;&gt;"",LOWER(TRIM($Y18))&lt;&gt;"n/a",COUNTIF($Y$2:$Y$532,$Y18)&gt;1),AND($Z18&lt;&gt;"",LOWER(TRIM($Z18))&lt;&gt;"n/a",COUNTIF($Z$2:$Z$532,$Z18)&gt;1)),"Yes","No"),IF(AND($AL18&lt;&gt;"",LOWER(TRIM($AL18))&lt;&gt;"n/a",COUNTIF($AL$2:$AL$532,$AL18)&gt;1),"Yes","No"))))</f>
      </c>
      <c r="F18">
        <f>IF($B18&lt;&gt;"Yes","",
IF($A18="Neuron",
IF(OR(
AND($S18&lt;&gt;"",LOWER(TRIM($S18))&lt;&gt;"n/a",COUNTIFS($B$2:$B$532,"Yes",$A$2:$A$532,"Neuron",$S$2:$S$532,$S18)&gt;1),
AND($T18&lt;&gt;"",LOWER(TRIM($T18))&lt;&gt;"n/a",COUNTIFS($B$2:$B$532,"Yes",$A$2:$A$532,"Neuron",$T$2:$T$532,$T18)&gt;1),
AND($W18&lt;&gt;"",LOWER(TRIM($W18))&lt;&gt;"n/a",COUNTIFS($B$2:$B$532,"Yes",$A$2:$A$532,"Neuron",$W$2:$W$532,$W18)&gt;1)
),"Yes","No"),
IF($A18="Cybernet",
IF(OR(
AND($Y18&lt;&gt;"",LOWER(TRIM($Y18))&lt;&gt;"n/a",COUNTIFS($B$2:$B$532,"Yes",$A$2:$A$532,"Cybernet",$Y$2:$Y$532,$Y18)&gt;1),
AND($Z18&lt;&gt;"",LOWER(TRIM($Z18))&lt;&gt;"n/a",COUNTIFS($B$2:$B$532,"Yes",$A$2:$A$532,"Cybernet",$Z$2:$Z$532,$Z18)&gt;1)
),"Yes","No"),
IF(AND($AL18&lt;&gt;"",LOWER(TRIM($AL18))&lt;&gt;"n/a"),
IF(COUNTIFS($B$2:$B$532,"Yes",$A$2:$A$532,$A18,$AL$2:$AL$532,$AL18)&gt;1,"Yes","No"),
"No")
)
)
)</f>
      </c>
      <c r="G18" t="s">
        <v>2089</v>
      </c>
      <c r="H18" t="s">
        <v>2089</v>
      </c>
      <c r="J18" t="s">
        <v>2115</v>
      </c>
      <c r="K18" t="s">
        <v>2115</v>
      </c>
      <c r="L18" t="s">
        <v>2115</v>
      </c>
      <c r="S18" t="s">
        <v>2242</v>
      </c>
      <c r="T18" t="s">
        <v>1784</v>
      </c>
      <c r="U18" t="s">
        <v>1849</v>
      </c>
      <c r="V18" t="s">
        <v>1727</v>
      </c>
      <c r="W18" t="s">
        <v>2096</v>
      </c>
      <c r="X18" t="s">
        <v>1707</v>
      </c>
      <c r="Y18" t="s">
        <v>1380</v>
      </c>
      <c r="AA18" t="s">
        <v>1867</v>
      </c>
      <c r="AC18" t="s">
        <v>1779</v>
      </c>
      <c r="AD18" t="s">
        <v>1380</v>
      </c>
      <c r="AF18" t="s">
        <v>2257</v>
      </c>
      <c r="AG18" t="s">
        <v>1999</v>
      </c>
      <c r="AH18">
        <v>17</v>
      </c>
      <c r="AI18" t="s">
        <v>1789</v>
      </c>
      <c r="AJ18" t="s">
        <v>2131</v>
      </c>
      <c r="AK18" t="s">
        <v>2361</v>
      </c>
      <c r="AL18" t="s">
        <v>1779</v>
      </c>
      <c r="AM18" t="s">
        <v>1335</v>
      </c>
      <c r="AR18" t="s">
        <v>1380</v>
      </c>
      <c r="AS18" t="s">
        <v>1991</v>
      </c>
      <c r="AT18" t="s">
        <v>1380</v>
      </c>
      <c r="AU18" t="s">
        <v>1380</v>
      </c>
      <c r="AV18" t="s">
        <v>1380</v>
      </c>
      <c r="AW18" t="s">
        <v>1727</v>
      </c>
      <c r="AX18" t="s">
        <v>1727</v>
      </c>
      <c r="BA18">
        <v>46027.0</v>
      </c>
      <c r="BB18" t="s">
        <v>1727</v>
      </c>
      <c r="BD18" t="s">
        <v>2151</v>
      </c>
      <c r="BE18" t="s">
        <v>1727</v>
      </c>
      <c r="BF18" t="s">
        <v>1727</v>
      </c>
      <c r="BG18" t="s">
        <v>1727</v>
      </c>
      <c r="BH18" t="s">
        <v>1727</v>
      </c>
      <c r="BJ18" t="s">
        <v>1727</v>
      </c>
      <c r="BK18" t="s">
        <v>1657</v>
      </c>
      <c r="BL18">
        <f>IF($T18="","",IF((IF(AND($AW18&lt;&gt;"Yes",$AW18&lt;&gt;"N/A"),"Power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",""))="","",LEFT(IF(AND($AW18&lt;&gt;"Yes",$AW18&lt;&gt;"N/A"),"Power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",""),LEN(IF(AND($AW18&lt;&gt;"Yes",$AW18&lt;&gt;"N/A"),"Power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",""))-2)))</f>
      </c>
      <c r="BM18">
        <f>IF($T18="","",IF($BL18="","Yes","Blocked"))</f>
      </c>
      <c r="BP18">
        <f>IF($BO18="","",IFERROR(VLOOKUP($BO18,'01_Warehouse_Ledger'!$A:$N,4,FALSE),""))</f>
      </c>
      <c r="BQ18">
        <f>IF($BO18="","",IFERROR(VLOOKUP($BO18,'01_Warehouse_Ledger'!$A:$N,5,FALSE),""))</f>
      </c>
      <c r="BR18">
        <f>IF($BO18="","",IFERROR(VLOOKUP($BO18,'01_Warehouse_Ledger'!$A:$N,13,FALSE),""))</f>
      </c>
    </row>
    <row r="19">
      <c r="A19" t="s">
        <v>1331</v>
      </c>
      <c r="B19" t="s">
        <v>1727</v>
      </c>
      <c r="C19" t="s">
        <v>1727</v>
      </c>
      <c r="D19">
        <f>IF($B19&lt;&gt;"Yes","",IF($C19="No","Yes",IF($C19="Yes","No","")))</f>
      </c>
      <c r="E19">
        <f>IF($A19="","",IF($A19="Neuron",IF(OR(AND($S19&lt;&gt;"",LOWER(TRIM($S19))&lt;&gt;"n/a",COUNTIF($S$2:$S$532,$S19)&gt;1),AND($T19&lt;&gt;"",LOWER(TRIM($T19))&lt;&gt;"n/a",COUNTIF($T$2:$T$532,$T19)&gt;1),AND($W19&lt;&gt;"",LOWER(TRIM($W19))&lt;&gt;"n/a",COUNTIF($W$2:$W$532,$W19)&gt;1)),"Yes","No"),IF($A19="Cybernet",IF(OR(AND($Y19&lt;&gt;"",LOWER(TRIM($Y19))&lt;&gt;"n/a",COUNTIF($Y$2:$Y$532,$Y19)&gt;1),AND($Z19&lt;&gt;"",LOWER(TRIM($Z19))&lt;&gt;"n/a",COUNTIF($Z$2:$Z$532,$Z19)&gt;1)),"Yes","No"),IF(AND($AL19&lt;&gt;"",LOWER(TRIM($AL19))&lt;&gt;"n/a",COUNTIF($AL$2:$AL$532,$AL19)&gt;1),"Yes","No"))))</f>
      </c>
      <c r="F19">
        <f>IF($B19&lt;&gt;"Yes","",
IF($A19="Neuron",
IF(OR(
AND($S19&lt;&gt;"",LOWER(TRIM($S19))&lt;&gt;"n/a",COUNTIFS($B$2:$B$532,"Yes",$A$2:$A$532,"Neuron",$S$2:$S$532,$S19)&gt;1),
AND($T19&lt;&gt;"",LOWER(TRIM($T19))&lt;&gt;"n/a",COUNTIFS($B$2:$B$532,"Yes",$A$2:$A$532,"Neuron",$T$2:$T$532,$T19)&gt;1),
AND($W19&lt;&gt;"",LOWER(TRIM($W19))&lt;&gt;"n/a",COUNTIFS($B$2:$B$532,"Yes",$A$2:$A$532,"Neuron",$W$2:$W$532,$W19)&gt;1)
),"Yes","No"),
IF($A19="Cybernet",
IF(OR(
AND($Y19&lt;&gt;"",LOWER(TRIM($Y19))&lt;&gt;"n/a",COUNTIFS($B$2:$B$532,"Yes",$A$2:$A$532,"Cybernet",$Y$2:$Y$532,$Y19)&gt;1),
AND($Z19&lt;&gt;"",LOWER(TRIM($Z19))&lt;&gt;"n/a",COUNTIFS($B$2:$B$532,"Yes",$A$2:$A$532,"Cybernet",$Z$2:$Z$532,$Z19)&gt;1)
),"Yes","No"),
IF(AND($AL19&lt;&gt;"",LOWER(TRIM($AL19))&lt;&gt;"n/a"),
IF(COUNTIFS($B$2:$B$532,"Yes",$A$2:$A$532,$A19,$AL$2:$AL$532,$AL19)&gt;1,"Yes","No"),
"No")
)
)
)</f>
      </c>
      <c r="G19" t="s">
        <v>2089</v>
      </c>
      <c r="H19" t="s">
        <v>2089</v>
      </c>
      <c r="J19" t="s">
        <v>2115</v>
      </c>
      <c r="K19" t="s">
        <v>2115</v>
      </c>
      <c r="L19" t="s">
        <v>2115</v>
      </c>
      <c r="S19" t="s">
        <v>1861</v>
      </c>
      <c r="T19" t="s">
        <v>2212</v>
      </c>
      <c r="U19" t="s">
        <v>1652</v>
      </c>
      <c r="V19" t="s">
        <v>1727</v>
      </c>
      <c r="W19" t="s">
        <v>1735</v>
      </c>
      <c r="X19" t="s">
        <v>1707</v>
      </c>
      <c r="Y19" t="s">
        <v>1380</v>
      </c>
      <c r="AA19" t="s">
        <v>1867</v>
      </c>
      <c r="AC19" t="s">
        <v>1744</v>
      </c>
      <c r="AD19" t="s">
        <v>1380</v>
      </c>
      <c r="AF19" t="s">
        <v>2257</v>
      </c>
      <c r="AG19" t="s">
        <v>1999</v>
      </c>
      <c r="AH19">
        <v>18</v>
      </c>
      <c r="AI19" t="s">
        <v>2159</v>
      </c>
      <c r="AJ19" t="s">
        <v>2131</v>
      </c>
      <c r="AK19" t="s">
        <v>2361</v>
      </c>
      <c r="AL19" t="s">
        <v>1744</v>
      </c>
      <c r="AM19" t="s">
        <v>1335</v>
      </c>
      <c r="AR19" t="s">
        <v>1380</v>
      </c>
      <c r="AS19" t="s">
        <v>1991</v>
      </c>
      <c r="AT19" t="s">
        <v>1380</v>
      </c>
      <c r="AU19" t="s">
        <v>1380</v>
      </c>
      <c r="AV19" t="s">
        <v>1380</v>
      </c>
      <c r="AW19" t="s">
        <v>1727</v>
      </c>
      <c r="AX19" t="s">
        <v>1727</v>
      </c>
      <c r="BA19">
        <v>46027.0</v>
      </c>
      <c r="BB19" t="s">
        <v>1727</v>
      </c>
      <c r="BD19" t="s">
        <v>2151</v>
      </c>
      <c r="BE19" t="s">
        <v>1727</v>
      </c>
      <c r="BF19" t="s">
        <v>1727</v>
      </c>
      <c r="BG19" t="s">
        <v>1727</v>
      </c>
      <c r="BH19" t="s">
        <v>1727</v>
      </c>
      <c r="BJ19" t="s">
        <v>1727</v>
      </c>
      <c r="BK19" t="s">
        <v>1657</v>
      </c>
      <c r="BL19">
        <f>IF($T19="","",IF((IF(AND($AW19&lt;&gt;"Yes",$AW19&lt;&gt;"N/A"),"Power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",""))="","",LEFT(IF(AND($AW19&lt;&gt;"Yes",$AW19&lt;&gt;"N/A"),"Power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",""),LEN(IF(AND($AW19&lt;&gt;"Yes",$AW19&lt;&gt;"N/A"),"Power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",""))-2)))</f>
      </c>
      <c r="BM19">
        <f>IF($T19="","",IF($BL19="","Yes","Blocked"))</f>
      </c>
      <c r="BP19">
        <f>IF($BO19="","",IFERROR(VLOOKUP($BO19,'01_Warehouse_Ledger'!$A:$N,4,FALSE),""))</f>
      </c>
      <c r="BQ19">
        <f>IF($BO19="","",IFERROR(VLOOKUP($BO19,'01_Warehouse_Ledger'!$A:$N,5,FALSE),""))</f>
      </c>
      <c r="BR19">
        <f>IF($BO19="","",IFERROR(VLOOKUP($BO19,'01_Warehouse_Ledger'!$A:$N,13,FALSE),""))</f>
      </c>
    </row>
    <row r="20">
      <c r="A20" t="s">
        <v>1331</v>
      </c>
      <c r="B20" t="s">
        <v>1727</v>
      </c>
      <c r="C20" t="s">
        <v>1727</v>
      </c>
      <c r="D20">
        <f>IF($B20&lt;&gt;"Yes","",IF($C20="No","Yes",IF($C20="Yes","No","")))</f>
      </c>
      <c r="E20">
        <f>IF($A20="","",IF($A20="Neuron",IF(OR(AND($S20&lt;&gt;"",LOWER(TRIM($S20))&lt;&gt;"n/a",COUNTIF($S$2:$S$532,$S20)&gt;1),AND($T20&lt;&gt;"",LOWER(TRIM($T20))&lt;&gt;"n/a",COUNTIF($T$2:$T$532,$T20)&gt;1),AND($W20&lt;&gt;"",LOWER(TRIM($W20))&lt;&gt;"n/a",COUNTIF($W$2:$W$532,$W20)&gt;1)),"Yes","No"),IF($A20="Cybernet",IF(OR(AND($Y20&lt;&gt;"",LOWER(TRIM($Y20))&lt;&gt;"n/a",COUNTIF($Y$2:$Y$532,$Y20)&gt;1),AND($Z20&lt;&gt;"",LOWER(TRIM($Z20))&lt;&gt;"n/a",COUNTIF($Z$2:$Z$532,$Z20)&gt;1)),"Yes","No"),IF(AND($AL20&lt;&gt;"",LOWER(TRIM($AL20))&lt;&gt;"n/a",COUNTIF($AL$2:$AL$532,$AL20)&gt;1),"Yes","No"))))</f>
      </c>
      <c r="F20">
        <f>IF($B20&lt;&gt;"Yes","",
IF($A20="Neuron",
IF(OR(
AND($S20&lt;&gt;"",LOWER(TRIM($S20))&lt;&gt;"n/a",COUNTIFS($B$2:$B$532,"Yes",$A$2:$A$532,"Neuron",$S$2:$S$532,$S20)&gt;1),
AND($T20&lt;&gt;"",LOWER(TRIM($T20))&lt;&gt;"n/a",COUNTIFS($B$2:$B$532,"Yes",$A$2:$A$532,"Neuron",$T$2:$T$532,$T20)&gt;1),
AND($W20&lt;&gt;"",LOWER(TRIM($W20))&lt;&gt;"n/a",COUNTIFS($B$2:$B$532,"Yes",$A$2:$A$532,"Neuron",$W$2:$W$532,$W20)&gt;1)
),"Yes","No"),
IF($A20="Cybernet",
IF(OR(
AND($Y20&lt;&gt;"",LOWER(TRIM($Y20))&lt;&gt;"n/a",COUNTIFS($B$2:$B$532,"Yes",$A$2:$A$532,"Cybernet",$Y$2:$Y$532,$Y20)&gt;1),
AND($Z20&lt;&gt;"",LOWER(TRIM($Z20))&lt;&gt;"n/a",COUNTIFS($B$2:$B$532,"Yes",$A$2:$A$532,"Cybernet",$Z$2:$Z$532,$Z20)&gt;1)
),"Yes","No"),
IF(AND($AL20&lt;&gt;"",LOWER(TRIM($AL20))&lt;&gt;"n/a"),
IF(COUNTIFS($B$2:$B$532,"Yes",$A$2:$A$532,$A20,$AL$2:$AL$532,$AL20)&gt;1,"Yes","No"),
"No")
)
)
)</f>
      </c>
      <c r="G20" t="s">
        <v>2089</v>
      </c>
      <c r="H20" t="s">
        <v>2089</v>
      </c>
      <c r="J20" t="s">
        <v>2115</v>
      </c>
      <c r="K20" t="s">
        <v>2115</v>
      </c>
      <c r="L20" t="s">
        <v>2115</v>
      </c>
      <c r="S20" t="s">
        <v>2132</v>
      </c>
      <c r="T20" t="s">
        <v>1962</v>
      </c>
      <c r="U20" t="s">
        <v>1633</v>
      </c>
      <c r="V20" t="s">
        <v>1727</v>
      </c>
      <c r="W20" t="s">
        <v>2392</v>
      </c>
      <c r="X20" t="s">
        <v>1707</v>
      </c>
      <c r="Y20" t="s">
        <v>1380</v>
      </c>
      <c r="AA20" t="s">
        <v>1867</v>
      </c>
      <c r="AC20" t="s">
        <v>1712</v>
      </c>
      <c r="AD20" t="s">
        <v>1380</v>
      </c>
      <c r="AF20" t="s">
        <v>2257</v>
      </c>
      <c r="AG20" t="s">
        <v>1999</v>
      </c>
      <c r="AH20">
        <v>19</v>
      </c>
      <c r="AI20" t="s">
        <v>2243</v>
      </c>
      <c r="AJ20" t="s">
        <v>2131</v>
      </c>
      <c r="AK20" t="s">
        <v>2361</v>
      </c>
      <c r="AL20" t="s">
        <v>1712</v>
      </c>
      <c r="AM20" t="s">
        <v>1335</v>
      </c>
      <c r="AR20" t="s">
        <v>1380</v>
      </c>
      <c r="AS20" t="s">
        <v>1991</v>
      </c>
      <c r="AT20" t="s">
        <v>1380</v>
      </c>
      <c r="AU20" t="s">
        <v>1380</v>
      </c>
      <c r="AV20" t="s">
        <v>1380</v>
      </c>
      <c r="AW20" t="s">
        <v>1727</v>
      </c>
      <c r="AX20" t="s">
        <v>1727</v>
      </c>
      <c r="BA20">
        <v>46027.0</v>
      </c>
      <c r="BB20" t="s">
        <v>1727</v>
      </c>
      <c r="BD20" t="s">
        <v>2151</v>
      </c>
      <c r="BE20" t="s">
        <v>1727</v>
      </c>
      <c r="BF20" t="s">
        <v>1727</v>
      </c>
      <c r="BG20" t="s">
        <v>1727</v>
      </c>
      <c r="BH20" t="s">
        <v>1727</v>
      </c>
      <c r="BJ20" t="s">
        <v>1727</v>
      </c>
      <c r="BK20" t="s">
        <v>1657</v>
      </c>
      <c r="BL20">
        <f>IF($T20="","",IF((IF(AND($AW20&lt;&gt;"Yes",$AW20&lt;&gt;"N/A"),"Power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",""))="","",LEFT(IF(AND($AW20&lt;&gt;"Yes",$AW20&lt;&gt;"N/A"),"Power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",""),LEN(IF(AND($AW20&lt;&gt;"Yes",$AW20&lt;&gt;"N/A"),"Power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",""))-2)))</f>
      </c>
      <c r="BM20">
        <f>IF($T20="","",IF($BL20="","Yes","Blocked"))</f>
      </c>
      <c r="BP20">
        <f>IF($BO20="","",IFERROR(VLOOKUP($BO20,'01_Warehouse_Ledger'!$A:$N,4,FALSE),""))</f>
      </c>
      <c r="BQ20">
        <f>IF($BO20="","",IFERROR(VLOOKUP($BO20,'01_Warehouse_Ledger'!$A:$N,5,FALSE),""))</f>
      </c>
      <c r="BR20">
        <f>IF($BO20="","",IFERROR(VLOOKUP($BO20,'01_Warehouse_Ledger'!$A:$N,13,FALSE),""))</f>
      </c>
    </row>
    <row r="21">
      <c r="A21" t="s">
        <v>1331</v>
      </c>
      <c r="B21" t="s">
        <v>1727</v>
      </c>
      <c r="C21" t="s">
        <v>1727</v>
      </c>
      <c r="D21">
        <f>IF($B21&lt;&gt;"Yes","",IF($C21="No","Yes",IF($C21="Yes","No","")))</f>
      </c>
      <c r="E21">
        <f>IF($A21="","",IF($A21="Neuron",IF(OR(AND($S21&lt;&gt;"",LOWER(TRIM($S21))&lt;&gt;"n/a",COUNTIF($S$2:$S$532,$S21)&gt;1),AND($T21&lt;&gt;"",LOWER(TRIM($T21))&lt;&gt;"n/a",COUNTIF($T$2:$T$532,$T21)&gt;1),AND($W21&lt;&gt;"",LOWER(TRIM($W21))&lt;&gt;"n/a",COUNTIF($W$2:$W$532,$W21)&gt;1)),"Yes","No"),IF($A21="Cybernet",IF(OR(AND($Y21&lt;&gt;"",LOWER(TRIM($Y21))&lt;&gt;"n/a",COUNTIF($Y$2:$Y$532,$Y21)&gt;1),AND($Z21&lt;&gt;"",LOWER(TRIM($Z21))&lt;&gt;"n/a",COUNTIF($Z$2:$Z$532,$Z21)&gt;1)),"Yes","No"),IF(AND($AL21&lt;&gt;"",LOWER(TRIM($AL21))&lt;&gt;"n/a",COUNTIF($AL$2:$AL$532,$AL21)&gt;1),"Yes","No"))))</f>
      </c>
      <c r="F21">
        <f>IF($B21&lt;&gt;"Yes","",
IF($A21="Neuron",
IF(OR(
AND($S21&lt;&gt;"",LOWER(TRIM($S21))&lt;&gt;"n/a",COUNTIFS($B$2:$B$532,"Yes",$A$2:$A$532,"Neuron",$S$2:$S$532,$S21)&gt;1),
AND($T21&lt;&gt;"",LOWER(TRIM($T21))&lt;&gt;"n/a",COUNTIFS($B$2:$B$532,"Yes",$A$2:$A$532,"Neuron",$T$2:$T$532,$T21)&gt;1),
AND($W21&lt;&gt;"",LOWER(TRIM($W21))&lt;&gt;"n/a",COUNTIFS($B$2:$B$532,"Yes",$A$2:$A$532,"Neuron",$W$2:$W$532,$W21)&gt;1)
),"Yes","No"),
IF($A21="Cybernet",
IF(OR(
AND($Y21&lt;&gt;"",LOWER(TRIM($Y21))&lt;&gt;"n/a",COUNTIFS($B$2:$B$532,"Yes",$A$2:$A$532,"Cybernet",$Y$2:$Y$532,$Y21)&gt;1),
AND($Z21&lt;&gt;"",LOWER(TRIM($Z21))&lt;&gt;"n/a",COUNTIFS($B$2:$B$532,"Yes",$A$2:$A$532,"Cybernet",$Z$2:$Z$532,$Z21)&gt;1)
),"Yes","No"),
IF(AND($AL21&lt;&gt;"",LOWER(TRIM($AL21))&lt;&gt;"n/a"),
IF(COUNTIFS($B$2:$B$532,"Yes",$A$2:$A$532,$A21,$AL$2:$AL$532,$AL21)&gt;1,"Yes","No"),
"No")
)
)
)</f>
      </c>
      <c r="G21" t="s">
        <v>2089</v>
      </c>
      <c r="H21" t="s">
        <v>2089</v>
      </c>
      <c r="J21" t="s">
        <v>2115</v>
      </c>
      <c r="K21" t="s">
        <v>2115</v>
      </c>
      <c r="L21" t="s">
        <v>2115</v>
      </c>
      <c r="S21" t="s">
        <v>2171</v>
      </c>
      <c r="T21" t="s">
        <v>2190</v>
      </c>
      <c r="U21" t="s">
        <v>2039</v>
      </c>
      <c r="V21" t="s">
        <v>1727</v>
      </c>
      <c r="W21" t="s">
        <v>1622</v>
      </c>
      <c r="X21" t="s">
        <v>1707</v>
      </c>
      <c r="Y21" t="s">
        <v>1380</v>
      </c>
      <c r="AA21" t="s">
        <v>1867</v>
      </c>
      <c r="AC21" t="s">
        <v>1640</v>
      </c>
      <c r="AD21" t="s">
        <v>1380</v>
      </c>
      <c r="AF21" t="s">
        <v>2257</v>
      </c>
      <c r="AG21" t="s">
        <v>1999</v>
      </c>
      <c r="AH21">
        <v>20</v>
      </c>
      <c r="AI21" t="s">
        <v>2292</v>
      </c>
      <c r="AJ21" t="s">
        <v>2131</v>
      </c>
      <c r="AK21" t="s">
        <v>2361</v>
      </c>
      <c r="AL21" t="s">
        <v>1640</v>
      </c>
      <c r="AM21" t="s">
        <v>1335</v>
      </c>
      <c r="AR21" t="s">
        <v>1380</v>
      </c>
      <c r="AS21" t="s">
        <v>1991</v>
      </c>
      <c r="AT21" t="s">
        <v>1380</v>
      </c>
      <c r="AU21" t="s">
        <v>1380</v>
      </c>
      <c r="AV21" t="s">
        <v>1380</v>
      </c>
      <c r="AW21" t="s">
        <v>1727</v>
      </c>
      <c r="AX21" t="s">
        <v>1727</v>
      </c>
      <c r="BA21">
        <v>46027.0</v>
      </c>
      <c r="BB21" t="s">
        <v>1727</v>
      </c>
      <c r="BD21" t="s">
        <v>2151</v>
      </c>
      <c r="BE21" t="s">
        <v>1727</v>
      </c>
      <c r="BF21" t="s">
        <v>1727</v>
      </c>
      <c r="BG21" t="s">
        <v>1727</v>
      </c>
      <c r="BH21" t="s">
        <v>1727</v>
      </c>
      <c r="BJ21" t="s">
        <v>1727</v>
      </c>
      <c r="BK21" t="s">
        <v>1657</v>
      </c>
      <c r="BL21">
        <f>IF($T21="","",IF((IF(AND($AW21&lt;&gt;"Yes",$AW21&lt;&gt;"N/A"),"Power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",""))="","",LEFT(IF(AND($AW21&lt;&gt;"Yes",$AW21&lt;&gt;"N/A"),"Power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",""),LEN(IF(AND($AW21&lt;&gt;"Yes",$AW21&lt;&gt;"N/A"),"Power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",""))-2)))</f>
      </c>
      <c r="BM21">
        <f>IF($T21="","",IF($BL21="","Yes","Blocked"))</f>
      </c>
      <c r="BP21">
        <f>IF($BO21="","",IFERROR(VLOOKUP($BO21,'01_Warehouse_Ledger'!$A:$N,4,FALSE),""))</f>
      </c>
      <c r="BQ21">
        <f>IF($BO21="","",IFERROR(VLOOKUP($BO21,'01_Warehouse_Ledger'!$A:$N,5,FALSE),""))</f>
      </c>
      <c r="BR21">
        <f>IF($BO21="","",IFERROR(VLOOKUP($BO21,'01_Warehouse_Ledger'!$A:$N,13,FALSE),""))</f>
      </c>
    </row>
    <row r="22">
      <c r="A22" t="s">
        <v>1331</v>
      </c>
      <c r="B22" t="s">
        <v>1727</v>
      </c>
      <c r="C22" t="s">
        <v>1727</v>
      </c>
      <c r="D22">
        <f>IF($B22&lt;&gt;"Yes","",IF($C22="No","Yes",IF($C22="Yes","No","")))</f>
      </c>
      <c r="E22">
        <f>IF($A22="","",IF($A22="Neuron",IF(OR(AND($S22&lt;&gt;"",LOWER(TRIM($S22))&lt;&gt;"n/a",COUNTIF($S$2:$S$532,$S22)&gt;1),AND($T22&lt;&gt;"",LOWER(TRIM($T22))&lt;&gt;"n/a",COUNTIF($T$2:$T$532,$T22)&gt;1),AND($W22&lt;&gt;"",LOWER(TRIM($W22))&lt;&gt;"n/a",COUNTIF($W$2:$W$532,$W22)&gt;1)),"Yes","No"),IF($A22="Cybernet",IF(OR(AND($Y22&lt;&gt;"",LOWER(TRIM($Y22))&lt;&gt;"n/a",COUNTIF($Y$2:$Y$532,$Y22)&gt;1),AND($Z22&lt;&gt;"",LOWER(TRIM($Z22))&lt;&gt;"n/a",COUNTIF($Z$2:$Z$532,$Z22)&gt;1)),"Yes","No"),IF(AND($AL22&lt;&gt;"",LOWER(TRIM($AL22))&lt;&gt;"n/a",COUNTIF($AL$2:$AL$532,$AL22)&gt;1),"Yes","No"))))</f>
      </c>
      <c r="F22">
        <f>IF($B22&lt;&gt;"Yes","",
IF($A22="Neuron",
IF(OR(
AND($S22&lt;&gt;"",LOWER(TRIM($S22))&lt;&gt;"n/a",COUNTIFS($B$2:$B$532,"Yes",$A$2:$A$532,"Neuron",$S$2:$S$532,$S22)&gt;1),
AND($T22&lt;&gt;"",LOWER(TRIM($T22))&lt;&gt;"n/a",COUNTIFS($B$2:$B$532,"Yes",$A$2:$A$532,"Neuron",$T$2:$T$532,$T22)&gt;1),
AND($W22&lt;&gt;"",LOWER(TRIM($W22))&lt;&gt;"n/a",COUNTIFS($B$2:$B$532,"Yes",$A$2:$A$532,"Neuron",$W$2:$W$532,$W22)&gt;1)
),"Yes","No"),
IF($A22="Cybernet",
IF(OR(
AND($Y22&lt;&gt;"",LOWER(TRIM($Y22))&lt;&gt;"n/a",COUNTIFS($B$2:$B$532,"Yes",$A$2:$A$532,"Cybernet",$Y$2:$Y$532,$Y22)&gt;1),
AND($Z22&lt;&gt;"",LOWER(TRIM($Z22))&lt;&gt;"n/a",COUNTIFS($B$2:$B$532,"Yes",$A$2:$A$532,"Cybernet",$Z$2:$Z$532,$Z22)&gt;1)
),"Yes","No"),
IF(AND($AL22&lt;&gt;"",LOWER(TRIM($AL22))&lt;&gt;"n/a"),
IF(COUNTIFS($B$2:$B$532,"Yes",$A$2:$A$532,$A22,$AL$2:$AL$532,$AL22)&gt;1,"Yes","No"),
"No")
)
)
)</f>
      </c>
      <c r="G22" t="s">
        <v>2089</v>
      </c>
      <c r="H22" t="s">
        <v>2089</v>
      </c>
      <c r="J22" t="s">
        <v>2115</v>
      </c>
      <c r="K22" t="s">
        <v>2115</v>
      </c>
      <c r="L22" t="s">
        <v>2115</v>
      </c>
      <c r="S22" t="s">
        <v>1925</v>
      </c>
      <c r="T22" t="s">
        <v>2340</v>
      </c>
      <c r="U22" t="s">
        <v>2006</v>
      </c>
      <c r="V22" t="s">
        <v>1727</v>
      </c>
      <c r="W22" t="s">
        <v>1970</v>
      </c>
      <c r="X22" t="s">
        <v>1707</v>
      </c>
      <c r="Y22" t="s">
        <v>1380</v>
      </c>
      <c r="AA22" t="s">
        <v>1867</v>
      </c>
      <c r="AC22" t="s">
        <v>2325</v>
      </c>
      <c r="AD22" t="s">
        <v>1380</v>
      </c>
      <c r="AF22" t="s">
        <v>2257</v>
      </c>
      <c r="AG22" t="s">
        <v>1999</v>
      </c>
      <c r="AH22">
        <v>21</v>
      </c>
      <c r="AI22" t="s">
        <v>2223</v>
      </c>
      <c r="AJ22" t="s">
        <v>2131</v>
      </c>
      <c r="AK22" t="s">
        <v>2361</v>
      </c>
      <c r="AL22" t="s">
        <v>2325</v>
      </c>
      <c r="AM22" t="s">
        <v>1335</v>
      </c>
      <c r="AR22" t="s">
        <v>1380</v>
      </c>
      <c r="AS22" t="s">
        <v>1991</v>
      </c>
      <c r="AT22" t="s">
        <v>1380</v>
      </c>
      <c r="AU22" t="s">
        <v>1380</v>
      </c>
      <c r="AV22" t="s">
        <v>1380</v>
      </c>
      <c r="AW22" t="s">
        <v>1727</v>
      </c>
      <c r="AX22" t="s">
        <v>1727</v>
      </c>
      <c r="BA22">
        <v>46027.0</v>
      </c>
      <c r="BB22" t="s">
        <v>1727</v>
      </c>
      <c r="BD22" t="s">
        <v>2151</v>
      </c>
      <c r="BE22" t="s">
        <v>1727</v>
      </c>
      <c r="BF22" t="s">
        <v>1727</v>
      </c>
      <c r="BG22" t="s">
        <v>1727</v>
      </c>
      <c r="BH22" t="s">
        <v>1727</v>
      </c>
      <c r="BJ22" t="s">
        <v>1727</v>
      </c>
      <c r="BK22" t="s">
        <v>1657</v>
      </c>
      <c r="BL22">
        <f>IF($T22="","",IF((IF(AND($AW22&lt;&gt;"Yes",$AW22&lt;&gt;"N/A"),"Power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",""))="","",LEFT(IF(AND($AW22&lt;&gt;"Yes",$AW22&lt;&gt;"N/A"),"Power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",""),LEN(IF(AND($AW22&lt;&gt;"Yes",$AW22&lt;&gt;"N/A"),"Power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",""))-2)))</f>
      </c>
      <c r="BM22">
        <f>IF($T22="","",IF($BL22="","Yes","Blocked"))</f>
      </c>
      <c r="BP22">
        <f>IF($BO22="","",IFERROR(VLOOKUP($BO22,'01_Warehouse_Ledger'!$A:$N,4,FALSE),""))</f>
      </c>
      <c r="BQ22">
        <f>IF($BO22="","",IFERROR(VLOOKUP($BO22,'01_Warehouse_Ledger'!$A:$N,5,FALSE),""))</f>
      </c>
      <c r="BR22">
        <f>IF($BO22="","",IFERROR(VLOOKUP($BO22,'01_Warehouse_Ledger'!$A:$N,13,FALSE),""))</f>
      </c>
    </row>
    <row r="23">
      <c r="A23" t="s">
        <v>1331</v>
      </c>
      <c r="B23" t="s">
        <v>1727</v>
      </c>
      <c r="C23" t="s">
        <v>1727</v>
      </c>
      <c r="D23">
        <f>IF($B23&lt;&gt;"Yes","",IF($C23="No","Yes",IF($C23="Yes","No","")))</f>
      </c>
      <c r="E23">
        <f>IF($A23="","",IF($A23="Neuron",IF(OR(AND($S23&lt;&gt;"",LOWER(TRIM($S23))&lt;&gt;"n/a",COUNTIF($S$2:$S$532,$S23)&gt;1),AND($T23&lt;&gt;"",LOWER(TRIM($T23))&lt;&gt;"n/a",COUNTIF($T$2:$T$532,$T23)&gt;1),AND($W23&lt;&gt;"",LOWER(TRIM($W23))&lt;&gt;"n/a",COUNTIF($W$2:$W$532,$W23)&gt;1)),"Yes","No"),IF($A23="Cybernet",IF(OR(AND($Y23&lt;&gt;"",LOWER(TRIM($Y23))&lt;&gt;"n/a",COUNTIF($Y$2:$Y$532,$Y23)&gt;1),AND($Z23&lt;&gt;"",LOWER(TRIM($Z23))&lt;&gt;"n/a",COUNTIF($Z$2:$Z$532,$Z23)&gt;1)),"Yes","No"),IF(AND($AL23&lt;&gt;"",LOWER(TRIM($AL23))&lt;&gt;"n/a",COUNTIF($AL$2:$AL$532,$AL23)&gt;1),"Yes","No"))))</f>
      </c>
      <c r="F23">
        <f>IF($B23&lt;&gt;"Yes","",
IF($A23="Neuron",
IF(OR(
AND($S23&lt;&gt;"",LOWER(TRIM($S23))&lt;&gt;"n/a",COUNTIFS($B$2:$B$532,"Yes",$A$2:$A$532,"Neuron",$S$2:$S$532,$S23)&gt;1),
AND($T23&lt;&gt;"",LOWER(TRIM($T23))&lt;&gt;"n/a",COUNTIFS($B$2:$B$532,"Yes",$A$2:$A$532,"Neuron",$T$2:$T$532,$T23)&gt;1),
AND($W23&lt;&gt;"",LOWER(TRIM($W23))&lt;&gt;"n/a",COUNTIFS($B$2:$B$532,"Yes",$A$2:$A$532,"Neuron",$W$2:$W$532,$W23)&gt;1)
),"Yes","No"),
IF($A23="Cybernet",
IF(OR(
AND($Y23&lt;&gt;"",LOWER(TRIM($Y23))&lt;&gt;"n/a",COUNTIFS($B$2:$B$532,"Yes",$A$2:$A$532,"Cybernet",$Y$2:$Y$532,$Y23)&gt;1),
AND($Z23&lt;&gt;"",LOWER(TRIM($Z23))&lt;&gt;"n/a",COUNTIFS($B$2:$B$532,"Yes",$A$2:$A$532,"Cybernet",$Z$2:$Z$532,$Z23)&gt;1)
),"Yes","No"),
IF(AND($AL23&lt;&gt;"",LOWER(TRIM($AL23))&lt;&gt;"n/a"),
IF(COUNTIFS($B$2:$B$532,"Yes",$A$2:$A$532,$A23,$AL$2:$AL$532,$AL23)&gt;1,"Yes","No"),
"No")
)
)
)</f>
      </c>
      <c r="G23" t="s">
        <v>2089</v>
      </c>
      <c r="H23" t="s">
        <v>2089</v>
      </c>
      <c r="J23" t="s">
        <v>2115</v>
      </c>
      <c r="K23" t="s">
        <v>2115</v>
      </c>
      <c r="L23" t="s">
        <v>2115</v>
      </c>
      <c r="S23" t="s">
        <v>2044</v>
      </c>
      <c r="T23" t="s">
        <v>1936</v>
      </c>
      <c r="U23" t="s">
        <v>1665</v>
      </c>
      <c r="V23" t="s">
        <v>1727</v>
      </c>
      <c r="W23" t="s">
        <v>2029</v>
      </c>
      <c r="X23" t="s">
        <v>1707</v>
      </c>
      <c r="Y23" t="s">
        <v>1380</v>
      </c>
      <c r="AA23" t="s">
        <v>1867</v>
      </c>
      <c r="AC23" t="s">
        <v>2301</v>
      </c>
      <c r="AD23" t="s">
        <v>1380</v>
      </c>
      <c r="AF23" t="s">
        <v>2257</v>
      </c>
      <c r="AG23" t="s">
        <v>1999</v>
      </c>
      <c r="AH23">
        <v>22</v>
      </c>
      <c r="AI23" t="s">
        <v>2035</v>
      </c>
      <c r="AJ23" t="s">
        <v>2131</v>
      </c>
      <c r="AK23" t="s">
        <v>2361</v>
      </c>
      <c r="AL23" t="s">
        <v>2301</v>
      </c>
      <c r="AM23" t="s">
        <v>1335</v>
      </c>
      <c r="AR23" t="s">
        <v>1380</v>
      </c>
      <c r="AS23" t="s">
        <v>1991</v>
      </c>
      <c r="AT23" t="s">
        <v>1380</v>
      </c>
      <c r="AU23" t="s">
        <v>1380</v>
      </c>
      <c r="AV23" t="s">
        <v>1380</v>
      </c>
      <c r="AW23" t="s">
        <v>1727</v>
      </c>
      <c r="AX23" t="s">
        <v>1727</v>
      </c>
      <c r="BA23">
        <v>46027.0</v>
      </c>
      <c r="BB23" t="s">
        <v>1727</v>
      </c>
      <c r="BD23" t="s">
        <v>2151</v>
      </c>
      <c r="BE23" t="s">
        <v>1727</v>
      </c>
      <c r="BF23" t="s">
        <v>1727</v>
      </c>
      <c r="BG23" t="s">
        <v>1727</v>
      </c>
      <c r="BH23" t="s">
        <v>1727</v>
      </c>
      <c r="BJ23" t="s">
        <v>1727</v>
      </c>
      <c r="BK23" t="s">
        <v>1657</v>
      </c>
      <c r="BL23">
        <f>IF($T23="","",IF((IF(AND($AW23&lt;&gt;"Yes",$AW23&lt;&gt;"N/A"),"Power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",""))="","",LEFT(IF(AND($AW23&lt;&gt;"Yes",$AW23&lt;&gt;"N/A"),"Power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",""),LEN(IF(AND($AW23&lt;&gt;"Yes",$AW23&lt;&gt;"N/A"),"Power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",""))-2)))</f>
      </c>
      <c r="BM23">
        <f>IF($T23="","",IF($BL23="","Yes","Blocked"))</f>
      </c>
      <c r="BP23">
        <f>IF($BO23="","",IFERROR(VLOOKUP($BO23,'01_Warehouse_Ledger'!$A:$N,4,FALSE),""))</f>
      </c>
      <c r="BQ23">
        <f>IF($BO23="","",IFERROR(VLOOKUP($BO23,'01_Warehouse_Ledger'!$A:$N,5,FALSE),""))</f>
      </c>
      <c r="BR23">
        <f>IF($BO23="","",IFERROR(VLOOKUP($BO23,'01_Warehouse_Ledger'!$A:$N,13,FALSE),""))</f>
      </c>
    </row>
    <row r="24">
      <c r="A24" t="s">
        <v>1331</v>
      </c>
      <c r="B24" t="s">
        <v>1727</v>
      </c>
      <c r="C24" t="s">
        <v>1727</v>
      </c>
      <c r="D24">
        <f>IF($B24&lt;&gt;"Yes","",IF($C24="No","Yes",IF($C24="Yes","No","")))</f>
      </c>
      <c r="E24">
        <f>IF($A24="","",IF($A24="Neuron",IF(OR(AND($S24&lt;&gt;"",LOWER(TRIM($S24))&lt;&gt;"n/a",COUNTIF($S$2:$S$532,$S24)&gt;1),AND($T24&lt;&gt;"",LOWER(TRIM($T24))&lt;&gt;"n/a",COUNTIF($T$2:$T$532,$T24)&gt;1),AND($W24&lt;&gt;"",LOWER(TRIM($W24))&lt;&gt;"n/a",COUNTIF($W$2:$W$532,$W24)&gt;1)),"Yes","No"),IF($A24="Cybernet",IF(OR(AND($Y24&lt;&gt;"",LOWER(TRIM($Y24))&lt;&gt;"n/a",COUNTIF($Y$2:$Y$532,$Y24)&gt;1),AND($Z24&lt;&gt;"",LOWER(TRIM($Z24))&lt;&gt;"n/a",COUNTIF($Z$2:$Z$532,$Z24)&gt;1)),"Yes","No"),IF(AND($AL24&lt;&gt;"",LOWER(TRIM($AL24))&lt;&gt;"n/a",COUNTIF($AL$2:$AL$532,$AL24)&gt;1),"Yes","No"))))</f>
      </c>
      <c r="F24">
        <f>IF($B24&lt;&gt;"Yes","",
IF($A24="Neuron",
IF(OR(
AND($S24&lt;&gt;"",LOWER(TRIM($S24))&lt;&gt;"n/a",COUNTIFS($B$2:$B$532,"Yes",$A$2:$A$532,"Neuron",$S$2:$S$532,$S24)&gt;1),
AND($T24&lt;&gt;"",LOWER(TRIM($T24))&lt;&gt;"n/a",COUNTIFS($B$2:$B$532,"Yes",$A$2:$A$532,"Neuron",$T$2:$T$532,$T24)&gt;1),
AND($W24&lt;&gt;"",LOWER(TRIM($W24))&lt;&gt;"n/a",COUNTIFS($B$2:$B$532,"Yes",$A$2:$A$532,"Neuron",$W$2:$W$532,$W24)&gt;1)
),"Yes","No"),
IF($A24="Cybernet",
IF(OR(
AND($Y24&lt;&gt;"",LOWER(TRIM($Y24))&lt;&gt;"n/a",COUNTIFS($B$2:$B$532,"Yes",$A$2:$A$532,"Cybernet",$Y$2:$Y$532,$Y24)&gt;1),
AND($Z24&lt;&gt;"",LOWER(TRIM($Z24))&lt;&gt;"n/a",COUNTIFS($B$2:$B$532,"Yes",$A$2:$A$532,"Cybernet",$Z$2:$Z$532,$Z24)&gt;1)
),"Yes","No"),
IF(AND($AL24&lt;&gt;"",LOWER(TRIM($AL24))&lt;&gt;"n/a"),
IF(COUNTIFS($B$2:$B$532,"Yes",$A$2:$A$532,$A24,$AL$2:$AL$532,$AL24)&gt;1,"Yes","No"),
"No")
)
)
)</f>
      </c>
      <c r="G24" t="s">
        <v>2089</v>
      </c>
      <c r="H24" t="s">
        <v>2089</v>
      </c>
      <c r="J24" t="s">
        <v>2115</v>
      </c>
      <c r="K24" t="s">
        <v>2115</v>
      </c>
      <c r="L24" t="s">
        <v>2115</v>
      </c>
      <c r="S24" t="s">
        <v>1944</v>
      </c>
      <c r="T24" t="s">
        <v>2360</v>
      </c>
      <c r="U24" t="s">
        <v>2240</v>
      </c>
      <c r="V24" t="s">
        <v>1727</v>
      </c>
      <c r="W24" t="s">
        <v>1959</v>
      </c>
      <c r="X24" t="s">
        <v>1707</v>
      </c>
      <c r="Y24" t="s">
        <v>1380</v>
      </c>
      <c r="AA24" t="s">
        <v>1867</v>
      </c>
      <c r="AC24" t="s">
        <v>2048</v>
      </c>
      <c r="AD24" t="s">
        <v>1380</v>
      </c>
      <c r="AF24" t="s">
        <v>2257</v>
      </c>
      <c r="AG24" t="s">
        <v>1999</v>
      </c>
      <c r="AH24">
        <v>23</v>
      </c>
      <c r="AI24" t="s">
        <v>1805</v>
      </c>
      <c r="AJ24" t="s">
        <v>2131</v>
      </c>
      <c r="AK24" t="s">
        <v>2361</v>
      </c>
      <c r="AL24" t="s">
        <v>2048</v>
      </c>
      <c r="AM24" t="s">
        <v>1335</v>
      </c>
      <c r="AR24" t="s">
        <v>1380</v>
      </c>
      <c r="AS24" t="s">
        <v>1991</v>
      </c>
      <c r="AT24" t="s">
        <v>1380</v>
      </c>
      <c r="AU24" t="s">
        <v>1380</v>
      </c>
      <c r="AV24" t="s">
        <v>1380</v>
      </c>
      <c r="AW24" t="s">
        <v>1727</v>
      </c>
      <c r="AX24" t="s">
        <v>1727</v>
      </c>
      <c r="BA24">
        <v>46027.0</v>
      </c>
      <c r="BB24" t="s">
        <v>1727</v>
      </c>
      <c r="BD24" t="s">
        <v>2151</v>
      </c>
      <c r="BE24" t="s">
        <v>1727</v>
      </c>
      <c r="BF24" t="s">
        <v>1727</v>
      </c>
      <c r="BG24" t="s">
        <v>1727</v>
      </c>
      <c r="BH24" t="s">
        <v>1727</v>
      </c>
      <c r="BJ24" t="s">
        <v>1727</v>
      </c>
      <c r="BK24" t="s">
        <v>1657</v>
      </c>
      <c r="BL24">
        <f>IF($T24="","",IF((IF(AND($AW24&lt;&gt;"Yes",$AW24&lt;&gt;"N/A"),"Power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",""))="","",LEFT(IF(AND($AW24&lt;&gt;"Yes",$AW24&lt;&gt;"N/A"),"Power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",""),LEN(IF(AND($AW24&lt;&gt;"Yes",$AW24&lt;&gt;"N/A"),"Power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",""))-2)))</f>
      </c>
      <c r="BM24">
        <f>IF($T24="","",IF($BL24="","Yes","Blocked"))</f>
      </c>
      <c r="BP24">
        <f>IF($BO24="","",IFERROR(VLOOKUP($BO24,'01_Warehouse_Ledger'!$A:$N,4,FALSE),""))</f>
      </c>
      <c r="BQ24">
        <f>IF($BO24="","",IFERROR(VLOOKUP($BO24,'01_Warehouse_Ledger'!$A:$N,5,FALSE),""))</f>
      </c>
      <c r="BR24">
        <f>IF($BO24="","",IFERROR(VLOOKUP($BO24,'01_Warehouse_Ledger'!$A:$N,13,FALSE),""))</f>
      </c>
    </row>
    <row r="25">
      <c r="A25" t="s">
        <v>1331</v>
      </c>
      <c r="B25" t="s">
        <v>1727</v>
      </c>
      <c r="C25" t="s">
        <v>1727</v>
      </c>
      <c r="D25">
        <f>IF($B25&lt;&gt;"Yes","",IF($C25="No","Yes",IF($C25="Yes","No","")))</f>
      </c>
      <c r="E25">
        <f>IF($A25="","",IF($A25="Neuron",IF(OR(AND($S25&lt;&gt;"",LOWER(TRIM($S25))&lt;&gt;"n/a",COUNTIF($S$2:$S$532,$S25)&gt;1),AND($T25&lt;&gt;"",LOWER(TRIM($T25))&lt;&gt;"n/a",COUNTIF($T$2:$T$532,$T25)&gt;1),AND($W25&lt;&gt;"",LOWER(TRIM($W25))&lt;&gt;"n/a",COUNTIF($W$2:$W$532,$W25)&gt;1)),"Yes","No"),IF($A25="Cybernet",IF(OR(AND($Y25&lt;&gt;"",LOWER(TRIM($Y25))&lt;&gt;"n/a",COUNTIF($Y$2:$Y$532,$Y25)&gt;1),AND($Z25&lt;&gt;"",LOWER(TRIM($Z25))&lt;&gt;"n/a",COUNTIF($Z$2:$Z$532,$Z25)&gt;1)),"Yes","No"),IF(AND($AL25&lt;&gt;"",LOWER(TRIM($AL25))&lt;&gt;"n/a",COUNTIF($AL$2:$AL$532,$AL25)&gt;1),"Yes","No"))))</f>
      </c>
      <c r="F25">
        <f>IF($B25&lt;&gt;"Yes","",
IF($A25="Neuron",
IF(OR(
AND($S25&lt;&gt;"",LOWER(TRIM($S25))&lt;&gt;"n/a",COUNTIFS($B$2:$B$532,"Yes",$A$2:$A$532,"Neuron",$S$2:$S$532,$S25)&gt;1),
AND($T25&lt;&gt;"",LOWER(TRIM($T25))&lt;&gt;"n/a",COUNTIFS($B$2:$B$532,"Yes",$A$2:$A$532,"Neuron",$T$2:$T$532,$T25)&gt;1),
AND($W25&lt;&gt;"",LOWER(TRIM($W25))&lt;&gt;"n/a",COUNTIFS($B$2:$B$532,"Yes",$A$2:$A$532,"Neuron",$W$2:$W$532,$W25)&gt;1)
),"Yes","No"),
IF($A25="Cybernet",
IF(OR(
AND($Y25&lt;&gt;"",LOWER(TRIM($Y25))&lt;&gt;"n/a",COUNTIFS($B$2:$B$532,"Yes",$A$2:$A$532,"Cybernet",$Y$2:$Y$532,$Y25)&gt;1),
AND($Z25&lt;&gt;"",LOWER(TRIM($Z25))&lt;&gt;"n/a",COUNTIFS($B$2:$B$532,"Yes",$A$2:$A$532,"Cybernet",$Z$2:$Z$532,$Z25)&gt;1)
),"Yes","No"),
IF(AND($AL25&lt;&gt;"",LOWER(TRIM($AL25))&lt;&gt;"n/a"),
IF(COUNTIFS($B$2:$B$532,"Yes",$A$2:$A$532,$A25,$AL$2:$AL$532,$AL25)&gt;1,"Yes","No"),
"No")
)
)
)</f>
      </c>
      <c r="G25" t="s">
        <v>2089</v>
      </c>
      <c r="H25" t="s">
        <v>2089</v>
      </c>
      <c r="J25" t="s">
        <v>2115</v>
      </c>
      <c r="K25" t="s">
        <v>2115</v>
      </c>
      <c r="L25" t="s">
        <v>2115</v>
      </c>
      <c r="S25" t="s">
        <v>1801</v>
      </c>
      <c r="T25" t="s">
        <v>1917</v>
      </c>
      <c r="U25" t="s">
        <v>2309</v>
      </c>
      <c r="V25" t="s">
        <v>1727</v>
      </c>
      <c r="W25" t="s">
        <v>1703</v>
      </c>
      <c r="X25" t="s">
        <v>1707</v>
      </c>
      <c r="Y25" t="s">
        <v>1380</v>
      </c>
      <c r="AA25" t="s">
        <v>1867</v>
      </c>
      <c r="AC25" t="s">
        <v>2125</v>
      </c>
      <c r="AD25" t="s">
        <v>1380</v>
      </c>
      <c r="AF25" t="s">
        <v>2257</v>
      </c>
      <c r="AG25" t="s">
        <v>1999</v>
      </c>
      <c r="AH25">
        <v>24</v>
      </c>
      <c r="AI25" t="s">
        <v>1874</v>
      </c>
      <c r="AJ25" t="s">
        <v>2131</v>
      </c>
      <c r="AK25" t="s">
        <v>2361</v>
      </c>
      <c r="AL25" t="s">
        <v>2125</v>
      </c>
      <c r="AM25" t="s">
        <v>1335</v>
      </c>
      <c r="AR25" t="s">
        <v>1380</v>
      </c>
      <c r="AS25" t="s">
        <v>1991</v>
      </c>
      <c r="AT25" t="s">
        <v>1380</v>
      </c>
      <c r="AU25" t="s">
        <v>1380</v>
      </c>
      <c r="AV25" t="s">
        <v>1380</v>
      </c>
      <c r="AW25" t="s">
        <v>1727</v>
      </c>
      <c r="AX25" t="s">
        <v>1727</v>
      </c>
      <c r="BA25">
        <v>46027.0</v>
      </c>
      <c r="BB25" t="s">
        <v>1727</v>
      </c>
      <c r="BD25" t="s">
        <v>2151</v>
      </c>
      <c r="BE25" t="s">
        <v>1727</v>
      </c>
      <c r="BF25" t="s">
        <v>1727</v>
      </c>
      <c r="BG25" t="s">
        <v>1727</v>
      </c>
      <c r="BH25" t="s">
        <v>1727</v>
      </c>
      <c r="BJ25" t="s">
        <v>1727</v>
      </c>
      <c r="BK25" t="s">
        <v>1657</v>
      </c>
      <c r="BL25">
        <f>IF($T25="","",IF((IF(AND($AW25&lt;&gt;"Yes",$AW25&lt;&gt;"N/A"),"Power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",""))="","",LEFT(IF(AND($AW25&lt;&gt;"Yes",$AW25&lt;&gt;"N/A"),"Power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",""),LEN(IF(AND($AW25&lt;&gt;"Yes",$AW25&lt;&gt;"N/A"),"Power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",""))-2)))</f>
      </c>
      <c r="BM25">
        <f>IF($T25="","",IF($BL25="","Yes","Blocked"))</f>
      </c>
      <c r="BP25">
        <f>IF($BO25="","",IFERROR(VLOOKUP($BO25,'01_Warehouse_Ledger'!$A:$N,4,FALSE),""))</f>
      </c>
      <c r="BQ25">
        <f>IF($BO25="","",IFERROR(VLOOKUP($BO25,'01_Warehouse_Ledger'!$A:$N,5,FALSE),""))</f>
      </c>
      <c r="BR25">
        <f>IF($BO25="","",IFERROR(VLOOKUP($BO25,'01_Warehouse_Ledger'!$A:$N,13,FALSE),""))</f>
      </c>
    </row>
    <row r="26">
      <c r="A26" t="s">
        <v>1331</v>
      </c>
      <c r="B26" t="s">
        <v>1727</v>
      </c>
      <c r="C26" t="s">
        <v>1727</v>
      </c>
      <c r="D26">
        <f>IF($B26&lt;&gt;"Yes","",IF($C26="No","Yes",IF($C26="Yes","No","")))</f>
      </c>
      <c r="E26">
        <f>IF($A26="","",IF($A26="Neuron",IF(OR(AND($S26&lt;&gt;"",LOWER(TRIM($S26))&lt;&gt;"n/a",COUNTIF($S$2:$S$532,$S26)&gt;1),AND($T26&lt;&gt;"",LOWER(TRIM($T26))&lt;&gt;"n/a",COUNTIF($T$2:$T$532,$T26)&gt;1),AND($W26&lt;&gt;"",LOWER(TRIM($W26))&lt;&gt;"n/a",COUNTIF($W$2:$W$532,$W26)&gt;1)),"Yes","No"),IF($A26="Cybernet",IF(OR(AND($Y26&lt;&gt;"",LOWER(TRIM($Y26))&lt;&gt;"n/a",COUNTIF($Y$2:$Y$532,$Y26)&gt;1),AND($Z26&lt;&gt;"",LOWER(TRIM($Z26))&lt;&gt;"n/a",COUNTIF($Z$2:$Z$532,$Z26)&gt;1)),"Yes","No"),IF(AND($AL26&lt;&gt;"",LOWER(TRIM($AL26))&lt;&gt;"n/a",COUNTIF($AL$2:$AL$532,$AL26)&gt;1),"Yes","No"))))</f>
      </c>
      <c r="F26">
        <f>IF($B26&lt;&gt;"Yes","",
IF($A26="Neuron",
IF(OR(
AND($S26&lt;&gt;"",LOWER(TRIM($S26))&lt;&gt;"n/a",COUNTIFS($B$2:$B$532,"Yes",$A$2:$A$532,"Neuron",$S$2:$S$532,$S26)&gt;1),
AND($T26&lt;&gt;"",LOWER(TRIM($T26))&lt;&gt;"n/a",COUNTIFS($B$2:$B$532,"Yes",$A$2:$A$532,"Neuron",$T$2:$T$532,$T26)&gt;1),
AND($W26&lt;&gt;"",LOWER(TRIM($W26))&lt;&gt;"n/a",COUNTIFS($B$2:$B$532,"Yes",$A$2:$A$532,"Neuron",$W$2:$W$532,$W26)&gt;1)
),"Yes","No"),
IF($A26="Cybernet",
IF(OR(
AND($Y26&lt;&gt;"",LOWER(TRIM($Y26))&lt;&gt;"n/a",COUNTIFS($B$2:$B$532,"Yes",$A$2:$A$532,"Cybernet",$Y$2:$Y$532,$Y26)&gt;1),
AND($Z26&lt;&gt;"",LOWER(TRIM($Z26))&lt;&gt;"n/a",COUNTIFS($B$2:$B$532,"Yes",$A$2:$A$532,"Cybernet",$Z$2:$Z$532,$Z26)&gt;1)
),"Yes","No"),
IF(AND($AL26&lt;&gt;"",LOWER(TRIM($AL26))&lt;&gt;"n/a"),
IF(COUNTIFS($B$2:$B$532,"Yes",$A$2:$A$532,$A26,$AL$2:$AL$532,$AL26)&gt;1,"Yes","No"),
"No")
)
)
)</f>
      </c>
      <c r="G26" t="s">
        <v>2089</v>
      </c>
      <c r="H26" t="s">
        <v>2089</v>
      </c>
      <c r="J26" t="s">
        <v>2115</v>
      </c>
      <c r="K26" t="s">
        <v>2115</v>
      </c>
      <c r="L26" t="s">
        <v>2115</v>
      </c>
      <c r="S26" t="s">
        <v>1992</v>
      </c>
      <c r="T26" t="s">
        <v>2276</v>
      </c>
      <c r="U26" t="s">
        <v>1844</v>
      </c>
      <c r="V26" t="s">
        <v>1727</v>
      </c>
      <c r="W26" t="s">
        <v>2266</v>
      </c>
      <c r="X26" t="s">
        <v>1707</v>
      </c>
      <c r="Y26" t="s">
        <v>1380</v>
      </c>
      <c r="AA26" t="s">
        <v>1867</v>
      </c>
      <c r="AC26" t="s">
        <v>1896</v>
      </c>
      <c r="AD26" t="s">
        <v>1380</v>
      </c>
      <c r="AF26" t="s">
        <v>2257</v>
      </c>
      <c r="AG26" t="s">
        <v>1999</v>
      </c>
      <c r="AH26">
        <v>25</v>
      </c>
      <c r="AI26" t="s">
        <v>1836</v>
      </c>
      <c r="AJ26" t="s">
        <v>2131</v>
      </c>
      <c r="AK26" t="s">
        <v>2361</v>
      </c>
      <c r="AL26" t="s">
        <v>1896</v>
      </c>
      <c r="AM26" t="s">
        <v>1335</v>
      </c>
      <c r="AR26" t="s">
        <v>1380</v>
      </c>
      <c r="AS26" t="s">
        <v>1991</v>
      </c>
      <c r="AT26" t="s">
        <v>1380</v>
      </c>
      <c r="AU26" t="s">
        <v>1380</v>
      </c>
      <c r="AV26" t="s">
        <v>1380</v>
      </c>
      <c r="AW26" t="s">
        <v>1727</v>
      </c>
      <c r="AX26" t="s">
        <v>1727</v>
      </c>
      <c r="BA26">
        <v>46027.0</v>
      </c>
      <c r="BB26" t="s">
        <v>1727</v>
      </c>
      <c r="BD26" t="s">
        <v>2151</v>
      </c>
      <c r="BE26" t="s">
        <v>1727</v>
      </c>
      <c r="BF26" t="s">
        <v>1727</v>
      </c>
      <c r="BG26" t="s">
        <v>1727</v>
      </c>
      <c r="BH26" t="s">
        <v>1727</v>
      </c>
      <c r="BJ26" t="s">
        <v>1727</v>
      </c>
      <c r="BK26" t="s">
        <v>1657</v>
      </c>
      <c r="BL26">
        <f>IF($T26="","",IF((IF(AND($AW26&lt;&gt;"Yes",$AW26&lt;&gt;"N/A"),"Power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",""))="","",LEFT(IF(AND($AW26&lt;&gt;"Yes",$AW26&lt;&gt;"N/A"),"Power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",""),LEN(IF(AND($AW26&lt;&gt;"Yes",$AW26&lt;&gt;"N/A"),"Power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",""))-2)))</f>
      </c>
      <c r="BM26">
        <f>IF($T26="","",IF($BL26="","Yes","Blocked"))</f>
      </c>
      <c r="BP26">
        <f>IF($BO26="","",IFERROR(VLOOKUP($BO26,'01_Warehouse_Ledger'!$A:$N,4,FALSE),""))</f>
      </c>
      <c r="BQ26">
        <f>IF($BO26="","",IFERROR(VLOOKUP($BO26,'01_Warehouse_Ledger'!$A:$N,5,FALSE),""))</f>
      </c>
      <c r="BR26">
        <f>IF($BO26="","",IFERROR(VLOOKUP($BO26,'01_Warehouse_Ledger'!$A:$N,13,FALSE),""))</f>
      </c>
    </row>
    <row r="27">
      <c r="A27" t="s">
        <v>1331</v>
      </c>
      <c r="B27" t="s">
        <v>1727</v>
      </c>
      <c r="C27" t="s">
        <v>1657</v>
      </c>
      <c r="D27">
        <f>IF($B27&lt;&gt;"Yes","",IF($C27="No","Yes",IF($C27="Yes","No","")))</f>
      </c>
      <c r="E27">
        <f>IF($A27="","",IF($A27="Neuron",IF(OR(AND($S27&lt;&gt;"",LOWER(TRIM($S27))&lt;&gt;"n/a",COUNTIF($S$2:$S$532,$S27)&gt;1),AND($T27&lt;&gt;"",LOWER(TRIM($T27))&lt;&gt;"n/a",COUNTIF($T$2:$T$532,$T27)&gt;1),AND($W27&lt;&gt;"",LOWER(TRIM($W27))&lt;&gt;"n/a",COUNTIF($W$2:$W$532,$W27)&gt;1)),"Yes","No"),IF($A27="Cybernet",IF(OR(AND($Y27&lt;&gt;"",LOWER(TRIM($Y27))&lt;&gt;"n/a",COUNTIF($Y$2:$Y$532,$Y27)&gt;1),AND($Z27&lt;&gt;"",LOWER(TRIM($Z27))&lt;&gt;"n/a",COUNTIF($Z$2:$Z$532,$Z27)&gt;1)),"Yes","No"),IF(AND($AL27&lt;&gt;"",LOWER(TRIM($AL27))&lt;&gt;"n/a",COUNTIF($AL$2:$AL$532,$AL27)&gt;1),"Yes","No"))))</f>
      </c>
      <c r="F27">
        <f>IF($B27&lt;&gt;"Yes","",
IF($A27="Neuron",
IF(OR(
AND($S27&lt;&gt;"",LOWER(TRIM($S27))&lt;&gt;"n/a",COUNTIFS($B$2:$B$532,"Yes",$A$2:$A$532,"Neuron",$S$2:$S$532,$S27)&gt;1),
AND($T27&lt;&gt;"",LOWER(TRIM($T27))&lt;&gt;"n/a",COUNTIFS($B$2:$B$532,"Yes",$A$2:$A$532,"Neuron",$T$2:$T$532,$T27)&gt;1),
AND($W27&lt;&gt;"",LOWER(TRIM($W27))&lt;&gt;"n/a",COUNTIFS($B$2:$B$532,"Yes",$A$2:$A$532,"Neuron",$W$2:$W$532,$W27)&gt;1)
),"Yes","No"),
IF($A27="Cybernet",
IF(OR(
AND($Y27&lt;&gt;"",LOWER(TRIM($Y27))&lt;&gt;"n/a",COUNTIFS($B$2:$B$532,"Yes",$A$2:$A$532,"Cybernet",$Y$2:$Y$532,$Y27)&gt;1),
AND($Z27&lt;&gt;"",LOWER(TRIM($Z27))&lt;&gt;"n/a",COUNTIFS($B$2:$B$532,"Yes",$A$2:$A$532,"Cybernet",$Z$2:$Z$532,$Z27)&gt;1)
),"Yes","No"),
IF(AND($AL27&lt;&gt;"",LOWER(TRIM($AL27))&lt;&gt;"n/a"),
IF(COUNTIFS($B$2:$B$532,"Yes",$A$2:$A$532,$A27,$AL$2:$AL$532,$AL27)&gt;1,"Yes","No"),
"No")
)
)
)</f>
      </c>
      <c r="G27" t="s">
        <v>2089</v>
      </c>
      <c r="H27" t="s">
        <v>2089</v>
      </c>
      <c r="J27" t="s">
        <v>2115</v>
      </c>
      <c r="K27" t="s">
        <v>2115</v>
      </c>
      <c r="L27" t="s">
        <v>2115</v>
      </c>
      <c r="S27" t="s">
        <v>1642</v>
      </c>
      <c r="T27" t="s">
        <v>2399</v>
      </c>
      <c r="U27" t="s">
        <v>1997</v>
      </c>
      <c r="V27" t="s">
        <v>1727</v>
      </c>
      <c r="W27" t="s">
        <v>1890</v>
      </c>
      <c r="X27" t="s">
        <v>1707</v>
      </c>
      <c r="Y27" t="s">
        <v>1380</v>
      </c>
      <c r="AA27" t="s">
        <v>1867</v>
      </c>
      <c r="AD27" t="s">
        <v>1380</v>
      </c>
      <c r="AW27" t="s">
        <v>1727</v>
      </c>
      <c r="AX27" t="s">
        <v>1727</v>
      </c>
      <c r="BA27">
        <v>46027.0</v>
      </c>
      <c r="BB27" t="s">
        <v>1727</v>
      </c>
      <c r="BD27" t="s">
        <v>2151</v>
      </c>
      <c r="BE27" t="s">
        <v>1727</v>
      </c>
      <c r="BF27" t="s">
        <v>1727</v>
      </c>
      <c r="BG27" t="s">
        <v>1727</v>
      </c>
      <c r="BH27" t="s">
        <v>1727</v>
      </c>
      <c r="BJ27" t="s">
        <v>1727</v>
      </c>
      <c r="BK27" t="s">
        <v>1657</v>
      </c>
      <c r="BL27">
        <f>IF($T27="","",IF((IF(AND($AW27&lt;&gt;"Yes",$AW27&lt;&gt;"N/A"),"Power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",""))="","",LEFT(IF(AND($AW27&lt;&gt;"Yes",$AW27&lt;&gt;"N/A"),"Power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",""),LEN(IF(AND($AW27&lt;&gt;"Yes",$AW27&lt;&gt;"N/A"),"Power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",""))-2)))</f>
      </c>
      <c r="BM27">
        <f>IF($T27="","",IF($BL27="","Yes","Blocked"))</f>
      </c>
      <c r="BP27">
        <f>IF($BO27="","",IFERROR(VLOOKUP($BO27,'01_Warehouse_Ledger'!$A:$N,4,FALSE),""))</f>
      </c>
      <c r="BQ27">
        <f>IF($BO27="","",IFERROR(VLOOKUP($BO27,'01_Warehouse_Ledger'!$A:$N,5,FALSE),""))</f>
      </c>
      <c r="BR27">
        <f>IF($BO27="","",IFERROR(VLOOKUP($BO27,'01_Warehouse_Ledger'!$A:$N,13,FALSE),""))</f>
      </c>
    </row>
    <row r="28">
      <c r="A28" t="s">
        <v>1331</v>
      </c>
      <c r="B28" t="s">
        <v>1727</v>
      </c>
      <c r="C28" t="s">
        <v>1657</v>
      </c>
      <c r="D28">
        <f>IF($B28&lt;&gt;"Yes","",IF($C28="No","Yes",IF($C28="Yes","No","")))</f>
      </c>
      <c r="E28">
        <f>IF($A28="","",IF($A28="Neuron",IF(OR(AND($S28&lt;&gt;"",LOWER(TRIM($S28))&lt;&gt;"n/a",COUNTIF($S$2:$S$532,$S28)&gt;1),AND($T28&lt;&gt;"",LOWER(TRIM($T28))&lt;&gt;"n/a",COUNTIF($T$2:$T$532,$T28)&gt;1),AND($W28&lt;&gt;"",LOWER(TRIM($W28))&lt;&gt;"n/a",COUNTIF($W$2:$W$532,$W28)&gt;1)),"Yes","No"),IF($A28="Cybernet",IF(OR(AND($Y28&lt;&gt;"",LOWER(TRIM($Y28))&lt;&gt;"n/a",COUNTIF($Y$2:$Y$532,$Y28)&gt;1),AND($Z28&lt;&gt;"",LOWER(TRIM($Z28))&lt;&gt;"n/a",COUNTIF($Z$2:$Z$532,$Z28)&gt;1)),"Yes","No"),IF(AND($AL28&lt;&gt;"",LOWER(TRIM($AL28))&lt;&gt;"n/a",COUNTIF($AL$2:$AL$532,$AL28)&gt;1),"Yes","No"))))</f>
      </c>
      <c r="F28">
        <f>IF($B28&lt;&gt;"Yes","",
IF($A28="Neuron",
IF(OR(
AND($S28&lt;&gt;"",LOWER(TRIM($S28))&lt;&gt;"n/a",COUNTIFS($B$2:$B$532,"Yes",$A$2:$A$532,"Neuron",$S$2:$S$532,$S28)&gt;1),
AND($T28&lt;&gt;"",LOWER(TRIM($T28))&lt;&gt;"n/a",COUNTIFS($B$2:$B$532,"Yes",$A$2:$A$532,"Neuron",$T$2:$T$532,$T28)&gt;1),
AND($W28&lt;&gt;"",LOWER(TRIM($W28))&lt;&gt;"n/a",COUNTIFS($B$2:$B$532,"Yes",$A$2:$A$532,"Neuron",$W$2:$W$532,$W28)&gt;1)
),"Yes","No"),
IF($A28="Cybernet",
IF(OR(
AND($Y28&lt;&gt;"",LOWER(TRIM($Y28))&lt;&gt;"n/a",COUNTIFS($B$2:$B$532,"Yes",$A$2:$A$532,"Cybernet",$Y$2:$Y$532,$Y28)&gt;1),
AND($Z28&lt;&gt;"",LOWER(TRIM($Z28))&lt;&gt;"n/a",COUNTIFS($B$2:$B$532,"Yes",$A$2:$A$532,"Cybernet",$Z$2:$Z$532,$Z28)&gt;1)
),"Yes","No"),
IF(AND($AL28&lt;&gt;"",LOWER(TRIM($AL28))&lt;&gt;"n/a"),
IF(COUNTIFS($B$2:$B$532,"Yes",$A$2:$A$532,$A28,$AL$2:$AL$532,$AL28)&gt;1,"Yes","No"),
"No")
)
)
)</f>
      </c>
      <c r="G28" t="s">
        <v>2089</v>
      </c>
      <c r="H28" t="s">
        <v>2089</v>
      </c>
      <c r="J28" t="s">
        <v>2115</v>
      </c>
      <c r="K28" t="s">
        <v>2115</v>
      </c>
      <c r="L28" t="s">
        <v>2115</v>
      </c>
      <c r="S28" t="s">
        <v>1758</v>
      </c>
      <c r="T28" t="s">
        <v>2164</v>
      </c>
      <c r="U28" t="s">
        <v>1977</v>
      </c>
      <c r="V28" t="s">
        <v>1727</v>
      </c>
      <c r="W28" t="s">
        <v>1759</v>
      </c>
      <c r="X28" t="s">
        <v>1707</v>
      </c>
      <c r="Y28" t="s">
        <v>1380</v>
      </c>
      <c r="AA28" t="s">
        <v>1867</v>
      </c>
      <c r="AD28" t="s">
        <v>1380</v>
      </c>
      <c r="AW28" t="s">
        <v>1727</v>
      </c>
      <c r="AX28" t="s">
        <v>1727</v>
      </c>
      <c r="BA28">
        <v>46027.0</v>
      </c>
      <c r="BB28" t="s">
        <v>1727</v>
      </c>
      <c r="BD28" t="s">
        <v>2151</v>
      </c>
      <c r="BE28" t="s">
        <v>1727</v>
      </c>
      <c r="BF28" t="s">
        <v>1727</v>
      </c>
      <c r="BG28" t="s">
        <v>1727</v>
      </c>
      <c r="BH28" t="s">
        <v>1727</v>
      </c>
      <c r="BJ28" t="s">
        <v>1727</v>
      </c>
      <c r="BK28" t="s">
        <v>1657</v>
      </c>
      <c r="BL28">
        <f>IF($T28="","",IF((IF(AND($AW28&lt;&gt;"Yes",$AW28&lt;&gt;"N/A"),"Power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",""))="","",LEFT(IF(AND($AW28&lt;&gt;"Yes",$AW28&lt;&gt;"N/A"),"Power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",""),LEN(IF(AND($AW28&lt;&gt;"Yes",$AW28&lt;&gt;"N/A"),"Power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",""))-2)))</f>
      </c>
      <c r="BM28">
        <f>IF($T28="","",IF($BL28="","Yes","Blocked"))</f>
      </c>
      <c r="BP28">
        <f>IF($BO28="","",IFERROR(VLOOKUP($BO28,'01_Warehouse_Ledger'!$A:$N,4,FALSE),""))</f>
      </c>
      <c r="BQ28">
        <f>IF($BO28="","",IFERROR(VLOOKUP($BO28,'01_Warehouse_Ledger'!$A:$N,5,FALSE),""))</f>
      </c>
      <c r="BR28">
        <f>IF($BO28="","",IFERROR(VLOOKUP($BO28,'01_Warehouse_Ledger'!$A:$N,13,FALSE),""))</f>
      </c>
    </row>
    <row r="29">
      <c r="A29" t="s">
        <v>1331</v>
      </c>
      <c r="B29" t="s">
        <v>1727</v>
      </c>
      <c r="C29" t="s">
        <v>1657</v>
      </c>
      <c r="D29">
        <f>IF($B29&lt;&gt;"Yes","",IF($C29="No","Yes",IF($C29="Yes","No","")))</f>
      </c>
      <c r="E29">
        <f>IF($A29="","",IF($A29="Neuron",IF(OR(AND($S29&lt;&gt;"",LOWER(TRIM($S29))&lt;&gt;"n/a",COUNTIF($S$2:$S$532,$S29)&gt;1),AND($T29&lt;&gt;"",LOWER(TRIM($T29))&lt;&gt;"n/a",COUNTIF($T$2:$T$532,$T29)&gt;1),AND($W29&lt;&gt;"",LOWER(TRIM($W29))&lt;&gt;"n/a",COUNTIF($W$2:$W$532,$W29)&gt;1)),"Yes","No"),IF($A29="Cybernet",IF(OR(AND($Y29&lt;&gt;"",LOWER(TRIM($Y29))&lt;&gt;"n/a",COUNTIF($Y$2:$Y$532,$Y29)&gt;1),AND($Z29&lt;&gt;"",LOWER(TRIM($Z29))&lt;&gt;"n/a",COUNTIF($Z$2:$Z$532,$Z29)&gt;1)),"Yes","No"),IF(AND($AL29&lt;&gt;"",LOWER(TRIM($AL29))&lt;&gt;"n/a",COUNTIF($AL$2:$AL$532,$AL29)&gt;1),"Yes","No"))))</f>
      </c>
      <c r="F29">
        <f>IF($B29&lt;&gt;"Yes","",
IF($A29="Neuron",
IF(OR(
AND($S29&lt;&gt;"",LOWER(TRIM($S29))&lt;&gt;"n/a",COUNTIFS($B$2:$B$532,"Yes",$A$2:$A$532,"Neuron",$S$2:$S$532,$S29)&gt;1),
AND($T29&lt;&gt;"",LOWER(TRIM($T29))&lt;&gt;"n/a",COUNTIFS($B$2:$B$532,"Yes",$A$2:$A$532,"Neuron",$T$2:$T$532,$T29)&gt;1),
AND($W29&lt;&gt;"",LOWER(TRIM($W29))&lt;&gt;"n/a",COUNTIFS($B$2:$B$532,"Yes",$A$2:$A$532,"Neuron",$W$2:$W$532,$W29)&gt;1)
),"Yes","No"),
IF($A29="Cybernet",
IF(OR(
AND($Y29&lt;&gt;"",LOWER(TRIM($Y29))&lt;&gt;"n/a",COUNTIFS($B$2:$B$532,"Yes",$A$2:$A$532,"Cybernet",$Y$2:$Y$532,$Y29)&gt;1),
AND($Z29&lt;&gt;"",LOWER(TRIM($Z29))&lt;&gt;"n/a",COUNTIFS($B$2:$B$532,"Yes",$A$2:$A$532,"Cybernet",$Z$2:$Z$532,$Z29)&gt;1)
),"Yes","No"),
IF(AND($AL29&lt;&gt;"",LOWER(TRIM($AL29))&lt;&gt;"n/a"),
IF(COUNTIFS($B$2:$B$532,"Yes",$A$2:$A$532,$A29,$AL$2:$AL$532,$AL29)&gt;1,"Yes","No"),
"No")
)
)
)</f>
      </c>
      <c r="G29" t="s">
        <v>2089</v>
      </c>
      <c r="H29" t="s">
        <v>2089</v>
      </c>
      <c r="J29" t="s">
        <v>2115</v>
      </c>
      <c r="K29" t="s">
        <v>2115</v>
      </c>
      <c r="L29" t="s">
        <v>2115</v>
      </c>
      <c r="S29" t="s">
        <v>2273</v>
      </c>
      <c r="T29" t="s">
        <v>2069</v>
      </c>
      <c r="U29" t="s">
        <v>2052</v>
      </c>
      <c r="V29" t="s">
        <v>1727</v>
      </c>
      <c r="W29" t="s">
        <v>2220</v>
      </c>
      <c r="X29" t="s">
        <v>1707</v>
      </c>
      <c r="Y29" t="s">
        <v>1380</v>
      </c>
      <c r="AA29" t="s">
        <v>1867</v>
      </c>
      <c r="AD29" t="s">
        <v>1380</v>
      </c>
      <c r="AW29" t="s">
        <v>1727</v>
      </c>
      <c r="AX29" t="s">
        <v>1727</v>
      </c>
      <c r="BA29">
        <v>46027.0</v>
      </c>
      <c r="BB29" t="s">
        <v>1727</v>
      </c>
      <c r="BD29" t="s">
        <v>2151</v>
      </c>
      <c r="BE29" t="s">
        <v>1727</v>
      </c>
      <c r="BF29" t="s">
        <v>1727</v>
      </c>
      <c r="BG29" t="s">
        <v>1727</v>
      </c>
      <c r="BH29" t="s">
        <v>1727</v>
      </c>
      <c r="BJ29" t="s">
        <v>1727</v>
      </c>
      <c r="BK29" t="s">
        <v>1657</v>
      </c>
      <c r="BL29">
        <f>IF($T29="","",IF((IF(AND($AW29&lt;&gt;"Yes",$AW29&lt;&gt;"N/A"),"Power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",""))="","",LEFT(IF(AND($AW29&lt;&gt;"Yes",$AW29&lt;&gt;"N/A"),"Power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",""),LEN(IF(AND($AW29&lt;&gt;"Yes",$AW29&lt;&gt;"N/A"),"Power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",""))-2)))</f>
      </c>
      <c r="BM29">
        <f>IF($T29="","",IF($BL29="","Yes","Blocked"))</f>
      </c>
      <c r="BP29">
        <f>IF($BO29="","",IFERROR(VLOOKUP($BO29,'01_Warehouse_Ledger'!$A:$N,4,FALSE),""))</f>
      </c>
      <c r="BQ29">
        <f>IF($BO29="","",IFERROR(VLOOKUP($BO29,'01_Warehouse_Ledger'!$A:$N,5,FALSE),""))</f>
      </c>
      <c r="BR29">
        <f>IF($BO29="","",IFERROR(VLOOKUP($BO29,'01_Warehouse_Ledger'!$A:$N,13,FALSE),""))</f>
      </c>
    </row>
    <row r="30">
      <c r="A30" t="s">
        <v>1331</v>
      </c>
      <c r="B30" t="s">
        <v>1657</v>
      </c>
      <c r="C30" t="s">
        <v>1657</v>
      </c>
      <c r="D30">
        <f>IF($B30&lt;&gt;"Yes","",IF($C30="No","Yes",IF($C30="Yes","No","")))</f>
      </c>
      <c r="E30">
        <f>IF($A30="","",IF($A30="Neuron",IF(OR(AND($S30&lt;&gt;"",LOWER(TRIM($S30))&lt;&gt;"n/a",COUNTIF($S$2:$S$532,$S30)&gt;1),AND($T30&lt;&gt;"",LOWER(TRIM($T30))&lt;&gt;"n/a",COUNTIF($T$2:$T$532,$T30)&gt;1),AND($W30&lt;&gt;"",LOWER(TRIM($W30))&lt;&gt;"n/a",COUNTIF($W$2:$W$532,$W30)&gt;1)),"Yes","No"),IF($A30="Cybernet",IF(OR(AND($Y30&lt;&gt;"",LOWER(TRIM($Y30))&lt;&gt;"n/a",COUNTIF($Y$2:$Y$532,$Y30)&gt;1),AND($Z30&lt;&gt;"",LOWER(TRIM($Z30))&lt;&gt;"n/a",COUNTIF($Z$2:$Z$532,$Z30)&gt;1)),"Yes","No"),IF(AND($AL30&lt;&gt;"",LOWER(TRIM($AL30))&lt;&gt;"n/a",COUNTIF($AL$2:$AL$532,$AL30)&gt;1),"Yes","No"))))</f>
      </c>
      <c r="F30">
        <f>IF($B30&lt;&gt;"Yes","",
IF($A30="Neuron",
IF(OR(
AND($S30&lt;&gt;"",LOWER(TRIM($S30))&lt;&gt;"n/a",COUNTIFS($B$2:$B$532,"Yes",$A$2:$A$532,"Neuron",$S$2:$S$532,$S30)&gt;1),
AND($T30&lt;&gt;"",LOWER(TRIM($T30))&lt;&gt;"n/a",COUNTIFS($B$2:$B$532,"Yes",$A$2:$A$532,"Neuron",$T$2:$T$532,$T30)&gt;1),
AND($W30&lt;&gt;"",LOWER(TRIM($W30))&lt;&gt;"n/a",COUNTIFS($B$2:$B$532,"Yes",$A$2:$A$532,"Neuron",$W$2:$W$532,$W30)&gt;1)
),"Yes","No"),
IF($A30="Cybernet",
IF(OR(
AND($Y30&lt;&gt;"",LOWER(TRIM($Y30))&lt;&gt;"n/a",COUNTIFS($B$2:$B$532,"Yes",$A$2:$A$532,"Cybernet",$Y$2:$Y$532,$Y30)&gt;1),
AND($Z30&lt;&gt;"",LOWER(TRIM($Z30))&lt;&gt;"n/a",COUNTIFS($B$2:$B$532,"Yes",$A$2:$A$532,"Cybernet",$Z$2:$Z$532,$Z30)&gt;1)
),"Yes","No"),
IF(AND($AL30&lt;&gt;"",LOWER(TRIM($AL30))&lt;&gt;"n/a"),
IF(COUNTIFS($B$2:$B$532,"Yes",$A$2:$A$532,$A30,$AL$2:$AL$532,$AL30)&gt;1,"Yes","No"),
"No")
)
)
)</f>
      </c>
      <c r="G30" t="s">
        <v>1317</v>
      </c>
      <c r="H30" t="s">
        <v>2089</v>
      </c>
      <c r="S30" t="s">
        <v>2056</v>
      </c>
      <c r="T30" t="s">
        <v>1920</v>
      </c>
      <c r="U30" t="s">
        <v>1737</v>
      </c>
      <c r="V30" t="s">
        <v>1727</v>
      </c>
      <c r="W30" t="s">
        <v>1722</v>
      </c>
      <c r="X30" t="s">
        <v>1707</v>
      </c>
      <c r="Y30" t="s">
        <v>1380</v>
      </c>
      <c r="AD30" t="s">
        <v>1380</v>
      </c>
      <c r="AW30" t="s">
        <v>1727</v>
      </c>
      <c r="AX30" t="s">
        <v>1727</v>
      </c>
      <c r="BA30">
        <v>46027.0</v>
      </c>
      <c r="BB30" t="s">
        <v>1727</v>
      </c>
      <c r="BC30" t="s">
        <v>2368</v>
      </c>
      <c r="BD30" t="s">
        <v>2151</v>
      </c>
      <c r="BE30" t="s">
        <v>1727</v>
      </c>
      <c r="BF30" t="s">
        <v>1727</v>
      </c>
      <c r="BG30" t="s">
        <v>1727</v>
      </c>
      <c r="BH30" t="s">
        <v>1727</v>
      </c>
      <c r="BJ30" t="s">
        <v>1727</v>
      </c>
      <c r="BK30" t="s">
        <v>1657</v>
      </c>
      <c r="BL30">
        <f>IF($T30="","",IF((IF(AND($AW30&lt;&gt;"Yes",$AW30&lt;&gt;"N/A"),"Power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",""))="","",LEFT(IF(AND($AW30&lt;&gt;"Yes",$AW30&lt;&gt;"N/A"),"Power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",""),LEN(IF(AND($AW30&lt;&gt;"Yes",$AW30&lt;&gt;"N/A"),"Power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",""))-2)))</f>
      </c>
      <c r="BM30">
        <f>IF($T30="","",IF($BL30="","Yes","Blocked"))</f>
      </c>
      <c r="BN30" t="s">
        <v>2404</v>
      </c>
      <c r="BP30">
        <f>IF($BO30="","",IFERROR(VLOOKUP($BO30,'01_Warehouse_Ledger'!$A:$N,4,FALSE),""))</f>
      </c>
      <c r="BQ30">
        <f>IF($BO30="","",IFERROR(VLOOKUP($BO30,'01_Warehouse_Ledger'!$A:$N,5,FALSE),""))</f>
      </c>
      <c r="BR30">
        <f>IF($BO30="","",IFERROR(VLOOKUP($BO30,'01_Warehouse_Ledger'!$A:$N,13,FALSE),""))</f>
      </c>
    </row>
    <row r="31">
      <c r="A31" t="s">
        <v>1331</v>
      </c>
      <c r="B31" t="s">
        <v>1657</v>
      </c>
      <c r="C31" t="s">
        <v>1657</v>
      </c>
      <c r="D31">
        <f>IF($B31&lt;&gt;"Yes","",IF($C31="No","Yes",IF($C31="Yes","No","")))</f>
      </c>
      <c r="E31">
        <f>IF($A31="","",IF($A31="Neuron",IF(OR(AND($S31&lt;&gt;"",LOWER(TRIM($S31))&lt;&gt;"n/a",COUNTIF($S$2:$S$532,$S31)&gt;1),AND($T31&lt;&gt;"",LOWER(TRIM($T31))&lt;&gt;"n/a",COUNTIF($T$2:$T$532,$T31)&gt;1),AND($W31&lt;&gt;"",LOWER(TRIM($W31))&lt;&gt;"n/a",COUNTIF($W$2:$W$532,$W31)&gt;1)),"Yes","No"),IF($A31="Cybernet",IF(OR(AND($Y31&lt;&gt;"",LOWER(TRIM($Y31))&lt;&gt;"n/a",COUNTIF($Y$2:$Y$532,$Y31)&gt;1),AND($Z31&lt;&gt;"",LOWER(TRIM($Z31))&lt;&gt;"n/a",COUNTIF($Z$2:$Z$532,$Z31)&gt;1)),"Yes","No"),IF(AND($AL31&lt;&gt;"",LOWER(TRIM($AL31))&lt;&gt;"n/a",COUNTIF($AL$2:$AL$532,$AL31)&gt;1),"Yes","No"))))</f>
      </c>
      <c r="F31">
        <f>IF($B31&lt;&gt;"Yes","",
IF($A31="Neuron",
IF(OR(
AND($S31&lt;&gt;"",LOWER(TRIM($S31))&lt;&gt;"n/a",COUNTIFS($B$2:$B$532,"Yes",$A$2:$A$532,"Neuron",$S$2:$S$532,$S31)&gt;1),
AND($T31&lt;&gt;"",LOWER(TRIM($T31))&lt;&gt;"n/a",COUNTIFS($B$2:$B$532,"Yes",$A$2:$A$532,"Neuron",$T$2:$T$532,$T31)&gt;1),
AND($W31&lt;&gt;"",LOWER(TRIM($W31))&lt;&gt;"n/a",COUNTIFS($B$2:$B$532,"Yes",$A$2:$A$532,"Neuron",$W$2:$W$532,$W31)&gt;1)
),"Yes","No"),
IF($A31="Cybernet",
IF(OR(
AND($Y31&lt;&gt;"",LOWER(TRIM($Y31))&lt;&gt;"n/a",COUNTIFS($B$2:$B$532,"Yes",$A$2:$A$532,"Cybernet",$Y$2:$Y$532,$Y31)&gt;1),
AND($Z31&lt;&gt;"",LOWER(TRIM($Z31))&lt;&gt;"n/a",COUNTIFS($B$2:$B$532,"Yes",$A$2:$A$532,"Cybernet",$Z$2:$Z$532,$Z31)&gt;1)
),"Yes","No"),
IF(AND($AL31&lt;&gt;"",LOWER(TRIM($AL31))&lt;&gt;"n/a"),
IF(COUNTIFS($B$2:$B$532,"Yes",$A$2:$A$532,$A31,$AL$2:$AL$532,$AL31)&gt;1,"Yes","No"),
"No")
)
)
)</f>
      </c>
      <c r="G31" t="s">
        <v>1317</v>
      </c>
      <c r="H31" t="s">
        <v>2089</v>
      </c>
      <c r="S31" t="s">
        <v>2238</v>
      </c>
      <c r="T31" t="s">
        <v>2087</v>
      </c>
      <c r="U31" t="s">
        <v>1714</v>
      </c>
      <c r="V31" t="s">
        <v>1727</v>
      </c>
      <c r="W31" t="s">
        <v>2409</v>
      </c>
      <c r="X31" t="s">
        <v>1707</v>
      </c>
      <c r="Y31" t="s">
        <v>1380</v>
      </c>
      <c r="AD31" t="s">
        <v>1380</v>
      </c>
      <c r="AW31" t="s">
        <v>1727</v>
      </c>
      <c r="AX31" t="s">
        <v>1727</v>
      </c>
      <c r="BA31">
        <v>46027.0</v>
      </c>
      <c r="BB31" t="s">
        <v>1727</v>
      </c>
      <c r="BC31" t="s">
        <v>2368</v>
      </c>
      <c r="BD31" t="s">
        <v>2151</v>
      </c>
      <c r="BE31" t="s">
        <v>1727</v>
      </c>
      <c r="BF31" t="s">
        <v>1727</v>
      </c>
      <c r="BG31" t="s">
        <v>1727</v>
      </c>
      <c r="BH31" t="s">
        <v>1727</v>
      </c>
      <c r="BJ31" t="s">
        <v>1727</v>
      </c>
      <c r="BK31" t="s">
        <v>1657</v>
      </c>
      <c r="BL31">
        <f>IF($T31="","",IF((IF(AND($AW31&lt;&gt;"Yes",$AW31&lt;&gt;"N/A"),"Power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",""))="","",LEFT(IF(AND($AW31&lt;&gt;"Yes",$AW31&lt;&gt;"N/A"),"Power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",""),LEN(IF(AND($AW31&lt;&gt;"Yes",$AW31&lt;&gt;"N/A"),"Power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",""))-2)))</f>
      </c>
      <c r="BM31">
        <f>IF($T31="","",IF($BL31="","Yes","Blocked"))</f>
      </c>
      <c r="BN31" t="s">
        <v>2017</v>
      </c>
      <c r="BP31">
        <f>IF($BO31="","",IFERROR(VLOOKUP($BO31,'01_Warehouse_Ledger'!$A:$N,4,FALSE),""))</f>
      </c>
      <c r="BQ31">
        <f>IF($BO31="","",IFERROR(VLOOKUP($BO31,'01_Warehouse_Ledger'!$A:$N,5,FALSE),""))</f>
      </c>
      <c r="BR31">
        <f>IF($BO31="","",IFERROR(VLOOKUP($BO31,'01_Warehouse_Ledger'!$A:$N,13,FALSE),""))</f>
      </c>
    </row>
    <row r="32">
      <c r="A32" t="s">
        <v>1331</v>
      </c>
      <c r="B32" t="s">
        <v>1657</v>
      </c>
      <c r="C32" t="s">
        <v>1657</v>
      </c>
      <c r="D32">
        <f>IF($B32&lt;&gt;"Yes","",IF($C32="No","Yes",IF($C32="Yes","No","")))</f>
      </c>
      <c r="E32">
        <f>IF($A32="","",IF($A32="Neuron",IF(OR(AND($S32&lt;&gt;"",LOWER(TRIM($S32))&lt;&gt;"n/a",COUNTIF($S$2:$S$532,$S32)&gt;1),AND($T32&lt;&gt;"",LOWER(TRIM($T32))&lt;&gt;"n/a",COUNTIF($T$2:$T$532,$T32)&gt;1),AND($W32&lt;&gt;"",LOWER(TRIM($W32))&lt;&gt;"n/a",COUNTIF($W$2:$W$532,$W32)&gt;1)),"Yes","No"),IF($A32="Cybernet",IF(OR(AND($Y32&lt;&gt;"",LOWER(TRIM($Y32))&lt;&gt;"n/a",COUNTIF($Y$2:$Y$532,$Y32)&gt;1),AND($Z32&lt;&gt;"",LOWER(TRIM($Z32))&lt;&gt;"n/a",COUNTIF($Z$2:$Z$532,$Z32)&gt;1)),"Yes","No"),IF(AND($AL32&lt;&gt;"",LOWER(TRIM($AL32))&lt;&gt;"n/a",COUNTIF($AL$2:$AL$532,$AL32)&gt;1),"Yes","No"))))</f>
      </c>
      <c r="F32">
        <f>IF($B32&lt;&gt;"Yes","",
IF($A32="Neuron",
IF(OR(
AND($S32&lt;&gt;"",LOWER(TRIM($S32))&lt;&gt;"n/a",COUNTIFS($B$2:$B$532,"Yes",$A$2:$A$532,"Neuron",$S$2:$S$532,$S32)&gt;1),
AND($T32&lt;&gt;"",LOWER(TRIM($T32))&lt;&gt;"n/a",COUNTIFS($B$2:$B$532,"Yes",$A$2:$A$532,"Neuron",$T$2:$T$532,$T32)&gt;1),
AND($W32&lt;&gt;"",LOWER(TRIM($W32))&lt;&gt;"n/a",COUNTIFS($B$2:$B$532,"Yes",$A$2:$A$532,"Neuron",$W$2:$W$532,$W32)&gt;1)
),"Yes","No"),
IF($A32="Cybernet",
IF(OR(
AND($Y32&lt;&gt;"",LOWER(TRIM($Y32))&lt;&gt;"n/a",COUNTIFS($B$2:$B$532,"Yes",$A$2:$A$532,"Cybernet",$Y$2:$Y$532,$Y32)&gt;1),
AND($Z32&lt;&gt;"",LOWER(TRIM($Z32))&lt;&gt;"n/a",COUNTIFS($B$2:$B$532,"Yes",$A$2:$A$532,"Cybernet",$Z$2:$Z$532,$Z32)&gt;1)
),"Yes","No"),
IF(AND($AL32&lt;&gt;"",LOWER(TRIM($AL32))&lt;&gt;"n/a"),
IF(COUNTIFS($B$2:$B$532,"Yes",$A$2:$A$532,$A32,$AL$2:$AL$532,$AL32)&gt;1,"Yes","No"),
"No")
)
)
)</f>
      </c>
      <c r="G32" t="s">
        <v>1317</v>
      </c>
      <c r="H32" t="s">
        <v>2089</v>
      </c>
      <c r="S32" t="s">
        <v>2332</v>
      </c>
      <c r="T32" t="s">
        <v>1826</v>
      </c>
      <c r="U32" t="s">
        <v>1914</v>
      </c>
      <c r="V32" t="s">
        <v>1727</v>
      </c>
      <c r="W32" t="s">
        <v>1922</v>
      </c>
      <c r="X32" t="s">
        <v>1707</v>
      </c>
      <c r="Y32" t="s">
        <v>1380</v>
      </c>
      <c r="AD32" t="s">
        <v>1380</v>
      </c>
      <c r="AW32" t="s">
        <v>1727</v>
      </c>
      <c r="AX32" t="s">
        <v>1727</v>
      </c>
      <c r="BA32">
        <v>46027.0</v>
      </c>
      <c r="BB32" t="s">
        <v>1727</v>
      </c>
      <c r="BC32" t="s">
        <v>2368</v>
      </c>
      <c r="BD32" t="s">
        <v>2151</v>
      </c>
      <c r="BE32" t="s">
        <v>1727</v>
      </c>
      <c r="BF32" t="s">
        <v>1727</v>
      </c>
      <c r="BG32" t="s">
        <v>1727</v>
      </c>
      <c r="BH32" t="s">
        <v>1727</v>
      </c>
      <c r="BJ32" t="s">
        <v>1727</v>
      </c>
      <c r="BK32" t="s">
        <v>1657</v>
      </c>
      <c r="BL32">
        <f>IF($T32="","",IF((IF(AND($AW32&lt;&gt;"Yes",$AW32&lt;&gt;"N/A"),"Power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",""))="","",LEFT(IF(AND($AW32&lt;&gt;"Yes",$AW32&lt;&gt;"N/A"),"Power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",""),LEN(IF(AND($AW32&lt;&gt;"Yes",$AW32&lt;&gt;"N/A"),"Power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",""))-2)))</f>
      </c>
      <c r="BM32">
        <f>IF($T32="","",IF($BL32="","Yes","Blocked"))</f>
      </c>
      <c r="BP32">
        <f>IF($BO32="","",IFERROR(VLOOKUP($BO32,'01_Warehouse_Ledger'!$A:$N,4,FALSE),""))</f>
      </c>
      <c r="BQ32">
        <f>IF($BO32="","",IFERROR(VLOOKUP($BO32,'01_Warehouse_Ledger'!$A:$N,5,FALSE),""))</f>
      </c>
      <c r="BR32">
        <f>IF($BO32="","",IFERROR(VLOOKUP($BO32,'01_Warehouse_Ledger'!$A:$N,13,FALSE),""))</f>
      </c>
    </row>
    <row r="33">
      <c r="A33" t="s">
        <v>1331</v>
      </c>
      <c r="B33" t="s">
        <v>1657</v>
      </c>
      <c r="C33" t="s">
        <v>1657</v>
      </c>
      <c r="D33">
        <f>IF($B33&lt;&gt;"Yes","",IF($C33="No","Yes",IF($C33="Yes","No","")))</f>
      </c>
      <c r="E33">
        <f>IF($A33="","",IF($A33="Neuron",IF(OR(AND($S33&lt;&gt;"",LOWER(TRIM($S33))&lt;&gt;"n/a",COUNTIF($S$2:$S$532,$S33)&gt;1),AND($T33&lt;&gt;"",LOWER(TRIM($T33))&lt;&gt;"n/a",COUNTIF($T$2:$T$532,$T33)&gt;1),AND($W33&lt;&gt;"",LOWER(TRIM($W33))&lt;&gt;"n/a",COUNTIF($W$2:$W$532,$W33)&gt;1)),"Yes","No"),IF($A33="Cybernet",IF(OR(AND($Y33&lt;&gt;"",LOWER(TRIM($Y33))&lt;&gt;"n/a",COUNTIF($Y$2:$Y$532,$Y33)&gt;1),AND($Z33&lt;&gt;"",LOWER(TRIM($Z33))&lt;&gt;"n/a",COUNTIF($Z$2:$Z$532,$Z33)&gt;1)),"Yes","No"),IF(AND($AL33&lt;&gt;"",LOWER(TRIM($AL33))&lt;&gt;"n/a",COUNTIF($AL$2:$AL$532,$AL33)&gt;1),"Yes","No"))))</f>
      </c>
      <c r="F33">
        <f>IF($B33&lt;&gt;"Yes","",
IF($A33="Neuron",
IF(OR(
AND($S33&lt;&gt;"",LOWER(TRIM($S33))&lt;&gt;"n/a",COUNTIFS($B$2:$B$532,"Yes",$A$2:$A$532,"Neuron",$S$2:$S$532,$S33)&gt;1),
AND($T33&lt;&gt;"",LOWER(TRIM($T33))&lt;&gt;"n/a",COUNTIFS($B$2:$B$532,"Yes",$A$2:$A$532,"Neuron",$T$2:$T$532,$T33)&gt;1),
AND($W33&lt;&gt;"",LOWER(TRIM($W33))&lt;&gt;"n/a",COUNTIFS($B$2:$B$532,"Yes",$A$2:$A$532,"Neuron",$W$2:$W$532,$W33)&gt;1)
),"Yes","No"),
IF($A33="Cybernet",
IF(OR(
AND($Y33&lt;&gt;"",LOWER(TRIM($Y33))&lt;&gt;"n/a",COUNTIFS($B$2:$B$532,"Yes",$A$2:$A$532,"Cybernet",$Y$2:$Y$532,$Y33)&gt;1),
AND($Z33&lt;&gt;"",LOWER(TRIM($Z33))&lt;&gt;"n/a",COUNTIFS($B$2:$B$532,"Yes",$A$2:$A$532,"Cybernet",$Z$2:$Z$532,$Z33)&gt;1)
),"Yes","No"),
IF(AND($AL33&lt;&gt;"",LOWER(TRIM($AL33))&lt;&gt;"n/a"),
IF(COUNTIFS($B$2:$B$532,"Yes",$A$2:$A$532,$A33,$AL$2:$AL$532,$AL33)&gt;1,"Yes","No"),
"No")
)
)
)</f>
      </c>
      <c r="G33" t="s">
        <v>1317</v>
      </c>
      <c r="H33" t="s">
        <v>2089</v>
      </c>
      <c r="S33" t="s">
        <v>2145</v>
      </c>
      <c r="T33" t="s">
        <v>1878</v>
      </c>
      <c r="U33" t="s">
        <v>2072</v>
      </c>
      <c r="V33" t="s">
        <v>1727</v>
      </c>
      <c r="W33" t="s">
        <v>1776</v>
      </c>
      <c r="X33" t="s">
        <v>1707</v>
      </c>
      <c r="Y33" t="s">
        <v>1380</v>
      </c>
      <c r="AD33" t="s">
        <v>1380</v>
      </c>
      <c r="AW33" t="s">
        <v>1727</v>
      </c>
      <c r="AX33" t="s">
        <v>1727</v>
      </c>
      <c r="BA33">
        <v>46027.0</v>
      </c>
      <c r="BB33" t="s">
        <v>1727</v>
      </c>
      <c r="BC33" t="s">
        <v>2368</v>
      </c>
      <c r="BD33" t="s">
        <v>2151</v>
      </c>
      <c r="BE33" t="s">
        <v>1727</v>
      </c>
      <c r="BF33" t="s">
        <v>1727</v>
      </c>
      <c r="BG33" t="s">
        <v>1727</v>
      </c>
      <c r="BH33" t="s">
        <v>1727</v>
      </c>
      <c r="BJ33" t="s">
        <v>1727</v>
      </c>
      <c r="BK33" t="s">
        <v>1657</v>
      </c>
      <c r="BL33">
        <f>IF($T33="","",IF((IF(AND($AW33&lt;&gt;"Yes",$AW33&lt;&gt;"N/A"),"Power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",""))="","",LEFT(IF(AND($AW33&lt;&gt;"Yes",$AW33&lt;&gt;"N/A"),"Power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",""),LEN(IF(AND($AW33&lt;&gt;"Yes",$AW33&lt;&gt;"N/A"),"Power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",""))-2)))</f>
      </c>
      <c r="BM33">
        <f>IF($T33="","",IF($BL33="","Yes","Blocked"))</f>
      </c>
      <c r="BP33">
        <f>IF($BO33="","",IFERROR(VLOOKUP($BO33,'01_Warehouse_Ledger'!$A:$N,4,FALSE),""))</f>
      </c>
      <c r="BQ33">
        <f>IF($BO33="","",IFERROR(VLOOKUP($BO33,'01_Warehouse_Ledger'!$A:$N,5,FALSE),""))</f>
      </c>
      <c r="BR33">
        <f>IF($BO33="","",IFERROR(VLOOKUP($BO33,'01_Warehouse_Ledger'!$A:$N,13,FALSE),""))</f>
      </c>
    </row>
    <row r="34">
      <c r="A34" t="s">
        <v>1331</v>
      </c>
      <c r="B34" t="s">
        <v>1727</v>
      </c>
      <c r="C34" t="s">
        <v>1657</v>
      </c>
      <c r="D34">
        <f>IF($B34&lt;&gt;"Yes","",IF($C34="No","Yes",IF($C34="Yes","No","")))</f>
      </c>
      <c r="E34">
        <f>IF($A34="","",IF($A34="Neuron",IF(OR(AND($S34&lt;&gt;"",LOWER(TRIM($S34))&lt;&gt;"n/a",COUNTIF($S$2:$S$532,$S34)&gt;1),AND($T34&lt;&gt;"",LOWER(TRIM($T34))&lt;&gt;"n/a",COUNTIF($T$2:$T$532,$T34)&gt;1),AND($W34&lt;&gt;"",LOWER(TRIM($W34))&lt;&gt;"n/a",COUNTIF($W$2:$W$532,$W34)&gt;1)),"Yes","No"),IF($A34="Cybernet",IF(OR(AND($Y34&lt;&gt;"",LOWER(TRIM($Y34))&lt;&gt;"n/a",COUNTIF($Y$2:$Y$532,$Y34)&gt;1),AND($Z34&lt;&gt;"",LOWER(TRIM($Z34))&lt;&gt;"n/a",COUNTIF($Z$2:$Z$532,$Z34)&gt;1)),"Yes","No"),IF(AND($AL34&lt;&gt;"",LOWER(TRIM($AL34))&lt;&gt;"n/a",COUNTIF($AL$2:$AL$532,$AL34)&gt;1),"Yes","No"))))</f>
      </c>
      <c r="F34">
        <f>IF($B34&lt;&gt;"Yes","",
IF($A34="Neuron",
IF(OR(
AND($S34&lt;&gt;"",LOWER(TRIM($S34))&lt;&gt;"n/a",COUNTIFS($B$2:$B$532,"Yes",$A$2:$A$532,"Neuron",$S$2:$S$532,$S34)&gt;1),
AND($T34&lt;&gt;"",LOWER(TRIM($T34))&lt;&gt;"n/a",COUNTIFS($B$2:$B$532,"Yes",$A$2:$A$532,"Neuron",$T$2:$T$532,$T34)&gt;1),
AND($W34&lt;&gt;"",LOWER(TRIM($W34))&lt;&gt;"n/a",COUNTIFS($B$2:$B$532,"Yes",$A$2:$A$532,"Neuron",$W$2:$W$532,$W34)&gt;1)
),"Yes","No"),
IF($A34="Cybernet",
IF(OR(
AND($Y34&lt;&gt;"",LOWER(TRIM($Y34))&lt;&gt;"n/a",COUNTIFS($B$2:$B$532,"Yes",$A$2:$A$532,"Cybernet",$Y$2:$Y$532,$Y34)&gt;1),
AND($Z34&lt;&gt;"",LOWER(TRIM($Z34))&lt;&gt;"n/a",COUNTIFS($B$2:$B$532,"Yes",$A$2:$A$532,"Cybernet",$Z$2:$Z$532,$Z34)&gt;1)
),"Yes","No"),
IF(AND($AL34&lt;&gt;"",LOWER(TRIM($AL34))&lt;&gt;"n/a"),
IF(COUNTIFS($B$2:$B$532,"Yes",$A$2:$A$532,$A34,$AL$2:$AL$532,$AL34)&gt;1,"Yes","No"),
"No")
)
)
)</f>
      </c>
      <c r="G34" t="s">
        <v>1439</v>
      </c>
      <c r="H34" t="s">
        <v>1439</v>
      </c>
      <c r="J34" t="s">
        <v>2115</v>
      </c>
      <c r="K34" t="s">
        <v>2115</v>
      </c>
      <c r="L34" t="s">
        <v>2115</v>
      </c>
      <c r="S34" t="s">
        <v>2112</v>
      </c>
      <c r="T34" t="s">
        <v>2113</v>
      </c>
      <c r="U34" t="s">
        <v>1800</v>
      </c>
      <c r="V34" t="s">
        <v>1727</v>
      </c>
      <c r="W34" t="s">
        <v>2165</v>
      </c>
      <c r="X34" t="s">
        <v>1707</v>
      </c>
      <c r="Y34" t="s">
        <v>1380</v>
      </c>
      <c r="Z34" t="s">
        <v>1380</v>
      </c>
      <c r="AA34" t="s">
        <v>2031</v>
      </c>
      <c r="AC34" t="s">
        <v>1380</v>
      </c>
      <c r="AD34" t="s">
        <v>1671</v>
      </c>
      <c r="AF34" t="s">
        <v>1863</v>
      </c>
      <c r="AG34" t="s">
        <v>2021</v>
      </c>
      <c r="AH34" t="s">
        <v>2010</v>
      </c>
      <c r="AJ34" t="s">
        <v>2124</v>
      </c>
      <c r="AK34" t="s">
        <v>1933</v>
      </c>
      <c r="AL34" t="s">
        <v>1671</v>
      </c>
      <c r="AM34" t="s">
        <v>1335</v>
      </c>
      <c r="AN34" t="s">
        <v>1307</v>
      </c>
      <c r="AR34" t="s">
        <v>1656</v>
      </c>
      <c r="AS34" t="s">
        <v>1636</v>
      </c>
      <c r="AW34" t="s">
        <v>1727</v>
      </c>
      <c r="AX34" t="s">
        <v>1727</v>
      </c>
      <c r="BA34">
        <v>46030.0</v>
      </c>
      <c r="BB34" t="s">
        <v>1727</v>
      </c>
      <c r="BC34" t="s">
        <v>1439</v>
      </c>
      <c r="BD34" t="s">
        <v>2151</v>
      </c>
      <c r="BE34" t="s">
        <v>1727</v>
      </c>
      <c r="BF34" t="s">
        <v>1727</v>
      </c>
      <c r="BG34" t="s">
        <v>1727</v>
      </c>
      <c r="BH34" t="s">
        <v>1727</v>
      </c>
      <c r="BJ34" t="s">
        <v>1727</v>
      </c>
      <c r="BK34" t="s">
        <v>1657</v>
      </c>
      <c r="BL34">
        <f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</c>
      <c r="BM34">
        <f>IF($T34="","",IF($BL34="","Yes","Blocked"))</f>
      </c>
      <c r="BP34">
        <f>IF($BO34="","",IFERROR(VLOOKUP($BO34,'01_Warehouse_Ledger'!$A:$N,4,FALSE),""))</f>
      </c>
      <c r="BQ34">
        <f>IF($BO34="","",IFERROR(VLOOKUP($BO34,'01_Warehouse_Ledger'!$A:$N,5,FALSE),""))</f>
      </c>
      <c r="BR34">
        <f>IF($BO34="","",IFERROR(VLOOKUP($BO34,'01_Warehouse_Ledger'!$A:$N,13,FALSE),""))</f>
      </c>
      <c r="BX34">
        <v>125200</v>
      </c>
    </row>
    <row r="35">
      <c r="A35" t="s">
        <v>1415</v>
      </c>
      <c r="B35" t="s">
        <v>1727</v>
      </c>
      <c r="C35" t="s">
        <v>1657</v>
      </c>
      <c r="D35">
        <f>IF($B35&lt;&gt;"Yes","",IF($C35="No","Yes",IF($C35="Yes","No","")))</f>
      </c>
      <c r="E35">
        <f>IF($A35="","",IF($A35="Neuron",IF(OR(AND($S35&lt;&gt;"",LOWER(TRIM($S35))&lt;&gt;"n/a",COUNTIF($S$2:$S$532,$S35)&gt;1),AND($T35&lt;&gt;"",LOWER(TRIM($T35))&lt;&gt;"n/a",COUNTIF($T$2:$T$532,$T35)&gt;1),AND($W35&lt;&gt;"",LOWER(TRIM($W35))&lt;&gt;"n/a",COUNTIF($W$2:$W$532,$W35)&gt;1)),"Yes","No"),IF($A35="Cybernet",IF(OR(AND($Y35&lt;&gt;"",LOWER(TRIM($Y35))&lt;&gt;"n/a",COUNTIF($Y$2:$Y$532,$Y35)&gt;1),AND($Z35&lt;&gt;"",LOWER(TRIM($Z35))&lt;&gt;"n/a",COUNTIF($Z$2:$Z$532,$Z35)&gt;1)),"Yes","No"),IF(AND($AL35&lt;&gt;"",LOWER(TRIM($AL35))&lt;&gt;"n/a",COUNTIF($AL$2:$AL$532,$AL35)&gt;1),"Yes","No"))))</f>
      </c>
      <c r="F35">
        <f>IF($B35&lt;&gt;"Yes","",
IF($A35="Neuron",
IF(OR(
AND($S35&lt;&gt;"",LOWER(TRIM($S35))&lt;&gt;"n/a",COUNTIFS($B$2:$B$532,"Yes",$A$2:$A$532,"Neuron",$S$2:$S$532,$S35)&gt;1),
AND($T35&lt;&gt;"",LOWER(TRIM($T35))&lt;&gt;"n/a",COUNTIFS($B$2:$B$532,"Yes",$A$2:$A$532,"Neuron",$T$2:$T$532,$T35)&gt;1),
AND($W35&lt;&gt;"",LOWER(TRIM($W35))&lt;&gt;"n/a",COUNTIFS($B$2:$B$532,"Yes",$A$2:$A$532,"Neuron",$W$2:$W$532,$W35)&gt;1)
),"Yes","No"),
IF($A35="Cybernet",
IF(OR(
AND($Y35&lt;&gt;"",LOWER(TRIM($Y35))&lt;&gt;"n/a",COUNTIFS($B$2:$B$532,"Yes",$A$2:$A$532,"Cybernet",$Y$2:$Y$532,$Y35)&gt;1),
AND($Z35&lt;&gt;"",LOWER(TRIM($Z35))&lt;&gt;"n/a",COUNTIFS($B$2:$B$532,"Yes",$A$2:$A$532,"Cybernet",$Z$2:$Z$532,$Z35)&gt;1)
),"Yes","No"),
IF(AND($AL35&lt;&gt;"",LOWER(TRIM($AL35))&lt;&gt;"n/a"),
IF(COUNTIFS($B$2:$B$532,"Yes",$A$2:$A$532,$A35,$AL$2:$AL$532,$AL35)&gt;1,"Yes","No"),
"No")
)
)
)</f>
      </c>
      <c r="G35" t="s">
        <v>1439</v>
      </c>
      <c r="H35" t="s">
        <v>1439</v>
      </c>
      <c r="I35" t="s">
        <v>2286</v>
      </c>
      <c r="R35" t="s">
        <v>1820</v>
      </c>
      <c r="S35" t="s">
        <v>1380</v>
      </c>
      <c r="T35" t="s">
        <v>1380</v>
      </c>
      <c r="U35" t="s">
        <v>1380</v>
      </c>
      <c r="V35" t="s">
        <v>1380</v>
      </c>
      <c r="W35" t="s">
        <v>1380</v>
      </c>
      <c r="X35" t="s">
        <v>1380</v>
      </c>
      <c r="Y35" t="s">
        <v>2387</v>
      </c>
      <c r="Z35" t="s">
        <v>2339</v>
      </c>
      <c r="AA35" t="s">
        <v>2031</v>
      </c>
      <c r="AC35" t="s">
        <v>1380</v>
      </c>
      <c r="AD35" t="s">
        <v>2137</v>
      </c>
      <c r="AF35" t="s">
        <v>1863</v>
      </c>
      <c r="AG35" t="s">
        <v>2021</v>
      </c>
      <c r="AH35" t="s">
        <v>2010</v>
      </c>
      <c r="AJ35" t="s">
        <v>2124</v>
      </c>
      <c r="AK35" t="s">
        <v>1933</v>
      </c>
      <c r="AL35" t="s">
        <v>2137</v>
      </c>
      <c r="AW35" t="s">
        <v>1727</v>
      </c>
      <c r="AX35" t="s">
        <v>1727</v>
      </c>
      <c r="AY35" t="s">
        <v>1727</v>
      </c>
      <c r="BA35">
        <v>46030.0</v>
      </c>
      <c r="BB35" t="s">
        <v>1727</v>
      </c>
      <c r="BC35" t="s">
        <v>1439</v>
      </c>
      <c r="BD35" t="s">
        <v>2151</v>
      </c>
      <c r="BE35" t="s">
        <v>1727</v>
      </c>
      <c r="BF35" t="s">
        <v>1727</v>
      </c>
      <c r="BG35" t="s">
        <v>1727</v>
      </c>
      <c r="BH35" t="s">
        <v>1727</v>
      </c>
      <c r="BJ35" t="s">
        <v>1727</v>
      </c>
      <c r="BL35">
        <f>IF($T35="","",IF((IF(AND($AW35&lt;&gt;"Yes",$AW35&lt;&gt;"N/A"),"Power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",""))="","",LEFT(IF(AND($AW35&lt;&gt;"Yes",$AW35&lt;&gt;"N/A"),"Power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",""),LEN(IF(AND($AW35&lt;&gt;"Yes",$AW35&lt;&gt;"N/A"),"Power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",""))-2)))</f>
      </c>
      <c r="BM35">
        <f>IF($T35="","",IF($BL35="","Yes","Blocked"))</f>
      </c>
      <c r="BP35">
        <f>IF($BO35="","",IFERROR(VLOOKUP($BO35,'01_Warehouse_Ledger'!$A:$N,4,FALSE),""))</f>
      </c>
      <c r="BQ35">
        <f>IF($BO35="","",IFERROR(VLOOKUP($BO35,'01_Warehouse_Ledger'!$A:$N,5,FALSE),""))</f>
      </c>
      <c r="BR35">
        <f>IF($BO35="","",IFERROR(VLOOKUP($BO35,'01_Warehouse_Ledger'!$A:$N,13,FALSE),""))</f>
      </c>
    </row>
    <row r="36">
      <c r="A36" t="s">
        <v>1331</v>
      </c>
      <c r="B36" t="s">
        <v>1657</v>
      </c>
      <c r="C36" t="s">
        <v>1657</v>
      </c>
      <c r="D36">
        <f>IF($B36&lt;&gt;"Yes","",IF($C36="No","Yes",IF($C36="Yes","No","")))</f>
      </c>
      <c r="E36">
        <f>IF($A36="","",IF($A36="Neuron",IF(OR(AND($S36&lt;&gt;"",LOWER(TRIM($S36))&lt;&gt;"n/a",COUNTIF($S$2:$S$532,$S36)&gt;1),AND($T36&lt;&gt;"",LOWER(TRIM($T36))&lt;&gt;"n/a",COUNTIF($T$2:$T$532,$T36)&gt;1),AND($W36&lt;&gt;"",LOWER(TRIM($W36))&lt;&gt;"n/a",COUNTIF($W$2:$W$532,$W36)&gt;1)),"Yes","No"),IF($A36="Cybernet",IF(OR(AND($Y36&lt;&gt;"",LOWER(TRIM($Y36))&lt;&gt;"n/a",COUNTIF($Y$2:$Y$532,$Y36)&gt;1),AND($Z36&lt;&gt;"",LOWER(TRIM($Z36))&lt;&gt;"n/a",COUNTIF($Z$2:$Z$532,$Z36)&gt;1)),"Yes","No"),IF(AND($AL36&lt;&gt;"",LOWER(TRIM($AL36))&lt;&gt;"n/a",COUNTIF($AL$2:$AL$532,$AL36)&gt;1),"Yes","No"))))</f>
      </c>
      <c r="F36">
        <f>IF($B36&lt;&gt;"Yes","",
IF($A36="Neuron",
IF(OR(
AND($S36&lt;&gt;"",LOWER(TRIM($S36))&lt;&gt;"n/a",COUNTIFS($B$2:$B$532,"Yes",$A$2:$A$532,"Neuron",$S$2:$S$532,$S36)&gt;1),
AND($T36&lt;&gt;"",LOWER(TRIM($T36))&lt;&gt;"n/a",COUNTIFS($B$2:$B$532,"Yes",$A$2:$A$532,"Neuron",$T$2:$T$532,$T36)&gt;1),
AND($W36&lt;&gt;"",LOWER(TRIM($W36))&lt;&gt;"n/a",COUNTIFS($B$2:$B$532,"Yes",$A$2:$A$532,"Neuron",$W$2:$W$532,$W36)&gt;1)
),"Yes","No"),
IF($A36="Cybernet",
IF(OR(
AND($Y36&lt;&gt;"",LOWER(TRIM($Y36))&lt;&gt;"n/a",COUNTIFS($B$2:$B$532,"Yes",$A$2:$A$532,"Cybernet",$Y$2:$Y$532,$Y36)&gt;1),
AND($Z36&lt;&gt;"",LOWER(TRIM($Z36))&lt;&gt;"n/a",COUNTIFS($B$2:$B$532,"Yes",$A$2:$A$532,"Cybernet",$Z$2:$Z$532,$Z36)&gt;1)
),"Yes","No"),
IF(AND($AL36&lt;&gt;"",LOWER(TRIM($AL36))&lt;&gt;"n/a"),
IF(COUNTIFS($B$2:$B$532,"Yes",$A$2:$A$532,$A36,$AL$2:$AL$532,$AL36)&gt;1,"Yes","No"),
"No")
)
)
)</f>
      </c>
      <c r="G36" t="s">
        <v>1317</v>
      </c>
      <c r="H36" t="s">
        <v>1437</v>
      </c>
      <c r="J36" t="s">
        <v>2115</v>
      </c>
      <c r="K36" t="s">
        <v>2115</v>
      </c>
      <c r="L36" t="s">
        <v>2115</v>
      </c>
      <c r="S36" t="s">
        <v>1715</v>
      </c>
      <c r="T36" t="s">
        <v>2087</v>
      </c>
      <c r="W36" t="s">
        <v>2409</v>
      </c>
      <c r="BD36" t="s">
        <v>1958</v>
      </c>
      <c r="BL36">
        <f>IF($T36="","",IF((IF(AND($AW36&lt;&gt;"Yes",$AW36&lt;&gt;"N/A"),"Power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",""))="","",LEFT(IF(AND($AW36&lt;&gt;"Yes",$AW36&lt;&gt;"N/A"),"Power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",""),LEN(IF(AND($AW36&lt;&gt;"Yes",$AW36&lt;&gt;"N/A"),"Power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",""))-2)))</f>
      </c>
      <c r="BM36">
        <f>IF($T36="","",IF($BL36="","Yes","Blocked"))</f>
      </c>
      <c r="BP36">
        <f>IF($BO36="","",IFERROR(VLOOKUP($BO36,'01_Warehouse_Ledger'!$A:$N,4,FALSE),""))</f>
      </c>
      <c r="BQ36">
        <f>IF($BO36="","",IFERROR(VLOOKUP($BO36,'01_Warehouse_Ledger'!$A:$N,5,FALSE),""))</f>
      </c>
      <c r="BR36">
        <f>IF($BO36="","",IFERROR(VLOOKUP($BO36,'01_Warehouse_Ledger'!$A:$N,13,FALSE),""))</f>
      </c>
    </row>
    <row r="37">
      <c r="A37" t="s">
        <v>1331</v>
      </c>
      <c r="B37" t="s">
        <v>1657</v>
      </c>
      <c r="C37" t="s">
        <v>1657</v>
      </c>
      <c r="D37">
        <f>IF($B37&lt;&gt;"Yes","",IF($C37="No","Yes",IF($C37="Yes","No","")))</f>
      </c>
      <c r="E37">
        <f>IF($A37="","",IF($A37="Neuron",IF(OR(AND($S37&lt;&gt;"",LOWER(TRIM($S37))&lt;&gt;"n/a",COUNTIF($S$2:$S$532,$S37)&gt;1),AND($T37&lt;&gt;"",LOWER(TRIM($T37))&lt;&gt;"n/a",COUNTIF($T$2:$T$532,$T37)&gt;1),AND($W37&lt;&gt;"",LOWER(TRIM($W37))&lt;&gt;"n/a",COUNTIF($W$2:$W$532,$W37)&gt;1)),"Yes","No"),IF($A37="Cybernet",IF(OR(AND($Y37&lt;&gt;"",LOWER(TRIM($Y37))&lt;&gt;"n/a",COUNTIF($Y$2:$Y$532,$Y37)&gt;1),AND($Z37&lt;&gt;"",LOWER(TRIM($Z37))&lt;&gt;"n/a",COUNTIF($Z$2:$Z$532,$Z37)&gt;1)),"Yes","No"),IF(AND($AL37&lt;&gt;"",LOWER(TRIM($AL37))&lt;&gt;"n/a",COUNTIF($AL$2:$AL$532,$AL37)&gt;1),"Yes","No"))))</f>
      </c>
      <c r="F37">
        <f>IF($B37&lt;&gt;"Yes","",
IF($A37="Neuron",
IF(OR(
AND($S37&lt;&gt;"",LOWER(TRIM($S37))&lt;&gt;"n/a",COUNTIFS($B$2:$B$532,"Yes",$A$2:$A$532,"Neuron",$S$2:$S$532,$S37)&gt;1),
AND($T37&lt;&gt;"",LOWER(TRIM($T37))&lt;&gt;"n/a",COUNTIFS($B$2:$B$532,"Yes",$A$2:$A$532,"Neuron",$T$2:$T$532,$T37)&gt;1),
AND($W37&lt;&gt;"",LOWER(TRIM($W37))&lt;&gt;"n/a",COUNTIFS($B$2:$B$532,"Yes",$A$2:$A$532,"Neuron",$W$2:$W$532,$W37)&gt;1)
),"Yes","No"),
IF($A37="Cybernet",
IF(OR(
AND($Y37&lt;&gt;"",LOWER(TRIM($Y37))&lt;&gt;"n/a",COUNTIFS($B$2:$B$532,"Yes",$A$2:$A$532,"Cybernet",$Y$2:$Y$532,$Y37)&gt;1),
AND($Z37&lt;&gt;"",LOWER(TRIM($Z37))&lt;&gt;"n/a",COUNTIFS($B$2:$B$532,"Yes",$A$2:$A$532,"Cybernet",$Z$2:$Z$532,$Z37)&gt;1)
),"Yes","No"),
IF(AND($AL37&lt;&gt;"",LOWER(TRIM($AL37))&lt;&gt;"n/a"),
IF(COUNTIFS($B$2:$B$532,"Yes",$A$2:$A$532,$A37,$AL$2:$AL$532,$AL37)&gt;1,"Yes","No"),
"No")
)
)
)</f>
      </c>
      <c r="G37" t="s">
        <v>1317</v>
      </c>
      <c r="H37" t="s">
        <v>1437</v>
      </c>
      <c r="J37" t="s">
        <v>2115</v>
      </c>
      <c r="K37" t="s">
        <v>2115</v>
      </c>
      <c r="L37" t="s">
        <v>2115</v>
      </c>
      <c r="S37" t="s">
        <v>1980</v>
      </c>
      <c r="T37" t="s">
        <v>2180</v>
      </c>
      <c r="W37" t="s">
        <v>2265</v>
      </c>
      <c r="BD37" t="s">
        <v>1958</v>
      </c>
      <c r="BL37">
        <f>IF($T37="","",IF((IF(AND($AW37&lt;&gt;"Yes",$AW37&lt;&gt;"N/A"),"Power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",""))="","",LEFT(IF(AND($AW37&lt;&gt;"Yes",$AW37&lt;&gt;"N/A"),"Power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",""),LEN(IF(AND($AW37&lt;&gt;"Yes",$AW37&lt;&gt;"N/A"),"Power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",""))-2)))</f>
      </c>
      <c r="BM37">
        <f>IF($T37="","",IF($BL37="","Yes","Blocked"))</f>
      </c>
      <c r="BP37">
        <f>IF($BO37="","",IFERROR(VLOOKUP($BO37,'01_Warehouse_Ledger'!$A:$N,4,FALSE),""))</f>
      </c>
      <c r="BQ37">
        <f>IF($BO37="","",IFERROR(VLOOKUP($BO37,'01_Warehouse_Ledger'!$A:$N,5,FALSE),""))</f>
      </c>
      <c r="BR37">
        <f>IF($BO37="","",IFERROR(VLOOKUP($BO37,'01_Warehouse_Ledger'!$A:$N,13,FALSE),""))</f>
      </c>
    </row>
    <row r="38">
      <c r="A38" t="s">
        <v>1331</v>
      </c>
      <c r="B38" t="s">
        <v>1657</v>
      </c>
      <c r="C38" t="s">
        <v>1657</v>
      </c>
      <c r="D38">
        <f>IF($B38&lt;&gt;"Yes","",IF($C38="No","Yes",IF($C38="Yes","No","")))</f>
      </c>
      <c r="E38">
        <f>IF($A38="","",IF($A38="Neuron",IF(OR(AND($S38&lt;&gt;"",LOWER(TRIM($S38))&lt;&gt;"n/a",COUNTIF($S$2:$S$532,$S38)&gt;1),AND($T38&lt;&gt;"",LOWER(TRIM($T38))&lt;&gt;"n/a",COUNTIF($T$2:$T$532,$T38)&gt;1),AND($W38&lt;&gt;"",LOWER(TRIM($W38))&lt;&gt;"n/a",COUNTIF($W$2:$W$532,$W38)&gt;1)),"Yes","No"),IF($A38="Cybernet",IF(OR(AND($Y38&lt;&gt;"",LOWER(TRIM($Y38))&lt;&gt;"n/a",COUNTIF($Y$2:$Y$532,$Y38)&gt;1),AND($Z38&lt;&gt;"",LOWER(TRIM($Z38))&lt;&gt;"n/a",COUNTIF($Z$2:$Z$532,$Z38)&gt;1)),"Yes","No"),IF(AND($AL38&lt;&gt;"",LOWER(TRIM($AL38))&lt;&gt;"n/a",COUNTIF($AL$2:$AL$532,$AL38)&gt;1),"Yes","No"))))</f>
      </c>
      <c r="F38">
        <f>IF($B38&lt;&gt;"Yes","",
IF($A38="Neuron",
IF(OR(
AND($S38&lt;&gt;"",LOWER(TRIM($S38))&lt;&gt;"n/a",COUNTIFS($B$2:$B$532,"Yes",$A$2:$A$532,"Neuron",$S$2:$S$532,$S38)&gt;1),
AND($T38&lt;&gt;"",LOWER(TRIM($T38))&lt;&gt;"n/a",COUNTIFS($B$2:$B$532,"Yes",$A$2:$A$532,"Neuron",$T$2:$T$532,$T38)&gt;1),
AND($W38&lt;&gt;"",LOWER(TRIM($W38))&lt;&gt;"n/a",COUNTIFS($B$2:$B$532,"Yes",$A$2:$A$532,"Neuron",$W$2:$W$532,$W38)&gt;1)
),"Yes","No"),
IF($A38="Cybernet",
IF(OR(
AND($Y38&lt;&gt;"",LOWER(TRIM($Y38))&lt;&gt;"n/a",COUNTIFS($B$2:$B$532,"Yes",$A$2:$A$532,"Cybernet",$Y$2:$Y$532,$Y38)&gt;1),
AND($Z38&lt;&gt;"",LOWER(TRIM($Z38))&lt;&gt;"n/a",COUNTIFS($B$2:$B$532,"Yes",$A$2:$A$532,"Cybernet",$Z$2:$Z$532,$Z38)&gt;1)
),"Yes","No"),
IF(AND($AL38&lt;&gt;"",LOWER(TRIM($AL38))&lt;&gt;"n/a"),
IF(COUNTIFS($B$2:$B$532,"Yes",$A$2:$A$532,$A38,$AL$2:$AL$532,$AL38)&gt;1,"Yes","No"),
"No")
)
)
)</f>
      </c>
      <c r="G38" t="s">
        <v>1317</v>
      </c>
      <c r="H38" t="s">
        <v>1437</v>
      </c>
      <c r="J38" t="s">
        <v>2115</v>
      </c>
      <c r="K38" t="s">
        <v>2115</v>
      </c>
      <c r="L38" t="s">
        <v>2115</v>
      </c>
      <c r="S38" t="s">
        <v>2250</v>
      </c>
      <c r="T38" t="s">
        <v>2311</v>
      </c>
      <c r="W38" t="s">
        <v>1721</v>
      </c>
      <c r="BD38" t="s">
        <v>1958</v>
      </c>
      <c r="BL38">
        <f>IF($T38="","",IF((IF(AND($AW38&lt;&gt;"Yes",$AW38&lt;&gt;"N/A"),"Power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",""))="","",LEFT(IF(AND($AW38&lt;&gt;"Yes",$AW38&lt;&gt;"N/A"),"Power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",""),LEN(IF(AND($AW38&lt;&gt;"Yes",$AW38&lt;&gt;"N/A"),"Power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",""))-2)))</f>
      </c>
      <c r="BM38">
        <f>IF($T38="","",IF($BL38="","Yes","Blocked"))</f>
      </c>
      <c r="BP38">
        <f>IF($BO38="","",IFERROR(VLOOKUP($BO38,'01_Warehouse_Ledger'!$A:$N,4,FALSE),""))</f>
      </c>
      <c r="BQ38">
        <f>IF($BO38="","",IFERROR(VLOOKUP($BO38,'01_Warehouse_Ledger'!$A:$N,5,FALSE),""))</f>
      </c>
      <c r="BR38">
        <f>IF($BO38="","",IFERROR(VLOOKUP($BO38,'01_Warehouse_Ledger'!$A:$N,13,FALSE),""))</f>
      </c>
    </row>
    <row r="39">
      <c r="A39" t="s">
        <v>1331</v>
      </c>
      <c r="B39" t="s">
        <v>1657</v>
      </c>
      <c r="C39" t="s">
        <v>1657</v>
      </c>
      <c r="D39">
        <f>IF($B39&lt;&gt;"Yes","",IF($C39="No","Yes",IF($C39="Yes","No","")))</f>
      </c>
      <c r="E39">
        <f>IF($A39="","",IF($A39="Neuron",IF(OR(AND($S39&lt;&gt;"",LOWER(TRIM($S39))&lt;&gt;"n/a",COUNTIF($S$2:$S$532,$S39)&gt;1),AND($T39&lt;&gt;"",LOWER(TRIM($T39))&lt;&gt;"n/a",COUNTIF($T$2:$T$532,$T39)&gt;1),AND($W39&lt;&gt;"",LOWER(TRIM($W39))&lt;&gt;"n/a",COUNTIF($W$2:$W$532,$W39)&gt;1)),"Yes","No"),IF($A39="Cybernet",IF(OR(AND($Y39&lt;&gt;"",LOWER(TRIM($Y39))&lt;&gt;"n/a",COUNTIF($Y$2:$Y$532,$Y39)&gt;1),AND($Z39&lt;&gt;"",LOWER(TRIM($Z39))&lt;&gt;"n/a",COUNTIF($Z$2:$Z$532,$Z39)&gt;1)),"Yes","No"),IF(AND($AL39&lt;&gt;"",LOWER(TRIM($AL39))&lt;&gt;"n/a",COUNTIF($AL$2:$AL$532,$AL39)&gt;1),"Yes","No"))))</f>
      </c>
      <c r="F39">
        <f>IF($B39&lt;&gt;"Yes","",
IF($A39="Neuron",
IF(OR(
AND($S39&lt;&gt;"",LOWER(TRIM($S39))&lt;&gt;"n/a",COUNTIFS($B$2:$B$532,"Yes",$A$2:$A$532,"Neuron",$S$2:$S$532,$S39)&gt;1),
AND($T39&lt;&gt;"",LOWER(TRIM($T39))&lt;&gt;"n/a",COUNTIFS($B$2:$B$532,"Yes",$A$2:$A$532,"Neuron",$T$2:$T$532,$T39)&gt;1),
AND($W39&lt;&gt;"",LOWER(TRIM($W39))&lt;&gt;"n/a",COUNTIFS($B$2:$B$532,"Yes",$A$2:$A$532,"Neuron",$W$2:$W$532,$W39)&gt;1)
),"Yes","No"),
IF($A39="Cybernet",
IF(OR(
AND($Y39&lt;&gt;"",LOWER(TRIM($Y39))&lt;&gt;"n/a",COUNTIFS($B$2:$B$532,"Yes",$A$2:$A$532,"Cybernet",$Y$2:$Y$532,$Y39)&gt;1),
AND($Z39&lt;&gt;"",LOWER(TRIM($Z39))&lt;&gt;"n/a",COUNTIFS($B$2:$B$532,"Yes",$A$2:$A$532,"Cybernet",$Z$2:$Z$532,$Z39)&gt;1)
),"Yes","No"),
IF(AND($AL39&lt;&gt;"",LOWER(TRIM($AL39))&lt;&gt;"n/a"),
IF(COUNTIFS($B$2:$B$532,"Yes",$A$2:$A$532,$A39,$AL$2:$AL$532,$AL39)&gt;1,"Yes","No"),
"No")
)
)
)</f>
      </c>
      <c r="G39" t="s">
        <v>1317</v>
      </c>
      <c r="H39" t="s">
        <v>1731</v>
      </c>
      <c r="J39" t="s">
        <v>2115</v>
      </c>
      <c r="K39" t="s">
        <v>2115</v>
      </c>
      <c r="L39" t="s">
        <v>2115</v>
      </c>
      <c r="S39" t="s">
        <v>2284</v>
      </c>
      <c r="T39" t="s">
        <v>1915</v>
      </c>
      <c r="W39" t="s">
        <v>1667</v>
      </c>
      <c r="BD39" t="s">
        <v>1958</v>
      </c>
      <c r="BL39">
        <f>IF($T39="","",IF((IF(AND($AW39&lt;&gt;"Yes",$AW39&lt;&gt;"N/A"),"Power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",""))="","",LEFT(IF(AND($AW39&lt;&gt;"Yes",$AW39&lt;&gt;"N/A"),"Power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",""),LEN(IF(AND($AW39&lt;&gt;"Yes",$AW39&lt;&gt;"N/A"),"Power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",""))-2)))</f>
      </c>
      <c r="BM39">
        <f>IF($T39="","",IF($BL39="","Yes","Blocked"))</f>
      </c>
      <c r="BP39">
        <f>IF($BO39="","",IFERROR(VLOOKUP($BO39,'01_Warehouse_Ledger'!$A:$N,4,FALSE),""))</f>
      </c>
      <c r="BQ39">
        <f>IF($BO39="","",IFERROR(VLOOKUP($BO39,'01_Warehouse_Ledger'!$A:$N,5,FALSE),""))</f>
      </c>
      <c r="BR39">
        <f>IF($BO39="","",IFERROR(VLOOKUP($BO39,'01_Warehouse_Ledger'!$A:$N,13,FALSE),""))</f>
      </c>
    </row>
    <row r="40">
      <c r="A40" t="s">
        <v>1331</v>
      </c>
      <c r="B40" t="s">
        <v>1657</v>
      </c>
      <c r="C40" t="s">
        <v>1657</v>
      </c>
      <c r="D40">
        <f>IF($B40&lt;&gt;"Yes","",IF($C40="No","Yes",IF($C40="Yes","No","")))</f>
      </c>
      <c r="E40">
        <f>IF($A40="","",IF($A40="Neuron",IF(OR(AND($S40&lt;&gt;"",LOWER(TRIM($S40))&lt;&gt;"n/a",COUNTIF($S$2:$S$532,$S40)&gt;1),AND($T40&lt;&gt;"",LOWER(TRIM($T40))&lt;&gt;"n/a",COUNTIF($T$2:$T$532,$T40)&gt;1),AND($W40&lt;&gt;"",LOWER(TRIM($W40))&lt;&gt;"n/a",COUNTIF($W$2:$W$532,$W40)&gt;1)),"Yes","No"),IF($A40="Cybernet",IF(OR(AND($Y40&lt;&gt;"",LOWER(TRIM($Y40))&lt;&gt;"n/a",COUNTIF($Y$2:$Y$532,$Y40)&gt;1),AND($Z40&lt;&gt;"",LOWER(TRIM($Z40))&lt;&gt;"n/a",COUNTIF($Z$2:$Z$532,$Z40)&gt;1)),"Yes","No"),IF(AND($AL40&lt;&gt;"",LOWER(TRIM($AL40))&lt;&gt;"n/a",COUNTIF($AL$2:$AL$532,$AL40)&gt;1),"Yes","No"))))</f>
      </c>
      <c r="F40">
        <f>IF($B40&lt;&gt;"Yes","",
IF($A40="Neuron",
IF(OR(
AND($S40&lt;&gt;"",LOWER(TRIM($S40))&lt;&gt;"n/a",COUNTIFS($B$2:$B$532,"Yes",$A$2:$A$532,"Neuron",$S$2:$S$532,$S40)&gt;1),
AND($T40&lt;&gt;"",LOWER(TRIM($T40))&lt;&gt;"n/a",COUNTIFS($B$2:$B$532,"Yes",$A$2:$A$532,"Neuron",$T$2:$T$532,$T40)&gt;1),
AND($W40&lt;&gt;"",LOWER(TRIM($W40))&lt;&gt;"n/a",COUNTIFS($B$2:$B$532,"Yes",$A$2:$A$532,"Neuron",$W$2:$W$532,$W40)&gt;1)
),"Yes","No"),
IF($A40="Cybernet",
IF(OR(
AND($Y40&lt;&gt;"",LOWER(TRIM($Y40))&lt;&gt;"n/a",COUNTIFS($B$2:$B$532,"Yes",$A$2:$A$532,"Cybernet",$Y$2:$Y$532,$Y40)&gt;1),
AND($Z40&lt;&gt;"",LOWER(TRIM($Z40))&lt;&gt;"n/a",COUNTIFS($B$2:$B$532,"Yes",$A$2:$A$532,"Cybernet",$Z$2:$Z$532,$Z40)&gt;1)
),"Yes","No"),
IF(AND($AL40&lt;&gt;"",LOWER(TRIM($AL40))&lt;&gt;"n/a"),
IF(COUNTIFS($B$2:$B$532,"Yes",$A$2:$A$532,$A40,$AL$2:$AL$532,$AL40)&gt;1,"Yes","No"),
"No")
)
)
)</f>
      </c>
      <c r="G40" t="s">
        <v>1317</v>
      </c>
      <c r="H40" t="s">
        <v>1731</v>
      </c>
      <c r="J40" t="s">
        <v>2115</v>
      </c>
      <c r="K40" t="s">
        <v>2115</v>
      </c>
      <c r="L40" t="s">
        <v>2115</v>
      </c>
      <c r="S40" t="s">
        <v>2321</v>
      </c>
      <c r="T40" t="s">
        <v>1694</v>
      </c>
      <c r="W40" t="s">
        <v>1989</v>
      </c>
      <c r="BD40" t="s">
        <v>1958</v>
      </c>
      <c r="BL40">
        <f>IF($T40="","",IF((IF(AND($AW40&lt;&gt;"Yes",$AW40&lt;&gt;"N/A"),"Power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",""))="","",LEFT(IF(AND($AW40&lt;&gt;"Yes",$AW40&lt;&gt;"N/A"),"Power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",""),LEN(IF(AND($AW40&lt;&gt;"Yes",$AW40&lt;&gt;"N/A"),"Power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",""))-2)))</f>
      </c>
      <c r="BM40">
        <f>IF($T40="","",IF($BL40="","Yes","Blocked"))</f>
      </c>
      <c r="BP40">
        <f>IF($BO40="","",IFERROR(VLOOKUP($BO40,'01_Warehouse_Ledger'!$A:$N,4,FALSE),""))</f>
      </c>
      <c r="BQ40">
        <f>IF($BO40="","",IFERROR(VLOOKUP($BO40,'01_Warehouse_Ledger'!$A:$N,5,FALSE),""))</f>
      </c>
      <c r="BR40">
        <f>IF($BO40="","",IFERROR(VLOOKUP($BO40,'01_Warehouse_Ledger'!$A:$N,13,FALSE),""))</f>
      </c>
    </row>
    <row r="41">
      <c r="A41" t="s">
        <v>1331</v>
      </c>
      <c r="B41" t="s">
        <v>1657</v>
      </c>
      <c r="C41" t="s">
        <v>1657</v>
      </c>
      <c r="D41">
        <f>IF($B41&lt;&gt;"Yes","",IF($C41="No","Yes",IF($C41="Yes","No","")))</f>
      </c>
      <c r="E41">
        <f>IF($A41="","",IF($A41="Neuron",IF(OR(AND($S41&lt;&gt;"",LOWER(TRIM($S41))&lt;&gt;"n/a",COUNTIF($S$2:$S$532,$S41)&gt;1),AND($T41&lt;&gt;"",LOWER(TRIM($T41))&lt;&gt;"n/a",COUNTIF($T$2:$T$532,$T41)&gt;1),AND($W41&lt;&gt;"",LOWER(TRIM($W41))&lt;&gt;"n/a",COUNTIF($W$2:$W$532,$W41)&gt;1)),"Yes","No"),IF($A41="Cybernet",IF(OR(AND($Y41&lt;&gt;"",LOWER(TRIM($Y41))&lt;&gt;"n/a",COUNTIF($Y$2:$Y$532,$Y41)&gt;1),AND($Z41&lt;&gt;"",LOWER(TRIM($Z41))&lt;&gt;"n/a",COUNTIF($Z$2:$Z$532,$Z41)&gt;1)),"Yes","No"),IF(AND($AL41&lt;&gt;"",LOWER(TRIM($AL41))&lt;&gt;"n/a",COUNTIF($AL$2:$AL$532,$AL41)&gt;1),"Yes","No"))))</f>
      </c>
      <c r="F41">
        <f>IF($B41&lt;&gt;"Yes","",
IF($A41="Neuron",
IF(OR(
AND($S41&lt;&gt;"",LOWER(TRIM($S41))&lt;&gt;"n/a",COUNTIFS($B$2:$B$532,"Yes",$A$2:$A$532,"Neuron",$S$2:$S$532,$S41)&gt;1),
AND($T41&lt;&gt;"",LOWER(TRIM($T41))&lt;&gt;"n/a",COUNTIFS($B$2:$B$532,"Yes",$A$2:$A$532,"Neuron",$T$2:$T$532,$T41)&gt;1),
AND($W41&lt;&gt;"",LOWER(TRIM($W41))&lt;&gt;"n/a",COUNTIFS($B$2:$B$532,"Yes",$A$2:$A$532,"Neuron",$W$2:$W$532,$W41)&gt;1)
),"Yes","No"),
IF($A41="Cybernet",
IF(OR(
AND($Y41&lt;&gt;"",LOWER(TRIM($Y41))&lt;&gt;"n/a",COUNTIFS($B$2:$B$532,"Yes",$A$2:$A$532,"Cybernet",$Y$2:$Y$532,$Y41)&gt;1),
AND($Z41&lt;&gt;"",LOWER(TRIM($Z41))&lt;&gt;"n/a",COUNTIFS($B$2:$B$532,"Yes",$A$2:$A$532,"Cybernet",$Z$2:$Z$532,$Z41)&gt;1)
),"Yes","No"),
IF(AND($AL41&lt;&gt;"",LOWER(TRIM($AL41))&lt;&gt;"n/a"),
IF(COUNTIFS($B$2:$B$532,"Yes",$A$2:$A$532,$A41,$AL$2:$AL$532,$AL41)&gt;1,"Yes","No"),
"No")
)
)
)</f>
      </c>
      <c r="G41" t="s">
        <v>1317</v>
      </c>
      <c r="H41" t="s">
        <v>1731</v>
      </c>
      <c r="J41" t="s">
        <v>2115</v>
      </c>
      <c r="K41" t="s">
        <v>2115</v>
      </c>
      <c r="L41" t="s">
        <v>2115</v>
      </c>
      <c r="S41" t="s">
        <v>1795</v>
      </c>
      <c r="T41" t="s">
        <v>2293</v>
      </c>
      <c r="W41" t="s">
        <v>2146</v>
      </c>
      <c r="BD41" t="s">
        <v>1958</v>
      </c>
      <c r="BL41">
        <f>IF($T41="","",IF((IF(AND($AW41&lt;&gt;"Yes",$AW41&lt;&gt;"N/A"),"Power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",""))="","",LEFT(IF(AND($AW41&lt;&gt;"Yes",$AW41&lt;&gt;"N/A"),"Power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",""),LEN(IF(AND($AW41&lt;&gt;"Yes",$AW41&lt;&gt;"N/A"),"Power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",""))-2)))</f>
      </c>
      <c r="BM41">
        <f>IF($T41="","",IF($BL41="","Yes","Blocked"))</f>
      </c>
      <c r="BP41">
        <f>IF($BO41="","",IFERROR(VLOOKUP($BO41,'01_Warehouse_Ledger'!$A:$N,4,FALSE),""))</f>
      </c>
      <c r="BQ41">
        <f>IF($BO41="","",IFERROR(VLOOKUP($BO41,'01_Warehouse_Ledger'!$A:$N,5,FALSE),""))</f>
      </c>
      <c r="BR41">
        <f>IF($BO41="","",IFERROR(VLOOKUP($BO41,'01_Warehouse_Ledger'!$A:$N,13,FALSE),""))</f>
      </c>
    </row>
    <row r="42">
      <c r="A42" t="s">
        <v>1331</v>
      </c>
      <c r="B42" t="s">
        <v>1657</v>
      </c>
      <c r="C42" t="s">
        <v>1657</v>
      </c>
      <c r="D42">
        <f>IF($B42&lt;&gt;"Yes","",IF($C42="No","Yes",IF($C42="Yes","No","")))</f>
      </c>
      <c r="E42">
        <f>IF($A42="","",IF($A42="Neuron",IF(OR(AND($S42&lt;&gt;"",LOWER(TRIM($S42))&lt;&gt;"n/a",COUNTIF($S$2:$S$532,$S42)&gt;1),AND($T42&lt;&gt;"",LOWER(TRIM($T42))&lt;&gt;"n/a",COUNTIF($T$2:$T$532,$T42)&gt;1),AND($W42&lt;&gt;"",LOWER(TRIM($W42))&lt;&gt;"n/a",COUNTIF($W$2:$W$532,$W42)&gt;1)),"Yes","No"),IF($A42="Cybernet",IF(OR(AND($Y42&lt;&gt;"",LOWER(TRIM($Y42))&lt;&gt;"n/a",COUNTIF($Y$2:$Y$532,$Y42)&gt;1),AND($Z42&lt;&gt;"",LOWER(TRIM($Z42))&lt;&gt;"n/a",COUNTIF($Z$2:$Z$532,$Z42)&gt;1)),"Yes","No"),IF(AND($AL42&lt;&gt;"",LOWER(TRIM($AL42))&lt;&gt;"n/a",COUNTIF($AL$2:$AL$532,$AL42)&gt;1),"Yes","No"))))</f>
      </c>
      <c r="F42">
        <f>IF($B42&lt;&gt;"Yes","",
IF($A42="Neuron",
IF(OR(
AND($S42&lt;&gt;"",LOWER(TRIM($S42))&lt;&gt;"n/a",COUNTIFS($B$2:$B$532,"Yes",$A$2:$A$532,"Neuron",$S$2:$S$532,$S42)&gt;1),
AND($T42&lt;&gt;"",LOWER(TRIM($T42))&lt;&gt;"n/a",COUNTIFS($B$2:$B$532,"Yes",$A$2:$A$532,"Neuron",$T$2:$T$532,$T42)&gt;1),
AND($W42&lt;&gt;"",LOWER(TRIM($W42))&lt;&gt;"n/a",COUNTIFS($B$2:$B$532,"Yes",$A$2:$A$532,"Neuron",$W$2:$W$532,$W42)&gt;1)
),"Yes","No"),
IF($A42="Cybernet",
IF(OR(
AND($Y42&lt;&gt;"",LOWER(TRIM($Y42))&lt;&gt;"n/a",COUNTIFS($B$2:$B$532,"Yes",$A$2:$A$532,"Cybernet",$Y$2:$Y$532,$Y42)&gt;1),
AND($Z42&lt;&gt;"",LOWER(TRIM($Z42))&lt;&gt;"n/a",COUNTIFS($B$2:$B$532,"Yes",$A$2:$A$532,"Cybernet",$Z$2:$Z$532,$Z42)&gt;1)
),"Yes","No"),
IF(AND($AL42&lt;&gt;"",LOWER(TRIM($AL42))&lt;&gt;"n/a"),
IF(COUNTIFS($B$2:$B$532,"Yes",$A$2:$A$532,$A42,$AL$2:$AL$532,$AL42)&gt;1,"Yes","No"),
"No")
)
)
)</f>
      </c>
      <c r="G42" t="s">
        <v>1317</v>
      </c>
      <c r="H42" t="s">
        <v>1365</v>
      </c>
      <c r="J42" t="s">
        <v>2115</v>
      </c>
      <c r="K42" t="s">
        <v>2115</v>
      </c>
      <c r="L42" t="s">
        <v>2115</v>
      </c>
      <c r="S42" t="s">
        <v>2152</v>
      </c>
      <c r="T42" t="s">
        <v>2117</v>
      </c>
      <c r="W42" t="s">
        <v>2002</v>
      </c>
      <c r="BD42" t="s">
        <v>1958</v>
      </c>
      <c r="BL42">
        <f>IF($T42="","",IF((IF(AND($AW42&lt;&gt;"Yes",$AW42&lt;&gt;"N/A"),"Power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",""))="","",LEFT(IF(AND($AW42&lt;&gt;"Yes",$AW42&lt;&gt;"N/A"),"Power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",""),LEN(IF(AND($AW42&lt;&gt;"Yes",$AW42&lt;&gt;"N/A"),"Power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",""))-2)))</f>
      </c>
      <c r="BM42">
        <f>IF($T42="","",IF($BL42="","Yes","Blocked"))</f>
      </c>
      <c r="BP42">
        <f>IF($BO42="","",IFERROR(VLOOKUP($BO42,'01_Warehouse_Ledger'!$A:$N,4,FALSE),""))</f>
      </c>
      <c r="BQ42">
        <f>IF($BO42="","",IFERROR(VLOOKUP($BO42,'01_Warehouse_Ledger'!$A:$N,5,FALSE),""))</f>
      </c>
      <c r="BR42">
        <f>IF($BO42="","",IFERROR(VLOOKUP($BO42,'01_Warehouse_Ledger'!$A:$N,13,FALSE),""))</f>
      </c>
    </row>
    <row r="43">
      <c r="A43" t="s">
        <v>1331</v>
      </c>
      <c r="B43" t="s">
        <v>1657</v>
      </c>
      <c r="C43" t="s">
        <v>1657</v>
      </c>
      <c r="D43">
        <f>IF($B43&lt;&gt;"Yes","",IF($C43="No","Yes",IF($C43="Yes","No","")))</f>
      </c>
      <c r="E43">
        <f>IF($A43="","",IF($A43="Neuron",IF(OR(AND($S43&lt;&gt;"",LOWER(TRIM($S43))&lt;&gt;"n/a",COUNTIF($S$2:$S$532,$S43)&gt;1),AND($T43&lt;&gt;"",LOWER(TRIM($T43))&lt;&gt;"n/a",COUNTIF($T$2:$T$532,$T43)&gt;1),AND($W43&lt;&gt;"",LOWER(TRIM($W43))&lt;&gt;"n/a",COUNTIF($W$2:$W$532,$W43)&gt;1)),"Yes","No"),IF($A43="Cybernet",IF(OR(AND($Y43&lt;&gt;"",LOWER(TRIM($Y43))&lt;&gt;"n/a",COUNTIF($Y$2:$Y$532,$Y43)&gt;1),AND($Z43&lt;&gt;"",LOWER(TRIM($Z43))&lt;&gt;"n/a",COUNTIF($Z$2:$Z$532,$Z43)&gt;1)),"Yes","No"),IF(AND($AL43&lt;&gt;"",LOWER(TRIM($AL43))&lt;&gt;"n/a",COUNTIF($AL$2:$AL$532,$AL43)&gt;1),"Yes","No"))))</f>
      </c>
      <c r="F43">
        <f>IF($B43&lt;&gt;"Yes","",
IF($A43="Neuron",
IF(OR(
AND($S43&lt;&gt;"",LOWER(TRIM($S43))&lt;&gt;"n/a",COUNTIFS($B$2:$B$532,"Yes",$A$2:$A$532,"Neuron",$S$2:$S$532,$S43)&gt;1),
AND($T43&lt;&gt;"",LOWER(TRIM($T43))&lt;&gt;"n/a",COUNTIFS($B$2:$B$532,"Yes",$A$2:$A$532,"Neuron",$T$2:$T$532,$T43)&gt;1),
AND($W43&lt;&gt;"",LOWER(TRIM($W43))&lt;&gt;"n/a",COUNTIFS($B$2:$B$532,"Yes",$A$2:$A$532,"Neuron",$W$2:$W$532,$W43)&gt;1)
),"Yes","No"),
IF($A43="Cybernet",
IF(OR(
AND($Y43&lt;&gt;"",LOWER(TRIM($Y43))&lt;&gt;"n/a",COUNTIFS($B$2:$B$532,"Yes",$A$2:$A$532,"Cybernet",$Y$2:$Y$532,$Y43)&gt;1),
AND($Z43&lt;&gt;"",LOWER(TRIM($Z43))&lt;&gt;"n/a",COUNTIFS($B$2:$B$532,"Yes",$A$2:$A$532,"Cybernet",$Z$2:$Z$532,$Z43)&gt;1)
),"Yes","No"),
IF(AND($AL43&lt;&gt;"",LOWER(TRIM($AL43))&lt;&gt;"n/a"),
IF(COUNTIFS($B$2:$B$532,"Yes",$A$2:$A$532,$A43,$AL$2:$AL$532,$AL43)&gt;1,"Yes","No"),
"No")
)
)
)</f>
      </c>
      <c r="G43" t="s">
        <v>1317</v>
      </c>
      <c r="H43" t="s">
        <v>2106</v>
      </c>
      <c r="J43" t="s">
        <v>2115</v>
      </c>
      <c r="K43" t="s">
        <v>2115</v>
      </c>
      <c r="L43" t="s">
        <v>2115</v>
      </c>
      <c r="S43" t="s">
        <v>2405</v>
      </c>
      <c r="T43" t="s">
        <v>1797</v>
      </c>
      <c r="W43" t="s">
        <v>2149</v>
      </c>
      <c r="BD43" t="s">
        <v>1958</v>
      </c>
      <c r="BL43">
        <f>IF($T43="","",IF((IF(AND($AW43&lt;&gt;"Yes",$AW43&lt;&gt;"N/A"),"Power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",""))="","",LEFT(IF(AND($AW43&lt;&gt;"Yes",$AW43&lt;&gt;"N/A"),"Power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",""),LEN(IF(AND($AW43&lt;&gt;"Yes",$AW43&lt;&gt;"N/A"),"Power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",""))-2)))</f>
      </c>
      <c r="BM43">
        <f>IF($T43="","",IF($BL43="","Yes","Blocked"))</f>
      </c>
      <c r="BP43">
        <f>IF($BO43="","",IFERROR(VLOOKUP($BO43,'01_Warehouse_Ledger'!$A:$N,4,FALSE),""))</f>
      </c>
      <c r="BQ43">
        <f>IF($BO43="","",IFERROR(VLOOKUP($BO43,'01_Warehouse_Ledger'!$A:$N,5,FALSE),""))</f>
      </c>
      <c r="BR43">
        <f>IF($BO43="","",IFERROR(VLOOKUP($BO43,'01_Warehouse_Ledger'!$A:$N,13,FALSE),""))</f>
      </c>
    </row>
    <row r="44">
      <c r="A44" t="s">
        <v>1331</v>
      </c>
      <c r="B44" t="s">
        <v>1657</v>
      </c>
      <c r="C44" t="s">
        <v>1657</v>
      </c>
      <c r="D44">
        <f>IF($B44&lt;&gt;"Yes","",IF($C44="No","Yes",IF($C44="Yes","No","")))</f>
      </c>
      <c r="E44">
        <f>IF($A44="","",IF($A44="Neuron",IF(OR(AND($S44&lt;&gt;"",LOWER(TRIM($S44))&lt;&gt;"n/a",COUNTIF($S$2:$S$532,$S44)&gt;1),AND($T44&lt;&gt;"",LOWER(TRIM($T44))&lt;&gt;"n/a",COUNTIF($T$2:$T$532,$T44)&gt;1),AND($W44&lt;&gt;"",LOWER(TRIM($W44))&lt;&gt;"n/a",COUNTIF($W$2:$W$532,$W44)&gt;1)),"Yes","No"),IF($A44="Cybernet",IF(OR(AND($Y44&lt;&gt;"",LOWER(TRIM($Y44))&lt;&gt;"n/a",COUNTIF($Y$2:$Y$532,$Y44)&gt;1),AND($Z44&lt;&gt;"",LOWER(TRIM($Z44))&lt;&gt;"n/a",COUNTIF($Z$2:$Z$532,$Z44)&gt;1)),"Yes","No"),IF(AND($AL44&lt;&gt;"",LOWER(TRIM($AL44))&lt;&gt;"n/a",COUNTIF($AL$2:$AL$532,$AL44)&gt;1),"Yes","No"))))</f>
      </c>
      <c r="F44">
        <f>IF($B44&lt;&gt;"Yes","",
IF($A44="Neuron",
IF(OR(
AND($S44&lt;&gt;"",LOWER(TRIM($S44))&lt;&gt;"n/a",COUNTIFS($B$2:$B$532,"Yes",$A$2:$A$532,"Neuron",$S$2:$S$532,$S44)&gt;1),
AND($T44&lt;&gt;"",LOWER(TRIM($T44))&lt;&gt;"n/a",COUNTIFS($B$2:$B$532,"Yes",$A$2:$A$532,"Neuron",$T$2:$T$532,$T44)&gt;1),
AND($W44&lt;&gt;"",LOWER(TRIM($W44))&lt;&gt;"n/a",COUNTIFS($B$2:$B$532,"Yes",$A$2:$A$532,"Neuron",$W$2:$W$532,$W44)&gt;1)
),"Yes","No"),
IF($A44="Cybernet",
IF(OR(
AND($Y44&lt;&gt;"",LOWER(TRIM($Y44))&lt;&gt;"n/a",COUNTIFS($B$2:$B$532,"Yes",$A$2:$A$532,"Cybernet",$Y$2:$Y$532,$Y44)&gt;1),
AND($Z44&lt;&gt;"",LOWER(TRIM($Z44))&lt;&gt;"n/a",COUNTIFS($B$2:$B$532,"Yes",$A$2:$A$532,"Cybernet",$Z$2:$Z$532,$Z44)&gt;1)
),"Yes","No"),
IF(AND($AL44&lt;&gt;"",LOWER(TRIM($AL44))&lt;&gt;"n/a"),
IF(COUNTIFS($B$2:$B$532,"Yes",$A$2:$A$532,$A44,$AL$2:$AL$532,$AL44)&gt;1,"Yes","No"),
"No")
)
)
)</f>
      </c>
      <c r="G44" t="s">
        <v>1317</v>
      </c>
      <c r="H44" t="s">
        <v>2106</v>
      </c>
      <c r="J44" t="s">
        <v>2115</v>
      </c>
      <c r="K44" t="s">
        <v>2115</v>
      </c>
      <c r="L44" t="s">
        <v>2115</v>
      </c>
      <c r="S44" t="s">
        <v>1886</v>
      </c>
      <c r="T44" t="s">
        <v>1749</v>
      </c>
      <c r="W44" t="s">
        <v>1943</v>
      </c>
      <c r="BD44" t="s">
        <v>1958</v>
      </c>
      <c r="BL44">
        <f>IF($T44="","",IF((IF(AND($AW44&lt;&gt;"Yes",$AW44&lt;&gt;"N/A"),"Power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",""))="","",LEFT(IF(AND($AW44&lt;&gt;"Yes",$AW44&lt;&gt;"N/A"),"Power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",""),LEN(IF(AND($AW44&lt;&gt;"Yes",$AW44&lt;&gt;"N/A"),"Power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",""))-2)))</f>
      </c>
      <c r="BM44">
        <f>IF($T44="","",IF($BL44="","Yes","Blocked"))</f>
      </c>
      <c r="BP44">
        <f>IF($BO44="","",IFERROR(VLOOKUP($BO44,'01_Warehouse_Ledger'!$A:$N,4,FALSE),""))</f>
      </c>
      <c r="BQ44">
        <f>IF($BO44="","",IFERROR(VLOOKUP($BO44,'01_Warehouse_Ledger'!$A:$N,5,FALSE),""))</f>
      </c>
      <c r="BR44">
        <f>IF($BO44="","",IFERROR(VLOOKUP($BO44,'01_Warehouse_Ledger'!$A:$N,13,FALSE),""))</f>
      </c>
    </row>
    <row r="45">
      <c r="A45" t="s">
        <v>1331</v>
      </c>
      <c r="B45" t="s">
        <v>1657</v>
      </c>
      <c r="C45" t="s">
        <v>1657</v>
      </c>
      <c r="D45">
        <f>IF($B45&lt;&gt;"Yes","",IF($C45="No","Yes",IF($C45="Yes","No","")))</f>
      </c>
      <c r="E45">
        <f>IF($A45="","",IF($A45="Neuron",IF(OR(AND($S45&lt;&gt;"",LOWER(TRIM($S45))&lt;&gt;"n/a",COUNTIF($S$2:$S$532,$S45)&gt;1),AND($T45&lt;&gt;"",LOWER(TRIM($T45))&lt;&gt;"n/a",COUNTIF($T$2:$T$532,$T45)&gt;1),AND($W45&lt;&gt;"",LOWER(TRIM($W45))&lt;&gt;"n/a",COUNTIF($W$2:$W$532,$W45)&gt;1)),"Yes","No"),IF($A45="Cybernet",IF(OR(AND($Y45&lt;&gt;"",LOWER(TRIM($Y45))&lt;&gt;"n/a",COUNTIF($Y$2:$Y$532,$Y45)&gt;1),AND($Z45&lt;&gt;"",LOWER(TRIM($Z45))&lt;&gt;"n/a",COUNTIF($Z$2:$Z$532,$Z45)&gt;1)),"Yes","No"),IF(AND($AL45&lt;&gt;"",LOWER(TRIM($AL45))&lt;&gt;"n/a",COUNTIF($AL$2:$AL$532,$AL45)&gt;1),"Yes","No"))))</f>
      </c>
      <c r="F45">
        <f>IF($B45&lt;&gt;"Yes","",
IF($A45="Neuron",
IF(OR(
AND($S45&lt;&gt;"",LOWER(TRIM($S45))&lt;&gt;"n/a",COUNTIFS($B$2:$B$532,"Yes",$A$2:$A$532,"Neuron",$S$2:$S$532,$S45)&gt;1),
AND($T45&lt;&gt;"",LOWER(TRIM($T45))&lt;&gt;"n/a",COUNTIFS($B$2:$B$532,"Yes",$A$2:$A$532,"Neuron",$T$2:$T$532,$T45)&gt;1),
AND($W45&lt;&gt;"",LOWER(TRIM($W45))&lt;&gt;"n/a",COUNTIFS($B$2:$B$532,"Yes",$A$2:$A$532,"Neuron",$W$2:$W$532,$W45)&gt;1)
),"Yes","No"),
IF($A45="Cybernet",
IF(OR(
AND($Y45&lt;&gt;"",LOWER(TRIM($Y45))&lt;&gt;"n/a",COUNTIFS($B$2:$B$532,"Yes",$A$2:$A$532,"Cybernet",$Y$2:$Y$532,$Y45)&gt;1),
AND($Z45&lt;&gt;"",LOWER(TRIM($Z45))&lt;&gt;"n/a",COUNTIFS($B$2:$B$532,"Yes",$A$2:$A$532,"Cybernet",$Z$2:$Z$532,$Z45)&gt;1)
),"Yes","No"),
IF(AND($AL45&lt;&gt;"",LOWER(TRIM($AL45))&lt;&gt;"n/a"),
IF(COUNTIFS($B$2:$B$532,"Yes",$A$2:$A$532,$A45,$AL$2:$AL$532,$AL45)&gt;1,"Yes","No"),
"No")
)
)
)</f>
      </c>
      <c r="G45" t="s">
        <v>1317</v>
      </c>
      <c r="H45" t="s">
        <v>2106</v>
      </c>
      <c r="J45" t="s">
        <v>2115</v>
      </c>
      <c r="K45" t="s">
        <v>2115</v>
      </c>
      <c r="L45" t="s">
        <v>2115</v>
      </c>
      <c r="S45" t="s">
        <v>1762</v>
      </c>
      <c r="T45" t="s">
        <v>1793</v>
      </c>
      <c r="W45" t="s">
        <v>2410</v>
      </c>
      <c r="BD45" t="s">
        <v>1958</v>
      </c>
      <c r="BL45">
        <f>IF($T45="","",IF((IF(AND($AW45&lt;&gt;"Yes",$AW45&lt;&gt;"N/A"),"Power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",""))="","",LEFT(IF(AND($AW45&lt;&gt;"Yes",$AW45&lt;&gt;"N/A"),"Power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",""),LEN(IF(AND($AW45&lt;&gt;"Yes",$AW45&lt;&gt;"N/A"),"Power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",""))-2)))</f>
      </c>
      <c r="BM45">
        <f>IF($T45="","",IF($BL45="","Yes","Blocked"))</f>
      </c>
      <c r="BP45">
        <f>IF($BO45="","",IFERROR(VLOOKUP($BO45,'01_Warehouse_Ledger'!$A:$N,4,FALSE),""))</f>
      </c>
      <c r="BQ45">
        <f>IF($BO45="","",IFERROR(VLOOKUP($BO45,'01_Warehouse_Ledger'!$A:$N,5,FALSE),""))</f>
      </c>
      <c r="BR45">
        <f>IF($BO45="","",IFERROR(VLOOKUP($BO45,'01_Warehouse_Ledger'!$A:$N,13,FALSE),""))</f>
      </c>
    </row>
    <row r="46">
      <c r="A46" t="s">
        <v>1331</v>
      </c>
      <c r="B46" t="s">
        <v>1657</v>
      </c>
      <c r="C46" t="s">
        <v>1657</v>
      </c>
      <c r="D46">
        <f>IF($B46&lt;&gt;"Yes","",IF($C46="No","Yes",IF($C46="Yes","No","")))</f>
      </c>
      <c r="E46">
        <f>IF($A46="","",IF($A46="Neuron",IF(OR(AND($S46&lt;&gt;"",LOWER(TRIM($S46))&lt;&gt;"n/a",COUNTIF($S$2:$S$532,$S46)&gt;1),AND($T46&lt;&gt;"",LOWER(TRIM($T46))&lt;&gt;"n/a",COUNTIF($T$2:$T$532,$T46)&gt;1),AND($W46&lt;&gt;"",LOWER(TRIM($W46))&lt;&gt;"n/a",COUNTIF($W$2:$W$532,$W46)&gt;1)),"Yes","No"),IF($A46="Cybernet",IF(OR(AND($Y46&lt;&gt;"",LOWER(TRIM($Y46))&lt;&gt;"n/a",COUNTIF($Y$2:$Y$532,$Y46)&gt;1),AND($Z46&lt;&gt;"",LOWER(TRIM($Z46))&lt;&gt;"n/a",COUNTIF($Z$2:$Z$532,$Z46)&gt;1)),"Yes","No"),IF(AND($AL46&lt;&gt;"",LOWER(TRIM($AL46))&lt;&gt;"n/a",COUNTIF($AL$2:$AL$532,$AL46)&gt;1),"Yes","No"))))</f>
      </c>
      <c r="F46">
        <f>IF($B46&lt;&gt;"Yes","",
IF($A46="Neuron",
IF(OR(
AND($S46&lt;&gt;"",LOWER(TRIM($S46))&lt;&gt;"n/a",COUNTIFS($B$2:$B$532,"Yes",$A$2:$A$532,"Neuron",$S$2:$S$532,$S46)&gt;1),
AND($T46&lt;&gt;"",LOWER(TRIM($T46))&lt;&gt;"n/a",COUNTIFS($B$2:$B$532,"Yes",$A$2:$A$532,"Neuron",$T$2:$T$532,$T46)&gt;1),
AND($W46&lt;&gt;"",LOWER(TRIM($W46))&lt;&gt;"n/a",COUNTIFS($B$2:$B$532,"Yes",$A$2:$A$532,"Neuron",$W$2:$W$532,$W46)&gt;1)
),"Yes","No"),
IF($A46="Cybernet",
IF(OR(
AND($Y46&lt;&gt;"",LOWER(TRIM($Y46))&lt;&gt;"n/a",COUNTIFS($B$2:$B$532,"Yes",$A$2:$A$532,"Cybernet",$Y$2:$Y$532,$Y46)&gt;1),
AND($Z46&lt;&gt;"",LOWER(TRIM($Z46))&lt;&gt;"n/a",COUNTIFS($B$2:$B$532,"Yes",$A$2:$A$532,"Cybernet",$Z$2:$Z$532,$Z46)&gt;1)
),"Yes","No"),
IF(AND($AL46&lt;&gt;"",LOWER(TRIM($AL46))&lt;&gt;"n/a"),
IF(COUNTIFS($B$2:$B$532,"Yes",$A$2:$A$532,$A46,$AL$2:$AL$532,$AL46)&gt;1,"Yes","No"),
"No")
)
)
)</f>
      </c>
      <c r="G46" t="s">
        <v>1317</v>
      </c>
      <c r="H46" t="s">
        <v>2106</v>
      </c>
      <c r="S46" t="s">
        <v>1923</v>
      </c>
      <c r="T46" t="s">
        <v>2147</v>
      </c>
      <c r="W46" t="s">
        <v>2336</v>
      </c>
      <c r="BL46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</c>
      <c r="BM46">
        <f>IF($T46="","",IF($BL46="","Yes","Blocked"))</f>
      </c>
      <c r="BP46">
        <f>IF($BO46="","",IFERROR(VLOOKUP($BO46,'01_Warehouse_Ledger'!$A:$N,4,FALSE),""))</f>
      </c>
      <c r="BQ46">
        <f>IF($BO46="","",IFERROR(VLOOKUP($BO46,'01_Warehouse_Ledger'!$A:$N,5,FALSE),""))</f>
      </c>
      <c r="BR46">
        <f>IF($BO46="","",IFERROR(VLOOKUP($BO46,'01_Warehouse_Ledger'!$A:$N,13,FALSE),""))</f>
      </c>
    </row>
    <row r="47">
      <c r="A47" t="s">
        <v>1331</v>
      </c>
      <c r="B47" t="s">
        <v>1657</v>
      </c>
      <c r="C47" t="s">
        <v>1657</v>
      </c>
      <c r="D47">
        <f>IF($B47&lt;&gt;"Yes","",IF($C47="No","Yes",IF($C47="Yes","No","")))</f>
      </c>
      <c r="E47">
        <f>IF($A47="","",IF($A47="Neuron",IF(OR(AND($S47&lt;&gt;"",LOWER(TRIM($S47))&lt;&gt;"n/a",COUNTIF($S$2:$S$532,$S47)&gt;1),AND($T47&lt;&gt;"",LOWER(TRIM($T47))&lt;&gt;"n/a",COUNTIF($T$2:$T$532,$T47)&gt;1),AND($W47&lt;&gt;"",LOWER(TRIM($W47))&lt;&gt;"n/a",COUNTIF($W$2:$W$532,$W47)&gt;1)),"Yes","No"),IF($A47="Cybernet",IF(OR(AND($Y47&lt;&gt;"",LOWER(TRIM($Y47))&lt;&gt;"n/a",COUNTIF($Y$2:$Y$532,$Y47)&gt;1),AND($Z47&lt;&gt;"",LOWER(TRIM($Z47))&lt;&gt;"n/a",COUNTIF($Z$2:$Z$532,$Z47)&gt;1)),"Yes","No"),IF(AND($AL47&lt;&gt;"",LOWER(TRIM($AL47))&lt;&gt;"n/a",COUNTIF($AL$2:$AL$532,$AL47)&gt;1),"Yes","No"))))</f>
      </c>
      <c r="F47">
        <f>IF($B47&lt;&gt;"Yes","",
IF($A47="Neuron",
IF(OR(
AND($S47&lt;&gt;"",LOWER(TRIM($S47))&lt;&gt;"n/a",COUNTIFS($B$2:$B$532,"Yes",$A$2:$A$532,"Neuron",$S$2:$S$532,$S47)&gt;1),
AND($T47&lt;&gt;"",LOWER(TRIM($T47))&lt;&gt;"n/a",COUNTIFS($B$2:$B$532,"Yes",$A$2:$A$532,"Neuron",$T$2:$T$532,$T47)&gt;1),
AND($W47&lt;&gt;"",LOWER(TRIM($W47))&lt;&gt;"n/a",COUNTIFS($B$2:$B$532,"Yes",$A$2:$A$532,"Neuron",$W$2:$W$532,$W47)&gt;1)
),"Yes","No"),
IF($A47="Cybernet",
IF(OR(
AND($Y47&lt;&gt;"",LOWER(TRIM($Y47))&lt;&gt;"n/a",COUNTIFS($B$2:$B$532,"Yes",$A$2:$A$532,"Cybernet",$Y$2:$Y$532,$Y47)&gt;1),
AND($Z47&lt;&gt;"",LOWER(TRIM($Z47))&lt;&gt;"n/a",COUNTIFS($B$2:$B$532,"Yes",$A$2:$A$532,"Cybernet",$Z$2:$Z$532,$Z47)&gt;1)
),"Yes","No"),
IF(AND($AL47&lt;&gt;"",LOWER(TRIM($AL47))&lt;&gt;"n/a"),
IF(COUNTIFS($B$2:$B$532,"Yes",$A$2:$A$532,$A47,$AL$2:$AL$532,$AL47)&gt;1,"Yes","No"),
"No")
)
)
)</f>
      </c>
      <c r="G47" t="s">
        <v>1317</v>
      </c>
      <c r="H47" t="s">
        <v>2106</v>
      </c>
      <c r="J47" t="s">
        <v>2115</v>
      </c>
      <c r="K47" t="s">
        <v>2115</v>
      </c>
      <c r="L47" t="s">
        <v>2115</v>
      </c>
      <c r="S47" t="s">
        <v>2129</v>
      </c>
      <c r="T47" t="s">
        <v>2071</v>
      </c>
      <c r="W47" t="s">
        <v>1748</v>
      </c>
      <c r="BD47" t="s">
        <v>1958</v>
      </c>
      <c r="BL47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</c>
      <c r="BM47">
        <f>IF($T47="","",IF($BL47="","Yes","Blocked"))</f>
      </c>
      <c r="BP47">
        <f>IF($BO47="","",IFERROR(VLOOKUP($BO47,'01_Warehouse_Ledger'!$A:$N,4,FALSE),""))</f>
      </c>
      <c r="BQ47">
        <f>IF($BO47="","",IFERROR(VLOOKUP($BO47,'01_Warehouse_Ledger'!$A:$N,5,FALSE),""))</f>
      </c>
      <c r="BR47">
        <f>IF($BO47="","",IFERROR(VLOOKUP($BO47,'01_Warehouse_Ledger'!$A:$N,13,FALSE),""))</f>
      </c>
    </row>
    <row r="48">
      <c r="A48" t="s">
        <v>1331</v>
      </c>
      <c r="B48" t="s">
        <v>1657</v>
      </c>
      <c r="C48" t="s">
        <v>1657</v>
      </c>
      <c r="D48">
        <f>IF($B48&lt;&gt;"Yes","",IF($C48="No","Yes",IF($C48="Yes","No","")))</f>
      </c>
      <c r="E48">
        <f>IF($A48="","",IF($A48="Neuron",IF(OR(AND($S48&lt;&gt;"",LOWER(TRIM($S48))&lt;&gt;"n/a",COUNTIF($S$2:$S$532,$S48)&gt;1),AND($T48&lt;&gt;"",LOWER(TRIM($T48))&lt;&gt;"n/a",COUNTIF($T$2:$T$532,$T48)&gt;1),AND($W48&lt;&gt;"",LOWER(TRIM($W48))&lt;&gt;"n/a",COUNTIF($W$2:$W$532,$W48)&gt;1)),"Yes","No"),IF($A48="Cybernet",IF(OR(AND($Y48&lt;&gt;"",LOWER(TRIM($Y48))&lt;&gt;"n/a",COUNTIF($Y$2:$Y$532,$Y48)&gt;1),AND($Z48&lt;&gt;"",LOWER(TRIM($Z48))&lt;&gt;"n/a",COUNTIF($Z$2:$Z$532,$Z48)&gt;1)),"Yes","No"),IF(AND($AL48&lt;&gt;"",LOWER(TRIM($AL48))&lt;&gt;"n/a",COUNTIF($AL$2:$AL$532,$AL48)&gt;1),"Yes","No"))))</f>
      </c>
      <c r="F48">
        <f>IF($B48&lt;&gt;"Yes","",
IF($A48="Neuron",
IF(OR(
AND($S48&lt;&gt;"",LOWER(TRIM($S48))&lt;&gt;"n/a",COUNTIFS($B$2:$B$532,"Yes",$A$2:$A$532,"Neuron",$S$2:$S$532,$S48)&gt;1),
AND($T48&lt;&gt;"",LOWER(TRIM($T48))&lt;&gt;"n/a",COUNTIFS($B$2:$B$532,"Yes",$A$2:$A$532,"Neuron",$T$2:$T$532,$T48)&gt;1),
AND($W48&lt;&gt;"",LOWER(TRIM($W48))&lt;&gt;"n/a",COUNTIFS($B$2:$B$532,"Yes",$A$2:$A$532,"Neuron",$W$2:$W$532,$W48)&gt;1)
),"Yes","No"),
IF($A48="Cybernet",
IF(OR(
AND($Y48&lt;&gt;"",LOWER(TRIM($Y48))&lt;&gt;"n/a",COUNTIFS($B$2:$B$532,"Yes",$A$2:$A$532,"Cybernet",$Y$2:$Y$532,$Y48)&gt;1),
AND($Z48&lt;&gt;"",LOWER(TRIM($Z48))&lt;&gt;"n/a",COUNTIFS($B$2:$B$532,"Yes",$A$2:$A$532,"Cybernet",$Z$2:$Z$532,$Z48)&gt;1)
),"Yes","No"),
IF(AND($AL48&lt;&gt;"",LOWER(TRIM($AL48))&lt;&gt;"n/a"),
IF(COUNTIFS($B$2:$B$532,"Yes",$A$2:$A$532,$A48,$AL$2:$AL$532,$AL48)&gt;1,"Yes","No"),
"No")
)
)
)</f>
      </c>
      <c r="G48" t="s">
        <v>1317</v>
      </c>
      <c r="H48" t="s">
        <v>2106</v>
      </c>
      <c r="J48" t="s">
        <v>2115</v>
      </c>
      <c r="K48" t="s">
        <v>2115</v>
      </c>
      <c r="L48" t="s">
        <v>2115</v>
      </c>
      <c r="S48" t="s">
        <v>1654</v>
      </c>
      <c r="T48" t="s">
        <v>1771</v>
      </c>
      <c r="W48" t="s">
        <v>2227</v>
      </c>
      <c r="BD48" t="s">
        <v>1958</v>
      </c>
      <c r="BL48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</c>
      <c r="BM48">
        <f>IF($T48="","",IF($BL48="","Yes","Blocked"))</f>
      </c>
      <c r="BP48">
        <f>IF($BO48="","",IFERROR(VLOOKUP($BO48,'01_Warehouse_Ledger'!$A:$N,4,FALSE),""))</f>
      </c>
      <c r="BQ48">
        <f>IF($BO48="","",IFERROR(VLOOKUP($BO48,'01_Warehouse_Ledger'!$A:$N,5,FALSE),""))</f>
      </c>
      <c r="BR48">
        <f>IF($BO48="","",IFERROR(VLOOKUP($BO48,'01_Warehouse_Ledger'!$A:$N,13,FALSE),""))</f>
      </c>
    </row>
    <row r="49">
      <c r="A49" t="s">
        <v>1331</v>
      </c>
      <c r="B49" t="s">
        <v>1657</v>
      </c>
      <c r="C49" t="s">
        <v>1657</v>
      </c>
      <c r="D49">
        <f>IF($B49&lt;&gt;"Yes","",IF($C49="No","Yes",IF($C49="Yes","No","")))</f>
      </c>
      <c r="E49">
        <f>IF($A49="","",IF($A49="Neuron",IF(OR(AND($S49&lt;&gt;"",LOWER(TRIM($S49))&lt;&gt;"n/a",COUNTIF($S$2:$S$532,$S49)&gt;1),AND($T49&lt;&gt;"",LOWER(TRIM($T49))&lt;&gt;"n/a",COUNTIF($T$2:$T$532,$T49)&gt;1),AND($W49&lt;&gt;"",LOWER(TRIM($W49))&lt;&gt;"n/a",COUNTIF($W$2:$W$532,$W49)&gt;1)),"Yes","No"),IF($A49="Cybernet",IF(OR(AND($Y49&lt;&gt;"",LOWER(TRIM($Y49))&lt;&gt;"n/a",COUNTIF($Y$2:$Y$532,$Y49)&gt;1),AND($Z49&lt;&gt;"",LOWER(TRIM($Z49))&lt;&gt;"n/a",COUNTIF($Z$2:$Z$532,$Z49)&gt;1)),"Yes","No"),IF(AND($AL49&lt;&gt;"",LOWER(TRIM($AL49))&lt;&gt;"n/a",COUNTIF($AL$2:$AL$532,$AL49)&gt;1),"Yes","No"))))</f>
      </c>
      <c r="F49">
        <f>IF($B49&lt;&gt;"Yes","",
IF($A49="Neuron",
IF(OR(
AND($S49&lt;&gt;"",LOWER(TRIM($S49))&lt;&gt;"n/a",COUNTIFS($B$2:$B$532,"Yes",$A$2:$A$532,"Neuron",$S$2:$S$532,$S49)&gt;1),
AND($T49&lt;&gt;"",LOWER(TRIM($T49))&lt;&gt;"n/a",COUNTIFS($B$2:$B$532,"Yes",$A$2:$A$532,"Neuron",$T$2:$T$532,$T49)&gt;1),
AND($W49&lt;&gt;"",LOWER(TRIM($W49))&lt;&gt;"n/a",COUNTIFS($B$2:$B$532,"Yes",$A$2:$A$532,"Neuron",$W$2:$W$532,$W49)&gt;1)
),"Yes","No"),
IF($A49="Cybernet",
IF(OR(
AND($Y49&lt;&gt;"",LOWER(TRIM($Y49))&lt;&gt;"n/a",COUNTIFS($B$2:$B$532,"Yes",$A$2:$A$532,"Cybernet",$Y$2:$Y$532,$Y49)&gt;1),
AND($Z49&lt;&gt;"",LOWER(TRIM($Z49))&lt;&gt;"n/a",COUNTIFS($B$2:$B$532,"Yes",$A$2:$A$532,"Cybernet",$Z$2:$Z$532,$Z49)&gt;1)
),"Yes","No"),
IF(AND($AL49&lt;&gt;"",LOWER(TRIM($AL49))&lt;&gt;"n/a"),
IF(COUNTIFS($B$2:$B$532,"Yes",$A$2:$A$532,$A49,$AL$2:$AL$532,$AL49)&gt;1,"Yes","No"),
"No")
)
)
)</f>
      </c>
      <c r="G49" t="s">
        <v>1317</v>
      </c>
      <c r="H49" t="s">
        <v>2106</v>
      </c>
      <c r="J49" t="s">
        <v>2115</v>
      </c>
      <c r="K49" t="s">
        <v>2115</v>
      </c>
      <c r="L49" t="s">
        <v>2115</v>
      </c>
      <c r="S49" t="s">
        <v>1619</v>
      </c>
      <c r="T49" t="s">
        <v>1920</v>
      </c>
      <c r="W49" t="s">
        <v>1722</v>
      </c>
      <c r="BD49" t="s">
        <v>1958</v>
      </c>
      <c r="BL49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</c>
      <c r="BM49">
        <f>IF($T49="","",IF($BL49="","Yes","Blocked"))</f>
      </c>
      <c r="BP49">
        <f>IF($BO49="","",IFERROR(VLOOKUP($BO49,'01_Warehouse_Ledger'!$A:$N,4,FALSE),""))</f>
      </c>
      <c r="BQ49">
        <f>IF($BO49="","",IFERROR(VLOOKUP($BO49,'01_Warehouse_Ledger'!$A:$N,5,FALSE),""))</f>
      </c>
      <c r="BR49">
        <f>IF($BO49="","",IFERROR(VLOOKUP($BO49,'01_Warehouse_Ledger'!$A:$N,13,FALSE),""))</f>
      </c>
    </row>
    <row r="50">
      <c r="A50" t="s">
        <v>1415</v>
      </c>
      <c r="B50" t="s">
        <v>1657</v>
      </c>
      <c r="C50" t="s">
        <v>1657</v>
      </c>
      <c r="D50">
        <f>IF($B50&lt;&gt;"Yes","",IF($C50="No","Yes",IF($C50="Yes","No","")))</f>
      </c>
      <c r="E50">
        <f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</c>
      <c r="F50">
        <f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</c>
      <c r="G50" t="s">
        <v>1880</v>
      </c>
      <c r="H50" t="s">
        <v>1638</v>
      </c>
      <c r="I50" t="s">
        <v>1831</v>
      </c>
      <c r="J50" t="s">
        <v>1727</v>
      </c>
      <c r="K50" t="s">
        <v>1657</v>
      </c>
      <c r="L50" t="s">
        <v>1657</v>
      </c>
      <c r="R50" t="s">
        <v>1767</v>
      </c>
      <c r="Y50" t="s">
        <v>1627</v>
      </c>
      <c r="Z50" t="s">
        <v>1773</v>
      </c>
      <c r="AJ50" t="s">
        <v>1860</v>
      </c>
      <c r="AK50" t="s">
        <v>1629</v>
      </c>
      <c r="BC50" t="s">
        <v>2092</v>
      </c>
      <c r="BD50" t="s">
        <v>1958</v>
      </c>
      <c r="BI50" t="s">
        <v>1630</v>
      </c>
      <c r="BL50">
        <f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</c>
      <c r="BM50">
        <f>IF($T50="","",IF($BL50="","Yes","Blocked"))</f>
      </c>
      <c r="BP50">
        <f>IF($BO50="","",IFERROR(VLOOKUP($BO50,'01_Warehouse_Ledger'!$A:$N,4,FALSE),""))</f>
      </c>
      <c r="BQ50">
        <f>IF($BO50="","",IFERROR(VLOOKUP($BO50,'01_Warehouse_Ledger'!$A:$N,5,FALSE),""))</f>
      </c>
      <c r="BR50">
        <f>IF($BO50="","",IFERROR(VLOOKUP($BO50,'01_Warehouse_Ledger'!$A:$N,13,FALSE),""))</f>
      </c>
    </row>
    <row r="51">
      <c r="A51" t="s">
        <v>1415</v>
      </c>
      <c r="B51" t="s">
        <v>1657</v>
      </c>
      <c r="C51" t="s">
        <v>1657</v>
      </c>
      <c r="D51">
        <f>IF($B51&lt;&gt;"Yes","",IF($C51="No","Yes",IF($C51="Yes","No","")))</f>
      </c>
      <c r="E51">
        <f>IF($A51="","",IF($A51="Neuron",IF(OR(AND($R51&lt;&gt;"",LOWER(TRIM($R51))&lt;&gt;"n/a",COUNTIF($S$2:$S$532,$R51)&gt;1),AND($T51&lt;&gt;"",LOWER(TRIM($T51))&lt;&gt;"n/a",COUNTIF($T$2:$T$532,$T51)&gt;1),AND($W51&lt;&gt;"",LOWER(TRIM($W51))&lt;&gt;"n/a",COUNTIF($W$2:$W$532,$W51)&gt;1)),"Yes","No"),IF($A51="Cybernet",IF(OR(AND($Y51&lt;&gt;"",LOWER(TRIM($Y51))&lt;&gt;"n/a",COUNTIF($Y$2:$Y$532,$Y51)&gt;1),AND($Z51&lt;&gt;"",LOWER(TRIM($Z51))&lt;&gt;"n/a",COUNTIF($Z$2:$Z$532,$Z51)&gt;1)),"Yes","No"),IF(AND($AL51&lt;&gt;"",LOWER(TRIM($AL51))&lt;&gt;"n/a",COUNTIF($AL$2:$AL$532,$AL51)&gt;1),"Yes","No"))))</f>
      </c>
      <c r="F51">
        <f>IF($B51&lt;&gt;"Yes","",
IF($A51="Neuron",
IF(OR(
AND($R51&lt;&gt;"",LOWER(TRIM($R51))&lt;&gt;"n/a",COUNTIFS($B$2:$B$532,"Yes",$A$2:$A$532,"Neuron",$S$2:$S$532,$R51)&gt;1),
AND($T51&lt;&gt;"",LOWER(TRIM($T51))&lt;&gt;"n/a",COUNTIFS($B$2:$B$532,"Yes",$A$2:$A$532,"Neuron",$T$2:$T$532,$T51)&gt;1),
AND($W51&lt;&gt;"",LOWER(TRIM($W51))&lt;&gt;"n/a",COUNTIFS($B$2:$B$532,"Yes",$A$2:$A$532,"Neuron",$W$2:$W$532,$W51)&gt;1)
),"Yes","No"),
IF($A51="Cybernet",
IF(OR(
AND($Y51&lt;&gt;"",LOWER(TRIM($Y51))&lt;&gt;"n/a",COUNTIFS($B$2:$B$532,"Yes",$A$2:$A$532,"Cybernet",$Y$2:$Y$532,$Y51)&gt;1),
AND($Z51&lt;&gt;"",LOWER(TRIM($Z51))&lt;&gt;"n/a",COUNTIFS($B$2:$B$532,"Yes",$A$2:$A$532,"Cybernet",$Z$2:$Z$532,$Z51)&gt;1)
),"Yes","No"),
IF(AND($AL51&lt;&gt;"",LOWER(TRIM($AL51))&lt;&gt;"n/a"),
IF(COUNTIFS($B$2:$B$532,"Yes",$A$2:$A$532,$A51,$AL$2:$AL$532,$AL51)&gt;1,"Yes","No"),
"No")
)
)
)</f>
      </c>
      <c r="G51" t="s">
        <v>1880</v>
      </c>
      <c r="H51" t="s">
        <v>1638</v>
      </c>
      <c r="I51" t="s">
        <v>1831</v>
      </c>
      <c r="J51" t="s">
        <v>1727</v>
      </c>
      <c r="K51" t="s">
        <v>1657</v>
      </c>
      <c r="L51" t="s">
        <v>1657</v>
      </c>
      <c r="R51" t="s">
        <v>2189</v>
      </c>
      <c r="Y51" t="s">
        <v>2099</v>
      </c>
      <c r="Z51" t="s">
        <v>1718</v>
      </c>
      <c r="AJ51" t="s">
        <v>1860</v>
      </c>
      <c r="AK51" t="s">
        <v>1629</v>
      </c>
      <c r="BC51" t="s">
        <v>2092</v>
      </c>
      <c r="BD51" t="s">
        <v>1958</v>
      </c>
      <c r="BI51" t="s">
        <v>1630</v>
      </c>
      <c r="BL51">
        <f>IF($T51="","",IF((IF(AND($AW51&lt;&gt;"Yes",$AW51&lt;&gt;"N/A"),"Power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",""))="","",LEFT(IF(AND($AW51&lt;&gt;"Yes",$AW51&lt;&gt;"N/A"),"Power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",""),LEN(IF(AND($AW51&lt;&gt;"Yes",$AW51&lt;&gt;"N/A"),"Power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",""))-2)))</f>
      </c>
      <c r="BM51">
        <f>IF($T51="","",IF($BL51="","Yes","Blocked"))</f>
      </c>
      <c r="BP51">
        <f>IF($BO51="","",IFERROR(VLOOKUP($BO51,'01_Warehouse_Ledger'!$A:$N,4,FALSE),""))</f>
      </c>
      <c r="BQ51">
        <f>IF($BO51="","",IFERROR(VLOOKUP($BO51,'01_Warehouse_Ledger'!$A:$N,5,FALSE),""))</f>
      </c>
      <c r="BR51">
        <f>IF($BO51="","",IFERROR(VLOOKUP($BO51,'01_Warehouse_Ledger'!$A:$N,13,FALSE),""))</f>
      </c>
    </row>
    <row r="52">
      <c r="A52" t="s">
        <v>1415</v>
      </c>
      <c r="B52" t="s">
        <v>1657</v>
      </c>
      <c r="C52" t="s">
        <v>1657</v>
      </c>
      <c r="D52">
        <f>IF($B52&lt;&gt;"Yes","",IF($C52="No","Yes",IF($C52="Yes","No","")))</f>
      </c>
      <c r="E52">
        <f>IF($A52="","",IF($A52="Neuron",IF(OR(AND($R52&lt;&gt;"",LOWER(TRIM($R52))&lt;&gt;"n/a",COUNTIF($S$2:$S$532,$R52)&gt;1),AND($T52&lt;&gt;"",LOWER(TRIM($T52))&lt;&gt;"n/a",COUNTIF($T$2:$T$532,$T52)&gt;1),AND($W52&lt;&gt;"",LOWER(TRIM($W52))&lt;&gt;"n/a",COUNTIF($W$2:$W$532,$W52)&gt;1)),"Yes","No"),IF($A52="Cybernet",IF(OR(AND($Y52&lt;&gt;"",LOWER(TRIM($Y52))&lt;&gt;"n/a",COUNTIF($Y$2:$Y$532,$Y52)&gt;1),AND($Z52&lt;&gt;"",LOWER(TRIM($Z52))&lt;&gt;"n/a",COUNTIF($Z$2:$Z$532,$Z52)&gt;1)),"Yes","No"),IF(AND($AL52&lt;&gt;"",LOWER(TRIM($AL52))&lt;&gt;"n/a",COUNTIF($AL$2:$AL$532,$AL52)&gt;1),"Yes","No"))))</f>
      </c>
      <c r="F52">
        <f>IF($B52&lt;&gt;"Yes","",
IF($A52="Neuron",
IF(OR(
AND($R52&lt;&gt;"",LOWER(TRIM($R52))&lt;&gt;"n/a",COUNTIFS($B$2:$B$532,"Yes",$A$2:$A$532,"Neuron",$S$2:$S$532,$R52)&gt;1),
AND($T52&lt;&gt;"",LOWER(TRIM($T52))&lt;&gt;"n/a",COUNTIFS($B$2:$B$532,"Yes",$A$2:$A$532,"Neuron",$T$2:$T$532,$T52)&gt;1),
AND($W52&lt;&gt;"",LOWER(TRIM($W52))&lt;&gt;"n/a",COUNTIFS($B$2:$B$532,"Yes",$A$2:$A$532,"Neuron",$W$2:$W$532,$W52)&gt;1)
),"Yes","No"),
IF($A52="Cybernet",
IF(OR(
AND($Y52&lt;&gt;"",LOWER(TRIM($Y52))&lt;&gt;"n/a",COUNTIFS($B$2:$B$532,"Yes",$A$2:$A$532,"Cybernet",$Y$2:$Y$532,$Y52)&gt;1),
AND($Z52&lt;&gt;"",LOWER(TRIM($Z52))&lt;&gt;"n/a",COUNTIFS($B$2:$B$532,"Yes",$A$2:$A$532,"Cybernet",$Z$2:$Z$532,$Z52)&gt;1)
),"Yes","No"),
IF(AND($AL52&lt;&gt;"",LOWER(TRIM($AL52))&lt;&gt;"n/a"),
IF(COUNTIFS($B$2:$B$532,"Yes",$A$2:$A$532,$A52,$AL$2:$AL$532,$AL52)&gt;1,"Yes","No"),
"No")
)
)
)</f>
      </c>
      <c r="G52" t="s">
        <v>1880</v>
      </c>
      <c r="H52" t="s">
        <v>1437</v>
      </c>
      <c r="I52" t="s">
        <v>1831</v>
      </c>
      <c r="J52" t="s">
        <v>1727</v>
      </c>
      <c r="K52" t="s">
        <v>1657</v>
      </c>
      <c r="L52" t="s">
        <v>1657</v>
      </c>
      <c r="R52" t="s">
        <v>2196</v>
      </c>
      <c r="Y52" t="s">
        <v>2262</v>
      </c>
      <c r="Z52" t="s">
        <v>2088</v>
      </c>
      <c r="BC52" t="s">
        <v>1659</v>
      </c>
      <c r="BI52" t="s">
        <v>1630</v>
      </c>
      <c r="BL52">
        <f>IF($T52="","",IF((IF(AND($AW52&lt;&gt;"Yes",$AW52&lt;&gt;"N/A"),"Power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",""))="","",LEFT(IF(AND($AW52&lt;&gt;"Yes",$AW52&lt;&gt;"N/A"),"Power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",""),LEN(IF(AND($AW52&lt;&gt;"Yes",$AW52&lt;&gt;"N/A"),"Power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",""))-2)))</f>
      </c>
      <c r="BM52">
        <f>IF($T52="","",IF($BL52="","Yes","Blocked"))</f>
      </c>
      <c r="BP52">
        <f>IF($BO52="","",IFERROR(VLOOKUP($BO52,'01_Warehouse_Ledger'!$A:$N,4,FALSE),""))</f>
      </c>
      <c r="BQ52">
        <f>IF($BO52="","",IFERROR(VLOOKUP($BO52,'01_Warehouse_Ledger'!$A:$N,5,FALSE),""))</f>
      </c>
      <c r="BR52">
        <f>IF($BO52="","",IFERROR(VLOOKUP($BO52,'01_Warehouse_Ledger'!$A:$N,13,FALSE),""))</f>
      </c>
    </row>
    <row r="53">
      <c r="A53" t="s">
        <v>1415</v>
      </c>
      <c r="B53" t="s">
        <v>1657</v>
      </c>
      <c r="C53" t="s">
        <v>1657</v>
      </c>
      <c r="D53">
        <f>IF($B53&lt;&gt;"Yes","",IF($C53="No","Yes",IF($C53="Yes","No","")))</f>
      </c>
      <c r="E53">
        <f>IF($A53="","",IF($A53="Neuron",IF(OR(AND($R53&lt;&gt;"",LOWER(TRIM($R53))&lt;&gt;"n/a",COUNTIF($S$2:$S$532,$R53)&gt;1),AND($T53&lt;&gt;"",LOWER(TRIM($T53))&lt;&gt;"n/a",COUNTIF($T$2:$T$532,$T53)&gt;1),AND($W53&lt;&gt;"",LOWER(TRIM($W53))&lt;&gt;"n/a",COUNTIF($W$2:$W$532,$W53)&gt;1)),"Yes","No"),IF($A53="Cybernet",IF(OR(AND($Y53&lt;&gt;"",LOWER(TRIM($Y53))&lt;&gt;"n/a",COUNTIF($Y$2:$Y$532,$Y53)&gt;1),AND($Z53&lt;&gt;"",LOWER(TRIM($Z53))&lt;&gt;"n/a",COUNTIF($Z$2:$Z$532,$Z53)&gt;1)),"Yes","No"),IF(AND($AL53&lt;&gt;"",LOWER(TRIM($AL53))&lt;&gt;"n/a",COUNTIF($AL$2:$AL$532,$AL53)&gt;1),"Yes","No"))))</f>
      </c>
      <c r="F53">
        <f>IF($B53&lt;&gt;"Yes","",
IF($A53="Neuron",
IF(OR(
AND($R53&lt;&gt;"",LOWER(TRIM($R53))&lt;&gt;"n/a",COUNTIFS($B$2:$B$532,"Yes",$A$2:$A$532,"Neuron",$S$2:$S$532,$R53)&gt;1),
AND($T53&lt;&gt;"",LOWER(TRIM($T53))&lt;&gt;"n/a",COUNTIFS($B$2:$B$532,"Yes",$A$2:$A$532,"Neuron",$T$2:$T$532,$T53)&gt;1),
AND($W53&lt;&gt;"",LOWER(TRIM($W53))&lt;&gt;"n/a",COUNTIFS($B$2:$B$532,"Yes",$A$2:$A$532,"Neuron",$W$2:$W$532,$W53)&gt;1)
),"Yes","No"),
IF($A53="Cybernet",
IF(OR(
AND($Y53&lt;&gt;"",LOWER(TRIM($Y53))&lt;&gt;"n/a",COUNTIFS($B$2:$B$532,"Yes",$A$2:$A$532,"Cybernet",$Y$2:$Y$532,$Y53)&gt;1),
AND($Z53&lt;&gt;"",LOWER(TRIM($Z53))&lt;&gt;"n/a",COUNTIFS($B$2:$B$532,"Yes",$A$2:$A$532,"Cybernet",$Z$2:$Z$532,$Z53)&gt;1)
),"Yes","No"),
IF(AND($AL53&lt;&gt;"",LOWER(TRIM($AL53))&lt;&gt;"n/a"),
IF(COUNTIFS($B$2:$B$532,"Yes",$A$2:$A$532,$A53,$AL$2:$AL$532,$AL53)&gt;1,"Yes","No"),
"No")
)
)
)</f>
      </c>
      <c r="G53" t="s">
        <v>1880</v>
      </c>
      <c r="H53" t="s">
        <v>1437</v>
      </c>
      <c r="I53" t="s">
        <v>1831</v>
      </c>
      <c r="J53" t="s">
        <v>1727</v>
      </c>
      <c r="K53" t="s">
        <v>1657</v>
      </c>
      <c r="L53" t="s">
        <v>1657</v>
      </c>
      <c r="R53" t="s">
        <v>2110</v>
      </c>
      <c r="Y53" t="s">
        <v>2042</v>
      </c>
      <c r="Z53" t="s">
        <v>1623</v>
      </c>
      <c r="BC53" t="s">
        <v>1938</v>
      </c>
      <c r="BI53" t="s">
        <v>1630</v>
      </c>
      <c r="BL53">
        <f>IF($T53="","",IF((IF(AND($AW53&lt;&gt;"Yes",$AW53&lt;&gt;"N/A"),"Power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",""))="","",LEFT(IF(AND($AW53&lt;&gt;"Yes",$AW53&lt;&gt;"N/A"),"Power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",""),LEN(IF(AND($AW53&lt;&gt;"Yes",$AW53&lt;&gt;"N/A"),"Power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",""))-2)))</f>
      </c>
      <c r="BM53">
        <f>IF($T53="","",IF($BL53="","Yes","Blocked"))</f>
      </c>
      <c r="BP53">
        <f>IF($BO53="","",IFERROR(VLOOKUP($BO53,'01_Warehouse_Ledger'!$A:$N,4,FALSE),""))</f>
      </c>
      <c r="BQ53">
        <f>IF($BO53="","",IFERROR(VLOOKUP($BO53,'01_Warehouse_Ledger'!$A:$N,5,FALSE),""))</f>
      </c>
      <c r="BR53">
        <f>IF($BO53="","",IFERROR(VLOOKUP($BO53,'01_Warehouse_Ledger'!$A:$N,13,FALSE),""))</f>
      </c>
    </row>
    <row r="54">
      <c r="A54" t="s">
        <v>1415</v>
      </c>
      <c r="B54" t="s">
        <v>1657</v>
      </c>
      <c r="C54" t="s">
        <v>1657</v>
      </c>
      <c r="D54">
        <f>IF($B54&lt;&gt;"Yes","",IF($C54="No","Yes",IF($C54="Yes","No","")))</f>
      </c>
      <c r="E54">
        <f>IF($A54="","",IF($A54="Neuron",IF(OR(AND($R54&lt;&gt;"",LOWER(TRIM($R54))&lt;&gt;"n/a",COUNTIF($S$2:$S$532,$R54)&gt;1),AND($T54&lt;&gt;"",LOWER(TRIM($T54))&lt;&gt;"n/a",COUNTIF($T$2:$T$532,$T54)&gt;1),AND($W54&lt;&gt;"",LOWER(TRIM($W54))&lt;&gt;"n/a",COUNTIF($W$2:$W$532,$W54)&gt;1)),"Yes","No"),IF($A54="Cybernet",IF(OR(AND($Y54&lt;&gt;"",LOWER(TRIM($Y54))&lt;&gt;"n/a",COUNTIF($Y$2:$Y$532,$Y54)&gt;1),AND($Z54&lt;&gt;"",LOWER(TRIM($Z54))&lt;&gt;"n/a",COUNTIF($Z$2:$Z$532,$Z54)&gt;1)),"Yes","No"),IF(AND($AL54&lt;&gt;"",LOWER(TRIM($AL54))&lt;&gt;"n/a",COUNTIF($AL$2:$AL$532,$AL54)&gt;1),"Yes","No"))))</f>
      </c>
      <c r="F54">
        <f>IF($B54&lt;&gt;"Yes","",
IF($A54="Neuron",
IF(OR(
AND($R54&lt;&gt;"",LOWER(TRIM($R54))&lt;&gt;"n/a",COUNTIFS($B$2:$B$532,"Yes",$A$2:$A$532,"Neuron",$S$2:$S$532,$R54)&gt;1),
AND($T54&lt;&gt;"",LOWER(TRIM($T54))&lt;&gt;"n/a",COUNTIFS($B$2:$B$532,"Yes",$A$2:$A$532,"Neuron",$T$2:$T$532,$T54)&gt;1),
AND($W54&lt;&gt;"",LOWER(TRIM($W54))&lt;&gt;"n/a",COUNTIFS($B$2:$B$532,"Yes",$A$2:$A$532,"Neuron",$W$2:$W$532,$W54)&gt;1)
),"Yes","No"),
IF($A54="Cybernet",
IF(OR(
AND($Y54&lt;&gt;"",LOWER(TRIM($Y54))&lt;&gt;"n/a",COUNTIFS($B$2:$B$532,"Yes",$A$2:$A$532,"Cybernet",$Y$2:$Y$532,$Y54)&gt;1),
AND($Z54&lt;&gt;"",LOWER(TRIM($Z54))&lt;&gt;"n/a",COUNTIFS($B$2:$B$532,"Yes",$A$2:$A$532,"Cybernet",$Z$2:$Z$532,$Z54)&gt;1)
),"Yes","No"),
IF(AND($AL54&lt;&gt;"",LOWER(TRIM($AL54))&lt;&gt;"n/a"),
IF(COUNTIFS($B$2:$B$532,"Yes",$A$2:$A$532,$A54,$AL$2:$AL$532,$AL54)&gt;1,"Yes","No"),
"No")
)
)
)</f>
      </c>
      <c r="G54" t="s">
        <v>1880</v>
      </c>
      <c r="H54" t="s">
        <v>2197</v>
      </c>
      <c r="I54" t="s">
        <v>1831</v>
      </c>
      <c r="J54" t="s">
        <v>1727</v>
      </c>
      <c r="K54" t="s">
        <v>1657</v>
      </c>
      <c r="L54" t="s">
        <v>1657</v>
      </c>
      <c r="R54" t="s">
        <v>1770</v>
      </c>
      <c r="Y54" t="s">
        <v>2126</v>
      </c>
      <c r="Z54" t="s">
        <v>1769</v>
      </c>
      <c r="AJ54" t="s">
        <v>1860</v>
      </c>
      <c r="AK54" t="s">
        <v>1629</v>
      </c>
      <c r="BC54" t="s">
        <v>1726</v>
      </c>
      <c r="BD54" t="s">
        <v>1958</v>
      </c>
      <c r="BI54" t="s">
        <v>1630</v>
      </c>
      <c r="BL54">
        <f>IF($T54="","",IF((IF(AND($AW54&lt;&gt;"Yes",$AW54&lt;&gt;"N/A"),"Power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",""))="","",LEFT(IF(AND($AW54&lt;&gt;"Yes",$AW54&lt;&gt;"N/A"),"Power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",""),LEN(IF(AND($AW54&lt;&gt;"Yes",$AW54&lt;&gt;"N/A"),"Power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",""))-2)))</f>
      </c>
      <c r="BM54">
        <f>IF($T54="","",IF($BL54="","Yes","Blocked"))</f>
      </c>
      <c r="BP54">
        <f>IF($BO54="","",IFERROR(VLOOKUP($BO54,'01_Warehouse_Ledger'!$A:$N,4,FALSE),""))</f>
      </c>
      <c r="BQ54">
        <f>IF($BO54="","",IFERROR(VLOOKUP($BO54,'01_Warehouse_Ledger'!$A:$N,5,FALSE),""))</f>
      </c>
      <c r="BR54">
        <f>IF($BO54="","",IFERROR(VLOOKUP($BO54,'01_Warehouse_Ledger'!$A:$N,13,FALSE),""))</f>
      </c>
    </row>
    <row r="55">
      <c r="A55" t="s">
        <v>1415</v>
      </c>
      <c r="B55" t="s">
        <v>1657</v>
      </c>
      <c r="C55" t="s">
        <v>1657</v>
      </c>
      <c r="D55">
        <f>IF($B55&lt;&gt;"Yes","",IF($C55="No","Yes",IF($C55="Yes","No","")))</f>
      </c>
      <c r="E55">
        <f>IF($A55="","",IF($A55="Neuron",IF(OR(AND($R55&lt;&gt;"",LOWER(TRIM($R55))&lt;&gt;"n/a",COUNTIF($S$2:$S$532,$R55)&gt;1),AND($T55&lt;&gt;"",LOWER(TRIM($T55))&lt;&gt;"n/a",COUNTIF($T$2:$T$532,$T55)&gt;1),AND($W55&lt;&gt;"",LOWER(TRIM($W55))&lt;&gt;"n/a",COUNTIF($W$2:$W$532,$W55)&gt;1)),"Yes","No"),IF($A55="Cybernet",IF(OR(AND($Y55&lt;&gt;"",LOWER(TRIM($Y55))&lt;&gt;"n/a",COUNTIF($Y$2:$Y$532,$Y55)&gt;1),AND($Z55&lt;&gt;"",LOWER(TRIM($Z55))&lt;&gt;"n/a",COUNTIF($Z$2:$Z$532,$Z55)&gt;1)),"Yes","No"),IF(AND($AL55&lt;&gt;"",LOWER(TRIM($AL55))&lt;&gt;"n/a",COUNTIF($AL$2:$AL$532,$AL55)&gt;1),"Yes","No"))))</f>
      </c>
      <c r="F55">
        <f>IF($B55&lt;&gt;"Yes","",
IF($A55="Neuron",
IF(OR(
AND($R55&lt;&gt;"",LOWER(TRIM($R55))&lt;&gt;"n/a",COUNTIFS($B$2:$B$532,"Yes",$A$2:$A$532,"Neuron",$S$2:$S$532,$R55)&gt;1),
AND($T55&lt;&gt;"",LOWER(TRIM($T55))&lt;&gt;"n/a",COUNTIFS($B$2:$B$532,"Yes",$A$2:$A$532,"Neuron",$T$2:$T$532,$T55)&gt;1),
AND($W55&lt;&gt;"",LOWER(TRIM($W55))&lt;&gt;"n/a",COUNTIFS($B$2:$B$532,"Yes",$A$2:$A$532,"Neuron",$W$2:$W$532,$W55)&gt;1)
),"Yes","No"),
IF($A55="Cybernet",
IF(OR(
AND($Y55&lt;&gt;"",LOWER(TRIM($Y55))&lt;&gt;"n/a",COUNTIFS($B$2:$B$532,"Yes",$A$2:$A$532,"Cybernet",$Y$2:$Y$532,$Y55)&gt;1),
AND($Z55&lt;&gt;"",LOWER(TRIM($Z55))&lt;&gt;"n/a",COUNTIFS($B$2:$B$532,"Yes",$A$2:$A$532,"Cybernet",$Z$2:$Z$532,$Z55)&gt;1)
),"Yes","No"),
IF(AND($AL55&lt;&gt;"",LOWER(TRIM($AL55))&lt;&gt;"n/a"),
IF(COUNTIFS($B$2:$B$532,"Yes",$A$2:$A$532,$A55,$AL$2:$AL$532,$AL55)&gt;1,"Yes","No"),
"No")
)
)
)</f>
      </c>
      <c r="G55" t="s">
        <v>1880</v>
      </c>
      <c r="H55" t="s">
        <v>2197</v>
      </c>
      <c r="I55" t="s">
        <v>1831</v>
      </c>
      <c r="J55" t="s">
        <v>1727</v>
      </c>
      <c r="K55" t="s">
        <v>1657</v>
      </c>
      <c r="L55" t="s">
        <v>1657</v>
      </c>
      <c r="R55" t="s">
        <v>1973</v>
      </c>
      <c r="Y55" t="s">
        <v>1877</v>
      </c>
      <c r="Z55" t="s">
        <v>2328</v>
      </c>
      <c r="AJ55" t="s">
        <v>1860</v>
      </c>
      <c r="AK55" t="s">
        <v>1629</v>
      </c>
      <c r="BC55" t="s">
        <v>1726</v>
      </c>
      <c r="BD55" t="s">
        <v>1958</v>
      </c>
      <c r="BI55" t="s">
        <v>1630</v>
      </c>
      <c r="BL55">
        <f>IF($T55="","",IF((IF(AND($AW55&lt;&gt;"Yes",$AW55&lt;&gt;"N/A"),"Power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",""))="","",LEFT(IF(AND($AW55&lt;&gt;"Yes",$AW55&lt;&gt;"N/A"),"Power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",""),LEN(IF(AND($AW55&lt;&gt;"Yes",$AW55&lt;&gt;"N/A"),"Power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",""))-2)))</f>
      </c>
      <c r="BM55">
        <f>IF($T55="","",IF($BL55="","Yes","Blocked"))</f>
      </c>
      <c r="BP55">
        <f>IF($BO55="","",IFERROR(VLOOKUP($BO55,'01_Warehouse_Ledger'!$A:$N,4,FALSE),""))</f>
      </c>
      <c r="BQ55">
        <f>IF($BO55="","",IFERROR(VLOOKUP($BO55,'01_Warehouse_Ledger'!$A:$N,5,FALSE),""))</f>
      </c>
      <c r="BR55">
        <f>IF($BO55="","",IFERROR(VLOOKUP($BO55,'01_Warehouse_Ledger'!$A:$N,13,FALSE),""))</f>
      </c>
    </row>
    <row r="56">
      <c r="A56" t="s">
        <v>1415</v>
      </c>
      <c r="B56" t="s">
        <v>1657</v>
      </c>
      <c r="C56" t="s">
        <v>1657</v>
      </c>
      <c r="D56">
        <f>IF($B56&lt;&gt;"Yes","",IF($C56="No","Yes",IF($C56="Yes","No","")))</f>
      </c>
      <c r="E56">
        <f>IF($A56="","",IF($A56="Neuron",IF(OR(AND($R56&lt;&gt;"",LOWER(TRIM($R56))&lt;&gt;"n/a",COUNTIF($S$2:$S$532,$R56)&gt;1),AND($T56&lt;&gt;"",LOWER(TRIM($T56))&lt;&gt;"n/a",COUNTIF($T$2:$T$532,$T56)&gt;1),AND($W56&lt;&gt;"",LOWER(TRIM($W56))&lt;&gt;"n/a",COUNTIF($W$2:$W$532,$W56)&gt;1)),"Yes","No"),IF($A56="Cybernet",IF(OR(AND($Y56&lt;&gt;"",LOWER(TRIM($Y56))&lt;&gt;"n/a",COUNTIF($Y$2:$Y$532,$Y56)&gt;1),AND($Z56&lt;&gt;"",LOWER(TRIM($Z56))&lt;&gt;"n/a",COUNTIF($Z$2:$Z$532,$Z56)&gt;1)),"Yes","No"),IF(AND($AL56&lt;&gt;"",LOWER(TRIM($AL56))&lt;&gt;"n/a",COUNTIF($AL$2:$AL$532,$AL56)&gt;1),"Yes","No"))))</f>
      </c>
      <c r="F56">
        <f>IF($B56&lt;&gt;"Yes","",
IF($A56="Neuron",
IF(OR(
AND($R56&lt;&gt;"",LOWER(TRIM($R56))&lt;&gt;"n/a",COUNTIFS($B$2:$B$532,"Yes",$A$2:$A$532,"Neuron",$S$2:$S$532,$R56)&gt;1),
AND($T56&lt;&gt;"",LOWER(TRIM($T56))&lt;&gt;"n/a",COUNTIFS($B$2:$B$532,"Yes",$A$2:$A$532,"Neuron",$T$2:$T$532,$T56)&gt;1),
AND($W56&lt;&gt;"",LOWER(TRIM($W56))&lt;&gt;"n/a",COUNTIFS($B$2:$B$532,"Yes",$A$2:$A$532,"Neuron",$W$2:$W$532,$W56)&gt;1)
),"Yes","No"),
IF($A56="Cybernet",
IF(OR(
AND($Y56&lt;&gt;"",LOWER(TRIM($Y56))&lt;&gt;"n/a",COUNTIFS($B$2:$B$532,"Yes",$A$2:$A$532,"Cybernet",$Y$2:$Y$532,$Y56)&gt;1),
AND($Z56&lt;&gt;"",LOWER(TRIM($Z56))&lt;&gt;"n/a",COUNTIFS($B$2:$B$532,"Yes",$A$2:$A$532,"Cybernet",$Z$2:$Z$532,$Z56)&gt;1)
),"Yes","No"),
IF(AND($AL56&lt;&gt;"",LOWER(TRIM($AL56))&lt;&gt;"n/a"),
IF(COUNTIFS($B$2:$B$532,"Yes",$A$2:$A$532,$A56,$AL$2:$AL$532,$AL56)&gt;1,"Yes","No"),
"No")
)
)
)</f>
      </c>
      <c r="G56" t="s">
        <v>1880</v>
      </c>
      <c r="H56" t="s">
        <v>2197</v>
      </c>
      <c r="I56" t="s">
        <v>1831</v>
      </c>
      <c r="J56" t="s">
        <v>1727</v>
      </c>
      <c r="K56" t="s">
        <v>1657</v>
      </c>
      <c r="L56" t="s">
        <v>1657</v>
      </c>
      <c r="R56" t="s">
        <v>1870</v>
      </c>
      <c r="X56" t="s">
        <v>2013</v>
      </c>
      <c r="Y56" t="s">
        <v>1740</v>
      </c>
      <c r="Z56" t="s">
        <v>1683</v>
      </c>
      <c r="BD56" t="s">
        <v>1958</v>
      </c>
      <c r="BI56" t="s">
        <v>1630</v>
      </c>
      <c r="BL56">
        <f>IF($T56="","",IF((IF(AND($AW56&lt;&gt;"Yes",$AW56&lt;&gt;"N/A"),"Power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",""))="","",LEFT(IF(AND($AW56&lt;&gt;"Yes",$AW56&lt;&gt;"N/A"),"Power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",""),LEN(IF(AND($AW56&lt;&gt;"Yes",$AW56&lt;&gt;"N/A"),"Power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",""))-2)))</f>
      </c>
      <c r="BM56">
        <f>IF($T56="","",IF($BL56="","Yes","Blocked"))</f>
      </c>
      <c r="BP56">
        <f>IF($BO56="","",IFERROR(VLOOKUP($BO56,'01_Warehouse_Ledger'!$A:$N,4,FALSE),""))</f>
      </c>
      <c r="BQ56">
        <f>IF($BO56="","",IFERROR(VLOOKUP($BO56,'01_Warehouse_Ledger'!$A:$N,5,FALSE),""))</f>
      </c>
      <c r="BR56">
        <f>IF($BO56="","",IFERROR(VLOOKUP($BO56,'01_Warehouse_Ledger'!$A:$N,13,FALSE),""))</f>
      </c>
    </row>
    <row r="57">
      <c r="A57" t="s">
        <v>1415</v>
      </c>
      <c r="B57" t="s">
        <v>1657</v>
      </c>
      <c r="C57" t="s">
        <v>1657</v>
      </c>
      <c r="D57">
        <f>IF($B57&lt;&gt;"Yes","",IF($C57="No","Yes",IF($C57="Yes","No","")))</f>
      </c>
      <c r="E57">
        <f>IF($A57="","",IF($A57="Neuron",IF(OR(AND($R57&lt;&gt;"",LOWER(TRIM($R57))&lt;&gt;"n/a",COUNTIF($S$2:$S$532,$R57)&gt;1),AND($T57&lt;&gt;"",LOWER(TRIM($T57))&lt;&gt;"n/a",COUNTIF($T$2:$T$532,$T57)&gt;1),AND($W57&lt;&gt;"",LOWER(TRIM($W57))&lt;&gt;"n/a",COUNTIF($W$2:$W$532,$W57)&gt;1)),"Yes","No"),IF($A57="Cybernet",IF(OR(AND($Y57&lt;&gt;"",LOWER(TRIM($Y57))&lt;&gt;"n/a",COUNTIF($Y$2:$Y$532,$Y57)&gt;1),AND($Z57&lt;&gt;"",LOWER(TRIM($Z57))&lt;&gt;"n/a",COUNTIF($Z$2:$Z$532,$Z57)&gt;1)),"Yes","No"),IF(AND($AL57&lt;&gt;"",LOWER(TRIM($AL57))&lt;&gt;"n/a",COUNTIF($AL$2:$AL$532,$AL57)&gt;1),"Yes","No"))))</f>
      </c>
      <c r="F57">
        <f>IF($B57&lt;&gt;"Yes","",
IF($A57="Neuron",
IF(OR(
AND($R57&lt;&gt;"",LOWER(TRIM($R57))&lt;&gt;"n/a",COUNTIFS($B$2:$B$532,"Yes",$A$2:$A$532,"Neuron",$S$2:$S$532,$R57)&gt;1),
AND($T57&lt;&gt;"",LOWER(TRIM($T57))&lt;&gt;"n/a",COUNTIFS($B$2:$B$532,"Yes",$A$2:$A$532,"Neuron",$T$2:$T$532,$T57)&gt;1),
AND($W57&lt;&gt;"",LOWER(TRIM($W57))&lt;&gt;"n/a",COUNTIFS($B$2:$B$532,"Yes",$A$2:$A$532,"Neuron",$W$2:$W$532,$W57)&gt;1)
),"Yes","No"),
IF($A57="Cybernet",
IF(OR(
AND($Y57&lt;&gt;"",LOWER(TRIM($Y57))&lt;&gt;"n/a",COUNTIFS($B$2:$B$532,"Yes",$A$2:$A$532,"Cybernet",$Y$2:$Y$532,$Y57)&gt;1),
AND($Z57&lt;&gt;"",LOWER(TRIM($Z57))&lt;&gt;"n/a",COUNTIFS($B$2:$B$532,"Yes",$A$2:$A$532,"Cybernet",$Z$2:$Z$532,$Z57)&gt;1)
),"Yes","No"),
IF(AND($AL57&lt;&gt;"",LOWER(TRIM($AL57))&lt;&gt;"n/a"),
IF(COUNTIFS($B$2:$B$532,"Yes",$A$2:$A$532,$A57,$AL$2:$AL$532,$AL57)&gt;1,"Yes","No"),
"No")
)
)
)</f>
      </c>
      <c r="G57" t="s">
        <v>1880</v>
      </c>
      <c r="H57" t="s">
        <v>2197</v>
      </c>
      <c r="I57" t="s">
        <v>1831</v>
      </c>
      <c r="J57" t="s">
        <v>1727</v>
      </c>
      <c r="K57" t="s">
        <v>1657</v>
      </c>
      <c r="L57" t="s">
        <v>1657</v>
      </c>
      <c r="R57" t="s">
        <v>1680</v>
      </c>
      <c r="Y57" t="s">
        <v>2161</v>
      </c>
      <c r="Z57" t="s">
        <v>2080</v>
      </c>
      <c r="BD57" t="s">
        <v>1958</v>
      </c>
      <c r="BI57" t="s">
        <v>1630</v>
      </c>
      <c r="BL57">
        <f>IF($T57="","",IF((IF(AND($AW57&lt;&gt;"Yes",$AW57&lt;&gt;"N/A"),"Power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",""))="","",LEFT(IF(AND($AW57&lt;&gt;"Yes",$AW57&lt;&gt;"N/A"),"Power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",""),LEN(IF(AND($AW57&lt;&gt;"Yes",$AW57&lt;&gt;"N/A"),"Power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",""))-2)))</f>
      </c>
      <c r="BM57">
        <f>IF($T57="","",IF($BL57="","Yes","Blocked"))</f>
      </c>
      <c r="BP57">
        <f>IF($BO57="","",IFERROR(VLOOKUP($BO57,'01_Warehouse_Ledger'!$A:$N,4,FALSE),""))</f>
      </c>
      <c r="BQ57">
        <f>IF($BO57="","",IFERROR(VLOOKUP($BO57,'01_Warehouse_Ledger'!$A:$N,5,FALSE),""))</f>
      </c>
      <c r="BR57">
        <f>IF($BO57="","",IFERROR(VLOOKUP($BO57,'01_Warehouse_Ledger'!$A:$N,13,FALSE),""))</f>
      </c>
    </row>
    <row r="58">
      <c r="A58" t="s">
        <v>1415</v>
      </c>
      <c r="B58" t="s">
        <v>1657</v>
      </c>
      <c r="C58" t="s">
        <v>1657</v>
      </c>
      <c r="D58">
        <f>IF($B58&lt;&gt;"Yes","",IF($C58="No","Yes",IF($C58="Yes","No","")))</f>
      </c>
      <c r="E58">
        <f>IF($A58="","",IF($A58="Neuron",IF(OR(AND($R58&lt;&gt;"",LOWER(TRIM($R58))&lt;&gt;"n/a",COUNTIF($S$2:$S$532,$R58)&gt;1),AND($T58&lt;&gt;"",LOWER(TRIM($T58))&lt;&gt;"n/a",COUNTIF($T$2:$T$532,$T58)&gt;1),AND($W58&lt;&gt;"",LOWER(TRIM($W58))&lt;&gt;"n/a",COUNTIF($W$2:$W$532,$W58)&gt;1)),"Yes","No"),IF($A58="Cybernet",IF(OR(AND($Y58&lt;&gt;"",LOWER(TRIM($Y58))&lt;&gt;"n/a",COUNTIF($Y$2:$Y$532,$Y58)&gt;1),AND($Z58&lt;&gt;"",LOWER(TRIM($Z58))&lt;&gt;"n/a",COUNTIF($Z$2:$Z$532,$Z58)&gt;1)),"Yes","No"),IF(AND($AL58&lt;&gt;"",LOWER(TRIM($AL58))&lt;&gt;"n/a",COUNTIF($AL$2:$AL$532,$AL58)&gt;1),"Yes","No"))))</f>
      </c>
      <c r="F58">
        <f>IF($B58&lt;&gt;"Yes","",
IF($A58="Neuron",
IF(OR(
AND($R58&lt;&gt;"",LOWER(TRIM($R58))&lt;&gt;"n/a",COUNTIFS($B$2:$B$532,"Yes",$A$2:$A$532,"Neuron",$S$2:$S$532,$R58)&gt;1),
AND($T58&lt;&gt;"",LOWER(TRIM($T58))&lt;&gt;"n/a",COUNTIFS($B$2:$B$532,"Yes",$A$2:$A$532,"Neuron",$T$2:$T$532,$T58)&gt;1),
AND($W58&lt;&gt;"",LOWER(TRIM($W58))&lt;&gt;"n/a",COUNTIFS($B$2:$B$532,"Yes",$A$2:$A$532,"Neuron",$W$2:$W$532,$W58)&gt;1)
),"Yes","No"),
IF($A58="Cybernet",
IF(OR(
AND($Y58&lt;&gt;"",LOWER(TRIM($Y58))&lt;&gt;"n/a",COUNTIFS($B$2:$B$532,"Yes",$A$2:$A$532,"Cybernet",$Y$2:$Y$532,$Y58)&gt;1),
AND($Z58&lt;&gt;"",LOWER(TRIM($Z58))&lt;&gt;"n/a",COUNTIFS($B$2:$B$532,"Yes",$A$2:$A$532,"Cybernet",$Z$2:$Z$532,$Z58)&gt;1)
),"Yes","No"),
IF(AND($AL58&lt;&gt;"",LOWER(TRIM($AL58))&lt;&gt;"n/a"),
IF(COUNTIFS($B$2:$B$532,"Yes",$A$2:$A$532,$A58,$AL$2:$AL$532,$AL58)&gt;1,"Yes","No"),
"No")
)
)
)</f>
      </c>
      <c r="G58" t="s">
        <v>1880</v>
      </c>
      <c r="H58" t="s">
        <v>2197</v>
      </c>
      <c r="I58" t="s">
        <v>1831</v>
      </c>
      <c r="J58" t="s">
        <v>1727</v>
      </c>
      <c r="K58" t="s">
        <v>1657</v>
      </c>
      <c r="L58" t="s">
        <v>1657</v>
      </c>
      <c r="R58" t="s">
        <v>1910</v>
      </c>
      <c r="Y58" t="s">
        <v>2351</v>
      </c>
      <c r="Z58" t="s">
        <v>2043</v>
      </c>
      <c r="BD58" t="s">
        <v>1958</v>
      </c>
      <c r="BI58" t="s">
        <v>1630</v>
      </c>
      <c r="BL58">
        <f>IF($T58="","",IF((IF(AND($AW58&lt;&gt;"Yes",$AW58&lt;&gt;"N/A"),"Power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",""))="","",LEFT(IF(AND($AW58&lt;&gt;"Yes",$AW58&lt;&gt;"N/A"),"Power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",""),LEN(IF(AND($AW58&lt;&gt;"Yes",$AW58&lt;&gt;"N/A"),"Power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",""))-2)))</f>
      </c>
      <c r="BM58">
        <f>IF($T58="","",IF($BL58="","Yes","Blocked"))</f>
      </c>
      <c r="BP58">
        <f>IF($BO58="","",IFERROR(VLOOKUP($BO58,'01_Warehouse_Ledger'!$A:$N,4,FALSE),""))</f>
      </c>
      <c r="BQ58">
        <f>IF($BO58="","",IFERROR(VLOOKUP($BO58,'01_Warehouse_Ledger'!$A:$N,5,FALSE),""))</f>
      </c>
      <c r="BR58">
        <f>IF($BO58="","",IFERROR(VLOOKUP($BO58,'01_Warehouse_Ledger'!$A:$N,13,FALSE),""))</f>
      </c>
    </row>
    <row r="59">
      <c r="A59" t="s">
        <v>1415</v>
      </c>
      <c r="B59" t="s">
        <v>1657</v>
      </c>
      <c r="C59" t="s">
        <v>1657</v>
      </c>
      <c r="D59">
        <f>IF($B59&lt;&gt;"Yes","",IF($C59="No","Yes",IF($C59="Yes","No","")))</f>
      </c>
      <c r="E59">
        <f>IF($A59="","",IF($A59="Neuron",IF(OR(AND($R59&lt;&gt;"",LOWER(TRIM($R59))&lt;&gt;"n/a",COUNTIF($S$2:$S$532,$R59)&gt;1),AND($T59&lt;&gt;"",LOWER(TRIM($T59))&lt;&gt;"n/a",COUNTIF($T$2:$T$532,$T59)&gt;1),AND($W59&lt;&gt;"",LOWER(TRIM($W59))&lt;&gt;"n/a",COUNTIF($W$2:$W$532,$W59)&gt;1)),"Yes","No"),IF($A59="Cybernet",IF(OR(AND($Y59&lt;&gt;"",LOWER(TRIM($Y59))&lt;&gt;"n/a",COUNTIF($Y$2:$Y$532,$Y59)&gt;1),AND($Z59&lt;&gt;"",LOWER(TRIM($Z59))&lt;&gt;"n/a",COUNTIF($Z$2:$Z$532,$Z59)&gt;1)),"Yes","No"),IF(AND($AL59&lt;&gt;"",LOWER(TRIM($AL59))&lt;&gt;"n/a",COUNTIF($AL$2:$AL$532,$AL59)&gt;1),"Yes","No"))))</f>
      </c>
      <c r="F59">
        <f>IF($B59&lt;&gt;"Yes","",
IF($A59="Neuron",
IF(OR(
AND($R59&lt;&gt;"",LOWER(TRIM($R59))&lt;&gt;"n/a",COUNTIFS($B$2:$B$532,"Yes",$A$2:$A$532,"Neuron",$S$2:$S$532,$R59)&gt;1),
AND($T59&lt;&gt;"",LOWER(TRIM($T59))&lt;&gt;"n/a",COUNTIFS($B$2:$B$532,"Yes",$A$2:$A$532,"Neuron",$T$2:$T$532,$T59)&gt;1),
AND($W59&lt;&gt;"",LOWER(TRIM($W59))&lt;&gt;"n/a",COUNTIFS($B$2:$B$532,"Yes",$A$2:$A$532,"Neuron",$W$2:$W$532,$W59)&gt;1)
),"Yes","No"),
IF($A59="Cybernet",
IF(OR(
AND($Y59&lt;&gt;"",LOWER(TRIM($Y59))&lt;&gt;"n/a",COUNTIFS($B$2:$B$532,"Yes",$A$2:$A$532,"Cybernet",$Y$2:$Y$532,$Y59)&gt;1),
AND($Z59&lt;&gt;"",LOWER(TRIM($Z59))&lt;&gt;"n/a",COUNTIFS($B$2:$B$532,"Yes",$A$2:$A$532,"Cybernet",$Z$2:$Z$532,$Z59)&gt;1)
),"Yes","No"),
IF(AND($AL59&lt;&gt;"",LOWER(TRIM($AL59))&lt;&gt;"n/a"),
IF(COUNTIFS($B$2:$B$532,"Yes",$A$2:$A$532,$A59,$AL$2:$AL$532,$AL59)&gt;1,"Yes","No"),
"No")
)
)
)</f>
      </c>
      <c r="G59" t="s">
        <v>1880</v>
      </c>
      <c r="H59" t="s">
        <v>2197</v>
      </c>
      <c r="I59" t="s">
        <v>1831</v>
      </c>
      <c r="J59" t="s">
        <v>1727</v>
      </c>
      <c r="K59" t="s">
        <v>1657</v>
      </c>
      <c r="L59" t="s">
        <v>1657</v>
      </c>
      <c r="R59" t="s">
        <v>2119</v>
      </c>
      <c r="Y59" t="s">
        <v>1885</v>
      </c>
      <c r="Z59" t="s">
        <v>2063</v>
      </c>
      <c r="BD59" t="s">
        <v>1958</v>
      </c>
      <c r="BI59" t="s">
        <v>1630</v>
      </c>
      <c r="BL59">
        <f>IF($T59="","",IF((IF(AND($AW59&lt;&gt;"Yes",$AW59&lt;&gt;"N/A"),"Power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",""))="","",LEFT(IF(AND($AW59&lt;&gt;"Yes",$AW59&lt;&gt;"N/A"),"Power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",""),LEN(IF(AND($AW59&lt;&gt;"Yes",$AW59&lt;&gt;"N/A"),"Power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",""))-2)))</f>
      </c>
      <c r="BM59">
        <f>IF($T59="","",IF($BL59="","Yes","Blocked"))</f>
      </c>
      <c r="BP59">
        <f>IF($BO59="","",IFERROR(VLOOKUP($BO59,'01_Warehouse_Ledger'!$A:$N,4,FALSE),""))</f>
      </c>
      <c r="BQ59">
        <f>IF($BO59="","",IFERROR(VLOOKUP($BO59,'01_Warehouse_Ledger'!$A:$N,5,FALSE),""))</f>
      </c>
      <c r="BR59">
        <f>IF($BO59="","",IFERROR(VLOOKUP($BO59,'01_Warehouse_Ledger'!$A:$N,13,FALSE),""))</f>
      </c>
    </row>
    <row r="60">
      <c r="A60" t="s">
        <v>1415</v>
      </c>
      <c r="B60" t="s">
        <v>1657</v>
      </c>
      <c r="C60" t="s">
        <v>1657</v>
      </c>
      <c r="D60">
        <f>IF($B60&lt;&gt;"Yes","",IF($C60="No","Yes",IF($C60="Yes","No","")))</f>
      </c>
      <c r="E60">
        <f>IF($A60="","",IF($A60="Neuron",IF(OR(AND($R60&lt;&gt;"",LOWER(TRIM($R60))&lt;&gt;"n/a",COUNTIF($S$2:$S$532,$R60)&gt;1),AND($T60&lt;&gt;"",LOWER(TRIM($T60))&lt;&gt;"n/a",COUNTIF($T$2:$T$532,$T60)&gt;1),AND($W60&lt;&gt;"",LOWER(TRIM($W60))&lt;&gt;"n/a",COUNTIF($W$2:$W$532,$W60)&gt;1)),"Yes","No"),IF($A60="Cybernet",IF(OR(AND($Y60&lt;&gt;"",LOWER(TRIM($Y60))&lt;&gt;"n/a",COUNTIF($Y$2:$Y$532,$Y60)&gt;1),AND($Z60&lt;&gt;"",LOWER(TRIM($Z60))&lt;&gt;"n/a",COUNTIF($Z$2:$Z$532,$Z60)&gt;1)),"Yes","No"),IF(AND($AL60&lt;&gt;"",LOWER(TRIM($AL60))&lt;&gt;"n/a",COUNTIF($AL$2:$AL$532,$AL60)&gt;1),"Yes","No"))))</f>
      </c>
      <c r="F60">
        <f>IF($B60&lt;&gt;"Yes","",
IF($A60="Neuron",
IF(OR(
AND($R60&lt;&gt;"",LOWER(TRIM($R60))&lt;&gt;"n/a",COUNTIFS($B$2:$B$532,"Yes",$A$2:$A$532,"Neuron",$S$2:$S$532,$R60)&gt;1),
AND($T60&lt;&gt;"",LOWER(TRIM($T60))&lt;&gt;"n/a",COUNTIFS($B$2:$B$532,"Yes",$A$2:$A$532,"Neuron",$T$2:$T$532,$T60)&gt;1),
AND($W60&lt;&gt;"",LOWER(TRIM($W60))&lt;&gt;"n/a",COUNTIFS($B$2:$B$532,"Yes",$A$2:$A$532,"Neuron",$W$2:$W$532,$W60)&gt;1)
),"Yes","No"),
IF($A60="Cybernet",
IF(OR(
AND($Y60&lt;&gt;"",LOWER(TRIM($Y60))&lt;&gt;"n/a",COUNTIFS($B$2:$B$532,"Yes",$A$2:$A$532,"Cybernet",$Y$2:$Y$532,$Y60)&gt;1),
AND($Z60&lt;&gt;"",LOWER(TRIM($Z60))&lt;&gt;"n/a",COUNTIFS($B$2:$B$532,"Yes",$A$2:$A$532,"Cybernet",$Z$2:$Z$532,$Z60)&gt;1)
),"Yes","No"),
IF(AND($AL60&lt;&gt;"",LOWER(TRIM($AL60))&lt;&gt;"n/a"),
IF(COUNTIFS($B$2:$B$532,"Yes",$A$2:$A$532,$A60,$AL$2:$AL$532,$AL60)&gt;1,"Yes","No"),
"No")
)
)
)</f>
      </c>
      <c r="G60" t="s">
        <v>1880</v>
      </c>
      <c r="H60" t="s">
        <v>2197</v>
      </c>
      <c r="I60" t="s">
        <v>1831</v>
      </c>
      <c r="J60" t="s">
        <v>1727</v>
      </c>
      <c r="K60" t="s">
        <v>1657</v>
      </c>
      <c r="L60" t="s">
        <v>1657</v>
      </c>
      <c r="R60" t="s">
        <v>2076</v>
      </c>
      <c r="Y60" t="s">
        <v>2207</v>
      </c>
      <c r="Z60" t="s">
        <v>1787</v>
      </c>
      <c r="BD60" t="s">
        <v>1958</v>
      </c>
      <c r="BI60" t="s">
        <v>1630</v>
      </c>
      <c r="BL60">
        <f>IF($T60="","",IF((IF(AND($AW60&lt;&gt;"Yes",$AW60&lt;&gt;"N/A"),"Power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",""))="","",LEFT(IF(AND($AW60&lt;&gt;"Yes",$AW60&lt;&gt;"N/A"),"Power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",""),LEN(IF(AND($AW60&lt;&gt;"Yes",$AW60&lt;&gt;"N/A"),"Power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",""))-2)))</f>
      </c>
      <c r="BM60">
        <f>IF($T60="","",IF($BL60="","Yes","Blocked"))</f>
      </c>
      <c r="BP60">
        <f>IF($BO60="","",IFERROR(VLOOKUP($BO60,'01_Warehouse_Ledger'!$A:$N,4,FALSE),""))</f>
      </c>
      <c r="BQ60">
        <f>IF($BO60="","",IFERROR(VLOOKUP($BO60,'01_Warehouse_Ledger'!$A:$N,5,FALSE),""))</f>
      </c>
      <c r="BR60">
        <f>IF($BO60="","",IFERROR(VLOOKUP($BO60,'01_Warehouse_Ledger'!$A:$N,13,FALSE),""))</f>
      </c>
    </row>
    <row r="61">
      <c r="A61" t="s">
        <v>1415</v>
      </c>
      <c r="B61" t="s">
        <v>1657</v>
      </c>
      <c r="C61" t="s">
        <v>1657</v>
      </c>
      <c r="D61">
        <f>IF($B61&lt;&gt;"Yes","",IF($C61="No","Yes",IF($C61="Yes","No","")))</f>
      </c>
      <c r="E61">
        <f>IF($A61="","",IF($A61="Neuron",IF(OR(AND($R61&lt;&gt;"",LOWER(TRIM($R61))&lt;&gt;"n/a",COUNTIF($S$2:$S$532,$R61)&gt;1),AND($T61&lt;&gt;"",LOWER(TRIM($T61))&lt;&gt;"n/a",COUNTIF($T$2:$T$532,$T61)&gt;1),AND($W61&lt;&gt;"",LOWER(TRIM($W61))&lt;&gt;"n/a",COUNTIF($W$2:$W$532,$W61)&gt;1)),"Yes","No"),IF($A61="Cybernet",IF(OR(AND($Y61&lt;&gt;"",LOWER(TRIM($Y61))&lt;&gt;"n/a",COUNTIF($Y$2:$Y$532,$Y61)&gt;1),AND($Z61&lt;&gt;"",LOWER(TRIM($Z61))&lt;&gt;"n/a",COUNTIF($Z$2:$Z$532,$Z61)&gt;1)),"Yes","No"),IF(AND($AL61&lt;&gt;"",LOWER(TRIM($AL61))&lt;&gt;"n/a",COUNTIF($AL$2:$AL$532,$AL61)&gt;1),"Yes","No"))))</f>
      </c>
      <c r="F61">
        <f>IF($B61&lt;&gt;"Yes","",
IF($A61="Neuron",
IF(OR(
AND($R61&lt;&gt;"",LOWER(TRIM($R61))&lt;&gt;"n/a",COUNTIFS($B$2:$B$532,"Yes",$A$2:$A$532,"Neuron",$S$2:$S$532,$R61)&gt;1),
AND($T61&lt;&gt;"",LOWER(TRIM($T61))&lt;&gt;"n/a",COUNTIFS($B$2:$B$532,"Yes",$A$2:$A$532,"Neuron",$T$2:$T$532,$T61)&gt;1),
AND($W61&lt;&gt;"",LOWER(TRIM($W61))&lt;&gt;"n/a",COUNTIFS($B$2:$B$532,"Yes",$A$2:$A$532,"Neuron",$W$2:$W$532,$W61)&gt;1)
),"Yes","No"),
IF($A61="Cybernet",
IF(OR(
AND($Y61&lt;&gt;"",LOWER(TRIM($Y61))&lt;&gt;"n/a",COUNTIFS($B$2:$B$532,"Yes",$A$2:$A$532,"Cybernet",$Y$2:$Y$532,$Y61)&gt;1),
AND($Z61&lt;&gt;"",LOWER(TRIM($Z61))&lt;&gt;"n/a",COUNTIFS($B$2:$B$532,"Yes",$A$2:$A$532,"Cybernet",$Z$2:$Z$532,$Z61)&gt;1)
),"Yes","No"),
IF(AND($AL61&lt;&gt;"",LOWER(TRIM($AL61))&lt;&gt;"n/a"),
IF(COUNTIFS($B$2:$B$532,"Yes",$A$2:$A$532,$A61,$AL$2:$AL$532,$AL61)&gt;1,"Yes","No"),
"No")
)
)
)</f>
      </c>
      <c r="G61" t="s">
        <v>1880</v>
      </c>
      <c r="H61" t="s">
        <v>2197</v>
      </c>
      <c r="I61" t="s">
        <v>1831</v>
      </c>
      <c r="J61" t="s">
        <v>1727</v>
      </c>
      <c r="K61" t="s">
        <v>1657</v>
      </c>
      <c r="L61" t="s">
        <v>1657</v>
      </c>
      <c r="R61" t="s">
        <v>1625</v>
      </c>
      <c r="Y61" t="s">
        <v>1934</v>
      </c>
      <c r="Z61" t="s">
        <v>1614</v>
      </c>
      <c r="BD61" t="s">
        <v>1958</v>
      </c>
      <c r="BI61" t="s">
        <v>1630</v>
      </c>
      <c r="BL61">
        <f>IF($T61="","",IF((IF(AND($AW61&lt;&gt;"Yes",$AW61&lt;&gt;"N/A"),"Power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",""))="","",LEFT(IF(AND($AW61&lt;&gt;"Yes",$AW61&lt;&gt;"N/A"),"Power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",""),LEN(IF(AND($AW61&lt;&gt;"Yes",$AW61&lt;&gt;"N/A"),"Power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",""))-2)))</f>
      </c>
      <c r="BM61">
        <f>IF($T61="","",IF($BL61="","Yes","Blocked"))</f>
      </c>
      <c r="BP61">
        <f>IF($BO61="","",IFERROR(VLOOKUP($BO61,'01_Warehouse_Ledger'!$A:$N,4,FALSE),""))</f>
      </c>
      <c r="BQ61">
        <f>IF($BO61="","",IFERROR(VLOOKUP($BO61,'01_Warehouse_Ledger'!$A:$N,5,FALSE),""))</f>
      </c>
      <c r="BR61">
        <f>IF($BO61="","",IFERROR(VLOOKUP($BO61,'01_Warehouse_Ledger'!$A:$N,13,FALSE),""))</f>
      </c>
    </row>
    <row r="62">
      <c r="A62" t="s">
        <v>1415</v>
      </c>
      <c r="B62" t="s">
        <v>1657</v>
      </c>
      <c r="C62" t="s">
        <v>1657</v>
      </c>
      <c r="D62">
        <f>IF($B62&lt;&gt;"Yes","",IF($C62="No","Yes",IF($C62="Yes","No","")))</f>
      </c>
      <c r="E62">
        <f>IF($A62="","",IF($A62="Neuron",IF(OR(AND($R62&lt;&gt;"",LOWER(TRIM($R62))&lt;&gt;"n/a",COUNTIF($S$2:$S$532,$R62)&gt;1),AND($T62&lt;&gt;"",LOWER(TRIM($T62))&lt;&gt;"n/a",COUNTIF($T$2:$T$532,$T62)&gt;1),AND($W62&lt;&gt;"",LOWER(TRIM($W62))&lt;&gt;"n/a",COUNTIF($W$2:$W$532,$W62)&gt;1)),"Yes","No"),IF($A62="Cybernet",IF(OR(AND($Y62&lt;&gt;"",LOWER(TRIM($Y62))&lt;&gt;"n/a",COUNTIF($Y$2:$Y$532,$Y62)&gt;1),AND($Z62&lt;&gt;"",LOWER(TRIM($Z62))&lt;&gt;"n/a",COUNTIF($Z$2:$Z$532,$Z62)&gt;1)),"Yes","No"),IF(AND($AL62&lt;&gt;"",LOWER(TRIM($AL62))&lt;&gt;"n/a",COUNTIF($AL$2:$AL$532,$AL62)&gt;1),"Yes","No"))))</f>
      </c>
      <c r="F62">
        <f>IF($B62&lt;&gt;"Yes","",
IF($A62="Neuron",
IF(OR(
AND($R62&lt;&gt;"",LOWER(TRIM($R62))&lt;&gt;"n/a",COUNTIFS($B$2:$B$532,"Yes",$A$2:$A$532,"Neuron",$S$2:$S$532,$R62)&gt;1),
AND($T62&lt;&gt;"",LOWER(TRIM($T62))&lt;&gt;"n/a",COUNTIFS($B$2:$B$532,"Yes",$A$2:$A$532,"Neuron",$T$2:$T$532,$T62)&gt;1),
AND($W62&lt;&gt;"",LOWER(TRIM($W62))&lt;&gt;"n/a",COUNTIFS($B$2:$B$532,"Yes",$A$2:$A$532,"Neuron",$W$2:$W$532,$W62)&gt;1)
),"Yes","No"),
IF($A62="Cybernet",
IF(OR(
AND($Y62&lt;&gt;"",LOWER(TRIM($Y62))&lt;&gt;"n/a",COUNTIFS($B$2:$B$532,"Yes",$A$2:$A$532,"Cybernet",$Y$2:$Y$532,$Y62)&gt;1),
AND($Z62&lt;&gt;"",LOWER(TRIM($Z62))&lt;&gt;"n/a",COUNTIFS($B$2:$B$532,"Yes",$A$2:$A$532,"Cybernet",$Z$2:$Z$532,$Z62)&gt;1)
),"Yes","No"),
IF(AND($AL62&lt;&gt;"",LOWER(TRIM($AL62))&lt;&gt;"n/a"),
IF(COUNTIFS($B$2:$B$532,"Yes",$A$2:$A$532,$A62,$AL$2:$AL$532,$AL62)&gt;1,"Yes","No"),
"No")
)
)
)</f>
      </c>
      <c r="G62" t="s">
        <v>1880</v>
      </c>
      <c r="H62" t="s">
        <v>2197</v>
      </c>
      <c r="I62" t="s">
        <v>1831</v>
      </c>
      <c r="J62" t="s">
        <v>1727</v>
      </c>
      <c r="K62" t="s">
        <v>1657</v>
      </c>
      <c r="L62" t="s">
        <v>1657</v>
      </c>
      <c r="R62" t="s">
        <v>1852</v>
      </c>
      <c r="Y62" t="s">
        <v>1854</v>
      </c>
      <c r="Z62" t="s">
        <v>2370</v>
      </c>
      <c r="BD62" t="s">
        <v>1958</v>
      </c>
      <c r="BI62" t="s">
        <v>1630</v>
      </c>
      <c r="BL62">
        <f>IF($T62="","",IF((IF(AND($AW62&lt;&gt;"Yes",$AW62&lt;&gt;"N/A"),"Power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",""))="","",LEFT(IF(AND($AW62&lt;&gt;"Yes",$AW62&lt;&gt;"N/A"),"Power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",""),LEN(IF(AND($AW62&lt;&gt;"Yes",$AW62&lt;&gt;"N/A"),"Power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",""))-2)))</f>
      </c>
      <c r="BM62">
        <f>IF($T62="","",IF($BL62="","Yes","Blocked"))</f>
      </c>
      <c r="BP62">
        <f>IF($BO62="","",IFERROR(VLOOKUP($BO62,'01_Warehouse_Ledger'!$A:$N,4,FALSE),""))</f>
      </c>
      <c r="BQ62">
        <f>IF($BO62="","",IFERROR(VLOOKUP($BO62,'01_Warehouse_Ledger'!$A:$N,5,FALSE),""))</f>
      </c>
      <c r="BR62">
        <f>IF($BO62="","",IFERROR(VLOOKUP($BO62,'01_Warehouse_Ledger'!$A:$N,13,FALSE),""))</f>
      </c>
    </row>
    <row r="63">
      <c r="A63" t="s">
        <v>1415</v>
      </c>
      <c r="B63" t="s">
        <v>1657</v>
      </c>
      <c r="C63" t="s">
        <v>1657</v>
      </c>
      <c r="D63">
        <f>IF($B63&lt;&gt;"Yes","",IF($C63="No","Yes",IF($C63="Yes","No","")))</f>
      </c>
      <c r="E63">
        <f>IF($A63="","",IF($A63="Neuron",IF(OR(AND($R63&lt;&gt;"",LOWER(TRIM($R63))&lt;&gt;"n/a",COUNTIF($S$2:$S$532,$R63)&gt;1),AND($T63&lt;&gt;"",LOWER(TRIM($T63))&lt;&gt;"n/a",COUNTIF($T$2:$T$532,$T63)&gt;1),AND($W63&lt;&gt;"",LOWER(TRIM($W63))&lt;&gt;"n/a",COUNTIF($W$2:$W$532,$W63)&gt;1)),"Yes","No"),IF($A63="Cybernet",IF(OR(AND($Y63&lt;&gt;"",LOWER(TRIM($Y63))&lt;&gt;"n/a",COUNTIF($Y$2:$Y$532,$Y63)&gt;1),AND($Z63&lt;&gt;"",LOWER(TRIM($Z63))&lt;&gt;"n/a",COUNTIF($Z$2:$Z$532,$Z63)&gt;1)),"Yes","No"),IF(AND($AL63&lt;&gt;"",LOWER(TRIM($AL63))&lt;&gt;"n/a",COUNTIF($AL$2:$AL$532,$AL63)&gt;1),"Yes","No"))))</f>
      </c>
      <c r="F63">
        <f>IF($B63&lt;&gt;"Yes","",
IF($A63="Neuron",
IF(OR(
AND($R63&lt;&gt;"",LOWER(TRIM($R63))&lt;&gt;"n/a",COUNTIFS($B$2:$B$532,"Yes",$A$2:$A$532,"Neuron",$S$2:$S$532,$R63)&gt;1),
AND($T63&lt;&gt;"",LOWER(TRIM($T63))&lt;&gt;"n/a",COUNTIFS($B$2:$B$532,"Yes",$A$2:$A$532,"Neuron",$T$2:$T$532,$T63)&gt;1),
AND($W63&lt;&gt;"",LOWER(TRIM($W63))&lt;&gt;"n/a",COUNTIFS($B$2:$B$532,"Yes",$A$2:$A$532,"Neuron",$W$2:$W$532,$W63)&gt;1)
),"Yes","No"),
IF($A63="Cybernet",
IF(OR(
AND($Y63&lt;&gt;"",LOWER(TRIM($Y63))&lt;&gt;"n/a",COUNTIFS($B$2:$B$532,"Yes",$A$2:$A$532,"Cybernet",$Y$2:$Y$532,$Y63)&gt;1),
AND($Z63&lt;&gt;"",LOWER(TRIM($Z63))&lt;&gt;"n/a",COUNTIFS($B$2:$B$532,"Yes",$A$2:$A$532,"Cybernet",$Z$2:$Z$532,$Z63)&gt;1)
),"Yes","No"),
IF(AND($AL63&lt;&gt;"",LOWER(TRIM($AL63))&lt;&gt;"n/a"),
IF(COUNTIFS($B$2:$B$532,"Yes",$A$2:$A$532,$A63,$AL$2:$AL$532,$AL63)&gt;1,"Yes","No"),
"No")
)
)
)</f>
      </c>
      <c r="G63" t="s">
        <v>1880</v>
      </c>
      <c r="H63" t="s">
        <v>2197</v>
      </c>
      <c r="I63" t="s">
        <v>1831</v>
      </c>
      <c r="J63" t="s">
        <v>1727</v>
      </c>
      <c r="K63" t="s">
        <v>1657</v>
      </c>
      <c r="L63" t="s">
        <v>1657</v>
      </c>
      <c r="R63" t="s">
        <v>2372</v>
      </c>
      <c r="Y63" t="s">
        <v>2060</v>
      </c>
      <c r="Z63" t="s">
        <v>2394</v>
      </c>
      <c r="BD63" t="s">
        <v>1958</v>
      </c>
      <c r="BI63" t="s">
        <v>1630</v>
      </c>
      <c r="BL63">
        <f>IF($T63="","",IF((IF(AND($AW63&lt;&gt;"Yes",$AW63&lt;&gt;"N/A"),"Power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",""))="","",LEFT(IF(AND($AW63&lt;&gt;"Yes",$AW63&lt;&gt;"N/A"),"Power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",""),LEN(IF(AND($AW63&lt;&gt;"Yes",$AW63&lt;&gt;"N/A"),"Power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",""))-2)))</f>
      </c>
      <c r="BM63">
        <f>IF($T63="","",IF($BL63="","Yes","Blocked"))</f>
      </c>
      <c r="BP63">
        <f>IF($BO63="","",IFERROR(VLOOKUP($BO63,'01_Warehouse_Ledger'!$A:$N,4,FALSE),""))</f>
      </c>
      <c r="BQ63">
        <f>IF($BO63="","",IFERROR(VLOOKUP($BO63,'01_Warehouse_Ledger'!$A:$N,5,FALSE),""))</f>
      </c>
      <c r="BR63">
        <f>IF($BO63="","",IFERROR(VLOOKUP($BO63,'01_Warehouse_Ledger'!$A:$N,13,FALSE),""))</f>
      </c>
    </row>
    <row r="64">
      <c r="A64" t="s">
        <v>1415</v>
      </c>
      <c r="B64" t="s">
        <v>1657</v>
      </c>
      <c r="C64" t="s">
        <v>1657</v>
      </c>
      <c r="D64">
        <f>IF($B64&lt;&gt;"Yes","",IF($C64="No","Yes",IF($C64="Yes","No","")))</f>
      </c>
      <c r="E64">
        <f>IF($A64="","",IF($A64="Neuron",IF(OR(AND($R64&lt;&gt;"",LOWER(TRIM($R64))&lt;&gt;"n/a",COUNTIF($S$2:$S$532,$R64)&gt;1),AND($T64&lt;&gt;"",LOWER(TRIM($T64))&lt;&gt;"n/a",COUNTIF($T$2:$T$532,$T64)&gt;1),AND($W64&lt;&gt;"",LOWER(TRIM($W64))&lt;&gt;"n/a",COUNTIF($W$2:$W$532,$W64)&gt;1)),"Yes","No"),IF($A64="Cybernet",IF(OR(AND($Y64&lt;&gt;"",LOWER(TRIM($Y64))&lt;&gt;"n/a",COUNTIF($Y$2:$Y$532,$Y64)&gt;1),AND($Z64&lt;&gt;"",LOWER(TRIM($Z64))&lt;&gt;"n/a",COUNTIF($Z$2:$Z$532,$Z64)&gt;1)),"Yes","No"),IF(AND($AL64&lt;&gt;"",LOWER(TRIM($AL64))&lt;&gt;"n/a",COUNTIF($AL$2:$AL$532,$AL64)&gt;1),"Yes","No"))))</f>
      </c>
      <c r="F64">
        <f>IF($B64&lt;&gt;"Yes","",
IF($A64="Neuron",
IF(OR(
AND($R64&lt;&gt;"",LOWER(TRIM($R64))&lt;&gt;"n/a",COUNTIFS($B$2:$B$532,"Yes",$A$2:$A$532,"Neuron",$S$2:$S$532,$R64)&gt;1),
AND($T64&lt;&gt;"",LOWER(TRIM($T64))&lt;&gt;"n/a",COUNTIFS($B$2:$B$532,"Yes",$A$2:$A$532,"Neuron",$T$2:$T$532,$T64)&gt;1),
AND($W64&lt;&gt;"",LOWER(TRIM($W64))&lt;&gt;"n/a",COUNTIFS($B$2:$B$532,"Yes",$A$2:$A$532,"Neuron",$W$2:$W$532,$W64)&gt;1)
),"Yes","No"),
IF($A64="Cybernet",
IF(OR(
AND($Y64&lt;&gt;"",LOWER(TRIM($Y64))&lt;&gt;"n/a",COUNTIFS($B$2:$B$532,"Yes",$A$2:$A$532,"Cybernet",$Y$2:$Y$532,$Y64)&gt;1),
AND($Z64&lt;&gt;"",LOWER(TRIM($Z64))&lt;&gt;"n/a",COUNTIFS($B$2:$B$532,"Yes",$A$2:$A$532,"Cybernet",$Z$2:$Z$532,$Z64)&gt;1)
),"Yes","No"),
IF(AND($AL64&lt;&gt;"",LOWER(TRIM($AL64))&lt;&gt;"n/a"),
IF(COUNTIFS($B$2:$B$532,"Yes",$A$2:$A$532,$A64,$AL$2:$AL$532,$AL64)&gt;1,"Yes","No"),
"No")
)
)
)</f>
      </c>
      <c r="G64" t="s">
        <v>1880</v>
      </c>
      <c r="H64" t="s">
        <v>2197</v>
      </c>
      <c r="I64" t="s">
        <v>1831</v>
      </c>
      <c r="J64" t="s">
        <v>1727</v>
      </c>
      <c r="K64" t="s">
        <v>1657</v>
      </c>
      <c r="L64" t="s">
        <v>1657</v>
      </c>
      <c r="R64" t="s">
        <v>2007</v>
      </c>
      <c r="Y64" t="s">
        <v>2213</v>
      </c>
      <c r="Z64" t="s">
        <v>2049</v>
      </c>
      <c r="BD64" t="s">
        <v>1958</v>
      </c>
      <c r="BI64" t="s">
        <v>1630</v>
      </c>
      <c r="BL64">
        <f>IF($T64="","",IF((IF(AND($AW64&lt;&gt;"Yes",$AW64&lt;&gt;"N/A"),"Power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",""))="","",LEFT(IF(AND($AW64&lt;&gt;"Yes",$AW64&lt;&gt;"N/A"),"Power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",""),LEN(IF(AND($AW64&lt;&gt;"Yes",$AW64&lt;&gt;"N/A"),"Power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",""))-2)))</f>
      </c>
      <c r="BM64">
        <f>IF($T64="","",IF($BL64="","Yes","Blocked"))</f>
      </c>
      <c r="BP64">
        <f>IF($BO64="","",IFERROR(VLOOKUP($BO64,'01_Warehouse_Ledger'!$A:$N,4,FALSE),""))</f>
      </c>
      <c r="BQ64">
        <f>IF($BO64="","",IFERROR(VLOOKUP($BO64,'01_Warehouse_Ledger'!$A:$N,5,FALSE),""))</f>
      </c>
      <c r="BR64">
        <f>IF($BO64="","",IFERROR(VLOOKUP($BO64,'01_Warehouse_Ledger'!$A:$N,13,FALSE),""))</f>
      </c>
    </row>
    <row r="65">
      <c r="A65" t="s">
        <v>1415</v>
      </c>
      <c r="B65" t="s">
        <v>1657</v>
      </c>
      <c r="C65" t="s">
        <v>1657</v>
      </c>
      <c r="D65">
        <f>IF($B65&lt;&gt;"Yes","",IF($C65="No","Yes",IF($C65="Yes","No","")))</f>
      </c>
      <c r="E65">
        <f>IF($A65="","",IF($A65="Neuron",IF(OR(AND($R65&lt;&gt;"",LOWER(TRIM($R65))&lt;&gt;"n/a",COUNTIF($S$2:$S$532,$R65)&gt;1),AND($T65&lt;&gt;"",LOWER(TRIM($T65))&lt;&gt;"n/a",COUNTIF($T$2:$T$532,$T65)&gt;1),AND($W65&lt;&gt;"",LOWER(TRIM($W65))&lt;&gt;"n/a",COUNTIF($W$2:$W$532,$W65)&gt;1)),"Yes","No"),IF($A65="Cybernet",IF(OR(AND($Y65&lt;&gt;"",LOWER(TRIM($Y65))&lt;&gt;"n/a",COUNTIF($Y$2:$Y$532,$Y65)&gt;1),AND($Z65&lt;&gt;"",LOWER(TRIM($Z65))&lt;&gt;"n/a",COUNTIF($Z$2:$Z$532,$Z65)&gt;1)),"Yes","No"),IF(AND($AL65&lt;&gt;"",LOWER(TRIM($AL65))&lt;&gt;"n/a",COUNTIF($AL$2:$AL$532,$AL65)&gt;1),"Yes","No"))))</f>
      </c>
      <c r="F65">
        <f>IF($B65&lt;&gt;"Yes","",
IF($A65="Neuron",
IF(OR(
AND($R65&lt;&gt;"",LOWER(TRIM($R65))&lt;&gt;"n/a",COUNTIFS($B$2:$B$532,"Yes",$A$2:$A$532,"Neuron",$S$2:$S$532,$R65)&gt;1),
AND($T65&lt;&gt;"",LOWER(TRIM($T65))&lt;&gt;"n/a",COUNTIFS($B$2:$B$532,"Yes",$A$2:$A$532,"Neuron",$T$2:$T$532,$T65)&gt;1),
AND($W65&lt;&gt;"",LOWER(TRIM($W65))&lt;&gt;"n/a",COUNTIFS($B$2:$B$532,"Yes",$A$2:$A$532,"Neuron",$W$2:$W$532,$W65)&gt;1)
),"Yes","No"),
IF($A65="Cybernet",
IF(OR(
AND($Y65&lt;&gt;"",LOWER(TRIM($Y65))&lt;&gt;"n/a",COUNTIFS($B$2:$B$532,"Yes",$A$2:$A$532,"Cybernet",$Y$2:$Y$532,$Y65)&gt;1),
AND($Z65&lt;&gt;"",LOWER(TRIM($Z65))&lt;&gt;"n/a",COUNTIFS($B$2:$B$532,"Yes",$A$2:$A$532,"Cybernet",$Z$2:$Z$532,$Z65)&gt;1)
),"Yes","No"),
IF(AND($AL65&lt;&gt;"",LOWER(TRIM($AL65))&lt;&gt;"n/a"),
IF(COUNTIFS($B$2:$B$532,"Yes",$A$2:$A$532,$A65,$AL$2:$AL$532,$AL65)&gt;1,"Yes","No"),
"No")
)
)
)</f>
      </c>
      <c r="G65" t="s">
        <v>1880</v>
      </c>
      <c r="H65" t="s">
        <v>2197</v>
      </c>
      <c r="I65" t="s">
        <v>1831</v>
      </c>
      <c r="J65" t="s">
        <v>1727</v>
      </c>
      <c r="K65" t="s">
        <v>1657</v>
      </c>
      <c r="L65" t="s">
        <v>1657</v>
      </c>
      <c r="R65" t="s">
        <v>1699</v>
      </c>
      <c r="Y65" t="s">
        <v>2353</v>
      </c>
      <c r="Z65" t="s">
        <v>2095</v>
      </c>
      <c r="BD65" t="s">
        <v>1958</v>
      </c>
      <c r="BI65" t="s">
        <v>1630</v>
      </c>
      <c r="BL65">
        <f>IF($T65="","",IF((IF(AND($AW65&lt;&gt;"Yes",$AW65&lt;&gt;"N/A"),"Power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",""))="","",LEFT(IF(AND($AW65&lt;&gt;"Yes",$AW65&lt;&gt;"N/A"),"Power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",""),LEN(IF(AND($AW65&lt;&gt;"Yes",$AW65&lt;&gt;"N/A"),"Power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",""))-2)))</f>
      </c>
      <c r="BM65">
        <f>IF($T65="","",IF($BL65="","Yes","Blocked"))</f>
      </c>
      <c r="BP65">
        <f>IF($BO65="","",IFERROR(VLOOKUP($BO65,'01_Warehouse_Ledger'!$A:$N,4,FALSE),""))</f>
      </c>
      <c r="BQ65">
        <f>IF($BO65="","",IFERROR(VLOOKUP($BO65,'01_Warehouse_Ledger'!$A:$N,5,FALSE),""))</f>
      </c>
      <c r="BR65">
        <f>IF($BO65="","",IFERROR(VLOOKUP($BO65,'01_Warehouse_Ledger'!$A:$N,13,FALSE),""))</f>
      </c>
    </row>
    <row r="66">
      <c r="A66" t="s">
        <v>1415</v>
      </c>
      <c r="B66" t="s">
        <v>1657</v>
      </c>
      <c r="C66" t="s">
        <v>1657</v>
      </c>
      <c r="D66">
        <f>IF($B66&lt;&gt;"Yes","",IF($C66="No","Yes",IF($C66="Yes","No","")))</f>
      </c>
      <c r="E66">
        <f>IF($A66="","",IF($A66="Neuron",IF(OR(AND($R66&lt;&gt;"",LOWER(TRIM($R66))&lt;&gt;"n/a",COUNTIF($S$2:$S$532,$R66)&gt;1),AND($T66&lt;&gt;"",LOWER(TRIM($T66))&lt;&gt;"n/a",COUNTIF($T$2:$T$532,$T66)&gt;1),AND($W66&lt;&gt;"",LOWER(TRIM($W66))&lt;&gt;"n/a",COUNTIF($W$2:$W$532,$W66)&gt;1)),"Yes","No"),IF($A66="Cybernet",IF(OR(AND($Y66&lt;&gt;"",LOWER(TRIM($Y66))&lt;&gt;"n/a",COUNTIF($Y$2:$Y$532,$Y66)&gt;1),AND($Z66&lt;&gt;"",LOWER(TRIM($Z66))&lt;&gt;"n/a",COUNTIF($Z$2:$Z$532,$Z66)&gt;1)),"Yes","No"),IF(AND($AL66&lt;&gt;"",LOWER(TRIM($AL66))&lt;&gt;"n/a",COUNTIF($AL$2:$AL$532,$AL66)&gt;1),"Yes","No"))))</f>
      </c>
      <c r="F66">
        <f>IF($B66&lt;&gt;"Yes","",
IF($A66="Neuron",
IF(OR(
AND($R66&lt;&gt;"",LOWER(TRIM($R66))&lt;&gt;"n/a",COUNTIFS($B$2:$B$532,"Yes",$A$2:$A$532,"Neuron",$S$2:$S$532,$R66)&gt;1),
AND($T66&lt;&gt;"",LOWER(TRIM($T66))&lt;&gt;"n/a",COUNTIFS($B$2:$B$532,"Yes",$A$2:$A$532,"Neuron",$T$2:$T$532,$T66)&gt;1),
AND($W66&lt;&gt;"",LOWER(TRIM($W66))&lt;&gt;"n/a",COUNTIFS($B$2:$B$532,"Yes",$A$2:$A$532,"Neuron",$W$2:$W$532,$W66)&gt;1)
),"Yes","No"),
IF($A66="Cybernet",
IF(OR(
AND($Y66&lt;&gt;"",LOWER(TRIM($Y66))&lt;&gt;"n/a",COUNTIFS($B$2:$B$532,"Yes",$A$2:$A$532,"Cybernet",$Y$2:$Y$532,$Y66)&gt;1),
AND($Z66&lt;&gt;"",LOWER(TRIM($Z66))&lt;&gt;"n/a",COUNTIFS($B$2:$B$532,"Yes",$A$2:$A$532,"Cybernet",$Z$2:$Z$532,$Z66)&gt;1)
),"Yes","No"),
IF(AND($AL66&lt;&gt;"",LOWER(TRIM($AL66))&lt;&gt;"n/a"),
IF(COUNTIFS($B$2:$B$532,"Yes",$A$2:$A$532,$A66,$AL$2:$AL$532,$AL66)&gt;1,"Yes","No"),
"No")
)
)
)</f>
      </c>
      <c r="G66" t="s">
        <v>1880</v>
      </c>
      <c r="H66" t="s">
        <v>2197</v>
      </c>
      <c r="I66" t="s">
        <v>1831</v>
      </c>
      <c r="J66" t="s">
        <v>1727</v>
      </c>
      <c r="K66" t="s">
        <v>1657</v>
      </c>
      <c r="L66" t="s">
        <v>1657</v>
      </c>
      <c r="R66" t="s">
        <v>1645</v>
      </c>
      <c r="Y66" t="s">
        <v>1833</v>
      </c>
      <c r="Z66" t="s">
        <v>2349</v>
      </c>
      <c r="BI66" t="s">
        <v>1630</v>
      </c>
      <c r="BL66">
        <f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</c>
      <c r="BM66">
        <f>IF($T66="","",IF($BL66="","Yes","Blocked"))</f>
      </c>
      <c r="BP66">
        <f>IF($BO66="","",IFERROR(VLOOKUP($BO66,'01_Warehouse_Ledger'!$A:$N,4,FALSE),""))</f>
      </c>
      <c r="BQ66">
        <f>IF($BO66="","",IFERROR(VLOOKUP($BO66,'01_Warehouse_Ledger'!$A:$N,5,FALSE),""))</f>
      </c>
      <c r="BR66">
        <f>IF($BO66="","",IFERROR(VLOOKUP($BO66,'01_Warehouse_Ledger'!$A:$N,13,FALSE),""))</f>
      </c>
    </row>
    <row r="67">
      <c r="A67" t="s">
        <v>1415</v>
      </c>
      <c r="B67" t="s">
        <v>1657</v>
      </c>
      <c r="C67" t="s">
        <v>1657</v>
      </c>
      <c r="D67">
        <f>IF($B67&lt;&gt;"Yes","",IF($C67="No","Yes",IF($C67="Yes","No","")))</f>
      </c>
      <c r="E67">
        <f>IF($A67="","",IF($A67="Neuron",IF(OR(AND($R67&lt;&gt;"",LOWER(TRIM($R67))&lt;&gt;"n/a",COUNTIF($S$2:$S$532,$R67)&gt;1),AND($T67&lt;&gt;"",LOWER(TRIM($T67))&lt;&gt;"n/a",COUNTIF($T$2:$T$532,$T67)&gt;1),AND($W67&lt;&gt;"",LOWER(TRIM($W67))&lt;&gt;"n/a",COUNTIF($W$2:$W$532,$W67)&gt;1)),"Yes","No"),IF($A67="Cybernet",IF(OR(AND($Y67&lt;&gt;"",LOWER(TRIM($Y67))&lt;&gt;"n/a",COUNTIF($Y$2:$Y$532,$Y67)&gt;1),AND($Z67&lt;&gt;"",LOWER(TRIM($Z67))&lt;&gt;"n/a",COUNTIF($Z$2:$Z$532,$Z67)&gt;1)),"Yes","No"),IF(AND($AL67&lt;&gt;"",LOWER(TRIM($AL67))&lt;&gt;"n/a",COUNTIF($AL$2:$AL$532,$AL67)&gt;1),"Yes","No"))))</f>
      </c>
      <c r="F67">
        <f>IF($B67&lt;&gt;"Yes","",
IF($A67="Neuron",
IF(OR(
AND($R67&lt;&gt;"",LOWER(TRIM($R67))&lt;&gt;"n/a",COUNTIFS($B$2:$B$532,"Yes",$A$2:$A$532,"Neuron",$S$2:$S$532,$R67)&gt;1),
AND($T67&lt;&gt;"",LOWER(TRIM($T67))&lt;&gt;"n/a",COUNTIFS($B$2:$B$532,"Yes",$A$2:$A$532,"Neuron",$T$2:$T$532,$T67)&gt;1),
AND($W67&lt;&gt;"",LOWER(TRIM($W67))&lt;&gt;"n/a",COUNTIFS($B$2:$B$532,"Yes",$A$2:$A$532,"Neuron",$W$2:$W$532,$W67)&gt;1)
),"Yes","No"),
IF($A67="Cybernet",
IF(OR(
AND($Y67&lt;&gt;"",LOWER(TRIM($Y67))&lt;&gt;"n/a",COUNTIFS($B$2:$B$532,"Yes",$A$2:$A$532,"Cybernet",$Y$2:$Y$532,$Y67)&gt;1),
AND($Z67&lt;&gt;"",LOWER(TRIM($Z67))&lt;&gt;"n/a",COUNTIFS($B$2:$B$532,"Yes",$A$2:$A$532,"Cybernet",$Z$2:$Z$532,$Z67)&gt;1)
),"Yes","No"),
IF(AND($AL67&lt;&gt;"",LOWER(TRIM($AL67))&lt;&gt;"n/a"),
IF(COUNTIFS($B$2:$B$532,"Yes",$A$2:$A$532,$A67,$AL$2:$AL$532,$AL67)&gt;1,"Yes","No"),
"No")
)
)
)</f>
      </c>
      <c r="G67" t="s">
        <v>1880</v>
      </c>
      <c r="H67" t="s">
        <v>2197</v>
      </c>
      <c r="I67" t="s">
        <v>1831</v>
      </c>
      <c r="J67" t="s">
        <v>1727</v>
      </c>
      <c r="K67" t="s">
        <v>1657</v>
      </c>
      <c r="L67" t="s">
        <v>1657</v>
      </c>
      <c r="R67" t="s">
        <v>2317</v>
      </c>
      <c r="Y67" t="s">
        <v>2079</v>
      </c>
      <c r="Z67" t="s">
        <v>2225</v>
      </c>
      <c r="BI67" t="s">
        <v>1630</v>
      </c>
      <c r="BL67">
        <f>IF($T67="","",IF((IF(AND($AW67&lt;&gt;"Yes",$AW67&lt;&gt;"N/A"),"Power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",""))="","",LEFT(IF(AND($AW67&lt;&gt;"Yes",$AW67&lt;&gt;"N/A"),"Power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",""),LEN(IF(AND($AW67&lt;&gt;"Yes",$AW67&lt;&gt;"N/A"),"Power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",""))-2)))</f>
      </c>
      <c r="BM67">
        <f>IF($T67="","",IF($BL67="","Yes","Blocked"))</f>
      </c>
      <c r="BP67">
        <f>IF($BO67="","",IFERROR(VLOOKUP($BO67,'01_Warehouse_Ledger'!$A:$N,4,FALSE),""))</f>
      </c>
      <c r="BQ67">
        <f>IF($BO67="","",IFERROR(VLOOKUP($BO67,'01_Warehouse_Ledger'!$A:$N,5,FALSE),""))</f>
      </c>
      <c r="BR67">
        <f>IF($BO67="","",IFERROR(VLOOKUP($BO67,'01_Warehouse_Ledger'!$A:$N,13,FALSE),""))</f>
      </c>
    </row>
    <row r="68">
      <c r="A68" t="s">
        <v>1415</v>
      </c>
      <c r="B68" t="s">
        <v>1657</v>
      </c>
      <c r="C68" t="s">
        <v>1657</v>
      </c>
      <c r="D68">
        <f>IF($B68&lt;&gt;"Yes","",IF($C68="No","Yes",IF($C68="Yes","No","")))</f>
      </c>
      <c r="E68">
        <f>IF($A68="","",IF($A68="Neuron",IF(OR(AND($R68&lt;&gt;"",LOWER(TRIM($R68))&lt;&gt;"n/a",COUNTIF($S$2:$S$532,$R68)&gt;1),AND($T68&lt;&gt;"",LOWER(TRIM($T68))&lt;&gt;"n/a",COUNTIF($T$2:$T$532,$T68)&gt;1),AND($W68&lt;&gt;"",LOWER(TRIM($W68))&lt;&gt;"n/a",COUNTIF($W$2:$W$532,$W68)&gt;1)),"Yes","No"),IF($A68="Cybernet",IF(OR(AND($Y68&lt;&gt;"",LOWER(TRIM($Y68))&lt;&gt;"n/a",COUNTIF($Y$2:$Y$532,$Y68)&gt;1),AND($Z68&lt;&gt;"",LOWER(TRIM($Z68))&lt;&gt;"n/a",COUNTIF($Z$2:$Z$532,$Z68)&gt;1)),"Yes","No"),IF(AND($AL68&lt;&gt;"",LOWER(TRIM($AL68))&lt;&gt;"n/a",COUNTIF($AL$2:$AL$532,$AL68)&gt;1),"Yes","No"))))</f>
      </c>
      <c r="F68">
        <f>IF($B68&lt;&gt;"Yes","",
IF($A68="Neuron",
IF(OR(
AND($R68&lt;&gt;"",LOWER(TRIM($R68))&lt;&gt;"n/a",COUNTIFS($B$2:$B$532,"Yes",$A$2:$A$532,"Neuron",$S$2:$S$532,$R68)&gt;1),
AND($T68&lt;&gt;"",LOWER(TRIM($T68))&lt;&gt;"n/a",COUNTIFS($B$2:$B$532,"Yes",$A$2:$A$532,"Neuron",$T$2:$T$532,$T68)&gt;1),
AND($W68&lt;&gt;"",LOWER(TRIM($W68))&lt;&gt;"n/a",COUNTIFS($B$2:$B$532,"Yes",$A$2:$A$532,"Neuron",$W$2:$W$532,$W68)&gt;1)
),"Yes","No"),
IF($A68="Cybernet",
IF(OR(
AND($Y68&lt;&gt;"",LOWER(TRIM($Y68))&lt;&gt;"n/a",COUNTIFS($B$2:$B$532,"Yes",$A$2:$A$532,"Cybernet",$Y$2:$Y$532,$Y68)&gt;1),
AND($Z68&lt;&gt;"",LOWER(TRIM($Z68))&lt;&gt;"n/a",COUNTIFS($B$2:$B$532,"Yes",$A$2:$A$532,"Cybernet",$Z$2:$Z$532,$Z68)&gt;1)
),"Yes","No"),
IF(AND($AL68&lt;&gt;"",LOWER(TRIM($AL68))&lt;&gt;"n/a"),
IF(COUNTIFS($B$2:$B$532,"Yes",$A$2:$A$532,$A68,$AL$2:$AL$532,$AL68)&gt;1,"Yes","No"),
"No")
)
)
)</f>
      </c>
      <c r="G68" t="s">
        <v>1880</v>
      </c>
      <c r="H68" t="s">
        <v>2197</v>
      </c>
      <c r="I68" t="s">
        <v>1831</v>
      </c>
      <c r="J68" t="s">
        <v>1727</v>
      </c>
      <c r="K68" t="s">
        <v>1657</v>
      </c>
      <c r="L68" t="s">
        <v>1657</v>
      </c>
      <c r="R68" t="s">
        <v>2299</v>
      </c>
      <c r="Y68" t="s">
        <v>1698</v>
      </c>
      <c r="Z68" t="s">
        <v>1811</v>
      </c>
      <c r="BI68" t="s">
        <v>1630</v>
      </c>
      <c r="BL68">
        <f>IF($T68="","",IF((IF(AND($AW68&lt;&gt;"Yes",$AW68&lt;&gt;"N/A"),"Power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",""))="","",LEFT(IF(AND($AW68&lt;&gt;"Yes",$AW68&lt;&gt;"N/A"),"Power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",""),LEN(IF(AND($AW68&lt;&gt;"Yes",$AW68&lt;&gt;"N/A"),"Power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",""))-2)))</f>
      </c>
      <c r="BM68">
        <f>IF($T68="","",IF($BL68="","Yes","Blocked"))</f>
      </c>
      <c r="BP68">
        <f>IF($BO68="","",IFERROR(VLOOKUP($BO68,'01_Warehouse_Ledger'!$A:$N,4,FALSE),""))</f>
      </c>
      <c r="BQ68">
        <f>IF($BO68="","",IFERROR(VLOOKUP($BO68,'01_Warehouse_Ledger'!$A:$N,5,FALSE),""))</f>
      </c>
      <c r="BR68">
        <f>IF($BO68="","",IFERROR(VLOOKUP($BO68,'01_Warehouse_Ledger'!$A:$N,13,FALSE),""))</f>
      </c>
    </row>
    <row r="69">
      <c r="A69" t="s">
        <v>1415</v>
      </c>
      <c r="B69" t="s">
        <v>1657</v>
      </c>
      <c r="C69" t="s">
        <v>1657</v>
      </c>
      <c r="D69">
        <f>IF($B69&lt;&gt;"Yes","",IF($C69="No","Yes",IF($C69="Yes","No","")))</f>
      </c>
      <c r="E69">
        <f>IF($A69="","",IF($A69="Neuron",IF(OR(AND($R69&lt;&gt;"",LOWER(TRIM($R69))&lt;&gt;"n/a",COUNTIF($S$2:$S$532,$R69)&gt;1),AND($T69&lt;&gt;"",LOWER(TRIM($T69))&lt;&gt;"n/a",COUNTIF($T$2:$T$532,$T69)&gt;1),AND($W69&lt;&gt;"",LOWER(TRIM($W69))&lt;&gt;"n/a",COUNTIF($W$2:$W$532,$W69)&gt;1)),"Yes","No"),IF($A69="Cybernet",IF(OR(AND($Y69&lt;&gt;"",LOWER(TRIM($Y69))&lt;&gt;"n/a",COUNTIF($Y$2:$Y$532,$Y69)&gt;1),AND($Z69&lt;&gt;"",LOWER(TRIM($Z69))&lt;&gt;"n/a",COUNTIF($Z$2:$Z$532,$Z69)&gt;1)),"Yes","No"),IF(AND($AL69&lt;&gt;"",LOWER(TRIM($AL69))&lt;&gt;"n/a",COUNTIF($AL$2:$AL$532,$AL69)&gt;1),"Yes","No"))))</f>
      </c>
      <c r="F69">
        <f>IF($B69&lt;&gt;"Yes","",
IF($A69="Neuron",
IF(OR(
AND($R69&lt;&gt;"",LOWER(TRIM($R69))&lt;&gt;"n/a",COUNTIFS($B$2:$B$532,"Yes",$A$2:$A$532,"Neuron",$S$2:$S$532,$R69)&gt;1),
AND($T69&lt;&gt;"",LOWER(TRIM($T69))&lt;&gt;"n/a",COUNTIFS($B$2:$B$532,"Yes",$A$2:$A$532,"Neuron",$T$2:$T$532,$T69)&gt;1),
AND($W69&lt;&gt;"",LOWER(TRIM($W69))&lt;&gt;"n/a",COUNTIFS($B$2:$B$532,"Yes",$A$2:$A$532,"Neuron",$W$2:$W$532,$W69)&gt;1)
),"Yes","No"),
IF($A69="Cybernet",
IF(OR(
AND($Y69&lt;&gt;"",LOWER(TRIM($Y69))&lt;&gt;"n/a",COUNTIFS($B$2:$B$532,"Yes",$A$2:$A$532,"Cybernet",$Y$2:$Y$532,$Y69)&gt;1),
AND($Z69&lt;&gt;"",LOWER(TRIM($Z69))&lt;&gt;"n/a",COUNTIFS($B$2:$B$532,"Yes",$A$2:$A$532,"Cybernet",$Z$2:$Z$532,$Z69)&gt;1)
),"Yes","No"),
IF(AND($AL69&lt;&gt;"",LOWER(TRIM($AL69))&lt;&gt;"n/a"),
IF(COUNTIFS($B$2:$B$532,"Yes",$A$2:$A$532,$A69,$AL$2:$AL$532,$AL69)&gt;1,"Yes","No"),
"No")
)
)
)</f>
      </c>
      <c r="G69" t="s">
        <v>1880</v>
      </c>
      <c r="H69" t="s">
        <v>2357</v>
      </c>
      <c r="I69" t="s">
        <v>1831</v>
      </c>
      <c r="J69" t="s">
        <v>1727</v>
      </c>
      <c r="K69" t="s">
        <v>1657</v>
      </c>
      <c r="L69" t="s">
        <v>1657</v>
      </c>
      <c r="R69" t="s">
        <v>2064</v>
      </c>
      <c r="Y69" t="s">
        <v>1828</v>
      </c>
      <c r="Z69" t="s">
        <v>2093</v>
      </c>
      <c r="BI69" t="s">
        <v>1630</v>
      </c>
      <c r="BL69">
        <f>IF($T69="","",IF((IF(AND($AW69&lt;&gt;"Yes",$AW69&lt;&gt;"N/A"),"Power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",""))="","",LEFT(IF(AND($AW69&lt;&gt;"Yes",$AW69&lt;&gt;"N/A"),"Power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",""),LEN(IF(AND($AW69&lt;&gt;"Yes",$AW69&lt;&gt;"N/A"),"Power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",""))-2)))</f>
      </c>
      <c r="BM69">
        <f>IF($T69="","",IF($BL69="","Yes","Blocked"))</f>
      </c>
      <c r="BP69">
        <f>IF($BO69="","",IFERROR(VLOOKUP($BO69,'01_Warehouse_Ledger'!$A:$N,4,FALSE),""))</f>
      </c>
      <c r="BQ69">
        <f>IF($BO69="","",IFERROR(VLOOKUP($BO69,'01_Warehouse_Ledger'!$A:$N,5,FALSE),""))</f>
      </c>
      <c r="BR69">
        <f>IF($BO69="","",IFERROR(VLOOKUP($BO69,'01_Warehouse_Ledger'!$A:$N,13,FALSE),""))</f>
      </c>
    </row>
    <row r="70">
      <c r="A70" t="s">
        <v>1415</v>
      </c>
      <c r="B70" t="s">
        <v>1657</v>
      </c>
      <c r="C70" t="s">
        <v>1657</v>
      </c>
      <c r="D70">
        <f>IF($B70&lt;&gt;"Yes","",IF($C70="No","Yes",IF($C70="Yes","No","")))</f>
      </c>
      <c r="E70">
        <f>IF($A70="","",IF($A70="Neuron",IF(OR(AND($R70&lt;&gt;"",LOWER(TRIM($R70))&lt;&gt;"n/a",COUNTIF($S$2:$S$532,$R70)&gt;1),AND($T70&lt;&gt;"",LOWER(TRIM($T70))&lt;&gt;"n/a",COUNTIF($T$2:$T$532,$T70)&gt;1),AND($W70&lt;&gt;"",LOWER(TRIM($W70))&lt;&gt;"n/a",COUNTIF($W$2:$W$532,$W70)&gt;1)),"Yes","No"),IF($A70="Cybernet",IF(OR(AND($Y70&lt;&gt;"",LOWER(TRIM($Y70))&lt;&gt;"n/a",COUNTIF($Y$2:$Y$532,$Y70)&gt;1),AND($Z70&lt;&gt;"",LOWER(TRIM($Z70))&lt;&gt;"n/a",COUNTIF($Z$2:$Z$532,$Z70)&gt;1)),"Yes","No"),IF(AND($AL70&lt;&gt;"",LOWER(TRIM($AL70))&lt;&gt;"n/a",COUNTIF($AL$2:$AL$532,$AL70)&gt;1),"Yes","No"))))</f>
      </c>
      <c r="F70">
        <f>IF($B70&lt;&gt;"Yes","",
IF($A70="Neuron",
IF(OR(
AND($R70&lt;&gt;"",LOWER(TRIM($R70))&lt;&gt;"n/a",COUNTIFS($B$2:$B$532,"Yes",$A$2:$A$532,"Neuron",$S$2:$S$532,$R70)&gt;1),
AND($T70&lt;&gt;"",LOWER(TRIM($T70))&lt;&gt;"n/a",COUNTIFS($B$2:$B$532,"Yes",$A$2:$A$532,"Neuron",$T$2:$T$532,$T70)&gt;1),
AND($W70&lt;&gt;"",LOWER(TRIM($W70))&lt;&gt;"n/a",COUNTIFS($B$2:$B$532,"Yes",$A$2:$A$532,"Neuron",$W$2:$W$532,$W70)&gt;1)
),"Yes","No"),
IF($A70="Cybernet",
IF(OR(
AND($Y70&lt;&gt;"",LOWER(TRIM($Y70))&lt;&gt;"n/a",COUNTIFS($B$2:$B$532,"Yes",$A$2:$A$532,"Cybernet",$Y$2:$Y$532,$Y70)&gt;1),
AND($Z70&lt;&gt;"",LOWER(TRIM($Z70))&lt;&gt;"n/a",COUNTIFS($B$2:$B$532,"Yes",$A$2:$A$532,"Cybernet",$Z$2:$Z$532,$Z70)&gt;1)
),"Yes","No"),
IF(AND($AL70&lt;&gt;"",LOWER(TRIM($AL70))&lt;&gt;"n/a"),
IF(COUNTIFS($B$2:$B$532,"Yes",$A$2:$A$532,$A70,$AL$2:$AL$532,$AL70)&gt;1,"Yes","No"),
"No")
)
)
)</f>
      </c>
      <c r="G70" t="s">
        <v>1880</v>
      </c>
      <c r="H70" t="s">
        <v>2357</v>
      </c>
      <c r="I70" t="s">
        <v>1831</v>
      </c>
      <c r="J70" t="s">
        <v>1727</v>
      </c>
      <c r="K70" t="s">
        <v>1657</v>
      </c>
      <c r="L70" t="s">
        <v>1657</v>
      </c>
      <c r="R70" t="s">
        <v>2239</v>
      </c>
      <c r="Y70" t="s">
        <v>2073</v>
      </c>
      <c r="Z70" t="s">
        <v>2363</v>
      </c>
      <c r="BI70" t="s">
        <v>1630</v>
      </c>
      <c r="BL70">
        <f>IF($T70="","",IF((IF(AND($AW70&lt;&gt;"Yes",$AW70&lt;&gt;"N/A"),"Power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",""))="","",LEFT(IF(AND($AW70&lt;&gt;"Yes",$AW70&lt;&gt;"N/A"),"Power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",""),LEN(IF(AND($AW70&lt;&gt;"Yes",$AW70&lt;&gt;"N/A"),"Power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",""))-2)))</f>
      </c>
      <c r="BM70">
        <f>IF($T70="","",IF($BL70="","Yes","Blocked"))</f>
      </c>
      <c r="BP70">
        <f>IF($BO70="","",IFERROR(VLOOKUP($BO70,'01_Warehouse_Ledger'!$A:$N,4,FALSE),""))</f>
      </c>
      <c r="BQ70">
        <f>IF($BO70="","",IFERROR(VLOOKUP($BO70,'01_Warehouse_Ledger'!$A:$N,5,FALSE),""))</f>
      </c>
      <c r="BR70">
        <f>IF($BO70="","",IFERROR(VLOOKUP($BO70,'01_Warehouse_Ledger'!$A:$N,13,FALSE),""))</f>
      </c>
    </row>
    <row r="71">
      <c r="A71" t="s">
        <v>1415</v>
      </c>
      <c r="B71" t="s">
        <v>1657</v>
      </c>
      <c r="C71" t="s">
        <v>1657</v>
      </c>
      <c r="D71">
        <f>IF($B71&lt;&gt;"Yes","",IF($C71="No","Yes",IF($C71="Yes","No","")))</f>
      </c>
      <c r="E71">
        <f>IF($A71="","",IF($A71="Neuron",IF(OR(AND($R71&lt;&gt;"",LOWER(TRIM($R71))&lt;&gt;"n/a",COUNTIF($S$2:$S$532,$R71)&gt;1),AND($T71&lt;&gt;"",LOWER(TRIM($T71))&lt;&gt;"n/a",COUNTIF($T$2:$T$532,$T71)&gt;1),AND($W71&lt;&gt;"",LOWER(TRIM($W71))&lt;&gt;"n/a",COUNTIF($W$2:$W$532,$W71)&gt;1)),"Yes","No"),IF($A71="Cybernet",IF(OR(AND($Y71&lt;&gt;"",LOWER(TRIM($Y71))&lt;&gt;"n/a",COUNTIF($Y$2:$Y$532,$Y71)&gt;1),AND($Z71&lt;&gt;"",LOWER(TRIM($Z71))&lt;&gt;"n/a",COUNTIF($Z$2:$Z$532,$Z71)&gt;1)),"Yes","No"),IF(AND($AL71&lt;&gt;"",LOWER(TRIM($AL71))&lt;&gt;"n/a",COUNTIF($AL$2:$AL$532,$AL71)&gt;1),"Yes","No"))))</f>
      </c>
      <c r="F71">
        <f>IF($B71&lt;&gt;"Yes","",
IF($A71="Neuron",
IF(OR(
AND($R71&lt;&gt;"",LOWER(TRIM($R71))&lt;&gt;"n/a",COUNTIFS($B$2:$B$532,"Yes",$A$2:$A$532,"Neuron",$S$2:$S$532,$R71)&gt;1),
AND($T71&lt;&gt;"",LOWER(TRIM($T71))&lt;&gt;"n/a",COUNTIFS($B$2:$B$532,"Yes",$A$2:$A$532,"Neuron",$T$2:$T$532,$T71)&gt;1),
AND($W71&lt;&gt;"",LOWER(TRIM($W71))&lt;&gt;"n/a",COUNTIFS($B$2:$B$532,"Yes",$A$2:$A$532,"Neuron",$W$2:$W$532,$W71)&gt;1)
),"Yes","No"),
IF($A71="Cybernet",
IF(OR(
AND($Y71&lt;&gt;"",LOWER(TRIM($Y71))&lt;&gt;"n/a",COUNTIFS($B$2:$B$532,"Yes",$A$2:$A$532,"Cybernet",$Y$2:$Y$532,$Y71)&gt;1),
AND($Z71&lt;&gt;"",LOWER(TRIM($Z71))&lt;&gt;"n/a",COUNTIFS($B$2:$B$532,"Yes",$A$2:$A$532,"Cybernet",$Z$2:$Z$532,$Z71)&gt;1)
),"Yes","No"),
IF(AND($AL71&lt;&gt;"",LOWER(TRIM($AL71))&lt;&gt;"n/a"),
IF(COUNTIFS($B$2:$B$532,"Yes",$A$2:$A$532,$A71,$AL$2:$AL$532,$AL71)&gt;1,"Yes","No"),
"No")
)
)
)</f>
      </c>
      <c r="G71" t="s">
        <v>1880</v>
      </c>
      <c r="H71" t="s">
        <v>2357</v>
      </c>
      <c r="I71" t="s">
        <v>1831</v>
      </c>
      <c r="J71" t="s">
        <v>1727</v>
      </c>
      <c r="K71" t="s">
        <v>1657</v>
      </c>
      <c r="L71" t="s">
        <v>1657</v>
      </c>
      <c r="R71" t="s">
        <v>1930</v>
      </c>
      <c r="Y71" t="s">
        <v>2167</v>
      </c>
      <c r="Z71" t="s">
        <v>1884</v>
      </c>
      <c r="BI71" t="s">
        <v>1630</v>
      </c>
      <c r="BL71">
        <f>IF($T71="","",IF((IF(AND($AW71&lt;&gt;"Yes",$AW71&lt;&gt;"N/A"),"Power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",""))="","",LEFT(IF(AND($AW71&lt;&gt;"Yes",$AW71&lt;&gt;"N/A"),"Power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",""),LEN(IF(AND($AW71&lt;&gt;"Yes",$AW71&lt;&gt;"N/A"),"Power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",""))-2)))</f>
      </c>
      <c r="BM71">
        <f>IF($T71="","",IF($BL71="","Yes","Blocked"))</f>
      </c>
      <c r="BP71">
        <f>IF($BO71="","",IFERROR(VLOOKUP($BO71,'01_Warehouse_Ledger'!$A:$N,4,FALSE),""))</f>
      </c>
      <c r="BQ71">
        <f>IF($BO71="","",IFERROR(VLOOKUP($BO71,'01_Warehouse_Ledger'!$A:$N,5,FALSE),""))</f>
      </c>
      <c r="BR71">
        <f>IF($BO71="","",IFERROR(VLOOKUP($BO71,'01_Warehouse_Ledger'!$A:$N,13,FALSE),""))</f>
      </c>
    </row>
    <row r="72">
      <c r="A72" t="s">
        <v>1415</v>
      </c>
      <c r="B72" t="s">
        <v>1657</v>
      </c>
      <c r="C72" t="s">
        <v>1657</v>
      </c>
      <c r="D72">
        <f>IF($B72&lt;&gt;"Yes","",IF($C72="No","Yes",IF($C72="Yes","No","")))</f>
      </c>
      <c r="E72">
        <f>IF($A72="","",IF($A72="Neuron",IF(OR(AND($R72&lt;&gt;"",LOWER(TRIM($R72))&lt;&gt;"n/a",COUNTIF($S$2:$S$532,$R72)&gt;1),AND($T72&lt;&gt;"",LOWER(TRIM($T72))&lt;&gt;"n/a",COUNTIF($T$2:$T$532,$T72)&gt;1),AND($W72&lt;&gt;"",LOWER(TRIM($W72))&lt;&gt;"n/a",COUNTIF($W$2:$W$532,$W72)&gt;1)),"Yes","No"),IF($A72="Cybernet",IF(OR(AND($Y72&lt;&gt;"",LOWER(TRIM($Y72))&lt;&gt;"n/a",COUNTIF($Y$2:$Y$532,$Y72)&gt;1),AND($Z72&lt;&gt;"",LOWER(TRIM($Z72))&lt;&gt;"n/a",COUNTIF($Z$2:$Z$532,$Z72)&gt;1)),"Yes","No"),IF(AND($AL72&lt;&gt;"",LOWER(TRIM($AL72))&lt;&gt;"n/a",COUNTIF($AL$2:$AL$532,$AL72)&gt;1),"Yes","No"))))</f>
      </c>
      <c r="F72">
        <f>IF($B72&lt;&gt;"Yes","",
IF($A72="Neuron",
IF(OR(
AND($R72&lt;&gt;"",LOWER(TRIM($R72))&lt;&gt;"n/a",COUNTIFS($B$2:$B$532,"Yes",$A$2:$A$532,"Neuron",$S$2:$S$532,$R72)&gt;1),
AND($T72&lt;&gt;"",LOWER(TRIM($T72))&lt;&gt;"n/a",COUNTIFS($B$2:$B$532,"Yes",$A$2:$A$532,"Neuron",$T$2:$T$532,$T72)&gt;1),
AND($W72&lt;&gt;"",LOWER(TRIM($W72))&lt;&gt;"n/a",COUNTIFS($B$2:$B$532,"Yes",$A$2:$A$532,"Neuron",$W$2:$W$532,$W72)&gt;1)
),"Yes","No"),
IF($A72="Cybernet",
IF(OR(
AND($Y72&lt;&gt;"",LOWER(TRIM($Y72))&lt;&gt;"n/a",COUNTIFS($B$2:$B$532,"Yes",$A$2:$A$532,"Cybernet",$Y$2:$Y$532,$Y72)&gt;1),
AND($Z72&lt;&gt;"",LOWER(TRIM($Z72))&lt;&gt;"n/a",COUNTIFS($B$2:$B$532,"Yes",$A$2:$A$532,"Cybernet",$Z$2:$Z$532,$Z72)&gt;1)
),"Yes","No"),
IF(AND($AL72&lt;&gt;"",LOWER(TRIM($AL72))&lt;&gt;"n/a"),
IF(COUNTIFS($B$2:$B$532,"Yes",$A$2:$A$532,$A72,$AL$2:$AL$532,$AL72)&gt;1,"Yes","No"),
"No")
)
)
)</f>
      </c>
      <c r="G72" t="s">
        <v>1880</v>
      </c>
      <c r="H72" t="s">
        <v>2357</v>
      </c>
      <c r="I72" t="s">
        <v>1831</v>
      </c>
      <c r="J72" t="s">
        <v>1727</v>
      </c>
      <c r="K72" t="s">
        <v>1657</v>
      </c>
      <c r="L72" t="s">
        <v>1657</v>
      </c>
      <c r="R72" t="s">
        <v>1935</v>
      </c>
      <c r="Y72" t="s">
        <v>2138</v>
      </c>
      <c r="Z72" t="s">
        <v>2264</v>
      </c>
      <c r="BI72" t="s">
        <v>1630</v>
      </c>
      <c r="BL72">
        <f>IF($T72="","",IF((IF(AND($AW72&lt;&gt;"Yes",$AW72&lt;&gt;"N/A"),"Power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",""))="","",LEFT(IF(AND($AW72&lt;&gt;"Yes",$AW72&lt;&gt;"N/A"),"Power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",""),LEN(IF(AND($AW72&lt;&gt;"Yes",$AW72&lt;&gt;"N/A"),"Power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",""))-2)))</f>
      </c>
      <c r="BM72">
        <f>IF($T72="","",IF($BL72="","Yes","Blocked"))</f>
      </c>
      <c r="BP72">
        <f>IF($BO72="","",IFERROR(VLOOKUP($BO72,'01_Warehouse_Ledger'!$A:$N,4,FALSE),""))</f>
      </c>
      <c r="BQ72">
        <f>IF($BO72="","",IFERROR(VLOOKUP($BO72,'01_Warehouse_Ledger'!$A:$N,5,FALSE),""))</f>
      </c>
      <c r="BR72">
        <f>IF($BO72="","",IFERROR(VLOOKUP($BO72,'01_Warehouse_Ledger'!$A:$N,13,FALSE),""))</f>
      </c>
    </row>
    <row r="73">
      <c r="A73" t="s">
        <v>1415</v>
      </c>
      <c r="B73" t="s">
        <v>1657</v>
      </c>
      <c r="C73" t="s">
        <v>1657</v>
      </c>
      <c r="D73">
        <f>IF($B73&lt;&gt;"Yes","",IF($C73="No","Yes",IF($C73="Yes","No","")))</f>
      </c>
      <c r="E73">
        <f>IF($A73="","",IF($A73="Neuron",IF(OR(AND($R73&lt;&gt;"",LOWER(TRIM($R73))&lt;&gt;"n/a",COUNTIF($S$2:$S$532,$R73)&gt;1),AND($T73&lt;&gt;"",LOWER(TRIM($T73))&lt;&gt;"n/a",COUNTIF($T$2:$T$532,$T73)&gt;1),AND($W73&lt;&gt;"",LOWER(TRIM($W73))&lt;&gt;"n/a",COUNTIF($W$2:$W$532,$W73)&gt;1)),"Yes","No"),IF($A73="Cybernet",IF(OR(AND($Y73&lt;&gt;"",LOWER(TRIM($Y73))&lt;&gt;"n/a",COUNTIF($Y$2:$Y$532,$Y73)&gt;1),AND($Z73&lt;&gt;"",LOWER(TRIM($Z73))&lt;&gt;"n/a",COUNTIF($Z$2:$Z$532,$Z73)&gt;1)),"Yes","No"),IF(AND($AL73&lt;&gt;"",LOWER(TRIM($AL73))&lt;&gt;"n/a",COUNTIF($AL$2:$AL$532,$AL73)&gt;1),"Yes","No"))))</f>
      </c>
      <c r="F73">
        <f>IF($B73&lt;&gt;"Yes","",
IF($A73="Neuron",
IF(OR(
AND($R73&lt;&gt;"",LOWER(TRIM($R73))&lt;&gt;"n/a",COUNTIFS($B$2:$B$532,"Yes",$A$2:$A$532,"Neuron",$S$2:$S$532,$R73)&gt;1),
AND($T73&lt;&gt;"",LOWER(TRIM($T73))&lt;&gt;"n/a",COUNTIFS($B$2:$B$532,"Yes",$A$2:$A$532,"Neuron",$T$2:$T$532,$T73)&gt;1),
AND($W73&lt;&gt;"",LOWER(TRIM($W73))&lt;&gt;"n/a",COUNTIFS($B$2:$B$532,"Yes",$A$2:$A$532,"Neuron",$W$2:$W$532,$W73)&gt;1)
),"Yes","No"),
IF($A73="Cybernet",
IF(OR(
AND($Y73&lt;&gt;"",LOWER(TRIM($Y73))&lt;&gt;"n/a",COUNTIFS($B$2:$B$532,"Yes",$A$2:$A$532,"Cybernet",$Y$2:$Y$532,$Y73)&gt;1),
AND($Z73&lt;&gt;"",LOWER(TRIM($Z73))&lt;&gt;"n/a",COUNTIFS($B$2:$B$532,"Yes",$A$2:$A$532,"Cybernet",$Z$2:$Z$532,$Z73)&gt;1)
),"Yes","No"),
IF(AND($AL73&lt;&gt;"",LOWER(TRIM($AL73))&lt;&gt;"n/a"),
IF(COUNTIFS($B$2:$B$532,"Yes",$A$2:$A$532,$A73,$AL$2:$AL$532,$AL73)&gt;1,"Yes","No"),
"No")
)
)
)</f>
      </c>
      <c r="G73" t="s">
        <v>1880</v>
      </c>
      <c r="H73" t="s">
        <v>2357</v>
      </c>
      <c r="I73" t="s">
        <v>1831</v>
      </c>
      <c r="J73" t="s">
        <v>1727</v>
      </c>
      <c r="K73" t="s">
        <v>1657</v>
      </c>
      <c r="L73" t="s">
        <v>1657</v>
      </c>
      <c r="R73" t="s">
        <v>2085</v>
      </c>
      <c r="Y73" t="s">
        <v>2395</v>
      </c>
      <c r="Z73" t="s">
        <v>1775</v>
      </c>
      <c r="BI73" t="s">
        <v>1630</v>
      </c>
      <c r="BL73">
        <f>IF($T73="","",IF((IF(AND($AW73&lt;&gt;"Yes",$AW73&lt;&gt;"N/A"),"Power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",""))="","",LEFT(IF(AND($AW73&lt;&gt;"Yes",$AW73&lt;&gt;"N/A"),"Power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",""),LEN(IF(AND($AW73&lt;&gt;"Yes",$AW73&lt;&gt;"N/A"),"Power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",""))-2)))</f>
      </c>
      <c r="BM73">
        <f>IF($T73="","",IF($BL73="","Yes","Blocked"))</f>
      </c>
      <c r="BP73">
        <f>IF($BO73="","",IFERROR(VLOOKUP($BO73,'01_Warehouse_Ledger'!$A:$N,4,FALSE),""))</f>
      </c>
      <c r="BQ73">
        <f>IF($BO73="","",IFERROR(VLOOKUP($BO73,'01_Warehouse_Ledger'!$A:$N,5,FALSE),""))</f>
      </c>
      <c r="BR73">
        <f>IF($BO73="","",IFERROR(VLOOKUP($BO73,'01_Warehouse_Ledger'!$A:$N,13,FALSE),""))</f>
      </c>
    </row>
    <row r="74">
      <c r="A74" t="s">
        <v>1415</v>
      </c>
      <c r="B74" t="s">
        <v>1657</v>
      </c>
      <c r="C74" t="s">
        <v>1657</v>
      </c>
      <c r="D74">
        <f>IF($B74&lt;&gt;"Yes","",IF($C74="No","Yes",IF($C74="Yes","No","")))</f>
      </c>
      <c r="E74">
        <f>IF($A74="","",IF($A74="Neuron",IF(OR(AND($R74&lt;&gt;"",LOWER(TRIM($R74))&lt;&gt;"n/a",COUNTIF($S$2:$S$532,$R74)&gt;1),AND($T74&lt;&gt;"",LOWER(TRIM($T74))&lt;&gt;"n/a",COUNTIF($T$2:$T$532,$T74)&gt;1),AND($W74&lt;&gt;"",LOWER(TRIM($W74))&lt;&gt;"n/a",COUNTIF($W$2:$W$532,$W74)&gt;1)),"Yes","No"),IF($A74="Cybernet",IF(OR(AND($Y74&lt;&gt;"",LOWER(TRIM($Y74))&lt;&gt;"n/a",COUNTIF($Y$2:$Y$532,$Y74)&gt;1),AND($Z74&lt;&gt;"",LOWER(TRIM($Z74))&lt;&gt;"n/a",COUNTIF($Z$2:$Z$532,$Z74)&gt;1)),"Yes","No"),IF(AND($AL74&lt;&gt;"",LOWER(TRIM($AL74))&lt;&gt;"n/a",COUNTIF($AL$2:$AL$532,$AL74)&gt;1),"Yes","No"))))</f>
      </c>
      <c r="F74">
        <f>IF($B74&lt;&gt;"Yes","",
IF($A74="Neuron",
IF(OR(
AND($R74&lt;&gt;"",LOWER(TRIM($R74))&lt;&gt;"n/a",COUNTIFS($B$2:$B$532,"Yes",$A$2:$A$532,"Neuron",$S$2:$S$532,$R74)&gt;1),
AND($T74&lt;&gt;"",LOWER(TRIM($T74))&lt;&gt;"n/a",COUNTIFS($B$2:$B$532,"Yes",$A$2:$A$532,"Neuron",$T$2:$T$532,$T74)&gt;1),
AND($W74&lt;&gt;"",LOWER(TRIM($W74))&lt;&gt;"n/a",COUNTIFS($B$2:$B$532,"Yes",$A$2:$A$532,"Neuron",$W$2:$W$532,$W74)&gt;1)
),"Yes","No"),
IF($A74="Cybernet",
IF(OR(
AND($Y74&lt;&gt;"",LOWER(TRIM($Y74))&lt;&gt;"n/a",COUNTIFS($B$2:$B$532,"Yes",$A$2:$A$532,"Cybernet",$Y$2:$Y$532,$Y74)&gt;1),
AND($Z74&lt;&gt;"",LOWER(TRIM($Z74))&lt;&gt;"n/a",COUNTIFS($B$2:$B$532,"Yes",$A$2:$A$532,"Cybernet",$Z$2:$Z$532,$Z74)&gt;1)
),"Yes","No"),
IF(AND($AL74&lt;&gt;"",LOWER(TRIM($AL74))&lt;&gt;"n/a"),
IF(COUNTIFS($B$2:$B$532,"Yes",$A$2:$A$532,$A74,$AL$2:$AL$532,$AL74)&gt;1,"Yes","No"),
"No")
)
)
)</f>
      </c>
      <c r="G74" t="s">
        <v>1880</v>
      </c>
      <c r="H74" t="s">
        <v>2357</v>
      </c>
      <c r="I74" t="s">
        <v>1831</v>
      </c>
      <c r="J74" t="s">
        <v>1727</v>
      </c>
      <c r="K74" t="s">
        <v>1657</v>
      </c>
      <c r="L74" t="s">
        <v>1657</v>
      </c>
      <c r="R74" t="s">
        <v>1693</v>
      </c>
      <c r="Y74" t="s">
        <v>1897</v>
      </c>
      <c r="Z74" t="s">
        <v>2034</v>
      </c>
      <c r="BI74" t="s">
        <v>1630</v>
      </c>
      <c r="BL74">
        <f>IF($T74="","",IF((IF(AND($AW74&lt;&gt;"Yes",$AW74&lt;&gt;"N/A"),"Power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",""))="","",LEFT(IF(AND($AW74&lt;&gt;"Yes",$AW74&lt;&gt;"N/A"),"Power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",""),LEN(IF(AND($AW74&lt;&gt;"Yes",$AW74&lt;&gt;"N/A"),"Power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",""))-2)))</f>
      </c>
      <c r="BM74">
        <f>IF($T74="","",IF($BL74="","Yes","Blocked"))</f>
      </c>
      <c r="BP74">
        <f>IF($BO74="","",IFERROR(VLOOKUP($BO74,'01_Warehouse_Ledger'!$A:$N,4,FALSE),""))</f>
      </c>
      <c r="BQ74">
        <f>IF($BO74="","",IFERROR(VLOOKUP($BO74,'01_Warehouse_Ledger'!$A:$N,5,FALSE),""))</f>
      </c>
      <c r="BR74">
        <f>IF($BO74="","",IFERROR(VLOOKUP($BO74,'01_Warehouse_Ledger'!$A:$N,13,FALSE),""))</f>
      </c>
    </row>
    <row r="75">
      <c r="A75" t="s">
        <v>1415</v>
      </c>
      <c r="B75" t="s">
        <v>1657</v>
      </c>
      <c r="C75" t="s">
        <v>1657</v>
      </c>
      <c r="D75">
        <f>IF($B75&lt;&gt;"Yes","",IF($C75="No","Yes",IF($C75="Yes","No","")))</f>
      </c>
      <c r="E75">
        <f>IF($A75="","",IF($A75="Neuron",IF(OR(AND($R75&lt;&gt;"",LOWER(TRIM($R75))&lt;&gt;"n/a",COUNTIF($S$2:$S$532,$R75)&gt;1),AND($T75&lt;&gt;"",LOWER(TRIM($T75))&lt;&gt;"n/a",COUNTIF($T$2:$T$532,$T75)&gt;1),AND($W75&lt;&gt;"",LOWER(TRIM($W75))&lt;&gt;"n/a",COUNTIF($W$2:$W$532,$W75)&gt;1)),"Yes","No"),IF($A75="Cybernet",IF(OR(AND($Y75&lt;&gt;"",LOWER(TRIM($Y75))&lt;&gt;"n/a",COUNTIF($Y$2:$Y$532,$Y75)&gt;1),AND($Z75&lt;&gt;"",LOWER(TRIM($Z75))&lt;&gt;"n/a",COUNTIF($Z$2:$Z$532,$Z75)&gt;1)),"Yes","No"),IF(AND($AL75&lt;&gt;"",LOWER(TRIM($AL75))&lt;&gt;"n/a",COUNTIF($AL$2:$AL$532,$AL75)&gt;1),"Yes","No"))))</f>
      </c>
      <c r="F75">
        <f>IF($B75&lt;&gt;"Yes","",
IF($A75="Neuron",
IF(OR(
AND($R75&lt;&gt;"",LOWER(TRIM($R75))&lt;&gt;"n/a",COUNTIFS($B$2:$B$532,"Yes",$A$2:$A$532,"Neuron",$S$2:$S$532,$R75)&gt;1),
AND($T75&lt;&gt;"",LOWER(TRIM($T75))&lt;&gt;"n/a",COUNTIFS($B$2:$B$532,"Yes",$A$2:$A$532,"Neuron",$T$2:$T$532,$T75)&gt;1),
AND($W75&lt;&gt;"",LOWER(TRIM($W75))&lt;&gt;"n/a",COUNTIFS($B$2:$B$532,"Yes",$A$2:$A$532,"Neuron",$W$2:$W$532,$W75)&gt;1)
),"Yes","No"),
IF($A75="Cybernet",
IF(OR(
AND($Y75&lt;&gt;"",LOWER(TRIM($Y75))&lt;&gt;"n/a",COUNTIFS($B$2:$B$532,"Yes",$A$2:$A$532,"Cybernet",$Y$2:$Y$532,$Y75)&gt;1),
AND($Z75&lt;&gt;"",LOWER(TRIM($Z75))&lt;&gt;"n/a",COUNTIFS($B$2:$B$532,"Yes",$A$2:$A$532,"Cybernet",$Z$2:$Z$532,$Z75)&gt;1)
),"Yes","No"),
IF(AND($AL75&lt;&gt;"",LOWER(TRIM($AL75))&lt;&gt;"n/a"),
IF(COUNTIFS($B$2:$B$532,"Yes",$A$2:$A$532,$A75,$AL$2:$AL$532,$AL75)&gt;1,"Yes","No"),
"No")
)
)
)</f>
      </c>
      <c r="G75" t="s">
        <v>1880</v>
      </c>
      <c r="H75" t="s">
        <v>2357</v>
      </c>
      <c r="I75" t="s">
        <v>1831</v>
      </c>
      <c r="J75" t="s">
        <v>1727</v>
      </c>
      <c r="K75" t="s">
        <v>1657</v>
      </c>
      <c r="L75" t="s">
        <v>1657</v>
      </c>
      <c r="R75" t="s">
        <v>2232</v>
      </c>
      <c r="Y75" t="s">
        <v>1951</v>
      </c>
      <c r="Z75" t="s">
        <v>1961</v>
      </c>
      <c r="BI75" t="s">
        <v>1630</v>
      </c>
      <c r="BL75">
        <f>IF($T75="","",IF((IF(AND($AW75&lt;&gt;"Yes",$AW75&lt;&gt;"N/A"),"Power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",""))="","",LEFT(IF(AND($AW75&lt;&gt;"Yes",$AW75&lt;&gt;"N/A"),"Power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",""),LEN(IF(AND($AW75&lt;&gt;"Yes",$AW75&lt;&gt;"N/A"),"Power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",""))-2)))</f>
      </c>
      <c r="BM75">
        <f>IF($T75="","",IF($BL75="","Yes","Blocked"))</f>
      </c>
      <c r="BP75">
        <f>IF($BO75="","",IFERROR(VLOOKUP($BO75,'01_Warehouse_Ledger'!$A:$N,4,FALSE),""))</f>
      </c>
      <c r="BQ75">
        <f>IF($BO75="","",IFERROR(VLOOKUP($BO75,'01_Warehouse_Ledger'!$A:$N,5,FALSE),""))</f>
      </c>
      <c r="BR75">
        <f>IF($BO75="","",IFERROR(VLOOKUP($BO75,'01_Warehouse_Ledger'!$A:$N,13,FALSE),""))</f>
      </c>
    </row>
    <row r="76">
      <c r="A76" t="s">
        <v>1415</v>
      </c>
      <c r="B76" t="s">
        <v>1657</v>
      </c>
      <c r="C76" t="s">
        <v>1657</v>
      </c>
      <c r="D76">
        <f>IF($B76&lt;&gt;"Yes","",IF($C76="No","Yes",IF($C76="Yes","No","")))</f>
      </c>
      <c r="E76">
        <f>IF($A76="","",IF($A76="Neuron",IF(OR(AND($R76&lt;&gt;"",LOWER(TRIM($R76))&lt;&gt;"n/a",COUNTIF($S$2:$S$532,$R76)&gt;1),AND($T76&lt;&gt;"",LOWER(TRIM($T76))&lt;&gt;"n/a",COUNTIF($T$2:$T$532,$T76)&gt;1),AND($W76&lt;&gt;"",LOWER(TRIM($W76))&lt;&gt;"n/a",COUNTIF($W$2:$W$532,$W76)&gt;1)),"Yes","No"),IF($A76="Cybernet",IF(OR(AND($Y76&lt;&gt;"",LOWER(TRIM($Y76))&lt;&gt;"n/a",COUNTIF($Y$2:$Y$532,$Y76)&gt;1),AND($Z76&lt;&gt;"",LOWER(TRIM($Z76))&lt;&gt;"n/a",COUNTIF($Z$2:$Z$532,$Z76)&gt;1)),"Yes","No"),IF(AND($AL76&lt;&gt;"",LOWER(TRIM($AL76))&lt;&gt;"n/a",COUNTIF($AL$2:$AL$532,$AL76)&gt;1),"Yes","No"))))</f>
      </c>
      <c r="F76">
        <f>IF($B76&lt;&gt;"Yes","",
IF($A76="Neuron",
IF(OR(
AND($R76&lt;&gt;"",LOWER(TRIM($R76))&lt;&gt;"n/a",COUNTIFS($B$2:$B$532,"Yes",$A$2:$A$532,"Neuron",$S$2:$S$532,$R76)&gt;1),
AND($T76&lt;&gt;"",LOWER(TRIM($T76))&lt;&gt;"n/a",COUNTIFS($B$2:$B$532,"Yes",$A$2:$A$532,"Neuron",$T$2:$T$532,$T76)&gt;1),
AND($W76&lt;&gt;"",LOWER(TRIM($W76))&lt;&gt;"n/a",COUNTIFS($B$2:$B$532,"Yes",$A$2:$A$532,"Neuron",$W$2:$W$532,$W76)&gt;1)
),"Yes","No"),
IF($A76="Cybernet",
IF(OR(
AND($Y76&lt;&gt;"",LOWER(TRIM($Y76))&lt;&gt;"n/a",COUNTIFS($B$2:$B$532,"Yes",$A$2:$A$532,"Cybernet",$Y$2:$Y$532,$Y76)&gt;1),
AND($Z76&lt;&gt;"",LOWER(TRIM($Z76))&lt;&gt;"n/a",COUNTIFS($B$2:$B$532,"Yes",$A$2:$A$532,"Cybernet",$Z$2:$Z$532,$Z76)&gt;1)
),"Yes","No"),
IF(AND($AL76&lt;&gt;"",LOWER(TRIM($AL76))&lt;&gt;"n/a"),
IF(COUNTIFS($B$2:$B$532,"Yes",$A$2:$A$532,$A76,$AL$2:$AL$532,$AL76)&gt;1,"Yes","No"),
"No")
)
)
)</f>
      </c>
      <c r="G76" t="s">
        <v>1880</v>
      </c>
      <c r="H76" t="s">
        <v>2357</v>
      </c>
      <c r="I76" t="s">
        <v>1831</v>
      </c>
      <c r="J76" t="s">
        <v>1727</v>
      </c>
      <c r="K76" t="s">
        <v>1657</v>
      </c>
      <c r="L76" t="s">
        <v>1657</v>
      </c>
      <c r="R76" t="s">
        <v>2014</v>
      </c>
      <c r="Y76" t="s">
        <v>2298</v>
      </c>
      <c r="Z76" t="s">
        <v>2156</v>
      </c>
      <c r="BI76" t="s">
        <v>1630</v>
      </c>
      <c r="BL76">
        <f>IF($T76="","",IF((IF(AND($AW76&lt;&gt;"Yes",$AW76&lt;&gt;"N/A"),"Power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",""))="","",LEFT(IF(AND($AW76&lt;&gt;"Yes",$AW76&lt;&gt;"N/A"),"Power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",""),LEN(IF(AND($AW76&lt;&gt;"Yes",$AW76&lt;&gt;"N/A"),"Power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",""))-2)))</f>
      </c>
      <c r="BM76">
        <f>IF($T76="","",IF($BL76="","Yes","Blocked"))</f>
      </c>
      <c r="BP76">
        <f>IF($BO76="","",IFERROR(VLOOKUP($BO76,'01_Warehouse_Ledger'!$A:$N,4,FALSE),""))</f>
      </c>
      <c r="BQ76">
        <f>IF($BO76="","",IFERROR(VLOOKUP($BO76,'01_Warehouse_Ledger'!$A:$N,5,FALSE),""))</f>
      </c>
      <c r="BR76">
        <f>IF($BO76="","",IFERROR(VLOOKUP($BO76,'01_Warehouse_Ledger'!$A:$N,13,FALSE),""))</f>
      </c>
    </row>
    <row r="77">
      <c r="A77" t="s">
        <v>1415</v>
      </c>
      <c r="B77" t="s">
        <v>1657</v>
      </c>
      <c r="C77" t="s">
        <v>1657</v>
      </c>
      <c r="D77">
        <f>IF($B77&lt;&gt;"Yes","",IF($C77="No","Yes",IF($C77="Yes","No","")))</f>
      </c>
      <c r="E77">
        <f>IF($A77="","",IF($A77="Neuron",IF(OR(AND($R77&lt;&gt;"",LOWER(TRIM($R77))&lt;&gt;"n/a",COUNTIF($S$2:$S$532,$R77)&gt;1),AND($T77&lt;&gt;"",LOWER(TRIM($T77))&lt;&gt;"n/a",COUNTIF($T$2:$T$532,$T77)&gt;1),AND($W77&lt;&gt;"",LOWER(TRIM($W77))&lt;&gt;"n/a",COUNTIF($W$2:$W$532,$W77)&gt;1)),"Yes","No"),IF($A77="Cybernet",IF(OR(AND($Y77&lt;&gt;"",LOWER(TRIM($Y77))&lt;&gt;"n/a",COUNTIF($Y$2:$Y$532,$Y77)&gt;1),AND($Z77&lt;&gt;"",LOWER(TRIM($Z77))&lt;&gt;"n/a",COUNTIF($Z$2:$Z$532,$Z77)&gt;1)),"Yes","No"),IF(AND($AL77&lt;&gt;"",LOWER(TRIM($AL77))&lt;&gt;"n/a",COUNTIF($AL$2:$AL$532,$AL77)&gt;1),"Yes","No"))))</f>
      </c>
      <c r="F77">
        <f>IF($B77&lt;&gt;"Yes","",
IF($A77="Neuron",
IF(OR(
AND($R77&lt;&gt;"",LOWER(TRIM($R77))&lt;&gt;"n/a",COUNTIFS($B$2:$B$532,"Yes",$A$2:$A$532,"Neuron",$S$2:$S$532,$R77)&gt;1),
AND($T77&lt;&gt;"",LOWER(TRIM($T77))&lt;&gt;"n/a",COUNTIFS($B$2:$B$532,"Yes",$A$2:$A$532,"Neuron",$T$2:$T$532,$T77)&gt;1),
AND($W77&lt;&gt;"",LOWER(TRIM($W77))&lt;&gt;"n/a",COUNTIFS($B$2:$B$532,"Yes",$A$2:$A$532,"Neuron",$W$2:$W$532,$W77)&gt;1)
),"Yes","No"),
IF($A77="Cybernet",
IF(OR(
AND($Y77&lt;&gt;"",LOWER(TRIM($Y77))&lt;&gt;"n/a",COUNTIFS($B$2:$B$532,"Yes",$A$2:$A$532,"Cybernet",$Y$2:$Y$532,$Y77)&gt;1),
AND($Z77&lt;&gt;"",LOWER(TRIM($Z77))&lt;&gt;"n/a",COUNTIFS($B$2:$B$532,"Yes",$A$2:$A$532,"Cybernet",$Z$2:$Z$532,$Z77)&gt;1)
),"Yes","No"),
IF(AND($AL77&lt;&gt;"",LOWER(TRIM($AL77))&lt;&gt;"n/a"),
IF(COUNTIFS($B$2:$B$532,"Yes",$A$2:$A$532,$A77,$AL$2:$AL$532,$AL77)&gt;1,"Yes","No"),
"No")
)
)
)</f>
      </c>
      <c r="G77" t="s">
        <v>1880</v>
      </c>
      <c r="H77" t="s">
        <v>2357</v>
      </c>
      <c r="I77" t="s">
        <v>1831</v>
      </c>
      <c r="J77" t="s">
        <v>1727</v>
      </c>
      <c r="K77" t="s">
        <v>1657</v>
      </c>
      <c r="L77" t="s">
        <v>1657</v>
      </c>
      <c r="R77" t="s">
        <v>1985</v>
      </c>
      <c r="Y77" t="s">
        <v>1643</v>
      </c>
      <c r="Z77" t="s">
        <v>2319</v>
      </c>
      <c r="BI77" t="s">
        <v>1630</v>
      </c>
      <c r="BL77">
        <f>IF($T77="","",IF((IF(AND($AW77&lt;&gt;"Yes",$AW77&lt;&gt;"N/A"),"Power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",""))="","",LEFT(IF(AND($AW77&lt;&gt;"Yes",$AW77&lt;&gt;"N/A"),"Power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",""),LEN(IF(AND($AW77&lt;&gt;"Yes",$AW77&lt;&gt;"N/A"),"Power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",""))-2)))</f>
      </c>
      <c r="BM77">
        <f>IF($T77="","",IF($BL77="","Yes","Blocked"))</f>
      </c>
      <c r="BP77">
        <f>IF($BO77="","",IFERROR(VLOOKUP($BO77,'01_Warehouse_Ledger'!$A:$N,4,FALSE),""))</f>
      </c>
      <c r="BQ77">
        <f>IF($BO77="","",IFERROR(VLOOKUP($BO77,'01_Warehouse_Ledger'!$A:$N,5,FALSE),""))</f>
      </c>
      <c r="BR77">
        <f>IF($BO77="","",IFERROR(VLOOKUP($BO77,'01_Warehouse_Ledger'!$A:$N,13,FALSE),""))</f>
      </c>
    </row>
    <row r="78">
      <c r="A78" t="s">
        <v>1415</v>
      </c>
      <c r="C78" t="s">
        <v>1657</v>
      </c>
      <c r="D78">
        <f>IF($B78&lt;&gt;"Yes","",IF($C78="No","Yes",IF($C78="Yes","No","")))</f>
      </c>
      <c r="E78">
        <f>IF($A78="","",IF($A78="Neuron",IF(OR(AND($R78&lt;&gt;"",LOWER(TRIM($R78))&lt;&gt;"n/a",COUNTIF($S$2:$S$532,$R78)&gt;1),AND($T78&lt;&gt;"",LOWER(TRIM($T78))&lt;&gt;"n/a",COUNTIF($T$2:$T$532,$T78)&gt;1),AND($W78&lt;&gt;"",LOWER(TRIM($W78))&lt;&gt;"n/a",COUNTIF($W$2:$W$532,$W78)&gt;1)),"Yes","No"),IF($A78="Cybernet",IF(OR(AND($Y78&lt;&gt;"",LOWER(TRIM($Y78))&lt;&gt;"n/a",COUNTIF($Y$2:$Y$532,$Y78)&gt;1),AND($Z78&lt;&gt;"",LOWER(TRIM($Z78))&lt;&gt;"n/a",COUNTIF($Z$2:$Z$532,$Z78)&gt;1)),"Yes","No"),IF(AND($AL78&lt;&gt;"",LOWER(TRIM($AL78))&lt;&gt;"n/a",COUNTIF($AL$2:$AL$532,$AL78)&gt;1),"Yes","No"))))</f>
      </c>
      <c r="F78">
        <f>IF($B78&lt;&gt;"Yes","",
IF($A78="Neuron",
IF(OR(
AND($R78&lt;&gt;"",LOWER(TRIM($R78))&lt;&gt;"n/a",COUNTIFS($B$2:$B$532,"Yes",$A$2:$A$532,"Neuron",$S$2:$S$532,$R78)&gt;1),
AND($T78&lt;&gt;"",LOWER(TRIM($T78))&lt;&gt;"n/a",COUNTIFS($B$2:$B$532,"Yes",$A$2:$A$532,"Neuron",$T$2:$T$532,$T78)&gt;1),
AND($W78&lt;&gt;"",LOWER(TRIM($W78))&lt;&gt;"n/a",COUNTIFS($B$2:$B$532,"Yes",$A$2:$A$532,"Neuron",$W$2:$W$532,$W78)&gt;1)
),"Yes","No"),
IF($A78="Cybernet",
IF(OR(
AND($Y78&lt;&gt;"",LOWER(TRIM($Y78))&lt;&gt;"n/a",COUNTIFS($B$2:$B$532,"Yes",$A$2:$A$532,"Cybernet",$Y$2:$Y$532,$Y78)&gt;1),
AND($Z78&lt;&gt;"",LOWER(TRIM($Z78))&lt;&gt;"n/a",COUNTIFS($B$2:$B$532,"Yes",$A$2:$A$532,"Cybernet",$Z$2:$Z$532,$Z78)&gt;1)
),"Yes","No"),
IF(AND($AL78&lt;&gt;"",LOWER(TRIM($AL78))&lt;&gt;"n/a"),
IF(COUNTIFS($B$2:$B$532,"Yes",$A$2:$A$532,$A78,$AL$2:$AL$532,$AL78)&gt;1,"Yes","No"),
"No")
)
)
)</f>
      </c>
      <c r="G78" t="s">
        <v>1880</v>
      </c>
      <c r="H78" t="s">
        <v>1362</v>
      </c>
      <c r="I78" t="s">
        <v>1831</v>
      </c>
      <c r="J78" t="s">
        <v>1727</v>
      </c>
      <c r="K78" t="s">
        <v>1657</v>
      </c>
      <c r="L78" t="s">
        <v>1657</v>
      </c>
      <c r="R78" t="s">
        <v>1978</v>
      </c>
      <c r="Y78" t="s">
        <v>2288</v>
      </c>
      <c r="Z78" t="s">
        <v>1798</v>
      </c>
      <c r="BI78" t="s">
        <v>1630</v>
      </c>
      <c r="BL78">
        <f>IF($T78="","",IF((IF(AND($AW78&lt;&gt;"Yes",$AW78&lt;&gt;"N/A"),"Power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",""))="","",LEFT(IF(AND($AW78&lt;&gt;"Yes",$AW78&lt;&gt;"N/A"),"Power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",""),LEN(IF(AND($AW78&lt;&gt;"Yes",$AW78&lt;&gt;"N/A"),"Power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",""))-2)))</f>
      </c>
      <c r="BM78">
        <f>IF($T78="","",IF($BL78="","Yes","Blocked"))</f>
      </c>
      <c r="BP78">
        <f>IF($BO78="","",IFERROR(VLOOKUP($BO78,'01_Warehouse_Ledger'!$A:$N,4,FALSE),""))</f>
      </c>
      <c r="BQ78">
        <f>IF($BO78="","",IFERROR(VLOOKUP($BO78,'01_Warehouse_Ledger'!$A:$N,5,FALSE),""))</f>
      </c>
      <c r="BR78">
        <f>IF($BO78="","",IFERROR(VLOOKUP($BO78,'01_Warehouse_Ledger'!$A:$N,13,FALSE),""))</f>
      </c>
    </row>
    <row r="79">
      <c r="A79" t="s">
        <v>1415</v>
      </c>
      <c r="C79" t="s">
        <v>1657</v>
      </c>
      <c r="D79">
        <f>IF($B79&lt;&gt;"Yes","",IF($C79="No","Yes",IF($C79="Yes","No","")))</f>
      </c>
      <c r="E79">
        <f>IF($A79="","",IF($A79="Neuron",IF(OR(AND($R79&lt;&gt;"",LOWER(TRIM($R79))&lt;&gt;"n/a",COUNTIF($S$2:$S$532,$R79)&gt;1),AND($T79&lt;&gt;"",LOWER(TRIM($T79))&lt;&gt;"n/a",COUNTIF($T$2:$T$532,$T79)&gt;1),AND($W79&lt;&gt;"",LOWER(TRIM($W79))&lt;&gt;"n/a",COUNTIF($W$2:$W$532,$W79)&gt;1)),"Yes","No"),IF($A79="Cybernet",IF(OR(AND($Y79&lt;&gt;"",LOWER(TRIM($Y79))&lt;&gt;"n/a",COUNTIF($Y$2:$Y$532,$Y79)&gt;1),AND($Z79&lt;&gt;"",LOWER(TRIM($Z79))&lt;&gt;"n/a",COUNTIF($Z$2:$Z$532,$Z79)&gt;1)),"Yes","No"),IF(AND($AL79&lt;&gt;"",LOWER(TRIM($AL79))&lt;&gt;"n/a",COUNTIF($AL$2:$AL$532,$AL79)&gt;1),"Yes","No"))))</f>
      </c>
      <c r="F79">
        <f>IF($B79&lt;&gt;"Yes","",
IF($A79="Neuron",
IF(OR(
AND($R79&lt;&gt;"",LOWER(TRIM($R79))&lt;&gt;"n/a",COUNTIFS($B$2:$B$532,"Yes",$A$2:$A$532,"Neuron",$S$2:$S$532,$R79)&gt;1),
AND($T79&lt;&gt;"",LOWER(TRIM($T79))&lt;&gt;"n/a",COUNTIFS($B$2:$B$532,"Yes",$A$2:$A$532,"Neuron",$T$2:$T$532,$T79)&gt;1),
AND($W79&lt;&gt;"",LOWER(TRIM($W79))&lt;&gt;"n/a",COUNTIFS($B$2:$B$532,"Yes",$A$2:$A$532,"Neuron",$W$2:$W$532,$W79)&gt;1)
),"Yes","No"),
IF($A79="Cybernet",
IF(OR(
AND($Y79&lt;&gt;"",LOWER(TRIM($Y79))&lt;&gt;"n/a",COUNTIFS($B$2:$B$532,"Yes",$A$2:$A$532,"Cybernet",$Y$2:$Y$532,$Y79)&gt;1),
AND($Z79&lt;&gt;"",LOWER(TRIM($Z79))&lt;&gt;"n/a",COUNTIFS($B$2:$B$532,"Yes",$A$2:$A$532,"Cybernet",$Z$2:$Z$532,$Z79)&gt;1)
),"Yes","No"),
IF(AND($AL79&lt;&gt;"",LOWER(TRIM($AL79))&lt;&gt;"n/a"),
IF(COUNTIFS($B$2:$B$532,"Yes",$A$2:$A$532,$A79,$AL$2:$AL$532,$AL79)&gt;1,"Yes","No"),
"No")
)
)
)</f>
      </c>
      <c r="G79" t="s">
        <v>1880</v>
      </c>
      <c r="H79" t="s">
        <v>1362</v>
      </c>
      <c r="I79" t="s">
        <v>1831</v>
      </c>
      <c r="J79" t="s">
        <v>1727</v>
      </c>
      <c r="K79" t="s">
        <v>1657</v>
      </c>
      <c r="L79" t="s">
        <v>1657</v>
      </c>
      <c r="R79" t="s">
        <v>2401</v>
      </c>
      <c r="Y79" t="s">
        <v>1677</v>
      </c>
      <c r="Z79" t="s">
        <v>2277</v>
      </c>
      <c r="BI79" t="s">
        <v>1630</v>
      </c>
      <c r="BL79">
        <f>IF($T79="","",IF((IF(AND($AW79&lt;&gt;"Yes",$AW79&lt;&gt;"N/A"),"Power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",""))="","",LEFT(IF(AND($AW79&lt;&gt;"Yes",$AW79&lt;&gt;"N/A"),"Power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",""),LEN(IF(AND($AW79&lt;&gt;"Yes",$AW79&lt;&gt;"N/A"),"Power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",""))-2)))</f>
      </c>
      <c r="BM79">
        <f>IF($T79="","",IF($BL79="","Yes","Blocked"))</f>
      </c>
      <c r="BP79">
        <f>IF($BO79="","",IFERROR(VLOOKUP($BO79,'01_Warehouse_Ledger'!$A:$N,4,FALSE),""))</f>
      </c>
      <c r="BQ79">
        <f>IF($BO79="","",IFERROR(VLOOKUP($BO79,'01_Warehouse_Ledger'!$A:$N,5,FALSE),""))</f>
      </c>
      <c r="BR79">
        <f>IF($BO79="","",IFERROR(VLOOKUP($BO79,'01_Warehouse_Ledger'!$A:$N,13,FALSE),""))</f>
      </c>
    </row>
    <row r="80">
      <c r="A80" t="s">
        <v>1415</v>
      </c>
      <c r="C80" t="s">
        <v>1657</v>
      </c>
      <c r="D80">
        <f>IF($B80&lt;&gt;"Yes","",IF($C80="No","Yes",IF($C80="Yes","No","")))</f>
      </c>
      <c r="E80">
        <f>IF($A80="","",IF($A80="Neuron",IF(OR(AND($R80&lt;&gt;"",LOWER(TRIM($R80))&lt;&gt;"n/a",COUNTIF($S$2:$S$532,$R80)&gt;1),AND($T80&lt;&gt;"",LOWER(TRIM($T80))&lt;&gt;"n/a",COUNTIF($T$2:$T$532,$T80)&gt;1),AND($W80&lt;&gt;"",LOWER(TRIM($W80))&lt;&gt;"n/a",COUNTIF($W$2:$W$532,$W80)&gt;1)),"Yes","No"),IF($A80="Cybernet",IF(OR(AND($Y80&lt;&gt;"",LOWER(TRIM($Y80))&lt;&gt;"n/a",COUNTIF($Y$2:$Y$532,$Y80)&gt;1),AND($Z80&lt;&gt;"",LOWER(TRIM($Z80))&lt;&gt;"n/a",COUNTIF($Z$2:$Z$532,$Z80)&gt;1)),"Yes","No"),IF(AND($AL80&lt;&gt;"",LOWER(TRIM($AL80))&lt;&gt;"n/a",COUNTIF($AL$2:$AL$532,$AL80)&gt;1),"Yes","No"))))</f>
      </c>
      <c r="F80">
        <f>IF($B80&lt;&gt;"Yes","",
IF($A80="Neuron",
IF(OR(
AND($R80&lt;&gt;"",LOWER(TRIM($R80))&lt;&gt;"n/a",COUNTIFS($B$2:$B$532,"Yes",$A$2:$A$532,"Neuron",$S$2:$S$532,$R80)&gt;1),
AND($T80&lt;&gt;"",LOWER(TRIM($T80))&lt;&gt;"n/a",COUNTIFS($B$2:$B$532,"Yes",$A$2:$A$532,"Neuron",$T$2:$T$532,$T80)&gt;1),
AND($W80&lt;&gt;"",LOWER(TRIM($W80))&lt;&gt;"n/a",COUNTIFS($B$2:$B$532,"Yes",$A$2:$A$532,"Neuron",$W$2:$W$532,$W80)&gt;1)
),"Yes","No"),
IF($A80="Cybernet",
IF(OR(
AND($Y80&lt;&gt;"",LOWER(TRIM($Y80))&lt;&gt;"n/a",COUNTIFS($B$2:$B$532,"Yes",$A$2:$A$532,"Cybernet",$Y$2:$Y$532,$Y80)&gt;1),
AND($Z80&lt;&gt;"",LOWER(TRIM($Z80))&lt;&gt;"n/a",COUNTIFS($B$2:$B$532,"Yes",$A$2:$A$532,"Cybernet",$Z$2:$Z$532,$Z80)&gt;1)
),"Yes","No"),
IF(AND($AL80&lt;&gt;"",LOWER(TRIM($AL80))&lt;&gt;"n/a"),
IF(COUNTIFS($B$2:$B$532,"Yes",$A$2:$A$532,$A80,$AL$2:$AL$532,$AL80)&gt;1,"Yes","No"),
"No")
)
)
)</f>
      </c>
      <c r="G80" t="s">
        <v>1880</v>
      </c>
      <c r="H80" t="s">
        <v>1362</v>
      </c>
      <c r="I80" t="s">
        <v>1831</v>
      </c>
      <c r="J80" t="s">
        <v>1727</v>
      </c>
      <c r="K80" t="s">
        <v>1657</v>
      </c>
      <c r="L80" t="s">
        <v>1657</v>
      </c>
      <c r="R80" t="s">
        <v>2303</v>
      </c>
      <c r="Y80" t="s">
        <v>1760</v>
      </c>
      <c r="Z80" t="s">
        <v>2155</v>
      </c>
      <c r="BI80" t="s">
        <v>1630</v>
      </c>
      <c r="BL80">
        <f>IF($T80="","",IF((IF(AND($AW80&lt;&gt;"Yes",$AW80&lt;&gt;"N/A"),"Power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",""))="","",LEFT(IF(AND($AW80&lt;&gt;"Yes",$AW80&lt;&gt;"N/A"),"Power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",""),LEN(IF(AND($AW80&lt;&gt;"Yes",$AW80&lt;&gt;"N/A"),"Power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",""))-2)))</f>
      </c>
      <c r="BM80">
        <f>IF($T80="","",IF($BL80="","Yes","Blocked"))</f>
      </c>
      <c r="BP80">
        <f>IF($BO80="","",IFERROR(VLOOKUP($BO80,'01_Warehouse_Ledger'!$A:$N,4,FALSE),""))</f>
      </c>
      <c r="BQ80">
        <f>IF($BO80="","",IFERROR(VLOOKUP($BO80,'01_Warehouse_Ledger'!$A:$N,5,FALSE),""))</f>
      </c>
      <c r="BR80">
        <f>IF($BO80="","",IFERROR(VLOOKUP($BO80,'01_Warehouse_Ledger'!$A:$N,13,FALSE),""))</f>
      </c>
    </row>
    <row r="81">
      <c r="A81" t="s">
        <v>1415</v>
      </c>
      <c r="C81" t="s">
        <v>1657</v>
      </c>
      <c r="D81">
        <f>IF($B81&lt;&gt;"Yes","",IF($C81="No","Yes",IF($C81="Yes","No","")))</f>
      </c>
      <c r="E81">
        <f>IF($A81="","",IF($A81="Neuron",IF(OR(AND($R81&lt;&gt;"",LOWER(TRIM($R81))&lt;&gt;"n/a",COUNTIF($S$2:$S$532,$R81)&gt;1),AND($T81&lt;&gt;"",LOWER(TRIM($T81))&lt;&gt;"n/a",COUNTIF($T$2:$T$532,$T81)&gt;1),AND($W81&lt;&gt;"",LOWER(TRIM($W81))&lt;&gt;"n/a",COUNTIF($W$2:$W$532,$W81)&gt;1)),"Yes","No"),IF($A81="Cybernet",IF(OR(AND($Y81&lt;&gt;"",LOWER(TRIM($Y81))&lt;&gt;"n/a",COUNTIF($Y$2:$Y$532,$Y81)&gt;1),AND($Z81&lt;&gt;"",LOWER(TRIM($Z81))&lt;&gt;"n/a",COUNTIF($Z$2:$Z$532,$Z81)&gt;1)),"Yes","No"),IF(AND($AL81&lt;&gt;"",LOWER(TRIM($AL81))&lt;&gt;"n/a",COUNTIF($AL$2:$AL$532,$AL81)&gt;1),"Yes","No"))))</f>
      </c>
      <c r="F81">
        <f>IF($B81&lt;&gt;"Yes","",
IF($A81="Neuron",
IF(OR(
AND($R81&lt;&gt;"",LOWER(TRIM($R81))&lt;&gt;"n/a",COUNTIFS($B$2:$B$532,"Yes",$A$2:$A$532,"Neuron",$S$2:$S$532,$R81)&gt;1),
AND($T81&lt;&gt;"",LOWER(TRIM($T81))&lt;&gt;"n/a",COUNTIFS($B$2:$B$532,"Yes",$A$2:$A$532,"Neuron",$T$2:$T$532,$T81)&gt;1),
AND($W81&lt;&gt;"",LOWER(TRIM($W81))&lt;&gt;"n/a",COUNTIFS($B$2:$B$532,"Yes",$A$2:$A$532,"Neuron",$W$2:$W$532,$W81)&gt;1)
),"Yes","No"),
IF($A81="Cybernet",
IF(OR(
AND($Y81&lt;&gt;"",LOWER(TRIM($Y81))&lt;&gt;"n/a",COUNTIFS($B$2:$B$532,"Yes",$A$2:$A$532,"Cybernet",$Y$2:$Y$532,$Y81)&gt;1),
AND($Z81&lt;&gt;"",LOWER(TRIM($Z81))&lt;&gt;"n/a",COUNTIFS($B$2:$B$532,"Yes",$A$2:$A$532,"Cybernet",$Z$2:$Z$532,$Z81)&gt;1)
),"Yes","No"),
IF(AND($AL81&lt;&gt;"",LOWER(TRIM($AL81))&lt;&gt;"n/a"),
IF(COUNTIFS($B$2:$B$532,"Yes",$A$2:$A$532,$A81,$AL$2:$AL$532,$AL81)&gt;1,"Yes","No"),
"No")
)
)
)</f>
      </c>
      <c r="G81" t="s">
        <v>1880</v>
      </c>
      <c r="H81" t="s">
        <v>1362</v>
      </c>
      <c r="I81" t="s">
        <v>1831</v>
      </c>
      <c r="J81" t="s">
        <v>1727</v>
      </c>
      <c r="K81" t="s">
        <v>1657</v>
      </c>
      <c r="L81" t="s">
        <v>1657</v>
      </c>
      <c r="R81" t="s">
        <v>1710</v>
      </c>
      <c r="Y81" t="s">
        <v>1899</v>
      </c>
      <c r="Z81" t="s">
        <v>2259</v>
      </c>
      <c r="BI81" t="s">
        <v>1630</v>
      </c>
      <c r="BL81">
        <f>IF($T81="","",IF((IF(AND($AW81&lt;&gt;"Yes",$AW81&lt;&gt;"N/A"),"Power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",""))="","",LEFT(IF(AND($AW81&lt;&gt;"Yes",$AW81&lt;&gt;"N/A"),"Power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",""),LEN(IF(AND($AW81&lt;&gt;"Yes",$AW81&lt;&gt;"N/A"),"Power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",""))-2)))</f>
      </c>
      <c r="BM81">
        <f>IF($T81="","",IF($BL81="","Yes","Blocked"))</f>
      </c>
      <c r="BP81">
        <f>IF($BO81="","",IFERROR(VLOOKUP($BO81,'01_Warehouse_Ledger'!$A:$N,4,FALSE),""))</f>
      </c>
      <c r="BQ81">
        <f>IF($BO81="","",IFERROR(VLOOKUP($BO81,'01_Warehouse_Ledger'!$A:$N,5,FALSE),""))</f>
      </c>
      <c r="BR81">
        <f>IF($BO81="","",IFERROR(VLOOKUP($BO81,'01_Warehouse_Ledger'!$A:$N,13,FALSE),""))</f>
      </c>
    </row>
    <row r="82">
      <c r="A82" t="s">
        <v>1415</v>
      </c>
      <c r="C82" t="s">
        <v>1657</v>
      </c>
      <c r="D82">
        <f>IF($B82&lt;&gt;"Yes","",IF($C82="No","Yes",IF($C82="Yes","No","")))</f>
      </c>
      <c r="E82">
        <f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</c>
      <c r="F82">
        <f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</c>
      <c r="G82" t="s">
        <v>1880</v>
      </c>
      <c r="H82" t="s">
        <v>1362</v>
      </c>
      <c r="I82" t="s">
        <v>1831</v>
      </c>
      <c r="J82" t="s">
        <v>1727</v>
      </c>
      <c r="K82" t="s">
        <v>1657</v>
      </c>
      <c r="L82" t="s">
        <v>1657</v>
      </c>
      <c r="R82" t="s">
        <v>2364</v>
      </c>
      <c r="Y82" t="s">
        <v>2344</v>
      </c>
      <c r="Z82" t="s">
        <v>2066</v>
      </c>
      <c r="BI82" t="s">
        <v>1630</v>
      </c>
      <c r="BL82">
        <f>IF($T82="","",IF((IF(AND($AW82&lt;&gt;"Yes",$AW82&lt;&gt;"N/A"),"Power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",""))="","",LEFT(IF(AND($AW82&lt;&gt;"Yes",$AW82&lt;&gt;"N/A"),"Power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",""),LEN(IF(AND($AW82&lt;&gt;"Yes",$AW82&lt;&gt;"N/A"),"Power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",""))-2)))</f>
      </c>
      <c r="BM82">
        <f>IF($T82="","",IF($BL82="","Yes","Blocked"))</f>
      </c>
      <c r="BP82">
        <f>IF($BO82="","",IFERROR(VLOOKUP($BO82,'01_Warehouse_Ledger'!$A:$N,4,FALSE),""))</f>
      </c>
      <c r="BQ82">
        <f>IF($BO82="","",IFERROR(VLOOKUP($BO82,'01_Warehouse_Ledger'!$A:$N,5,FALSE),""))</f>
      </c>
      <c r="BR82">
        <f>IF($BO82="","",IFERROR(VLOOKUP($BO82,'01_Warehouse_Ledger'!$A:$N,13,FALSE),""))</f>
      </c>
    </row>
    <row r="83">
      <c r="A83" t="s">
        <v>1415</v>
      </c>
      <c r="C83" t="s">
        <v>1657</v>
      </c>
      <c r="D83">
        <f>IF($B83&lt;&gt;"Yes","",IF($C83="No","Yes",IF($C83="Yes","No","")))</f>
      </c>
      <c r="E83">
        <f>IF($A83="","",IF($A83="Neuron",IF(OR(AND($R83&lt;&gt;"",LOWER(TRIM($R83))&lt;&gt;"n/a",COUNTIF($S$2:$S$532,$R83)&gt;1),AND($T83&lt;&gt;"",LOWER(TRIM($T83))&lt;&gt;"n/a",COUNTIF($T$2:$T$532,$T83)&gt;1),AND($W83&lt;&gt;"",LOWER(TRIM($W83))&lt;&gt;"n/a",COUNTIF($W$2:$W$532,$W83)&gt;1)),"Yes","No"),IF($A83="Cybernet",IF(OR(AND($Y83&lt;&gt;"",LOWER(TRIM($Y83))&lt;&gt;"n/a",COUNTIF($Y$2:$Y$532,$Y83)&gt;1),AND($Z83&lt;&gt;"",LOWER(TRIM($Z83))&lt;&gt;"n/a",COUNTIF($Z$2:$Z$532,$Z83)&gt;1)),"Yes","No"),IF(AND($AL83&lt;&gt;"",LOWER(TRIM($AL83))&lt;&gt;"n/a",COUNTIF($AL$2:$AL$532,$AL83)&gt;1),"Yes","No"))))</f>
      </c>
      <c r="F83">
        <f>IF($B83&lt;&gt;"Yes","",
IF($A83="Neuron",
IF(OR(
AND($R83&lt;&gt;"",LOWER(TRIM($R83))&lt;&gt;"n/a",COUNTIFS($B$2:$B$532,"Yes",$A$2:$A$532,"Neuron",$S$2:$S$532,$R83)&gt;1),
AND($T83&lt;&gt;"",LOWER(TRIM($T83))&lt;&gt;"n/a",COUNTIFS($B$2:$B$532,"Yes",$A$2:$A$532,"Neuron",$T$2:$T$532,$T83)&gt;1),
AND($W83&lt;&gt;"",LOWER(TRIM($W83))&lt;&gt;"n/a",COUNTIFS($B$2:$B$532,"Yes",$A$2:$A$532,"Neuron",$W$2:$W$532,$W83)&gt;1)
),"Yes","No"),
IF($A83="Cybernet",
IF(OR(
AND($Y83&lt;&gt;"",LOWER(TRIM($Y83))&lt;&gt;"n/a",COUNTIFS($B$2:$B$532,"Yes",$A$2:$A$532,"Cybernet",$Y$2:$Y$532,$Y83)&gt;1),
AND($Z83&lt;&gt;"",LOWER(TRIM($Z83))&lt;&gt;"n/a",COUNTIFS($B$2:$B$532,"Yes",$A$2:$A$532,"Cybernet",$Z$2:$Z$532,$Z83)&gt;1)
),"Yes","No"),
IF(AND($AL83&lt;&gt;"",LOWER(TRIM($AL83))&lt;&gt;"n/a"),
IF(COUNTIFS($B$2:$B$532,"Yes",$A$2:$A$532,$A83,$AL$2:$AL$532,$AL83)&gt;1,"Yes","No"),
"No")
)
)
)</f>
      </c>
      <c r="G83" t="s">
        <v>1880</v>
      </c>
      <c r="H83" t="s">
        <v>1362</v>
      </c>
      <c r="I83" t="s">
        <v>1831</v>
      </c>
      <c r="J83" t="s">
        <v>1727</v>
      </c>
      <c r="K83" t="s">
        <v>1657</v>
      </c>
      <c r="L83" t="s">
        <v>1657</v>
      </c>
      <c r="R83" t="s">
        <v>2024</v>
      </c>
      <c r="Y83" t="s">
        <v>1620</v>
      </c>
      <c r="Z83" t="s">
        <v>2121</v>
      </c>
      <c r="BI83" t="s">
        <v>1630</v>
      </c>
      <c r="BL83">
        <f>IF($T83="","",IF((IF(AND($AW83&lt;&gt;"Yes",$AW83&lt;&gt;"N/A"),"Power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",""))="","",LEFT(IF(AND($AW83&lt;&gt;"Yes",$AW83&lt;&gt;"N/A"),"Power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",""),LEN(IF(AND($AW83&lt;&gt;"Yes",$AW83&lt;&gt;"N/A"),"Power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",""))-2)))</f>
      </c>
      <c r="BM83">
        <f>IF($T83="","",IF($BL83="","Yes","Blocked"))</f>
      </c>
      <c r="BP83">
        <f>IF($BO83="","",IFERROR(VLOOKUP($BO83,'01_Warehouse_Ledger'!$A:$N,4,FALSE),""))</f>
      </c>
      <c r="BQ83">
        <f>IF($BO83="","",IFERROR(VLOOKUP($BO83,'01_Warehouse_Ledger'!$A:$N,5,FALSE),""))</f>
      </c>
      <c r="BR83">
        <f>IF($BO83="","",IFERROR(VLOOKUP($BO83,'01_Warehouse_Ledger'!$A:$N,13,FALSE),""))</f>
      </c>
    </row>
    <row r="84">
      <c r="A84" t="s">
        <v>1415</v>
      </c>
      <c r="C84" t="s">
        <v>1657</v>
      </c>
      <c r="D84">
        <f>IF($B84&lt;&gt;"Yes","",IF($C84="No","Yes",IF($C84="Yes","No","")))</f>
      </c>
      <c r="E84">
        <f>IF($A84="","",IF($A84="Neuron",IF(OR(AND($R84&lt;&gt;"",LOWER(TRIM($R84))&lt;&gt;"n/a",COUNTIF($S$2:$S$532,$R84)&gt;1),AND($T84&lt;&gt;"",LOWER(TRIM($T84))&lt;&gt;"n/a",COUNTIF($T$2:$T$532,$T84)&gt;1),AND($W84&lt;&gt;"",LOWER(TRIM($W84))&lt;&gt;"n/a",COUNTIF($W$2:$W$532,$W84)&gt;1)),"Yes","No"),IF($A84="Cybernet",IF(OR(AND($Y84&lt;&gt;"",LOWER(TRIM($Y84))&lt;&gt;"n/a",COUNTIF($Y$2:$Y$532,$Y84)&gt;1),AND($Z84&lt;&gt;"",LOWER(TRIM($Z84))&lt;&gt;"n/a",COUNTIF($Z$2:$Z$532,$Z84)&gt;1)),"Yes","No"),IF(AND($AL84&lt;&gt;"",LOWER(TRIM($AL84))&lt;&gt;"n/a",COUNTIF($AL$2:$AL$532,$AL84)&gt;1),"Yes","No"))))</f>
      </c>
      <c r="F84">
        <f>IF($B84&lt;&gt;"Yes","",
IF($A84="Neuron",
IF(OR(
AND($R84&lt;&gt;"",LOWER(TRIM($R84))&lt;&gt;"n/a",COUNTIFS($B$2:$B$532,"Yes",$A$2:$A$532,"Neuron",$S$2:$S$532,$R84)&gt;1),
AND($T84&lt;&gt;"",LOWER(TRIM($T84))&lt;&gt;"n/a",COUNTIFS($B$2:$B$532,"Yes",$A$2:$A$532,"Neuron",$T$2:$T$532,$T84)&gt;1),
AND($W84&lt;&gt;"",LOWER(TRIM($W84))&lt;&gt;"n/a",COUNTIFS($B$2:$B$532,"Yes",$A$2:$A$532,"Neuron",$W$2:$W$532,$W84)&gt;1)
),"Yes","No"),
IF($A84="Cybernet",
IF(OR(
AND($Y84&lt;&gt;"",LOWER(TRIM($Y84))&lt;&gt;"n/a",COUNTIFS($B$2:$B$532,"Yes",$A$2:$A$532,"Cybernet",$Y$2:$Y$532,$Y84)&gt;1),
AND($Z84&lt;&gt;"",LOWER(TRIM($Z84))&lt;&gt;"n/a",COUNTIFS($B$2:$B$532,"Yes",$A$2:$A$532,"Cybernet",$Z$2:$Z$532,$Z84)&gt;1)
),"Yes","No"),
IF(AND($AL84&lt;&gt;"",LOWER(TRIM($AL84))&lt;&gt;"n/a"),
IF(COUNTIFS($B$2:$B$532,"Yes",$A$2:$A$532,$A84,$AL$2:$AL$532,$AL84)&gt;1,"Yes","No"),
"No")
)
)
)</f>
      </c>
      <c r="G84" t="s">
        <v>1880</v>
      </c>
      <c r="H84" t="s">
        <v>1362</v>
      </c>
      <c r="I84" t="s">
        <v>1831</v>
      </c>
      <c r="J84" t="s">
        <v>1727</v>
      </c>
      <c r="K84" t="s">
        <v>1657</v>
      </c>
      <c r="L84" t="s">
        <v>1657</v>
      </c>
      <c r="R84" t="s">
        <v>1723</v>
      </c>
      <c r="Y84" t="s">
        <v>2004</v>
      </c>
      <c r="Z84" t="s">
        <v>2158</v>
      </c>
      <c r="BI84" t="s">
        <v>1630</v>
      </c>
      <c r="BL84">
        <f>IF($T84="","",IF((IF(AND($AW84&lt;&gt;"Yes",$AW84&lt;&gt;"N/A"),"Power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",""))="","",LEFT(IF(AND($AW84&lt;&gt;"Yes",$AW84&lt;&gt;"N/A"),"Power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",""),LEN(IF(AND($AW84&lt;&gt;"Yes",$AW84&lt;&gt;"N/A"),"Power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",""))-2)))</f>
      </c>
      <c r="BM84">
        <f>IF($T84="","",IF($BL84="","Yes","Blocked"))</f>
      </c>
      <c r="BP84">
        <f>IF($BO84="","",IFERROR(VLOOKUP($BO84,'01_Warehouse_Ledger'!$A:$N,4,FALSE),""))</f>
      </c>
      <c r="BQ84">
        <f>IF($BO84="","",IFERROR(VLOOKUP($BO84,'01_Warehouse_Ledger'!$A:$N,5,FALSE),""))</f>
      </c>
      <c r="BR84">
        <f>IF($BO84="","",IFERROR(VLOOKUP($BO84,'01_Warehouse_Ledger'!$A:$N,13,FALSE),""))</f>
      </c>
    </row>
    <row r="85">
      <c r="A85" t="s">
        <v>1415</v>
      </c>
      <c r="B85" t="s">
        <v>1657</v>
      </c>
      <c r="C85" t="s">
        <v>1657</v>
      </c>
      <c r="D85">
        <f>IF($B85&lt;&gt;"Yes","",IF($C85="No","Yes",IF($C85="Yes","No","")))</f>
      </c>
      <c r="E85">
        <f>IF($A85="","",IF($A85="Neuron",IF(OR(AND($R85&lt;&gt;"",LOWER(TRIM($R85))&lt;&gt;"n/a",COUNTIF($S$2:$S$532,$R85)&gt;1),AND($T85&lt;&gt;"",LOWER(TRIM($T85))&lt;&gt;"n/a",COUNTIF($T$2:$T$532,$T85)&gt;1),AND($W85&lt;&gt;"",LOWER(TRIM($W85))&lt;&gt;"n/a",COUNTIF($W$2:$W$532,$W85)&gt;1)),"Yes","No"),IF($A85="Cybernet",IF(OR(AND($Y85&lt;&gt;"",LOWER(TRIM($Y85))&lt;&gt;"n/a",COUNTIF($Y$2:$Y$532,$Y85)&gt;1),AND($Z85&lt;&gt;"",LOWER(TRIM($Z85))&lt;&gt;"n/a",COUNTIF($Z$2:$Z$532,$Z85)&gt;1)),"Yes","No"),IF(AND($AL85&lt;&gt;"",LOWER(TRIM($AL85))&lt;&gt;"n/a",COUNTIF($AL$2:$AL$532,$AL85)&gt;1),"Yes","No"))))</f>
      </c>
      <c r="F85">
        <f>IF($B85&lt;&gt;"Yes","",
IF($A85="Neuron",
IF(OR(
AND($R85&lt;&gt;"",LOWER(TRIM($R85))&lt;&gt;"n/a",COUNTIFS($B$2:$B$532,"Yes",$A$2:$A$532,"Neuron",$S$2:$S$532,$R85)&gt;1),
AND($T85&lt;&gt;"",LOWER(TRIM($T85))&lt;&gt;"n/a",COUNTIFS($B$2:$B$532,"Yes",$A$2:$A$532,"Neuron",$T$2:$T$532,$T85)&gt;1),
AND($W85&lt;&gt;"",LOWER(TRIM($W85))&lt;&gt;"n/a",COUNTIFS($B$2:$B$532,"Yes",$A$2:$A$532,"Neuron",$W$2:$W$532,$W85)&gt;1)
),"Yes","No"),
IF($A85="Cybernet",
IF(OR(
AND($Y85&lt;&gt;"",LOWER(TRIM($Y85))&lt;&gt;"n/a",COUNTIFS($B$2:$B$532,"Yes",$A$2:$A$532,"Cybernet",$Y$2:$Y$532,$Y85)&gt;1),
AND($Z85&lt;&gt;"",LOWER(TRIM($Z85))&lt;&gt;"n/a",COUNTIFS($B$2:$B$532,"Yes",$A$2:$A$532,"Cybernet",$Z$2:$Z$532,$Z85)&gt;1)
),"Yes","No"),
IF(AND($AL85&lt;&gt;"",LOWER(TRIM($AL85))&lt;&gt;"n/a"),
IF(COUNTIFS($B$2:$B$532,"Yes",$A$2:$A$532,$A85,$AL$2:$AL$532,$AL85)&gt;1,"Yes","No"),
"No")
)
)
)</f>
      </c>
      <c r="G85" t="s">
        <v>1880</v>
      </c>
      <c r="H85" t="s">
        <v>2357</v>
      </c>
      <c r="I85" t="s">
        <v>1831</v>
      </c>
      <c r="J85" t="s">
        <v>1727</v>
      </c>
      <c r="K85" t="s">
        <v>1657</v>
      </c>
      <c r="L85" t="s">
        <v>1657</v>
      </c>
      <c r="R85" t="s">
        <v>1919</v>
      </c>
      <c r="Y85" t="s">
        <v>1719</v>
      </c>
      <c r="Z85" t="s">
        <v>1905</v>
      </c>
      <c r="BI85" t="s">
        <v>1630</v>
      </c>
      <c r="BL85">
        <f>IF($T85="","",IF((IF(AND($AW85&lt;&gt;"Yes",$AW85&lt;&gt;"N/A"),"Power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",""))="","",LEFT(IF(AND($AW85&lt;&gt;"Yes",$AW85&lt;&gt;"N/A"),"Power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",""),LEN(IF(AND($AW85&lt;&gt;"Yes",$AW85&lt;&gt;"N/A"),"Power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",""))-2)))</f>
      </c>
      <c r="BM85">
        <f>IF($T85="","",IF($BL85="","Yes","Blocked"))</f>
      </c>
      <c r="BP85">
        <f>IF($BO85="","",IFERROR(VLOOKUP($BO85,'01_Warehouse_Ledger'!$A:$N,4,FALSE),""))</f>
      </c>
      <c r="BQ85">
        <f>IF($BO85="","",IFERROR(VLOOKUP($BO85,'01_Warehouse_Ledger'!$A:$N,5,FALSE),""))</f>
      </c>
      <c r="BR85">
        <f>IF($BO85="","",IFERROR(VLOOKUP($BO85,'01_Warehouse_Ledger'!$A:$N,13,FALSE),""))</f>
      </c>
    </row>
    <row r="86">
      <c r="A86" t="s">
        <v>1415</v>
      </c>
      <c r="B86" t="s">
        <v>1657</v>
      </c>
      <c r="C86" t="s">
        <v>1657</v>
      </c>
      <c r="D86">
        <f>IF($B86&lt;&gt;"Yes","",IF($C86="No","Yes",IF($C86="Yes","No","")))</f>
      </c>
      <c r="E86">
        <f>IF($A86="","",IF($A86="Neuron",IF(OR(AND($R86&lt;&gt;"",LOWER(TRIM($R86))&lt;&gt;"n/a",COUNTIF($S$2:$S$532,$R86)&gt;1),AND($T86&lt;&gt;"",LOWER(TRIM($T86))&lt;&gt;"n/a",COUNTIF($T$2:$T$532,$T86)&gt;1),AND($W86&lt;&gt;"",LOWER(TRIM($W86))&lt;&gt;"n/a",COUNTIF($W$2:$W$532,$W86)&gt;1)),"Yes","No"),IF($A86="Cybernet",IF(OR(AND($Y86&lt;&gt;"",LOWER(TRIM($Y86))&lt;&gt;"n/a",COUNTIF($Y$2:$Y$532,$Y86)&gt;1),AND($Z86&lt;&gt;"",LOWER(TRIM($Z86))&lt;&gt;"n/a",COUNTIF($Z$2:$Z$532,$Z86)&gt;1)),"Yes","No"),IF(AND($AL86&lt;&gt;"",LOWER(TRIM($AL86))&lt;&gt;"n/a",COUNTIF($AL$2:$AL$532,$AL86)&gt;1),"Yes","No"))))</f>
      </c>
      <c r="F86">
        <f>IF($B86&lt;&gt;"Yes","",
IF($A86="Neuron",
IF(OR(
AND($R86&lt;&gt;"",LOWER(TRIM($R86))&lt;&gt;"n/a",COUNTIFS($B$2:$B$532,"Yes",$A$2:$A$532,"Neuron",$S$2:$S$532,$R86)&gt;1),
AND($T86&lt;&gt;"",LOWER(TRIM($T86))&lt;&gt;"n/a",COUNTIFS($B$2:$B$532,"Yes",$A$2:$A$532,"Neuron",$T$2:$T$532,$T86)&gt;1),
AND($W86&lt;&gt;"",LOWER(TRIM($W86))&lt;&gt;"n/a",COUNTIFS($B$2:$B$532,"Yes",$A$2:$A$532,"Neuron",$W$2:$W$532,$W86)&gt;1)
),"Yes","No"),
IF($A86="Cybernet",
IF(OR(
AND($Y86&lt;&gt;"",LOWER(TRIM($Y86))&lt;&gt;"n/a",COUNTIFS($B$2:$B$532,"Yes",$A$2:$A$532,"Cybernet",$Y$2:$Y$532,$Y86)&gt;1),
AND($Z86&lt;&gt;"",LOWER(TRIM($Z86))&lt;&gt;"n/a",COUNTIFS($B$2:$B$532,"Yes",$A$2:$A$532,"Cybernet",$Z$2:$Z$532,$Z86)&gt;1)
),"Yes","No"),
IF(AND($AL86&lt;&gt;"",LOWER(TRIM($AL86))&lt;&gt;"n/a"),
IF(COUNTIFS($B$2:$B$532,"Yes",$A$2:$A$532,$A86,$AL$2:$AL$532,$AL86)&gt;1,"Yes","No"),
"No")
)
)
)</f>
      </c>
      <c r="G86" t="s">
        <v>1880</v>
      </c>
      <c r="H86" t="s">
        <v>2357</v>
      </c>
      <c r="I86" t="s">
        <v>1831</v>
      </c>
      <c r="J86" t="s">
        <v>1727</v>
      </c>
      <c r="K86" t="s">
        <v>1657</v>
      </c>
      <c r="L86" t="s">
        <v>1657</v>
      </c>
      <c r="R86" t="s">
        <v>2191</v>
      </c>
      <c r="Y86" t="s">
        <v>1908</v>
      </c>
      <c r="Z86" t="s">
        <v>2382</v>
      </c>
      <c r="BI86" t="s">
        <v>1630</v>
      </c>
      <c r="BL86">
        <f>IF($T86="","",IF((IF(AND($AW86&lt;&gt;"Yes",$AW86&lt;&gt;"N/A"),"Power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",""))="","",LEFT(IF(AND($AW86&lt;&gt;"Yes",$AW86&lt;&gt;"N/A"),"Power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",""),LEN(IF(AND($AW86&lt;&gt;"Yes",$AW86&lt;&gt;"N/A"),"Power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",""))-2)))</f>
      </c>
      <c r="BM86">
        <f>IF($T86="","",IF($BL86="","Yes","Blocked"))</f>
      </c>
      <c r="BP86">
        <f>IF($BO86="","",IFERROR(VLOOKUP($BO86,'01_Warehouse_Ledger'!$A:$N,4,FALSE),""))</f>
      </c>
      <c r="BQ86">
        <f>IF($BO86="","",IFERROR(VLOOKUP($BO86,'01_Warehouse_Ledger'!$A:$N,5,FALSE),""))</f>
      </c>
      <c r="BR86">
        <f>IF($BO86="","",IFERROR(VLOOKUP($BO86,'01_Warehouse_Ledger'!$A:$N,13,FALSE),""))</f>
      </c>
    </row>
    <row r="87">
      <c r="A87" t="s">
        <v>1415</v>
      </c>
      <c r="B87" t="s">
        <v>1657</v>
      </c>
      <c r="C87" t="s">
        <v>1657</v>
      </c>
      <c r="D87">
        <f>IF($B87&lt;&gt;"Yes","",IF($C87="No","Yes",IF($C87="Yes","No","")))</f>
      </c>
      <c r="E87">
        <f>IF($A87="","",IF($A87="Neuron",IF(OR(AND($R87&lt;&gt;"",LOWER(TRIM($R87))&lt;&gt;"n/a",COUNTIF($S$2:$S$532,$R87)&gt;1),AND($T87&lt;&gt;"",LOWER(TRIM($T87))&lt;&gt;"n/a",COUNTIF($T$2:$T$532,$T87)&gt;1),AND($W87&lt;&gt;"",LOWER(TRIM($W87))&lt;&gt;"n/a",COUNTIF($W$2:$W$532,$W87)&gt;1)),"Yes","No"),IF($A87="Cybernet",IF(OR(AND($Y87&lt;&gt;"",LOWER(TRIM($Y87))&lt;&gt;"n/a",COUNTIF($Y$2:$Y$532,$Y87)&gt;1),AND($Z87&lt;&gt;"",LOWER(TRIM($Z87))&lt;&gt;"n/a",COUNTIF($Z$2:$Z$532,$Z87)&gt;1)),"Yes","No"),IF(AND($AL87&lt;&gt;"",LOWER(TRIM($AL87))&lt;&gt;"n/a",COUNTIF($AL$2:$AL$532,$AL87)&gt;1),"Yes","No"))))</f>
      </c>
      <c r="F87">
        <f>IF($B87&lt;&gt;"Yes","",
IF($A87="Neuron",
IF(OR(
AND($R87&lt;&gt;"",LOWER(TRIM($R87))&lt;&gt;"n/a",COUNTIFS($B$2:$B$532,"Yes",$A$2:$A$532,"Neuron",$S$2:$S$532,$R87)&gt;1),
AND($T87&lt;&gt;"",LOWER(TRIM($T87))&lt;&gt;"n/a",COUNTIFS($B$2:$B$532,"Yes",$A$2:$A$532,"Neuron",$T$2:$T$532,$T87)&gt;1),
AND($W87&lt;&gt;"",LOWER(TRIM($W87))&lt;&gt;"n/a",COUNTIFS($B$2:$B$532,"Yes",$A$2:$A$532,"Neuron",$W$2:$W$532,$W87)&gt;1)
),"Yes","No"),
IF($A87="Cybernet",
IF(OR(
AND($Y87&lt;&gt;"",LOWER(TRIM($Y87))&lt;&gt;"n/a",COUNTIFS($B$2:$B$532,"Yes",$A$2:$A$532,"Cybernet",$Y$2:$Y$532,$Y87)&gt;1),
AND($Z87&lt;&gt;"",LOWER(TRIM($Z87))&lt;&gt;"n/a",COUNTIFS($B$2:$B$532,"Yes",$A$2:$A$532,"Cybernet",$Z$2:$Z$532,$Z87)&gt;1)
),"Yes","No"),
IF(AND($AL87&lt;&gt;"",LOWER(TRIM($AL87))&lt;&gt;"n/a"),
IF(COUNTIFS($B$2:$B$532,"Yes",$A$2:$A$532,$A87,$AL$2:$AL$532,$AL87)&gt;1,"Yes","No"),
"No")
)
)
)</f>
      </c>
      <c r="G87" t="s">
        <v>1880</v>
      </c>
      <c r="H87" t="s">
        <v>2357</v>
      </c>
      <c r="I87" t="s">
        <v>1831</v>
      </c>
      <c r="J87" t="s">
        <v>1727</v>
      </c>
      <c r="K87" t="s">
        <v>1657</v>
      </c>
      <c r="L87" t="s">
        <v>1657</v>
      </c>
      <c r="R87" t="s">
        <v>1651</v>
      </c>
      <c r="Y87" t="s">
        <v>1848</v>
      </c>
      <c r="Z87" t="s">
        <v>2400</v>
      </c>
      <c r="BI87" t="s">
        <v>1630</v>
      </c>
      <c r="BL87">
        <f>IF($T87="","",IF((IF(AND($AW87&lt;&gt;"Yes",$AW87&lt;&gt;"N/A"),"Power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",""))="","",LEFT(IF(AND($AW87&lt;&gt;"Yes",$AW87&lt;&gt;"N/A"),"Power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",""),LEN(IF(AND($AW87&lt;&gt;"Yes",$AW87&lt;&gt;"N/A"),"Power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",""))-2)))</f>
      </c>
      <c r="BM87">
        <f>IF($T87="","",IF($BL87="","Yes","Blocked"))</f>
      </c>
      <c r="BP87">
        <f>IF($BO87="","",IFERROR(VLOOKUP($BO87,'01_Warehouse_Ledger'!$A:$N,4,FALSE),""))</f>
      </c>
      <c r="BQ87">
        <f>IF($BO87="","",IFERROR(VLOOKUP($BO87,'01_Warehouse_Ledger'!$A:$N,5,FALSE),""))</f>
      </c>
      <c r="BR87">
        <f>IF($BO87="","",IFERROR(VLOOKUP($BO87,'01_Warehouse_Ledger'!$A:$N,13,FALSE),""))</f>
      </c>
    </row>
    <row r="88">
      <c r="A88" t="s">
        <v>1415</v>
      </c>
      <c r="B88" t="s">
        <v>1657</v>
      </c>
      <c r="C88" t="s">
        <v>1657</v>
      </c>
      <c r="D88">
        <f>IF($B88&lt;&gt;"Yes","",IF($C88="No","Yes",IF($C88="Yes","No","")))</f>
      </c>
      <c r="E88">
        <f>IF($A88="","",IF($A88="Neuron",IF(OR(AND($R88&lt;&gt;"",LOWER(TRIM($R88))&lt;&gt;"n/a",COUNTIF($S$2:$S$532,$R88)&gt;1),AND($T88&lt;&gt;"",LOWER(TRIM($T88))&lt;&gt;"n/a",COUNTIF($T$2:$T$532,$T88)&gt;1),AND($W88&lt;&gt;"",LOWER(TRIM($W88))&lt;&gt;"n/a",COUNTIF($W$2:$W$532,$W88)&gt;1)),"Yes","No"),IF($A88="Cybernet",IF(OR(AND($Y88&lt;&gt;"",LOWER(TRIM($Y88))&lt;&gt;"n/a",COUNTIF($Y$2:$Y$532,$Y88)&gt;1),AND($Z88&lt;&gt;"",LOWER(TRIM($Z88))&lt;&gt;"n/a",COUNTIF($Z$2:$Z$532,$Z88)&gt;1)),"Yes","No"),IF(AND($AL88&lt;&gt;"",LOWER(TRIM($AL88))&lt;&gt;"n/a",COUNTIF($AL$2:$AL$532,$AL88)&gt;1),"Yes","No"))))</f>
      </c>
      <c r="F88">
        <f>IF($B88&lt;&gt;"Yes","",
IF($A88="Neuron",
IF(OR(
AND($R88&lt;&gt;"",LOWER(TRIM($R88))&lt;&gt;"n/a",COUNTIFS($B$2:$B$532,"Yes",$A$2:$A$532,"Neuron",$S$2:$S$532,$R88)&gt;1),
AND($T88&lt;&gt;"",LOWER(TRIM($T88))&lt;&gt;"n/a",COUNTIFS($B$2:$B$532,"Yes",$A$2:$A$532,"Neuron",$T$2:$T$532,$T88)&gt;1),
AND($W88&lt;&gt;"",LOWER(TRIM($W88))&lt;&gt;"n/a",COUNTIFS($B$2:$B$532,"Yes",$A$2:$A$532,"Neuron",$W$2:$W$532,$W88)&gt;1)
),"Yes","No"),
IF($A88="Cybernet",
IF(OR(
AND($Y88&lt;&gt;"",LOWER(TRIM($Y88))&lt;&gt;"n/a",COUNTIFS($B$2:$B$532,"Yes",$A$2:$A$532,"Cybernet",$Y$2:$Y$532,$Y88)&gt;1),
AND($Z88&lt;&gt;"",LOWER(TRIM($Z88))&lt;&gt;"n/a",COUNTIFS($B$2:$B$532,"Yes",$A$2:$A$532,"Cybernet",$Z$2:$Z$532,$Z88)&gt;1)
),"Yes","No"),
IF(AND($AL88&lt;&gt;"",LOWER(TRIM($AL88))&lt;&gt;"n/a"),
IF(COUNTIFS($B$2:$B$532,"Yes",$A$2:$A$532,$A88,$AL$2:$AL$532,$AL88)&gt;1,"Yes","No"),
"No")
)
)
)</f>
      </c>
      <c r="G88" t="s">
        <v>1880</v>
      </c>
      <c r="H88" t="s">
        <v>2357</v>
      </c>
      <c r="I88" t="s">
        <v>1831</v>
      </c>
      <c r="J88" t="s">
        <v>1727</v>
      </c>
      <c r="K88" t="s">
        <v>1657</v>
      </c>
      <c r="L88" t="s">
        <v>1657</v>
      </c>
      <c r="R88" t="s">
        <v>2198</v>
      </c>
      <c r="Y88" t="s">
        <v>1928</v>
      </c>
      <c r="Z88" t="s">
        <v>2084</v>
      </c>
      <c r="BI88" t="s">
        <v>1630</v>
      </c>
      <c r="BL88">
        <f>IF($T88="","",IF((IF(AND($AW88&lt;&gt;"Yes",$AW88&lt;&gt;"N/A"),"Power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",""))="","",LEFT(IF(AND($AW88&lt;&gt;"Yes",$AW88&lt;&gt;"N/A"),"Power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",""),LEN(IF(AND($AW88&lt;&gt;"Yes",$AW88&lt;&gt;"N/A"),"Power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",""))-2)))</f>
      </c>
      <c r="BM88">
        <f>IF($T88="","",IF($BL88="","Yes","Blocked"))</f>
      </c>
      <c r="BP88">
        <f>IF($BO88="","",IFERROR(VLOOKUP($BO88,'01_Warehouse_Ledger'!$A:$N,4,FALSE),""))</f>
      </c>
      <c r="BQ88">
        <f>IF($BO88="","",IFERROR(VLOOKUP($BO88,'01_Warehouse_Ledger'!$A:$N,5,FALSE),""))</f>
      </c>
      <c r="BR88">
        <f>IF($BO88="","",IFERROR(VLOOKUP($BO88,'01_Warehouse_Ledger'!$A:$N,13,FALSE),""))</f>
      </c>
    </row>
    <row r="89">
      <c r="A89" t="s">
        <v>1415</v>
      </c>
      <c r="B89" t="s">
        <v>1657</v>
      </c>
      <c r="C89" t="s">
        <v>1657</v>
      </c>
      <c r="D89">
        <f>IF($B89&lt;&gt;"Yes","",IF($C89="No","Yes",IF($C89="Yes","No","")))</f>
      </c>
      <c r="E89">
        <f>IF($A89="","",IF($A89="Neuron",IF(OR(AND($R89&lt;&gt;"",LOWER(TRIM($R89))&lt;&gt;"n/a",COUNTIF($S$2:$S$532,$R89)&gt;1),AND($T89&lt;&gt;"",LOWER(TRIM($T89))&lt;&gt;"n/a",COUNTIF($T$2:$T$532,$T89)&gt;1),AND($W89&lt;&gt;"",LOWER(TRIM($W89))&lt;&gt;"n/a",COUNTIF($W$2:$W$532,$W89)&gt;1)),"Yes","No"),IF($A89="Cybernet",IF(OR(AND($Y89&lt;&gt;"",LOWER(TRIM($Y89))&lt;&gt;"n/a",COUNTIF($Y$2:$Y$532,$Y89)&gt;1),AND($Z89&lt;&gt;"",LOWER(TRIM($Z89))&lt;&gt;"n/a",COUNTIF($Z$2:$Z$532,$Z89)&gt;1)),"Yes","No"),IF(AND($AL89&lt;&gt;"",LOWER(TRIM($AL89))&lt;&gt;"n/a",COUNTIF($AL$2:$AL$532,$AL89)&gt;1),"Yes","No"))))</f>
      </c>
      <c r="F89">
        <f>IF($B89&lt;&gt;"Yes","",
IF($A89="Neuron",
IF(OR(
AND($R89&lt;&gt;"",LOWER(TRIM($R89))&lt;&gt;"n/a",COUNTIFS($B$2:$B$532,"Yes",$A$2:$A$532,"Neuron",$S$2:$S$532,$R89)&gt;1),
AND($T89&lt;&gt;"",LOWER(TRIM($T89))&lt;&gt;"n/a",COUNTIFS($B$2:$B$532,"Yes",$A$2:$A$532,"Neuron",$T$2:$T$532,$T89)&gt;1),
AND($W89&lt;&gt;"",LOWER(TRIM($W89))&lt;&gt;"n/a",COUNTIFS($B$2:$B$532,"Yes",$A$2:$A$532,"Neuron",$W$2:$W$532,$W89)&gt;1)
),"Yes","No"),
IF($A89="Cybernet",
IF(OR(
AND($Y89&lt;&gt;"",LOWER(TRIM($Y89))&lt;&gt;"n/a",COUNTIFS($B$2:$B$532,"Yes",$A$2:$A$532,"Cybernet",$Y$2:$Y$532,$Y89)&gt;1),
AND($Z89&lt;&gt;"",LOWER(TRIM($Z89))&lt;&gt;"n/a",COUNTIFS($B$2:$B$532,"Yes",$A$2:$A$532,"Cybernet",$Z$2:$Z$532,$Z89)&gt;1)
),"Yes","No"),
IF(AND($AL89&lt;&gt;"",LOWER(TRIM($AL89))&lt;&gt;"n/a"),
IF(COUNTIFS($B$2:$B$532,"Yes",$A$2:$A$532,$A89,$AL$2:$AL$532,$AL89)&gt;1,"Yes","No"),
"No")
)
)
)</f>
      </c>
      <c r="G89" t="s">
        <v>1880</v>
      </c>
      <c r="H89" t="s">
        <v>2357</v>
      </c>
      <c r="I89" t="s">
        <v>1831</v>
      </c>
      <c r="J89" t="s">
        <v>1727</v>
      </c>
      <c r="K89" t="s">
        <v>1657</v>
      </c>
      <c r="L89" t="s">
        <v>1657</v>
      </c>
      <c r="R89" t="s">
        <v>1685</v>
      </c>
      <c r="Y89" t="s">
        <v>1883</v>
      </c>
      <c r="Z89" t="s">
        <v>2383</v>
      </c>
      <c r="BI89" t="s">
        <v>1630</v>
      </c>
      <c r="BL89">
        <f>IF($T89="","",IF((IF(AND($AW89&lt;&gt;"Yes",$AW89&lt;&gt;"N/A"),"Power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",""))="","",LEFT(IF(AND($AW89&lt;&gt;"Yes",$AW89&lt;&gt;"N/A"),"Power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",""),LEN(IF(AND($AW89&lt;&gt;"Yes",$AW89&lt;&gt;"N/A"),"Power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",""))-2)))</f>
      </c>
      <c r="BM89">
        <f>IF($T89="","",IF($BL89="","Yes","Blocked"))</f>
      </c>
      <c r="BP89">
        <f>IF($BO89="","",IFERROR(VLOOKUP($BO89,'01_Warehouse_Ledger'!$A:$N,4,FALSE),""))</f>
      </c>
      <c r="BQ89">
        <f>IF($BO89="","",IFERROR(VLOOKUP($BO89,'01_Warehouse_Ledger'!$A:$N,5,FALSE),""))</f>
      </c>
      <c r="BR89">
        <f>IF($BO89="","",IFERROR(VLOOKUP($BO89,'01_Warehouse_Ledger'!$A:$N,13,FALSE),""))</f>
      </c>
    </row>
    <row r="90">
      <c r="A90" t="s">
        <v>1415</v>
      </c>
      <c r="C90" t="s">
        <v>1657</v>
      </c>
      <c r="D90">
        <f>IF($B90&lt;&gt;"Yes","",IF($C90="No","Yes",IF($C90="Yes","No","")))</f>
      </c>
      <c r="E90">
        <f>IF($A90="","",IF($A90="Neuron",IF(OR(AND($R90&lt;&gt;"",LOWER(TRIM($R90))&lt;&gt;"n/a",COUNTIF($S$2:$S$532,$R90)&gt;1),AND($T90&lt;&gt;"",LOWER(TRIM($T90))&lt;&gt;"n/a",COUNTIF($T$2:$T$532,$T90)&gt;1),AND($W90&lt;&gt;"",LOWER(TRIM($W90))&lt;&gt;"n/a",COUNTIF($W$2:$W$532,$W90)&gt;1)),"Yes","No"),IF($A90="Cybernet",IF(OR(AND($Y90&lt;&gt;"",LOWER(TRIM($Y90))&lt;&gt;"n/a",COUNTIF($Y$2:$Y$532,$Y90)&gt;1),AND($Z90&lt;&gt;"",LOWER(TRIM($Z90))&lt;&gt;"n/a",COUNTIF($Z$2:$Z$532,$Z90)&gt;1)),"Yes","No"),IF(AND($AL90&lt;&gt;"",LOWER(TRIM($AL90))&lt;&gt;"n/a",COUNTIF($AL$2:$AL$532,$AL90)&gt;1),"Yes","No"))))</f>
      </c>
      <c r="F90">
        <f>IF($B90&lt;&gt;"Yes","",
IF($A90="Neuron",
IF(OR(
AND($R90&lt;&gt;"",LOWER(TRIM($R90))&lt;&gt;"n/a",COUNTIFS($B$2:$B$532,"Yes",$A$2:$A$532,"Neuron",$S$2:$S$532,$R90)&gt;1),
AND($T90&lt;&gt;"",LOWER(TRIM($T90))&lt;&gt;"n/a",COUNTIFS($B$2:$B$532,"Yes",$A$2:$A$532,"Neuron",$T$2:$T$532,$T90)&gt;1),
AND($W90&lt;&gt;"",LOWER(TRIM($W90))&lt;&gt;"n/a",COUNTIFS($B$2:$B$532,"Yes",$A$2:$A$532,"Neuron",$W$2:$W$532,$W90)&gt;1)
),"Yes","No"),
IF($A90="Cybernet",
IF(OR(
AND($Y90&lt;&gt;"",LOWER(TRIM($Y90))&lt;&gt;"n/a",COUNTIFS($B$2:$B$532,"Yes",$A$2:$A$532,"Cybernet",$Y$2:$Y$532,$Y90)&gt;1),
AND($Z90&lt;&gt;"",LOWER(TRIM($Z90))&lt;&gt;"n/a",COUNTIFS($B$2:$B$532,"Yes",$A$2:$A$532,"Cybernet",$Z$2:$Z$532,$Z90)&gt;1)
),"Yes","No"),
IF(AND($AL90&lt;&gt;"",LOWER(TRIM($AL90))&lt;&gt;"n/a"),
IF(COUNTIFS($B$2:$B$532,"Yes",$A$2:$A$532,$A90,$AL$2:$AL$532,$AL90)&gt;1,"Yes","No"),
"No")
)
)
)</f>
      </c>
      <c r="G90" t="s">
        <v>1983</v>
      </c>
      <c r="H90" t="s">
        <v>1903</v>
      </c>
      <c r="I90" t="s">
        <v>1831</v>
      </c>
      <c r="J90" t="s">
        <v>1727</v>
      </c>
      <c r="K90" t="s">
        <v>1657</v>
      </c>
      <c r="L90" t="s">
        <v>1657</v>
      </c>
      <c r="R90" t="s">
        <v>1813</v>
      </c>
      <c r="Y90" t="s">
        <v>2375</v>
      </c>
      <c r="Z90" t="s">
        <v>1872</v>
      </c>
      <c r="BI90" t="s">
        <v>1630</v>
      </c>
      <c r="BL90">
        <f>IF($T90="","",IF((IF(AND($AW90&lt;&gt;"Yes",$AW90&lt;&gt;"N/A"),"Power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",""))="","",LEFT(IF(AND($AW90&lt;&gt;"Yes",$AW90&lt;&gt;"N/A"),"Power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",""),LEN(IF(AND($AW90&lt;&gt;"Yes",$AW90&lt;&gt;"N/A"),"Power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",""))-2)))</f>
      </c>
      <c r="BM90">
        <f>IF($T90="","",IF($BL90="","Yes","Blocked"))</f>
      </c>
      <c r="BP90">
        <f>IF($BO90="","",IFERROR(VLOOKUP($BO90,'01_Warehouse_Ledger'!$A:$N,4,FALSE),""))</f>
      </c>
      <c r="BQ90">
        <f>IF($BO90="","",IFERROR(VLOOKUP($BO90,'01_Warehouse_Ledger'!$A:$N,5,FALSE),""))</f>
      </c>
      <c r="BR90">
        <f>IF($BO90="","",IFERROR(VLOOKUP($BO90,'01_Warehouse_Ledger'!$A:$N,13,FALSE),""))</f>
      </c>
    </row>
    <row r="91">
      <c r="A91" t="s">
        <v>1415</v>
      </c>
      <c r="C91" t="s">
        <v>1657</v>
      </c>
      <c r="D91">
        <f>IF($B91&lt;&gt;"Yes","",IF($C91="No","Yes",IF($C91="Yes","No","")))</f>
      </c>
      <c r="E91">
        <f>IF($A91="","",IF($A91="Neuron",IF(OR(AND($R91&lt;&gt;"",LOWER(TRIM($R91))&lt;&gt;"n/a",COUNTIF($S$2:$S$532,$R91)&gt;1),AND($T91&lt;&gt;"",LOWER(TRIM($T91))&lt;&gt;"n/a",COUNTIF($T$2:$T$532,$T91)&gt;1),AND($W91&lt;&gt;"",LOWER(TRIM($W91))&lt;&gt;"n/a",COUNTIF($W$2:$W$532,$W91)&gt;1)),"Yes","No"),IF($A91="Cybernet",IF(OR(AND($Y91&lt;&gt;"",LOWER(TRIM($Y91))&lt;&gt;"n/a",COUNTIF($Y$2:$Y$532,$Y91)&gt;1),AND($Z91&lt;&gt;"",LOWER(TRIM($Z91))&lt;&gt;"n/a",COUNTIF($Z$2:$Z$532,$Z91)&gt;1)),"Yes","No"),IF(AND($AL91&lt;&gt;"",LOWER(TRIM($AL91))&lt;&gt;"n/a",COUNTIF($AL$2:$AL$532,$AL91)&gt;1),"Yes","No"))))</f>
      </c>
      <c r="F91">
        <f>IF($B91&lt;&gt;"Yes","",
IF($A91="Neuron",
IF(OR(
AND($R91&lt;&gt;"",LOWER(TRIM($R91))&lt;&gt;"n/a",COUNTIFS($B$2:$B$532,"Yes",$A$2:$A$532,"Neuron",$S$2:$S$532,$R91)&gt;1),
AND($T91&lt;&gt;"",LOWER(TRIM($T91))&lt;&gt;"n/a",COUNTIFS($B$2:$B$532,"Yes",$A$2:$A$532,"Neuron",$T$2:$T$532,$T91)&gt;1),
AND($W91&lt;&gt;"",LOWER(TRIM($W91))&lt;&gt;"n/a",COUNTIFS($B$2:$B$532,"Yes",$A$2:$A$532,"Neuron",$W$2:$W$532,$W91)&gt;1)
),"Yes","No"),
IF($A91="Cybernet",
IF(OR(
AND($Y91&lt;&gt;"",LOWER(TRIM($Y91))&lt;&gt;"n/a",COUNTIFS($B$2:$B$532,"Yes",$A$2:$A$532,"Cybernet",$Y$2:$Y$532,$Y91)&gt;1),
AND($Z91&lt;&gt;"",LOWER(TRIM($Z91))&lt;&gt;"n/a",COUNTIFS($B$2:$B$532,"Yes",$A$2:$A$532,"Cybernet",$Z$2:$Z$532,$Z91)&gt;1)
),"Yes","No"),
IF(AND($AL91&lt;&gt;"",LOWER(TRIM($AL91))&lt;&gt;"n/a"),
IF(COUNTIFS($B$2:$B$532,"Yes",$A$2:$A$532,$A91,$AL$2:$AL$532,$AL91)&gt;1,"Yes","No"),
"No")
)
)
)</f>
      </c>
      <c r="G91" t="s">
        <v>1983</v>
      </c>
      <c r="H91" t="s">
        <v>1903</v>
      </c>
      <c r="I91" t="s">
        <v>1831</v>
      </c>
      <c r="J91" t="s">
        <v>1727</v>
      </c>
      <c r="K91" t="s">
        <v>1657</v>
      </c>
      <c r="L91" t="s">
        <v>1657</v>
      </c>
      <c r="R91" t="s">
        <v>2289</v>
      </c>
      <c r="Y91" t="s">
        <v>2135</v>
      </c>
      <c r="Z91" t="s">
        <v>2102</v>
      </c>
      <c r="BI91" t="s">
        <v>1630</v>
      </c>
      <c r="BL91">
        <f>IF($T91="","",IF((IF(AND($AW91&lt;&gt;"Yes",$AW91&lt;&gt;"N/A"),"Power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",""))="","",LEFT(IF(AND($AW91&lt;&gt;"Yes",$AW91&lt;&gt;"N/A"),"Power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",""),LEN(IF(AND($AW91&lt;&gt;"Yes",$AW91&lt;&gt;"N/A"),"Power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",""))-2)))</f>
      </c>
      <c r="BM91">
        <f>IF($T91="","",IF($BL91="","Yes","Blocked"))</f>
      </c>
      <c r="BP91">
        <f>IF($BO91="","",IFERROR(VLOOKUP($BO91,'01_Warehouse_Ledger'!$A:$N,4,FALSE),""))</f>
      </c>
      <c r="BQ91">
        <f>IF($BO91="","",IFERROR(VLOOKUP($BO91,'01_Warehouse_Ledger'!$A:$N,5,FALSE),""))</f>
      </c>
      <c r="BR91">
        <f>IF($BO91="","",IFERROR(VLOOKUP($BO91,'01_Warehouse_Ledger'!$A:$N,13,FALSE),""))</f>
      </c>
    </row>
    <row r="92">
      <c r="A92" t="s">
        <v>1415</v>
      </c>
      <c r="C92" t="s">
        <v>1657</v>
      </c>
      <c r="D92">
        <f>IF($B92&lt;&gt;"Yes","",IF($C92="No","Yes",IF($C92="Yes","No","")))</f>
      </c>
      <c r="E92">
        <f>IF($A92="","",IF($A92="Neuron",IF(OR(AND($R92&lt;&gt;"",LOWER(TRIM($R92))&lt;&gt;"n/a",COUNTIF($S$2:$S$532,$R92)&gt;1),AND($T92&lt;&gt;"",LOWER(TRIM($T92))&lt;&gt;"n/a",COUNTIF($T$2:$T$532,$T92)&gt;1),AND($W92&lt;&gt;"",LOWER(TRIM($W92))&lt;&gt;"n/a",COUNTIF($W$2:$W$532,$W92)&gt;1)),"Yes","No"),IF($A92="Cybernet",IF(OR(AND($Y92&lt;&gt;"",LOWER(TRIM($Y92))&lt;&gt;"n/a",COUNTIF($Y$2:$Y$532,$Y92)&gt;1),AND($Z92&lt;&gt;"",LOWER(TRIM($Z92))&lt;&gt;"n/a",COUNTIF($Z$2:$Z$532,$Z92)&gt;1)),"Yes","No"),IF(AND($AL92&lt;&gt;"",LOWER(TRIM($AL92))&lt;&gt;"n/a",COUNTIF($AL$2:$AL$532,$AL92)&gt;1),"Yes","No"))))</f>
      </c>
      <c r="F92">
        <f>IF($B92&lt;&gt;"Yes","",
IF($A92="Neuron",
IF(OR(
AND($R92&lt;&gt;"",LOWER(TRIM($R92))&lt;&gt;"n/a",COUNTIFS($B$2:$B$532,"Yes",$A$2:$A$532,"Neuron",$S$2:$S$532,$R92)&gt;1),
AND($T92&lt;&gt;"",LOWER(TRIM($T92))&lt;&gt;"n/a",COUNTIFS($B$2:$B$532,"Yes",$A$2:$A$532,"Neuron",$T$2:$T$532,$T92)&gt;1),
AND($W92&lt;&gt;"",LOWER(TRIM($W92))&lt;&gt;"n/a",COUNTIFS($B$2:$B$532,"Yes",$A$2:$A$532,"Neuron",$W$2:$W$532,$W92)&gt;1)
),"Yes","No"),
IF($A92="Cybernet",
IF(OR(
AND($Y92&lt;&gt;"",LOWER(TRIM($Y92))&lt;&gt;"n/a",COUNTIFS($B$2:$B$532,"Yes",$A$2:$A$532,"Cybernet",$Y$2:$Y$532,$Y92)&gt;1),
AND($Z92&lt;&gt;"",LOWER(TRIM($Z92))&lt;&gt;"n/a",COUNTIFS($B$2:$B$532,"Yes",$A$2:$A$532,"Cybernet",$Z$2:$Z$532,$Z92)&gt;1)
),"Yes","No"),
IF(AND($AL92&lt;&gt;"",LOWER(TRIM($AL92))&lt;&gt;"n/a"),
IF(COUNTIFS($B$2:$B$532,"Yes",$A$2:$A$532,$A92,$AL$2:$AL$532,$AL92)&gt;1,"Yes","No"),
"No")
)
)
)</f>
      </c>
      <c r="G92" t="s">
        <v>1983</v>
      </c>
      <c r="H92" t="s">
        <v>1903</v>
      </c>
      <c r="I92" t="s">
        <v>1831</v>
      </c>
      <c r="J92" t="s">
        <v>1727</v>
      </c>
      <c r="K92" t="s">
        <v>1657</v>
      </c>
      <c r="L92" t="s">
        <v>1657</v>
      </c>
      <c r="R92" t="s">
        <v>2120</v>
      </c>
      <c r="Y92" t="s">
        <v>1763</v>
      </c>
      <c r="Z92" t="s">
        <v>2352</v>
      </c>
      <c r="BI92" t="s">
        <v>1630</v>
      </c>
      <c r="BL92">
        <f>IF($T92="","",IF((IF(AND($AW92&lt;&gt;"Yes",$AW92&lt;&gt;"N/A"),"Power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",""))="","",LEFT(IF(AND($AW92&lt;&gt;"Yes",$AW92&lt;&gt;"N/A"),"Power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",""),LEN(IF(AND($AW92&lt;&gt;"Yes",$AW92&lt;&gt;"N/A"),"Power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",""))-2)))</f>
      </c>
      <c r="BM92">
        <f>IF($T92="","",IF($BL92="","Yes","Blocked"))</f>
      </c>
      <c r="BP92">
        <f>IF($BO92="","",IFERROR(VLOOKUP($BO92,'01_Warehouse_Ledger'!$A:$N,4,FALSE),""))</f>
      </c>
      <c r="BQ92">
        <f>IF($BO92="","",IFERROR(VLOOKUP($BO92,'01_Warehouse_Ledger'!$A:$N,5,FALSE),""))</f>
      </c>
      <c r="BR92">
        <f>IF($BO92="","",IFERROR(VLOOKUP($BO92,'01_Warehouse_Ledger'!$A:$N,13,FALSE),""))</f>
      </c>
    </row>
    <row r="93">
      <c r="A93" t="s">
        <v>1415</v>
      </c>
      <c r="C93" t="s">
        <v>1657</v>
      </c>
      <c r="D93">
        <f>IF($B93&lt;&gt;"Yes","",IF($C93="No","Yes",IF($C93="Yes","No","")))</f>
      </c>
      <c r="E93">
        <f>IF($A93="","",IF($A93="Neuron",IF(OR(AND($R93&lt;&gt;"",LOWER(TRIM($R93))&lt;&gt;"n/a",COUNTIF($S$2:$S$532,$R93)&gt;1),AND($T93&lt;&gt;"",LOWER(TRIM($T93))&lt;&gt;"n/a",COUNTIF($T$2:$T$532,$T93)&gt;1),AND($W93&lt;&gt;"",LOWER(TRIM($W93))&lt;&gt;"n/a",COUNTIF($W$2:$W$532,$W93)&gt;1)),"Yes","No"),IF($A93="Cybernet",IF(OR(AND($Y93&lt;&gt;"",LOWER(TRIM($Y93))&lt;&gt;"n/a",COUNTIF($Y$2:$Y$532,$Y93)&gt;1),AND($Z93&lt;&gt;"",LOWER(TRIM($Z93))&lt;&gt;"n/a",COUNTIF($Z$2:$Z$532,$Z93)&gt;1)),"Yes","No"),IF(AND($AL93&lt;&gt;"",LOWER(TRIM($AL93))&lt;&gt;"n/a",COUNTIF($AL$2:$AL$532,$AL93)&gt;1),"Yes","No"))))</f>
      </c>
      <c r="F93">
        <f>IF($B93&lt;&gt;"Yes","",
IF($A93="Neuron",
IF(OR(
AND($R93&lt;&gt;"",LOWER(TRIM($R93))&lt;&gt;"n/a",COUNTIFS($B$2:$B$532,"Yes",$A$2:$A$532,"Neuron",$S$2:$S$532,$R93)&gt;1),
AND($T93&lt;&gt;"",LOWER(TRIM($T93))&lt;&gt;"n/a",COUNTIFS($B$2:$B$532,"Yes",$A$2:$A$532,"Neuron",$T$2:$T$532,$T93)&gt;1),
AND($W93&lt;&gt;"",LOWER(TRIM($W93))&lt;&gt;"n/a",COUNTIFS($B$2:$B$532,"Yes",$A$2:$A$532,"Neuron",$W$2:$W$532,$W93)&gt;1)
),"Yes","No"),
IF($A93="Cybernet",
IF(OR(
AND($Y93&lt;&gt;"",LOWER(TRIM($Y93))&lt;&gt;"n/a",COUNTIFS($B$2:$B$532,"Yes",$A$2:$A$532,"Cybernet",$Y$2:$Y$532,$Y93)&gt;1),
AND($Z93&lt;&gt;"",LOWER(TRIM($Z93))&lt;&gt;"n/a",COUNTIFS($B$2:$B$532,"Yes",$A$2:$A$532,"Cybernet",$Z$2:$Z$532,$Z93)&gt;1)
),"Yes","No"),
IF(AND($AL93&lt;&gt;"",LOWER(TRIM($AL93))&lt;&gt;"n/a"),
IF(COUNTIFS($B$2:$B$532,"Yes",$A$2:$A$532,$A93,$AL$2:$AL$532,$AL93)&gt;1,"Yes","No"),
"No")
)
)
)</f>
      </c>
      <c r="G93" t="s">
        <v>1983</v>
      </c>
      <c r="H93" t="s">
        <v>1903</v>
      </c>
      <c r="I93" t="s">
        <v>1831</v>
      </c>
      <c r="J93" t="s">
        <v>1727</v>
      </c>
      <c r="K93" t="s">
        <v>1657</v>
      </c>
      <c r="L93" t="s">
        <v>1657</v>
      </c>
      <c r="R93" t="s">
        <v>2150</v>
      </c>
      <c r="Y93" t="s">
        <v>2090</v>
      </c>
      <c r="Z93" t="s">
        <v>1747</v>
      </c>
      <c r="BI93" t="s">
        <v>1630</v>
      </c>
      <c r="BL93">
        <f>IF($T93="","",IF((IF(AND($AW93&lt;&gt;"Yes",$AW93&lt;&gt;"N/A"),"Power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",""))="","",LEFT(IF(AND($AW93&lt;&gt;"Yes",$AW93&lt;&gt;"N/A"),"Power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",""),LEN(IF(AND($AW93&lt;&gt;"Yes",$AW93&lt;&gt;"N/A"),"Power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",""))-2)))</f>
      </c>
      <c r="BM93">
        <f>IF($T93="","",IF($BL93="","Yes","Blocked"))</f>
      </c>
      <c r="BP93">
        <f>IF($BO93="","",IFERROR(VLOOKUP($BO93,'01_Warehouse_Ledger'!$A:$N,4,FALSE),""))</f>
      </c>
      <c r="BQ93">
        <f>IF($BO93="","",IFERROR(VLOOKUP($BO93,'01_Warehouse_Ledger'!$A:$N,5,FALSE),""))</f>
      </c>
      <c r="BR93">
        <f>IF($BO93="","",IFERROR(VLOOKUP($BO93,'01_Warehouse_Ledger'!$A:$N,13,FALSE),""))</f>
      </c>
    </row>
    <row r="94">
      <c r="A94" t="s">
        <v>1415</v>
      </c>
      <c r="C94" t="s">
        <v>1657</v>
      </c>
      <c r="D94">
        <f>IF($B94&lt;&gt;"Yes","",IF($C94="No","Yes",IF($C94="Yes","No","")))</f>
      </c>
      <c r="E94">
        <f>IF($A94="","",IF($A94="Neuron",IF(OR(AND($R94&lt;&gt;"",LOWER(TRIM($R94))&lt;&gt;"n/a",COUNTIF($S$2:$S$532,$R94)&gt;1),AND($T94&lt;&gt;"",LOWER(TRIM($T94))&lt;&gt;"n/a",COUNTIF($T$2:$T$532,$T94)&gt;1),AND($W94&lt;&gt;"",LOWER(TRIM($W94))&lt;&gt;"n/a",COUNTIF($W$2:$W$532,$W94)&gt;1)),"Yes","No"),IF($A94="Cybernet",IF(OR(AND($Y94&lt;&gt;"",LOWER(TRIM($Y94))&lt;&gt;"n/a",COUNTIF($Y$2:$Y$532,$Y94)&gt;1),AND($Z94&lt;&gt;"",LOWER(TRIM($Z94))&lt;&gt;"n/a",COUNTIF($Z$2:$Z$532,$Z94)&gt;1)),"Yes","No"),IF(AND($AL94&lt;&gt;"",LOWER(TRIM($AL94))&lt;&gt;"n/a",COUNTIF($AL$2:$AL$532,$AL94)&gt;1),"Yes","No"))))</f>
      </c>
      <c r="F94">
        <f>IF($B94&lt;&gt;"Yes","",
IF($A94="Neuron",
IF(OR(
AND($R94&lt;&gt;"",LOWER(TRIM($R94))&lt;&gt;"n/a",COUNTIFS($B$2:$B$532,"Yes",$A$2:$A$532,"Neuron",$S$2:$S$532,$R94)&gt;1),
AND($T94&lt;&gt;"",LOWER(TRIM($T94))&lt;&gt;"n/a",COUNTIFS($B$2:$B$532,"Yes",$A$2:$A$532,"Neuron",$T$2:$T$532,$T94)&gt;1),
AND($W94&lt;&gt;"",LOWER(TRIM($W94))&lt;&gt;"n/a",COUNTIFS($B$2:$B$532,"Yes",$A$2:$A$532,"Neuron",$W$2:$W$532,$W94)&gt;1)
),"Yes","No"),
IF($A94="Cybernet",
IF(OR(
AND($Y94&lt;&gt;"",LOWER(TRIM($Y94))&lt;&gt;"n/a",COUNTIFS($B$2:$B$532,"Yes",$A$2:$A$532,"Cybernet",$Y$2:$Y$532,$Y94)&gt;1),
AND($Z94&lt;&gt;"",LOWER(TRIM($Z94))&lt;&gt;"n/a",COUNTIFS($B$2:$B$532,"Yes",$A$2:$A$532,"Cybernet",$Z$2:$Z$532,$Z94)&gt;1)
),"Yes","No"),
IF(AND($AL94&lt;&gt;"",LOWER(TRIM($AL94))&lt;&gt;"n/a"),
IF(COUNTIFS($B$2:$B$532,"Yes",$A$2:$A$532,$A94,$AL$2:$AL$532,$AL94)&gt;1,"Yes","No"),
"No")
)
)
)</f>
      </c>
      <c r="G94" t="s">
        <v>1983</v>
      </c>
      <c r="H94" t="s">
        <v>1903</v>
      </c>
      <c r="I94" t="s">
        <v>1831</v>
      </c>
      <c r="J94" t="s">
        <v>1727</v>
      </c>
      <c r="K94" t="s">
        <v>1657</v>
      </c>
      <c r="L94" t="s">
        <v>1657</v>
      </c>
      <c r="R94" t="s">
        <v>1964</v>
      </c>
      <c r="Y94" t="s">
        <v>2229</v>
      </c>
      <c r="Z94" t="s">
        <v>1701</v>
      </c>
      <c r="BI94" t="s">
        <v>1630</v>
      </c>
      <c r="BL94">
        <f>IF($T94="","",IF((IF(AND($AW94&lt;&gt;"Yes",$AW94&lt;&gt;"N/A"),"Power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",""))="","",LEFT(IF(AND($AW94&lt;&gt;"Yes",$AW94&lt;&gt;"N/A"),"Power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",""),LEN(IF(AND($AW94&lt;&gt;"Yes",$AW94&lt;&gt;"N/A"),"Power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",""))-2)))</f>
      </c>
      <c r="BM94">
        <f>IF($T94="","",IF($BL94="","Yes","Blocked"))</f>
      </c>
      <c r="BP94">
        <f>IF($BO94="","",IFERROR(VLOOKUP($BO94,'01_Warehouse_Ledger'!$A:$N,4,FALSE),""))</f>
      </c>
      <c r="BQ94">
        <f>IF($BO94="","",IFERROR(VLOOKUP($BO94,'01_Warehouse_Ledger'!$A:$N,5,FALSE),""))</f>
      </c>
      <c r="BR94">
        <f>IF($BO94="","",IFERROR(VLOOKUP($BO94,'01_Warehouse_Ledger'!$A:$N,13,FALSE),""))</f>
      </c>
    </row>
    <row r="95">
      <c r="A95" t="s">
        <v>1415</v>
      </c>
      <c r="C95" t="s">
        <v>1657</v>
      </c>
      <c r="D95">
        <f>IF($B95&lt;&gt;"Yes","",IF($C95="No","Yes",IF($C95="Yes","No","")))</f>
      </c>
      <c r="E95">
        <f>IF($A95="","",IF($A95="Neuron",IF(OR(AND($R95&lt;&gt;"",LOWER(TRIM($R95))&lt;&gt;"n/a",COUNTIF($S$2:$S$532,$R95)&gt;1),AND($T95&lt;&gt;"",LOWER(TRIM($T95))&lt;&gt;"n/a",COUNTIF($T$2:$T$532,$T95)&gt;1),AND($W95&lt;&gt;"",LOWER(TRIM($W95))&lt;&gt;"n/a",COUNTIF($W$2:$W$532,$W95)&gt;1)),"Yes","No"),IF($A95="Cybernet",IF(OR(AND($Y95&lt;&gt;"",LOWER(TRIM($Y95))&lt;&gt;"n/a",COUNTIF($Y$2:$Y$532,$Y95)&gt;1),AND($Z95&lt;&gt;"",LOWER(TRIM($Z95))&lt;&gt;"n/a",COUNTIF($Z$2:$Z$532,$Z95)&gt;1)),"Yes","No"),IF(AND($AL95&lt;&gt;"",LOWER(TRIM($AL95))&lt;&gt;"n/a",COUNTIF($AL$2:$AL$532,$AL95)&gt;1),"Yes","No"))))</f>
      </c>
      <c r="F95">
        <f>IF($B95&lt;&gt;"Yes","",
IF($A95="Neuron",
IF(OR(
AND($R95&lt;&gt;"",LOWER(TRIM($R95))&lt;&gt;"n/a",COUNTIFS($B$2:$B$532,"Yes",$A$2:$A$532,"Neuron",$S$2:$S$532,$R95)&gt;1),
AND($T95&lt;&gt;"",LOWER(TRIM($T95))&lt;&gt;"n/a",COUNTIFS($B$2:$B$532,"Yes",$A$2:$A$532,"Neuron",$T$2:$T$532,$T95)&gt;1),
AND($W95&lt;&gt;"",LOWER(TRIM($W95))&lt;&gt;"n/a",COUNTIFS($B$2:$B$532,"Yes",$A$2:$A$532,"Neuron",$W$2:$W$532,$W95)&gt;1)
),"Yes","No"),
IF($A95="Cybernet",
IF(OR(
AND($Y95&lt;&gt;"",LOWER(TRIM($Y95))&lt;&gt;"n/a",COUNTIFS($B$2:$B$532,"Yes",$A$2:$A$532,"Cybernet",$Y$2:$Y$532,$Y95)&gt;1),
AND($Z95&lt;&gt;"",LOWER(TRIM($Z95))&lt;&gt;"n/a",COUNTIFS($B$2:$B$532,"Yes",$A$2:$A$532,"Cybernet",$Z$2:$Z$532,$Z95)&gt;1)
),"Yes","No"),
IF(AND($AL95&lt;&gt;"",LOWER(TRIM($AL95))&lt;&gt;"n/a"),
IF(COUNTIFS($B$2:$B$532,"Yes",$A$2:$A$532,$A95,$AL$2:$AL$532,$AL95)&gt;1,"Yes","No"),
"No")
)
)
)</f>
      </c>
      <c r="G95" t="s">
        <v>1983</v>
      </c>
      <c r="H95" t="s">
        <v>1903</v>
      </c>
      <c r="I95" t="s">
        <v>1831</v>
      </c>
      <c r="J95" t="s">
        <v>1727</v>
      </c>
      <c r="K95" t="s">
        <v>1657</v>
      </c>
      <c r="L95" t="s">
        <v>1657</v>
      </c>
      <c r="R95" t="s">
        <v>2302</v>
      </c>
      <c r="Y95" t="s">
        <v>2022</v>
      </c>
      <c r="Z95" t="s">
        <v>2316</v>
      </c>
      <c r="BI95" t="s">
        <v>1630</v>
      </c>
      <c r="BL95">
        <f>IF($T95="","",IF((IF(AND($AW95&lt;&gt;"Yes",$AW95&lt;&gt;"N/A"),"Power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",""))="","",LEFT(IF(AND($AW95&lt;&gt;"Yes",$AW95&lt;&gt;"N/A"),"Power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",""),LEN(IF(AND($AW95&lt;&gt;"Yes",$AW95&lt;&gt;"N/A"),"Power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",""))-2)))</f>
      </c>
      <c r="BM95">
        <f>IF($T95="","",IF($BL95="","Yes","Blocked"))</f>
      </c>
      <c r="BP95">
        <f>IF($BO95="","",IFERROR(VLOOKUP($BO95,'01_Warehouse_Ledger'!$A:$N,4,FALSE),""))</f>
      </c>
      <c r="BQ95">
        <f>IF($BO95="","",IFERROR(VLOOKUP($BO95,'01_Warehouse_Ledger'!$A:$N,5,FALSE),""))</f>
      </c>
      <c r="BR95">
        <f>IF($BO95="","",IFERROR(VLOOKUP($BO95,'01_Warehouse_Ledger'!$A:$N,13,FALSE),""))</f>
      </c>
    </row>
    <row r="96">
      <c r="A96" t="s">
        <v>1415</v>
      </c>
      <c r="C96" t="s">
        <v>1657</v>
      </c>
      <c r="D96">
        <f>IF($B96&lt;&gt;"Yes","",IF($C96="No","Yes",IF($C96="Yes","No","")))</f>
      </c>
      <c r="E96">
        <f>IF($A96="","",IF($A96="Neuron",IF(OR(AND($R96&lt;&gt;"",LOWER(TRIM($R96))&lt;&gt;"n/a",COUNTIF($S$2:$S$532,$R96)&gt;1),AND($T96&lt;&gt;"",LOWER(TRIM($T96))&lt;&gt;"n/a",COUNTIF($T$2:$T$532,$T96)&gt;1),AND($W96&lt;&gt;"",LOWER(TRIM($W96))&lt;&gt;"n/a",COUNTIF($W$2:$W$532,$W96)&gt;1)),"Yes","No"),IF($A96="Cybernet",IF(OR(AND($Y96&lt;&gt;"",LOWER(TRIM($Y96))&lt;&gt;"n/a",COUNTIF($Y$2:$Y$532,$Y96)&gt;1),AND($Z96&lt;&gt;"",LOWER(TRIM($Z96))&lt;&gt;"n/a",COUNTIF($Z$2:$Z$532,$Z96)&gt;1)),"Yes","No"),IF(AND($AL96&lt;&gt;"",LOWER(TRIM($AL96))&lt;&gt;"n/a",COUNTIF($AL$2:$AL$532,$AL96)&gt;1),"Yes","No"))))</f>
      </c>
      <c r="F96">
        <f>IF($B96&lt;&gt;"Yes","",
IF($A96="Neuron",
IF(OR(
AND($R96&lt;&gt;"",LOWER(TRIM($R96))&lt;&gt;"n/a",COUNTIFS($B$2:$B$532,"Yes",$A$2:$A$532,"Neuron",$S$2:$S$532,$R96)&gt;1),
AND($T96&lt;&gt;"",LOWER(TRIM($T96))&lt;&gt;"n/a",COUNTIFS($B$2:$B$532,"Yes",$A$2:$A$532,"Neuron",$T$2:$T$532,$T96)&gt;1),
AND($W96&lt;&gt;"",LOWER(TRIM($W96))&lt;&gt;"n/a",COUNTIFS($B$2:$B$532,"Yes",$A$2:$A$532,"Neuron",$W$2:$W$532,$W96)&gt;1)
),"Yes","No"),
IF($A96="Cybernet",
IF(OR(
AND($Y96&lt;&gt;"",LOWER(TRIM($Y96))&lt;&gt;"n/a",COUNTIFS($B$2:$B$532,"Yes",$A$2:$A$532,"Cybernet",$Y$2:$Y$532,$Y96)&gt;1),
AND($Z96&lt;&gt;"",LOWER(TRIM($Z96))&lt;&gt;"n/a",COUNTIFS($B$2:$B$532,"Yes",$A$2:$A$532,"Cybernet",$Z$2:$Z$532,$Z96)&gt;1)
),"Yes","No"),
IF(AND($AL96&lt;&gt;"",LOWER(TRIM($AL96))&lt;&gt;"n/a"),
IF(COUNTIFS($B$2:$B$532,"Yes",$A$2:$A$532,$A96,$AL$2:$AL$532,$AL96)&gt;1,"Yes","No"),
"No")
)
)
)</f>
      </c>
      <c r="G96" t="s">
        <v>1983</v>
      </c>
      <c r="H96" t="s">
        <v>1903</v>
      </c>
      <c r="I96" t="s">
        <v>1831</v>
      </c>
      <c r="J96" t="s">
        <v>1727</v>
      </c>
      <c r="K96" t="s">
        <v>1657</v>
      </c>
      <c r="L96" t="s">
        <v>1657</v>
      </c>
      <c r="R96" t="s">
        <v>1641</v>
      </c>
      <c r="Y96" t="s">
        <v>2104</v>
      </c>
      <c r="Z96" t="s">
        <v>1949</v>
      </c>
      <c r="BI96" t="s">
        <v>1630</v>
      </c>
      <c r="BL96">
        <f>IF($T96="","",IF((IF(AND($AW96&lt;&gt;"Yes",$AW96&lt;&gt;"N/A"),"Power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",""))="","",LEFT(IF(AND($AW96&lt;&gt;"Yes",$AW96&lt;&gt;"N/A"),"Power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",""),LEN(IF(AND($AW96&lt;&gt;"Yes",$AW96&lt;&gt;"N/A"),"Power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",""))-2)))</f>
      </c>
      <c r="BM96">
        <f>IF($T96="","",IF($BL96="","Yes","Blocked"))</f>
      </c>
      <c r="BP96">
        <f>IF($BO96="","",IFERROR(VLOOKUP($BO96,'01_Warehouse_Ledger'!$A:$N,4,FALSE),""))</f>
      </c>
      <c r="BQ96">
        <f>IF($BO96="","",IFERROR(VLOOKUP($BO96,'01_Warehouse_Ledger'!$A:$N,5,FALSE),""))</f>
      </c>
      <c r="BR96">
        <f>IF($BO96="","",IFERROR(VLOOKUP($BO96,'01_Warehouse_Ledger'!$A:$N,13,FALSE),""))</f>
      </c>
    </row>
    <row r="97">
      <c r="A97" t="s">
        <v>1415</v>
      </c>
      <c r="C97" t="s">
        <v>1657</v>
      </c>
      <c r="D97">
        <f>IF($B97&lt;&gt;"Yes","",IF($C97="No","Yes",IF($C97="Yes","No","")))</f>
      </c>
      <c r="E97">
        <f>IF($A97="","",IF($A97="Neuron",IF(OR(AND($R97&lt;&gt;"",LOWER(TRIM($R97))&lt;&gt;"n/a",COUNTIF($S$2:$S$532,$R97)&gt;1),AND($T97&lt;&gt;"",LOWER(TRIM($T97))&lt;&gt;"n/a",COUNTIF($T$2:$T$532,$T97)&gt;1),AND($W97&lt;&gt;"",LOWER(TRIM($W97))&lt;&gt;"n/a",COUNTIF($W$2:$W$532,$W97)&gt;1)),"Yes","No"),IF($A97="Cybernet",IF(OR(AND($Y97&lt;&gt;"",LOWER(TRIM($Y97))&lt;&gt;"n/a",COUNTIF($Y$2:$Y$532,$Y97)&gt;1),AND($Z97&lt;&gt;"",LOWER(TRIM($Z97))&lt;&gt;"n/a",COUNTIF($Z$2:$Z$532,$Z97)&gt;1)),"Yes","No"),IF(AND($AL97&lt;&gt;"",LOWER(TRIM($AL97))&lt;&gt;"n/a",COUNTIF($AL$2:$AL$532,$AL97)&gt;1),"Yes","No"))))</f>
      </c>
      <c r="F97">
        <f>IF($B97&lt;&gt;"Yes","",
IF($A97="Neuron",
IF(OR(
AND($R97&lt;&gt;"",LOWER(TRIM($R97))&lt;&gt;"n/a",COUNTIFS($B$2:$B$532,"Yes",$A$2:$A$532,"Neuron",$S$2:$S$532,$R97)&gt;1),
AND($T97&lt;&gt;"",LOWER(TRIM($T97))&lt;&gt;"n/a",COUNTIFS($B$2:$B$532,"Yes",$A$2:$A$532,"Neuron",$T$2:$T$532,$T97)&gt;1),
AND($W97&lt;&gt;"",LOWER(TRIM($W97))&lt;&gt;"n/a",COUNTIFS($B$2:$B$532,"Yes",$A$2:$A$532,"Neuron",$W$2:$W$532,$W97)&gt;1)
),"Yes","No"),
IF($A97="Cybernet",
IF(OR(
AND($Y97&lt;&gt;"",LOWER(TRIM($Y97))&lt;&gt;"n/a",COUNTIFS($B$2:$B$532,"Yes",$A$2:$A$532,"Cybernet",$Y$2:$Y$532,$Y97)&gt;1),
AND($Z97&lt;&gt;"",LOWER(TRIM($Z97))&lt;&gt;"n/a",COUNTIFS($B$2:$B$532,"Yes",$A$2:$A$532,"Cybernet",$Z$2:$Z$532,$Z97)&gt;1)
),"Yes","No"),
IF(AND($AL97&lt;&gt;"",LOWER(TRIM($AL97))&lt;&gt;"n/a"),
IF(COUNTIFS($B$2:$B$532,"Yes",$A$2:$A$532,$A97,$AL$2:$AL$532,$AL97)&gt;1,"Yes","No"),
"No")
)
)
)</f>
      </c>
      <c r="G97" t="s">
        <v>1983</v>
      </c>
      <c r="H97" t="s">
        <v>1903</v>
      </c>
      <c r="I97" t="s">
        <v>1831</v>
      </c>
      <c r="J97" t="s">
        <v>1727</v>
      </c>
      <c r="K97" t="s">
        <v>1657</v>
      </c>
      <c r="L97" t="s">
        <v>1657</v>
      </c>
      <c r="R97" t="s">
        <v>2279</v>
      </c>
      <c r="Y97" t="s">
        <v>1717</v>
      </c>
      <c r="Z97" t="s">
        <v>1790</v>
      </c>
      <c r="BI97" t="s">
        <v>1630</v>
      </c>
      <c r="BL97">
        <f>IF($T97="","",IF((IF(AND($AW97&lt;&gt;"Yes",$AW97&lt;&gt;"N/A"),"Power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",""))="","",LEFT(IF(AND($AW97&lt;&gt;"Yes",$AW97&lt;&gt;"N/A"),"Power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",""),LEN(IF(AND($AW97&lt;&gt;"Yes",$AW97&lt;&gt;"N/A"),"Power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",""))-2)))</f>
      </c>
      <c r="BM97">
        <f>IF($T97="","",IF($BL97="","Yes","Blocked"))</f>
      </c>
      <c r="BP97">
        <f>IF($BO97="","",IFERROR(VLOOKUP($BO97,'01_Warehouse_Ledger'!$A:$N,4,FALSE),""))</f>
      </c>
      <c r="BQ97">
        <f>IF($BO97="","",IFERROR(VLOOKUP($BO97,'01_Warehouse_Ledger'!$A:$N,5,FALSE),""))</f>
      </c>
      <c r="BR97">
        <f>IF($BO97="","",IFERROR(VLOOKUP($BO97,'01_Warehouse_Ledger'!$A:$N,13,FALSE),""))</f>
      </c>
    </row>
    <row r="98">
      <c r="A98" t="s">
        <v>1415</v>
      </c>
      <c r="C98" t="s">
        <v>1657</v>
      </c>
      <c r="D98">
        <f>IF($B98&lt;&gt;"Yes","",IF($C98="No","Yes",IF($C98="Yes","No","")))</f>
      </c>
      <c r="E98">
        <f>IF($A98="","",IF($A98="Neuron",IF(OR(AND($R98&lt;&gt;"",LOWER(TRIM($R98))&lt;&gt;"n/a",COUNTIF($S$2:$S$532,$R98)&gt;1),AND($T98&lt;&gt;"",LOWER(TRIM($T98))&lt;&gt;"n/a",COUNTIF($T$2:$T$532,$T98)&gt;1),AND($W98&lt;&gt;"",LOWER(TRIM($W98))&lt;&gt;"n/a",COUNTIF($W$2:$W$532,$W98)&gt;1)),"Yes","No"),IF($A98="Cybernet",IF(OR(AND($Y98&lt;&gt;"",LOWER(TRIM($Y98))&lt;&gt;"n/a",COUNTIF($Y$2:$Y$532,$Y98)&gt;1),AND($Z98&lt;&gt;"",LOWER(TRIM($Z98))&lt;&gt;"n/a",COUNTIF($Z$2:$Z$532,$Z98)&gt;1)),"Yes","No"),IF(AND($AL98&lt;&gt;"",LOWER(TRIM($AL98))&lt;&gt;"n/a",COUNTIF($AL$2:$AL$532,$AL98)&gt;1),"Yes","No"))))</f>
      </c>
      <c r="F98">
        <f>IF($B98&lt;&gt;"Yes","",
IF($A98="Neuron",
IF(OR(
AND($R98&lt;&gt;"",LOWER(TRIM($R98))&lt;&gt;"n/a",COUNTIFS($B$2:$B$532,"Yes",$A$2:$A$532,"Neuron",$S$2:$S$532,$R98)&gt;1),
AND($T98&lt;&gt;"",LOWER(TRIM($T98))&lt;&gt;"n/a",COUNTIFS($B$2:$B$532,"Yes",$A$2:$A$532,"Neuron",$T$2:$T$532,$T98)&gt;1),
AND($W98&lt;&gt;"",LOWER(TRIM($W98))&lt;&gt;"n/a",COUNTIFS($B$2:$B$532,"Yes",$A$2:$A$532,"Neuron",$W$2:$W$532,$W98)&gt;1)
),"Yes","No"),
IF($A98="Cybernet",
IF(OR(
AND($Y98&lt;&gt;"",LOWER(TRIM($Y98))&lt;&gt;"n/a",COUNTIFS($B$2:$B$532,"Yes",$A$2:$A$532,"Cybernet",$Y$2:$Y$532,$Y98)&gt;1),
AND($Z98&lt;&gt;"",LOWER(TRIM($Z98))&lt;&gt;"n/a",COUNTIFS($B$2:$B$532,"Yes",$A$2:$A$532,"Cybernet",$Z$2:$Z$532,$Z98)&gt;1)
),"Yes","No"),
IF(AND($AL98&lt;&gt;"",LOWER(TRIM($AL98))&lt;&gt;"n/a"),
IF(COUNTIFS($B$2:$B$532,"Yes",$A$2:$A$532,$A98,$AL$2:$AL$532,$AL98)&gt;1,"Yes","No"),
"No")
)
)
)</f>
      </c>
      <c r="G98" t="s">
        <v>1983</v>
      </c>
      <c r="H98" t="s">
        <v>1903</v>
      </c>
      <c r="I98" t="s">
        <v>1831</v>
      </c>
      <c r="J98" t="s">
        <v>1727</v>
      </c>
      <c r="K98" t="s">
        <v>1657</v>
      </c>
      <c r="L98" t="s">
        <v>1657</v>
      </c>
      <c r="R98" t="s">
        <v>1855</v>
      </c>
      <c r="Y98" t="s">
        <v>1972</v>
      </c>
      <c r="Z98" t="s">
        <v>1807</v>
      </c>
      <c r="BI98" t="s">
        <v>1630</v>
      </c>
      <c r="BL98">
        <f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</c>
      <c r="BM98">
        <f>IF($T98="","",IF($BL98="","Yes","Blocked"))</f>
      </c>
      <c r="BP98">
        <f>IF($BO98="","",IFERROR(VLOOKUP($BO98,'01_Warehouse_Ledger'!$A:$N,4,FALSE),""))</f>
      </c>
      <c r="BQ98">
        <f>IF($BO98="","",IFERROR(VLOOKUP($BO98,'01_Warehouse_Ledger'!$A:$N,5,FALSE),""))</f>
      </c>
      <c r="BR98">
        <f>IF($BO98="","",IFERROR(VLOOKUP($BO98,'01_Warehouse_Ledger'!$A:$N,13,FALSE),""))</f>
      </c>
    </row>
    <row r="99">
      <c r="A99" t="s">
        <v>1415</v>
      </c>
      <c r="C99" t="s">
        <v>1657</v>
      </c>
      <c r="D99">
        <f>IF($B99&lt;&gt;"Yes","",IF($C99="No","Yes",IF($C99="Yes","No","")))</f>
      </c>
      <c r="E99">
        <f>IF($A99="","",IF($A99="Neuron",IF(OR(AND($R99&lt;&gt;"",LOWER(TRIM($R99))&lt;&gt;"n/a",COUNTIF($S$2:$S$532,$R99)&gt;1),AND($T99&lt;&gt;"",LOWER(TRIM($T99))&lt;&gt;"n/a",COUNTIF($T$2:$T$532,$T99)&gt;1),AND($W99&lt;&gt;"",LOWER(TRIM($W99))&lt;&gt;"n/a",COUNTIF($W$2:$W$532,$W99)&gt;1)),"Yes","No"),IF($A99="Cybernet",IF(OR(AND($Y99&lt;&gt;"",LOWER(TRIM($Y99))&lt;&gt;"n/a",COUNTIF($Y$2:$Y$532,$Y99)&gt;1),AND($Z99&lt;&gt;"",LOWER(TRIM($Z99))&lt;&gt;"n/a",COUNTIF($Z$2:$Z$532,$Z99)&gt;1)),"Yes","No"),IF(AND($AL99&lt;&gt;"",LOWER(TRIM($AL99))&lt;&gt;"n/a",COUNTIF($AL$2:$AL$532,$AL99)&gt;1),"Yes","No"))))</f>
      </c>
      <c r="F99">
        <f>IF($B99&lt;&gt;"Yes","",
IF($A99="Neuron",
IF(OR(
AND($R99&lt;&gt;"",LOWER(TRIM($R99))&lt;&gt;"n/a",COUNTIFS($B$2:$B$532,"Yes",$A$2:$A$532,"Neuron",$S$2:$S$532,$R99)&gt;1),
AND($T99&lt;&gt;"",LOWER(TRIM($T99))&lt;&gt;"n/a",COUNTIFS($B$2:$B$532,"Yes",$A$2:$A$532,"Neuron",$T$2:$T$532,$T99)&gt;1),
AND($W99&lt;&gt;"",LOWER(TRIM($W99))&lt;&gt;"n/a",COUNTIFS($B$2:$B$532,"Yes",$A$2:$A$532,"Neuron",$W$2:$W$532,$W99)&gt;1)
),"Yes","No"),
IF($A99="Cybernet",
IF(OR(
AND($Y99&lt;&gt;"",LOWER(TRIM($Y99))&lt;&gt;"n/a",COUNTIFS($B$2:$B$532,"Yes",$A$2:$A$532,"Cybernet",$Y$2:$Y$532,$Y99)&gt;1),
AND($Z99&lt;&gt;"",LOWER(TRIM($Z99))&lt;&gt;"n/a",COUNTIFS($B$2:$B$532,"Yes",$A$2:$A$532,"Cybernet",$Z$2:$Z$532,$Z99)&gt;1)
),"Yes","No"),
IF(AND($AL99&lt;&gt;"",LOWER(TRIM($AL99))&lt;&gt;"n/a"),
IF(COUNTIFS($B$2:$B$532,"Yes",$A$2:$A$532,$A99,$AL$2:$AL$532,$AL99)&gt;1,"Yes","No"),
"No")
)
)
)</f>
      </c>
      <c r="G99" t="s">
        <v>1983</v>
      </c>
      <c r="H99" t="s">
        <v>1903</v>
      </c>
      <c r="I99" t="s">
        <v>1831</v>
      </c>
      <c r="J99" t="s">
        <v>1727</v>
      </c>
      <c r="K99" t="s">
        <v>1657</v>
      </c>
      <c r="L99" t="s">
        <v>1657</v>
      </c>
      <c r="R99" t="s">
        <v>1929</v>
      </c>
      <c r="Y99" t="s">
        <v>2055</v>
      </c>
      <c r="Z99" t="s">
        <v>1808</v>
      </c>
      <c r="BI99" t="s">
        <v>1630</v>
      </c>
      <c r="BL99">
        <f>IF($T99="","",IF((IF(AND($AW99&lt;&gt;"Yes",$AW99&lt;&gt;"N/A"),"Power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",""))="","",LEFT(IF(AND($AW99&lt;&gt;"Yes",$AW99&lt;&gt;"N/A"),"Power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",""),LEN(IF(AND($AW99&lt;&gt;"Yes",$AW99&lt;&gt;"N/A"),"Power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",""))-2)))</f>
      </c>
      <c r="BM99">
        <f>IF($T99="","",IF($BL99="","Yes","Blocked"))</f>
      </c>
      <c r="BP99">
        <f>IF($BO99="","",IFERROR(VLOOKUP($BO99,'01_Warehouse_Ledger'!$A:$N,4,FALSE),""))</f>
      </c>
      <c r="BQ99">
        <f>IF($BO99="","",IFERROR(VLOOKUP($BO99,'01_Warehouse_Ledger'!$A:$N,5,FALSE),""))</f>
      </c>
      <c r="BR99">
        <f>IF($BO99="","",IFERROR(VLOOKUP($BO99,'01_Warehouse_Ledger'!$A:$N,13,FALSE),""))</f>
      </c>
    </row>
    <row r="100">
      <c r="A100" t="s">
        <v>1415</v>
      </c>
      <c r="C100" t="s">
        <v>1657</v>
      </c>
      <c r="D100">
        <f>IF($B100&lt;&gt;"Yes","",IF($C100="No","Yes",IF($C100="Yes","No","")))</f>
      </c>
      <c r="E100">
        <f>IF($A100="","",IF($A100="Neuron",IF(OR(AND($R100&lt;&gt;"",LOWER(TRIM($R100))&lt;&gt;"n/a",COUNTIF($S$2:$S$532,$R100)&gt;1),AND($T100&lt;&gt;"",LOWER(TRIM($T100))&lt;&gt;"n/a",COUNTIF($T$2:$T$532,$T100)&gt;1),AND($W100&lt;&gt;"",LOWER(TRIM($W100))&lt;&gt;"n/a",COUNTIF($W$2:$W$532,$W100)&gt;1)),"Yes","No"),IF($A100="Cybernet",IF(OR(AND($Y100&lt;&gt;"",LOWER(TRIM($Y100))&lt;&gt;"n/a",COUNTIF($Y$2:$Y$532,$Y100)&gt;1),AND($Z100&lt;&gt;"",LOWER(TRIM($Z100))&lt;&gt;"n/a",COUNTIF($Z$2:$Z$532,$Z100)&gt;1)),"Yes","No"),IF(AND($AL100&lt;&gt;"",LOWER(TRIM($AL100))&lt;&gt;"n/a",COUNTIF($AL$2:$AL$532,$AL100)&gt;1),"Yes","No"))))</f>
      </c>
      <c r="F100">
        <f>IF($B100&lt;&gt;"Yes","",
IF($A100="Neuron",
IF(OR(
AND($R100&lt;&gt;"",LOWER(TRIM($R100))&lt;&gt;"n/a",COUNTIFS($B$2:$B$532,"Yes",$A$2:$A$532,"Neuron",$S$2:$S$532,$R100)&gt;1),
AND($T100&lt;&gt;"",LOWER(TRIM($T100))&lt;&gt;"n/a",COUNTIFS($B$2:$B$532,"Yes",$A$2:$A$532,"Neuron",$T$2:$T$532,$T100)&gt;1),
AND($W100&lt;&gt;"",LOWER(TRIM($W100))&lt;&gt;"n/a",COUNTIFS($B$2:$B$532,"Yes",$A$2:$A$532,"Neuron",$W$2:$W$532,$W100)&gt;1)
),"Yes","No"),
IF($A100="Cybernet",
IF(OR(
AND($Y100&lt;&gt;"",LOWER(TRIM($Y100))&lt;&gt;"n/a",COUNTIFS($B$2:$B$532,"Yes",$A$2:$A$532,"Cybernet",$Y$2:$Y$532,$Y100)&gt;1),
AND($Z100&lt;&gt;"",LOWER(TRIM($Z100))&lt;&gt;"n/a",COUNTIFS($B$2:$B$532,"Yes",$A$2:$A$532,"Cybernet",$Z$2:$Z$532,$Z100)&gt;1)
),"Yes","No"),
IF(AND($AL100&lt;&gt;"",LOWER(TRIM($AL100))&lt;&gt;"n/a"),
IF(COUNTIFS($B$2:$B$532,"Yes",$A$2:$A$532,$A100,$AL$2:$AL$532,$AL100)&gt;1,"Yes","No"),
"No")
)
)
)</f>
      </c>
      <c r="G100" t="s">
        <v>1983</v>
      </c>
      <c r="H100" t="s">
        <v>1903</v>
      </c>
      <c r="I100" t="s">
        <v>1831</v>
      </c>
      <c r="J100" t="s">
        <v>1727</v>
      </c>
      <c r="K100" t="s">
        <v>1657</v>
      </c>
      <c r="L100" t="s">
        <v>1657</v>
      </c>
      <c r="R100" t="s">
        <v>1632</v>
      </c>
      <c r="Y100" t="s">
        <v>2172</v>
      </c>
      <c r="Z100" t="s">
        <v>2081</v>
      </c>
      <c r="BI100" t="s">
        <v>1630</v>
      </c>
      <c r="BL100">
        <f>IF($T100="","",IF((IF(AND($AW100&lt;&gt;"Yes",$AW100&lt;&gt;"N/A"),"Power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",""))="","",LEFT(IF(AND($AW100&lt;&gt;"Yes",$AW100&lt;&gt;"N/A"),"Power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",""),LEN(IF(AND($AW100&lt;&gt;"Yes",$AW100&lt;&gt;"N/A"),"Power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",""))-2)))</f>
      </c>
      <c r="BM100">
        <f>IF($T100="","",IF($BL100="","Yes","Blocked"))</f>
      </c>
      <c r="BP100">
        <f>IF($BO100="","",IFERROR(VLOOKUP($BO100,'01_Warehouse_Ledger'!$A:$N,4,FALSE),""))</f>
      </c>
      <c r="BQ100">
        <f>IF($BO100="","",IFERROR(VLOOKUP($BO100,'01_Warehouse_Ledger'!$A:$N,5,FALSE),""))</f>
      </c>
      <c r="BR100">
        <f>IF($BO100="","",IFERROR(VLOOKUP($BO100,'01_Warehouse_Ledger'!$A:$N,13,FALSE),""))</f>
      </c>
    </row>
    <row r="101">
      <c r="A101" t="s">
        <v>1415</v>
      </c>
      <c r="B101" t="s">
        <v>1727</v>
      </c>
      <c r="C101" t="s">
        <v>1727</v>
      </c>
      <c r="D101">
        <f>IF($B101&lt;&gt;"Yes","",IF($C101="No","Yes",IF($C101="Yes","No","")))</f>
      </c>
      <c r="E101">
        <f>IF($A101="","",IF($A101="Neuron",IF(OR(AND($R101&lt;&gt;"",LOWER(TRIM($R101))&lt;&gt;"n/a",COUNTIF($S$2:$S$532,$R101)&gt;1),AND($T101&lt;&gt;"",LOWER(TRIM($T101))&lt;&gt;"n/a",COUNTIF($T$2:$T$532,$T101)&gt;1),AND($W101&lt;&gt;"",LOWER(TRIM($W101))&lt;&gt;"n/a",COUNTIF($W$2:$W$532,$W101)&gt;1)),"Yes","No"),IF($A101="Cybernet",IF(OR(AND($Y101&lt;&gt;"",LOWER(TRIM($Y101))&lt;&gt;"n/a",COUNTIF($Y$2:$Y$532,$Y101)&gt;1),AND($Z101&lt;&gt;"",LOWER(TRIM($Z101))&lt;&gt;"n/a",COUNTIF($Z$2:$Z$532,$Z101)&gt;1)),"Yes","No"),IF(AND($AL101&lt;&gt;"",LOWER(TRIM($AL101))&lt;&gt;"n/a",COUNTIF($AL$2:$AL$532,$AL101)&gt;1),"Yes","No"))))</f>
      </c>
      <c r="F101">
        <f>IF($B101&lt;&gt;"Yes","",
IF($A101="Neuron",
IF(OR(
AND($R101&lt;&gt;"",LOWER(TRIM($R101))&lt;&gt;"n/a",COUNTIFS($B$2:$B$532,"Yes",$A$2:$A$532,"Neuron",$S$2:$S$532,$R101)&gt;1),
AND($T101&lt;&gt;"",LOWER(TRIM($T101))&lt;&gt;"n/a",COUNTIFS($B$2:$B$532,"Yes",$A$2:$A$532,"Neuron",$T$2:$T$532,$T101)&gt;1),
AND($W101&lt;&gt;"",LOWER(TRIM($W101))&lt;&gt;"n/a",COUNTIFS($B$2:$B$532,"Yes",$A$2:$A$532,"Neuron",$W$2:$W$532,$W101)&gt;1)
),"Yes","No"),
IF($A101="Cybernet",
IF(OR(
AND($Y101&lt;&gt;"",LOWER(TRIM($Y101))&lt;&gt;"n/a",COUNTIFS($B$2:$B$532,"Yes",$A$2:$A$532,"Cybernet",$Y$2:$Y$532,$Y101)&gt;1),
AND($Z101&lt;&gt;"",LOWER(TRIM($Z101))&lt;&gt;"n/a",COUNTIFS($B$2:$B$532,"Yes",$A$2:$A$532,"Cybernet",$Z$2:$Z$532,$Z101)&gt;1)
),"Yes","No"),
IF(AND($AL101&lt;&gt;"",LOWER(TRIM($AL101))&lt;&gt;"n/a"),
IF(COUNTIFS($B$2:$B$532,"Yes",$A$2:$A$532,$A101,$AL$2:$AL$532,$AL101)&gt;1,"Yes","No"),
"No")
)
)
)</f>
      </c>
      <c r="G101" t="s">
        <v>2235</v>
      </c>
      <c r="H101" t="s">
        <v>2235</v>
      </c>
      <c r="I101" t="s">
        <v>1831</v>
      </c>
      <c r="J101" t="s">
        <v>1727</v>
      </c>
      <c r="K101" t="s">
        <v>1727</v>
      </c>
      <c r="L101" t="s">
        <v>1727</v>
      </c>
      <c r="M101" t="s">
        <v>2162</v>
      </c>
      <c r="N101" t="s">
        <v>2376</v>
      </c>
      <c r="O101" t="s">
        <v>1380</v>
      </c>
      <c r="P101" t="s">
        <v>2098</v>
      </c>
      <c r="Q101">
        <v>46075.0</v>
      </c>
      <c r="R101" t="s">
        <v>1827</v>
      </c>
      <c r="S101" t="s">
        <v>1792</v>
      </c>
      <c r="T101" t="s">
        <v>2005</v>
      </c>
      <c r="U101" t="s">
        <v>1380</v>
      </c>
      <c r="Y101" t="s">
        <v>1733</v>
      </c>
      <c r="Z101" t="s">
        <v>2179</v>
      </c>
      <c r="AA101" t="s">
        <v>2031</v>
      </c>
      <c r="AD101" t="s">
        <v>2397</v>
      </c>
      <c r="AE101">
        <v>2</v>
      </c>
      <c r="AF101" t="s">
        <v>2097</v>
      </c>
      <c r="AG101" t="s">
        <v>2136</v>
      </c>
      <c r="AI101" t="s">
        <v>1842</v>
      </c>
      <c r="AJ101" t="s">
        <v>2124</v>
      </c>
      <c r="AK101" t="s">
        <v>2249</v>
      </c>
      <c r="AL101" t="s">
        <v>2397</v>
      </c>
      <c r="AM101" t="s">
        <v>1307</v>
      </c>
      <c r="AR101" t="s">
        <v>2270</v>
      </c>
      <c r="AW101" t="s">
        <v>1727</v>
      </c>
      <c r="AX101" t="s">
        <v>1727</v>
      </c>
      <c r="AY101" t="s">
        <v>1727</v>
      </c>
      <c r="AZ101" t="s">
        <v>1727</v>
      </c>
      <c r="BI101" t="s">
        <v>1630</v>
      </c>
      <c r="BL101">
        <f>IF($T101="","",IF((IF(AND($AW101&lt;&gt;"Yes",$AW101&lt;&gt;"N/A"),"Power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",""))="","",LEFT(IF(AND($AW101&lt;&gt;"Yes",$AW101&lt;&gt;"N/A"),"Power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",""),LEN(IF(AND($AW101&lt;&gt;"Yes",$AW101&lt;&gt;"N/A"),"Power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",""))-2)))</f>
      </c>
      <c r="BM101">
        <f>IF($T101="","",IF($BL101="","Yes","Blocked"))</f>
      </c>
      <c r="BP101">
        <f>IF($BO101="","",IFERROR(VLOOKUP($BO101,'01_Warehouse_Ledger'!$A:$N,4,FALSE),""))</f>
      </c>
      <c r="BQ101">
        <f>IF($BO101="","",IFERROR(VLOOKUP($BO101,'01_Warehouse_Ledger'!$A:$N,5,FALSE),""))</f>
      </c>
      <c r="BR101">
        <f>IF($BO101="","",IFERROR(VLOOKUP($BO101,'01_Warehouse_Ledger'!$A:$N,13,FALSE),""))</f>
      </c>
      <c r="BS101" t="s">
        <v>1727</v>
      </c>
      <c r="BT101" t="s">
        <v>1727</v>
      </c>
      <c r="BU101" t="s">
        <v>1727</v>
      </c>
      <c r="BV101" t="s">
        <v>1727</v>
      </c>
      <c r="BW101" t="s">
        <v>1727</v>
      </c>
      <c r="BX101">
        <v>19200</v>
      </c>
    </row>
    <row r="102">
      <c r="A102" t="s">
        <v>1415</v>
      </c>
      <c r="B102" t="s">
        <v>1727</v>
      </c>
      <c r="C102" t="s">
        <v>1727</v>
      </c>
      <c r="D102">
        <f>IF($B102&lt;&gt;"Yes","",IF($C102="No","Yes",IF($C102="Yes","No","")))</f>
      </c>
      <c r="E102">
        <f>IF($A102="","",IF($A102="Neuron",IF(OR(AND($R102&lt;&gt;"",LOWER(TRIM($R102))&lt;&gt;"n/a",COUNTIF($S$2:$S$532,$R102)&gt;1),AND($T102&lt;&gt;"",LOWER(TRIM($T102))&lt;&gt;"n/a",COUNTIF($T$2:$T$532,$T102)&gt;1),AND($W102&lt;&gt;"",LOWER(TRIM($W102))&lt;&gt;"n/a",COUNTIF($W$2:$W$532,$W102)&gt;1)),"Yes","No"),IF($A102="Cybernet",IF(OR(AND($Y102&lt;&gt;"",LOWER(TRIM($Y102))&lt;&gt;"n/a",COUNTIF($Y$2:$Y$532,$Y102)&gt;1),AND($Z102&lt;&gt;"",LOWER(TRIM($Z102))&lt;&gt;"n/a",COUNTIF($Z$2:$Z$532,$Z102)&gt;1)),"Yes","No"),IF(AND($AL102&lt;&gt;"",LOWER(TRIM($AL102))&lt;&gt;"n/a",COUNTIF($AL$2:$AL$532,$AL102)&gt;1),"Yes","No"))))</f>
      </c>
      <c r="F102">
        <f>IF($B102&lt;&gt;"Yes","",
IF($A102="Neuron",
IF(OR(
AND($R102&lt;&gt;"",LOWER(TRIM($R102))&lt;&gt;"n/a",COUNTIFS($B$2:$B$532,"Yes",$A$2:$A$532,"Neuron",$S$2:$S$532,$R102)&gt;1),
AND($T102&lt;&gt;"",LOWER(TRIM($T102))&lt;&gt;"n/a",COUNTIFS($B$2:$B$532,"Yes",$A$2:$A$532,"Neuron",$T$2:$T$532,$T102)&gt;1),
AND($W102&lt;&gt;"",LOWER(TRIM($W102))&lt;&gt;"n/a",COUNTIFS($B$2:$B$532,"Yes",$A$2:$A$532,"Neuron",$W$2:$W$532,$W102)&gt;1)
),"Yes","No"),
IF($A102="Cybernet",
IF(OR(
AND($Y102&lt;&gt;"",LOWER(TRIM($Y102))&lt;&gt;"n/a",COUNTIFS($B$2:$B$532,"Yes",$A$2:$A$532,"Cybernet",$Y$2:$Y$532,$Y102)&gt;1),
AND($Z102&lt;&gt;"",LOWER(TRIM($Z102))&lt;&gt;"n/a",COUNTIFS($B$2:$B$532,"Yes",$A$2:$A$532,"Cybernet",$Z$2:$Z$532,$Z102)&gt;1)
),"Yes","No"),
IF(AND($AL102&lt;&gt;"",LOWER(TRIM($AL102))&lt;&gt;"n/a"),
IF(COUNTIFS($B$2:$B$532,"Yes",$A$2:$A$532,$A102,$AL$2:$AL$532,$AL102)&gt;1,"Yes","No"),
"No")
)
)
)</f>
      </c>
      <c r="G102" t="s">
        <v>2235</v>
      </c>
      <c r="H102" t="s">
        <v>2235</v>
      </c>
      <c r="I102" t="s">
        <v>1831</v>
      </c>
      <c r="J102" t="s">
        <v>1727</v>
      </c>
      <c r="K102" t="s">
        <v>1727</v>
      </c>
      <c r="L102" t="s">
        <v>1727</v>
      </c>
      <c r="M102" t="s">
        <v>2162</v>
      </c>
      <c r="N102" t="s">
        <v>2376</v>
      </c>
      <c r="O102" t="s">
        <v>1380</v>
      </c>
      <c r="P102" t="s">
        <v>2098</v>
      </c>
      <c r="Q102">
        <v>46075.0</v>
      </c>
      <c r="R102" t="s">
        <v>1895</v>
      </c>
      <c r="S102" t="s">
        <v>1876</v>
      </c>
      <c r="T102" t="s">
        <v>2297</v>
      </c>
      <c r="U102" t="s">
        <v>1380</v>
      </c>
      <c r="Y102" t="s">
        <v>1865</v>
      </c>
      <c r="Z102" t="s">
        <v>2324</v>
      </c>
      <c r="AA102" t="s">
        <v>2031</v>
      </c>
      <c r="AD102" t="s">
        <v>2051</v>
      </c>
      <c r="AE102">
        <v>2</v>
      </c>
      <c r="AF102" t="s">
        <v>2097</v>
      </c>
      <c r="AG102" t="s">
        <v>2271</v>
      </c>
      <c r="AJ102" t="s">
        <v>2124</v>
      </c>
      <c r="AK102" t="s">
        <v>2249</v>
      </c>
      <c r="AL102" t="s">
        <v>2051</v>
      </c>
      <c r="AM102" t="s">
        <v>1307</v>
      </c>
      <c r="AR102" t="s">
        <v>1684</v>
      </c>
      <c r="AW102" t="s">
        <v>1727</v>
      </c>
      <c r="AX102" t="s">
        <v>1727</v>
      </c>
      <c r="AY102" t="s">
        <v>1727</v>
      </c>
      <c r="AZ102" t="s">
        <v>1727</v>
      </c>
      <c r="BI102" t="s">
        <v>1630</v>
      </c>
      <c r="BL102">
        <f>IF($T102="","",IF((IF(AND($AW102&lt;&gt;"Yes",$AW102&lt;&gt;"N/A"),"Power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",""))="","",LEFT(IF(AND($AW102&lt;&gt;"Yes",$AW102&lt;&gt;"N/A"),"Power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",""),LEN(IF(AND($AW102&lt;&gt;"Yes",$AW102&lt;&gt;"N/A"),"Power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",""))-2)))</f>
      </c>
      <c r="BM102">
        <f>IF($T102="","",IF($BL102="","Yes","Blocked"))</f>
      </c>
      <c r="BP102">
        <f>IF($BO102="","",IFERROR(VLOOKUP($BO102,'01_Warehouse_Ledger'!$A:$N,4,FALSE),""))</f>
      </c>
      <c r="BQ102">
        <f>IF($BO102="","",IFERROR(VLOOKUP($BO102,'01_Warehouse_Ledger'!$A:$N,5,FALSE),""))</f>
      </c>
      <c r="BR102">
        <f>IF($BO102="","",IFERROR(VLOOKUP($BO102,'01_Warehouse_Ledger'!$A:$N,13,FALSE),""))</f>
      </c>
      <c r="BS102" t="s">
        <v>1727</v>
      </c>
      <c r="BT102" t="s">
        <v>1727</v>
      </c>
      <c r="BU102" t="s">
        <v>1727</v>
      </c>
      <c r="BV102" t="s">
        <v>1727</v>
      </c>
      <c r="BW102" t="s">
        <v>1727</v>
      </c>
      <c r="BX102">
        <v>19200</v>
      </c>
    </row>
    <row r="103">
      <c r="A103" t="s">
        <v>1415</v>
      </c>
      <c r="B103" t="s">
        <v>1727</v>
      </c>
      <c r="C103" t="s">
        <v>1727</v>
      </c>
      <c r="D103">
        <f>IF($B103&lt;&gt;"Yes","",IF($C103="No","Yes",IF($C103="Yes","No","")))</f>
      </c>
      <c r="E103">
        <f>IF($A103="","",IF($A103="Neuron",IF(OR(AND($R103&lt;&gt;"",LOWER(TRIM($R103))&lt;&gt;"n/a",COUNTIF($S$2:$S$532,$R103)&gt;1),AND($T103&lt;&gt;"",LOWER(TRIM($T103))&lt;&gt;"n/a",COUNTIF($T$2:$T$532,$T103)&gt;1),AND($W103&lt;&gt;"",LOWER(TRIM($W103))&lt;&gt;"n/a",COUNTIF($W$2:$W$532,$W103)&gt;1)),"Yes","No"),IF($A103="Cybernet",IF(OR(AND($Y103&lt;&gt;"",LOWER(TRIM($Y103))&lt;&gt;"n/a",COUNTIF($Y$2:$Y$532,$Y103)&gt;1),AND($Z103&lt;&gt;"",LOWER(TRIM($Z103))&lt;&gt;"n/a",COUNTIF($Z$2:$Z$532,$Z103)&gt;1)),"Yes","No"),IF(AND($AL103&lt;&gt;"",LOWER(TRIM($AL103))&lt;&gt;"n/a",COUNTIF($AL$2:$AL$532,$AL103)&gt;1),"Yes","No"))))</f>
      </c>
      <c r="F103">
        <f>IF($B103&lt;&gt;"Yes","",
IF($A103="Neuron",
IF(OR(
AND($R103&lt;&gt;"",LOWER(TRIM($R103))&lt;&gt;"n/a",COUNTIFS($B$2:$B$532,"Yes",$A$2:$A$532,"Neuron",$S$2:$S$532,$R103)&gt;1),
AND($T103&lt;&gt;"",LOWER(TRIM($T103))&lt;&gt;"n/a",COUNTIFS($B$2:$B$532,"Yes",$A$2:$A$532,"Neuron",$T$2:$T$532,$T103)&gt;1),
AND($W103&lt;&gt;"",LOWER(TRIM($W103))&lt;&gt;"n/a",COUNTIFS($B$2:$B$532,"Yes",$A$2:$A$532,"Neuron",$W$2:$W$532,$W103)&gt;1)
),"Yes","No"),
IF($A103="Cybernet",
IF(OR(
AND($Y103&lt;&gt;"",LOWER(TRIM($Y103))&lt;&gt;"n/a",COUNTIFS($B$2:$B$532,"Yes",$A$2:$A$532,"Cybernet",$Y$2:$Y$532,$Y103)&gt;1),
AND($Z103&lt;&gt;"",LOWER(TRIM($Z103))&lt;&gt;"n/a",COUNTIFS($B$2:$B$532,"Yes",$A$2:$A$532,"Cybernet",$Z$2:$Z$532,$Z103)&gt;1)
),"Yes","No"),
IF(AND($AL103&lt;&gt;"",LOWER(TRIM($AL103))&lt;&gt;"n/a"),
IF(COUNTIFS($B$2:$B$532,"Yes",$A$2:$A$532,$A103,$AL$2:$AL$532,$AL103)&gt;1,"Yes","No"),
"No")
)
)
)</f>
      </c>
      <c r="G103" t="s">
        <v>2235</v>
      </c>
      <c r="H103" t="s">
        <v>2235</v>
      </c>
      <c r="I103" t="s">
        <v>1831</v>
      </c>
      <c r="J103" t="s">
        <v>1727</v>
      </c>
      <c r="K103" t="s">
        <v>1727</v>
      </c>
      <c r="L103" t="s">
        <v>1727</v>
      </c>
      <c r="M103" t="s">
        <v>2162</v>
      </c>
      <c r="N103" t="s">
        <v>2376</v>
      </c>
      <c r="O103" t="s">
        <v>1380</v>
      </c>
      <c r="P103" t="s">
        <v>2098</v>
      </c>
      <c r="Q103">
        <v>46075.0</v>
      </c>
      <c r="R103" t="s">
        <v>2184</v>
      </c>
      <c r="S103" t="s">
        <v>2018</v>
      </c>
      <c r="T103" t="s">
        <v>1809</v>
      </c>
      <c r="U103" t="s">
        <v>1380</v>
      </c>
      <c r="Y103" t="s">
        <v>2233</v>
      </c>
      <c r="Z103" t="s">
        <v>1921</v>
      </c>
      <c r="AA103" t="s">
        <v>2031</v>
      </c>
      <c r="AD103" t="s">
        <v>2050</v>
      </c>
      <c r="AE103">
        <v>2</v>
      </c>
      <c r="AF103" t="s">
        <v>2097</v>
      </c>
      <c r="AG103" t="s">
        <v>1804</v>
      </c>
      <c r="AJ103" t="s">
        <v>2124</v>
      </c>
      <c r="AK103" t="s">
        <v>2249</v>
      </c>
      <c r="AL103" t="s">
        <v>2050</v>
      </c>
      <c r="AM103" t="s">
        <v>1307</v>
      </c>
      <c r="AR103" t="s">
        <v>1957</v>
      </c>
      <c r="AW103" t="s">
        <v>1727</v>
      </c>
      <c r="AX103" t="s">
        <v>1727</v>
      </c>
      <c r="AY103" t="s">
        <v>1727</v>
      </c>
      <c r="AZ103" t="s">
        <v>1727</v>
      </c>
      <c r="BI103" t="s">
        <v>1630</v>
      </c>
      <c r="BL103">
        <f>IF($T103="","",IF((IF(AND($AW103&lt;&gt;"Yes",$AW103&lt;&gt;"N/A"),"Power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",""))="","",LEFT(IF(AND($AW103&lt;&gt;"Yes",$AW103&lt;&gt;"N/A"),"Power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",""),LEN(IF(AND($AW103&lt;&gt;"Yes",$AW103&lt;&gt;"N/A"),"Power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",""))-2)))</f>
      </c>
      <c r="BM103">
        <f>IF($T103="","",IF($BL103="","Yes","Blocked"))</f>
      </c>
      <c r="BP103">
        <f>IF($BO103="","",IFERROR(VLOOKUP($BO103,'01_Warehouse_Ledger'!$A:$N,4,FALSE),""))</f>
      </c>
      <c r="BQ103">
        <f>IF($BO103="","",IFERROR(VLOOKUP($BO103,'01_Warehouse_Ledger'!$A:$N,5,FALSE),""))</f>
      </c>
      <c r="BR103">
        <f>IF($BO103="","",IFERROR(VLOOKUP($BO103,'01_Warehouse_Ledger'!$A:$N,13,FALSE),""))</f>
      </c>
      <c r="BS103" t="s">
        <v>1727</v>
      </c>
      <c r="BT103" t="s">
        <v>1727</v>
      </c>
      <c r="BU103" t="s">
        <v>1727</v>
      </c>
      <c r="BV103" t="s">
        <v>1727</v>
      </c>
      <c r="BW103" t="s">
        <v>1727</v>
      </c>
      <c r="BX103">
        <v>19200</v>
      </c>
    </row>
    <row r="104">
      <c r="A104" t="s">
        <v>1415</v>
      </c>
      <c r="B104" t="s">
        <v>1727</v>
      </c>
      <c r="C104" t="s">
        <v>1727</v>
      </c>
      <c r="D104">
        <f>IF($B104&lt;&gt;"Yes","",IF($C104="No","Yes",IF($C104="Yes","No","")))</f>
      </c>
      <c r="E104">
        <f>IF($A104="","",IF($A104="Neuron",IF(OR(AND($R104&lt;&gt;"",LOWER(TRIM($R104))&lt;&gt;"n/a",COUNTIF($S$2:$S$532,$R104)&gt;1),AND($T104&lt;&gt;"",LOWER(TRIM($T104))&lt;&gt;"n/a",COUNTIF($T$2:$T$532,$T104)&gt;1),AND($W104&lt;&gt;"",LOWER(TRIM($W104))&lt;&gt;"n/a",COUNTIF($W$2:$W$532,$W104)&gt;1)),"Yes","No"),IF($A104="Cybernet",IF(OR(AND($Y104&lt;&gt;"",LOWER(TRIM($Y104))&lt;&gt;"n/a",COUNTIF($Y$2:$Y$532,$Y104)&gt;1),AND($Z104&lt;&gt;"",LOWER(TRIM($Z104))&lt;&gt;"n/a",COUNTIF($Z$2:$Z$532,$Z104)&gt;1)),"Yes","No"),IF(AND($AL104&lt;&gt;"",LOWER(TRIM($AL104))&lt;&gt;"n/a",COUNTIF($AL$2:$AL$532,$AL104)&gt;1),"Yes","No"))))</f>
      </c>
      <c r="F104">
        <f>IF($B104&lt;&gt;"Yes","",
IF($A104="Neuron",
IF(OR(
AND($R104&lt;&gt;"",LOWER(TRIM($R104))&lt;&gt;"n/a",COUNTIFS($B$2:$B$532,"Yes",$A$2:$A$532,"Neuron",$S$2:$S$532,$R104)&gt;1),
AND($T104&lt;&gt;"",LOWER(TRIM($T104))&lt;&gt;"n/a",COUNTIFS($B$2:$B$532,"Yes",$A$2:$A$532,"Neuron",$T$2:$T$532,$T104)&gt;1),
AND($W104&lt;&gt;"",LOWER(TRIM($W104))&lt;&gt;"n/a",COUNTIFS($B$2:$B$532,"Yes",$A$2:$A$532,"Neuron",$W$2:$W$532,$W104)&gt;1)
),"Yes","No"),
IF($A104="Cybernet",
IF(OR(
AND($Y104&lt;&gt;"",LOWER(TRIM($Y104))&lt;&gt;"n/a",COUNTIFS($B$2:$B$532,"Yes",$A$2:$A$532,"Cybernet",$Y$2:$Y$532,$Y104)&gt;1),
AND($Z104&lt;&gt;"",LOWER(TRIM($Z104))&lt;&gt;"n/a",COUNTIFS($B$2:$B$532,"Yes",$A$2:$A$532,"Cybernet",$Z$2:$Z$532,$Z104)&gt;1)
),"Yes","No"),
IF(AND($AL104&lt;&gt;"",LOWER(TRIM($AL104))&lt;&gt;"n/a"),
IF(COUNTIFS($B$2:$B$532,"Yes",$A$2:$A$532,$A104,$AL$2:$AL$532,$AL104)&gt;1,"Yes","No"),
"No")
)
)
)</f>
      </c>
      <c r="G104" t="s">
        <v>2235</v>
      </c>
      <c r="H104" t="s">
        <v>2235</v>
      </c>
      <c r="I104" t="s">
        <v>1831</v>
      </c>
      <c r="J104" t="s">
        <v>1727</v>
      </c>
      <c r="K104" t="s">
        <v>1727</v>
      </c>
      <c r="L104" t="s">
        <v>1727</v>
      </c>
      <c r="M104" t="s">
        <v>2162</v>
      </c>
      <c r="N104" t="s">
        <v>2376</v>
      </c>
      <c r="O104" t="s">
        <v>1380</v>
      </c>
      <c r="P104" t="s">
        <v>2098</v>
      </c>
      <c r="Q104">
        <v>46075.0</v>
      </c>
      <c r="R104" t="s">
        <v>1998</v>
      </c>
      <c r="S104" t="s">
        <v>1754</v>
      </c>
      <c r="T104" t="s">
        <v>2407</v>
      </c>
      <c r="U104" t="s">
        <v>1380</v>
      </c>
      <c r="Y104" t="s">
        <v>1663</v>
      </c>
      <c r="Z104" t="s">
        <v>1982</v>
      </c>
      <c r="AA104" t="s">
        <v>2031</v>
      </c>
      <c r="AD104" t="s">
        <v>2373</v>
      </c>
      <c r="AE104">
        <v>2</v>
      </c>
      <c r="AF104" t="s">
        <v>2097</v>
      </c>
      <c r="AG104" t="s">
        <v>1724</v>
      </c>
      <c r="AI104" t="s">
        <v>2278</v>
      </c>
      <c r="AJ104" t="s">
        <v>2124</v>
      </c>
      <c r="AK104" t="s">
        <v>2249</v>
      </c>
      <c r="AL104" t="s">
        <v>2373</v>
      </c>
      <c r="AM104" t="s">
        <v>1307</v>
      </c>
      <c r="AR104" t="s">
        <v>2163</v>
      </c>
      <c r="AW104" t="s">
        <v>1727</v>
      </c>
      <c r="AX104" t="s">
        <v>1727</v>
      </c>
      <c r="AY104" t="s">
        <v>1727</v>
      </c>
      <c r="AZ104" t="s">
        <v>1727</v>
      </c>
      <c r="BI104" t="s">
        <v>1630</v>
      </c>
      <c r="BL104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</c>
      <c r="BM104">
        <f>IF($T104="","",IF($BL104="","Yes","Blocked"))</f>
      </c>
      <c r="BP104">
        <f>IF($BO104="","",IFERROR(VLOOKUP($BO104,'01_Warehouse_Ledger'!$A:$N,4,FALSE),""))</f>
      </c>
      <c r="BQ104">
        <f>IF($BO104="","",IFERROR(VLOOKUP($BO104,'01_Warehouse_Ledger'!$A:$N,5,FALSE),""))</f>
      </c>
      <c r="BR104">
        <f>IF($BO104="","",IFERROR(VLOOKUP($BO104,'01_Warehouse_Ledger'!$A:$N,13,FALSE),""))</f>
      </c>
      <c r="BS104" t="s">
        <v>1727</v>
      </c>
      <c r="BT104" t="s">
        <v>1727</v>
      </c>
      <c r="BU104" t="s">
        <v>1727</v>
      </c>
      <c r="BV104" t="s">
        <v>1727</v>
      </c>
      <c r="BW104" t="s">
        <v>1727</v>
      </c>
      <c r="BX104">
        <v>19200</v>
      </c>
    </row>
    <row r="105">
      <c r="A105" t="s">
        <v>1415</v>
      </c>
      <c r="B105" t="s">
        <v>1727</v>
      </c>
      <c r="C105" t="s">
        <v>1727</v>
      </c>
      <c r="D105">
        <f>IF($B105&lt;&gt;"Yes","",IF($C105="No","Yes",IF($C105="Yes","No","")))</f>
      </c>
      <c r="E105">
        <f>IF($A105="","",IF($A105="Neuron",IF(OR(AND($R105&lt;&gt;"",LOWER(TRIM($R105))&lt;&gt;"n/a",COUNTIF($S$2:$S$532,$R105)&gt;1),AND($T105&lt;&gt;"",LOWER(TRIM($T105))&lt;&gt;"n/a",COUNTIF($T$2:$T$532,$T105)&gt;1),AND($W105&lt;&gt;"",LOWER(TRIM($W105))&lt;&gt;"n/a",COUNTIF($W$2:$W$532,$W105)&gt;1)),"Yes","No"),IF($A105="Cybernet",IF(OR(AND($Y105&lt;&gt;"",LOWER(TRIM($Y105))&lt;&gt;"n/a",COUNTIF($Y$2:$Y$532,$Y105)&gt;1),AND($Z105&lt;&gt;"",LOWER(TRIM($Z105))&lt;&gt;"n/a",COUNTIF($Z$2:$Z$532,$Z105)&gt;1)),"Yes","No"),IF(AND($AL105&lt;&gt;"",LOWER(TRIM($AL105))&lt;&gt;"n/a",COUNTIF($AL$2:$AL$532,$AL105)&gt;1),"Yes","No"))))</f>
      </c>
      <c r="F105">
        <f>IF($B105&lt;&gt;"Yes","",
IF($A105="Neuron",
IF(OR(
AND($R105&lt;&gt;"",LOWER(TRIM($R105))&lt;&gt;"n/a",COUNTIFS($B$2:$B$532,"Yes",$A$2:$A$532,"Neuron",$S$2:$S$532,$R105)&gt;1),
AND($T105&lt;&gt;"",LOWER(TRIM($T105))&lt;&gt;"n/a",COUNTIFS($B$2:$B$532,"Yes",$A$2:$A$532,"Neuron",$T$2:$T$532,$T105)&gt;1),
AND($W105&lt;&gt;"",LOWER(TRIM($W105))&lt;&gt;"n/a",COUNTIFS($B$2:$B$532,"Yes",$A$2:$A$532,"Neuron",$W$2:$W$532,$W105)&gt;1)
),"Yes","No"),
IF($A105="Cybernet",
IF(OR(
AND($Y105&lt;&gt;"",LOWER(TRIM($Y105))&lt;&gt;"n/a",COUNTIFS($B$2:$B$532,"Yes",$A$2:$A$532,"Cybernet",$Y$2:$Y$532,$Y105)&gt;1),
AND($Z105&lt;&gt;"",LOWER(TRIM($Z105))&lt;&gt;"n/a",COUNTIFS($B$2:$B$532,"Yes",$A$2:$A$532,"Cybernet",$Z$2:$Z$532,$Z105)&gt;1)
),"Yes","No"),
IF(AND($AL105&lt;&gt;"",LOWER(TRIM($AL105))&lt;&gt;"n/a"),
IF(COUNTIFS($B$2:$B$532,"Yes",$A$2:$A$532,$A105,$AL$2:$AL$532,$AL105)&gt;1,"Yes","No"),
"No")
)
)
)</f>
      </c>
      <c r="G105" t="s">
        <v>2235</v>
      </c>
      <c r="H105" t="s">
        <v>2235</v>
      </c>
      <c r="I105" t="s">
        <v>1831</v>
      </c>
      <c r="J105" t="s">
        <v>1727</v>
      </c>
      <c r="K105" t="s">
        <v>1727</v>
      </c>
      <c r="L105" t="s">
        <v>1727</v>
      </c>
      <c r="M105" t="s">
        <v>2162</v>
      </c>
      <c r="N105" t="s">
        <v>2376</v>
      </c>
      <c r="O105" t="s">
        <v>1380</v>
      </c>
      <c r="P105" t="s">
        <v>2098</v>
      </c>
      <c r="Q105">
        <v>46075.0</v>
      </c>
      <c r="R105" t="s">
        <v>1830</v>
      </c>
      <c r="S105" t="s">
        <v>1924</v>
      </c>
      <c r="T105" t="s">
        <v>1894</v>
      </c>
      <c r="U105" t="s">
        <v>1380</v>
      </c>
      <c r="Y105" t="s">
        <v>2389</v>
      </c>
      <c r="Z105" t="s">
        <v>1834</v>
      </c>
      <c r="AA105" t="s">
        <v>2031</v>
      </c>
      <c r="AD105" t="s">
        <v>2012</v>
      </c>
      <c r="AE105">
        <v>2</v>
      </c>
      <c r="AF105" t="s">
        <v>2097</v>
      </c>
      <c r="AG105" t="s">
        <v>1969</v>
      </c>
      <c r="AI105" t="s">
        <v>2245</v>
      </c>
      <c r="AJ105" t="s">
        <v>2124</v>
      </c>
      <c r="AK105" t="s">
        <v>2249</v>
      </c>
      <c r="AL105" t="s">
        <v>2012</v>
      </c>
      <c r="AM105" t="s">
        <v>1307</v>
      </c>
      <c r="AR105" t="s">
        <v>2378</v>
      </c>
      <c r="AW105" t="s">
        <v>1727</v>
      </c>
      <c r="AX105" t="s">
        <v>1727</v>
      </c>
      <c r="AY105" t="s">
        <v>1727</v>
      </c>
      <c r="AZ105" t="s">
        <v>1727</v>
      </c>
      <c r="BI105" t="s">
        <v>1630</v>
      </c>
      <c r="BL105">
        <f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</c>
      <c r="BM105">
        <f>IF($T105="","",IF($BL105="","Yes","Blocked"))</f>
      </c>
      <c r="BP105">
        <f>IF($BO105="","",IFERROR(VLOOKUP($BO105,'01_Warehouse_Ledger'!$A:$N,4,FALSE),""))</f>
      </c>
      <c r="BQ105">
        <f>IF($BO105="","",IFERROR(VLOOKUP($BO105,'01_Warehouse_Ledger'!$A:$N,5,FALSE),""))</f>
      </c>
      <c r="BR105">
        <f>IF($BO105="","",IFERROR(VLOOKUP($BO105,'01_Warehouse_Ledger'!$A:$N,13,FALSE),""))</f>
      </c>
      <c r="BS105" t="s">
        <v>1727</v>
      </c>
      <c r="BT105" t="s">
        <v>1727</v>
      </c>
      <c r="BU105" t="s">
        <v>1727</v>
      </c>
      <c r="BV105" t="s">
        <v>1727</v>
      </c>
      <c r="BW105" t="s">
        <v>1727</v>
      </c>
      <c r="BX105">
        <v>19200</v>
      </c>
    </row>
    <row r="106">
      <c r="A106" t="s">
        <v>1415</v>
      </c>
      <c r="B106" t="s">
        <v>1727</v>
      </c>
      <c r="C106" t="s">
        <v>1727</v>
      </c>
      <c r="D106">
        <f>IF($B106&lt;&gt;"Yes","",IF($C106="No","Yes",IF($C106="Yes","No","")))</f>
      </c>
      <c r="E106">
        <f>IF($A106="","",IF($A106="Neuron",IF(OR(AND($R106&lt;&gt;"",LOWER(TRIM($R106))&lt;&gt;"n/a",COUNTIF($S$2:$S$532,$R106)&gt;1),AND($T106&lt;&gt;"",LOWER(TRIM($T106))&lt;&gt;"n/a",COUNTIF($T$2:$T$532,$T106)&gt;1),AND($W106&lt;&gt;"",LOWER(TRIM($W106))&lt;&gt;"n/a",COUNTIF($W$2:$W$532,$W106)&gt;1)),"Yes","No"),IF($A106="Cybernet",IF(OR(AND($Y106&lt;&gt;"",LOWER(TRIM($Y106))&lt;&gt;"n/a",COUNTIF($Y$2:$Y$532,$Y106)&gt;1),AND($Z106&lt;&gt;"",LOWER(TRIM($Z106))&lt;&gt;"n/a",COUNTIF($Z$2:$Z$532,$Z106)&gt;1)),"Yes","No"),IF(AND($AL106&lt;&gt;"",LOWER(TRIM($AL106))&lt;&gt;"n/a",COUNTIF($AL$2:$AL$532,$AL106)&gt;1),"Yes","No"))))</f>
      </c>
      <c r="F106">
        <f>IF($B106&lt;&gt;"Yes","",
IF($A106="Neuron",
IF(OR(
AND($R106&lt;&gt;"",LOWER(TRIM($R106))&lt;&gt;"n/a",COUNTIFS($B$2:$B$532,"Yes",$A$2:$A$532,"Neuron",$S$2:$S$532,$R106)&gt;1),
AND($T106&lt;&gt;"",LOWER(TRIM($T106))&lt;&gt;"n/a",COUNTIFS($B$2:$B$532,"Yes",$A$2:$A$532,"Neuron",$T$2:$T$532,$T106)&gt;1),
AND($W106&lt;&gt;"",LOWER(TRIM($W106))&lt;&gt;"n/a",COUNTIFS($B$2:$B$532,"Yes",$A$2:$A$532,"Neuron",$W$2:$W$532,$W106)&gt;1)
),"Yes","No"),
IF($A106="Cybernet",
IF(OR(
AND($Y106&lt;&gt;"",LOWER(TRIM($Y106))&lt;&gt;"n/a",COUNTIFS($B$2:$B$532,"Yes",$A$2:$A$532,"Cybernet",$Y$2:$Y$532,$Y106)&gt;1),
AND($Z106&lt;&gt;"",LOWER(TRIM($Z106))&lt;&gt;"n/a",COUNTIFS($B$2:$B$532,"Yes",$A$2:$A$532,"Cybernet",$Z$2:$Z$532,$Z106)&gt;1)
),"Yes","No"),
IF(AND($AL106&lt;&gt;"",LOWER(TRIM($AL106))&lt;&gt;"n/a"),
IF(COUNTIFS($B$2:$B$532,"Yes",$A$2:$A$532,$A106,$AL$2:$AL$532,$AL106)&gt;1,"Yes","No"),
"No")
)
)
)</f>
      </c>
      <c r="G106" t="s">
        <v>2235</v>
      </c>
      <c r="H106" t="s">
        <v>2235</v>
      </c>
      <c r="I106" t="s">
        <v>1831</v>
      </c>
      <c r="J106" t="s">
        <v>1727</v>
      </c>
      <c r="K106" t="s">
        <v>1727</v>
      </c>
      <c r="L106" t="s">
        <v>1727</v>
      </c>
      <c r="M106" t="s">
        <v>2162</v>
      </c>
      <c r="N106" t="s">
        <v>2376</v>
      </c>
      <c r="O106" t="s">
        <v>1380</v>
      </c>
      <c r="P106" t="s">
        <v>2098</v>
      </c>
      <c r="Q106">
        <v>46075.0</v>
      </c>
      <c r="R106" t="s">
        <v>2411</v>
      </c>
      <c r="S106" t="s">
        <v>1840</v>
      </c>
      <c r="U106" t="s">
        <v>1380</v>
      </c>
      <c r="Y106" t="s">
        <v>1774</v>
      </c>
      <c r="Z106" t="s">
        <v>2037</v>
      </c>
      <c r="AA106" t="s">
        <v>2031</v>
      </c>
      <c r="AD106" t="s">
        <v>1796</v>
      </c>
      <c r="AE106">
        <v>2</v>
      </c>
      <c r="AF106" t="s">
        <v>2097</v>
      </c>
      <c r="AG106" t="s">
        <v>1725</v>
      </c>
      <c r="AJ106" t="s">
        <v>2124</v>
      </c>
      <c r="AK106" t="s">
        <v>2249</v>
      </c>
      <c r="AL106" t="s">
        <v>1796</v>
      </c>
      <c r="AM106" t="s">
        <v>1307</v>
      </c>
      <c r="AR106" t="s">
        <v>1942</v>
      </c>
      <c r="AW106" t="s">
        <v>1727</v>
      </c>
      <c r="AX106" t="s">
        <v>1727</v>
      </c>
      <c r="AY106" t="s">
        <v>1727</v>
      </c>
      <c r="AZ106" t="s">
        <v>1727</v>
      </c>
      <c r="BI106" t="s">
        <v>1630</v>
      </c>
      <c r="BL106">
        <f>IF($T106="","",IF((IF(AND($AW106&lt;&gt;"Yes",$AW106&lt;&gt;"N/A"),"Power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",""))="","",LEFT(IF(AND($AW106&lt;&gt;"Yes",$AW106&lt;&gt;"N/A"),"Power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",""),LEN(IF(AND($AW106&lt;&gt;"Yes",$AW106&lt;&gt;"N/A"),"Power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",""))-2)))</f>
      </c>
      <c r="BM106">
        <f>IF($T106="","",IF($BL106="","Yes","Blocked"))</f>
      </c>
      <c r="BP106">
        <f>IF($BO106="","",IFERROR(VLOOKUP($BO106,'01_Warehouse_Ledger'!$A:$N,4,FALSE),""))</f>
      </c>
      <c r="BQ106">
        <f>IF($BO106="","",IFERROR(VLOOKUP($BO106,'01_Warehouse_Ledger'!$A:$N,5,FALSE),""))</f>
      </c>
      <c r="BR106">
        <f>IF($BO106="","",IFERROR(VLOOKUP($BO106,'01_Warehouse_Ledger'!$A:$N,13,FALSE),""))</f>
      </c>
      <c r="BS106" t="s">
        <v>1727</v>
      </c>
      <c r="BT106" t="s">
        <v>1727</v>
      </c>
      <c r="BU106" t="s">
        <v>1727</v>
      </c>
      <c r="BV106" t="s">
        <v>1727</v>
      </c>
      <c r="BW106" t="s">
        <v>1727</v>
      </c>
      <c r="BX106">
        <v>19200</v>
      </c>
    </row>
    <row r="107">
      <c r="A107" t="s">
        <v>1415</v>
      </c>
      <c r="B107" t="s">
        <v>1727</v>
      </c>
      <c r="C107" t="s">
        <v>1727</v>
      </c>
      <c r="D107">
        <f>IF($B107&lt;&gt;"Yes","",IF($C107="No","Yes",IF($C107="Yes","No","")))</f>
      </c>
      <c r="E107">
        <f>IF($A107="","",IF($A107="Neuron",IF(OR(AND($R107&lt;&gt;"",LOWER(TRIM($R107))&lt;&gt;"n/a",COUNTIF($S$2:$S$532,$R107)&gt;1),AND($T107&lt;&gt;"",LOWER(TRIM($T107))&lt;&gt;"n/a",COUNTIF($T$2:$T$532,$T107)&gt;1),AND($W107&lt;&gt;"",LOWER(TRIM($W107))&lt;&gt;"n/a",COUNTIF($W$2:$W$532,$W107)&gt;1)),"Yes","No"),IF($A107="Cybernet",IF(OR(AND($Y107&lt;&gt;"",LOWER(TRIM($Y107))&lt;&gt;"n/a",COUNTIF($Y$2:$Y$532,$Y107)&gt;1),AND($Z107&lt;&gt;"",LOWER(TRIM($Z107))&lt;&gt;"n/a",COUNTIF($Z$2:$Z$532,$Z107)&gt;1)),"Yes","No"),IF(AND($AL107&lt;&gt;"",LOWER(TRIM($AL107))&lt;&gt;"n/a",COUNTIF($AL$2:$AL$532,$AL107)&gt;1),"Yes","No"))))</f>
      </c>
      <c r="F107">
        <f>IF($B107&lt;&gt;"Yes","",
IF($A107="Neuron",
IF(OR(
AND($R107&lt;&gt;"",LOWER(TRIM($R107))&lt;&gt;"n/a",COUNTIFS($B$2:$B$532,"Yes",$A$2:$A$532,"Neuron",$S$2:$S$532,$R107)&gt;1),
AND($T107&lt;&gt;"",LOWER(TRIM($T107))&lt;&gt;"n/a",COUNTIFS($B$2:$B$532,"Yes",$A$2:$A$532,"Neuron",$T$2:$T$532,$T107)&gt;1),
AND($W107&lt;&gt;"",LOWER(TRIM($W107))&lt;&gt;"n/a",COUNTIFS($B$2:$B$532,"Yes",$A$2:$A$532,"Neuron",$W$2:$W$532,$W107)&gt;1)
),"Yes","No"),
IF($A107="Cybernet",
IF(OR(
AND($Y107&lt;&gt;"",LOWER(TRIM($Y107))&lt;&gt;"n/a",COUNTIFS($B$2:$B$532,"Yes",$A$2:$A$532,"Cybernet",$Y$2:$Y$532,$Y107)&gt;1),
AND($Z107&lt;&gt;"",LOWER(TRIM($Z107))&lt;&gt;"n/a",COUNTIFS($B$2:$B$532,"Yes",$A$2:$A$532,"Cybernet",$Z$2:$Z$532,$Z107)&gt;1)
),"Yes","No"),
IF(AND($AL107&lt;&gt;"",LOWER(TRIM($AL107))&lt;&gt;"n/a"),
IF(COUNTIFS($B$2:$B$532,"Yes",$A$2:$A$532,$A107,$AL$2:$AL$532,$AL107)&gt;1,"Yes","No"),
"No")
)
)
)</f>
      </c>
      <c r="G107" t="s">
        <v>2235</v>
      </c>
      <c r="H107" t="s">
        <v>2235</v>
      </c>
      <c r="I107" t="s">
        <v>1831</v>
      </c>
      <c r="J107" t="s">
        <v>1727</v>
      </c>
      <c r="K107" t="s">
        <v>1727</v>
      </c>
      <c r="L107" t="s">
        <v>1727</v>
      </c>
      <c r="M107" t="s">
        <v>2162</v>
      </c>
      <c r="N107" t="s">
        <v>2376</v>
      </c>
      <c r="O107" t="s">
        <v>1380</v>
      </c>
      <c r="P107" t="s">
        <v>2098</v>
      </c>
      <c r="Q107">
        <v>46075.0</v>
      </c>
      <c r="R107" t="s">
        <v>1859</v>
      </c>
      <c r="S107" t="s">
        <v>1904</v>
      </c>
      <c r="T107" t="s">
        <v>1966</v>
      </c>
      <c r="U107" t="s">
        <v>1380</v>
      </c>
      <c r="Y107" t="s">
        <v>2105</v>
      </c>
      <c r="Z107" t="s">
        <v>2061</v>
      </c>
      <c r="AA107" t="s">
        <v>2031</v>
      </c>
      <c r="AD107" t="s">
        <v>1839</v>
      </c>
      <c r="AE107">
        <v>2</v>
      </c>
      <c r="AF107" t="s">
        <v>2097</v>
      </c>
      <c r="AG107" t="s">
        <v>1736</v>
      </c>
      <c r="AI107" t="s">
        <v>2008</v>
      </c>
      <c r="AJ107" t="s">
        <v>2124</v>
      </c>
      <c r="AK107" t="s">
        <v>2249</v>
      </c>
      <c r="AL107" t="s">
        <v>1839</v>
      </c>
      <c r="AM107" t="s">
        <v>1307</v>
      </c>
      <c r="AR107" t="s">
        <v>2296</v>
      </c>
      <c r="AW107" t="s">
        <v>1727</v>
      </c>
      <c r="AX107" t="s">
        <v>1727</v>
      </c>
      <c r="AY107" t="s">
        <v>1727</v>
      </c>
      <c r="AZ107" t="s">
        <v>1727</v>
      </c>
      <c r="BI107" t="s">
        <v>1630</v>
      </c>
      <c r="BL107">
        <f>IF($T107="","",IF((IF(AND($AW107&lt;&gt;"Yes",$AW107&lt;&gt;"N/A"),"Power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",""))="","",LEFT(IF(AND($AW107&lt;&gt;"Yes",$AW107&lt;&gt;"N/A"),"Power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",""),LEN(IF(AND($AW107&lt;&gt;"Yes",$AW107&lt;&gt;"N/A"),"Power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",""))-2)))</f>
      </c>
      <c r="BM107">
        <f>IF($T107="","",IF($BL107="","Yes","Blocked"))</f>
      </c>
      <c r="BP107">
        <f>IF($BO107="","",IFERROR(VLOOKUP($BO107,'01_Warehouse_Ledger'!$A:$N,4,FALSE),""))</f>
      </c>
      <c r="BQ107">
        <f>IF($BO107="","",IFERROR(VLOOKUP($BO107,'01_Warehouse_Ledger'!$A:$N,5,FALSE),""))</f>
      </c>
      <c r="BR107">
        <f>IF($BO107="","",IFERROR(VLOOKUP($BO107,'01_Warehouse_Ledger'!$A:$N,13,FALSE),""))</f>
      </c>
      <c r="BS107" t="s">
        <v>1727</v>
      </c>
      <c r="BT107" t="s">
        <v>1727</v>
      </c>
      <c r="BU107" t="s">
        <v>1727</v>
      </c>
      <c r="BV107" t="s">
        <v>1727</v>
      </c>
      <c r="BW107" t="s">
        <v>1727</v>
      </c>
      <c r="BX107">
        <v>19200</v>
      </c>
    </row>
    <row r="108">
      <c r="A108" t="s">
        <v>1415</v>
      </c>
      <c r="B108" t="s">
        <v>1727</v>
      </c>
      <c r="C108" t="s">
        <v>1727</v>
      </c>
      <c r="D108">
        <f>IF($B108&lt;&gt;"Yes","",IF($C108="No","Yes",IF($C108="Yes","No","")))</f>
      </c>
      <c r="E108">
        <f>IF($A108="","",IF($A108="Neuron",IF(OR(AND($R108&lt;&gt;"",LOWER(TRIM($R108))&lt;&gt;"n/a",COUNTIF($S$2:$S$532,$R108)&gt;1),AND($T108&lt;&gt;"",LOWER(TRIM($T108))&lt;&gt;"n/a",COUNTIF($T$2:$T$532,$T108)&gt;1),AND($W108&lt;&gt;"",LOWER(TRIM($W108))&lt;&gt;"n/a",COUNTIF($W$2:$W$532,$W108)&gt;1)),"Yes","No"),IF($A108="Cybernet",IF(OR(AND($Y108&lt;&gt;"",LOWER(TRIM($Y108))&lt;&gt;"n/a",COUNTIF($Y$2:$Y$532,$Y108)&gt;1),AND($Z108&lt;&gt;"",LOWER(TRIM($Z108))&lt;&gt;"n/a",COUNTIF($Z$2:$Z$532,$Z108)&gt;1)),"Yes","No"),IF(AND($AL108&lt;&gt;"",LOWER(TRIM($AL108))&lt;&gt;"n/a",COUNTIF($AL$2:$AL$532,$AL108)&gt;1),"Yes","No"))))</f>
      </c>
      <c r="F108">
        <f>IF($B108&lt;&gt;"Yes","",
IF($A108="Neuron",
IF(OR(
AND($R108&lt;&gt;"",LOWER(TRIM($R108))&lt;&gt;"n/a",COUNTIFS($B$2:$B$532,"Yes",$A$2:$A$532,"Neuron",$S$2:$S$532,$R108)&gt;1),
AND($T108&lt;&gt;"",LOWER(TRIM($T108))&lt;&gt;"n/a",COUNTIFS($B$2:$B$532,"Yes",$A$2:$A$532,"Neuron",$T$2:$T$532,$T108)&gt;1),
AND($W108&lt;&gt;"",LOWER(TRIM($W108))&lt;&gt;"n/a",COUNTIFS($B$2:$B$532,"Yes",$A$2:$A$532,"Neuron",$W$2:$W$532,$W108)&gt;1)
),"Yes","No"),
IF($A108="Cybernet",
IF(OR(
AND($Y108&lt;&gt;"",LOWER(TRIM($Y108))&lt;&gt;"n/a",COUNTIFS($B$2:$B$532,"Yes",$A$2:$A$532,"Cybernet",$Y$2:$Y$532,$Y108)&gt;1),
AND($Z108&lt;&gt;"",LOWER(TRIM($Z108))&lt;&gt;"n/a",COUNTIFS($B$2:$B$532,"Yes",$A$2:$A$532,"Cybernet",$Z$2:$Z$532,$Z108)&gt;1)
),"Yes","No"),
IF(AND($AL108&lt;&gt;"",LOWER(TRIM($AL108))&lt;&gt;"n/a"),
IF(COUNTIFS($B$2:$B$532,"Yes",$A$2:$A$532,$A108,$AL$2:$AL$532,$AL108)&gt;1,"Yes","No"),
"No")
)
)
)</f>
      </c>
      <c r="G108" t="s">
        <v>2235</v>
      </c>
      <c r="H108" t="s">
        <v>2235</v>
      </c>
      <c r="I108" t="s">
        <v>1831</v>
      </c>
      <c r="J108" t="s">
        <v>1727</v>
      </c>
      <c r="K108" t="s">
        <v>1727</v>
      </c>
      <c r="L108" t="s">
        <v>1727</v>
      </c>
      <c r="M108" t="s">
        <v>2162</v>
      </c>
      <c r="N108" t="s">
        <v>2376</v>
      </c>
      <c r="O108" t="s">
        <v>1380</v>
      </c>
      <c r="P108" t="s">
        <v>2098</v>
      </c>
      <c r="Q108">
        <v>46075.0</v>
      </c>
      <c r="R108" t="s">
        <v>2315</v>
      </c>
      <c r="S108" t="s">
        <v>1802</v>
      </c>
      <c r="T108" t="s">
        <v>2333</v>
      </c>
      <c r="U108" t="s">
        <v>1380</v>
      </c>
      <c r="Y108" t="s">
        <v>1752</v>
      </c>
      <c r="Z108" t="s">
        <v>2128</v>
      </c>
      <c r="AA108" t="s">
        <v>2031</v>
      </c>
      <c r="AD108" t="s">
        <v>2169</v>
      </c>
      <c r="AE108">
        <v>2</v>
      </c>
      <c r="AF108" t="s">
        <v>2097</v>
      </c>
      <c r="AG108" t="s">
        <v>1669</v>
      </c>
      <c r="AJ108" t="s">
        <v>2124</v>
      </c>
      <c r="AK108" t="s">
        <v>2249</v>
      </c>
      <c r="AL108" t="s">
        <v>2169</v>
      </c>
      <c r="AM108" t="s">
        <v>1307</v>
      </c>
      <c r="AR108" t="s">
        <v>2020</v>
      </c>
      <c r="AW108" t="s">
        <v>1727</v>
      </c>
      <c r="AX108" t="s">
        <v>1727</v>
      </c>
      <c r="AY108" t="s">
        <v>1727</v>
      </c>
      <c r="AZ108" t="s">
        <v>1727</v>
      </c>
      <c r="BI108" t="s">
        <v>1630</v>
      </c>
      <c r="BL108">
        <f>IF($T108="","",IF((IF(AND($AW108&lt;&gt;"Yes",$AW108&lt;&gt;"N/A"),"Power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",""))="","",LEFT(IF(AND($AW108&lt;&gt;"Yes",$AW108&lt;&gt;"N/A"),"Power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",""),LEN(IF(AND($AW108&lt;&gt;"Yes",$AW108&lt;&gt;"N/A"),"Power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",""))-2)))</f>
      </c>
      <c r="BM108">
        <f>IF($T108="","",IF($BL108="","Yes","Blocked"))</f>
      </c>
      <c r="BP108">
        <f>IF($BO108="","",IFERROR(VLOOKUP($BO108,'01_Warehouse_Ledger'!$A:$N,4,FALSE),""))</f>
      </c>
      <c r="BQ108">
        <f>IF($BO108="","",IFERROR(VLOOKUP($BO108,'01_Warehouse_Ledger'!$A:$N,5,FALSE),""))</f>
      </c>
      <c r="BR108">
        <f>IF($BO108="","",IFERROR(VLOOKUP($BO108,'01_Warehouse_Ledger'!$A:$N,13,FALSE),""))</f>
      </c>
      <c r="BS108" t="s">
        <v>1727</v>
      </c>
      <c r="BT108" t="s">
        <v>1727</v>
      </c>
      <c r="BU108" t="s">
        <v>1727</v>
      </c>
      <c r="BV108" t="s">
        <v>1727</v>
      </c>
      <c r="BW108" t="s">
        <v>1727</v>
      </c>
      <c r="BX108">
        <v>19200</v>
      </c>
    </row>
    <row r="109">
      <c r="A109" t="s">
        <v>1415</v>
      </c>
      <c r="B109" t="s">
        <v>1727</v>
      </c>
      <c r="C109" t="s">
        <v>1727</v>
      </c>
      <c r="D109">
        <f>IF($B109&lt;&gt;"Yes","",IF($C109="No","Yes",IF($C109="Yes","No","")))</f>
      </c>
      <c r="E109">
        <f>IF($A109="","",IF($A109="Neuron",IF(OR(AND($R109&lt;&gt;"",LOWER(TRIM($R109))&lt;&gt;"n/a",COUNTIF($S$2:$S$532,$R109)&gt;1),AND($T109&lt;&gt;"",LOWER(TRIM($T109))&lt;&gt;"n/a",COUNTIF($T$2:$T$532,$T109)&gt;1),AND($W109&lt;&gt;"",LOWER(TRIM($W109))&lt;&gt;"n/a",COUNTIF($W$2:$W$532,$W109)&gt;1)),"Yes","No"),IF($A109="Cybernet",IF(OR(AND($Y109&lt;&gt;"",LOWER(TRIM($Y109))&lt;&gt;"n/a",COUNTIF($Y$2:$Y$532,$Y109)&gt;1),AND($Z109&lt;&gt;"",LOWER(TRIM($Z109))&lt;&gt;"n/a",COUNTIF($Z$2:$Z$532,$Z109)&gt;1)),"Yes","No"),IF(AND($AL109&lt;&gt;"",LOWER(TRIM($AL109))&lt;&gt;"n/a",COUNTIF($AL$2:$AL$532,$AL109)&gt;1),"Yes","No"))))</f>
      </c>
      <c r="F109">
        <f>IF($B109&lt;&gt;"Yes","",
IF($A109="Neuron",
IF(OR(
AND($R109&lt;&gt;"",LOWER(TRIM($R109))&lt;&gt;"n/a",COUNTIFS($B$2:$B$532,"Yes",$A$2:$A$532,"Neuron",$S$2:$S$532,$R109)&gt;1),
AND($T109&lt;&gt;"",LOWER(TRIM($T109))&lt;&gt;"n/a",COUNTIFS($B$2:$B$532,"Yes",$A$2:$A$532,"Neuron",$T$2:$T$532,$T109)&gt;1),
AND($W109&lt;&gt;"",LOWER(TRIM($W109))&lt;&gt;"n/a",COUNTIFS($B$2:$B$532,"Yes",$A$2:$A$532,"Neuron",$W$2:$W$532,$W109)&gt;1)
),"Yes","No"),
IF($A109="Cybernet",
IF(OR(
AND($Y109&lt;&gt;"",LOWER(TRIM($Y109))&lt;&gt;"n/a",COUNTIFS($B$2:$B$532,"Yes",$A$2:$A$532,"Cybernet",$Y$2:$Y$532,$Y109)&gt;1),
AND($Z109&lt;&gt;"",LOWER(TRIM($Z109))&lt;&gt;"n/a",COUNTIFS($B$2:$B$532,"Yes",$A$2:$A$532,"Cybernet",$Z$2:$Z$532,$Z109)&gt;1)
),"Yes","No"),
IF(AND($AL109&lt;&gt;"",LOWER(TRIM($AL109))&lt;&gt;"n/a"),
IF(COUNTIFS($B$2:$B$532,"Yes",$A$2:$A$532,$A109,$AL$2:$AL$532,$AL109)&gt;1,"Yes","No"),
"No")
)
)
)</f>
      </c>
      <c r="G109" t="s">
        <v>2235</v>
      </c>
      <c r="H109" t="s">
        <v>2235</v>
      </c>
      <c r="I109" t="s">
        <v>1831</v>
      </c>
      <c r="J109" t="s">
        <v>1727</v>
      </c>
      <c r="K109" t="s">
        <v>1727</v>
      </c>
      <c r="L109" t="s">
        <v>1727</v>
      </c>
      <c r="M109" t="s">
        <v>2162</v>
      </c>
      <c r="N109" t="s">
        <v>2376</v>
      </c>
      <c r="O109" t="s">
        <v>1380</v>
      </c>
      <c r="P109" t="s">
        <v>2098</v>
      </c>
      <c r="Q109">
        <v>46075.0</v>
      </c>
      <c r="R109" t="s">
        <v>1674</v>
      </c>
      <c r="S109" t="s">
        <v>1845</v>
      </c>
      <c r="T109" t="s">
        <v>2173</v>
      </c>
      <c r="U109" t="s">
        <v>1380</v>
      </c>
      <c r="Y109" t="s">
        <v>2114</v>
      </c>
      <c r="Z109" t="s">
        <v>1764</v>
      </c>
      <c r="AA109" t="s">
        <v>2031</v>
      </c>
      <c r="AD109" t="s">
        <v>2123</v>
      </c>
      <c r="AE109">
        <v>2</v>
      </c>
      <c r="AF109" t="s">
        <v>2097</v>
      </c>
      <c r="AG109" t="s">
        <v>2062</v>
      </c>
      <c r="AJ109" t="s">
        <v>2124</v>
      </c>
      <c r="AK109" t="s">
        <v>2249</v>
      </c>
      <c r="AL109" t="s">
        <v>2123</v>
      </c>
      <c r="AM109" t="s">
        <v>1307</v>
      </c>
      <c r="AR109" t="s">
        <v>2216</v>
      </c>
      <c r="AW109" t="s">
        <v>1727</v>
      </c>
      <c r="AX109" t="s">
        <v>1727</v>
      </c>
      <c r="AY109" t="s">
        <v>1727</v>
      </c>
      <c r="AZ109" t="s">
        <v>1727</v>
      </c>
      <c r="BI109" t="s">
        <v>1630</v>
      </c>
      <c r="BL109">
        <f>IF($T109="","",IF((IF(AND($AW109&lt;&gt;"Yes",$AW109&lt;&gt;"N/A"),"Power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",""))="","",LEFT(IF(AND($AW109&lt;&gt;"Yes",$AW109&lt;&gt;"N/A"),"Power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",""),LEN(IF(AND($AW109&lt;&gt;"Yes",$AW109&lt;&gt;"N/A"),"Power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",""))-2)))</f>
      </c>
      <c r="BM109">
        <f>IF($T109="","",IF($BL109="","Yes","Blocked"))</f>
      </c>
      <c r="BP109">
        <f>IF($BO109="","",IFERROR(VLOOKUP($BO109,'01_Warehouse_Ledger'!$A:$N,4,FALSE),""))</f>
      </c>
      <c r="BQ109">
        <f>IF($BO109="","",IFERROR(VLOOKUP($BO109,'01_Warehouse_Ledger'!$A:$N,5,FALSE),""))</f>
      </c>
      <c r="BR109">
        <f>IF($BO109="","",IFERROR(VLOOKUP($BO109,'01_Warehouse_Ledger'!$A:$N,13,FALSE),""))</f>
      </c>
      <c r="BS109" t="s">
        <v>1727</v>
      </c>
      <c r="BT109" t="s">
        <v>1727</v>
      </c>
      <c r="BU109" t="s">
        <v>1727</v>
      </c>
      <c r="BV109" t="s">
        <v>1727</v>
      </c>
      <c r="BW109" t="s">
        <v>1727</v>
      </c>
      <c r="BX109">
        <v>19200</v>
      </c>
    </row>
    <row r="110">
      <c r="A110" t="s">
        <v>1415</v>
      </c>
      <c r="B110" t="s">
        <v>1727</v>
      </c>
      <c r="C110" t="s">
        <v>1727</v>
      </c>
      <c r="D110">
        <f>IF($B110&lt;&gt;"Yes","",IF($C110="No","Yes",IF($C110="Yes","No","")))</f>
      </c>
      <c r="E110">
        <f>IF($A110="","",IF($A110="Neuron",IF(OR(AND($R110&lt;&gt;"",LOWER(TRIM($R110))&lt;&gt;"n/a",COUNTIF($S$2:$S$532,$R110)&gt;1),AND($T110&lt;&gt;"",LOWER(TRIM($T110))&lt;&gt;"n/a",COUNTIF($T$2:$T$532,$T110)&gt;1),AND($W110&lt;&gt;"",LOWER(TRIM($W110))&lt;&gt;"n/a",COUNTIF($W$2:$W$532,$W110)&gt;1)),"Yes","No"),IF($A110="Cybernet",IF(OR(AND($Y110&lt;&gt;"",LOWER(TRIM($Y110))&lt;&gt;"n/a",COUNTIF($Y$2:$Y$532,$Y110)&gt;1),AND($Z110&lt;&gt;"",LOWER(TRIM($Z110))&lt;&gt;"n/a",COUNTIF($Z$2:$Z$532,$Z110)&gt;1)),"Yes","No"),IF(AND($AL110&lt;&gt;"",LOWER(TRIM($AL110))&lt;&gt;"n/a",COUNTIF($AL$2:$AL$532,$AL110)&gt;1),"Yes","No"))))</f>
      </c>
      <c r="F110">
        <f>IF($B110&lt;&gt;"Yes","",
IF($A110="Neuron",
IF(OR(
AND($R110&lt;&gt;"",LOWER(TRIM($R110))&lt;&gt;"n/a",COUNTIFS($B$2:$B$532,"Yes",$A$2:$A$532,"Neuron",$S$2:$S$532,$R110)&gt;1),
AND($T110&lt;&gt;"",LOWER(TRIM($T110))&lt;&gt;"n/a",COUNTIFS($B$2:$B$532,"Yes",$A$2:$A$532,"Neuron",$T$2:$T$532,$T110)&gt;1),
AND($W110&lt;&gt;"",LOWER(TRIM($W110))&lt;&gt;"n/a",COUNTIFS($B$2:$B$532,"Yes",$A$2:$A$532,"Neuron",$W$2:$W$532,$W110)&gt;1)
),"Yes","No"),
IF($A110="Cybernet",
IF(OR(
AND($Y110&lt;&gt;"",LOWER(TRIM($Y110))&lt;&gt;"n/a",COUNTIFS($B$2:$B$532,"Yes",$A$2:$A$532,"Cybernet",$Y$2:$Y$532,$Y110)&gt;1),
AND($Z110&lt;&gt;"",LOWER(TRIM($Z110))&lt;&gt;"n/a",COUNTIFS($B$2:$B$532,"Yes",$A$2:$A$532,"Cybernet",$Z$2:$Z$532,$Z110)&gt;1)
),"Yes","No"),
IF(AND($AL110&lt;&gt;"",LOWER(TRIM($AL110))&lt;&gt;"n/a"),
IF(COUNTIFS($B$2:$B$532,"Yes",$A$2:$A$532,$A110,$AL$2:$AL$532,$AL110)&gt;1,"Yes","No"),
"No")
)
)
)</f>
      </c>
      <c r="G110" t="s">
        <v>2235</v>
      </c>
      <c r="H110" t="s">
        <v>2235</v>
      </c>
      <c r="I110" t="s">
        <v>1831</v>
      </c>
      <c r="J110" t="s">
        <v>1727</v>
      </c>
      <c r="K110" t="s">
        <v>1727</v>
      </c>
      <c r="L110" t="s">
        <v>1727</v>
      </c>
      <c r="M110" t="s">
        <v>2162</v>
      </c>
      <c r="N110" t="s">
        <v>2376</v>
      </c>
      <c r="O110" t="s">
        <v>1380</v>
      </c>
      <c r="P110" t="s">
        <v>2098</v>
      </c>
      <c r="Q110">
        <v>46075.0</v>
      </c>
      <c r="R110" t="s">
        <v>2205</v>
      </c>
      <c r="S110" t="s">
        <v>2281</v>
      </c>
      <c r="T110" t="s">
        <v>1794</v>
      </c>
      <c r="U110" t="s">
        <v>1380</v>
      </c>
      <c r="Y110" t="s">
        <v>1864</v>
      </c>
      <c r="Z110" t="s">
        <v>2082</v>
      </c>
      <c r="AA110" t="s">
        <v>2031</v>
      </c>
      <c r="AD110" t="s">
        <v>2398</v>
      </c>
      <c r="AE110">
        <v>2</v>
      </c>
      <c r="AF110" t="s">
        <v>2097</v>
      </c>
      <c r="AG110" t="s">
        <v>1687</v>
      </c>
      <c r="AI110" t="s">
        <v>1937</v>
      </c>
      <c r="AJ110" t="s">
        <v>2124</v>
      </c>
      <c r="AK110" t="s">
        <v>2249</v>
      </c>
      <c r="AL110" t="s">
        <v>2398</v>
      </c>
      <c r="AM110" t="s">
        <v>1307</v>
      </c>
      <c r="AR110" t="s">
        <v>2350</v>
      </c>
      <c r="AW110" t="s">
        <v>1727</v>
      </c>
      <c r="AX110" t="s">
        <v>1727</v>
      </c>
      <c r="AY110" t="s">
        <v>1727</v>
      </c>
      <c r="AZ110" t="s">
        <v>1727</v>
      </c>
      <c r="BI110" t="s">
        <v>1630</v>
      </c>
      <c r="BL110">
        <f>IF($T110="","",IF((IF(AND($AW110&lt;&gt;"Yes",$AW110&lt;&gt;"N/A"),"Power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",""))="","",LEFT(IF(AND($AW110&lt;&gt;"Yes",$AW110&lt;&gt;"N/A"),"Power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",""),LEN(IF(AND($AW110&lt;&gt;"Yes",$AW110&lt;&gt;"N/A"),"Power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",""))-2)))</f>
      </c>
      <c r="BM110">
        <f>IF($T110="","",IF($BL110="","Yes","Blocked"))</f>
      </c>
      <c r="BP110">
        <f>IF($BO110="","",IFERROR(VLOOKUP($BO110,'01_Warehouse_Ledger'!$A:$N,4,FALSE),""))</f>
      </c>
      <c r="BQ110">
        <f>IF($BO110="","",IFERROR(VLOOKUP($BO110,'01_Warehouse_Ledger'!$A:$N,5,FALSE),""))</f>
      </c>
      <c r="BR110">
        <f>IF($BO110="","",IFERROR(VLOOKUP($BO110,'01_Warehouse_Ledger'!$A:$N,13,FALSE),""))</f>
      </c>
      <c r="BS110" t="s">
        <v>1727</v>
      </c>
      <c r="BT110" t="s">
        <v>1727</v>
      </c>
      <c r="BU110" t="s">
        <v>1727</v>
      </c>
      <c r="BV110" t="s">
        <v>1727</v>
      </c>
      <c r="BW110" t="s">
        <v>1727</v>
      </c>
      <c r="BX110">
        <v>19200</v>
      </c>
    </row>
    <row r="111">
      <c r="A111" t="s">
        <v>1415</v>
      </c>
      <c r="B111" t="s">
        <v>1727</v>
      </c>
      <c r="C111" t="s">
        <v>1727</v>
      </c>
      <c r="D111">
        <f>IF($B111&lt;&gt;"Yes","",IF($C111="No","Yes",IF($C111="Yes","No","")))</f>
      </c>
      <c r="E111">
        <f>IF($A111="","",IF($A111="Neuron",IF(OR(AND($R111&lt;&gt;"",LOWER(TRIM($R111))&lt;&gt;"n/a",COUNTIF($S$2:$S$532,$R111)&gt;1),AND($T111&lt;&gt;"",LOWER(TRIM($T111))&lt;&gt;"n/a",COUNTIF($T$2:$T$532,$T111)&gt;1),AND($W111&lt;&gt;"",LOWER(TRIM($W111))&lt;&gt;"n/a",COUNTIF($W$2:$W$532,$W111)&gt;1)),"Yes","No"),IF($A111="Cybernet",IF(OR(AND($Y111&lt;&gt;"",LOWER(TRIM($Y111))&lt;&gt;"n/a",COUNTIF($Y$2:$Y$532,$Y111)&gt;1),AND($Z111&lt;&gt;"",LOWER(TRIM($Z111))&lt;&gt;"n/a",COUNTIF($Z$2:$Z$532,$Z111)&gt;1)),"Yes","No"),IF(AND($AL111&lt;&gt;"",LOWER(TRIM($AL111))&lt;&gt;"n/a",COUNTIF($AL$2:$AL$532,$AL111)&gt;1),"Yes","No"))))</f>
      </c>
      <c r="F111">
        <f>IF($B111&lt;&gt;"Yes","",
IF($A111="Neuron",
IF(OR(
AND($R111&lt;&gt;"",LOWER(TRIM($R111))&lt;&gt;"n/a",COUNTIFS($B$2:$B$532,"Yes",$A$2:$A$532,"Neuron",$S$2:$S$532,$R111)&gt;1),
AND($T111&lt;&gt;"",LOWER(TRIM($T111))&lt;&gt;"n/a",COUNTIFS($B$2:$B$532,"Yes",$A$2:$A$532,"Neuron",$T$2:$T$532,$T111)&gt;1),
AND($W111&lt;&gt;"",LOWER(TRIM($W111))&lt;&gt;"n/a",COUNTIFS($B$2:$B$532,"Yes",$A$2:$A$532,"Neuron",$W$2:$W$532,$W111)&gt;1)
),"Yes","No"),
IF($A111="Cybernet",
IF(OR(
AND($Y111&lt;&gt;"",LOWER(TRIM($Y111))&lt;&gt;"n/a",COUNTIFS($B$2:$B$532,"Yes",$A$2:$A$532,"Cybernet",$Y$2:$Y$532,$Y111)&gt;1),
AND($Z111&lt;&gt;"",LOWER(TRIM($Z111))&lt;&gt;"n/a",COUNTIFS($B$2:$B$532,"Yes",$A$2:$A$532,"Cybernet",$Z$2:$Z$532,$Z111)&gt;1)
),"Yes","No"),
IF(AND($AL111&lt;&gt;"",LOWER(TRIM($AL111))&lt;&gt;"n/a"),
IF(COUNTIFS($B$2:$B$532,"Yes",$A$2:$A$532,$A111,$AL$2:$AL$532,$AL111)&gt;1,"Yes","No"),
"No")
)
)
)</f>
      </c>
      <c r="G111" t="s">
        <v>2235</v>
      </c>
      <c r="H111" t="s">
        <v>2235</v>
      </c>
      <c r="I111" t="s">
        <v>1831</v>
      </c>
      <c r="J111" t="s">
        <v>1727</v>
      </c>
      <c r="K111" t="s">
        <v>1727</v>
      </c>
      <c r="L111" t="s">
        <v>1727</v>
      </c>
      <c r="M111" t="s">
        <v>2162</v>
      </c>
      <c r="N111" t="s">
        <v>2376</v>
      </c>
      <c r="O111" t="s">
        <v>1380</v>
      </c>
      <c r="P111" t="s">
        <v>2098</v>
      </c>
      <c r="Q111">
        <v>46075.0</v>
      </c>
      <c r="R111" t="s">
        <v>1761</v>
      </c>
      <c r="S111" t="s">
        <v>2248</v>
      </c>
      <c r="T111" t="s">
        <v>1739</v>
      </c>
      <c r="U111" t="s">
        <v>1380</v>
      </c>
      <c r="Y111" t="s">
        <v>1911</v>
      </c>
      <c r="Z111" t="s">
        <v>1702</v>
      </c>
      <c r="AA111" t="s">
        <v>2031</v>
      </c>
      <c r="AD111" t="s">
        <v>1679</v>
      </c>
      <c r="AE111">
        <v>2</v>
      </c>
      <c r="AF111" t="s">
        <v>2097</v>
      </c>
      <c r="AG111" t="s">
        <v>2290</v>
      </c>
      <c r="AJ111" t="s">
        <v>2124</v>
      </c>
      <c r="AK111" t="s">
        <v>2249</v>
      </c>
      <c r="AL111" t="s">
        <v>1679</v>
      </c>
      <c r="AM111" t="s">
        <v>1307</v>
      </c>
      <c r="AR111" t="s">
        <v>1613</v>
      </c>
      <c r="AW111" t="s">
        <v>1727</v>
      </c>
      <c r="AX111" t="s">
        <v>1727</v>
      </c>
      <c r="AY111" t="s">
        <v>1727</v>
      </c>
      <c r="AZ111" t="s">
        <v>1727</v>
      </c>
      <c r="BI111" t="s">
        <v>1630</v>
      </c>
      <c r="BL111">
        <f>IF($T111="","",IF((IF(AND($AW111&lt;&gt;"Yes",$AW111&lt;&gt;"N/A"),"Power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",""))="","",LEFT(IF(AND($AW111&lt;&gt;"Yes",$AW111&lt;&gt;"N/A"),"Power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",""),LEN(IF(AND($AW111&lt;&gt;"Yes",$AW111&lt;&gt;"N/A"),"Power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",""))-2)))</f>
      </c>
      <c r="BM111">
        <f>IF($T111="","",IF($BL111="","Yes","Blocked"))</f>
      </c>
      <c r="BP111">
        <f>IF($BO111="","",IFERROR(VLOOKUP($BO111,'01_Warehouse_Ledger'!$A:$N,4,FALSE),""))</f>
      </c>
      <c r="BQ111">
        <f>IF($BO111="","",IFERROR(VLOOKUP($BO111,'01_Warehouse_Ledger'!$A:$N,5,FALSE),""))</f>
      </c>
      <c r="BR111">
        <f>IF($BO111="","",IFERROR(VLOOKUP($BO111,'01_Warehouse_Ledger'!$A:$N,13,FALSE),""))</f>
      </c>
      <c r="BS111" t="s">
        <v>1727</v>
      </c>
      <c r="BT111" t="s">
        <v>1727</v>
      </c>
      <c r="BU111" t="s">
        <v>1727</v>
      </c>
      <c r="BV111" t="s">
        <v>1727</v>
      </c>
      <c r="BW111" t="s">
        <v>1727</v>
      </c>
      <c r="BX111">
        <v>19200</v>
      </c>
    </row>
    <row r="112">
      <c r="A112" t="s">
        <v>1415</v>
      </c>
      <c r="B112" t="s">
        <v>1727</v>
      </c>
      <c r="C112" t="s">
        <v>1727</v>
      </c>
      <c r="D112">
        <f>IF($B112&lt;&gt;"Yes","",IF($C112="No","Yes",IF($C112="Yes","No","")))</f>
      </c>
      <c r="E112">
        <f>IF($A112="","",IF($A112="Neuron",IF(OR(AND($R112&lt;&gt;"",LOWER(TRIM($R112))&lt;&gt;"n/a",COUNTIF($S$2:$S$532,$R112)&gt;1),AND($T112&lt;&gt;"",LOWER(TRIM($T112))&lt;&gt;"n/a",COUNTIF($T$2:$T$532,$T112)&gt;1),AND($W112&lt;&gt;"",LOWER(TRIM($W112))&lt;&gt;"n/a",COUNTIF($W$2:$W$532,$W112)&gt;1)),"Yes","No"),IF($A112="Cybernet",IF(OR(AND($Y112&lt;&gt;"",LOWER(TRIM($Y112))&lt;&gt;"n/a",COUNTIF($Y$2:$Y$532,$Y112)&gt;1),AND($Z112&lt;&gt;"",LOWER(TRIM($Z112))&lt;&gt;"n/a",COUNTIF($Z$2:$Z$532,$Z112)&gt;1)),"Yes","No"),IF(AND($AL112&lt;&gt;"",LOWER(TRIM($AL112))&lt;&gt;"n/a",COUNTIF($AL$2:$AL$532,$AL112)&gt;1),"Yes","No"))))</f>
      </c>
      <c r="F112">
        <f>IF($B112&lt;&gt;"Yes","",
IF($A112="Neuron",
IF(OR(
AND($R112&lt;&gt;"",LOWER(TRIM($R112))&lt;&gt;"n/a",COUNTIFS($B$2:$B$532,"Yes",$A$2:$A$532,"Neuron",$S$2:$S$532,$R112)&gt;1),
AND($T112&lt;&gt;"",LOWER(TRIM($T112))&lt;&gt;"n/a",COUNTIFS($B$2:$B$532,"Yes",$A$2:$A$532,"Neuron",$T$2:$T$532,$T112)&gt;1),
AND($W112&lt;&gt;"",LOWER(TRIM($W112))&lt;&gt;"n/a",COUNTIFS($B$2:$B$532,"Yes",$A$2:$A$532,"Neuron",$W$2:$W$532,$W112)&gt;1)
),"Yes","No"),
IF($A112="Cybernet",
IF(OR(
AND($Y112&lt;&gt;"",LOWER(TRIM($Y112))&lt;&gt;"n/a",COUNTIFS($B$2:$B$532,"Yes",$A$2:$A$532,"Cybernet",$Y$2:$Y$532,$Y112)&gt;1),
AND($Z112&lt;&gt;"",LOWER(TRIM($Z112))&lt;&gt;"n/a",COUNTIFS($B$2:$B$532,"Yes",$A$2:$A$532,"Cybernet",$Z$2:$Z$532,$Z112)&gt;1)
),"Yes","No"),
IF(AND($AL112&lt;&gt;"",LOWER(TRIM($AL112))&lt;&gt;"n/a"),
IF(COUNTIFS($B$2:$B$532,"Yes",$A$2:$A$532,$A112,$AL$2:$AL$532,$AL112)&gt;1,"Yes","No"),
"No")
)
)
)</f>
      </c>
      <c r="G112" t="s">
        <v>2235</v>
      </c>
      <c r="H112" t="s">
        <v>2235</v>
      </c>
      <c r="I112" t="s">
        <v>1831</v>
      </c>
      <c r="J112" t="s">
        <v>1727</v>
      </c>
      <c r="K112" t="s">
        <v>1727</v>
      </c>
      <c r="L112" t="s">
        <v>1727</v>
      </c>
      <c r="M112" t="s">
        <v>2162</v>
      </c>
      <c r="N112" t="s">
        <v>2376</v>
      </c>
      <c r="O112" t="s">
        <v>1380</v>
      </c>
      <c r="P112" t="s">
        <v>2098</v>
      </c>
      <c r="Q112">
        <v>46075.0</v>
      </c>
      <c r="R112" t="s">
        <v>1696</v>
      </c>
      <c r="S112" t="s">
        <v>1918</v>
      </c>
      <c r="T112" t="s">
        <v>2015</v>
      </c>
      <c r="U112" t="s">
        <v>1380</v>
      </c>
      <c r="Y112" t="s">
        <v>2260</v>
      </c>
      <c r="Z112" t="s">
        <v>1618</v>
      </c>
      <c r="AA112" t="s">
        <v>2031</v>
      </c>
      <c r="AD112" t="s">
        <v>2023</v>
      </c>
      <c r="AE112">
        <v>2</v>
      </c>
      <c r="AF112" t="s">
        <v>2097</v>
      </c>
      <c r="AG112" t="s">
        <v>1856</v>
      </c>
      <c r="AJ112" t="s">
        <v>2124</v>
      </c>
      <c r="AK112" t="s">
        <v>2249</v>
      </c>
      <c r="AL112" t="s">
        <v>2023</v>
      </c>
      <c r="AM112" t="s">
        <v>1307</v>
      </c>
      <c r="AR112" t="s">
        <v>2186</v>
      </c>
      <c r="AW112" t="s">
        <v>1727</v>
      </c>
      <c r="AX112" t="s">
        <v>1727</v>
      </c>
      <c r="AY112" t="s">
        <v>1727</v>
      </c>
      <c r="AZ112" t="s">
        <v>1727</v>
      </c>
      <c r="BI112" t="s">
        <v>1630</v>
      </c>
      <c r="BL112">
        <f>IF($T112="","",IF((IF(AND($AW112&lt;&gt;"Yes",$AW112&lt;&gt;"N/A"),"Power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",""))="","",LEFT(IF(AND($AW112&lt;&gt;"Yes",$AW112&lt;&gt;"N/A"),"Power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",""),LEN(IF(AND($AW112&lt;&gt;"Yes",$AW112&lt;&gt;"N/A"),"Power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",""))-2)))</f>
      </c>
      <c r="BM112">
        <f>IF($T112="","",IF($BL112="","Yes","Blocked"))</f>
      </c>
      <c r="BP112">
        <f>IF($BO112="","",IFERROR(VLOOKUP($BO112,'01_Warehouse_Ledger'!$A:$N,4,FALSE),""))</f>
      </c>
      <c r="BQ112">
        <f>IF($BO112="","",IFERROR(VLOOKUP($BO112,'01_Warehouse_Ledger'!$A:$N,5,FALSE),""))</f>
      </c>
      <c r="BR112">
        <f>IF($BO112="","",IFERROR(VLOOKUP($BO112,'01_Warehouse_Ledger'!$A:$N,13,FALSE),""))</f>
      </c>
      <c r="BS112" t="s">
        <v>1727</v>
      </c>
      <c r="BT112" t="s">
        <v>1727</v>
      </c>
      <c r="BU112" t="s">
        <v>1727</v>
      </c>
      <c r="BV112" t="s">
        <v>1727</v>
      </c>
      <c r="BW112" t="s">
        <v>1727</v>
      </c>
      <c r="BX112">
        <v>19200</v>
      </c>
    </row>
    <row r="113">
      <c r="A113" t="s">
        <v>1415</v>
      </c>
      <c r="C113" t="s">
        <v>1657</v>
      </c>
      <c r="D113">
        <f>IF($B113&lt;&gt;"Yes","",IF($C113="No","Yes",IF($C113="Yes","No","")))</f>
      </c>
      <c r="E113">
        <f>IF($A113="","",IF($A113="Neuron",IF(OR(AND($R113&lt;&gt;"",LOWER(TRIM($R113))&lt;&gt;"n/a",COUNTIF($S$2:$S$532,$R113)&gt;1),AND($T113&lt;&gt;"",LOWER(TRIM($T113))&lt;&gt;"n/a",COUNTIF($T$2:$T$532,$T113)&gt;1),AND($W113&lt;&gt;"",LOWER(TRIM($W113))&lt;&gt;"n/a",COUNTIF($W$2:$W$532,$W113)&gt;1)),"Yes","No"),IF($A113="Cybernet",IF(OR(AND($Y113&lt;&gt;"",LOWER(TRIM($Y113))&lt;&gt;"n/a",COUNTIF($Y$2:$Y$532,$Y113)&gt;1),AND($Z113&lt;&gt;"",LOWER(TRIM($Z113))&lt;&gt;"n/a",COUNTIF($Z$2:$Z$532,$Z113)&gt;1)),"Yes","No"),IF(AND($AL113&lt;&gt;"",LOWER(TRIM($AL113))&lt;&gt;"n/a",COUNTIF($AL$2:$AL$532,$AL113)&gt;1),"Yes","No"))))</f>
      </c>
      <c r="F113">
        <f>IF($B113&lt;&gt;"Yes","",
IF($A113="Neuron",
IF(OR(
AND($R113&lt;&gt;"",LOWER(TRIM($R113))&lt;&gt;"n/a",COUNTIFS($B$2:$B$532,"Yes",$A$2:$A$532,"Neuron",$S$2:$S$532,$R113)&gt;1),
AND($T113&lt;&gt;"",LOWER(TRIM($T113))&lt;&gt;"n/a",COUNTIFS($B$2:$B$532,"Yes",$A$2:$A$532,"Neuron",$T$2:$T$532,$T113)&gt;1),
AND($W113&lt;&gt;"",LOWER(TRIM($W113))&lt;&gt;"n/a",COUNTIFS($B$2:$B$532,"Yes",$A$2:$A$532,"Neuron",$W$2:$W$532,$W113)&gt;1)
),"Yes","No"),
IF($A113="Cybernet",
IF(OR(
AND($Y113&lt;&gt;"",LOWER(TRIM($Y113))&lt;&gt;"n/a",COUNTIFS($B$2:$B$532,"Yes",$A$2:$A$532,"Cybernet",$Y$2:$Y$532,$Y113)&gt;1),
AND($Z113&lt;&gt;"",LOWER(TRIM($Z113))&lt;&gt;"n/a",COUNTIFS($B$2:$B$532,"Yes",$A$2:$A$532,"Cybernet",$Z$2:$Z$532,$Z113)&gt;1)
),"Yes","No"),
IF(AND($AL113&lt;&gt;"",LOWER(TRIM($AL113))&lt;&gt;"n/a"),
IF(COUNTIFS($B$2:$B$532,"Yes",$A$2:$A$532,$A113,$AL$2:$AL$532,$AL113)&gt;1,"Yes","No"),
"No")
)
)
)</f>
      </c>
      <c r="G113" t="s">
        <v>1880</v>
      </c>
      <c r="H113" t="s">
        <v>2235</v>
      </c>
      <c r="I113" t="s">
        <v>1831</v>
      </c>
      <c r="J113" t="s">
        <v>1727</v>
      </c>
      <c r="K113" t="s">
        <v>1657</v>
      </c>
      <c r="L113" t="s">
        <v>1657</v>
      </c>
      <c r="R113" t="s">
        <v>1716</v>
      </c>
      <c r="Y113" t="s">
        <v>1803</v>
      </c>
      <c r="Z113" t="s">
        <v>2337</v>
      </c>
      <c r="BI113" t="s">
        <v>1630</v>
      </c>
      <c r="BL113">
        <f>IF($T113="","",IF((IF(AND($AW113&lt;&gt;"Yes",$AW113&lt;&gt;"N/A"),"Power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",""))="","",LEFT(IF(AND($AW113&lt;&gt;"Yes",$AW113&lt;&gt;"N/A"),"Power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",""),LEN(IF(AND($AW113&lt;&gt;"Yes",$AW113&lt;&gt;"N/A"),"Power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",""))-2)))</f>
      </c>
      <c r="BM113">
        <f>IF($T113="","",IF($BL113="","Yes","Blocked"))</f>
      </c>
      <c r="BP113">
        <f>IF($BO113="","",IFERROR(VLOOKUP($BO113,'01_Warehouse_Ledger'!$A:$N,4,FALSE),""))</f>
      </c>
      <c r="BQ113">
        <f>IF($BO113="","",IFERROR(VLOOKUP($BO113,'01_Warehouse_Ledger'!$A:$N,5,FALSE),""))</f>
      </c>
      <c r="BR113">
        <f>IF($BO113="","",IFERROR(VLOOKUP($BO113,'01_Warehouse_Ledger'!$A:$N,13,FALSE),""))</f>
      </c>
    </row>
    <row r="114">
      <c r="A114" t="s">
        <v>1415</v>
      </c>
      <c r="C114" t="s">
        <v>1657</v>
      </c>
      <c r="D114">
        <f>IF($B114&lt;&gt;"Yes","",IF($C114="No","Yes",IF($C114="Yes","No","")))</f>
      </c>
      <c r="E114">
        <f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</c>
      <c r="F114">
        <f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</c>
      <c r="G114" t="s">
        <v>1880</v>
      </c>
      <c r="H114" t="s">
        <v>2235</v>
      </c>
      <c r="I114" t="s">
        <v>1831</v>
      </c>
      <c r="J114" t="s">
        <v>1727</v>
      </c>
      <c r="K114" t="s">
        <v>1657</v>
      </c>
      <c r="L114" t="s">
        <v>1657</v>
      </c>
      <c r="R114" t="s">
        <v>2077</v>
      </c>
      <c r="Y114" t="s">
        <v>2366</v>
      </c>
      <c r="Z114" t="s">
        <v>2304</v>
      </c>
      <c r="BI114" t="s">
        <v>1630</v>
      </c>
      <c r="BL114">
        <f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</c>
      <c r="BM114">
        <f>IF($T114="","",IF($BL114="","Yes","Blocked"))</f>
      </c>
      <c r="BP114">
        <f>IF($BO114="","",IFERROR(VLOOKUP($BO114,'01_Warehouse_Ledger'!$A:$N,4,FALSE),""))</f>
      </c>
      <c r="BQ114">
        <f>IF($BO114="","",IFERROR(VLOOKUP($BO114,'01_Warehouse_Ledger'!$A:$N,5,FALSE),""))</f>
      </c>
      <c r="BR114">
        <f>IF($BO114="","",IFERROR(VLOOKUP($BO114,'01_Warehouse_Ledger'!$A:$N,13,FALSE),""))</f>
      </c>
    </row>
    <row r="115">
      <c r="A115" t="s">
        <v>1415</v>
      </c>
      <c r="C115" t="s">
        <v>1657</v>
      </c>
      <c r="D115">
        <f>IF($B115&lt;&gt;"Yes","",IF($C115="No","Yes",IF($C115="Yes","No","")))</f>
      </c>
      <c r="E115">
        <f>IF($A115="","",IF($A115="Neuron",IF(OR(AND($R115&lt;&gt;"",LOWER(TRIM($R115))&lt;&gt;"n/a",COUNTIF($S$2:$S$532,$R115)&gt;1),AND($T115&lt;&gt;"",LOWER(TRIM($T115))&lt;&gt;"n/a",COUNTIF($T$2:$T$532,$T115)&gt;1),AND($W115&lt;&gt;"",LOWER(TRIM($W115))&lt;&gt;"n/a",COUNTIF($W$2:$W$532,$W115)&gt;1)),"Yes","No"),IF($A115="Cybernet",IF(OR(AND($Y115&lt;&gt;"",LOWER(TRIM($Y115))&lt;&gt;"n/a",COUNTIF($Y$2:$Y$532,$Y115)&gt;1),AND($Z115&lt;&gt;"",LOWER(TRIM($Z115))&lt;&gt;"n/a",COUNTIF($Z$2:$Z$532,$Z115)&gt;1)),"Yes","No"),IF(AND($AL115&lt;&gt;"",LOWER(TRIM($AL115))&lt;&gt;"n/a",COUNTIF($AL$2:$AL$532,$AL115)&gt;1),"Yes","No"))))</f>
      </c>
      <c r="F115">
        <f>IF($B115&lt;&gt;"Yes","",
IF($A115="Neuron",
IF(OR(
AND($R115&lt;&gt;"",LOWER(TRIM($R115))&lt;&gt;"n/a",COUNTIFS($B$2:$B$532,"Yes",$A$2:$A$532,"Neuron",$S$2:$S$532,$R115)&gt;1),
AND($T115&lt;&gt;"",LOWER(TRIM($T115))&lt;&gt;"n/a",COUNTIFS($B$2:$B$532,"Yes",$A$2:$A$532,"Neuron",$T$2:$T$532,$T115)&gt;1),
AND($W115&lt;&gt;"",LOWER(TRIM($W115))&lt;&gt;"n/a",COUNTIFS($B$2:$B$532,"Yes",$A$2:$A$532,"Neuron",$W$2:$W$532,$W115)&gt;1)
),"Yes","No"),
IF($A115="Cybernet",
IF(OR(
AND($Y115&lt;&gt;"",LOWER(TRIM($Y115))&lt;&gt;"n/a",COUNTIFS($B$2:$B$532,"Yes",$A$2:$A$532,"Cybernet",$Y$2:$Y$532,$Y115)&gt;1),
AND($Z115&lt;&gt;"",LOWER(TRIM($Z115))&lt;&gt;"n/a",COUNTIFS($B$2:$B$532,"Yes",$A$2:$A$532,"Cybernet",$Z$2:$Z$532,$Z115)&gt;1)
),"Yes","No"),
IF(AND($AL115&lt;&gt;"",LOWER(TRIM($AL115))&lt;&gt;"n/a"),
IF(COUNTIFS($B$2:$B$532,"Yes",$A$2:$A$532,$A115,$AL$2:$AL$532,$AL115)&gt;1,"Yes","No"),
"No")
)
)
)</f>
      </c>
      <c r="G115" t="s">
        <v>1880</v>
      </c>
      <c r="H115" t="s">
        <v>2235</v>
      </c>
      <c r="I115" t="s">
        <v>1831</v>
      </c>
      <c r="J115" t="s">
        <v>1727</v>
      </c>
      <c r="K115" t="s">
        <v>1657</v>
      </c>
      <c r="L115" t="s">
        <v>1657</v>
      </c>
      <c r="R115" t="s">
        <v>2142</v>
      </c>
      <c r="Y115" t="s">
        <v>1846</v>
      </c>
      <c r="Z115" t="s">
        <v>1955</v>
      </c>
      <c r="BI115" t="s">
        <v>1630</v>
      </c>
      <c r="BL115">
        <f>IF($T115="","",IF((IF(AND($AW115&lt;&gt;"Yes",$AW115&lt;&gt;"N/A"),"Power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",""))="","",LEFT(IF(AND($AW115&lt;&gt;"Yes",$AW115&lt;&gt;"N/A"),"Power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",""),LEN(IF(AND($AW115&lt;&gt;"Yes",$AW115&lt;&gt;"N/A"),"Power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",""))-2)))</f>
      </c>
      <c r="BM115">
        <f>IF($T115="","",IF($BL115="","Yes","Blocked"))</f>
      </c>
      <c r="BP115">
        <f>IF($BO115="","",IFERROR(VLOOKUP($BO115,'01_Warehouse_Ledger'!$A:$N,4,FALSE),""))</f>
      </c>
      <c r="BQ115">
        <f>IF($BO115="","",IFERROR(VLOOKUP($BO115,'01_Warehouse_Ledger'!$A:$N,5,FALSE),""))</f>
      </c>
      <c r="BR115">
        <f>IF($BO115="","",IFERROR(VLOOKUP($BO115,'01_Warehouse_Ledger'!$A:$N,13,FALSE),""))</f>
      </c>
    </row>
    <row r="116">
      <c r="A116" t="s">
        <v>1415</v>
      </c>
      <c r="C116" t="s">
        <v>1657</v>
      </c>
      <c r="D116">
        <f>IF($B116&lt;&gt;"Yes","",IF($C116="No","Yes",IF($C116="Yes","No","")))</f>
      </c>
      <c r="E116">
        <f>IF($A116="","",IF($A116="Neuron",IF(OR(AND($R116&lt;&gt;"",LOWER(TRIM($R116))&lt;&gt;"n/a",COUNTIF($S$2:$S$532,$R116)&gt;1),AND($T116&lt;&gt;"",LOWER(TRIM($T116))&lt;&gt;"n/a",COUNTIF($T$2:$T$532,$T116)&gt;1),AND($W116&lt;&gt;"",LOWER(TRIM($W116))&lt;&gt;"n/a",COUNTIF($W$2:$W$532,$W116)&gt;1)),"Yes","No"),IF($A116="Cybernet",IF(OR(AND($Y116&lt;&gt;"",LOWER(TRIM($Y116))&lt;&gt;"n/a",COUNTIF($Y$2:$Y$532,$Y116)&gt;1),AND($Z116&lt;&gt;"",LOWER(TRIM($Z116))&lt;&gt;"n/a",COUNTIF($Z$2:$Z$532,$Z116)&gt;1)),"Yes","No"),IF(AND($AL116&lt;&gt;"",LOWER(TRIM($AL116))&lt;&gt;"n/a",COUNTIF($AL$2:$AL$532,$AL116)&gt;1),"Yes","No"))))</f>
      </c>
      <c r="F116">
        <f>IF($B116&lt;&gt;"Yes","",
IF($A116="Neuron",
IF(OR(
AND($R116&lt;&gt;"",LOWER(TRIM($R116))&lt;&gt;"n/a",COUNTIFS($B$2:$B$532,"Yes",$A$2:$A$532,"Neuron",$S$2:$S$532,$R116)&gt;1),
AND($T116&lt;&gt;"",LOWER(TRIM($T116))&lt;&gt;"n/a",COUNTIFS($B$2:$B$532,"Yes",$A$2:$A$532,"Neuron",$T$2:$T$532,$T116)&gt;1),
AND($W116&lt;&gt;"",LOWER(TRIM($W116))&lt;&gt;"n/a",COUNTIFS($B$2:$B$532,"Yes",$A$2:$A$532,"Neuron",$W$2:$W$532,$W116)&gt;1)
),"Yes","No"),
IF($A116="Cybernet",
IF(OR(
AND($Y116&lt;&gt;"",LOWER(TRIM($Y116))&lt;&gt;"n/a",COUNTIFS($B$2:$B$532,"Yes",$A$2:$A$532,"Cybernet",$Y$2:$Y$532,$Y116)&gt;1),
AND($Z116&lt;&gt;"",LOWER(TRIM($Z116))&lt;&gt;"n/a",COUNTIFS($B$2:$B$532,"Yes",$A$2:$A$532,"Cybernet",$Z$2:$Z$532,$Z116)&gt;1)
),"Yes","No"),
IF(AND($AL116&lt;&gt;"",LOWER(TRIM($AL116))&lt;&gt;"n/a"),
IF(COUNTIFS($B$2:$B$532,"Yes",$A$2:$A$532,$A116,$AL$2:$AL$532,$AL116)&gt;1,"Yes","No"),
"No")
)
)
)</f>
      </c>
      <c r="G116" t="s">
        <v>1880</v>
      </c>
      <c r="H116" t="s">
        <v>2235</v>
      </c>
      <c r="I116" t="s">
        <v>1831</v>
      </c>
      <c r="J116" t="s">
        <v>1727</v>
      </c>
      <c r="K116" t="s">
        <v>1657</v>
      </c>
      <c r="L116" t="s">
        <v>1657</v>
      </c>
      <c r="R116" t="s">
        <v>2083</v>
      </c>
      <c r="Y116" t="s">
        <v>1912</v>
      </c>
      <c r="Z116" t="s">
        <v>1965</v>
      </c>
      <c r="BI116" t="s">
        <v>1630</v>
      </c>
      <c r="BL116">
        <f>IF($T116="","",IF((IF(AND($AW116&lt;&gt;"Yes",$AW116&lt;&gt;"N/A"),"Power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",""))="","",LEFT(IF(AND($AW116&lt;&gt;"Yes",$AW116&lt;&gt;"N/A"),"Power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",""),LEN(IF(AND($AW116&lt;&gt;"Yes",$AW116&lt;&gt;"N/A"),"Power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",""))-2)))</f>
      </c>
      <c r="BM116">
        <f>IF($T116="","",IF($BL116="","Yes","Blocked"))</f>
      </c>
      <c r="BP116">
        <f>IF($BO116="","",IFERROR(VLOOKUP($BO116,'01_Warehouse_Ledger'!$A:$N,4,FALSE),""))</f>
      </c>
      <c r="BQ116">
        <f>IF($BO116="","",IFERROR(VLOOKUP($BO116,'01_Warehouse_Ledger'!$A:$N,5,FALSE),""))</f>
      </c>
      <c r="BR116">
        <f>IF($BO116="","",IFERROR(VLOOKUP($BO116,'01_Warehouse_Ledger'!$A:$N,13,FALSE),""))</f>
      </c>
    </row>
    <row r="117">
      <c r="A117" t="s">
        <v>1415</v>
      </c>
      <c r="B117" t="s">
        <v>1727</v>
      </c>
      <c r="C117" t="s">
        <v>1727</v>
      </c>
      <c r="D117">
        <f>IF($B117&lt;&gt;"Yes","",IF($C117="No","Yes",IF($C117="Yes","No","")))</f>
      </c>
      <c r="E117">
        <f>IF($A117="","",IF($A117="Neuron",IF(OR(AND($R117&lt;&gt;"",LOWER(TRIM($R117))&lt;&gt;"n/a",COUNTIF($S$2:$S$532,$R117)&gt;1),AND($T117&lt;&gt;"",LOWER(TRIM($T117))&lt;&gt;"n/a",COUNTIF($T$2:$T$532,$T117)&gt;1),AND($W117&lt;&gt;"",LOWER(TRIM($W117))&lt;&gt;"n/a",COUNTIF($W$2:$W$532,$W117)&gt;1)),"Yes","No"),IF($A117="Cybernet",IF(OR(AND($Y117&lt;&gt;"",LOWER(TRIM($Y117))&lt;&gt;"n/a",COUNTIF($Y$2:$Y$532,$Y117)&gt;1),AND($Z117&lt;&gt;"",LOWER(TRIM($Z117))&lt;&gt;"n/a",COUNTIF($Z$2:$Z$532,$Z117)&gt;1)),"Yes","No"),IF(AND($AL117&lt;&gt;"",LOWER(TRIM($AL117))&lt;&gt;"n/a",COUNTIF($AL$2:$AL$532,$AL117)&gt;1),"Yes","No"))))</f>
      </c>
      <c r="F117">
        <f>IF($B117&lt;&gt;"Yes","",
IF($A117="Neuron",
IF(OR(
AND($R117&lt;&gt;"",LOWER(TRIM($R117))&lt;&gt;"n/a",COUNTIFS($B$2:$B$532,"Yes",$A$2:$A$532,"Neuron",$S$2:$S$532,$R117)&gt;1),
AND($T117&lt;&gt;"",LOWER(TRIM($T117))&lt;&gt;"n/a",COUNTIFS($B$2:$B$532,"Yes",$A$2:$A$532,"Neuron",$T$2:$T$532,$T117)&gt;1),
AND($W117&lt;&gt;"",LOWER(TRIM($W117))&lt;&gt;"n/a",COUNTIFS($B$2:$B$532,"Yes",$A$2:$A$532,"Neuron",$W$2:$W$532,$W117)&gt;1)
),"Yes","No"),
IF($A117="Cybernet",
IF(OR(
AND($Y117&lt;&gt;"",LOWER(TRIM($Y117))&lt;&gt;"n/a",COUNTIFS($B$2:$B$532,"Yes",$A$2:$A$532,"Cybernet",$Y$2:$Y$532,$Y117)&gt;1),
AND($Z117&lt;&gt;"",LOWER(TRIM($Z117))&lt;&gt;"n/a",COUNTIFS($B$2:$B$532,"Yes",$A$2:$A$532,"Cybernet",$Z$2:$Z$532,$Z117)&gt;1)
),"Yes","No"),
IF(AND($AL117&lt;&gt;"",LOWER(TRIM($AL117))&lt;&gt;"n/a"),
IF(COUNTIFS($B$2:$B$532,"Yes",$A$2:$A$532,$A117,$AL$2:$AL$532,$AL117)&gt;1,"Yes","No"),
"No")
)
)
)</f>
      </c>
      <c r="G117" t="s">
        <v>2235</v>
      </c>
      <c r="H117" t="s">
        <v>2235</v>
      </c>
      <c r="I117" t="s">
        <v>1831</v>
      </c>
      <c r="J117" t="s">
        <v>1727</v>
      </c>
      <c r="K117" t="s">
        <v>1727</v>
      </c>
      <c r="L117" t="s">
        <v>1727</v>
      </c>
      <c r="M117" t="s">
        <v>2162</v>
      </c>
      <c r="N117" t="s">
        <v>2376</v>
      </c>
      <c r="O117" t="s">
        <v>1380</v>
      </c>
      <c r="P117" t="s">
        <v>2098</v>
      </c>
      <c r="Q117">
        <v>46075.0</v>
      </c>
      <c r="R117" t="s">
        <v>2154</v>
      </c>
      <c r="S117" t="s">
        <v>1631</v>
      </c>
      <c r="T117" t="s">
        <v>1950</v>
      </c>
      <c r="U117" t="s">
        <v>1380</v>
      </c>
      <c r="Y117" t="s">
        <v>2384</v>
      </c>
      <c r="Z117" t="s">
        <v>2094</v>
      </c>
      <c r="AA117" t="s">
        <v>2031</v>
      </c>
      <c r="AD117" t="s">
        <v>1750</v>
      </c>
      <c r="AE117">
        <v>2</v>
      </c>
      <c r="AF117" t="s">
        <v>2097</v>
      </c>
      <c r="AG117" t="s">
        <v>1780</v>
      </c>
      <c r="AJ117" t="s">
        <v>2124</v>
      </c>
      <c r="AK117" t="s">
        <v>2249</v>
      </c>
      <c r="AL117" t="s">
        <v>1750</v>
      </c>
      <c r="AM117" t="s">
        <v>1307</v>
      </c>
      <c r="AR117" t="s">
        <v>2053</v>
      </c>
      <c r="AW117" t="s">
        <v>1727</v>
      </c>
      <c r="AX117" t="s">
        <v>1727</v>
      </c>
      <c r="AY117" t="s">
        <v>1727</v>
      </c>
      <c r="AZ117" t="s">
        <v>1727</v>
      </c>
      <c r="BI117" t="s">
        <v>1630</v>
      </c>
      <c r="BL117">
        <f>IF($T117="","",IF((IF(AND($AW117&lt;&gt;"Yes",$AW117&lt;&gt;"N/A"),"Power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",""))="","",LEFT(IF(AND($AW117&lt;&gt;"Yes",$AW117&lt;&gt;"N/A"),"Power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",""),LEN(IF(AND($AW117&lt;&gt;"Yes",$AW117&lt;&gt;"N/A"),"Power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",""))-2)))</f>
      </c>
      <c r="BM117">
        <f>IF($T117="","",IF($BL117="","Yes","Blocked"))</f>
      </c>
      <c r="BP117">
        <f>IF($BO117="","",IFERROR(VLOOKUP($BO117,'01_Warehouse_Ledger'!$A:$N,4,FALSE),""))</f>
      </c>
      <c r="BQ117">
        <f>IF($BO117="","",IFERROR(VLOOKUP($BO117,'01_Warehouse_Ledger'!$A:$N,5,FALSE),""))</f>
      </c>
      <c r="BR117">
        <f>IF($BO117="","",IFERROR(VLOOKUP($BO117,'01_Warehouse_Ledger'!$A:$N,13,FALSE),""))</f>
      </c>
      <c r="BS117" t="s">
        <v>1727</v>
      </c>
      <c r="BT117" t="s">
        <v>1727</v>
      </c>
      <c r="BU117" t="s">
        <v>1727</v>
      </c>
      <c r="BV117" t="s">
        <v>1727</v>
      </c>
      <c r="BW117" t="s">
        <v>1727</v>
      </c>
      <c r="BX117">
        <v>19200</v>
      </c>
    </row>
    <row r="118">
      <c r="A118" t="s">
        <v>1415</v>
      </c>
      <c r="B118" t="s">
        <v>1727</v>
      </c>
      <c r="C118" t="s">
        <v>1727</v>
      </c>
      <c r="D118">
        <f>IF($B118&lt;&gt;"Yes","",IF($C118="No","Yes",IF($C118="Yes","No","")))</f>
      </c>
      <c r="E118">
        <f>IF($A118="","",IF($A118="Neuron",IF(OR(AND($R118&lt;&gt;"",LOWER(TRIM($R118))&lt;&gt;"n/a",COUNTIF($S$2:$S$532,$R118)&gt;1),AND($T118&lt;&gt;"",LOWER(TRIM($T118))&lt;&gt;"n/a",COUNTIF($T$2:$T$532,$T118)&gt;1),AND($W118&lt;&gt;"",LOWER(TRIM($W118))&lt;&gt;"n/a",COUNTIF($W$2:$W$532,$W118)&gt;1)),"Yes","No"),IF($A118="Cybernet",IF(OR(AND($Y118&lt;&gt;"",LOWER(TRIM($Y118))&lt;&gt;"n/a",COUNTIF($Y$2:$Y$532,$Y118)&gt;1),AND($Z118&lt;&gt;"",LOWER(TRIM($Z118))&lt;&gt;"n/a",COUNTIF($Z$2:$Z$532,$Z118)&gt;1)),"Yes","No"),IF(AND($AL118&lt;&gt;"",LOWER(TRIM($AL118))&lt;&gt;"n/a",COUNTIF($AL$2:$AL$532,$AL118)&gt;1),"Yes","No"))))</f>
      </c>
      <c r="F118">
        <f>IF($B118&lt;&gt;"Yes","",
IF($A118="Neuron",
IF(OR(
AND($R118&lt;&gt;"",LOWER(TRIM($R118))&lt;&gt;"n/a",COUNTIFS($B$2:$B$532,"Yes",$A$2:$A$532,"Neuron",$S$2:$S$532,$R118)&gt;1),
AND($T118&lt;&gt;"",LOWER(TRIM($T118))&lt;&gt;"n/a",COUNTIFS($B$2:$B$532,"Yes",$A$2:$A$532,"Neuron",$T$2:$T$532,$T118)&gt;1),
AND($W118&lt;&gt;"",LOWER(TRIM($W118))&lt;&gt;"n/a",COUNTIFS($B$2:$B$532,"Yes",$A$2:$A$532,"Neuron",$W$2:$W$532,$W118)&gt;1)
),"Yes","No"),
IF($A118="Cybernet",
IF(OR(
AND($Y118&lt;&gt;"",LOWER(TRIM($Y118))&lt;&gt;"n/a",COUNTIFS($B$2:$B$532,"Yes",$A$2:$A$532,"Cybernet",$Y$2:$Y$532,$Y118)&gt;1),
AND($Z118&lt;&gt;"",LOWER(TRIM($Z118))&lt;&gt;"n/a",COUNTIFS($B$2:$B$532,"Yes",$A$2:$A$532,"Cybernet",$Z$2:$Z$532,$Z118)&gt;1)
),"Yes","No"),
IF(AND($AL118&lt;&gt;"",LOWER(TRIM($AL118))&lt;&gt;"n/a"),
IF(COUNTIFS($B$2:$B$532,"Yes",$A$2:$A$532,$A118,$AL$2:$AL$532,$AL118)&gt;1,"Yes","No"),
"No")
)
)
)</f>
      </c>
      <c r="G118" t="s">
        <v>2235</v>
      </c>
      <c r="H118" t="s">
        <v>2235</v>
      </c>
      <c r="I118" t="s">
        <v>1831</v>
      </c>
      <c r="J118" t="s">
        <v>1727</v>
      </c>
      <c r="K118" t="s">
        <v>1727</v>
      </c>
      <c r="L118" t="s">
        <v>1727</v>
      </c>
      <c r="M118" t="s">
        <v>2162</v>
      </c>
      <c r="N118" t="s">
        <v>2376</v>
      </c>
      <c r="O118" t="s">
        <v>1380</v>
      </c>
      <c r="P118" t="s">
        <v>2098</v>
      </c>
      <c r="Q118">
        <v>46075.0</v>
      </c>
      <c r="R118" t="s">
        <v>2170</v>
      </c>
      <c r="S118" t="s">
        <v>2358</v>
      </c>
      <c r="T118" t="s">
        <v>1746</v>
      </c>
      <c r="U118" t="s">
        <v>1380</v>
      </c>
      <c r="Y118" t="s">
        <v>2038</v>
      </c>
      <c r="Z118" t="s">
        <v>2268</v>
      </c>
      <c r="AA118" t="s">
        <v>2031</v>
      </c>
      <c r="AD118" t="s">
        <v>1819</v>
      </c>
      <c r="AE118">
        <v>2</v>
      </c>
      <c r="AF118" t="s">
        <v>2097</v>
      </c>
      <c r="AG118" t="s">
        <v>1887</v>
      </c>
      <c r="AJ118" t="s">
        <v>2124</v>
      </c>
      <c r="AK118" t="s">
        <v>2249</v>
      </c>
      <c r="AL118" t="s">
        <v>1819</v>
      </c>
      <c r="AM118" t="s">
        <v>1307</v>
      </c>
      <c r="AR118" t="s">
        <v>2176</v>
      </c>
      <c r="AW118" t="s">
        <v>1727</v>
      </c>
      <c r="AX118" t="s">
        <v>1727</v>
      </c>
      <c r="AY118" t="s">
        <v>1727</v>
      </c>
      <c r="AZ118" t="s">
        <v>1727</v>
      </c>
      <c r="BI118" t="s">
        <v>1630</v>
      </c>
      <c r="BL118">
        <f>IF($T118="","",IF((IF(AND($AW118&lt;&gt;"Yes",$AW118&lt;&gt;"N/A"),"Power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",""))="","",LEFT(IF(AND($AW118&lt;&gt;"Yes",$AW118&lt;&gt;"N/A"),"Power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",""),LEN(IF(AND($AW118&lt;&gt;"Yes",$AW118&lt;&gt;"N/A"),"Power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",""))-2)))</f>
      </c>
      <c r="BM118">
        <f>IF($T118="","",IF($BL118="","Yes","Blocked"))</f>
      </c>
      <c r="BP118">
        <f>IF($BO118="","",IFERROR(VLOOKUP($BO118,'01_Warehouse_Ledger'!$A:$N,4,FALSE),""))</f>
      </c>
      <c r="BQ118">
        <f>IF($BO118="","",IFERROR(VLOOKUP($BO118,'01_Warehouse_Ledger'!$A:$N,5,FALSE),""))</f>
      </c>
      <c r="BR118">
        <f>IF($BO118="","",IFERROR(VLOOKUP($BO118,'01_Warehouse_Ledger'!$A:$N,13,FALSE),""))</f>
      </c>
      <c r="BS118" t="s">
        <v>1727</v>
      </c>
      <c r="BT118" t="s">
        <v>1727</v>
      </c>
      <c r="BU118" t="s">
        <v>1727</v>
      </c>
      <c r="BV118" t="s">
        <v>1727</v>
      </c>
      <c r="BW118" t="s">
        <v>1727</v>
      </c>
      <c r="BX118">
        <v>19200</v>
      </c>
    </row>
    <row r="119">
      <c r="A119" t="s">
        <v>1415</v>
      </c>
      <c r="C119" t="s">
        <v>1657</v>
      </c>
      <c r="D119">
        <f>IF($B119&lt;&gt;"Yes","",IF($C119="No","Yes",IF($C119="Yes","No","")))</f>
      </c>
      <c r="E119">
        <f>IF($A119="","",IF($A119="Neuron",IF(OR(AND($R119&lt;&gt;"",LOWER(TRIM($R119))&lt;&gt;"n/a",COUNTIF($S$2:$S$532,$R119)&gt;1),AND($T119&lt;&gt;"",LOWER(TRIM($T119))&lt;&gt;"n/a",COUNTIF($T$2:$T$532,$T119)&gt;1),AND($W119&lt;&gt;"",LOWER(TRIM($W119))&lt;&gt;"n/a",COUNTIF($W$2:$W$532,$W119)&gt;1)),"Yes","No"),IF($A119="Cybernet",IF(OR(AND($Y119&lt;&gt;"",LOWER(TRIM($Y119))&lt;&gt;"n/a",COUNTIF($Y$2:$Y$532,$Y119)&gt;1),AND($Z119&lt;&gt;"",LOWER(TRIM($Z119))&lt;&gt;"n/a",COUNTIF($Z$2:$Z$532,$Z119)&gt;1)),"Yes","No"),IF(AND($AL119&lt;&gt;"",LOWER(TRIM($AL119))&lt;&gt;"n/a",COUNTIF($AL$2:$AL$532,$AL119)&gt;1),"Yes","No"))))</f>
      </c>
      <c r="F119">
        <f>IF($B119&lt;&gt;"Yes","",
IF($A119="Neuron",
IF(OR(
AND($R119&lt;&gt;"",LOWER(TRIM($R119))&lt;&gt;"n/a",COUNTIFS($B$2:$B$532,"Yes",$A$2:$A$532,"Neuron",$S$2:$S$532,$R119)&gt;1),
AND($T119&lt;&gt;"",LOWER(TRIM($T119))&lt;&gt;"n/a",COUNTIFS($B$2:$B$532,"Yes",$A$2:$A$532,"Neuron",$T$2:$T$532,$T119)&gt;1),
AND($W119&lt;&gt;"",LOWER(TRIM($W119))&lt;&gt;"n/a",COUNTIFS($B$2:$B$532,"Yes",$A$2:$A$532,"Neuron",$W$2:$W$532,$W119)&gt;1)
),"Yes","No"),
IF($A119="Cybernet",
IF(OR(
AND($Y119&lt;&gt;"",LOWER(TRIM($Y119))&lt;&gt;"n/a",COUNTIFS($B$2:$B$532,"Yes",$A$2:$A$532,"Cybernet",$Y$2:$Y$532,$Y119)&gt;1),
AND($Z119&lt;&gt;"",LOWER(TRIM($Z119))&lt;&gt;"n/a",COUNTIFS($B$2:$B$532,"Yes",$A$2:$A$532,"Cybernet",$Z$2:$Z$532,$Z119)&gt;1)
),"Yes","No"),
IF(AND($AL119&lt;&gt;"",LOWER(TRIM($AL119))&lt;&gt;"n/a"),
IF(COUNTIFS($B$2:$B$532,"Yes",$A$2:$A$532,$A119,$AL$2:$AL$532,$AL119)&gt;1,"Yes","No"),
"No")
)
)
)</f>
      </c>
      <c r="G119" t="s">
        <v>1880</v>
      </c>
      <c r="H119" t="s">
        <v>2357</v>
      </c>
      <c r="I119" t="s">
        <v>1831</v>
      </c>
      <c r="J119" t="s">
        <v>1727</v>
      </c>
      <c r="K119" t="s">
        <v>1657</v>
      </c>
      <c r="L119" t="s">
        <v>1657</v>
      </c>
      <c r="R119" t="s">
        <v>2000</v>
      </c>
      <c r="Y119" t="s">
        <v>2174</v>
      </c>
      <c r="Z119" t="s">
        <v>2305</v>
      </c>
      <c r="BI119" t="s">
        <v>1630</v>
      </c>
      <c r="BL119">
        <f>IF($T119="","",IF((IF(AND($AW119&lt;&gt;"Yes",$AW119&lt;&gt;"N/A"),"Power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",""))="","",LEFT(IF(AND($AW119&lt;&gt;"Yes",$AW119&lt;&gt;"N/A"),"Power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",""),LEN(IF(AND($AW119&lt;&gt;"Yes",$AW119&lt;&gt;"N/A"),"Power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",""))-2)))</f>
      </c>
      <c r="BM119">
        <f>IF($T119="","",IF($BL119="","Yes","Blocked"))</f>
      </c>
      <c r="BP119">
        <f>IF($BO119="","",IFERROR(VLOOKUP($BO119,'01_Warehouse_Ledger'!$A:$N,4,FALSE),""))</f>
      </c>
      <c r="BQ119">
        <f>IF($BO119="","",IFERROR(VLOOKUP($BO119,'01_Warehouse_Ledger'!$A:$N,5,FALSE),""))</f>
      </c>
      <c r="BR119">
        <f>IF($BO119="","",IFERROR(VLOOKUP($BO119,'01_Warehouse_Ledger'!$A:$N,13,FALSE),""))</f>
      </c>
    </row>
    <row r="120">
      <c r="A120" t="s">
        <v>1415</v>
      </c>
      <c r="B120" t="s">
        <v>1727</v>
      </c>
      <c r="C120" t="s">
        <v>1727</v>
      </c>
      <c r="D120">
        <f>IF($B120&lt;&gt;"Yes","",IF($C120="No","Yes",IF($C120="Yes","No","")))</f>
      </c>
      <c r="E120">
        <f>IF($A120="","",IF($A120="Neuron",IF(OR(AND($R120&lt;&gt;"",LOWER(TRIM($R120))&lt;&gt;"n/a",COUNTIF($S$2:$S$532,$R120)&gt;1),AND($T120&lt;&gt;"",LOWER(TRIM($T120))&lt;&gt;"n/a",COUNTIF($T$2:$T$532,$T120)&gt;1),AND($W120&lt;&gt;"",LOWER(TRIM($W120))&lt;&gt;"n/a",COUNTIF($W$2:$W$532,$W120)&gt;1)),"Yes","No"),IF($A120="Cybernet",IF(OR(AND($Y120&lt;&gt;"",LOWER(TRIM($Y120))&lt;&gt;"n/a",COUNTIF($Y$2:$Y$532,$Y120)&gt;1),AND($Z120&lt;&gt;"",LOWER(TRIM($Z120))&lt;&gt;"n/a",COUNTIF($Z$2:$Z$532,$Z120)&gt;1)),"Yes","No"),IF(AND($AL120&lt;&gt;"",LOWER(TRIM($AL120))&lt;&gt;"n/a",COUNTIF($AL$2:$AL$532,$AL120)&gt;1),"Yes","No"))))</f>
      </c>
      <c r="F120">
        <f>IF($B120&lt;&gt;"Yes","",
IF($A120="Neuron",
IF(OR(
AND($R120&lt;&gt;"",LOWER(TRIM($R120))&lt;&gt;"n/a",COUNTIFS($B$2:$B$532,"Yes",$A$2:$A$532,"Neuron",$S$2:$S$532,$R120)&gt;1),
AND($T120&lt;&gt;"",LOWER(TRIM($T120))&lt;&gt;"n/a",COUNTIFS($B$2:$B$532,"Yes",$A$2:$A$532,"Neuron",$T$2:$T$532,$T120)&gt;1),
AND($W120&lt;&gt;"",LOWER(TRIM($W120))&lt;&gt;"n/a",COUNTIFS($B$2:$B$532,"Yes",$A$2:$A$532,"Neuron",$W$2:$W$532,$W120)&gt;1)
),"Yes","No"),
IF($A120="Cybernet",
IF(OR(
AND($Y120&lt;&gt;"",LOWER(TRIM($Y120))&lt;&gt;"n/a",COUNTIFS($B$2:$B$532,"Yes",$A$2:$A$532,"Cybernet",$Y$2:$Y$532,$Y120)&gt;1),
AND($Z120&lt;&gt;"",LOWER(TRIM($Z120))&lt;&gt;"n/a",COUNTIFS($B$2:$B$532,"Yes",$A$2:$A$532,"Cybernet",$Z$2:$Z$532,$Z120)&gt;1)
),"Yes","No"),
IF(AND($AL120&lt;&gt;"",LOWER(TRIM($AL120))&lt;&gt;"n/a"),
IF(COUNTIFS($B$2:$B$532,"Yes",$A$2:$A$532,$A120,$AL$2:$AL$532,$AL120)&gt;1,"Yes","No"),
"No")
)
)
)</f>
      </c>
      <c r="G120" t="s">
        <v>2235</v>
      </c>
      <c r="H120" t="s">
        <v>2235</v>
      </c>
      <c r="I120" t="s">
        <v>1831</v>
      </c>
      <c r="J120" t="s">
        <v>1727</v>
      </c>
      <c r="K120" t="s">
        <v>1727</v>
      </c>
      <c r="L120" t="s">
        <v>1727</v>
      </c>
      <c r="M120" t="s">
        <v>2162</v>
      </c>
      <c r="N120" t="s">
        <v>2376</v>
      </c>
      <c r="O120" t="s">
        <v>1380</v>
      </c>
      <c r="P120" t="s">
        <v>2098</v>
      </c>
      <c r="Q120">
        <v>46075.0</v>
      </c>
      <c r="R120" t="s">
        <v>1945</v>
      </c>
      <c r="S120" t="s">
        <v>2200</v>
      </c>
      <c r="T120" t="s">
        <v>1791</v>
      </c>
      <c r="U120" t="s">
        <v>1380</v>
      </c>
      <c r="Y120" t="s">
        <v>1979</v>
      </c>
      <c r="Z120" t="s">
        <v>2388</v>
      </c>
      <c r="AA120" t="s">
        <v>2031</v>
      </c>
      <c r="AD120" t="s">
        <v>2391</v>
      </c>
      <c r="AE120">
        <v>2</v>
      </c>
      <c r="AF120" t="s">
        <v>2097</v>
      </c>
      <c r="AG120" t="s">
        <v>1916</v>
      </c>
      <c r="AJ120" t="s">
        <v>2124</v>
      </c>
      <c r="AK120" t="s">
        <v>2249</v>
      </c>
      <c r="AL120" t="s">
        <v>2391</v>
      </c>
      <c r="AM120" t="s">
        <v>1307</v>
      </c>
      <c r="AR120" t="s">
        <v>1957</v>
      </c>
      <c r="AW120" t="s">
        <v>1727</v>
      </c>
      <c r="AX120" t="s">
        <v>1727</v>
      </c>
      <c r="AY120" t="s">
        <v>1727</v>
      </c>
      <c r="AZ120" t="s">
        <v>1727</v>
      </c>
      <c r="BI120" t="s">
        <v>1630</v>
      </c>
      <c r="BL120">
        <f>IF($T120="","",IF((IF(AND($AW120&lt;&gt;"Yes",$AW120&lt;&gt;"N/A"),"Power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",""))="","",LEFT(IF(AND($AW120&lt;&gt;"Yes",$AW120&lt;&gt;"N/A"),"Power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",""),LEN(IF(AND($AW120&lt;&gt;"Yes",$AW120&lt;&gt;"N/A"),"Power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",""))-2)))</f>
      </c>
      <c r="BM120">
        <f>IF($T120="","",IF($BL120="","Yes","Blocked"))</f>
      </c>
      <c r="BP120">
        <f>IF($BO120="","",IFERROR(VLOOKUP($BO120,'01_Warehouse_Ledger'!$A:$N,4,FALSE),""))</f>
      </c>
      <c r="BQ120">
        <f>IF($BO120="","",IFERROR(VLOOKUP($BO120,'01_Warehouse_Ledger'!$A:$N,5,FALSE),""))</f>
      </c>
      <c r="BR120">
        <f>IF($BO120="","",IFERROR(VLOOKUP($BO120,'01_Warehouse_Ledger'!$A:$N,13,FALSE),""))</f>
      </c>
      <c r="BS120" t="s">
        <v>1727</v>
      </c>
      <c r="BT120" t="s">
        <v>1727</v>
      </c>
      <c r="BU120" t="s">
        <v>1727</v>
      </c>
      <c r="BV120" t="s">
        <v>1727</v>
      </c>
      <c r="BW120" t="s">
        <v>1727</v>
      </c>
      <c r="BX120">
        <v>19200</v>
      </c>
    </row>
    <row r="121">
      <c r="A121" t="s">
        <v>1415</v>
      </c>
      <c r="C121" t="s">
        <v>1657</v>
      </c>
      <c r="D121">
        <f>IF($B121&lt;&gt;"Yes","",IF($C121="No","Yes",IF($C121="Yes","No","")))</f>
      </c>
      <c r="E121">
        <f>IF($A121="","",IF($A121="Neuron",IF(OR(AND($R121&lt;&gt;"",LOWER(TRIM($R121))&lt;&gt;"n/a",COUNTIF($S$2:$S$532,$R121)&gt;1),AND($T121&lt;&gt;"",LOWER(TRIM($T121))&lt;&gt;"n/a",COUNTIF($T$2:$T$532,$T121)&gt;1),AND($W121&lt;&gt;"",LOWER(TRIM($W121))&lt;&gt;"n/a",COUNTIF($W$2:$W$532,$W121)&gt;1)),"Yes","No"),IF($A121="Cybernet",IF(OR(AND($Y121&lt;&gt;"",LOWER(TRIM($Y121))&lt;&gt;"n/a",COUNTIF($Y$2:$Y$532,$Y121)&gt;1),AND($Z121&lt;&gt;"",LOWER(TRIM($Z121))&lt;&gt;"n/a",COUNTIF($Z$2:$Z$532,$Z121)&gt;1)),"Yes","No"),IF(AND($AL121&lt;&gt;"",LOWER(TRIM($AL121))&lt;&gt;"n/a",COUNTIF($AL$2:$AL$532,$AL121)&gt;1),"Yes","No"))))</f>
      </c>
      <c r="F121">
        <f>IF($B121&lt;&gt;"Yes","",
IF($A121="Neuron",
IF(OR(
AND($R121&lt;&gt;"",LOWER(TRIM($R121))&lt;&gt;"n/a",COUNTIFS($B$2:$B$532,"Yes",$A$2:$A$532,"Neuron",$S$2:$S$532,$R121)&gt;1),
AND($T121&lt;&gt;"",LOWER(TRIM($T121))&lt;&gt;"n/a",COUNTIFS($B$2:$B$532,"Yes",$A$2:$A$532,"Neuron",$T$2:$T$532,$T121)&gt;1),
AND($W121&lt;&gt;"",LOWER(TRIM($W121))&lt;&gt;"n/a",COUNTIFS($B$2:$B$532,"Yes",$A$2:$A$532,"Neuron",$W$2:$W$532,$W121)&gt;1)
),"Yes","No"),
IF($A121="Cybernet",
IF(OR(
AND($Y121&lt;&gt;"",LOWER(TRIM($Y121))&lt;&gt;"n/a",COUNTIFS($B$2:$B$532,"Yes",$A$2:$A$532,"Cybernet",$Y$2:$Y$532,$Y121)&gt;1),
AND($Z121&lt;&gt;"",LOWER(TRIM($Z121))&lt;&gt;"n/a",COUNTIFS($B$2:$B$532,"Yes",$A$2:$A$532,"Cybernet",$Z$2:$Z$532,$Z121)&gt;1)
),"Yes","No"),
IF(AND($AL121&lt;&gt;"",LOWER(TRIM($AL121))&lt;&gt;"n/a"),
IF(COUNTIFS($B$2:$B$532,"Yes",$A$2:$A$532,$A121,$AL$2:$AL$532,$AL121)&gt;1,"Yes","No"),
"No")
)
)
)</f>
      </c>
      <c r="G121" t="s">
        <v>1880</v>
      </c>
      <c r="H121" t="s">
        <v>2235</v>
      </c>
      <c r="I121" t="s">
        <v>1831</v>
      </c>
      <c r="J121" t="s">
        <v>1727</v>
      </c>
      <c r="K121" t="s">
        <v>1657</v>
      </c>
      <c r="L121" t="s">
        <v>1657</v>
      </c>
      <c r="R121" t="s">
        <v>2067</v>
      </c>
      <c r="Y121" t="s">
        <v>1988</v>
      </c>
      <c r="Z121" t="s">
        <v>2318</v>
      </c>
      <c r="BI121" t="s">
        <v>1630</v>
      </c>
      <c r="BL121">
        <f>IF($T121="","",IF((IF(AND($AW121&lt;&gt;"Yes",$AW121&lt;&gt;"N/A"),"Power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",""))="","",LEFT(IF(AND($AW121&lt;&gt;"Yes",$AW121&lt;&gt;"N/A"),"Power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",""),LEN(IF(AND($AW121&lt;&gt;"Yes",$AW121&lt;&gt;"N/A"),"Power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",""))-2)))</f>
      </c>
      <c r="BM121">
        <f>IF($T121="","",IF($BL121="","Yes","Blocked"))</f>
      </c>
      <c r="BP121">
        <f>IF($BO121="","",IFERROR(VLOOKUP($BO121,'01_Warehouse_Ledger'!$A:$N,4,FALSE),""))</f>
      </c>
      <c r="BQ121">
        <f>IF($BO121="","",IFERROR(VLOOKUP($BO121,'01_Warehouse_Ledger'!$A:$N,5,FALSE),""))</f>
      </c>
      <c r="BR121">
        <f>IF($BO121="","",IFERROR(VLOOKUP($BO121,'01_Warehouse_Ledger'!$A:$N,13,FALSE),""))</f>
      </c>
    </row>
    <row r="122">
      <c r="A122" t="s">
        <v>1415</v>
      </c>
      <c r="C122" t="s">
        <v>1657</v>
      </c>
      <c r="D122">
        <f>IF($B122&lt;&gt;"Yes","",IF($C122="No","Yes",IF($C122="Yes","No","")))</f>
      </c>
      <c r="E122">
        <f>IF($A122="","",IF($A122="Neuron",IF(OR(AND($R122&lt;&gt;"",LOWER(TRIM($R122))&lt;&gt;"n/a",COUNTIF($S$2:$S$532,$R122)&gt;1),AND($T122&lt;&gt;"",LOWER(TRIM($T122))&lt;&gt;"n/a",COUNTIF($T$2:$T$532,$T122)&gt;1),AND($W122&lt;&gt;"",LOWER(TRIM($W122))&lt;&gt;"n/a",COUNTIF($W$2:$W$532,$W122)&gt;1)),"Yes","No"),IF($A122="Cybernet",IF(OR(AND($Y122&lt;&gt;"",LOWER(TRIM($Y122))&lt;&gt;"n/a",COUNTIF($Y$2:$Y$532,$Y122)&gt;1),AND($Z122&lt;&gt;"",LOWER(TRIM($Z122))&lt;&gt;"n/a",COUNTIF($Z$2:$Z$532,$Z122)&gt;1)),"Yes","No"),IF(AND($AL122&lt;&gt;"",LOWER(TRIM($AL122))&lt;&gt;"n/a",COUNTIF($AL$2:$AL$532,$AL122)&gt;1),"Yes","No"))))</f>
      </c>
      <c r="F122">
        <f>IF($B122&lt;&gt;"Yes","",
IF($A122="Neuron",
IF(OR(
AND($R122&lt;&gt;"",LOWER(TRIM($R122))&lt;&gt;"n/a",COUNTIFS($B$2:$B$532,"Yes",$A$2:$A$532,"Neuron",$S$2:$S$532,$R122)&gt;1),
AND($T122&lt;&gt;"",LOWER(TRIM($T122))&lt;&gt;"n/a",COUNTIFS($B$2:$B$532,"Yes",$A$2:$A$532,"Neuron",$T$2:$T$532,$T122)&gt;1),
AND($W122&lt;&gt;"",LOWER(TRIM($W122))&lt;&gt;"n/a",COUNTIFS($B$2:$B$532,"Yes",$A$2:$A$532,"Neuron",$W$2:$W$532,$W122)&gt;1)
),"Yes","No"),
IF($A122="Cybernet",
IF(OR(
AND($Y122&lt;&gt;"",LOWER(TRIM($Y122))&lt;&gt;"n/a",COUNTIFS($B$2:$B$532,"Yes",$A$2:$A$532,"Cybernet",$Y$2:$Y$532,$Y122)&gt;1),
AND($Z122&lt;&gt;"",LOWER(TRIM($Z122))&lt;&gt;"n/a",COUNTIFS($B$2:$B$532,"Yes",$A$2:$A$532,"Cybernet",$Z$2:$Z$532,$Z122)&gt;1)
),"Yes","No"),
IF(AND($AL122&lt;&gt;"",LOWER(TRIM($AL122))&lt;&gt;"n/a"),
IF(COUNTIFS($B$2:$B$532,"Yes",$A$2:$A$532,$A122,$AL$2:$AL$532,$AL122)&gt;1,"Yes","No"),
"No")
)
)
)</f>
      </c>
      <c r="G122" t="s">
        <v>1880</v>
      </c>
      <c r="H122" t="s">
        <v>2235</v>
      </c>
      <c r="I122" t="s">
        <v>1831</v>
      </c>
      <c r="J122" t="s">
        <v>1727</v>
      </c>
      <c r="K122" t="s">
        <v>1657</v>
      </c>
      <c r="L122" t="s">
        <v>1657</v>
      </c>
      <c r="R122" t="s">
        <v>1751</v>
      </c>
      <c r="Y122" t="s">
        <v>1768</v>
      </c>
      <c r="Z122" t="s">
        <v>1906</v>
      </c>
      <c r="BI122" t="s">
        <v>1630</v>
      </c>
      <c r="BL122">
        <f>IF($T122="","",IF((IF(AND($AW122&lt;&gt;"Yes",$AW122&lt;&gt;"N/A"),"Power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",""))="","",LEFT(IF(AND($AW122&lt;&gt;"Yes",$AW122&lt;&gt;"N/A"),"Power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",""),LEN(IF(AND($AW122&lt;&gt;"Yes",$AW122&lt;&gt;"N/A"),"Power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",""))-2)))</f>
      </c>
      <c r="BM122">
        <f>IF($T122="","",IF($BL122="","Yes","Blocked"))</f>
      </c>
      <c r="BP122">
        <f>IF($BO122="","",IFERROR(VLOOKUP($BO122,'01_Warehouse_Ledger'!$A:$N,4,FALSE),""))</f>
      </c>
      <c r="BQ122">
        <f>IF($BO122="","",IFERROR(VLOOKUP($BO122,'01_Warehouse_Ledger'!$A:$N,5,FALSE),""))</f>
      </c>
      <c r="BR122">
        <f>IF($BO122="","",IFERROR(VLOOKUP($BO122,'01_Warehouse_Ledger'!$A:$N,13,FALSE),""))</f>
      </c>
    </row>
    <row r="123">
      <c r="A123" t="s">
        <v>1415</v>
      </c>
      <c r="B123" t="s">
        <v>1727</v>
      </c>
      <c r="C123" t="s">
        <v>1727</v>
      </c>
      <c r="D123">
        <f>IF($B123&lt;&gt;"Yes","",IF($C123="No","Yes",IF($C123="Yes","No","")))</f>
      </c>
      <c r="E123">
        <f>IF($A123="","",IF($A123="Neuron",IF(OR(AND($R123&lt;&gt;"",LOWER(TRIM($R123))&lt;&gt;"n/a",COUNTIF($S$2:$S$532,$R123)&gt;1),AND($T123&lt;&gt;"",LOWER(TRIM($T123))&lt;&gt;"n/a",COUNTIF($T$2:$T$532,$T123)&gt;1),AND($W123&lt;&gt;"",LOWER(TRIM($W123))&lt;&gt;"n/a",COUNTIF($W$2:$W$532,$W123)&gt;1)),"Yes","No"),IF($A123="Cybernet",IF(OR(AND($Y123&lt;&gt;"",LOWER(TRIM($Y123))&lt;&gt;"n/a",COUNTIF($Y$2:$Y$532,$Y123)&gt;1),AND($Z123&lt;&gt;"",LOWER(TRIM($Z123))&lt;&gt;"n/a",COUNTIF($Z$2:$Z$532,$Z123)&gt;1)),"Yes","No"),IF(AND($AL123&lt;&gt;"",LOWER(TRIM($AL123))&lt;&gt;"n/a",COUNTIF($AL$2:$AL$532,$AL123)&gt;1),"Yes","No"))))</f>
      </c>
      <c r="F123">
        <f>IF($B123&lt;&gt;"Yes","",
IF($A123="Neuron",
IF(OR(
AND($R123&lt;&gt;"",LOWER(TRIM($R123))&lt;&gt;"n/a",COUNTIFS($B$2:$B$532,"Yes",$A$2:$A$532,"Neuron",$S$2:$S$532,$R123)&gt;1),
AND($T123&lt;&gt;"",LOWER(TRIM($T123))&lt;&gt;"n/a",COUNTIFS($B$2:$B$532,"Yes",$A$2:$A$532,"Neuron",$T$2:$T$532,$T123)&gt;1),
AND($W123&lt;&gt;"",LOWER(TRIM($W123))&lt;&gt;"n/a",COUNTIFS($B$2:$B$532,"Yes",$A$2:$A$532,"Neuron",$W$2:$W$532,$W123)&gt;1)
),"Yes","No"),
IF($A123="Cybernet",
IF(OR(
AND($Y123&lt;&gt;"",LOWER(TRIM($Y123))&lt;&gt;"n/a",COUNTIFS($B$2:$B$532,"Yes",$A$2:$A$532,"Cybernet",$Y$2:$Y$532,$Y123)&gt;1),
AND($Z123&lt;&gt;"",LOWER(TRIM($Z123))&lt;&gt;"n/a",COUNTIFS($B$2:$B$532,"Yes",$A$2:$A$532,"Cybernet",$Z$2:$Z$532,$Z123)&gt;1)
),"Yes","No"),
IF(AND($AL123&lt;&gt;"",LOWER(TRIM($AL123))&lt;&gt;"n/a"),
IF(COUNTIFS($B$2:$B$532,"Yes",$A$2:$A$532,$A123,$AL$2:$AL$532,$AL123)&gt;1,"Yes","No"),
"No")
)
)
)</f>
      </c>
      <c r="G123" t="s">
        <v>2235</v>
      </c>
      <c r="H123" t="s">
        <v>2235</v>
      </c>
      <c r="I123" t="s">
        <v>1831</v>
      </c>
      <c r="J123" t="s">
        <v>1727</v>
      </c>
      <c r="K123" t="s">
        <v>1727</v>
      </c>
      <c r="L123" t="s">
        <v>1727</v>
      </c>
      <c r="M123" t="s">
        <v>2162</v>
      </c>
      <c r="N123" t="s">
        <v>2376</v>
      </c>
      <c r="O123" t="s">
        <v>1380</v>
      </c>
      <c r="P123" t="s">
        <v>2098</v>
      </c>
      <c r="Q123">
        <v>46075.0</v>
      </c>
      <c r="R123" t="s">
        <v>2101</v>
      </c>
      <c r="S123" t="s">
        <v>1947</v>
      </c>
      <c r="T123" t="s">
        <v>2153</v>
      </c>
      <c r="U123" t="s">
        <v>1380</v>
      </c>
      <c r="Y123" t="s">
        <v>1678</v>
      </c>
      <c r="Z123" t="s">
        <v>2185</v>
      </c>
      <c r="AA123" t="s">
        <v>2031</v>
      </c>
      <c r="AD123" t="s">
        <v>1728</v>
      </c>
      <c r="AE123">
        <v>2</v>
      </c>
      <c r="AF123" t="s">
        <v>2097</v>
      </c>
      <c r="AG123" t="s">
        <v>2204</v>
      </c>
      <c r="AJ123" t="s">
        <v>2124</v>
      </c>
      <c r="AK123" t="s">
        <v>2249</v>
      </c>
      <c r="AL123" t="s">
        <v>1728</v>
      </c>
      <c r="AM123" t="s">
        <v>1307</v>
      </c>
      <c r="AR123" t="s">
        <v>1814</v>
      </c>
      <c r="AW123" t="s">
        <v>1727</v>
      </c>
      <c r="AX123" t="s">
        <v>1727</v>
      </c>
      <c r="AY123" t="s">
        <v>1727</v>
      </c>
      <c r="AZ123" t="s">
        <v>1727</v>
      </c>
      <c r="BI123" t="s">
        <v>1630</v>
      </c>
      <c r="BL123">
        <f>IF($T123="","",IF((IF(AND($AW123&lt;&gt;"Yes",$AW123&lt;&gt;"N/A"),"Power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",""))="","",LEFT(IF(AND($AW123&lt;&gt;"Yes",$AW123&lt;&gt;"N/A"),"Power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",""),LEN(IF(AND($AW123&lt;&gt;"Yes",$AW123&lt;&gt;"N/A"),"Power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",""))-2)))</f>
      </c>
      <c r="BM123">
        <f>IF($T123="","",IF($BL123="","Yes","Blocked"))</f>
      </c>
      <c r="BP123">
        <f>IF($BO123="","",IFERROR(VLOOKUP($BO123,'01_Warehouse_Ledger'!$A:$N,4,FALSE),""))</f>
      </c>
      <c r="BQ123">
        <f>IF($BO123="","",IFERROR(VLOOKUP($BO123,'01_Warehouse_Ledger'!$A:$N,5,FALSE),""))</f>
      </c>
      <c r="BR123">
        <f>IF($BO123="","",IFERROR(VLOOKUP($BO123,'01_Warehouse_Ledger'!$A:$N,13,FALSE),""))</f>
      </c>
      <c r="BS123" t="s">
        <v>1727</v>
      </c>
      <c r="BT123" t="s">
        <v>1727</v>
      </c>
      <c r="BU123" t="s">
        <v>1727</v>
      </c>
      <c r="BV123" t="s">
        <v>1727</v>
      </c>
      <c r="BW123" t="s">
        <v>1727</v>
      </c>
      <c r="BX123">
        <v>19200</v>
      </c>
    </row>
    <row r="124">
      <c r="A124" t="s">
        <v>1415</v>
      </c>
      <c r="B124" t="s">
        <v>1727</v>
      </c>
      <c r="C124" t="s">
        <v>1727</v>
      </c>
      <c r="D124">
        <f>IF($B124&lt;&gt;"Yes","",IF($C124="No","Yes",IF($C124="Yes","No","")))</f>
      </c>
      <c r="E124">
        <f>IF($A124="","",IF($A124="Neuron",IF(OR(AND($R124&lt;&gt;"",LOWER(TRIM($R124))&lt;&gt;"n/a",COUNTIF($S$2:$S$532,$R124)&gt;1),AND($T124&lt;&gt;"",LOWER(TRIM($T124))&lt;&gt;"n/a",COUNTIF($T$2:$T$532,$T124)&gt;1),AND($W124&lt;&gt;"",LOWER(TRIM($W124))&lt;&gt;"n/a",COUNTIF($W$2:$W$532,$W124)&gt;1)),"Yes","No"),IF($A124="Cybernet",IF(OR(AND($Y124&lt;&gt;"",LOWER(TRIM($Y124))&lt;&gt;"n/a",COUNTIF($Y$2:$Y$532,$Y124)&gt;1),AND($Z124&lt;&gt;"",LOWER(TRIM($Z124))&lt;&gt;"n/a",COUNTIF($Z$2:$Z$532,$Z124)&gt;1)),"Yes","No"),IF(AND($AL124&lt;&gt;"",LOWER(TRIM($AL124))&lt;&gt;"n/a",COUNTIF($AL$2:$AL$532,$AL124)&gt;1),"Yes","No"))))</f>
      </c>
      <c r="F124">
        <f>IF($B124&lt;&gt;"Yes","",
IF($A124="Neuron",
IF(OR(
AND($R124&lt;&gt;"",LOWER(TRIM($R124))&lt;&gt;"n/a",COUNTIFS($B$2:$B$532,"Yes",$A$2:$A$532,"Neuron",$S$2:$S$532,$R124)&gt;1),
AND($T124&lt;&gt;"",LOWER(TRIM($T124))&lt;&gt;"n/a",COUNTIFS($B$2:$B$532,"Yes",$A$2:$A$532,"Neuron",$T$2:$T$532,$T124)&gt;1),
AND($W124&lt;&gt;"",LOWER(TRIM($W124))&lt;&gt;"n/a",COUNTIFS($B$2:$B$532,"Yes",$A$2:$A$532,"Neuron",$W$2:$W$532,$W124)&gt;1)
),"Yes","No"),
IF($A124="Cybernet",
IF(OR(
AND($Y124&lt;&gt;"",LOWER(TRIM($Y124))&lt;&gt;"n/a",COUNTIFS($B$2:$B$532,"Yes",$A$2:$A$532,"Cybernet",$Y$2:$Y$532,$Y124)&gt;1),
AND($Z124&lt;&gt;"",LOWER(TRIM($Z124))&lt;&gt;"n/a",COUNTIFS($B$2:$B$532,"Yes",$A$2:$A$532,"Cybernet",$Z$2:$Z$532,$Z124)&gt;1)
),"Yes","No"),
IF(AND($AL124&lt;&gt;"",LOWER(TRIM($AL124))&lt;&gt;"n/a"),
IF(COUNTIFS($B$2:$B$532,"Yes",$A$2:$A$532,$A124,$AL$2:$AL$532,$AL124)&gt;1,"Yes","No"),
"No")
)
)
)</f>
      </c>
      <c r="G124" t="s">
        <v>2235</v>
      </c>
      <c r="H124" t="s">
        <v>2235</v>
      </c>
      <c r="I124" t="s">
        <v>1831</v>
      </c>
      <c r="J124" t="s">
        <v>1727</v>
      </c>
      <c r="K124" t="s">
        <v>1727</v>
      </c>
      <c r="L124" t="s">
        <v>1727</v>
      </c>
      <c r="M124" t="s">
        <v>2162</v>
      </c>
      <c r="N124" t="s">
        <v>2376</v>
      </c>
      <c r="O124" t="s">
        <v>1380</v>
      </c>
      <c r="P124" t="s">
        <v>2098</v>
      </c>
      <c r="Q124">
        <v>46075.0</v>
      </c>
      <c r="R124" t="s">
        <v>1829</v>
      </c>
      <c r="S124" t="s">
        <v>1879</v>
      </c>
      <c r="T124" t="s">
        <v>2065</v>
      </c>
      <c r="U124" t="s">
        <v>1380</v>
      </c>
      <c r="Y124" t="s">
        <v>2122</v>
      </c>
      <c r="Z124" t="s">
        <v>1742</v>
      </c>
      <c r="AA124" t="s">
        <v>2031</v>
      </c>
      <c r="AD124" t="s">
        <v>2355</v>
      </c>
      <c r="AE124">
        <v>2</v>
      </c>
      <c r="AF124" t="s">
        <v>2097</v>
      </c>
      <c r="AG124" t="s">
        <v>2408</v>
      </c>
      <c r="AJ124" t="s">
        <v>2124</v>
      </c>
      <c r="AK124" t="s">
        <v>2249</v>
      </c>
      <c r="AL124" t="s">
        <v>2355</v>
      </c>
      <c r="AM124" t="s">
        <v>1307</v>
      </c>
      <c r="AR124" t="s">
        <v>2377</v>
      </c>
      <c r="AW124" t="s">
        <v>1727</v>
      </c>
      <c r="AX124" t="s">
        <v>1727</v>
      </c>
      <c r="AY124" t="s">
        <v>1727</v>
      </c>
      <c r="AZ124" t="s">
        <v>1727</v>
      </c>
      <c r="BI124" t="s">
        <v>1630</v>
      </c>
      <c r="BL124">
        <f>IF($T124="","",IF((IF(AND($AW124&lt;&gt;"Yes",$AW124&lt;&gt;"N/A"),"Power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",""))="","",LEFT(IF(AND($AW124&lt;&gt;"Yes",$AW124&lt;&gt;"N/A"),"Power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",""),LEN(IF(AND($AW124&lt;&gt;"Yes",$AW124&lt;&gt;"N/A"),"Power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",""))-2)))</f>
      </c>
      <c r="BM124">
        <f>IF($T124="","",IF($BL124="","Yes","Blocked"))</f>
      </c>
      <c r="BP124">
        <f>IF($BO124="","",IFERROR(VLOOKUP($BO124,'01_Warehouse_Ledger'!$A:$N,4,FALSE),""))</f>
      </c>
      <c r="BQ124">
        <f>IF($BO124="","",IFERROR(VLOOKUP($BO124,'01_Warehouse_Ledger'!$A:$N,5,FALSE),""))</f>
      </c>
      <c r="BR124">
        <f>IF($BO124="","",IFERROR(VLOOKUP($BO124,'01_Warehouse_Ledger'!$A:$N,13,FALSE),""))</f>
      </c>
      <c r="BS124" t="s">
        <v>1727</v>
      </c>
      <c r="BT124" t="s">
        <v>1727</v>
      </c>
      <c r="BU124" t="s">
        <v>1727</v>
      </c>
      <c r="BV124" t="s">
        <v>1727</v>
      </c>
      <c r="BW124" t="s">
        <v>1727</v>
      </c>
      <c r="BX124">
        <v>19200</v>
      </c>
    </row>
    <row r="125">
      <c r="A125" t="s">
        <v>1415</v>
      </c>
      <c r="B125" t="s">
        <v>1727</v>
      </c>
      <c r="C125" t="s">
        <v>1727</v>
      </c>
      <c r="D125">
        <f>IF($B125&lt;&gt;"Yes","",IF($C125="No","Yes",IF($C125="Yes","No","")))</f>
      </c>
      <c r="E125">
        <f>IF($A125="","",IF($A125="Neuron",IF(OR(AND($R125&lt;&gt;"",LOWER(TRIM($R125))&lt;&gt;"n/a",COUNTIF($S$2:$S$532,$R125)&gt;1),AND($T125&lt;&gt;"",LOWER(TRIM($T125))&lt;&gt;"n/a",COUNTIF($T$2:$T$532,$T125)&gt;1),AND($W125&lt;&gt;"",LOWER(TRIM($W125))&lt;&gt;"n/a",COUNTIF($W$2:$W$532,$W125)&gt;1)),"Yes","No"),IF($A125="Cybernet",IF(OR(AND($Y125&lt;&gt;"",LOWER(TRIM($Y125))&lt;&gt;"n/a",COUNTIF($Y$2:$Y$532,$Y125)&gt;1),AND($Z125&lt;&gt;"",LOWER(TRIM($Z125))&lt;&gt;"n/a",COUNTIF($Z$2:$Z$532,$Z125)&gt;1)),"Yes","No"),IF(AND($AL125&lt;&gt;"",LOWER(TRIM($AL125))&lt;&gt;"n/a",COUNTIF($AL$2:$AL$532,$AL125)&gt;1),"Yes","No"))))</f>
      </c>
      <c r="F125">
        <f>IF($B125&lt;&gt;"Yes","",
IF($A125="Neuron",
IF(OR(
AND($R125&lt;&gt;"",LOWER(TRIM($R125))&lt;&gt;"n/a",COUNTIFS($B$2:$B$532,"Yes",$A$2:$A$532,"Neuron",$S$2:$S$532,$R125)&gt;1),
AND($T125&lt;&gt;"",LOWER(TRIM($T125))&lt;&gt;"n/a",COUNTIFS($B$2:$B$532,"Yes",$A$2:$A$532,"Neuron",$T$2:$T$532,$T125)&gt;1),
AND($W125&lt;&gt;"",LOWER(TRIM($W125))&lt;&gt;"n/a",COUNTIFS($B$2:$B$532,"Yes",$A$2:$A$532,"Neuron",$W$2:$W$532,$W125)&gt;1)
),"Yes","No"),
IF($A125="Cybernet",
IF(OR(
AND($Y125&lt;&gt;"",LOWER(TRIM($Y125))&lt;&gt;"n/a",COUNTIFS($B$2:$B$532,"Yes",$A$2:$A$532,"Cybernet",$Y$2:$Y$532,$Y125)&gt;1),
AND($Z125&lt;&gt;"",LOWER(TRIM($Z125))&lt;&gt;"n/a",COUNTIFS($B$2:$B$532,"Yes",$A$2:$A$532,"Cybernet",$Z$2:$Z$532,$Z125)&gt;1)
),"Yes","No"),
IF(AND($AL125&lt;&gt;"",LOWER(TRIM($AL125))&lt;&gt;"n/a"),
IF(COUNTIFS($B$2:$B$532,"Yes",$A$2:$A$532,$A125,$AL$2:$AL$532,$AL125)&gt;1,"Yes","No"),
"No")
)
)
)</f>
      </c>
      <c r="G125" t="s">
        <v>2235</v>
      </c>
      <c r="H125" t="s">
        <v>2235</v>
      </c>
      <c r="I125" t="s">
        <v>1831</v>
      </c>
      <c r="J125" t="s">
        <v>1727</v>
      </c>
      <c r="K125" t="s">
        <v>1727</v>
      </c>
      <c r="L125" t="s">
        <v>1727</v>
      </c>
      <c r="M125" t="s">
        <v>2162</v>
      </c>
      <c r="N125" t="s">
        <v>2376</v>
      </c>
      <c r="O125" t="s">
        <v>1380</v>
      </c>
      <c r="P125" t="s">
        <v>2098</v>
      </c>
      <c r="Q125">
        <v>46075.0</v>
      </c>
      <c r="R125" t="s">
        <v>2026</v>
      </c>
      <c r="S125" t="s">
        <v>1637</v>
      </c>
      <c r="T125" t="s">
        <v>2312</v>
      </c>
      <c r="U125" t="s">
        <v>1380</v>
      </c>
      <c r="Y125" t="s">
        <v>1648</v>
      </c>
      <c r="Z125" t="s">
        <v>1963</v>
      </c>
      <c r="AA125" t="s">
        <v>2031</v>
      </c>
      <c r="AD125" t="s">
        <v>2346</v>
      </c>
      <c r="AE125">
        <v>2</v>
      </c>
      <c r="AF125" t="s">
        <v>2097</v>
      </c>
      <c r="AG125" t="s">
        <v>2144</v>
      </c>
      <c r="AJ125" t="s">
        <v>2124</v>
      </c>
      <c r="AK125" t="s">
        <v>2249</v>
      </c>
      <c r="AL125" t="s">
        <v>2346</v>
      </c>
      <c r="AM125" t="s">
        <v>1307</v>
      </c>
      <c r="AR125" t="s">
        <v>1700</v>
      </c>
      <c r="AW125" t="s">
        <v>1727</v>
      </c>
      <c r="AX125" t="s">
        <v>1727</v>
      </c>
      <c r="AY125" t="s">
        <v>1727</v>
      </c>
      <c r="AZ125" t="s">
        <v>1727</v>
      </c>
      <c r="BI125" t="s">
        <v>1630</v>
      </c>
      <c r="BL125">
        <f>IF($T125="","",IF((IF(AND($AW125&lt;&gt;"Yes",$AW125&lt;&gt;"N/A"),"Power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",""))="","",LEFT(IF(AND($AW125&lt;&gt;"Yes",$AW125&lt;&gt;"N/A"),"Power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",""),LEN(IF(AND($AW125&lt;&gt;"Yes",$AW125&lt;&gt;"N/A"),"Power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",""))-2)))</f>
      </c>
      <c r="BM125">
        <f>IF($T125="","",IF($BL125="","Yes","Blocked"))</f>
      </c>
      <c r="BP125">
        <f>IF($BO125="","",IFERROR(VLOOKUP($BO125,'01_Warehouse_Ledger'!$A:$N,4,FALSE),""))</f>
      </c>
      <c r="BQ125">
        <f>IF($BO125="","",IFERROR(VLOOKUP($BO125,'01_Warehouse_Ledger'!$A:$N,5,FALSE),""))</f>
      </c>
      <c r="BR125">
        <f>IF($BO125="","",IFERROR(VLOOKUP($BO125,'01_Warehouse_Ledger'!$A:$N,13,FALSE),""))</f>
      </c>
      <c r="BS125" t="s">
        <v>1727</v>
      </c>
      <c r="BT125" t="s">
        <v>1727</v>
      </c>
      <c r="BU125" t="s">
        <v>1727</v>
      </c>
      <c r="BV125" t="s">
        <v>1727</v>
      </c>
      <c r="BW125" t="s">
        <v>1727</v>
      </c>
      <c r="BX125">
        <v>19200</v>
      </c>
    </row>
    <row r="126">
      <c r="A126" t="s">
        <v>1415</v>
      </c>
      <c r="B126" t="s">
        <v>1727</v>
      </c>
      <c r="C126" t="s">
        <v>1727</v>
      </c>
      <c r="D126">
        <f>IF($B126&lt;&gt;"Yes","",IF($C126="No","Yes",IF($C126="Yes","No","")))</f>
      </c>
      <c r="E126">
        <f>IF($A126="","",IF($A126="Neuron",IF(OR(AND($R126&lt;&gt;"",LOWER(TRIM($R126))&lt;&gt;"n/a",COUNTIF($S$2:$S$532,$R126)&gt;1),AND($T126&lt;&gt;"",LOWER(TRIM($T126))&lt;&gt;"n/a",COUNTIF($T$2:$T$532,$T126)&gt;1),AND($W126&lt;&gt;"",LOWER(TRIM($W126))&lt;&gt;"n/a",COUNTIF($W$2:$W$532,$W126)&gt;1)),"Yes","No"),IF($A126="Cybernet",IF(OR(AND($Y126&lt;&gt;"",LOWER(TRIM($Y126))&lt;&gt;"n/a",COUNTIF($Y$2:$Y$532,$Y126)&gt;1),AND($Z126&lt;&gt;"",LOWER(TRIM($Z126))&lt;&gt;"n/a",COUNTIF($Z$2:$Z$532,$Z126)&gt;1)),"Yes","No"),IF(AND($AL126&lt;&gt;"",LOWER(TRIM($AL126))&lt;&gt;"n/a",COUNTIF($AL$2:$AL$532,$AL126)&gt;1),"Yes","No"))))</f>
      </c>
      <c r="F126">
        <f>IF($B126&lt;&gt;"Yes","",
IF($A126="Neuron",
IF(OR(
AND($R126&lt;&gt;"",LOWER(TRIM($R126))&lt;&gt;"n/a",COUNTIFS($B$2:$B$532,"Yes",$A$2:$A$532,"Neuron",$S$2:$S$532,$R126)&gt;1),
AND($T126&lt;&gt;"",LOWER(TRIM($T126))&lt;&gt;"n/a",COUNTIFS($B$2:$B$532,"Yes",$A$2:$A$532,"Neuron",$T$2:$T$532,$T126)&gt;1),
AND($W126&lt;&gt;"",LOWER(TRIM($W126))&lt;&gt;"n/a",COUNTIFS($B$2:$B$532,"Yes",$A$2:$A$532,"Neuron",$W$2:$W$532,$W126)&gt;1)
),"Yes","No"),
IF($A126="Cybernet",
IF(OR(
AND($Y126&lt;&gt;"",LOWER(TRIM($Y126))&lt;&gt;"n/a",COUNTIFS($B$2:$B$532,"Yes",$A$2:$A$532,"Cybernet",$Y$2:$Y$532,$Y126)&gt;1),
AND($Z126&lt;&gt;"",LOWER(TRIM($Z126))&lt;&gt;"n/a",COUNTIFS($B$2:$B$532,"Yes",$A$2:$A$532,"Cybernet",$Z$2:$Z$532,$Z126)&gt;1)
),"Yes","No"),
IF(AND($AL126&lt;&gt;"",LOWER(TRIM($AL126))&lt;&gt;"n/a"),
IF(COUNTIFS($B$2:$B$532,"Yes",$A$2:$A$532,$A126,$AL$2:$AL$532,$AL126)&gt;1,"Yes","No"),
"No")
)
)
)</f>
      </c>
      <c r="G126" t="s">
        <v>2235</v>
      </c>
      <c r="H126" t="s">
        <v>2235</v>
      </c>
      <c r="I126" t="s">
        <v>1831</v>
      </c>
      <c r="J126" t="s">
        <v>1727</v>
      </c>
      <c r="K126" t="s">
        <v>1727</v>
      </c>
      <c r="L126" t="s">
        <v>1727</v>
      </c>
      <c r="M126" t="s">
        <v>2162</v>
      </c>
      <c r="N126" t="s">
        <v>2376</v>
      </c>
      <c r="O126" t="s">
        <v>1380</v>
      </c>
      <c r="P126" t="s">
        <v>2098</v>
      </c>
      <c r="Q126">
        <v>46075.0</v>
      </c>
      <c r="R126" t="s">
        <v>2160</v>
      </c>
      <c r="S126" t="s">
        <v>2244</v>
      </c>
      <c r="T126" t="s">
        <v>1857</v>
      </c>
      <c r="U126" t="s">
        <v>1380</v>
      </c>
      <c r="Y126" t="s">
        <v>2219</v>
      </c>
      <c r="Z126" t="s">
        <v>1711</v>
      </c>
      <c r="AA126" t="s">
        <v>2031</v>
      </c>
      <c r="AD126" t="s">
        <v>1810</v>
      </c>
      <c r="AE126">
        <v>2</v>
      </c>
      <c r="AF126" t="s">
        <v>2097</v>
      </c>
      <c r="AG126" t="s">
        <v>2230</v>
      </c>
      <c r="AJ126" t="s">
        <v>2124</v>
      </c>
      <c r="AK126" t="s">
        <v>2249</v>
      </c>
      <c r="AL126" t="s">
        <v>1810</v>
      </c>
      <c r="AM126" t="s">
        <v>1307</v>
      </c>
      <c r="AR126" t="s">
        <v>1990</v>
      </c>
      <c r="AW126" t="s">
        <v>1727</v>
      </c>
      <c r="AX126" t="s">
        <v>1727</v>
      </c>
      <c r="AY126" t="s">
        <v>1727</v>
      </c>
      <c r="AZ126" t="s">
        <v>1727</v>
      </c>
      <c r="BI126" t="s">
        <v>1630</v>
      </c>
      <c r="BL126">
        <f>IF($T126="","",IF((IF(AND($AW126&lt;&gt;"Yes",$AW126&lt;&gt;"N/A"),"Power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",""))="","",LEFT(IF(AND($AW126&lt;&gt;"Yes",$AW126&lt;&gt;"N/A"),"Power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",""),LEN(IF(AND($AW126&lt;&gt;"Yes",$AW126&lt;&gt;"N/A"),"Power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",""))-2)))</f>
      </c>
      <c r="BM126">
        <f>IF($T126="","",IF($BL126="","Yes","Blocked"))</f>
      </c>
      <c r="BP126">
        <f>IF($BO126="","",IFERROR(VLOOKUP($BO126,'01_Warehouse_Ledger'!$A:$N,4,FALSE),""))</f>
      </c>
      <c r="BQ126">
        <f>IF($BO126="","",IFERROR(VLOOKUP($BO126,'01_Warehouse_Ledger'!$A:$N,5,FALSE),""))</f>
      </c>
      <c r="BR126">
        <f>IF($BO126="","",IFERROR(VLOOKUP($BO126,'01_Warehouse_Ledger'!$A:$N,13,FALSE),""))</f>
      </c>
      <c r="BS126" t="s">
        <v>1727</v>
      </c>
      <c r="BT126" t="s">
        <v>1727</v>
      </c>
      <c r="BU126" t="s">
        <v>1727</v>
      </c>
      <c r="BV126" t="s">
        <v>1727</v>
      </c>
      <c r="BW126" t="s">
        <v>1727</v>
      </c>
      <c r="BX126">
        <v>19200</v>
      </c>
    </row>
    <row r="127">
      <c r="A127" t="s">
        <v>1415</v>
      </c>
      <c r="B127" t="s">
        <v>1727</v>
      </c>
      <c r="C127" t="s">
        <v>1727</v>
      </c>
      <c r="D127">
        <f>IF($B127&lt;&gt;"Yes","",IF($C127="No","Yes",IF($C127="Yes","No","")))</f>
      </c>
      <c r="E127">
        <f>IF($A127="","",IF($A127="Neuron",IF(OR(AND($R127&lt;&gt;"",LOWER(TRIM($R127))&lt;&gt;"n/a",COUNTIF($S$2:$S$532,$R127)&gt;1),AND($T127&lt;&gt;"",LOWER(TRIM($T127))&lt;&gt;"n/a",COUNTIF($T$2:$T$532,$T127)&gt;1),AND($W127&lt;&gt;"",LOWER(TRIM($W127))&lt;&gt;"n/a",COUNTIF($W$2:$W$532,$W127)&gt;1)),"Yes","No"),IF($A127="Cybernet",IF(OR(AND($Y127&lt;&gt;"",LOWER(TRIM($Y127))&lt;&gt;"n/a",COUNTIF($Y$2:$Y$532,$Y127)&gt;1),AND($Z127&lt;&gt;"",LOWER(TRIM($Z127))&lt;&gt;"n/a",COUNTIF($Z$2:$Z$532,$Z127)&gt;1)),"Yes","No"),IF(AND($AL127&lt;&gt;"",LOWER(TRIM($AL127))&lt;&gt;"n/a",COUNTIF($AL$2:$AL$532,$AL127)&gt;1),"Yes","No"))))</f>
      </c>
      <c r="F127">
        <f>IF($B127&lt;&gt;"Yes","",
IF($A127="Neuron",
IF(OR(
AND($R127&lt;&gt;"",LOWER(TRIM($R127))&lt;&gt;"n/a",COUNTIFS($B$2:$B$532,"Yes",$A$2:$A$532,"Neuron",$S$2:$S$532,$R127)&gt;1),
AND($T127&lt;&gt;"",LOWER(TRIM($T127))&lt;&gt;"n/a",COUNTIFS($B$2:$B$532,"Yes",$A$2:$A$532,"Neuron",$T$2:$T$532,$T127)&gt;1),
AND($W127&lt;&gt;"",LOWER(TRIM($W127))&lt;&gt;"n/a",COUNTIFS($B$2:$B$532,"Yes",$A$2:$A$532,"Neuron",$W$2:$W$532,$W127)&gt;1)
),"Yes","No"),
IF($A127="Cybernet",
IF(OR(
AND($Y127&lt;&gt;"",LOWER(TRIM($Y127))&lt;&gt;"n/a",COUNTIFS($B$2:$B$532,"Yes",$A$2:$A$532,"Cybernet",$Y$2:$Y$532,$Y127)&gt;1),
AND($Z127&lt;&gt;"",LOWER(TRIM($Z127))&lt;&gt;"n/a",COUNTIFS($B$2:$B$532,"Yes",$A$2:$A$532,"Cybernet",$Z$2:$Z$532,$Z127)&gt;1)
),"Yes","No"),
IF(AND($AL127&lt;&gt;"",LOWER(TRIM($AL127))&lt;&gt;"n/a"),
IF(COUNTIFS($B$2:$B$532,"Yes",$A$2:$A$532,$A127,$AL$2:$AL$532,$AL127)&gt;1,"Yes","No"),
"No")
)
)
)</f>
      </c>
      <c r="G127" t="s">
        <v>2235</v>
      </c>
      <c r="H127" t="s">
        <v>2235</v>
      </c>
      <c r="I127" t="s">
        <v>1831</v>
      </c>
      <c r="J127" t="s">
        <v>1727</v>
      </c>
      <c r="K127" t="s">
        <v>1727</v>
      </c>
      <c r="L127" t="s">
        <v>1727</v>
      </c>
      <c r="M127" t="s">
        <v>2162</v>
      </c>
      <c r="N127" t="s">
        <v>2376</v>
      </c>
      <c r="O127" t="s">
        <v>1380</v>
      </c>
      <c r="P127" t="s">
        <v>2098</v>
      </c>
      <c r="Q127">
        <v>46075.0</v>
      </c>
      <c r="R127" t="s">
        <v>1875</v>
      </c>
      <c r="S127" t="s">
        <v>1682</v>
      </c>
      <c r="T127" t="s">
        <v>2326</v>
      </c>
      <c r="U127" t="s">
        <v>1380</v>
      </c>
      <c r="AA127" t="s">
        <v>2031</v>
      </c>
      <c r="AD127" t="s">
        <v>2016</v>
      </c>
      <c r="AE127">
        <v>2</v>
      </c>
      <c r="AF127" t="s">
        <v>2097</v>
      </c>
      <c r="AG127" t="s">
        <v>2116</v>
      </c>
      <c r="AJ127" t="s">
        <v>2124</v>
      </c>
      <c r="AK127" t="s">
        <v>2249</v>
      </c>
      <c r="AL127" t="s">
        <v>2016</v>
      </c>
      <c r="AM127" t="s">
        <v>1307</v>
      </c>
      <c r="AR127" t="s">
        <v>2403</v>
      </c>
      <c r="AW127" t="s">
        <v>1727</v>
      </c>
      <c r="AX127" t="s">
        <v>1727</v>
      </c>
      <c r="AY127" t="s">
        <v>1727</v>
      </c>
      <c r="AZ127" t="s">
        <v>1727</v>
      </c>
      <c r="BS127" t="s">
        <v>1727</v>
      </c>
      <c r="BT127" t="s">
        <v>1727</v>
      </c>
      <c r="BU127" t="s">
        <v>1727</v>
      </c>
      <c r="BV127" t="s">
        <v>1727</v>
      </c>
      <c r="BW127" t="s">
        <v>1727</v>
      </c>
      <c r="BX127">
        <v>19200</v>
      </c>
    </row>
    <row r="128">
      <c r="A128" t="s">
        <v>1415</v>
      </c>
      <c r="B128" t="s">
        <v>1727</v>
      </c>
      <c r="C128" t="s">
        <v>1727</v>
      </c>
      <c r="D128">
        <f>IF($B128&lt;&gt;"Yes","",IF($C128="No","Yes",IF($C128="Yes","No","")))</f>
      </c>
      <c r="E128">
        <f>IF($A128="","",IF($A128="Neuron",IF(OR(AND($R128&lt;&gt;"",LOWER(TRIM($R128))&lt;&gt;"n/a",COUNTIF($S$2:$S$532,$R128)&gt;1),AND($T128&lt;&gt;"",LOWER(TRIM($T128))&lt;&gt;"n/a",COUNTIF($T$2:$T$532,$T128)&gt;1),AND($W128&lt;&gt;"",LOWER(TRIM($W128))&lt;&gt;"n/a",COUNTIF($W$2:$W$532,$W128)&gt;1)),"Yes","No"),IF($A128="Cybernet",IF(OR(AND($Y128&lt;&gt;"",LOWER(TRIM($Y128))&lt;&gt;"n/a",COUNTIF($Y$2:$Y$532,$Y128)&gt;1),AND($Z128&lt;&gt;"",LOWER(TRIM($Z128))&lt;&gt;"n/a",COUNTIF($Z$2:$Z$532,$Z128)&gt;1)),"Yes","No"),IF(AND($AL128&lt;&gt;"",LOWER(TRIM($AL128))&lt;&gt;"n/a",COUNTIF($AL$2:$AL$532,$AL128)&gt;1),"Yes","No"))))</f>
      </c>
      <c r="F128">
        <f>IF($B128&lt;&gt;"Yes","",
IF($A128="Neuron",
IF(OR(
AND($R128&lt;&gt;"",LOWER(TRIM($R128))&lt;&gt;"n/a",COUNTIFS($B$2:$B$532,"Yes",$A$2:$A$532,"Neuron",$S$2:$S$532,$R128)&gt;1),
AND($T128&lt;&gt;"",LOWER(TRIM($T128))&lt;&gt;"n/a",COUNTIFS($B$2:$B$532,"Yes",$A$2:$A$532,"Neuron",$T$2:$T$532,$T128)&gt;1),
AND($W128&lt;&gt;"",LOWER(TRIM($W128))&lt;&gt;"n/a",COUNTIFS($B$2:$B$532,"Yes",$A$2:$A$532,"Neuron",$W$2:$W$532,$W128)&gt;1)
),"Yes","No"),
IF($A128="Cybernet",
IF(OR(
AND($Y128&lt;&gt;"",LOWER(TRIM($Y128))&lt;&gt;"n/a",COUNTIFS($B$2:$B$532,"Yes",$A$2:$A$532,"Cybernet",$Y$2:$Y$532,$Y128)&gt;1),
AND($Z128&lt;&gt;"",LOWER(TRIM($Z128))&lt;&gt;"n/a",COUNTIFS($B$2:$B$532,"Yes",$A$2:$A$532,"Cybernet",$Z$2:$Z$532,$Z128)&gt;1)
),"Yes","No"),
IF(AND($AL128&lt;&gt;"",LOWER(TRIM($AL128))&lt;&gt;"n/a"),
IF(COUNTIFS($B$2:$B$532,"Yes",$A$2:$A$532,$A128,$AL$2:$AL$532,$AL128)&gt;1,"Yes","No"),
"No")
)
)
)</f>
      </c>
      <c r="G128" t="s">
        <v>2235</v>
      </c>
      <c r="H128" t="s">
        <v>2235</v>
      </c>
      <c r="I128" t="s">
        <v>1831</v>
      </c>
      <c r="J128" t="s">
        <v>1727</v>
      </c>
      <c r="K128" t="s">
        <v>1727</v>
      </c>
      <c r="L128" t="s">
        <v>1727</v>
      </c>
      <c r="M128" t="s">
        <v>2162</v>
      </c>
      <c r="N128" t="s">
        <v>2376</v>
      </c>
      <c r="O128" t="s">
        <v>1380</v>
      </c>
      <c r="P128" t="s">
        <v>2098</v>
      </c>
      <c r="Q128">
        <v>46075.0</v>
      </c>
      <c r="R128" t="s">
        <v>1688</v>
      </c>
      <c r="S128" t="s">
        <v>1818</v>
      </c>
      <c r="T128" t="s">
        <v>1781</v>
      </c>
      <c r="U128" t="s">
        <v>1380</v>
      </c>
      <c r="Y128" t="s">
        <v>2181</v>
      </c>
      <c r="Z128" t="s">
        <v>1634</v>
      </c>
      <c r="AA128" t="s">
        <v>2031</v>
      </c>
      <c r="AD128" t="s">
        <v>1661</v>
      </c>
      <c r="AE128">
        <v>2</v>
      </c>
      <c r="AF128" t="s">
        <v>2097</v>
      </c>
      <c r="AG128" t="s">
        <v>1967</v>
      </c>
      <c r="AJ128" t="s">
        <v>2124</v>
      </c>
      <c r="AK128" t="s">
        <v>2249</v>
      </c>
      <c r="AL128" t="s">
        <v>1661</v>
      </c>
      <c r="AM128" t="s">
        <v>1307</v>
      </c>
      <c r="AR128" t="s">
        <v>2103</v>
      </c>
      <c r="AW128" t="s">
        <v>1727</v>
      </c>
      <c r="AX128" t="s">
        <v>1727</v>
      </c>
      <c r="AY128" t="s">
        <v>1727</v>
      </c>
      <c r="AZ128" t="s">
        <v>1727</v>
      </c>
      <c r="BI128" t="s">
        <v>1630</v>
      </c>
      <c r="BL128">
        <f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</c>
      <c r="BM128">
        <f>IF($T128="","",IF($BL128="","Yes","Blocked"))</f>
      </c>
      <c r="BP128">
        <f>IF($BO128="","",IFERROR(VLOOKUP($BO128,'01_Warehouse_Ledger'!$A:$N,4,FALSE),""))</f>
      </c>
      <c r="BQ128">
        <f>IF($BO128="","",IFERROR(VLOOKUP($BO128,'01_Warehouse_Ledger'!$A:$N,5,FALSE),""))</f>
      </c>
      <c r="BR128">
        <f>IF($BO128="","",IFERROR(VLOOKUP($BO128,'01_Warehouse_Ledger'!$A:$N,13,FALSE),""))</f>
      </c>
      <c r="BS128" t="s">
        <v>1727</v>
      </c>
      <c r="BT128" t="s">
        <v>1727</v>
      </c>
      <c r="BU128" t="s">
        <v>1727</v>
      </c>
      <c r="BV128" t="s">
        <v>1727</v>
      </c>
      <c r="BW128" t="s">
        <v>1727</v>
      </c>
      <c r="BX128">
        <v>19200</v>
      </c>
    </row>
    <row r="129">
      <c r="A129" t="s">
        <v>1415</v>
      </c>
      <c r="B129" t="s">
        <v>1727</v>
      </c>
      <c r="C129" t="s">
        <v>1727</v>
      </c>
      <c r="D129">
        <f>IF($B129&lt;&gt;"Yes","",IF($C129="No","Yes",IF($C129="Yes","No","")))</f>
      </c>
      <c r="E129">
        <f>IF($A129="","",IF($A129="Neuron",IF(OR(AND($R129&lt;&gt;"",LOWER(TRIM($R129))&lt;&gt;"n/a",COUNTIF($S$2:$S$532,$R129)&gt;1),AND($T129&lt;&gt;"",LOWER(TRIM($T129))&lt;&gt;"n/a",COUNTIF($T$2:$T$532,$T129)&gt;1),AND($W129&lt;&gt;"",LOWER(TRIM($W129))&lt;&gt;"n/a",COUNTIF($W$2:$W$532,$W129)&gt;1)),"Yes","No"),IF($A129="Cybernet",IF(OR(AND($Y129&lt;&gt;"",LOWER(TRIM($Y129))&lt;&gt;"n/a",COUNTIF($Y$2:$Y$532,$Y129)&gt;1),AND($Z129&lt;&gt;"",LOWER(TRIM($Z129))&lt;&gt;"n/a",COUNTIF($Z$2:$Z$532,$Z129)&gt;1)),"Yes","No"),IF(AND($AL129&lt;&gt;"",LOWER(TRIM($AL129))&lt;&gt;"n/a",COUNTIF($AL$2:$AL$532,$AL129)&gt;1),"Yes","No"))))</f>
      </c>
      <c r="F129">
        <f>IF($B129&lt;&gt;"Yes","",
IF($A129="Neuron",
IF(OR(
AND($R129&lt;&gt;"",LOWER(TRIM($R129))&lt;&gt;"n/a",COUNTIFS($B$2:$B$532,"Yes",$A$2:$A$532,"Neuron",$S$2:$S$532,$R129)&gt;1),
AND($T129&lt;&gt;"",LOWER(TRIM($T129))&lt;&gt;"n/a",COUNTIFS($B$2:$B$532,"Yes",$A$2:$A$532,"Neuron",$T$2:$T$532,$T129)&gt;1),
AND($W129&lt;&gt;"",LOWER(TRIM($W129))&lt;&gt;"n/a",COUNTIFS($B$2:$B$532,"Yes",$A$2:$A$532,"Neuron",$W$2:$W$532,$W129)&gt;1)
),"Yes","No"),
IF($A129="Cybernet",
IF(OR(
AND($Y129&lt;&gt;"",LOWER(TRIM($Y129))&lt;&gt;"n/a",COUNTIFS($B$2:$B$532,"Yes",$A$2:$A$532,"Cybernet",$Y$2:$Y$532,$Y129)&gt;1),
AND($Z129&lt;&gt;"",LOWER(TRIM($Z129))&lt;&gt;"n/a",COUNTIFS($B$2:$B$532,"Yes",$A$2:$A$532,"Cybernet",$Z$2:$Z$532,$Z129)&gt;1)
),"Yes","No"),
IF(AND($AL129&lt;&gt;"",LOWER(TRIM($AL129))&lt;&gt;"n/a"),
IF(COUNTIFS($B$2:$B$532,"Yes",$A$2:$A$532,$A129,$AL$2:$AL$532,$AL129)&gt;1,"Yes","No"),
"No")
)
)
)</f>
      </c>
      <c r="G129" t="s">
        <v>2235</v>
      </c>
      <c r="H129" t="s">
        <v>2235</v>
      </c>
      <c r="I129" t="s">
        <v>1831</v>
      </c>
      <c r="J129" t="s">
        <v>1727</v>
      </c>
      <c r="K129" t="s">
        <v>1727</v>
      </c>
      <c r="L129" t="s">
        <v>1727</v>
      </c>
      <c r="M129" t="s">
        <v>2162</v>
      </c>
      <c r="N129" t="s">
        <v>2376</v>
      </c>
      <c r="O129" t="s">
        <v>1380</v>
      </c>
      <c r="P129" t="s">
        <v>2098</v>
      </c>
      <c r="Q129">
        <v>46075.0</v>
      </c>
      <c r="R129" t="s">
        <v>2251</v>
      </c>
      <c r="S129" t="s">
        <v>2130</v>
      </c>
      <c r="T129" t="s">
        <v>2330</v>
      </c>
      <c r="U129" t="s">
        <v>1380</v>
      </c>
      <c r="Y129" t="s">
        <v>1655</v>
      </c>
      <c r="Z129" t="s">
        <v>1697</v>
      </c>
      <c r="AA129" t="s">
        <v>2031</v>
      </c>
      <c r="AD129" t="s">
        <v>2045</v>
      </c>
      <c r="AE129">
        <v>2</v>
      </c>
      <c r="AF129" t="s">
        <v>2097</v>
      </c>
      <c r="AG129" t="s">
        <v>2345</v>
      </c>
      <c r="AJ129" t="s">
        <v>2124</v>
      </c>
      <c r="AK129" t="s">
        <v>2249</v>
      </c>
      <c r="AL129" t="s">
        <v>2045</v>
      </c>
      <c r="AM129" t="s">
        <v>1307</v>
      </c>
      <c r="AR129" t="s">
        <v>2310</v>
      </c>
      <c r="AW129" t="s">
        <v>1727</v>
      </c>
      <c r="AX129" t="s">
        <v>1727</v>
      </c>
      <c r="AY129" t="s">
        <v>1727</v>
      </c>
      <c r="AZ129" t="s">
        <v>1727</v>
      </c>
      <c r="BI129" t="s">
        <v>1630</v>
      </c>
      <c r="BL129">
        <f>IF($T129="","",IF((IF(AND($AW129&lt;&gt;"Yes",$AW129&lt;&gt;"N/A"),"Power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",""))="","",LEFT(IF(AND($AW129&lt;&gt;"Yes",$AW129&lt;&gt;"N/A"),"Power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",""),LEN(IF(AND($AW129&lt;&gt;"Yes",$AW129&lt;&gt;"N/A"),"Power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",""))-2)))</f>
      </c>
      <c r="BM129">
        <f>IF($T129="","",IF($BL129="","Yes","Blocked"))</f>
      </c>
      <c r="BP129">
        <f>IF($BO129="","",IFERROR(VLOOKUP($BO129,'01_Warehouse_Ledger'!$A:$N,4,FALSE),""))</f>
      </c>
      <c r="BQ129">
        <f>IF($BO129="","",IFERROR(VLOOKUP($BO129,'01_Warehouse_Ledger'!$A:$N,5,FALSE),""))</f>
      </c>
      <c r="BR129">
        <f>IF($BO129="","",IFERROR(VLOOKUP($BO129,'01_Warehouse_Ledger'!$A:$N,13,FALSE),""))</f>
      </c>
      <c r="BS129" t="s">
        <v>1727</v>
      </c>
      <c r="BT129" t="s">
        <v>1727</v>
      </c>
      <c r="BU129" t="s">
        <v>1727</v>
      </c>
      <c r="BV129" t="s">
        <v>1727</v>
      </c>
      <c r="BW129" t="s">
        <v>1727</v>
      </c>
      <c r="BX129">
        <v>19200</v>
      </c>
    </row>
    <row r="130">
      <c r="A130" t="s">
        <v>1415</v>
      </c>
      <c r="B130" t="s">
        <v>1727</v>
      </c>
      <c r="C130" t="s">
        <v>1727</v>
      </c>
      <c r="D130">
        <f>IF($B130&lt;&gt;"Yes","",IF($C130="No","Yes",IF($C130="Yes","No","")))</f>
      </c>
      <c r="E130">
        <f>IF($A130="","",IF($A130="Neuron",IF(OR(AND($R130&lt;&gt;"",LOWER(TRIM($R130))&lt;&gt;"n/a",COUNTIF($S$2:$S$532,$R130)&gt;1),AND($T130&lt;&gt;"",LOWER(TRIM($T130))&lt;&gt;"n/a",COUNTIF($T$2:$T$532,$T130)&gt;1),AND($W130&lt;&gt;"",LOWER(TRIM($W130))&lt;&gt;"n/a",COUNTIF($W$2:$W$532,$W130)&gt;1)),"Yes","No"),IF($A130="Cybernet",IF(OR(AND($Y130&lt;&gt;"",LOWER(TRIM($Y130))&lt;&gt;"n/a",COUNTIF($Y$2:$Y$532,$Y130)&gt;1),AND($Z130&lt;&gt;"",LOWER(TRIM($Z130))&lt;&gt;"n/a",COUNTIF($Z$2:$Z$532,$Z130)&gt;1)),"Yes","No"),IF(AND($AL130&lt;&gt;"",LOWER(TRIM($AL130))&lt;&gt;"n/a",COUNTIF($AL$2:$AL$532,$AL130)&gt;1),"Yes","No"))))</f>
      </c>
      <c r="F130">
        <f>IF($B130&lt;&gt;"Yes","",
IF($A130="Neuron",
IF(OR(
AND($R130&lt;&gt;"",LOWER(TRIM($R130))&lt;&gt;"n/a",COUNTIFS($B$2:$B$532,"Yes",$A$2:$A$532,"Neuron",$S$2:$S$532,$R130)&gt;1),
AND($T130&lt;&gt;"",LOWER(TRIM($T130))&lt;&gt;"n/a",COUNTIFS($B$2:$B$532,"Yes",$A$2:$A$532,"Neuron",$T$2:$T$532,$T130)&gt;1),
AND($W130&lt;&gt;"",LOWER(TRIM($W130))&lt;&gt;"n/a",COUNTIFS($B$2:$B$532,"Yes",$A$2:$A$532,"Neuron",$W$2:$W$532,$W130)&gt;1)
),"Yes","No"),
IF($A130="Cybernet",
IF(OR(
AND($Y130&lt;&gt;"",LOWER(TRIM($Y130))&lt;&gt;"n/a",COUNTIFS($B$2:$B$532,"Yes",$A$2:$A$532,"Cybernet",$Y$2:$Y$532,$Y130)&gt;1),
AND($Z130&lt;&gt;"",LOWER(TRIM($Z130))&lt;&gt;"n/a",COUNTIFS($B$2:$B$532,"Yes",$A$2:$A$532,"Cybernet",$Z$2:$Z$532,$Z130)&gt;1)
),"Yes","No"),
IF(AND($AL130&lt;&gt;"",LOWER(TRIM($AL130))&lt;&gt;"n/a"),
IF(COUNTIFS($B$2:$B$532,"Yes",$A$2:$A$532,$A130,$AL$2:$AL$532,$AL130)&gt;1,"Yes","No"),
"No")
)
)
)</f>
      </c>
      <c r="G130" t="s">
        <v>2235</v>
      </c>
      <c r="H130" t="s">
        <v>2235</v>
      </c>
      <c r="I130" t="s">
        <v>1831</v>
      </c>
      <c r="J130" t="s">
        <v>1727</v>
      </c>
      <c r="K130" t="s">
        <v>1727</v>
      </c>
      <c r="L130" t="s">
        <v>1727</v>
      </c>
      <c r="M130" t="s">
        <v>2162</v>
      </c>
      <c r="N130" t="s">
        <v>2376</v>
      </c>
      <c r="O130" t="s">
        <v>1380</v>
      </c>
      <c r="P130" t="s">
        <v>2098</v>
      </c>
      <c r="Q130">
        <v>46075.0</v>
      </c>
      <c r="R130" t="s">
        <v>2224</v>
      </c>
      <c r="S130" t="s">
        <v>2078</v>
      </c>
      <c r="T130" t="s">
        <v>1639</v>
      </c>
      <c r="U130" t="s">
        <v>1380</v>
      </c>
      <c r="Y130" t="s">
        <v>2334</v>
      </c>
      <c r="Z130" t="s">
        <v>2033</v>
      </c>
      <c r="AA130" t="s">
        <v>2031</v>
      </c>
      <c r="AD130" t="s">
        <v>1664</v>
      </c>
      <c r="AE130">
        <v>2</v>
      </c>
      <c r="AF130" t="s">
        <v>2097</v>
      </c>
      <c r="AG130" t="s">
        <v>1987</v>
      </c>
      <c r="AJ130" t="s">
        <v>2124</v>
      </c>
      <c r="AK130" t="s">
        <v>2249</v>
      </c>
      <c r="AL130" t="s">
        <v>1664</v>
      </c>
      <c r="AM130" t="s">
        <v>1307</v>
      </c>
      <c r="AR130" t="s">
        <v>1756</v>
      </c>
      <c r="AW130" t="s">
        <v>1727</v>
      </c>
      <c r="AX130" t="s">
        <v>1727</v>
      </c>
      <c r="AY130" t="s">
        <v>1727</v>
      </c>
      <c r="AZ130" t="s">
        <v>1727</v>
      </c>
      <c r="BI130" t="s">
        <v>1630</v>
      </c>
      <c r="BL130">
        <f>IF($T130="","",IF((IF(AND($AW130&lt;&gt;"Yes",$AW130&lt;&gt;"N/A"),"Power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",""))="","",LEFT(IF(AND($AW130&lt;&gt;"Yes",$AW130&lt;&gt;"N/A"),"Power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",""),LEN(IF(AND($AW130&lt;&gt;"Yes",$AW130&lt;&gt;"N/A"),"Power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",""))-2)))</f>
      </c>
      <c r="BM130">
        <f>IF($T130="","",IF($BL130="","Yes","Blocked"))</f>
      </c>
      <c r="BP130">
        <f>IF($BO130="","",IFERROR(VLOOKUP($BO130,'01_Warehouse_Ledger'!$A:$N,4,FALSE),""))</f>
      </c>
      <c r="BQ130">
        <f>IF($BO130="","",IFERROR(VLOOKUP($BO130,'01_Warehouse_Ledger'!$A:$N,5,FALSE),""))</f>
      </c>
      <c r="BR130">
        <f>IF($BO130="","",IFERROR(VLOOKUP($BO130,'01_Warehouse_Ledger'!$A:$N,13,FALSE),""))</f>
      </c>
      <c r="BS130" t="s">
        <v>1727</v>
      </c>
      <c r="BT130" t="s">
        <v>1727</v>
      </c>
      <c r="BU130" t="s">
        <v>1727</v>
      </c>
      <c r="BV130" t="s">
        <v>1727</v>
      </c>
      <c r="BW130" t="s">
        <v>1727</v>
      </c>
      <c r="BX130">
        <v>19200</v>
      </c>
    </row>
    <row r="131">
      <c r="A131" t="s">
        <v>1415</v>
      </c>
      <c r="C131" t="s">
        <v>1657</v>
      </c>
      <c r="D131">
        <f>IF($B131&lt;&gt;"Yes","",IF($C131="No","Yes",IF($C131="Yes","No","")))</f>
      </c>
      <c r="E131">
        <f>IF($A131="","",IF($A131="Neuron",IF(OR(AND($R131&lt;&gt;"",LOWER(TRIM($R131))&lt;&gt;"n/a",COUNTIF($S$2:$S$532,$R131)&gt;1),AND($T131&lt;&gt;"",LOWER(TRIM($T131))&lt;&gt;"n/a",COUNTIF($T$2:$T$532,$T131)&gt;1),AND($W131&lt;&gt;"",LOWER(TRIM($W131))&lt;&gt;"n/a",COUNTIF($W$2:$W$532,$W131)&gt;1)),"Yes","No"),IF($A131="Cybernet",IF(OR(AND($Y131&lt;&gt;"",LOWER(TRIM($Y131))&lt;&gt;"n/a",COUNTIF($Y$2:$Y$532,$Y131)&gt;1),AND($Z131&lt;&gt;"",LOWER(TRIM($Z131))&lt;&gt;"n/a",COUNTIF($Z$2:$Z$532,$Z131)&gt;1)),"Yes","No"),IF(AND($AL131&lt;&gt;"",LOWER(TRIM($AL131))&lt;&gt;"n/a",COUNTIF($AL$2:$AL$532,$AL131)&gt;1),"Yes","No"))))</f>
      </c>
      <c r="F131">
        <f>IF($B131&lt;&gt;"Yes","",
IF($A131="Neuron",
IF(OR(
AND($R131&lt;&gt;"",LOWER(TRIM($R131))&lt;&gt;"n/a",COUNTIFS($B$2:$B$532,"Yes",$A$2:$A$532,"Neuron",$S$2:$S$532,$R131)&gt;1),
AND($T131&lt;&gt;"",LOWER(TRIM($T131))&lt;&gt;"n/a",COUNTIFS($B$2:$B$532,"Yes",$A$2:$A$532,"Neuron",$T$2:$T$532,$T131)&gt;1),
AND($W131&lt;&gt;"",LOWER(TRIM($W131))&lt;&gt;"n/a",COUNTIFS($B$2:$B$532,"Yes",$A$2:$A$532,"Neuron",$W$2:$W$532,$W131)&gt;1)
),"Yes","No"),
IF($A131="Cybernet",
IF(OR(
AND($Y131&lt;&gt;"",LOWER(TRIM($Y131))&lt;&gt;"n/a",COUNTIFS($B$2:$B$532,"Yes",$A$2:$A$532,"Cybernet",$Y$2:$Y$532,$Y131)&gt;1),
AND($Z131&lt;&gt;"",LOWER(TRIM($Z131))&lt;&gt;"n/a",COUNTIFS($B$2:$B$532,"Yes",$A$2:$A$532,"Cybernet",$Z$2:$Z$532,$Z131)&gt;1)
),"Yes","No"),
IF(AND($AL131&lt;&gt;"",LOWER(TRIM($AL131))&lt;&gt;"n/a"),
IF(COUNTIFS($B$2:$B$532,"Yes",$A$2:$A$532,$A131,$AL$2:$AL$532,$AL131)&gt;1,"Yes","No"),
"No")
)
)
)</f>
      </c>
      <c r="G131" t="s">
        <v>1880</v>
      </c>
      <c r="H131" t="s">
        <v>2235</v>
      </c>
      <c r="I131" t="s">
        <v>1831</v>
      </c>
      <c r="J131" t="s">
        <v>1727</v>
      </c>
      <c r="K131" t="s">
        <v>1657</v>
      </c>
      <c r="L131" t="s">
        <v>1657</v>
      </c>
      <c r="R131" t="s">
        <v>1939</v>
      </c>
      <c r="BI131" t="s">
        <v>1630</v>
      </c>
      <c r="BL131">
        <f>IF($T131="","",IF((IF(AND($AW131&lt;&gt;"Yes",$AW131&lt;&gt;"N/A"),"Power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",""))="","",LEFT(IF(AND($AW131&lt;&gt;"Yes",$AW131&lt;&gt;"N/A"),"Power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",""),LEN(IF(AND($AW131&lt;&gt;"Yes",$AW131&lt;&gt;"N/A"),"Power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",""))-2)))</f>
      </c>
      <c r="BM131">
        <f>IF($T131="","",IF($BL131="","Yes","Blocked"))</f>
      </c>
      <c r="BP131">
        <f>IF($BO131="","",IFERROR(VLOOKUP($BO131,'01_Warehouse_Ledger'!$A:$N,4,FALSE),""))</f>
      </c>
      <c r="BQ131">
        <f>IF($BO131="","",IFERROR(VLOOKUP($BO131,'01_Warehouse_Ledger'!$A:$N,5,FALSE),""))</f>
      </c>
      <c r="BR131">
        <f>IF($BO131="","",IFERROR(VLOOKUP($BO131,'01_Warehouse_Ledger'!$A:$N,13,FALSE),""))</f>
      </c>
    </row>
    <row r="132">
      <c r="A132" t="s">
        <v>1415</v>
      </c>
      <c r="C132" t="s">
        <v>1657</v>
      </c>
      <c r="D132">
        <f>IF($B132&lt;&gt;"Yes","",IF($C132="No","Yes",IF($C132="Yes","No","")))</f>
      </c>
      <c r="E132">
        <f>IF($A132="","",IF($A132="Neuron",IF(OR(AND($R132&lt;&gt;"",LOWER(TRIM($R132))&lt;&gt;"n/a",COUNTIF($S$2:$S$532,$R132)&gt;1),AND($T132&lt;&gt;"",LOWER(TRIM($T132))&lt;&gt;"n/a",COUNTIF($T$2:$T$532,$T132)&gt;1),AND($W132&lt;&gt;"",LOWER(TRIM($W132))&lt;&gt;"n/a",COUNTIF($W$2:$W$532,$W132)&gt;1)),"Yes","No"),IF($A132="Cybernet",IF(OR(AND($Y132&lt;&gt;"",LOWER(TRIM($Y132))&lt;&gt;"n/a",COUNTIF($Y$2:$Y$532,$Y132)&gt;1),AND($Z132&lt;&gt;"",LOWER(TRIM($Z132))&lt;&gt;"n/a",COUNTIF($Z$2:$Z$532,$Z132)&gt;1)),"Yes","No"),IF(AND($AL132&lt;&gt;"",LOWER(TRIM($AL132))&lt;&gt;"n/a",COUNTIF($AL$2:$AL$532,$AL132)&gt;1),"Yes","No"))))</f>
      </c>
      <c r="F132">
        <f>IF($B132&lt;&gt;"Yes","",
IF($A132="Neuron",
IF(OR(
AND($R132&lt;&gt;"",LOWER(TRIM($R132))&lt;&gt;"n/a",COUNTIFS($B$2:$B$532,"Yes",$A$2:$A$532,"Neuron",$S$2:$S$532,$R132)&gt;1),
AND($T132&lt;&gt;"",LOWER(TRIM($T132))&lt;&gt;"n/a",COUNTIFS($B$2:$B$532,"Yes",$A$2:$A$532,"Neuron",$T$2:$T$532,$T132)&gt;1),
AND($W132&lt;&gt;"",LOWER(TRIM($W132))&lt;&gt;"n/a",COUNTIFS($B$2:$B$532,"Yes",$A$2:$A$532,"Neuron",$W$2:$W$532,$W132)&gt;1)
),"Yes","No"),
IF($A132="Cybernet",
IF(OR(
AND($Y132&lt;&gt;"",LOWER(TRIM($Y132))&lt;&gt;"n/a",COUNTIFS($B$2:$B$532,"Yes",$A$2:$A$532,"Cybernet",$Y$2:$Y$532,$Y132)&gt;1),
AND($Z132&lt;&gt;"",LOWER(TRIM($Z132))&lt;&gt;"n/a",COUNTIFS($B$2:$B$532,"Yes",$A$2:$A$532,"Cybernet",$Z$2:$Z$532,$Z132)&gt;1)
),"Yes","No"),
IF(AND($AL132&lt;&gt;"",LOWER(TRIM($AL132))&lt;&gt;"n/a"),
IF(COUNTIFS($B$2:$B$532,"Yes",$A$2:$A$532,$A132,$AL$2:$AL$532,$AL132)&gt;1,"Yes","No"),
"No")
)
)
)</f>
      </c>
      <c r="G132" t="s">
        <v>1880</v>
      </c>
      <c r="H132" t="s">
        <v>2235</v>
      </c>
      <c r="I132" t="s">
        <v>1831</v>
      </c>
      <c r="J132" t="s">
        <v>1727</v>
      </c>
      <c r="K132" t="s">
        <v>1657</v>
      </c>
      <c r="L132" t="s">
        <v>1657</v>
      </c>
      <c r="R132" t="s">
        <v>2393</v>
      </c>
      <c r="BI132" t="s">
        <v>1630</v>
      </c>
      <c r="BL132">
        <f>IF($T132="","",IF((IF(AND($AW132&lt;&gt;"Yes",$AW132&lt;&gt;"N/A"),"Power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",""))="","",LEFT(IF(AND($AW132&lt;&gt;"Yes",$AW132&lt;&gt;"N/A"),"Power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",""),LEN(IF(AND($AW132&lt;&gt;"Yes",$AW132&lt;&gt;"N/A"),"Power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",""))-2)))</f>
      </c>
      <c r="BM132">
        <f>IF($T132="","",IF($BL132="","Yes","Blocked"))</f>
      </c>
      <c r="BP132">
        <f>IF($BO132="","",IFERROR(VLOOKUP($BO132,'01_Warehouse_Ledger'!$A:$N,4,FALSE),""))</f>
      </c>
      <c r="BQ132">
        <f>IF($BO132="","",IFERROR(VLOOKUP($BO132,'01_Warehouse_Ledger'!$A:$N,5,FALSE),""))</f>
      </c>
      <c r="BR132">
        <f>IF($BO132="","",IFERROR(VLOOKUP($BO132,'01_Warehouse_Ledger'!$A:$N,13,FALSE),""))</f>
      </c>
    </row>
    <row r="133">
      <c r="A133" t="s">
        <v>1415</v>
      </c>
      <c r="C133" t="s">
        <v>1657</v>
      </c>
      <c r="D133">
        <f>IF($B133&lt;&gt;"Yes","",IF($C133="No","Yes",IF($C133="Yes","No","")))</f>
      </c>
      <c r="E133">
        <f>IF($A133="","",IF($A133="Neuron",IF(OR(AND($R133&lt;&gt;"",LOWER(TRIM($R133))&lt;&gt;"n/a",COUNTIF($S$2:$S$532,$R133)&gt;1),AND($T133&lt;&gt;"",LOWER(TRIM($T133))&lt;&gt;"n/a",COUNTIF($T$2:$T$532,$T133)&gt;1),AND($W133&lt;&gt;"",LOWER(TRIM($W133))&lt;&gt;"n/a",COUNTIF($W$2:$W$532,$W133)&gt;1)),"Yes","No"),IF($A133="Cybernet",IF(OR(AND($Y133&lt;&gt;"",LOWER(TRIM($Y133))&lt;&gt;"n/a",COUNTIF($Y$2:$Y$532,$Y133)&gt;1),AND($Z133&lt;&gt;"",LOWER(TRIM($Z133))&lt;&gt;"n/a",COUNTIF($Z$2:$Z$532,$Z133)&gt;1)),"Yes","No"),IF(AND($AL133&lt;&gt;"",LOWER(TRIM($AL133))&lt;&gt;"n/a",COUNTIF($AL$2:$AL$532,$AL133)&gt;1),"Yes","No"))))</f>
      </c>
      <c r="F133">
        <f>IF($B133&lt;&gt;"Yes","",
IF($A133="Neuron",
IF(OR(
AND($R133&lt;&gt;"",LOWER(TRIM($R133))&lt;&gt;"n/a",COUNTIFS($B$2:$B$532,"Yes",$A$2:$A$532,"Neuron",$S$2:$S$532,$R133)&gt;1),
AND($T133&lt;&gt;"",LOWER(TRIM($T133))&lt;&gt;"n/a",COUNTIFS($B$2:$B$532,"Yes",$A$2:$A$532,"Neuron",$T$2:$T$532,$T133)&gt;1),
AND($W133&lt;&gt;"",LOWER(TRIM($W133))&lt;&gt;"n/a",COUNTIFS($B$2:$B$532,"Yes",$A$2:$A$532,"Neuron",$W$2:$W$532,$W133)&gt;1)
),"Yes","No"),
IF($A133="Cybernet",
IF(OR(
AND($Y133&lt;&gt;"",LOWER(TRIM($Y133))&lt;&gt;"n/a",COUNTIFS($B$2:$B$532,"Yes",$A$2:$A$532,"Cybernet",$Y$2:$Y$532,$Y133)&gt;1),
AND($Z133&lt;&gt;"",LOWER(TRIM($Z133))&lt;&gt;"n/a",COUNTIFS($B$2:$B$532,"Yes",$A$2:$A$532,"Cybernet",$Z$2:$Z$532,$Z133)&gt;1)
),"Yes","No"),
IF(AND($AL133&lt;&gt;"",LOWER(TRIM($AL133))&lt;&gt;"n/a"),
IF(COUNTIFS($B$2:$B$532,"Yes",$A$2:$A$532,$A133,$AL$2:$AL$532,$AL133)&gt;1,"Yes","No"),
"No")
)
)
)</f>
      </c>
      <c r="G133" t="s">
        <v>1880</v>
      </c>
      <c r="H133" t="s">
        <v>2235</v>
      </c>
      <c r="I133" t="s">
        <v>1831</v>
      </c>
      <c r="J133" t="s">
        <v>1727</v>
      </c>
      <c r="K133" t="s">
        <v>1657</v>
      </c>
      <c r="L133" t="s">
        <v>1657</v>
      </c>
      <c r="R133" t="s">
        <v>1753</v>
      </c>
      <c r="BI133" t="s">
        <v>1630</v>
      </c>
      <c r="BL133">
        <f>IF($T133="","",IF((IF(AND($AW133&lt;&gt;"Yes",$AW133&lt;&gt;"N/A"),"Power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",""))="","",LEFT(IF(AND($AW133&lt;&gt;"Yes",$AW133&lt;&gt;"N/A"),"Power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",""),LEN(IF(AND($AW133&lt;&gt;"Yes",$AW133&lt;&gt;"N/A"),"Power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",""))-2)))</f>
      </c>
      <c r="BM133">
        <f>IF($T133="","",IF($BL133="","Yes","Blocked"))</f>
      </c>
      <c r="BP133">
        <f>IF($BO133="","",IFERROR(VLOOKUP($BO133,'01_Warehouse_Ledger'!$A:$N,4,FALSE),""))</f>
      </c>
      <c r="BQ133">
        <f>IF($BO133="","",IFERROR(VLOOKUP($BO133,'01_Warehouse_Ledger'!$A:$N,5,FALSE),""))</f>
      </c>
      <c r="BR133">
        <f>IF($BO133="","",IFERROR(VLOOKUP($BO133,'01_Warehouse_Ledger'!$A:$N,13,FALSE),""))</f>
      </c>
    </row>
    <row r="134">
      <c r="A134" t="s">
        <v>1415</v>
      </c>
      <c r="C134" t="s">
        <v>1657</v>
      </c>
      <c r="D134">
        <f>IF($B134&lt;&gt;"Yes","",IF($C134="No","Yes",IF($C134="Yes","No","")))</f>
      </c>
      <c r="E134">
        <f>IF($A134="","",IF($A134="Neuron",IF(OR(AND($R134&lt;&gt;"",LOWER(TRIM($R134))&lt;&gt;"n/a",COUNTIF($S$2:$S$532,$R134)&gt;1),AND($T134&lt;&gt;"",LOWER(TRIM($T134))&lt;&gt;"n/a",COUNTIF($T$2:$T$532,$T134)&gt;1),AND($W134&lt;&gt;"",LOWER(TRIM($W134))&lt;&gt;"n/a",COUNTIF($W$2:$W$532,$W134)&gt;1)),"Yes","No"),IF($A134="Cybernet",IF(OR(AND($Y134&lt;&gt;"",LOWER(TRIM($Y134))&lt;&gt;"n/a",COUNTIF($Y$2:$Y$532,$Y134)&gt;1),AND($Z134&lt;&gt;"",LOWER(TRIM($Z134))&lt;&gt;"n/a",COUNTIF($Z$2:$Z$532,$Z134)&gt;1)),"Yes","No"),IF(AND($AL134&lt;&gt;"",LOWER(TRIM($AL134))&lt;&gt;"n/a",COUNTIF($AL$2:$AL$532,$AL134)&gt;1),"Yes","No"))))</f>
      </c>
      <c r="F134">
        <f>IF($B134&lt;&gt;"Yes","",
IF($A134="Neuron",
IF(OR(
AND($R134&lt;&gt;"",LOWER(TRIM($R134))&lt;&gt;"n/a",COUNTIFS($B$2:$B$532,"Yes",$A$2:$A$532,"Neuron",$S$2:$S$532,$R134)&gt;1),
AND($T134&lt;&gt;"",LOWER(TRIM($T134))&lt;&gt;"n/a",COUNTIFS($B$2:$B$532,"Yes",$A$2:$A$532,"Neuron",$T$2:$T$532,$T134)&gt;1),
AND($W134&lt;&gt;"",LOWER(TRIM($W134))&lt;&gt;"n/a",COUNTIFS($B$2:$B$532,"Yes",$A$2:$A$532,"Neuron",$W$2:$W$532,$W134)&gt;1)
),"Yes","No"),
IF($A134="Cybernet",
IF(OR(
AND($Y134&lt;&gt;"",LOWER(TRIM($Y134))&lt;&gt;"n/a",COUNTIFS($B$2:$B$532,"Yes",$A$2:$A$532,"Cybernet",$Y$2:$Y$532,$Y134)&gt;1),
AND($Z134&lt;&gt;"",LOWER(TRIM($Z134))&lt;&gt;"n/a",COUNTIFS($B$2:$B$532,"Yes",$A$2:$A$532,"Cybernet",$Z$2:$Z$532,$Z134)&gt;1)
),"Yes","No"),
IF(AND($AL134&lt;&gt;"",LOWER(TRIM($AL134))&lt;&gt;"n/a"),
IF(COUNTIFS($B$2:$B$532,"Yes",$A$2:$A$532,$A134,$AL$2:$AL$532,$AL134)&gt;1,"Yes","No"),
"No")
)
)
)</f>
      </c>
      <c r="G134" t="s">
        <v>1880</v>
      </c>
      <c r="H134" t="s">
        <v>2235</v>
      </c>
      <c r="I134" t="s">
        <v>1831</v>
      </c>
      <c r="J134" t="s">
        <v>1727</v>
      </c>
      <c r="K134" t="s">
        <v>1657</v>
      </c>
      <c r="L134" t="s">
        <v>1657</v>
      </c>
      <c r="R134" t="s">
        <v>2294</v>
      </c>
      <c r="BI134" t="s">
        <v>1630</v>
      </c>
      <c r="BL134">
        <f>IF($T134="","",IF((IF(AND($AW134&lt;&gt;"Yes",$AW134&lt;&gt;"N/A"),"Power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",""))="","",LEFT(IF(AND($AW134&lt;&gt;"Yes",$AW134&lt;&gt;"N/A"),"Power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",""),LEN(IF(AND($AW134&lt;&gt;"Yes",$AW134&lt;&gt;"N/A"),"Power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",""))-2)))</f>
      </c>
      <c r="BM134">
        <f>IF($T134="","",IF($BL134="","Yes","Blocked"))</f>
      </c>
      <c r="BP134">
        <f>IF($BO134="","",IFERROR(VLOOKUP($BO134,'01_Warehouse_Ledger'!$A:$N,4,FALSE),""))</f>
      </c>
      <c r="BQ134">
        <f>IF($BO134="","",IFERROR(VLOOKUP($BO134,'01_Warehouse_Ledger'!$A:$N,5,FALSE),""))</f>
      </c>
      <c r="BR134">
        <f>IF($BO134="","",IFERROR(VLOOKUP($BO134,'01_Warehouse_Ledger'!$A:$N,13,FALSE),""))</f>
      </c>
    </row>
    <row r="135">
      <c r="A135" t="s">
        <v>1415</v>
      </c>
      <c r="C135" t="s">
        <v>1657</v>
      </c>
      <c r="D135">
        <f>IF($B135&lt;&gt;"Yes","",IF($C135="No","Yes",IF($C135="Yes","No","")))</f>
      </c>
      <c r="E135">
        <f>IF($A135="","",IF($A135="Neuron",IF(OR(AND($R135&lt;&gt;"",LOWER(TRIM($R135))&lt;&gt;"n/a",COUNTIF($S$2:$S$532,$R135)&gt;1),AND($T135&lt;&gt;"",LOWER(TRIM($T135))&lt;&gt;"n/a",COUNTIF($T$2:$T$532,$T135)&gt;1),AND($W135&lt;&gt;"",LOWER(TRIM($W135))&lt;&gt;"n/a",COUNTIF($W$2:$W$532,$W135)&gt;1)),"Yes","No"),IF($A135="Cybernet",IF(OR(AND($Y135&lt;&gt;"",LOWER(TRIM($Y135))&lt;&gt;"n/a",COUNTIF($Y$2:$Y$532,$Y135)&gt;1),AND($Z135&lt;&gt;"",LOWER(TRIM($Z135))&lt;&gt;"n/a",COUNTIF($Z$2:$Z$532,$Z135)&gt;1)),"Yes","No"),IF(AND($AL135&lt;&gt;"",LOWER(TRIM($AL135))&lt;&gt;"n/a",COUNTIF($AL$2:$AL$532,$AL135)&gt;1),"Yes","No"))))</f>
      </c>
      <c r="F135">
        <f>IF($B135&lt;&gt;"Yes","",
IF($A135="Neuron",
IF(OR(
AND($R135&lt;&gt;"",LOWER(TRIM($R135))&lt;&gt;"n/a",COUNTIFS($B$2:$B$532,"Yes",$A$2:$A$532,"Neuron",$S$2:$S$532,$R135)&gt;1),
AND($T135&lt;&gt;"",LOWER(TRIM($T135))&lt;&gt;"n/a",COUNTIFS($B$2:$B$532,"Yes",$A$2:$A$532,"Neuron",$T$2:$T$532,$T135)&gt;1),
AND($W135&lt;&gt;"",LOWER(TRIM($W135))&lt;&gt;"n/a",COUNTIFS($B$2:$B$532,"Yes",$A$2:$A$532,"Neuron",$W$2:$W$532,$W135)&gt;1)
),"Yes","No"),
IF($A135="Cybernet",
IF(OR(
AND($Y135&lt;&gt;"",LOWER(TRIM($Y135))&lt;&gt;"n/a",COUNTIFS($B$2:$B$532,"Yes",$A$2:$A$532,"Cybernet",$Y$2:$Y$532,$Y135)&gt;1),
AND($Z135&lt;&gt;"",LOWER(TRIM($Z135))&lt;&gt;"n/a",COUNTIFS($B$2:$B$532,"Yes",$A$2:$A$532,"Cybernet",$Z$2:$Z$532,$Z135)&gt;1)
),"Yes","No"),
IF(AND($AL135&lt;&gt;"",LOWER(TRIM($AL135))&lt;&gt;"n/a"),
IF(COUNTIFS($B$2:$B$532,"Yes",$A$2:$A$532,$A135,$AL$2:$AL$532,$AL135)&gt;1,"Yes","No"),
"No")
)
)
)</f>
      </c>
      <c r="G135" t="s">
        <v>1880</v>
      </c>
      <c r="H135" t="s">
        <v>2235</v>
      </c>
      <c r="I135" t="s">
        <v>1831</v>
      </c>
      <c r="J135" t="s">
        <v>1727</v>
      </c>
      <c r="K135" t="s">
        <v>1657</v>
      </c>
      <c r="L135" t="s">
        <v>1657</v>
      </c>
      <c r="R135" t="s">
        <v>2183</v>
      </c>
      <c r="BI135" t="s">
        <v>1630</v>
      </c>
      <c r="BL135">
        <f>IF($T135="","",IF((IF(AND($AW135&lt;&gt;"Yes",$AW135&lt;&gt;"N/A"),"Power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",""))="","",LEFT(IF(AND($AW135&lt;&gt;"Yes",$AW135&lt;&gt;"N/A"),"Power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",""),LEN(IF(AND($AW135&lt;&gt;"Yes",$AW135&lt;&gt;"N/A"),"Power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",""))-2)))</f>
      </c>
      <c r="BM135">
        <f>IF($T135="","",IF($BL135="","Yes","Blocked"))</f>
      </c>
      <c r="BP135">
        <f>IF($BO135="","",IFERROR(VLOOKUP($BO135,'01_Warehouse_Ledger'!$A:$N,4,FALSE),""))</f>
      </c>
      <c r="BQ135">
        <f>IF($BO135="","",IFERROR(VLOOKUP($BO135,'01_Warehouse_Ledger'!$A:$N,5,FALSE),""))</f>
      </c>
      <c r="BR135">
        <f>IF($BO135="","",IFERROR(VLOOKUP($BO135,'01_Warehouse_Ledger'!$A:$N,13,FALSE),""))</f>
      </c>
    </row>
    <row r="136">
      <c r="A136" t="s">
        <v>1415</v>
      </c>
      <c r="C136" t="s">
        <v>1657</v>
      </c>
      <c r="D136">
        <f>IF($B136&lt;&gt;"Yes","",IF($C136="No","Yes",IF($C136="Yes","No","")))</f>
      </c>
      <c r="E136">
        <f>IF($A136="","",IF($A136="Neuron",IF(OR(AND($R136&lt;&gt;"",LOWER(TRIM($R136))&lt;&gt;"n/a",COUNTIF($S$2:$S$532,$R136)&gt;1),AND($T136&lt;&gt;"",LOWER(TRIM($T136))&lt;&gt;"n/a",COUNTIF($T$2:$T$532,$T136)&gt;1),AND($W136&lt;&gt;"",LOWER(TRIM($W136))&lt;&gt;"n/a",COUNTIF($W$2:$W$532,$W136)&gt;1)),"Yes","No"),IF($A136="Cybernet",IF(OR(AND($Y136&lt;&gt;"",LOWER(TRIM($Y136))&lt;&gt;"n/a",COUNTIF($Y$2:$Y$532,$Y136)&gt;1),AND($Z136&lt;&gt;"",LOWER(TRIM($Z136))&lt;&gt;"n/a",COUNTIF($Z$2:$Z$532,$Z136)&gt;1)),"Yes","No"),IF(AND($AL136&lt;&gt;"",LOWER(TRIM($AL136))&lt;&gt;"n/a",COUNTIF($AL$2:$AL$532,$AL136)&gt;1),"Yes","No"))))</f>
      </c>
      <c r="F136">
        <f>IF($B136&lt;&gt;"Yes","",
IF($A136="Neuron",
IF(OR(
AND($R136&lt;&gt;"",LOWER(TRIM($R136))&lt;&gt;"n/a",COUNTIFS($B$2:$B$532,"Yes",$A$2:$A$532,"Neuron",$S$2:$S$532,$R136)&gt;1),
AND($T136&lt;&gt;"",LOWER(TRIM($T136))&lt;&gt;"n/a",COUNTIFS($B$2:$B$532,"Yes",$A$2:$A$532,"Neuron",$T$2:$T$532,$T136)&gt;1),
AND($W136&lt;&gt;"",LOWER(TRIM($W136))&lt;&gt;"n/a",COUNTIFS($B$2:$B$532,"Yes",$A$2:$A$532,"Neuron",$W$2:$W$532,$W136)&gt;1)
),"Yes","No"),
IF($A136="Cybernet",
IF(OR(
AND($Y136&lt;&gt;"",LOWER(TRIM($Y136))&lt;&gt;"n/a",COUNTIFS($B$2:$B$532,"Yes",$A$2:$A$532,"Cybernet",$Y$2:$Y$532,$Y136)&gt;1),
AND($Z136&lt;&gt;"",LOWER(TRIM($Z136))&lt;&gt;"n/a",COUNTIFS($B$2:$B$532,"Yes",$A$2:$A$532,"Cybernet",$Z$2:$Z$532,$Z136)&gt;1)
),"Yes","No"),
IF(AND($AL136&lt;&gt;"",LOWER(TRIM($AL136))&lt;&gt;"n/a"),
IF(COUNTIFS($B$2:$B$532,"Yes",$A$2:$A$532,$A136,$AL$2:$AL$532,$AL136)&gt;1,"Yes","No"),
"No")
)
)
)</f>
      </c>
      <c r="G136" t="s">
        <v>1880</v>
      </c>
      <c r="H136" t="s">
        <v>2235</v>
      </c>
      <c r="I136" t="s">
        <v>1831</v>
      </c>
      <c r="J136" t="s">
        <v>1727</v>
      </c>
      <c r="K136" t="s">
        <v>1657</v>
      </c>
      <c r="L136" t="s">
        <v>1657</v>
      </c>
      <c r="R136" t="s">
        <v>1729</v>
      </c>
      <c r="BI136" t="s">
        <v>1630</v>
      </c>
      <c r="BL136">
        <f>IF($T136="","",IF((IF(AND($AW136&lt;&gt;"Yes",$AW136&lt;&gt;"N/A"),"Power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",""))="","",LEFT(IF(AND($AW136&lt;&gt;"Yes",$AW136&lt;&gt;"N/A"),"Power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",""),LEN(IF(AND($AW136&lt;&gt;"Yes",$AW136&lt;&gt;"N/A"),"Power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",""))-2)))</f>
      </c>
      <c r="BM136">
        <f>IF($T136="","",IF($BL136="","Yes","Blocked"))</f>
      </c>
      <c r="BP136">
        <f>IF($BO136="","",IFERROR(VLOOKUP($BO136,'01_Warehouse_Ledger'!$A:$N,4,FALSE),""))</f>
      </c>
      <c r="BQ136">
        <f>IF($BO136="","",IFERROR(VLOOKUP($BO136,'01_Warehouse_Ledger'!$A:$N,5,FALSE),""))</f>
      </c>
      <c r="BR136">
        <f>IF($BO136="","",IFERROR(VLOOKUP($BO136,'01_Warehouse_Ledger'!$A:$N,13,FALSE),""))</f>
      </c>
    </row>
    <row r="137">
      <c r="A137" t="s">
        <v>1415</v>
      </c>
      <c r="C137" t="s">
        <v>1657</v>
      </c>
      <c r="D137">
        <f>IF($B137&lt;&gt;"Yes","",IF($C137="No","Yes",IF($C137="Yes","No","")))</f>
      </c>
      <c r="E137">
        <f>IF($A137="","",IF($A137="Neuron",IF(OR(AND($R137&lt;&gt;"",LOWER(TRIM($R137))&lt;&gt;"n/a",COUNTIF($S$2:$S$532,$R137)&gt;1),AND($T137&lt;&gt;"",LOWER(TRIM($T137))&lt;&gt;"n/a",COUNTIF($T$2:$T$532,$T137)&gt;1),AND($W137&lt;&gt;"",LOWER(TRIM($W137))&lt;&gt;"n/a",COUNTIF($W$2:$W$532,$W137)&gt;1)),"Yes","No"),IF($A137="Cybernet",IF(OR(AND($Y137&lt;&gt;"",LOWER(TRIM($Y137))&lt;&gt;"n/a",COUNTIF($Y$2:$Y$532,$Y137)&gt;1),AND($Z137&lt;&gt;"",LOWER(TRIM($Z137))&lt;&gt;"n/a",COUNTIF($Z$2:$Z$532,$Z137)&gt;1)),"Yes","No"),IF(AND($AL137&lt;&gt;"",LOWER(TRIM($AL137))&lt;&gt;"n/a",COUNTIF($AL$2:$AL$532,$AL137)&gt;1),"Yes","No"))))</f>
      </c>
      <c r="F137">
        <f>IF($B137&lt;&gt;"Yes","",
IF($A137="Neuron",
IF(OR(
AND($R137&lt;&gt;"",LOWER(TRIM($R137))&lt;&gt;"n/a",COUNTIFS($B$2:$B$532,"Yes",$A$2:$A$532,"Neuron",$S$2:$S$532,$R137)&gt;1),
AND($T137&lt;&gt;"",LOWER(TRIM($T137))&lt;&gt;"n/a",COUNTIFS($B$2:$B$532,"Yes",$A$2:$A$532,"Neuron",$T$2:$T$532,$T137)&gt;1),
AND($W137&lt;&gt;"",LOWER(TRIM($W137))&lt;&gt;"n/a",COUNTIFS($B$2:$B$532,"Yes",$A$2:$A$532,"Neuron",$W$2:$W$532,$W137)&gt;1)
),"Yes","No"),
IF($A137="Cybernet",
IF(OR(
AND($Y137&lt;&gt;"",LOWER(TRIM($Y137))&lt;&gt;"n/a",COUNTIFS($B$2:$B$532,"Yes",$A$2:$A$532,"Cybernet",$Y$2:$Y$532,$Y137)&gt;1),
AND($Z137&lt;&gt;"",LOWER(TRIM($Z137))&lt;&gt;"n/a",COUNTIFS($B$2:$B$532,"Yes",$A$2:$A$532,"Cybernet",$Z$2:$Z$532,$Z137)&gt;1)
),"Yes","No"),
IF(AND($AL137&lt;&gt;"",LOWER(TRIM($AL137))&lt;&gt;"n/a"),
IF(COUNTIFS($B$2:$B$532,"Yes",$A$2:$A$532,$A137,$AL$2:$AL$532,$AL137)&gt;1,"Yes","No"),
"No")
)
)
)</f>
      </c>
      <c r="G137" t="s">
        <v>1880</v>
      </c>
      <c r="H137" t="s">
        <v>2235</v>
      </c>
      <c r="I137" t="s">
        <v>1831</v>
      </c>
      <c r="J137" t="s">
        <v>1727</v>
      </c>
      <c r="K137" t="s">
        <v>1657</v>
      </c>
      <c r="L137" t="s">
        <v>1657</v>
      </c>
      <c r="R137" t="s">
        <v>2356</v>
      </c>
      <c r="BI137" t="s">
        <v>1630</v>
      </c>
      <c r="BL137">
        <f>IF($T137="","",IF((IF(AND($AW137&lt;&gt;"Yes",$AW137&lt;&gt;"N/A"),"Power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",""))="","",LEFT(IF(AND($AW137&lt;&gt;"Yes",$AW137&lt;&gt;"N/A"),"Power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",""),LEN(IF(AND($AW137&lt;&gt;"Yes",$AW137&lt;&gt;"N/A"),"Power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",""))-2)))</f>
      </c>
      <c r="BM137">
        <f>IF($T137="","",IF($BL137="","Yes","Blocked"))</f>
      </c>
      <c r="BP137">
        <f>IF($BO137="","",IFERROR(VLOOKUP($BO137,'01_Warehouse_Ledger'!$A:$N,4,FALSE),""))</f>
      </c>
      <c r="BQ137">
        <f>IF($BO137="","",IFERROR(VLOOKUP($BO137,'01_Warehouse_Ledger'!$A:$N,5,FALSE),""))</f>
      </c>
      <c r="BR137">
        <f>IF($BO137="","",IFERROR(VLOOKUP($BO137,'01_Warehouse_Ledger'!$A:$N,13,FALSE),""))</f>
      </c>
    </row>
    <row r="138">
      <c r="A138" t="s">
        <v>1415</v>
      </c>
      <c r="C138" t="s">
        <v>1657</v>
      </c>
      <c r="E138">
        <f>IF($A138="","",IF($A138="Neuron",IF(OR(AND($R138&lt;&gt;"",LOWER(TRIM($R138))&lt;&gt;"n/a",COUNTIF($S$2:$S$532,$R138)&gt;1),AND($T138&lt;&gt;"",LOWER(TRIM($T138))&lt;&gt;"n/a",COUNTIF($T$2:$T$532,$T138)&gt;1),AND($W138&lt;&gt;"",LOWER(TRIM($W138))&lt;&gt;"n/a",COUNTIF($W$2:$W$532,$W138)&gt;1)),"Yes","No"),IF($A138="Cybernet",IF(OR(AND($Y138&lt;&gt;"",LOWER(TRIM($Y138))&lt;&gt;"n/a",COUNTIF($Y$2:$Y$532,$Y138)&gt;1),AND($Z138&lt;&gt;"",LOWER(TRIM($Z138))&lt;&gt;"n/a",COUNTIF($Z$2:$Z$532,$Z138)&gt;1)),"Yes","No"),IF(AND($AL138&lt;&gt;"",LOWER(TRIM($AL138))&lt;&gt;"n/a",COUNTIF($AL$2:$AL$532,$AL138)&gt;1),"Yes","No"))))</f>
      </c>
      <c r="F138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</c>
      <c r="G138" t="s">
        <v>1658</v>
      </c>
      <c r="H138" t="s">
        <v>2235</v>
      </c>
      <c r="I138" t="s">
        <v>1831</v>
      </c>
      <c r="R138" t="s">
        <v>2046</v>
      </c>
      <c r="BI138" t="s">
        <v>1630</v>
      </c>
      <c r="BL138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</c>
      <c r="BM138">
        <f>IF($T138="","",IF($BL138="","Yes","Blocked"))</f>
      </c>
    </row>
    <row r="139">
      <c r="A139" t="s">
        <v>1415</v>
      </c>
      <c r="C139" t="s">
        <v>1657</v>
      </c>
      <c r="E139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</c>
      <c r="F139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</c>
      <c r="G139" t="s">
        <v>1658</v>
      </c>
      <c r="H139" t="s">
        <v>2235</v>
      </c>
      <c r="I139" t="s">
        <v>1831</v>
      </c>
      <c r="R139" t="s">
        <v>2236</v>
      </c>
      <c r="BI139" t="s">
        <v>1630</v>
      </c>
      <c r="BL139">
        <f>IF($T139="","",IF((IF(AND($AW139&lt;&gt;"Yes",$AW139&lt;&gt;"N/A"),"Power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",""))="","",LEFT(IF(AND($AW139&lt;&gt;"Yes",$AW139&lt;&gt;"N/A"),"Power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",""),LEN(IF(AND($AW139&lt;&gt;"Yes",$AW139&lt;&gt;"N/A"),"Power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",""))-2)))</f>
      </c>
      <c r="BM139">
        <f>IF($T139="","",IF($BL139="","Yes","Blocked"))</f>
      </c>
    </row>
    <row r="140">
      <c r="A140" t="s">
        <v>1415</v>
      </c>
      <c r="C140" t="s">
        <v>1657</v>
      </c>
      <c r="E140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</c>
      <c r="F140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</c>
      <c r="G140" t="s">
        <v>1983</v>
      </c>
      <c r="H140" t="s">
        <v>2282</v>
      </c>
      <c r="I140" t="s">
        <v>1831</v>
      </c>
      <c r="R140" t="s">
        <v>1812</v>
      </c>
      <c r="Y140" t="s">
        <v>2139</v>
      </c>
      <c r="Z140" t="s">
        <v>2199</v>
      </c>
      <c r="BI140" t="s">
        <v>1630</v>
      </c>
      <c r="BL140">
        <f>IF($T140="","",IF((IF(AND($AW140&lt;&gt;"Yes",$AW140&lt;&gt;"N/A"),"Power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",""))="","",LEFT(IF(AND($AW140&lt;&gt;"Yes",$AW140&lt;&gt;"N/A"),"Power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",""),LEN(IF(AND($AW140&lt;&gt;"Yes",$AW140&lt;&gt;"N/A"),"Power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",""))-2)))</f>
      </c>
      <c r="BM140">
        <f>IF($T140="","",IF($BL140="","Yes","Blocked"))</f>
      </c>
    </row>
    <row r="141">
      <c r="A141" t="s">
        <v>1415</v>
      </c>
      <c r="C141" t="s">
        <v>1657</v>
      </c>
      <c r="E141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</c>
      <c r="F141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</c>
      <c r="G141" t="s">
        <v>1983</v>
      </c>
      <c r="H141" t="s">
        <v>2282</v>
      </c>
      <c r="I141" t="s">
        <v>1831</v>
      </c>
      <c r="R141" t="s">
        <v>2247</v>
      </c>
      <c r="Y141" t="s">
        <v>1704</v>
      </c>
      <c r="Z141" t="s">
        <v>2041</v>
      </c>
      <c r="BI141" t="s">
        <v>1630</v>
      </c>
      <c r="BL141">
        <f>IF($T141="","",IF((IF(AND($AW141&lt;&gt;"Yes",$AW141&lt;&gt;"N/A"),"Power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",""))="","",LEFT(IF(AND($AW141&lt;&gt;"Yes",$AW141&lt;&gt;"N/A"),"Power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",""),LEN(IF(AND($AW141&lt;&gt;"Yes",$AW141&lt;&gt;"N/A"),"Power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",""))-2)))</f>
      </c>
      <c r="BM141">
        <f>IF($T141="","",IF($BL141="","Yes","Blocked"))</f>
      </c>
    </row>
    <row r="142">
      <c r="A142" t="s">
        <v>1415</v>
      </c>
      <c r="C142" t="s">
        <v>1657</v>
      </c>
      <c r="E142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</c>
      <c r="F142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</c>
      <c r="G142" t="s">
        <v>1983</v>
      </c>
      <c r="H142" t="s">
        <v>2282</v>
      </c>
      <c r="I142" t="s">
        <v>1831</v>
      </c>
      <c r="R142" t="s">
        <v>1888</v>
      </c>
      <c r="Y142" t="s">
        <v>1868</v>
      </c>
      <c r="Z142" t="s">
        <v>1869</v>
      </c>
      <c r="BI142" t="s">
        <v>1630</v>
      </c>
      <c r="BL142">
        <f>IF($T142="","",IF((IF(AND($AW142&lt;&gt;"Yes",$AW142&lt;&gt;"N/A"),"Power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",""))="","",LEFT(IF(AND($AW142&lt;&gt;"Yes",$AW142&lt;&gt;"N/A"),"Power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",""),LEN(IF(AND($AW142&lt;&gt;"Yes",$AW142&lt;&gt;"N/A"),"Power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",""))-2)))</f>
      </c>
      <c r="BM142">
        <f>IF($T142="","",IF($BL142="","Yes","Blocked"))</f>
      </c>
    </row>
    <row r="143">
      <c r="A143" t="s">
        <v>1429</v>
      </c>
      <c r="B143" t="s">
        <v>1727</v>
      </c>
      <c r="C143" t="s">
        <v>1727</v>
      </c>
      <c r="D143">
        <f>IF($B143&lt;&gt;"Yes","",IF($C143="No","Yes",IF($C143="Yes","No","")))</f>
      </c>
      <c r="E143">
        <f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</c>
      <c r="F143">
        <f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</c>
      <c r="G143" t="s">
        <v>2192</v>
      </c>
      <c r="H143" t="s">
        <v>2192</v>
      </c>
      <c r="R143" t="s">
        <v>1743</v>
      </c>
      <c r="T143" t="s">
        <v>1931</v>
      </c>
      <c r="W143" t="s">
        <v>1881</v>
      </c>
      <c r="X143" t="s">
        <v>2192</v>
      </c>
      <c r="Y143" t="s">
        <v>2354</v>
      </c>
      <c r="Z143" t="s">
        <v>1995</v>
      </c>
      <c r="AA143" t="s">
        <v>2031</v>
      </c>
      <c r="AD143" t="s">
        <v>1821</v>
      </c>
      <c r="AE143">
        <v>1</v>
      </c>
      <c r="AF143" t="s">
        <v>2003</v>
      </c>
      <c r="AG143" t="s">
        <v>2228</v>
      </c>
      <c r="AJ143" t="s">
        <v>1621</v>
      </c>
      <c r="AM143" t="s">
        <v>1297</v>
      </c>
      <c r="AR143" t="s">
        <v>1832</v>
      </c>
      <c r="AS143" t="s">
        <v>2275</v>
      </c>
      <c r="AY143" t="s">
        <v>1727</v>
      </c>
      <c r="AZ143" t="s">
        <v>1727</v>
      </c>
      <c r="BB143" t="s">
        <v>1727</v>
      </c>
      <c r="BC143" t="s">
        <v>1996</v>
      </c>
      <c r="BL143">
        <f>IF($T143="","",IF((IF(AND($AW143&lt;&gt;"Yes",$AW143&lt;&gt;"N/A"),"Power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",""))="","",LEFT(IF(AND($AW143&lt;&gt;"Yes",$AW143&lt;&gt;"N/A"),"Power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",""),LEN(IF(AND($AW143&lt;&gt;"Yes",$AW143&lt;&gt;"N/A"),"Power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",""))-2)))</f>
      </c>
      <c r="BM143">
        <f>IF($T143="","",IF($BL143="","Yes","Blocked"))</f>
      </c>
      <c r="BP143">
        <f>IF($BO143="","",IFERROR(VLOOKUP($BO143,'01_Warehouse_Ledger'!$A:$N,4,FALSE),""))</f>
      </c>
      <c r="BQ143">
        <f>IF($BO143="","",IFERROR(VLOOKUP($BO143,'01_Warehouse_Ledger'!$A:$N,5,FALSE),""))</f>
      </c>
      <c r="BR143">
        <f>IF($BO143="","",IFERROR(VLOOKUP($BO143,'01_Warehouse_Ledger'!$A:$N,13,FALSE),""))</f>
      </c>
      <c r="BS143" t="s">
        <v>1727</v>
      </c>
      <c r="BT143" t="s">
        <v>1727</v>
      </c>
      <c r="BU143" t="s">
        <v>1727</v>
      </c>
      <c r="BV143" t="s">
        <v>1727</v>
      </c>
    </row>
    <row r="144">
      <c r="A144" t="s">
        <v>1429</v>
      </c>
      <c r="B144" t="s">
        <v>1727</v>
      </c>
      <c r="C144" t="s">
        <v>1727</v>
      </c>
      <c r="D144">
        <f>IF($B144&lt;&gt;"Yes","",IF($C144="No","Yes",IF($C144="Yes","No","")))</f>
      </c>
      <c r="E144">
        <f>IF($A144="","",IF($A144="Neuron",IF(OR(AND($R144&lt;&gt;"",LOWER(TRIM($R144))&lt;&gt;"n/a",COUNTIF($S$2:$S$532,$R144)&gt;1),AND($T144&lt;&gt;"",LOWER(TRIM($T144))&lt;&gt;"n/a",COUNTIF($T$2:$T$532,$T144)&gt;1),AND($W144&lt;&gt;"",LOWER(TRIM($W144))&lt;&gt;"n/a",COUNTIF($W$2:$W$532,$W144)&gt;1)),"Yes","No"),IF($A144="Cybernet",IF(OR(AND($Y144&lt;&gt;"",LOWER(TRIM($Y144))&lt;&gt;"n/a",COUNTIF($Y$2:$Y$532,$Y144)&gt;1),AND($Z144&lt;&gt;"",LOWER(TRIM($Z144))&lt;&gt;"n/a",COUNTIF($Z$2:$Z$532,$Z144)&gt;1)),"Yes","No"),IF(AND($AL144&lt;&gt;"",LOWER(TRIM($AL144))&lt;&gt;"n/a",COUNTIF($AL$2:$AL$532,$AL144)&gt;1),"Yes","No"))))</f>
      </c>
      <c r="F144">
        <f>IF($B144&lt;&gt;"Yes","",
IF($A144="Neuron",
IF(OR(
AND($R144&lt;&gt;"",LOWER(TRIM($R144))&lt;&gt;"n/a",COUNTIFS($B$2:$B$532,"Yes",$A$2:$A$532,"Neuron",$S$2:$S$532,$R144)&gt;1),
AND($T144&lt;&gt;"",LOWER(TRIM($T144))&lt;&gt;"n/a",COUNTIFS($B$2:$B$532,"Yes",$A$2:$A$532,"Neuron",$T$2:$T$532,$T144)&gt;1),
AND($W144&lt;&gt;"",LOWER(TRIM($W144))&lt;&gt;"n/a",COUNTIFS($B$2:$B$532,"Yes",$A$2:$A$532,"Neuron",$W$2:$W$532,$W144)&gt;1)
),"Yes","No"),
IF($A144="Cybernet",
IF(OR(
AND($Y144&lt;&gt;"",LOWER(TRIM($Y144))&lt;&gt;"n/a",COUNTIFS($B$2:$B$532,"Yes",$A$2:$A$532,"Cybernet",$Y$2:$Y$532,$Y144)&gt;1),
AND($Z144&lt;&gt;"",LOWER(TRIM($Z144))&lt;&gt;"n/a",COUNTIFS($B$2:$B$532,"Yes",$A$2:$A$532,"Cybernet",$Z$2:$Z$532,$Z144)&gt;1)
),"Yes","No"),
IF(AND($AL144&lt;&gt;"",LOWER(TRIM($AL144))&lt;&gt;"n/a"),
IF(COUNTIFS($B$2:$B$532,"Yes",$A$2:$A$532,$A144,$AL$2:$AL$532,$AL144)&gt;1,"Yes","No"),
"No")
)
)
)</f>
      </c>
      <c r="G144" t="s">
        <v>2192</v>
      </c>
      <c r="H144" t="s">
        <v>2192</v>
      </c>
      <c r="R144" t="s">
        <v>1956</v>
      </c>
      <c r="T144" t="s">
        <v>2327</v>
      </c>
      <c r="W144" t="s">
        <v>2231</v>
      </c>
      <c r="Y144" t="s">
        <v>1755</v>
      </c>
      <c r="Z144" t="s">
        <v>1380</v>
      </c>
      <c r="AA144" t="s">
        <v>2031</v>
      </c>
      <c r="AD144" t="s">
        <v>1821</v>
      </c>
      <c r="AE144">
        <v>1</v>
      </c>
      <c r="AF144" t="s">
        <v>2306</v>
      </c>
      <c r="AG144" t="s">
        <v>1687</v>
      </c>
      <c r="AJ144" t="s">
        <v>2255</v>
      </c>
      <c r="AR144" t="s">
        <v>1331</v>
      </c>
      <c r="AS144" t="s">
        <v>2343</v>
      </c>
      <c r="AY144" t="s">
        <v>1727</v>
      </c>
      <c r="AZ144" t="s">
        <v>1727</v>
      </c>
      <c r="BB144" t="s">
        <v>1727</v>
      </c>
      <c r="BC144" t="s">
        <v>1996</v>
      </c>
      <c r="BL144">
        <f>IF($T144="","",IF((IF(AND($AW144&lt;&gt;"Yes",$AW144&lt;&gt;"N/A"),"Power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",""))="","",LEFT(IF(AND($AW144&lt;&gt;"Yes",$AW144&lt;&gt;"N/A"),"Power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",""),LEN(IF(AND($AW144&lt;&gt;"Yes",$AW144&lt;&gt;"N/A"),"Power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",""))-2)))</f>
      </c>
      <c r="BM144">
        <f>IF($T144="","",IF($BL144="","Yes","Blocked"))</f>
      </c>
      <c r="BP144">
        <f>IF($BO144="","",IFERROR(VLOOKUP($BO144,'01_Warehouse_Ledger'!$A:$N,4,FALSE),""))</f>
      </c>
      <c r="BQ144">
        <f>IF($BO144="","",IFERROR(VLOOKUP($BO144,'01_Warehouse_Ledger'!$A:$N,5,FALSE),""))</f>
      </c>
      <c r="BR144">
        <f>IF($BO144="","",IFERROR(VLOOKUP($BO144,'01_Warehouse_Ledger'!$A:$N,13,FALSE),""))</f>
      </c>
      <c r="BS144" t="s">
        <v>1727</v>
      </c>
      <c r="BT144" t="s">
        <v>1727</v>
      </c>
      <c r="BU144" t="s">
        <v>1727</v>
      </c>
      <c r="BV144" t="s">
        <v>1727</v>
      </c>
    </row>
    <row r="145">
      <c r="A145" t="s">
        <v>1429</v>
      </c>
      <c r="B145" t="s">
        <v>1727</v>
      </c>
      <c r="C145" t="s">
        <v>1727</v>
      </c>
      <c r="D145">
        <f>IF($B145&lt;&gt;"Yes","",IF($C145="No","Yes",IF($C145="Yes","No","")))</f>
      </c>
      <c r="E145">
        <f>IF($A145="","",IF($A145="Neuron",IF(OR(AND($R145&lt;&gt;"",LOWER(TRIM($R145))&lt;&gt;"n/a",COUNTIF($S$2:$S$532,$R145)&gt;1),AND($T145&lt;&gt;"",LOWER(TRIM($T145))&lt;&gt;"n/a",COUNTIF($T$2:$T$532,$T145)&gt;1),AND($W145&lt;&gt;"",LOWER(TRIM($W145))&lt;&gt;"n/a",COUNTIF($W$2:$W$532,$W145)&gt;1)),"Yes","No"),IF($A145="Cybernet",IF(OR(AND($Y145&lt;&gt;"",LOWER(TRIM($Y145))&lt;&gt;"n/a",COUNTIF($Y$2:$Y$532,$Y145)&gt;1),AND($Z145&lt;&gt;"",LOWER(TRIM($Z145))&lt;&gt;"n/a",COUNTIF($Z$2:$Z$532,$Z145)&gt;1)),"Yes","No"),IF(AND($AL145&lt;&gt;"",LOWER(TRIM($AL145))&lt;&gt;"n/a",COUNTIF($AL$2:$AL$532,$AL145)&gt;1),"Yes","No"))))</f>
      </c>
      <c r="F145">
        <f>IF($B145&lt;&gt;"Yes","",
IF($A145="Neuron",
IF(OR(
AND($R145&lt;&gt;"",LOWER(TRIM($R145))&lt;&gt;"n/a",COUNTIFS($B$2:$B$532,"Yes",$A$2:$A$532,"Neuron",$S$2:$S$532,$R145)&gt;1),
AND($T145&lt;&gt;"",LOWER(TRIM($T145))&lt;&gt;"n/a",COUNTIFS($B$2:$B$532,"Yes",$A$2:$A$532,"Neuron",$T$2:$T$532,$T145)&gt;1),
AND($W145&lt;&gt;"",LOWER(TRIM($W145))&lt;&gt;"n/a",COUNTIFS($B$2:$B$532,"Yes",$A$2:$A$532,"Neuron",$W$2:$W$532,$W145)&gt;1)
),"Yes","No"),
IF($A145="Cybernet",
IF(OR(
AND($Y145&lt;&gt;"",LOWER(TRIM($Y145))&lt;&gt;"n/a",COUNTIFS($B$2:$B$532,"Yes",$A$2:$A$532,"Cybernet",$Y$2:$Y$532,$Y145)&gt;1),
AND($Z145&lt;&gt;"",LOWER(TRIM($Z145))&lt;&gt;"n/a",COUNTIFS($B$2:$B$532,"Yes",$A$2:$A$532,"Cybernet",$Z$2:$Z$532,$Z145)&gt;1)
),"Yes","No"),
IF(AND($AL145&lt;&gt;"",LOWER(TRIM($AL145))&lt;&gt;"n/a"),
IF(COUNTIFS($B$2:$B$532,"Yes",$A$2:$A$532,$A145,$AL$2:$AL$532,$AL145)&gt;1,"Yes","No"),
"No")
)
)
)</f>
      </c>
      <c r="G145" t="s">
        <v>2192</v>
      </c>
      <c r="H145" t="s">
        <v>2192</v>
      </c>
      <c r="R145" t="s">
        <v>2241</v>
      </c>
      <c r="T145" t="s">
        <v>2201</v>
      </c>
      <c r="W145" t="s">
        <v>1900</v>
      </c>
      <c r="Y145" t="s">
        <v>2166</v>
      </c>
      <c r="Z145" t="s">
        <v>2010</v>
      </c>
      <c r="AA145" t="s">
        <v>2031</v>
      </c>
      <c r="AD145" t="s">
        <v>1821</v>
      </c>
      <c r="AE145">
        <v>1</v>
      </c>
      <c r="AF145" t="s">
        <v>2306</v>
      </c>
      <c r="AG145" t="s">
        <v>2136</v>
      </c>
      <c r="AJ145" t="s">
        <v>2255</v>
      </c>
      <c r="AR145" t="s">
        <v>1331</v>
      </c>
      <c r="AS145" t="s">
        <v>2237</v>
      </c>
      <c r="AY145" t="s">
        <v>1727</v>
      </c>
      <c r="AZ145" t="s">
        <v>1657</v>
      </c>
      <c r="BB145" t="s">
        <v>1727</v>
      </c>
      <c r="BC145" t="s">
        <v>1675</v>
      </c>
      <c r="BL145">
        <f>IF($T145="","",IF((IF(AND($AW145&lt;&gt;"Yes",$AW145&lt;&gt;"N/A"),"Power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",""))="","",LEFT(IF(AND($AW145&lt;&gt;"Yes",$AW145&lt;&gt;"N/A"),"Power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",""),LEN(IF(AND($AW145&lt;&gt;"Yes",$AW145&lt;&gt;"N/A"),"Power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",""))-2)))</f>
      </c>
      <c r="BM145">
        <f>IF($T145="","",IF($BL145="","Yes","Blocked"))</f>
      </c>
      <c r="BP145">
        <f>IF($BO145="","",IFERROR(VLOOKUP($BO145,'01_Warehouse_Ledger'!$A:$N,4,FALSE),""))</f>
      </c>
      <c r="BQ145">
        <f>IF($BO145="","",IFERROR(VLOOKUP($BO145,'01_Warehouse_Ledger'!$A:$N,5,FALSE),""))</f>
      </c>
      <c r="BR145">
        <f>IF($BO145="","",IFERROR(VLOOKUP($BO145,'01_Warehouse_Ledger'!$A:$N,13,FALSE),""))</f>
      </c>
      <c r="BS145" t="s">
        <v>1727</v>
      </c>
      <c r="BT145" t="s">
        <v>1727</v>
      </c>
      <c r="BU145" t="s">
        <v>1727</v>
      </c>
      <c r="BV145" t="s">
        <v>1727</v>
      </c>
    </row>
    <row r="146">
      <c r="A146" t="s">
        <v>1429</v>
      </c>
      <c r="B146" t="s">
        <v>1727</v>
      </c>
      <c r="C146" t="s">
        <v>1727</v>
      </c>
      <c r="D146">
        <f>IF($B146&lt;&gt;"Yes","",IF($C146="No","Yes",IF($C146="Yes","No","")))</f>
      </c>
      <c r="E146">
        <f>IF($A146="","",IF($A146="Neuron",IF(OR(AND($R146&lt;&gt;"",LOWER(TRIM($R146))&lt;&gt;"n/a",COUNTIF($S$2:$S$532,$R146)&gt;1),AND($T146&lt;&gt;"",LOWER(TRIM($T146))&lt;&gt;"n/a",COUNTIF($T$2:$T$532,$T146)&gt;1),AND($W146&lt;&gt;"",LOWER(TRIM($W146))&lt;&gt;"n/a",COUNTIF($W$2:$W$532,$W146)&gt;1)),"Yes","No"),IF($A146="Cybernet",IF(OR(AND($Y146&lt;&gt;"",LOWER(TRIM($Y146))&lt;&gt;"n/a",COUNTIF($Y$2:$Y$532,$Y146)&gt;1),AND($Z146&lt;&gt;"",LOWER(TRIM($Z146))&lt;&gt;"n/a",COUNTIF($Z$2:$Z$532,$Z146)&gt;1)),"Yes","No"),IF(AND($AL146&lt;&gt;"",LOWER(TRIM($AL146))&lt;&gt;"n/a",COUNTIF($AL$2:$AL$532,$AL146)&gt;1),"Yes","No"))))</f>
      </c>
      <c r="F146">
        <f>IF($B146&lt;&gt;"Yes","",
IF($A146="Neuron",
IF(OR(
AND($R146&lt;&gt;"",LOWER(TRIM($R146))&lt;&gt;"n/a",COUNTIFS($B$2:$B$532,"Yes",$A$2:$A$532,"Neuron",$S$2:$S$532,$R146)&gt;1),
AND($T146&lt;&gt;"",LOWER(TRIM($T146))&lt;&gt;"n/a",COUNTIFS($B$2:$B$532,"Yes",$A$2:$A$532,"Neuron",$T$2:$T$532,$T146)&gt;1),
AND($W146&lt;&gt;"",LOWER(TRIM($W146))&lt;&gt;"n/a",COUNTIFS($B$2:$B$532,"Yes",$A$2:$A$532,"Neuron",$W$2:$W$532,$W146)&gt;1)
),"Yes","No"),
IF($A146="Cybernet",
IF(OR(
AND($Y146&lt;&gt;"",LOWER(TRIM($Y146))&lt;&gt;"n/a",COUNTIFS($B$2:$B$532,"Yes",$A$2:$A$532,"Cybernet",$Y$2:$Y$532,$Y146)&gt;1),
AND($Z146&lt;&gt;"",LOWER(TRIM($Z146))&lt;&gt;"n/a",COUNTIFS($B$2:$B$532,"Yes",$A$2:$A$532,"Cybernet",$Z$2:$Z$532,$Z146)&gt;1)
),"Yes","No"),
IF(AND($AL146&lt;&gt;"",LOWER(TRIM($AL146))&lt;&gt;"n/a"),
IF(COUNTIFS($B$2:$B$532,"Yes",$A$2:$A$532,$A146,$AL$2:$AL$532,$AL146)&gt;1,"Yes","No"),
"No")
)
)
)</f>
      </c>
      <c r="G146" t="s">
        <v>2192</v>
      </c>
      <c r="H146" t="s">
        <v>2192</v>
      </c>
      <c r="R146" t="s">
        <v>1628</v>
      </c>
      <c r="T146" t="s">
        <v>2374</v>
      </c>
      <c r="W146" t="s">
        <v>2367</v>
      </c>
      <c r="Y146" t="s">
        <v>1660</v>
      </c>
      <c r="Z146" t="s">
        <v>2010</v>
      </c>
      <c r="AA146" t="s">
        <v>2031</v>
      </c>
      <c r="AD146" t="s">
        <v>1821</v>
      </c>
      <c r="AE146">
        <v>1</v>
      </c>
      <c r="AF146" t="s">
        <v>2306</v>
      </c>
      <c r="AG146" t="s">
        <v>2271</v>
      </c>
      <c r="AJ146" t="s">
        <v>1974</v>
      </c>
      <c r="AR146" t="s">
        <v>1331</v>
      </c>
      <c r="AS146" t="s">
        <v>1706</v>
      </c>
      <c r="AY146" t="s">
        <v>1727</v>
      </c>
      <c r="AZ146" t="s">
        <v>1657</v>
      </c>
      <c r="BB146" t="s">
        <v>1727</v>
      </c>
      <c r="BC146" t="s">
        <v>1772</v>
      </c>
      <c r="BL146">
        <f>IF($T146="","",IF((IF(AND($AW146&lt;&gt;"Yes",$AW146&lt;&gt;"N/A"),"Power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",""))="","",LEFT(IF(AND($AW146&lt;&gt;"Yes",$AW146&lt;&gt;"N/A"),"Power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",""),LEN(IF(AND($AW146&lt;&gt;"Yes",$AW146&lt;&gt;"N/A"),"Power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",""))-2)))</f>
      </c>
      <c r="BM146">
        <f>IF($T146="","",IF($BL146="","Yes","Blocked"))</f>
      </c>
      <c r="BP146">
        <f>IF($BO146="","",IFERROR(VLOOKUP($BO146,'01_Warehouse_Ledger'!$A:$N,4,FALSE),""))</f>
      </c>
      <c r="BQ146">
        <f>IF($BO146="","",IFERROR(VLOOKUP($BO146,'01_Warehouse_Ledger'!$A:$N,5,FALSE),""))</f>
      </c>
      <c r="BR146">
        <f>IF($BO146="","",IFERROR(VLOOKUP($BO146,'01_Warehouse_Ledger'!$A:$N,13,FALSE),""))</f>
      </c>
      <c r="BS146" t="s">
        <v>1727</v>
      </c>
      <c r="BT146" t="s">
        <v>1727</v>
      </c>
      <c r="BU146" t="s">
        <v>1727</v>
      </c>
      <c r="BV146" t="s">
        <v>1727</v>
      </c>
    </row>
    <row r="147">
      <c r="A147" t="s">
        <v>1429</v>
      </c>
      <c r="B147" t="s">
        <v>1727</v>
      </c>
      <c r="C147" t="s">
        <v>1727</v>
      </c>
      <c r="D147">
        <f>IF($B147&lt;&gt;"Yes","",IF($C147="No","Yes",IF($C147="Yes","No","")))</f>
      </c>
      <c r="E147">
        <f>IF($A147="","",IF($A147="Neuron",IF(OR(AND($R147&lt;&gt;"",LOWER(TRIM($R147))&lt;&gt;"n/a",COUNTIF($S$2:$S$532,$R147)&gt;1),AND($T147&lt;&gt;"",LOWER(TRIM($T147))&lt;&gt;"n/a",COUNTIF($T$2:$T$532,$T147)&gt;1),AND($W147&lt;&gt;"",LOWER(TRIM($W147))&lt;&gt;"n/a",COUNTIF($W$2:$W$532,$W147)&gt;1)),"Yes","No"),IF($A147="Cybernet",IF(OR(AND($Y147&lt;&gt;"",LOWER(TRIM($Y147))&lt;&gt;"n/a",COUNTIF($Y$2:$Y$532,$Y147)&gt;1),AND($Z147&lt;&gt;"",LOWER(TRIM($Z147))&lt;&gt;"n/a",COUNTIF($Z$2:$Z$532,$Z147)&gt;1)),"Yes","No"),IF(AND($AL147&lt;&gt;"",LOWER(TRIM($AL147))&lt;&gt;"n/a",COUNTIF($AL$2:$AL$532,$AL147)&gt;1),"Yes","No"))))</f>
      </c>
      <c r="F147">
        <f>IF($B147&lt;&gt;"Yes","",
IF($A147="Neuron",
IF(OR(
AND($R147&lt;&gt;"",LOWER(TRIM($R147))&lt;&gt;"n/a",COUNTIFS($B$2:$B$532,"Yes",$A$2:$A$532,"Neuron",$S$2:$S$532,$R147)&gt;1),
AND($T147&lt;&gt;"",LOWER(TRIM($T147))&lt;&gt;"n/a",COUNTIFS($B$2:$B$532,"Yes",$A$2:$A$532,"Neuron",$T$2:$T$532,$T147)&gt;1),
AND($W147&lt;&gt;"",LOWER(TRIM($W147))&lt;&gt;"n/a",COUNTIFS($B$2:$B$532,"Yes",$A$2:$A$532,"Neuron",$W$2:$W$532,$W147)&gt;1)
),"Yes","No"),
IF($A147="Cybernet",
IF(OR(
AND($Y147&lt;&gt;"",LOWER(TRIM($Y147))&lt;&gt;"n/a",COUNTIFS($B$2:$B$532,"Yes",$A$2:$A$532,"Cybernet",$Y$2:$Y$532,$Y147)&gt;1),
AND($Z147&lt;&gt;"",LOWER(TRIM($Z147))&lt;&gt;"n/a",COUNTIFS($B$2:$B$532,"Yes",$A$2:$A$532,"Cybernet",$Z$2:$Z$532,$Z147)&gt;1)
),"Yes","No"),
IF(AND($AL147&lt;&gt;"",LOWER(TRIM($AL147))&lt;&gt;"n/a"),
IF(COUNTIFS($B$2:$B$532,"Yes",$A$2:$A$532,$A147,$AL$2:$AL$532,$AL147)&gt;1,"Yes","No"),
"No")
)
)
)</f>
      </c>
      <c r="G147" t="s">
        <v>2192</v>
      </c>
      <c r="H147" t="s">
        <v>2192</v>
      </c>
      <c r="R147" t="s">
        <v>1940</v>
      </c>
      <c r="T147" t="s">
        <v>2028</v>
      </c>
      <c r="W147" t="s">
        <v>2168</v>
      </c>
      <c r="Y147" t="s">
        <v>1662</v>
      </c>
      <c r="AA147" t="s">
        <v>2031</v>
      </c>
      <c r="AD147" t="s">
        <v>1821</v>
      </c>
      <c r="AE147">
        <v>1</v>
      </c>
      <c r="AF147" t="s">
        <v>2306</v>
      </c>
      <c r="AG147" t="s">
        <v>1969</v>
      </c>
      <c r="AJ147" t="s">
        <v>1974</v>
      </c>
      <c r="AR147" t="s">
        <v>1331</v>
      </c>
      <c r="AS147" t="s">
        <v>2343</v>
      </c>
      <c r="AY147" t="s">
        <v>1727</v>
      </c>
      <c r="AZ147" t="s">
        <v>1727</v>
      </c>
      <c r="BB147" t="s">
        <v>1727</v>
      </c>
      <c r="BC147" t="s">
        <v>1926</v>
      </c>
      <c r="BL147">
        <f>IF($T147="","",IF((IF(AND($AW147&lt;&gt;"Yes",$AW147&lt;&gt;"N/A"),"Power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",""))="","",LEFT(IF(AND($AW147&lt;&gt;"Yes",$AW147&lt;&gt;"N/A"),"Power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",""),LEN(IF(AND($AW147&lt;&gt;"Yes",$AW147&lt;&gt;"N/A"),"Power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",""))-2)))</f>
      </c>
      <c r="BM147">
        <f>IF($T147="","",IF($BL147="","Yes","Blocked"))</f>
      </c>
      <c r="BP147">
        <f>IF($BO147="","",IFERROR(VLOOKUP($BO147,'01_Warehouse_Ledger'!$A:$N,4,FALSE),""))</f>
      </c>
      <c r="BQ147">
        <f>IF($BO147="","",IFERROR(VLOOKUP($BO147,'01_Warehouse_Ledger'!$A:$N,5,FALSE),""))</f>
      </c>
      <c r="BR147">
        <f>IF($BO147="","",IFERROR(VLOOKUP($BO147,'01_Warehouse_Ledger'!$A:$N,13,FALSE),""))</f>
      </c>
      <c r="BS147" t="s">
        <v>1727</v>
      </c>
      <c r="BT147" t="s">
        <v>1727</v>
      </c>
      <c r="BU147" t="s">
        <v>1727</v>
      </c>
      <c r="BV147" t="s">
        <v>1727</v>
      </c>
    </row>
    <row r="148">
      <c r="A148" t="s">
        <v>1429</v>
      </c>
      <c r="B148" t="s">
        <v>1727</v>
      </c>
      <c r="C148" t="s">
        <v>1727</v>
      </c>
      <c r="D148">
        <f>IF($B148&lt;&gt;"Yes","",IF($C148="No","Yes",IF($C148="Yes","No","")))</f>
      </c>
      <c r="E148">
        <f>IF($A148="","",IF($A148="Neuron",IF(OR(AND($R148&lt;&gt;"",LOWER(TRIM($R148))&lt;&gt;"n/a",COUNTIF($S$2:$S$532,$R148)&gt;1),AND($T148&lt;&gt;"",LOWER(TRIM($T148))&lt;&gt;"n/a",COUNTIF($T$2:$T$532,$T148)&gt;1),AND($W148&lt;&gt;"",LOWER(TRIM($W148))&lt;&gt;"n/a",COUNTIF($W$2:$W$532,$W148)&gt;1)),"Yes","No"),IF($A148="Cybernet",IF(OR(AND($Y148&lt;&gt;"",LOWER(TRIM($Y148))&lt;&gt;"n/a",COUNTIF($Y$2:$Y$532,$Y148)&gt;1),AND($Z148&lt;&gt;"",LOWER(TRIM($Z148))&lt;&gt;"n/a",COUNTIF($Z$2:$Z$532,$Z148)&gt;1)),"Yes","No"),IF(AND($AL148&lt;&gt;"",LOWER(TRIM($AL148))&lt;&gt;"n/a",COUNTIF($AL$2:$AL$532,$AL148)&gt;1),"Yes","No"))))</f>
      </c>
      <c r="F148">
        <f>IF($B148&lt;&gt;"Yes","",
IF($A148="Neuron",
IF(OR(
AND($R148&lt;&gt;"",LOWER(TRIM($R148))&lt;&gt;"n/a",COUNTIFS($B$2:$B$532,"Yes",$A$2:$A$532,"Neuron",$S$2:$S$532,$R148)&gt;1),
AND($T148&lt;&gt;"",LOWER(TRIM($T148))&lt;&gt;"n/a",COUNTIFS($B$2:$B$532,"Yes",$A$2:$A$532,"Neuron",$T$2:$T$532,$T148)&gt;1),
AND($W148&lt;&gt;"",LOWER(TRIM($W148))&lt;&gt;"n/a",COUNTIFS($B$2:$B$532,"Yes",$A$2:$A$532,"Neuron",$W$2:$W$532,$W148)&gt;1)
),"Yes","No"),
IF($A148="Cybernet",
IF(OR(
AND($Y148&lt;&gt;"",LOWER(TRIM($Y148))&lt;&gt;"n/a",COUNTIFS($B$2:$B$532,"Yes",$A$2:$A$532,"Cybernet",$Y$2:$Y$532,$Y148)&gt;1),
AND($Z148&lt;&gt;"",LOWER(TRIM($Z148))&lt;&gt;"n/a",COUNTIFS($B$2:$B$532,"Yes",$A$2:$A$532,"Cybernet",$Z$2:$Z$532,$Z148)&gt;1)
),"Yes","No"),
IF(AND($AL148&lt;&gt;"",LOWER(TRIM($AL148))&lt;&gt;"n/a"),
IF(COUNTIFS($B$2:$B$532,"Yes",$A$2:$A$532,$A148,$AL$2:$AL$532,$AL148)&gt;1,"Yes","No"),
"No")
)
)
)</f>
      </c>
      <c r="G148" t="s">
        <v>2192</v>
      </c>
      <c r="H148" t="s">
        <v>2192</v>
      </c>
      <c r="R148" t="s">
        <v>2118</v>
      </c>
      <c r="T148" t="s">
        <v>2175</v>
      </c>
      <c r="W148" t="s">
        <v>2214</v>
      </c>
      <c r="Y148" t="s">
        <v>2202</v>
      </c>
      <c r="AA148" t="s">
        <v>2031</v>
      </c>
      <c r="AD148" t="s">
        <v>1821</v>
      </c>
      <c r="AE148">
        <v>1</v>
      </c>
      <c r="AF148" t="s">
        <v>2306</v>
      </c>
      <c r="AG148" t="s">
        <v>1736</v>
      </c>
      <c r="AJ148" t="s">
        <v>1822</v>
      </c>
      <c r="AR148" t="s">
        <v>1954</v>
      </c>
      <c r="AS148" t="s">
        <v>2343</v>
      </c>
      <c r="AY148" t="s">
        <v>1727</v>
      </c>
      <c r="AZ148" t="s">
        <v>1727</v>
      </c>
      <c r="BB148" t="s">
        <v>1727</v>
      </c>
      <c r="BC148" t="s">
        <v>2091</v>
      </c>
      <c r="BL148">
        <f>IF($T148="","",IF((IF(AND($AW148&lt;&gt;"Yes",$AW148&lt;&gt;"N/A"),"Power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",""))="","",LEFT(IF(AND($AW148&lt;&gt;"Yes",$AW148&lt;&gt;"N/A"),"Power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",""),LEN(IF(AND($AW148&lt;&gt;"Yes",$AW148&lt;&gt;"N/A"),"Power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",""))-2)))</f>
      </c>
      <c r="BM148">
        <f>IF($T148="","",IF($BL148="","Yes","Blocked"))</f>
      </c>
      <c r="BP148">
        <f>IF($BO148="","",IFERROR(VLOOKUP($BO148,'01_Warehouse_Ledger'!$A:$N,4,FALSE),""))</f>
      </c>
      <c r="BQ148">
        <f>IF($BO148="","",IFERROR(VLOOKUP($BO148,'01_Warehouse_Ledger'!$A:$N,5,FALSE),""))</f>
      </c>
      <c r="BR148">
        <f>IF($BO148="","",IFERROR(VLOOKUP($BO148,'01_Warehouse_Ledger'!$A:$N,13,FALSE),""))</f>
      </c>
      <c r="BS148" t="s">
        <v>1727</v>
      </c>
      <c r="BT148" t="s">
        <v>1727</v>
      </c>
      <c r="BU148" t="s">
        <v>1727</v>
      </c>
      <c r="BV148" t="s">
        <v>1727</v>
      </c>
    </row>
    <row r="149">
      <c r="A149" t="s">
        <v>1429</v>
      </c>
      <c r="B149" t="s">
        <v>1727</v>
      </c>
      <c r="C149" t="s">
        <v>1727</v>
      </c>
      <c r="D149">
        <f>IF($B149&lt;&gt;"Yes","",IF($C149="No","Yes",IF($C149="Yes","No","")))</f>
      </c>
      <c r="E149">
        <f>IF($A149="","",IF($A149="Neuron",IF(OR(AND($R149&lt;&gt;"",LOWER(TRIM($R149))&lt;&gt;"n/a",COUNTIF($S$2:$S$532,$R149)&gt;1),AND($T149&lt;&gt;"",LOWER(TRIM($T149))&lt;&gt;"n/a",COUNTIF($T$2:$T$532,$T149)&gt;1),AND($W149&lt;&gt;"",LOWER(TRIM($W149))&lt;&gt;"n/a",COUNTIF($W$2:$W$532,$W149)&gt;1)),"Yes","No"),IF($A149="Cybernet",IF(OR(AND($Y149&lt;&gt;"",LOWER(TRIM($Y149))&lt;&gt;"n/a",COUNTIF($Y$2:$Y$532,$Y149)&gt;1),AND($Z149&lt;&gt;"",LOWER(TRIM($Z149))&lt;&gt;"n/a",COUNTIF($Z$2:$Z$532,$Z149)&gt;1)),"Yes","No"),IF(AND($AL149&lt;&gt;"",LOWER(TRIM($AL149))&lt;&gt;"n/a",COUNTIF($AL$2:$AL$532,$AL149)&gt;1),"Yes","No"))))</f>
      </c>
      <c r="F149">
        <f>IF($B149&lt;&gt;"Yes","",
IF($A149="Neuron",
IF(OR(
AND($R149&lt;&gt;"",LOWER(TRIM($R149))&lt;&gt;"n/a",COUNTIFS($B$2:$B$532,"Yes",$A$2:$A$532,"Neuron",$S$2:$S$532,$R149)&gt;1),
AND($T149&lt;&gt;"",LOWER(TRIM($T149))&lt;&gt;"n/a",COUNTIFS($B$2:$B$532,"Yes",$A$2:$A$532,"Neuron",$T$2:$T$532,$T149)&gt;1),
AND($W149&lt;&gt;"",LOWER(TRIM($W149))&lt;&gt;"n/a",COUNTIFS($B$2:$B$532,"Yes",$A$2:$A$532,"Neuron",$W$2:$W$532,$W149)&gt;1)
),"Yes","No"),
IF($A149="Cybernet",
IF(OR(
AND($Y149&lt;&gt;"",LOWER(TRIM($Y149))&lt;&gt;"n/a",COUNTIFS($B$2:$B$532,"Yes",$A$2:$A$532,"Cybernet",$Y$2:$Y$532,$Y149)&gt;1),
AND($Z149&lt;&gt;"",LOWER(TRIM($Z149))&lt;&gt;"n/a",COUNTIFS($B$2:$B$532,"Yes",$A$2:$A$532,"Cybernet",$Z$2:$Z$532,$Z149)&gt;1)
),"Yes","No"),
IF(AND($AL149&lt;&gt;"",LOWER(TRIM($AL149))&lt;&gt;"n/a"),
IF(COUNTIFS($B$2:$B$532,"Yes",$A$2:$A$532,$A149,$AL$2:$AL$532,$AL149)&gt;1,"Yes","No"),
"No")
)
)
)</f>
      </c>
      <c r="G149" t="s">
        <v>2192</v>
      </c>
      <c r="H149" t="s">
        <v>2192</v>
      </c>
      <c r="R149" t="s">
        <v>1730</v>
      </c>
      <c r="T149" t="s">
        <v>1981</v>
      </c>
      <c r="W149" t="s">
        <v>2206</v>
      </c>
      <c r="Y149" t="s">
        <v>1738</v>
      </c>
      <c r="AA149" t="s">
        <v>2031</v>
      </c>
      <c r="AD149" t="s">
        <v>1821</v>
      </c>
      <c r="AE149">
        <v>1</v>
      </c>
      <c r="AF149" t="s">
        <v>2306</v>
      </c>
      <c r="AG149" t="s">
        <v>1804</v>
      </c>
      <c r="AJ149" t="s">
        <v>2255</v>
      </c>
      <c r="AR149" t="s">
        <v>1954</v>
      </c>
      <c r="AS149" t="s">
        <v>1901</v>
      </c>
      <c r="AY149" t="s">
        <v>1727</v>
      </c>
      <c r="AZ149" t="s">
        <v>1727</v>
      </c>
      <c r="BB149" t="s">
        <v>1727</v>
      </c>
      <c r="BC149" t="s">
        <v>1926</v>
      </c>
      <c r="BL149">
        <f>IF($T149="","",IF((IF(AND($AW149&lt;&gt;"Yes",$AW149&lt;&gt;"N/A"),"Power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",""))="","",LEFT(IF(AND($AW149&lt;&gt;"Yes",$AW149&lt;&gt;"N/A"),"Power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",""),LEN(IF(AND($AW149&lt;&gt;"Yes",$AW149&lt;&gt;"N/A"),"Power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",""))-2)))</f>
      </c>
      <c r="BM149">
        <f>IF($T149="","",IF($BL149="","Yes","Blocked"))</f>
      </c>
      <c r="BP149">
        <f>IF($BO149="","",IFERROR(VLOOKUP($BO149,'01_Warehouse_Ledger'!$A:$N,4,FALSE),""))</f>
      </c>
      <c r="BQ149">
        <f>IF($BO149="","",IFERROR(VLOOKUP($BO149,'01_Warehouse_Ledger'!$A:$N,5,FALSE),""))</f>
      </c>
      <c r="BR149">
        <f>IF($BO149="","",IFERROR(VLOOKUP($BO149,'01_Warehouse_Ledger'!$A:$N,13,FALSE),""))</f>
      </c>
      <c r="BS149" t="s">
        <v>1727</v>
      </c>
      <c r="BT149" t="s">
        <v>1727</v>
      </c>
      <c r="BU149" t="s">
        <v>1727</v>
      </c>
      <c r="BV149" t="s">
        <v>1727</v>
      </c>
    </row>
    <row r="150">
      <c r="A150" t="s">
        <v>1429</v>
      </c>
      <c r="B150" t="s">
        <v>1657</v>
      </c>
      <c r="C150" t="s">
        <v>1657</v>
      </c>
      <c r="D150">
        <f>IF($B150&lt;&gt;"Yes","",IF($C150="No","Yes",IF($C150="Yes","No","")))</f>
      </c>
      <c r="E150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</c>
      <c r="F150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</c>
      <c r="G150" t="s">
        <v>2192</v>
      </c>
      <c r="H150" t="s">
        <v>2192</v>
      </c>
      <c r="AA150" t="s">
        <v>2031</v>
      </c>
      <c r="AD150" t="s">
        <v>1821</v>
      </c>
      <c r="AE150">
        <v>1</v>
      </c>
      <c r="AY150" t="s">
        <v>1657</v>
      </c>
      <c r="AZ150" t="s">
        <v>1727</v>
      </c>
      <c r="BB150" t="s">
        <v>1727</v>
      </c>
      <c r="BC150" t="s">
        <v>2347</v>
      </c>
      <c r="BL150">
        <f>IF($T150="","",IF((IF(AND($AW150&lt;&gt;"Yes",$AW150&lt;&gt;"N/A"),"Power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",""))="","",LEFT(IF(AND($AW150&lt;&gt;"Yes",$AW150&lt;&gt;"N/A"),"Power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",""),LEN(IF(AND($AW150&lt;&gt;"Yes",$AW150&lt;&gt;"N/A"),"Power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",""))-2)))</f>
      </c>
      <c r="BM150">
        <f>IF($T150="","",IF($BL150="","Yes","Blocked"))</f>
      </c>
      <c r="BP150">
        <f>IF($BO150="","",IFERROR(VLOOKUP($BO150,'01_Warehouse_Ledger'!$A:$N,4,FALSE),""))</f>
      </c>
      <c r="BQ150">
        <f>IF($BO150="","",IFERROR(VLOOKUP($BO150,'01_Warehouse_Ledger'!$A:$N,5,FALSE),""))</f>
      </c>
      <c r="BR150">
        <f>IF($BO150="","",IFERROR(VLOOKUP($BO150,'01_Warehouse_Ledger'!$A:$N,13,FALSE),""))</f>
      </c>
      <c r="BS150" t="s">
        <v>1727</v>
      </c>
      <c r="BT150" t="s">
        <v>1727</v>
      </c>
      <c r="BU150" t="s">
        <v>1727</v>
      </c>
      <c r="BV150" t="s">
        <v>1727</v>
      </c>
    </row>
    <row r="151">
      <c r="A151" t="s">
        <v>1429</v>
      </c>
      <c r="B151" t="s">
        <v>1657</v>
      </c>
      <c r="C151" t="s">
        <v>1657</v>
      </c>
      <c r="D151">
        <f>IF($B151&lt;&gt;"Yes","",IF($C151="No","Yes",IF($C151="Yes","No","")))</f>
      </c>
      <c r="E151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</c>
      <c r="F151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</c>
      <c r="G151" t="s">
        <v>2192</v>
      </c>
      <c r="H151" t="s">
        <v>2192</v>
      </c>
      <c r="AA151" t="s">
        <v>2031</v>
      </c>
      <c r="AD151" t="s">
        <v>1821</v>
      </c>
      <c r="AE151">
        <v>1</v>
      </c>
      <c r="AY151" t="s">
        <v>1657</v>
      </c>
      <c r="AZ151" t="s">
        <v>1727</v>
      </c>
      <c r="BB151" t="s">
        <v>1727</v>
      </c>
      <c r="BC151" t="s">
        <v>2347</v>
      </c>
      <c r="BL151">
        <f>IF($T151="","",IF((IF(AND($AW151&lt;&gt;"Yes",$AW151&lt;&gt;"N/A"),"Power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",""))="","",LEFT(IF(AND($AW151&lt;&gt;"Yes",$AW151&lt;&gt;"N/A"),"Power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",""),LEN(IF(AND($AW151&lt;&gt;"Yes",$AW151&lt;&gt;"N/A"),"Power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",""))-2)))</f>
      </c>
      <c r="BM151">
        <f>IF($T151="","",IF($BL151="","Yes","Blocked"))</f>
      </c>
      <c r="BP151">
        <f>IF($BO151="","",IFERROR(VLOOKUP($BO151,'01_Warehouse_Ledger'!$A:$N,4,FALSE),""))</f>
      </c>
      <c r="BQ151">
        <f>IF($BO151="","",IFERROR(VLOOKUP($BO151,'01_Warehouse_Ledger'!$A:$N,5,FALSE),""))</f>
      </c>
      <c r="BR151">
        <f>IF($BO151="","",IFERROR(VLOOKUP($BO151,'01_Warehouse_Ledger'!$A:$N,13,FALSE),""))</f>
      </c>
      <c r="BS151" t="s">
        <v>1727</v>
      </c>
      <c r="BT151" t="s">
        <v>1727</v>
      </c>
      <c r="BU151" t="s">
        <v>1727</v>
      </c>
      <c r="BV151" t="s">
        <v>1727</v>
      </c>
    </row>
    <row r="152">
      <c r="A152" t="s">
        <v>1429</v>
      </c>
      <c r="B152" t="s">
        <v>1657</v>
      </c>
      <c r="C152" t="s">
        <v>1657</v>
      </c>
      <c r="D152">
        <f>IF($B152&lt;&gt;"Yes","",IF($C152="No","Yes",IF($C152="Yes","No","")))</f>
      </c>
      <c r="E152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</c>
      <c r="F152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</c>
      <c r="G152" t="s">
        <v>2192</v>
      </c>
      <c r="H152" t="s">
        <v>2192</v>
      </c>
      <c r="AA152" t="s">
        <v>2031</v>
      </c>
      <c r="AD152" t="s">
        <v>1821</v>
      </c>
      <c r="AE152">
        <v>1</v>
      </c>
      <c r="AY152" t="s">
        <v>1657</v>
      </c>
      <c r="AZ152" t="s">
        <v>1727</v>
      </c>
      <c r="BB152" t="s">
        <v>1727</v>
      </c>
      <c r="BC152" t="s">
        <v>2347</v>
      </c>
      <c r="BL152">
        <f>IF($T152="","",IF((IF(AND($AW152&lt;&gt;"Yes",$AW152&lt;&gt;"N/A"),"Power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",""))="","",LEFT(IF(AND($AW152&lt;&gt;"Yes",$AW152&lt;&gt;"N/A"),"Power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",""),LEN(IF(AND($AW152&lt;&gt;"Yes",$AW152&lt;&gt;"N/A"),"Power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",""))-2)))</f>
      </c>
      <c r="BM152">
        <f>IF($T152="","",IF($BL152="","Yes","Blocked"))</f>
      </c>
      <c r="BP152">
        <f>IF($BO152="","",IFERROR(VLOOKUP($BO152,'01_Warehouse_Ledger'!$A:$N,4,FALSE),""))</f>
      </c>
      <c r="BQ152">
        <f>IF($BO152="","",IFERROR(VLOOKUP($BO152,'01_Warehouse_Ledger'!$A:$N,5,FALSE),""))</f>
      </c>
      <c r="BR152">
        <f>IF($BO152="","",IFERROR(VLOOKUP($BO152,'01_Warehouse_Ledger'!$A:$N,13,FALSE),""))</f>
      </c>
      <c r="BS152" t="s">
        <v>1727</v>
      </c>
      <c r="BT152" t="s">
        <v>1727</v>
      </c>
      <c r="BU152" t="s">
        <v>1727</v>
      </c>
      <c r="BV152" t="s">
        <v>1727</v>
      </c>
    </row>
    <row r="153">
      <c r="A153" t="s">
        <v>1415</v>
      </c>
      <c r="B153" t="s">
        <v>1727</v>
      </c>
      <c r="C153" t="s">
        <v>1727</v>
      </c>
      <c r="D153">
        <f>IF($B153&lt;&gt;"Yes","",IF($C153="No","Yes",IF($C153="Yes","No","")))</f>
      </c>
      <c r="E153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</c>
      <c r="F153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</c>
      <c r="G153" t="s">
        <v>1365</v>
      </c>
      <c r="H153" t="s">
        <v>1365</v>
      </c>
      <c r="I153" t="s">
        <v>2380</v>
      </c>
      <c r="J153" t="s">
        <v>1866</v>
      </c>
      <c r="K153" t="s">
        <v>2267</v>
      </c>
      <c r="L153" t="s">
        <v>2267</v>
      </c>
      <c r="M153" t="s">
        <v>1692</v>
      </c>
      <c r="N153" t="s">
        <v>2143</v>
      </c>
      <c r="O153" t="s">
        <v>1380</v>
      </c>
      <c r="P153" t="s">
        <v>2217</v>
      </c>
      <c r="Q153">
        <v>46067.0</v>
      </c>
      <c r="R153" t="s">
        <v>2014</v>
      </c>
      <c r="U153" t="s">
        <v>2221</v>
      </c>
      <c r="Y153" t="s">
        <v>2193</v>
      </c>
      <c r="AA153" t="s">
        <v>2031</v>
      </c>
      <c r="AD153" t="s">
        <v>2307</v>
      </c>
      <c r="AE153">
        <v>2</v>
      </c>
      <c r="AF153" t="s">
        <v>1709</v>
      </c>
      <c r="AG153" t="s">
        <v>1724</v>
      </c>
      <c r="AI153">
        <v>5601483</v>
      </c>
      <c r="AJ153" t="s">
        <v>2255</v>
      </c>
      <c r="AK153" t="s">
        <v>1624</v>
      </c>
      <c r="AL153" t="s">
        <v>1946</v>
      </c>
      <c r="AM153" t="s">
        <v>1380</v>
      </c>
      <c r="AN153" t="s">
        <v>1380</v>
      </c>
      <c r="AO153" t="s">
        <v>1380</v>
      </c>
      <c r="AP153" t="s">
        <v>1380</v>
      </c>
      <c r="AQ153" t="s">
        <v>1380</v>
      </c>
      <c r="AR153" t="s">
        <v>1331</v>
      </c>
      <c r="AS153" t="s">
        <v>1626</v>
      </c>
      <c r="AY153" t="s">
        <v>1657</v>
      </c>
      <c r="AZ153" t="s">
        <v>1727</v>
      </c>
      <c r="BB153" t="s">
        <v>1727</v>
      </c>
      <c r="BI153" t="s">
        <v>1630</v>
      </c>
      <c r="BL153">
        <f>IF($T153="","",IF((IF(AND($AW153&lt;&gt;"Yes",$AW153&lt;&gt;"N/A"),"Power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",""))="","",LEFT(IF(AND($AW153&lt;&gt;"Yes",$AW153&lt;&gt;"N/A"),"Power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",""),LEN(IF(AND($AW153&lt;&gt;"Yes",$AW153&lt;&gt;"N/A"),"Power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",""))-2)))</f>
      </c>
      <c r="BM153">
        <f>IF($T153="","",IF($BL153="","Yes","Blocked"))</f>
      </c>
      <c r="BP153">
        <f>IF($BO153="","",IFERROR(VLOOKUP($BO153,'01_Warehouse_Ledger'!$A:$N,4,FALSE),""))</f>
      </c>
      <c r="BQ153">
        <f>IF($BO153="","",IFERROR(VLOOKUP($BO153,'01_Warehouse_Ledger'!$A:$N,5,FALSE),""))</f>
      </c>
      <c r="BR153">
        <f>IF($BO153="","",IFERROR(VLOOKUP($BO153,'01_Warehouse_Ledger'!$A:$N,13,FALSE),""))</f>
      </c>
      <c r="BS153" t="s">
        <v>1657</v>
      </c>
      <c r="BT153" t="s">
        <v>1727</v>
      </c>
      <c r="BU153" t="s">
        <v>1727</v>
      </c>
      <c r="BV153" t="s">
        <v>1657</v>
      </c>
      <c r="BW153" t="s">
        <v>1727</v>
      </c>
    </row>
    <row r="154">
      <c r="A154" t="s">
        <v>1415</v>
      </c>
      <c r="B154" t="s">
        <v>1727</v>
      </c>
      <c r="C154" t="s">
        <v>1727</v>
      </c>
      <c r="D154">
        <f>IF($B154&lt;&gt;"Yes","",IF($C154="No","Yes",IF($C154="Yes","No","")))</f>
      </c>
      <c r="E154" t="s">
        <v>1657</v>
      </c>
      <c r="F154" t="s">
        <v>1657</v>
      </c>
      <c r="G154" t="s">
        <v>1365</v>
      </c>
      <c r="H154" t="s">
        <v>1365</v>
      </c>
      <c r="I154" t="s">
        <v>2380</v>
      </c>
      <c r="J154" t="s">
        <v>1866</v>
      </c>
      <c r="K154" t="s">
        <v>2267</v>
      </c>
      <c r="L154" t="s">
        <v>2267</v>
      </c>
      <c r="M154" t="s">
        <v>1692</v>
      </c>
      <c r="N154" t="s">
        <v>2143</v>
      </c>
      <c r="O154" t="s">
        <v>1380</v>
      </c>
      <c r="P154" t="s">
        <v>2217</v>
      </c>
      <c r="Q154">
        <v>46067.0</v>
      </c>
      <c r="R154" t="s">
        <v>1985</v>
      </c>
      <c r="Y154" t="s">
        <v>2027</v>
      </c>
      <c r="AA154" t="s">
        <v>2031</v>
      </c>
      <c r="AD154" t="s">
        <v>2054</v>
      </c>
      <c r="AE154">
        <v>2</v>
      </c>
      <c r="AF154" t="s">
        <v>1709</v>
      </c>
      <c r="AG154" t="s">
        <v>2271</v>
      </c>
      <c r="AI154">
        <v>5601483</v>
      </c>
      <c r="AJ154" t="s">
        <v>2255</v>
      </c>
      <c r="AK154" t="s">
        <v>1624</v>
      </c>
      <c r="AL154" t="s">
        <v>1946</v>
      </c>
      <c r="AM154" t="s">
        <v>1380</v>
      </c>
      <c r="AN154" t="s">
        <v>1380</v>
      </c>
      <c r="AO154" t="s">
        <v>1380</v>
      </c>
      <c r="AP154" t="s">
        <v>1380</v>
      </c>
      <c r="AQ154" t="s">
        <v>1380</v>
      </c>
      <c r="AR154" t="s">
        <v>1331</v>
      </c>
      <c r="AS154" t="s">
        <v>1626</v>
      </c>
      <c r="AY154" t="s">
        <v>1657</v>
      </c>
      <c r="AZ154" t="s">
        <v>1727</v>
      </c>
      <c r="BB154" t="s">
        <v>1727</v>
      </c>
      <c r="BI154" t="s">
        <v>1630</v>
      </c>
      <c r="BS154" t="s">
        <v>1657</v>
      </c>
      <c r="BT154" t="s">
        <v>1727</v>
      </c>
      <c r="BU154" t="s">
        <v>1727</v>
      </c>
      <c r="BV154" t="s">
        <v>1657</v>
      </c>
      <c r="BW154" t="s">
        <v>1727</v>
      </c>
    </row>
    <row r="155">
      <c r="A155" t="s">
        <v>1415</v>
      </c>
      <c r="B155" t="s">
        <v>1727</v>
      </c>
      <c r="C155" t="s">
        <v>1727</v>
      </c>
      <c r="D155">
        <f>IF($B155&lt;&gt;"Yes","",IF($C155="No","Yes",IF($C155="Yes","No","")))</f>
      </c>
      <c r="E155" t="s">
        <v>1657</v>
      </c>
      <c r="F155" t="s">
        <v>1657</v>
      </c>
      <c r="G155" t="s">
        <v>1365</v>
      </c>
      <c r="H155" t="s">
        <v>1365</v>
      </c>
      <c r="I155" t="s">
        <v>2380</v>
      </c>
      <c r="J155" t="s">
        <v>1866</v>
      </c>
      <c r="K155" t="s">
        <v>2267</v>
      </c>
      <c r="L155" t="s">
        <v>2267</v>
      </c>
      <c r="M155" t="s">
        <v>1692</v>
      </c>
      <c r="N155" t="s">
        <v>2143</v>
      </c>
      <c r="O155" t="s">
        <v>1380</v>
      </c>
      <c r="P155" t="s">
        <v>2217</v>
      </c>
      <c r="Q155">
        <v>46067.0</v>
      </c>
      <c r="R155" t="s">
        <v>2085</v>
      </c>
      <c r="Y155" t="s">
        <v>2287</v>
      </c>
      <c r="AA155" t="s">
        <v>2031</v>
      </c>
      <c r="AD155" t="s">
        <v>1927</v>
      </c>
      <c r="AE155">
        <v>2</v>
      </c>
      <c r="AF155" t="s">
        <v>1709</v>
      </c>
      <c r="AG155" t="s">
        <v>1969</v>
      </c>
      <c r="AI155">
        <v>5601483</v>
      </c>
      <c r="AJ155" t="s">
        <v>2255</v>
      </c>
      <c r="AK155" t="s">
        <v>1624</v>
      </c>
      <c r="AL155" t="s">
        <v>1946</v>
      </c>
      <c r="AM155" t="s">
        <v>1380</v>
      </c>
      <c r="AN155" t="s">
        <v>1380</v>
      </c>
      <c r="AO155" t="s">
        <v>1380</v>
      </c>
      <c r="AP155" t="s">
        <v>1380</v>
      </c>
      <c r="AQ155" t="s">
        <v>1380</v>
      </c>
      <c r="AR155" t="s">
        <v>1331</v>
      </c>
      <c r="AS155" t="s">
        <v>1626</v>
      </c>
      <c r="AY155" t="s">
        <v>1657</v>
      </c>
      <c r="AZ155" t="s">
        <v>1727</v>
      </c>
      <c r="BB155" t="s">
        <v>1727</v>
      </c>
      <c r="BI155" t="s">
        <v>1630</v>
      </c>
      <c r="BS155" t="s">
        <v>1657</v>
      </c>
      <c r="BT155" t="s">
        <v>1727</v>
      </c>
      <c r="BU155" t="s">
        <v>1727</v>
      </c>
      <c r="BV155" t="s">
        <v>1657</v>
      </c>
      <c r="BW155" t="s">
        <v>1727</v>
      </c>
    </row>
    <row r="156">
      <c r="A156" t="s">
        <v>1415</v>
      </c>
      <c r="B156" t="s">
        <v>1727</v>
      </c>
      <c r="C156" t="s">
        <v>1727</v>
      </c>
      <c r="D156">
        <f>IF($B156&lt;&gt;"Yes","",IF($C156="No","Yes",IF($C156="Yes","No","")))</f>
      </c>
      <c r="E156" t="s">
        <v>1657</v>
      </c>
      <c r="F156" t="s">
        <v>1657</v>
      </c>
      <c r="G156" t="s">
        <v>1365</v>
      </c>
      <c r="H156" t="s">
        <v>1365</v>
      </c>
      <c r="I156" t="s">
        <v>2380</v>
      </c>
      <c r="J156" t="s">
        <v>1866</v>
      </c>
      <c r="K156" t="s">
        <v>2267</v>
      </c>
      <c r="L156" t="s">
        <v>2267</v>
      </c>
      <c r="M156" t="s">
        <v>1692</v>
      </c>
      <c r="N156" t="s">
        <v>2143</v>
      </c>
      <c r="O156" t="s">
        <v>1380</v>
      </c>
      <c r="P156" t="s">
        <v>2217</v>
      </c>
      <c r="Q156">
        <v>46067.0</v>
      </c>
      <c r="R156" t="s">
        <v>1693</v>
      </c>
      <c r="Y156" t="s">
        <v>2295</v>
      </c>
      <c r="AA156" t="s">
        <v>2031</v>
      </c>
      <c r="AD156" t="s">
        <v>1824</v>
      </c>
      <c r="AE156">
        <v>2</v>
      </c>
      <c r="AF156" t="s">
        <v>1709</v>
      </c>
      <c r="AG156" t="s">
        <v>1736</v>
      </c>
      <c r="AI156">
        <v>5601483</v>
      </c>
      <c r="AJ156" t="s">
        <v>2255</v>
      </c>
      <c r="AK156" t="s">
        <v>1624</v>
      </c>
      <c r="AL156" t="s">
        <v>1946</v>
      </c>
      <c r="AM156" t="s">
        <v>1380</v>
      </c>
      <c r="AN156" t="s">
        <v>1380</v>
      </c>
      <c r="AO156" t="s">
        <v>1380</v>
      </c>
      <c r="AP156" t="s">
        <v>1380</v>
      </c>
      <c r="AQ156" t="s">
        <v>1380</v>
      </c>
      <c r="AR156" t="s">
        <v>1331</v>
      </c>
      <c r="AS156" t="s">
        <v>1626</v>
      </c>
      <c r="AY156" t="s">
        <v>1657</v>
      </c>
      <c r="AZ156" t="s">
        <v>1727</v>
      </c>
      <c r="BB156" t="s">
        <v>1727</v>
      </c>
      <c r="BI156" t="s">
        <v>1630</v>
      </c>
      <c r="BS156" t="s">
        <v>1657</v>
      </c>
      <c r="BT156" t="s">
        <v>1727</v>
      </c>
      <c r="BU156" t="s">
        <v>1727</v>
      </c>
      <c r="BV156" t="s">
        <v>1657</v>
      </c>
      <c r="BW156" t="s">
        <v>1727</v>
      </c>
    </row>
    <row r="157">
      <c r="A157" t="s">
        <v>1415</v>
      </c>
      <c r="B157" t="s">
        <v>1727</v>
      </c>
      <c r="C157" t="s">
        <v>1727</v>
      </c>
      <c r="D157">
        <f>IF($B157&lt;&gt;"Yes","",IF($C157="No","Yes",IF($C157="Yes","No","")))</f>
      </c>
      <c r="E157" t="s">
        <v>1657</v>
      </c>
      <c r="F157" t="s">
        <v>1657</v>
      </c>
      <c r="G157" t="s">
        <v>1365</v>
      </c>
      <c r="H157" t="s">
        <v>1365</v>
      </c>
      <c r="I157" t="s">
        <v>2380</v>
      </c>
      <c r="J157" t="s">
        <v>1866</v>
      </c>
      <c r="K157" t="s">
        <v>2267</v>
      </c>
      <c r="L157" t="s">
        <v>2267</v>
      </c>
      <c r="M157" t="s">
        <v>1692</v>
      </c>
      <c r="N157" t="s">
        <v>2143</v>
      </c>
      <c r="O157" t="s">
        <v>1380</v>
      </c>
      <c r="P157" t="s">
        <v>2217</v>
      </c>
      <c r="Q157">
        <v>46067.0</v>
      </c>
      <c r="R157" t="s">
        <v>2232</v>
      </c>
      <c r="Y157" t="s">
        <v>1838</v>
      </c>
      <c r="AA157" t="s">
        <v>2031</v>
      </c>
      <c r="AD157" t="s">
        <v>1689</v>
      </c>
      <c r="AE157">
        <v>2</v>
      </c>
      <c r="AF157" t="s">
        <v>1709</v>
      </c>
      <c r="AG157" t="s">
        <v>1687</v>
      </c>
      <c r="AI157">
        <v>5601483</v>
      </c>
      <c r="AJ157" t="s">
        <v>2255</v>
      </c>
      <c r="AK157" t="s">
        <v>1624</v>
      </c>
      <c r="AL157" t="s">
        <v>1946</v>
      </c>
      <c r="AM157" t="s">
        <v>1380</v>
      </c>
      <c r="AN157" t="s">
        <v>1380</v>
      </c>
      <c r="AO157" t="s">
        <v>1380</v>
      </c>
      <c r="AP157" t="s">
        <v>1380</v>
      </c>
      <c r="AQ157" t="s">
        <v>1380</v>
      </c>
      <c r="AR157" t="s">
        <v>1331</v>
      </c>
      <c r="AS157" t="s">
        <v>1626</v>
      </c>
      <c r="AY157" t="s">
        <v>1657</v>
      </c>
      <c r="AZ157" t="s">
        <v>1727</v>
      </c>
      <c r="BB157" t="s">
        <v>1727</v>
      </c>
      <c r="BI157" t="s">
        <v>1630</v>
      </c>
      <c r="BS157" t="s">
        <v>1657</v>
      </c>
      <c r="BT157" t="s">
        <v>1727</v>
      </c>
      <c r="BU157" t="s">
        <v>1727</v>
      </c>
      <c r="BV157" t="s">
        <v>1657</v>
      </c>
      <c r="BW157" t="s">
        <v>1727</v>
      </c>
    </row>
    <row r="158">
      <c r="A158" t="s">
        <v>1415</v>
      </c>
      <c r="B158" t="s">
        <v>1727</v>
      </c>
      <c r="C158" t="s">
        <v>1727</v>
      </c>
      <c r="D158">
        <f>IF($B158&lt;&gt;"Yes","",IF($C158="No","Yes",IF($C158="Yes","No","")))</f>
      </c>
      <c r="E158" t="s">
        <v>1657</v>
      </c>
      <c r="F158" t="s">
        <v>1657</v>
      </c>
      <c r="G158" t="s">
        <v>1365</v>
      </c>
      <c r="H158" t="s">
        <v>1365</v>
      </c>
      <c r="I158" t="s">
        <v>2380</v>
      </c>
      <c r="J158" t="s">
        <v>1866</v>
      </c>
      <c r="K158" t="s">
        <v>2267</v>
      </c>
      <c r="L158" t="s">
        <v>2267</v>
      </c>
      <c r="M158" t="s">
        <v>1692</v>
      </c>
      <c r="N158" t="s">
        <v>2143</v>
      </c>
      <c r="O158" t="s">
        <v>1380</v>
      </c>
      <c r="P158" t="s">
        <v>2217</v>
      </c>
      <c r="Q158">
        <v>46067.0</v>
      </c>
      <c r="R158" t="s">
        <v>1930</v>
      </c>
      <c r="Y158" t="s">
        <v>2381</v>
      </c>
      <c r="AA158" t="s">
        <v>2031</v>
      </c>
      <c r="AD158" t="s">
        <v>1837</v>
      </c>
      <c r="AE158">
        <v>2</v>
      </c>
      <c r="AF158" t="s">
        <v>1709</v>
      </c>
      <c r="AG158" t="s">
        <v>2136</v>
      </c>
      <c r="AI158">
        <v>5601483</v>
      </c>
      <c r="AJ158" t="s">
        <v>2255</v>
      </c>
      <c r="AK158" t="s">
        <v>1624</v>
      </c>
      <c r="AL158" t="s">
        <v>1946</v>
      </c>
      <c r="AM158" t="s">
        <v>1380</v>
      </c>
      <c r="AN158" t="s">
        <v>1380</v>
      </c>
      <c r="AO158" t="s">
        <v>1380</v>
      </c>
      <c r="AP158" t="s">
        <v>1380</v>
      </c>
      <c r="AQ158" t="s">
        <v>1380</v>
      </c>
      <c r="AR158" t="s">
        <v>1331</v>
      </c>
      <c r="AS158" t="s">
        <v>1626</v>
      </c>
      <c r="AY158" t="s">
        <v>1657</v>
      </c>
      <c r="AZ158" t="s">
        <v>1727</v>
      </c>
      <c r="BB158" t="s">
        <v>1727</v>
      </c>
      <c r="BI158" t="s">
        <v>1630</v>
      </c>
      <c r="BS158" t="s">
        <v>1657</v>
      </c>
      <c r="BT158" t="s">
        <v>1727</v>
      </c>
      <c r="BU158" t="s">
        <v>1727</v>
      </c>
      <c r="BV158" t="s">
        <v>1657</v>
      </c>
      <c r="BW158" t="s">
        <v>1727</v>
      </c>
    </row>
    <row r="159">
      <c r="A159" t="s">
        <v>1415</v>
      </c>
      <c r="B159" t="s">
        <v>1727</v>
      </c>
      <c r="C159" t="s">
        <v>1727</v>
      </c>
      <c r="D159">
        <f>IF($B159&lt;&gt;"Yes","",IF($C159="No","Yes",IF($C159="Yes","No","")))</f>
      </c>
      <c r="E159" t="s">
        <v>1657</v>
      </c>
      <c r="F159" t="s">
        <v>1657</v>
      </c>
      <c r="G159" t="s">
        <v>1365</v>
      </c>
      <c r="H159" t="s">
        <v>1365</v>
      </c>
      <c r="I159" t="s">
        <v>2380</v>
      </c>
      <c r="J159" t="s">
        <v>1866</v>
      </c>
      <c r="K159" t="s">
        <v>2267</v>
      </c>
      <c r="L159" t="s">
        <v>2267</v>
      </c>
      <c r="M159" t="s">
        <v>1692</v>
      </c>
      <c r="N159" t="s">
        <v>2143</v>
      </c>
      <c r="O159" t="s">
        <v>1380</v>
      </c>
      <c r="P159" t="s">
        <v>2217</v>
      </c>
      <c r="Q159">
        <v>46067.0</v>
      </c>
      <c r="R159" t="s">
        <v>1935</v>
      </c>
      <c r="Y159" t="s">
        <v>2406</v>
      </c>
      <c r="AA159" t="s">
        <v>2031</v>
      </c>
      <c r="AD159" t="s">
        <v>2322</v>
      </c>
      <c r="AE159">
        <v>2</v>
      </c>
      <c r="AF159" t="s">
        <v>1709</v>
      </c>
      <c r="AG159" t="s">
        <v>2290</v>
      </c>
      <c r="AI159">
        <v>5601483</v>
      </c>
      <c r="AJ159" t="s">
        <v>2255</v>
      </c>
      <c r="AK159" t="s">
        <v>1624</v>
      </c>
      <c r="AL159" t="s">
        <v>1946</v>
      </c>
      <c r="AM159" t="s">
        <v>1380</v>
      </c>
      <c r="AN159" t="s">
        <v>1380</v>
      </c>
      <c r="AO159" t="s">
        <v>1380</v>
      </c>
      <c r="AP159" t="s">
        <v>1380</v>
      </c>
      <c r="AQ159" t="s">
        <v>1380</v>
      </c>
      <c r="AR159" t="s">
        <v>1331</v>
      </c>
      <c r="AS159" t="s">
        <v>1626</v>
      </c>
      <c r="AY159" t="s">
        <v>1657</v>
      </c>
      <c r="AZ159" t="s">
        <v>1727</v>
      </c>
      <c r="BB159" t="s">
        <v>1727</v>
      </c>
      <c r="BI159" t="s">
        <v>1630</v>
      </c>
      <c r="BS159" t="s">
        <v>1657</v>
      </c>
      <c r="BT159" t="s">
        <v>1727</v>
      </c>
      <c r="BU159" t="s">
        <v>1727</v>
      </c>
      <c r="BV159" t="s">
        <v>1657</v>
      </c>
      <c r="BW159" t="s">
        <v>1727</v>
      </c>
    </row>
    <row r="160">
      <c r="A160" t="s">
        <v>1415</v>
      </c>
      <c r="B160" t="s">
        <v>1727</v>
      </c>
      <c r="C160" t="s">
        <v>1727</v>
      </c>
      <c r="D160">
        <f>IF($B160&lt;&gt;"Yes","",IF($C160="No","Yes",IF($C160="Yes","No","")))</f>
      </c>
      <c r="E160" t="s">
        <v>1657</v>
      </c>
      <c r="F160" t="s">
        <v>1657</v>
      </c>
      <c r="G160" t="s">
        <v>1365</v>
      </c>
      <c r="H160" t="s">
        <v>1365</v>
      </c>
      <c r="I160" t="s">
        <v>2380</v>
      </c>
      <c r="J160" t="s">
        <v>1866</v>
      </c>
      <c r="K160" t="s">
        <v>2267</v>
      </c>
      <c r="L160" t="s">
        <v>2267</v>
      </c>
      <c r="M160" t="s">
        <v>1692</v>
      </c>
      <c r="N160" t="s">
        <v>2143</v>
      </c>
      <c r="O160" t="s">
        <v>1380</v>
      </c>
      <c r="P160" t="s">
        <v>2217</v>
      </c>
      <c r="Q160">
        <v>46067.0</v>
      </c>
      <c r="R160" t="s">
        <v>2239</v>
      </c>
      <c r="Y160" t="s">
        <v>2157</v>
      </c>
      <c r="AA160" t="s">
        <v>2031</v>
      </c>
      <c r="AD160" t="s">
        <v>2263</v>
      </c>
      <c r="AE160">
        <v>2</v>
      </c>
      <c r="AF160" t="s">
        <v>1709</v>
      </c>
      <c r="AG160" t="s">
        <v>1804</v>
      </c>
      <c r="AI160">
        <v>5601483</v>
      </c>
      <c r="AJ160" t="s">
        <v>2255</v>
      </c>
      <c r="AK160" t="s">
        <v>1624</v>
      </c>
      <c r="AL160" t="s">
        <v>1946</v>
      </c>
      <c r="AM160" t="s">
        <v>1380</v>
      </c>
      <c r="AN160" t="s">
        <v>1380</v>
      </c>
      <c r="AO160" t="s">
        <v>1380</v>
      </c>
      <c r="AP160" t="s">
        <v>1380</v>
      </c>
      <c r="AQ160" t="s">
        <v>1380</v>
      </c>
      <c r="AR160" t="s">
        <v>1331</v>
      </c>
      <c r="AS160" t="s">
        <v>1626</v>
      </c>
      <c r="AY160" t="s">
        <v>1657</v>
      </c>
      <c r="AZ160" t="s">
        <v>1727</v>
      </c>
      <c r="BB160" t="s">
        <v>1727</v>
      </c>
      <c r="BI160" t="s">
        <v>1630</v>
      </c>
      <c r="BS160" t="s">
        <v>1657</v>
      </c>
      <c r="BT160" t="s">
        <v>1727</v>
      </c>
      <c r="BU160" t="s">
        <v>1727</v>
      </c>
      <c r="BV160" t="s">
        <v>1657</v>
      </c>
      <c r="BW160" t="s">
        <v>1727</v>
      </c>
    </row>
    <row r="161">
      <c r="A161" t="s">
        <v>1415</v>
      </c>
      <c r="B161" t="s">
        <v>1727</v>
      </c>
      <c r="C161" t="s">
        <v>1727</v>
      </c>
      <c r="D161">
        <f>IF($B161&lt;&gt;"Yes","",IF($C161="No","Yes",IF($C161="Yes","No","")))</f>
      </c>
      <c r="E161" t="s">
        <v>1657</v>
      </c>
      <c r="F161" t="s">
        <v>1657</v>
      </c>
      <c r="G161" t="s">
        <v>1365</v>
      </c>
      <c r="H161" t="s">
        <v>1365</v>
      </c>
      <c r="I161" t="s">
        <v>2380</v>
      </c>
      <c r="J161" t="s">
        <v>1866</v>
      </c>
      <c r="K161" t="s">
        <v>2267</v>
      </c>
      <c r="L161" t="s">
        <v>2267</v>
      </c>
      <c r="M161" t="s">
        <v>1692</v>
      </c>
      <c r="N161" t="s">
        <v>2143</v>
      </c>
      <c r="O161" t="s">
        <v>1380</v>
      </c>
      <c r="P161" t="s">
        <v>2217</v>
      </c>
      <c r="Q161">
        <v>46067.0</v>
      </c>
      <c r="R161" t="s">
        <v>1919</v>
      </c>
      <c r="Y161" t="s">
        <v>1971</v>
      </c>
      <c r="AA161" t="s">
        <v>2031</v>
      </c>
      <c r="AD161" t="s">
        <v>2412</v>
      </c>
      <c r="AE161">
        <v>2</v>
      </c>
      <c r="AF161" t="s">
        <v>1709</v>
      </c>
      <c r="AG161" t="s">
        <v>1653</v>
      </c>
      <c r="AI161">
        <v>5601483</v>
      </c>
      <c r="AJ161" t="s">
        <v>2255</v>
      </c>
      <c r="AK161" t="s">
        <v>1624</v>
      </c>
      <c r="AL161" t="s">
        <v>1946</v>
      </c>
      <c r="AM161" t="s">
        <v>1380</v>
      </c>
      <c r="AN161" t="s">
        <v>1380</v>
      </c>
      <c r="AO161" t="s">
        <v>1380</v>
      </c>
      <c r="AP161" t="s">
        <v>1380</v>
      </c>
      <c r="AQ161" t="s">
        <v>1380</v>
      </c>
      <c r="AR161" t="s">
        <v>1331</v>
      </c>
      <c r="AS161" t="s">
        <v>1626</v>
      </c>
      <c r="AY161" t="s">
        <v>1657</v>
      </c>
      <c r="AZ161" t="s">
        <v>1727</v>
      </c>
      <c r="BB161" t="s">
        <v>1727</v>
      </c>
      <c r="BI161" t="s">
        <v>1630</v>
      </c>
      <c r="BS161" t="s">
        <v>1657</v>
      </c>
      <c r="BT161" t="s">
        <v>1727</v>
      </c>
      <c r="BU161" t="s">
        <v>1727</v>
      </c>
      <c r="BV161" t="s">
        <v>1657</v>
      </c>
      <c r="BW161" t="s">
        <v>1727</v>
      </c>
    </row>
    <row r="162">
      <c r="A162" t="s">
        <v>1415</v>
      </c>
      <c r="B162" t="s">
        <v>1657</v>
      </c>
      <c r="C162" t="s">
        <v>1670</v>
      </c>
      <c r="D162">
        <f>IF($B162&lt;&gt;"Yes","",IF($C162="No","Yes",IF($C162="Yes","No","")))</f>
      </c>
      <c r="G162" t="s">
        <v>1983</v>
      </c>
      <c r="H162" t="s">
        <v>1903</v>
      </c>
      <c r="I162" t="s">
        <v>1831</v>
      </c>
      <c r="M162" t="s">
        <v>1692</v>
      </c>
      <c r="R162" t="s">
        <v>2100</v>
      </c>
      <c r="Y162" t="s">
        <v>1975</v>
      </c>
      <c r="Z162" t="s">
        <v>1741</v>
      </c>
      <c r="BI162" t="s">
        <v>1630</v>
      </c>
    </row>
    <row r="163">
      <c r="A163" t="s">
        <v>1415</v>
      </c>
      <c r="B163" t="s">
        <v>1657</v>
      </c>
      <c r="D163">
        <f>IF($B163&lt;&gt;"Yes","",IF($C163="No","Yes",IF($C163="Yes","No","")))</f>
      </c>
      <c r="G163" t="s">
        <v>1983</v>
      </c>
      <c r="H163" t="s">
        <v>1903</v>
      </c>
      <c r="I163" t="s">
        <v>1831</v>
      </c>
      <c r="R163" t="s">
        <v>2040</v>
      </c>
      <c r="Y163" t="s">
        <v>1766</v>
      </c>
      <c r="Z163" t="s">
        <v>2107</v>
      </c>
    </row>
    <row r="164">
      <c r="A164" t="s">
        <v>1415</v>
      </c>
      <c r="B164" t="s">
        <v>1657</v>
      </c>
      <c r="D164">
        <f>IF($B164&lt;&gt;"Yes","",IF($C164="No","Yes",IF($C164="Yes","No","")))</f>
      </c>
      <c r="G164" t="s">
        <v>1983</v>
      </c>
      <c r="H164" t="s">
        <v>1903</v>
      </c>
      <c r="I164" t="s">
        <v>1831</v>
      </c>
      <c r="R164" t="s">
        <v>1668</v>
      </c>
      <c r="Y164" t="s">
        <v>2215</v>
      </c>
      <c r="Z164" t="s">
        <v>2108</v>
      </c>
    </row>
    <row r="165">
      <c r="A165" t="s">
        <v>1415</v>
      </c>
      <c r="B165" t="s">
        <v>1657</v>
      </c>
      <c r="D165">
        <f>IF($B165&lt;&gt;"Yes","",IF($C165="No","Yes",IF($C165="Yes","No","")))</f>
      </c>
      <c r="G165" t="s">
        <v>1880</v>
      </c>
      <c r="I165" t="s">
        <v>1831</v>
      </c>
      <c r="R165" t="s">
        <v>1676</v>
      </c>
      <c r="Y165" t="s">
        <v>2011</v>
      </c>
      <c r="Z165" t="s">
        <v>1907</v>
      </c>
    </row>
    <row r="166">
      <c r="A166" t="s">
        <v>1415</v>
      </c>
      <c r="B166" t="s">
        <v>1657</v>
      </c>
      <c r="D166">
        <f>IF($B166&lt;&gt;"Yes","",IF($C166="No","Yes",IF($C166="Yes","No","")))</f>
      </c>
      <c r="G166" t="s">
        <v>1880</v>
      </c>
      <c r="I166" t="s">
        <v>1831</v>
      </c>
      <c r="R166" t="s">
        <v>1646</v>
      </c>
      <c r="Y166" t="s">
        <v>1825</v>
      </c>
      <c r="Z166" t="s">
        <v>2252</v>
      </c>
    </row>
    <row r="167">
      <c r="D167">
        <f>IF($B167&lt;&gt;"Yes","",IF($C167="No","Yes",IF($C167="Yes","No","")))</f>
      </c>
      <c r="E167">
        <f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</c>
      <c r="F167">
        <f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</c>
      <c r="BL167">
        <f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</c>
      <c r="BM167">
        <f>IF($T167="","",IF($BL167="","Yes","Blocked"))</f>
      </c>
      <c r="BP167">
        <f>IF($BO167="","",IFERROR(VLOOKUP($BO167,'01_Warehouse_Ledger'!$A:$N,4,FALSE),""))</f>
      </c>
      <c r="BQ167">
        <f>IF($BO167="","",IFERROR(VLOOKUP($BO167,'01_Warehouse_Ledger'!$A:$N,5,FALSE),""))</f>
      </c>
      <c r="BR167">
        <f>IF($BO167="","",IFERROR(VLOOKUP($BO167,'01_Warehouse_Ledger'!$A:$N,13,FALSE),""))</f>
      </c>
    </row>
    <row r="168">
      <c r="D168">
        <f>IF($B168&lt;&gt;"Yes","",IF($C168="No","Yes",IF($C168="Yes","No","")))</f>
      </c>
      <c r="E168">
        <f>IF($A168="","",IF($A168="Neuron",IF(OR(AND($S168&lt;&gt;"",LOWER(TRIM($S168))&lt;&gt;"n/a",COUNTIF($S$2:$S$532,$S168)&gt;1),AND($T168&lt;&gt;"",LOWER(TRIM($T168))&lt;&gt;"n/a",COUNTIF($T$2:$T$532,$T168)&gt;1),AND($W168&lt;&gt;"",LOWER(TRIM($W168))&lt;&gt;"n/a",COUNTIF($W$2:$W$532,$W168)&gt;1)),"Yes","No"),IF($A168="Cybernet",IF(OR(AND($Y168&lt;&gt;"",LOWER(TRIM($Y168))&lt;&gt;"n/a",COUNTIF($Y$2:$Y$532,$Y168)&gt;1),AND($Z168&lt;&gt;"",LOWER(TRIM($Z168))&lt;&gt;"n/a",COUNTIF($Z$2:$Z$532,$Z168)&gt;1)),"Yes","No"),IF(AND($AL168&lt;&gt;"",LOWER(TRIM($AL168))&lt;&gt;"n/a",COUNTIF($AL$2:$AL$532,$AL168)&gt;1),"Yes","No"))))</f>
      </c>
      <c r="F168">
        <f>IF($B168&lt;&gt;"Yes","",
IF($A168="Neuron",
IF(OR(
AND($S168&lt;&gt;"",LOWER(TRIM($S168))&lt;&gt;"n/a",COUNTIFS($B$2:$B$532,"Yes",$A$2:$A$532,"Neuron",$S$2:$S$532,$S168)&gt;1),
AND($T168&lt;&gt;"",LOWER(TRIM($T168))&lt;&gt;"n/a",COUNTIFS($B$2:$B$532,"Yes",$A$2:$A$532,"Neuron",$T$2:$T$532,$T168)&gt;1),
AND($W168&lt;&gt;"",LOWER(TRIM($W168))&lt;&gt;"n/a",COUNTIFS($B$2:$B$532,"Yes",$A$2:$A$532,"Neuron",$W$2:$W$532,$W168)&gt;1)
),"Yes","No"),
IF($A168="Cybernet",
IF(OR(
AND($Y168&lt;&gt;"",LOWER(TRIM($Y168))&lt;&gt;"n/a",COUNTIFS($B$2:$B$532,"Yes",$A$2:$A$532,"Cybernet",$Y$2:$Y$532,$Y168)&gt;1),
AND($Z168&lt;&gt;"",LOWER(TRIM($Z168))&lt;&gt;"n/a",COUNTIFS($B$2:$B$532,"Yes",$A$2:$A$532,"Cybernet",$Z$2:$Z$532,$Z168)&gt;1)
),"Yes","No"),
IF(AND($AL168&lt;&gt;"",LOWER(TRIM($AL168))&lt;&gt;"n/a"),
IF(COUNTIFS($B$2:$B$532,"Yes",$A$2:$A$532,$A168,$AL$2:$AL$532,$AL168)&gt;1,"Yes","No"),
"No")
)
)
)</f>
      </c>
      <c r="BL168">
        <f>IF($T168="","",IF((IF(AND($AW168&lt;&gt;"Yes",$AW168&lt;&gt;"N/A"),"Power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",""))="","",LEFT(IF(AND($AW168&lt;&gt;"Yes",$AW168&lt;&gt;"N/A"),"Power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",""),LEN(IF(AND($AW168&lt;&gt;"Yes",$AW168&lt;&gt;"N/A"),"Power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",""))-2)))</f>
      </c>
      <c r="BM168">
        <f>IF($T168="","",IF($BL168="","Yes","Blocked"))</f>
      </c>
      <c r="BP168">
        <f>IF($BO168="","",IFERROR(VLOOKUP($BO168,'01_Warehouse_Ledger'!$A:$N,4,FALSE),""))</f>
      </c>
      <c r="BQ168">
        <f>IF($BO168="","",IFERROR(VLOOKUP($BO168,'01_Warehouse_Ledger'!$A:$N,5,FALSE),""))</f>
      </c>
      <c r="BR168">
        <f>IF($BO168="","",IFERROR(VLOOKUP($BO168,'01_Warehouse_Ledger'!$A:$N,13,FALSE),""))</f>
      </c>
    </row>
    <row r="169">
      <c r="D169">
        <f>IF($B169&lt;&gt;"Yes","",IF($C169="No","Yes",IF($C169="Yes","No","")))</f>
      </c>
      <c r="E169">
        <f>IF($A169="","",IF($A169="Neuron",IF(OR(AND($S169&lt;&gt;"",LOWER(TRIM($S169))&lt;&gt;"n/a",COUNTIF($S$2:$S$532,$S169)&gt;1),AND($T169&lt;&gt;"",LOWER(TRIM($T169))&lt;&gt;"n/a",COUNTIF($T$2:$T$532,$T169)&gt;1),AND($W169&lt;&gt;"",LOWER(TRIM($W169))&lt;&gt;"n/a",COUNTIF($W$2:$W$532,$W169)&gt;1)),"Yes","No"),IF($A169="Cybernet",IF(OR(AND($Y169&lt;&gt;"",LOWER(TRIM($Y169))&lt;&gt;"n/a",COUNTIF($Y$2:$Y$532,$Y169)&gt;1),AND($Z169&lt;&gt;"",LOWER(TRIM($Z169))&lt;&gt;"n/a",COUNTIF($Z$2:$Z$532,$Z169)&gt;1)),"Yes","No"),IF(AND($AL169&lt;&gt;"",LOWER(TRIM($AL169))&lt;&gt;"n/a",COUNTIF($AL$2:$AL$532,$AL169)&gt;1),"Yes","No"))))</f>
      </c>
      <c r="F169">
        <f>IF($B169&lt;&gt;"Yes","",
IF($A169="Neuron",
IF(OR(
AND($S169&lt;&gt;"",LOWER(TRIM($S169))&lt;&gt;"n/a",COUNTIFS($B$2:$B$532,"Yes",$A$2:$A$532,"Neuron",$S$2:$S$532,$S169)&gt;1),
AND($T169&lt;&gt;"",LOWER(TRIM($T169))&lt;&gt;"n/a",COUNTIFS($B$2:$B$532,"Yes",$A$2:$A$532,"Neuron",$T$2:$T$532,$T169)&gt;1),
AND($W169&lt;&gt;"",LOWER(TRIM($W169))&lt;&gt;"n/a",COUNTIFS($B$2:$B$532,"Yes",$A$2:$A$532,"Neuron",$W$2:$W$532,$W169)&gt;1)
),"Yes","No"),
IF($A169="Cybernet",
IF(OR(
AND($Y169&lt;&gt;"",LOWER(TRIM($Y169))&lt;&gt;"n/a",COUNTIFS($B$2:$B$532,"Yes",$A$2:$A$532,"Cybernet",$Y$2:$Y$532,$Y169)&gt;1),
AND($Z169&lt;&gt;"",LOWER(TRIM($Z169))&lt;&gt;"n/a",COUNTIFS($B$2:$B$532,"Yes",$A$2:$A$532,"Cybernet",$Z$2:$Z$532,$Z169)&gt;1)
),"Yes","No"),
IF(AND($AL169&lt;&gt;"",LOWER(TRIM($AL169))&lt;&gt;"n/a"),
IF(COUNTIFS($B$2:$B$532,"Yes",$A$2:$A$532,$A169,$AL$2:$AL$532,$AL169)&gt;1,"Yes","No"),
"No")
)
)
)</f>
      </c>
      <c r="BL169">
        <f>IF($T169="","",IF((IF(AND($AW169&lt;&gt;"Yes",$AW169&lt;&gt;"N/A"),"Power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",""))="","",LEFT(IF(AND($AW169&lt;&gt;"Yes",$AW169&lt;&gt;"N/A"),"Power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",""),LEN(IF(AND($AW169&lt;&gt;"Yes",$AW169&lt;&gt;"N/A"),"Power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",""))-2)))</f>
      </c>
      <c r="BM169">
        <f>IF($T169="","",IF($BL169="","Yes","Blocked"))</f>
      </c>
      <c r="BP169">
        <f>IF($BO169="","",IFERROR(VLOOKUP($BO169,'01_Warehouse_Ledger'!$A:$N,4,FALSE),""))</f>
      </c>
      <c r="BQ169">
        <f>IF($BO169="","",IFERROR(VLOOKUP($BO169,'01_Warehouse_Ledger'!$A:$N,5,FALSE),""))</f>
      </c>
      <c r="BR169">
        <f>IF($BO169="","",IFERROR(VLOOKUP($BO169,'01_Warehouse_Ledger'!$A:$N,13,FALSE),""))</f>
      </c>
    </row>
    <row r="170">
      <c r="D170">
        <f>IF($B170&lt;&gt;"Yes","",IF($C170="No","Yes",IF($C170="Yes","No","")))</f>
      </c>
      <c r="E170">
        <f>IF($A170="","",IF($A170="Neuron",IF(OR(AND($S170&lt;&gt;"",LOWER(TRIM($S170))&lt;&gt;"n/a",COUNTIF($S$2:$S$532,$S170)&gt;1),AND($T170&lt;&gt;"",LOWER(TRIM($T170))&lt;&gt;"n/a",COUNTIF($T$2:$T$532,$T170)&gt;1),AND($W170&lt;&gt;"",LOWER(TRIM($W170))&lt;&gt;"n/a",COUNTIF($W$2:$W$532,$W170)&gt;1)),"Yes","No"),IF($A170="Cybernet",IF(OR(AND($Y170&lt;&gt;"",LOWER(TRIM($Y170))&lt;&gt;"n/a",COUNTIF($Y$2:$Y$532,$Y170)&gt;1),AND($Z170&lt;&gt;"",LOWER(TRIM($Z170))&lt;&gt;"n/a",COUNTIF($Z$2:$Z$532,$Z170)&gt;1)),"Yes","No"),IF(AND($AL170&lt;&gt;"",LOWER(TRIM($AL170))&lt;&gt;"n/a",COUNTIF($AL$2:$AL$532,$AL170)&gt;1),"Yes","No"))))</f>
      </c>
      <c r="F170">
        <f>IF($B170&lt;&gt;"Yes","",
IF($A170="Neuron",
IF(OR(
AND($S170&lt;&gt;"",LOWER(TRIM($S170))&lt;&gt;"n/a",COUNTIFS($B$2:$B$532,"Yes",$A$2:$A$532,"Neuron",$S$2:$S$532,$S170)&gt;1),
AND($T170&lt;&gt;"",LOWER(TRIM($T170))&lt;&gt;"n/a",COUNTIFS($B$2:$B$532,"Yes",$A$2:$A$532,"Neuron",$T$2:$T$532,$T170)&gt;1),
AND($W170&lt;&gt;"",LOWER(TRIM($W170))&lt;&gt;"n/a",COUNTIFS($B$2:$B$532,"Yes",$A$2:$A$532,"Neuron",$W$2:$W$532,$W170)&gt;1)
),"Yes","No"),
IF($A170="Cybernet",
IF(OR(
AND($Y170&lt;&gt;"",LOWER(TRIM($Y170))&lt;&gt;"n/a",COUNTIFS($B$2:$B$532,"Yes",$A$2:$A$532,"Cybernet",$Y$2:$Y$532,$Y170)&gt;1),
AND($Z170&lt;&gt;"",LOWER(TRIM($Z170))&lt;&gt;"n/a",COUNTIFS($B$2:$B$532,"Yes",$A$2:$A$532,"Cybernet",$Z$2:$Z$532,$Z170)&gt;1)
),"Yes","No"),
IF(AND($AL170&lt;&gt;"",LOWER(TRIM($AL170))&lt;&gt;"n/a"),
IF(COUNTIFS($B$2:$B$532,"Yes",$A$2:$A$532,$A170,$AL$2:$AL$532,$AL170)&gt;1,"Yes","No"),
"No")
)
)
)</f>
      </c>
      <c r="BL170">
        <f>IF($T170="","",IF((IF(AND($AW170&lt;&gt;"Yes",$AW170&lt;&gt;"N/A"),"Power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",""))="","",LEFT(IF(AND($AW170&lt;&gt;"Yes",$AW170&lt;&gt;"N/A"),"Power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",""),LEN(IF(AND($AW170&lt;&gt;"Yes",$AW170&lt;&gt;"N/A"),"Power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",""))-2)))</f>
      </c>
      <c r="BM170">
        <f>IF($T170="","",IF($BL170="","Yes","Blocked"))</f>
      </c>
      <c r="BP170">
        <f>IF($BO170="","",IFERROR(VLOOKUP($BO170,'01_Warehouse_Ledger'!$A:$N,4,FALSE),""))</f>
      </c>
      <c r="BQ170">
        <f>IF($BO170="","",IFERROR(VLOOKUP($BO170,'01_Warehouse_Ledger'!$A:$N,5,FALSE),""))</f>
      </c>
      <c r="BR170">
        <f>IF($BO170="","",IFERROR(VLOOKUP($BO170,'01_Warehouse_Ledger'!$A:$N,13,FALSE),""))</f>
      </c>
    </row>
    <row r="171">
      <c r="D171">
        <f>IF($B171&lt;&gt;"Yes","",IF($C171="No","Yes",IF($C171="Yes","No","")))</f>
      </c>
      <c r="E171">
        <f>IF($A171="","",IF($A171="Neuron",IF(OR(AND($S171&lt;&gt;"",LOWER(TRIM($S171))&lt;&gt;"n/a",COUNTIF($S$2:$S$532,$S171)&gt;1),AND($T171&lt;&gt;"",LOWER(TRIM($T171))&lt;&gt;"n/a",COUNTIF($T$2:$T$532,$T171)&gt;1),AND($W171&lt;&gt;"",LOWER(TRIM($W171))&lt;&gt;"n/a",COUNTIF($W$2:$W$532,$W171)&gt;1)),"Yes","No"),IF($A171="Cybernet",IF(OR(AND($Y171&lt;&gt;"",LOWER(TRIM($Y171))&lt;&gt;"n/a",COUNTIF($Y$2:$Y$532,$Y171)&gt;1),AND($Z171&lt;&gt;"",LOWER(TRIM($Z171))&lt;&gt;"n/a",COUNTIF($Z$2:$Z$532,$Z171)&gt;1)),"Yes","No"),IF(AND($AL171&lt;&gt;"",LOWER(TRIM($AL171))&lt;&gt;"n/a",COUNTIF($AL$2:$AL$532,$AL171)&gt;1),"Yes","No"))))</f>
      </c>
      <c r="F171">
        <f>IF($B171&lt;&gt;"Yes","",
IF($A171="Neuron",
IF(OR(
AND($S171&lt;&gt;"",LOWER(TRIM($S171))&lt;&gt;"n/a",COUNTIFS($B$2:$B$532,"Yes",$A$2:$A$532,"Neuron",$S$2:$S$532,$S171)&gt;1),
AND($T171&lt;&gt;"",LOWER(TRIM($T171))&lt;&gt;"n/a",COUNTIFS($B$2:$B$532,"Yes",$A$2:$A$532,"Neuron",$T$2:$T$532,$T171)&gt;1),
AND($W171&lt;&gt;"",LOWER(TRIM($W171))&lt;&gt;"n/a",COUNTIFS($B$2:$B$532,"Yes",$A$2:$A$532,"Neuron",$W$2:$W$532,$W171)&gt;1)
),"Yes","No"),
IF($A171="Cybernet",
IF(OR(
AND($Y171&lt;&gt;"",LOWER(TRIM($Y171))&lt;&gt;"n/a",COUNTIFS($B$2:$B$532,"Yes",$A$2:$A$532,"Cybernet",$Y$2:$Y$532,$Y171)&gt;1),
AND($Z171&lt;&gt;"",LOWER(TRIM($Z171))&lt;&gt;"n/a",COUNTIFS($B$2:$B$532,"Yes",$A$2:$A$532,"Cybernet",$Z$2:$Z$532,$Z171)&gt;1)
),"Yes","No"),
IF(AND($AL171&lt;&gt;"",LOWER(TRIM($AL171))&lt;&gt;"n/a"),
IF(COUNTIFS($B$2:$B$532,"Yes",$A$2:$A$532,$A171,$AL$2:$AL$532,$AL171)&gt;1,"Yes","No"),
"No")
)
)
)</f>
      </c>
      <c r="BL171">
        <f>IF($T171="","",IF((IF(AND($AW171&lt;&gt;"Yes",$AW171&lt;&gt;"N/A"),"Power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",""))="","",LEFT(IF(AND($AW171&lt;&gt;"Yes",$AW171&lt;&gt;"N/A"),"Power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",""),LEN(IF(AND($AW171&lt;&gt;"Yes",$AW171&lt;&gt;"N/A"),"Power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",""))-2)))</f>
      </c>
      <c r="BM171">
        <f>IF($T171="","",IF($BL171="","Yes","Blocked"))</f>
      </c>
      <c r="BP171">
        <f>IF($BO171="","",IFERROR(VLOOKUP($BO171,'01_Warehouse_Ledger'!$A:$N,4,FALSE),""))</f>
      </c>
      <c r="BQ171">
        <f>IF($BO171="","",IFERROR(VLOOKUP($BO171,'01_Warehouse_Ledger'!$A:$N,5,FALSE),""))</f>
      </c>
      <c r="BR171">
        <f>IF($BO171="","",IFERROR(VLOOKUP($BO171,'01_Warehouse_Ledger'!$A:$N,13,FALSE),""))</f>
      </c>
    </row>
    <row r="172">
      <c r="D172">
        <f>IF($B172&lt;&gt;"Yes","",IF($C172="No","Yes",IF($C172="Yes","No","")))</f>
      </c>
      <c r="E172">
        <f>IF($A172="","",IF($A172="Neuron",IF(OR(AND($S172&lt;&gt;"",LOWER(TRIM($S172))&lt;&gt;"n/a",COUNTIF($S$2:$S$532,$S172)&gt;1),AND($T172&lt;&gt;"",LOWER(TRIM($T172))&lt;&gt;"n/a",COUNTIF($T$2:$T$532,$T172)&gt;1),AND($W172&lt;&gt;"",LOWER(TRIM($W172))&lt;&gt;"n/a",COUNTIF($W$2:$W$532,$W172)&gt;1)),"Yes","No"),IF($A172="Cybernet",IF(OR(AND($Y172&lt;&gt;"",LOWER(TRIM($Y172))&lt;&gt;"n/a",COUNTIF($Y$2:$Y$532,$Y172)&gt;1),AND($Z172&lt;&gt;"",LOWER(TRIM($Z172))&lt;&gt;"n/a",COUNTIF($Z$2:$Z$532,$Z172)&gt;1)),"Yes","No"),IF(AND($AL172&lt;&gt;"",LOWER(TRIM($AL172))&lt;&gt;"n/a",COUNTIF($AL$2:$AL$532,$AL172)&gt;1),"Yes","No"))))</f>
      </c>
      <c r="F172">
        <f>IF($B172&lt;&gt;"Yes","",
IF($A172="Neuron",
IF(OR(
AND($S172&lt;&gt;"",LOWER(TRIM($S172))&lt;&gt;"n/a",COUNTIFS($B$2:$B$532,"Yes",$A$2:$A$532,"Neuron",$S$2:$S$532,$S172)&gt;1),
AND($T172&lt;&gt;"",LOWER(TRIM($T172))&lt;&gt;"n/a",COUNTIFS($B$2:$B$532,"Yes",$A$2:$A$532,"Neuron",$T$2:$T$532,$T172)&gt;1),
AND($W172&lt;&gt;"",LOWER(TRIM($W172))&lt;&gt;"n/a",COUNTIFS($B$2:$B$532,"Yes",$A$2:$A$532,"Neuron",$W$2:$W$532,$W172)&gt;1)
),"Yes","No"),
IF($A172="Cybernet",
IF(OR(
AND($Y172&lt;&gt;"",LOWER(TRIM($Y172))&lt;&gt;"n/a",COUNTIFS($B$2:$B$532,"Yes",$A$2:$A$532,"Cybernet",$Y$2:$Y$532,$Y172)&gt;1),
AND($Z172&lt;&gt;"",LOWER(TRIM($Z172))&lt;&gt;"n/a",COUNTIFS($B$2:$B$532,"Yes",$A$2:$A$532,"Cybernet",$Z$2:$Z$532,$Z172)&gt;1)
),"Yes","No"),
IF(AND($AL172&lt;&gt;"",LOWER(TRIM($AL172))&lt;&gt;"n/a"),
IF(COUNTIFS($B$2:$B$532,"Yes",$A$2:$A$532,$A172,$AL$2:$AL$532,$AL172)&gt;1,"Yes","No"),
"No")
)
)
)</f>
      </c>
      <c r="BL172">
        <f>IF($T172="","",IF((IF(AND($AW172&lt;&gt;"Yes",$AW172&lt;&gt;"N/A"),"Power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",""))="","",LEFT(IF(AND($AW172&lt;&gt;"Yes",$AW172&lt;&gt;"N/A"),"Power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",""),LEN(IF(AND($AW172&lt;&gt;"Yes",$AW172&lt;&gt;"N/A"),"Power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",""))-2)))</f>
      </c>
      <c r="BM172">
        <f>IF($T172="","",IF($BL172="","Yes","Blocked"))</f>
      </c>
      <c r="BP172">
        <f>IF($BO172="","",IFERROR(VLOOKUP($BO172,'01_Warehouse_Ledger'!$A:$N,4,FALSE),""))</f>
      </c>
      <c r="BQ172">
        <f>IF($BO172="","",IFERROR(VLOOKUP($BO172,'01_Warehouse_Ledger'!$A:$N,5,FALSE),""))</f>
      </c>
      <c r="BR172">
        <f>IF($BO172="","",IFERROR(VLOOKUP($BO172,'01_Warehouse_Ledger'!$A:$N,13,FALSE),""))</f>
      </c>
    </row>
    <row r="173">
      <c r="D173">
        <f>IF($B173&lt;&gt;"Yes","",IF($C173="No","Yes",IF($C173="Yes","No","")))</f>
      </c>
      <c r="E173">
        <f>IF($A173="","",IF($A173="Neuron",IF(OR(AND($S173&lt;&gt;"",LOWER(TRIM($S173))&lt;&gt;"n/a",COUNTIF($S$2:$S$532,$S173)&gt;1),AND($T173&lt;&gt;"",LOWER(TRIM($T173))&lt;&gt;"n/a",COUNTIF($T$2:$T$532,$T173)&gt;1),AND($W173&lt;&gt;"",LOWER(TRIM($W173))&lt;&gt;"n/a",COUNTIF($W$2:$W$532,$W173)&gt;1)),"Yes","No"),IF($A173="Cybernet",IF(OR(AND($Y173&lt;&gt;"",LOWER(TRIM($Y173))&lt;&gt;"n/a",COUNTIF($Y$2:$Y$532,$Y173)&gt;1),AND($Z173&lt;&gt;"",LOWER(TRIM($Z173))&lt;&gt;"n/a",COUNTIF($Z$2:$Z$532,$Z173)&gt;1)),"Yes","No"),IF(AND($AL173&lt;&gt;"",LOWER(TRIM($AL173))&lt;&gt;"n/a",COUNTIF($AL$2:$AL$532,$AL173)&gt;1),"Yes","No"))))</f>
      </c>
      <c r="F173">
        <f>IF($B173&lt;&gt;"Yes","",
IF($A173="Neuron",
IF(OR(
AND($S173&lt;&gt;"",LOWER(TRIM($S173))&lt;&gt;"n/a",COUNTIFS($B$2:$B$532,"Yes",$A$2:$A$532,"Neuron",$S$2:$S$532,$S173)&gt;1),
AND($T173&lt;&gt;"",LOWER(TRIM($T173))&lt;&gt;"n/a",COUNTIFS($B$2:$B$532,"Yes",$A$2:$A$532,"Neuron",$T$2:$T$532,$T173)&gt;1),
AND($W173&lt;&gt;"",LOWER(TRIM($W173))&lt;&gt;"n/a",COUNTIFS($B$2:$B$532,"Yes",$A$2:$A$532,"Neuron",$W$2:$W$532,$W173)&gt;1)
),"Yes","No"),
IF($A173="Cybernet",
IF(OR(
AND($Y173&lt;&gt;"",LOWER(TRIM($Y173))&lt;&gt;"n/a",COUNTIFS($B$2:$B$532,"Yes",$A$2:$A$532,"Cybernet",$Y$2:$Y$532,$Y173)&gt;1),
AND($Z173&lt;&gt;"",LOWER(TRIM($Z173))&lt;&gt;"n/a",COUNTIFS($B$2:$B$532,"Yes",$A$2:$A$532,"Cybernet",$Z$2:$Z$532,$Z173)&gt;1)
),"Yes","No"),
IF(AND($AL173&lt;&gt;"",LOWER(TRIM($AL173))&lt;&gt;"n/a"),
IF(COUNTIFS($B$2:$B$532,"Yes",$A$2:$A$532,$A173,$AL$2:$AL$532,$AL173)&gt;1,"Yes","No"),
"No")
)
)
)</f>
      </c>
      <c r="BL173">
        <f>IF($T173="","",IF((IF(AND($AW173&lt;&gt;"Yes",$AW173&lt;&gt;"N/A"),"Power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",""))="","",LEFT(IF(AND($AW173&lt;&gt;"Yes",$AW173&lt;&gt;"N/A"),"Power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",""),LEN(IF(AND($AW173&lt;&gt;"Yes",$AW173&lt;&gt;"N/A"),"Power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",""))-2)))</f>
      </c>
      <c r="BM173">
        <f>IF($T173="","",IF($BL173="","Yes","Blocked"))</f>
      </c>
      <c r="BP173">
        <f>IF($BO173="","",IFERROR(VLOOKUP($BO173,'01_Warehouse_Ledger'!$A:$N,4,FALSE),""))</f>
      </c>
      <c r="BQ173">
        <f>IF($BO173="","",IFERROR(VLOOKUP($BO173,'01_Warehouse_Ledger'!$A:$N,5,FALSE),""))</f>
      </c>
      <c r="BR173">
        <f>IF($BO173="","",IFERROR(VLOOKUP($BO173,'01_Warehouse_Ledger'!$A:$N,13,FALSE),""))</f>
      </c>
    </row>
    <row r="174">
      <c r="D174">
        <f>IF($B174&lt;&gt;"Yes","",IF($C174="No","Yes",IF($C174="Yes","No","")))</f>
      </c>
      <c r="E174">
        <f>IF($A174="","",IF($A174="Neuron",IF(OR(AND($S174&lt;&gt;"",LOWER(TRIM($S174))&lt;&gt;"n/a",COUNTIF($S$2:$S$532,$S174)&gt;1),AND($T174&lt;&gt;"",LOWER(TRIM($T174))&lt;&gt;"n/a",COUNTIF($T$2:$T$532,$T174)&gt;1),AND($W174&lt;&gt;"",LOWER(TRIM($W174))&lt;&gt;"n/a",COUNTIF($W$2:$W$532,$W174)&gt;1)),"Yes","No"),IF($A174="Cybernet",IF(OR(AND($Y174&lt;&gt;"",LOWER(TRIM($Y174))&lt;&gt;"n/a",COUNTIF($Y$2:$Y$532,$Y174)&gt;1),AND($Z174&lt;&gt;"",LOWER(TRIM($Z174))&lt;&gt;"n/a",COUNTIF($Z$2:$Z$532,$Z174)&gt;1)),"Yes","No"),IF(AND($AL174&lt;&gt;"",LOWER(TRIM($AL174))&lt;&gt;"n/a",COUNTIF($AL$2:$AL$532,$AL174)&gt;1),"Yes","No"))))</f>
      </c>
      <c r="F174">
        <f>IF($B174&lt;&gt;"Yes","",
IF($A174="Neuron",
IF(OR(
AND($S174&lt;&gt;"",LOWER(TRIM($S174))&lt;&gt;"n/a",COUNTIFS($B$2:$B$532,"Yes",$A$2:$A$532,"Neuron",$S$2:$S$532,$S174)&gt;1),
AND($T174&lt;&gt;"",LOWER(TRIM($T174))&lt;&gt;"n/a",COUNTIFS($B$2:$B$532,"Yes",$A$2:$A$532,"Neuron",$T$2:$T$532,$T174)&gt;1),
AND($W174&lt;&gt;"",LOWER(TRIM($W174))&lt;&gt;"n/a",COUNTIFS($B$2:$B$532,"Yes",$A$2:$A$532,"Neuron",$W$2:$W$532,$W174)&gt;1)
),"Yes","No"),
IF($A174="Cybernet",
IF(OR(
AND($Y174&lt;&gt;"",LOWER(TRIM($Y174))&lt;&gt;"n/a",COUNTIFS($B$2:$B$532,"Yes",$A$2:$A$532,"Cybernet",$Y$2:$Y$532,$Y174)&gt;1),
AND($Z174&lt;&gt;"",LOWER(TRIM($Z174))&lt;&gt;"n/a",COUNTIFS($B$2:$B$532,"Yes",$A$2:$A$532,"Cybernet",$Z$2:$Z$532,$Z174)&gt;1)
),"Yes","No"),
IF(AND($AL174&lt;&gt;"",LOWER(TRIM($AL174))&lt;&gt;"n/a"),
IF(COUNTIFS($B$2:$B$532,"Yes",$A$2:$A$532,$A174,$AL$2:$AL$532,$AL174)&gt;1,"Yes","No"),
"No")
)
)
)</f>
      </c>
      <c r="BL174">
        <f>IF($T174="","",IF((IF(AND($AW174&lt;&gt;"Yes",$AW174&lt;&gt;"N/A"),"Power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",""))="","",LEFT(IF(AND($AW174&lt;&gt;"Yes",$AW174&lt;&gt;"N/A"),"Power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",""),LEN(IF(AND($AW174&lt;&gt;"Yes",$AW174&lt;&gt;"N/A"),"Power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",""))-2)))</f>
      </c>
      <c r="BM174">
        <f>IF($T174="","",IF($BL174="","Yes","Blocked"))</f>
      </c>
      <c r="BP174">
        <f>IF($BO174="","",IFERROR(VLOOKUP($BO174,'01_Warehouse_Ledger'!$A:$N,4,FALSE),""))</f>
      </c>
      <c r="BQ174">
        <f>IF($BO174="","",IFERROR(VLOOKUP($BO174,'01_Warehouse_Ledger'!$A:$N,5,FALSE),""))</f>
      </c>
      <c r="BR174">
        <f>IF($BO174="","",IFERROR(VLOOKUP($BO174,'01_Warehouse_Ledger'!$A:$N,13,FALSE),""))</f>
      </c>
    </row>
    <row r="175">
      <c r="D175">
        <f>IF($B175&lt;&gt;"Yes","",IF($C175="No","Yes",IF($C175="Yes","No","")))</f>
      </c>
      <c r="E175">
        <f>IF($A175="","",IF($A175="Neuron",IF(OR(AND($S175&lt;&gt;"",LOWER(TRIM($S175))&lt;&gt;"n/a",COUNTIF($S$2:$S$532,$S175)&gt;1),AND($T175&lt;&gt;"",LOWER(TRIM($T175))&lt;&gt;"n/a",COUNTIF($T$2:$T$532,$T175)&gt;1),AND($W175&lt;&gt;"",LOWER(TRIM($W175))&lt;&gt;"n/a",COUNTIF($W$2:$W$532,$W175)&gt;1)),"Yes","No"),IF($A175="Cybernet",IF(OR(AND($Y175&lt;&gt;"",LOWER(TRIM($Y175))&lt;&gt;"n/a",COUNTIF($Y$2:$Y$532,$Y175)&gt;1),AND($Z175&lt;&gt;"",LOWER(TRIM($Z175))&lt;&gt;"n/a",COUNTIF($Z$2:$Z$532,$Z175)&gt;1)),"Yes","No"),IF(AND($AL175&lt;&gt;"",LOWER(TRIM($AL175))&lt;&gt;"n/a",COUNTIF($AL$2:$AL$532,$AL175)&gt;1),"Yes","No"))))</f>
      </c>
      <c r="F175">
        <f>IF($B175&lt;&gt;"Yes","",
IF($A175="Neuron",
IF(OR(
AND($S175&lt;&gt;"",LOWER(TRIM($S175))&lt;&gt;"n/a",COUNTIFS($B$2:$B$532,"Yes",$A$2:$A$532,"Neuron",$S$2:$S$532,$S175)&gt;1),
AND($T175&lt;&gt;"",LOWER(TRIM($T175))&lt;&gt;"n/a",COUNTIFS($B$2:$B$532,"Yes",$A$2:$A$532,"Neuron",$T$2:$T$532,$T175)&gt;1),
AND($W175&lt;&gt;"",LOWER(TRIM($W175))&lt;&gt;"n/a",COUNTIFS($B$2:$B$532,"Yes",$A$2:$A$532,"Neuron",$W$2:$W$532,$W175)&gt;1)
),"Yes","No"),
IF($A175="Cybernet",
IF(OR(
AND($Y175&lt;&gt;"",LOWER(TRIM($Y175))&lt;&gt;"n/a",COUNTIFS($B$2:$B$532,"Yes",$A$2:$A$532,"Cybernet",$Y$2:$Y$532,$Y175)&gt;1),
AND($Z175&lt;&gt;"",LOWER(TRIM($Z175))&lt;&gt;"n/a",COUNTIFS($B$2:$B$532,"Yes",$A$2:$A$532,"Cybernet",$Z$2:$Z$532,$Z175)&gt;1)
),"Yes","No"),
IF(AND($AL175&lt;&gt;"",LOWER(TRIM($AL175))&lt;&gt;"n/a"),
IF(COUNTIFS($B$2:$B$532,"Yes",$A$2:$A$532,$A175,$AL$2:$AL$532,$AL175)&gt;1,"Yes","No"),
"No")
)
)
)</f>
      </c>
      <c r="BL175">
        <f>IF($T175="","",IF((IF(AND($AW175&lt;&gt;"Yes",$AW175&lt;&gt;"N/A"),"Power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",""))="","",LEFT(IF(AND($AW175&lt;&gt;"Yes",$AW175&lt;&gt;"N/A"),"Power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",""),LEN(IF(AND($AW175&lt;&gt;"Yes",$AW175&lt;&gt;"N/A"),"Power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",""))-2)))</f>
      </c>
      <c r="BM175">
        <f>IF($T175="","",IF($BL175="","Yes","Blocked"))</f>
      </c>
      <c r="BP175">
        <f>IF($BO175="","",IFERROR(VLOOKUP($BO175,'01_Warehouse_Ledger'!$A:$N,4,FALSE),""))</f>
      </c>
      <c r="BQ175">
        <f>IF($BO175="","",IFERROR(VLOOKUP($BO175,'01_Warehouse_Ledger'!$A:$N,5,FALSE),""))</f>
      </c>
      <c r="BR175">
        <f>IF($BO175="","",IFERROR(VLOOKUP($BO175,'01_Warehouse_Ledger'!$A:$N,13,FALSE),""))</f>
      </c>
    </row>
    <row r="176">
      <c r="D176">
        <f>IF($B176&lt;&gt;"Yes","",IF($C176="No","Yes",IF($C176="Yes","No","")))</f>
      </c>
      <c r="E176">
        <f>IF($A176="","",IF($A176="Neuron",IF(OR(AND($S176&lt;&gt;"",LOWER(TRIM($S176))&lt;&gt;"n/a",COUNTIF($S$2:$S$532,$S176)&gt;1),AND($T176&lt;&gt;"",LOWER(TRIM($T176))&lt;&gt;"n/a",COUNTIF($T$2:$T$532,$T176)&gt;1),AND($W176&lt;&gt;"",LOWER(TRIM($W176))&lt;&gt;"n/a",COUNTIF($W$2:$W$532,$W176)&gt;1)),"Yes","No"),IF($A176="Cybernet",IF(OR(AND($Y176&lt;&gt;"",LOWER(TRIM($Y176))&lt;&gt;"n/a",COUNTIF($Y$2:$Y$532,$Y176)&gt;1),AND($Z176&lt;&gt;"",LOWER(TRIM($Z176))&lt;&gt;"n/a",COUNTIF($Z$2:$Z$532,$Z176)&gt;1)),"Yes","No"),IF(AND($AL176&lt;&gt;"",LOWER(TRIM($AL176))&lt;&gt;"n/a",COUNTIF($AL$2:$AL$532,$AL176)&gt;1),"Yes","No"))))</f>
      </c>
      <c r="F176">
        <f>IF($B176&lt;&gt;"Yes","",
IF($A176="Neuron",
IF(OR(
AND($S176&lt;&gt;"",LOWER(TRIM($S176))&lt;&gt;"n/a",COUNTIFS($B$2:$B$532,"Yes",$A$2:$A$532,"Neuron",$S$2:$S$532,$S176)&gt;1),
AND($T176&lt;&gt;"",LOWER(TRIM($T176))&lt;&gt;"n/a",COUNTIFS($B$2:$B$532,"Yes",$A$2:$A$532,"Neuron",$T$2:$T$532,$T176)&gt;1),
AND($W176&lt;&gt;"",LOWER(TRIM($W176))&lt;&gt;"n/a",COUNTIFS($B$2:$B$532,"Yes",$A$2:$A$532,"Neuron",$W$2:$W$532,$W176)&gt;1)
),"Yes","No"),
IF($A176="Cybernet",
IF(OR(
AND($Y176&lt;&gt;"",LOWER(TRIM($Y176))&lt;&gt;"n/a",COUNTIFS($B$2:$B$532,"Yes",$A$2:$A$532,"Cybernet",$Y$2:$Y$532,$Y176)&gt;1),
AND($Z176&lt;&gt;"",LOWER(TRIM($Z176))&lt;&gt;"n/a",COUNTIFS($B$2:$B$532,"Yes",$A$2:$A$532,"Cybernet",$Z$2:$Z$532,$Z176)&gt;1)
),"Yes","No"),
IF(AND($AL176&lt;&gt;"",LOWER(TRIM($AL176))&lt;&gt;"n/a"),
IF(COUNTIFS($B$2:$B$532,"Yes",$A$2:$A$532,$A176,$AL$2:$AL$532,$AL176)&gt;1,"Yes","No"),
"No")
)
)
)</f>
      </c>
      <c r="BL176">
        <f>IF($T176="","",IF((IF(AND($AW176&lt;&gt;"Yes",$AW176&lt;&gt;"N/A"),"Power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",""))="","",LEFT(IF(AND($AW176&lt;&gt;"Yes",$AW176&lt;&gt;"N/A"),"Power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",""),LEN(IF(AND($AW176&lt;&gt;"Yes",$AW176&lt;&gt;"N/A"),"Power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",""))-2)))</f>
      </c>
      <c r="BM176">
        <f>IF($T176="","",IF($BL176="","Yes","Blocked"))</f>
      </c>
      <c r="BP176">
        <f>IF($BO176="","",IFERROR(VLOOKUP($BO176,'01_Warehouse_Ledger'!$A:$N,4,FALSE),""))</f>
      </c>
      <c r="BQ176">
        <f>IF($BO176="","",IFERROR(VLOOKUP($BO176,'01_Warehouse_Ledger'!$A:$N,5,FALSE),""))</f>
      </c>
      <c r="BR176">
        <f>IF($BO176="","",IFERROR(VLOOKUP($BO176,'01_Warehouse_Ledger'!$A:$N,13,FALSE),""))</f>
      </c>
    </row>
    <row r="177">
      <c r="D177">
        <f>IF($B177&lt;&gt;"Yes","",IF($C177="No","Yes",IF($C177="Yes","No","")))</f>
      </c>
      <c r="E177">
        <f>IF($A177="","",IF($A177="Neuron",IF(OR(AND($S177&lt;&gt;"",LOWER(TRIM($S177))&lt;&gt;"n/a",COUNTIF($S$2:$S$532,$S177)&gt;1),AND($T177&lt;&gt;"",LOWER(TRIM($T177))&lt;&gt;"n/a",COUNTIF($T$2:$T$532,$T177)&gt;1),AND($W177&lt;&gt;"",LOWER(TRIM($W177))&lt;&gt;"n/a",COUNTIF($W$2:$W$532,$W177)&gt;1)),"Yes","No"),IF($A177="Cybernet",IF(OR(AND($Y177&lt;&gt;"",LOWER(TRIM($Y177))&lt;&gt;"n/a",COUNTIF($Y$2:$Y$532,$Y177)&gt;1),AND($Z177&lt;&gt;"",LOWER(TRIM($Z177))&lt;&gt;"n/a",COUNTIF($Z$2:$Z$532,$Z177)&gt;1)),"Yes","No"),IF(AND($AL177&lt;&gt;"",LOWER(TRIM($AL177))&lt;&gt;"n/a",COUNTIF($AL$2:$AL$532,$AL177)&gt;1),"Yes","No"))))</f>
      </c>
      <c r="F177">
        <f>IF($B177&lt;&gt;"Yes","",
IF($A177="Neuron",
IF(OR(
AND($S177&lt;&gt;"",LOWER(TRIM($S177))&lt;&gt;"n/a",COUNTIFS($B$2:$B$532,"Yes",$A$2:$A$532,"Neuron",$S$2:$S$532,$S177)&gt;1),
AND($T177&lt;&gt;"",LOWER(TRIM($T177))&lt;&gt;"n/a",COUNTIFS($B$2:$B$532,"Yes",$A$2:$A$532,"Neuron",$T$2:$T$532,$T177)&gt;1),
AND($W177&lt;&gt;"",LOWER(TRIM($W177))&lt;&gt;"n/a",COUNTIFS($B$2:$B$532,"Yes",$A$2:$A$532,"Neuron",$W$2:$W$532,$W177)&gt;1)
),"Yes","No"),
IF($A177="Cybernet",
IF(OR(
AND($Y177&lt;&gt;"",LOWER(TRIM($Y177))&lt;&gt;"n/a",COUNTIFS($B$2:$B$532,"Yes",$A$2:$A$532,"Cybernet",$Y$2:$Y$532,$Y177)&gt;1),
AND($Z177&lt;&gt;"",LOWER(TRIM($Z177))&lt;&gt;"n/a",COUNTIFS($B$2:$B$532,"Yes",$A$2:$A$532,"Cybernet",$Z$2:$Z$532,$Z177)&gt;1)
),"Yes","No"),
IF(AND($AL177&lt;&gt;"",LOWER(TRIM($AL177))&lt;&gt;"n/a"),
IF(COUNTIFS($B$2:$B$532,"Yes",$A$2:$A$532,$A177,$AL$2:$AL$532,$AL177)&gt;1,"Yes","No"),
"No")
)
)
)</f>
      </c>
      <c r="BL177">
        <f>IF($T177="","",IF((IF(AND($AW177&lt;&gt;"Yes",$AW177&lt;&gt;"N/A"),"Power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",""))="","",LEFT(IF(AND($AW177&lt;&gt;"Yes",$AW177&lt;&gt;"N/A"),"Power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",""),LEN(IF(AND($AW177&lt;&gt;"Yes",$AW177&lt;&gt;"N/A"),"Power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",""))-2)))</f>
      </c>
      <c r="BM177">
        <f>IF($T177="","",IF($BL177="","Yes","Blocked"))</f>
      </c>
      <c r="BP177">
        <f>IF($BO177="","",IFERROR(VLOOKUP($BO177,'01_Warehouse_Ledger'!$A:$N,4,FALSE),""))</f>
      </c>
      <c r="BQ177">
        <f>IF($BO177="","",IFERROR(VLOOKUP($BO177,'01_Warehouse_Ledger'!$A:$N,5,FALSE),""))</f>
      </c>
      <c r="BR177">
        <f>IF($BO177="","",IFERROR(VLOOKUP($BO177,'01_Warehouse_Ledger'!$A:$N,13,FALSE),""))</f>
      </c>
    </row>
    <row r="178">
      <c r="D178">
        <f>IF($B178&lt;&gt;"Yes","",IF($C178="No","Yes",IF($C178="Yes","No","")))</f>
      </c>
      <c r="E178">
        <f>IF($A178="","",IF($A178="Neuron",IF(OR(AND($S178&lt;&gt;"",LOWER(TRIM($S178))&lt;&gt;"n/a",COUNTIF($S$2:$S$532,$S178)&gt;1),AND($T178&lt;&gt;"",LOWER(TRIM($T178))&lt;&gt;"n/a",COUNTIF($T$2:$T$532,$T178)&gt;1),AND($W178&lt;&gt;"",LOWER(TRIM($W178))&lt;&gt;"n/a",COUNTIF($W$2:$W$532,$W178)&gt;1)),"Yes","No"),IF($A178="Cybernet",IF(OR(AND($Y178&lt;&gt;"",LOWER(TRIM($Y178))&lt;&gt;"n/a",COUNTIF($Y$2:$Y$532,$Y178)&gt;1),AND($Z178&lt;&gt;"",LOWER(TRIM($Z178))&lt;&gt;"n/a",COUNTIF($Z$2:$Z$532,$Z178)&gt;1)),"Yes","No"),IF(AND($AL178&lt;&gt;"",LOWER(TRIM($AL178))&lt;&gt;"n/a",COUNTIF($AL$2:$AL$532,$AL178)&gt;1),"Yes","No"))))</f>
      </c>
      <c r="F178">
        <f>IF($B178&lt;&gt;"Yes","",
IF($A178="Neuron",
IF(OR(
AND($S178&lt;&gt;"",LOWER(TRIM($S178))&lt;&gt;"n/a",COUNTIFS($B$2:$B$532,"Yes",$A$2:$A$532,"Neuron",$S$2:$S$532,$S178)&gt;1),
AND($T178&lt;&gt;"",LOWER(TRIM($T178))&lt;&gt;"n/a",COUNTIFS($B$2:$B$532,"Yes",$A$2:$A$532,"Neuron",$T$2:$T$532,$T178)&gt;1),
AND($W178&lt;&gt;"",LOWER(TRIM($W178))&lt;&gt;"n/a",COUNTIFS($B$2:$B$532,"Yes",$A$2:$A$532,"Neuron",$W$2:$W$532,$W178)&gt;1)
),"Yes","No"),
IF($A178="Cybernet",
IF(OR(
AND($Y178&lt;&gt;"",LOWER(TRIM($Y178))&lt;&gt;"n/a",COUNTIFS($B$2:$B$532,"Yes",$A$2:$A$532,"Cybernet",$Y$2:$Y$532,$Y178)&gt;1),
AND($Z178&lt;&gt;"",LOWER(TRIM($Z178))&lt;&gt;"n/a",COUNTIFS($B$2:$B$532,"Yes",$A$2:$A$532,"Cybernet",$Z$2:$Z$532,$Z178)&gt;1)
),"Yes","No"),
IF(AND($AL178&lt;&gt;"",LOWER(TRIM($AL178))&lt;&gt;"n/a"),
IF(COUNTIFS($B$2:$B$532,"Yes",$A$2:$A$532,$A178,$AL$2:$AL$532,$AL178)&gt;1,"Yes","No"),
"No")
)
)
)</f>
      </c>
      <c r="BL178">
        <f>IF($T178="","",IF((IF(AND($AW178&lt;&gt;"Yes",$AW178&lt;&gt;"N/A"),"Power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",""))="","",LEFT(IF(AND($AW178&lt;&gt;"Yes",$AW178&lt;&gt;"N/A"),"Power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",""),LEN(IF(AND($AW178&lt;&gt;"Yes",$AW178&lt;&gt;"N/A"),"Power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",""))-2)))</f>
      </c>
      <c r="BM178">
        <f>IF($T178="","",IF($BL178="","Yes","Blocked"))</f>
      </c>
      <c r="BP178">
        <f>IF($BO178="","",IFERROR(VLOOKUP($BO178,'01_Warehouse_Ledger'!$A:$N,4,FALSE),""))</f>
      </c>
      <c r="BQ178">
        <f>IF($BO178="","",IFERROR(VLOOKUP($BO178,'01_Warehouse_Ledger'!$A:$N,5,FALSE),""))</f>
      </c>
      <c r="BR178">
        <f>IF($BO178="","",IFERROR(VLOOKUP($BO178,'01_Warehouse_Ledger'!$A:$N,13,FALSE),""))</f>
      </c>
    </row>
    <row r="179">
      <c r="D179">
        <f>IF($B179&lt;&gt;"Yes","",IF($C179="No","Yes",IF($C179="Yes","No","")))</f>
      </c>
      <c r="E179">
        <f>IF($A179="","",IF($A179="Neuron",IF(OR(AND($S179&lt;&gt;"",LOWER(TRIM($S179))&lt;&gt;"n/a",COUNTIF($S$2:$S$532,$S179)&gt;1),AND($T179&lt;&gt;"",LOWER(TRIM($T179))&lt;&gt;"n/a",COUNTIF($T$2:$T$532,$T179)&gt;1),AND($W179&lt;&gt;"",LOWER(TRIM($W179))&lt;&gt;"n/a",COUNTIF($W$2:$W$532,$W179)&gt;1)),"Yes","No"),IF($A179="Cybernet",IF(OR(AND($Y179&lt;&gt;"",LOWER(TRIM($Y179))&lt;&gt;"n/a",COUNTIF($Y$2:$Y$532,$Y179)&gt;1),AND($Z179&lt;&gt;"",LOWER(TRIM($Z179))&lt;&gt;"n/a",COUNTIF($Z$2:$Z$532,$Z179)&gt;1)),"Yes","No"),IF(AND($AL179&lt;&gt;"",LOWER(TRIM($AL179))&lt;&gt;"n/a",COUNTIF($AL$2:$AL$532,$AL179)&gt;1),"Yes","No"))))</f>
      </c>
      <c r="F179">
        <f>IF($B179&lt;&gt;"Yes","",
IF($A179="Neuron",
IF(OR(
AND($S179&lt;&gt;"",LOWER(TRIM($S179))&lt;&gt;"n/a",COUNTIFS($B$2:$B$532,"Yes",$A$2:$A$532,"Neuron",$S$2:$S$532,$S179)&gt;1),
AND($T179&lt;&gt;"",LOWER(TRIM($T179))&lt;&gt;"n/a",COUNTIFS($B$2:$B$532,"Yes",$A$2:$A$532,"Neuron",$T$2:$T$532,$T179)&gt;1),
AND($W179&lt;&gt;"",LOWER(TRIM($W179))&lt;&gt;"n/a",COUNTIFS($B$2:$B$532,"Yes",$A$2:$A$532,"Neuron",$W$2:$W$532,$W179)&gt;1)
),"Yes","No"),
IF($A179="Cybernet",
IF(OR(
AND($Y179&lt;&gt;"",LOWER(TRIM($Y179))&lt;&gt;"n/a",COUNTIFS($B$2:$B$532,"Yes",$A$2:$A$532,"Cybernet",$Y$2:$Y$532,$Y179)&gt;1),
AND($Z179&lt;&gt;"",LOWER(TRIM($Z179))&lt;&gt;"n/a",COUNTIFS($B$2:$B$532,"Yes",$A$2:$A$532,"Cybernet",$Z$2:$Z$532,$Z179)&gt;1)
),"Yes","No"),
IF(AND($AL179&lt;&gt;"",LOWER(TRIM($AL179))&lt;&gt;"n/a"),
IF(COUNTIFS($B$2:$B$532,"Yes",$A$2:$A$532,$A179,$AL$2:$AL$532,$AL179)&gt;1,"Yes","No"),
"No")
)
)
)</f>
      </c>
      <c r="BL179">
        <f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</c>
      <c r="BM179">
        <f>IF($T179="","",IF($BL179="","Yes","Blocked"))</f>
      </c>
      <c r="BP179">
        <f>IF($BO179="","",IFERROR(VLOOKUP($BO179,'01_Warehouse_Ledger'!$A:$N,4,FALSE),""))</f>
      </c>
      <c r="BQ179">
        <f>IF($BO179="","",IFERROR(VLOOKUP($BO179,'01_Warehouse_Ledger'!$A:$N,5,FALSE),""))</f>
      </c>
      <c r="BR179">
        <f>IF($BO179="","",IFERROR(VLOOKUP($BO179,'01_Warehouse_Ledger'!$A:$N,13,FALSE),""))</f>
      </c>
    </row>
    <row r="180">
      <c r="D180">
        <f>IF($B180&lt;&gt;"Yes","",IF($C180="No","Yes",IF($C180="Yes","No","")))</f>
      </c>
      <c r="E180">
        <f>IF($A180="","",IF($A180="Neuron",IF(OR(AND($S180&lt;&gt;"",LOWER(TRIM($S180))&lt;&gt;"n/a",COUNTIF($S$2:$S$532,$S180)&gt;1),AND($T180&lt;&gt;"",LOWER(TRIM($T180))&lt;&gt;"n/a",COUNTIF($T$2:$T$532,$T180)&gt;1),AND($W180&lt;&gt;"",LOWER(TRIM($W180))&lt;&gt;"n/a",COUNTIF($W$2:$W$532,$W180)&gt;1)),"Yes","No"),IF($A180="Cybernet",IF(OR(AND($Y180&lt;&gt;"",LOWER(TRIM($Y180))&lt;&gt;"n/a",COUNTIF($Y$2:$Y$532,$Y180)&gt;1),AND($Z180&lt;&gt;"",LOWER(TRIM($Z180))&lt;&gt;"n/a",COUNTIF($Z$2:$Z$532,$Z180)&gt;1)),"Yes","No"),IF(AND($AL180&lt;&gt;"",LOWER(TRIM($AL180))&lt;&gt;"n/a",COUNTIF($AL$2:$AL$532,$AL180)&gt;1),"Yes","No"))))</f>
      </c>
      <c r="F180">
        <f>IF($B180&lt;&gt;"Yes","",
IF($A180="Neuron",
IF(OR(
AND($S180&lt;&gt;"",LOWER(TRIM($S180))&lt;&gt;"n/a",COUNTIFS($B$2:$B$532,"Yes",$A$2:$A$532,"Neuron",$S$2:$S$532,$S180)&gt;1),
AND($T180&lt;&gt;"",LOWER(TRIM($T180))&lt;&gt;"n/a",COUNTIFS($B$2:$B$532,"Yes",$A$2:$A$532,"Neuron",$T$2:$T$532,$T180)&gt;1),
AND($W180&lt;&gt;"",LOWER(TRIM($W180))&lt;&gt;"n/a",COUNTIFS($B$2:$B$532,"Yes",$A$2:$A$532,"Neuron",$W$2:$W$532,$W180)&gt;1)
),"Yes","No"),
IF($A180="Cybernet",
IF(OR(
AND($Y180&lt;&gt;"",LOWER(TRIM($Y180))&lt;&gt;"n/a",COUNTIFS($B$2:$B$532,"Yes",$A$2:$A$532,"Cybernet",$Y$2:$Y$532,$Y180)&gt;1),
AND($Z180&lt;&gt;"",LOWER(TRIM($Z180))&lt;&gt;"n/a",COUNTIFS($B$2:$B$532,"Yes",$A$2:$A$532,"Cybernet",$Z$2:$Z$532,$Z180)&gt;1)
),"Yes","No"),
IF(AND($AL180&lt;&gt;"",LOWER(TRIM($AL180))&lt;&gt;"n/a"),
IF(COUNTIFS($B$2:$B$532,"Yes",$A$2:$A$532,$A180,$AL$2:$AL$532,$AL180)&gt;1,"Yes","No"),
"No")
)
)
)</f>
      </c>
      <c r="BL180">
        <f>IF($T180="","",IF((IF(AND($AW180&lt;&gt;"Yes",$AW180&lt;&gt;"N/A"),"Power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",""))="","",LEFT(IF(AND($AW180&lt;&gt;"Yes",$AW180&lt;&gt;"N/A"),"Power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",""),LEN(IF(AND($AW180&lt;&gt;"Yes",$AW180&lt;&gt;"N/A"),"Power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",""))-2)))</f>
      </c>
      <c r="BM180">
        <f>IF($T180="","",IF($BL180="","Yes","Blocked"))</f>
      </c>
      <c r="BP180">
        <f>IF($BO180="","",IFERROR(VLOOKUP($BO180,'01_Warehouse_Ledger'!$A:$N,4,FALSE),""))</f>
      </c>
      <c r="BQ180">
        <f>IF($BO180="","",IFERROR(VLOOKUP($BO180,'01_Warehouse_Ledger'!$A:$N,5,FALSE),""))</f>
      </c>
      <c r="BR180">
        <f>IF($BO180="","",IFERROR(VLOOKUP($BO180,'01_Warehouse_Ledger'!$A:$N,13,FALSE),""))</f>
      </c>
    </row>
    <row r="181">
      <c r="D181">
        <f>IF($B181&lt;&gt;"Yes","",IF($C181="No","Yes",IF($C181="Yes","No","")))</f>
      </c>
      <c r="E181">
        <f>IF($A181="","",IF($A181="Neuron",IF(OR(AND($S181&lt;&gt;"",LOWER(TRIM($S181))&lt;&gt;"n/a",COUNTIF($S$2:$S$532,$S181)&gt;1),AND($T181&lt;&gt;"",LOWER(TRIM($T181))&lt;&gt;"n/a",COUNTIF($T$2:$T$532,$T181)&gt;1),AND($W181&lt;&gt;"",LOWER(TRIM($W181))&lt;&gt;"n/a",COUNTIF($W$2:$W$532,$W181)&gt;1)),"Yes","No"),IF($A181="Cybernet",IF(OR(AND($Y181&lt;&gt;"",LOWER(TRIM($Y181))&lt;&gt;"n/a",COUNTIF($Y$2:$Y$532,$Y181)&gt;1),AND($Z181&lt;&gt;"",LOWER(TRIM($Z181))&lt;&gt;"n/a",COUNTIF($Z$2:$Z$532,$Z181)&gt;1)),"Yes","No"),IF(AND($AL181&lt;&gt;"",LOWER(TRIM($AL181))&lt;&gt;"n/a",COUNTIF($AL$2:$AL$532,$AL181)&gt;1),"Yes","No"))))</f>
      </c>
      <c r="F181">
        <f>IF($B181&lt;&gt;"Yes","",
IF($A181="Neuron",
IF(OR(
AND($S181&lt;&gt;"",LOWER(TRIM($S181))&lt;&gt;"n/a",COUNTIFS($B$2:$B$532,"Yes",$A$2:$A$532,"Neuron",$S$2:$S$532,$S181)&gt;1),
AND($T181&lt;&gt;"",LOWER(TRIM($T181))&lt;&gt;"n/a",COUNTIFS($B$2:$B$532,"Yes",$A$2:$A$532,"Neuron",$T$2:$T$532,$T181)&gt;1),
AND($W181&lt;&gt;"",LOWER(TRIM($W181))&lt;&gt;"n/a",COUNTIFS($B$2:$B$532,"Yes",$A$2:$A$532,"Neuron",$W$2:$W$532,$W181)&gt;1)
),"Yes","No"),
IF($A181="Cybernet",
IF(OR(
AND($Y181&lt;&gt;"",LOWER(TRIM($Y181))&lt;&gt;"n/a",COUNTIFS($B$2:$B$532,"Yes",$A$2:$A$532,"Cybernet",$Y$2:$Y$532,$Y181)&gt;1),
AND($Z181&lt;&gt;"",LOWER(TRIM($Z181))&lt;&gt;"n/a",COUNTIFS($B$2:$B$532,"Yes",$A$2:$A$532,"Cybernet",$Z$2:$Z$532,$Z181)&gt;1)
),"Yes","No"),
IF(AND($AL181&lt;&gt;"",LOWER(TRIM($AL181))&lt;&gt;"n/a"),
IF(COUNTIFS($B$2:$B$532,"Yes",$A$2:$A$532,$A181,$AL$2:$AL$532,$AL181)&gt;1,"Yes","No"),
"No")
)
)
)</f>
      </c>
      <c r="BL181">
        <f>IF($T181="","",IF((IF(AND($AW181&lt;&gt;"Yes",$AW181&lt;&gt;"N/A"),"Power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",""))="","",LEFT(IF(AND($AW181&lt;&gt;"Yes",$AW181&lt;&gt;"N/A"),"Power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",""),LEN(IF(AND($AW181&lt;&gt;"Yes",$AW181&lt;&gt;"N/A"),"Power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",""))-2)))</f>
      </c>
      <c r="BM181">
        <f>IF($T181="","",IF($BL181="","Yes","Blocked"))</f>
      </c>
      <c r="BP181">
        <f>IF($BO181="","",IFERROR(VLOOKUP($BO181,'01_Warehouse_Ledger'!$A:$N,4,FALSE),""))</f>
      </c>
      <c r="BQ181">
        <f>IF($BO181="","",IFERROR(VLOOKUP($BO181,'01_Warehouse_Ledger'!$A:$N,5,FALSE),""))</f>
      </c>
      <c r="BR181">
        <f>IF($BO181="","",IFERROR(VLOOKUP($BO181,'01_Warehouse_Ledger'!$A:$N,13,FALSE),""))</f>
      </c>
    </row>
    <row r="182">
      <c r="D182">
        <f>IF($B182&lt;&gt;"Yes","",IF($C182="No","Yes",IF($C182="Yes","No","")))</f>
      </c>
      <c r="E182">
        <f>IF($A182="","",IF($A182="Neuron",IF(OR(AND($S182&lt;&gt;"",LOWER(TRIM($S182))&lt;&gt;"n/a",COUNTIF($S$2:$S$532,$S182)&gt;1),AND($T182&lt;&gt;"",LOWER(TRIM($T182))&lt;&gt;"n/a",COUNTIF($T$2:$T$532,$T182)&gt;1),AND($W182&lt;&gt;"",LOWER(TRIM($W182))&lt;&gt;"n/a",COUNTIF($W$2:$W$532,$W182)&gt;1)),"Yes","No"),IF($A182="Cybernet",IF(OR(AND($Y182&lt;&gt;"",LOWER(TRIM($Y182))&lt;&gt;"n/a",COUNTIF($Y$2:$Y$532,$Y182)&gt;1),AND($Z182&lt;&gt;"",LOWER(TRIM($Z182))&lt;&gt;"n/a",COUNTIF($Z$2:$Z$532,$Z182)&gt;1)),"Yes","No"),IF(AND($AL182&lt;&gt;"",LOWER(TRIM($AL182))&lt;&gt;"n/a",COUNTIF($AL$2:$AL$532,$AL182)&gt;1),"Yes","No"))))</f>
      </c>
      <c r="F182">
        <f>IF($B182&lt;&gt;"Yes","",
IF($A182="Neuron",
IF(OR(
AND($S182&lt;&gt;"",LOWER(TRIM($S182))&lt;&gt;"n/a",COUNTIFS($B$2:$B$532,"Yes",$A$2:$A$532,"Neuron",$S$2:$S$532,$S182)&gt;1),
AND($T182&lt;&gt;"",LOWER(TRIM($T182))&lt;&gt;"n/a",COUNTIFS($B$2:$B$532,"Yes",$A$2:$A$532,"Neuron",$T$2:$T$532,$T182)&gt;1),
AND($W182&lt;&gt;"",LOWER(TRIM($W182))&lt;&gt;"n/a",COUNTIFS($B$2:$B$532,"Yes",$A$2:$A$532,"Neuron",$W$2:$W$532,$W182)&gt;1)
),"Yes","No"),
IF($A182="Cybernet",
IF(OR(
AND($Y182&lt;&gt;"",LOWER(TRIM($Y182))&lt;&gt;"n/a",COUNTIFS($B$2:$B$532,"Yes",$A$2:$A$532,"Cybernet",$Y$2:$Y$532,$Y182)&gt;1),
AND($Z182&lt;&gt;"",LOWER(TRIM($Z182))&lt;&gt;"n/a",COUNTIFS($B$2:$B$532,"Yes",$A$2:$A$532,"Cybernet",$Z$2:$Z$532,$Z182)&gt;1)
),"Yes","No"),
IF(AND($AL182&lt;&gt;"",LOWER(TRIM($AL182))&lt;&gt;"n/a"),
IF(COUNTIFS($B$2:$B$532,"Yes",$A$2:$A$532,$A182,$AL$2:$AL$532,$AL182)&gt;1,"Yes","No"),
"No")
)
)
)</f>
      </c>
      <c r="BL182">
        <f>IF($T182="","",IF((IF(AND($AW182&lt;&gt;"Yes",$AW182&lt;&gt;"N/A"),"Power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",""))="","",LEFT(IF(AND($AW182&lt;&gt;"Yes",$AW182&lt;&gt;"N/A"),"Power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",""),LEN(IF(AND($AW182&lt;&gt;"Yes",$AW182&lt;&gt;"N/A"),"Power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",""))-2)))</f>
      </c>
      <c r="BM182">
        <f>IF($T182="","",IF($BL182="","Yes","Blocked"))</f>
      </c>
      <c r="BP182">
        <f>IF($BO182="","",IFERROR(VLOOKUP($BO182,'01_Warehouse_Ledger'!$A:$N,4,FALSE),""))</f>
      </c>
      <c r="BQ182">
        <f>IF($BO182="","",IFERROR(VLOOKUP($BO182,'01_Warehouse_Ledger'!$A:$N,5,FALSE),""))</f>
      </c>
      <c r="BR182">
        <f>IF($BO182="","",IFERROR(VLOOKUP($BO182,'01_Warehouse_Ledger'!$A:$N,13,FALSE),""))</f>
      </c>
    </row>
    <row r="183">
      <c r="D183">
        <f>IF($B183&lt;&gt;"Yes","",IF($C183="No","Yes",IF($C183="Yes","No","")))</f>
      </c>
      <c r="E183">
        <f>IF($A183="","",IF($A183="Neuron",IF(OR(AND($S183&lt;&gt;"",LOWER(TRIM($S183))&lt;&gt;"n/a",COUNTIF($S$2:$S$532,$S183)&gt;1),AND($T183&lt;&gt;"",LOWER(TRIM($T183))&lt;&gt;"n/a",COUNTIF($T$2:$T$532,$T183)&gt;1),AND($W183&lt;&gt;"",LOWER(TRIM($W183))&lt;&gt;"n/a",COUNTIF($W$2:$W$532,$W183)&gt;1)),"Yes","No"),IF($A183="Cybernet",IF(OR(AND($Y183&lt;&gt;"",LOWER(TRIM($Y183))&lt;&gt;"n/a",COUNTIF($Y$2:$Y$532,$Y183)&gt;1),AND($Z183&lt;&gt;"",LOWER(TRIM($Z183))&lt;&gt;"n/a",COUNTIF($Z$2:$Z$532,$Z183)&gt;1)),"Yes","No"),IF(AND($AL183&lt;&gt;"",LOWER(TRIM($AL183))&lt;&gt;"n/a",COUNTIF($AL$2:$AL$532,$AL183)&gt;1),"Yes","No"))))</f>
      </c>
      <c r="F183">
        <f>IF($B183&lt;&gt;"Yes","",
IF($A183="Neuron",
IF(OR(
AND($S183&lt;&gt;"",LOWER(TRIM($S183))&lt;&gt;"n/a",COUNTIFS($B$2:$B$532,"Yes",$A$2:$A$532,"Neuron",$S$2:$S$532,$S183)&gt;1),
AND($T183&lt;&gt;"",LOWER(TRIM($T183))&lt;&gt;"n/a",COUNTIFS($B$2:$B$532,"Yes",$A$2:$A$532,"Neuron",$T$2:$T$532,$T183)&gt;1),
AND($W183&lt;&gt;"",LOWER(TRIM($W183))&lt;&gt;"n/a",COUNTIFS($B$2:$B$532,"Yes",$A$2:$A$532,"Neuron",$W$2:$W$532,$W183)&gt;1)
),"Yes","No"),
IF($A183="Cybernet",
IF(OR(
AND($Y183&lt;&gt;"",LOWER(TRIM($Y183))&lt;&gt;"n/a",COUNTIFS($B$2:$B$532,"Yes",$A$2:$A$532,"Cybernet",$Y$2:$Y$532,$Y183)&gt;1),
AND($Z183&lt;&gt;"",LOWER(TRIM($Z183))&lt;&gt;"n/a",COUNTIFS($B$2:$B$532,"Yes",$A$2:$A$532,"Cybernet",$Z$2:$Z$532,$Z183)&gt;1)
),"Yes","No"),
IF(AND($AL183&lt;&gt;"",LOWER(TRIM($AL183))&lt;&gt;"n/a"),
IF(COUNTIFS($B$2:$B$532,"Yes",$A$2:$A$532,$A183,$AL$2:$AL$532,$AL183)&gt;1,"Yes","No"),
"No")
)
)
)</f>
      </c>
      <c r="BL183">
        <f>IF($T183="","",IF((IF(AND($AW183&lt;&gt;"Yes",$AW183&lt;&gt;"N/A"),"Power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",""))="","",LEFT(IF(AND($AW183&lt;&gt;"Yes",$AW183&lt;&gt;"N/A"),"Power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",""),LEN(IF(AND($AW183&lt;&gt;"Yes",$AW183&lt;&gt;"N/A"),"Power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",""))-2)))</f>
      </c>
      <c r="BM183">
        <f>IF($T183="","",IF($BL183="","Yes","Blocked"))</f>
      </c>
      <c r="BP183">
        <f>IF($BO183="","",IFERROR(VLOOKUP($BO183,'01_Warehouse_Ledger'!$A:$N,4,FALSE),""))</f>
      </c>
      <c r="BQ183">
        <f>IF($BO183="","",IFERROR(VLOOKUP($BO183,'01_Warehouse_Ledger'!$A:$N,5,FALSE),""))</f>
      </c>
      <c r="BR183">
        <f>IF($BO183="","",IFERROR(VLOOKUP($BO183,'01_Warehouse_Ledger'!$A:$N,13,FALSE),""))</f>
      </c>
    </row>
    <row r="184">
      <c r="D184">
        <f>IF($B184&lt;&gt;"Yes","",IF($C184="No","Yes",IF($C184="Yes","No","")))</f>
      </c>
      <c r="E184">
        <f>IF($A184="","",IF($A184="Neuron",IF(OR(AND($S184&lt;&gt;"",LOWER(TRIM($S184))&lt;&gt;"n/a",COUNTIF($S$2:$S$532,$S184)&gt;1),AND($T184&lt;&gt;"",LOWER(TRIM($T184))&lt;&gt;"n/a",COUNTIF($T$2:$T$532,$T184)&gt;1),AND($W184&lt;&gt;"",LOWER(TRIM($W184))&lt;&gt;"n/a",COUNTIF($W$2:$W$532,$W184)&gt;1)),"Yes","No"),IF($A184="Cybernet",IF(OR(AND($Y184&lt;&gt;"",LOWER(TRIM($Y184))&lt;&gt;"n/a",COUNTIF($Y$2:$Y$532,$Y184)&gt;1),AND($Z184&lt;&gt;"",LOWER(TRIM($Z184))&lt;&gt;"n/a",COUNTIF($Z$2:$Z$532,$Z184)&gt;1)),"Yes","No"),IF(AND($AL184&lt;&gt;"",LOWER(TRIM($AL184))&lt;&gt;"n/a",COUNTIF($AL$2:$AL$532,$AL184)&gt;1),"Yes","No"))))</f>
      </c>
      <c r="F184">
        <f>IF($B184&lt;&gt;"Yes","",
IF($A184="Neuron",
IF(OR(
AND($S184&lt;&gt;"",LOWER(TRIM($S184))&lt;&gt;"n/a",COUNTIFS($B$2:$B$532,"Yes",$A$2:$A$532,"Neuron",$S$2:$S$532,$S184)&gt;1),
AND($T184&lt;&gt;"",LOWER(TRIM($T184))&lt;&gt;"n/a",COUNTIFS($B$2:$B$532,"Yes",$A$2:$A$532,"Neuron",$T$2:$T$532,$T184)&gt;1),
AND($W184&lt;&gt;"",LOWER(TRIM($W184))&lt;&gt;"n/a",COUNTIFS($B$2:$B$532,"Yes",$A$2:$A$532,"Neuron",$W$2:$W$532,$W184)&gt;1)
),"Yes","No"),
IF($A184="Cybernet",
IF(OR(
AND($Y184&lt;&gt;"",LOWER(TRIM($Y184))&lt;&gt;"n/a",COUNTIFS($B$2:$B$532,"Yes",$A$2:$A$532,"Cybernet",$Y$2:$Y$532,$Y184)&gt;1),
AND($Z184&lt;&gt;"",LOWER(TRIM($Z184))&lt;&gt;"n/a",COUNTIFS($B$2:$B$532,"Yes",$A$2:$A$532,"Cybernet",$Z$2:$Z$532,$Z184)&gt;1)
),"Yes","No"),
IF(AND($AL184&lt;&gt;"",LOWER(TRIM($AL184))&lt;&gt;"n/a"),
IF(COUNTIFS($B$2:$B$532,"Yes",$A$2:$A$532,$A184,$AL$2:$AL$532,$AL184)&gt;1,"Yes","No"),
"No")
)
)
)</f>
      </c>
      <c r="BL184">
        <f>IF($T184="","",IF((IF(AND($AW184&lt;&gt;"Yes",$AW184&lt;&gt;"N/A"),"Power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",""))="","",LEFT(IF(AND($AW184&lt;&gt;"Yes",$AW184&lt;&gt;"N/A"),"Power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",""),LEN(IF(AND($AW184&lt;&gt;"Yes",$AW184&lt;&gt;"N/A"),"Power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",""))-2)))</f>
      </c>
      <c r="BM184">
        <f>IF($T184="","",IF($BL184="","Yes","Blocked"))</f>
      </c>
      <c r="BP184">
        <f>IF($BO184="","",IFERROR(VLOOKUP($BO184,'01_Warehouse_Ledger'!$A:$N,4,FALSE),""))</f>
      </c>
      <c r="BQ184">
        <f>IF($BO184="","",IFERROR(VLOOKUP($BO184,'01_Warehouse_Ledger'!$A:$N,5,FALSE),""))</f>
      </c>
      <c r="BR184">
        <f>IF($BO184="","",IFERROR(VLOOKUP($BO184,'01_Warehouse_Ledger'!$A:$N,13,FALSE),""))</f>
      </c>
    </row>
    <row r="185">
      <c r="D185">
        <f>IF($B185&lt;&gt;"Yes","",IF($C185="No","Yes",IF($C185="Yes","No","")))</f>
      </c>
      <c r="E185">
        <f>IF($A185="","",IF($A185="Neuron",IF(OR(AND($S185&lt;&gt;"",LOWER(TRIM($S185))&lt;&gt;"n/a",COUNTIF($S$2:$S$532,$S185)&gt;1),AND($T185&lt;&gt;"",LOWER(TRIM($T185))&lt;&gt;"n/a",COUNTIF($T$2:$T$532,$T185)&gt;1),AND($W185&lt;&gt;"",LOWER(TRIM($W185))&lt;&gt;"n/a",COUNTIF($W$2:$W$532,$W185)&gt;1)),"Yes","No"),IF($A185="Cybernet",IF(OR(AND($Y185&lt;&gt;"",LOWER(TRIM($Y185))&lt;&gt;"n/a",COUNTIF($Y$2:$Y$532,$Y185)&gt;1),AND($Z185&lt;&gt;"",LOWER(TRIM($Z185))&lt;&gt;"n/a",COUNTIF($Z$2:$Z$532,$Z185)&gt;1)),"Yes","No"),IF(AND($AL185&lt;&gt;"",LOWER(TRIM($AL185))&lt;&gt;"n/a",COUNTIF($AL$2:$AL$532,$AL185)&gt;1),"Yes","No"))))</f>
      </c>
      <c r="F185">
        <f>IF($B185&lt;&gt;"Yes","",
IF($A185="Neuron",
IF(OR(
AND($S185&lt;&gt;"",LOWER(TRIM($S185))&lt;&gt;"n/a",COUNTIFS($B$2:$B$532,"Yes",$A$2:$A$532,"Neuron",$S$2:$S$532,$S185)&gt;1),
AND($T185&lt;&gt;"",LOWER(TRIM($T185))&lt;&gt;"n/a",COUNTIFS($B$2:$B$532,"Yes",$A$2:$A$532,"Neuron",$T$2:$T$532,$T185)&gt;1),
AND($W185&lt;&gt;"",LOWER(TRIM($W185))&lt;&gt;"n/a",COUNTIFS($B$2:$B$532,"Yes",$A$2:$A$532,"Neuron",$W$2:$W$532,$W185)&gt;1)
),"Yes","No"),
IF($A185="Cybernet",
IF(OR(
AND($Y185&lt;&gt;"",LOWER(TRIM($Y185))&lt;&gt;"n/a",COUNTIFS($B$2:$B$532,"Yes",$A$2:$A$532,"Cybernet",$Y$2:$Y$532,$Y185)&gt;1),
AND($Z185&lt;&gt;"",LOWER(TRIM($Z185))&lt;&gt;"n/a",COUNTIFS($B$2:$B$532,"Yes",$A$2:$A$532,"Cybernet",$Z$2:$Z$532,$Z185)&gt;1)
),"Yes","No"),
IF(AND($AL185&lt;&gt;"",LOWER(TRIM($AL185))&lt;&gt;"n/a"),
IF(COUNTIFS($B$2:$B$532,"Yes",$A$2:$A$532,$A185,$AL$2:$AL$532,$AL185)&gt;1,"Yes","No"),
"No")
)
)
)</f>
      </c>
      <c r="BL185">
        <f>IF($T185="","",IF((IF(AND($AW185&lt;&gt;"Yes",$AW185&lt;&gt;"N/A"),"Power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",""))="","",LEFT(IF(AND($AW185&lt;&gt;"Yes",$AW185&lt;&gt;"N/A"),"Power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",""),LEN(IF(AND($AW185&lt;&gt;"Yes",$AW185&lt;&gt;"N/A"),"Power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",""))-2)))</f>
      </c>
      <c r="BM185">
        <f>IF($T185="","",IF($BL185="","Yes","Blocked"))</f>
      </c>
      <c r="BP185">
        <f>IF($BO185="","",IFERROR(VLOOKUP($BO185,'01_Warehouse_Ledger'!$A:$N,4,FALSE),""))</f>
      </c>
      <c r="BQ185">
        <f>IF($BO185="","",IFERROR(VLOOKUP($BO185,'01_Warehouse_Ledger'!$A:$N,5,FALSE),""))</f>
      </c>
      <c r="BR185">
        <f>IF($BO185="","",IFERROR(VLOOKUP($BO185,'01_Warehouse_Ledger'!$A:$N,13,FALSE),""))</f>
      </c>
    </row>
    <row r="186">
      <c r="D186">
        <f>IF($B186&lt;&gt;"Yes","",IF($C186="No","Yes",IF($C186="Yes","No","")))</f>
      </c>
      <c r="E186">
        <f>IF($A186="","",IF($A186="Neuron",IF(OR(AND($S186&lt;&gt;"",LOWER(TRIM($S186))&lt;&gt;"n/a",COUNTIF($S$2:$S$532,$S186)&gt;1),AND($T186&lt;&gt;"",LOWER(TRIM($T186))&lt;&gt;"n/a",COUNTIF($T$2:$T$532,$T186)&gt;1),AND($W186&lt;&gt;"",LOWER(TRIM($W186))&lt;&gt;"n/a",COUNTIF($W$2:$W$532,$W186)&gt;1)),"Yes","No"),IF($A186="Cybernet",IF(OR(AND($Y186&lt;&gt;"",LOWER(TRIM($Y186))&lt;&gt;"n/a",COUNTIF($Y$2:$Y$532,$Y186)&gt;1),AND($Z186&lt;&gt;"",LOWER(TRIM($Z186))&lt;&gt;"n/a",COUNTIF($Z$2:$Z$532,$Z186)&gt;1)),"Yes","No"),IF(AND($AL186&lt;&gt;"",LOWER(TRIM($AL186))&lt;&gt;"n/a",COUNTIF($AL$2:$AL$532,$AL186)&gt;1),"Yes","No"))))</f>
      </c>
      <c r="F186">
        <f>IF($B186&lt;&gt;"Yes","",
IF($A186="Neuron",
IF(OR(
AND($S186&lt;&gt;"",LOWER(TRIM($S186))&lt;&gt;"n/a",COUNTIFS($B$2:$B$532,"Yes",$A$2:$A$532,"Neuron",$S$2:$S$532,$S186)&gt;1),
AND($T186&lt;&gt;"",LOWER(TRIM($T186))&lt;&gt;"n/a",COUNTIFS($B$2:$B$532,"Yes",$A$2:$A$532,"Neuron",$T$2:$T$532,$T186)&gt;1),
AND($W186&lt;&gt;"",LOWER(TRIM($W186))&lt;&gt;"n/a",COUNTIFS($B$2:$B$532,"Yes",$A$2:$A$532,"Neuron",$W$2:$W$532,$W186)&gt;1)
),"Yes","No"),
IF($A186="Cybernet",
IF(OR(
AND($Y186&lt;&gt;"",LOWER(TRIM($Y186))&lt;&gt;"n/a",COUNTIFS($B$2:$B$532,"Yes",$A$2:$A$532,"Cybernet",$Y$2:$Y$532,$Y186)&gt;1),
AND($Z186&lt;&gt;"",LOWER(TRIM($Z186))&lt;&gt;"n/a",COUNTIFS($B$2:$B$532,"Yes",$A$2:$A$532,"Cybernet",$Z$2:$Z$532,$Z186)&gt;1)
),"Yes","No"),
IF(AND($AL186&lt;&gt;"",LOWER(TRIM($AL186))&lt;&gt;"n/a"),
IF(COUNTIFS($B$2:$B$532,"Yes",$A$2:$A$532,$A186,$AL$2:$AL$532,$AL186)&gt;1,"Yes","No"),
"No")
)
)
)</f>
      </c>
      <c r="BL186">
        <f>IF($T186="","",IF((IF(AND($AW186&lt;&gt;"Yes",$AW186&lt;&gt;"N/A"),"Power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",""))="","",LEFT(IF(AND($AW186&lt;&gt;"Yes",$AW186&lt;&gt;"N/A"),"Power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",""),LEN(IF(AND($AW186&lt;&gt;"Yes",$AW186&lt;&gt;"N/A"),"Power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",""))-2)))</f>
      </c>
      <c r="BM186">
        <f>IF($T186="","",IF($BL186="","Yes","Blocked"))</f>
      </c>
      <c r="BP186">
        <f>IF($BO186="","",IFERROR(VLOOKUP($BO186,'01_Warehouse_Ledger'!$A:$N,4,FALSE),""))</f>
      </c>
      <c r="BQ186">
        <f>IF($BO186="","",IFERROR(VLOOKUP($BO186,'01_Warehouse_Ledger'!$A:$N,5,FALSE),""))</f>
      </c>
      <c r="BR186">
        <f>IF($BO186="","",IFERROR(VLOOKUP($BO186,'01_Warehouse_Ledger'!$A:$N,13,FALSE),""))</f>
      </c>
    </row>
    <row r="187">
      <c r="D187">
        <f>IF($B187&lt;&gt;"Yes","",IF($C187="No","Yes",IF($C187="Yes","No","")))</f>
      </c>
      <c r="E187">
        <f>IF($A187="","",IF($A187="Neuron",IF(OR(AND($S187&lt;&gt;"",LOWER(TRIM($S187))&lt;&gt;"n/a",COUNTIF($S$2:$S$532,$S187)&gt;1),AND($T187&lt;&gt;"",LOWER(TRIM($T187))&lt;&gt;"n/a",COUNTIF($T$2:$T$532,$T187)&gt;1),AND($W187&lt;&gt;"",LOWER(TRIM($W187))&lt;&gt;"n/a",COUNTIF($W$2:$W$532,$W187)&gt;1)),"Yes","No"),IF($A187="Cybernet",IF(OR(AND($Y187&lt;&gt;"",LOWER(TRIM($Y187))&lt;&gt;"n/a",COUNTIF($Y$2:$Y$532,$Y187)&gt;1),AND($Z187&lt;&gt;"",LOWER(TRIM($Z187))&lt;&gt;"n/a",COUNTIF($Z$2:$Z$532,$Z187)&gt;1)),"Yes","No"),IF(AND($AL187&lt;&gt;"",LOWER(TRIM($AL187))&lt;&gt;"n/a",COUNTIF($AL$2:$AL$532,$AL187)&gt;1),"Yes","No"))))</f>
      </c>
      <c r="F187">
        <f>IF($B187&lt;&gt;"Yes","",
IF($A187="Neuron",
IF(OR(
AND($S187&lt;&gt;"",LOWER(TRIM($S187))&lt;&gt;"n/a",COUNTIFS($B$2:$B$532,"Yes",$A$2:$A$532,"Neuron",$S$2:$S$532,$S187)&gt;1),
AND($T187&lt;&gt;"",LOWER(TRIM($T187))&lt;&gt;"n/a",COUNTIFS($B$2:$B$532,"Yes",$A$2:$A$532,"Neuron",$T$2:$T$532,$T187)&gt;1),
AND($W187&lt;&gt;"",LOWER(TRIM($W187))&lt;&gt;"n/a",COUNTIFS($B$2:$B$532,"Yes",$A$2:$A$532,"Neuron",$W$2:$W$532,$W187)&gt;1)
),"Yes","No"),
IF($A187="Cybernet",
IF(OR(
AND($Y187&lt;&gt;"",LOWER(TRIM($Y187))&lt;&gt;"n/a",COUNTIFS($B$2:$B$532,"Yes",$A$2:$A$532,"Cybernet",$Y$2:$Y$532,$Y187)&gt;1),
AND($Z187&lt;&gt;"",LOWER(TRIM($Z187))&lt;&gt;"n/a",COUNTIFS($B$2:$B$532,"Yes",$A$2:$A$532,"Cybernet",$Z$2:$Z$532,$Z187)&gt;1)
),"Yes","No"),
IF(AND($AL187&lt;&gt;"",LOWER(TRIM($AL187))&lt;&gt;"n/a"),
IF(COUNTIFS($B$2:$B$532,"Yes",$A$2:$A$532,$A187,$AL$2:$AL$532,$AL187)&gt;1,"Yes","No"),
"No")
)
)
)</f>
      </c>
      <c r="BL187">
        <f>IF($T187="","",IF((IF(AND($AW187&lt;&gt;"Yes",$AW187&lt;&gt;"N/A"),"Power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",""))="","",LEFT(IF(AND($AW187&lt;&gt;"Yes",$AW187&lt;&gt;"N/A"),"Power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",""),LEN(IF(AND($AW187&lt;&gt;"Yes",$AW187&lt;&gt;"N/A"),"Power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",""))-2)))</f>
      </c>
      <c r="BM187">
        <f>IF($T187="","",IF($BL187="","Yes","Blocked"))</f>
      </c>
      <c r="BP187">
        <f>IF($BO187="","",IFERROR(VLOOKUP($BO187,'01_Warehouse_Ledger'!$A:$N,4,FALSE),""))</f>
      </c>
      <c r="BQ187">
        <f>IF($BO187="","",IFERROR(VLOOKUP($BO187,'01_Warehouse_Ledger'!$A:$N,5,FALSE),""))</f>
      </c>
      <c r="BR187">
        <f>IF($BO187="","",IFERROR(VLOOKUP($BO187,'01_Warehouse_Ledger'!$A:$N,13,FALSE),""))</f>
      </c>
    </row>
    <row r="188">
      <c r="D188">
        <f>IF($B188&lt;&gt;"Yes","",IF($C188="No","Yes",IF($C188="Yes","No","")))</f>
      </c>
      <c r="E188">
        <f>IF($A188="","",IF($A188="Neuron",IF(OR(AND($S188&lt;&gt;"",LOWER(TRIM($S188))&lt;&gt;"n/a",COUNTIF($S$2:$S$532,$S188)&gt;1),AND($T188&lt;&gt;"",LOWER(TRIM($T188))&lt;&gt;"n/a",COUNTIF($T$2:$T$532,$T188)&gt;1),AND($W188&lt;&gt;"",LOWER(TRIM($W188))&lt;&gt;"n/a",COUNTIF($W$2:$W$532,$W188)&gt;1)),"Yes","No"),IF($A188="Cybernet",IF(OR(AND($Y188&lt;&gt;"",LOWER(TRIM($Y188))&lt;&gt;"n/a",COUNTIF($Y$2:$Y$532,$Y188)&gt;1),AND($Z188&lt;&gt;"",LOWER(TRIM($Z188))&lt;&gt;"n/a",COUNTIF($Z$2:$Z$532,$Z188)&gt;1)),"Yes","No"),IF(AND($AL188&lt;&gt;"",LOWER(TRIM($AL188))&lt;&gt;"n/a",COUNTIF($AL$2:$AL$532,$AL188)&gt;1),"Yes","No"))))</f>
      </c>
      <c r="F188">
        <f>IF($B188&lt;&gt;"Yes","",
IF($A188="Neuron",
IF(OR(
AND($S188&lt;&gt;"",LOWER(TRIM($S188))&lt;&gt;"n/a",COUNTIFS($B$2:$B$532,"Yes",$A$2:$A$532,"Neuron",$S$2:$S$532,$S188)&gt;1),
AND($T188&lt;&gt;"",LOWER(TRIM($T188))&lt;&gt;"n/a",COUNTIFS($B$2:$B$532,"Yes",$A$2:$A$532,"Neuron",$T$2:$T$532,$T188)&gt;1),
AND($W188&lt;&gt;"",LOWER(TRIM($W188))&lt;&gt;"n/a",COUNTIFS($B$2:$B$532,"Yes",$A$2:$A$532,"Neuron",$W$2:$W$532,$W188)&gt;1)
),"Yes","No"),
IF($A188="Cybernet",
IF(OR(
AND($Y188&lt;&gt;"",LOWER(TRIM($Y188))&lt;&gt;"n/a",COUNTIFS($B$2:$B$532,"Yes",$A$2:$A$532,"Cybernet",$Y$2:$Y$532,$Y188)&gt;1),
AND($Z188&lt;&gt;"",LOWER(TRIM($Z188))&lt;&gt;"n/a",COUNTIFS($B$2:$B$532,"Yes",$A$2:$A$532,"Cybernet",$Z$2:$Z$532,$Z188)&gt;1)
),"Yes","No"),
IF(AND($AL188&lt;&gt;"",LOWER(TRIM($AL188))&lt;&gt;"n/a"),
IF(COUNTIFS($B$2:$B$532,"Yes",$A$2:$A$532,$A188,$AL$2:$AL$532,$AL188)&gt;1,"Yes","No"),
"No")
)
)
)</f>
      </c>
      <c r="BL188">
        <f>IF($T188="","",IF((IF(AND($AW188&lt;&gt;"Yes",$AW188&lt;&gt;"N/A"),"Power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",""))="","",LEFT(IF(AND($AW188&lt;&gt;"Yes",$AW188&lt;&gt;"N/A"),"Power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",""),LEN(IF(AND($AW188&lt;&gt;"Yes",$AW188&lt;&gt;"N/A"),"Power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",""))-2)))</f>
      </c>
      <c r="BM188">
        <f>IF($T188="","",IF($BL188="","Yes","Blocked"))</f>
      </c>
      <c r="BP188">
        <f>IF($BO188="","",IFERROR(VLOOKUP($BO188,'01_Warehouse_Ledger'!$A:$N,4,FALSE),""))</f>
      </c>
      <c r="BQ188">
        <f>IF($BO188="","",IFERROR(VLOOKUP($BO188,'01_Warehouse_Ledger'!$A:$N,5,FALSE),""))</f>
      </c>
      <c r="BR188">
        <f>IF($BO188="","",IFERROR(VLOOKUP($BO188,'01_Warehouse_Ledger'!$A:$N,13,FALSE),""))</f>
      </c>
    </row>
    <row r="189">
      <c r="D189">
        <f>IF($B189&lt;&gt;"Yes","",IF($C189="No","Yes",IF($C189="Yes","No","")))</f>
      </c>
      <c r="E189">
        <f>IF($A189="","",IF($A189="Neuron",IF(OR(AND($S189&lt;&gt;"",LOWER(TRIM($S189))&lt;&gt;"n/a",COUNTIF($S$2:$S$532,$S189)&gt;1),AND($T189&lt;&gt;"",LOWER(TRIM($T189))&lt;&gt;"n/a",COUNTIF($T$2:$T$532,$T189)&gt;1),AND($W189&lt;&gt;"",LOWER(TRIM($W189))&lt;&gt;"n/a",COUNTIF($W$2:$W$532,$W189)&gt;1)),"Yes","No"),IF($A189="Cybernet",IF(OR(AND($Y189&lt;&gt;"",LOWER(TRIM($Y189))&lt;&gt;"n/a",COUNTIF($Y$2:$Y$532,$Y189)&gt;1),AND($Z189&lt;&gt;"",LOWER(TRIM($Z189))&lt;&gt;"n/a",COUNTIF($Z$2:$Z$532,$Z189)&gt;1)),"Yes","No"),IF(AND($AL189&lt;&gt;"",LOWER(TRIM($AL189))&lt;&gt;"n/a",COUNTIF($AL$2:$AL$532,$AL189)&gt;1),"Yes","No"))))</f>
      </c>
      <c r="F189">
        <f>IF($B189&lt;&gt;"Yes","",
IF($A189="Neuron",
IF(OR(
AND($S189&lt;&gt;"",LOWER(TRIM($S189))&lt;&gt;"n/a",COUNTIFS($B$2:$B$532,"Yes",$A$2:$A$532,"Neuron",$S$2:$S$532,$S189)&gt;1),
AND($T189&lt;&gt;"",LOWER(TRIM($T189))&lt;&gt;"n/a",COUNTIFS($B$2:$B$532,"Yes",$A$2:$A$532,"Neuron",$T$2:$T$532,$T189)&gt;1),
AND($W189&lt;&gt;"",LOWER(TRIM($W189))&lt;&gt;"n/a",COUNTIFS($B$2:$B$532,"Yes",$A$2:$A$532,"Neuron",$W$2:$W$532,$W189)&gt;1)
),"Yes","No"),
IF($A189="Cybernet",
IF(OR(
AND($Y189&lt;&gt;"",LOWER(TRIM($Y189))&lt;&gt;"n/a",COUNTIFS($B$2:$B$532,"Yes",$A$2:$A$532,"Cybernet",$Y$2:$Y$532,$Y189)&gt;1),
AND($Z189&lt;&gt;"",LOWER(TRIM($Z189))&lt;&gt;"n/a",COUNTIFS($B$2:$B$532,"Yes",$A$2:$A$532,"Cybernet",$Z$2:$Z$532,$Z189)&gt;1)
),"Yes","No"),
IF(AND($AL189&lt;&gt;"",LOWER(TRIM($AL189))&lt;&gt;"n/a"),
IF(COUNTIFS($B$2:$B$532,"Yes",$A$2:$A$532,$A189,$AL$2:$AL$532,$AL189)&gt;1,"Yes","No"),
"No")
)
)
)</f>
      </c>
      <c r="BL189">
        <f>IF($T189="","",IF((IF(AND($AW189&lt;&gt;"Yes",$AW189&lt;&gt;"N/A"),"Power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",""))="","",LEFT(IF(AND($AW189&lt;&gt;"Yes",$AW189&lt;&gt;"N/A"),"Power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",""),LEN(IF(AND($AW189&lt;&gt;"Yes",$AW189&lt;&gt;"N/A"),"Power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",""))-2)))</f>
      </c>
      <c r="BM189">
        <f>IF($T189="","",IF($BL189="","Yes","Blocked"))</f>
      </c>
      <c r="BP189">
        <f>IF($BO189="","",IFERROR(VLOOKUP($BO189,'01_Warehouse_Ledger'!$A:$N,4,FALSE),""))</f>
      </c>
      <c r="BQ189">
        <f>IF($BO189="","",IFERROR(VLOOKUP($BO189,'01_Warehouse_Ledger'!$A:$N,5,FALSE),""))</f>
      </c>
      <c r="BR189">
        <f>IF($BO189="","",IFERROR(VLOOKUP($BO189,'01_Warehouse_Ledger'!$A:$N,13,FALSE),""))</f>
      </c>
    </row>
    <row r="190">
      <c r="D190">
        <f>IF($B190&lt;&gt;"Yes","",IF($C190="No","Yes",IF($C190="Yes","No","")))</f>
      </c>
      <c r="E190">
        <f>IF($A190="","",IF($A190="Neuron",IF(OR(AND($S190&lt;&gt;"",LOWER(TRIM($S190))&lt;&gt;"n/a",COUNTIF($S$2:$S$532,$S190)&gt;1),AND($T190&lt;&gt;"",LOWER(TRIM($T190))&lt;&gt;"n/a",COUNTIF($T$2:$T$532,$T190)&gt;1),AND($W190&lt;&gt;"",LOWER(TRIM($W190))&lt;&gt;"n/a",COUNTIF($W$2:$W$532,$W190)&gt;1)),"Yes","No"),IF($A190="Cybernet",IF(OR(AND($Y190&lt;&gt;"",LOWER(TRIM($Y190))&lt;&gt;"n/a",COUNTIF($Y$2:$Y$532,$Y190)&gt;1),AND($Z190&lt;&gt;"",LOWER(TRIM($Z190))&lt;&gt;"n/a",COUNTIF($Z$2:$Z$532,$Z190)&gt;1)),"Yes","No"),IF(AND($AL190&lt;&gt;"",LOWER(TRIM($AL190))&lt;&gt;"n/a",COUNTIF($AL$2:$AL$532,$AL190)&gt;1),"Yes","No"))))</f>
      </c>
      <c r="F190">
        <f>IF($B190&lt;&gt;"Yes","",
IF($A190="Neuron",
IF(OR(
AND($S190&lt;&gt;"",LOWER(TRIM($S190))&lt;&gt;"n/a",COUNTIFS($B$2:$B$532,"Yes",$A$2:$A$532,"Neuron",$S$2:$S$532,$S190)&gt;1),
AND($T190&lt;&gt;"",LOWER(TRIM($T190))&lt;&gt;"n/a",COUNTIFS($B$2:$B$532,"Yes",$A$2:$A$532,"Neuron",$T$2:$T$532,$T190)&gt;1),
AND($W190&lt;&gt;"",LOWER(TRIM($W190))&lt;&gt;"n/a",COUNTIFS($B$2:$B$532,"Yes",$A$2:$A$532,"Neuron",$W$2:$W$532,$W190)&gt;1)
),"Yes","No"),
IF($A190="Cybernet",
IF(OR(
AND($Y190&lt;&gt;"",LOWER(TRIM($Y190))&lt;&gt;"n/a",COUNTIFS($B$2:$B$532,"Yes",$A$2:$A$532,"Cybernet",$Y$2:$Y$532,$Y190)&gt;1),
AND($Z190&lt;&gt;"",LOWER(TRIM($Z190))&lt;&gt;"n/a",COUNTIFS($B$2:$B$532,"Yes",$A$2:$A$532,"Cybernet",$Z$2:$Z$532,$Z190)&gt;1)
),"Yes","No"),
IF(AND($AL190&lt;&gt;"",LOWER(TRIM($AL190))&lt;&gt;"n/a"),
IF(COUNTIFS($B$2:$B$532,"Yes",$A$2:$A$532,$A190,$AL$2:$AL$532,$AL190)&gt;1,"Yes","No"),
"No")
)
)
)</f>
      </c>
      <c r="BL190">
        <f>IF($T190="","",IF((IF(AND($AW190&lt;&gt;"Yes",$AW190&lt;&gt;"N/A"),"Power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",""))="","",LEFT(IF(AND($AW190&lt;&gt;"Yes",$AW190&lt;&gt;"N/A"),"Power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",""),LEN(IF(AND($AW190&lt;&gt;"Yes",$AW190&lt;&gt;"N/A"),"Power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",""))-2)))</f>
      </c>
      <c r="BM190">
        <f>IF($T190="","",IF($BL190="","Yes","Blocked"))</f>
      </c>
      <c r="BP190">
        <f>IF($BO190="","",IFERROR(VLOOKUP($BO190,'01_Warehouse_Ledger'!$A:$N,4,FALSE),""))</f>
      </c>
      <c r="BQ190">
        <f>IF($BO190="","",IFERROR(VLOOKUP($BO190,'01_Warehouse_Ledger'!$A:$N,5,FALSE),""))</f>
      </c>
      <c r="BR190">
        <f>IF($BO190="","",IFERROR(VLOOKUP($BO190,'01_Warehouse_Ledger'!$A:$N,13,FALSE),""))</f>
      </c>
    </row>
    <row r="191">
      <c r="D191">
        <f>IF($B191&lt;&gt;"Yes","",IF($C191="No","Yes",IF($C191="Yes","No","")))</f>
      </c>
      <c r="E191">
        <f>IF($A191="","",IF($A191="Neuron",IF(OR(AND($S191&lt;&gt;"",LOWER(TRIM($S191))&lt;&gt;"n/a",COUNTIF($S$2:$S$532,$S191)&gt;1),AND($T191&lt;&gt;"",LOWER(TRIM($T191))&lt;&gt;"n/a",COUNTIF($T$2:$T$532,$T191)&gt;1),AND($W191&lt;&gt;"",LOWER(TRIM($W191))&lt;&gt;"n/a",COUNTIF($W$2:$W$532,$W191)&gt;1)),"Yes","No"),IF($A191="Cybernet",IF(OR(AND($Y191&lt;&gt;"",LOWER(TRIM($Y191))&lt;&gt;"n/a",COUNTIF($Y$2:$Y$532,$Y191)&gt;1),AND($Z191&lt;&gt;"",LOWER(TRIM($Z191))&lt;&gt;"n/a",COUNTIF($Z$2:$Z$532,$Z191)&gt;1)),"Yes","No"),IF(AND($AL191&lt;&gt;"",LOWER(TRIM($AL191))&lt;&gt;"n/a",COUNTIF($AL$2:$AL$532,$AL191)&gt;1),"Yes","No"))))</f>
      </c>
      <c r="F191">
        <f>IF($B191&lt;&gt;"Yes","",
IF($A191="Neuron",
IF(OR(
AND($S191&lt;&gt;"",LOWER(TRIM($S191))&lt;&gt;"n/a",COUNTIFS($B$2:$B$532,"Yes",$A$2:$A$532,"Neuron",$S$2:$S$532,$S191)&gt;1),
AND($T191&lt;&gt;"",LOWER(TRIM($T191))&lt;&gt;"n/a",COUNTIFS($B$2:$B$532,"Yes",$A$2:$A$532,"Neuron",$T$2:$T$532,$T191)&gt;1),
AND($W191&lt;&gt;"",LOWER(TRIM($W191))&lt;&gt;"n/a",COUNTIFS($B$2:$B$532,"Yes",$A$2:$A$532,"Neuron",$W$2:$W$532,$W191)&gt;1)
),"Yes","No"),
IF($A191="Cybernet",
IF(OR(
AND($Y191&lt;&gt;"",LOWER(TRIM($Y191))&lt;&gt;"n/a",COUNTIFS($B$2:$B$532,"Yes",$A$2:$A$532,"Cybernet",$Y$2:$Y$532,$Y191)&gt;1),
AND($Z191&lt;&gt;"",LOWER(TRIM($Z191))&lt;&gt;"n/a",COUNTIFS($B$2:$B$532,"Yes",$A$2:$A$532,"Cybernet",$Z$2:$Z$532,$Z191)&gt;1)
),"Yes","No"),
IF(AND($AL191&lt;&gt;"",LOWER(TRIM($AL191))&lt;&gt;"n/a"),
IF(COUNTIFS($B$2:$B$532,"Yes",$A$2:$A$532,$A191,$AL$2:$AL$532,$AL191)&gt;1,"Yes","No"),
"No")
)
)
)</f>
      </c>
      <c r="BL191">
        <f>IF($T191="","",IF((IF(AND($AW191&lt;&gt;"Yes",$AW191&lt;&gt;"N/A"),"Power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",""))="","",LEFT(IF(AND($AW191&lt;&gt;"Yes",$AW191&lt;&gt;"N/A"),"Power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",""),LEN(IF(AND($AW191&lt;&gt;"Yes",$AW191&lt;&gt;"N/A"),"Power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",""))-2)))</f>
      </c>
      <c r="BM191">
        <f>IF($T191="","",IF($BL191="","Yes","Blocked"))</f>
      </c>
      <c r="BP191">
        <f>IF($BO191="","",IFERROR(VLOOKUP($BO191,'01_Warehouse_Ledger'!$A:$N,4,FALSE),""))</f>
      </c>
      <c r="BQ191">
        <f>IF($BO191="","",IFERROR(VLOOKUP($BO191,'01_Warehouse_Ledger'!$A:$N,5,FALSE),""))</f>
      </c>
      <c r="BR191">
        <f>IF($BO191="","",IFERROR(VLOOKUP($BO191,'01_Warehouse_Ledger'!$A:$N,13,FALSE),""))</f>
      </c>
    </row>
    <row r="192">
      <c r="D192">
        <f>IF($B192&lt;&gt;"Yes","",IF($C192="No","Yes",IF($C192="Yes","No","")))</f>
      </c>
      <c r="E192">
        <f>IF($A192="","",IF($A192="Neuron",IF(OR(AND($S192&lt;&gt;"",LOWER(TRIM($S192))&lt;&gt;"n/a",COUNTIF($S$2:$S$532,$S192)&gt;1),AND($T192&lt;&gt;"",LOWER(TRIM($T192))&lt;&gt;"n/a",COUNTIF($T$2:$T$532,$T192)&gt;1),AND($W192&lt;&gt;"",LOWER(TRIM($W192))&lt;&gt;"n/a",COUNTIF($W$2:$W$532,$W192)&gt;1)),"Yes","No"),IF($A192="Cybernet",IF(OR(AND($Y192&lt;&gt;"",LOWER(TRIM($Y192))&lt;&gt;"n/a",COUNTIF($Y$2:$Y$532,$Y192)&gt;1),AND($Z192&lt;&gt;"",LOWER(TRIM($Z192))&lt;&gt;"n/a",COUNTIF($Z$2:$Z$532,$Z192)&gt;1)),"Yes","No"),IF(AND($AL192&lt;&gt;"",LOWER(TRIM($AL192))&lt;&gt;"n/a",COUNTIF($AL$2:$AL$532,$AL192)&gt;1),"Yes","No"))))</f>
      </c>
      <c r="F192">
        <f>IF($B192&lt;&gt;"Yes","",
IF($A192="Neuron",
IF(OR(
AND($S192&lt;&gt;"",LOWER(TRIM($S192))&lt;&gt;"n/a",COUNTIFS($B$2:$B$532,"Yes",$A$2:$A$532,"Neuron",$S$2:$S$532,$S192)&gt;1),
AND($T192&lt;&gt;"",LOWER(TRIM($T192))&lt;&gt;"n/a",COUNTIFS($B$2:$B$532,"Yes",$A$2:$A$532,"Neuron",$T$2:$T$532,$T192)&gt;1),
AND($W192&lt;&gt;"",LOWER(TRIM($W192))&lt;&gt;"n/a",COUNTIFS($B$2:$B$532,"Yes",$A$2:$A$532,"Neuron",$W$2:$W$532,$W192)&gt;1)
),"Yes","No"),
IF($A192="Cybernet",
IF(OR(
AND($Y192&lt;&gt;"",LOWER(TRIM($Y192))&lt;&gt;"n/a",COUNTIFS($B$2:$B$532,"Yes",$A$2:$A$532,"Cybernet",$Y$2:$Y$532,$Y192)&gt;1),
AND($Z192&lt;&gt;"",LOWER(TRIM($Z192))&lt;&gt;"n/a",COUNTIFS($B$2:$B$532,"Yes",$A$2:$A$532,"Cybernet",$Z$2:$Z$532,$Z192)&gt;1)
),"Yes","No"),
IF(AND($AL192&lt;&gt;"",LOWER(TRIM($AL192))&lt;&gt;"n/a"),
IF(COUNTIFS($B$2:$B$532,"Yes",$A$2:$A$532,$A192,$AL$2:$AL$532,$AL192)&gt;1,"Yes","No"),
"No")
)
)
)</f>
      </c>
      <c r="BL192">
        <f>IF($T192="","",IF((IF(AND($AW192&lt;&gt;"Yes",$AW192&lt;&gt;"N/A"),"Power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",""))="","",LEFT(IF(AND($AW192&lt;&gt;"Yes",$AW192&lt;&gt;"N/A"),"Power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",""),LEN(IF(AND($AW192&lt;&gt;"Yes",$AW192&lt;&gt;"N/A"),"Power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",""))-2)))</f>
      </c>
      <c r="BM192">
        <f>IF($T192="","",IF($BL192="","Yes","Blocked"))</f>
      </c>
      <c r="BP192">
        <f>IF($BO192="","",IFERROR(VLOOKUP($BO192,'01_Warehouse_Ledger'!$A:$N,4,FALSE),""))</f>
      </c>
      <c r="BQ192">
        <f>IF($BO192="","",IFERROR(VLOOKUP($BO192,'01_Warehouse_Ledger'!$A:$N,5,FALSE),""))</f>
      </c>
      <c r="BR192">
        <f>IF($BO192="","",IFERROR(VLOOKUP($BO192,'01_Warehouse_Ledger'!$A:$N,13,FALSE),""))</f>
      </c>
    </row>
    <row r="193">
      <c r="D193">
        <f>IF($B193&lt;&gt;"Yes","",IF($C193="No","Yes",IF($C193="Yes","No","")))</f>
      </c>
      <c r="E193">
        <f>IF($A193="","",IF($A193="Neuron",IF(OR(AND($S193&lt;&gt;"",LOWER(TRIM($S193))&lt;&gt;"n/a",COUNTIF($S$2:$S$532,$S193)&gt;1),AND($T193&lt;&gt;"",LOWER(TRIM($T193))&lt;&gt;"n/a",COUNTIF($T$2:$T$532,$T193)&gt;1),AND($W193&lt;&gt;"",LOWER(TRIM($W193))&lt;&gt;"n/a",COUNTIF($W$2:$W$532,$W193)&gt;1)),"Yes","No"),IF($A193="Cybernet",IF(OR(AND($Y193&lt;&gt;"",LOWER(TRIM($Y193))&lt;&gt;"n/a",COUNTIF($Y$2:$Y$532,$Y193)&gt;1),AND($Z193&lt;&gt;"",LOWER(TRIM($Z193))&lt;&gt;"n/a",COUNTIF($Z$2:$Z$532,$Z193)&gt;1)),"Yes","No"),IF(AND($AL193&lt;&gt;"",LOWER(TRIM($AL193))&lt;&gt;"n/a",COUNTIF($AL$2:$AL$532,$AL193)&gt;1),"Yes","No"))))</f>
      </c>
      <c r="F193">
        <f>IF($B193&lt;&gt;"Yes","",
IF($A193="Neuron",
IF(OR(
AND($S193&lt;&gt;"",LOWER(TRIM($S193))&lt;&gt;"n/a",COUNTIFS($B$2:$B$532,"Yes",$A$2:$A$532,"Neuron",$S$2:$S$532,$S193)&gt;1),
AND($T193&lt;&gt;"",LOWER(TRIM($T193))&lt;&gt;"n/a",COUNTIFS($B$2:$B$532,"Yes",$A$2:$A$532,"Neuron",$T$2:$T$532,$T193)&gt;1),
AND($W193&lt;&gt;"",LOWER(TRIM($W193))&lt;&gt;"n/a",COUNTIFS($B$2:$B$532,"Yes",$A$2:$A$532,"Neuron",$W$2:$W$532,$W193)&gt;1)
),"Yes","No"),
IF($A193="Cybernet",
IF(OR(
AND($Y193&lt;&gt;"",LOWER(TRIM($Y193))&lt;&gt;"n/a",COUNTIFS($B$2:$B$532,"Yes",$A$2:$A$532,"Cybernet",$Y$2:$Y$532,$Y193)&gt;1),
AND($Z193&lt;&gt;"",LOWER(TRIM($Z193))&lt;&gt;"n/a",COUNTIFS($B$2:$B$532,"Yes",$A$2:$A$532,"Cybernet",$Z$2:$Z$532,$Z193)&gt;1)
),"Yes","No"),
IF(AND($AL193&lt;&gt;"",LOWER(TRIM($AL193))&lt;&gt;"n/a"),
IF(COUNTIFS($B$2:$B$532,"Yes",$A$2:$A$532,$A193,$AL$2:$AL$532,$AL193)&gt;1,"Yes","No"),
"No")
)
)
)</f>
      </c>
      <c r="BL193">
        <f>IF($T193="","",IF((IF(AND($AW193&lt;&gt;"Yes",$AW193&lt;&gt;"N/A"),"Power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",""))="","",LEFT(IF(AND($AW193&lt;&gt;"Yes",$AW193&lt;&gt;"N/A"),"Power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",""),LEN(IF(AND($AW193&lt;&gt;"Yes",$AW193&lt;&gt;"N/A"),"Power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",""))-2)))</f>
      </c>
      <c r="BM193">
        <f>IF($T193="","",IF($BL193="","Yes","Blocked"))</f>
      </c>
      <c r="BP193">
        <f>IF($BO193="","",IFERROR(VLOOKUP($BO193,'01_Warehouse_Ledger'!$A:$N,4,FALSE),""))</f>
      </c>
      <c r="BQ193">
        <f>IF($BO193="","",IFERROR(VLOOKUP($BO193,'01_Warehouse_Ledger'!$A:$N,5,FALSE),""))</f>
      </c>
      <c r="BR193">
        <f>IF($BO193="","",IFERROR(VLOOKUP($BO193,'01_Warehouse_Ledger'!$A:$N,13,FALSE),""))</f>
      </c>
    </row>
    <row r="194">
      <c r="D194">
        <f>IF($B194&lt;&gt;"Yes","",IF($C194="No","Yes",IF($C194="Yes","No","")))</f>
      </c>
      <c r="E194">
        <f>IF($A194="","",IF($A194="Neuron",IF(OR(AND($S194&lt;&gt;"",LOWER(TRIM($S194))&lt;&gt;"n/a",COUNTIF($S$2:$S$532,$S194)&gt;1),AND($T194&lt;&gt;"",LOWER(TRIM($T194))&lt;&gt;"n/a",COUNTIF($T$2:$T$532,$T194)&gt;1),AND($W194&lt;&gt;"",LOWER(TRIM($W194))&lt;&gt;"n/a",COUNTIF($W$2:$W$532,$W194)&gt;1)),"Yes","No"),IF($A194="Cybernet",IF(OR(AND($Y194&lt;&gt;"",LOWER(TRIM($Y194))&lt;&gt;"n/a",COUNTIF($Y$2:$Y$532,$Y194)&gt;1),AND($Z194&lt;&gt;"",LOWER(TRIM($Z194))&lt;&gt;"n/a",COUNTIF($Z$2:$Z$532,$Z194)&gt;1)),"Yes","No"),IF(AND($AL194&lt;&gt;"",LOWER(TRIM($AL194))&lt;&gt;"n/a",COUNTIF($AL$2:$AL$532,$AL194)&gt;1),"Yes","No"))))</f>
      </c>
      <c r="F194">
        <f>IF($B194&lt;&gt;"Yes","",
IF($A194="Neuron",
IF(OR(
AND($S194&lt;&gt;"",LOWER(TRIM($S194))&lt;&gt;"n/a",COUNTIFS($B$2:$B$532,"Yes",$A$2:$A$532,"Neuron",$S$2:$S$532,$S194)&gt;1),
AND($T194&lt;&gt;"",LOWER(TRIM($T194))&lt;&gt;"n/a",COUNTIFS($B$2:$B$532,"Yes",$A$2:$A$532,"Neuron",$T$2:$T$532,$T194)&gt;1),
AND($W194&lt;&gt;"",LOWER(TRIM($W194))&lt;&gt;"n/a",COUNTIFS($B$2:$B$532,"Yes",$A$2:$A$532,"Neuron",$W$2:$W$532,$W194)&gt;1)
),"Yes","No"),
IF($A194="Cybernet",
IF(OR(
AND($Y194&lt;&gt;"",LOWER(TRIM($Y194))&lt;&gt;"n/a",COUNTIFS($B$2:$B$532,"Yes",$A$2:$A$532,"Cybernet",$Y$2:$Y$532,$Y194)&gt;1),
AND($Z194&lt;&gt;"",LOWER(TRIM($Z194))&lt;&gt;"n/a",COUNTIFS($B$2:$B$532,"Yes",$A$2:$A$532,"Cybernet",$Z$2:$Z$532,$Z194)&gt;1)
),"Yes","No"),
IF(AND($AL194&lt;&gt;"",LOWER(TRIM($AL194))&lt;&gt;"n/a"),
IF(COUNTIFS($B$2:$B$532,"Yes",$A$2:$A$532,$A194,$AL$2:$AL$532,$AL194)&gt;1,"Yes","No"),
"No")
)
)
)</f>
      </c>
      <c r="BL194">
        <f>IF($T194="","",IF((IF(AND($AW194&lt;&gt;"Yes",$AW194&lt;&gt;"N/A"),"Power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",""))="","",LEFT(IF(AND($AW194&lt;&gt;"Yes",$AW194&lt;&gt;"N/A"),"Power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",""),LEN(IF(AND($AW194&lt;&gt;"Yes",$AW194&lt;&gt;"N/A"),"Power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",""))-2)))</f>
      </c>
      <c r="BM194">
        <f>IF($T194="","",IF($BL194="","Yes","Blocked"))</f>
      </c>
      <c r="BP194">
        <f>IF($BO194="","",IFERROR(VLOOKUP($BO194,'01_Warehouse_Ledger'!$A:$N,4,FALSE),""))</f>
      </c>
      <c r="BQ194">
        <f>IF($BO194="","",IFERROR(VLOOKUP($BO194,'01_Warehouse_Ledger'!$A:$N,5,FALSE),""))</f>
      </c>
      <c r="BR194">
        <f>IF($BO194="","",IFERROR(VLOOKUP($BO194,'01_Warehouse_Ledger'!$A:$N,13,FALSE),""))</f>
      </c>
    </row>
    <row r="195">
      <c r="D195">
        <f>IF($B195&lt;&gt;"Yes","",IF($C195="No","Yes",IF($C195="Yes","No","")))</f>
      </c>
      <c r="E195">
        <f>IF($A195="","",IF($A195="Neuron",IF(OR(AND($S195&lt;&gt;"",LOWER(TRIM($S195))&lt;&gt;"n/a",COUNTIF($S$2:$S$532,$S195)&gt;1),AND($T195&lt;&gt;"",LOWER(TRIM($T195))&lt;&gt;"n/a",COUNTIF($T$2:$T$532,$T195)&gt;1),AND($W195&lt;&gt;"",LOWER(TRIM($W195))&lt;&gt;"n/a",COUNTIF($W$2:$W$532,$W195)&gt;1)),"Yes","No"),IF($A195="Cybernet",IF(OR(AND($Y195&lt;&gt;"",LOWER(TRIM($Y195))&lt;&gt;"n/a",COUNTIF($Y$2:$Y$532,$Y195)&gt;1),AND($Z195&lt;&gt;"",LOWER(TRIM($Z195))&lt;&gt;"n/a",COUNTIF($Z$2:$Z$532,$Z195)&gt;1)),"Yes","No"),IF(AND($AL195&lt;&gt;"",LOWER(TRIM($AL195))&lt;&gt;"n/a",COUNTIF($AL$2:$AL$532,$AL195)&gt;1),"Yes","No"))))</f>
      </c>
      <c r="F195">
        <f>IF($B195&lt;&gt;"Yes","",
IF($A195="Neuron",
IF(OR(
AND($S195&lt;&gt;"",LOWER(TRIM($S195))&lt;&gt;"n/a",COUNTIFS($B$2:$B$532,"Yes",$A$2:$A$532,"Neuron",$S$2:$S$532,$S195)&gt;1),
AND($T195&lt;&gt;"",LOWER(TRIM($T195))&lt;&gt;"n/a",COUNTIFS($B$2:$B$532,"Yes",$A$2:$A$532,"Neuron",$T$2:$T$532,$T195)&gt;1),
AND($W195&lt;&gt;"",LOWER(TRIM($W195))&lt;&gt;"n/a",COUNTIFS($B$2:$B$532,"Yes",$A$2:$A$532,"Neuron",$W$2:$W$532,$W195)&gt;1)
),"Yes","No"),
IF($A195="Cybernet",
IF(OR(
AND($Y195&lt;&gt;"",LOWER(TRIM($Y195))&lt;&gt;"n/a",COUNTIFS($B$2:$B$532,"Yes",$A$2:$A$532,"Cybernet",$Y$2:$Y$532,$Y195)&gt;1),
AND($Z195&lt;&gt;"",LOWER(TRIM($Z195))&lt;&gt;"n/a",COUNTIFS($B$2:$B$532,"Yes",$A$2:$A$532,"Cybernet",$Z$2:$Z$532,$Z195)&gt;1)
),"Yes","No"),
IF(AND($AL195&lt;&gt;"",LOWER(TRIM($AL195))&lt;&gt;"n/a"),
IF(COUNTIFS($B$2:$B$532,"Yes",$A$2:$A$532,$A195,$AL$2:$AL$532,$AL195)&gt;1,"Yes","No"),
"No")
)
)
)</f>
      </c>
      <c r="BL195">
        <f>IF($T195="","",IF((IF(AND($AW195&lt;&gt;"Yes",$AW195&lt;&gt;"N/A"),"Power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",""))="","",LEFT(IF(AND($AW195&lt;&gt;"Yes",$AW195&lt;&gt;"N/A"),"Power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",""),LEN(IF(AND($AW195&lt;&gt;"Yes",$AW195&lt;&gt;"N/A"),"Power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",""))-2)))</f>
      </c>
      <c r="BM195">
        <f>IF($T195="","",IF($BL195="","Yes","Blocked"))</f>
      </c>
      <c r="BP195">
        <f>IF($BO195="","",IFERROR(VLOOKUP($BO195,'01_Warehouse_Ledger'!$A:$N,4,FALSE),""))</f>
      </c>
      <c r="BQ195">
        <f>IF($BO195="","",IFERROR(VLOOKUP($BO195,'01_Warehouse_Ledger'!$A:$N,5,FALSE),""))</f>
      </c>
      <c r="BR195">
        <f>IF($BO195="","",IFERROR(VLOOKUP($BO195,'01_Warehouse_Ledger'!$A:$N,13,FALSE),""))</f>
      </c>
    </row>
    <row r="196">
      <c r="D196">
        <f>IF($B196&lt;&gt;"Yes","",IF($C196="No","Yes",IF($C196="Yes","No","")))</f>
      </c>
      <c r="E196">
        <f>IF($A196="","",IF($A196="Neuron",IF(OR(AND($S196&lt;&gt;"",LOWER(TRIM($S196))&lt;&gt;"n/a",COUNTIF($S$2:$S$532,$S196)&gt;1),AND($T196&lt;&gt;"",LOWER(TRIM($T196))&lt;&gt;"n/a",COUNTIF($T$2:$T$532,$T196)&gt;1),AND($W196&lt;&gt;"",LOWER(TRIM($W196))&lt;&gt;"n/a",COUNTIF($W$2:$W$532,$W196)&gt;1)),"Yes","No"),IF($A196="Cybernet",IF(OR(AND($Y196&lt;&gt;"",LOWER(TRIM($Y196))&lt;&gt;"n/a",COUNTIF($Y$2:$Y$532,$Y196)&gt;1),AND($Z196&lt;&gt;"",LOWER(TRIM($Z196))&lt;&gt;"n/a",COUNTIF($Z$2:$Z$532,$Z196)&gt;1)),"Yes","No"),IF(AND($AL196&lt;&gt;"",LOWER(TRIM($AL196))&lt;&gt;"n/a",COUNTIF($AL$2:$AL$532,$AL196)&gt;1),"Yes","No"))))</f>
      </c>
      <c r="F196">
        <f>IF($B196&lt;&gt;"Yes","",
IF($A196="Neuron",
IF(OR(
AND($S196&lt;&gt;"",LOWER(TRIM($S196))&lt;&gt;"n/a",COUNTIFS($B$2:$B$532,"Yes",$A$2:$A$532,"Neuron",$S$2:$S$532,$S196)&gt;1),
AND($T196&lt;&gt;"",LOWER(TRIM($T196))&lt;&gt;"n/a",COUNTIFS($B$2:$B$532,"Yes",$A$2:$A$532,"Neuron",$T$2:$T$532,$T196)&gt;1),
AND($W196&lt;&gt;"",LOWER(TRIM($W196))&lt;&gt;"n/a",COUNTIFS($B$2:$B$532,"Yes",$A$2:$A$532,"Neuron",$W$2:$W$532,$W196)&gt;1)
),"Yes","No"),
IF($A196="Cybernet",
IF(OR(
AND($Y196&lt;&gt;"",LOWER(TRIM($Y196))&lt;&gt;"n/a",COUNTIFS($B$2:$B$532,"Yes",$A$2:$A$532,"Cybernet",$Y$2:$Y$532,$Y196)&gt;1),
AND($Z196&lt;&gt;"",LOWER(TRIM($Z196))&lt;&gt;"n/a",COUNTIFS($B$2:$B$532,"Yes",$A$2:$A$532,"Cybernet",$Z$2:$Z$532,$Z196)&gt;1)
),"Yes","No"),
IF(AND($AL196&lt;&gt;"",LOWER(TRIM($AL196))&lt;&gt;"n/a"),
IF(COUNTIFS($B$2:$B$532,"Yes",$A$2:$A$532,$A196,$AL$2:$AL$532,$AL196)&gt;1,"Yes","No"),
"No")
)
)
)</f>
      </c>
      <c r="BL196">
        <f>IF($T196="","",IF((IF(AND($AW196&lt;&gt;"Yes",$AW196&lt;&gt;"N/A"),"Power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",""))="","",LEFT(IF(AND($AW196&lt;&gt;"Yes",$AW196&lt;&gt;"N/A"),"Power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",""),LEN(IF(AND($AW196&lt;&gt;"Yes",$AW196&lt;&gt;"N/A"),"Power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",""))-2)))</f>
      </c>
      <c r="BM196">
        <f>IF($T196="","",IF($BL196="","Yes","Blocked"))</f>
      </c>
      <c r="BP196">
        <f>IF($BO196="","",IFERROR(VLOOKUP($BO196,'01_Warehouse_Ledger'!$A:$N,4,FALSE),""))</f>
      </c>
      <c r="BQ196">
        <f>IF($BO196="","",IFERROR(VLOOKUP($BO196,'01_Warehouse_Ledger'!$A:$N,5,FALSE),""))</f>
      </c>
      <c r="BR196">
        <f>IF($BO196="","",IFERROR(VLOOKUP($BO196,'01_Warehouse_Ledger'!$A:$N,13,FALSE),""))</f>
      </c>
    </row>
    <row r="197">
      <c r="D197">
        <f>IF($B197&lt;&gt;"Yes","",IF($C197="No","Yes",IF($C197="Yes","No","")))</f>
      </c>
      <c r="E197">
        <f>IF($A197="","",IF($A197="Neuron",IF(OR(AND($S197&lt;&gt;"",LOWER(TRIM($S197))&lt;&gt;"n/a",COUNTIF($S$2:$S$532,$S197)&gt;1),AND($T197&lt;&gt;"",LOWER(TRIM($T197))&lt;&gt;"n/a",COUNTIF($T$2:$T$532,$T197)&gt;1),AND($W197&lt;&gt;"",LOWER(TRIM($W197))&lt;&gt;"n/a",COUNTIF($W$2:$W$532,$W197)&gt;1)),"Yes","No"),IF($A197="Cybernet",IF(OR(AND($Y197&lt;&gt;"",LOWER(TRIM($Y197))&lt;&gt;"n/a",COUNTIF($Y$2:$Y$532,$Y197)&gt;1),AND($Z197&lt;&gt;"",LOWER(TRIM($Z197))&lt;&gt;"n/a",COUNTIF($Z$2:$Z$532,$Z197)&gt;1)),"Yes","No"),IF(AND($AL197&lt;&gt;"",LOWER(TRIM($AL197))&lt;&gt;"n/a",COUNTIF($AL$2:$AL$532,$AL197)&gt;1),"Yes","No"))))</f>
      </c>
      <c r="F197">
        <f>IF($B197&lt;&gt;"Yes","",
IF($A197="Neuron",
IF(OR(
AND($S197&lt;&gt;"",LOWER(TRIM($S197))&lt;&gt;"n/a",COUNTIFS($B$2:$B$532,"Yes",$A$2:$A$532,"Neuron",$S$2:$S$532,$S197)&gt;1),
AND($T197&lt;&gt;"",LOWER(TRIM($T197))&lt;&gt;"n/a",COUNTIFS($B$2:$B$532,"Yes",$A$2:$A$532,"Neuron",$T$2:$T$532,$T197)&gt;1),
AND($W197&lt;&gt;"",LOWER(TRIM($W197))&lt;&gt;"n/a",COUNTIFS($B$2:$B$532,"Yes",$A$2:$A$532,"Neuron",$W$2:$W$532,$W197)&gt;1)
),"Yes","No"),
IF($A197="Cybernet",
IF(OR(
AND($Y197&lt;&gt;"",LOWER(TRIM($Y197))&lt;&gt;"n/a",COUNTIFS($B$2:$B$532,"Yes",$A$2:$A$532,"Cybernet",$Y$2:$Y$532,$Y197)&gt;1),
AND($Z197&lt;&gt;"",LOWER(TRIM($Z197))&lt;&gt;"n/a",COUNTIFS($B$2:$B$532,"Yes",$A$2:$A$532,"Cybernet",$Z$2:$Z$532,$Z197)&gt;1)
),"Yes","No"),
IF(AND($AL197&lt;&gt;"",LOWER(TRIM($AL197))&lt;&gt;"n/a"),
IF(COUNTIFS($B$2:$B$532,"Yes",$A$2:$A$532,$A197,$AL$2:$AL$532,$AL197)&gt;1,"Yes","No"),
"No")
)
)
)</f>
      </c>
      <c r="BL197">
        <f>IF($T197="","",IF((IF(AND($AW197&lt;&gt;"Yes",$AW197&lt;&gt;"N/A"),"Power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",""))="","",LEFT(IF(AND($AW197&lt;&gt;"Yes",$AW197&lt;&gt;"N/A"),"Power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",""),LEN(IF(AND($AW197&lt;&gt;"Yes",$AW197&lt;&gt;"N/A"),"Power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",""))-2)))</f>
      </c>
      <c r="BM197">
        <f>IF($T197="","",IF($BL197="","Yes","Blocked"))</f>
      </c>
      <c r="BP197">
        <f>IF($BO197="","",IFERROR(VLOOKUP($BO197,'01_Warehouse_Ledger'!$A:$N,4,FALSE),""))</f>
      </c>
      <c r="BQ197">
        <f>IF($BO197="","",IFERROR(VLOOKUP($BO197,'01_Warehouse_Ledger'!$A:$N,5,FALSE),""))</f>
      </c>
      <c r="BR197">
        <f>IF($BO197="","",IFERROR(VLOOKUP($BO197,'01_Warehouse_Ledger'!$A:$N,13,FALSE),""))</f>
      </c>
    </row>
    <row r="198">
      <c r="D198">
        <f>IF($B198&lt;&gt;"Yes","",IF($C198="No","Yes",IF($C198="Yes","No","")))</f>
      </c>
      <c r="E198">
        <f>IF($A198="","",IF($A198="Neuron",IF(OR(AND($S198&lt;&gt;"",LOWER(TRIM($S198))&lt;&gt;"n/a",COUNTIF($S$2:$S$532,$S198)&gt;1),AND($T198&lt;&gt;"",LOWER(TRIM($T198))&lt;&gt;"n/a",COUNTIF($T$2:$T$532,$T198)&gt;1),AND($W198&lt;&gt;"",LOWER(TRIM($W198))&lt;&gt;"n/a",COUNTIF($W$2:$W$532,$W198)&gt;1)),"Yes","No"),IF($A198="Cybernet",IF(OR(AND($Y198&lt;&gt;"",LOWER(TRIM($Y198))&lt;&gt;"n/a",COUNTIF($Y$2:$Y$532,$Y198)&gt;1),AND($Z198&lt;&gt;"",LOWER(TRIM($Z198))&lt;&gt;"n/a",COUNTIF($Z$2:$Z$532,$Z198)&gt;1)),"Yes","No"),IF(AND($AL198&lt;&gt;"",LOWER(TRIM($AL198))&lt;&gt;"n/a",COUNTIF($AL$2:$AL$532,$AL198)&gt;1),"Yes","No"))))</f>
      </c>
      <c r="F198">
        <f>IF($B198&lt;&gt;"Yes","",
IF($A198="Neuron",
IF(OR(
AND($S198&lt;&gt;"",LOWER(TRIM($S198))&lt;&gt;"n/a",COUNTIFS($B$2:$B$532,"Yes",$A$2:$A$532,"Neuron",$S$2:$S$532,$S198)&gt;1),
AND($T198&lt;&gt;"",LOWER(TRIM($T198))&lt;&gt;"n/a",COUNTIFS($B$2:$B$532,"Yes",$A$2:$A$532,"Neuron",$T$2:$T$532,$T198)&gt;1),
AND($W198&lt;&gt;"",LOWER(TRIM($W198))&lt;&gt;"n/a",COUNTIFS($B$2:$B$532,"Yes",$A$2:$A$532,"Neuron",$W$2:$W$532,$W198)&gt;1)
),"Yes","No"),
IF($A198="Cybernet",
IF(OR(
AND($Y198&lt;&gt;"",LOWER(TRIM($Y198))&lt;&gt;"n/a",COUNTIFS($B$2:$B$532,"Yes",$A$2:$A$532,"Cybernet",$Y$2:$Y$532,$Y198)&gt;1),
AND($Z198&lt;&gt;"",LOWER(TRIM($Z198))&lt;&gt;"n/a",COUNTIFS($B$2:$B$532,"Yes",$A$2:$A$532,"Cybernet",$Z$2:$Z$532,$Z198)&gt;1)
),"Yes","No"),
IF(AND($AL198&lt;&gt;"",LOWER(TRIM($AL198))&lt;&gt;"n/a"),
IF(COUNTIFS($B$2:$B$532,"Yes",$A$2:$A$532,$A198,$AL$2:$AL$532,$AL198)&gt;1,"Yes","No"),
"No")
)
)
)</f>
      </c>
      <c r="BL198">
        <f>IF($T198="","",IF((IF(AND($AW198&lt;&gt;"Yes",$AW198&lt;&gt;"N/A"),"Power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",""))="","",LEFT(IF(AND($AW198&lt;&gt;"Yes",$AW198&lt;&gt;"N/A"),"Power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",""),LEN(IF(AND($AW198&lt;&gt;"Yes",$AW198&lt;&gt;"N/A"),"Power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",""))-2)))</f>
      </c>
      <c r="BM198">
        <f>IF($T198="","",IF($BL198="","Yes","Blocked"))</f>
      </c>
      <c r="BP198">
        <f>IF($BO198="","",IFERROR(VLOOKUP($BO198,'01_Warehouse_Ledger'!$A:$N,4,FALSE),""))</f>
      </c>
      <c r="BQ198">
        <f>IF($BO198="","",IFERROR(VLOOKUP($BO198,'01_Warehouse_Ledger'!$A:$N,5,FALSE),""))</f>
      </c>
      <c r="BR198">
        <f>IF($BO198="","",IFERROR(VLOOKUP($BO198,'01_Warehouse_Ledger'!$A:$N,13,FALSE),""))</f>
      </c>
    </row>
    <row r="199">
      <c r="D199">
        <f>IF($B199&lt;&gt;"Yes","",IF($C199="No","Yes",IF($C199="Yes","No","")))</f>
      </c>
      <c r="E199">
        <f>IF($A199="","",IF($A199="Neuron",IF(OR(AND($S199&lt;&gt;"",LOWER(TRIM($S199))&lt;&gt;"n/a",COUNTIF($S$2:$S$532,$S199)&gt;1),AND($T199&lt;&gt;"",LOWER(TRIM($T199))&lt;&gt;"n/a",COUNTIF($T$2:$T$532,$T199)&gt;1),AND($W199&lt;&gt;"",LOWER(TRIM($W199))&lt;&gt;"n/a",COUNTIF($W$2:$W$532,$W199)&gt;1)),"Yes","No"),IF($A199="Cybernet",IF(OR(AND($Y199&lt;&gt;"",LOWER(TRIM($Y199))&lt;&gt;"n/a",COUNTIF($Y$2:$Y$532,$Y199)&gt;1),AND($Z199&lt;&gt;"",LOWER(TRIM($Z199))&lt;&gt;"n/a",COUNTIF($Z$2:$Z$532,$Z199)&gt;1)),"Yes","No"),IF(AND($AL199&lt;&gt;"",LOWER(TRIM($AL199))&lt;&gt;"n/a",COUNTIF($AL$2:$AL$532,$AL199)&gt;1),"Yes","No"))))</f>
      </c>
      <c r="F199">
        <f>IF($B199&lt;&gt;"Yes","",
IF($A199="Neuron",
IF(OR(
AND($S199&lt;&gt;"",LOWER(TRIM($S199))&lt;&gt;"n/a",COUNTIFS($B$2:$B$532,"Yes",$A$2:$A$532,"Neuron",$S$2:$S$532,$S199)&gt;1),
AND($T199&lt;&gt;"",LOWER(TRIM($T199))&lt;&gt;"n/a",COUNTIFS($B$2:$B$532,"Yes",$A$2:$A$532,"Neuron",$T$2:$T$532,$T199)&gt;1),
AND($W199&lt;&gt;"",LOWER(TRIM($W199))&lt;&gt;"n/a",COUNTIFS($B$2:$B$532,"Yes",$A$2:$A$532,"Neuron",$W$2:$W$532,$W199)&gt;1)
),"Yes","No"),
IF($A199="Cybernet",
IF(OR(
AND($Y199&lt;&gt;"",LOWER(TRIM($Y199))&lt;&gt;"n/a",COUNTIFS($B$2:$B$532,"Yes",$A$2:$A$532,"Cybernet",$Y$2:$Y$532,$Y199)&gt;1),
AND($Z199&lt;&gt;"",LOWER(TRIM($Z199))&lt;&gt;"n/a",COUNTIFS($B$2:$B$532,"Yes",$A$2:$A$532,"Cybernet",$Z$2:$Z$532,$Z199)&gt;1)
),"Yes","No"),
IF(AND($AL199&lt;&gt;"",LOWER(TRIM($AL199))&lt;&gt;"n/a"),
IF(COUNTIFS($B$2:$B$532,"Yes",$A$2:$A$532,$A199,$AL$2:$AL$532,$AL199)&gt;1,"Yes","No"),
"No")
)
)
)</f>
      </c>
      <c r="BL199">
        <f>IF($T199="","",IF((IF(AND($AW199&lt;&gt;"Yes",$AW199&lt;&gt;"N/A"),"Power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",""))="","",LEFT(IF(AND($AW199&lt;&gt;"Yes",$AW199&lt;&gt;"N/A"),"Power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",""),LEN(IF(AND($AW199&lt;&gt;"Yes",$AW199&lt;&gt;"N/A"),"Power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",""))-2)))</f>
      </c>
      <c r="BM199">
        <f>IF($T199="","",IF($BL199="","Yes","Blocked"))</f>
      </c>
      <c r="BP199">
        <f>IF($BO199="","",IFERROR(VLOOKUP($BO199,'01_Warehouse_Ledger'!$A:$N,4,FALSE),""))</f>
      </c>
      <c r="BQ199">
        <f>IF($BO199="","",IFERROR(VLOOKUP($BO199,'01_Warehouse_Ledger'!$A:$N,5,FALSE),""))</f>
      </c>
      <c r="BR199">
        <f>IF($BO199="","",IFERROR(VLOOKUP($BO199,'01_Warehouse_Ledger'!$A:$N,13,FALSE),""))</f>
      </c>
    </row>
    <row r="200">
      <c r="D200">
        <f>IF($B200&lt;&gt;"Yes","",IF($C200="No","Yes",IF($C200="Yes","No","")))</f>
      </c>
      <c r="E200">
        <f>IF($A200="","",IF($A200="Neuron",IF(OR(AND($S200&lt;&gt;"",LOWER(TRIM($S200))&lt;&gt;"n/a",COUNTIF($S$2:$S$532,$S200)&gt;1),AND($T200&lt;&gt;"",LOWER(TRIM($T200))&lt;&gt;"n/a",COUNTIF($T$2:$T$532,$T200)&gt;1),AND($W200&lt;&gt;"",LOWER(TRIM($W200))&lt;&gt;"n/a",COUNTIF($W$2:$W$532,$W200)&gt;1)),"Yes","No"),IF($A200="Cybernet",IF(OR(AND($Y200&lt;&gt;"",LOWER(TRIM($Y200))&lt;&gt;"n/a",COUNTIF($Y$2:$Y$532,$Y200)&gt;1),AND($Z200&lt;&gt;"",LOWER(TRIM($Z200))&lt;&gt;"n/a",COUNTIF($Z$2:$Z$532,$Z200)&gt;1)),"Yes","No"),IF(AND($AL200&lt;&gt;"",LOWER(TRIM($AL200))&lt;&gt;"n/a",COUNTIF($AL$2:$AL$532,$AL200)&gt;1),"Yes","No"))))</f>
      </c>
      <c r="F200">
        <f>IF($B200&lt;&gt;"Yes","",
IF($A200="Neuron",
IF(OR(
AND($S200&lt;&gt;"",LOWER(TRIM($S200))&lt;&gt;"n/a",COUNTIFS($B$2:$B$532,"Yes",$A$2:$A$532,"Neuron",$S$2:$S$532,$S200)&gt;1),
AND($T200&lt;&gt;"",LOWER(TRIM($T200))&lt;&gt;"n/a",COUNTIFS($B$2:$B$532,"Yes",$A$2:$A$532,"Neuron",$T$2:$T$532,$T200)&gt;1),
AND($W200&lt;&gt;"",LOWER(TRIM($W200))&lt;&gt;"n/a",COUNTIFS($B$2:$B$532,"Yes",$A$2:$A$532,"Neuron",$W$2:$W$532,$W200)&gt;1)
),"Yes","No"),
IF($A200="Cybernet",
IF(OR(
AND($Y200&lt;&gt;"",LOWER(TRIM($Y200))&lt;&gt;"n/a",COUNTIFS($B$2:$B$532,"Yes",$A$2:$A$532,"Cybernet",$Y$2:$Y$532,$Y200)&gt;1),
AND($Z200&lt;&gt;"",LOWER(TRIM($Z200))&lt;&gt;"n/a",COUNTIFS($B$2:$B$532,"Yes",$A$2:$A$532,"Cybernet",$Z$2:$Z$532,$Z200)&gt;1)
),"Yes","No"),
IF(AND($AL200&lt;&gt;"",LOWER(TRIM($AL200))&lt;&gt;"n/a"),
IF(COUNTIFS($B$2:$B$532,"Yes",$A$2:$A$532,$A200,$AL$2:$AL$532,$AL200)&gt;1,"Yes","No"),
"No")
)
)
)</f>
      </c>
      <c r="BL200">
        <f>IF($T200="","",IF((IF(AND($AW200&lt;&gt;"Yes",$AW200&lt;&gt;"N/A"),"Power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",""))="","",LEFT(IF(AND($AW200&lt;&gt;"Yes",$AW200&lt;&gt;"N/A"),"Power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",""),LEN(IF(AND($AW200&lt;&gt;"Yes",$AW200&lt;&gt;"N/A"),"Power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",""))-2)))</f>
      </c>
      <c r="BM200">
        <f>IF($T200="","",IF($BL200="","Yes","Blocked"))</f>
      </c>
      <c r="BP200">
        <f>IF($BO200="","",IFERROR(VLOOKUP($BO200,'01_Warehouse_Ledger'!$A:$N,4,FALSE),""))</f>
      </c>
      <c r="BQ200">
        <f>IF($BO200="","",IFERROR(VLOOKUP($BO200,'01_Warehouse_Ledger'!$A:$N,5,FALSE),""))</f>
      </c>
      <c r="BR200">
        <f>IF($BO200="","",IFERROR(VLOOKUP($BO200,'01_Warehouse_Ledger'!$A:$N,13,FALSE),""))</f>
      </c>
    </row>
    <row r="201">
      <c r="D201">
        <f>IF($B201&lt;&gt;"Yes","",IF($C201="No","Yes",IF($C201="Yes","No","")))</f>
      </c>
      <c r="E201">
        <f>IF($A201="","",IF($A201="Neuron",IF(OR(AND($S201&lt;&gt;"",LOWER(TRIM($S201))&lt;&gt;"n/a",COUNTIF($S$2:$S$532,$S201)&gt;1),AND($T201&lt;&gt;"",LOWER(TRIM($T201))&lt;&gt;"n/a",COUNTIF($T$2:$T$532,$T201)&gt;1),AND($W201&lt;&gt;"",LOWER(TRIM($W201))&lt;&gt;"n/a",COUNTIF($W$2:$W$532,$W201)&gt;1)),"Yes","No"),IF($A201="Cybernet",IF(OR(AND($Y201&lt;&gt;"",LOWER(TRIM($Y201))&lt;&gt;"n/a",COUNTIF($Y$2:$Y$532,$Y201)&gt;1),AND($Z201&lt;&gt;"",LOWER(TRIM($Z201))&lt;&gt;"n/a",COUNTIF($Z$2:$Z$532,$Z201)&gt;1)),"Yes","No"),IF(AND($AL201&lt;&gt;"",LOWER(TRIM($AL201))&lt;&gt;"n/a",COUNTIF($AL$2:$AL$532,$AL201)&gt;1),"Yes","No"))))</f>
      </c>
      <c r="F201">
        <f>IF($B201&lt;&gt;"Yes","",
IF($A201="Neuron",
IF(OR(
AND($S201&lt;&gt;"",LOWER(TRIM($S201))&lt;&gt;"n/a",COUNTIFS($B$2:$B$532,"Yes",$A$2:$A$532,"Neuron",$S$2:$S$532,$S201)&gt;1),
AND($T201&lt;&gt;"",LOWER(TRIM($T201))&lt;&gt;"n/a",COUNTIFS($B$2:$B$532,"Yes",$A$2:$A$532,"Neuron",$T$2:$T$532,$T201)&gt;1),
AND($W201&lt;&gt;"",LOWER(TRIM($W201))&lt;&gt;"n/a",COUNTIFS($B$2:$B$532,"Yes",$A$2:$A$532,"Neuron",$W$2:$W$532,$W201)&gt;1)
),"Yes","No"),
IF($A201="Cybernet",
IF(OR(
AND($Y201&lt;&gt;"",LOWER(TRIM($Y201))&lt;&gt;"n/a",COUNTIFS($B$2:$B$532,"Yes",$A$2:$A$532,"Cybernet",$Y$2:$Y$532,$Y201)&gt;1),
AND($Z201&lt;&gt;"",LOWER(TRIM($Z201))&lt;&gt;"n/a",COUNTIFS($B$2:$B$532,"Yes",$A$2:$A$532,"Cybernet",$Z$2:$Z$532,$Z201)&gt;1)
),"Yes","No"),
IF(AND($AL201&lt;&gt;"",LOWER(TRIM($AL201))&lt;&gt;"n/a"),
IF(COUNTIFS($B$2:$B$532,"Yes",$A$2:$A$532,$A201,$AL$2:$AL$532,$AL201)&gt;1,"Yes","No"),
"No")
)
)
)</f>
      </c>
      <c r="BL201">
        <f>IF($T201="","",IF((IF(AND($AW201&lt;&gt;"Yes",$AW201&lt;&gt;"N/A"),"Power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",""))="","",LEFT(IF(AND($AW201&lt;&gt;"Yes",$AW201&lt;&gt;"N/A"),"Power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",""),LEN(IF(AND($AW201&lt;&gt;"Yes",$AW201&lt;&gt;"N/A"),"Power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",""))-2)))</f>
      </c>
      <c r="BM201">
        <f>IF($T201="","",IF($BL201="","Yes","Blocked"))</f>
      </c>
      <c r="BP201">
        <f>IF($BO201="","",IFERROR(VLOOKUP($BO201,'01_Warehouse_Ledger'!$A:$N,4,FALSE),""))</f>
      </c>
      <c r="BQ201">
        <f>IF($BO201="","",IFERROR(VLOOKUP($BO201,'01_Warehouse_Ledger'!$A:$N,5,FALSE),""))</f>
      </c>
      <c r="BR201">
        <f>IF($BO201="","",IFERROR(VLOOKUP($BO201,'01_Warehouse_Ledger'!$A:$N,13,FALSE),""))</f>
      </c>
    </row>
    <row r="202">
      <c r="D202">
        <f>IF($B202&lt;&gt;"Yes","",IF($C202="No","Yes",IF($C202="Yes","No","")))</f>
      </c>
      <c r="E202">
        <f>IF($A202="","",IF($A202="Neuron",IF(OR(AND($S202&lt;&gt;"",LOWER(TRIM($S202))&lt;&gt;"n/a",COUNTIF($S$2:$S$532,$S202)&gt;1),AND($T202&lt;&gt;"",LOWER(TRIM($T202))&lt;&gt;"n/a",COUNTIF($T$2:$T$532,$T202)&gt;1),AND($W202&lt;&gt;"",LOWER(TRIM($W202))&lt;&gt;"n/a",COUNTIF($W$2:$W$532,$W202)&gt;1)),"Yes","No"),IF($A202="Cybernet",IF(OR(AND($Y202&lt;&gt;"",LOWER(TRIM($Y202))&lt;&gt;"n/a",COUNTIF($Y$2:$Y$532,$Y202)&gt;1),AND($Z202&lt;&gt;"",LOWER(TRIM($Z202))&lt;&gt;"n/a",COUNTIF($Z$2:$Z$532,$Z202)&gt;1)),"Yes","No"),IF(AND($AL202&lt;&gt;"",LOWER(TRIM($AL202))&lt;&gt;"n/a",COUNTIF($AL$2:$AL$532,$AL202)&gt;1),"Yes","No"))))</f>
      </c>
      <c r="F202">
        <f>IF($B202&lt;&gt;"Yes","",
IF($A202="Neuron",
IF(OR(
AND($S202&lt;&gt;"",LOWER(TRIM($S202))&lt;&gt;"n/a",COUNTIFS($B$2:$B$532,"Yes",$A$2:$A$532,"Neuron",$S$2:$S$532,$S202)&gt;1),
AND($T202&lt;&gt;"",LOWER(TRIM($T202))&lt;&gt;"n/a",COUNTIFS($B$2:$B$532,"Yes",$A$2:$A$532,"Neuron",$T$2:$T$532,$T202)&gt;1),
AND($W202&lt;&gt;"",LOWER(TRIM($W202))&lt;&gt;"n/a",COUNTIFS($B$2:$B$532,"Yes",$A$2:$A$532,"Neuron",$W$2:$W$532,$W202)&gt;1)
),"Yes","No"),
IF($A202="Cybernet",
IF(OR(
AND($Y202&lt;&gt;"",LOWER(TRIM($Y202))&lt;&gt;"n/a",COUNTIFS($B$2:$B$532,"Yes",$A$2:$A$532,"Cybernet",$Y$2:$Y$532,$Y202)&gt;1),
AND($Z202&lt;&gt;"",LOWER(TRIM($Z202))&lt;&gt;"n/a",COUNTIFS($B$2:$B$532,"Yes",$A$2:$A$532,"Cybernet",$Z$2:$Z$532,$Z202)&gt;1)
),"Yes","No"),
IF(AND($AL202&lt;&gt;"",LOWER(TRIM($AL202))&lt;&gt;"n/a"),
IF(COUNTIFS($B$2:$B$532,"Yes",$A$2:$A$532,$A202,$AL$2:$AL$532,$AL202)&gt;1,"Yes","No"),
"No")
)
)
)</f>
      </c>
      <c r="BL202">
        <f>IF($T202="","",IF((IF(AND($AW202&lt;&gt;"Yes",$AW202&lt;&gt;"N/A"),"Power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",""))="","",LEFT(IF(AND($AW202&lt;&gt;"Yes",$AW202&lt;&gt;"N/A"),"Power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",""),LEN(IF(AND($AW202&lt;&gt;"Yes",$AW202&lt;&gt;"N/A"),"Power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",""))-2)))</f>
      </c>
      <c r="BM202">
        <f>IF($T202="","",IF($BL202="","Yes","Blocked"))</f>
      </c>
      <c r="BP202">
        <f>IF($BO202="","",IFERROR(VLOOKUP($BO202,'01_Warehouse_Ledger'!$A:$N,4,FALSE),""))</f>
      </c>
      <c r="BQ202">
        <f>IF($BO202="","",IFERROR(VLOOKUP($BO202,'01_Warehouse_Ledger'!$A:$N,5,FALSE),""))</f>
      </c>
      <c r="BR202">
        <f>IF($BO202="","",IFERROR(VLOOKUP($BO202,'01_Warehouse_Ledger'!$A:$N,13,FALSE),""))</f>
      </c>
    </row>
    <row r="203">
      <c r="D203">
        <f>IF($B203&lt;&gt;"Yes","",IF($C203="No","Yes",IF($C203="Yes","No","")))</f>
      </c>
      <c r="E203">
        <f>IF($A203="","",IF($A203="Neuron",IF(OR(AND($S203&lt;&gt;"",LOWER(TRIM($S203))&lt;&gt;"n/a",COUNTIF($S$2:$S$532,$S203)&gt;1),AND($T203&lt;&gt;"",LOWER(TRIM($T203))&lt;&gt;"n/a",COUNTIF($T$2:$T$532,$T203)&gt;1),AND($W203&lt;&gt;"",LOWER(TRIM($W203))&lt;&gt;"n/a",COUNTIF($W$2:$W$532,$W203)&gt;1)),"Yes","No"),IF($A203="Cybernet",IF(OR(AND($Y203&lt;&gt;"",LOWER(TRIM($Y203))&lt;&gt;"n/a",COUNTIF($Y$2:$Y$532,$Y203)&gt;1),AND($Z203&lt;&gt;"",LOWER(TRIM($Z203))&lt;&gt;"n/a",COUNTIF($Z$2:$Z$532,$Z203)&gt;1)),"Yes","No"),IF(AND($AL203&lt;&gt;"",LOWER(TRIM($AL203))&lt;&gt;"n/a",COUNTIF($AL$2:$AL$532,$AL203)&gt;1),"Yes","No"))))</f>
      </c>
      <c r="F203">
        <f>IF($B203&lt;&gt;"Yes","",
IF($A203="Neuron",
IF(OR(
AND($S203&lt;&gt;"",LOWER(TRIM($S203))&lt;&gt;"n/a",COUNTIFS($B$2:$B$532,"Yes",$A$2:$A$532,"Neuron",$S$2:$S$532,$S203)&gt;1),
AND($T203&lt;&gt;"",LOWER(TRIM($T203))&lt;&gt;"n/a",COUNTIFS($B$2:$B$532,"Yes",$A$2:$A$532,"Neuron",$T$2:$T$532,$T203)&gt;1),
AND($W203&lt;&gt;"",LOWER(TRIM($W203))&lt;&gt;"n/a",COUNTIFS($B$2:$B$532,"Yes",$A$2:$A$532,"Neuron",$W$2:$W$532,$W203)&gt;1)
),"Yes","No"),
IF($A203="Cybernet",
IF(OR(
AND($Y203&lt;&gt;"",LOWER(TRIM($Y203))&lt;&gt;"n/a",COUNTIFS($B$2:$B$532,"Yes",$A$2:$A$532,"Cybernet",$Y$2:$Y$532,$Y203)&gt;1),
AND($Z203&lt;&gt;"",LOWER(TRIM($Z203))&lt;&gt;"n/a",COUNTIFS($B$2:$B$532,"Yes",$A$2:$A$532,"Cybernet",$Z$2:$Z$532,$Z203)&gt;1)
),"Yes","No"),
IF(AND($AL203&lt;&gt;"",LOWER(TRIM($AL203))&lt;&gt;"n/a"),
IF(COUNTIFS($B$2:$B$532,"Yes",$A$2:$A$532,$A203,$AL$2:$AL$532,$AL203)&gt;1,"Yes","No"),
"No")
)
)
)</f>
      </c>
      <c r="BL203">
        <f>IF($T203="","",IF((IF(AND($AW203&lt;&gt;"Yes",$AW203&lt;&gt;"N/A"),"Power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",""))="","",LEFT(IF(AND($AW203&lt;&gt;"Yes",$AW203&lt;&gt;"N/A"),"Power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",""),LEN(IF(AND($AW203&lt;&gt;"Yes",$AW203&lt;&gt;"N/A"),"Power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",""))-2)))</f>
      </c>
      <c r="BM203">
        <f>IF($T203="","",IF($BL203="","Yes","Blocked"))</f>
      </c>
      <c r="BP203">
        <f>IF($BO203="","",IFERROR(VLOOKUP($BO203,'01_Warehouse_Ledger'!$A:$N,4,FALSE),""))</f>
      </c>
      <c r="BQ203">
        <f>IF($BO203="","",IFERROR(VLOOKUP($BO203,'01_Warehouse_Ledger'!$A:$N,5,FALSE),""))</f>
      </c>
      <c r="BR203">
        <f>IF($BO203="","",IFERROR(VLOOKUP($BO203,'01_Warehouse_Ledger'!$A:$N,13,FALSE),""))</f>
      </c>
    </row>
    <row r="204">
      <c r="D204">
        <f>IF($B204&lt;&gt;"Yes","",IF($C204="No","Yes",IF($C204="Yes","No","")))</f>
      </c>
      <c r="E204">
        <f>IF($A204="","",IF($A204="Neuron",IF(OR(AND($S204&lt;&gt;"",LOWER(TRIM($S204))&lt;&gt;"n/a",COUNTIF($S$2:$S$532,$S204)&gt;1),AND($T204&lt;&gt;"",LOWER(TRIM($T204))&lt;&gt;"n/a",COUNTIF($T$2:$T$532,$T204)&gt;1),AND($W204&lt;&gt;"",LOWER(TRIM($W204))&lt;&gt;"n/a",COUNTIF($W$2:$W$532,$W204)&gt;1)),"Yes","No"),IF($A204="Cybernet",IF(OR(AND($Y204&lt;&gt;"",LOWER(TRIM($Y204))&lt;&gt;"n/a",COUNTIF($Y$2:$Y$532,$Y204)&gt;1),AND($Z204&lt;&gt;"",LOWER(TRIM($Z204))&lt;&gt;"n/a",COUNTIF($Z$2:$Z$532,$Z204)&gt;1)),"Yes","No"),IF(AND($AL204&lt;&gt;"",LOWER(TRIM($AL204))&lt;&gt;"n/a",COUNTIF($AL$2:$AL$532,$AL204)&gt;1),"Yes","No"))))</f>
      </c>
      <c r="F204">
        <f>IF($B204&lt;&gt;"Yes","",
IF($A204="Neuron",
IF(OR(
AND($S204&lt;&gt;"",LOWER(TRIM($S204))&lt;&gt;"n/a",COUNTIFS($B$2:$B$532,"Yes",$A$2:$A$532,"Neuron",$S$2:$S$532,$S204)&gt;1),
AND($T204&lt;&gt;"",LOWER(TRIM($T204))&lt;&gt;"n/a",COUNTIFS($B$2:$B$532,"Yes",$A$2:$A$532,"Neuron",$T$2:$T$532,$T204)&gt;1),
AND($W204&lt;&gt;"",LOWER(TRIM($W204))&lt;&gt;"n/a",COUNTIFS($B$2:$B$532,"Yes",$A$2:$A$532,"Neuron",$W$2:$W$532,$W204)&gt;1)
),"Yes","No"),
IF($A204="Cybernet",
IF(OR(
AND($Y204&lt;&gt;"",LOWER(TRIM($Y204))&lt;&gt;"n/a",COUNTIFS($B$2:$B$532,"Yes",$A$2:$A$532,"Cybernet",$Y$2:$Y$532,$Y204)&gt;1),
AND($Z204&lt;&gt;"",LOWER(TRIM($Z204))&lt;&gt;"n/a",COUNTIFS($B$2:$B$532,"Yes",$A$2:$A$532,"Cybernet",$Z$2:$Z$532,$Z204)&gt;1)
),"Yes","No"),
IF(AND($AL204&lt;&gt;"",LOWER(TRIM($AL204))&lt;&gt;"n/a"),
IF(COUNTIFS($B$2:$B$532,"Yes",$A$2:$A$532,$A204,$AL$2:$AL$532,$AL204)&gt;1,"Yes","No"),
"No")
)
)
)</f>
      </c>
      <c r="BL204">
        <f>IF($T204="","",IF((IF(AND($AW204&lt;&gt;"Yes",$AW204&lt;&gt;"N/A"),"Power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",""))="","",LEFT(IF(AND($AW204&lt;&gt;"Yes",$AW204&lt;&gt;"N/A"),"Power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",""),LEN(IF(AND($AW204&lt;&gt;"Yes",$AW204&lt;&gt;"N/A"),"Power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",""))-2)))</f>
      </c>
      <c r="BM204">
        <f>IF($T204="","",IF($BL204="","Yes","Blocked"))</f>
      </c>
      <c r="BP204">
        <f>IF($BO204="","",IFERROR(VLOOKUP($BO204,'01_Warehouse_Ledger'!$A:$N,4,FALSE),""))</f>
      </c>
      <c r="BQ204">
        <f>IF($BO204="","",IFERROR(VLOOKUP($BO204,'01_Warehouse_Ledger'!$A:$N,5,FALSE),""))</f>
      </c>
      <c r="BR204">
        <f>IF($BO204="","",IFERROR(VLOOKUP($BO204,'01_Warehouse_Ledger'!$A:$N,13,FALSE),""))</f>
      </c>
    </row>
    <row r="205">
      <c r="D205">
        <f>IF($B205&lt;&gt;"Yes","",IF($C205="No","Yes",IF($C205="Yes","No","")))</f>
      </c>
      <c r="E205">
        <f>IF($A205="","",IF($A205="Neuron",IF(OR(AND($S205&lt;&gt;"",LOWER(TRIM($S205))&lt;&gt;"n/a",COUNTIF($S$2:$S$532,$S205)&gt;1),AND($T205&lt;&gt;"",LOWER(TRIM($T205))&lt;&gt;"n/a",COUNTIF($T$2:$T$532,$T205)&gt;1),AND($W205&lt;&gt;"",LOWER(TRIM($W205))&lt;&gt;"n/a",COUNTIF($W$2:$W$532,$W205)&gt;1)),"Yes","No"),IF($A205="Cybernet",IF(OR(AND($Y205&lt;&gt;"",LOWER(TRIM($Y205))&lt;&gt;"n/a",COUNTIF($Y$2:$Y$532,$Y205)&gt;1),AND($Z205&lt;&gt;"",LOWER(TRIM($Z205))&lt;&gt;"n/a",COUNTIF($Z$2:$Z$532,$Z205)&gt;1)),"Yes","No"),IF(AND($AL205&lt;&gt;"",LOWER(TRIM($AL205))&lt;&gt;"n/a",COUNTIF($AL$2:$AL$532,$AL205)&gt;1),"Yes","No"))))</f>
      </c>
      <c r="F205">
        <f>IF($B205&lt;&gt;"Yes","",
IF($A205="Neuron",
IF(OR(
AND($S205&lt;&gt;"",LOWER(TRIM($S205))&lt;&gt;"n/a",COUNTIFS($B$2:$B$532,"Yes",$A$2:$A$532,"Neuron",$S$2:$S$532,$S205)&gt;1),
AND($T205&lt;&gt;"",LOWER(TRIM($T205))&lt;&gt;"n/a",COUNTIFS($B$2:$B$532,"Yes",$A$2:$A$532,"Neuron",$T$2:$T$532,$T205)&gt;1),
AND($W205&lt;&gt;"",LOWER(TRIM($W205))&lt;&gt;"n/a",COUNTIFS($B$2:$B$532,"Yes",$A$2:$A$532,"Neuron",$W$2:$W$532,$W205)&gt;1)
),"Yes","No"),
IF($A205="Cybernet",
IF(OR(
AND($Y205&lt;&gt;"",LOWER(TRIM($Y205))&lt;&gt;"n/a",COUNTIFS($B$2:$B$532,"Yes",$A$2:$A$532,"Cybernet",$Y$2:$Y$532,$Y205)&gt;1),
AND($Z205&lt;&gt;"",LOWER(TRIM($Z205))&lt;&gt;"n/a",COUNTIFS($B$2:$B$532,"Yes",$A$2:$A$532,"Cybernet",$Z$2:$Z$532,$Z205)&gt;1)
),"Yes","No"),
IF(AND($AL205&lt;&gt;"",LOWER(TRIM($AL205))&lt;&gt;"n/a"),
IF(COUNTIFS($B$2:$B$532,"Yes",$A$2:$A$532,$A205,$AL$2:$AL$532,$AL205)&gt;1,"Yes","No"),
"No")
)
)
)</f>
      </c>
      <c r="BL205">
        <f>IF($T205="","",IF((IF(AND($AW205&lt;&gt;"Yes",$AW205&lt;&gt;"N/A"),"Power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",""))="","",LEFT(IF(AND($AW205&lt;&gt;"Yes",$AW205&lt;&gt;"N/A"),"Power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",""),LEN(IF(AND($AW205&lt;&gt;"Yes",$AW205&lt;&gt;"N/A"),"Power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",""))-2)))</f>
      </c>
      <c r="BM205">
        <f>IF($T205="","",IF($BL205="","Yes","Blocked"))</f>
      </c>
      <c r="BP205">
        <f>IF($BO205="","",IFERROR(VLOOKUP($BO205,'01_Warehouse_Ledger'!$A:$N,4,FALSE),""))</f>
      </c>
      <c r="BQ205">
        <f>IF($BO205="","",IFERROR(VLOOKUP($BO205,'01_Warehouse_Ledger'!$A:$N,5,FALSE),""))</f>
      </c>
      <c r="BR205">
        <f>IF($BO205="","",IFERROR(VLOOKUP($BO205,'01_Warehouse_Ledger'!$A:$N,13,FALSE),""))</f>
      </c>
    </row>
    <row r="206">
      <c r="D206">
        <f>IF($B206&lt;&gt;"Yes","",IF($C206="No","Yes",IF($C206="Yes","No","")))</f>
      </c>
      <c r="E206">
        <f>IF($A206="","",IF($A206="Neuron",IF(OR(AND($S206&lt;&gt;"",LOWER(TRIM($S206))&lt;&gt;"n/a",COUNTIF($S$2:$S$532,$S206)&gt;1),AND($T206&lt;&gt;"",LOWER(TRIM($T206))&lt;&gt;"n/a",COUNTIF($T$2:$T$532,$T206)&gt;1),AND($W206&lt;&gt;"",LOWER(TRIM($W206))&lt;&gt;"n/a",COUNTIF($W$2:$W$532,$W206)&gt;1)),"Yes","No"),IF($A206="Cybernet",IF(OR(AND($Y206&lt;&gt;"",LOWER(TRIM($Y206))&lt;&gt;"n/a",COUNTIF($Y$2:$Y$532,$Y206)&gt;1),AND($Z206&lt;&gt;"",LOWER(TRIM($Z206))&lt;&gt;"n/a",COUNTIF($Z$2:$Z$532,$Z206)&gt;1)),"Yes","No"),IF(AND($AL206&lt;&gt;"",LOWER(TRIM($AL206))&lt;&gt;"n/a",COUNTIF($AL$2:$AL$532,$AL206)&gt;1),"Yes","No"))))</f>
      </c>
      <c r="F206">
        <f>IF($B206&lt;&gt;"Yes","",
IF($A206="Neuron",
IF(OR(
AND($S206&lt;&gt;"",LOWER(TRIM($S206))&lt;&gt;"n/a",COUNTIFS($B$2:$B$532,"Yes",$A$2:$A$532,"Neuron",$S$2:$S$532,$S206)&gt;1),
AND($T206&lt;&gt;"",LOWER(TRIM($T206))&lt;&gt;"n/a",COUNTIFS($B$2:$B$532,"Yes",$A$2:$A$532,"Neuron",$T$2:$T$532,$T206)&gt;1),
AND($W206&lt;&gt;"",LOWER(TRIM($W206))&lt;&gt;"n/a",COUNTIFS($B$2:$B$532,"Yes",$A$2:$A$532,"Neuron",$W$2:$W$532,$W206)&gt;1)
),"Yes","No"),
IF($A206="Cybernet",
IF(OR(
AND($Y206&lt;&gt;"",LOWER(TRIM($Y206))&lt;&gt;"n/a",COUNTIFS($B$2:$B$532,"Yes",$A$2:$A$532,"Cybernet",$Y$2:$Y$532,$Y206)&gt;1),
AND($Z206&lt;&gt;"",LOWER(TRIM($Z206))&lt;&gt;"n/a",COUNTIFS($B$2:$B$532,"Yes",$A$2:$A$532,"Cybernet",$Z$2:$Z$532,$Z206)&gt;1)
),"Yes","No"),
IF(AND($AL206&lt;&gt;"",LOWER(TRIM($AL206))&lt;&gt;"n/a"),
IF(COUNTIFS($B$2:$B$532,"Yes",$A$2:$A$532,$A206,$AL$2:$AL$532,$AL206)&gt;1,"Yes","No"),
"No")
)
)
)</f>
      </c>
      <c r="BL206">
        <f>IF($T206="","",IF((IF(AND($AW206&lt;&gt;"Yes",$AW206&lt;&gt;"N/A"),"Power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",""))="","",LEFT(IF(AND($AW206&lt;&gt;"Yes",$AW206&lt;&gt;"N/A"),"Power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",""),LEN(IF(AND($AW206&lt;&gt;"Yes",$AW206&lt;&gt;"N/A"),"Power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",""))-2)))</f>
      </c>
      <c r="BM206">
        <f>IF($T206="","",IF($BL206="","Yes","Blocked"))</f>
      </c>
      <c r="BP206">
        <f>IF($BO206="","",IFERROR(VLOOKUP($BO206,'01_Warehouse_Ledger'!$A:$N,4,FALSE),""))</f>
      </c>
      <c r="BQ206">
        <f>IF($BO206="","",IFERROR(VLOOKUP($BO206,'01_Warehouse_Ledger'!$A:$N,5,FALSE),""))</f>
      </c>
      <c r="BR206">
        <f>IF($BO206="","",IFERROR(VLOOKUP($BO206,'01_Warehouse_Ledger'!$A:$N,13,FALSE),""))</f>
      </c>
    </row>
    <row r="207">
      <c r="D207">
        <f>IF($B207&lt;&gt;"Yes","",IF($C207="No","Yes",IF($C207="Yes","No","")))</f>
      </c>
      <c r="E207">
        <f>IF($A207="","",IF($A207="Neuron",IF(OR(AND($S207&lt;&gt;"",LOWER(TRIM($S207))&lt;&gt;"n/a",COUNTIF($S$2:$S$532,$S207)&gt;1),AND($T207&lt;&gt;"",LOWER(TRIM($T207))&lt;&gt;"n/a",COUNTIF($T$2:$T$532,$T207)&gt;1),AND($W207&lt;&gt;"",LOWER(TRIM($W207))&lt;&gt;"n/a",COUNTIF($W$2:$W$532,$W207)&gt;1)),"Yes","No"),IF($A207="Cybernet",IF(OR(AND($Y207&lt;&gt;"",LOWER(TRIM($Y207))&lt;&gt;"n/a",COUNTIF($Y$2:$Y$532,$Y207)&gt;1),AND($Z207&lt;&gt;"",LOWER(TRIM($Z207))&lt;&gt;"n/a",COUNTIF($Z$2:$Z$532,$Z207)&gt;1)),"Yes","No"),IF(AND($AL207&lt;&gt;"",LOWER(TRIM($AL207))&lt;&gt;"n/a",COUNTIF($AL$2:$AL$532,$AL207)&gt;1),"Yes","No"))))</f>
      </c>
      <c r="F207">
        <f>IF($B207&lt;&gt;"Yes","",
IF($A207="Neuron",
IF(OR(
AND($S207&lt;&gt;"",LOWER(TRIM($S207))&lt;&gt;"n/a",COUNTIFS($B$2:$B$532,"Yes",$A$2:$A$532,"Neuron",$S$2:$S$532,$S207)&gt;1),
AND($T207&lt;&gt;"",LOWER(TRIM($T207))&lt;&gt;"n/a",COUNTIFS($B$2:$B$532,"Yes",$A$2:$A$532,"Neuron",$T$2:$T$532,$T207)&gt;1),
AND($W207&lt;&gt;"",LOWER(TRIM($W207))&lt;&gt;"n/a",COUNTIFS($B$2:$B$532,"Yes",$A$2:$A$532,"Neuron",$W$2:$W$532,$W207)&gt;1)
),"Yes","No"),
IF($A207="Cybernet",
IF(OR(
AND($Y207&lt;&gt;"",LOWER(TRIM($Y207))&lt;&gt;"n/a",COUNTIFS($B$2:$B$532,"Yes",$A$2:$A$532,"Cybernet",$Y$2:$Y$532,$Y207)&gt;1),
AND($Z207&lt;&gt;"",LOWER(TRIM($Z207))&lt;&gt;"n/a",COUNTIFS($B$2:$B$532,"Yes",$A$2:$A$532,"Cybernet",$Z$2:$Z$532,$Z207)&gt;1)
),"Yes","No"),
IF(AND($AL207&lt;&gt;"",LOWER(TRIM($AL207))&lt;&gt;"n/a"),
IF(COUNTIFS($B$2:$B$532,"Yes",$A$2:$A$532,$A207,$AL$2:$AL$532,$AL207)&gt;1,"Yes","No"),
"No")
)
)
)</f>
      </c>
      <c r="BL207">
        <f>IF($T207="","",IF((IF(AND($AW207&lt;&gt;"Yes",$AW207&lt;&gt;"N/A"),"Power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",""))="","",LEFT(IF(AND($AW207&lt;&gt;"Yes",$AW207&lt;&gt;"N/A"),"Power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",""),LEN(IF(AND($AW207&lt;&gt;"Yes",$AW207&lt;&gt;"N/A"),"Power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",""))-2)))</f>
      </c>
      <c r="BM207">
        <f>IF($T207="","",IF($BL207="","Yes","Blocked"))</f>
      </c>
      <c r="BP207">
        <f>IF($BO207="","",IFERROR(VLOOKUP($BO207,'01_Warehouse_Ledger'!$A:$N,4,FALSE),""))</f>
      </c>
      <c r="BQ207">
        <f>IF($BO207="","",IFERROR(VLOOKUP($BO207,'01_Warehouse_Ledger'!$A:$N,5,FALSE),""))</f>
      </c>
      <c r="BR207">
        <f>IF($BO207="","",IFERROR(VLOOKUP($BO207,'01_Warehouse_Ledger'!$A:$N,13,FALSE),""))</f>
      </c>
    </row>
    <row r="208">
      <c r="D208">
        <f>IF($B208&lt;&gt;"Yes","",IF($C208="No","Yes",IF($C208="Yes","No","")))</f>
      </c>
      <c r="E208">
        <f>IF($A208="","",IF($A208="Neuron",IF(OR(AND($S208&lt;&gt;"",LOWER(TRIM($S208))&lt;&gt;"n/a",COUNTIF($S$2:$S$532,$S208)&gt;1),AND($T208&lt;&gt;"",LOWER(TRIM($T208))&lt;&gt;"n/a",COUNTIF($T$2:$T$532,$T208)&gt;1),AND($W208&lt;&gt;"",LOWER(TRIM($W208))&lt;&gt;"n/a",COUNTIF($W$2:$W$532,$W208)&gt;1)),"Yes","No"),IF($A208="Cybernet",IF(OR(AND($Y208&lt;&gt;"",LOWER(TRIM($Y208))&lt;&gt;"n/a",COUNTIF($Y$2:$Y$532,$Y208)&gt;1),AND($Z208&lt;&gt;"",LOWER(TRIM($Z208))&lt;&gt;"n/a",COUNTIF($Z$2:$Z$532,$Z208)&gt;1)),"Yes","No"),IF(AND($AL208&lt;&gt;"",LOWER(TRIM($AL208))&lt;&gt;"n/a",COUNTIF($AL$2:$AL$532,$AL208)&gt;1),"Yes","No"))))</f>
      </c>
      <c r="F208">
        <f>IF($B208&lt;&gt;"Yes","",
IF($A208="Neuron",
IF(OR(
AND($S208&lt;&gt;"",LOWER(TRIM($S208))&lt;&gt;"n/a",COUNTIFS($B$2:$B$532,"Yes",$A$2:$A$532,"Neuron",$S$2:$S$532,$S208)&gt;1),
AND($T208&lt;&gt;"",LOWER(TRIM($T208))&lt;&gt;"n/a",COUNTIFS($B$2:$B$532,"Yes",$A$2:$A$532,"Neuron",$T$2:$T$532,$T208)&gt;1),
AND($W208&lt;&gt;"",LOWER(TRIM($W208))&lt;&gt;"n/a",COUNTIFS($B$2:$B$532,"Yes",$A$2:$A$532,"Neuron",$W$2:$W$532,$W208)&gt;1)
),"Yes","No"),
IF($A208="Cybernet",
IF(OR(
AND($Y208&lt;&gt;"",LOWER(TRIM($Y208))&lt;&gt;"n/a",COUNTIFS($B$2:$B$532,"Yes",$A$2:$A$532,"Cybernet",$Y$2:$Y$532,$Y208)&gt;1),
AND($Z208&lt;&gt;"",LOWER(TRIM($Z208))&lt;&gt;"n/a",COUNTIFS($B$2:$B$532,"Yes",$A$2:$A$532,"Cybernet",$Z$2:$Z$532,$Z208)&gt;1)
),"Yes","No"),
IF(AND($AL208&lt;&gt;"",LOWER(TRIM($AL208))&lt;&gt;"n/a"),
IF(COUNTIFS($B$2:$B$532,"Yes",$A$2:$A$532,$A208,$AL$2:$AL$532,$AL208)&gt;1,"Yes","No"),
"No")
)
)
)</f>
      </c>
      <c r="BL208">
        <f>IF($T208="","",IF((IF(AND($AW208&lt;&gt;"Yes",$AW208&lt;&gt;"N/A"),"Power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",""))="","",LEFT(IF(AND($AW208&lt;&gt;"Yes",$AW208&lt;&gt;"N/A"),"Power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",""),LEN(IF(AND($AW208&lt;&gt;"Yes",$AW208&lt;&gt;"N/A"),"Power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",""))-2)))</f>
      </c>
      <c r="BM208">
        <f>IF($T208="","",IF($BL208="","Yes","Blocked"))</f>
      </c>
      <c r="BP208">
        <f>IF($BO208="","",IFERROR(VLOOKUP($BO208,'01_Warehouse_Ledger'!$A:$N,4,FALSE),""))</f>
      </c>
      <c r="BQ208">
        <f>IF($BO208="","",IFERROR(VLOOKUP($BO208,'01_Warehouse_Ledger'!$A:$N,5,FALSE),""))</f>
      </c>
      <c r="BR208">
        <f>IF($BO208="","",IFERROR(VLOOKUP($BO208,'01_Warehouse_Ledger'!$A:$N,13,FALSE),""))</f>
      </c>
    </row>
    <row r="209">
      <c r="D209">
        <f>IF($B209&lt;&gt;"Yes","",IF($C209="No","Yes",IF($C209="Yes","No","")))</f>
      </c>
      <c r="E209">
        <f>IF($A209="","",IF($A209="Neuron",IF(OR(AND($S209&lt;&gt;"",LOWER(TRIM($S209))&lt;&gt;"n/a",COUNTIF($S$2:$S$532,$S209)&gt;1),AND($T209&lt;&gt;"",LOWER(TRIM($T209))&lt;&gt;"n/a",COUNTIF($T$2:$T$532,$T209)&gt;1),AND($W209&lt;&gt;"",LOWER(TRIM($W209))&lt;&gt;"n/a",COUNTIF($W$2:$W$532,$W209)&gt;1)),"Yes","No"),IF($A209="Cybernet",IF(OR(AND($Y209&lt;&gt;"",LOWER(TRIM($Y209))&lt;&gt;"n/a",COUNTIF($Y$2:$Y$532,$Y209)&gt;1),AND($Z209&lt;&gt;"",LOWER(TRIM($Z209))&lt;&gt;"n/a",COUNTIF($Z$2:$Z$532,$Z209)&gt;1)),"Yes","No"),IF(AND($AL209&lt;&gt;"",LOWER(TRIM($AL209))&lt;&gt;"n/a",COUNTIF($AL$2:$AL$532,$AL209)&gt;1),"Yes","No"))))</f>
      </c>
      <c r="F209">
        <f>IF($B209&lt;&gt;"Yes","",
IF($A209="Neuron",
IF(OR(
AND($S209&lt;&gt;"",LOWER(TRIM($S209))&lt;&gt;"n/a",COUNTIFS($B$2:$B$532,"Yes",$A$2:$A$532,"Neuron",$S$2:$S$532,$S209)&gt;1),
AND($T209&lt;&gt;"",LOWER(TRIM($T209))&lt;&gt;"n/a",COUNTIFS($B$2:$B$532,"Yes",$A$2:$A$532,"Neuron",$T$2:$T$532,$T209)&gt;1),
AND($W209&lt;&gt;"",LOWER(TRIM($W209))&lt;&gt;"n/a",COUNTIFS($B$2:$B$532,"Yes",$A$2:$A$532,"Neuron",$W$2:$W$532,$W209)&gt;1)
),"Yes","No"),
IF($A209="Cybernet",
IF(OR(
AND($Y209&lt;&gt;"",LOWER(TRIM($Y209))&lt;&gt;"n/a",COUNTIFS($B$2:$B$532,"Yes",$A$2:$A$532,"Cybernet",$Y$2:$Y$532,$Y209)&gt;1),
AND($Z209&lt;&gt;"",LOWER(TRIM($Z209))&lt;&gt;"n/a",COUNTIFS($B$2:$B$532,"Yes",$A$2:$A$532,"Cybernet",$Z$2:$Z$532,$Z209)&gt;1)
),"Yes","No"),
IF(AND($AL209&lt;&gt;"",LOWER(TRIM($AL209))&lt;&gt;"n/a"),
IF(COUNTIFS($B$2:$B$532,"Yes",$A$2:$A$532,$A209,$AL$2:$AL$532,$AL209)&gt;1,"Yes","No"),
"No")
)
)
)</f>
      </c>
      <c r="BL209">
        <f>IF($T209="","",IF((IF(AND($AW209&lt;&gt;"Yes",$AW209&lt;&gt;"N/A"),"Power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",""))="","",LEFT(IF(AND($AW209&lt;&gt;"Yes",$AW209&lt;&gt;"N/A"),"Power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",""),LEN(IF(AND($AW209&lt;&gt;"Yes",$AW209&lt;&gt;"N/A"),"Power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",""))-2)))</f>
      </c>
      <c r="BM209">
        <f>IF($T209="","",IF($BL209="","Yes","Blocked"))</f>
      </c>
      <c r="BP209">
        <f>IF($BO209="","",IFERROR(VLOOKUP($BO209,'01_Warehouse_Ledger'!$A:$N,4,FALSE),""))</f>
      </c>
      <c r="BQ209">
        <f>IF($BO209="","",IFERROR(VLOOKUP($BO209,'01_Warehouse_Ledger'!$A:$N,5,FALSE),""))</f>
      </c>
      <c r="BR209">
        <f>IF($BO209="","",IFERROR(VLOOKUP($BO209,'01_Warehouse_Ledger'!$A:$N,13,FALSE),""))</f>
      </c>
    </row>
    <row r="210">
      <c r="D210">
        <f>IF($B210&lt;&gt;"Yes","",IF($C210="No","Yes",IF($C210="Yes","No","")))</f>
      </c>
      <c r="E210">
        <f>IF($A210="","",IF($A210="Neuron",IF(OR(AND($S210&lt;&gt;"",LOWER(TRIM($S210))&lt;&gt;"n/a",COUNTIF($S$2:$S$532,$S210)&gt;1),AND($T210&lt;&gt;"",LOWER(TRIM($T210))&lt;&gt;"n/a",COUNTIF($T$2:$T$532,$T210)&gt;1),AND($W210&lt;&gt;"",LOWER(TRIM($W210))&lt;&gt;"n/a",COUNTIF($W$2:$W$532,$W210)&gt;1)),"Yes","No"),IF($A210="Cybernet",IF(OR(AND($Y210&lt;&gt;"",LOWER(TRIM($Y210))&lt;&gt;"n/a",COUNTIF($Y$2:$Y$532,$Y210)&gt;1),AND($Z210&lt;&gt;"",LOWER(TRIM($Z210))&lt;&gt;"n/a",COUNTIF($Z$2:$Z$532,$Z210)&gt;1)),"Yes","No"),IF(AND($AL210&lt;&gt;"",LOWER(TRIM($AL210))&lt;&gt;"n/a",COUNTIF($AL$2:$AL$532,$AL210)&gt;1),"Yes","No"))))</f>
      </c>
      <c r="F210">
        <f>IF($B210&lt;&gt;"Yes","",
IF($A210="Neuron",
IF(OR(
AND($S210&lt;&gt;"",LOWER(TRIM($S210))&lt;&gt;"n/a",COUNTIFS($B$2:$B$532,"Yes",$A$2:$A$532,"Neuron",$S$2:$S$532,$S210)&gt;1),
AND($T210&lt;&gt;"",LOWER(TRIM($T210))&lt;&gt;"n/a",COUNTIFS($B$2:$B$532,"Yes",$A$2:$A$532,"Neuron",$T$2:$T$532,$T210)&gt;1),
AND($W210&lt;&gt;"",LOWER(TRIM($W210))&lt;&gt;"n/a",COUNTIFS($B$2:$B$532,"Yes",$A$2:$A$532,"Neuron",$W$2:$W$532,$W210)&gt;1)
),"Yes","No"),
IF($A210="Cybernet",
IF(OR(
AND($Y210&lt;&gt;"",LOWER(TRIM($Y210))&lt;&gt;"n/a",COUNTIFS($B$2:$B$532,"Yes",$A$2:$A$532,"Cybernet",$Y$2:$Y$532,$Y210)&gt;1),
AND($Z210&lt;&gt;"",LOWER(TRIM($Z210))&lt;&gt;"n/a",COUNTIFS($B$2:$B$532,"Yes",$A$2:$A$532,"Cybernet",$Z$2:$Z$532,$Z210)&gt;1)
),"Yes","No"),
IF(AND($AL210&lt;&gt;"",LOWER(TRIM($AL210))&lt;&gt;"n/a"),
IF(COUNTIFS($B$2:$B$532,"Yes",$A$2:$A$532,$A210,$AL$2:$AL$532,$AL210)&gt;1,"Yes","No"),
"No")
)
)
)</f>
      </c>
      <c r="BL210">
        <f>IF($T210="","",IF((IF(AND($AW210&lt;&gt;"Yes",$AW210&lt;&gt;"N/A"),"Power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",""))="","",LEFT(IF(AND($AW210&lt;&gt;"Yes",$AW210&lt;&gt;"N/A"),"Power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",""),LEN(IF(AND($AW210&lt;&gt;"Yes",$AW210&lt;&gt;"N/A"),"Power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",""))-2)))</f>
      </c>
      <c r="BM210">
        <f>IF($T210="","",IF($BL210="","Yes","Blocked"))</f>
      </c>
      <c r="BP210">
        <f>IF($BO210="","",IFERROR(VLOOKUP($BO210,'01_Warehouse_Ledger'!$A:$N,4,FALSE),""))</f>
      </c>
      <c r="BQ210">
        <f>IF($BO210="","",IFERROR(VLOOKUP($BO210,'01_Warehouse_Ledger'!$A:$N,5,FALSE),""))</f>
      </c>
      <c r="BR210">
        <f>IF($BO210="","",IFERROR(VLOOKUP($BO210,'01_Warehouse_Ledger'!$A:$N,13,FALSE),""))</f>
      </c>
    </row>
    <row r="211">
      <c r="D211">
        <f>IF($B211&lt;&gt;"Yes","",IF($C211="No","Yes",IF($C211="Yes","No","")))</f>
      </c>
      <c r="E211">
        <f>IF($A211="","",IF($A211="Neuron",IF(OR(AND($S211&lt;&gt;"",LOWER(TRIM($S211))&lt;&gt;"n/a",COUNTIF($S$2:$S$532,$S211)&gt;1),AND($T211&lt;&gt;"",LOWER(TRIM($T211))&lt;&gt;"n/a",COUNTIF($T$2:$T$532,$T211)&gt;1),AND($W211&lt;&gt;"",LOWER(TRIM($W211))&lt;&gt;"n/a",COUNTIF($W$2:$W$532,$W211)&gt;1)),"Yes","No"),IF($A211="Cybernet",IF(OR(AND($Y211&lt;&gt;"",LOWER(TRIM($Y211))&lt;&gt;"n/a",COUNTIF($Y$2:$Y$532,$Y211)&gt;1),AND($Z211&lt;&gt;"",LOWER(TRIM($Z211))&lt;&gt;"n/a",COUNTIF($Z$2:$Z$532,$Z211)&gt;1)),"Yes","No"),IF(AND($AL211&lt;&gt;"",LOWER(TRIM($AL211))&lt;&gt;"n/a",COUNTIF($AL$2:$AL$532,$AL211)&gt;1),"Yes","No"))))</f>
      </c>
      <c r="F211">
        <f>IF($B211&lt;&gt;"Yes","",
IF($A211="Neuron",
IF(OR(
AND($S211&lt;&gt;"",LOWER(TRIM($S211))&lt;&gt;"n/a",COUNTIFS($B$2:$B$532,"Yes",$A$2:$A$532,"Neuron",$S$2:$S$532,$S211)&gt;1),
AND($T211&lt;&gt;"",LOWER(TRIM($T211))&lt;&gt;"n/a",COUNTIFS($B$2:$B$532,"Yes",$A$2:$A$532,"Neuron",$T$2:$T$532,$T211)&gt;1),
AND($W211&lt;&gt;"",LOWER(TRIM($W211))&lt;&gt;"n/a",COUNTIFS($B$2:$B$532,"Yes",$A$2:$A$532,"Neuron",$W$2:$W$532,$W211)&gt;1)
),"Yes","No"),
IF($A211="Cybernet",
IF(OR(
AND($Y211&lt;&gt;"",LOWER(TRIM($Y211))&lt;&gt;"n/a",COUNTIFS($B$2:$B$532,"Yes",$A$2:$A$532,"Cybernet",$Y$2:$Y$532,$Y211)&gt;1),
AND($Z211&lt;&gt;"",LOWER(TRIM($Z211))&lt;&gt;"n/a",COUNTIFS($B$2:$B$532,"Yes",$A$2:$A$532,"Cybernet",$Z$2:$Z$532,$Z211)&gt;1)
),"Yes","No"),
IF(AND($AL211&lt;&gt;"",LOWER(TRIM($AL211))&lt;&gt;"n/a"),
IF(COUNTIFS($B$2:$B$532,"Yes",$A$2:$A$532,$A211,$AL$2:$AL$532,$AL211)&gt;1,"Yes","No"),
"No")
)
)
)</f>
      </c>
      <c r="BL211">
        <f>IF($T211="","",IF((IF(AND($AW211&lt;&gt;"Yes",$AW211&lt;&gt;"N/A"),"Power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",""))="","",LEFT(IF(AND($AW211&lt;&gt;"Yes",$AW211&lt;&gt;"N/A"),"Power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",""),LEN(IF(AND($AW211&lt;&gt;"Yes",$AW211&lt;&gt;"N/A"),"Power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",""))-2)))</f>
      </c>
      <c r="BM211">
        <f>IF($T211="","",IF($BL211="","Yes","Blocked"))</f>
      </c>
      <c r="BP211">
        <f>IF($BO211="","",IFERROR(VLOOKUP($BO211,'01_Warehouse_Ledger'!$A:$N,4,FALSE),""))</f>
      </c>
      <c r="BQ211">
        <f>IF($BO211="","",IFERROR(VLOOKUP($BO211,'01_Warehouse_Ledger'!$A:$N,5,FALSE),""))</f>
      </c>
      <c r="BR211">
        <f>IF($BO211="","",IFERROR(VLOOKUP($BO211,'01_Warehouse_Ledger'!$A:$N,13,FALSE),""))</f>
      </c>
    </row>
    <row r="212">
      <c r="D212">
        <f>IF($B212&lt;&gt;"Yes","",IF($C212="No","Yes",IF($C212="Yes","No","")))</f>
      </c>
      <c r="E212">
        <f>IF($A212="","",IF($A212="Neuron",IF(OR(AND($S212&lt;&gt;"",LOWER(TRIM($S212))&lt;&gt;"n/a",COUNTIF($S$2:$S$532,$S212)&gt;1),AND($T212&lt;&gt;"",LOWER(TRIM($T212))&lt;&gt;"n/a",COUNTIF($T$2:$T$532,$T212)&gt;1),AND($W212&lt;&gt;"",LOWER(TRIM($W212))&lt;&gt;"n/a",COUNTIF($W$2:$W$532,$W212)&gt;1)),"Yes","No"),IF($A212="Cybernet",IF(OR(AND($Y212&lt;&gt;"",LOWER(TRIM($Y212))&lt;&gt;"n/a",COUNTIF($Y$2:$Y$532,$Y212)&gt;1),AND($Z212&lt;&gt;"",LOWER(TRIM($Z212))&lt;&gt;"n/a",COUNTIF($Z$2:$Z$532,$Z212)&gt;1)),"Yes","No"),IF(AND($AL212&lt;&gt;"",LOWER(TRIM($AL212))&lt;&gt;"n/a",COUNTIF($AL$2:$AL$532,$AL212)&gt;1),"Yes","No"))))</f>
      </c>
      <c r="F212">
        <f>IF($B212&lt;&gt;"Yes","",
IF($A212="Neuron",
IF(OR(
AND($S212&lt;&gt;"",LOWER(TRIM($S212))&lt;&gt;"n/a",COUNTIFS($B$2:$B$532,"Yes",$A$2:$A$532,"Neuron",$S$2:$S$532,$S212)&gt;1),
AND($T212&lt;&gt;"",LOWER(TRIM($T212))&lt;&gt;"n/a",COUNTIFS($B$2:$B$532,"Yes",$A$2:$A$532,"Neuron",$T$2:$T$532,$T212)&gt;1),
AND($W212&lt;&gt;"",LOWER(TRIM($W212))&lt;&gt;"n/a",COUNTIFS($B$2:$B$532,"Yes",$A$2:$A$532,"Neuron",$W$2:$W$532,$W212)&gt;1)
),"Yes","No"),
IF($A212="Cybernet",
IF(OR(
AND($Y212&lt;&gt;"",LOWER(TRIM($Y212))&lt;&gt;"n/a",COUNTIFS($B$2:$B$532,"Yes",$A$2:$A$532,"Cybernet",$Y$2:$Y$532,$Y212)&gt;1),
AND($Z212&lt;&gt;"",LOWER(TRIM($Z212))&lt;&gt;"n/a",COUNTIFS($B$2:$B$532,"Yes",$A$2:$A$532,"Cybernet",$Z$2:$Z$532,$Z212)&gt;1)
),"Yes","No"),
IF(AND($AL212&lt;&gt;"",LOWER(TRIM($AL212))&lt;&gt;"n/a"),
IF(COUNTIFS($B$2:$B$532,"Yes",$A$2:$A$532,$A212,$AL$2:$AL$532,$AL212)&gt;1,"Yes","No"),
"No")
)
)
)</f>
      </c>
      <c r="BL212">
        <f>IF($T212="","",IF((IF(AND($AW212&lt;&gt;"Yes",$AW212&lt;&gt;"N/A"),"Power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",""))="","",LEFT(IF(AND($AW212&lt;&gt;"Yes",$AW212&lt;&gt;"N/A"),"Power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",""),LEN(IF(AND($AW212&lt;&gt;"Yes",$AW212&lt;&gt;"N/A"),"Power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",""))-2)))</f>
      </c>
      <c r="BM212">
        <f>IF($T212="","",IF($BL212="","Yes","Blocked"))</f>
      </c>
      <c r="BP212">
        <f>IF($BO212="","",IFERROR(VLOOKUP($BO212,'01_Warehouse_Ledger'!$A:$N,4,FALSE),""))</f>
      </c>
      <c r="BQ212">
        <f>IF($BO212="","",IFERROR(VLOOKUP($BO212,'01_Warehouse_Ledger'!$A:$N,5,FALSE),""))</f>
      </c>
      <c r="BR212">
        <f>IF($BO212="","",IFERROR(VLOOKUP($BO212,'01_Warehouse_Ledger'!$A:$N,13,FALSE),""))</f>
      </c>
    </row>
    <row r="213">
      <c r="D213">
        <f>IF($B213&lt;&gt;"Yes","",IF($C213="No","Yes",IF($C213="Yes","No","")))</f>
      </c>
      <c r="E213">
        <f>IF($A213="","",IF($A213="Neuron",IF(OR(AND($S213&lt;&gt;"",LOWER(TRIM($S213))&lt;&gt;"n/a",COUNTIF($S$2:$S$532,$S213)&gt;1),AND($T213&lt;&gt;"",LOWER(TRIM($T213))&lt;&gt;"n/a",COUNTIF($T$2:$T$532,$T213)&gt;1),AND($W213&lt;&gt;"",LOWER(TRIM($W213))&lt;&gt;"n/a",COUNTIF($W$2:$W$532,$W213)&gt;1)),"Yes","No"),IF($A213="Cybernet",IF(OR(AND($Y213&lt;&gt;"",LOWER(TRIM($Y213))&lt;&gt;"n/a",COUNTIF($Y$2:$Y$532,$Y213)&gt;1),AND($Z213&lt;&gt;"",LOWER(TRIM($Z213))&lt;&gt;"n/a",COUNTIF($Z$2:$Z$532,$Z213)&gt;1)),"Yes","No"),IF(AND($AL213&lt;&gt;"",LOWER(TRIM($AL213))&lt;&gt;"n/a",COUNTIF($AL$2:$AL$532,$AL213)&gt;1),"Yes","No"))))</f>
      </c>
      <c r="F213">
        <f>IF($B213&lt;&gt;"Yes","",
IF($A213="Neuron",
IF(OR(
AND($S213&lt;&gt;"",LOWER(TRIM($S213))&lt;&gt;"n/a",COUNTIFS($B$2:$B$532,"Yes",$A$2:$A$532,"Neuron",$S$2:$S$532,$S213)&gt;1),
AND($T213&lt;&gt;"",LOWER(TRIM($T213))&lt;&gt;"n/a",COUNTIFS($B$2:$B$532,"Yes",$A$2:$A$532,"Neuron",$T$2:$T$532,$T213)&gt;1),
AND($W213&lt;&gt;"",LOWER(TRIM($W213))&lt;&gt;"n/a",COUNTIFS($B$2:$B$532,"Yes",$A$2:$A$532,"Neuron",$W$2:$W$532,$W213)&gt;1)
),"Yes","No"),
IF($A213="Cybernet",
IF(OR(
AND($Y213&lt;&gt;"",LOWER(TRIM($Y213))&lt;&gt;"n/a",COUNTIFS($B$2:$B$532,"Yes",$A$2:$A$532,"Cybernet",$Y$2:$Y$532,$Y213)&gt;1),
AND($Z213&lt;&gt;"",LOWER(TRIM($Z213))&lt;&gt;"n/a",COUNTIFS($B$2:$B$532,"Yes",$A$2:$A$532,"Cybernet",$Z$2:$Z$532,$Z213)&gt;1)
),"Yes","No"),
IF(AND($AL213&lt;&gt;"",LOWER(TRIM($AL213))&lt;&gt;"n/a"),
IF(COUNTIFS($B$2:$B$532,"Yes",$A$2:$A$532,$A213,$AL$2:$AL$532,$AL213)&gt;1,"Yes","No"),
"No")
)
)
)</f>
      </c>
      <c r="BL213">
        <f>IF($T213="","",IF((IF(AND($AW213&lt;&gt;"Yes",$AW213&lt;&gt;"N/A"),"Power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",""))="","",LEFT(IF(AND($AW213&lt;&gt;"Yes",$AW213&lt;&gt;"N/A"),"Power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",""),LEN(IF(AND($AW213&lt;&gt;"Yes",$AW213&lt;&gt;"N/A"),"Power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",""))-2)))</f>
      </c>
      <c r="BM213">
        <f>IF($T213="","",IF($BL213="","Yes","Blocked"))</f>
      </c>
      <c r="BP213">
        <f>IF($BO213="","",IFERROR(VLOOKUP($BO213,'01_Warehouse_Ledger'!$A:$N,4,FALSE),""))</f>
      </c>
      <c r="BQ213">
        <f>IF($BO213="","",IFERROR(VLOOKUP($BO213,'01_Warehouse_Ledger'!$A:$N,5,FALSE),""))</f>
      </c>
      <c r="BR213">
        <f>IF($BO213="","",IFERROR(VLOOKUP($BO213,'01_Warehouse_Ledger'!$A:$N,13,FALSE),""))</f>
      </c>
    </row>
    <row r="214">
      <c r="D214">
        <f>IF($B214&lt;&gt;"Yes","",IF($C214="No","Yes",IF($C214="Yes","No","")))</f>
      </c>
      <c r="E214">
        <f>IF($A214="","",IF($A214="Neuron",IF(OR(AND($S214&lt;&gt;"",LOWER(TRIM($S214))&lt;&gt;"n/a",COUNTIF($S$2:$S$532,$S214)&gt;1),AND($T214&lt;&gt;"",LOWER(TRIM($T214))&lt;&gt;"n/a",COUNTIF($T$2:$T$532,$T214)&gt;1),AND($W214&lt;&gt;"",LOWER(TRIM($W214))&lt;&gt;"n/a",COUNTIF($W$2:$W$532,$W214)&gt;1)),"Yes","No"),IF($A214="Cybernet",IF(OR(AND($Y214&lt;&gt;"",LOWER(TRIM($Y214))&lt;&gt;"n/a",COUNTIF($Y$2:$Y$532,$Y214)&gt;1),AND($Z214&lt;&gt;"",LOWER(TRIM($Z214))&lt;&gt;"n/a",COUNTIF($Z$2:$Z$532,$Z214)&gt;1)),"Yes","No"),IF(AND($AL214&lt;&gt;"",LOWER(TRIM($AL214))&lt;&gt;"n/a",COUNTIF($AL$2:$AL$532,$AL214)&gt;1),"Yes","No"))))</f>
      </c>
      <c r="F214">
        <f>IF($B214&lt;&gt;"Yes","",
IF($A214="Neuron",
IF(OR(
AND($S214&lt;&gt;"",LOWER(TRIM($S214))&lt;&gt;"n/a",COUNTIFS($B$2:$B$532,"Yes",$A$2:$A$532,"Neuron",$S$2:$S$532,$S214)&gt;1),
AND($T214&lt;&gt;"",LOWER(TRIM($T214))&lt;&gt;"n/a",COUNTIFS($B$2:$B$532,"Yes",$A$2:$A$532,"Neuron",$T$2:$T$532,$T214)&gt;1),
AND($W214&lt;&gt;"",LOWER(TRIM($W214))&lt;&gt;"n/a",COUNTIFS($B$2:$B$532,"Yes",$A$2:$A$532,"Neuron",$W$2:$W$532,$W214)&gt;1)
),"Yes","No"),
IF($A214="Cybernet",
IF(OR(
AND($Y214&lt;&gt;"",LOWER(TRIM($Y214))&lt;&gt;"n/a",COUNTIFS($B$2:$B$532,"Yes",$A$2:$A$532,"Cybernet",$Y$2:$Y$532,$Y214)&gt;1),
AND($Z214&lt;&gt;"",LOWER(TRIM($Z214))&lt;&gt;"n/a",COUNTIFS($B$2:$B$532,"Yes",$A$2:$A$532,"Cybernet",$Z$2:$Z$532,$Z214)&gt;1)
),"Yes","No"),
IF(AND($AL214&lt;&gt;"",LOWER(TRIM($AL214))&lt;&gt;"n/a"),
IF(COUNTIFS($B$2:$B$532,"Yes",$A$2:$A$532,$A214,$AL$2:$AL$532,$AL214)&gt;1,"Yes","No"),
"No")
)
)
)</f>
      </c>
      <c r="BL214">
        <f>IF($T214="","",IF((IF(AND($AW214&lt;&gt;"Yes",$AW214&lt;&gt;"N/A"),"Power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",""))="","",LEFT(IF(AND($AW214&lt;&gt;"Yes",$AW214&lt;&gt;"N/A"),"Power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",""),LEN(IF(AND($AW214&lt;&gt;"Yes",$AW214&lt;&gt;"N/A"),"Power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",""))-2)))</f>
      </c>
      <c r="BM214">
        <f>IF($T214="","",IF($BL214="","Yes","Blocked"))</f>
      </c>
      <c r="BP214">
        <f>IF($BO214="","",IFERROR(VLOOKUP($BO214,'01_Warehouse_Ledger'!$A:$N,4,FALSE),""))</f>
      </c>
      <c r="BQ214">
        <f>IF($BO214="","",IFERROR(VLOOKUP($BO214,'01_Warehouse_Ledger'!$A:$N,5,FALSE),""))</f>
      </c>
      <c r="BR214">
        <f>IF($BO214="","",IFERROR(VLOOKUP($BO214,'01_Warehouse_Ledger'!$A:$N,13,FALSE),""))</f>
      </c>
    </row>
    <row r="215">
      <c r="D215">
        <f>IF($B215&lt;&gt;"Yes","",IF($C215="No","Yes",IF($C215="Yes","No","")))</f>
      </c>
      <c r="E215">
        <f>IF($A215="","",IF($A215="Neuron",IF(OR(AND($S215&lt;&gt;"",LOWER(TRIM($S215))&lt;&gt;"n/a",COUNTIF($S$2:$S$532,$S215)&gt;1),AND($T215&lt;&gt;"",LOWER(TRIM($T215))&lt;&gt;"n/a",COUNTIF($T$2:$T$532,$T215)&gt;1),AND($W215&lt;&gt;"",LOWER(TRIM($W215))&lt;&gt;"n/a",COUNTIF($W$2:$W$532,$W215)&gt;1)),"Yes","No"),IF($A215="Cybernet",IF(OR(AND($Y215&lt;&gt;"",LOWER(TRIM($Y215))&lt;&gt;"n/a",COUNTIF($Y$2:$Y$532,$Y215)&gt;1),AND($Z215&lt;&gt;"",LOWER(TRIM($Z215))&lt;&gt;"n/a",COUNTIF($Z$2:$Z$532,$Z215)&gt;1)),"Yes","No"),IF(AND($AL215&lt;&gt;"",LOWER(TRIM($AL215))&lt;&gt;"n/a",COUNTIF($AL$2:$AL$532,$AL215)&gt;1),"Yes","No"))))</f>
      </c>
      <c r="F215">
        <f>IF($B215&lt;&gt;"Yes","",
IF($A215="Neuron",
IF(OR(
AND($S215&lt;&gt;"",LOWER(TRIM($S215))&lt;&gt;"n/a",COUNTIFS($B$2:$B$532,"Yes",$A$2:$A$532,"Neuron",$S$2:$S$532,$S215)&gt;1),
AND($T215&lt;&gt;"",LOWER(TRIM($T215))&lt;&gt;"n/a",COUNTIFS($B$2:$B$532,"Yes",$A$2:$A$532,"Neuron",$T$2:$T$532,$T215)&gt;1),
AND($W215&lt;&gt;"",LOWER(TRIM($W215))&lt;&gt;"n/a",COUNTIFS($B$2:$B$532,"Yes",$A$2:$A$532,"Neuron",$W$2:$W$532,$W215)&gt;1)
),"Yes","No"),
IF($A215="Cybernet",
IF(OR(
AND($Y215&lt;&gt;"",LOWER(TRIM($Y215))&lt;&gt;"n/a",COUNTIFS($B$2:$B$532,"Yes",$A$2:$A$532,"Cybernet",$Y$2:$Y$532,$Y215)&gt;1),
AND($Z215&lt;&gt;"",LOWER(TRIM($Z215))&lt;&gt;"n/a",COUNTIFS($B$2:$B$532,"Yes",$A$2:$A$532,"Cybernet",$Z$2:$Z$532,$Z215)&gt;1)
),"Yes","No"),
IF(AND($AL215&lt;&gt;"",LOWER(TRIM($AL215))&lt;&gt;"n/a"),
IF(COUNTIFS($B$2:$B$532,"Yes",$A$2:$A$532,$A215,$AL$2:$AL$532,$AL215)&gt;1,"Yes","No"),
"No")
)
)
)</f>
      </c>
      <c r="BL215">
        <f>IF($T215="","",IF((IF(AND($AW215&lt;&gt;"Yes",$AW215&lt;&gt;"N/A"),"Power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",""))="","",LEFT(IF(AND($AW215&lt;&gt;"Yes",$AW215&lt;&gt;"N/A"),"Power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",""),LEN(IF(AND($AW215&lt;&gt;"Yes",$AW215&lt;&gt;"N/A"),"Power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",""))-2)))</f>
      </c>
      <c r="BM215">
        <f>IF($T215="","",IF($BL215="","Yes","Blocked"))</f>
      </c>
      <c r="BP215">
        <f>IF($BO215="","",IFERROR(VLOOKUP($BO215,'01_Warehouse_Ledger'!$A:$N,4,FALSE),""))</f>
      </c>
      <c r="BQ215">
        <f>IF($BO215="","",IFERROR(VLOOKUP($BO215,'01_Warehouse_Ledger'!$A:$N,5,FALSE),""))</f>
      </c>
      <c r="BR215">
        <f>IF($BO215="","",IFERROR(VLOOKUP($BO215,'01_Warehouse_Ledger'!$A:$N,13,FALSE),""))</f>
      </c>
    </row>
    <row r="216">
      <c r="D216">
        <f>IF($B216&lt;&gt;"Yes","",IF($C216="No","Yes",IF($C216="Yes","No","")))</f>
      </c>
      <c r="E216">
        <f>IF($A216="","",IF($A216="Neuron",IF(OR(AND($S216&lt;&gt;"",LOWER(TRIM($S216))&lt;&gt;"n/a",COUNTIF($S$2:$S$532,$S216)&gt;1),AND($T216&lt;&gt;"",LOWER(TRIM($T216))&lt;&gt;"n/a",COUNTIF($T$2:$T$532,$T216)&gt;1),AND($W216&lt;&gt;"",LOWER(TRIM($W216))&lt;&gt;"n/a",COUNTIF($W$2:$W$532,$W216)&gt;1)),"Yes","No"),IF($A216="Cybernet",IF(OR(AND($Y216&lt;&gt;"",LOWER(TRIM($Y216))&lt;&gt;"n/a",COUNTIF($Y$2:$Y$532,$Y216)&gt;1),AND($Z216&lt;&gt;"",LOWER(TRIM($Z216))&lt;&gt;"n/a",COUNTIF($Z$2:$Z$532,$Z216)&gt;1)),"Yes","No"),IF(AND($AL216&lt;&gt;"",LOWER(TRIM($AL216))&lt;&gt;"n/a",COUNTIF($AL$2:$AL$532,$AL216)&gt;1),"Yes","No"))))</f>
      </c>
      <c r="F216">
        <f>IF($B216&lt;&gt;"Yes","",
IF($A216="Neuron",
IF(OR(
AND($S216&lt;&gt;"",LOWER(TRIM($S216))&lt;&gt;"n/a",COUNTIFS($B$2:$B$532,"Yes",$A$2:$A$532,"Neuron",$S$2:$S$532,$S216)&gt;1),
AND($T216&lt;&gt;"",LOWER(TRIM($T216))&lt;&gt;"n/a",COUNTIFS($B$2:$B$532,"Yes",$A$2:$A$532,"Neuron",$T$2:$T$532,$T216)&gt;1),
AND($W216&lt;&gt;"",LOWER(TRIM($W216))&lt;&gt;"n/a",COUNTIFS($B$2:$B$532,"Yes",$A$2:$A$532,"Neuron",$W$2:$W$532,$W216)&gt;1)
),"Yes","No"),
IF($A216="Cybernet",
IF(OR(
AND($Y216&lt;&gt;"",LOWER(TRIM($Y216))&lt;&gt;"n/a",COUNTIFS($B$2:$B$532,"Yes",$A$2:$A$532,"Cybernet",$Y$2:$Y$532,$Y216)&gt;1),
AND($Z216&lt;&gt;"",LOWER(TRIM($Z216))&lt;&gt;"n/a",COUNTIFS($B$2:$B$532,"Yes",$A$2:$A$532,"Cybernet",$Z$2:$Z$532,$Z216)&gt;1)
),"Yes","No"),
IF(AND($AL216&lt;&gt;"",LOWER(TRIM($AL216))&lt;&gt;"n/a"),
IF(COUNTIFS($B$2:$B$532,"Yes",$A$2:$A$532,$A216,$AL$2:$AL$532,$AL216)&gt;1,"Yes","No"),
"No")
)
)
)</f>
      </c>
      <c r="BL216">
        <f>IF($T216="","",IF((IF(AND($AW216&lt;&gt;"Yes",$AW216&lt;&gt;"N/A"),"Power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",""))="","",LEFT(IF(AND($AW216&lt;&gt;"Yes",$AW216&lt;&gt;"N/A"),"Power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",""),LEN(IF(AND($AW216&lt;&gt;"Yes",$AW216&lt;&gt;"N/A"),"Power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",""))-2)))</f>
      </c>
      <c r="BM216">
        <f>IF($T216="","",IF($BL216="","Yes","Blocked"))</f>
      </c>
      <c r="BP216">
        <f>IF($BO216="","",IFERROR(VLOOKUP($BO216,'01_Warehouse_Ledger'!$A:$N,4,FALSE),""))</f>
      </c>
      <c r="BQ216">
        <f>IF($BO216="","",IFERROR(VLOOKUP($BO216,'01_Warehouse_Ledger'!$A:$N,5,FALSE),""))</f>
      </c>
      <c r="BR216">
        <f>IF($BO216="","",IFERROR(VLOOKUP($BO216,'01_Warehouse_Ledger'!$A:$N,13,FALSE),""))</f>
      </c>
    </row>
    <row r="217">
      <c r="D217">
        <f>IF($B217&lt;&gt;"Yes","",IF($C217="No","Yes",IF($C217="Yes","No","")))</f>
      </c>
      <c r="E217">
        <f>IF($A217="","",IF($A217="Neuron",IF(OR(AND($S217&lt;&gt;"",LOWER(TRIM($S217))&lt;&gt;"n/a",COUNTIF($S$2:$S$532,$S217)&gt;1),AND($T217&lt;&gt;"",LOWER(TRIM($T217))&lt;&gt;"n/a",COUNTIF($T$2:$T$532,$T217)&gt;1),AND($W217&lt;&gt;"",LOWER(TRIM($W217))&lt;&gt;"n/a",COUNTIF($W$2:$W$532,$W217)&gt;1)),"Yes","No"),IF($A217="Cybernet",IF(OR(AND($Y217&lt;&gt;"",LOWER(TRIM($Y217))&lt;&gt;"n/a",COUNTIF($Y$2:$Y$532,$Y217)&gt;1),AND($Z217&lt;&gt;"",LOWER(TRIM($Z217))&lt;&gt;"n/a",COUNTIF($Z$2:$Z$532,$Z217)&gt;1)),"Yes","No"),IF(AND($AL217&lt;&gt;"",LOWER(TRIM($AL217))&lt;&gt;"n/a",COUNTIF($AL$2:$AL$532,$AL217)&gt;1),"Yes","No"))))</f>
      </c>
      <c r="F217">
        <f>IF($B217&lt;&gt;"Yes","",
IF($A217="Neuron",
IF(OR(
AND($S217&lt;&gt;"",LOWER(TRIM($S217))&lt;&gt;"n/a",COUNTIFS($B$2:$B$532,"Yes",$A$2:$A$532,"Neuron",$S$2:$S$532,$S217)&gt;1),
AND($T217&lt;&gt;"",LOWER(TRIM($T217))&lt;&gt;"n/a",COUNTIFS($B$2:$B$532,"Yes",$A$2:$A$532,"Neuron",$T$2:$T$532,$T217)&gt;1),
AND($W217&lt;&gt;"",LOWER(TRIM($W217))&lt;&gt;"n/a",COUNTIFS($B$2:$B$532,"Yes",$A$2:$A$532,"Neuron",$W$2:$W$532,$W217)&gt;1)
),"Yes","No"),
IF($A217="Cybernet",
IF(OR(
AND($Y217&lt;&gt;"",LOWER(TRIM($Y217))&lt;&gt;"n/a",COUNTIFS($B$2:$B$532,"Yes",$A$2:$A$532,"Cybernet",$Y$2:$Y$532,$Y217)&gt;1),
AND($Z217&lt;&gt;"",LOWER(TRIM($Z217))&lt;&gt;"n/a",COUNTIFS($B$2:$B$532,"Yes",$A$2:$A$532,"Cybernet",$Z$2:$Z$532,$Z217)&gt;1)
),"Yes","No"),
IF(AND($AL217&lt;&gt;"",LOWER(TRIM($AL217))&lt;&gt;"n/a"),
IF(COUNTIFS($B$2:$B$532,"Yes",$A$2:$A$532,$A217,$AL$2:$AL$532,$AL217)&gt;1,"Yes","No"),
"No")
)
)
)</f>
      </c>
      <c r="BL217">
        <f>IF($T217="","",IF((IF(AND($AW217&lt;&gt;"Yes",$AW217&lt;&gt;"N/A"),"Power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",""))="","",LEFT(IF(AND($AW217&lt;&gt;"Yes",$AW217&lt;&gt;"N/A"),"Power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",""),LEN(IF(AND($AW217&lt;&gt;"Yes",$AW217&lt;&gt;"N/A"),"Power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",""))-2)))</f>
      </c>
      <c r="BM217">
        <f>IF($T217="","",IF($BL217="","Yes","Blocked"))</f>
      </c>
      <c r="BP217">
        <f>IF($BO217="","",IFERROR(VLOOKUP($BO217,'01_Warehouse_Ledger'!$A:$N,4,FALSE),""))</f>
      </c>
      <c r="BQ217">
        <f>IF($BO217="","",IFERROR(VLOOKUP($BO217,'01_Warehouse_Ledger'!$A:$N,5,FALSE),""))</f>
      </c>
      <c r="BR217">
        <f>IF($BO217="","",IFERROR(VLOOKUP($BO217,'01_Warehouse_Ledger'!$A:$N,13,FALSE),""))</f>
      </c>
    </row>
    <row r="218">
      <c r="D218">
        <f>IF($B218&lt;&gt;"Yes","",IF($C218="No","Yes",IF($C218="Yes","No","")))</f>
      </c>
      <c r="E218">
        <f>IF($A218="","",IF($A218="Neuron",IF(OR(AND($S218&lt;&gt;"",LOWER(TRIM($S218))&lt;&gt;"n/a",COUNTIF($S$2:$S$532,$S218)&gt;1),AND($T218&lt;&gt;"",LOWER(TRIM($T218))&lt;&gt;"n/a",COUNTIF($T$2:$T$532,$T218)&gt;1),AND($W218&lt;&gt;"",LOWER(TRIM($W218))&lt;&gt;"n/a",COUNTIF($W$2:$W$532,$W218)&gt;1)),"Yes","No"),IF($A218="Cybernet",IF(OR(AND($Y218&lt;&gt;"",LOWER(TRIM($Y218))&lt;&gt;"n/a",COUNTIF($Y$2:$Y$532,$Y218)&gt;1),AND($Z218&lt;&gt;"",LOWER(TRIM($Z218))&lt;&gt;"n/a",COUNTIF($Z$2:$Z$532,$Z218)&gt;1)),"Yes","No"),IF(AND($AL218&lt;&gt;"",LOWER(TRIM($AL218))&lt;&gt;"n/a",COUNTIF($AL$2:$AL$532,$AL218)&gt;1),"Yes","No"))))</f>
      </c>
      <c r="F218">
        <f>IF($B218&lt;&gt;"Yes","",
IF($A218="Neuron",
IF(OR(
AND($S218&lt;&gt;"",LOWER(TRIM($S218))&lt;&gt;"n/a",COUNTIFS($B$2:$B$532,"Yes",$A$2:$A$532,"Neuron",$S$2:$S$532,$S218)&gt;1),
AND($T218&lt;&gt;"",LOWER(TRIM($T218))&lt;&gt;"n/a",COUNTIFS($B$2:$B$532,"Yes",$A$2:$A$532,"Neuron",$T$2:$T$532,$T218)&gt;1),
AND($W218&lt;&gt;"",LOWER(TRIM($W218))&lt;&gt;"n/a",COUNTIFS($B$2:$B$532,"Yes",$A$2:$A$532,"Neuron",$W$2:$W$532,$W218)&gt;1)
),"Yes","No"),
IF($A218="Cybernet",
IF(OR(
AND($Y218&lt;&gt;"",LOWER(TRIM($Y218))&lt;&gt;"n/a",COUNTIFS($B$2:$B$532,"Yes",$A$2:$A$532,"Cybernet",$Y$2:$Y$532,$Y218)&gt;1),
AND($Z218&lt;&gt;"",LOWER(TRIM($Z218))&lt;&gt;"n/a",COUNTIFS($B$2:$B$532,"Yes",$A$2:$A$532,"Cybernet",$Z$2:$Z$532,$Z218)&gt;1)
),"Yes","No"),
IF(AND($AL218&lt;&gt;"",LOWER(TRIM($AL218))&lt;&gt;"n/a"),
IF(COUNTIFS($B$2:$B$532,"Yes",$A$2:$A$532,$A218,$AL$2:$AL$532,$AL218)&gt;1,"Yes","No"),
"No")
)
)
)</f>
      </c>
      <c r="BL218">
        <f>IF($T218="","",IF((IF(AND($AW218&lt;&gt;"Yes",$AW218&lt;&gt;"N/A"),"Power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",""))="","",LEFT(IF(AND($AW218&lt;&gt;"Yes",$AW218&lt;&gt;"N/A"),"Power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",""),LEN(IF(AND($AW218&lt;&gt;"Yes",$AW218&lt;&gt;"N/A"),"Power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",""))-2)))</f>
      </c>
      <c r="BM218">
        <f>IF($T218="","",IF($BL218="","Yes","Blocked"))</f>
      </c>
      <c r="BP218">
        <f>IF($BO218="","",IFERROR(VLOOKUP($BO218,'01_Warehouse_Ledger'!$A:$N,4,FALSE),""))</f>
      </c>
      <c r="BQ218">
        <f>IF($BO218="","",IFERROR(VLOOKUP($BO218,'01_Warehouse_Ledger'!$A:$N,5,FALSE),""))</f>
      </c>
      <c r="BR218">
        <f>IF($BO218="","",IFERROR(VLOOKUP($BO218,'01_Warehouse_Ledger'!$A:$N,13,FALSE),""))</f>
      </c>
    </row>
    <row r="219">
      <c r="D219">
        <f>IF($B219&lt;&gt;"Yes","",IF($C219="No","Yes",IF($C219="Yes","No","")))</f>
      </c>
      <c r="E219">
        <f>IF($A219="","",IF($A219="Neuron",IF(OR(AND($S219&lt;&gt;"",LOWER(TRIM($S219))&lt;&gt;"n/a",COUNTIF($S$2:$S$532,$S219)&gt;1),AND($T219&lt;&gt;"",LOWER(TRIM($T219))&lt;&gt;"n/a",COUNTIF($T$2:$T$532,$T219)&gt;1),AND($W219&lt;&gt;"",LOWER(TRIM($W219))&lt;&gt;"n/a",COUNTIF($W$2:$W$532,$W219)&gt;1)),"Yes","No"),IF($A219="Cybernet",IF(OR(AND($Y219&lt;&gt;"",LOWER(TRIM($Y219))&lt;&gt;"n/a",COUNTIF($Y$2:$Y$532,$Y219)&gt;1),AND($Z219&lt;&gt;"",LOWER(TRIM($Z219))&lt;&gt;"n/a",COUNTIF($Z$2:$Z$532,$Z219)&gt;1)),"Yes","No"),IF(AND($AL219&lt;&gt;"",LOWER(TRIM($AL219))&lt;&gt;"n/a",COUNTIF($AL$2:$AL$532,$AL219)&gt;1),"Yes","No"))))</f>
      </c>
      <c r="F219">
        <f>IF($B219&lt;&gt;"Yes","",
IF($A219="Neuron",
IF(OR(
AND($S219&lt;&gt;"",LOWER(TRIM($S219))&lt;&gt;"n/a",COUNTIFS($B$2:$B$532,"Yes",$A$2:$A$532,"Neuron",$S$2:$S$532,$S219)&gt;1),
AND($T219&lt;&gt;"",LOWER(TRIM($T219))&lt;&gt;"n/a",COUNTIFS($B$2:$B$532,"Yes",$A$2:$A$532,"Neuron",$T$2:$T$532,$T219)&gt;1),
AND($W219&lt;&gt;"",LOWER(TRIM($W219))&lt;&gt;"n/a",COUNTIFS($B$2:$B$532,"Yes",$A$2:$A$532,"Neuron",$W$2:$W$532,$W219)&gt;1)
),"Yes","No"),
IF($A219="Cybernet",
IF(OR(
AND($Y219&lt;&gt;"",LOWER(TRIM($Y219))&lt;&gt;"n/a",COUNTIFS($B$2:$B$532,"Yes",$A$2:$A$532,"Cybernet",$Y$2:$Y$532,$Y219)&gt;1),
AND($Z219&lt;&gt;"",LOWER(TRIM($Z219))&lt;&gt;"n/a",COUNTIFS($B$2:$B$532,"Yes",$A$2:$A$532,"Cybernet",$Z$2:$Z$532,$Z219)&gt;1)
),"Yes","No"),
IF(AND($AL219&lt;&gt;"",LOWER(TRIM($AL219))&lt;&gt;"n/a"),
IF(COUNTIFS($B$2:$B$532,"Yes",$A$2:$A$532,$A219,$AL$2:$AL$532,$AL219)&gt;1,"Yes","No"),
"No")
)
)
)</f>
      </c>
      <c r="BL219">
        <f>IF($T219="","",IF((IF(AND($AW219&lt;&gt;"Yes",$AW219&lt;&gt;"N/A"),"Power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",""))="","",LEFT(IF(AND($AW219&lt;&gt;"Yes",$AW219&lt;&gt;"N/A"),"Power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",""),LEN(IF(AND($AW219&lt;&gt;"Yes",$AW219&lt;&gt;"N/A"),"Power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",""))-2)))</f>
      </c>
      <c r="BM219">
        <f>IF($T219="","",IF($BL219="","Yes","Blocked"))</f>
      </c>
      <c r="BP219">
        <f>IF($BO219="","",IFERROR(VLOOKUP($BO219,'01_Warehouse_Ledger'!$A:$N,4,FALSE),""))</f>
      </c>
      <c r="BQ219">
        <f>IF($BO219="","",IFERROR(VLOOKUP($BO219,'01_Warehouse_Ledger'!$A:$N,5,FALSE),""))</f>
      </c>
      <c r="BR219">
        <f>IF($BO219="","",IFERROR(VLOOKUP($BO219,'01_Warehouse_Ledger'!$A:$N,13,FALSE),""))</f>
      </c>
    </row>
    <row r="220">
      <c r="D220">
        <f>IF($B220&lt;&gt;"Yes","",IF($C220="No","Yes",IF($C220="Yes","No","")))</f>
      </c>
      <c r="E220">
        <f>IF($A220="","",IF($A220="Neuron",IF(OR(AND($S220&lt;&gt;"",LOWER(TRIM($S220))&lt;&gt;"n/a",COUNTIF($S$2:$S$532,$S220)&gt;1),AND($T220&lt;&gt;"",LOWER(TRIM($T220))&lt;&gt;"n/a",COUNTIF($T$2:$T$532,$T220)&gt;1),AND($W220&lt;&gt;"",LOWER(TRIM($W220))&lt;&gt;"n/a",COUNTIF($W$2:$W$532,$W220)&gt;1)),"Yes","No"),IF($A220="Cybernet",IF(OR(AND($Y220&lt;&gt;"",LOWER(TRIM($Y220))&lt;&gt;"n/a",COUNTIF($Y$2:$Y$532,$Y220)&gt;1),AND($Z220&lt;&gt;"",LOWER(TRIM($Z220))&lt;&gt;"n/a",COUNTIF($Z$2:$Z$532,$Z220)&gt;1)),"Yes","No"),IF(AND($AL220&lt;&gt;"",LOWER(TRIM($AL220))&lt;&gt;"n/a",COUNTIF($AL$2:$AL$532,$AL220)&gt;1),"Yes","No"))))</f>
      </c>
      <c r="F220">
        <f>IF($B220&lt;&gt;"Yes","",
IF($A220="Neuron",
IF(OR(
AND($S220&lt;&gt;"",LOWER(TRIM($S220))&lt;&gt;"n/a",COUNTIFS($B$2:$B$532,"Yes",$A$2:$A$532,"Neuron",$S$2:$S$532,$S220)&gt;1),
AND($T220&lt;&gt;"",LOWER(TRIM($T220))&lt;&gt;"n/a",COUNTIFS($B$2:$B$532,"Yes",$A$2:$A$532,"Neuron",$T$2:$T$532,$T220)&gt;1),
AND($W220&lt;&gt;"",LOWER(TRIM($W220))&lt;&gt;"n/a",COUNTIFS($B$2:$B$532,"Yes",$A$2:$A$532,"Neuron",$W$2:$W$532,$W220)&gt;1)
),"Yes","No"),
IF($A220="Cybernet",
IF(OR(
AND($Y220&lt;&gt;"",LOWER(TRIM($Y220))&lt;&gt;"n/a",COUNTIFS($B$2:$B$532,"Yes",$A$2:$A$532,"Cybernet",$Y$2:$Y$532,$Y220)&gt;1),
AND($Z220&lt;&gt;"",LOWER(TRIM($Z220))&lt;&gt;"n/a",COUNTIFS($B$2:$B$532,"Yes",$A$2:$A$532,"Cybernet",$Z$2:$Z$532,$Z220)&gt;1)
),"Yes","No"),
IF(AND($AL220&lt;&gt;"",LOWER(TRIM($AL220))&lt;&gt;"n/a"),
IF(COUNTIFS($B$2:$B$532,"Yes",$A$2:$A$532,$A220,$AL$2:$AL$532,$AL220)&gt;1,"Yes","No"),
"No")
)
)
)</f>
      </c>
      <c r="BL220">
        <f>IF($T220="","",IF((IF(AND($AW220&lt;&gt;"Yes",$AW220&lt;&gt;"N/A"),"Power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",""))="","",LEFT(IF(AND($AW220&lt;&gt;"Yes",$AW220&lt;&gt;"N/A"),"Power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",""),LEN(IF(AND($AW220&lt;&gt;"Yes",$AW220&lt;&gt;"N/A"),"Power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",""))-2)))</f>
      </c>
      <c r="BM220">
        <f>IF($T220="","",IF($BL220="","Yes","Blocked"))</f>
      </c>
      <c r="BP220">
        <f>IF($BO220="","",IFERROR(VLOOKUP($BO220,'01_Warehouse_Ledger'!$A:$N,4,FALSE),""))</f>
      </c>
      <c r="BQ220">
        <f>IF($BO220="","",IFERROR(VLOOKUP($BO220,'01_Warehouse_Ledger'!$A:$N,5,FALSE),""))</f>
      </c>
      <c r="BR220">
        <f>IF($BO220="","",IFERROR(VLOOKUP($BO220,'01_Warehouse_Ledger'!$A:$N,13,FALSE),""))</f>
      </c>
    </row>
    <row r="221">
      <c r="D221">
        <f>IF($B221&lt;&gt;"Yes","",IF($C221="No","Yes",IF($C221="Yes","No","")))</f>
      </c>
      <c r="E221">
        <f>IF($A221="","",IF($A221="Neuron",IF(OR(AND($S221&lt;&gt;"",LOWER(TRIM($S221))&lt;&gt;"n/a",COUNTIF($S$2:$S$532,$S221)&gt;1),AND($T221&lt;&gt;"",LOWER(TRIM($T221))&lt;&gt;"n/a",COUNTIF($T$2:$T$532,$T221)&gt;1),AND($W221&lt;&gt;"",LOWER(TRIM($W221))&lt;&gt;"n/a",COUNTIF($W$2:$W$532,$W221)&gt;1)),"Yes","No"),IF($A221="Cybernet",IF(OR(AND($Y221&lt;&gt;"",LOWER(TRIM($Y221))&lt;&gt;"n/a",COUNTIF($Y$2:$Y$532,$Y221)&gt;1),AND($Z221&lt;&gt;"",LOWER(TRIM($Z221))&lt;&gt;"n/a",COUNTIF($Z$2:$Z$532,$Z221)&gt;1)),"Yes","No"),IF(AND($AL221&lt;&gt;"",LOWER(TRIM($AL221))&lt;&gt;"n/a",COUNTIF($AL$2:$AL$532,$AL221)&gt;1),"Yes","No"))))</f>
      </c>
      <c r="F221">
        <f>IF($B221&lt;&gt;"Yes","",
IF($A221="Neuron",
IF(OR(
AND($S221&lt;&gt;"",LOWER(TRIM($S221))&lt;&gt;"n/a",COUNTIFS($B$2:$B$532,"Yes",$A$2:$A$532,"Neuron",$S$2:$S$532,$S221)&gt;1),
AND($T221&lt;&gt;"",LOWER(TRIM($T221))&lt;&gt;"n/a",COUNTIFS($B$2:$B$532,"Yes",$A$2:$A$532,"Neuron",$T$2:$T$532,$T221)&gt;1),
AND($W221&lt;&gt;"",LOWER(TRIM($W221))&lt;&gt;"n/a",COUNTIFS($B$2:$B$532,"Yes",$A$2:$A$532,"Neuron",$W$2:$W$532,$W221)&gt;1)
),"Yes","No"),
IF($A221="Cybernet",
IF(OR(
AND($Y221&lt;&gt;"",LOWER(TRIM($Y221))&lt;&gt;"n/a",COUNTIFS($B$2:$B$532,"Yes",$A$2:$A$532,"Cybernet",$Y$2:$Y$532,$Y221)&gt;1),
AND($Z221&lt;&gt;"",LOWER(TRIM($Z221))&lt;&gt;"n/a",COUNTIFS($B$2:$B$532,"Yes",$A$2:$A$532,"Cybernet",$Z$2:$Z$532,$Z221)&gt;1)
),"Yes","No"),
IF(AND($AL221&lt;&gt;"",LOWER(TRIM($AL221))&lt;&gt;"n/a"),
IF(COUNTIFS($B$2:$B$532,"Yes",$A$2:$A$532,$A221,$AL$2:$AL$532,$AL221)&gt;1,"Yes","No"),
"No")
)
)
)</f>
      </c>
      <c r="BL221">
        <f>IF($T221="","",IF((IF(AND($AW221&lt;&gt;"Yes",$AW221&lt;&gt;"N/A"),"Power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",""))="","",LEFT(IF(AND($AW221&lt;&gt;"Yes",$AW221&lt;&gt;"N/A"),"Power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",""),LEN(IF(AND($AW221&lt;&gt;"Yes",$AW221&lt;&gt;"N/A"),"Power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",""))-2)))</f>
      </c>
      <c r="BM221">
        <f>IF($T221="","",IF($BL221="","Yes","Blocked"))</f>
      </c>
      <c r="BP221">
        <f>IF($BO221="","",IFERROR(VLOOKUP($BO221,'01_Warehouse_Ledger'!$A:$N,4,FALSE),""))</f>
      </c>
      <c r="BQ221">
        <f>IF($BO221="","",IFERROR(VLOOKUP($BO221,'01_Warehouse_Ledger'!$A:$N,5,FALSE),""))</f>
      </c>
      <c r="BR221">
        <f>IF($BO221="","",IFERROR(VLOOKUP($BO221,'01_Warehouse_Ledger'!$A:$N,13,FALSE),""))</f>
      </c>
    </row>
    <row r="222">
      <c r="D222">
        <f>IF($B222&lt;&gt;"Yes","",IF($C222="No","Yes",IF($C222="Yes","No","")))</f>
      </c>
      <c r="E222">
        <f>IF($A222="","",IF($A222="Neuron",IF(OR(AND($S222&lt;&gt;"",LOWER(TRIM($S222))&lt;&gt;"n/a",COUNTIF($S$2:$S$532,$S222)&gt;1),AND($T222&lt;&gt;"",LOWER(TRIM($T222))&lt;&gt;"n/a",COUNTIF($T$2:$T$532,$T222)&gt;1),AND($W222&lt;&gt;"",LOWER(TRIM($W222))&lt;&gt;"n/a",COUNTIF($W$2:$W$532,$W222)&gt;1)),"Yes","No"),IF($A222="Cybernet",IF(OR(AND($Y222&lt;&gt;"",LOWER(TRIM($Y222))&lt;&gt;"n/a",COUNTIF($Y$2:$Y$532,$Y222)&gt;1),AND($Z222&lt;&gt;"",LOWER(TRIM($Z222))&lt;&gt;"n/a",COUNTIF($Z$2:$Z$532,$Z222)&gt;1)),"Yes","No"),IF(AND($AL222&lt;&gt;"",LOWER(TRIM($AL222))&lt;&gt;"n/a",COUNTIF($AL$2:$AL$532,$AL222)&gt;1),"Yes","No"))))</f>
      </c>
      <c r="F222">
        <f>IF($B222&lt;&gt;"Yes","",
IF($A222="Neuron",
IF(OR(
AND($S222&lt;&gt;"",LOWER(TRIM($S222))&lt;&gt;"n/a",COUNTIFS($B$2:$B$532,"Yes",$A$2:$A$532,"Neuron",$S$2:$S$532,$S222)&gt;1),
AND($T222&lt;&gt;"",LOWER(TRIM($T222))&lt;&gt;"n/a",COUNTIFS($B$2:$B$532,"Yes",$A$2:$A$532,"Neuron",$T$2:$T$532,$T222)&gt;1),
AND($W222&lt;&gt;"",LOWER(TRIM($W222))&lt;&gt;"n/a",COUNTIFS($B$2:$B$532,"Yes",$A$2:$A$532,"Neuron",$W$2:$W$532,$W222)&gt;1)
),"Yes","No"),
IF($A222="Cybernet",
IF(OR(
AND($Y222&lt;&gt;"",LOWER(TRIM($Y222))&lt;&gt;"n/a",COUNTIFS($B$2:$B$532,"Yes",$A$2:$A$532,"Cybernet",$Y$2:$Y$532,$Y222)&gt;1),
AND($Z222&lt;&gt;"",LOWER(TRIM($Z222))&lt;&gt;"n/a",COUNTIFS($B$2:$B$532,"Yes",$A$2:$A$532,"Cybernet",$Z$2:$Z$532,$Z222)&gt;1)
),"Yes","No"),
IF(AND($AL222&lt;&gt;"",LOWER(TRIM($AL222))&lt;&gt;"n/a"),
IF(COUNTIFS($B$2:$B$532,"Yes",$A$2:$A$532,$A222,$AL$2:$AL$532,$AL222)&gt;1,"Yes","No"),
"No")
)
)
)</f>
      </c>
      <c r="BL222">
        <f>IF($T222="","",IF((IF(AND($AW222&lt;&gt;"Yes",$AW222&lt;&gt;"N/A"),"Power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",""))="","",LEFT(IF(AND($AW222&lt;&gt;"Yes",$AW222&lt;&gt;"N/A"),"Power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",""),LEN(IF(AND($AW222&lt;&gt;"Yes",$AW222&lt;&gt;"N/A"),"Power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",""))-2)))</f>
      </c>
      <c r="BM222">
        <f>IF($T222="","",IF($BL222="","Yes","Blocked"))</f>
      </c>
      <c r="BP222">
        <f>IF($BO222="","",IFERROR(VLOOKUP($BO222,'01_Warehouse_Ledger'!$A:$N,4,FALSE),""))</f>
      </c>
      <c r="BQ222">
        <f>IF($BO222="","",IFERROR(VLOOKUP($BO222,'01_Warehouse_Ledger'!$A:$N,5,FALSE),""))</f>
      </c>
      <c r="BR222">
        <f>IF($BO222="","",IFERROR(VLOOKUP($BO222,'01_Warehouse_Ledger'!$A:$N,13,FALSE),""))</f>
      </c>
    </row>
    <row r="223">
      <c r="D223">
        <f>IF($B223&lt;&gt;"Yes","",IF($C223="No","Yes",IF($C223="Yes","No","")))</f>
      </c>
      <c r="E223">
        <f>IF($A223="","",IF($A223="Neuron",IF(OR(AND($S223&lt;&gt;"",LOWER(TRIM($S223))&lt;&gt;"n/a",COUNTIF($S$2:$S$532,$S223)&gt;1),AND($T223&lt;&gt;"",LOWER(TRIM($T223))&lt;&gt;"n/a",COUNTIF($T$2:$T$532,$T223)&gt;1),AND($W223&lt;&gt;"",LOWER(TRIM($W223))&lt;&gt;"n/a",COUNTIF($W$2:$W$532,$W223)&gt;1)),"Yes","No"),IF($A223="Cybernet",IF(OR(AND($Y223&lt;&gt;"",LOWER(TRIM($Y223))&lt;&gt;"n/a",COUNTIF($Y$2:$Y$532,$Y223)&gt;1),AND($Z223&lt;&gt;"",LOWER(TRIM($Z223))&lt;&gt;"n/a",COUNTIF($Z$2:$Z$532,$Z223)&gt;1)),"Yes","No"),IF(AND($AL223&lt;&gt;"",LOWER(TRIM($AL223))&lt;&gt;"n/a",COUNTIF($AL$2:$AL$532,$AL223)&gt;1),"Yes","No"))))</f>
      </c>
      <c r="F223">
        <f>IF($B223&lt;&gt;"Yes","",
IF($A223="Neuron",
IF(OR(
AND($S223&lt;&gt;"",LOWER(TRIM($S223))&lt;&gt;"n/a",COUNTIFS($B$2:$B$532,"Yes",$A$2:$A$532,"Neuron",$S$2:$S$532,$S223)&gt;1),
AND($T223&lt;&gt;"",LOWER(TRIM($T223))&lt;&gt;"n/a",COUNTIFS($B$2:$B$532,"Yes",$A$2:$A$532,"Neuron",$T$2:$T$532,$T223)&gt;1),
AND($W223&lt;&gt;"",LOWER(TRIM($W223))&lt;&gt;"n/a",COUNTIFS($B$2:$B$532,"Yes",$A$2:$A$532,"Neuron",$W$2:$W$532,$W223)&gt;1)
),"Yes","No"),
IF($A223="Cybernet",
IF(OR(
AND($Y223&lt;&gt;"",LOWER(TRIM($Y223))&lt;&gt;"n/a",COUNTIFS($B$2:$B$532,"Yes",$A$2:$A$532,"Cybernet",$Y$2:$Y$532,$Y223)&gt;1),
AND($Z223&lt;&gt;"",LOWER(TRIM($Z223))&lt;&gt;"n/a",COUNTIFS($B$2:$B$532,"Yes",$A$2:$A$532,"Cybernet",$Z$2:$Z$532,$Z223)&gt;1)
),"Yes","No"),
IF(AND($AL223&lt;&gt;"",LOWER(TRIM($AL223))&lt;&gt;"n/a"),
IF(COUNTIFS($B$2:$B$532,"Yes",$A$2:$A$532,$A223,$AL$2:$AL$532,$AL223)&gt;1,"Yes","No"),
"No")
)
)
)</f>
      </c>
      <c r="BL223">
        <f>IF($T223="","",IF((IF(AND($AW223&lt;&gt;"Yes",$AW223&lt;&gt;"N/A"),"Power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",""))="","",LEFT(IF(AND($AW223&lt;&gt;"Yes",$AW223&lt;&gt;"N/A"),"Power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",""),LEN(IF(AND($AW223&lt;&gt;"Yes",$AW223&lt;&gt;"N/A"),"Power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",""))-2)))</f>
      </c>
      <c r="BM223">
        <f>IF($T223="","",IF($BL223="","Yes","Blocked"))</f>
      </c>
      <c r="BP223">
        <f>IF($BO223="","",IFERROR(VLOOKUP($BO223,'01_Warehouse_Ledger'!$A:$N,4,FALSE),""))</f>
      </c>
      <c r="BQ223">
        <f>IF($BO223="","",IFERROR(VLOOKUP($BO223,'01_Warehouse_Ledger'!$A:$N,5,FALSE),""))</f>
      </c>
      <c r="BR223">
        <f>IF($BO223="","",IFERROR(VLOOKUP($BO223,'01_Warehouse_Ledger'!$A:$N,13,FALSE),""))</f>
      </c>
    </row>
    <row r="224">
      <c r="D224">
        <f>IF($B224&lt;&gt;"Yes","",IF($C224="No","Yes",IF($C224="Yes","No","")))</f>
      </c>
      <c r="E224">
        <f>IF($A224="","",IF($A224="Neuron",IF(OR(AND($S224&lt;&gt;"",LOWER(TRIM($S224))&lt;&gt;"n/a",COUNTIF($S$2:$S$532,$S224)&gt;1),AND($T224&lt;&gt;"",LOWER(TRIM($T224))&lt;&gt;"n/a",COUNTIF($T$2:$T$532,$T224)&gt;1),AND($W224&lt;&gt;"",LOWER(TRIM($W224))&lt;&gt;"n/a",COUNTIF($W$2:$W$532,$W224)&gt;1)),"Yes","No"),IF($A224="Cybernet",IF(OR(AND($Y224&lt;&gt;"",LOWER(TRIM($Y224))&lt;&gt;"n/a",COUNTIF($Y$2:$Y$532,$Y224)&gt;1),AND($Z224&lt;&gt;"",LOWER(TRIM($Z224))&lt;&gt;"n/a",COUNTIF($Z$2:$Z$532,$Z224)&gt;1)),"Yes","No"),IF(AND($AL224&lt;&gt;"",LOWER(TRIM($AL224))&lt;&gt;"n/a",COUNTIF($AL$2:$AL$532,$AL224)&gt;1),"Yes","No"))))</f>
      </c>
      <c r="F224">
        <f>IF($B224&lt;&gt;"Yes","",
IF($A224="Neuron",
IF(OR(
AND($S224&lt;&gt;"",LOWER(TRIM($S224))&lt;&gt;"n/a",COUNTIFS($B$2:$B$532,"Yes",$A$2:$A$532,"Neuron",$S$2:$S$532,$S224)&gt;1),
AND($T224&lt;&gt;"",LOWER(TRIM($T224))&lt;&gt;"n/a",COUNTIFS($B$2:$B$532,"Yes",$A$2:$A$532,"Neuron",$T$2:$T$532,$T224)&gt;1),
AND($W224&lt;&gt;"",LOWER(TRIM($W224))&lt;&gt;"n/a",COUNTIFS($B$2:$B$532,"Yes",$A$2:$A$532,"Neuron",$W$2:$W$532,$W224)&gt;1)
),"Yes","No"),
IF($A224="Cybernet",
IF(OR(
AND($Y224&lt;&gt;"",LOWER(TRIM($Y224))&lt;&gt;"n/a",COUNTIFS($B$2:$B$532,"Yes",$A$2:$A$532,"Cybernet",$Y$2:$Y$532,$Y224)&gt;1),
AND($Z224&lt;&gt;"",LOWER(TRIM($Z224))&lt;&gt;"n/a",COUNTIFS($B$2:$B$532,"Yes",$A$2:$A$532,"Cybernet",$Z$2:$Z$532,$Z224)&gt;1)
),"Yes","No"),
IF(AND($AL224&lt;&gt;"",LOWER(TRIM($AL224))&lt;&gt;"n/a"),
IF(COUNTIFS($B$2:$B$532,"Yes",$A$2:$A$532,$A224,$AL$2:$AL$532,$AL224)&gt;1,"Yes","No"),
"No")
)
)
)</f>
      </c>
      <c r="BL224">
        <f>IF($T224="","",IF((IF(AND($AW224&lt;&gt;"Yes",$AW224&lt;&gt;"N/A"),"Power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",""))="","",LEFT(IF(AND($AW224&lt;&gt;"Yes",$AW224&lt;&gt;"N/A"),"Power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",""),LEN(IF(AND($AW224&lt;&gt;"Yes",$AW224&lt;&gt;"N/A"),"Power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",""))-2)))</f>
      </c>
      <c r="BM224">
        <f>IF($T224="","",IF($BL224="","Yes","Blocked"))</f>
      </c>
      <c r="BP224">
        <f>IF($BO224="","",IFERROR(VLOOKUP($BO224,'01_Warehouse_Ledger'!$A:$N,4,FALSE),""))</f>
      </c>
      <c r="BQ224">
        <f>IF($BO224="","",IFERROR(VLOOKUP($BO224,'01_Warehouse_Ledger'!$A:$N,5,FALSE),""))</f>
      </c>
      <c r="BR224">
        <f>IF($BO224="","",IFERROR(VLOOKUP($BO224,'01_Warehouse_Ledger'!$A:$N,13,FALSE),""))</f>
      </c>
    </row>
    <row r="225">
      <c r="D225">
        <f>IF($B225&lt;&gt;"Yes","",IF($C225="No","Yes",IF($C225="Yes","No","")))</f>
      </c>
      <c r="E225">
        <f>IF($A225="","",IF($A225="Neuron",IF(OR(AND($S225&lt;&gt;"",LOWER(TRIM($S225))&lt;&gt;"n/a",COUNTIF($S$2:$S$532,$S225)&gt;1),AND($T225&lt;&gt;"",LOWER(TRIM($T225))&lt;&gt;"n/a",COUNTIF($T$2:$T$532,$T225)&gt;1),AND($W225&lt;&gt;"",LOWER(TRIM($W225))&lt;&gt;"n/a",COUNTIF($W$2:$W$532,$W225)&gt;1)),"Yes","No"),IF($A225="Cybernet",IF(OR(AND($Y225&lt;&gt;"",LOWER(TRIM($Y225))&lt;&gt;"n/a",COUNTIF($Y$2:$Y$532,$Y225)&gt;1),AND($Z225&lt;&gt;"",LOWER(TRIM($Z225))&lt;&gt;"n/a",COUNTIF($Z$2:$Z$532,$Z225)&gt;1)),"Yes","No"),IF(AND($AL225&lt;&gt;"",LOWER(TRIM($AL225))&lt;&gt;"n/a",COUNTIF($AL$2:$AL$532,$AL225)&gt;1),"Yes","No"))))</f>
      </c>
      <c r="F225">
        <f>IF($B225&lt;&gt;"Yes","",
IF($A225="Neuron",
IF(OR(
AND($S225&lt;&gt;"",LOWER(TRIM($S225))&lt;&gt;"n/a",COUNTIFS($B$2:$B$532,"Yes",$A$2:$A$532,"Neuron",$S$2:$S$532,$S225)&gt;1),
AND($T225&lt;&gt;"",LOWER(TRIM($T225))&lt;&gt;"n/a",COUNTIFS($B$2:$B$532,"Yes",$A$2:$A$532,"Neuron",$T$2:$T$532,$T225)&gt;1),
AND($W225&lt;&gt;"",LOWER(TRIM($W225))&lt;&gt;"n/a",COUNTIFS($B$2:$B$532,"Yes",$A$2:$A$532,"Neuron",$W$2:$W$532,$W225)&gt;1)
),"Yes","No"),
IF($A225="Cybernet",
IF(OR(
AND($Y225&lt;&gt;"",LOWER(TRIM($Y225))&lt;&gt;"n/a",COUNTIFS($B$2:$B$532,"Yes",$A$2:$A$532,"Cybernet",$Y$2:$Y$532,$Y225)&gt;1),
AND($Z225&lt;&gt;"",LOWER(TRIM($Z225))&lt;&gt;"n/a",COUNTIFS($B$2:$B$532,"Yes",$A$2:$A$532,"Cybernet",$Z$2:$Z$532,$Z225)&gt;1)
),"Yes","No"),
IF(AND($AL225&lt;&gt;"",LOWER(TRIM($AL225))&lt;&gt;"n/a"),
IF(COUNTIFS($B$2:$B$532,"Yes",$A$2:$A$532,$A225,$AL$2:$AL$532,$AL225)&gt;1,"Yes","No"),
"No")
)
)
)</f>
      </c>
      <c r="BL225">
        <f>IF($T225="","",IF((IF(AND($AW225&lt;&gt;"Yes",$AW225&lt;&gt;"N/A"),"Power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",""))="","",LEFT(IF(AND($AW225&lt;&gt;"Yes",$AW225&lt;&gt;"N/A"),"Power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",""),LEN(IF(AND($AW225&lt;&gt;"Yes",$AW225&lt;&gt;"N/A"),"Power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",""))-2)))</f>
      </c>
      <c r="BM225">
        <f>IF($T225="","",IF($BL225="","Yes","Blocked"))</f>
      </c>
      <c r="BP225">
        <f>IF($BO225="","",IFERROR(VLOOKUP($BO225,'01_Warehouse_Ledger'!$A:$N,4,FALSE),""))</f>
      </c>
      <c r="BQ225">
        <f>IF($BO225="","",IFERROR(VLOOKUP($BO225,'01_Warehouse_Ledger'!$A:$N,5,FALSE),""))</f>
      </c>
      <c r="BR225">
        <f>IF($BO225="","",IFERROR(VLOOKUP($BO225,'01_Warehouse_Ledger'!$A:$N,13,FALSE),""))</f>
      </c>
    </row>
    <row r="226">
      <c r="D226">
        <f>IF($B226&lt;&gt;"Yes","",IF($C226="No","Yes",IF($C226="Yes","No","")))</f>
      </c>
      <c r="E226">
        <f>IF($A226="","",IF($A226="Neuron",IF(OR(AND($S226&lt;&gt;"",LOWER(TRIM($S226))&lt;&gt;"n/a",COUNTIF($S$2:$S$532,$S226)&gt;1),AND($T226&lt;&gt;"",LOWER(TRIM($T226))&lt;&gt;"n/a",COUNTIF($T$2:$T$532,$T226)&gt;1),AND($W226&lt;&gt;"",LOWER(TRIM($W226))&lt;&gt;"n/a",COUNTIF($W$2:$W$532,$W226)&gt;1)),"Yes","No"),IF($A226="Cybernet",IF(OR(AND($Y226&lt;&gt;"",LOWER(TRIM($Y226))&lt;&gt;"n/a",COUNTIF($Y$2:$Y$532,$Y226)&gt;1),AND($Z226&lt;&gt;"",LOWER(TRIM($Z226))&lt;&gt;"n/a",COUNTIF($Z$2:$Z$532,$Z226)&gt;1)),"Yes","No"),IF(AND($AL226&lt;&gt;"",LOWER(TRIM($AL226))&lt;&gt;"n/a",COUNTIF($AL$2:$AL$532,$AL226)&gt;1),"Yes","No"))))</f>
      </c>
      <c r="F226">
        <f>IF($B226&lt;&gt;"Yes","",
IF($A226="Neuron",
IF(OR(
AND($S226&lt;&gt;"",LOWER(TRIM($S226))&lt;&gt;"n/a",COUNTIFS($B$2:$B$532,"Yes",$A$2:$A$532,"Neuron",$S$2:$S$532,$S226)&gt;1),
AND($T226&lt;&gt;"",LOWER(TRIM($T226))&lt;&gt;"n/a",COUNTIFS($B$2:$B$532,"Yes",$A$2:$A$532,"Neuron",$T$2:$T$532,$T226)&gt;1),
AND($W226&lt;&gt;"",LOWER(TRIM($W226))&lt;&gt;"n/a",COUNTIFS($B$2:$B$532,"Yes",$A$2:$A$532,"Neuron",$W$2:$W$532,$W226)&gt;1)
),"Yes","No"),
IF($A226="Cybernet",
IF(OR(
AND($Y226&lt;&gt;"",LOWER(TRIM($Y226))&lt;&gt;"n/a",COUNTIFS($B$2:$B$532,"Yes",$A$2:$A$532,"Cybernet",$Y$2:$Y$532,$Y226)&gt;1),
AND($Z226&lt;&gt;"",LOWER(TRIM($Z226))&lt;&gt;"n/a",COUNTIFS($B$2:$B$532,"Yes",$A$2:$A$532,"Cybernet",$Z$2:$Z$532,$Z226)&gt;1)
),"Yes","No"),
IF(AND($AL226&lt;&gt;"",LOWER(TRIM($AL226))&lt;&gt;"n/a"),
IF(COUNTIFS($B$2:$B$532,"Yes",$A$2:$A$532,$A226,$AL$2:$AL$532,$AL226)&gt;1,"Yes","No"),
"No")
)
)
)</f>
      </c>
      <c r="BL226">
        <f>IF($T226="","",IF((IF(AND($AW226&lt;&gt;"Yes",$AW226&lt;&gt;"N/A"),"Power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",""))="","",LEFT(IF(AND($AW226&lt;&gt;"Yes",$AW226&lt;&gt;"N/A"),"Power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",""),LEN(IF(AND($AW226&lt;&gt;"Yes",$AW226&lt;&gt;"N/A"),"Power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",""))-2)))</f>
      </c>
      <c r="BM226">
        <f>IF($T226="","",IF($BL226="","Yes","Blocked"))</f>
      </c>
      <c r="BP226">
        <f>IF($BO226="","",IFERROR(VLOOKUP($BO226,'01_Warehouse_Ledger'!$A:$N,4,FALSE),""))</f>
      </c>
      <c r="BQ226">
        <f>IF($BO226="","",IFERROR(VLOOKUP($BO226,'01_Warehouse_Ledger'!$A:$N,5,FALSE),""))</f>
      </c>
      <c r="BR226">
        <f>IF($BO226="","",IFERROR(VLOOKUP($BO226,'01_Warehouse_Ledger'!$A:$N,13,FALSE),""))</f>
      </c>
    </row>
    <row r="227">
      <c r="D227">
        <f>IF($B227&lt;&gt;"Yes","",IF($C227="No","Yes",IF($C227="Yes","No","")))</f>
      </c>
      <c r="E227">
        <f>IF($A227="","",IF($A227="Neuron",IF(OR(AND($S227&lt;&gt;"",LOWER(TRIM($S227))&lt;&gt;"n/a",COUNTIF($S$2:$S$532,$S227)&gt;1),AND($T227&lt;&gt;"",LOWER(TRIM($T227))&lt;&gt;"n/a",COUNTIF($T$2:$T$532,$T227)&gt;1),AND($W227&lt;&gt;"",LOWER(TRIM($W227))&lt;&gt;"n/a",COUNTIF($W$2:$W$532,$W227)&gt;1)),"Yes","No"),IF($A227="Cybernet",IF(OR(AND($Y227&lt;&gt;"",LOWER(TRIM($Y227))&lt;&gt;"n/a",COUNTIF($Y$2:$Y$532,$Y227)&gt;1),AND($Z227&lt;&gt;"",LOWER(TRIM($Z227))&lt;&gt;"n/a",COUNTIF($Z$2:$Z$532,$Z227)&gt;1)),"Yes","No"),IF(AND($AL227&lt;&gt;"",LOWER(TRIM($AL227))&lt;&gt;"n/a",COUNTIF($AL$2:$AL$532,$AL227)&gt;1),"Yes","No"))))</f>
      </c>
      <c r="F227">
        <f>IF($B227&lt;&gt;"Yes","",
IF($A227="Neuron",
IF(OR(
AND($S227&lt;&gt;"",LOWER(TRIM($S227))&lt;&gt;"n/a",COUNTIFS($B$2:$B$532,"Yes",$A$2:$A$532,"Neuron",$S$2:$S$532,$S227)&gt;1),
AND($T227&lt;&gt;"",LOWER(TRIM($T227))&lt;&gt;"n/a",COUNTIFS($B$2:$B$532,"Yes",$A$2:$A$532,"Neuron",$T$2:$T$532,$T227)&gt;1),
AND($W227&lt;&gt;"",LOWER(TRIM($W227))&lt;&gt;"n/a",COUNTIFS($B$2:$B$532,"Yes",$A$2:$A$532,"Neuron",$W$2:$W$532,$W227)&gt;1)
),"Yes","No"),
IF($A227="Cybernet",
IF(OR(
AND($Y227&lt;&gt;"",LOWER(TRIM($Y227))&lt;&gt;"n/a",COUNTIFS($B$2:$B$532,"Yes",$A$2:$A$532,"Cybernet",$Y$2:$Y$532,$Y227)&gt;1),
AND($Z227&lt;&gt;"",LOWER(TRIM($Z227))&lt;&gt;"n/a",COUNTIFS($B$2:$B$532,"Yes",$A$2:$A$532,"Cybernet",$Z$2:$Z$532,$Z227)&gt;1)
),"Yes","No"),
IF(AND($AL227&lt;&gt;"",LOWER(TRIM($AL227))&lt;&gt;"n/a"),
IF(COUNTIFS($B$2:$B$532,"Yes",$A$2:$A$532,$A227,$AL$2:$AL$532,$AL227)&gt;1,"Yes","No"),
"No")
)
)
)</f>
      </c>
      <c r="BL227">
        <f>IF($T227="","",IF((IF(AND($AW227&lt;&gt;"Yes",$AW227&lt;&gt;"N/A"),"Power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",""))="","",LEFT(IF(AND($AW227&lt;&gt;"Yes",$AW227&lt;&gt;"N/A"),"Power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",""),LEN(IF(AND($AW227&lt;&gt;"Yes",$AW227&lt;&gt;"N/A"),"Power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",""))-2)))</f>
      </c>
      <c r="BM227">
        <f>IF($T227="","",IF($BL227="","Yes","Blocked"))</f>
      </c>
      <c r="BP227">
        <f>IF($BO227="","",IFERROR(VLOOKUP($BO227,'01_Warehouse_Ledger'!$A:$N,4,FALSE),""))</f>
      </c>
      <c r="BQ227">
        <f>IF($BO227="","",IFERROR(VLOOKUP($BO227,'01_Warehouse_Ledger'!$A:$N,5,FALSE),""))</f>
      </c>
      <c r="BR227">
        <f>IF($BO227="","",IFERROR(VLOOKUP($BO227,'01_Warehouse_Ledger'!$A:$N,13,FALSE),""))</f>
      </c>
    </row>
    <row r="228">
      <c r="D228">
        <f>IF($B228&lt;&gt;"Yes","",IF($C228="No","Yes",IF($C228="Yes","No","")))</f>
      </c>
      <c r="E228">
        <f>IF($A228="","",IF($A228="Neuron",IF(OR(AND($S228&lt;&gt;"",LOWER(TRIM($S228))&lt;&gt;"n/a",COUNTIF($S$2:$S$532,$S228)&gt;1),AND($T228&lt;&gt;"",LOWER(TRIM($T228))&lt;&gt;"n/a",COUNTIF($T$2:$T$532,$T228)&gt;1),AND($W228&lt;&gt;"",LOWER(TRIM($W228))&lt;&gt;"n/a",COUNTIF($W$2:$W$532,$W228)&gt;1)),"Yes","No"),IF($A228="Cybernet",IF(OR(AND($Y228&lt;&gt;"",LOWER(TRIM($Y228))&lt;&gt;"n/a",COUNTIF($Y$2:$Y$532,$Y228)&gt;1),AND($Z228&lt;&gt;"",LOWER(TRIM($Z228))&lt;&gt;"n/a",COUNTIF($Z$2:$Z$532,$Z228)&gt;1)),"Yes","No"),IF(AND($AL228&lt;&gt;"",LOWER(TRIM($AL228))&lt;&gt;"n/a",COUNTIF($AL$2:$AL$532,$AL228)&gt;1),"Yes","No"))))</f>
      </c>
      <c r="F228">
        <f>IF($B228&lt;&gt;"Yes","",
IF($A228="Neuron",
IF(OR(
AND($S228&lt;&gt;"",LOWER(TRIM($S228))&lt;&gt;"n/a",COUNTIFS($B$2:$B$532,"Yes",$A$2:$A$532,"Neuron",$S$2:$S$532,$S228)&gt;1),
AND($T228&lt;&gt;"",LOWER(TRIM($T228))&lt;&gt;"n/a",COUNTIFS($B$2:$B$532,"Yes",$A$2:$A$532,"Neuron",$T$2:$T$532,$T228)&gt;1),
AND($W228&lt;&gt;"",LOWER(TRIM($W228))&lt;&gt;"n/a",COUNTIFS($B$2:$B$532,"Yes",$A$2:$A$532,"Neuron",$W$2:$W$532,$W228)&gt;1)
),"Yes","No"),
IF($A228="Cybernet",
IF(OR(
AND($Y228&lt;&gt;"",LOWER(TRIM($Y228))&lt;&gt;"n/a",COUNTIFS($B$2:$B$532,"Yes",$A$2:$A$532,"Cybernet",$Y$2:$Y$532,$Y228)&gt;1),
AND($Z228&lt;&gt;"",LOWER(TRIM($Z228))&lt;&gt;"n/a",COUNTIFS($B$2:$B$532,"Yes",$A$2:$A$532,"Cybernet",$Z$2:$Z$532,$Z228)&gt;1)
),"Yes","No"),
IF(AND($AL228&lt;&gt;"",LOWER(TRIM($AL228))&lt;&gt;"n/a"),
IF(COUNTIFS($B$2:$B$532,"Yes",$A$2:$A$532,$A228,$AL$2:$AL$532,$AL228)&gt;1,"Yes","No"),
"No")
)
)
)</f>
      </c>
      <c r="BL228">
        <f>IF($T228="","",IF((IF(AND($AW228&lt;&gt;"Yes",$AW228&lt;&gt;"N/A"),"Power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",""))="","",LEFT(IF(AND($AW228&lt;&gt;"Yes",$AW228&lt;&gt;"N/A"),"Power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",""),LEN(IF(AND($AW228&lt;&gt;"Yes",$AW228&lt;&gt;"N/A"),"Power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",""))-2)))</f>
      </c>
      <c r="BM228">
        <f>IF($T228="","",IF($BL228="","Yes","Blocked"))</f>
      </c>
      <c r="BP228">
        <f>IF($BO228="","",IFERROR(VLOOKUP($BO228,'01_Warehouse_Ledger'!$A:$N,4,FALSE),""))</f>
      </c>
      <c r="BQ228">
        <f>IF($BO228="","",IFERROR(VLOOKUP($BO228,'01_Warehouse_Ledger'!$A:$N,5,FALSE),""))</f>
      </c>
      <c r="BR228">
        <f>IF($BO228="","",IFERROR(VLOOKUP($BO228,'01_Warehouse_Ledger'!$A:$N,13,FALSE),""))</f>
      </c>
    </row>
    <row r="229">
      <c r="D229">
        <f>IF($B229&lt;&gt;"Yes","",IF($C229="No","Yes",IF($C229="Yes","No","")))</f>
      </c>
      <c r="E229">
        <f>IF($A229="","",IF($A229="Neuron",IF(OR(AND($S229&lt;&gt;"",LOWER(TRIM($S229))&lt;&gt;"n/a",COUNTIF($S$2:$S$532,$S229)&gt;1),AND($T229&lt;&gt;"",LOWER(TRIM($T229))&lt;&gt;"n/a",COUNTIF($T$2:$T$532,$T229)&gt;1),AND($W229&lt;&gt;"",LOWER(TRIM($W229))&lt;&gt;"n/a",COUNTIF($W$2:$W$532,$W229)&gt;1)),"Yes","No"),IF($A229="Cybernet",IF(OR(AND($Y229&lt;&gt;"",LOWER(TRIM($Y229))&lt;&gt;"n/a",COUNTIF($Y$2:$Y$532,$Y229)&gt;1),AND($Z229&lt;&gt;"",LOWER(TRIM($Z229))&lt;&gt;"n/a",COUNTIF($Z$2:$Z$532,$Z229)&gt;1)),"Yes","No"),IF(AND($AL229&lt;&gt;"",LOWER(TRIM($AL229))&lt;&gt;"n/a",COUNTIF($AL$2:$AL$532,$AL229)&gt;1),"Yes","No"))))</f>
      </c>
      <c r="F229">
        <f>IF($B229&lt;&gt;"Yes","",
IF($A229="Neuron",
IF(OR(
AND($S229&lt;&gt;"",LOWER(TRIM($S229))&lt;&gt;"n/a",COUNTIFS($B$2:$B$532,"Yes",$A$2:$A$532,"Neuron",$S$2:$S$532,$S229)&gt;1),
AND($T229&lt;&gt;"",LOWER(TRIM($T229))&lt;&gt;"n/a",COUNTIFS($B$2:$B$532,"Yes",$A$2:$A$532,"Neuron",$T$2:$T$532,$T229)&gt;1),
AND($W229&lt;&gt;"",LOWER(TRIM($W229))&lt;&gt;"n/a",COUNTIFS($B$2:$B$532,"Yes",$A$2:$A$532,"Neuron",$W$2:$W$532,$W229)&gt;1)
),"Yes","No"),
IF($A229="Cybernet",
IF(OR(
AND($Y229&lt;&gt;"",LOWER(TRIM($Y229))&lt;&gt;"n/a",COUNTIFS($B$2:$B$532,"Yes",$A$2:$A$532,"Cybernet",$Y$2:$Y$532,$Y229)&gt;1),
AND($Z229&lt;&gt;"",LOWER(TRIM($Z229))&lt;&gt;"n/a",COUNTIFS($B$2:$B$532,"Yes",$A$2:$A$532,"Cybernet",$Z$2:$Z$532,$Z229)&gt;1)
),"Yes","No"),
IF(AND($AL229&lt;&gt;"",LOWER(TRIM($AL229))&lt;&gt;"n/a"),
IF(COUNTIFS($B$2:$B$532,"Yes",$A$2:$A$532,$A229,$AL$2:$AL$532,$AL229)&gt;1,"Yes","No"),
"No")
)
)
)</f>
      </c>
      <c r="BL229">
        <f>IF($T229="","",IF((IF(AND($AW229&lt;&gt;"Yes",$AW229&lt;&gt;"N/A"),"Power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",""))="","",LEFT(IF(AND($AW229&lt;&gt;"Yes",$AW229&lt;&gt;"N/A"),"Power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",""),LEN(IF(AND($AW229&lt;&gt;"Yes",$AW229&lt;&gt;"N/A"),"Power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",""))-2)))</f>
      </c>
      <c r="BM229">
        <f>IF($T229="","",IF($BL229="","Yes","Blocked"))</f>
      </c>
      <c r="BP229">
        <f>IF($BO229="","",IFERROR(VLOOKUP($BO229,'01_Warehouse_Ledger'!$A:$N,4,FALSE),""))</f>
      </c>
      <c r="BQ229">
        <f>IF($BO229="","",IFERROR(VLOOKUP($BO229,'01_Warehouse_Ledger'!$A:$N,5,FALSE),""))</f>
      </c>
      <c r="BR229">
        <f>IF($BO229="","",IFERROR(VLOOKUP($BO229,'01_Warehouse_Ledger'!$A:$N,13,FALSE),""))</f>
      </c>
    </row>
    <row r="230">
      <c r="D230">
        <f>IF($B230&lt;&gt;"Yes","",IF($C230="No","Yes",IF($C230="Yes","No","")))</f>
      </c>
      <c r="E230">
        <f>IF($A230="","",IF($A230="Neuron",IF(OR(AND($S230&lt;&gt;"",LOWER(TRIM($S230))&lt;&gt;"n/a",COUNTIF($S$2:$S$532,$S230)&gt;1),AND($T230&lt;&gt;"",LOWER(TRIM($T230))&lt;&gt;"n/a",COUNTIF($T$2:$T$532,$T230)&gt;1),AND($W230&lt;&gt;"",LOWER(TRIM($W230))&lt;&gt;"n/a",COUNTIF($W$2:$W$532,$W230)&gt;1)),"Yes","No"),IF($A230="Cybernet",IF(OR(AND($Y230&lt;&gt;"",LOWER(TRIM($Y230))&lt;&gt;"n/a",COUNTIF($Y$2:$Y$532,$Y230)&gt;1),AND($Z230&lt;&gt;"",LOWER(TRIM($Z230))&lt;&gt;"n/a",COUNTIF($Z$2:$Z$532,$Z230)&gt;1)),"Yes","No"),IF(AND($AL230&lt;&gt;"",LOWER(TRIM($AL230))&lt;&gt;"n/a",COUNTIF($AL$2:$AL$532,$AL230)&gt;1),"Yes","No"))))</f>
      </c>
      <c r="F230">
        <f>IF($B230&lt;&gt;"Yes","",
IF($A230="Neuron",
IF(OR(
AND($S230&lt;&gt;"",LOWER(TRIM($S230))&lt;&gt;"n/a",COUNTIFS($B$2:$B$532,"Yes",$A$2:$A$532,"Neuron",$S$2:$S$532,$S230)&gt;1),
AND($T230&lt;&gt;"",LOWER(TRIM($T230))&lt;&gt;"n/a",COUNTIFS($B$2:$B$532,"Yes",$A$2:$A$532,"Neuron",$T$2:$T$532,$T230)&gt;1),
AND($W230&lt;&gt;"",LOWER(TRIM($W230))&lt;&gt;"n/a",COUNTIFS($B$2:$B$532,"Yes",$A$2:$A$532,"Neuron",$W$2:$W$532,$W230)&gt;1)
),"Yes","No"),
IF($A230="Cybernet",
IF(OR(
AND($Y230&lt;&gt;"",LOWER(TRIM($Y230))&lt;&gt;"n/a",COUNTIFS($B$2:$B$532,"Yes",$A$2:$A$532,"Cybernet",$Y$2:$Y$532,$Y230)&gt;1),
AND($Z230&lt;&gt;"",LOWER(TRIM($Z230))&lt;&gt;"n/a",COUNTIFS($B$2:$B$532,"Yes",$A$2:$A$532,"Cybernet",$Z$2:$Z$532,$Z230)&gt;1)
),"Yes","No"),
IF(AND($AL230&lt;&gt;"",LOWER(TRIM($AL230))&lt;&gt;"n/a"),
IF(COUNTIFS($B$2:$B$532,"Yes",$A$2:$A$532,$A230,$AL$2:$AL$532,$AL230)&gt;1,"Yes","No"),
"No")
)
)
)</f>
      </c>
      <c r="BL230">
        <f>IF($T230="","",IF((IF(AND($AW230&lt;&gt;"Yes",$AW230&lt;&gt;"N/A"),"Power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",""))="","",LEFT(IF(AND($AW230&lt;&gt;"Yes",$AW230&lt;&gt;"N/A"),"Power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",""),LEN(IF(AND($AW230&lt;&gt;"Yes",$AW230&lt;&gt;"N/A"),"Power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",""))-2)))</f>
      </c>
      <c r="BM230">
        <f>IF($T230="","",IF($BL230="","Yes","Blocked"))</f>
      </c>
      <c r="BP230">
        <f>IF($BO230="","",IFERROR(VLOOKUP($BO230,'01_Warehouse_Ledger'!$A:$N,4,FALSE),""))</f>
      </c>
      <c r="BQ230">
        <f>IF($BO230="","",IFERROR(VLOOKUP($BO230,'01_Warehouse_Ledger'!$A:$N,5,FALSE),""))</f>
      </c>
      <c r="BR230">
        <f>IF($BO230="","",IFERROR(VLOOKUP($BO230,'01_Warehouse_Ledger'!$A:$N,13,FALSE),""))</f>
      </c>
    </row>
    <row r="231">
      <c r="D231">
        <f>IF($B231&lt;&gt;"Yes","",IF($C231="No","Yes",IF($C231="Yes","No","")))</f>
      </c>
      <c r="E231">
        <f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</c>
      <c r="F231">
        <f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</c>
      <c r="BL231">
        <f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</c>
      <c r="BM231">
        <f>IF($T231="","",IF($BL231="","Yes","Blocked"))</f>
      </c>
      <c r="BP231">
        <f>IF($BO231="","",IFERROR(VLOOKUP($BO231,'01_Warehouse_Ledger'!$A:$N,4,FALSE),""))</f>
      </c>
      <c r="BQ231">
        <f>IF($BO231="","",IFERROR(VLOOKUP($BO231,'01_Warehouse_Ledger'!$A:$N,5,FALSE),""))</f>
      </c>
      <c r="BR231">
        <f>IF($BO231="","",IFERROR(VLOOKUP($BO231,'01_Warehouse_Ledger'!$A:$N,13,FALSE),""))</f>
      </c>
    </row>
    <row r="232">
      <c r="D232">
        <f>IF($B232&lt;&gt;"Yes","",IF($C232="No","Yes",IF($C232="Yes","No","")))</f>
      </c>
      <c r="E232">
        <f>IF($A232="","",IF($A232="Neuron",IF(OR(AND($S232&lt;&gt;"",LOWER(TRIM($S232))&lt;&gt;"n/a",COUNTIF($S$2:$S$532,$S232)&gt;1),AND($T232&lt;&gt;"",LOWER(TRIM($T232))&lt;&gt;"n/a",COUNTIF($T$2:$T$532,$T232)&gt;1),AND($W232&lt;&gt;"",LOWER(TRIM($W232))&lt;&gt;"n/a",COUNTIF($W$2:$W$532,$W232)&gt;1)),"Yes","No"),IF($A232="Cybernet",IF(OR(AND($Y232&lt;&gt;"",LOWER(TRIM($Y232))&lt;&gt;"n/a",COUNTIF($Y$2:$Y$532,$Y232)&gt;1),AND($Z232&lt;&gt;"",LOWER(TRIM($Z232))&lt;&gt;"n/a",COUNTIF($Z$2:$Z$532,$Z232)&gt;1)),"Yes","No"),IF(AND($AL232&lt;&gt;"",LOWER(TRIM($AL232))&lt;&gt;"n/a",COUNTIF($AL$2:$AL$532,$AL232)&gt;1),"Yes","No"))))</f>
      </c>
      <c r="F232">
        <f>IF($B232&lt;&gt;"Yes","",
IF($A232="Neuron",
IF(OR(
AND($S232&lt;&gt;"",LOWER(TRIM($S232))&lt;&gt;"n/a",COUNTIFS($B$2:$B$532,"Yes",$A$2:$A$532,"Neuron",$S$2:$S$532,$S232)&gt;1),
AND($T232&lt;&gt;"",LOWER(TRIM($T232))&lt;&gt;"n/a",COUNTIFS($B$2:$B$532,"Yes",$A$2:$A$532,"Neuron",$T$2:$T$532,$T232)&gt;1),
AND($W232&lt;&gt;"",LOWER(TRIM($W232))&lt;&gt;"n/a",COUNTIFS($B$2:$B$532,"Yes",$A$2:$A$532,"Neuron",$W$2:$W$532,$W232)&gt;1)
),"Yes","No"),
IF($A232="Cybernet",
IF(OR(
AND($Y232&lt;&gt;"",LOWER(TRIM($Y232))&lt;&gt;"n/a",COUNTIFS($B$2:$B$532,"Yes",$A$2:$A$532,"Cybernet",$Y$2:$Y$532,$Y232)&gt;1),
AND($Z232&lt;&gt;"",LOWER(TRIM($Z232))&lt;&gt;"n/a",COUNTIFS($B$2:$B$532,"Yes",$A$2:$A$532,"Cybernet",$Z$2:$Z$532,$Z232)&gt;1)
),"Yes","No"),
IF(AND($AL232&lt;&gt;"",LOWER(TRIM($AL232))&lt;&gt;"n/a"),
IF(COUNTIFS($B$2:$B$532,"Yes",$A$2:$A$532,$A232,$AL$2:$AL$532,$AL232)&gt;1,"Yes","No"),
"No")
)
)
)</f>
      </c>
      <c r="BL232">
        <f>IF($T232="","",IF((IF(AND($AW232&lt;&gt;"Yes",$AW232&lt;&gt;"N/A"),"Power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",""))="","",LEFT(IF(AND($AW232&lt;&gt;"Yes",$AW232&lt;&gt;"N/A"),"Power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",""),LEN(IF(AND($AW232&lt;&gt;"Yes",$AW232&lt;&gt;"N/A"),"Power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",""))-2)))</f>
      </c>
      <c r="BM232">
        <f>IF($T232="","",IF($BL232="","Yes","Blocked"))</f>
      </c>
      <c r="BP232">
        <f>IF($BO232="","",IFERROR(VLOOKUP($BO232,'01_Warehouse_Ledger'!$A:$N,4,FALSE),""))</f>
      </c>
      <c r="BQ232">
        <f>IF($BO232="","",IFERROR(VLOOKUP($BO232,'01_Warehouse_Ledger'!$A:$N,5,FALSE),""))</f>
      </c>
      <c r="BR232">
        <f>IF($BO232="","",IFERROR(VLOOKUP($BO232,'01_Warehouse_Ledger'!$A:$N,13,FALSE),""))</f>
      </c>
    </row>
    <row r="233">
      <c r="D233">
        <f>IF($B233&lt;&gt;"Yes","",IF($C233="No","Yes",IF($C233="Yes","No","")))</f>
      </c>
      <c r="E233">
        <f>IF($A233="","",IF($A233="Neuron",IF(OR(AND($S233&lt;&gt;"",LOWER(TRIM($S233))&lt;&gt;"n/a",COUNTIF($S$2:$S$532,$S233)&gt;1),AND($T233&lt;&gt;"",LOWER(TRIM($T233))&lt;&gt;"n/a",COUNTIF($T$2:$T$532,$T233)&gt;1),AND($W233&lt;&gt;"",LOWER(TRIM($W233))&lt;&gt;"n/a",COUNTIF($W$2:$W$532,$W233)&gt;1)),"Yes","No"),IF($A233="Cybernet",IF(OR(AND($Y233&lt;&gt;"",LOWER(TRIM($Y233))&lt;&gt;"n/a",COUNTIF($Y$2:$Y$532,$Y233)&gt;1),AND($Z233&lt;&gt;"",LOWER(TRIM($Z233))&lt;&gt;"n/a",COUNTIF($Z$2:$Z$532,$Z233)&gt;1)),"Yes","No"),IF(AND($AL233&lt;&gt;"",LOWER(TRIM($AL233))&lt;&gt;"n/a",COUNTIF($AL$2:$AL$532,$AL233)&gt;1),"Yes","No"))))</f>
      </c>
      <c r="F233">
        <f>IF($B233&lt;&gt;"Yes","",
IF($A233="Neuron",
IF(OR(
AND($S233&lt;&gt;"",LOWER(TRIM($S233))&lt;&gt;"n/a",COUNTIFS($B$2:$B$532,"Yes",$A$2:$A$532,"Neuron",$S$2:$S$532,$S233)&gt;1),
AND($T233&lt;&gt;"",LOWER(TRIM($T233))&lt;&gt;"n/a",COUNTIFS($B$2:$B$532,"Yes",$A$2:$A$532,"Neuron",$T$2:$T$532,$T233)&gt;1),
AND($W233&lt;&gt;"",LOWER(TRIM($W233))&lt;&gt;"n/a",COUNTIFS($B$2:$B$532,"Yes",$A$2:$A$532,"Neuron",$W$2:$W$532,$W233)&gt;1)
),"Yes","No"),
IF($A233="Cybernet",
IF(OR(
AND($Y233&lt;&gt;"",LOWER(TRIM($Y233))&lt;&gt;"n/a",COUNTIFS($B$2:$B$532,"Yes",$A$2:$A$532,"Cybernet",$Y$2:$Y$532,$Y233)&gt;1),
AND($Z233&lt;&gt;"",LOWER(TRIM($Z233))&lt;&gt;"n/a",COUNTIFS($B$2:$B$532,"Yes",$A$2:$A$532,"Cybernet",$Z$2:$Z$532,$Z233)&gt;1)
),"Yes","No"),
IF(AND($AL233&lt;&gt;"",LOWER(TRIM($AL233))&lt;&gt;"n/a"),
IF(COUNTIFS($B$2:$B$532,"Yes",$A$2:$A$532,$A233,$AL$2:$AL$532,$AL233)&gt;1,"Yes","No"),
"No")
)
)
)</f>
      </c>
      <c r="BL233">
        <f>IF($T233="","",IF((IF(AND($AW233&lt;&gt;"Yes",$AW233&lt;&gt;"N/A"),"Power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",""))="","",LEFT(IF(AND($AW233&lt;&gt;"Yes",$AW233&lt;&gt;"N/A"),"Power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",""),LEN(IF(AND($AW233&lt;&gt;"Yes",$AW233&lt;&gt;"N/A"),"Power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",""))-2)))</f>
      </c>
      <c r="BM233">
        <f>IF($T233="","",IF($BL233="","Yes","Blocked"))</f>
      </c>
      <c r="BP233">
        <f>IF($BO233="","",IFERROR(VLOOKUP($BO233,'01_Warehouse_Ledger'!$A:$N,4,FALSE),""))</f>
      </c>
      <c r="BQ233">
        <f>IF($BO233="","",IFERROR(VLOOKUP($BO233,'01_Warehouse_Ledger'!$A:$N,5,FALSE),""))</f>
      </c>
      <c r="BR233">
        <f>IF($BO233="","",IFERROR(VLOOKUP($BO233,'01_Warehouse_Ledger'!$A:$N,13,FALSE),""))</f>
      </c>
    </row>
    <row r="234">
      <c r="D234">
        <f>IF($B234&lt;&gt;"Yes","",IF($C234="No","Yes",IF($C234="Yes","No","")))</f>
      </c>
      <c r="E234">
        <f>IF($A234="","",IF($A234="Neuron",IF(OR(AND($S234&lt;&gt;"",LOWER(TRIM($S234))&lt;&gt;"n/a",COUNTIF($S$2:$S$532,$S234)&gt;1),AND($T234&lt;&gt;"",LOWER(TRIM($T234))&lt;&gt;"n/a",COUNTIF($T$2:$T$532,$T234)&gt;1),AND($W234&lt;&gt;"",LOWER(TRIM($W234))&lt;&gt;"n/a",COUNTIF($W$2:$W$532,$W234)&gt;1)),"Yes","No"),IF($A234="Cybernet",IF(OR(AND($Y234&lt;&gt;"",LOWER(TRIM($Y234))&lt;&gt;"n/a",COUNTIF($Y$2:$Y$532,$Y234)&gt;1),AND($Z234&lt;&gt;"",LOWER(TRIM($Z234))&lt;&gt;"n/a",COUNTIF($Z$2:$Z$532,$Z234)&gt;1)),"Yes","No"),IF(AND($AL234&lt;&gt;"",LOWER(TRIM($AL234))&lt;&gt;"n/a",COUNTIF($AL$2:$AL$532,$AL234)&gt;1),"Yes","No"))))</f>
      </c>
      <c r="F234">
        <f>IF($B234&lt;&gt;"Yes","",
IF($A234="Neuron",
IF(OR(
AND($S234&lt;&gt;"",LOWER(TRIM($S234))&lt;&gt;"n/a",COUNTIFS($B$2:$B$532,"Yes",$A$2:$A$532,"Neuron",$S$2:$S$532,$S234)&gt;1),
AND($T234&lt;&gt;"",LOWER(TRIM($T234))&lt;&gt;"n/a",COUNTIFS($B$2:$B$532,"Yes",$A$2:$A$532,"Neuron",$T$2:$T$532,$T234)&gt;1),
AND($W234&lt;&gt;"",LOWER(TRIM($W234))&lt;&gt;"n/a",COUNTIFS($B$2:$B$532,"Yes",$A$2:$A$532,"Neuron",$W$2:$W$532,$W234)&gt;1)
),"Yes","No"),
IF($A234="Cybernet",
IF(OR(
AND($Y234&lt;&gt;"",LOWER(TRIM($Y234))&lt;&gt;"n/a",COUNTIFS($B$2:$B$532,"Yes",$A$2:$A$532,"Cybernet",$Y$2:$Y$532,$Y234)&gt;1),
AND($Z234&lt;&gt;"",LOWER(TRIM($Z234))&lt;&gt;"n/a",COUNTIFS($B$2:$B$532,"Yes",$A$2:$A$532,"Cybernet",$Z$2:$Z$532,$Z234)&gt;1)
),"Yes","No"),
IF(AND($AL234&lt;&gt;"",LOWER(TRIM($AL234))&lt;&gt;"n/a"),
IF(COUNTIFS($B$2:$B$532,"Yes",$A$2:$A$532,$A234,$AL$2:$AL$532,$AL234)&gt;1,"Yes","No"),
"No")
)
)
)</f>
      </c>
      <c r="BL234">
        <f>IF($T234="","",IF((IF(AND($AW234&lt;&gt;"Yes",$AW234&lt;&gt;"N/A"),"Power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",""))="","",LEFT(IF(AND($AW234&lt;&gt;"Yes",$AW234&lt;&gt;"N/A"),"Power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",""),LEN(IF(AND($AW234&lt;&gt;"Yes",$AW234&lt;&gt;"N/A"),"Power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",""))-2)))</f>
      </c>
      <c r="BM234">
        <f>IF($T234="","",IF($BL234="","Yes","Blocked"))</f>
      </c>
      <c r="BP234">
        <f>IF($BO234="","",IFERROR(VLOOKUP($BO234,'01_Warehouse_Ledger'!$A:$N,4,FALSE),""))</f>
      </c>
      <c r="BQ234">
        <f>IF($BO234="","",IFERROR(VLOOKUP($BO234,'01_Warehouse_Ledger'!$A:$N,5,FALSE),""))</f>
      </c>
      <c r="BR234">
        <f>IF($BO234="","",IFERROR(VLOOKUP($BO234,'01_Warehouse_Ledger'!$A:$N,13,FALSE),""))</f>
      </c>
    </row>
    <row r="235">
      <c r="D235">
        <f>IF($B235&lt;&gt;"Yes","",IF($C235="No","Yes",IF($C235="Yes","No","")))</f>
      </c>
      <c r="E235">
        <f>IF($A235="","",IF($A235="Neuron",IF(OR(AND($S235&lt;&gt;"",LOWER(TRIM($S235))&lt;&gt;"n/a",COUNTIF($S$2:$S$532,$S235)&gt;1),AND($T235&lt;&gt;"",LOWER(TRIM($T235))&lt;&gt;"n/a",COUNTIF($T$2:$T$532,$T235)&gt;1),AND($W235&lt;&gt;"",LOWER(TRIM($W235))&lt;&gt;"n/a",COUNTIF($W$2:$W$532,$W235)&gt;1)),"Yes","No"),IF($A235="Cybernet",IF(OR(AND($Y235&lt;&gt;"",LOWER(TRIM($Y235))&lt;&gt;"n/a",COUNTIF($Y$2:$Y$532,$Y235)&gt;1),AND($Z235&lt;&gt;"",LOWER(TRIM($Z235))&lt;&gt;"n/a",COUNTIF($Z$2:$Z$532,$Z235)&gt;1)),"Yes","No"),IF(AND($AL235&lt;&gt;"",LOWER(TRIM($AL235))&lt;&gt;"n/a",COUNTIF($AL$2:$AL$532,$AL235)&gt;1),"Yes","No"))))</f>
      </c>
      <c r="F235">
        <f>IF($B235&lt;&gt;"Yes","",
IF($A235="Neuron",
IF(OR(
AND($S235&lt;&gt;"",LOWER(TRIM($S235))&lt;&gt;"n/a",COUNTIFS($B$2:$B$532,"Yes",$A$2:$A$532,"Neuron",$S$2:$S$532,$S235)&gt;1),
AND($T235&lt;&gt;"",LOWER(TRIM($T235))&lt;&gt;"n/a",COUNTIFS($B$2:$B$532,"Yes",$A$2:$A$532,"Neuron",$T$2:$T$532,$T235)&gt;1),
AND($W235&lt;&gt;"",LOWER(TRIM($W235))&lt;&gt;"n/a",COUNTIFS($B$2:$B$532,"Yes",$A$2:$A$532,"Neuron",$W$2:$W$532,$W235)&gt;1)
),"Yes","No"),
IF($A235="Cybernet",
IF(OR(
AND($Y235&lt;&gt;"",LOWER(TRIM($Y235))&lt;&gt;"n/a",COUNTIFS($B$2:$B$532,"Yes",$A$2:$A$532,"Cybernet",$Y$2:$Y$532,$Y235)&gt;1),
AND($Z235&lt;&gt;"",LOWER(TRIM($Z235))&lt;&gt;"n/a",COUNTIFS($B$2:$B$532,"Yes",$A$2:$A$532,"Cybernet",$Z$2:$Z$532,$Z235)&gt;1)
),"Yes","No"),
IF(AND($AL235&lt;&gt;"",LOWER(TRIM($AL235))&lt;&gt;"n/a"),
IF(COUNTIFS($B$2:$B$532,"Yes",$A$2:$A$532,$A235,$AL$2:$AL$532,$AL235)&gt;1,"Yes","No"),
"No")
)
)
)</f>
      </c>
      <c r="BL235">
        <f>IF($T235="","",IF((IF(AND($AW235&lt;&gt;"Yes",$AW235&lt;&gt;"N/A"),"Power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",""))="","",LEFT(IF(AND($AW235&lt;&gt;"Yes",$AW235&lt;&gt;"N/A"),"Power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",""),LEN(IF(AND($AW235&lt;&gt;"Yes",$AW235&lt;&gt;"N/A"),"Power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",""))-2)))</f>
      </c>
      <c r="BM235">
        <f>IF($T235="","",IF($BL235="","Yes","Blocked"))</f>
      </c>
      <c r="BP235">
        <f>IF($BO235="","",IFERROR(VLOOKUP($BO235,'01_Warehouse_Ledger'!$A:$N,4,FALSE),""))</f>
      </c>
      <c r="BQ235">
        <f>IF($BO235="","",IFERROR(VLOOKUP($BO235,'01_Warehouse_Ledger'!$A:$N,5,FALSE),""))</f>
      </c>
      <c r="BR235">
        <f>IF($BO235="","",IFERROR(VLOOKUP($BO235,'01_Warehouse_Ledger'!$A:$N,13,FALSE),""))</f>
      </c>
    </row>
    <row r="236">
      <c r="D236">
        <f>IF($B236&lt;&gt;"Yes","",IF($C236="No","Yes",IF($C236="Yes","No","")))</f>
      </c>
      <c r="E236">
        <f>IF($A236="","",IF($A236="Neuron",IF(OR(AND($S236&lt;&gt;"",LOWER(TRIM($S236))&lt;&gt;"n/a",COUNTIF($S$2:$S$532,$S236)&gt;1),AND($T236&lt;&gt;"",LOWER(TRIM($T236))&lt;&gt;"n/a",COUNTIF($T$2:$T$532,$T236)&gt;1),AND($W236&lt;&gt;"",LOWER(TRIM($W236))&lt;&gt;"n/a",COUNTIF($W$2:$W$532,$W236)&gt;1)),"Yes","No"),IF($A236="Cybernet",IF(OR(AND($Y236&lt;&gt;"",LOWER(TRIM($Y236))&lt;&gt;"n/a",COUNTIF($Y$2:$Y$532,$Y236)&gt;1),AND($Z236&lt;&gt;"",LOWER(TRIM($Z236))&lt;&gt;"n/a",COUNTIF($Z$2:$Z$532,$Z236)&gt;1)),"Yes","No"),IF(AND($AL236&lt;&gt;"",LOWER(TRIM($AL236))&lt;&gt;"n/a",COUNTIF($AL$2:$AL$532,$AL236)&gt;1),"Yes","No"))))</f>
      </c>
      <c r="F236">
        <f>IF($B236&lt;&gt;"Yes","",
IF($A236="Neuron",
IF(OR(
AND($S236&lt;&gt;"",LOWER(TRIM($S236))&lt;&gt;"n/a",COUNTIFS($B$2:$B$532,"Yes",$A$2:$A$532,"Neuron",$S$2:$S$532,$S236)&gt;1),
AND($T236&lt;&gt;"",LOWER(TRIM($T236))&lt;&gt;"n/a",COUNTIFS($B$2:$B$532,"Yes",$A$2:$A$532,"Neuron",$T$2:$T$532,$T236)&gt;1),
AND($W236&lt;&gt;"",LOWER(TRIM($W236))&lt;&gt;"n/a",COUNTIFS($B$2:$B$532,"Yes",$A$2:$A$532,"Neuron",$W$2:$W$532,$W236)&gt;1)
),"Yes","No"),
IF($A236="Cybernet",
IF(OR(
AND($Y236&lt;&gt;"",LOWER(TRIM($Y236))&lt;&gt;"n/a",COUNTIFS($B$2:$B$532,"Yes",$A$2:$A$532,"Cybernet",$Y$2:$Y$532,$Y236)&gt;1),
AND($Z236&lt;&gt;"",LOWER(TRIM($Z236))&lt;&gt;"n/a",COUNTIFS($B$2:$B$532,"Yes",$A$2:$A$532,"Cybernet",$Z$2:$Z$532,$Z236)&gt;1)
),"Yes","No"),
IF(AND($AL236&lt;&gt;"",LOWER(TRIM($AL236))&lt;&gt;"n/a"),
IF(COUNTIFS($B$2:$B$532,"Yes",$A$2:$A$532,$A236,$AL$2:$AL$532,$AL236)&gt;1,"Yes","No"),
"No")
)
)
)</f>
      </c>
      <c r="BL236">
        <f>IF($T236="","",IF((IF(AND($AW236&lt;&gt;"Yes",$AW236&lt;&gt;"N/A"),"Power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",""))="","",LEFT(IF(AND($AW236&lt;&gt;"Yes",$AW236&lt;&gt;"N/A"),"Power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",""),LEN(IF(AND($AW236&lt;&gt;"Yes",$AW236&lt;&gt;"N/A"),"Power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",""))-2)))</f>
      </c>
      <c r="BM236">
        <f>IF($T236="","",IF($BL236="","Yes","Blocked"))</f>
      </c>
      <c r="BP236">
        <f>IF($BO236="","",IFERROR(VLOOKUP($BO236,'01_Warehouse_Ledger'!$A:$N,4,FALSE),""))</f>
      </c>
      <c r="BQ236">
        <f>IF($BO236="","",IFERROR(VLOOKUP($BO236,'01_Warehouse_Ledger'!$A:$N,5,FALSE),""))</f>
      </c>
      <c r="BR236">
        <f>IF($BO236="","",IFERROR(VLOOKUP($BO236,'01_Warehouse_Ledger'!$A:$N,13,FALSE),""))</f>
      </c>
    </row>
    <row r="237">
      <c r="D237">
        <f>IF($B237&lt;&gt;"Yes","",IF($C237="No","Yes",IF($C237="Yes","No","")))</f>
      </c>
      <c r="E237">
        <f>IF($A237="","",IF($A237="Neuron",IF(OR(AND($S237&lt;&gt;"",LOWER(TRIM($S237))&lt;&gt;"n/a",COUNTIF($S$2:$S$532,$S237)&gt;1),AND($T237&lt;&gt;"",LOWER(TRIM($T237))&lt;&gt;"n/a",COUNTIF($T$2:$T$532,$T237)&gt;1),AND($W237&lt;&gt;"",LOWER(TRIM($W237))&lt;&gt;"n/a",COUNTIF($W$2:$W$532,$W237)&gt;1)),"Yes","No"),IF($A237="Cybernet",IF(OR(AND($Y237&lt;&gt;"",LOWER(TRIM($Y237))&lt;&gt;"n/a",COUNTIF($Y$2:$Y$532,$Y237)&gt;1),AND($Z237&lt;&gt;"",LOWER(TRIM($Z237))&lt;&gt;"n/a",COUNTIF($Z$2:$Z$532,$Z237)&gt;1)),"Yes","No"),IF(AND($AL237&lt;&gt;"",LOWER(TRIM($AL237))&lt;&gt;"n/a",COUNTIF($AL$2:$AL$532,$AL237)&gt;1),"Yes","No"))))</f>
      </c>
      <c r="F237">
        <f>IF($B237&lt;&gt;"Yes","",
IF($A237="Neuron",
IF(OR(
AND($S237&lt;&gt;"",LOWER(TRIM($S237))&lt;&gt;"n/a",COUNTIFS($B$2:$B$532,"Yes",$A$2:$A$532,"Neuron",$S$2:$S$532,$S237)&gt;1),
AND($T237&lt;&gt;"",LOWER(TRIM($T237))&lt;&gt;"n/a",COUNTIFS($B$2:$B$532,"Yes",$A$2:$A$532,"Neuron",$T$2:$T$532,$T237)&gt;1),
AND($W237&lt;&gt;"",LOWER(TRIM($W237))&lt;&gt;"n/a",COUNTIFS($B$2:$B$532,"Yes",$A$2:$A$532,"Neuron",$W$2:$W$532,$W237)&gt;1)
),"Yes","No"),
IF($A237="Cybernet",
IF(OR(
AND($Y237&lt;&gt;"",LOWER(TRIM($Y237))&lt;&gt;"n/a",COUNTIFS($B$2:$B$532,"Yes",$A$2:$A$532,"Cybernet",$Y$2:$Y$532,$Y237)&gt;1),
AND($Z237&lt;&gt;"",LOWER(TRIM($Z237))&lt;&gt;"n/a",COUNTIFS($B$2:$B$532,"Yes",$A$2:$A$532,"Cybernet",$Z$2:$Z$532,$Z237)&gt;1)
),"Yes","No"),
IF(AND($AL237&lt;&gt;"",LOWER(TRIM($AL237))&lt;&gt;"n/a"),
IF(COUNTIFS($B$2:$B$532,"Yes",$A$2:$A$532,$A237,$AL$2:$AL$532,$AL237)&gt;1,"Yes","No"),
"No")
)
)
)</f>
      </c>
      <c r="BL237">
        <f>IF($T237="","",IF((IF(AND($AW237&lt;&gt;"Yes",$AW237&lt;&gt;"N/A"),"Power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",""))="","",LEFT(IF(AND($AW237&lt;&gt;"Yes",$AW237&lt;&gt;"N/A"),"Power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",""),LEN(IF(AND($AW237&lt;&gt;"Yes",$AW237&lt;&gt;"N/A"),"Power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",""))-2)))</f>
      </c>
      <c r="BM237">
        <f>IF($T237="","",IF($BL237="","Yes","Blocked"))</f>
      </c>
      <c r="BP237">
        <f>IF($BO237="","",IFERROR(VLOOKUP($BO237,'01_Warehouse_Ledger'!$A:$N,4,FALSE),""))</f>
      </c>
      <c r="BQ237">
        <f>IF($BO237="","",IFERROR(VLOOKUP($BO237,'01_Warehouse_Ledger'!$A:$N,5,FALSE),""))</f>
      </c>
      <c r="BR237">
        <f>IF($BO237="","",IFERROR(VLOOKUP($BO237,'01_Warehouse_Ledger'!$A:$N,13,FALSE),""))</f>
      </c>
    </row>
    <row r="238">
      <c r="D238">
        <f>IF($B238&lt;&gt;"Yes","",IF($C238="No","Yes",IF($C238="Yes","No","")))</f>
      </c>
      <c r="E238">
        <f>IF($A238="","",IF($A238="Neuron",IF(OR(AND($S238&lt;&gt;"",LOWER(TRIM($S238))&lt;&gt;"n/a",COUNTIF($S$2:$S$532,$S238)&gt;1),AND($T238&lt;&gt;"",LOWER(TRIM($T238))&lt;&gt;"n/a",COUNTIF($T$2:$T$532,$T238)&gt;1),AND($W238&lt;&gt;"",LOWER(TRIM($W238))&lt;&gt;"n/a",COUNTIF($W$2:$W$532,$W238)&gt;1)),"Yes","No"),IF($A238="Cybernet",IF(OR(AND($Y238&lt;&gt;"",LOWER(TRIM($Y238))&lt;&gt;"n/a",COUNTIF($Y$2:$Y$532,$Y238)&gt;1),AND($Z238&lt;&gt;"",LOWER(TRIM($Z238))&lt;&gt;"n/a",COUNTIF($Z$2:$Z$532,$Z238)&gt;1)),"Yes","No"),IF(AND($AL238&lt;&gt;"",LOWER(TRIM($AL238))&lt;&gt;"n/a",COUNTIF($AL$2:$AL$532,$AL238)&gt;1),"Yes","No"))))</f>
      </c>
      <c r="F238">
        <f>IF($B238&lt;&gt;"Yes","",
IF($A238="Neuron",
IF(OR(
AND($S238&lt;&gt;"",LOWER(TRIM($S238))&lt;&gt;"n/a",COUNTIFS($B$2:$B$532,"Yes",$A$2:$A$532,"Neuron",$S$2:$S$532,$S238)&gt;1),
AND($T238&lt;&gt;"",LOWER(TRIM($T238))&lt;&gt;"n/a",COUNTIFS($B$2:$B$532,"Yes",$A$2:$A$532,"Neuron",$T$2:$T$532,$T238)&gt;1),
AND($W238&lt;&gt;"",LOWER(TRIM($W238))&lt;&gt;"n/a",COUNTIFS($B$2:$B$532,"Yes",$A$2:$A$532,"Neuron",$W$2:$W$532,$W238)&gt;1)
),"Yes","No"),
IF($A238="Cybernet",
IF(OR(
AND($Y238&lt;&gt;"",LOWER(TRIM($Y238))&lt;&gt;"n/a",COUNTIFS($B$2:$B$532,"Yes",$A$2:$A$532,"Cybernet",$Y$2:$Y$532,$Y238)&gt;1),
AND($Z238&lt;&gt;"",LOWER(TRIM($Z238))&lt;&gt;"n/a",COUNTIFS($B$2:$B$532,"Yes",$A$2:$A$532,"Cybernet",$Z$2:$Z$532,$Z238)&gt;1)
),"Yes","No"),
IF(AND($AL238&lt;&gt;"",LOWER(TRIM($AL238))&lt;&gt;"n/a"),
IF(COUNTIFS($B$2:$B$532,"Yes",$A$2:$A$532,$A238,$AL$2:$AL$532,$AL238)&gt;1,"Yes","No"),
"No")
)
)
)</f>
      </c>
      <c r="BL238">
        <f>IF($T238="","",IF((IF(AND($AW238&lt;&gt;"Yes",$AW238&lt;&gt;"N/A"),"Power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",""))="","",LEFT(IF(AND($AW238&lt;&gt;"Yes",$AW238&lt;&gt;"N/A"),"Power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",""),LEN(IF(AND($AW238&lt;&gt;"Yes",$AW238&lt;&gt;"N/A"),"Power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",""))-2)))</f>
      </c>
      <c r="BM238">
        <f>IF($T238="","",IF($BL238="","Yes","Blocked"))</f>
      </c>
      <c r="BP238">
        <f>IF($BO238="","",IFERROR(VLOOKUP($BO238,'01_Warehouse_Ledger'!$A:$N,4,FALSE),""))</f>
      </c>
      <c r="BQ238">
        <f>IF($BO238="","",IFERROR(VLOOKUP($BO238,'01_Warehouse_Ledger'!$A:$N,5,FALSE),""))</f>
      </c>
      <c r="BR238">
        <f>IF($BO238="","",IFERROR(VLOOKUP($BO238,'01_Warehouse_Ledger'!$A:$N,13,FALSE),""))</f>
      </c>
    </row>
    <row r="239">
      <c r="D239">
        <f>IF($B239&lt;&gt;"Yes","",IF($C239="No","Yes",IF($C239="Yes","No","")))</f>
      </c>
      <c r="E239">
        <f>IF($A239="","",IF($A239="Neuron",IF(OR(AND($S239&lt;&gt;"",LOWER(TRIM($S239))&lt;&gt;"n/a",COUNTIF($S$2:$S$532,$S239)&gt;1),AND($T239&lt;&gt;"",LOWER(TRIM($T239))&lt;&gt;"n/a",COUNTIF($T$2:$T$532,$T239)&gt;1),AND($W239&lt;&gt;"",LOWER(TRIM($W239))&lt;&gt;"n/a",COUNTIF($W$2:$W$532,$W239)&gt;1)),"Yes","No"),IF($A239="Cybernet",IF(OR(AND($Y239&lt;&gt;"",LOWER(TRIM($Y239))&lt;&gt;"n/a",COUNTIF($Y$2:$Y$532,$Y239)&gt;1),AND($Z239&lt;&gt;"",LOWER(TRIM($Z239))&lt;&gt;"n/a",COUNTIF($Z$2:$Z$532,$Z239)&gt;1)),"Yes","No"),IF(AND($AL239&lt;&gt;"",LOWER(TRIM($AL239))&lt;&gt;"n/a",COUNTIF($AL$2:$AL$532,$AL239)&gt;1),"Yes","No"))))</f>
      </c>
      <c r="F239">
        <f>IF($B239&lt;&gt;"Yes","",
IF($A239="Neuron",
IF(OR(
AND($S239&lt;&gt;"",LOWER(TRIM($S239))&lt;&gt;"n/a",COUNTIFS($B$2:$B$532,"Yes",$A$2:$A$532,"Neuron",$S$2:$S$532,$S239)&gt;1),
AND($T239&lt;&gt;"",LOWER(TRIM($T239))&lt;&gt;"n/a",COUNTIFS($B$2:$B$532,"Yes",$A$2:$A$532,"Neuron",$T$2:$T$532,$T239)&gt;1),
AND($W239&lt;&gt;"",LOWER(TRIM($W239))&lt;&gt;"n/a",COUNTIFS($B$2:$B$532,"Yes",$A$2:$A$532,"Neuron",$W$2:$W$532,$W239)&gt;1)
),"Yes","No"),
IF($A239="Cybernet",
IF(OR(
AND($Y239&lt;&gt;"",LOWER(TRIM($Y239))&lt;&gt;"n/a",COUNTIFS($B$2:$B$532,"Yes",$A$2:$A$532,"Cybernet",$Y$2:$Y$532,$Y239)&gt;1),
AND($Z239&lt;&gt;"",LOWER(TRIM($Z239))&lt;&gt;"n/a",COUNTIFS($B$2:$B$532,"Yes",$A$2:$A$532,"Cybernet",$Z$2:$Z$532,$Z239)&gt;1)
),"Yes","No"),
IF(AND($AL239&lt;&gt;"",LOWER(TRIM($AL239))&lt;&gt;"n/a"),
IF(COUNTIFS($B$2:$B$532,"Yes",$A$2:$A$532,$A239,$AL$2:$AL$532,$AL239)&gt;1,"Yes","No"),
"No")
)
)
)</f>
      </c>
      <c r="BL239">
        <f>IF($T239="","",IF((IF(AND($AW239&lt;&gt;"Yes",$AW239&lt;&gt;"N/A"),"Power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",""))="","",LEFT(IF(AND($AW239&lt;&gt;"Yes",$AW239&lt;&gt;"N/A"),"Power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",""),LEN(IF(AND($AW239&lt;&gt;"Yes",$AW239&lt;&gt;"N/A"),"Power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",""))-2)))</f>
      </c>
      <c r="BM239">
        <f>IF($T239="","",IF($BL239="","Yes","Blocked"))</f>
      </c>
      <c r="BP239">
        <f>IF($BO239="","",IFERROR(VLOOKUP($BO239,'01_Warehouse_Ledger'!$A:$N,4,FALSE),""))</f>
      </c>
      <c r="BQ239">
        <f>IF($BO239="","",IFERROR(VLOOKUP($BO239,'01_Warehouse_Ledger'!$A:$N,5,FALSE),""))</f>
      </c>
      <c r="BR239">
        <f>IF($BO239="","",IFERROR(VLOOKUP($BO239,'01_Warehouse_Ledger'!$A:$N,13,FALSE),""))</f>
      </c>
    </row>
    <row r="240">
      <c r="D240">
        <f>IF($B240&lt;&gt;"Yes","",IF($C240="No","Yes",IF($C240="Yes","No","")))</f>
      </c>
      <c r="E240">
        <f>IF($A240="","",IF($A240="Neuron",IF(OR(AND($S240&lt;&gt;"",LOWER(TRIM($S240))&lt;&gt;"n/a",COUNTIF($S$2:$S$532,$S240)&gt;1),AND($T240&lt;&gt;"",LOWER(TRIM($T240))&lt;&gt;"n/a",COUNTIF($T$2:$T$532,$T240)&gt;1),AND($W240&lt;&gt;"",LOWER(TRIM($W240))&lt;&gt;"n/a",COUNTIF($W$2:$W$532,$W240)&gt;1)),"Yes","No"),IF($A240="Cybernet",IF(OR(AND($Y240&lt;&gt;"",LOWER(TRIM($Y240))&lt;&gt;"n/a",COUNTIF($Y$2:$Y$532,$Y240)&gt;1),AND($Z240&lt;&gt;"",LOWER(TRIM($Z240))&lt;&gt;"n/a",COUNTIF($Z$2:$Z$532,$Z240)&gt;1)),"Yes","No"),IF(AND($AL240&lt;&gt;"",LOWER(TRIM($AL240))&lt;&gt;"n/a",COUNTIF($AL$2:$AL$532,$AL240)&gt;1),"Yes","No"))))</f>
      </c>
      <c r="F240">
        <f>IF($B240&lt;&gt;"Yes","",
IF($A240="Neuron",
IF(OR(
AND($S240&lt;&gt;"",LOWER(TRIM($S240))&lt;&gt;"n/a",COUNTIFS($B$2:$B$532,"Yes",$A$2:$A$532,"Neuron",$S$2:$S$532,$S240)&gt;1),
AND($T240&lt;&gt;"",LOWER(TRIM($T240))&lt;&gt;"n/a",COUNTIFS($B$2:$B$532,"Yes",$A$2:$A$532,"Neuron",$T$2:$T$532,$T240)&gt;1),
AND($W240&lt;&gt;"",LOWER(TRIM($W240))&lt;&gt;"n/a",COUNTIFS($B$2:$B$532,"Yes",$A$2:$A$532,"Neuron",$W$2:$W$532,$W240)&gt;1)
),"Yes","No"),
IF($A240="Cybernet",
IF(OR(
AND($Y240&lt;&gt;"",LOWER(TRIM($Y240))&lt;&gt;"n/a",COUNTIFS($B$2:$B$532,"Yes",$A$2:$A$532,"Cybernet",$Y$2:$Y$532,$Y240)&gt;1),
AND($Z240&lt;&gt;"",LOWER(TRIM($Z240))&lt;&gt;"n/a",COUNTIFS($B$2:$B$532,"Yes",$A$2:$A$532,"Cybernet",$Z$2:$Z$532,$Z240)&gt;1)
),"Yes","No"),
IF(AND($AL240&lt;&gt;"",LOWER(TRIM($AL240))&lt;&gt;"n/a"),
IF(COUNTIFS($B$2:$B$532,"Yes",$A$2:$A$532,$A240,$AL$2:$AL$532,$AL240)&gt;1,"Yes","No"),
"No")
)
)
)</f>
      </c>
      <c r="BL240">
        <f>IF($T240="","",IF((IF(AND($AW240&lt;&gt;"Yes",$AW240&lt;&gt;"N/A"),"Power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",""))="","",LEFT(IF(AND($AW240&lt;&gt;"Yes",$AW240&lt;&gt;"N/A"),"Power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",""),LEN(IF(AND($AW240&lt;&gt;"Yes",$AW240&lt;&gt;"N/A"),"Power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",""))-2)))</f>
      </c>
      <c r="BM240">
        <f>IF($T240="","",IF($BL240="","Yes","Blocked"))</f>
      </c>
      <c r="BP240">
        <f>IF($BO240="","",IFERROR(VLOOKUP($BO240,'01_Warehouse_Ledger'!$A:$N,4,FALSE),""))</f>
      </c>
      <c r="BQ240">
        <f>IF($BO240="","",IFERROR(VLOOKUP($BO240,'01_Warehouse_Ledger'!$A:$N,5,FALSE),""))</f>
      </c>
      <c r="BR240">
        <f>IF($BO240="","",IFERROR(VLOOKUP($BO240,'01_Warehouse_Ledger'!$A:$N,13,FALSE),""))</f>
      </c>
    </row>
    <row r="241">
      <c r="D241">
        <f>IF($B241&lt;&gt;"Yes","",IF($C241="No","Yes",IF($C241="Yes","No","")))</f>
      </c>
      <c r="E241">
        <f>IF($A241="","",IF($A241="Neuron",IF(OR(AND($S241&lt;&gt;"",LOWER(TRIM($S241))&lt;&gt;"n/a",COUNTIF($S$2:$S$532,$S241)&gt;1),AND($T241&lt;&gt;"",LOWER(TRIM($T241))&lt;&gt;"n/a",COUNTIF($T$2:$T$532,$T241)&gt;1),AND($W241&lt;&gt;"",LOWER(TRIM($W241))&lt;&gt;"n/a",COUNTIF($W$2:$W$532,$W241)&gt;1)),"Yes","No"),IF($A241="Cybernet",IF(OR(AND($Y241&lt;&gt;"",LOWER(TRIM($Y241))&lt;&gt;"n/a",COUNTIF($Y$2:$Y$532,$Y241)&gt;1),AND($Z241&lt;&gt;"",LOWER(TRIM($Z241))&lt;&gt;"n/a",COUNTIF($Z$2:$Z$532,$Z241)&gt;1)),"Yes","No"),IF(AND($AL241&lt;&gt;"",LOWER(TRIM($AL241))&lt;&gt;"n/a",COUNTIF($AL$2:$AL$532,$AL241)&gt;1),"Yes","No"))))</f>
      </c>
      <c r="F241">
        <f>IF($B241&lt;&gt;"Yes","",
IF($A241="Neuron",
IF(OR(
AND($S241&lt;&gt;"",LOWER(TRIM($S241))&lt;&gt;"n/a",COUNTIFS($B$2:$B$532,"Yes",$A$2:$A$532,"Neuron",$S$2:$S$532,$S241)&gt;1),
AND($T241&lt;&gt;"",LOWER(TRIM($T241))&lt;&gt;"n/a",COUNTIFS($B$2:$B$532,"Yes",$A$2:$A$532,"Neuron",$T$2:$T$532,$T241)&gt;1),
AND($W241&lt;&gt;"",LOWER(TRIM($W241))&lt;&gt;"n/a",COUNTIFS($B$2:$B$532,"Yes",$A$2:$A$532,"Neuron",$W$2:$W$532,$W241)&gt;1)
),"Yes","No"),
IF($A241="Cybernet",
IF(OR(
AND($Y241&lt;&gt;"",LOWER(TRIM($Y241))&lt;&gt;"n/a",COUNTIFS($B$2:$B$532,"Yes",$A$2:$A$532,"Cybernet",$Y$2:$Y$532,$Y241)&gt;1),
AND($Z241&lt;&gt;"",LOWER(TRIM($Z241))&lt;&gt;"n/a",COUNTIFS($B$2:$B$532,"Yes",$A$2:$A$532,"Cybernet",$Z$2:$Z$532,$Z241)&gt;1)
),"Yes","No"),
IF(AND($AL241&lt;&gt;"",LOWER(TRIM($AL241))&lt;&gt;"n/a"),
IF(COUNTIFS($B$2:$B$532,"Yes",$A$2:$A$532,$A241,$AL$2:$AL$532,$AL241)&gt;1,"Yes","No"),
"No")
)
)
)</f>
      </c>
      <c r="BL241">
        <f>IF($T241="","",IF((IF(AND($AW241&lt;&gt;"Yes",$AW241&lt;&gt;"N/A"),"Power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",""))="","",LEFT(IF(AND($AW241&lt;&gt;"Yes",$AW241&lt;&gt;"N/A"),"Power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",""),LEN(IF(AND($AW241&lt;&gt;"Yes",$AW241&lt;&gt;"N/A"),"Power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",""))-2)))</f>
      </c>
      <c r="BM241">
        <f>IF($T241="","",IF($BL241="","Yes","Blocked"))</f>
      </c>
      <c r="BP241">
        <f>IF($BO241="","",IFERROR(VLOOKUP($BO241,'01_Warehouse_Ledger'!$A:$N,4,FALSE),""))</f>
      </c>
      <c r="BQ241">
        <f>IF($BO241="","",IFERROR(VLOOKUP($BO241,'01_Warehouse_Ledger'!$A:$N,5,FALSE),""))</f>
      </c>
      <c r="BR241">
        <f>IF($BO241="","",IFERROR(VLOOKUP($BO241,'01_Warehouse_Ledger'!$A:$N,13,FALSE),""))</f>
      </c>
    </row>
    <row r="242">
      <c r="D242">
        <f>IF($B242&lt;&gt;"Yes","",IF($C242="No","Yes",IF($C242="Yes","No","")))</f>
      </c>
      <c r="E242">
        <f>IF($A242="","",IF($A242="Neuron",IF(OR(AND($S242&lt;&gt;"",LOWER(TRIM($S242))&lt;&gt;"n/a",COUNTIF($S$2:$S$532,$S242)&gt;1),AND($T242&lt;&gt;"",LOWER(TRIM($T242))&lt;&gt;"n/a",COUNTIF($T$2:$T$532,$T242)&gt;1),AND($W242&lt;&gt;"",LOWER(TRIM($W242))&lt;&gt;"n/a",COUNTIF($W$2:$W$532,$W242)&gt;1)),"Yes","No"),IF($A242="Cybernet",IF(OR(AND($Y242&lt;&gt;"",LOWER(TRIM($Y242))&lt;&gt;"n/a",COUNTIF($Y$2:$Y$532,$Y242)&gt;1),AND($Z242&lt;&gt;"",LOWER(TRIM($Z242))&lt;&gt;"n/a",COUNTIF($Z$2:$Z$532,$Z242)&gt;1)),"Yes","No"),IF(AND($AL242&lt;&gt;"",LOWER(TRIM($AL242))&lt;&gt;"n/a",COUNTIF($AL$2:$AL$532,$AL242)&gt;1),"Yes","No"))))</f>
      </c>
      <c r="F242">
        <f>IF($B242&lt;&gt;"Yes","",
IF($A242="Neuron",
IF(OR(
AND($S242&lt;&gt;"",LOWER(TRIM($S242))&lt;&gt;"n/a",COUNTIFS($B$2:$B$532,"Yes",$A$2:$A$532,"Neuron",$S$2:$S$532,$S242)&gt;1),
AND($T242&lt;&gt;"",LOWER(TRIM($T242))&lt;&gt;"n/a",COUNTIFS($B$2:$B$532,"Yes",$A$2:$A$532,"Neuron",$T$2:$T$532,$T242)&gt;1),
AND($W242&lt;&gt;"",LOWER(TRIM($W242))&lt;&gt;"n/a",COUNTIFS($B$2:$B$532,"Yes",$A$2:$A$532,"Neuron",$W$2:$W$532,$W242)&gt;1)
),"Yes","No"),
IF($A242="Cybernet",
IF(OR(
AND($Y242&lt;&gt;"",LOWER(TRIM($Y242))&lt;&gt;"n/a",COUNTIFS($B$2:$B$532,"Yes",$A$2:$A$532,"Cybernet",$Y$2:$Y$532,$Y242)&gt;1),
AND($Z242&lt;&gt;"",LOWER(TRIM($Z242))&lt;&gt;"n/a",COUNTIFS($B$2:$B$532,"Yes",$A$2:$A$532,"Cybernet",$Z$2:$Z$532,$Z242)&gt;1)
),"Yes","No"),
IF(AND($AL242&lt;&gt;"",LOWER(TRIM($AL242))&lt;&gt;"n/a"),
IF(COUNTIFS($B$2:$B$532,"Yes",$A$2:$A$532,$A242,$AL$2:$AL$532,$AL242)&gt;1,"Yes","No"),
"No")
)
)
)</f>
      </c>
      <c r="BL242">
        <f>IF($T242="","",IF((IF(AND($AW242&lt;&gt;"Yes",$AW242&lt;&gt;"N/A"),"Power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",""))="","",LEFT(IF(AND($AW242&lt;&gt;"Yes",$AW242&lt;&gt;"N/A"),"Power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",""),LEN(IF(AND($AW242&lt;&gt;"Yes",$AW242&lt;&gt;"N/A"),"Power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",""))-2)))</f>
      </c>
      <c r="BM242">
        <f>IF($T242="","",IF($BL242="","Yes","Blocked"))</f>
      </c>
      <c r="BP242">
        <f>IF($BO242="","",IFERROR(VLOOKUP($BO242,'01_Warehouse_Ledger'!$A:$N,4,FALSE),""))</f>
      </c>
      <c r="BQ242">
        <f>IF($BO242="","",IFERROR(VLOOKUP($BO242,'01_Warehouse_Ledger'!$A:$N,5,FALSE),""))</f>
      </c>
      <c r="BR242">
        <f>IF($BO242="","",IFERROR(VLOOKUP($BO242,'01_Warehouse_Ledger'!$A:$N,13,FALSE),""))</f>
      </c>
    </row>
    <row r="243">
      <c r="D243">
        <f>IF($B243&lt;&gt;"Yes","",IF($C243="No","Yes",IF($C243="Yes","No","")))</f>
      </c>
      <c r="E243">
        <f>IF($A243="","",IF($A243="Neuron",IF(OR(AND($S243&lt;&gt;"",LOWER(TRIM($S243))&lt;&gt;"n/a",COUNTIF($S$2:$S$532,$S243)&gt;1),AND($T243&lt;&gt;"",LOWER(TRIM($T243))&lt;&gt;"n/a",COUNTIF($T$2:$T$532,$T243)&gt;1),AND($W243&lt;&gt;"",LOWER(TRIM($W243))&lt;&gt;"n/a",COUNTIF($W$2:$W$532,$W243)&gt;1)),"Yes","No"),IF($A243="Cybernet",IF(OR(AND($Y243&lt;&gt;"",LOWER(TRIM($Y243))&lt;&gt;"n/a",COUNTIF($Y$2:$Y$532,$Y243)&gt;1),AND($Z243&lt;&gt;"",LOWER(TRIM($Z243))&lt;&gt;"n/a",COUNTIF($Z$2:$Z$532,$Z243)&gt;1)),"Yes","No"),IF(AND($AL243&lt;&gt;"",LOWER(TRIM($AL243))&lt;&gt;"n/a",COUNTIF($AL$2:$AL$532,$AL243)&gt;1),"Yes","No"))))</f>
      </c>
      <c r="F243">
        <f>IF($B243&lt;&gt;"Yes","",
IF($A243="Neuron",
IF(OR(
AND($S243&lt;&gt;"",LOWER(TRIM($S243))&lt;&gt;"n/a",COUNTIFS($B$2:$B$532,"Yes",$A$2:$A$532,"Neuron",$S$2:$S$532,$S243)&gt;1),
AND($T243&lt;&gt;"",LOWER(TRIM($T243))&lt;&gt;"n/a",COUNTIFS($B$2:$B$532,"Yes",$A$2:$A$532,"Neuron",$T$2:$T$532,$T243)&gt;1),
AND($W243&lt;&gt;"",LOWER(TRIM($W243))&lt;&gt;"n/a",COUNTIFS($B$2:$B$532,"Yes",$A$2:$A$532,"Neuron",$W$2:$W$532,$W243)&gt;1)
),"Yes","No"),
IF($A243="Cybernet",
IF(OR(
AND($Y243&lt;&gt;"",LOWER(TRIM($Y243))&lt;&gt;"n/a",COUNTIFS($B$2:$B$532,"Yes",$A$2:$A$532,"Cybernet",$Y$2:$Y$532,$Y243)&gt;1),
AND($Z243&lt;&gt;"",LOWER(TRIM($Z243))&lt;&gt;"n/a",COUNTIFS($B$2:$B$532,"Yes",$A$2:$A$532,"Cybernet",$Z$2:$Z$532,$Z243)&gt;1)
),"Yes","No"),
IF(AND($AL243&lt;&gt;"",LOWER(TRIM($AL243))&lt;&gt;"n/a"),
IF(COUNTIFS($B$2:$B$532,"Yes",$A$2:$A$532,$A243,$AL$2:$AL$532,$AL243)&gt;1,"Yes","No"),
"No")
)
)
)</f>
      </c>
      <c r="BL243">
        <f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</c>
      <c r="BM243">
        <f>IF($T243="","",IF($BL243="","Yes","Blocked"))</f>
      </c>
      <c r="BP243">
        <f>IF($BO243="","",IFERROR(VLOOKUP($BO243,'01_Warehouse_Ledger'!$A:$N,4,FALSE),""))</f>
      </c>
      <c r="BQ243">
        <f>IF($BO243="","",IFERROR(VLOOKUP($BO243,'01_Warehouse_Ledger'!$A:$N,5,FALSE),""))</f>
      </c>
      <c r="BR243">
        <f>IF($BO243="","",IFERROR(VLOOKUP($BO243,'01_Warehouse_Ledger'!$A:$N,13,FALSE),""))</f>
      </c>
    </row>
    <row r="244">
      <c r="D244">
        <f>IF($B244&lt;&gt;"Yes","",IF($C244="No","Yes",IF($C244="Yes","No","")))</f>
      </c>
      <c r="E244">
        <f>IF($A244="","",IF($A244="Neuron",IF(OR(AND($S244&lt;&gt;"",LOWER(TRIM($S244))&lt;&gt;"n/a",COUNTIF($S$2:$S$532,$S244)&gt;1),AND($T244&lt;&gt;"",LOWER(TRIM($T244))&lt;&gt;"n/a",COUNTIF($T$2:$T$532,$T244)&gt;1),AND($W244&lt;&gt;"",LOWER(TRIM($W244))&lt;&gt;"n/a",COUNTIF($W$2:$W$532,$W244)&gt;1)),"Yes","No"),IF($A244="Cybernet",IF(OR(AND($Y244&lt;&gt;"",LOWER(TRIM($Y244))&lt;&gt;"n/a",COUNTIF($Y$2:$Y$532,$Y244)&gt;1),AND($Z244&lt;&gt;"",LOWER(TRIM($Z244))&lt;&gt;"n/a",COUNTIF($Z$2:$Z$532,$Z244)&gt;1)),"Yes","No"),IF(AND($AL244&lt;&gt;"",LOWER(TRIM($AL244))&lt;&gt;"n/a",COUNTIF($AL$2:$AL$532,$AL244)&gt;1),"Yes","No"))))</f>
      </c>
      <c r="F244">
        <f>IF($B244&lt;&gt;"Yes","",
IF($A244="Neuron",
IF(OR(
AND($S244&lt;&gt;"",LOWER(TRIM($S244))&lt;&gt;"n/a",COUNTIFS($B$2:$B$532,"Yes",$A$2:$A$532,"Neuron",$S$2:$S$532,$S244)&gt;1),
AND($T244&lt;&gt;"",LOWER(TRIM($T244))&lt;&gt;"n/a",COUNTIFS($B$2:$B$532,"Yes",$A$2:$A$532,"Neuron",$T$2:$T$532,$T244)&gt;1),
AND($W244&lt;&gt;"",LOWER(TRIM($W244))&lt;&gt;"n/a",COUNTIFS($B$2:$B$532,"Yes",$A$2:$A$532,"Neuron",$W$2:$W$532,$W244)&gt;1)
),"Yes","No"),
IF($A244="Cybernet",
IF(OR(
AND($Y244&lt;&gt;"",LOWER(TRIM($Y244))&lt;&gt;"n/a",COUNTIFS($B$2:$B$532,"Yes",$A$2:$A$532,"Cybernet",$Y$2:$Y$532,$Y244)&gt;1),
AND($Z244&lt;&gt;"",LOWER(TRIM($Z244))&lt;&gt;"n/a",COUNTIFS($B$2:$B$532,"Yes",$A$2:$A$532,"Cybernet",$Z$2:$Z$532,$Z244)&gt;1)
),"Yes","No"),
IF(AND($AL244&lt;&gt;"",LOWER(TRIM($AL244))&lt;&gt;"n/a"),
IF(COUNTIFS($B$2:$B$532,"Yes",$A$2:$A$532,$A244,$AL$2:$AL$532,$AL244)&gt;1,"Yes","No"),
"No")
)
)
)</f>
      </c>
      <c r="BL244">
        <f>IF($T244="","",IF((IF(AND($AW244&lt;&gt;"Yes",$AW244&lt;&gt;"N/A"),"Power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",""))="","",LEFT(IF(AND($AW244&lt;&gt;"Yes",$AW244&lt;&gt;"N/A"),"Power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",""),LEN(IF(AND($AW244&lt;&gt;"Yes",$AW244&lt;&gt;"N/A"),"Power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",""))-2)))</f>
      </c>
      <c r="BM244">
        <f>IF($T244="","",IF($BL244="","Yes","Blocked"))</f>
      </c>
      <c r="BP244">
        <f>IF($BO244="","",IFERROR(VLOOKUP($BO244,'01_Warehouse_Ledger'!$A:$N,4,FALSE),""))</f>
      </c>
      <c r="BQ244">
        <f>IF($BO244="","",IFERROR(VLOOKUP($BO244,'01_Warehouse_Ledger'!$A:$N,5,FALSE),""))</f>
      </c>
      <c r="BR244">
        <f>IF($BO244="","",IFERROR(VLOOKUP($BO244,'01_Warehouse_Ledger'!$A:$N,13,FALSE),""))</f>
      </c>
    </row>
    <row r="245">
      <c r="D245">
        <f>IF($B245&lt;&gt;"Yes","",IF($C245="No","Yes",IF($C245="Yes","No","")))</f>
      </c>
      <c r="E245">
        <f>IF($A245="","",IF($A245="Neuron",IF(OR(AND($S245&lt;&gt;"",LOWER(TRIM($S245))&lt;&gt;"n/a",COUNTIF($S$2:$S$532,$S245)&gt;1),AND($T245&lt;&gt;"",LOWER(TRIM($T245))&lt;&gt;"n/a",COUNTIF($T$2:$T$532,$T245)&gt;1),AND($W245&lt;&gt;"",LOWER(TRIM($W245))&lt;&gt;"n/a",COUNTIF($W$2:$W$532,$W245)&gt;1)),"Yes","No"),IF($A245="Cybernet",IF(OR(AND($Y245&lt;&gt;"",LOWER(TRIM($Y245))&lt;&gt;"n/a",COUNTIF($Y$2:$Y$532,$Y245)&gt;1),AND($Z245&lt;&gt;"",LOWER(TRIM($Z245))&lt;&gt;"n/a",COUNTIF($Z$2:$Z$532,$Z245)&gt;1)),"Yes","No"),IF(AND($AL245&lt;&gt;"",LOWER(TRIM($AL245))&lt;&gt;"n/a",COUNTIF($AL$2:$AL$532,$AL245)&gt;1),"Yes","No"))))</f>
      </c>
      <c r="F245">
        <f>IF($B245&lt;&gt;"Yes","",
IF($A245="Neuron",
IF(OR(
AND($S245&lt;&gt;"",LOWER(TRIM($S245))&lt;&gt;"n/a",COUNTIFS($B$2:$B$532,"Yes",$A$2:$A$532,"Neuron",$S$2:$S$532,$S245)&gt;1),
AND($T245&lt;&gt;"",LOWER(TRIM($T245))&lt;&gt;"n/a",COUNTIFS($B$2:$B$532,"Yes",$A$2:$A$532,"Neuron",$T$2:$T$532,$T245)&gt;1),
AND($W245&lt;&gt;"",LOWER(TRIM($W245))&lt;&gt;"n/a",COUNTIFS($B$2:$B$532,"Yes",$A$2:$A$532,"Neuron",$W$2:$W$532,$W245)&gt;1)
),"Yes","No"),
IF($A245="Cybernet",
IF(OR(
AND($Y245&lt;&gt;"",LOWER(TRIM($Y245))&lt;&gt;"n/a",COUNTIFS($B$2:$B$532,"Yes",$A$2:$A$532,"Cybernet",$Y$2:$Y$532,$Y245)&gt;1),
AND($Z245&lt;&gt;"",LOWER(TRIM($Z245))&lt;&gt;"n/a",COUNTIFS($B$2:$B$532,"Yes",$A$2:$A$532,"Cybernet",$Z$2:$Z$532,$Z245)&gt;1)
),"Yes","No"),
IF(AND($AL245&lt;&gt;"",LOWER(TRIM($AL245))&lt;&gt;"n/a"),
IF(COUNTIFS($B$2:$B$532,"Yes",$A$2:$A$532,$A245,$AL$2:$AL$532,$AL245)&gt;1,"Yes","No"),
"No")
)
)
)</f>
      </c>
      <c r="BL245">
        <f>IF($T245="","",IF((IF(AND($AW245&lt;&gt;"Yes",$AW245&lt;&gt;"N/A"),"Power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",""))="","",LEFT(IF(AND($AW245&lt;&gt;"Yes",$AW245&lt;&gt;"N/A"),"Power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",""),LEN(IF(AND($AW245&lt;&gt;"Yes",$AW245&lt;&gt;"N/A"),"Power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",""))-2)))</f>
      </c>
      <c r="BM245">
        <f>IF($T245="","",IF($BL245="","Yes","Blocked"))</f>
      </c>
      <c r="BP245">
        <f>IF($BO245="","",IFERROR(VLOOKUP($BO245,'01_Warehouse_Ledger'!$A:$N,4,FALSE),""))</f>
      </c>
      <c r="BQ245">
        <f>IF($BO245="","",IFERROR(VLOOKUP($BO245,'01_Warehouse_Ledger'!$A:$N,5,FALSE),""))</f>
      </c>
      <c r="BR245">
        <f>IF($BO245="","",IFERROR(VLOOKUP($BO245,'01_Warehouse_Ledger'!$A:$N,13,FALSE),""))</f>
      </c>
    </row>
    <row r="246">
      <c r="D246">
        <f>IF($B246&lt;&gt;"Yes","",IF($C246="No","Yes",IF($C246="Yes","No","")))</f>
      </c>
      <c r="E246">
        <f>IF($A246="","",IF($A246="Neuron",IF(OR(AND($S246&lt;&gt;"",LOWER(TRIM($S246))&lt;&gt;"n/a",COUNTIF($S$2:$S$532,$S246)&gt;1),AND($T246&lt;&gt;"",LOWER(TRIM($T246))&lt;&gt;"n/a",COUNTIF($T$2:$T$532,$T246)&gt;1),AND($W246&lt;&gt;"",LOWER(TRIM($W246))&lt;&gt;"n/a",COUNTIF($W$2:$W$532,$W246)&gt;1)),"Yes","No"),IF($A246="Cybernet",IF(OR(AND($Y246&lt;&gt;"",LOWER(TRIM($Y246))&lt;&gt;"n/a",COUNTIF($Y$2:$Y$532,$Y246)&gt;1),AND($Z246&lt;&gt;"",LOWER(TRIM($Z246))&lt;&gt;"n/a",COUNTIF($Z$2:$Z$532,$Z246)&gt;1)),"Yes","No"),IF(AND($AL246&lt;&gt;"",LOWER(TRIM($AL246))&lt;&gt;"n/a",COUNTIF($AL$2:$AL$532,$AL246)&gt;1),"Yes","No"))))</f>
      </c>
      <c r="F246">
        <f>IF($B246&lt;&gt;"Yes","",
IF($A246="Neuron",
IF(OR(
AND($S246&lt;&gt;"",LOWER(TRIM($S246))&lt;&gt;"n/a",COUNTIFS($B$2:$B$532,"Yes",$A$2:$A$532,"Neuron",$S$2:$S$532,$S246)&gt;1),
AND($T246&lt;&gt;"",LOWER(TRIM($T246))&lt;&gt;"n/a",COUNTIFS($B$2:$B$532,"Yes",$A$2:$A$532,"Neuron",$T$2:$T$532,$T246)&gt;1),
AND($W246&lt;&gt;"",LOWER(TRIM($W246))&lt;&gt;"n/a",COUNTIFS($B$2:$B$532,"Yes",$A$2:$A$532,"Neuron",$W$2:$W$532,$W246)&gt;1)
),"Yes","No"),
IF($A246="Cybernet",
IF(OR(
AND($Y246&lt;&gt;"",LOWER(TRIM($Y246))&lt;&gt;"n/a",COUNTIFS($B$2:$B$532,"Yes",$A$2:$A$532,"Cybernet",$Y$2:$Y$532,$Y246)&gt;1),
AND($Z246&lt;&gt;"",LOWER(TRIM($Z246))&lt;&gt;"n/a",COUNTIFS($B$2:$B$532,"Yes",$A$2:$A$532,"Cybernet",$Z$2:$Z$532,$Z246)&gt;1)
),"Yes","No"),
IF(AND($AL246&lt;&gt;"",LOWER(TRIM($AL246))&lt;&gt;"n/a"),
IF(COUNTIFS($B$2:$B$532,"Yes",$A$2:$A$532,$A246,$AL$2:$AL$532,$AL246)&gt;1,"Yes","No"),
"No")
)
)
)</f>
      </c>
      <c r="BL246">
        <f>IF($T246="","",IF((IF(AND($AW246&lt;&gt;"Yes",$AW246&lt;&gt;"N/A"),"Power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",""))="","",LEFT(IF(AND($AW246&lt;&gt;"Yes",$AW246&lt;&gt;"N/A"),"Power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",""),LEN(IF(AND($AW246&lt;&gt;"Yes",$AW246&lt;&gt;"N/A"),"Power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",""))-2)))</f>
      </c>
      <c r="BM246">
        <f>IF($T246="","",IF($BL246="","Yes","Blocked"))</f>
      </c>
      <c r="BP246">
        <f>IF($BO246="","",IFERROR(VLOOKUP($BO246,'01_Warehouse_Ledger'!$A:$N,4,FALSE),""))</f>
      </c>
      <c r="BQ246">
        <f>IF($BO246="","",IFERROR(VLOOKUP($BO246,'01_Warehouse_Ledger'!$A:$N,5,FALSE),""))</f>
      </c>
      <c r="BR246">
        <f>IF($BO246="","",IFERROR(VLOOKUP($BO246,'01_Warehouse_Ledger'!$A:$N,13,FALSE),""))</f>
      </c>
    </row>
    <row r="247">
      <c r="D247">
        <f>IF($B247&lt;&gt;"Yes","",IF($C247="No","Yes",IF($C247="Yes","No","")))</f>
      </c>
      <c r="E247">
        <f>IF($A247="","",IF($A247="Neuron",IF(OR(AND($S247&lt;&gt;"",LOWER(TRIM($S247))&lt;&gt;"n/a",COUNTIF($S$2:$S$532,$S247)&gt;1),AND($T247&lt;&gt;"",LOWER(TRIM($T247))&lt;&gt;"n/a",COUNTIF($T$2:$T$532,$T247)&gt;1),AND($W247&lt;&gt;"",LOWER(TRIM($W247))&lt;&gt;"n/a",COUNTIF($W$2:$W$532,$W247)&gt;1)),"Yes","No"),IF($A247="Cybernet",IF(OR(AND($Y247&lt;&gt;"",LOWER(TRIM($Y247))&lt;&gt;"n/a",COUNTIF($Y$2:$Y$532,$Y247)&gt;1),AND($Z247&lt;&gt;"",LOWER(TRIM($Z247))&lt;&gt;"n/a",COUNTIF($Z$2:$Z$532,$Z247)&gt;1)),"Yes","No"),IF(AND($AL247&lt;&gt;"",LOWER(TRIM($AL247))&lt;&gt;"n/a",COUNTIF($AL$2:$AL$532,$AL247)&gt;1),"Yes","No"))))</f>
      </c>
      <c r="F247">
        <f>IF($B247&lt;&gt;"Yes","",
IF($A247="Neuron",
IF(OR(
AND($S247&lt;&gt;"",LOWER(TRIM($S247))&lt;&gt;"n/a",COUNTIFS($B$2:$B$532,"Yes",$A$2:$A$532,"Neuron",$S$2:$S$532,$S247)&gt;1),
AND($T247&lt;&gt;"",LOWER(TRIM($T247))&lt;&gt;"n/a",COUNTIFS($B$2:$B$532,"Yes",$A$2:$A$532,"Neuron",$T$2:$T$532,$T247)&gt;1),
AND($W247&lt;&gt;"",LOWER(TRIM($W247))&lt;&gt;"n/a",COUNTIFS($B$2:$B$532,"Yes",$A$2:$A$532,"Neuron",$W$2:$W$532,$W247)&gt;1)
),"Yes","No"),
IF($A247="Cybernet",
IF(OR(
AND($Y247&lt;&gt;"",LOWER(TRIM($Y247))&lt;&gt;"n/a",COUNTIFS($B$2:$B$532,"Yes",$A$2:$A$532,"Cybernet",$Y$2:$Y$532,$Y247)&gt;1),
AND($Z247&lt;&gt;"",LOWER(TRIM($Z247))&lt;&gt;"n/a",COUNTIFS($B$2:$B$532,"Yes",$A$2:$A$532,"Cybernet",$Z$2:$Z$532,$Z247)&gt;1)
),"Yes","No"),
IF(AND($AL247&lt;&gt;"",LOWER(TRIM($AL247))&lt;&gt;"n/a"),
IF(COUNTIFS($B$2:$B$532,"Yes",$A$2:$A$532,$A247,$AL$2:$AL$532,$AL247)&gt;1,"Yes","No"),
"No")
)
)
)</f>
      </c>
      <c r="BL247">
        <f>IF($T247="","",IF((IF(AND($AW247&lt;&gt;"Yes",$AW247&lt;&gt;"N/A"),"Power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",""))="","",LEFT(IF(AND($AW247&lt;&gt;"Yes",$AW247&lt;&gt;"N/A"),"Power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",""),LEN(IF(AND($AW247&lt;&gt;"Yes",$AW247&lt;&gt;"N/A"),"Power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",""))-2)))</f>
      </c>
      <c r="BM247">
        <f>IF($T247="","",IF($BL247="","Yes","Blocked"))</f>
      </c>
      <c r="BP247">
        <f>IF($BO247="","",IFERROR(VLOOKUP($BO247,'01_Warehouse_Ledger'!$A:$N,4,FALSE),""))</f>
      </c>
      <c r="BQ247">
        <f>IF($BO247="","",IFERROR(VLOOKUP($BO247,'01_Warehouse_Ledger'!$A:$N,5,FALSE),""))</f>
      </c>
      <c r="BR247">
        <f>IF($BO247="","",IFERROR(VLOOKUP($BO247,'01_Warehouse_Ledger'!$A:$N,13,FALSE),""))</f>
      </c>
    </row>
    <row r="248">
      <c r="D248">
        <f>IF($B248&lt;&gt;"Yes","",IF($C248="No","Yes",IF($C248="Yes","No","")))</f>
      </c>
      <c r="E248">
        <f>IF($A248="","",IF($A248="Neuron",IF(OR(AND($S248&lt;&gt;"",LOWER(TRIM($S248))&lt;&gt;"n/a",COUNTIF($S$2:$S$532,$S248)&gt;1),AND($T248&lt;&gt;"",LOWER(TRIM($T248))&lt;&gt;"n/a",COUNTIF($T$2:$T$532,$T248)&gt;1),AND($W248&lt;&gt;"",LOWER(TRIM($W248))&lt;&gt;"n/a",COUNTIF($W$2:$W$532,$W248)&gt;1)),"Yes","No"),IF($A248="Cybernet",IF(OR(AND($Y248&lt;&gt;"",LOWER(TRIM($Y248))&lt;&gt;"n/a",COUNTIF($Y$2:$Y$532,$Y248)&gt;1),AND($Z248&lt;&gt;"",LOWER(TRIM($Z248))&lt;&gt;"n/a",COUNTIF($Z$2:$Z$532,$Z248)&gt;1)),"Yes","No"),IF(AND($AL248&lt;&gt;"",LOWER(TRIM($AL248))&lt;&gt;"n/a",COUNTIF($AL$2:$AL$532,$AL248)&gt;1),"Yes","No"))))</f>
      </c>
      <c r="F248">
        <f>IF($B248&lt;&gt;"Yes","",
IF($A248="Neuron",
IF(OR(
AND($S248&lt;&gt;"",LOWER(TRIM($S248))&lt;&gt;"n/a",COUNTIFS($B$2:$B$532,"Yes",$A$2:$A$532,"Neuron",$S$2:$S$532,$S248)&gt;1),
AND($T248&lt;&gt;"",LOWER(TRIM($T248))&lt;&gt;"n/a",COUNTIFS($B$2:$B$532,"Yes",$A$2:$A$532,"Neuron",$T$2:$T$532,$T248)&gt;1),
AND($W248&lt;&gt;"",LOWER(TRIM($W248))&lt;&gt;"n/a",COUNTIFS($B$2:$B$532,"Yes",$A$2:$A$532,"Neuron",$W$2:$W$532,$W248)&gt;1)
),"Yes","No"),
IF($A248="Cybernet",
IF(OR(
AND($Y248&lt;&gt;"",LOWER(TRIM($Y248))&lt;&gt;"n/a",COUNTIFS($B$2:$B$532,"Yes",$A$2:$A$532,"Cybernet",$Y$2:$Y$532,$Y248)&gt;1),
AND($Z248&lt;&gt;"",LOWER(TRIM($Z248))&lt;&gt;"n/a",COUNTIFS($B$2:$B$532,"Yes",$A$2:$A$532,"Cybernet",$Z$2:$Z$532,$Z248)&gt;1)
),"Yes","No"),
IF(AND($AL248&lt;&gt;"",LOWER(TRIM($AL248))&lt;&gt;"n/a"),
IF(COUNTIFS($B$2:$B$532,"Yes",$A$2:$A$532,$A248,$AL$2:$AL$532,$AL248)&gt;1,"Yes","No"),
"No")
)
)
)</f>
      </c>
      <c r="BL248">
        <f>IF($T248="","",IF((IF(AND($AW248&lt;&gt;"Yes",$AW248&lt;&gt;"N/A"),"Power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",""))="","",LEFT(IF(AND($AW248&lt;&gt;"Yes",$AW248&lt;&gt;"N/A"),"Power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",""),LEN(IF(AND($AW248&lt;&gt;"Yes",$AW248&lt;&gt;"N/A"),"Power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",""))-2)))</f>
      </c>
      <c r="BM248">
        <f>IF($T248="","",IF($BL248="","Yes","Blocked"))</f>
      </c>
      <c r="BP248">
        <f>IF($BO248="","",IFERROR(VLOOKUP($BO248,'01_Warehouse_Ledger'!$A:$N,4,FALSE),""))</f>
      </c>
      <c r="BQ248">
        <f>IF($BO248="","",IFERROR(VLOOKUP($BO248,'01_Warehouse_Ledger'!$A:$N,5,FALSE),""))</f>
      </c>
      <c r="BR248">
        <f>IF($BO248="","",IFERROR(VLOOKUP($BO248,'01_Warehouse_Ledger'!$A:$N,13,FALSE),""))</f>
      </c>
    </row>
    <row r="249">
      <c r="D249">
        <f>IF($B249&lt;&gt;"Yes","",IF($C249="No","Yes",IF($C249="Yes","No","")))</f>
      </c>
      <c r="E249">
        <f>IF($A249="","",IF($A249="Neuron",IF(OR(AND($S249&lt;&gt;"",LOWER(TRIM($S249))&lt;&gt;"n/a",COUNTIF($S$2:$S$532,$S249)&gt;1),AND($T249&lt;&gt;"",LOWER(TRIM($T249))&lt;&gt;"n/a",COUNTIF($T$2:$T$532,$T249)&gt;1),AND($W249&lt;&gt;"",LOWER(TRIM($W249))&lt;&gt;"n/a",COUNTIF($W$2:$W$532,$W249)&gt;1)),"Yes","No"),IF($A249="Cybernet",IF(OR(AND($Y249&lt;&gt;"",LOWER(TRIM($Y249))&lt;&gt;"n/a",COUNTIF($Y$2:$Y$532,$Y249)&gt;1),AND($Z249&lt;&gt;"",LOWER(TRIM($Z249))&lt;&gt;"n/a",COUNTIF($Z$2:$Z$532,$Z249)&gt;1)),"Yes","No"),IF(AND($AL249&lt;&gt;"",LOWER(TRIM($AL249))&lt;&gt;"n/a",COUNTIF($AL$2:$AL$532,$AL249)&gt;1),"Yes","No"))))</f>
      </c>
      <c r="F249">
        <f>IF($B249&lt;&gt;"Yes","",
IF($A249="Neuron",
IF(OR(
AND($S249&lt;&gt;"",LOWER(TRIM($S249))&lt;&gt;"n/a",COUNTIFS($B$2:$B$532,"Yes",$A$2:$A$532,"Neuron",$S$2:$S$532,$S249)&gt;1),
AND($T249&lt;&gt;"",LOWER(TRIM($T249))&lt;&gt;"n/a",COUNTIFS($B$2:$B$532,"Yes",$A$2:$A$532,"Neuron",$T$2:$T$532,$T249)&gt;1),
AND($W249&lt;&gt;"",LOWER(TRIM($W249))&lt;&gt;"n/a",COUNTIFS($B$2:$B$532,"Yes",$A$2:$A$532,"Neuron",$W$2:$W$532,$W249)&gt;1)
),"Yes","No"),
IF($A249="Cybernet",
IF(OR(
AND($Y249&lt;&gt;"",LOWER(TRIM($Y249))&lt;&gt;"n/a",COUNTIFS($B$2:$B$532,"Yes",$A$2:$A$532,"Cybernet",$Y$2:$Y$532,$Y249)&gt;1),
AND($Z249&lt;&gt;"",LOWER(TRIM($Z249))&lt;&gt;"n/a",COUNTIFS($B$2:$B$532,"Yes",$A$2:$A$532,"Cybernet",$Z$2:$Z$532,$Z249)&gt;1)
),"Yes","No"),
IF(AND($AL249&lt;&gt;"",LOWER(TRIM($AL249))&lt;&gt;"n/a"),
IF(COUNTIFS($B$2:$B$532,"Yes",$A$2:$A$532,$A249,$AL$2:$AL$532,$AL249)&gt;1,"Yes","No"),
"No")
)
)
)</f>
      </c>
      <c r="BL249">
        <f>IF($T249="","",IF((IF(AND($AW249&lt;&gt;"Yes",$AW249&lt;&gt;"N/A"),"Power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",""))="","",LEFT(IF(AND($AW249&lt;&gt;"Yes",$AW249&lt;&gt;"N/A"),"Power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",""),LEN(IF(AND($AW249&lt;&gt;"Yes",$AW249&lt;&gt;"N/A"),"Power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",""))-2)))</f>
      </c>
      <c r="BM249">
        <f>IF($T249="","",IF($BL249="","Yes","Blocked"))</f>
      </c>
      <c r="BP249">
        <f>IF($BO249="","",IFERROR(VLOOKUP($BO249,'01_Warehouse_Ledger'!$A:$N,4,FALSE),""))</f>
      </c>
      <c r="BQ249">
        <f>IF($BO249="","",IFERROR(VLOOKUP($BO249,'01_Warehouse_Ledger'!$A:$N,5,FALSE),""))</f>
      </c>
      <c r="BR249">
        <f>IF($BO249="","",IFERROR(VLOOKUP($BO249,'01_Warehouse_Ledger'!$A:$N,13,FALSE),""))</f>
      </c>
    </row>
    <row r="250">
      <c r="D250">
        <f>IF($B250&lt;&gt;"Yes","",IF($C250="No","Yes",IF($C250="Yes","No","")))</f>
      </c>
      <c r="E250">
        <f>IF($A250="","",IF($A250="Neuron",IF(OR(AND($S250&lt;&gt;"",LOWER(TRIM($S250))&lt;&gt;"n/a",COUNTIF($S$2:$S$532,$S250)&gt;1),AND($T250&lt;&gt;"",LOWER(TRIM($T250))&lt;&gt;"n/a",COUNTIF($T$2:$T$532,$T250)&gt;1),AND($W250&lt;&gt;"",LOWER(TRIM($W250))&lt;&gt;"n/a",COUNTIF($W$2:$W$532,$W250)&gt;1)),"Yes","No"),IF($A250="Cybernet",IF(OR(AND($Y250&lt;&gt;"",LOWER(TRIM($Y250))&lt;&gt;"n/a",COUNTIF($Y$2:$Y$532,$Y250)&gt;1),AND($Z250&lt;&gt;"",LOWER(TRIM($Z250))&lt;&gt;"n/a",COUNTIF($Z$2:$Z$532,$Z250)&gt;1)),"Yes","No"),IF(AND($AL250&lt;&gt;"",LOWER(TRIM($AL250))&lt;&gt;"n/a",COUNTIF($AL$2:$AL$532,$AL250)&gt;1),"Yes","No"))))</f>
      </c>
      <c r="F250">
        <f>IF($B250&lt;&gt;"Yes","",
IF($A250="Neuron",
IF(OR(
AND($S250&lt;&gt;"",LOWER(TRIM($S250))&lt;&gt;"n/a",COUNTIFS($B$2:$B$532,"Yes",$A$2:$A$532,"Neuron",$S$2:$S$532,$S250)&gt;1),
AND($T250&lt;&gt;"",LOWER(TRIM($T250))&lt;&gt;"n/a",COUNTIFS($B$2:$B$532,"Yes",$A$2:$A$532,"Neuron",$T$2:$T$532,$T250)&gt;1),
AND($W250&lt;&gt;"",LOWER(TRIM($W250))&lt;&gt;"n/a",COUNTIFS($B$2:$B$532,"Yes",$A$2:$A$532,"Neuron",$W$2:$W$532,$W250)&gt;1)
),"Yes","No"),
IF($A250="Cybernet",
IF(OR(
AND($Y250&lt;&gt;"",LOWER(TRIM($Y250))&lt;&gt;"n/a",COUNTIFS($B$2:$B$532,"Yes",$A$2:$A$532,"Cybernet",$Y$2:$Y$532,$Y250)&gt;1),
AND($Z250&lt;&gt;"",LOWER(TRIM($Z250))&lt;&gt;"n/a",COUNTIFS($B$2:$B$532,"Yes",$A$2:$A$532,"Cybernet",$Z$2:$Z$532,$Z250)&gt;1)
),"Yes","No"),
IF(AND($AL250&lt;&gt;"",LOWER(TRIM($AL250))&lt;&gt;"n/a"),
IF(COUNTIFS($B$2:$B$532,"Yes",$A$2:$A$532,$A250,$AL$2:$AL$532,$AL250)&gt;1,"Yes","No"),
"No")
)
)
)</f>
      </c>
      <c r="BL250">
        <f>IF($T250="","",IF((IF(AND($AW250&lt;&gt;"Yes",$AW250&lt;&gt;"N/A"),"Power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",""))="","",LEFT(IF(AND($AW250&lt;&gt;"Yes",$AW250&lt;&gt;"N/A"),"Power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",""),LEN(IF(AND($AW250&lt;&gt;"Yes",$AW250&lt;&gt;"N/A"),"Power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",""))-2)))</f>
      </c>
      <c r="BM250">
        <f>IF($T250="","",IF($BL250="","Yes","Blocked"))</f>
      </c>
      <c r="BP250">
        <f>IF($BO250="","",IFERROR(VLOOKUP($BO250,'01_Warehouse_Ledger'!$A:$N,4,FALSE),""))</f>
      </c>
      <c r="BQ250">
        <f>IF($BO250="","",IFERROR(VLOOKUP($BO250,'01_Warehouse_Ledger'!$A:$N,5,FALSE),""))</f>
      </c>
      <c r="BR250">
        <f>IF($BO250="","",IFERROR(VLOOKUP($BO250,'01_Warehouse_Ledger'!$A:$N,13,FALSE),""))</f>
      </c>
    </row>
    <row r="251">
      <c r="D251">
        <f>IF($B251&lt;&gt;"Yes","",IF($C251="No","Yes",IF($C251="Yes","No","")))</f>
      </c>
      <c r="E251">
        <f>IF($A251="","",IF($A251="Neuron",IF(OR(AND($S251&lt;&gt;"",LOWER(TRIM($S251))&lt;&gt;"n/a",COUNTIF($S$2:$S$532,$S251)&gt;1),AND($T251&lt;&gt;"",LOWER(TRIM($T251))&lt;&gt;"n/a",COUNTIF($T$2:$T$532,$T251)&gt;1),AND($W251&lt;&gt;"",LOWER(TRIM($W251))&lt;&gt;"n/a",COUNTIF($W$2:$W$532,$W251)&gt;1)),"Yes","No"),IF($A251="Cybernet",IF(OR(AND($Y251&lt;&gt;"",LOWER(TRIM($Y251))&lt;&gt;"n/a",COUNTIF($Y$2:$Y$532,$Y251)&gt;1),AND($Z251&lt;&gt;"",LOWER(TRIM($Z251))&lt;&gt;"n/a",COUNTIF($Z$2:$Z$532,$Z251)&gt;1)),"Yes","No"),IF(AND($AL251&lt;&gt;"",LOWER(TRIM($AL251))&lt;&gt;"n/a",COUNTIF($AL$2:$AL$532,$AL251)&gt;1),"Yes","No"))))</f>
      </c>
      <c r="F251">
        <f>IF($B251&lt;&gt;"Yes","",
IF($A251="Neuron",
IF(OR(
AND($S251&lt;&gt;"",LOWER(TRIM($S251))&lt;&gt;"n/a",COUNTIFS($B$2:$B$532,"Yes",$A$2:$A$532,"Neuron",$S$2:$S$532,$S251)&gt;1),
AND($T251&lt;&gt;"",LOWER(TRIM($T251))&lt;&gt;"n/a",COUNTIFS($B$2:$B$532,"Yes",$A$2:$A$532,"Neuron",$T$2:$T$532,$T251)&gt;1),
AND($W251&lt;&gt;"",LOWER(TRIM($W251))&lt;&gt;"n/a",COUNTIFS($B$2:$B$532,"Yes",$A$2:$A$532,"Neuron",$W$2:$W$532,$W251)&gt;1)
),"Yes","No"),
IF($A251="Cybernet",
IF(OR(
AND($Y251&lt;&gt;"",LOWER(TRIM($Y251))&lt;&gt;"n/a",COUNTIFS($B$2:$B$532,"Yes",$A$2:$A$532,"Cybernet",$Y$2:$Y$532,$Y251)&gt;1),
AND($Z251&lt;&gt;"",LOWER(TRIM($Z251))&lt;&gt;"n/a",COUNTIFS($B$2:$B$532,"Yes",$A$2:$A$532,"Cybernet",$Z$2:$Z$532,$Z251)&gt;1)
),"Yes","No"),
IF(AND($AL251&lt;&gt;"",LOWER(TRIM($AL251))&lt;&gt;"n/a"),
IF(COUNTIFS($B$2:$B$532,"Yes",$A$2:$A$532,$A251,$AL$2:$AL$532,$AL251)&gt;1,"Yes","No"),
"No")
)
)
)</f>
      </c>
      <c r="BL251">
        <f>IF($T251="","",IF((IF(AND($AW251&lt;&gt;"Yes",$AW251&lt;&gt;"N/A"),"Power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",""))="","",LEFT(IF(AND($AW251&lt;&gt;"Yes",$AW251&lt;&gt;"N/A"),"Power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",""),LEN(IF(AND($AW251&lt;&gt;"Yes",$AW251&lt;&gt;"N/A"),"Power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",""))-2)))</f>
      </c>
      <c r="BM251">
        <f>IF($T251="","",IF($BL251="","Yes","Blocked"))</f>
      </c>
      <c r="BP251">
        <f>IF($BO251="","",IFERROR(VLOOKUP($BO251,'01_Warehouse_Ledger'!$A:$N,4,FALSE),""))</f>
      </c>
      <c r="BQ251">
        <f>IF($BO251="","",IFERROR(VLOOKUP($BO251,'01_Warehouse_Ledger'!$A:$N,5,FALSE),""))</f>
      </c>
      <c r="BR251">
        <f>IF($BO251="","",IFERROR(VLOOKUP($BO251,'01_Warehouse_Ledger'!$A:$N,13,FALSE),""))</f>
      </c>
    </row>
    <row r="252">
      <c r="D252">
        <f>IF($B252&lt;&gt;"Yes","",IF($C252="No","Yes",IF($C252="Yes","No","")))</f>
      </c>
      <c r="E252">
        <f>IF($A252="","",IF($A252="Neuron",IF(OR(AND($S252&lt;&gt;"",LOWER(TRIM($S252))&lt;&gt;"n/a",COUNTIF($S$2:$S$532,$S252)&gt;1),AND($T252&lt;&gt;"",LOWER(TRIM($T252))&lt;&gt;"n/a",COUNTIF($T$2:$T$532,$T252)&gt;1),AND($W252&lt;&gt;"",LOWER(TRIM($W252))&lt;&gt;"n/a",COUNTIF($W$2:$W$532,$W252)&gt;1)),"Yes","No"),IF($A252="Cybernet",IF(OR(AND($Y252&lt;&gt;"",LOWER(TRIM($Y252))&lt;&gt;"n/a",COUNTIF($Y$2:$Y$532,$Y252)&gt;1),AND($Z252&lt;&gt;"",LOWER(TRIM($Z252))&lt;&gt;"n/a",COUNTIF($Z$2:$Z$532,$Z252)&gt;1)),"Yes","No"),IF(AND($AL252&lt;&gt;"",LOWER(TRIM($AL252))&lt;&gt;"n/a",COUNTIF($AL$2:$AL$532,$AL252)&gt;1),"Yes","No"))))</f>
      </c>
      <c r="F252">
        <f>IF($B252&lt;&gt;"Yes","",
IF($A252="Neuron",
IF(OR(
AND($S252&lt;&gt;"",LOWER(TRIM($S252))&lt;&gt;"n/a",COUNTIFS($B$2:$B$532,"Yes",$A$2:$A$532,"Neuron",$S$2:$S$532,$S252)&gt;1),
AND($T252&lt;&gt;"",LOWER(TRIM($T252))&lt;&gt;"n/a",COUNTIFS($B$2:$B$532,"Yes",$A$2:$A$532,"Neuron",$T$2:$T$532,$T252)&gt;1),
AND($W252&lt;&gt;"",LOWER(TRIM($W252))&lt;&gt;"n/a",COUNTIFS($B$2:$B$532,"Yes",$A$2:$A$532,"Neuron",$W$2:$W$532,$W252)&gt;1)
),"Yes","No"),
IF($A252="Cybernet",
IF(OR(
AND($Y252&lt;&gt;"",LOWER(TRIM($Y252))&lt;&gt;"n/a",COUNTIFS($B$2:$B$532,"Yes",$A$2:$A$532,"Cybernet",$Y$2:$Y$532,$Y252)&gt;1),
AND($Z252&lt;&gt;"",LOWER(TRIM($Z252))&lt;&gt;"n/a",COUNTIFS($B$2:$B$532,"Yes",$A$2:$A$532,"Cybernet",$Z$2:$Z$532,$Z252)&gt;1)
),"Yes","No"),
IF(AND($AL252&lt;&gt;"",LOWER(TRIM($AL252))&lt;&gt;"n/a"),
IF(COUNTIFS($B$2:$B$532,"Yes",$A$2:$A$532,$A252,$AL$2:$AL$532,$AL252)&gt;1,"Yes","No"),
"No")
)
)
)</f>
      </c>
      <c r="BL252">
        <f>IF($T252="","",IF((IF(AND($AW252&lt;&gt;"Yes",$AW252&lt;&gt;"N/A"),"Power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",""))="","",LEFT(IF(AND($AW252&lt;&gt;"Yes",$AW252&lt;&gt;"N/A"),"Power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",""),LEN(IF(AND($AW252&lt;&gt;"Yes",$AW252&lt;&gt;"N/A"),"Power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",""))-2)))</f>
      </c>
      <c r="BM252">
        <f>IF($T252="","",IF($BL252="","Yes","Blocked"))</f>
      </c>
      <c r="BP252">
        <f>IF($BO252="","",IFERROR(VLOOKUP($BO252,'01_Warehouse_Ledger'!$A:$N,4,FALSE),""))</f>
      </c>
      <c r="BQ252">
        <f>IF($BO252="","",IFERROR(VLOOKUP($BO252,'01_Warehouse_Ledger'!$A:$N,5,FALSE),""))</f>
      </c>
      <c r="BR252">
        <f>IF($BO252="","",IFERROR(VLOOKUP($BO252,'01_Warehouse_Ledger'!$A:$N,13,FALSE),""))</f>
      </c>
    </row>
    <row r="253">
      <c r="D253">
        <f>IF($B253&lt;&gt;"Yes","",IF($C253="No","Yes",IF($C253="Yes","No","")))</f>
      </c>
      <c r="E253">
        <f>IF($A253="","",IF($A253="Neuron",IF(OR(AND($S253&lt;&gt;"",LOWER(TRIM($S253))&lt;&gt;"n/a",COUNTIF($S$2:$S$532,$S253)&gt;1),AND($T253&lt;&gt;"",LOWER(TRIM($T253))&lt;&gt;"n/a",COUNTIF($T$2:$T$532,$T253)&gt;1),AND($W253&lt;&gt;"",LOWER(TRIM($W253))&lt;&gt;"n/a",COUNTIF($W$2:$W$532,$W253)&gt;1)),"Yes","No"),IF($A253="Cybernet",IF(OR(AND($Y253&lt;&gt;"",LOWER(TRIM($Y253))&lt;&gt;"n/a",COUNTIF($Y$2:$Y$532,$Y253)&gt;1),AND($Z253&lt;&gt;"",LOWER(TRIM($Z253))&lt;&gt;"n/a",COUNTIF($Z$2:$Z$532,$Z253)&gt;1)),"Yes","No"),IF(AND($AL253&lt;&gt;"",LOWER(TRIM($AL253))&lt;&gt;"n/a",COUNTIF($AL$2:$AL$532,$AL253)&gt;1),"Yes","No"))))</f>
      </c>
      <c r="F253">
        <f>IF($B253&lt;&gt;"Yes","",
IF($A253="Neuron",
IF(OR(
AND($S253&lt;&gt;"",LOWER(TRIM($S253))&lt;&gt;"n/a",COUNTIFS($B$2:$B$532,"Yes",$A$2:$A$532,"Neuron",$S$2:$S$532,$S253)&gt;1),
AND($T253&lt;&gt;"",LOWER(TRIM($T253))&lt;&gt;"n/a",COUNTIFS($B$2:$B$532,"Yes",$A$2:$A$532,"Neuron",$T$2:$T$532,$T253)&gt;1),
AND($W253&lt;&gt;"",LOWER(TRIM($W253))&lt;&gt;"n/a",COUNTIFS($B$2:$B$532,"Yes",$A$2:$A$532,"Neuron",$W$2:$W$532,$W253)&gt;1)
),"Yes","No"),
IF($A253="Cybernet",
IF(OR(
AND($Y253&lt;&gt;"",LOWER(TRIM($Y253))&lt;&gt;"n/a",COUNTIFS($B$2:$B$532,"Yes",$A$2:$A$532,"Cybernet",$Y$2:$Y$532,$Y253)&gt;1),
AND($Z253&lt;&gt;"",LOWER(TRIM($Z253))&lt;&gt;"n/a",COUNTIFS($B$2:$B$532,"Yes",$A$2:$A$532,"Cybernet",$Z$2:$Z$532,$Z253)&gt;1)
),"Yes","No"),
IF(AND($AL253&lt;&gt;"",LOWER(TRIM($AL253))&lt;&gt;"n/a"),
IF(COUNTIFS($B$2:$B$532,"Yes",$A$2:$A$532,$A253,$AL$2:$AL$532,$AL253)&gt;1,"Yes","No"),
"No")
)
)
)</f>
      </c>
      <c r="BL253">
        <f>IF($T253="","",IF((IF(AND($AW253&lt;&gt;"Yes",$AW253&lt;&gt;"N/A"),"Power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",""))="","",LEFT(IF(AND($AW253&lt;&gt;"Yes",$AW253&lt;&gt;"N/A"),"Power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",""),LEN(IF(AND($AW253&lt;&gt;"Yes",$AW253&lt;&gt;"N/A"),"Power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",""))-2)))</f>
      </c>
      <c r="BM253">
        <f>IF($T253="","",IF($BL253="","Yes","Blocked"))</f>
      </c>
      <c r="BP253">
        <f>IF($BO253="","",IFERROR(VLOOKUP($BO253,'01_Warehouse_Ledger'!$A:$N,4,FALSE),""))</f>
      </c>
      <c r="BQ253">
        <f>IF($BO253="","",IFERROR(VLOOKUP($BO253,'01_Warehouse_Ledger'!$A:$N,5,FALSE),""))</f>
      </c>
      <c r="BR253">
        <f>IF($BO253="","",IFERROR(VLOOKUP($BO253,'01_Warehouse_Ledger'!$A:$N,13,FALSE),""))</f>
      </c>
    </row>
    <row r="254">
      <c r="D254">
        <f>IF($B254&lt;&gt;"Yes","",IF($C254="No","Yes",IF($C254="Yes","No","")))</f>
      </c>
      <c r="E254">
        <f>IF($A254="","",IF($A254="Neuron",IF(OR(AND($S254&lt;&gt;"",LOWER(TRIM($S254))&lt;&gt;"n/a",COUNTIF($S$2:$S$532,$S254)&gt;1),AND($T254&lt;&gt;"",LOWER(TRIM($T254))&lt;&gt;"n/a",COUNTIF($T$2:$T$532,$T254)&gt;1),AND($W254&lt;&gt;"",LOWER(TRIM($W254))&lt;&gt;"n/a",COUNTIF($W$2:$W$532,$W254)&gt;1)),"Yes","No"),IF($A254="Cybernet",IF(OR(AND($Y254&lt;&gt;"",LOWER(TRIM($Y254))&lt;&gt;"n/a",COUNTIF($Y$2:$Y$532,$Y254)&gt;1),AND($Z254&lt;&gt;"",LOWER(TRIM($Z254))&lt;&gt;"n/a",COUNTIF($Z$2:$Z$532,$Z254)&gt;1)),"Yes","No"),IF(AND($AL254&lt;&gt;"",LOWER(TRIM($AL254))&lt;&gt;"n/a",COUNTIF($AL$2:$AL$532,$AL254)&gt;1),"Yes","No"))))</f>
      </c>
      <c r="F254">
        <f>IF($B254&lt;&gt;"Yes","",
IF($A254="Neuron",
IF(OR(
AND($S254&lt;&gt;"",LOWER(TRIM($S254))&lt;&gt;"n/a",COUNTIFS($B$2:$B$532,"Yes",$A$2:$A$532,"Neuron",$S$2:$S$532,$S254)&gt;1),
AND($T254&lt;&gt;"",LOWER(TRIM($T254))&lt;&gt;"n/a",COUNTIFS($B$2:$B$532,"Yes",$A$2:$A$532,"Neuron",$T$2:$T$532,$T254)&gt;1),
AND($W254&lt;&gt;"",LOWER(TRIM($W254))&lt;&gt;"n/a",COUNTIFS($B$2:$B$532,"Yes",$A$2:$A$532,"Neuron",$W$2:$W$532,$W254)&gt;1)
),"Yes","No"),
IF($A254="Cybernet",
IF(OR(
AND($Y254&lt;&gt;"",LOWER(TRIM($Y254))&lt;&gt;"n/a",COUNTIFS($B$2:$B$532,"Yes",$A$2:$A$532,"Cybernet",$Y$2:$Y$532,$Y254)&gt;1),
AND($Z254&lt;&gt;"",LOWER(TRIM($Z254))&lt;&gt;"n/a",COUNTIFS($B$2:$B$532,"Yes",$A$2:$A$532,"Cybernet",$Z$2:$Z$532,$Z254)&gt;1)
),"Yes","No"),
IF(AND($AL254&lt;&gt;"",LOWER(TRIM($AL254))&lt;&gt;"n/a"),
IF(COUNTIFS($B$2:$B$532,"Yes",$A$2:$A$532,$A254,$AL$2:$AL$532,$AL254)&gt;1,"Yes","No"),
"No")
)
)
)</f>
      </c>
      <c r="BL254">
        <f>IF($T254="","",IF((IF(AND($AW254&lt;&gt;"Yes",$AW254&lt;&gt;"N/A"),"Power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",""))="","",LEFT(IF(AND($AW254&lt;&gt;"Yes",$AW254&lt;&gt;"N/A"),"Power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",""),LEN(IF(AND($AW254&lt;&gt;"Yes",$AW254&lt;&gt;"N/A"),"Power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",""))-2)))</f>
      </c>
      <c r="BM254">
        <f>IF($T254="","",IF($BL254="","Yes","Blocked"))</f>
      </c>
      <c r="BP254">
        <f>IF($BO254="","",IFERROR(VLOOKUP($BO254,'01_Warehouse_Ledger'!$A:$N,4,FALSE),""))</f>
      </c>
      <c r="BQ254">
        <f>IF($BO254="","",IFERROR(VLOOKUP($BO254,'01_Warehouse_Ledger'!$A:$N,5,FALSE),""))</f>
      </c>
      <c r="BR254">
        <f>IF($BO254="","",IFERROR(VLOOKUP($BO254,'01_Warehouse_Ledger'!$A:$N,13,FALSE),""))</f>
      </c>
    </row>
    <row r="255">
      <c r="D255">
        <f>IF($B255&lt;&gt;"Yes","",IF($C255="No","Yes",IF($C255="Yes","No","")))</f>
      </c>
      <c r="E255">
        <f>IF($A255="","",IF($A255="Neuron",IF(OR(AND($S255&lt;&gt;"",LOWER(TRIM($S255))&lt;&gt;"n/a",COUNTIF($S$2:$S$532,$S255)&gt;1),AND($T255&lt;&gt;"",LOWER(TRIM($T255))&lt;&gt;"n/a",COUNTIF($T$2:$T$532,$T255)&gt;1),AND($W255&lt;&gt;"",LOWER(TRIM($W255))&lt;&gt;"n/a",COUNTIF($W$2:$W$532,$W255)&gt;1)),"Yes","No"),IF($A255="Cybernet",IF(OR(AND($Y255&lt;&gt;"",LOWER(TRIM($Y255))&lt;&gt;"n/a",COUNTIF($Y$2:$Y$532,$Y255)&gt;1),AND($Z255&lt;&gt;"",LOWER(TRIM($Z255))&lt;&gt;"n/a",COUNTIF($Z$2:$Z$532,$Z255)&gt;1)),"Yes","No"),IF(AND($AL255&lt;&gt;"",LOWER(TRIM($AL255))&lt;&gt;"n/a",COUNTIF($AL$2:$AL$532,$AL255)&gt;1),"Yes","No"))))</f>
      </c>
      <c r="F255">
        <f>IF($B255&lt;&gt;"Yes","",
IF($A255="Neuron",
IF(OR(
AND($S255&lt;&gt;"",LOWER(TRIM($S255))&lt;&gt;"n/a",COUNTIFS($B$2:$B$532,"Yes",$A$2:$A$532,"Neuron",$S$2:$S$532,$S255)&gt;1),
AND($T255&lt;&gt;"",LOWER(TRIM($T255))&lt;&gt;"n/a",COUNTIFS($B$2:$B$532,"Yes",$A$2:$A$532,"Neuron",$T$2:$T$532,$T255)&gt;1),
AND($W255&lt;&gt;"",LOWER(TRIM($W255))&lt;&gt;"n/a",COUNTIFS($B$2:$B$532,"Yes",$A$2:$A$532,"Neuron",$W$2:$W$532,$W255)&gt;1)
),"Yes","No"),
IF($A255="Cybernet",
IF(OR(
AND($Y255&lt;&gt;"",LOWER(TRIM($Y255))&lt;&gt;"n/a",COUNTIFS($B$2:$B$532,"Yes",$A$2:$A$532,"Cybernet",$Y$2:$Y$532,$Y255)&gt;1),
AND($Z255&lt;&gt;"",LOWER(TRIM($Z255))&lt;&gt;"n/a",COUNTIFS($B$2:$B$532,"Yes",$A$2:$A$532,"Cybernet",$Z$2:$Z$532,$Z255)&gt;1)
),"Yes","No"),
IF(AND($AL255&lt;&gt;"",LOWER(TRIM($AL255))&lt;&gt;"n/a"),
IF(COUNTIFS($B$2:$B$532,"Yes",$A$2:$A$532,$A255,$AL$2:$AL$532,$AL255)&gt;1,"Yes","No"),
"No")
)
)
)</f>
      </c>
      <c r="BL255">
        <f>IF($T255="","",IF((IF(AND($AW255&lt;&gt;"Yes",$AW255&lt;&gt;"N/A"),"Power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",""))="","",LEFT(IF(AND($AW255&lt;&gt;"Yes",$AW255&lt;&gt;"N/A"),"Power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",""),LEN(IF(AND($AW255&lt;&gt;"Yes",$AW255&lt;&gt;"N/A"),"Power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",""))-2)))</f>
      </c>
      <c r="BM255">
        <f>IF($T255="","",IF($BL255="","Yes","Blocked"))</f>
      </c>
      <c r="BP255">
        <f>IF($BO255="","",IFERROR(VLOOKUP($BO255,'01_Warehouse_Ledger'!$A:$N,4,FALSE),""))</f>
      </c>
      <c r="BQ255">
        <f>IF($BO255="","",IFERROR(VLOOKUP($BO255,'01_Warehouse_Ledger'!$A:$N,5,FALSE),""))</f>
      </c>
      <c r="BR255">
        <f>IF($BO255="","",IFERROR(VLOOKUP($BO255,'01_Warehouse_Ledger'!$A:$N,13,FALSE),""))</f>
      </c>
    </row>
    <row r="256">
      <c r="D256">
        <f>IF($B256&lt;&gt;"Yes","",IF($C256="No","Yes",IF($C256="Yes","No","")))</f>
      </c>
      <c r="E256">
        <f>IF($A256="","",IF($A256="Neuron",IF(OR(AND($S256&lt;&gt;"",LOWER(TRIM($S256))&lt;&gt;"n/a",COUNTIF($S$2:$S$532,$S256)&gt;1),AND($T256&lt;&gt;"",LOWER(TRIM($T256))&lt;&gt;"n/a",COUNTIF($T$2:$T$532,$T256)&gt;1),AND($W256&lt;&gt;"",LOWER(TRIM($W256))&lt;&gt;"n/a",COUNTIF($W$2:$W$532,$W256)&gt;1)),"Yes","No"),IF($A256="Cybernet",IF(OR(AND($Y256&lt;&gt;"",LOWER(TRIM($Y256))&lt;&gt;"n/a",COUNTIF($Y$2:$Y$532,$Y256)&gt;1),AND($Z256&lt;&gt;"",LOWER(TRIM($Z256))&lt;&gt;"n/a",COUNTIF($Z$2:$Z$532,$Z256)&gt;1)),"Yes","No"),IF(AND($AL256&lt;&gt;"",LOWER(TRIM($AL256))&lt;&gt;"n/a",COUNTIF($AL$2:$AL$532,$AL256)&gt;1),"Yes","No"))))</f>
      </c>
      <c r="F256">
        <f>IF($B256&lt;&gt;"Yes","",
IF($A256="Neuron",
IF(OR(
AND($S256&lt;&gt;"",LOWER(TRIM($S256))&lt;&gt;"n/a",COUNTIFS($B$2:$B$532,"Yes",$A$2:$A$532,"Neuron",$S$2:$S$532,$S256)&gt;1),
AND($T256&lt;&gt;"",LOWER(TRIM($T256))&lt;&gt;"n/a",COUNTIFS($B$2:$B$532,"Yes",$A$2:$A$532,"Neuron",$T$2:$T$532,$T256)&gt;1),
AND($W256&lt;&gt;"",LOWER(TRIM($W256))&lt;&gt;"n/a",COUNTIFS($B$2:$B$532,"Yes",$A$2:$A$532,"Neuron",$W$2:$W$532,$W256)&gt;1)
),"Yes","No"),
IF($A256="Cybernet",
IF(OR(
AND($Y256&lt;&gt;"",LOWER(TRIM($Y256))&lt;&gt;"n/a",COUNTIFS($B$2:$B$532,"Yes",$A$2:$A$532,"Cybernet",$Y$2:$Y$532,$Y256)&gt;1),
AND($Z256&lt;&gt;"",LOWER(TRIM($Z256))&lt;&gt;"n/a",COUNTIFS($B$2:$B$532,"Yes",$A$2:$A$532,"Cybernet",$Z$2:$Z$532,$Z256)&gt;1)
),"Yes","No"),
IF(AND($AL256&lt;&gt;"",LOWER(TRIM($AL256))&lt;&gt;"n/a"),
IF(COUNTIFS($B$2:$B$532,"Yes",$A$2:$A$532,$A256,$AL$2:$AL$532,$AL256)&gt;1,"Yes","No"),
"No")
)
)
)</f>
      </c>
      <c r="BL256">
        <f>IF($T256="","",IF((IF(AND($AW256&lt;&gt;"Yes",$AW256&lt;&gt;"N/A"),"Power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",""))="","",LEFT(IF(AND($AW256&lt;&gt;"Yes",$AW256&lt;&gt;"N/A"),"Power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",""),LEN(IF(AND($AW256&lt;&gt;"Yes",$AW256&lt;&gt;"N/A"),"Power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",""))-2)))</f>
      </c>
      <c r="BM256">
        <f>IF($T256="","",IF($BL256="","Yes","Blocked"))</f>
      </c>
      <c r="BP256">
        <f>IF($BO256="","",IFERROR(VLOOKUP($BO256,'01_Warehouse_Ledger'!$A:$N,4,FALSE),""))</f>
      </c>
      <c r="BQ256">
        <f>IF($BO256="","",IFERROR(VLOOKUP($BO256,'01_Warehouse_Ledger'!$A:$N,5,FALSE),""))</f>
      </c>
      <c r="BR256">
        <f>IF($BO256="","",IFERROR(VLOOKUP($BO256,'01_Warehouse_Ledger'!$A:$N,13,FALSE),""))</f>
      </c>
    </row>
    <row r="257">
      <c r="D257">
        <f>IF($B257&lt;&gt;"Yes","",IF($C257="No","Yes",IF($C257="Yes","No","")))</f>
      </c>
      <c r="E257">
        <f>IF($A257="","",IF($A257="Neuron",IF(OR(AND($S257&lt;&gt;"",LOWER(TRIM($S257))&lt;&gt;"n/a",COUNTIF($S$2:$S$532,$S257)&gt;1),AND($T257&lt;&gt;"",LOWER(TRIM($T257))&lt;&gt;"n/a",COUNTIF($T$2:$T$532,$T257)&gt;1),AND($W257&lt;&gt;"",LOWER(TRIM($W257))&lt;&gt;"n/a",COUNTIF($W$2:$W$532,$W257)&gt;1)),"Yes","No"),IF($A257="Cybernet",IF(OR(AND($Y257&lt;&gt;"",LOWER(TRIM($Y257))&lt;&gt;"n/a",COUNTIF($Y$2:$Y$532,$Y257)&gt;1),AND($Z257&lt;&gt;"",LOWER(TRIM($Z257))&lt;&gt;"n/a",COUNTIF($Z$2:$Z$532,$Z257)&gt;1)),"Yes","No"),IF(AND($AL257&lt;&gt;"",LOWER(TRIM($AL257))&lt;&gt;"n/a",COUNTIF($AL$2:$AL$532,$AL257)&gt;1),"Yes","No"))))</f>
      </c>
      <c r="F257">
        <f>IF($B257&lt;&gt;"Yes","",
IF($A257="Neuron",
IF(OR(
AND($S257&lt;&gt;"",LOWER(TRIM($S257))&lt;&gt;"n/a",COUNTIFS($B$2:$B$532,"Yes",$A$2:$A$532,"Neuron",$S$2:$S$532,$S257)&gt;1),
AND($T257&lt;&gt;"",LOWER(TRIM($T257))&lt;&gt;"n/a",COUNTIFS($B$2:$B$532,"Yes",$A$2:$A$532,"Neuron",$T$2:$T$532,$T257)&gt;1),
AND($W257&lt;&gt;"",LOWER(TRIM($W257))&lt;&gt;"n/a",COUNTIFS($B$2:$B$532,"Yes",$A$2:$A$532,"Neuron",$W$2:$W$532,$W257)&gt;1)
),"Yes","No"),
IF($A257="Cybernet",
IF(OR(
AND($Y257&lt;&gt;"",LOWER(TRIM($Y257))&lt;&gt;"n/a",COUNTIFS($B$2:$B$532,"Yes",$A$2:$A$532,"Cybernet",$Y$2:$Y$532,$Y257)&gt;1),
AND($Z257&lt;&gt;"",LOWER(TRIM($Z257))&lt;&gt;"n/a",COUNTIFS($B$2:$B$532,"Yes",$A$2:$A$532,"Cybernet",$Z$2:$Z$532,$Z257)&gt;1)
),"Yes","No"),
IF(AND($AL257&lt;&gt;"",LOWER(TRIM($AL257))&lt;&gt;"n/a"),
IF(COUNTIFS($B$2:$B$532,"Yes",$A$2:$A$532,$A257,$AL$2:$AL$532,$AL257)&gt;1,"Yes","No"),
"No")
)
)
)</f>
      </c>
      <c r="BL257">
        <f>IF($T257="","",IF((IF(AND($AW257&lt;&gt;"Yes",$AW257&lt;&gt;"N/A"),"Power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",""))="","",LEFT(IF(AND($AW257&lt;&gt;"Yes",$AW257&lt;&gt;"N/A"),"Power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",""),LEN(IF(AND($AW257&lt;&gt;"Yes",$AW257&lt;&gt;"N/A"),"Power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",""))-2)))</f>
      </c>
      <c r="BM257">
        <f>IF($T257="","",IF($BL257="","Yes","Blocked"))</f>
      </c>
      <c r="BP257">
        <f>IF($BO257="","",IFERROR(VLOOKUP($BO257,'01_Warehouse_Ledger'!$A:$N,4,FALSE),""))</f>
      </c>
      <c r="BQ257">
        <f>IF($BO257="","",IFERROR(VLOOKUP($BO257,'01_Warehouse_Ledger'!$A:$N,5,FALSE),""))</f>
      </c>
      <c r="BR257">
        <f>IF($BO257="","",IFERROR(VLOOKUP($BO257,'01_Warehouse_Ledger'!$A:$N,13,FALSE),""))</f>
      </c>
    </row>
    <row r="258">
      <c r="D258">
        <f>IF($B258&lt;&gt;"Yes","",IF($C258="No","Yes",IF($C258="Yes","No","")))</f>
      </c>
      <c r="E258">
        <f>IF($A258="","",IF($A258="Neuron",IF(OR(AND($S258&lt;&gt;"",LOWER(TRIM($S258))&lt;&gt;"n/a",COUNTIF($S$2:$S$532,$S258)&gt;1),AND($T258&lt;&gt;"",LOWER(TRIM($T258))&lt;&gt;"n/a",COUNTIF($T$2:$T$532,$T258)&gt;1),AND($W258&lt;&gt;"",LOWER(TRIM($W258))&lt;&gt;"n/a",COUNTIF($W$2:$W$532,$W258)&gt;1)),"Yes","No"),IF($A258="Cybernet",IF(OR(AND($Y258&lt;&gt;"",LOWER(TRIM($Y258))&lt;&gt;"n/a",COUNTIF($Y$2:$Y$532,$Y258)&gt;1),AND($Z258&lt;&gt;"",LOWER(TRIM($Z258))&lt;&gt;"n/a",COUNTIF($Z$2:$Z$532,$Z258)&gt;1)),"Yes","No"),IF(AND($AL258&lt;&gt;"",LOWER(TRIM($AL258))&lt;&gt;"n/a",COUNTIF($AL$2:$AL$532,$AL258)&gt;1),"Yes","No"))))</f>
      </c>
      <c r="F258">
        <f>IF($B258&lt;&gt;"Yes","",
IF($A258="Neuron",
IF(OR(
AND($S258&lt;&gt;"",LOWER(TRIM($S258))&lt;&gt;"n/a",COUNTIFS($B$2:$B$532,"Yes",$A$2:$A$532,"Neuron",$S$2:$S$532,$S258)&gt;1),
AND($T258&lt;&gt;"",LOWER(TRIM($T258))&lt;&gt;"n/a",COUNTIFS($B$2:$B$532,"Yes",$A$2:$A$532,"Neuron",$T$2:$T$532,$T258)&gt;1),
AND($W258&lt;&gt;"",LOWER(TRIM($W258))&lt;&gt;"n/a",COUNTIFS($B$2:$B$532,"Yes",$A$2:$A$532,"Neuron",$W$2:$W$532,$W258)&gt;1)
),"Yes","No"),
IF($A258="Cybernet",
IF(OR(
AND($Y258&lt;&gt;"",LOWER(TRIM($Y258))&lt;&gt;"n/a",COUNTIFS($B$2:$B$532,"Yes",$A$2:$A$532,"Cybernet",$Y$2:$Y$532,$Y258)&gt;1),
AND($Z258&lt;&gt;"",LOWER(TRIM($Z258))&lt;&gt;"n/a",COUNTIFS($B$2:$B$532,"Yes",$A$2:$A$532,"Cybernet",$Z$2:$Z$532,$Z258)&gt;1)
),"Yes","No"),
IF(AND($AL258&lt;&gt;"",LOWER(TRIM($AL258))&lt;&gt;"n/a"),
IF(COUNTIFS($B$2:$B$532,"Yes",$A$2:$A$532,$A258,$AL$2:$AL$532,$AL258)&gt;1,"Yes","No"),
"No")
)
)
)</f>
      </c>
      <c r="BL258">
        <f>IF($T258="","",IF((IF(AND($AW258&lt;&gt;"Yes",$AW258&lt;&gt;"N/A"),"Power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",""))="","",LEFT(IF(AND($AW258&lt;&gt;"Yes",$AW258&lt;&gt;"N/A"),"Power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",""),LEN(IF(AND($AW258&lt;&gt;"Yes",$AW258&lt;&gt;"N/A"),"Power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",""))-2)))</f>
      </c>
      <c r="BM258">
        <f>IF($T258="","",IF($BL258="","Yes","Blocked"))</f>
      </c>
      <c r="BP258">
        <f>IF($BO258="","",IFERROR(VLOOKUP($BO258,'01_Warehouse_Ledger'!$A:$N,4,FALSE),""))</f>
      </c>
      <c r="BQ258">
        <f>IF($BO258="","",IFERROR(VLOOKUP($BO258,'01_Warehouse_Ledger'!$A:$N,5,FALSE),""))</f>
      </c>
      <c r="BR258">
        <f>IF($BO258="","",IFERROR(VLOOKUP($BO258,'01_Warehouse_Ledger'!$A:$N,13,FALSE),""))</f>
      </c>
    </row>
    <row r="259">
      <c r="D259">
        <f>IF($B259&lt;&gt;"Yes","",IF($C259="No","Yes",IF($C259="Yes","No","")))</f>
      </c>
      <c r="E259">
        <f>IF($A259="","",IF($A259="Neuron",IF(OR(AND($S259&lt;&gt;"",LOWER(TRIM($S259))&lt;&gt;"n/a",COUNTIF($S$2:$S$532,$S259)&gt;1),AND($T259&lt;&gt;"",LOWER(TRIM($T259))&lt;&gt;"n/a",COUNTIF($T$2:$T$532,$T259)&gt;1),AND($W259&lt;&gt;"",LOWER(TRIM($W259))&lt;&gt;"n/a",COUNTIF($W$2:$W$532,$W259)&gt;1)),"Yes","No"),IF($A259="Cybernet",IF(OR(AND($Y259&lt;&gt;"",LOWER(TRIM($Y259))&lt;&gt;"n/a",COUNTIF($Y$2:$Y$532,$Y259)&gt;1),AND($Z259&lt;&gt;"",LOWER(TRIM($Z259))&lt;&gt;"n/a",COUNTIF($Z$2:$Z$532,$Z259)&gt;1)),"Yes","No"),IF(AND($AL259&lt;&gt;"",LOWER(TRIM($AL259))&lt;&gt;"n/a",COUNTIF($AL$2:$AL$532,$AL259)&gt;1),"Yes","No"))))</f>
      </c>
      <c r="F259">
        <f>IF($B259&lt;&gt;"Yes","",
IF($A259="Neuron",
IF(OR(
AND($S259&lt;&gt;"",LOWER(TRIM($S259))&lt;&gt;"n/a",COUNTIFS($B$2:$B$532,"Yes",$A$2:$A$532,"Neuron",$S$2:$S$532,$S259)&gt;1),
AND($T259&lt;&gt;"",LOWER(TRIM($T259))&lt;&gt;"n/a",COUNTIFS($B$2:$B$532,"Yes",$A$2:$A$532,"Neuron",$T$2:$T$532,$T259)&gt;1),
AND($W259&lt;&gt;"",LOWER(TRIM($W259))&lt;&gt;"n/a",COUNTIFS($B$2:$B$532,"Yes",$A$2:$A$532,"Neuron",$W$2:$W$532,$W259)&gt;1)
),"Yes","No"),
IF($A259="Cybernet",
IF(OR(
AND($Y259&lt;&gt;"",LOWER(TRIM($Y259))&lt;&gt;"n/a",COUNTIFS($B$2:$B$532,"Yes",$A$2:$A$532,"Cybernet",$Y$2:$Y$532,$Y259)&gt;1),
AND($Z259&lt;&gt;"",LOWER(TRIM($Z259))&lt;&gt;"n/a",COUNTIFS($B$2:$B$532,"Yes",$A$2:$A$532,"Cybernet",$Z$2:$Z$532,$Z259)&gt;1)
),"Yes","No"),
IF(AND($AL259&lt;&gt;"",LOWER(TRIM($AL259))&lt;&gt;"n/a"),
IF(COUNTIFS($B$2:$B$532,"Yes",$A$2:$A$532,$A259,$AL$2:$AL$532,$AL259)&gt;1,"Yes","No"),
"No")
)
)
)</f>
      </c>
      <c r="BL259">
        <f>IF($T259="","",IF((IF(AND($AW259&lt;&gt;"Yes",$AW259&lt;&gt;"N/A"),"Power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",""))="","",LEFT(IF(AND($AW259&lt;&gt;"Yes",$AW259&lt;&gt;"N/A"),"Power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",""),LEN(IF(AND($AW259&lt;&gt;"Yes",$AW259&lt;&gt;"N/A"),"Power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",""))-2)))</f>
      </c>
      <c r="BM259">
        <f>IF($T259="","",IF($BL259="","Yes","Blocked"))</f>
      </c>
      <c r="BP259">
        <f>IF($BO259="","",IFERROR(VLOOKUP($BO259,'01_Warehouse_Ledger'!$A:$N,4,FALSE),""))</f>
      </c>
      <c r="BQ259">
        <f>IF($BO259="","",IFERROR(VLOOKUP($BO259,'01_Warehouse_Ledger'!$A:$N,5,FALSE),""))</f>
      </c>
      <c r="BR259">
        <f>IF($BO259="","",IFERROR(VLOOKUP($BO259,'01_Warehouse_Ledger'!$A:$N,13,FALSE),""))</f>
      </c>
    </row>
    <row r="260">
      <c r="D260">
        <f>IF($B260&lt;&gt;"Yes","",IF($C260="No","Yes",IF($C260="Yes","No","")))</f>
      </c>
      <c r="E260">
        <f>IF($A260="","",IF($A260="Neuron",IF(OR(AND($S260&lt;&gt;"",LOWER(TRIM($S260))&lt;&gt;"n/a",COUNTIF($S$2:$S$532,$S260)&gt;1),AND($T260&lt;&gt;"",LOWER(TRIM($T260))&lt;&gt;"n/a",COUNTIF($T$2:$T$532,$T260)&gt;1),AND($W260&lt;&gt;"",LOWER(TRIM($W260))&lt;&gt;"n/a",COUNTIF($W$2:$W$532,$W260)&gt;1)),"Yes","No"),IF($A260="Cybernet",IF(OR(AND($Y260&lt;&gt;"",LOWER(TRIM($Y260))&lt;&gt;"n/a",COUNTIF($Y$2:$Y$532,$Y260)&gt;1),AND($Z260&lt;&gt;"",LOWER(TRIM($Z260))&lt;&gt;"n/a",COUNTIF($Z$2:$Z$532,$Z260)&gt;1)),"Yes","No"),IF(AND($AL260&lt;&gt;"",LOWER(TRIM($AL260))&lt;&gt;"n/a",COUNTIF($AL$2:$AL$532,$AL260)&gt;1),"Yes","No"))))</f>
      </c>
      <c r="F260">
        <f>IF($B260&lt;&gt;"Yes","",
IF($A260="Neuron",
IF(OR(
AND($S260&lt;&gt;"",LOWER(TRIM($S260))&lt;&gt;"n/a",COUNTIFS($B$2:$B$532,"Yes",$A$2:$A$532,"Neuron",$S$2:$S$532,$S260)&gt;1),
AND($T260&lt;&gt;"",LOWER(TRIM($T260))&lt;&gt;"n/a",COUNTIFS($B$2:$B$532,"Yes",$A$2:$A$532,"Neuron",$T$2:$T$532,$T260)&gt;1),
AND($W260&lt;&gt;"",LOWER(TRIM($W260))&lt;&gt;"n/a",COUNTIFS($B$2:$B$532,"Yes",$A$2:$A$532,"Neuron",$W$2:$W$532,$W260)&gt;1)
),"Yes","No"),
IF($A260="Cybernet",
IF(OR(
AND($Y260&lt;&gt;"",LOWER(TRIM($Y260))&lt;&gt;"n/a",COUNTIFS($B$2:$B$532,"Yes",$A$2:$A$532,"Cybernet",$Y$2:$Y$532,$Y260)&gt;1),
AND($Z260&lt;&gt;"",LOWER(TRIM($Z260))&lt;&gt;"n/a",COUNTIFS($B$2:$B$532,"Yes",$A$2:$A$532,"Cybernet",$Z$2:$Z$532,$Z260)&gt;1)
),"Yes","No"),
IF(AND($AL260&lt;&gt;"",LOWER(TRIM($AL260))&lt;&gt;"n/a"),
IF(COUNTIFS($B$2:$B$532,"Yes",$A$2:$A$532,$A260,$AL$2:$AL$532,$AL260)&gt;1,"Yes","No"),
"No")
)
)
)</f>
      </c>
      <c r="BL260">
        <f>IF($T260="","",IF((IF(AND($AW260&lt;&gt;"Yes",$AW260&lt;&gt;"N/A"),"Power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",""))="","",LEFT(IF(AND($AW260&lt;&gt;"Yes",$AW260&lt;&gt;"N/A"),"Power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",""),LEN(IF(AND($AW260&lt;&gt;"Yes",$AW260&lt;&gt;"N/A"),"Power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",""))-2)))</f>
      </c>
      <c r="BM260">
        <f>IF($T260="","",IF($BL260="","Yes","Blocked"))</f>
      </c>
      <c r="BP260">
        <f>IF($BO260="","",IFERROR(VLOOKUP($BO260,'01_Warehouse_Ledger'!$A:$N,4,FALSE),""))</f>
      </c>
      <c r="BQ260">
        <f>IF($BO260="","",IFERROR(VLOOKUP($BO260,'01_Warehouse_Ledger'!$A:$N,5,FALSE),""))</f>
      </c>
      <c r="BR260">
        <f>IF($BO260="","",IFERROR(VLOOKUP($BO260,'01_Warehouse_Ledger'!$A:$N,13,FALSE),""))</f>
      </c>
    </row>
    <row r="261">
      <c r="D261">
        <f>IF($B261&lt;&gt;"Yes","",IF($C261="No","Yes",IF($C261="Yes","No","")))</f>
      </c>
      <c r="E261">
        <f>IF($A261="","",IF($A261="Neuron",IF(OR(AND($S261&lt;&gt;"",LOWER(TRIM($S261))&lt;&gt;"n/a",COUNTIF($S$2:$S$532,$S261)&gt;1),AND($T261&lt;&gt;"",LOWER(TRIM($T261))&lt;&gt;"n/a",COUNTIF($T$2:$T$532,$T261)&gt;1),AND($W261&lt;&gt;"",LOWER(TRIM($W261))&lt;&gt;"n/a",COUNTIF($W$2:$W$532,$W261)&gt;1)),"Yes","No"),IF($A261="Cybernet",IF(OR(AND($Y261&lt;&gt;"",LOWER(TRIM($Y261))&lt;&gt;"n/a",COUNTIF($Y$2:$Y$532,$Y261)&gt;1),AND($Z261&lt;&gt;"",LOWER(TRIM($Z261))&lt;&gt;"n/a",COUNTIF($Z$2:$Z$532,$Z261)&gt;1)),"Yes","No"),IF(AND($AL261&lt;&gt;"",LOWER(TRIM($AL261))&lt;&gt;"n/a",COUNTIF($AL$2:$AL$532,$AL261)&gt;1),"Yes","No"))))</f>
      </c>
      <c r="F261">
        <f>IF($B261&lt;&gt;"Yes","",
IF($A261="Neuron",
IF(OR(
AND($S261&lt;&gt;"",LOWER(TRIM($S261))&lt;&gt;"n/a",COUNTIFS($B$2:$B$532,"Yes",$A$2:$A$532,"Neuron",$S$2:$S$532,$S261)&gt;1),
AND($T261&lt;&gt;"",LOWER(TRIM($T261))&lt;&gt;"n/a",COUNTIFS($B$2:$B$532,"Yes",$A$2:$A$532,"Neuron",$T$2:$T$532,$T261)&gt;1),
AND($W261&lt;&gt;"",LOWER(TRIM($W261))&lt;&gt;"n/a",COUNTIFS($B$2:$B$532,"Yes",$A$2:$A$532,"Neuron",$W$2:$W$532,$W261)&gt;1)
),"Yes","No"),
IF($A261="Cybernet",
IF(OR(
AND($Y261&lt;&gt;"",LOWER(TRIM($Y261))&lt;&gt;"n/a",COUNTIFS($B$2:$B$532,"Yes",$A$2:$A$532,"Cybernet",$Y$2:$Y$532,$Y261)&gt;1),
AND($Z261&lt;&gt;"",LOWER(TRIM($Z261))&lt;&gt;"n/a",COUNTIFS($B$2:$B$532,"Yes",$A$2:$A$532,"Cybernet",$Z$2:$Z$532,$Z261)&gt;1)
),"Yes","No"),
IF(AND($AL261&lt;&gt;"",LOWER(TRIM($AL261))&lt;&gt;"n/a"),
IF(COUNTIFS($B$2:$B$532,"Yes",$A$2:$A$532,$A261,$AL$2:$AL$532,$AL261)&gt;1,"Yes","No"),
"No")
)
)
)</f>
      </c>
      <c r="BL261">
        <f>IF($T261="","",IF((IF(AND($AW261&lt;&gt;"Yes",$AW261&lt;&gt;"N/A"),"Power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",""))="","",LEFT(IF(AND($AW261&lt;&gt;"Yes",$AW261&lt;&gt;"N/A"),"Power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",""),LEN(IF(AND($AW261&lt;&gt;"Yes",$AW261&lt;&gt;"N/A"),"Power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",""))-2)))</f>
      </c>
      <c r="BM261">
        <f>IF($T261="","",IF($BL261="","Yes","Blocked"))</f>
      </c>
      <c r="BP261">
        <f>IF($BO261="","",IFERROR(VLOOKUP($BO261,'01_Warehouse_Ledger'!$A:$N,4,FALSE),""))</f>
      </c>
      <c r="BQ261">
        <f>IF($BO261="","",IFERROR(VLOOKUP($BO261,'01_Warehouse_Ledger'!$A:$N,5,FALSE),""))</f>
      </c>
      <c r="BR261">
        <f>IF($BO261="","",IFERROR(VLOOKUP($BO261,'01_Warehouse_Ledger'!$A:$N,13,FALSE),""))</f>
      </c>
    </row>
    <row r="262">
      <c r="D262">
        <f>IF($B262&lt;&gt;"Yes","",IF($C262="No","Yes",IF($C262="Yes","No","")))</f>
      </c>
      <c r="E262">
        <f>IF($A262="","",IF($A262="Neuron",IF(OR(AND($S262&lt;&gt;"",LOWER(TRIM($S262))&lt;&gt;"n/a",COUNTIF($S$2:$S$532,$S262)&gt;1),AND($T262&lt;&gt;"",LOWER(TRIM($T262))&lt;&gt;"n/a",COUNTIF($T$2:$T$532,$T262)&gt;1),AND($W262&lt;&gt;"",LOWER(TRIM($W262))&lt;&gt;"n/a",COUNTIF($W$2:$W$532,$W262)&gt;1)),"Yes","No"),IF($A262="Cybernet",IF(OR(AND($Y262&lt;&gt;"",LOWER(TRIM($Y262))&lt;&gt;"n/a",COUNTIF($Y$2:$Y$532,$Y262)&gt;1),AND($Z262&lt;&gt;"",LOWER(TRIM($Z262))&lt;&gt;"n/a",COUNTIF($Z$2:$Z$532,$Z262)&gt;1)),"Yes","No"),IF(AND($AL262&lt;&gt;"",LOWER(TRIM($AL262))&lt;&gt;"n/a",COUNTIF($AL$2:$AL$532,$AL262)&gt;1),"Yes","No"))))</f>
      </c>
      <c r="F262">
        <f>IF($B262&lt;&gt;"Yes","",
IF($A262="Neuron",
IF(OR(
AND($S262&lt;&gt;"",LOWER(TRIM($S262))&lt;&gt;"n/a",COUNTIFS($B$2:$B$532,"Yes",$A$2:$A$532,"Neuron",$S$2:$S$532,$S262)&gt;1),
AND($T262&lt;&gt;"",LOWER(TRIM($T262))&lt;&gt;"n/a",COUNTIFS($B$2:$B$532,"Yes",$A$2:$A$532,"Neuron",$T$2:$T$532,$T262)&gt;1),
AND($W262&lt;&gt;"",LOWER(TRIM($W262))&lt;&gt;"n/a",COUNTIFS($B$2:$B$532,"Yes",$A$2:$A$532,"Neuron",$W$2:$W$532,$W262)&gt;1)
),"Yes","No"),
IF($A262="Cybernet",
IF(OR(
AND($Y262&lt;&gt;"",LOWER(TRIM($Y262))&lt;&gt;"n/a",COUNTIFS($B$2:$B$532,"Yes",$A$2:$A$532,"Cybernet",$Y$2:$Y$532,$Y262)&gt;1),
AND($Z262&lt;&gt;"",LOWER(TRIM($Z262))&lt;&gt;"n/a",COUNTIFS($B$2:$B$532,"Yes",$A$2:$A$532,"Cybernet",$Z$2:$Z$532,$Z262)&gt;1)
),"Yes","No"),
IF(AND($AL262&lt;&gt;"",LOWER(TRIM($AL262))&lt;&gt;"n/a"),
IF(COUNTIFS($B$2:$B$532,"Yes",$A$2:$A$532,$A262,$AL$2:$AL$532,$AL262)&gt;1,"Yes","No"),
"No")
)
)
)</f>
      </c>
      <c r="BL262">
        <f>IF($T262="","",IF((IF(AND($AW262&lt;&gt;"Yes",$AW262&lt;&gt;"N/A"),"Power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",""))="","",LEFT(IF(AND($AW262&lt;&gt;"Yes",$AW262&lt;&gt;"N/A"),"Power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",""),LEN(IF(AND($AW262&lt;&gt;"Yes",$AW262&lt;&gt;"N/A"),"Power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",""))-2)))</f>
      </c>
      <c r="BM262">
        <f>IF($T262="","",IF($BL262="","Yes","Blocked"))</f>
      </c>
      <c r="BP262">
        <f>IF($BO262="","",IFERROR(VLOOKUP($BO262,'01_Warehouse_Ledger'!$A:$N,4,FALSE),""))</f>
      </c>
      <c r="BQ262">
        <f>IF($BO262="","",IFERROR(VLOOKUP($BO262,'01_Warehouse_Ledger'!$A:$N,5,FALSE),""))</f>
      </c>
      <c r="BR262">
        <f>IF($BO262="","",IFERROR(VLOOKUP($BO262,'01_Warehouse_Ledger'!$A:$N,13,FALSE),""))</f>
      </c>
    </row>
    <row r="263">
      <c r="D263">
        <f>IF($B263&lt;&gt;"Yes","",IF($C263="No","Yes",IF($C263="Yes","No","")))</f>
      </c>
      <c r="E263">
        <f>IF($A263="","",IF($A263="Neuron",IF(OR(AND($S263&lt;&gt;"",LOWER(TRIM($S263))&lt;&gt;"n/a",COUNTIF($S$2:$S$532,$S263)&gt;1),AND($T263&lt;&gt;"",LOWER(TRIM($T263))&lt;&gt;"n/a",COUNTIF($T$2:$T$532,$T263)&gt;1),AND($W263&lt;&gt;"",LOWER(TRIM($W263))&lt;&gt;"n/a",COUNTIF($W$2:$W$532,$W263)&gt;1)),"Yes","No"),IF($A263="Cybernet",IF(OR(AND($Y263&lt;&gt;"",LOWER(TRIM($Y263))&lt;&gt;"n/a",COUNTIF($Y$2:$Y$532,$Y263)&gt;1),AND($Z263&lt;&gt;"",LOWER(TRIM($Z263))&lt;&gt;"n/a",COUNTIF($Z$2:$Z$532,$Z263)&gt;1)),"Yes","No"),IF(AND($AL263&lt;&gt;"",LOWER(TRIM($AL263))&lt;&gt;"n/a",COUNTIF($AL$2:$AL$532,$AL263)&gt;1),"Yes","No"))))</f>
      </c>
      <c r="F263">
        <f>IF($B263&lt;&gt;"Yes","",
IF($A263="Neuron",
IF(OR(
AND($S263&lt;&gt;"",LOWER(TRIM($S263))&lt;&gt;"n/a",COUNTIFS($B$2:$B$532,"Yes",$A$2:$A$532,"Neuron",$S$2:$S$532,$S263)&gt;1),
AND($T263&lt;&gt;"",LOWER(TRIM($T263))&lt;&gt;"n/a",COUNTIFS($B$2:$B$532,"Yes",$A$2:$A$532,"Neuron",$T$2:$T$532,$T263)&gt;1),
AND($W263&lt;&gt;"",LOWER(TRIM($W263))&lt;&gt;"n/a",COUNTIFS($B$2:$B$532,"Yes",$A$2:$A$532,"Neuron",$W$2:$W$532,$W263)&gt;1)
),"Yes","No"),
IF($A263="Cybernet",
IF(OR(
AND($Y263&lt;&gt;"",LOWER(TRIM($Y263))&lt;&gt;"n/a",COUNTIFS($B$2:$B$532,"Yes",$A$2:$A$532,"Cybernet",$Y$2:$Y$532,$Y263)&gt;1),
AND($Z263&lt;&gt;"",LOWER(TRIM($Z263))&lt;&gt;"n/a",COUNTIFS($B$2:$B$532,"Yes",$A$2:$A$532,"Cybernet",$Z$2:$Z$532,$Z263)&gt;1)
),"Yes","No"),
IF(AND($AL263&lt;&gt;"",LOWER(TRIM($AL263))&lt;&gt;"n/a"),
IF(COUNTIFS($B$2:$B$532,"Yes",$A$2:$A$532,$A263,$AL$2:$AL$532,$AL263)&gt;1,"Yes","No"),
"No")
)
)
)</f>
      </c>
      <c r="BL263">
        <f>IF($T263="","",IF((IF(AND($AW263&lt;&gt;"Yes",$AW263&lt;&gt;"N/A"),"Power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",""))="","",LEFT(IF(AND($AW263&lt;&gt;"Yes",$AW263&lt;&gt;"N/A"),"Power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",""),LEN(IF(AND($AW263&lt;&gt;"Yes",$AW263&lt;&gt;"N/A"),"Power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",""))-2)))</f>
      </c>
      <c r="BM263">
        <f>IF($T263="","",IF($BL263="","Yes","Blocked"))</f>
      </c>
      <c r="BP263">
        <f>IF($BO263="","",IFERROR(VLOOKUP($BO263,'01_Warehouse_Ledger'!$A:$N,4,FALSE),""))</f>
      </c>
      <c r="BQ263">
        <f>IF($BO263="","",IFERROR(VLOOKUP($BO263,'01_Warehouse_Ledger'!$A:$N,5,FALSE),""))</f>
      </c>
      <c r="BR263">
        <f>IF($BO263="","",IFERROR(VLOOKUP($BO263,'01_Warehouse_Ledger'!$A:$N,13,FALSE),""))</f>
      </c>
    </row>
    <row r="264">
      <c r="D264">
        <f>IF($B264&lt;&gt;"Yes","",IF($C264="No","Yes",IF($C264="Yes","No","")))</f>
      </c>
      <c r="E264">
        <f>IF($A264="","",IF($A264="Neuron",IF(OR(AND($S264&lt;&gt;"",LOWER(TRIM($S264))&lt;&gt;"n/a",COUNTIF($S$2:$S$532,$S264)&gt;1),AND($T264&lt;&gt;"",LOWER(TRIM($T264))&lt;&gt;"n/a",COUNTIF($T$2:$T$532,$T264)&gt;1),AND($W264&lt;&gt;"",LOWER(TRIM($W264))&lt;&gt;"n/a",COUNTIF($W$2:$W$532,$W264)&gt;1)),"Yes","No"),IF($A264="Cybernet",IF(OR(AND($Y264&lt;&gt;"",LOWER(TRIM($Y264))&lt;&gt;"n/a",COUNTIF($Y$2:$Y$532,$Y264)&gt;1),AND($Z264&lt;&gt;"",LOWER(TRIM($Z264))&lt;&gt;"n/a",COUNTIF($Z$2:$Z$532,$Z264)&gt;1)),"Yes","No"),IF(AND($AL264&lt;&gt;"",LOWER(TRIM($AL264))&lt;&gt;"n/a",COUNTIF($AL$2:$AL$532,$AL264)&gt;1),"Yes","No"))))</f>
      </c>
      <c r="F264">
        <f>IF($B264&lt;&gt;"Yes","",
IF($A264="Neuron",
IF(OR(
AND($S264&lt;&gt;"",LOWER(TRIM($S264))&lt;&gt;"n/a",COUNTIFS($B$2:$B$532,"Yes",$A$2:$A$532,"Neuron",$S$2:$S$532,$S264)&gt;1),
AND($T264&lt;&gt;"",LOWER(TRIM($T264))&lt;&gt;"n/a",COUNTIFS($B$2:$B$532,"Yes",$A$2:$A$532,"Neuron",$T$2:$T$532,$T264)&gt;1),
AND($W264&lt;&gt;"",LOWER(TRIM($W264))&lt;&gt;"n/a",COUNTIFS($B$2:$B$532,"Yes",$A$2:$A$532,"Neuron",$W$2:$W$532,$W264)&gt;1)
),"Yes","No"),
IF($A264="Cybernet",
IF(OR(
AND($Y264&lt;&gt;"",LOWER(TRIM($Y264))&lt;&gt;"n/a",COUNTIFS($B$2:$B$532,"Yes",$A$2:$A$532,"Cybernet",$Y$2:$Y$532,$Y264)&gt;1),
AND($Z264&lt;&gt;"",LOWER(TRIM($Z264))&lt;&gt;"n/a",COUNTIFS($B$2:$B$532,"Yes",$A$2:$A$532,"Cybernet",$Z$2:$Z$532,$Z264)&gt;1)
),"Yes","No"),
IF(AND($AL264&lt;&gt;"",LOWER(TRIM($AL264))&lt;&gt;"n/a"),
IF(COUNTIFS($B$2:$B$532,"Yes",$A$2:$A$532,$A264,$AL$2:$AL$532,$AL264)&gt;1,"Yes","No"),
"No")
)
)
)</f>
      </c>
      <c r="BL264">
        <f>IF($T264="","",IF((IF(AND($AW264&lt;&gt;"Yes",$AW264&lt;&gt;"N/A"),"Power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",""))="","",LEFT(IF(AND($AW264&lt;&gt;"Yes",$AW264&lt;&gt;"N/A"),"Power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",""),LEN(IF(AND($AW264&lt;&gt;"Yes",$AW264&lt;&gt;"N/A"),"Power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",""))-2)))</f>
      </c>
      <c r="BM264">
        <f>IF($T264="","",IF($BL264="","Yes","Blocked"))</f>
      </c>
      <c r="BP264">
        <f>IF($BO264="","",IFERROR(VLOOKUP($BO264,'01_Warehouse_Ledger'!$A:$N,4,FALSE),""))</f>
      </c>
      <c r="BQ264">
        <f>IF($BO264="","",IFERROR(VLOOKUP($BO264,'01_Warehouse_Ledger'!$A:$N,5,FALSE),""))</f>
      </c>
      <c r="BR264">
        <f>IF($BO264="","",IFERROR(VLOOKUP($BO264,'01_Warehouse_Ledger'!$A:$N,13,FALSE),""))</f>
      </c>
    </row>
    <row r="265">
      <c r="D265">
        <f>IF($B265&lt;&gt;"Yes","",IF($C265="No","Yes",IF($C265="Yes","No","")))</f>
      </c>
      <c r="E265">
        <f>IF($A265="","",IF($A265="Neuron",IF(OR(AND($S265&lt;&gt;"",LOWER(TRIM($S265))&lt;&gt;"n/a",COUNTIF($S$2:$S$532,$S265)&gt;1),AND($T265&lt;&gt;"",LOWER(TRIM($T265))&lt;&gt;"n/a",COUNTIF($T$2:$T$532,$T265)&gt;1),AND($W265&lt;&gt;"",LOWER(TRIM($W265))&lt;&gt;"n/a",COUNTIF($W$2:$W$532,$W265)&gt;1)),"Yes","No"),IF($A265="Cybernet",IF(OR(AND($Y265&lt;&gt;"",LOWER(TRIM($Y265))&lt;&gt;"n/a",COUNTIF($Y$2:$Y$532,$Y265)&gt;1),AND($Z265&lt;&gt;"",LOWER(TRIM($Z265))&lt;&gt;"n/a",COUNTIF($Z$2:$Z$532,$Z265)&gt;1)),"Yes","No"),IF(AND($AL265&lt;&gt;"",LOWER(TRIM($AL265))&lt;&gt;"n/a",COUNTIF($AL$2:$AL$532,$AL265)&gt;1),"Yes","No"))))</f>
      </c>
      <c r="F265">
        <f>IF($B265&lt;&gt;"Yes","",
IF($A265="Neuron",
IF(OR(
AND($S265&lt;&gt;"",LOWER(TRIM($S265))&lt;&gt;"n/a",COUNTIFS($B$2:$B$532,"Yes",$A$2:$A$532,"Neuron",$S$2:$S$532,$S265)&gt;1),
AND($T265&lt;&gt;"",LOWER(TRIM($T265))&lt;&gt;"n/a",COUNTIFS($B$2:$B$532,"Yes",$A$2:$A$532,"Neuron",$T$2:$T$532,$T265)&gt;1),
AND($W265&lt;&gt;"",LOWER(TRIM($W265))&lt;&gt;"n/a",COUNTIFS($B$2:$B$532,"Yes",$A$2:$A$532,"Neuron",$W$2:$W$532,$W265)&gt;1)
),"Yes","No"),
IF($A265="Cybernet",
IF(OR(
AND($Y265&lt;&gt;"",LOWER(TRIM($Y265))&lt;&gt;"n/a",COUNTIFS($B$2:$B$532,"Yes",$A$2:$A$532,"Cybernet",$Y$2:$Y$532,$Y265)&gt;1),
AND($Z265&lt;&gt;"",LOWER(TRIM($Z265))&lt;&gt;"n/a",COUNTIFS($B$2:$B$532,"Yes",$A$2:$A$532,"Cybernet",$Z$2:$Z$532,$Z265)&gt;1)
),"Yes","No"),
IF(AND($AL265&lt;&gt;"",LOWER(TRIM($AL265))&lt;&gt;"n/a"),
IF(COUNTIFS($B$2:$B$532,"Yes",$A$2:$A$532,$A265,$AL$2:$AL$532,$AL265)&gt;1,"Yes","No"),
"No")
)
)
)</f>
      </c>
      <c r="BL265">
        <f>IF($T265="","",IF((IF(AND($AW265&lt;&gt;"Yes",$AW265&lt;&gt;"N/A"),"Power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",""))="","",LEFT(IF(AND($AW265&lt;&gt;"Yes",$AW265&lt;&gt;"N/A"),"Power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",""),LEN(IF(AND($AW265&lt;&gt;"Yes",$AW265&lt;&gt;"N/A"),"Power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",""))-2)))</f>
      </c>
      <c r="BM265">
        <f>IF($T265="","",IF($BL265="","Yes","Blocked"))</f>
      </c>
      <c r="BP265">
        <f>IF($BO265="","",IFERROR(VLOOKUP($BO265,'01_Warehouse_Ledger'!$A:$N,4,FALSE),""))</f>
      </c>
      <c r="BQ265">
        <f>IF($BO265="","",IFERROR(VLOOKUP($BO265,'01_Warehouse_Ledger'!$A:$N,5,FALSE),""))</f>
      </c>
      <c r="BR265">
        <f>IF($BO265="","",IFERROR(VLOOKUP($BO265,'01_Warehouse_Ledger'!$A:$N,13,FALSE),""))</f>
      </c>
    </row>
    <row r="266">
      <c r="D266">
        <f>IF($B266&lt;&gt;"Yes","",IF($C266="No","Yes",IF($C266="Yes","No","")))</f>
      </c>
      <c r="E266">
        <f>IF($A266="","",IF($A266="Neuron",IF(OR(AND($S266&lt;&gt;"",LOWER(TRIM($S266))&lt;&gt;"n/a",COUNTIF($S$2:$S$532,$S266)&gt;1),AND($T266&lt;&gt;"",LOWER(TRIM($T266))&lt;&gt;"n/a",COUNTIF($T$2:$T$532,$T266)&gt;1),AND($W266&lt;&gt;"",LOWER(TRIM($W266))&lt;&gt;"n/a",COUNTIF($W$2:$W$532,$W266)&gt;1)),"Yes","No"),IF($A266="Cybernet",IF(OR(AND($Y266&lt;&gt;"",LOWER(TRIM($Y266))&lt;&gt;"n/a",COUNTIF($Y$2:$Y$532,$Y266)&gt;1),AND($Z266&lt;&gt;"",LOWER(TRIM($Z266))&lt;&gt;"n/a",COUNTIF($Z$2:$Z$532,$Z266)&gt;1)),"Yes","No"),IF(AND($AL266&lt;&gt;"",LOWER(TRIM($AL266))&lt;&gt;"n/a",COUNTIF($AL$2:$AL$532,$AL266)&gt;1),"Yes","No"))))</f>
      </c>
      <c r="F266">
        <f>IF($B266&lt;&gt;"Yes","",
IF($A266="Neuron",
IF(OR(
AND($S266&lt;&gt;"",LOWER(TRIM($S266))&lt;&gt;"n/a",COUNTIFS($B$2:$B$532,"Yes",$A$2:$A$532,"Neuron",$S$2:$S$532,$S266)&gt;1),
AND($T266&lt;&gt;"",LOWER(TRIM($T266))&lt;&gt;"n/a",COUNTIFS($B$2:$B$532,"Yes",$A$2:$A$532,"Neuron",$T$2:$T$532,$T266)&gt;1),
AND($W266&lt;&gt;"",LOWER(TRIM($W266))&lt;&gt;"n/a",COUNTIFS($B$2:$B$532,"Yes",$A$2:$A$532,"Neuron",$W$2:$W$532,$W266)&gt;1)
),"Yes","No"),
IF($A266="Cybernet",
IF(OR(
AND($Y266&lt;&gt;"",LOWER(TRIM($Y266))&lt;&gt;"n/a",COUNTIFS($B$2:$B$532,"Yes",$A$2:$A$532,"Cybernet",$Y$2:$Y$532,$Y266)&gt;1),
AND($Z266&lt;&gt;"",LOWER(TRIM($Z266))&lt;&gt;"n/a",COUNTIFS($B$2:$B$532,"Yes",$A$2:$A$532,"Cybernet",$Z$2:$Z$532,$Z266)&gt;1)
),"Yes","No"),
IF(AND($AL266&lt;&gt;"",LOWER(TRIM($AL266))&lt;&gt;"n/a"),
IF(COUNTIFS($B$2:$B$532,"Yes",$A$2:$A$532,$A266,$AL$2:$AL$532,$AL266)&gt;1,"Yes","No"),
"No")
)
)
)</f>
      </c>
      <c r="BL266">
        <f>IF($T266="","",IF((IF(AND($AW266&lt;&gt;"Yes",$AW266&lt;&gt;"N/A"),"Power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",""))="","",LEFT(IF(AND($AW266&lt;&gt;"Yes",$AW266&lt;&gt;"N/A"),"Power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",""),LEN(IF(AND($AW266&lt;&gt;"Yes",$AW266&lt;&gt;"N/A"),"Power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",""))-2)))</f>
      </c>
      <c r="BM266">
        <f>IF($T266="","",IF($BL266="","Yes","Blocked"))</f>
      </c>
      <c r="BP266">
        <f>IF($BO266="","",IFERROR(VLOOKUP($BO266,'01_Warehouse_Ledger'!$A:$N,4,FALSE),""))</f>
      </c>
      <c r="BQ266">
        <f>IF($BO266="","",IFERROR(VLOOKUP($BO266,'01_Warehouse_Ledger'!$A:$N,5,FALSE),""))</f>
      </c>
      <c r="BR266">
        <f>IF($BO266="","",IFERROR(VLOOKUP($BO266,'01_Warehouse_Ledger'!$A:$N,13,FALSE),""))</f>
      </c>
    </row>
    <row r="267">
      <c r="D267">
        <f>IF($B267&lt;&gt;"Yes","",IF($C267="No","Yes",IF($C267="Yes","No","")))</f>
      </c>
      <c r="E267">
        <f>IF($A267="","",IF($A267="Neuron",IF(OR(AND($S267&lt;&gt;"",LOWER(TRIM($S267))&lt;&gt;"n/a",COUNTIF($S$2:$S$532,$S267)&gt;1),AND($T267&lt;&gt;"",LOWER(TRIM($T267))&lt;&gt;"n/a",COUNTIF($T$2:$T$532,$T267)&gt;1),AND($W267&lt;&gt;"",LOWER(TRIM($W267))&lt;&gt;"n/a",COUNTIF($W$2:$W$532,$W267)&gt;1)),"Yes","No"),IF($A267="Cybernet",IF(OR(AND($Y267&lt;&gt;"",LOWER(TRIM($Y267))&lt;&gt;"n/a",COUNTIF($Y$2:$Y$532,$Y267)&gt;1),AND($Z267&lt;&gt;"",LOWER(TRIM($Z267))&lt;&gt;"n/a",COUNTIF($Z$2:$Z$532,$Z267)&gt;1)),"Yes","No"),IF(AND($AL267&lt;&gt;"",LOWER(TRIM($AL267))&lt;&gt;"n/a",COUNTIF($AL$2:$AL$532,$AL267)&gt;1),"Yes","No"))))</f>
      </c>
      <c r="F267">
        <f>IF($B267&lt;&gt;"Yes","",
IF($A267="Neuron",
IF(OR(
AND($S267&lt;&gt;"",LOWER(TRIM($S267))&lt;&gt;"n/a",COUNTIFS($B$2:$B$532,"Yes",$A$2:$A$532,"Neuron",$S$2:$S$532,$S267)&gt;1),
AND($T267&lt;&gt;"",LOWER(TRIM($T267))&lt;&gt;"n/a",COUNTIFS($B$2:$B$532,"Yes",$A$2:$A$532,"Neuron",$T$2:$T$532,$T267)&gt;1),
AND($W267&lt;&gt;"",LOWER(TRIM($W267))&lt;&gt;"n/a",COUNTIFS($B$2:$B$532,"Yes",$A$2:$A$532,"Neuron",$W$2:$W$532,$W267)&gt;1)
),"Yes","No"),
IF($A267="Cybernet",
IF(OR(
AND($Y267&lt;&gt;"",LOWER(TRIM($Y267))&lt;&gt;"n/a",COUNTIFS($B$2:$B$532,"Yes",$A$2:$A$532,"Cybernet",$Y$2:$Y$532,$Y267)&gt;1),
AND($Z267&lt;&gt;"",LOWER(TRIM($Z267))&lt;&gt;"n/a",COUNTIFS($B$2:$B$532,"Yes",$A$2:$A$532,"Cybernet",$Z$2:$Z$532,$Z267)&gt;1)
),"Yes","No"),
IF(AND($AL267&lt;&gt;"",LOWER(TRIM($AL267))&lt;&gt;"n/a"),
IF(COUNTIFS($B$2:$B$532,"Yes",$A$2:$A$532,$A267,$AL$2:$AL$532,$AL267)&gt;1,"Yes","No"),
"No")
)
)
)</f>
      </c>
      <c r="BL267">
        <f>IF($T267="","",IF((IF(AND($AW267&lt;&gt;"Yes",$AW267&lt;&gt;"N/A"),"Power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",""))="","",LEFT(IF(AND($AW267&lt;&gt;"Yes",$AW267&lt;&gt;"N/A"),"Power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",""),LEN(IF(AND($AW267&lt;&gt;"Yes",$AW267&lt;&gt;"N/A"),"Power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",""))-2)))</f>
      </c>
      <c r="BM267">
        <f>IF($T267="","",IF($BL267="","Yes","Blocked"))</f>
      </c>
      <c r="BP267">
        <f>IF($BO267="","",IFERROR(VLOOKUP($BO267,'01_Warehouse_Ledger'!$A:$N,4,FALSE),""))</f>
      </c>
      <c r="BQ267">
        <f>IF($BO267="","",IFERROR(VLOOKUP($BO267,'01_Warehouse_Ledger'!$A:$N,5,FALSE),""))</f>
      </c>
      <c r="BR267">
        <f>IF($BO267="","",IFERROR(VLOOKUP($BO267,'01_Warehouse_Ledger'!$A:$N,13,FALSE),""))</f>
      </c>
    </row>
    <row r="268">
      <c r="D268">
        <f>IF($B268&lt;&gt;"Yes","",IF($C268="No","Yes",IF($C268="Yes","No","")))</f>
      </c>
      <c r="E268">
        <f>IF($A268="","",IF($A268="Neuron",IF(OR(AND($S268&lt;&gt;"",LOWER(TRIM($S268))&lt;&gt;"n/a",COUNTIF($S$2:$S$532,$S268)&gt;1),AND($T268&lt;&gt;"",LOWER(TRIM($T268))&lt;&gt;"n/a",COUNTIF($T$2:$T$532,$T268)&gt;1),AND($W268&lt;&gt;"",LOWER(TRIM($W268))&lt;&gt;"n/a",COUNTIF($W$2:$W$532,$W268)&gt;1)),"Yes","No"),IF($A268="Cybernet",IF(OR(AND($Y268&lt;&gt;"",LOWER(TRIM($Y268))&lt;&gt;"n/a",COUNTIF($Y$2:$Y$532,$Y268)&gt;1),AND($Z268&lt;&gt;"",LOWER(TRIM($Z268))&lt;&gt;"n/a",COUNTIF($Z$2:$Z$532,$Z268)&gt;1)),"Yes","No"),IF(AND($AL268&lt;&gt;"",LOWER(TRIM($AL268))&lt;&gt;"n/a",COUNTIF($AL$2:$AL$532,$AL268)&gt;1),"Yes","No"))))</f>
      </c>
      <c r="F268">
        <f>IF($B268&lt;&gt;"Yes","",
IF($A268="Neuron",
IF(OR(
AND($S268&lt;&gt;"",LOWER(TRIM($S268))&lt;&gt;"n/a",COUNTIFS($B$2:$B$532,"Yes",$A$2:$A$532,"Neuron",$S$2:$S$532,$S268)&gt;1),
AND($T268&lt;&gt;"",LOWER(TRIM($T268))&lt;&gt;"n/a",COUNTIFS($B$2:$B$532,"Yes",$A$2:$A$532,"Neuron",$T$2:$T$532,$T268)&gt;1),
AND($W268&lt;&gt;"",LOWER(TRIM($W268))&lt;&gt;"n/a",COUNTIFS($B$2:$B$532,"Yes",$A$2:$A$532,"Neuron",$W$2:$W$532,$W268)&gt;1)
),"Yes","No"),
IF($A268="Cybernet",
IF(OR(
AND($Y268&lt;&gt;"",LOWER(TRIM($Y268))&lt;&gt;"n/a",COUNTIFS($B$2:$B$532,"Yes",$A$2:$A$532,"Cybernet",$Y$2:$Y$532,$Y268)&gt;1),
AND($Z268&lt;&gt;"",LOWER(TRIM($Z268))&lt;&gt;"n/a",COUNTIFS($B$2:$B$532,"Yes",$A$2:$A$532,"Cybernet",$Z$2:$Z$532,$Z268)&gt;1)
),"Yes","No"),
IF(AND($AL268&lt;&gt;"",LOWER(TRIM($AL268))&lt;&gt;"n/a"),
IF(COUNTIFS($B$2:$B$532,"Yes",$A$2:$A$532,$A268,$AL$2:$AL$532,$AL268)&gt;1,"Yes","No"),
"No")
)
)
)</f>
      </c>
      <c r="BL268">
        <f>IF($T268="","",IF((IF(AND($AW268&lt;&gt;"Yes",$AW268&lt;&gt;"N/A"),"Power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",""))="","",LEFT(IF(AND($AW268&lt;&gt;"Yes",$AW268&lt;&gt;"N/A"),"Power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",""),LEN(IF(AND($AW268&lt;&gt;"Yes",$AW268&lt;&gt;"N/A"),"Power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",""))-2)))</f>
      </c>
      <c r="BM268">
        <f>IF($T268="","",IF($BL268="","Yes","Blocked"))</f>
      </c>
      <c r="BP268">
        <f>IF($BO268="","",IFERROR(VLOOKUP($BO268,'01_Warehouse_Ledger'!$A:$N,4,FALSE),""))</f>
      </c>
      <c r="BQ268">
        <f>IF($BO268="","",IFERROR(VLOOKUP($BO268,'01_Warehouse_Ledger'!$A:$N,5,FALSE),""))</f>
      </c>
      <c r="BR268">
        <f>IF($BO268="","",IFERROR(VLOOKUP($BO268,'01_Warehouse_Ledger'!$A:$N,13,FALSE),""))</f>
      </c>
    </row>
    <row r="269">
      <c r="D269">
        <f>IF($B269&lt;&gt;"Yes","",IF($C269="No","Yes",IF($C269="Yes","No","")))</f>
      </c>
      <c r="E269">
        <f>IF($A269="","",IF($A269="Neuron",IF(OR(AND($S269&lt;&gt;"",LOWER(TRIM($S269))&lt;&gt;"n/a",COUNTIF($S$2:$S$532,$S269)&gt;1),AND($T269&lt;&gt;"",LOWER(TRIM($T269))&lt;&gt;"n/a",COUNTIF($T$2:$T$532,$T269)&gt;1),AND($W269&lt;&gt;"",LOWER(TRIM($W269))&lt;&gt;"n/a",COUNTIF($W$2:$W$532,$W269)&gt;1)),"Yes","No"),IF($A269="Cybernet",IF(OR(AND($Y269&lt;&gt;"",LOWER(TRIM($Y269))&lt;&gt;"n/a",COUNTIF($Y$2:$Y$532,$Y269)&gt;1),AND($Z269&lt;&gt;"",LOWER(TRIM($Z269))&lt;&gt;"n/a",COUNTIF($Z$2:$Z$532,$Z269)&gt;1)),"Yes","No"),IF(AND($AL269&lt;&gt;"",LOWER(TRIM($AL269))&lt;&gt;"n/a",COUNTIF($AL$2:$AL$532,$AL269)&gt;1),"Yes","No"))))</f>
      </c>
      <c r="F269">
        <f>IF($B269&lt;&gt;"Yes","",
IF($A269="Neuron",
IF(OR(
AND($S269&lt;&gt;"",LOWER(TRIM($S269))&lt;&gt;"n/a",COUNTIFS($B$2:$B$532,"Yes",$A$2:$A$532,"Neuron",$S$2:$S$532,$S269)&gt;1),
AND($T269&lt;&gt;"",LOWER(TRIM($T269))&lt;&gt;"n/a",COUNTIFS($B$2:$B$532,"Yes",$A$2:$A$532,"Neuron",$T$2:$T$532,$T269)&gt;1),
AND($W269&lt;&gt;"",LOWER(TRIM($W269))&lt;&gt;"n/a",COUNTIFS($B$2:$B$532,"Yes",$A$2:$A$532,"Neuron",$W$2:$W$532,$W269)&gt;1)
),"Yes","No"),
IF($A269="Cybernet",
IF(OR(
AND($Y269&lt;&gt;"",LOWER(TRIM($Y269))&lt;&gt;"n/a",COUNTIFS($B$2:$B$532,"Yes",$A$2:$A$532,"Cybernet",$Y$2:$Y$532,$Y269)&gt;1),
AND($Z269&lt;&gt;"",LOWER(TRIM($Z269))&lt;&gt;"n/a",COUNTIFS($B$2:$B$532,"Yes",$A$2:$A$532,"Cybernet",$Z$2:$Z$532,$Z269)&gt;1)
),"Yes","No"),
IF(AND($AL269&lt;&gt;"",LOWER(TRIM($AL269))&lt;&gt;"n/a"),
IF(COUNTIFS($B$2:$B$532,"Yes",$A$2:$A$532,$A269,$AL$2:$AL$532,$AL269)&gt;1,"Yes","No"),
"No")
)
)
)</f>
      </c>
      <c r="BL269">
        <f>IF($T269="","",IF((IF(AND($AW269&lt;&gt;"Yes",$AW269&lt;&gt;"N/A"),"Power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",""))="","",LEFT(IF(AND($AW269&lt;&gt;"Yes",$AW269&lt;&gt;"N/A"),"Power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",""),LEN(IF(AND($AW269&lt;&gt;"Yes",$AW269&lt;&gt;"N/A"),"Power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",""))-2)))</f>
      </c>
      <c r="BM269">
        <f>IF($T269="","",IF($BL269="","Yes","Blocked"))</f>
      </c>
      <c r="BP269">
        <f>IF($BO269="","",IFERROR(VLOOKUP($BO269,'01_Warehouse_Ledger'!$A:$N,4,FALSE),""))</f>
      </c>
      <c r="BQ269">
        <f>IF($BO269="","",IFERROR(VLOOKUP($BO269,'01_Warehouse_Ledger'!$A:$N,5,FALSE),""))</f>
      </c>
      <c r="BR269">
        <f>IF($BO269="","",IFERROR(VLOOKUP($BO269,'01_Warehouse_Ledger'!$A:$N,13,FALSE),""))</f>
      </c>
    </row>
    <row r="270">
      <c r="D270">
        <f>IF($B270&lt;&gt;"Yes","",IF($C270="No","Yes",IF($C270="Yes","No","")))</f>
      </c>
      <c r="E270">
        <f>IF($A270="","",IF($A270="Neuron",IF(OR(AND($S270&lt;&gt;"",LOWER(TRIM($S270))&lt;&gt;"n/a",COUNTIF($S$2:$S$532,$S270)&gt;1),AND($T270&lt;&gt;"",LOWER(TRIM($T270))&lt;&gt;"n/a",COUNTIF($T$2:$T$532,$T270)&gt;1),AND($W270&lt;&gt;"",LOWER(TRIM($W270))&lt;&gt;"n/a",COUNTIF($W$2:$W$532,$W270)&gt;1)),"Yes","No"),IF($A270="Cybernet",IF(OR(AND($Y270&lt;&gt;"",LOWER(TRIM($Y270))&lt;&gt;"n/a",COUNTIF($Y$2:$Y$532,$Y270)&gt;1),AND($Z270&lt;&gt;"",LOWER(TRIM($Z270))&lt;&gt;"n/a",COUNTIF($Z$2:$Z$532,$Z270)&gt;1)),"Yes","No"),IF(AND($AL270&lt;&gt;"",LOWER(TRIM($AL270))&lt;&gt;"n/a",COUNTIF($AL$2:$AL$532,$AL270)&gt;1),"Yes","No"))))</f>
      </c>
      <c r="F270">
        <f>IF($B270&lt;&gt;"Yes","",
IF($A270="Neuron",
IF(OR(
AND($S270&lt;&gt;"",LOWER(TRIM($S270))&lt;&gt;"n/a",COUNTIFS($B$2:$B$532,"Yes",$A$2:$A$532,"Neuron",$S$2:$S$532,$S270)&gt;1),
AND($T270&lt;&gt;"",LOWER(TRIM($T270))&lt;&gt;"n/a",COUNTIFS($B$2:$B$532,"Yes",$A$2:$A$532,"Neuron",$T$2:$T$532,$T270)&gt;1),
AND($W270&lt;&gt;"",LOWER(TRIM($W270))&lt;&gt;"n/a",COUNTIFS($B$2:$B$532,"Yes",$A$2:$A$532,"Neuron",$W$2:$W$532,$W270)&gt;1)
),"Yes","No"),
IF($A270="Cybernet",
IF(OR(
AND($Y270&lt;&gt;"",LOWER(TRIM($Y270))&lt;&gt;"n/a",COUNTIFS($B$2:$B$532,"Yes",$A$2:$A$532,"Cybernet",$Y$2:$Y$532,$Y270)&gt;1),
AND($Z270&lt;&gt;"",LOWER(TRIM($Z270))&lt;&gt;"n/a",COUNTIFS($B$2:$B$532,"Yes",$A$2:$A$532,"Cybernet",$Z$2:$Z$532,$Z270)&gt;1)
),"Yes","No"),
IF(AND($AL270&lt;&gt;"",LOWER(TRIM($AL270))&lt;&gt;"n/a"),
IF(COUNTIFS($B$2:$B$532,"Yes",$A$2:$A$532,$A270,$AL$2:$AL$532,$AL270)&gt;1,"Yes","No"),
"No")
)
)
)</f>
      </c>
      <c r="BL270">
        <f>IF($T270="","",IF((IF(AND($AW270&lt;&gt;"Yes",$AW270&lt;&gt;"N/A"),"Power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",""))="","",LEFT(IF(AND($AW270&lt;&gt;"Yes",$AW270&lt;&gt;"N/A"),"Power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",""),LEN(IF(AND($AW270&lt;&gt;"Yes",$AW270&lt;&gt;"N/A"),"Power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",""))-2)))</f>
      </c>
      <c r="BM270">
        <f>IF($T270="","",IF($BL270="","Yes","Blocked"))</f>
      </c>
      <c r="BP270">
        <f>IF($BO270="","",IFERROR(VLOOKUP($BO270,'01_Warehouse_Ledger'!$A:$N,4,FALSE),""))</f>
      </c>
      <c r="BQ270">
        <f>IF($BO270="","",IFERROR(VLOOKUP($BO270,'01_Warehouse_Ledger'!$A:$N,5,FALSE),""))</f>
      </c>
      <c r="BR270">
        <f>IF($BO270="","",IFERROR(VLOOKUP($BO270,'01_Warehouse_Ledger'!$A:$N,13,FALSE),""))</f>
      </c>
    </row>
    <row r="271">
      <c r="D271">
        <f>IF($B271&lt;&gt;"Yes","",IF($C271="No","Yes",IF($C271="Yes","No","")))</f>
      </c>
      <c r="E271">
        <f>IF($A271="","",IF($A271="Neuron",IF(OR(AND($S271&lt;&gt;"",LOWER(TRIM($S271))&lt;&gt;"n/a",COUNTIF($S$2:$S$532,$S271)&gt;1),AND($T271&lt;&gt;"",LOWER(TRIM($T271))&lt;&gt;"n/a",COUNTIF($T$2:$T$532,$T271)&gt;1),AND($W271&lt;&gt;"",LOWER(TRIM($W271))&lt;&gt;"n/a",COUNTIF($W$2:$W$532,$W271)&gt;1)),"Yes","No"),IF($A271="Cybernet",IF(OR(AND($Y271&lt;&gt;"",LOWER(TRIM($Y271))&lt;&gt;"n/a",COUNTIF($Y$2:$Y$532,$Y271)&gt;1),AND($Z271&lt;&gt;"",LOWER(TRIM($Z271))&lt;&gt;"n/a",COUNTIF($Z$2:$Z$532,$Z271)&gt;1)),"Yes","No"),IF(AND($AL271&lt;&gt;"",LOWER(TRIM($AL271))&lt;&gt;"n/a",COUNTIF($AL$2:$AL$532,$AL271)&gt;1),"Yes","No"))))</f>
      </c>
      <c r="F271">
        <f>IF($B271&lt;&gt;"Yes","",
IF($A271="Neuron",
IF(OR(
AND($S271&lt;&gt;"",LOWER(TRIM($S271))&lt;&gt;"n/a",COUNTIFS($B$2:$B$532,"Yes",$A$2:$A$532,"Neuron",$S$2:$S$532,$S271)&gt;1),
AND($T271&lt;&gt;"",LOWER(TRIM($T271))&lt;&gt;"n/a",COUNTIFS($B$2:$B$532,"Yes",$A$2:$A$532,"Neuron",$T$2:$T$532,$T271)&gt;1),
AND($W271&lt;&gt;"",LOWER(TRIM($W271))&lt;&gt;"n/a",COUNTIFS($B$2:$B$532,"Yes",$A$2:$A$532,"Neuron",$W$2:$W$532,$W271)&gt;1)
),"Yes","No"),
IF($A271="Cybernet",
IF(OR(
AND($Y271&lt;&gt;"",LOWER(TRIM($Y271))&lt;&gt;"n/a",COUNTIFS($B$2:$B$532,"Yes",$A$2:$A$532,"Cybernet",$Y$2:$Y$532,$Y271)&gt;1),
AND($Z271&lt;&gt;"",LOWER(TRIM($Z271))&lt;&gt;"n/a",COUNTIFS($B$2:$B$532,"Yes",$A$2:$A$532,"Cybernet",$Z$2:$Z$532,$Z271)&gt;1)
),"Yes","No"),
IF(AND($AL271&lt;&gt;"",LOWER(TRIM($AL271))&lt;&gt;"n/a"),
IF(COUNTIFS($B$2:$B$532,"Yes",$A$2:$A$532,$A271,$AL$2:$AL$532,$AL271)&gt;1,"Yes","No"),
"No")
)
)
)</f>
      </c>
      <c r="BL271">
        <f>IF($T271="","",IF((IF(AND($AW271&lt;&gt;"Yes",$AW271&lt;&gt;"N/A"),"Power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",""))="","",LEFT(IF(AND($AW271&lt;&gt;"Yes",$AW271&lt;&gt;"N/A"),"Power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",""),LEN(IF(AND($AW271&lt;&gt;"Yes",$AW271&lt;&gt;"N/A"),"Power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",""))-2)))</f>
      </c>
      <c r="BM271">
        <f>IF($T271="","",IF($BL271="","Yes","Blocked"))</f>
      </c>
      <c r="BP271">
        <f>IF($BO271="","",IFERROR(VLOOKUP($BO271,'01_Warehouse_Ledger'!$A:$N,4,FALSE),""))</f>
      </c>
      <c r="BQ271">
        <f>IF($BO271="","",IFERROR(VLOOKUP($BO271,'01_Warehouse_Ledger'!$A:$N,5,FALSE),""))</f>
      </c>
      <c r="BR271">
        <f>IF($BO271="","",IFERROR(VLOOKUP($BO271,'01_Warehouse_Ledger'!$A:$N,13,FALSE),""))</f>
      </c>
    </row>
    <row r="272">
      <c r="D272">
        <f>IF($B272&lt;&gt;"Yes","",IF($C272="No","Yes",IF($C272="Yes","No","")))</f>
      </c>
      <c r="E272">
        <f>IF($A272="","",IF($A272="Neuron",IF(OR(AND($S272&lt;&gt;"",LOWER(TRIM($S272))&lt;&gt;"n/a",COUNTIF($S$2:$S$532,$S272)&gt;1),AND($T272&lt;&gt;"",LOWER(TRIM($T272))&lt;&gt;"n/a",COUNTIF($T$2:$T$532,$T272)&gt;1),AND($W272&lt;&gt;"",LOWER(TRIM($W272))&lt;&gt;"n/a",COUNTIF($W$2:$W$532,$W272)&gt;1)),"Yes","No"),IF($A272="Cybernet",IF(OR(AND($Y272&lt;&gt;"",LOWER(TRIM($Y272))&lt;&gt;"n/a",COUNTIF($Y$2:$Y$532,$Y272)&gt;1),AND($Z272&lt;&gt;"",LOWER(TRIM($Z272))&lt;&gt;"n/a",COUNTIF($Z$2:$Z$532,$Z272)&gt;1)),"Yes","No"),IF(AND($AL272&lt;&gt;"",LOWER(TRIM($AL272))&lt;&gt;"n/a",COUNTIF($AL$2:$AL$532,$AL272)&gt;1),"Yes","No"))))</f>
      </c>
      <c r="F272">
        <f>IF($B272&lt;&gt;"Yes","",
IF($A272="Neuron",
IF(OR(
AND($S272&lt;&gt;"",LOWER(TRIM($S272))&lt;&gt;"n/a",COUNTIFS($B$2:$B$532,"Yes",$A$2:$A$532,"Neuron",$S$2:$S$532,$S272)&gt;1),
AND($T272&lt;&gt;"",LOWER(TRIM($T272))&lt;&gt;"n/a",COUNTIFS($B$2:$B$532,"Yes",$A$2:$A$532,"Neuron",$T$2:$T$532,$T272)&gt;1),
AND($W272&lt;&gt;"",LOWER(TRIM($W272))&lt;&gt;"n/a",COUNTIFS($B$2:$B$532,"Yes",$A$2:$A$532,"Neuron",$W$2:$W$532,$W272)&gt;1)
),"Yes","No"),
IF($A272="Cybernet",
IF(OR(
AND($Y272&lt;&gt;"",LOWER(TRIM($Y272))&lt;&gt;"n/a",COUNTIFS($B$2:$B$532,"Yes",$A$2:$A$532,"Cybernet",$Y$2:$Y$532,$Y272)&gt;1),
AND($Z272&lt;&gt;"",LOWER(TRIM($Z272))&lt;&gt;"n/a",COUNTIFS($B$2:$B$532,"Yes",$A$2:$A$532,"Cybernet",$Z$2:$Z$532,$Z272)&gt;1)
),"Yes","No"),
IF(AND($AL272&lt;&gt;"",LOWER(TRIM($AL272))&lt;&gt;"n/a"),
IF(COUNTIFS($B$2:$B$532,"Yes",$A$2:$A$532,$A272,$AL$2:$AL$532,$AL272)&gt;1,"Yes","No"),
"No")
)
)
)</f>
      </c>
      <c r="BL272">
        <f>IF($T272="","",IF((IF(AND($AW272&lt;&gt;"Yes",$AW272&lt;&gt;"N/A"),"Power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",""))="","",LEFT(IF(AND($AW272&lt;&gt;"Yes",$AW272&lt;&gt;"N/A"),"Power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",""),LEN(IF(AND($AW272&lt;&gt;"Yes",$AW272&lt;&gt;"N/A"),"Power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",""))-2)))</f>
      </c>
      <c r="BM272">
        <f>IF($T272="","",IF($BL272="","Yes","Blocked"))</f>
      </c>
      <c r="BP272">
        <f>IF($BO272="","",IFERROR(VLOOKUP($BO272,'01_Warehouse_Ledger'!$A:$N,4,FALSE),""))</f>
      </c>
      <c r="BQ272">
        <f>IF($BO272="","",IFERROR(VLOOKUP($BO272,'01_Warehouse_Ledger'!$A:$N,5,FALSE),""))</f>
      </c>
      <c r="BR272">
        <f>IF($BO272="","",IFERROR(VLOOKUP($BO272,'01_Warehouse_Ledger'!$A:$N,13,FALSE),""))</f>
      </c>
    </row>
    <row r="273">
      <c r="D273">
        <f>IF($B273&lt;&gt;"Yes","",IF($C273="No","Yes",IF($C273="Yes","No","")))</f>
      </c>
      <c r="E273">
        <f>IF($A273="","",IF($A273="Neuron",IF(OR(AND($S273&lt;&gt;"",LOWER(TRIM($S273))&lt;&gt;"n/a",COUNTIF($S$2:$S$532,$S273)&gt;1),AND($T273&lt;&gt;"",LOWER(TRIM($T273))&lt;&gt;"n/a",COUNTIF($T$2:$T$532,$T273)&gt;1),AND($W273&lt;&gt;"",LOWER(TRIM($W273))&lt;&gt;"n/a",COUNTIF($W$2:$W$532,$W273)&gt;1)),"Yes","No"),IF($A273="Cybernet",IF(OR(AND($Y273&lt;&gt;"",LOWER(TRIM($Y273))&lt;&gt;"n/a",COUNTIF($Y$2:$Y$532,$Y273)&gt;1),AND($Z273&lt;&gt;"",LOWER(TRIM($Z273))&lt;&gt;"n/a",COUNTIF($Z$2:$Z$532,$Z273)&gt;1)),"Yes","No"),IF(AND($AL273&lt;&gt;"",LOWER(TRIM($AL273))&lt;&gt;"n/a",COUNTIF($AL$2:$AL$532,$AL273)&gt;1),"Yes","No"))))</f>
      </c>
      <c r="F273">
        <f>IF($B273&lt;&gt;"Yes","",
IF($A273="Neuron",
IF(OR(
AND($S273&lt;&gt;"",LOWER(TRIM($S273))&lt;&gt;"n/a",COUNTIFS($B$2:$B$532,"Yes",$A$2:$A$532,"Neuron",$S$2:$S$532,$S273)&gt;1),
AND($T273&lt;&gt;"",LOWER(TRIM($T273))&lt;&gt;"n/a",COUNTIFS($B$2:$B$532,"Yes",$A$2:$A$532,"Neuron",$T$2:$T$532,$T273)&gt;1),
AND($W273&lt;&gt;"",LOWER(TRIM($W273))&lt;&gt;"n/a",COUNTIFS($B$2:$B$532,"Yes",$A$2:$A$532,"Neuron",$W$2:$W$532,$W273)&gt;1)
),"Yes","No"),
IF($A273="Cybernet",
IF(OR(
AND($Y273&lt;&gt;"",LOWER(TRIM($Y273))&lt;&gt;"n/a",COUNTIFS($B$2:$B$532,"Yes",$A$2:$A$532,"Cybernet",$Y$2:$Y$532,$Y273)&gt;1),
AND($Z273&lt;&gt;"",LOWER(TRIM($Z273))&lt;&gt;"n/a",COUNTIFS($B$2:$B$532,"Yes",$A$2:$A$532,"Cybernet",$Z$2:$Z$532,$Z273)&gt;1)
),"Yes","No"),
IF(AND($AL273&lt;&gt;"",LOWER(TRIM($AL273))&lt;&gt;"n/a"),
IF(COUNTIFS($B$2:$B$532,"Yes",$A$2:$A$532,$A273,$AL$2:$AL$532,$AL273)&gt;1,"Yes","No"),
"No")
)
)
)</f>
      </c>
      <c r="BL273">
        <f>IF($T273="","",IF((IF(AND($AW273&lt;&gt;"Yes",$AW273&lt;&gt;"N/A"),"Power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",""))="","",LEFT(IF(AND($AW273&lt;&gt;"Yes",$AW273&lt;&gt;"N/A"),"Power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",""),LEN(IF(AND($AW273&lt;&gt;"Yes",$AW273&lt;&gt;"N/A"),"Power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",""))-2)))</f>
      </c>
      <c r="BM273">
        <f>IF($T273="","",IF($BL273="","Yes","Blocked"))</f>
      </c>
      <c r="BP273">
        <f>IF($BO273="","",IFERROR(VLOOKUP($BO273,'01_Warehouse_Ledger'!$A:$N,4,FALSE),""))</f>
      </c>
      <c r="BQ273">
        <f>IF($BO273="","",IFERROR(VLOOKUP($BO273,'01_Warehouse_Ledger'!$A:$N,5,FALSE),""))</f>
      </c>
      <c r="BR273">
        <f>IF($BO273="","",IFERROR(VLOOKUP($BO273,'01_Warehouse_Ledger'!$A:$N,13,FALSE),""))</f>
      </c>
    </row>
    <row r="274">
      <c r="D274">
        <f>IF($B274&lt;&gt;"Yes","",IF($C274="No","Yes",IF($C274="Yes","No","")))</f>
      </c>
      <c r="E274">
        <f>IF($A274="","",IF($A274="Neuron",IF(OR(AND($S274&lt;&gt;"",LOWER(TRIM($S274))&lt;&gt;"n/a",COUNTIF($S$2:$S$532,$S274)&gt;1),AND($T274&lt;&gt;"",LOWER(TRIM($T274))&lt;&gt;"n/a",COUNTIF($T$2:$T$532,$T274)&gt;1),AND($W274&lt;&gt;"",LOWER(TRIM($W274))&lt;&gt;"n/a",COUNTIF($W$2:$W$532,$W274)&gt;1)),"Yes","No"),IF($A274="Cybernet",IF(OR(AND($Y274&lt;&gt;"",LOWER(TRIM($Y274))&lt;&gt;"n/a",COUNTIF($Y$2:$Y$532,$Y274)&gt;1),AND($Z274&lt;&gt;"",LOWER(TRIM($Z274))&lt;&gt;"n/a",COUNTIF($Z$2:$Z$532,$Z274)&gt;1)),"Yes","No"),IF(AND($AL274&lt;&gt;"",LOWER(TRIM($AL274))&lt;&gt;"n/a",COUNTIF($AL$2:$AL$532,$AL274)&gt;1),"Yes","No"))))</f>
      </c>
      <c r="F274">
        <f>IF($B274&lt;&gt;"Yes","",
IF($A274="Neuron",
IF(OR(
AND($S274&lt;&gt;"",LOWER(TRIM($S274))&lt;&gt;"n/a",COUNTIFS($B$2:$B$532,"Yes",$A$2:$A$532,"Neuron",$S$2:$S$532,$S274)&gt;1),
AND($T274&lt;&gt;"",LOWER(TRIM($T274))&lt;&gt;"n/a",COUNTIFS($B$2:$B$532,"Yes",$A$2:$A$532,"Neuron",$T$2:$T$532,$T274)&gt;1),
AND($W274&lt;&gt;"",LOWER(TRIM($W274))&lt;&gt;"n/a",COUNTIFS($B$2:$B$532,"Yes",$A$2:$A$532,"Neuron",$W$2:$W$532,$W274)&gt;1)
),"Yes","No"),
IF($A274="Cybernet",
IF(OR(
AND($Y274&lt;&gt;"",LOWER(TRIM($Y274))&lt;&gt;"n/a",COUNTIFS($B$2:$B$532,"Yes",$A$2:$A$532,"Cybernet",$Y$2:$Y$532,$Y274)&gt;1),
AND($Z274&lt;&gt;"",LOWER(TRIM($Z274))&lt;&gt;"n/a",COUNTIFS($B$2:$B$532,"Yes",$A$2:$A$532,"Cybernet",$Z$2:$Z$532,$Z274)&gt;1)
),"Yes","No"),
IF(AND($AL274&lt;&gt;"",LOWER(TRIM($AL274))&lt;&gt;"n/a"),
IF(COUNTIFS($B$2:$B$532,"Yes",$A$2:$A$532,$A274,$AL$2:$AL$532,$AL274)&gt;1,"Yes","No"),
"No")
)
)
)</f>
      </c>
      <c r="BL274">
        <f>IF($T274="","",IF((IF(AND($AW274&lt;&gt;"Yes",$AW274&lt;&gt;"N/A"),"Power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",""))="","",LEFT(IF(AND($AW274&lt;&gt;"Yes",$AW274&lt;&gt;"N/A"),"Power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",""),LEN(IF(AND($AW274&lt;&gt;"Yes",$AW274&lt;&gt;"N/A"),"Power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",""))-2)))</f>
      </c>
      <c r="BM274">
        <f>IF($T274="","",IF($BL274="","Yes","Blocked"))</f>
      </c>
      <c r="BP274">
        <f>IF($BO274="","",IFERROR(VLOOKUP($BO274,'01_Warehouse_Ledger'!$A:$N,4,FALSE),""))</f>
      </c>
      <c r="BQ274">
        <f>IF($BO274="","",IFERROR(VLOOKUP($BO274,'01_Warehouse_Ledger'!$A:$N,5,FALSE),""))</f>
      </c>
      <c r="BR274">
        <f>IF($BO274="","",IFERROR(VLOOKUP($BO274,'01_Warehouse_Ledger'!$A:$N,13,FALSE),""))</f>
      </c>
    </row>
    <row r="275">
      <c r="D275">
        <f>IF($B275&lt;&gt;"Yes","",IF($C275="No","Yes",IF($C275="Yes","No","")))</f>
      </c>
      <c r="E275">
        <f>IF($A275="","",IF($A275="Neuron",IF(OR(AND($S275&lt;&gt;"",LOWER(TRIM($S275))&lt;&gt;"n/a",COUNTIF($S$2:$S$532,$S275)&gt;1),AND($T275&lt;&gt;"",LOWER(TRIM($T275))&lt;&gt;"n/a",COUNTIF($T$2:$T$532,$T275)&gt;1),AND($W275&lt;&gt;"",LOWER(TRIM($W275))&lt;&gt;"n/a",COUNTIF($W$2:$W$532,$W275)&gt;1)),"Yes","No"),IF($A275="Cybernet",IF(OR(AND($Y275&lt;&gt;"",LOWER(TRIM($Y275))&lt;&gt;"n/a",COUNTIF($Y$2:$Y$532,$Y275)&gt;1),AND($Z275&lt;&gt;"",LOWER(TRIM($Z275))&lt;&gt;"n/a",COUNTIF($Z$2:$Z$532,$Z275)&gt;1)),"Yes","No"),IF(AND($AL275&lt;&gt;"",LOWER(TRIM($AL275))&lt;&gt;"n/a",COUNTIF($AL$2:$AL$532,$AL275)&gt;1),"Yes","No"))))</f>
      </c>
      <c r="F275">
        <f>IF($B275&lt;&gt;"Yes","",
IF($A275="Neuron",
IF(OR(
AND($S275&lt;&gt;"",LOWER(TRIM($S275))&lt;&gt;"n/a",COUNTIFS($B$2:$B$532,"Yes",$A$2:$A$532,"Neuron",$S$2:$S$532,$S275)&gt;1),
AND($T275&lt;&gt;"",LOWER(TRIM($T275))&lt;&gt;"n/a",COUNTIFS($B$2:$B$532,"Yes",$A$2:$A$532,"Neuron",$T$2:$T$532,$T275)&gt;1),
AND($W275&lt;&gt;"",LOWER(TRIM($W275))&lt;&gt;"n/a",COUNTIFS($B$2:$B$532,"Yes",$A$2:$A$532,"Neuron",$W$2:$W$532,$W275)&gt;1)
),"Yes","No"),
IF($A275="Cybernet",
IF(OR(
AND($Y275&lt;&gt;"",LOWER(TRIM($Y275))&lt;&gt;"n/a",COUNTIFS($B$2:$B$532,"Yes",$A$2:$A$532,"Cybernet",$Y$2:$Y$532,$Y275)&gt;1),
AND($Z275&lt;&gt;"",LOWER(TRIM($Z275))&lt;&gt;"n/a",COUNTIFS($B$2:$B$532,"Yes",$A$2:$A$532,"Cybernet",$Z$2:$Z$532,$Z275)&gt;1)
),"Yes","No"),
IF(AND($AL275&lt;&gt;"",LOWER(TRIM($AL275))&lt;&gt;"n/a"),
IF(COUNTIFS($B$2:$B$532,"Yes",$A$2:$A$532,$A275,$AL$2:$AL$532,$AL275)&gt;1,"Yes","No"),
"No")
)
)
)</f>
      </c>
      <c r="BL275">
        <f>IF($T275="","",IF((IF(AND($AW275&lt;&gt;"Yes",$AW275&lt;&gt;"N/A"),"Power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",""))="","",LEFT(IF(AND($AW275&lt;&gt;"Yes",$AW275&lt;&gt;"N/A"),"Power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",""),LEN(IF(AND($AW275&lt;&gt;"Yes",$AW275&lt;&gt;"N/A"),"Power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",""))-2)))</f>
      </c>
      <c r="BM275">
        <f>IF($T275="","",IF($BL275="","Yes","Blocked"))</f>
      </c>
      <c r="BP275">
        <f>IF($BO275="","",IFERROR(VLOOKUP($BO275,'01_Warehouse_Ledger'!$A:$N,4,FALSE),""))</f>
      </c>
      <c r="BQ275">
        <f>IF($BO275="","",IFERROR(VLOOKUP($BO275,'01_Warehouse_Ledger'!$A:$N,5,FALSE),""))</f>
      </c>
      <c r="BR275">
        <f>IF($BO275="","",IFERROR(VLOOKUP($BO275,'01_Warehouse_Ledger'!$A:$N,13,FALSE),""))</f>
      </c>
    </row>
    <row r="276">
      <c r="D276">
        <f>IF($B276&lt;&gt;"Yes","",IF($C276="No","Yes",IF($C276="Yes","No","")))</f>
      </c>
      <c r="E276">
        <f>IF($A276="","",IF($A276="Neuron",IF(OR(AND($S276&lt;&gt;"",LOWER(TRIM($S276))&lt;&gt;"n/a",COUNTIF($S$2:$S$532,$S276)&gt;1),AND($T276&lt;&gt;"",LOWER(TRIM($T276))&lt;&gt;"n/a",COUNTIF($T$2:$T$532,$T276)&gt;1),AND($W276&lt;&gt;"",LOWER(TRIM($W276))&lt;&gt;"n/a",COUNTIF($W$2:$W$532,$W276)&gt;1)),"Yes","No"),IF($A276="Cybernet",IF(OR(AND($Y276&lt;&gt;"",LOWER(TRIM($Y276))&lt;&gt;"n/a",COUNTIF($Y$2:$Y$532,$Y276)&gt;1),AND($Z276&lt;&gt;"",LOWER(TRIM($Z276))&lt;&gt;"n/a",COUNTIF($Z$2:$Z$532,$Z276)&gt;1)),"Yes","No"),IF(AND($AL276&lt;&gt;"",LOWER(TRIM($AL276))&lt;&gt;"n/a",COUNTIF($AL$2:$AL$532,$AL276)&gt;1),"Yes","No"))))</f>
      </c>
      <c r="F276">
        <f>IF($B276&lt;&gt;"Yes","",
IF($A276="Neuron",
IF(OR(
AND($S276&lt;&gt;"",LOWER(TRIM($S276))&lt;&gt;"n/a",COUNTIFS($B$2:$B$532,"Yes",$A$2:$A$532,"Neuron",$S$2:$S$532,$S276)&gt;1),
AND($T276&lt;&gt;"",LOWER(TRIM($T276))&lt;&gt;"n/a",COUNTIFS($B$2:$B$532,"Yes",$A$2:$A$532,"Neuron",$T$2:$T$532,$T276)&gt;1),
AND($W276&lt;&gt;"",LOWER(TRIM($W276))&lt;&gt;"n/a",COUNTIFS($B$2:$B$532,"Yes",$A$2:$A$532,"Neuron",$W$2:$W$532,$W276)&gt;1)
),"Yes","No"),
IF($A276="Cybernet",
IF(OR(
AND($Y276&lt;&gt;"",LOWER(TRIM($Y276))&lt;&gt;"n/a",COUNTIFS($B$2:$B$532,"Yes",$A$2:$A$532,"Cybernet",$Y$2:$Y$532,$Y276)&gt;1),
AND($Z276&lt;&gt;"",LOWER(TRIM($Z276))&lt;&gt;"n/a",COUNTIFS($B$2:$B$532,"Yes",$A$2:$A$532,"Cybernet",$Z$2:$Z$532,$Z276)&gt;1)
),"Yes","No"),
IF(AND($AL276&lt;&gt;"",LOWER(TRIM($AL276))&lt;&gt;"n/a"),
IF(COUNTIFS($B$2:$B$532,"Yes",$A$2:$A$532,$A276,$AL$2:$AL$532,$AL276)&gt;1,"Yes","No"),
"No")
)
)
)</f>
      </c>
      <c r="BL276">
        <f>IF($T276="","",IF((IF(AND($AW276&lt;&gt;"Yes",$AW276&lt;&gt;"N/A"),"Power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",""))="","",LEFT(IF(AND($AW276&lt;&gt;"Yes",$AW276&lt;&gt;"N/A"),"Power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",""),LEN(IF(AND($AW276&lt;&gt;"Yes",$AW276&lt;&gt;"N/A"),"Power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",""))-2)))</f>
      </c>
      <c r="BM276">
        <f>IF($T276="","",IF($BL276="","Yes","Blocked"))</f>
      </c>
      <c r="BP276">
        <f>IF($BO276="","",IFERROR(VLOOKUP($BO276,'01_Warehouse_Ledger'!$A:$N,4,FALSE),""))</f>
      </c>
      <c r="BQ276">
        <f>IF($BO276="","",IFERROR(VLOOKUP($BO276,'01_Warehouse_Ledger'!$A:$N,5,FALSE),""))</f>
      </c>
      <c r="BR276">
        <f>IF($BO276="","",IFERROR(VLOOKUP($BO276,'01_Warehouse_Ledger'!$A:$N,13,FALSE),""))</f>
      </c>
    </row>
    <row r="277">
      <c r="D277">
        <f>IF($B277&lt;&gt;"Yes","",IF($C277="No","Yes",IF($C277="Yes","No","")))</f>
      </c>
      <c r="E277">
        <f>IF($A277="","",IF($A277="Neuron",IF(OR(AND($S277&lt;&gt;"",LOWER(TRIM($S277))&lt;&gt;"n/a",COUNTIF($S$2:$S$532,$S277)&gt;1),AND($T277&lt;&gt;"",LOWER(TRIM($T277))&lt;&gt;"n/a",COUNTIF($T$2:$T$532,$T277)&gt;1),AND($W277&lt;&gt;"",LOWER(TRIM($W277))&lt;&gt;"n/a",COUNTIF($W$2:$W$532,$W277)&gt;1)),"Yes","No"),IF($A277="Cybernet",IF(OR(AND($Y277&lt;&gt;"",LOWER(TRIM($Y277))&lt;&gt;"n/a",COUNTIF($Y$2:$Y$532,$Y277)&gt;1),AND($Z277&lt;&gt;"",LOWER(TRIM($Z277))&lt;&gt;"n/a",COUNTIF($Z$2:$Z$532,$Z277)&gt;1)),"Yes","No"),IF(AND($AL277&lt;&gt;"",LOWER(TRIM($AL277))&lt;&gt;"n/a",COUNTIF($AL$2:$AL$532,$AL277)&gt;1),"Yes","No"))))</f>
      </c>
      <c r="F277">
        <f>IF($B277&lt;&gt;"Yes","",
IF($A277="Neuron",
IF(OR(
AND($S277&lt;&gt;"",LOWER(TRIM($S277))&lt;&gt;"n/a",COUNTIFS($B$2:$B$532,"Yes",$A$2:$A$532,"Neuron",$S$2:$S$532,$S277)&gt;1),
AND($T277&lt;&gt;"",LOWER(TRIM($T277))&lt;&gt;"n/a",COUNTIFS($B$2:$B$532,"Yes",$A$2:$A$532,"Neuron",$T$2:$T$532,$T277)&gt;1),
AND($W277&lt;&gt;"",LOWER(TRIM($W277))&lt;&gt;"n/a",COUNTIFS($B$2:$B$532,"Yes",$A$2:$A$532,"Neuron",$W$2:$W$532,$W277)&gt;1)
),"Yes","No"),
IF($A277="Cybernet",
IF(OR(
AND($Y277&lt;&gt;"",LOWER(TRIM($Y277))&lt;&gt;"n/a",COUNTIFS($B$2:$B$532,"Yes",$A$2:$A$532,"Cybernet",$Y$2:$Y$532,$Y277)&gt;1),
AND($Z277&lt;&gt;"",LOWER(TRIM($Z277))&lt;&gt;"n/a",COUNTIFS($B$2:$B$532,"Yes",$A$2:$A$532,"Cybernet",$Z$2:$Z$532,$Z277)&gt;1)
),"Yes","No"),
IF(AND($AL277&lt;&gt;"",LOWER(TRIM($AL277))&lt;&gt;"n/a"),
IF(COUNTIFS($B$2:$B$532,"Yes",$A$2:$A$532,$A277,$AL$2:$AL$532,$AL277)&gt;1,"Yes","No"),
"No")
)
)
)</f>
      </c>
      <c r="BL277">
        <f>IF($T277="","",IF((IF(AND($AW277&lt;&gt;"Yes",$AW277&lt;&gt;"N/A"),"Power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",""))="","",LEFT(IF(AND($AW277&lt;&gt;"Yes",$AW277&lt;&gt;"N/A"),"Power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",""),LEN(IF(AND($AW277&lt;&gt;"Yes",$AW277&lt;&gt;"N/A"),"Power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",""))-2)))</f>
      </c>
      <c r="BM277">
        <f>IF($T277="","",IF($BL277="","Yes","Blocked"))</f>
      </c>
      <c r="BP277">
        <f>IF($BO277="","",IFERROR(VLOOKUP($BO277,'01_Warehouse_Ledger'!$A:$N,4,FALSE),""))</f>
      </c>
      <c r="BQ277">
        <f>IF($BO277="","",IFERROR(VLOOKUP($BO277,'01_Warehouse_Ledger'!$A:$N,5,FALSE),""))</f>
      </c>
      <c r="BR277">
        <f>IF($BO277="","",IFERROR(VLOOKUP($BO277,'01_Warehouse_Ledger'!$A:$N,13,FALSE),""))</f>
      </c>
    </row>
    <row r="278">
      <c r="D278">
        <f>IF($B278&lt;&gt;"Yes","",IF($C278="No","Yes",IF($C278="Yes","No","")))</f>
      </c>
      <c r="E278">
        <f>IF($A278="","",IF($A278="Neuron",IF(OR(AND($S278&lt;&gt;"",LOWER(TRIM($S278))&lt;&gt;"n/a",COUNTIF($S$2:$S$532,$S278)&gt;1),AND($T278&lt;&gt;"",LOWER(TRIM($T278))&lt;&gt;"n/a",COUNTIF($T$2:$T$532,$T278)&gt;1),AND($W278&lt;&gt;"",LOWER(TRIM($W278))&lt;&gt;"n/a",COUNTIF($W$2:$W$532,$W278)&gt;1)),"Yes","No"),IF($A278="Cybernet",IF(OR(AND($Y278&lt;&gt;"",LOWER(TRIM($Y278))&lt;&gt;"n/a",COUNTIF($Y$2:$Y$532,$Y278)&gt;1),AND($Z278&lt;&gt;"",LOWER(TRIM($Z278))&lt;&gt;"n/a",COUNTIF($Z$2:$Z$532,$Z278)&gt;1)),"Yes","No"),IF(AND($AL278&lt;&gt;"",LOWER(TRIM($AL278))&lt;&gt;"n/a",COUNTIF($AL$2:$AL$532,$AL278)&gt;1),"Yes","No"))))</f>
      </c>
      <c r="F278">
        <f>IF($B278&lt;&gt;"Yes","",
IF($A278="Neuron",
IF(OR(
AND($S278&lt;&gt;"",LOWER(TRIM($S278))&lt;&gt;"n/a",COUNTIFS($B$2:$B$532,"Yes",$A$2:$A$532,"Neuron",$S$2:$S$532,$S278)&gt;1),
AND($T278&lt;&gt;"",LOWER(TRIM($T278))&lt;&gt;"n/a",COUNTIFS($B$2:$B$532,"Yes",$A$2:$A$532,"Neuron",$T$2:$T$532,$T278)&gt;1),
AND($W278&lt;&gt;"",LOWER(TRIM($W278))&lt;&gt;"n/a",COUNTIFS($B$2:$B$532,"Yes",$A$2:$A$532,"Neuron",$W$2:$W$532,$W278)&gt;1)
),"Yes","No"),
IF($A278="Cybernet",
IF(OR(
AND($Y278&lt;&gt;"",LOWER(TRIM($Y278))&lt;&gt;"n/a",COUNTIFS($B$2:$B$532,"Yes",$A$2:$A$532,"Cybernet",$Y$2:$Y$532,$Y278)&gt;1),
AND($Z278&lt;&gt;"",LOWER(TRIM($Z278))&lt;&gt;"n/a",COUNTIFS($B$2:$B$532,"Yes",$A$2:$A$532,"Cybernet",$Z$2:$Z$532,$Z278)&gt;1)
),"Yes","No"),
IF(AND($AL278&lt;&gt;"",LOWER(TRIM($AL278))&lt;&gt;"n/a"),
IF(COUNTIFS($B$2:$B$532,"Yes",$A$2:$A$532,$A278,$AL$2:$AL$532,$AL278)&gt;1,"Yes","No"),
"No")
)
)
)</f>
      </c>
      <c r="BL278">
        <f>IF($T278="","",IF((IF(AND($AW278&lt;&gt;"Yes",$AW278&lt;&gt;"N/A"),"Power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",""))="","",LEFT(IF(AND($AW278&lt;&gt;"Yes",$AW278&lt;&gt;"N/A"),"Power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",""),LEN(IF(AND($AW278&lt;&gt;"Yes",$AW278&lt;&gt;"N/A"),"Power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",""))-2)))</f>
      </c>
      <c r="BM278">
        <f>IF($T278="","",IF($BL278="","Yes","Blocked"))</f>
      </c>
      <c r="BP278">
        <f>IF($BO278="","",IFERROR(VLOOKUP($BO278,'01_Warehouse_Ledger'!$A:$N,4,FALSE),""))</f>
      </c>
      <c r="BQ278">
        <f>IF($BO278="","",IFERROR(VLOOKUP($BO278,'01_Warehouse_Ledger'!$A:$N,5,FALSE),""))</f>
      </c>
      <c r="BR278">
        <f>IF($BO278="","",IFERROR(VLOOKUP($BO278,'01_Warehouse_Ledger'!$A:$N,13,FALSE),""))</f>
      </c>
    </row>
    <row r="279">
      <c r="D279">
        <f>IF($B279&lt;&gt;"Yes","",IF($C279="No","Yes",IF($C279="Yes","No","")))</f>
      </c>
      <c r="E279">
        <f>IF($A279="","",IF($A279="Neuron",IF(OR(AND($S279&lt;&gt;"",LOWER(TRIM($S279))&lt;&gt;"n/a",COUNTIF($S$2:$S$532,$S279)&gt;1),AND($T279&lt;&gt;"",LOWER(TRIM($T279))&lt;&gt;"n/a",COUNTIF($T$2:$T$532,$T279)&gt;1),AND($W279&lt;&gt;"",LOWER(TRIM($W279))&lt;&gt;"n/a",COUNTIF($W$2:$W$532,$W279)&gt;1)),"Yes","No"),IF($A279="Cybernet",IF(OR(AND($Y279&lt;&gt;"",LOWER(TRIM($Y279))&lt;&gt;"n/a",COUNTIF($Y$2:$Y$532,$Y279)&gt;1),AND($Z279&lt;&gt;"",LOWER(TRIM($Z279))&lt;&gt;"n/a",COUNTIF($Z$2:$Z$532,$Z279)&gt;1)),"Yes","No"),IF(AND($AL279&lt;&gt;"",LOWER(TRIM($AL279))&lt;&gt;"n/a",COUNTIF($AL$2:$AL$532,$AL279)&gt;1),"Yes","No"))))</f>
      </c>
      <c r="F279">
        <f>IF($B279&lt;&gt;"Yes","",
IF($A279="Neuron",
IF(OR(
AND($S279&lt;&gt;"",LOWER(TRIM($S279))&lt;&gt;"n/a",COUNTIFS($B$2:$B$532,"Yes",$A$2:$A$532,"Neuron",$S$2:$S$532,$S279)&gt;1),
AND($T279&lt;&gt;"",LOWER(TRIM($T279))&lt;&gt;"n/a",COUNTIFS($B$2:$B$532,"Yes",$A$2:$A$532,"Neuron",$T$2:$T$532,$T279)&gt;1),
AND($W279&lt;&gt;"",LOWER(TRIM($W279))&lt;&gt;"n/a",COUNTIFS($B$2:$B$532,"Yes",$A$2:$A$532,"Neuron",$W$2:$W$532,$W279)&gt;1)
),"Yes","No"),
IF($A279="Cybernet",
IF(OR(
AND($Y279&lt;&gt;"",LOWER(TRIM($Y279))&lt;&gt;"n/a",COUNTIFS($B$2:$B$532,"Yes",$A$2:$A$532,"Cybernet",$Y$2:$Y$532,$Y279)&gt;1),
AND($Z279&lt;&gt;"",LOWER(TRIM($Z279))&lt;&gt;"n/a",COUNTIFS($B$2:$B$532,"Yes",$A$2:$A$532,"Cybernet",$Z$2:$Z$532,$Z279)&gt;1)
),"Yes","No"),
IF(AND($AL279&lt;&gt;"",LOWER(TRIM($AL279))&lt;&gt;"n/a"),
IF(COUNTIFS($B$2:$B$532,"Yes",$A$2:$A$532,$A279,$AL$2:$AL$532,$AL279)&gt;1,"Yes","No"),
"No")
)
)
)</f>
      </c>
      <c r="BL279">
        <f>IF($T279="","",IF((IF(AND($AW279&lt;&gt;"Yes",$AW279&lt;&gt;"N/A"),"Power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",""))="","",LEFT(IF(AND($AW279&lt;&gt;"Yes",$AW279&lt;&gt;"N/A"),"Power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",""),LEN(IF(AND($AW279&lt;&gt;"Yes",$AW279&lt;&gt;"N/A"),"Power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",""))-2)))</f>
      </c>
      <c r="BM279">
        <f>IF($T279="","",IF($BL279="","Yes","Blocked"))</f>
      </c>
      <c r="BP279">
        <f>IF($BO279="","",IFERROR(VLOOKUP($BO279,'01_Warehouse_Ledger'!$A:$N,4,FALSE),""))</f>
      </c>
      <c r="BQ279">
        <f>IF($BO279="","",IFERROR(VLOOKUP($BO279,'01_Warehouse_Ledger'!$A:$N,5,FALSE),""))</f>
      </c>
      <c r="BR279">
        <f>IF($BO279="","",IFERROR(VLOOKUP($BO279,'01_Warehouse_Ledger'!$A:$N,13,FALSE),""))</f>
      </c>
    </row>
    <row r="280">
      <c r="D280">
        <f>IF($B280&lt;&gt;"Yes","",IF($C280="No","Yes",IF($C280="Yes","No","")))</f>
      </c>
      <c r="E280">
        <f>IF($A280="","",IF($A280="Neuron",IF(OR(AND($S280&lt;&gt;"",LOWER(TRIM($S280))&lt;&gt;"n/a",COUNTIF($S$2:$S$532,$S280)&gt;1),AND($T280&lt;&gt;"",LOWER(TRIM($T280))&lt;&gt;"n/a",COUNTIF($T$2:$T$532,$T280)&gt;1),AND($W280&lt;&gt;"",LOWER(TRIM($W280))&lt;&gt;"n/a",COUNTIF($W$2:$W$532,$W280)&gt;1)),"Yes","No"),IF($A280="Cybernet",IF(OR(AND($Y280&lt;&gt;"",LOWER(TRIM($Y280))&lt;&gt;"n/a",COUNTIF($Y$2:$Y$532,$Y280)&gt;1),AND($Z280&lt;&gt;"",LOWER(TRIM($Z280))&lt;&gt;"n/a",COUNTIF($Z$2:$Z$532,$Z280)&gt;1)),"Yes","No"),IF(AND($AL280&lt;&gt;"",LOWER(TRIM($AL280))&lt;&gt;"n/a",COUNTIF($AL$2:$AL$532,$AL280)&gt;1),"Yes","No"))))</f>
      </c>
      <c r="F280">
        <f>IF($B280&lt;&gt;"Yes","",
IF($A280="Neuron",
IF(OR(
AND($S280&lt;&gt;"",LOWER(TRIM($S280))&lt;&gt;"n/a",COUNTIFS($B$2:$B$532,"Yes",$A$2:$A$532,"Neuron",$S$2:$S$532,$S280)&gt;1),
AND($T280&lt;&gt;"",LOWER(TRIM($T280))&lt;&gt;"n/a",COUNTIFS($B$2:$B$532,"Yes",$A$2:$A$532,"Neuron",$T$2:$T$532,$T280)&gt;1),
AND($W280&lt;&gt;"",LOWER(TRIM($W280))&lt;&gt;"n/a",COUNTIFS($B$2:$B$532,"Yes",$A$2:$A$532,"Neuron",$W$2:$W$532,$W280)&gt;1)
),"Yes","No"),
IF($A280="Cybernet",
IF(OR(
AND($Y280&lt;&gt;"",LOWER(TRIM($Y280))&lt;&gt;"n/a",COUNTIFS($B$2:$B$532,"Yes",$A$2:$A$532,"Cybernet",$Y$2:$Y$532,$Y280)&gt;1),
AND($Z280&lt;&gt;"",LOWER(TRIM($Z280))&lt;&gt;"n/a",COUNTIFS($B$2:$B$532,"Yes",$A$2:$A$532,"Cybernet",$Z$2:$Z$532,$Z280)&gt;1)
),"Yes","No"),
IF(AND($AL280&lt;&gt;"",LOWER(TRIM($AL280))&lt;&gt;"n/a"),
IF(COUNTIFS($B$2:$B$532,"Yes",$A$2:$A$532,$A280,$AL$2:$AL$532,$AL280)&gt;1,"Yes","No"),
"No")
)
)
)</f>
      </c>
      <c r="BL280">
        <f>IF($T280="","",IF((IF(AND($AW280&lt;&gt;"Yes",$AW280&lt;&gt;"N/A"),"Power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",""))="","",LEFT(IF(AND($AW280&lt;&gt;"Yes",$AW280&lt;&gt;"N/A"),"Power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",""),LEN(IF(AND($AW280&lt;&gt;"Yes",$AW280&lt;&gt;"N/A"),"Power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",""))-2)))</f>
      </c>
      <c r="BM280">
        <f>IF($T280="","",IF($BL280="","Yes","Blocked"))</f>
      </c>
      <c r="BP280">
        <f>IF($BO280="","",IFERROR(VLOOKUP($BO280,'01_Warehouse_Ledger'!$A:$N,4,FALSE),""))</f>
      </c>
      <c r="BQ280">
        <f>IF($BO280="","",IFERROR(VLOOKUP($BO280,'01_Warehouse_Ledger'!$A:$N,5,FALSE),""))</f>
      </c>
      <c r="BR280">
        <f>IF($BO280="","",IFERROR(VLOOKUP($BO280,'01_Warehouse_Ledger'!$A:$N,13,FALSE),""))</f>
      </c>
    </row>
    <row r="281">
      <c r="D281">
        <f>IF($B281&lt;&gt;"Yes","",IF($C281="No","Yes",IF($C281="Yes","No","")))</f>
      </c>
      <c r="E281">
        <f>IF($A281="","",IF($A281="Neuron",IF(OR(AND($S281&lt;&gt;"",LOWER(TRIM($S281))&lt;&gt;"n/a",COUNTIF($S$2:$S$532,$S281)&gt;1),AND($T281&lt;&gt;"",LOWER(TRIM($T281))&lt;&gt;"n/a",COUNTIF($T$2:$T$532,$T281)&gt;1),AND($W281&lt;&gt;"",LOWER(TRIM($W281))&lt;&gt;"n/a",COUNTIF($W$2:$W$532,$W281)&gt;1)),"Yes","No"),IF($A281="Cybernet",IF(OR(AND($Y281&lt;&gt;"",LOWER(TRIM($Y281))&lt;&gt;"n/a",COUNTIF($Y$2:$Y$532,$Y281)&gt;1),AND($Z281&lt;&gt;"",LOWER(TRIM($Z281))&lt;&gt;"n/a",COUNTIF($Z$2:$Z$532,$Z281)&gt;1)),"Yes","No"),IF(AND($AL281&lt;&gt;"",LOWER(TRIM($AL281))&lt;&gt;"n/a",COUNTIF($AL$2:$AL$532,$AL281)&gt;1),"Yes","No"))))</f>
      </c>
      <c r="F281">
        <f>IF($B281&lt;&gt;"Yes","",
IF($A281="Neuron",
IF(OR(
AND($S281&lt;&gt;"",LOWER(TRIM($S281))&lt;&gt;"n/a",COUNTIFS($B$2:$B$532,"Yes",$A$2:$A$532,"Neuron",$S$2:$S$532,$S281)&gt;1),
AND($T281&lt;&gt;"",LOWER(TRIM($T281))&lt;&gt;"n/a",COUNTIFS($B$2:$B$532,"Yes",$A$2:$A$532,"Neuron",$T$2:$T$532,$T281)&gt;1),
AND($W281&lt;&gt;"",LOWER(TRIM($W281))&lt;&gt;"n/a",COUNTIFS($B$2:$B$532,"Yes",$A$2:$A$532,"Neuron",$W$2:$W$532,$W281)&gt;1)
),"Yes","No"),
IF($A281="Cybernet",
IF(OR(
AND($Y281&lt;&gt;"",LOWER(TRIM($Y281))&lt;&gt;"n/a",COUNTIFS($B$2:$B$532,"Yes",$A$2:$A$532,"Cybernet",$Y$2:$Y$532,$Y281)&gt;1),
AND($Z281&lt;&gt;"",LOWER(TRIM($Z281))&lt;&gt;"n/a",COUNTIFS($B$2:$B$532,"Yes",$A$2:$A$532,"Cybernet",$Z$2:$Z$532,$Z281)&gt;1)
),"Yes","No"),
IF(AND($AL281&lt;&gt;"",LOWER(TRIM($AL281))&lt;&gt;"n/a"),
IF(COUNTIFS($B$2:$B$532,"Yes",$A$2:$A$532,$A281,$AL$2:$AL$532,$AL281)&gt;1,"Yes","No"),
"No")
)
)
)</f>
      </c>
      <c r="BL281">
        <f>IF($T281="","",IF((IF(AND($AW281&lt;&gt;"Yes",$AW281&lt;&gt;"N/A"),"Power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",""))="","",LEFT(IF(AND($AW281&lt;&gt;"Yes",$AW281&lt;&gt;"N/A"),"Power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",""),LEN(IF(AND($AW281&lt;&gt;"Yes",$AW281&lt;&gt;"N/A"),"Power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",""))-2)))</f>
      </c>
      <c r="BM281">
        <f>IF($T281="","",IF($BL281="","Yes","Blocked"))</f>
      </c>
      <c r="BP281">
        <f>IF($BO281="","",IFERROR(VLOOKUP($BO281,'01_Warehouse_Ledger'!$A:$N,4,FALSE),""))</f>
      </c>
      <c r="BQ281">
        <f>IF($BO281="","",IFERROR(VLOOKUP($BO281,'01_Warehouse_Ledger'!$A:$N,5,FALSE),""))</f>
      </c>
      <c r="BR281">
        <f>IF($BO281="","",IFERROR(VLOOKUP($BO281,'01_Warehouse_Ledger'!$A:$N,13,FALSE),""))</f>
      </c>
    </row>
    <row r="282">
      <c r="D282">
        <f>IF($B282&lt;&gt;"Yes","",IF($C282="No","Yes",IF($C282="Yes","No","")))</f>
      </c>
      <c r="E282">
        <f>IF($A282="","",IF($A282="Neuron",IF(OR(AND($S282&lt;&gt;"",LOWER(TRIM($S282))&lt;&gt;"n/a",COUNTIF($S$2:$S$532,$S282)&gt;1),AND($T282&lt;&gt;"",LOWER(TRIM($T282))&lt;&gt;"n/a",COUNTIF($T$2:$T$532,$T282)&gt;1),AND($W282&lt;&gt;"",LOWER(TRIM($W282))&lt;&gt;"n/a",COUNTIF($W$2:$W$532,$W282)&gt;1)),"Yes","No"),IF($A282="Cybernet",IF(OR(AND($Y282&lt;&gt;"",LOWER(TRIM($Y282))&lt;&gt;"n/a",COUNTIF($Y$2:$Y$532,$Y282)&gt;1),AND($Z282&lt;&gt;"",LOWER(TRIM($Z282))&lt;&gt;"n/a",COUNTIF($Z$2:$Z$532,$Z282)&gt;1)),"Yes","No"),IF(AND($AL282&lt;&gt;"",LOWER(TRIM($AL282))&lt;&gt;"n/a",COUNTIF($AL$2:$AL$532,$AL282)&gt;1),"Yes","No"))))</f>
      </c>
      <c r="F282">
        <f>IF($B282&lt;&gt;"Yes","",
IF($A282="Neuron",
IF(OR(
AND($S282&lt;&gt;"",LOWER(TRIM($S282))&lt;&gt;"n/a",COUNTIFS($B$2:$B$532,"Yes",$A$2:$A$532,"Neuron",$S$2:$S$532,$S282)&gt;1),
AND($T282&lt;&gt;"",LOWER(TRIM($T282))&lt;&gt;"n/a",COUNTIFS($B$2:$B$532,"Yes",$A$2:$A$532,"Neuron",$T$2:$T$532,$T282)&gt;1),
AND($W282&lt;&gt;"",LOWER(TRIM($W282))&lt;&gt;"n/a",COUNTIFS($B$2:$B$532,"Yes",$A$2:$A$532,"Neuron",$W$2:$W$532,$W282)&gt;1)
),"Yes","No"),
IF($A282="Cybernet",
IF(OR(
AND($Y282&lt;&gt;"",LOWER(TRIM($Y282))&lt;&gt;"n/a",COUNTIFS($B$2:$B$532,"Yes",$A$2:$A$532,"Cybernet",$Y$2:$Y$532,$Y282)&gt;1),
AND($Z282&lt;&gt;"",LOWER(TRIM($Z282))&lt;&gt;"n/a",COUNTIFS($B$2:$B$532,"Yes",$A$2:$A$532,"Cybernet",$Z$2:$Z$532,$Z282)&gt;1)
),"Yes","No"),
IF(AND($AL282&lt;&gt;"",LOWER(TRIM($AL282))&lt;&gt;"n/a"),
IF(COUNTIFS($B$2:$B$532,"Yes",$A$2:$A$532,$A282,$AL$2:$AL$532,$AL282)&gt;1,"Yes","No"),
"No")
)
)
)</f>
      </c>
      <c r="BL282">
        <f>IF($T282="","",IF((IF(AND($AW282&lt;&gt;"Yes",$AW282&lt;&gt;"N/A"),"Power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",""))="","",LEFT(IF(AND($AW282&lt;&gt;"Yes",$AW282&lt;&gt;"N/A"),"Power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",""),LEN(IF(AND($AW282&lt;&gt;"Yes",$AW282&lt;&gt;"N/A"),"Power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",""))-2)))</f>
      </c>
      <c r="BM282">
        <f>IF($T282="","",IF($BL282="","Yes","Blocked"))</f>
      </c>
      <c r="BP282">
        <f>IF($BO282="","",IFERROR(VLOOKUP($BO282,'01_Warehouse_Ledger'!$A:$N,4,FALSE),""))</f>
      </c>
      <c r="BQ282">
        <f>IF($BO282="","",IFERROR(VLOOKUP($BO282,'01_Warehouse_Ledger'!$A:$N,5,FALSE),""))</f>
      </c>
      <c r="BR282">
        <f>IF($BO282="","",IFERROR(VLOOKUP($BO282,'01_Warehouse_Ledger'!$A:$N,13,FALSE),""))</f>
      </c>
    </row>
    <row r="283">
      <c r="D283">
        <f>IF($B283&lt;&gt;"Yes","",IF($C283="No","Yes",IF($C283="Yes","No","")))</f>
      </c>
      <c r="E283">
        <f>IF($A283="","",IF($A283="Neuron",IF(OR(AND($S283&lt;&gt;"",LOWER(TRIM($S283))&lt;&gt;"n/a",COUNTIF($S$2:$S$532,$S283)&gt;1),AND($T283&lt;&gt;"",LOWER(TRIM($T283))&lt;&gt;"n/a",COUNTIF($T$2:$T$532,$T283)&gt;1),AND($W283&lt;&gt;"",LOWER(TRIM($W283))&lt;&gt;"n/a",COUNTIF($W$2:$W$532,$W283)&gt;1)),"Yes","No"),IF($A283="Cybernet",IF(OR(AND($Y283&lt;&gt;"",LOWER(TRIM($Y283))&lt;&gt;"n/a",COUNTIF($Y$2:$Y$532,$Y283)&gt;1),AND($Z283&lt;&gt;"",LOWER(TRIM($Z283))&lt;&gt;"n/a",COUNTIF($Z$2:$Z$532,$Z283)&gt;1)),"Yes","No"),IF(AND($AL283&lt;&gt;"",LOWER(TRIM($AL283))&lt;&gt;"n/a",COUNTIF($AL$2:$AL$532,$AL283)&gt;1),"Yes","No"))))</f>
      </c>
      <c r="F283">
        <f>IF($B283&lt;&gt;"Yes","",
IF($A283="Neuron",
IF(OR(
AND($S283&lt;&gt;"",LOWER(TRIM($S283))&lt;&gt;"n/a",COUNTIFS($B$2:$B$532,"Yes",$A$2:$A$532,"Neuron",$S$2:$S$532,$S283)&gt;1),
AND($T283&lt;&gt;"",LOWER(TRIM($T283))&lt;&gt;"n/a",COUNTIFS($B$2:$B$532,"Yes",$A$2:$A$532,"Neuron",$T$2:$T$532,$T283)&gt;1),
AND($W283&lt;&gt;"",LOWER(TRIM($W283))&lt;&gt;"n/a",COUNTIFS($B$2:$B$532,"Yes",$A$2:$A$532,"Neuron",$W$2:$W$532,$W283)&gt;1)
),"Yes","No"),
IF($A283="Cybernet",
IF(OR(
AND($Y283&lt;&gt;"",LOWER(TRIM($Y283))&lt;&gt;"n/a",COUNTIFS($B$2:$B$532,"Yes",$A$2:$A$532,"Cybernet",$Y$2:$Y$532,$Y283)&gt;1),
AND($Z283&lt;&gt;"",LOWER(TRIM($Z283))&lt;&gt;"n/a",COUNTIFS($B$2:$B$532,"Yes",$A$2:$A$532,"Cybernet",$Z$2:$Z$532,$Z283)&gt;1)
),"Yes","No"),
IF(AND($AL283&lt;&gt;"",LOWER(TRIM($AL283))&lt;&gt;"n/a"),
IF(COUNTIFS($B$2:$B$532,"Yes",$A$2:$A$532,$A283,$AL$2:$AL$532,$AL283)&gt;1,"Yes","No"),
"No")
)
)
)</f>
      </c>
      <c r="BL283">
        <f>IF($T283="","",IF((IF(AND($AW283&lt;&gt;"Yes",$AW283&lt;&gt;"N/A"),"Power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",""))="","",LEFT(IF(AND($AW283&lt;&gt;"Yes",$AW283&lt;&gt;"N/A"),"Power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",""),LEN(IF(AND($AW283&lt;&gt;"Yes",$AW283&lt;&gt;"N/A"),"Power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",""))-2)))</f>
      </c>
      <c r="BM283">
        <f>IF($T283="","",IF($BL283="","Yes","Blocked"))</f>
      </c>
      <c r="BP283">
        <f>IF($BO283="","",IFERROR(VLOOKUP($BO283,'01_Warehouse_Ledger'!$A:$N,4,FALSE),""))</f>
      </c>
      <c r="BQ283">
        <f>IF($BO283="","",IFERROR(VLOOKUP($BO283,'01_Warehouse_Ledger'!$A:$N,5,FALSE),""))</f>
      </c>
      <c r="BR283">
        <f>IF($BO283="","",IFERROR(VLOOKUP($BO283,'01_Warehouse_Ledger'!$A:$N,13,FALSE),""))</f>
      </c>
    </row>
    <row r="284">
      <c r="D284">
        <f>IF($B284&lt;&gt;"Yes","",IF($C284="No","Yes",IF($C284="Yes","No","")))</f>
      </c>
      <c r="E284">
        <f>IF($A284="","",IF($A284="Neuron",IF(OR(AND($S284&lt;&gt;"",LOWER(TRIM($S284))&lt;&gt;"n/a",COUNTIF($S$2:$S$532,$S284)&gt;1),AND($T284&lt;&gt;"",LOWER(TRIM($T284))&lt;&gt;"n/a",COUNTIF($T$2:$T$532,$T284)&gt;1),AND($W284&lt;&gt;"",LOWER(TRIM($W284))&lt;&gt;"n/a",COUNTIF($W$2:$W$532,$W284)&gt;1)),"Yes","No"),IF($A284="Cybernet",IF(OR(AND($Y284&lt;&gt;"",LOWER(TRIM($Y284))&lt;&gt;"n/a",COUNTIF($Y$2:$Y$532,$Y284)&gt;1),AND($Z284&lt;&gt;"",LOWER(TRIM($Z284))&lt;&gt;"n/a",COUNTIF($Z$2:$Z$532,$Z284)&gt;1)),"Yes","No"),IF(AND($AL284&lt;&gt;"",LOWER(TRIM($AL284))&lt;&gt;"n/a",COUNTIF($AL$2:$AL$532,$AL284)&gt;1),"Yes","No"))))</f>
      </c>
      <c r="F284">
        <f>IF($B284&lt;&gt;"Yes","",
IF($A284="Neuron",
IF(OR(
AND($S284&lt;&gt;"",LOWER(TRIM($S284))&lt;&gt;"n/a",COUNTIFS($B$2:$B$532,"Yes",$A$2:$A$532,"Neuron",$S$2:$S$532,$S284)&gt;1),
AND($T284&lt;&gt;"",LOWER(TRIM($T284))&lt;&gt;"n/a",COUNTIFS($B$2:$B$532,"Yes",$A$2:$A$532,"Neuron",$T$2:$T$532,$T284)&gt;1),
AND($W284&lt;&gt;"",LOWER(TRIM($W284))&lt;&gt;"n/a",COUNTIFS($B$2:$B$532,"Yes",$A$2:$A$532,"Neuron",$W$2:$W$532,$W284)&gt;1)
),"Yes","No"),
IF($A284="Cybernet",
IF(OR(
AND($Y284&lt;&gt;"",LOWER(TRIM($Y284))&lt;&gt;"n/a",COUNTIFS($B$2:$B$532,"Yes",$A$2:$A$532,"Cybernet",$Y$2:$Y$532,$Y284)&gt;1),
AND($Z284&lt;&gt;"",LOWER(TRIM($Z284))&lt;&gt;"n/a",COUNTIFS($B$2:$B$532,"Yes",$A$2:$A$532,"Cybernet",$Z$2:$Z$532,$Z284)&gt;1)
),"Yes","No"),
IF(AND($AL284&lt;&gt;"",LOWER(TRIM($AL284))&lt;&gt;"n/a"),
IF(COUNTIFS($B$2:$B$532,"Yes",$A$2:$A$532,$A284,$AL$2:$AL$532,$AL284)&gt;1,"Yes","No"),
"No")
)
)
)</f>
      </c>
      <c r="BL284">
        <f>IF($T284="","",IF((IF(AND($AW284&lt;&gt;"Yes",$AW284&lt;&gt;"N/A"),"Power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",""))="","",LEFT(IF(AND($AW284&lt;&gt;"Yes",$AW284&lt;&gt;"N/A"),"Power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",""),LEN(IF(AND($AW284&lt;&gt;"Yes",$AW284&lt;&gt;"N/A"),"Power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",""))-2)))</f>
      </c>
      <c r="BM284">
        <f>IF($T284="","",IF($BL284="","Yes","Blocked"))</f>
      </c>
      <c r="BP284">
        <f>IF($BO284="","",IFERROR(VLOOKUP($BO284,'01_Warehouse_Ledger'!$A:$N,4,FALSE),""))</f>
      </c>
      <c r="BQ284">
        <f>IF($BO284="","",IFERROR(VLOOKUP($BO284,'01_Warehouse_Ledger'!$A:$N,5,FALSE),""))</f>
      </c>
      <c r="BR284">
        <f>IF($BO284="","",IFERROR(VLOOKUP($BO284,'01_Warehouse_Ledger'!$A:$N,13,FALSE),""))</f>
      </c>
    </row>
    <row r="285">
      <c r="D285">
        <f>IF($B285&lt;&gt;"Yes","",IF($C285="No","Yes",IF($C285="Yes","No","")))</f>
      </c>
      <c r="E285">
        <f>IF($A285="","",IF($A285="Neuron",IF(OR(AND($S285&lt;&gt;"",LOWER(TRIM($S285))&lt;&gt;"n/a",COUNTIF($S$2:$S$532,$S285)&gt;1),AND($T285&lt;&gt;"",LOWER(TRIM($T285))&lt;&gt;"n/a",COUNTIF($T$2:$T$532,$T285)&gt;1),AND($W285&lt;&gt;"",LOWER(TRIM($W285))&lt;&gt;"n/a",COUNTIF($W$2:$W$532,$W285)&gt;1)),"Yes","No"),IF($A285="Cybernet",IF(OR(AND($Y285&lt;&gt;"",LOWER(TRIM($Y285))&lt;&gt;"n/a",COUNTIF($Y$2:$Y$532,$Y285)&gt;1),AND($Z285&lt;&gt;"",LOWER(TRIM($Z285))&lt;&gt;"n/a",COUNTIF($Z$2:$Z$532,$Z285)&gt;1)),"Yes","No"),IF(AND($AL285&lt;&gt;"",LOWER(TRIM($AL285))&lt;&gt;"n/a",COUNTIF($AL$2:$AL$532,$AL285)&gt;1),"Yes","No"))))</f>
      </c>
      <c r="F285">
        <f>IF($B285&lt;&gt;"Yes","",
IF($A285="Neuron",
IF(OR(
AND($S285&lt;&gt;"",LOWER(TRIM($S285))&lt;&gt;"n/a",COUNTIFS($B$2:$B$532,"Yes",$A$2:$A$532,"Neuron",$S$2:$S$532,$S285)&gt;1),
AND($T285&lt;&gt;"",LOWER(TRIM($T285))&lt;&gt;"n/a",COUNTIFS($B$2:$B$532,"Yes",$A$2:$A$532,"Neuron",$T$2:$T$532,$T285)&gt;1),
AND($W285&lt;&gt;"",LOWER(TRIM($W285))&lt;&gt;"n/a",COUNTIFS($B$2:$B$532,"Yes",$A$2:$A$532,"Neuron",$W$2:$W$532,$W285)&gt;1)
),"Yes","No"),
IF($A285="Cybernet",
IF(OR(
AND($Y285&lt;&gt;"",LOWER(TRIM($Y285))&lt;&gt;"n/a",COUNTIFS($B$2:$B$532,"Yes",$A$2:$A$532,"Cybernet",$Y$2:$Y$532,$Y285)&gt;1),
AND($Z285&lt;&gt;"",LOWER(TRIM($Z285))&lt;&gt;"n/a",COUNTIFS($B$2:$B$532,"Yes",$A$2:$A$532,"Cybernet",$Z$2:$Z$532,$Z285)&gt;1)
),"Yes","No"),
IF(AND($AL285&lt;&gt;"",LOWER(TRIM($AL285))&lt;&gt;"n/a"),
IF(COUNTIFS($B$2:$B$532,"Yes",$A$2:$A$532,$A285,$AL$2:$AL$532,$AL285)&gt;1,"Yes","No"),
"No")
)
)
)</f>
      </c>
      <c r="BL285">
        <f>IF($T285="","",IF((IF(AND($AW285&lt;&gt;"Yes",$AW285&lt;&gt;"N/A"),"Power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",""))="","",LEFT(IF(AND($AW285&lt;&gt;"Yes",$AW285&lt;&gt;"N/A"),"Power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",""),LEN(IF(AND($AW285&lt;&gt;"Yes",$AW285&lt;&gt;"N/A"),"Power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",""))-2)))</f>
      </c>
      <c r="BM285">
        <f>IF($T285="","",IF($BL285="","Yes","Blocked"))</f>
      </c>
      <c r="BP285">
        <f>IF($BO285="","",IFERROR(VLOOKUP($BO285,'01_Warehouse_Ledger'!$A:$N,4,FALSE),""))</f>
      </c>
      <c r="BQ285">
        <f>IF($BO285="","",IFERROR(VLOOKUP($BO285,'01_Warehouse_Ledger'!$A:$N,5,FALSE),""))</f>
      </c>
      <c r="BR285">
        <f>IF($BO285="","",IFERROR(VLOOKUP($BO285,'01_Warehouse_Ledger'!$A:$N,13,FALSE),""))</f>
      </c>
    </row>
    <row r="286">
      <c r="D286">
        <f>IF($B286&lt;&gt;"Yes","",IF($C286="No","Yes",IF($C286="Yes","No","")))</f>
      </c>
      <c r="E286">
        <f>IF($A286="","",IF($A286="Neuron",IF(OR(AND($S286&lt;&gt;"",LOWER(TRIM($S286))&lt;&gt;"n/a",COUNTIF($S$2:$S$532,$S286)&gt;1),AND($T286&lt;&gt;"",LOWER(TRIM($T286))&lt;&gt;"n/a",COUNTIF($T$2:$T$532,$T286)&gt;1),AND($W286&lt;&gt;"",LOWER(TRIM($W286))&lt;&gt;"n/a",COUNTIF($W$2:$W$532,$W286)&gt;1)),"Yes","No"),IF($A286="Cybernet",IF(OR(AND($Y286&lt;&gt;"",LOWER(TRIM($Y286))&lt;&gt;"n/a",COUNTIF($Y$2:$Y$532,$Y286)&gt;1),AND($Z286&lt;&gt;"",LOWER(TRIM($Z286))&lt;&gt;"n/a",COUNTIF($Z$2:$Z$532,$Z286)&gt;1)),"Yes","No"),IF(AND($AL286&lt;&gt;"",LOWER(TRIM($AL286))&lt;&gt;"n/a",COUNTIF($AL$2:$AL$532,$AL286)&gt;1),"Yes","No"))))</f>
      </c>
      <c r="F286">
        <f>IF($B286&lt;&gt;"Yes","",
IF($A286="Neuron",
IF(OR(
AND($S286&lt;&gt;"",LOWER(TRIM($S286))&lt;&gt;"n/a",COUNTIFS($B$2:$B$532,"Yes",$A$2:$A$532,"Neuron",$S$2:$S$532,$S286)&gt;1),
AND($T286&lt;&gt;"",LOWER(TRIM($T286))&lt;&gt;"n/a",COUNTIFS($B$2:$B$532,"Yes",$A$2:$A$532,"Neuron",$T$2:$T$532,$T286)&gt;1),
AND($W286&lt;&gt;"",LOWER(TRIM($W286))&lt;&gt;"n/a",COUNTIFS($B$2:$B$532,"Yes",$A$2:$A$532,"Neuron",$W$2:$W$532,$W286)&gt;1)
),"Yes","No"),
IF($A286="Cybernet",
IF(OR(
AND($Y286&lt;&gt;"",LOWER(TRIM($Y286))&lt;&gt;"n/a",COUNTIFS($B$2:$B$532,"Yes",$A$2:$A$532,"Cybernet",$Y$2:$Y$532,$Y286)&gt;1),
AND($Z286&lt;&gt;"",LOWER(TRIM($Z286))&lt;&gt;"n/a",COUNTIFS($B$2:$B$532,"Yes",$A$2:$A$532,"Cybernet",$Z$2:$Z$532,$Z286)&gt;1)
),"Yes","No"),
IF(AND($AL286&lt;&gt;"",LOWER(TRIM($AL286))&lt;&gt;"n/a"),
IF(COUNTIFS($B$2:$B$532,"Yes",$A$2:$A$532,$A286,$AL$2:$AL$532,$AL286)&gt;1,"Yes","No"),
"No")
)
)
)</f>
      </c>
      <c r="BL286">
        <f>IF($T286="","",IF((IF(AND($AW286&lt;&gt;"Yes",$AW286&lt;&gt;"N/A"),"Power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",""))="","",LEFT(IF(AND($AW286&lt;&gt;"Yes",$AW286&lt;&gt;"N/A"),"Power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",""),LEN(IF(AND($AW286&lt;&gt;"Yes",$AW286&lt;&gt;"N/A"),"Power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",""))-2)))</f>
      </c>
      <c r="BM286">
        <f>IF($T286="","",IF($BL286="","Yes","Blocked"))</f>
      </c>
      <c r="BP286">
        <f>IF($BO286="","",IFERROR(VLOOKUP($BO286,'01_Warehouse_Ledger'!$A:$N,4,FALSE),""))</f>
      </c>
      <c r="BQ286">
        <f>IF($BO286="","",IFERROR(VLOOKUP($BO286,'01_Warehouse_Ledger'!$A:$N,5,FALSE),""))</f>
      </c>
      <c r="BR286">
        <f>IF($BO286="","",IFERROR(VLOOKUP($BO286,'01_Warehouse_Ledger'!$A:$N,13,FALSE),""))</f>
      </c>
    </row>
    <row r="287">
      <c r="D287">
        <f>IF($B287&lt;&gt;"Yes","",IF($C287="No","Yes",IF($C287="Yes","No","")))</f>
      </c>
      <c r="E287">
        <f>IF($A287="","",IF($A287="Neuron",IF(OR(AND($S287&lt;&gt;"",LOWER(TRIM($S287))&lt;&gt;"n/a",COUNTIF($S$2:$S$532,$S287)&gt;1),AND($T287&lt;&gt;"",LOWER(TRIM($T287))&lt;&gt;"n/a",COUNTIF($T$2:$T$532,$T287)&gt;1),AND($W287&lt;&gt;"",LOWER(TRIM($W287))&lt;&gt;"n/a",COUNTIF($W$2:$W$532,$W287)&gt;1)),"Yes","No"),IF($A287="Cybernet",IF(OR(AND($Y287&lt;&gt;"",LOWER(TRIM($Y287))&lt;&gt;"n/a",COUNTIF($Y$2:$Y$532,$Y287)&gt;1),AND($Z287&lt;&gt;"",LOWER(TRIM($Z287))&lt;&gt;"n/a",COUNTIF($Z$2:$Z$532,$Z287)&gt;1)),"Yes","No"),IF(AND($AL287&lt;&gt;"",LOWER(TRIM($AL287))&lt;&gt;"n/a",COUNTIF($AL$2:$AL$532,$AL287)&gt;1),"Yes","No"))))</f>
      </c>
      <c r="F287">
        <f>IF($B287&lt;&gt;"Yes","",
IF($A287="Neuron",
IF(OR(
AND($S287&lt;&gt;"",LOWER(TRIM($S287))&lt;&gt;"n/a",COUNTIFS($B$2:$B$532,"Yes",$A$2:$A$532,"Neuron",$S$2:$S$532,$S287)&gt;1),
AND($T287&lt;&gt;"",LOWER(TRIM($T287))&lt;&gt;"n/a",COUNTIFS($B$2:$B$532,"Yes",$A$2:$A$532,"Neuron",$T$2:$T$532,$T287)&gt;1),
AND($W287&lt;&gt;"",LOWER(TRIM($W287))&lt;&gt;"n/a",COUNTIFS($B$2:$B$532,"Yes",$A$2:$A$532,"Neuron",$W$2:$W$532,$W287)&gt;1)
),"Yes","No"),
IF($A287="Cybernet",
IF(OR(
AND($Y287&lt;&gt;"",LOWER(TRIM($Y287))&lt;&gt;"n/a",COUNTIFS($B$2:$B$532,"Yes",$A$2:$A$532,"Cybernet",$Y$2:$Y$532,$Y287)&gt;1),
AND($Z287&lt;&gt;"",LOWER(TRIM($Z287))&lt;&gt;"n/a",COUNTIFS($B$2:$B$532,"Yes",$A$2:$A$532,"Cybernet",$Z$2:$Z$532,$Z287)&gt;1)
),"Yes","No"),
IF(AND($AL287&lt;&gt;"",LOWER(TRIM($AL287))&lt;&gt;"n/a"),
IF(COUNTIFS($B$2:$B$532,"Yes",$A$2:$A$532,$A287,$AL$2:$AL$532,$AL287)&gt;1,"Yes","No"),
"No")
)
)
)</f>
      </c>
      <c r="BL287">
        <f>IF($T287="","",IF((IF(AND($AW287&lt;&gt;"Yes",$AW287&lt;&gt;"N/A"),"Power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",""))="","",LEFT(IF(AND($AW287&lt;&gt;"Yes",$AW287&lt;&gt;"N/A"),"Power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",""),LEN(IF(AND($AW287&lt;&gt;"Yes",$AW287&lt;&gt;"N/A"),"Power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",""))-2)))</f>
      </c>
      <c r="BM287">
        <f>IF($T287="","",IF($BL287="","Yes","Blocked"))</f>
      </c>
      <c r="BP287">
        <f>IF($BO287="","",IFERROR(VLOOKUP($BO287,'01_Warehouse_Ledger'!$A:$N,4,FALSE),""))</f>
      </c>
      <c r="BQ287">
        <f>IF($BO287="","",IFERROR(VLOOKUP($BO287,'01_Warehouse_Ledger'!$A:$N,5,FALSE),""))</f>
      </c>
      <c r="BR287">
        <f>IF($BO287="","",IFERROR(VLOOKUP($BO287,'01_Warehouse_Ledger'!$A:$N,13,FALSE),""))</f>
      </c>
    </row>
    <row r="288">
      <c r="D288">
        <f>IF($B288&lt;&gt;"Yes","",IF($C288="No","Yes",IF($C288="Yes","No","")))</f>
      </c>
      <c r="E288">
        <f>IF($A288="","",IF($A288="Neuron",IF(OR(AND($S288&lt;&gt;"",LOWER(TRIM($S288))&lt;&gt;"n/a",COUNTIF($S$2:$S$532,$S288)&gt;1),AND($T288&lt;&gt;"",LOWER(TRIM($T288))&lt;&gt;"n/a",COUNTIF($T$2:$T$532,$T288)&gt;1),AND($W288&lt;&gt;"",LOWER(TRIM($W288))&lt;&gt;"n/a",COUNTIF($W$2:$W$532,$W288)&gt;1)),"Yes","No"),IF($A288="Cybernet",IF(OR(AND($Y288&lt;&gt;"",LOWER(TRIM($Y288))&lt;&gt;"n/a",COUNTIF($Y$2:$Y$532,$Y288)&gt;1),AND($Z288&lt;&gt;"",LOWER(TRIM($Z288))&lt;&gt;"n/a",COUNTIF($Z$2:$Z$532,$Z288)&gt;1)),"Yes","No"),IF(AND($AL288&lt;&gt;"",LOWER(TRIM($AL288))&lt;&gt;"n/a",COUNTIF($AL$2:$AL$532,$AL288)&gt;1),"Yes","No"))))</f>
      </c>
      <c r="F288">
        <f>IF($B288&lt;&gt;"Yes","",
IF($A288="Neuron",
IF(OR(
AND($S288&lt;&gt;"",LOWER(TRIM($S288))&lt;&gt;"n/a",COUNTIFS($B$2:$B$532,"Yes",$A$2:$A$532,"Neuron",$S$2:$S$532,$S288)&gt;1),
AND($T288&lt;&gt;"",LOWER(TRIM($T288))&lt;&gt;"n/a",COUNTIFS($B$2:$B$532,"Yes",$A$2:$A$532,"Neuron",$T$2:$T$532,$T288)&gt;1),
AND($W288&lt;&gt;"",LOWER(TRIM($W288))&lt;&gt;"n/a",COUNTIFS($B$2:$B$532,"Yes",$A$2:$A$532,"Neuron",$W$2:$W$532,$W288)&gt;1)
),"Yes","No"),
IF($A288="Cybernet",
IF(OR(
AND($Y288&lt;&gt;"",LOWER(TRIM($Y288))&lt;&gt;"n/a",COUNTIFS($B$2:$B$532,"Yes",$A$2:$A$532,"Cybernet",$Y$2:$Y$532,$Y288)&gt;1),
AND($Z288&lt;&gt;"",LOWER(TRIM($Z288))&lt;&gt;"n/a",COUNTIFS($B$2:$B$532,"Yes",$A$2:$A$532,"Cybernet",$Z$2:$Z$532,$Z288)&gt;1)
),"Yes","No"),
IF(AND($AL288&lt;&gt;"",LOWER(TRIM($AL288))&lt;&gt;"n/a"),
IF(COUNTIFS($B$2:$B$532,"Yes",$A$2:$A$532,$A288,$AL$2:$AL$532,$AL288)&gt;1,"Yes","No"),
"No")
)
)
)</f>
      </c>
      <c r="BL288">
        <f>IF($T288="","",IF((IF(AND($AW288&lt;&gt;"Yes",$AW288&lt;&gt;"N/A"),"Power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",""))="","",LEFT(IF(AND($AW288&lt;&gt;"Yes",$AW288&lt;&gt;"N/A"),"Power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",""),LEN(IF(AND($AW288&lt;&gt;"Yes",$AW288&lt;&gt;"N/A"),"Power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",""))-2)))</f>
      </c>
      <c r="BM288">
        <f>IF($T288="","",IF($BL288="","Yes","Blocked"))</f>
      </c>
      <c r="BP288">
        <f>IF($BO288="","",IFERROR(VLOOKUP($BO288,'01_Warehouse_Ledger'!$A:$N,4,FALSE),""))</f>
      </c>
      <c r="BQ288">
        <f>IF($BO288="","",IFERROR(VLOOKUP($BO288,'01_Warehouse_Ledger'!$A:$N,5,FALSE),""))</f>
      </c>
      <c r="BR288">
        <f>IF($BO288="","",IFERROR(VLOOKUP($BO288,'01_Warehouse_Ledger'!$A:$N,13,FALSE),""))</f>
      </c>
    </row>
    <row r="289">
      <c r="D289">
        <f>IF($B289&lt;&gt;"Yes","",IF($C289="No","Yes",IF($C289="Yes","No","")))</f>
      </c>
      <c r="E289">
        <f>IF($A289="","",IF($A289="Neuron",IF(OR(AND($S289&lt;&gt;"",LOWER(TRIM($S289))&lt;&gt;"n/a",COUNTIF($S$2:$S$532,$S289)&gt;1),AND($T289&lt;&gt;"",LOWER(TRIM($T289))&lt;&gt;"n/a",COUNTIF($T$2:$T$532,$T289)&gt;1),AND($W289&lt;&gt;"",LOWER(TRIM($W289))&lt;&gt;"n/a",COUNTIF($W$2:$W$532,$W289)&gt;1)),"Yes","No"),IF($A289="Cybernet",IF(OR(AND($Y289&lt;&gt;"",LOWER(TRIM($Y289))&lt;&gt;"n/a",COUNTIF($Y$2:$Y$532,$Y289)&gt;1),AND($Z289&lt;&gt;"",LOWER(TRIM($Z289))&lt;&gt;"n/a",COUNTIF($Z$2:$Z$532,$Z289)&gt;1)),"Yes","No"),IF(AND($AL289&lt;&gt;"",LOWER(TRIM($AL289))&lt;&gt;"n/a",COUNTIF($AL$2:$AL$532,$AL289)&gt;1),"Yes","No"))))</f>
      </c>
      <c r="F289">
        <f>IF($B289&lt;&gt;"Yes","",
IF($A289="Neuron",
IF(OR(
AND($S289&lt;&gt;"",LOWER(TRIM($S289))&lt;&gt;"n/a",COUNTIFS($B$2:$B$532,"Yes",$A$2:$A$532,"Neuron",$S$2:$S$532,$S289)&gt;1),
AND($T289&lt;&gt;"",LOWER(TRIM($T289))&lt;&gt;"n/a",COUNTIFS($B$2:$B$532,"Yes",$A$2:$A$532,"Neuron",$T$2:$T$532,$T289)&gt;1),
AND($W289&lt;&gt;"",LOWER(TRIM($W289))&lt;&gt;"n/a",COUNTIFS($B$2:$B$532,"Yes",$A$2:$A$532,"Neuron",$W$2:$W$532,$W289)&gt;1)
),"Yes","No"),
IF($A289="Cybernet",
IF(OR(
AND($Y289&lt;&gt;"",LOWER(TRIM($Y289))&lt;&gt;"n/a",COUNTIFS($B$2:$B$532,"Yes",$A$2:$A$532,"Cybernet",$Y$2:$Y$532,$Y289)&gt;1),
AND($Z289&lt;&gt;"",LOWER(TRIM($Z289))&lt;&gt;"n/a",COUNTIFS($B$2:$B$532,"Yes",$A$2:$A$532,"Cybernet",$Z$2:$Z$532,$Z289)&gt;1)
),"Yes","No"),
IF(AND($AL289&lt;&gt;"",LOWER(TRIM($AL289))&lt;&gt;"n/a"),
IF(COUNTIFS($B$2:$B$532,"Yes",$A$2:$A$532,$A289,$AL$2:$AL$532,$AL289)&gt;1,"Yes","No"),
"No")
)
)
)</f>
      </c>
      <c r="BL289">
        <f>IF($T289="","",IF((IF(AND($AW289&lt;&gt;"Yes",$AW289&lt;&gt;"N/A"),"Power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",""))="","",LEFT(IF(AND($AW289&lt;&gt;"Yes",$AW289&lt;&gt;"N/A"),"Power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",""),LEN(IF(AND($AW289&lt;&gt;"Yes",$AW289&lt;&gt;"N/A"),"Power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",""))-2)))</f>
      </c>
      <c r="BM289">
        <f>IF($T289="","",IF($BL289="","Yes","Blocked"))</f>
      </c>
      <c r="BP289">
        <f>IF($BO289="","",IFERROR(VLOOKUP($BO289,'01_Warehouse_Ledger'!$A:$N,4,FALSE),""))</f>
      </c>
      <c r="BQ289">
        <f>IF($BO289="","",IFERROR(VLOOKUP($BO289,'01_Warehouse_Ledger'!$A:$N,5,FALSE),""))</f>
      </c>
      <c r="BR289">
        <f>IF($BO289="","",IFERROR(VLOOKUP($BO289,'01_Warehouse_Ledger'!$A:$N,13,FALSE),""))</f>
      </c>
    </row>
    <row r="290">
      <c r="D290">
        <f>IF($B290&lt;&gt;"Yes","",IF($C290="No","Yes",IF($C290="Yes","No","")))</f>
      </c>
      <c r="E290">
        <f>IF($A290="","",IF($A290="Neuron",IF(OR(AND($S290&lt;&gt;"",LOWER(TRIM($S290))&lt;&gt;"n/a",COUNTIF($S$2:$S$532,$S290)&gt;1),AND($T290&lt;&gt;"",LOWER(TRIM($T290))&lt;&gt;"n/a",COUNTIF($T$2:$T$532,$T290)&gt;1),AND($W290&lt;&gt;"",LOWER(TRIM($W290))&lt;&gt;"n/a",COUNTIF($W$2:$W$532,$W290)&gt;1)),"Yes","No"),IF($A290="Cybernet",IF(OR(AND($Y290&lt;&gt;"",LOWER(TRIM($Y290))&lt;&gt;"n/a",COUNTIF($Y$2:$Y$532,$Y290)&gt;1),AND($Z290&lt;&gt;"",LOWER(TRIM($Z290))&lt;&gt;"n/a",COUNTIF($Z$2:$Z$532,$Z290)&gt;1)),"Yes","No"),IF(AND($AL290&lt;&gt;"",LOWER(TRIM($AL290))&lt;&gt;"n/a",COUNTIF($AL$2:$AL$532,$AL290)&gt;1),"Yes","No"))))</f>
      </c>
      <c r="F290">
        <f>IF($B290&lt;&gt;"Yes","",
IF($A290="Neuron",
IF(OR(
AND($S290&lt;&gt;"",LOWER(TRIM($S290))&lt;&gt;"n/a",COUNTIFS($B$2:$B$532,"Yes",$A$2:$A$532,"Neuron",$S$2:$S$532,$S290)&gt;1),
AND($T290&lt;&gt;"",LOWER(TRIM($T290))&lt;&gt;"n/a",COUNTIFS($B$2:$B$532,"Yes",$A$2:$A$532,"Neuron",$T$2:$T$532,$T290)&gt;1),
AND($W290&lt;&gt;"",LOWER(TRIM($W290))&lt;&gt;"n/a",COUNTIFS($B$2:$B$532,"Yes",$A$2:$A$532,"Neuron",$W$2:$W$532,$W290)&gt;1)
),"Yes","No"),
IF($A290="Cybernet",
IF(OR(
AND($Y290&lt;&gt;"",LOWER(TRIM($Y290))&lt;&gt;"n/a",COUNTIFS($B$2:$B$532,"Yes",$A$2:$A$532,"Cybernet",$Y$2:$Y$532,$Y290)&gt;1),
AND($Z290&lt;&gt;"",LOWER(TRIM($Z290))&lt;&gt;"n/a",COUNTIFS($B$2:$B$532,"Yes",$A$2:$A$532,"Cybernet",$Z$2:$Z$532,$Z290)&gt;1)
),"Yes","No"),
IF(AND($AL290&lt;&gt;"",LOWER(TRIM($AL290))&lt;&gt;"n/a"),
IF(COUNTIFS($B$2:$B$532,"Yes",$A$2:$A$532,$A290,$AL$2:$AL$532,$AL290)&gt;1,"Yes","No"),
"No")
)
)
)</f>
      </c>
      <c r="BL290">
        <f>IF($T290="","",IF((IF(AND($AW290&lt;&gt;"Yes",$AW290&lt;&gt;"N/A"),"Power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",""))="","",LEFT(IF(AND($AW290&lt;&gt;"Yes",$AW290&lt;&gt;"N/A"),"Power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",""),LEN(IF(AND($AW290&lt;&gt;"Yes",$AW290&lt;&gt;"N/A"),"Power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",""))-2)))</f>
      </c>
      <c r="BM290">
        <f>IF($T290="","",IF($BL290="","Yes","Blocked"))</f>
      </c>
      <c r="BP290">
        <f>IF($BO290="","",IFERROR(VLOOKUP($BO290,'01_Warehouse_Ledger'!$A:$N,4,FALSE),""))</f>
      </c>
      <c r="BQ290">
        <f>IF($BO290="","",IFERROR(VLOOKUP($BO290,'01_Warehouse_Ledger'!$A:$N,5,FALSE),""))</f>
      </c>
      <c r="BR290">
        <f>IF($BO290="","",IFERROR(VLOOKUP($BO290,'01_Warehouse_Ledger'!$A:$N,13,FALSE),""))</f>
      </c>
    </row>
    <row r="291">
      <c r="D291">
        <f>IF($B291&lt;&gt;"Yes","",IF($C291="No","Yes",IF($C291="Yes","No","")))</f>
      </c>
      <c r="E291">
        <f>IF($A291="","",IF($A291="Neuron",IF(OR(AND($S291&lt;&gt;"",LOWER(TRIM($S291))&lt;&gt;"n/a",COUNTIF($S$2:$S$532,$S291)&gt;1),AND($T291&lt;&gt;"",LOWER(TRIM($T291))&lt;&gt;"n/a",COUNTIF($T$2:$T$532,$T291)&gt;1),AND($W291&lt;&gt;"",LOWER(TRIM($W291))&lt;&gt;"n/a",COUNTIF($W$2:$W$532,$W291)&gt;1)),"Yes","No"),IF($A291="Cybernet",IF(OR(AND($Y291&lt;&gt;"",LOWER(TRIM($Y291))&lt;&gt;"n/a",COUNTIF($Y$2:$Y$532,$Y291)&gt;1),AND($Z291&lt;&gt;"",LOWER(TRIM($Z291))&lt;&gt;"n/a",COUNTIF($Z$2:$Z$532,$Z291)&gt;1)),"Yes","No"),IF(AND($AL291&lt;&gt;"",LOWER(TRIM($AL291))&lt;&gt;"n/a",COUNTIF($AL$2:$AL$532,$AL291)&gt;1),"Yes","No"))))</f>
      </c>
      <c r="F291">
        <f>IF($B291&lt;&gt;"Yes","",
IF($A291="Neuron",
IF(OR(
AND($S291&lt;&gt;"",LOWER(TRIM($S291))&lt;&gt;"n/a",COUNTIFS($B$2:$B$532,"Yes",$A$2:$A$532,"Neuron",$S$2:$S$532,$S291)&gt;1),
AND($T291&lt;&gt;"",LOWER(TRIM($T291))&lt;&gt;"n/a",COUNTIFS($B$2:$B$532,"Yes",$A$2:$A$532,"Neuron",$T$2:$T$532,$T291)&gt;1),
AND($W291&lt;&gt;"",LOWER(TRIM($W291))&lt;&gt;"n/a",COUNTIFS($B$2:$B$532,"Yes",$A$2:$A$532,"Neuron",$W$2:$W$532,$W291)&gt;1)
),"Yes","No"),
IF($A291="Cybernet",
IF(OR(
AND($Y291&lt;&gt;"",LOWER(TRIM($Y291))&lt;&gt;"n/a",COUNTIFS($B$2:$B$532,"Yes",$A$2:$A$532,"Cybernet",$Y$2:$Y$532,$Y291)&gt;1),
AND($Z291&lt;&gt;"",LOWER(TRIM($Z291))&lt;&gt;"n/a",COUNTIFS($B$2:$B$532,"Yes",$A$2:$A$532,"Cybernet",$Z$2:$Z$532,$Z291)&gt;1)
),"Yes","No"),
IF(AND($AL291&lt;&gt;"",LOWER(TRIM($AL291))&lt;&gt;"n/a"),
IF(COUNTIFS($B$2:$B$532,"Yes",$A$2:$A$532,$A291,$AL$2:$AL$532,$AL291)&gt;1,"Yes","No"),
"No")
)
)
)</f>
      </c>
      <c r="BL291">
        <f>IF($T291="","",IF((IF(AND($AW291&lt;&gt;"Yes",$AW291&lt;&gt;"N/A"),"Power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",""))="","",LEFT(IF(AND($AW291&lt;&gt;"Yes",$AW291&lt;&gt;"N/A"),"Power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",""),LEN(IF(AND($AW291&lt;&gt;"Yes",$AW291&lt;&gt;"N/A"),"Power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",""))-2)))</f>
      </c>
      <c r="BM291">
        <f>IF($T291="","",IF($BL291="","Yes","Blocked"))</f>
      </c>
      <c r="BP291">
        <f>IF($BO291="","",IFERROR(VLOOKUP($BO291,'01_Warehouse_Ledger'!$A:$N,4,FALSE),""))</f>
      </c>
      <c r="BQ291">
        <f>IF($BO291="","",IFERROR(VLOOKUP($BO291,'01_Warehouse_Ledger'!$A:$N,5,FALSE),""))</f>
      </c>
      <c r="BR291">
        <f>IF($BO291="","",IFERROR(VLOOKUP($BO291,'01_Warehouse_Ledger'!$A:$N,13,FALSE),""))</f>
      </c>
    </row>
    <row r="292">
      <c r="D292">
        <f>IF($B292&lt;&gt;"Yes","",IF($C292="No","Yes",IF($C292="Yes","No","")))</f>
      </c>
      <c r="E292">
        <f>IF($A292="","",IF($A292="Neuron",IF(OR(AND($S292&lt;&gt;"",LOWER(TRIM($S292))&lt;&gt;"n/a",COUNTIF($S$2:$S$532,$S292)&gt;1),AND($T292&lt;&gt;"",LOWER(TRIM($T292))&lt;&gt;"n/a",COUNTIF($T$2:$T$532,$T292)&gt;1),AND($W292&lt;&gt;"",LOWER(TRIM($W292))&lt;&gt;"n/a",COUNTIF($W$2:$W$532,$W292)&gt;1)),"Yes","No"),IF($A292="Cybernet",IF(OR(AND($Y292&lt;&gt;"",LOWER(TRIM($Y292))&lt;&gt;"n/a",COUNTIF($Y$2:$Y$532,$Y292)&gt;1),AND($Z292&lt;&gt;"",LOWER(TRIM($Z292))&lt;&gt;"n/a",COUNTIF($Z$2:$Z$532,$Z292)&gt;1)),"Yes","No"),IF(AND($AL292&lt;&gt;"",LOWER(TRIM($AL292))&lt;&gt;"n/a",COUNTIF($AL$2:$AL$532,$AL292)&gt;1),"Yes","No"))))</f>
      </c>
      <c r="F292">
        <f>IF($B292&lt;&gt;"Yes","",
IF($A292="Neuron",
IF(OR(
AND($S292&lt;&gt;"",LOWER(TRIM($S292))&lt;&gt;"n/a",COUNTIFS($B$2:$B$532,"Yes",$A$2:$A$532,"Neuron",$S$2:$S$532,$S292)&gt;1),
AND($T292&lt;&gt;"",LOWER(TRIM($T292))&lt;&gt;"n/a",COUNTIFS($B$2:$B$532,"Yes",$A$2:$A$532,"Neuron",$T$2:$T$532,$T292)&gt;1),
AND($W292&lt;&gt;"",LOWER(TRIM($W292))&lt;&gt;"n/a",COUNTIFS($B$2:$B$532,"Yes",$A$2:$A$532,"Neuron",$W$2:$W$532,$W292)&gt;1)
),"Yes","No"),
IF($A292="Cybernet",
IF(OR(
AND($Y292&lt;&gt;"",LOWER(TRIM($Y292))&lt;&gt;"n/a",COUNTIFS($B$2:$B$532,"Yes",$A$2:$A$532,"Cybernet",$Y$2:$Y$532,$Y292)&gt;1),
AND($Z292&lt;&gt;"",LOWER(TRIM($Z292))&lt;&gt;"n/a",COUNTIFS($B$2:$B$532,"Yes",$A$2:$A$532,"Cybernet",$Z$2:$Z$532,$Z292)&gt;1)
),"Yes","No"),
IF(AND($AL292&lt;&gt;"",LOWER(TRIM($AL292))&lt;&gt;"n/a"),
IF(COUNTIFS($B$2:$B$532,"Yes",$A$2:$A$532,$A292,$AL$2:$AL$532,$AL292)&gt;1,"Yes","No"),
"No")
)
)
)</f>
      </c>
      <c r="BL292">
        <f>IF($T292="","",IF((IF(AND($AW292&lt;&gt;"Yes",$AW292&lt;&gt;"N/A"),"Power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",""))="","",LEFT(IF(AND($AW292&lt;&gt;"Yes",$AW292&lt;&gt;"N/A"),"Power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",""),LEN(IF(AND($AW292&lt;&gt;"Yes",$AW292&lt;&gt;"N/A"),"Power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",""))-2)))</f>
      </c>
      <c r="BM292">
        <f>IF($T292="","",IF($BL292="","Yes","Blocked"))</f>
      </c>
      <c r="BP292">
        <f>IF($BO292="","",IFERROR(VLOOKUP($BO292,'01_Warehouse_Ledger'!$A:$N,4,FALSE),""))</f>
      </c>
      <c r="BQ292">
        <f>IF($BO292="","",IFERROR(VLOOKUP($BO292,'01_Warehouse_Ledger'!$A:$N,5,FALSE),""))</f>
      </c>
      <c r="BR292">
        <f>IF($BO292="","",IFERROR(VLOOKUP($BO292,'01_Warehouse_Ledger'!$A:$N,13,FALSE),""))</f>
      </c>
    </row>
    <row r="293">
      <c r="D293">
        <f>IF($B293&lt;&gt;"Yes","",IF($C293="No","Yes",IF($C293="Yes","No","")))</f>
      </c>
      <c r="E293">
        <f>IF($A293="","",IF($A293="Neuron",IF(OR(AND($S293&lt;&gt;"",LOWER(TRIM($S293))&lt;&gt;"n/a",COUNTIF($S$2:$S$532,$S293)&gt;1),AND($T293&lt;&gt;"",LOWER(TRIM($T293))&lt;&gt;"n/a",COUNTIF($T$2:$T$532,$T293)&gt;1),AND($W293&lt;&gt;"",LOWER(TRIM($W293))&lt;&gt;"n/a",COUNTIF($W$2:$W$532,$W293)&gt;1)),"Yes","No"),IF($A293="Cybernet",IF(OR(AND($Y293&lt;&gt;"",LOWER(TRIM($Y293))&lt;&gt;"n/a",COUNTIF($Y$2:$Y$532,$Y293)&gt;1),AND($Z293&lt;&gt;"",LOWER(TRIM($Z293))&lt;&gt;"n/a",COUNTIF($Z$2:$Z$532,$Z293)&gt;1)),"Yes","No"),IF(AND($AL293&lt;&gt;"",LOWER(TRIM($AL293))&lt;&gt;"n/a",COUNTIF($AL$2:$AL$532,$AL293)&gt;1),"Yes","No"))))</f>
      </c>
      <c r="F293">
        <f>IF($B293&lt;&gt;"Yes","",
IF($A293="Neuron",
IF(OR(
AND($S293&lt;&gt;"",LOWER(TRIM($S293))&lt;&gt;"n/a",COUNTIFS($B$2:$B$532,"Yes",$A$2:$A$532,"Neuron",$S$2:$S$532,$S293)&gt;1),
AND($T293&lt;&gt;"",LOWER(TRIM($T293))&lt;&gt;"n/a",COUNTIFS($B$2:$B$532,"Yes",$A$2:$A$532,"Neuron",$T$2:$T$532,$T293)&gt;1),
AND($W293&lt;&gt;"",LOWER(TRIM($W293))&lt;&gt;"n/a",COUNTIFS($B$2:$B$532,"Yes",$A$2:$A$532,"Neuron",$W$2:$W$532,$W293)&gt;1)
),"Yes","No"),
IF($A293="Cybernet",
IF(OR(
AND($Y293&lt;&gt;"",LOWER(TRIM($Y293))&lt;&gt;"n/a",COUNTIFS($B$2:$B$532,"Yes",$A$2:$A$532,"Cybernet",$Y$2:$Y$532,$Y293)&gt;1),
AND($Z293&lt;&gt;"",LOWER(TRIM($Z293))&lt;&gt;"n/a",COUNTIFS($B$2:$B$532,"Yes",$A$2:$A$532,"Cybernet",$Z$2:$Z$532,$Z293)&gt;1)
),"Yes","No"),
IF(AND($AL293&lt;&gt;"",LOWER(TRIM($AL293))&lt;&gt;"n/a"),
IF(COUNTIFS($B$2:$B$532,"Yes",$A$2:$A$532,$A293,$AL$2:$AL$532,$AL293)&gt;1,"Yes","No"),
"No")
)
)
)</f>
      </c>
      <c r="BL293">
        <f>IF($T293="","",IF((IF(AND($AW293&lt;&gt;"Yes",$AW293&lt;&gt;"N/A"),"Power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",""))="","",LEFT(IF(AND($AW293&lt;&gt;"Yes",$AW293&lt;&gt;"N/A"),"Power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",""),LEN(IF(AND($AW293&lt;&gt;"Yes",$AW293&lt;&gt;"N/A"),"Power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",""))-2)))</f>
      </c>
      <c r="BM293">
        <f>IF($T293="","",IF($BL293="","Yes","Blocked"))</f>
      </c>
      <c r="BP293">
        <f>IF($BO293="","",IFERROR(VLOOKUP($BO293,'01_Warehouse_Ledger'!$A:$N,4,FALSE),""))</f>
      </c>
      <c r="BQ293">
        <f>IF($BO293="","",IFERROR(VLOOKUP($BO293,'01_Warehouse_Ledger'!$A:$N,5,FALSE),""))</f>
      </c>
      <c r="BR293">
        <f>IF($BO293="","",IFERROR(VLOOKUP($BO293,'01_Warehouse_Ledger'!$A:$N,13,FALSE),""))</f>
      </c>
    </row>
    <row r="294">
      <c r="D294">
        <f>IF($B294&lt;&gt;"Yes","",IF($C294="No","Yes",IF($C294="Yes","No","")))</f>
      </c>
      <c r="E294">
        <f>IF($A294="","",IF($A294="Neuron",IF(OR(AND($S294&lt;&gt;"",LOWER(TRIM($S294))&lt;&gt;"n/a",COUNTIF($S$2:$S$532,$S294)&gt;1),AND($T294&lt;&gt;"",LOWER(TRIM($T294))&lt;&gt;"n/a",COUNTIF($T$2:$T$532,$T294)&gt;1),AND($W294&lt;&gt;"",LOWER(TRIM($W294))&lt;&gt;"n/a",COUNTIF($W$2:$W$532,$W294)&gt;1)),"Yes","No"),IF($A294="Cybernet",IF(OR(AND($Y294&lt;&gt;"",LOWER(TRIM($Y294))&lt;&gt;"n/a",COUNTIF($Y$2:$Y$532,$Y294)&gt;1),AND($Z294&lt;&gt;"",LOWER(TRIM($Z294))&lt;&gt;"n/a",COUNTIF($Z$2:$Z$532,$Z294)&gt;1)),"Yes","No"),IF(AND($AL294&lt;&gt;"",LOWER(TRIM($AL294))&lt;&gt;"n/a",COUNTIF($AL$2:$AL$532,$AL294)&gt;1),"Yes","No"))))</f>
      </c>
      <c r="F294">
        <f>IF($B294&lt;&gt;"Yes","",
IF($A294="Neuron",
IF(OR(
AND($S294&lt;&gt;"",LOWER(TRIM($S294))&lt;&gt;"n/a",COUNTIFS($B$2:$B$532,"Yes",$A$2:$A$532,"Neuron",$S$2:$S$532,$S294)&gt;1),
AND($T294&lt;&gt;"",LOWER(TRIM($T294))&lt;&gt;"n/a",COUNTIFS($B$2:$B$532,"Yes",$A$2:$A$532,"Neuron",$T$2:$T$532,$T294)&gt;1),
AND($W294&lt;&gt;"",LOWER(TRIM($W294))&lt;&gt;"n/a",COUNTIFS($B$2:$B$532,"Yes",$A$2:$A$532,"Neuron",$W$2:$W$532,$W294)&gt;1)
),"Yes","No"),
IF($A294="Cybernet",
IF(OR(
AND($Y294&lt;&gt;"",LOWER(TRIM($Y294))&lt;&gt;"n/a",COUNTIFS($B$2:$B$532,"Yes",$A$2:$A$532,"Cybernet",$Y$2:$Y$532,$Y294)&gt;1),
AND($Z294&lt;&gt;"",LOWER(TRIM($Z294))&lt;&gt;"n/a",COUNTIFS($B$2:$B$532,"Yes",$A$2:$A$532,"Cybernet",$Z$2:$Z$532,$Z294)&gt;1)
),"Yes","No"),
IF(AND($AL294&lt;&gt;"",LOWER(TRIM($AL294))&lt;&gt;"n/a"),
IF(COUNTIFS($B$2:$B$532,"Yes",$A$2:$A$532,$A294,$AL$2:$AL$532,$AL294)&gt;1,"Yes","No"),
"No")
)
)
)</f>
      </c>
      <c r="BL294">
        <f>IF($T294="","",IF((IF(AND($AW294&lt;&gt;"Yes",$AW294&lt;&gt;"N/A"),"Power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",""))="","",LEFT(IF(AND($AW294&lt;&gt;"Yes",$AW294&lt;&gt;"N/A"),"Power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",""),LEN(IF(AND($AW294&lt;&gt;"Yes",$AW294&lt;&gt;"N/A"),"Power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",""))-2)))</f>
      </c>
      <c r="BM294">
        <f>IF($T294="","",IF($BL294="","Yes","Blocked"))</f>
      </c>
      <c r="BP294">
        <f>IF($BO294="","",IFERROR(VLOOKUP($BO294,'01_Warehouse_Ledger'!$A:$N,4,FALSE),""))</f>
      </c>
      <c r="BQ294">
        <f>IF($BO294="","",IFERROR(VLOOKUP($BO294,'01_Warehouse_Ledger'!$A:$N,5,FALSE),""))</f>
      </c>
      <c r="BR294">
        <f>IF($BO294="","",IFERROR(VLOOKUP($BO294,'01_Warehouse_Ledger'!$A:$N,13,FALSE),""))</f>
      </c>
    </row>
    <row r="295">
      <c r="D295">
        <f>IF($B295&lt;&gt;"Yes","",IF($C295="No","Yes",IF($C295="Yes","No","")))</f>
      </c>
      <c r="E295">
        <f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</c>
      <c r="F295">
        <f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</c>
      <c r="BL295">
        <f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</c>
      <c r="BM295">
        <f>IF($T295="","",IF($BL295="","Yes","Blocked"))</f>
      </c>
      <c r="BP295">
        <f>IF($BO295="","",IFERROR(VLOOKUP($BO295,'01_Warehouse_Ledger'!$A:$N,4,FALSE),""))</f>
      </c>
      <c r="BQ295">
        <f>IF($BO295="","",IFERROR(VLOOKUP($BO295,'01_Warehouse_Ledger'!$A:$N,5,FALSE),""))</f>
      </c>
      <c r="BR295">
        <f>IF($BO295="","",IFERROR(VLOOKUP($BO295,'01_Warehouse_Ledger'!$A:$N,13,FALSE),""))</f>
      </c>
    </row>
    <row r="296">
      <c r="D296">
        <f>IF($B296&lt;&gt;"Yes","",IF($C296="No","Yes",IF($C296="Yes","No","")))</f>
      </c>
      <c r="E296">
        <f>IF($A296="","",IF($A296="Neuron",IF(OR(AND($S296&lt;&gt;"",LOWER(TRIM($S296))&lt;&gt;"n/a",COUNTIF($S$2:$S$532,$S296)&gt;1),AND($T296&lt;&gt;"",LOWER(TRIM($T296))&lt;&gt;"n/a",COUNTIF($T$2:$T$532,$T296)&gt;1),AND($W296&lt;&gt;"",LOWER(TRIM($W296))&lt;&gt;"n/a",COUNTIF($W$2:$W$532,$W296)&gt;1)),"Yes","No"),IF($A296="Cybernet",IF(OR(AND($Y296&lt;&gt;"",LOWER(TRIM($Y296))&lt;&gt;"n/a",COUNTIF($Y$2:$Y$532,$Y296)&gt;1),AND($Z296&lt;&gt;"",LOWER(TRIM($Z296))&lt;&gt;"n/a",COUNTIF($Z$2:$Z$532,$Z296)&gt;1)),"Yes","No"),IF(AND($AL296&lt;&gt;"",LOWER(TRIM($AL296))&lt;&gt;"n/a",COUNTIF($AL$2:$AL$532,$AL296)&gt;1),"Yes","No"))))</f>
      </c>
      <c r="F296">
        <f>IF($B296&lt;&gt;"Yes","",
IF($A296="Neuron",
IF(OR(
AND($S296&lt;&gt;"",LOWER(TRIM($S296))&lt;&gt;"n/a",COUNTIFS($B$2:$B$532,"Yes",$A$2:$A$532,"Neuron",$S$2:$S$532,$S296)&gt;1),
AND($T296&lt;&gt;"",LOWER(TRIM($T296))&lt;&gt;"n/a",COUNTIFS($B$2:$B$532,"Yes",$A$2:$A$532,"Neuron",$T$2:$T$532,$T296)&gt;1),
AND($W296&lt;&gt;"",LOWER(TRIM($W296))&lt;&gt;"n/a",COUNTIFS($B$2:$B$532,"Yes",$A$2:$A$532,"Neuron",$W$2:$W$532,$W296)&gt;1)
),"Yes","No"),
IF($A296="Cybernet",
IF(OR(
AND($Y296&lt;&gt;"",LOWER(TRIM($Y296))&lt;&gt;"n/a",COUNTIFS($B$2:$B$532,"Yes",$A$2:$A$532,"Cybernet",$Y$2:$Y$532,$Y296)&gt;1),
AND($Z296&lt;&gt;"",LOWER(TRIM($Z296))&lt;&gt;"n/a",COUNTIFS($B$2:$B$532,"Yes",$A$2:$A$532,"Cybernet",$Z$2:$Z$532,$Z296)&gt;1)
),"Yes","No"),
IF(AND($AL296&lt;&gt;"",LOWER(TRIM($AL296))&lt;&gt;"n/a"),
IF(COUNTIFS($B$2:$B$532,"Yes",$A$2:$A$532,$A296,$AL$2:$AL$532,$AL296)&gt;1,"Yes","No"),
"No")
)
)
)</f>
      </c>
      <c r="BL296">
        <f>IF($T296="","",IF((IF(AND($AW296&lt;&gt;"Yes",$AW296&lt;&gt;"N/A"),"Power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",""))="","",LEFT(IF(AND($AW296&lt;&gt;"Yes",$AW296&lt;&gt;"N/A"),"Power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",""),LEN(IF(AND($AW296&lt;&gt;"Yes",$AW296&lt;&gt;"N/A"),"Power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",""))-2)))</f>
      </c>
      <c r="BM296">
        <f>IF($T296="","",IF($BL296="","Yes","Blocked"))</f>
      </c>
      <c r="BP296">
        <f>IF($BO296="","",IFERROR(VLOOKUP($BO296,'01_Warehouse_Ledger'!$A:$N,4,FALSE),""))</f>
      </c>
      <c r="BQ296">
        <f>IF($BO296="","",IFERROR(VLOOKUP($BO296,'01_Warehouse_Ledger'!$A:$N,5,FALSE),""))</f>
      </c>
      <c r="BR296">
        <f>IF($BO296="","",IFERROR(VLOOKUP($BO296,'01_Warehouse_Ledger'!$A:$N,13,FALSE),""))</f>
      </c>
    </row>
    <row r="297">
      <c r="D297">
        <f>IF($B297&lt;&gt;"Yes","",IF($C297="No","Yes",IF($C297="Yes","No","")))</f>
      </c>
      <c r="E297">
        <f>IF($A297="","",IF($A297="Neuron",IF(OR(AND($S297&lt;&gt;"",LOWER(TRIM($S297))&lt;&gt;"n/a",COUNTIF($S$2:$S$532,$S297)&gt;1),AND($T297&lt;&gt;"",LOWER(TRIM($T297))&lt;&gt;"n/a",COUNTIF($T$2:$T$532,$T297)&gt;1),AND($W297&lt;&gt;"",LOWER(TRIM($W297))&lt;&gt;"n/a",COUNTIF($W$2:$W$532,$W297)&gt;1)),"Yes","No"),IF($A297="Cybernet",IF(OR(AND($Y297&lt;&gt;"",LOWER(TRIM($Y297))&lt;&gt;"n/a",COUNTIF($Y$2:$Y$532,$Y297)&gt;1),AND($Z297&lt;&gt;"",LOWER(TRIM($Z297))&lt;&gt;"n/a",COUNTIF($Z$2:$Z$532,$Z297)&gt;1)),"Yes","No"),IF(AND($AL297&lt;&gt;"",LOWER(TRIM($AL297))&lt;&gt;"n/a",COUNTIF($AL$2:$AL$532,$AL297)&gt;1),"Yes","No"))))</f>
      </c>
      <c r="F297">
        <f>IF($B297&lt;&gt;"Yes","",
IF($A297="Neuron",
IF(OR(
AND($S297&lt;&gt;"",LOWER(TRIM($S297))&lt;&gt;"n/a",COUNTIFS($B$2:$B$532,"Yes",$A$2:$A$532,"Neuron",$S$2:$S$532,$S297)&gt;1),
AND($T297&lt;&gt;"",LOWER(TRIM($T297))&lt;&gt;"n/a",COUNTIFS($B$2:$B$532,"Yes",$A$2:$A$532,"Neuron",$T$2:$T$532,$T297)&gt;1),
AND($W297&lt;&gt;"",LOWER(TRIM($W297))&lt;&gt;"n/a",COUNTIFS($B$2:$B$532,"Yes",$A$2:$A$532,"Neuron",$W$2:$W$532,$W297)&gt;1)
),"Yes","No"),
IF($A297="Cybernet",
IF(OR(
AND($Y297&lt;&gt;"",LOWER(TRIM($Y297))&lt;&gt;"n/a",COUNTIFS($B$2:$B$532,"Yes",$A$2:$A$532,"Cybernet",$Y$2:$Y$532,$Y297)&gt;1),
AND($Z297&lt;&gt;"",LOWER(TRIM($Z297))&lt;&gt;"n/a",COUNTIFS($B$2:$B$532,"Yes",$A$2:$A$532,"Cybernet",$Z$2:$Z$532,$Z297)&gt;1)
),"Yes","No"),
IF(AND($AL297&lt;&gt;"",LOWER(TRIM($AL297))&lt;&gt;"n/a"),
IF(COUNTIFS($B$2:$B$532,"Yes",$A$2:$A$532,$A297,$AL$2:$AL$532,$AL297)&gt;1,"Yes","No"),
"No")
)
)
)</f>
      </c>
      <c r="BL297">
        <f>IF($T297="","",IF((IF(AND($AW297&lt;&gt;"Yes",$AW297&lt;&gt;"N/A"),"Power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",""))="","",LEFT(IF(AND($AW297&lt;&gt;"Yes",$AW297&lt;&gt;"N/A"),"Power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",""),LEN(IF(AND($AW297&lt;&gt;"Yes",$AW297&lt;&gt;"N/A"),"Power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",""))-2)))</f>
      </c>
      <c r="BM297">
        <f>IF($T297="","",IF($BL297="","Yes","Blocked"))</f>
      </c>
      <c r="BP297">
        <f>IF($BO297="","",IFERROR(VLOOKUP($BO297,'01_Warehouse_Ledger'!$A:$N,4,FALSE),""))</f>
      </c>
      <c r="BQ297">
        <f>IF($BO297="","",IFERROR(VLOOKUP($BO297,'01_Warehouse_Ledger'!$A:$N,5,FALSE),""))</f>
      </c>
      <c r="BR297">
        <f>IF($BO297="","",IFERROR(VLOOKUP($BO297,'01_Warehouse_Ledger'!$A:$N,13,FALSE),""))</f>
      </c>
    </row>
    <row r="298">
      <c r="D298">
        <f>IF($B298&lt;&gt;"Yes","",IF($C298="No","Yes",IF($C298="Yes","No","")))</f>
      </c>
      <c r="E298">
        <f>IF($A298="","",IF($A298="Neuron",IF(OR(AND($S298&lt;&gt;"",LOWER(TRIM($S298))&lt;&gt;"n/a",COUNTIF($S$2:$S$532,$S298)&gt;1),AND($T298&lt;&gt;"",LOWER(TRIM($T298))&lt;&gt;"n/a",COUNTIF($T$2:$T$532,$T298)&gt;1),AND($W298&lt;&gt;"",LOWER(TRIM($W298))&lt;&gt;"n/a",COUNTIF($W$2:$W$532,$W298)&gt;1)),"Yes","No"),IF($A298="Cybernet",IF(OR(AND($Y298&lt;&gt;"",LOWER(TRIM($Y298))&lt;&gt;"n/a",COUNTIF($Y$2:$Y$532,$Y298)&gt;1),AND($Z298&lt;&gt;"",LOWER(TRIM($Z298))&lt;&gt;"n/a",COUNTIF($Z$2:$Z$532,$Z298)&gt;1)),"Yes","No"),IF(AND($AL298&lt;&gt;"",LOWER(TRIM($AL298))&lt;&gt;"n/a",COUNTIF($AL$2:$AL$532,$AL298)&gt;1),"Yes","No"))))</f>
      </c>
      <c r="F298">
        <f>IF($B298&lt;&gt;"Yes","",
IF($A298="Neuron",
IF(OR(
AND($S298&lt;&gt;"",LOWER(TRIM($S298))&lt;&gt;"n/a",COUNTIFS($B$2:$B$532,"Yes",$A$2:$A$532,"Neuron",$S$2:$S$532,$S298)&gt;1),
AND($T298&lt;&gt;"",LOWER(TRIM($T298))&lt;&gt;"n/a",COUNTIFS($B$2:$B$532,"Yes",$A$2:$A$532,"Neuron",$T$2:$T$532,$T298)&gt;1),
AND($W298&lt;&gt;"",LOWER(TRIM($W298))&lt;&gt;"n/a",COUNTIFS($B$2:$B$532,"Yes",$A$2:$A$532,"Neuron",$W$2:$W$532,$W298)&gt;1)
),"Yes","No"),
IF($A298="Cybernet",
IF(OR(
AND($Y298&lt;&gt;"",LOWER(TRIM($Y298))&lt;&gt;"n/a",COUNTIFS($B$2:$B$532,"Yes",$A$2:$A$532,"Cybernet",$Y$2:$Y$532,$Y298)&gt;1),
AND($Z298&lt;&gt;"",LOWER(TRIM($Z298))&lt;&gt;"n/a",COUNTIFS($B$2:$B$532,"Yes",$A$2:$A$532,"Cybernet",$Z$2:$Z$532,$Z298)&gt;1)
),"Yes","No"),
IF(AND($AL298&lt;&gt;"",LOWER(TRIM($AL298))&lt;&gt;"n/a"),
IF(COUNTIFS($B$2:$B$532,"Yes",$A$2:$A$532,$A298,$AL$2:$AL$532,$AL298)&gt;1,"Yes","No"),
"No")
)
)
)</f>
      </c>
      <c r="BL298">
        <f>IF($T298="","",IF((IF(AND($AW298&lt;&gt;"Yes",$AW298&lt;&gt;"N/A"),"Power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",""))="","",LEFT(IF(AND($AW298&lt;&gt;"Yes",$AW298&lt;&gt;"N/A"),"Power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",""),LEN(IF(AND($AW298&lt;&gt;"Yes",$AW298&lt;&gt;"N/A"),"Power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",""))-2)))</f>
      </c>
      <c r="BM298">
        <f>IF($T298="","",IF($BL298="","Yes","Blocked"))</f>
      </c>
      <c r="BP298">
        <f>IF($BO298="","",IFERROR(VLOOKUP($BO298,'01_Warehouse_Ledger'!$A:$N,4,FALSE),""))</f>
      </c>
      <c r="BQ298">
        <f>IF($BO298="","",IFERROR(VLOOKUP($BO298,'01_Warehouse_Ledger'!$A:$N,5,FALSE),""))</f>
      </c>
      <c r="BR298">
        <f>IF($BO298="","",IFERROR(VLOOKUP($BO298,'01_Warehouse_Ledger'!$A:$N,13,FALSE),""))</f>
      </c>
    </row>
    <row r="299">
      <c r="D299">
        <f>IF($B299&lt;&gt;"Yes","",IF($C299="No","Yes",IF($C299="Yes","No","")))</f>
      </c>
      <c r="E299">
        <f>IF($A299="","",IF($A299="Neuron",IF(OR(AND($S299&lt;&gt;"",LOWER(TRIM($S299))&lt;&gt;"n/a",COUNTIF($S$2:$S$532,$S299)&gt;1),AND($T299&lt;&gt;"",LOWER(TRIM($T299))&lt;&gt;"n/a",COUNTIF($T$2:$T$532,$T299)&gt;1),AND($W299&lt;&gt;"",LOWER(TRIM($W299))&lt;&gt;"n/a",COUNTIF($W$2:$W$532,$W299)&gt;1)),"Yes","No"),IF($A299="Cybernet",IF(OR(AND($Y299&lt;&gt;"",LOWER(TRIM($Y299))&lt;&gt;"n/a",COUNTIF($Y$2:$Y$532,$Y299)&gt;1),AND($Z299&lt;&gt;"",LOWER(TRIM($Z299))&lt;&gt;"n/a",COUNTIF($Z$2:$Z$532,$Z299)&gt;1)),"Yes","No"),IF(AND($AL299&lt;&gt;"",LOWER(TRIM($AL299))&lt;&gt;"n/a",COUNTIF($AL$2:$AL$532,$AL299)&gt;1),"Yes","No"))))</f>
      </c>
      <c r="F299">
        <f>IF($B299&lt;&gt;"Yes","",
IF($A299="Neuron",
IF(OR(
AND($S299&lt;&gt;"",LOWER(TRIM($S299))&lt;&gt;"n/a",COUNTIFS($B$2:$B$532,"Yes",$A$2:$A$532,"Neuron",$S$2:$S$532,$S299)&gt;1),
AND($T299&lt;&gt;"",LOWER(TRIM($T299))&lt;&gt;"n/a",COUNTIFS($B$2:$B$532,"Yes",$A$2:$A$532,"Neuron",$T$2:$T$532,$T299)&gt;1),
AND($W299&lt;&gt;"",LOWER(TRIM($W299))&lt;&gt;"n/a",COUNTIFS($B$2:$B$532,"Yes",$A$2:$A$532,"Neuron",$W$2:$W$532,$W299)&gt;1)
),"Yes","No"),
IF($A299="Cybernet",
IF(OR(
AND($Y299&lt;&gt;"",LOWER(TRIM($Y299))&lt;&gt;"n/a",COUNTIFS($B$2:$B$532,"Yes",$A$2:$A$532,"Cybernet",$Y$2:$Y$532,$Y299)&gt;1),
AND($Z299&lt;&gt;"",LOWER(TRIM($Z299))&lt;&gt;"n/a",COUNTIFS($B$2:$B$532,"Yes",$A$2:$A$532,"Cybernet",$Z$2:$Z$532,$Z299)&gt;1)
),"Yes","No"),
IF(AND($AL299&lt;&gt;"",LOWER(TRIM($AL299))&lt;&gt;"n/a"),
IF(COUNTIFS($B$2:$B$532,"Yes",$A$2:$A$532,$A299,$AL$2:$AL$532,$AL299)&gt;1,"Yes","No"),
"No")
)
)
)</f>
      </c>
      <c r="BL299">
        <f>IF($T299="","",IF((IF(AND($AW299&lt;&gt;"Yes",$AW299&lt;&gt;"N/A"),"Power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",""))="","",LEFT(IF(AND($AW299&lt;&gt;"Yes",$AW299&lt;&gt;"N/A"),"Power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",""),LEN(IF(AND($AW299&lt;&gt;"Yes",$AW299&lt;&gt;"N/A"),"Power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",""))-2)))</f>
      </c>
      <c r="BM299">
        <f>IF($T299="","",IF($BL299="","Yes","Blocked"))</f>
      </c>
      <c r="BP299">
        <f>IF($BO299="","",IFERROR(VLOOKUP($BO299,'01_Warehouse_Ledger'!$A:$N,4,FALSE),""))</f>
      </c>
      <c r="BQ299">
        <f>IF($BO299="","",IFERROR(VLOOKUP($BO299,'01_Warehouse_Ledger'!$A:$N,5,FALSE),""))</f>
      </c>
      <c r="BR299">
        <f>IF($BO299="","",IFERROR(VLOOKUP($BO299,'01_Warehouse_Ledger'!$A:$N,13,FALSE),""))</f>
      </c>
    </row>
    <row r="300">
      <c r="D300">
        <f>IF($B300&lt;&gt;"Yes","",IF($C300="No","Yes",IF($C300="Yes","No","")))</f>
      </c>
      <c r="E300">
        <f>IF($A300="","",IF($A300="Neuron",IF(OR(AND($S300&lt;&gt;"",LOWER(TRIM($S300))&lt;&gt;"n/a",COUNTIF($S$2:$S$532,$S300)&gt;1),AND($T300&lt;&gt;"",LOWER(TRIM($T300))&lt;&gt;"n/a",COUNTIF($T$2:$T$532,$T300)&gt;1),AND($W300&lt;&gt;"",LOWER(TRIM($W300))&lt;&gt;"n/a",COUNTIF($W$2:$W$532,$W300)&gt;1)),"Yes","No"),IF($A300="Cybernet",IF(OR(AND($Y300&lt;&gt;"",LOWER(TRIM($Y300))&lt;&gt;"n/a",COUNTIF($Y$2:$Y$532,$Y300)&gt;1),AND($Z300&lt;&gt;"",LOWER(TRIM($Z300))&lt;&gt;"n/a",COUNTIF($Z$2:$Z$532,$Z300)&gt;1)),"Yes","No"),IF(AND($AL300&lt;&gt;"",LOWER(TRIM($AL300))&lt;&gt;"n/a",COUNTIF($AL$2:$AL$532,$AL300)&gt;1),"Yes","No"))))</f>
      </c>
      <c r="F300">
        <f>IF($B300&lt;&gt;"Yes","",
IF($A300="Neuron",
IF(OR(
AND($S300&lt;&gt;"",LOWER(TRIM($S300))&lt;&gt;"n/a",COUNTIFS($B$2:$B$532,"Yes",$A$2:$A$532,"Neuron",$S$2:$S$532,$S300)&gt;1),
AND($T300&lt;&gt;"",LOWER(TRIM($T300))&lt;&gt;"n/a",COUNTIFS($B$2:$B$532,"Yes",$A$2:$A$532,"Neuron",$T$2:$T$532,$T300)&gt;1),
AND($W300&lt;&gt;"",LOWER(TRIM($W300))&lt;&gt;"n/a",COUNTIFS($B$2:$B$532,"Yes",$A$2:$A$532,"Neuron",$W$2:$W$532,$W300)&gt;1)
),"Yes","No"),
IF($A300="Cybernet",
IF(OR(
AND($Y300&lt;&gt;"",LOWER(TRIM($Y300))&lt;&gt;"n/a",COUNTIFS($B$2:$B$532,"Yes",$A$2:$A$532,"Cybernet",$Y$2:$Y$532,$Y300)&gt;1),
AND($Z300&lt;&gt;"",LOWER(TRIM($Z300))&lt;&gt;"n/a",COUNTIFS($B$2:$B$532,"Yes",$A$2:$A$532,"Cybernet",$Z$2:$Z$532,$Z300)&gt;1)
),"Yes","No"),
IF(AND($AL300&lt;&gt;"",LOWER(TRIM($AL300))&lt;&gt;"n/a"),
IF(COUNTIFS($B$2:$B$532,"Yes",$A$2:$A$532,$A300,$AL$2:$AL$532,$AL300)&gt;1,"Yes","No"),
"No")
)
)
)</f>
      </c>
      <c r="BL300">
        <f>IF($T300="","",IF((IF(AND($AW300&lt;&gt;"Yes",$AW300&lt;&gt;"N/A"),"Power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",""))="","",LEFT(IF(AND($AW300&lt;&gt;"Yes",$AW300&lt;&gt;"N/A"),"Power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",""),LEN(IF(AND($AW300&lt;&gt;"Yes",$AW300&lt;&gt;"N/A"),"Power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",""))-2)))</f>
      </c>
      <c r="BM300">
        <f>IF($T300="","",IF($BL300="","Yes","Blocked"))</f>
      </c>
      <c r="BP300">
        <f>IF($BO300="","",IFERROR(VLOOKUP($BO300,'01_Warehouse_Ledger'!$A:$N,4,FALSE),""))</f>
      </c>
      <c r="BQ300">
        <f>IF($BO300="","",IFERROR(VLOOKUP($BO300,'01_Warehouse_Ledger'!$A:$N,5,FALSE),""))</f>
      </c>
      <c r="BR300">
        <f>IF($BO300="","",IFERROR(VLOOKUP($BO300,'01_Warehouse_Ledger'!$A:$N,13,FALSE),""))</f>
      </c>
    </row>
    <row r="301">
      <c r="D301">
        <f>IF($B301&lt;&gt;"Yes","",IF($C301="No","Yes",IF($C301="Yes","No","")))</f>
      </c>
      <c r="E301">
        <f>IF($A301="","",IF($A301="Neuron",IF(OR(AND($S301&lt;&gt;"",LOWER(TRIM($S301))&lt;&gt;"n/a",COUNTIF($S$2:$S$532,$S301)&gt;1),AND($T301&lt;&gt;"",LOWER(TRIM($T301))&lt;&gt;"n/a",COUNTIF($T$2:$T$532,$T301)&gt;1),AND($W301&lt;&gt;"",LOWER(TRIM($W301))&lt;&gt;"n/a",COUNTIF($W$2:$W$532,$W301)&gt;1)),"Yes","No"),IF($A301="Cybernet",IF(OR(AND($Y301&lt;&gt;"",LOWER(TRIM($Y301))&lt;&gt;"n/a",COUNTIF($Y$2:$Y$532,$Y301)&gt;1),AND($Z301&lt;&gt;"",LOWER(TRIM($Z301))&lt;&gt;"n/a",COUNTIF($Z$2:$Z$532,$Z301)&gt;1)),"Yes","No"),IF(AND($AL301&lt;&gt;"",LOWER(TRIM($AL301))&lt;&gt;"n/a",COUNTIF($AL$2:$AL$532,$AL301)&gt;1),"Yes","No"))))</f>
      </c>
      <c r="F301">
        <f>IF($B301&lt;&gt;"Yes","",
IF($A301="Neuron",
IF(OR(
AND($S301&lt;&gt;"",LOWER(TRIM($S301))&lt;&gt;"n/a",COUNTIFS($B$2:$B$532,"Yes",$A$2:$A$532,"Neuron",$S$2:$S$532,$S301)&gt;1),
AND($T301&lt;&gt;"",LOWER(TRIM($T301))&lt;&gt;"n/a",COUNTIFS($B$2:$B$532,"Yes",$A$2:$A$532,"Neuron",$T$2:$T$532,$T301)&gt;1),
AND($W301&lt;&gt;"",LOWER(TRIM($W301))&lt;&gt;"n/a",COUNTIFS($B$2:$B$532,"Yes",$A$2:$A$532,"Neuron",$W$2:$W$532,$W301)&gt;1)
),"Yes","No"),
IF($A301="Cybernet",
IF(OR(
AND($Y301&lt;&gt;"",LOWER(TRIM($Y301))&lt;&gt;"n/a",COUNTIFS($B$2:$B$532,"Yes",$A$2:$A$532,"Cybernet",$Y$2:$Y$532,$Y301)&gt;1),
AND($Z301&lt;&gt;"",LOWER(TRIM($Z301))&lt;&gt;"n/a",COUNTIFS($B$2:$B$532,"Yes",$A$2:$A$532,"Cybernet",$Z$2:$Z$532,$Z301)&gt;1)
),"Yes","No"),
IF(AND($AL301&lt;&gt;"",LOWER(TRIM($AL301))&lt;&gt;"n/a"),
IF(COUNTIFS($B$2:$B$532,"Yes",$A$2:$A$532,$A301,$AL$2:$AL$532,$AL301)&gt;1,"Yes","No"),
"No")
)
)
)</f>
      </c>
      <c r="BL301">
        <f>IF($T301="","",IF((IF(AND($AW301&lt;&gt;"Yes",$AW301&lt;&gt;"N/A"),"Power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",""))="","",LEFT(IF(AND($AW301&lt;&gt;"Yes",$AW301&lt;&gt;"N/A"),"Power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",""),LEN(IF(AND($AW301&lt;&gt;"Yes",$AW301&lt;&gt;"N/A"),"Power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",""))-2)))</f>
      </c>
      <c r="BM301">
        <f>IF($T301="","",IF($BL301="","Yes","Blocked"))</f>
      </c>
      <c r="BP301">
        <f>IF($BO301="","",IFERROR(VLOOKUP($BO301,'01_Warehouse_Ledger'!$A:$N,4,FALSE),""))</f>
      </c>
      <c r="BQ301">
        <f>IF($BO301="","",IFERROR(VLOOKUP($BO301,'01_Warehouse_Ledger'!$A:$N,5,FALSE),""))</f>
      </c>
      <c r="BR301">
        <f>IF($BO301="","",IFERROR(VLOOKUP($BO301,'01_Warehouse_Ledger'!$A:$N,13,FALSE),""))</f>
      </c>
    </row>
    <row r="302">
      <c r="D302">
        <f>IF($B302&lt;&gt;"Yes","",IF($C302="No","Yes",IF($C302="Yes","No","")))</f>
      </c>
      <c r="E302">
        <f>IF($A302="","",IF($A302="Neuron",IF(OR(AND($S302&lt;&gt;"",LOWER(TRIM($S302))&lt;&gt;"n/a",COUNTIF($S$2:$S$532,$S302)&gt;1),AND($T302&lt;&gt;"",LOWER(TRIM($T302))&lt;&gt;"n/a",COUNTIF($T$2:$T$532,$T302)&gt;1),AND($W302&lt;&gt;"",LOWER(TRIM($W302))&lt;&gt;"n/a",COUNTIF($W$2:$W$532,$W302)&gt;1)),"Yes","No"),IF($A302="Cybernet",IF(OR(AND($Y302&lt;&gt;"",LOWER(TRIM($Y302))&lt;&gt;"n/a",COUNTIF($Y$2:$Y$532,$Y302)&gt;1),AND($Z302&lt;&gt;"",LOWER(TRIM($Z302))&lt;&gt;"n/a",COUNTIF($Z$2:$Z$532,$Z302)&gt;1)),"Yes","No"),IF(AND($AL302&lt;&gt;"",LOWER(TRIM($AL302))&lt;&gt;"n/a",COUNTIF($AL$2:$AL$532,$AL302)&gt;1),"Yes","No"))))</f>
      </c>
      <c r="F302">
        <f>IF($B302&lt;&gt;"Yes","",
IF($A302="Neuron",
IF(OR(
AND($S302&lt;&gt;"",LOWER(TRIM($S302))&lt;&gt;"n/a",COUNTIFS($B$2:$B$532,"Yes",$A$2:$A$532,"Neuron",$S$2:$S$532,$S302)&gt;1),
AND($T302&lt;&gt;"",LOWER(TRIM($T302))&lt;&gt;"n/a",COUNTIFS($B$2:$B$532,"Yes",$A$2:$A$532,"Neuron",$T$2:$T$532,$T302)&gt;1),
AND($W302&lt;&gt;"",LOWER(TRIM($W302))&lt;&gt;"n/a",COUNTIFS($B$2:$B$532,"Yes",$A$2:$A$532,"Neuron",$W$2:$W$532,$W302)&gt;1)
),"Yes","No"),
IF($A302="Cybernet",
IF(OR(
AND($Y302&lt;&gt;"",LOWER(TRIM($Y302))&lt;&gt;"n/a",COUNTIFS($B$2:$B$532,"Yes",$A$2:$A$532,"Cybernet",$Y$2:$Y$532,$Y302)&gt;1),
AND($Z302&lt;&gt;"",LOWER(TRIM($Z302))&lt;&gt;"n/a",COUNTIFS($B$2:$B$532,"Yes",$A$2:$A$532,"Cybernet",$Z$2:$Z$532,$Z302)&gt;1)
),"Yes","No"),
IF(AND($AL302&lt;&gt;"",LOWER(TRIM($AL302))&lt;&gt;"n/a"),
IF(COUNTIFS($B$2:$B$532,"Yes",$A$2:$A$532,$A302,$AL$2:$AL$532,$AL302)&gt;1,"Yes","No"),
"No")
)
)
)</f>
      </c>
      <c r="BL302">
        <f>IF($T302="","",IF((IF(AND($AW302&lt;&gt;"Yes",$AW302&lt;&gt;"N/A"),"Power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",""))="","",LEFT(IF(AND($AW302&lt;&gt;"Yes",$AW302&lt;&gt;"N/A"),"Power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",""),LEN(IF(AND($AW302&lt;&gt;"Yes",$AW302&lt;&gt;"N/A"),"Power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",""))-2)))</f>
      </c>
      <c r="BM302">
        <f>IF($T302="","",IF($BL302="","Yes","Blocked"))</f>
      </c>
      <c r="BP302">
        <f>IF($BO302="","",IFERROR(VLOOKUP($BO302,'01_Warehouse_Ledger'!$A:$N,4,FALSE),""))</f>
      </c>
      <c r="BQ302">
        <f>IF($BO302="","",IFERROR(VLOOKUP($BO302,'01_Warehouse_Ledger'!$A:$N,5,FALSE),""))</f>
      </c>
      <c r="BR302">
        <f>IF($BO302="","",IFERROR(VLOOKUP($BO302,'01_Warehouse_Ledger'!$A:$N,13,FALSE),""))</f>
      </c>
    </row>
    <row r="303">
      <c r="D303">
        <f>IF($B303&lt;&gt;"Yes","",IF($C303="No","Yes",IF($C303="Yes","No","")))</f>
      </c>
      <c r="E303">
        <f>IF($A303="","",IF($A303="Neuron",IF(OR(AND($S303&lt;&gt;"",LOWER(TRIM($S303))&lt;&gt;"n/a",COUNTIF($S$2:$S$532,$S303)&gt;1),AND($T303&lt;&gt;"",LOWER(TRIM($T303))&lt;&gt;"n/a",COUNTIF($T$2:$T$532,$T303)&gt;1),AND($W303&lt;&gt;"",LOWER(TRIM($W303))&lt;&gt;"n/a",COUNTIF($W$2:$W$532,$W303)&gt;1)),"Yes","No"),IF($A303="Cybernet",IF(OR(AND($Y303&lt;&gt;"",LOWER(TRIM($Y303))&lt;&gt;"n/a",COUNTIF($Y$2:$Y$532,$Y303)&gt;1),AND($Z303&lt;&gt;"",LOWER(TRIM($Z303))&lt;&gt;"n/a",COUNTIF($Z$2:$Z$532,$Z303)&gt;1)),"Yes","No"),IF(AND($AL303&lt;&gt;"",LOWER(TRIM($AL303))&lt;&gt;"n/a",COUNTIF($AL$2:$AL$532,$AL303)&gt;1),"Yes","No"))))</f>
      </c>
      <c r="F303">
        <f>IF($B303&lt;&gt;"Yes","",
IF($A303="Neuron",
IF(OR(
AND($S303&lt;&gt;"",LOWER(TRIM($S303))&lt;&gt;"n/a",COUNTIFS($B$2:$B$532,"Yes",$A$2:$A$532,"Neuron",$S$2:$S$532,$S303)&gt;1),
AND($T303&lt;&gt;"",LOWER(TRIM($T303))&lt;&gt;"n/a",COUNTIFS($B$2:$B$532,"Yes",$A$2:$A$532,"Neuron",$T$2:$T$532,$T303)&gt;1),
AND($W303&lt;&gt;"",LOWER(TRIM($W303))&lt;&gt;"n/a",COUNTIFS($B$2:$B$532,"Yes",$A$2:$A$532,"Neuron",$W$2:$W$532,$W303)&gt;1)
),"Yes","No"),
IF($A303="Cybernet",
IF(OR(
AND($Y303&lt;&gt;"",LOWER(TRIM($Y303))&lt;&gt;"n/a",COUNTIFS($B$2:$B$532,"Yes",$A$2:$A$532,"Cybernet",$Y$2:$Y$532,$Y303)&gt;1),
AND($Z303&lt;&gt;"",LOWER(TRIM($Z303))&lt;&gt;"n/a",COUNTIFS($B$2:$B$532,"Yes",$A$2:$A$532,"Cybernet",$Z$2:$Z$532,$Z303)&gt;1)
),"Yes","No"),
IF(AND($AL303&lt;&gt;"",LOWER(TRIM($AL303))&lt;&gt;"n/a"),
IF(COUNTIFS($B$2:$B$532,"Yes",$A$2:$A$532,$A303,$AL$2:$AL$532,$AL303)&gt;1,"Yes","No"),
"No")
)
)
)</f>
      </c>
      <c r="BL303">
        <f>IF($T303="","",IF((IF(AND($AW303&lt;&gt;"Yes",$AW303&lt;&gt;"N/A"),"Power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",""))="","",LEFT(IF(AND($AW303&lt;&gt;"Yes",$AW303&lt;&gt;"N/A"),"Power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",""),LEN(IF(AND($AW303&lt;&gt;"Yes",$AW303&lt;&gt;"N/A"),"Power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",""))-2)))</f>
      </c>
      <c r="BM303">
        <f>IF($T303="","",IF($BL303="","Yes","Blocked"))</f>
      </c>
      <c r="BP303">
        <f>IF($BO303="","",IFERROR(VLOOKUP($BO303,'01_Warehouse_Ledger'!$A:$N,4,FALSE),""))</f>
      </c>
      <c r="BQ303">
        <f>IF($BO303="","",IFERROR(VLOOKUP($BO303,'01_Warehouse_Ledger'!$A:$N,5,FALSE),""))</f>
      </c>
      <c r="BR303">
        <f>IF($BO303="","",IFERROR(VLOOKUP($BO303,'01_Warehouse_Ledger'!$A:$N,13,FALSE),""))</f>
      </c>
    </row>
    <row r="304">
      <c r="D304">
        <f>IF($B304&lt;&gt;"Yes","",IF($C304="No","Yes",IF($C304="Yes","No","")))</f>
      </c>
      <c r="E304">
        <f>IF($A304="","",IF($A304="Neuron",IF(OR(AND($S304&lt;&gt;"",LOWER(TRIM($S304))&lt;&gt;"n/a",COUNTIF($S$2:$S$532,$S304)&gt;1),AND($T304&lt;&gt;"",LOWER(TRIM($T304))&lt;&gt;"n/a",COUNTIF($T$2:$T$532,$T304)&gt;1),AND($W304&lt;&gt;"",LOWER(TRIM($W304))&lt;&gt;"n/a",COUNTIF($W$2:$W$532,$W304)&gt;1)),"Yes","No"),IF($A304="Cybernet",IF(OR(AND($Y304&lt;&gt;"",LOWER(TRIM($Y304))&lt;&gt;"n/a",COUNTIF($Y$2:$Y$532,$Y304)&gt;1),AND($Z304&lt;&gt;"",LOWER(TRIM($Z304))&lt;&gt;"n/a",COUNTIF($Z$2:$Z$532,$Z304)&gt;1)),"Yes","No"),IF(AND($AL304&lt;&gt;"",LOWER(TRIM($AL304))&lt;&gt;"n/a",COUNTIF($AL$2:$AL$532,$AL304)&gt;1),"Yes","No"))))</f>
      </c>
      <c r="F304">
        <f>IF($B304&lt;&gt;"Yes","",
IF($A304="Neuron",
IF(OR(
AND($S304&lt;&gt;"",LOWER(TRIM($S304))&lt;&gt;"n/a",COUNTIFS($B$2:$B$532,"Yes",$A$2:$A$532,"Neuron",$S$2:$S$532,$S304)&gt;1),
AND($T304&lt;&gt;"",LOWER(TRIM($T304))&lt;&gt;"n/a",COUNTIFS($B$2:$B$532,"Yes",$A$2:$A$532,"Neuron",$T$2:$T$532,$T304)&gt;1),
AND($W304&lt;&gt;"",LOWER(TRIM($W304))&lt;&gt;"n/a",COUNTIFS($B$2:$B$532,"Yes",$A$2:$A$532,"Neuron",$W$2:$W$532,$W304)&gt;1)
),"Yes","No"),
IF($A304="Cybernet",
IF(OR(
AND($Y304&lt;&gt;"",LOWER(TRIM($Y304))&lt;&gt;"n/a",COUNTIFS($B$2:$B$532,"Yes",$A$2:$A$532,"Cybernet",$Y$2:$Y$532,$Y304)&gt;1),
AND($Z304&lt;&gt;"",LOWER(TRIM($Z304))&lt;&gt;"n/a",COUNTIFS($B$2:$B$532,"Yes",$A$2:$A$532,"Cybernet",$Z$2:$Z$532,$Z304)&gt;1)
),"Yes","No"),
IF(AND($AL304&lt;&gt;"",LOWER(TRIM($AL304))&lt;&gt;"n/a"),
IF(COUNTIFS($B$2:$B$532,"Yes",$A$2:$A$532,$A304,$AL$2:$AL$532,$AL304)&gt;1,"Yes","No"),
"No")
)
)
)</f>
      </c>
      <c r="BL304">
        <f>IF($T304="","",IF((IF(AND($AW304&lt;&gt;"Yes",$AW304&lt;&gt;"N/A"),"Power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",""))="","",LEFT(IF(AND($AW304&lt;&gt;"Yes",$AW304&lt;&gt;"N/A"),"Power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",""),LEN(IF(AND($AW304&lt;&gt;"Yes",$AW304&lt;&gt;"N/A"),"Power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",""))-2)))</f>
      </c>
      <c r="BM304">
        <f>IF($T304="","",IF($BL304="","Yes","Blocked"))</f>
      </c>
      <c r="BP304">
        <f>IF($BO304="","",IFERROR(VLOOKUP($BO304,'01_Warehouse_Ledger'!$A:$N,4,FALSE),""))</f>
      </c>
      <c r="BQ304">
        <f>IF($BO304="","",IFERROR(VLOOKUP($BO304,'01_Warehouse_Ledger'!$A:$N,5,FALSE),""))</f>
      </c>
      <c r="BR304">
        <f>IF($BO304="","",IFERROR(VLOOKUP($BO304,'01_Warehouse_Ledger'!$A:$N,13,FALSE),""))</f>
      </c>
    </row>
    <row r="305">
      <c r="D305">
        <f>IF($B305&lt;&gt;"Yes","",IF($C305="No","Yes",IF($C305="Yes","No","")))</f>
      </c>
      <c r="E305">
        <f>IF($A305="","",IF($A305="Neuron",IF(OR(AND($S305&lt;&gt;"",LOWER(TRIM($S305))&lt;&gt;"n/a",COUNTIF($S$2:$S$532,$S305)&gt;1),AND($T305&lt;&gt;"",LOWER(TRIM($T305))&lt;&gt;"n/a",COUNTIF($T$2:$T$532,$T305)&gt;1),AND($W305&lt;&gt;"",LOWER(TRIM($W305))&lt;&gt;"n/a",COUNTIF($W$2:$W$532,$W305)&gt;1)),"Yes","No"),IF($A305="Cybernet",IF(OR(AND($Y305&lt;&gt;"",LOWER(TRIM($Y305))&lt;&gt;"n/a",COUNTIF($Y$2:$Y$532,$Y305)&gt;1),AND($Z305&lt;&gt;"",LOWER(TRIM($Z305))&lt;&gt;"n/a",COUNTIF($Z$2:$Z$532,$Z305)&gt;1)),"Yes","No"),IF(AND($AL305&lt;&gt;"",LOWER(TRIM($AL305))&lt;&gt;"n/a",COUNTIF($AL$2:$AL$532,$AL305)&gt;1),"Yes","No"))))</f>
      </c>
      <c r="F305">
        <f>IF($B305&lt;&gt;"Yes","",
IF($A305="Neuron",
IF(OR(
AND($S305&lt;&gt;"",LOWER(TRIM($S305))&lt;&gt;"n/a",COUNTIFS($B$2:$B$532,"Yes",$A$2:$A$532,"Neuron",$S$2:$S$532,$S305)&gt;1),
AND($T305&lt;&gt;"",LOWER(TRIM($T305))&lt;&gt;"n/a",COUNTIFS($B$2:$B$532,"Yes",$A$2:$A$532,"Neuron",$T$2:$T$532,$T305)&gt;1),
AND($W305&lt;&gt;"",LOWER(TRIM($W305))&lt;&gt;"n/a",COUNTIFS($B$2:$B$532,"Yes",$A$2:$A$532,"Neuron",$W$2:$W$532,$W305)&gt;1)
),"Yes","No"),
IF($A305="Cybernet",
IF(OR(
AND($Y305&lt;&gt;"",LOWER(TRIM($Y305))&lt;&gt;"n/a",COUNTIFS($B$2:$B$532,"Yes",$A$2:$A$532,"Cybernet",$Y$2:$Y$532,$Y305)&gt;1),
AND($Z305&lt;&gt;"",LOWER(TRIM($Z305))&lt;&gt;"n/a",COUNTIFS($B$2:$B$532,"Yes",$A$2:$A$532,"Cybernet",$Z$2:$Z$532,$Z305)&gt;1)
),"Yes","No"),
IF(AND($AL305&lt;&gt;"",LOWER(TRIM($AL305))&lt;&gt;"n/a"),
IF(COUNTIFS($B$2:$B$532,"Yes",$A$2:$A$532,$A305,$AL$2:$AL$532,$AL305)&gt;1,"Yes","No"),
"No")
)
)
)</f>
      </c>
      <c r="BL305">
        <f>IF($T305="","",IF((IF(AND($AW305&lt;&gt;"Yes",$AW305&lt;&gt;"N/A"),"Power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",""))="","",LEFT(IF(AND($AW305&lt;&gt;"Yes",$AW305&lt;&gt;"N/A"),"Power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",""),LEN(IF(AND($AW305&lt;&gt;"Yes",$AW305&lt;&gt;"N/A"),"Power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",""))-2)))</f>
      </c>
      <c r="BM305">
        <f>IF($T305="","",IF($BL305="","Yes","Blocked"))</f>
      </c>
      <c r="BP305">
        <f>IF($BO305="","",IFERROR(VLOOKUP($BO305,'01_Warehouse_Ledger'!$A:$N,4,FALSE),""))</f>
      </c>
      <c r="BQ305">
        <f>IF($BO305="","",IFERROR(VLOOKUP($BO305,'01_Warehouse_Ledger'!$A:$N,5,FALSE),""))</f>
      </c>
      <c r="BR305">
        <f>IF($BO305="","",IFERROR(VLOOKUP($BO305,'01_Warehouse_Ledger'!$A:$N,13,FALSE),""))</f>
      </c>
    </row>
    <row r="306">
      <c r="D306">
        <f>IF($B306&lt;&gt;"Yes","",IF($C306="No","Yes",IF($C306="Yes","No","")))</f>
      </c>
      <c r="E306">
        <f>IF($A306="","",IF($A306="Neuron",IF(OR(AND($S306&lt;&gt;"",LOWER(TRIM($S306))&lt;&gt;"n/a",COUNTIF($S$2:$S$532,$S306)&gt;1),AND($T306&lt;&gt;"",LOWER(TRIM($T306))&lt;&gt;"n/a",COUNTIF($T$2:$T$532,$T306)&gt;1),AND($W306&lt;&gt;"",LOWER(TRIM($W306))&lt;&gt;"n/a",COUNTIF($W$2:$W$532,$W306)&gt;1)),"Yes","No"),IF($A306="Cybernet",IF(OR(AND($Y306&lt;&gt;"",LOWER(TRIM($Y306))&lt;&gt;"n/a",COUNTIF($Y$2:$Y$532,$Y306)&gt;1),AND($Z306&lt;&gt;"",LOWER(TRIM($Z306))&lt;&gt;"n/a",COUNTIF($Z$2:$Z$532,$Z306)&gt;1)),"Yes","No"),IF(AND($AL306&lt;&gt;"",LOWER(TRIM($AL306))&lt;&gt;"n/a",COUNTIF($AL$2:$AL$532,$AL306)&gt;1),"Yes","No"))))</f>
      </c>
      <c r="F306">
        <f>IF($B306&lt;&gt;"Yes","",
IF($A306="Neuron",
IF(OR(
AND($S306&lt;&gt;"",LOWER(TRIM($S306))&lt;&gt;"n/a",COUNTIFS($B$2:$B$532,"Yes",$A$2:$A$532,"Neuron",$S$2:$S$532,$S306)&gt;1),
AND($T306&lt;&gt;"",LOWER(TRIM($T306))&lt;&gt;"n/a",COUNTIFS($B$2:$B$532,"Yes",$A$2:$A$532,"Neuron",$T$2:$T$532,$T306)&gt;1),
AND($W306&lt;&gt;"",LOWER(TRIM($W306))&lt;&gt;"n/a",COUNTIFS($B$2:$B$532,"Yes",$A$2:$A$532,"Neuron",$W$2:$W$532,$W306)&gt;1)
),"Yes","No"),
IF($A306="Cybernet",
IF(OR(
AND($Y306&lt;&gt;"",LOWER(TRIM($Y306))&lt;&gt;"n/a",COUNTIFS($B$2:$B$532,"Yes",$A$2:$A$532,"Cybernet",$Y$2:$Y$532,$Y306)&gt;1),
AND($Z306&lt;&gt;"",LOWER(TRIM($Z306))&lt;&gt;"n/a",COUNTIFS($B$2:$B$532,"Yes",$A$2:$A$532,"Cybernet",$Z$2:$Z$532,$Z306)&gt;1)
),"Yes","No"),
IF(AND($AL306&lt;&gt;"",LOWER(TRIM($AL306))&lt;&gt;"n/a"),
IF(COUNTIFS($B$2:$B$532,"Yes",$A$2:$A$532,$A306,$AL$2:$AL$532,$AL306)&gt;1,"Yes","No"),
"No")
)
)
)</f>
      </c>
      <c r="BL306">
        <f>IF($T306="","",IF((IF(AND($AW306&lt;&gt;"Yes",$AW306&lt;&gt;"N/A"),"Power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",""))="","",LEFT(IF(AND($AW306&lt;&gt;"Yes",$AW306&lt;&gt;"N/A"),"Power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",""),LEN(IF(AND($AW306&lt;&gt;"Yes",$AW306&lt;&gt;"N/A"),"Power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",""))-2)))</f>
      </c>
      <c r="BM306">
        <f>IF($T306="","",IF($BL306="","Yes","Blocked"))</f>
      </c>
      <c r="BP306">
        <f>IF($BO306="","",IFERROR(VLOOKUP($BO306,'01_Warehouse_Ledger'!$A:$N,4,FALSE),""))</f>
      </c>
      <c r="BQ306">
        <f>IF($BO306="","",IFERROR(VLOOKUP($BO306,'01_Warehouse_Ledger'!$A:$N,5,FALSE),""))</f>
      </c>
      <c r="BR306">
        <f>IF($BO306="","",IFERROR(VLOOKUP($BO306,'01_Warehouse_Ledger'!$A:$N,13,FALSE),""))</f>
      </c>
    </row>
    <row r="307">
      <c r="D307">
        <f>IF($B307&lt;&gt;"Yes","",IF($C307="No","Yes",IF($C307="Yes","No","")))</f>
      </c>
      <c r="E307">
        <f>IF($A307="","",IF($A307="Neuron",IF(OR(AND($S307&lt;&gt;"",LOWER(TRIM($S307))&lt;&gt;"n/a",COUNTIF($S$2:$S$532,$S307)&gt;1),AND($T307&lt;&gt;"",LOWER(TRIM($T307))&lt;&gt;"n/a",COUNTIF($T$2:$T$532,$T307)&gt;1),AND($W307&lt;&gt;"",LOWER(TRIM($W307))&lt;&gt;"n/a",COUNTIF($W$2:$W$532,$W307)&gt;1)),"Yes","No"),IF($A307="Cybernet",IF(OR(AND($Y307&lt;&gt;"",LOWER(TRIM($Y307))&lt;&gt;"n/a",COUNTIF($Y$2:$Y$532,$Y307)&gt;1),AND($Z307&lt;&gt;"",LOWER(TRIM($Z307))&lt;&gt;"n/a",COUNTIF($Z$2:$Z$532,$Z307)&gt;1)),"Yes","No"),IF(AND($AL307&lt;&gt;"",LOWER(TRIM($AL307))&lt;&gt;"n/a",COUNTIF($AL$2:$AL$532,$AL307)&gt;1),"Yes","No"))))</f>
      </c>
      <c r="F307">
        <f>IF($B307&lt;&gt;"Yes","",
IF($A307="Neuron",
IF(OR(
AND($S307&lt;&gt;"",LOWER(TRIM($S307))&lt;&gt;"n/a",COUNTIFS($B$2:$B$532,"Yes",$A$2:$A$532,"Neuron",$S$2:$S$532,$S307)&gt;1),
AND($T307&lt;&gt;"",LOWER(TRIM($T307))&lt;&gt;"n/a",COUNTIFS($B$2:$B$532,"Yes",$A$2:$A$532,"Neuron",$T$2:$T$532,$T307)&gt;1),
AND($W307&lt;&gt;"",LOWER(TRIM($W307))&lt;&gt;"n/a",COUNTIFS($B$2:$B$532,"Yes",$A$2:$A$532,"Neuron",$W$2:$W$532,$W307)&gt;1)
),"Yes","No"),
IF($A307="Cybernet",
IF(OR(
AND($Y307&lt;&gt;"",LOWER(TRIM($Y307))&lt;&gt;"n/a",COUNTIFS($B$2:$B$532,"Yes",$A$2:$A$532,"Cybernet",$Y$2:$Y$532,$Y307)&gt;1),
AND($Z307&lt;&gt;"",LOWER(TRIM($Z307))&lt;&gt;"n/a",COUNTIFS($B$2:$B$532,"Yes",$A$2:$A$532,"Cybernet",$Z$2:$Z$532,$Z307)&gt;1)
),"Yes","No"),
IF(AND($AL307&lt;&gt;"",LOWER(TRIM($AL307))&lt;&gt;"n/a"),
IF(COUNTIFS($B$2:$B$532,"Yes",$A$2:$A$532,$A307,$AL$2:$AL$532,$AL307)&gt;1,"Yes","No"),
"No")
)
)
)</f>
      </c>
      <c r="BL307">
        <f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</c>
      <c r="BM307">
        <f>IF($T307="","",IF($BL307="","Yes","Blocked"))</f>
      </c>
      <c r="BP307">
        <f>IF($BO307="","",IFERROR(VLOOKUP($BO307,'01_Warehouse_Ledger'!$A:$N,4,FALSE),""))</f>
      </c>
      <c r="BQ307">
        <f>IF($BO307="","",IFERROR(VLOOKUP($BO307,'01_Warehouse_Ledger'!$A:$N,5,FALSE),""))</f>
      </c>
      <c r="BR307">
        <f>IF($BO307="","",IFERROR(VLOOKUP($BO307,'01_Warehouse_Ledger'!$A:$N,13,FALSE),""))</f>
      </c>
    </row>
    <row r="308">
      <c r="D308">
        <f>IF($B308&lt;&gt;"Yes","",IF($C308="No","Yes",IF($C308="Yes","No","")))</f>
      </c>
      <c r="E308">
        <f>IF($A308="","",IF($A308="Neuron",IF(OR(AND($S308&lt;&gt;"",LOWER(TRIM($S308))&lt;&gt;"n/a",COUNTIF($S$2:$S$532,$S308)&gt;1),AND($T308&lt;&gt;"",LOWER(TRIM($T308))&lt;&gt;"n/a",COUNTIF($T$2:$T$532,$T308)&gt;1),AND($W308&lt;&gt;"",LOWER(TRIM($W308))&lt;&gt;"n/a",COUNTIF($W$2:$W$532,$W308)&gt;1)),"Yes","No"),IF($A308="Cybernet",IF(OR(AND($Y308&lt;&gt;"",LOWER(TRIM($Y308))&lt;&gt;"n/a",COUNTIF($Y$2:$Y$532,$Y308)&gt;1),AND($Z308&lt;&gt;"",LOWER(TRIM($Z308))&lt;&gt;"n/a",COUNTIF($Z$2:$Z$532,$Z308)&gt;1)),"Yes","No"),IF(AND($AL308&lt;&gt;"",LOWER(TRIM($AL308))&lt;&gt;"n/a",COUNTIF($AL$2:$AL$532,$AL308)&gt;1),"Yes","No"))))</f>
      </c>
      <c r="F308">
        <f>IF($B308&lt;&gt;"Yes","",
IF($A308="Neuron",
IF(OR(
AND($S308&lt;&gt;"",LOWER(TRIM($S308))&lt;&gt;"n/a",COUNTIFS($B$2:$B$532,"Yes",$A$2:$A$532,"Neuron",$S$2:$S$532,$S308)&gt;1),
AND($T308&lt;&gt;"",LOWER(TRIM($T308))&lt;&gt;"n/a",COUNTIFS($B$2:$B$532,"Yes",$A$2:$A$532,"Neuron",$T$2:$T$532,$T308)&gt;1),
AND($W308&lt;&gt;"",LOWER(TRIM($W308))&lt;&gt;"n/a",COUNTIFS($B$2:$B$532,"Yes",$A$2:$A$532,"Neuron",$W$2:$W$532,$W308)&gt;1)
),"Yes","No"),
IF($A308="Cybernet",
IF(OR(
AND($Y308&lt;&gt;"",LOWER(TRIM($Y308))&lt;&gt;"n/a",COUNTIFS($B$2:$B$532,"Yes",$A$2:$A$532,"Cybernet",$Y$2:$Y$532,$Y308)&gt;1),
AND($Z308&lt;&gt;"",LOWER(TRIM($Z308))&lt;&gt;"n/a",COUNTIFS($B$2:$B$532,"Yes",$A$2:$A$532,"Cybernet",$Z$2:$Z$532,$Z308)&gt;1)
),"Yes","No"),
IF(AND($AL308&lt;&gt;"",LOWER(TRIM($AL308))&lt;&gt;"n/a"),
IF(COUNTIFS($B$2:$B$532,"Yes",$A$2:$A$532,$A308,$AL$2:$AL$532,$AL308)&gt;1,"Yes","No"),
"No")
)
)
)</f>
      </c>
      <c r="BL308">
        <f>IF($T308="","",IF((IF(AND($AW308&lt;&gt;"Yes",$AW308&lt;&gt;"N/A"),"Power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",""))="","",LEFT(IF(AND($AW308&lt;&gt;"Yes",$AW308&lt;&gt;"N/A"),"Power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",""),LEN(IF(AND($AW308&lt;&gt;"Yes",$AW308&lt;&gt;"N/A"),"Power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",""))-2)))</f>
      </c>
      <c r="BM308">
        <f>IF($T308="","",IF($BL308="","Yes","Blocked"))</f>
      </c>
      <c r="BP308">
        <f>IF($BO308="","",IFERROR(VLOOKUP($BO308,'01_Warehouse_Ledger'!$A:$N,4,FALSE),""))</f>
      </c>
      <c r="BQ308">
        <f>IF($BO308="","",IFERROR(VLOOKUP($BO308,'01_Warehouse_Ledger'!$A:$N,5,FALSE),""))</f>
      </c>
      <c r="BR308">
        <f>IF($BO308="","",IFERROR(VLOOKUP($BO308,'01_Warehouse_Ledger'!$A:$N,13,FALSE),""))</f>
      </c>
    </row>
    <row r="309">
      <c r="D309">
        <f>IF($B309&lt;&gt;"Yes","",IF($C309="No","Yes",IF($C309="Yes","No","")))</f>
      </c>
      <c r="E309">
        <f>IF($A309="","",IF($A309="Neuron",IF(OR(AND($S309&lt;&gt;"",LOWER(TRIM($S309))&lt;&gt;"n/a",COUNTIF($S$2:$S$532,$S309)&gt;1),AND($T309&lt;&gt;"",LOWER(TRIM($T309))&lt;&gt;"n/a",COUNTIF($T$2:$T$532,$T309)&gt;1),AND($W309&lt;&gt;"",LOWER(TRIM($W309))&lt;&gt;"n/a",COUNTIF($W$2:$W$532,$W309)&gt;1)),"Yes","No"),IF($A309="Cybernet",IF(OR(AND($Y309&lt;&gt;"",LOWER(TRIM($Y309))&lt;&gt;"n/a",COUNTIF($Y$2:$Y$532,$Y309)&gt;1),AND($Z309&lt;&gt;"",LOWER(TRIM($Z309))&lt;&gt;"n/a",COUNTIF($Z$2:$Z$532,$Z309)&gt;1)),"Yes","No"),IF(AND($AL309&lt;&gt;"",LOWER(TRIM($AL309))&lt;&gt;"n/a",COUNTIF($AL$2:$AL$532,$AL309)&gt;1),"Yes","No"))))</f>
      </c>
      <c r="F309">
        <f>IF($B309&lt;&gt;"Yes","",
IF($A309="Neuron",
IF(OR(
AND($S309&lt;&gt;"",LOWER(TRIM($S309))&lt;&gt;"n/a",COUNTIFS($B$2:$B$532,"Yes",$A$2:$A$532,"Neuron",$S$2:$S$532,$S309)&gt;1),
AND($T309&lt;&gt;"",LOWER(TRIM($T309))&lt;&gt;"n/a",COUNTIFS($B$2:$B$532,"Yes",$A$2:$A$532,"Neuron",$T$2:$T$532,$T309)&gt;1),
AND($W309&lt;&gt;"",LOWER(TRIM($W309))&lt;&gt;"n/a",COUNTIFS($B$2:$B$532,"Yes",$A$2:$A$532,"Neuron",$W$2:$W$532,$W309)&gt;1)
),"Yes","No"),
IF($A309="Cybernet",
IF(OR(
AND($Y309&lt;&gt;"",LOWER(TRIM($Y309))&lt;&gt;"n/a",COUNTIFS($B$2:$B$532,"Yes",$A$2:$A$532,"Cybernet",$Y$2:$Y$532,$Y309)&gt;1),
AND($Z309&lt;&gt;"",LOWER(TRIM($Z309))&lt;&gt;"n/a",COUNTIFS($B$2:$B$532,"Yes",$A$2:$A$532,"Cybernet",$Z$2:$Z$532,$Z309)&gt;1)
),"Yes","No"),
IF(AND($AL309&lt;&gt;"",LOWER(TRIM($AL309))&lt;&gt;"n/a"),
IF(COUNTIFS($B$2:$B$532,"Yes",$A$2:$A$532,$A309,$AL$2:$AL$532,$AL309)&gt;1,"Yes","No"),
"No")
)
)
)</f>
      </c>
      <c r="BL309">
        <f>IF($T309="","",IF((IF(AND($AW309&lt;&gt;"Yes",$AW309&lt;&gt;"N/A"),"Power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",""))="","",LEFT(IF(AND($AW309&lt;&gt;"Yes",$AW309&lt;&gt;"N/A"),"Power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",""),LEN(IF(AND($AW309&lt;&gt;"Yes",$AW309&lt;&gt;"N/A"),"Power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",""))-2)))</f>
      </c>
      <c r="BM309">
        <f>IF($T309="","",IF($BL309="","Yes","Blocked"))</f>
      </c>
      <c r="BP309">
        <f>IF($BO309="","",IFERROR(VLOOKUP($BO309,'01_Warehouse_Ledger'!$A:$N,4,FALSE),""))</f>
      </c>
      <c r="BQ309">
        <f>IF($BO309="","",IFERROR(VLOOKUP($BO309,'01_Warehouse_Ledger'!$A:$N,5,FALSE),""))</f>
      </c>
      <c r="BR309">
        <f>IF($BO309="","",IFERROR(VLOOKUP($BO309,'01_Warehouse_Ledger'!$A:$N,13,FALSE),""))</f>
      </c>
    </row>
    <row r="310">
      <c r="D310">
        <f>IF($B310&lt;&gt;"Yes","",IF($C310="No","Yes",IF($C310="Yes","No","")))</f>
      </c>
      <c r="E310">
        <f>IF($A310="","",IF($A310="Neuron",IF(OR(AND($S310&lt;&gt;"",LOWER(TRIM($S310))&lt;&gt;"n/a",COUNTIF($S$2:$S$532,$S310)&gt;1),AND($T310&lt;&gt;"",LOWER(TRIM($T310))&lt;&gt;"n/a",COUNTIF($T$2:$T$532,$T310)&gt;1),AND($W310&lt;&gt;"",LOWER(TRIM($W310))&lt;&gt;"n/a",COUNTIF($W$2:$W$532,$W310)&gt;1)),"Yes","No"),IF($A310="Cybernet",IF(OR(AND($Y310&lt;&gt;"",LOWER(TRIM($Y310))&lt;&gt;"n/a",COUNTIF($Y$2:$Y$532,$Y310)&gt;1),AND($Z310&lt;&gt;"",LOWER(TRIM($Z310))&lt;&gt;"n/a",COUNTIF($Z$2:$Z$532,$Z310)&gt;1)),"Yes","No"),IF(AND($AL310&lt;&gt;"",LOWER(TRIM($AL310))&lt;&gt;"n/a",COUNTIF($AL$2:$AL$532,$AL310)&gt;1),"Yes","No"))))</f>
      </c>
      <c r="F310">
        <f>IF($B310&lt;&gt;"Yes","",
IF($A310="Neuron",
IF(OR(
AND($S310&lt;&gt;"",LOWER(TRIM($S310))&lt;&gt;"n/a",COUNTIFS($B$2:$B$532,"Yes",$A$2:$A$532,"Neuron",$S$2:$S$532,$S310)&gt;1),
AND($T310&lt;&gt;"",LOWER(TRIM($T310))&lt;&gt;"n/a",COUNTIFS($B$2:$B$532,"Yes",$A$2:$A$532,"Neuron",$T$2:$T$532,$T310)&gt;1),
AND($W310&lt;&gt;"",LOWER(TRIM($W310))&lt;&gt;"n/a",COUNTIFS($B$2:$B$532,"Yes",$A$2:$A$532,"Neuron",$W$2:$W$532,$W310)&gt;1)
),"Yes","No"),
IF($A310="Cybernet",
IF(OR(
AND($Y310&lt;&gt;"",LOWER(TRIM($Y310))&lt;&gt;"n/a",COUNTIFS($B$2:$B$532,"Yes",$A$2:$A$532,"Cybernet",$Y$2:$Y$532,$Y310)&gt;1),
AND($Z310&lt;&gt;"",LOWER(TRIM($Z310))&lt;&gt;"n/a",COUNTIFS($B$2:$B$532,"Yes",$A$2:$A$532,"Cybernet",$Z$2:$Z$532,$Z310)&gt;1)
),"Yes","No"),
IF(AND($AL310&lt;&gt;"",LOWER(TRIM($AL310))&lt;&gt;"n/a"),
IF(COUNTIFS($B$2:$B$532,"Yes",$A$2:$A$532,$A310,$AL$2:$AL$532,$AL310)&gt;1,"Yes","No"),
"No")
)
)
)</f>
      </c>
      <c r="BL310">
        <f>IF($T310="","",IF((IF(AND($AW310&lt;&gt;"Yes",$AW310&lt;&gt;"N/A"),"Power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",""))="","",LEFT(IF(AND($AW310&lt;&gt;"Yes",$AW310&lt;&gt;"N/A"),"Power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",""),LEN(IF(AND($AW310&lt;&gt;"Yes",$AW310&lt;&gt;"N/A"),"Power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",""))-2)))</f>
      </c>
      <c r="BM310">
        <f>IF($T310="","",IF($BL310="","Yes","Blocked"))</f>
      </c>
      <c r="BP310">
        <f>IF($BO310="","",IFERROR(VLOOKUP($BO310,'01_Warehouse_Ledger'!$A:$N,4,FALSE),""))</f>
      </c>
      <c r="BQ310">
        <f>IF($BO310="","",IFERROR(VLOOKUP($BO310,'01_Warehouse_Ledger'!$A:$N,5,FALSE),""))</f>
      </c>
      <c r="BR310">
        <f>IF($BO310="","",IFERROR(VLOOKUP($BO310,'01_Warehouse_Ledger'!$A:$N,13,FALSE),""))</f>
      </c>
    </row>
    <row r="311">
      <c r="D311">
        <f>IF($B311&lt;&gt;"Yes","",IF($C311="No","Yes",IF($C311="Yes","No","")))</f>
      </c>
      <c r="E311">
        <f>IF($A311="","",IF($A311="Neuron",IF(OR(AND($S311&lt;&gt;"",LOWER(TRIM($S311))&lt;&gt;"n/a",COUNTIF($S$2:$S$532,$S311)&gt;1),AND($T311&lt;&gt;"",LOWER(TRIM($T311))&lt;&gt;"n/a",COUNTIF($T$2:$T$532,$T311)&gt;1),AND($W311&lt;&gt;"",LOWER(TRIM($W311))&lt;&gt;"n/a",COUNTIF($W$2:$W$532,$W311)&gt;1)),"Yes","No"),IF($A311="Cybernet",IF(OR(AND($Y311&lt;&gt;"",LOWER(TRIM($Y311))&lt;&gt;"n/a",COUNTIF($Y$2:$Y$532,$Y311)&gt;1),AND($Z311&lt;&gt;"",LOWER(TRIM($Z311))&lt;&gt;"n/a",COUNTIF($Z$2:$Z$532,$Z311)&gt;1)),"Yes","No"),IF(AND($AL311&lt;&gt;"",LOWER(TRIM($AL311))&lt;&gt;"n/a",COUNTIF($AL$2:$AL$532,$AL311)&gt;1),"Yes","No"))))</f>
      </c>
      <c r="F311">
        <f>IF($B311&lt;&gt;"Yes","",
IF($A311="Neuron",
IF(OR(
AND($S311&lt;&gt;"",LOWER(TRIM($S311))&lt;&gt;"n/a",COUNTIFS($B$2:$B$532,"Yes",$A$2:$A$532,"Neuron",$S$2:$S$532,$S311)&gt;1),
AND($T311&lt;&gt;"",LOWER(TRIM($T311))&lt;&gt;"n/a",COUNTIFS($B$2:$B$532,"Yes",$A$2:$A$532,"Neuron",$T$2:$T$532,$T311)&gt;1),
AND($W311&lt;&gt;"",LOWER(TRIM($W311))&lt;&gt;"n/a",COUNTIFS($B$2:$B$532,"Yes",$A$2:$A$532,"Neuron",$W$2:$W$532,$W311)&gt;1)
),"Yes","No"),
IF($A311="Cybernet",
IF(OR(
AND($Y311&lt;&gt;"",LOWER(TRIM($Y311))&lt;&gt;"n/a",COUNTIFS($B$2:$B$532,"Yes",$A$2:$A$532,"Cybernet",$Y$2:$Y$532,$Y311)&gt;1),
AND($Z311&lt;&gt;"",LOWER(TRIM($Z311))&lt;&gt;"n/a",COUNTIFS($B$2:$B$532,"Yes",$A$2:$A$532,"Cybernet",$Z$2:$Z$532,$Z311)&gt;1)
),"Yes","No"),
IF(AND($AL311&lt;&gt;"",LOWER(TRIM($AL311))&lt;&gt;"n/a"),
IF(COUNTIFS($B$2:$B$532,"Yes",$A$2:$A$532,$A311,$AL$2:$AL$532,$AL311)&gt;1,"Yes","No"),
"No")
)
)
)</f>
      </c>
      <c r="BL311">
        <f>IF($T311="","",IF((IF(AND($AW311&lt;&gt;"Yes",$AW311&lt;&gt;"N/A"),"Power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",""))="","",LEFT(IF(AND($AW311&lt;&gt;"Yes",$AW311&lt;&gt;"N/A"),"Power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",""),LEN(IF(AND($AW311&lt;&gt;"Yes",$AW311&lt;&gt;"N/A"),"Power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",""))-2)))</f>
      </c>
      <c r="BM311">
        <f>IF($T311="","",IF($BL311="","Yes","Blocked"))</f>
      </c>
      <c r="BP311">
        <f>IF($BO311="","",IFERROR(VLOOKUP($BO311,'01_Warehouse_Ledger'!$A:$N,4,FALSE),""))</f>
      </c>
      <c r="BQ311">
        <f>IF($BO311="","",IFERROR(VLOOKUP($BO311,'01_Warehouse_Ledger'!$A:$N,5,FALSE),""))</f>
      </c>
      <c r="BR311">
        <f>IF($BO311="","",IFERROR(VLOOKUP($BO311,'01_Warehouse_Ledger'!$A:$N,13,FALSE),""))</f>
      </c>
    </row>
    <row r="312">
      <c r="D312">
        <f>IF($B312&lt;&gt;"Yes","",IF($C312="No","Yes",IF($C312="Yes","No","")))</f>
      </c>
      <c r="E312">
        <f>IF($A312="","",IF($A312="Neuron",IF(OR(AND($S312&lt;&gt;"",LOWER(TRIM($S312))&lt;&gt;"n/a",COUNTIF($S$2:$S$532,$S312)&gt;1),AND($T312&lt;&gt;"",LOWER(TRIM($T312))&lt;&gt;"n/a",COUNTIF($T$2:$T$532,$T312)&gt;1),AND($W312&lt;&gt;"",LOWER(TRIM($W312))&lt;&gt;"n/a",COUNTIF($W$2:$W$532,$W312)&gt;1)),"Yes","No"),IF($A312="Cybernet",IF(OR(AND($Y312&lt;&gt;"",LOWER(TRIM($Y312))&lt;&gt;"n/a",COUNTIF($Y$2:$Y$532,$Y312)&gt;1),AND($Z312&lt;&gt;"",LOWER(TRIM($Z312))&lt;&gt;"n/a",COUNTIF($Z$2:$Z$532,$Z312)&gt;1)),"Yes","No"),IF(AND($AL312&lt;&gt;"",LOWER(TRIM($AL312))&lt;&gt;"n/a",COUNTIF($AL$2:$AL$532,$AL312)&gt;1),"Yes","No"))))</f>
      </c>
      <c r="F312">
        <f>IF($B312&lt;&gt;"Yes","",
IF($A312="Neuron",
IF(OR(
AND($S312&lt;&gt;"",LOWER(TRIM($S312))&lt;&gt;"n/a",COUNTIFS($B$2:$B$532,"Yes",$A$2:$A$532,"Neuron",$S$2:$S$532,$S312)&gt;1),
AND($T312&lt;&gt;"",LOWER(TRIM($T312))&lt;&gt;"n/a",COUNTIFS($B$2:$B$532,"Yes",$A$2:$A$532,"Neuron",$T$2:$T$532,$T312)&gt;1),
AND($W312&lt;&gt;"",LOWER(TRIM($W312))&lt;&gt;"n/a",COUNTIFS($B$2:$B$532,"Yes",$A$2:$A$532,"Neuron",$W$2:$W$532,$W312)&gt;1)
),"Yes","No"),
IF($A312="Cybernet",
IF(OR(
AND($Y312&lt;&gt;"",LOWER(TRIM($Y312))&lt;&gt;"n/a",COUNTIFS($B$2:$B$532,"Yes",$A$2:$A$532,"Cybernet",$Y$2:$Y$532,$Y312)&gt;1),
AND($Z312&lt;&gt;"",LOWER(TRIM($Z312))&lt;&gt;"n/a",COUNTIFS($B$2:$B$532,"Yes",$A$2:$A$532,"Cybernet",$Z$2:$Z$532,$Z312)&gt;1)
),"Yes","No"),
IF(AND($AL312&lt;&gt;"",LOWER(TRIM($AL312))&lt;&gt;"n/a"),
IF(COUNTIFS($B$2:$B$532,"Yes",$A$2:$A$532,$A312,$AL$2:$AL$532,$AL312)&gt;1,"Yes","No"),
"No")
)
)
)</f>
      </c>
      <c r="BL312">
        <f>IF($T312="","",IF((IF(AND($AW312&lt;&gt;"Yes",$AW312&lt;&gt;"N/A"),"Power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",""))="","",LEFT(IF(AND($AW312&lt;&gt;"Yes",$AW312&lt;&gt;"N/A"),"Power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",""),LEN(IF(AND($AW312&lt;&gt;"Yes",$AW312&lt;&gt;"N/A"),"Power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",""))-2)))</f>
      </c>
      <c r="BM312">
        <f>IF($T312="","",IF($BL312="","Yes","Blocked"))</f>
      </c>
      <c r="BP312">
        <f>IF($BO312="","",IFERROR(VLOOKUP($BO312,'01_Warehouse_Ledger'!$A:$N,4,FALSE),""))</f>
      </c>
      <c r="BQ312">
        <f>IF($BO312="","",IFERROR(VLOOKUP($BO312,'01_Warehouse_Ledger'!$A:$N,5,FALSE),""))</f>
      </c>
      <c r="BR312">
        <f>IF($BO312="","",IFERROR(VLOOKUP($BO312,'01_Warehouse_Ledger'!$A:$N,13,FALSE),""))</f>
      </c>
    </row>
    <row r="313">
      <c r="D313">
        <f>IF($B313&lt;&gt;"Yes","",IF($C313="No","Yes",IF($C313="Yes","No","")))</f>
      </c>
      <c r="E313">
        <f>IF($A313="","",IF($A313="Neuron",IF(OR(AND($S313&lt;&gt;"",LOWER(TRIM($S313))&lt;&gt;"n/a",COUNTIF($S$2:$S$532,$S313)&gt;1),AND($T313&lt;&gt;"",LOWER(TRIM($T313))&lt;&gt;"n/a",COUNTIF($T$2:$T$532,$T313)&gt;1),AND($W313&lt;&gt;"",LOWER(TRIM($W313))&lt;&gt;"n/a",COUNTIF($W$2:$W$532,$W313)&gt;1)),"Yes","No"),IF($A313="Cybernet",IF(OR(AND($Y313&lt;&gt;"",LOWER(TRIM($Y313))&lt;&gt;"n/a",COUNTIF($Y$2:$Y$532,$Y313)&gt;1),AND($Z313&lt;&gt;"",LOWER(TRIM($Z313))&lt;&gt;"n/a",COUNTIF($Z$2:$Z$532,$Z313)&gt;1)),"Yes","No"),IF(AND($AL313&lt;&gt;"",LOWER(TRIM($AL313))&lt;&gt;"n/a",COUNTIF($AL$2:$AL$532,$AL313)&gt;1),"Yes","No"))))</f>
      </c>
      <c r="F313">
        <f>IF($B313&lt;&gt;"Yes","",
IF($A313="Neuron",
IF(OR(
AND($S313&lt;&gt;"",LOWER(TRIM($S313))&lt;&gt;"n/a",COUNTIFS($B$2:$B$532,"Yes",$A$2:$A$532,"Neuron",$S$2:$S$532,$S313)&gt;1),
AND($T313&lt;&gt;"",LOWER(TRIM($T313))&lt;&gt;"n/a",COUNTIFS($B$2:$B$532,"Yes",$A$2:$A$532,"Neuron",$T$2:$T$532,$T313)&gt;1),
AND($W313&lt;&gt;"",LOWER(TRIM($W313))&lt;&gt;"n/a",COUNTIFS($B$2:$B$532,"Yes",$A$2:$A$532,"Neuron",$W$2:$W$532,$W313)&gt;1)
),"Yes","No"),
IF($A313="Cybernet",
IF(OR(
AND($Y313&lt;&gt;"",LOWER(TRIM($Y313))&lt;&gt;"n/a",COUNTIFS($B$2:$B$532,"Yes",$A$2:$A$532,"Cybernet",$Y$2:$Y$532,$Y313)&gt;1),
AND($Z313&lt;&gt;"",LOWER(TRIM($Z313))&lt;&gt;"n/a",COUNTIFS($B$2:$B$532,"Yes",$A$2:$A$532,"Cybernet",$Z$2:$Z$532,$Z313)&gt;1)
),"Yes","No"),
IF(AND($AL313&lt;&gt;"",LOWER(TRIM($AL313))&lt;&gt;"n/a"),
IF(COUNTIFS($B$2:$B$532,"Yes",$A$2:$A$532,$A313,$AL$2:$AL$532,$AL313)&gt;1,"Yes","No"),
"No")
)
)
)</f>
      </c>
      <c r="BL313">
        <f>IF($T313="","",IF((IF(AND($AW313&lt;&gt;"Yes",$AW313&lt;&gt;"N/A"),"Power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",""))="","",LEFT(IF(AND($AW313&lt;&gt;"Yes",$AW313&lt;&gt;"N/A"),"Power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",""),LEN(IF(AND($AW313&lt;&gt;"Yes",$AW313&lt;&gt;"N/A"),"Power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",""))-2)))</f>
      </c>
      <c r="BM313">
        <f>IF($T313="","",IF($BL313="","Yes","Blocked"))</f>
      </c>
      <c r="BP313">
        <f>IF($BO313="","",IFERROR(VLOOKUP($BO313,'01_Warehouse_Ledger'!$A:$N,4,FALSE),""))</f>
      </c>
      <c r="BQ313">
        <f>IF($BO313="","",IFERROR(VLOOKUP($BO313,'01_Warehouse_Ledger'!$A:$N,5,FALSE),""))</f>
      </c>
      <c r="BR313">
        <f>IF($BO313="","",IFERROR(VLOOKUP($BO313,'01_Warehouse_Ledger'!$A:$N,13,FALSE),""))</f>
      </c>
    </row>
    <row r="314">
      <c r="D314">
        <f>IF($B314&lt;&gt;"Yes","",IF($C314="No","Yes",IF($C314="Yes","No","")))</f>
      </c>
      <c r="E314">
        <f>IF($A314="","",IF($A314="Neuron",IF(OR(AND($S314&lt;&gt;"",LOWER(TRIM($S314))&lt;&gt;"n/a",COUNTIF($S$2:$S$532,$S314)&gt;1),AND($T314&lt;&gt;"",LOWER(TRIM($T314))&lt;&gt;"n/a",COUNTIF($T$2:$T$532,$T314)&gt;1),AND($W314&lt;&gt;"",LOWER(TRIM($W314))&lt;&gt;"n/a",COUNTIF($W$2:$W$532,$W314)&gt;1)),"Yes","No"),IF($A314="Cybernet",IF(OR(AND($Y314&lt;&gt;"",LOWER(TRIM($Y314))&lt;&gt;"n/a",COUNTIF($Y$2:$Y$532,$Y314)&gt;1),AND($Z314&lt;&gt;"",LOWER(TRIM($Z314))&lt;&gt;"n/a",COUNTIF($Z$2:$Z$532,$Z314)&gt;1)),"Yes","No"),IF(AND($AL314&lt;&gt;"",LOWER(TRIM($AL314))&lt;&gt;"n/a",COUNTIF($AL$2:$AL$532,$AL314)&gt;1),"Yes","No"))))</f>
      </c>
      <c r="F314">
        <f>IF($B314&lt;&gt;"Yes","",
IF($A314="Neuron",
IF(OR(
AND($S314&lt;&gt;"",LOWER(TRIM($S314))&lt;&gt;"n/a",COUNTIFS($B$2:$B$532,"Yes",$A$2:$A$532,"Neuron",$S$2:$S$532,$S314)&gt;1),
AND($T314&lt;&gt;"",LOWER(TRIM($T314))&lt;&gt;"n/a",COUNTIFS($B$2:$B$532,"Yes",$A$2:$A$532,"Neuron",$T$2:$T$532,$T314)&gt;1),
AND($W314&lt;&gt;"",LOWER(TRIM($W314))&lt;&gt;"n/a",COUNTIFS($B$2:$B$532,"Yes",$A$2:$A$532,"Neuron",$W$2:$W$532,$W314)&gt;1)
),"Yes","No"),
IF($A314="Cybernet",
IF(OR(
AND($Y314&lt;&gt;"",LOWER(TRIM($Y314))&lt;&gt;"n/a",COUNTIFS($B$2:$B$532,"Yes",$A$2:$A$532,"Cybernet",$Y$2:$Y$532,$Y314)&gt;1),
AND($Z314&lt;&gt;"",LOWER(TRIM($Z314))&lt;&gt;"n/a",COUNTIFS($B$2:$B$532,"Yes",$A$2:$A$532,"Cybernet",$Z$2:$Z$532,$Z314)&gt;1)
),"Yes","No"),
IF(AND($AL314&lt;&gt;"",LOWER(TRIM($AL314))&lt;&gt;"n/a"),
IF(COUNTIFS($B$2:$B$532,"Yes",$A$2:$A$532,$A314,$AL$2:$AL$532,$AL314)&gt;1,"Yes","No"),
"No")
)
)
)</f>
      </c>
      <c r="BL314">
        <f>IF($T314="","",IF((IF(AND($AW314&lt;&gt;"Yes",$AW314&lt;&gt;"N/A"),"Power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",""))="","",LEFT(IF(AND($AW314&lt;&gt;"Yes",$AW314&lt;&gt;"N/A"),"Power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",""),LEN(IF(AND($AW314&lt;&gt;"Yes",$AW314&lt;&gt;"N/A"),"Power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",""))-2)))</f>
      </c>
      <c r="BM314">
        <f>IF($T314="","",IF($BL314="","Yes","Blocked"))</f>
      </c>
      <c r="BP314">
        <f>IF($BO314="","",IFERROR(VLOOKUP($BO314,'01_Warehouse_Ledger'!$A:$N,4,FALSE),""))</f>
      </c>
      <c r="BQ314">
        <f>IF($BO314="","",IFERROR(VLOOKUP($BO314,'01_Warehouse_Ledger'!$A:$N,5,FALSE),""))</f>
      </c>
      <c r="BR314">
        <f>IF($BO314="","",IFERROR(VLOOKUP($BO314,'01_Warehouse_Ledger'!$A:$N,13,FALSE),""))</f>
      </c>
    </row>
    <row r="315">
      <c r="D315">
        <f>IF($B315&lt;&gt;"Yes","",IF($C315="No","Yes",IF($C315="Yes","No","")))</f>
      </c>
      <c r="E315">
        <f>IF($A315="","",IF($A315="Neuron",IF(OR(AND($S315&lt;&gt;"",LOWER(TRIM($S315))&lt;&gt;"n/a",COUNTIF($S$2:$S$532,$S315)&gt;1),AND($T315&lt;&gt;"",LOWER(TRIM($T315))&lt;&gt;"n/a",COUNTIF($T$2:$T$532,$T315)&gt;1),AND($W315&lt;&gt;"",LOWER(TRIM($W315))&lt;&gt;"n/a",COUNTIF($W$2:$W$532,$W315)&gt;1)),"Yes","No"),IF($A315="Cybernet",IF(OR(AND($Y315&lt;&gt;"",LOWER(TRIM($Y315))&lt;&gt;"n/a",COUNTIF($Y$2:$Y$532,$Y315)&gt;1),AND($Z315&lt;&gt;"",LOWER(TRIM($Z315))&lt;&gt;"n/a",COUNTIF($Z$2:$Z$532,$Z315)&gt;1)),"Yes","No"),IF(AND($AL315&lt;&gt;"",LOWER(TRIM($AL315))&lt;&gt;"n/a",COUNTIF($AL$2:$AL$532,$AL315)&gt;1),"Yes","No"))))</f>
      </c>
      <c r="F315">
        <f>IF($B315&lt;&gt;"Yes","",
IF($A315="Neuron",
IF(OR(
AND($S315&lt;&gt;"",LOWER(TRIM($S315))&lt;&gt;"n/a",COUNTIFS($B$2:$B$532,"Yes",$A$2:$A$532,"Neuron",$S$2:$S$532,$S315)&gt;1),
AND($T315&lt;&gt;"",LOWER(TRIM($T315))&lt;&gt;"n/a",COUNTIFS($B$2:$B$532,"Yes",$A$2:$A$532,"Neuron",$T$2:$T$532,$T315)&gt;1),
AND($W315&lt;&gt;"",LOWER(TRIM($W315))&lt;&gt;"n/a",COUNTIFS($B$2:$B$532,"Yes",$A$2:$A$532,"Neuron",$W$2:$W$532,$W315)&gt;1)
),"Yes","No"),
IF($A315="Cybernet",
IF(OR(
AND($Y315&lt;&gt;"",LOWER(TRIM($Y315))&lt;&gt;"n/a",COUNTIFS($B$2:$B$532,"Yes",$A$2:$A$532,"Cybernet",$Y$2:$Y$532,$Y315)&gt;1),
AND($Z315&lt;&gt;"",LOWER(TRIM($Z315))&lt;&gt;"n/a",COUNTIFS($B$2:$B$532,"Yes",$A$2:$A$532,"Cybernet",$Z$2:$Z$532,$Z315)&gt;1)
),"Yes","No"),
IF(AND($AL315&lt;&gt;"",LOWER(TRIM($AL315))&lt;&gt;"n/a"),
IF(COUNTIFS($B$2:$B$532,"Yes",$A$2:$A$532,$A315,$AL$2:$AL$532,$AL315)&gt;1,"Yes","No"),
"No")
)
)
)</f>
      </c>
      <c r="BL315">
        <f>IF($T315="","",IF((IF(AND($AW315&lt;&gt;"Yes",$AW315&lt;&gt;"N/A"),"Power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",""))="","",LEFT(IF(AND($AW315&lt;&gt;"Yes",$AW315&lt;&gt;"N/A"),"Power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",""),LEN(IF(AND($AW315&lt;&gt;"Yes",$AW315&lt;&gt;"N/A"),"Power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",""))-2)))</f>
      </c>
      <c r="BM315">
        <f>IF($T315="","",IF($BL315="","Yes","Blocked"))</f>
      </c>
      <c r="BP315">
        <f>IF($BO315="","",IFERROR(VLOOKUP($BO315,'01_Warehouse_Ledger'!$A:$N,4,FALSE),""))</f>
      </c>
      <c r="BQ315">
        <f>IF($BO315="","",IFERROR(VLOOKUP($BO315,'01_Warehouse_Ledger'!$A:$N,5,FALSE),""))</f>
      </c>
      <c r="BR315">
        <f>IF($BO315="","",IFERROR(VLOOKUP($BO315,'01_Warehouse_Ledger'!$A:$N,13,FALSE),""))</f>
      </c>
    </row>
    <row r="316">
      <c r="D316">
        <f>IF($B316&lt;&gt;"Yes","",IF($C316="No","Yes",IF($C316="Yes","No","")))</f>
      </c>
      <c r="E316">
        <f>IF($A316="","",IF($A316="Neuron",IF(OR(AND($S316&lt;&gt;"",LOWER(TRIM($S316))&lt;&gt;"n/a",COUNTIF($S$2:$S$532,$S316)&gt;1),AND($T316&lt;&gt;"",LOWER(TRIM($T316))&lt;&gt;"n/a",COUNTIF($T$2:$T$532,$T316)&gt;1),AND($W316&lt;&gt;"",LOWER(TRIM($W316))&lt;&gt;"n/a",COUNTIF($W$2:$W$532,$W316)&gt;1)),"Yes","No"),IF($A316="Cybernet",IF(OR(AND($Y316&lt;&gt;"",LOWER(TRIM($Y316))&lt;&gt;"n/a",COUNTIF($Y$2:$Y$532,$Y316)&gt;1),AND($Z316&lt;&gt;"",LOWER(TRIM($Z316))&lt;&gt;"n/a",COUNTIF($Z$2:$Z$532,$Z316)&gt;1)),"Yes","No"),IF(AND($AL316&lt;&gt;"",LOWER(TRIM($AL316))&lt;&gt;"n/a",COUNTIF($AL$2:$AL$532,$AL316)&gt;1),"Yes","No"))))</f>
      </c>
      <c r="F316">
        <f>IF($B316&lt;&gt;"Yes","",
IF($A316="Neuron",
IF(OR(
AND($S316&lt;&gt;"",LOWER(TRIM($S316))&lt;&gt;"n/a",COUNTIFS($B$2:$B$532,"Yes",$A$2:$A$532,"Neuron",$S$2:$S$532,$S316)&gt;1),
AND($T316&lt;&gt;"",LOWER(TRIM($T316))&lt;&gt;"n/a",COUNTIFS($B$2:$B$532,"Yes",$A$2:$A$532,"Neuron",$T$2:$T$532,$T316)&gt;1),
AND($W316&lt;&gt;"",LOWER(TRIM($W316))&lt;&gt;"n/a",COUNTIFS($B$2:$B$532,"Yes",$A$2:$A$532,"Neuron",$W$2:$W$532,$W316)&gt;1)
),"Yes","No"),
IF($A316="Cybernet",
IF(OR(
AND($Y316&lt;&gt;"",LOWER(TRIM($Y316))&lt;&gt;"n/a",COUNTIFS($B$2:$B$532,"Yes",$A$2:$A$532,"Cybernet",$Y$2:$Y$532,$Y316)&gt;1),
AND($Z316&lt;&gt;"",LOWER(TRIM($Z316))&lt;&gt;"n/a",COUNTIFS($B$2:$B$532,"Yes",$A$2:$A$532,"Cybernet",$Z$2:$Z$532,$Z316)&gt;1)
),"Yes","No"),
IF(AND($AL316&lt;&gt;"",LOWER(TRIM($AL316))&lt;&gt;"n/a"),
IF(COUNTIFS($B$2:$B$532,"Yes",$A$2:$A$532,$A316,$AL$2:$AL$532,$AL316)&gt;1,"Yes","No"),
"No")
)
)
)</f>
      </c>
      <c r="BL316">
        <f>IF($T316="","",IF((IF(AND($AW316&lt;&gt;"Yes",$AW316&lt;&gt;"N/A"),"Power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",""))="","",LEFT(IF(AND($AW316&lt;&gt;"Yes",$AW316&lt;&gt;"N/A"),"Power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",""),LEN(IF(AND($AW316&lt;&gt;"Yes",$AW316&lt;&gt;"N/A"),"Power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",""))-2)))</f>
      </c>
      <c r="BM316">
        <f>IF($T316="","",IF($BL316="","Yes","Blocked"))</f>
      </c>
      <c r="BP316">
        <f>IF($BO316="","",IFERROR(VLOOKUP($BO316,'01_Warehouse_Ledger'!$A:$N,4,FALSE),""))</f>
      </c>
      <c r="BQ316">
        <f>IF($BO316="","",IFERROR(VLOOKUP($BO316,'01_Warehouse_Ledger'!$A:$N,5,FALSE),""))</f>
      </c>
      <c r="BR316">
        <f>IF($BO316="","",IFERROR(VLOOKUP($BO316,'01_Warehouse_Ledger'!$A:$N,13,FALSE),""))</f>
      </c>
    </row>
    <row r="317">
      <c r="D317">
        <f>IF($B317&lt;&gt;"Yes","",IF($C317="No","Yes",IF($C317="Yes","No","")))</f>
      </c>
      <c r="E317">
        <f>IF($A317="","",IF($A317="Neuron",IF(OR(AND($S317&lt;&gt;"",LOWER(TRIM($S317))&lt;&gt;"n/a",COUNTIF($S$2:$S$532,$S317)&gt;1),AND($T317&lt;&gt;"",LOWER(TRIM($T317))&lt;&gt;"n/a",COUNTIF($T$2:$T$532,$T317)&gt;1),AND($W317&lt;&gt;"",LOWER(TRIM($W317))&lt;&gt;"n/a",COUNTIF($W$2:$W$532,$W317)&gt;1)),"Yes","No"),IF($A317="Cybernet",IF(OR(AND($Y317&lt;&gt;"",LOWER(TRIM($Y317))&lt;&gt;"n/a",COUNTIF($Y$2:$Y$532,$Y317)&gt;1),AND($Z317&lt;&gt;"",LOWER(TRIM($Z317))&lt;&gt;"n/a",COUNTIF($Z$2:$Z$532,$Z317)&gt;1)),"Yes","No"),IF(AND($AL317&lt;&gt;"",LOWER(TRIM($AL317))&lt;&gt;"n/a",COUNTIF($AL$2:$AL$532,$AL317)&gt;1),"Yes","No"))))</f>
      </c>
      <c r="F317">
        <f>IF($B317&lt;&gt;"Yes","",
IF($A317="Neuron",
IF(OR(
AND($S317&lt;&gt;"",LOWER(TRIM($S317))&lt;&gt;"n/a",COUNTIFS($B$2:$B$532,"Yes",$A$2:$A$532,"Neuron",$S$2:$S$532,$S317)&gt;1),
AND($T317&lt;&gt;"",LOWER(TRIM($T317))&lt;&gt;"n/a",COUNTIFS($B$2:$B$532,"Yes",$A$2:$A$532,"Neuron",$T$2:$T$532,$T317)&gt;1),
AND($W317&lt;&gt;"",LOWER(TRIM($W317))&lt;&gt;"n/a",COUNTIFS($B$2:$B$532,"Yes",$A$2:$A$532,"Neuron",$W$2:$W$532,$W317)&gt;1)
),"Yes","No"),
IF($A317="Cybernet",
IF(OR(
AND($Y317&lt;&gt;"",LOWER(TRIM($Y317))&lt;&gt;"n/a",COUNTIFS($B$2:$B$532,"Yes",$A$2:$A$532,"Cybernet",$Y$2:$Y$532,$Y317)&gt;1),
AND($Z317&lt;&gt;"",LOWER(TRIM($Z317))&lt;&gt;"n/a",COUNTIFS($B$2:$B$532,"Yes",$A$2:$A$532,"Cybernet",$Z$2:$Z$532,$Z317)&gt;1)
),"Yes","No"),
IF(AND($AL317&lt;&gt;"",LOWER(TRIM($AL317))&lt;&gt;"n/a"),
IF(COUNTIFS($B$2:$B$532,"Yes",$A$2:$A$532,$A317,$AL$2:$AL$532,$AL317)&gt;1,"Yes","No"),
"No")
)
)
)</f>
      </c>
      <c r="BL317">
        <f>IF($T317="","",IF((IF(AND($AW317&lt;&gt;"Yes",$AW317&lt;&gt;"N/A"),"Power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",""))="","",LEFT(IF(AND($AW317&lt;&gt;"Yes",$AW317&lt;&gt;"N/A"),"Power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",""),LEN(IF(AND($AW317&lt;&gt;"Yes",$AW317&lt;&gt;"N/A"),"Power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",""))-2)))</f>
      </c>
      <c r="BM317">
        <f>IF($T317="","",IF($BL317="","Yes","Blocked"))</f>
      </c>
      <c r="BP317">
        <f>IF($BO317="","",IFERROR(VLOOKUP($BO317,'01_Warehouse_Ledger'!$A:$N,4,FALSE),""))</f>
      </c>
      <c r="BQ317">
        <f>IF($BO317="","",IFERROR(VLOOKUP($BO317,'01_Warehouse_Ledger'!$A:$N,5,FALSE),""))</f>
      </c>
      <c r="BR317">
        <f>IF($BO317="","",IFERROR(VLOOKUP($BO317,'01_Warehouse_Ledger'!$A:$N,13,FALSE),""))</f>
      </c>
    </row>
    <row r="318">
      <c r="D318">
        <f>IF($B318&lt;&gt;"Yes","",IF($C318="No","Yes",IF($C318="Yes","No","")))</f>
      </c>
      <c r="E318">
        <f>IF($A318="","",IF($A318="Neuron",IF(OR(AND($S318&lt;&gt;"",LOWER(TRIM($S318))&lt;&gt;"n/a",COUNTIF($S$2:$S$532,$S318)&gt;1),AND($T318&lt;&gt;"",LOWER(TRIM($T318))&lt;&gt;"n/a",COUNTIF($T$2:$T$532,$T318)&gt;1),AND($W318&lt;&gt;"",LOWER(TRIM($W318))&lt;&gt;"n/a",COUNTIF($W$2:$W$532,$W318)&gt;1)),"Yes","No"),IF($A318="Cybernet",IF(OR(AND($Y318&lt;&gt;"",LOWER(TRIM($Y318))&lt;&gt;"n/a",COUNTIF($Y$2:$Y$532,$Y318)&gt;1),AND($Z318&lt;&gt;"",LOWER(TRIM($Z318))&lt;&gt;"n/a",COUNTIF($Z$2:$Z$532,$Z318)&gt;1)),"Yes","No"),IF(AND($AL318&lt;&gt;"",LOWER(TRIM($AL318))&lt;&gt;"n/a",COUNTIF($AL$2:$AL$532,$AL318)&gt;1),"Yes","No"))))</f>
      </c>
      <c r="F318">
        <f>IF($B318&lt;&gt;"Yes","",
IF($A318="Neuron",
IF(OR(
AND($S318&lt;&gt;"",LOWER(TRIM($S318))&lt;&gt;"n/a",COUNTIFS($B$2:$B$532,"Yes",$A$2:$A$532,"Neuron",$S$2:$S$532,$S318)&gt;1),
AND($T318&lt;&gt;"",LOWER(TRIM($T318))&lt;&gt;"n/a",COUNTIFS($B$2:$B$532,"Yes",$A$2:$A$532,"Neuron",$T$2:$T$532,$T318)&gt;1),
AND($W318&lt;&gt;"",LOWER(TRIM($W318))&lt;&gt;"n/a",COUNTIFS($B$2:$B$532,"Yes",$A$2:$A$532,"Neuron",$W$2:$W$532,$W318)&gt;1)
),"Yes","No"),
IF($A318="Cybernet",
IF(OR(
AND($Y318&lt;&gt;"",LOWER(TRIM($Y318))&lt;&gt;"n/a",COUNTIFS($B$2:$B$532,"Yes",$A$2:$A$532,"Cybernet",$Y$2:$Y$532,$Y318)&gt;1),
AND($Z318&lt;&gt;"",LOWER(TRIM($Z318))&lt;&gt;"n/a",COUNTIFS($B$2:$B$532,"Yes",$A$2:$A$532,"Cybernet",$Z$2:$Z$532,$Z318)&gt;1)
),"Yes","No"),
IF(AND($AL318&lt;&gt;"",LOWER(TRIM($AL318))&lt;&gt;"n/a"),
IF(COUNTIFS($B$2:$B$532,"Yes",$A$2:$A$532,$A318,$AL$2:$AL$532,$AL318)&gt;1,"Yes","No"),
"No")
)
)
)</f>
      </c>
      <c r="BL318">
        <f>IF($T318="","",IF((IF(AND($AW318&lt;&gt;"Yes",$AW318&lt;&gt;"N/A"),"Power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",""))="","",LEFT(IF(AND($AW318&lt;&gt;"Yes",$AW318&lt;&gt;"N/A"),"Power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",""),LEN(IF(AND($AW318&lt;&gt;"Yes",$AW318&lt;&gt;"N/A"),"Power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",""))-2)))</f>
      </c>
      <c r="BM318">
        <f>IF($T318="","",IF($BL318="","Yes","Blocked"))</f>
      </c>
      <c r="BP318">
        <f>IF($BO318="","",IFERROR(VLOOKUP($BO318,'01_Warehouse_Ledger'!$A:$N,4,FALSE),""))</f>
      </c>
      <c r="BQ318">
        <f>IF($BO318="","",IFERROR(VLOOKUP($BO318,'01_Warehouse_Ledger'!$A:$N,5,FALSE),""))</f>
      </c>
      <c r="BR318">
        <f>IF($BO318="","",IFERROR(VLOOKUP($BO318,'01_Warehouse_Ledger'!$A:$N,13,FALSE),""))</f>
      </c>
    </row>
    <row r="319">
      <c r="D319">
        <f>IF($B319&lt;&gt;"Yes","",IF($C319="No","Yes",IF($C319="Yes","No","")))</f>
      </c>
      <c r="E319">
        <f>IF($A319="","",IF($A319="Neuron",IF(OR(AND($S319&lt;&gt;"",LOWER(TRIM($S319))&lt;&gt;"n/a",COUNTIF($S$2:$S$532,$S319)&gt;1),AND($T319&lt;&gt;"",LOWER(TRIM($T319))&lt;&gt;"n/a",COUNTIF($T$2:$T$532,$T319)&gt;1),AND($W319&lt;&gt;"",LOWER(TRIM($W319))&lt;&gt;"n/a",COUNTIF($W$2:$W$532,$W319)&gt;1)),"Yes","No"),IF($A319="Cybernet",IF(OR(AND($Y319&lt;&gt;"",LOWER(TRIM($Y319))&lt;&gt;"n/a",COUNTIF($Y$2:$Y$532,$Y319)&gt;1),AND($Z319&lt;&gt;"",LOWER(TRIM($Z319))&lt;&gt;"n/a",COUNTIF($Z$2:$Z$532,$Z319)&gt;1)),"Yes","No"),IF(AND($AL319&lt;&gt;"",LOWER(TRIM($AL319))&lt;&gt;"n/a",COUNTIF($AL$2:$AL$532,$AL319)&gt;1),"Yes","No"))))</f>
      </c>
      <c r="F319">
        <f>IF($B319&lt;&gt;"Yes","",
IF($A319="Neuron",
IF(OR(
AND($S319&lt;&gt;"",LOWER(TRIM($S319))&lt;&gt;"n/a",COUNTIFS($B$2:$B$532,"Yes",$A$2:$A$532,"Neuron",$S$2:$S$532,$S319)&gt;1),
AND($T319&lt;&gt;"",LOWER(TRIM($T319))&lt;&gt;"n/a",COUNTIFS($B$2:$B$532,"Yes",$A$2:$A$532,"Neuron",$T$2:$T$532,$T319)&gt;1),
AND($W319&lt;&gt;"",LOWER(TRIM($W319))&lt;&gt;"n/a",COUNTIFS($B$2:$B$532,"Yes",$A$2:$A$532,"Neuron",$W$2:$W$532,$W319)&gt;1)
),"Yes","No"),
IF($A319="Cybernet",
IF(OR(
AND($Y319&lt;&gt;"",LOWER(TRIM($Y319))&lt;&gt;"n/a",COUNTIFS($B$2:$B$532,"Yes",$A$2:$A$532,"Cybernet",$Y$2:$Y$532,$Y319)&gt;1),
AND($Z319&lt;&gt;"",LOWER(TRIM($Z319))&lt;&gt;"n/a",COUNTIFS($B$2:$B$532,"Yes",$A$2:$A$532,"Cybernet",$Z$2:$Z$532,$Z319)&gt;1)
),"Yes","No"),
IF(AND($AL319&lt;&gt;"",LOWER(TRIM($AL319))&lt;&gt;"n/a"),
IF(COUNTIFS($B$2:$B$532,"Yes",$A$2:$A$532,$A319,$AL$2:$AL$532,$AL319)&gt;1,"Yes","No"),
"No")
)
)
)</f>
      </c>
      <c r="BL319">
        <f>IF($T319="","",IF((IF(AND($AW319&lt;&gt;"Yes",$AW319&lt;&gt;"N/A"),"Power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",""))="","",LEFT(IF(AND($AW319&lt;&gt;"Yes",$AW319&lt;&gt;"N/A"),"Power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",""),LEN(IF(AND($AW319&lt;&gt;"Yes",$AW319&lt;&gt;"N/A"),"Power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",""))-2)))</f>
      </c>
      <c r="BM319">
        <f>IF($T319="","",IF($BL319="","Yes","Blocked"))</f>
      </c>
      <c r="BP319">
        <f>IF($BO319="","",IFERROR(VLOOKUP($BO319,'01_Warehouse_Ledger'!$A:$N,4,FALSE),""))</f>
      </c>
      <c r="BQ319">
        <f>IF($BO319="","",IFERROR(VLOOKUP($BO319,'01_Warehouse_Ledger'!$A:$N,5,FALSE),""))</f>
      </c>
      <c r="BR319">
        <f>IF($BO319="","",IFERROR(VLOOKUP($BO319,'01_Warehouse_Ledger'!$A:$N,13,FALSE),""))</f>
      </c>
    </row>
    <row r="320">
      <c r="D320">
        <f>IF($B320&lt;&gt;"Yes","",IF($C320="No","Yes",IF($C320="Yes","No","")))</f>
      </c>
      <c r="E320">
        <f>IF($A320="","",IF($A320="Neuron",IF(OR(AND($S320&lt;&gt;"",LOWER(TRIM($S320))&lt;&gt;"n/a",COUNTIF($S$2:$S$532,$S320)&gt;1),AND($T320&lt;&gt;"",LOWER(TRIM($T320))&lt;&gt;"n/a",COUNTIF($T$2:$T$532,$T320)&gt;1),AND($W320&lt;&gt;"",LOWER(TRIM($W320))&lt;&gt;"n/a",COUNTIF($W$2:$W$532,$W320)&gt;1)),"Yes","No"),IF($A320="Cybernet",IF(OR(AND($Y320&lt;&gt;"",LOWER(TRIM($Y320))&lt;&gt;"n/a",COUNTIF($Y$2:$Y$532,$Y320)&gt;1),AND($Z320&lt;&gt;"",LOWER(TRIM($Z320))&lt;&gt;"n/a",COUNTIF($Z$2:$Z$532,$Z320)&gt;1)),"Yes","No"),IF(AND($AL320&lt;&gt;"",LOWER(TRIM($AL320))&lt;&gt;"n/a",COUNTIF($AL$2:$AL$532,$AL320)&gt;1),"Yes","No"))))</f>
      </c>
      <c r="F320">
        <f>IF($B320&lt;&gt;"Yes","",
IF($A320="Neuron",
IF(OR(
AND($S320&lt;&gt;"",LOWER(TRIM($S320))&lt;&gt;"n/a",COUNTIFS($B$2:$B$532,"Yes",$A$2:$A$532,"Neuron",$S$2:$S$532,$S320)&gt;1),
AND($T320&lt;&gt;"",LOWER(TRIM($T320))&lt;&gt;"n/a",COUNTIFS($B$2:$B$532,"Yes",$A$2:$A$532,"Neuron",$T$2:$T$532,$T320)&gt;1),
AND($W320&lt;&gt;"",LOWER(TRIM($W320))&lt;&gt;"n/a",COUNTIFS($B$2:$B$532,"Yes",$A$2:$A$532,"Neuron",$W$2:$W$532,$W320)&gt;1)
),"Yes","No"),
IF($A320="Cybernet",
IF(OR(
AND($Y320&lt;&gt;"",LOWER(TRIM($Y320))&lt;&gt;"n/a",COUNTIFS($B$2:$B$532,"Yes",$A$2:$A$532,"Cybernet",$Y$2:$Y$532,$Y320)&gt;1),
AND($Z320&lt;&gt;"",LOWER(TRIM($Z320))&lt;&gt;"n/a",COUNTIFS($B$2:$B$532,"Yes",$A$2:$A$532,"Cybernet",$Z$2:$Z$532,$Z320)&gt;1)
),"Yes","No"),
IF(AND($AL320&lt;&gt;"",LOWER(TRIM($AL320))&lt;&gt;"n/a"),
IF(COUNTIFS($B$2:$B$532,"Yes",$A$2:$A$532,$A320,$AL$2:$AL$532,$AL320)&gt;1,"Yes","No"),
"No")
)
)
)</f>
      </c>
      <c r="BL320">
        <f>IF($T320="","",IF((IF(AND($AW320&lt;&gt;"Yes",$AW320&lt;&gt;"N/A"),"Power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",""))="","",LEFT(IF(AND($AW320&lt;&gt;"Yes",$AW320&lt;&gt;"N/A"),"Power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",""),LEN(IF(AND($AW320&lt;&gt;"Yes",$AW320&lt;&gt;"N/A"),"Power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",""))-2)))</f>
      </c>
      <c r="BM320">
        <f>IF($T320="","",IF($BL320="","Yes","Blocked"))</f>
      </c>
      <c r="BP320">
        <f>IF($BO320="","",IFERROR(VLOOKUP($BO320,'01_Warehouse_Ledger'!$A:$N,4,FALSE),""))</f>
      </c>
      <c r="BQ320">
        <f>IF($BO320="","",IFERROR(VLOOKUP($BO320,'01_Warehouse_Ledger'!$A:$N,5,FALSE),""))</f>
      </c>
      <c r="BR320">
        <f>IF($BO320="","",IFERROR(VLOOKUP($BO320,'01_Warehouse_Ledger'!$A:$N,13,FALSE),""))</f>
      </c>
    </row>
    <row r="321">
      <c r="D321">
        <f>IF($B321&lt;&gt;"Yes","",IF($C321="No","Yes",IF($C321="Yes","No","")))</f>
      </c>
      <c r="E321">
        <f>IF($A321="","",IF($A321="Neuron",IF(OR(AND($S321&lt;&gt;"",LOWER(TRIM($S321))&lt;&gt;"n/a",COUNTIF($S$2:$S$532,$S321)&gt;1),AND($T321&lt;&gt;"",LOWER(TRIM($T321))&lt;&gt;"n/a",COUNTIF($T$2:$T$532,$T321)&gt;1),AND($W321&lt;&gt;"",LOWER(TRIM($W321))&lt;&gt;"n/a",COUNTIF($W$2:$W$532,$W321)&gt;1)),"Yes","No"),IF($A321="Cybernet",IF(OR(AND($Y321&lt;&gt;"",LOWER(TRIM($Y321))&lt;&gt;"n/a",COUNTIF($Y$2:$Y$532,$Y321)&gt;1),AND($Z321&lt;&gt;"",LOWER(TRIM($Z321))&lt;&gt;"n/a",COUNTIF($Z$2:$Z$532,$Z321)&gt;1)),"Yes","No"),IF(AND($AL321&lt;&gt;"",LOWER(TRIM($AL321))&lt;&gt;"n/a",COUNTIF($AL$2:$AL$532,$AL321)&gt;1),"Yes","No"))))</f>
      </c>
      <c r="F321">
        <f>IF($B321&lt;&gt;"Yes","",
IF($A321="Neuron",
IF(OR(
AND($S321&lt;&gt;"",LOWER(TRIM($S321))&lt;&gt;"n/a",COUNTIFS($B$2:$B$532,"Yes",$A$2:$A$532,"Neuron",$S$2:$S$532,$S321)&gt;1),
AND($T321&lt;&gt;"",LOWER(TRIM($T321))&lt;&gt;"n/a",COUNTIFS($B$2:$B$532,"Yes",$A$2:$A$532,"Neuron",$T$2:$T$532,$T321)&gt;1),
AND($W321&lt;&gt;"",LOWER(TRIM($W321))&lt;&gt;"n/a",COUNTIFS($B$2:$B$532,"Yes",$A$2:$A$532,"Neuron",$W$2:$W$532,$W321)&gt;1)
),"Yes","No"),
IF($A321="Cybernet",
IF(OR(
AND($Y321&lt;&gt;"",LOWER(TRIM($Y321))&lt;&gt;"n/a",COUNTIFS($B$2:$B$532,"Yes",$A$2:$A$532,"Cybernet",$Y$2:$Y$532,$Y321)&gt;1),
AND($Z321&lt;&gt;"",LOWER(TRIM($Z321))&lt;&gt;"n/a",COUNTIFS($B$2:$B$532,"Yes",$A$2:$A$532,"Cybernet",$Z$2:$Z$532,$Z321)&gt;1)
),"Yes","No"),
IF(AND($AL321&lt;&gt;"",LOWER(TRIM($AL321))&lt;&gt;"n/a"),
IF(COUNTIFS($B$2:$B$532,"Yes",$A$2:$A$532,$A321,$AL$2:$AL$532,$AL321)&gt;1,"Yes","No"),
"No")
)
)
)</f>
      </c>
      <c r="BL321">
        <f>IF($T321="","",IF((IF(AND($AW321&lt;&gt;"Yes",$AW321&lt;&gt;"N/A"),"Power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",""))="","",LEFT(IF(AND($AW321&lt;&gt;"Yes",$AW321&lt;&gt;"N/A"),"Power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",""),LEN(IF(AND($AW321&lt;&gt;"Yes",$AW321&lt;&gt;"N/A"),"Power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",""))-2)))</f>
      </c>
      <c r="BM321">
        <f>IF($T321="","",IF($BL321="","Yes","Blocked"))</f>
      </c>
      <c r="BP321">
        <f>IF($BO321="","",IFERROR(VLOOKUP($BO321,'01_Warehouse_Ledger'!$A:$N,4,FALSE),""))</f>
      </c>
      <c r="BQ321">
        <f>IF($BO321="","",IFERROR(VLOOKUP($BO321,'01_Warehouse_Ledger'!$A:$N,5,FALSE),""))</f>
      </c>
      <c r="BR321">
        <f>IF($BO321="","",IFERROR(VLOOKUP($BO321,'01_Warehouse_Ledger'!$A:$N,13,FALSE),""))</f>
      </c>
    </row>
    <row r="322">
      <c r="D322">
        <f>IF($B322&lt;&gt;"Yes","",IF($C322="No","Yes",IF($C322="Yes","No","")))</f>
      </c>
      <c r="E322">
        <f>IF($A322="","",IF($A322="Neuron",IF(OR(AND($S322&lt;&gt;"",LOWER(TRIM($S322))&lt;&gt;"n/a",COUNTIF($S$2:$S$532,$S322)&gt;1),AND($T322&lt;&gt;"",LOWER(TRIM($T322))&lt;&gt;"n/a",COUNTIF($T$2:$T$532,$T322)&gt;1),AND($W322&lt;&gt;"",LOWER(TRIM($W322))&lt;&gt;"n/a",COUNTIF($W$2:$W$532,$W322)&gt;1)),"Yes","No"),IF($A322="Cybernet",IF(OR(AND($Y322&lt;&gt;"",LOWER(TRIM($Y322))&lt;&gt;"n/a",COUNTIF($Y$2:$Y$532,$Y322)&gt;1),AND($Z322&lt;&gt;"",LOWER(TRIM($Z322))&lt;&gt;"n/a",COUNTIF($Z$2:$Z$532,$Z322)&gt;1)),"Yes","No"),IF(AND($AL322&lt;&gt;"",LOWER(TRIM($AL322))&lt;&gt;"n/a",COUNTIF($AL$2:$AL$532,$AL322)&gt;1),"Yes","No"))))</f>
      </c>
      <c r="F322">
        <f>IF($B322&lt;&gt;"Yes","",
IF($A322="Neuron",
IF(OR(
AND($S322&lt;&gt;"",LOWER(TRIM($S322))&lt;&gt;"n/a",COUNTIFS($B$2:$B$532,"Yes",$A$2:$A$532,"Neuron",$S$2:$S$532,$S322)&gt;1),
AND($T322&lt;&gt;"",LOWER(TRIM($T322))&lt;&gt;"n/a",COUNTIFS($B$2:$B$532,"Yes",$A$2:$A$532,"Neuron",$T$2:$T$532,$T322)&gt;1),
AND($W322&lt;&gt;"",LOWER(TRIM($W322))&lt;&gt;"n/a",COUNTIFS($B$2:$B$532,"Yes",$A$2:$A$532,"Neuron",$W$2:$W$532,$W322)&gt;1)
),"Yes","No"),
IF($A322="Cybernet",
IF(OR(
AND($Y322&lt;&gt;"",LOWER(TRIM($Y322))&lt;&gt;"n/a",COUNTIFS($B$2:$B$532,"Yes",$A$2:$A$532,"Cybernet",$Y$2:$Y$532,$Y322)&gt;1),
AND($Z322&lt;&gt;"",LOWER(TRIM($Z322))&lt;&gt;"n/a",COUNTIFS($B$2:$B$532,"Yes",$A$2:$A$532,"Cybernet",$Z$2:$Z$532,$Z322)&gt;1)
),"Yes","No"),
IF(AND($AL322&lt;&gt;"",LOWER(TRIM($AL322))&lt;&gt;"n/a"),
IF(COUNTIFS($B$2:$B$532,"Yes",$A$2:$A$532,$A322,$AL$2:$AL$532,$AL322)&gt;1,"Yes","No"),
"No")
)
)
)</f>
      </c>
      <c r="BL322">
        <f>IF($T322="","",IF((IF(AND($AW322&lt;&gt;"Yes",$AW322&lt;&gt;"N/A"),"Power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",""))="","",LEFT(IF(AND($AW322&lt;&gt;"Yes",$AW322&lt;&gt;"N/A"),"Power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",""),LEN(IF(AND($AW322&lt;&gt;"Yes",$AW322&lt;&gt;"N/A"),"Power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",""))-2)))</f>
      </c>
      <c r="BM322">
        <f>IF($T322="","",IF($BL322="","Yes","Blocked"))</f>
      </c>
      <c r="BP322">
        <f>IF($BO322="","",IFERROR(VLOOKUP($BO322,'01_Warehouse_Ledger'!$A:$N,4,FALSE),""))</f>
      </c>
      <c r="BQ322">
        <f>IF($BO322="","",IFERROR(VLOOKUP($BO322,'01_Warehouse_Ledger'!$A:$N,5,FALSE),""))</f>
      </c>
      <c r="BR322">
        <f>IF($BO322="","",IFERROR(VLOOKUP($BO322,'01_Warehouse_Ledger'!$A:$N,13,FALSE),""))</f>
      </c>
    </row>
    <row r="323">
      <c r="D323">
        <f>IF($B323&lt;&gt;"Yes","",IF($C323="No","Yes",IF($C323="Yes","No","")))</f>
      </c>
      <c r="E323">
        <f>IF($A323="","",IF($A323="Neuron",IF(OR(AND($S323&lt;&gt;"",LOWER(TRIM($S323))&lt;&gt;"n/a",COUNTIF($S$2:$S$532,$S323)&gt;1),AND($T323&lt;&gt;"",LOWER(TRIM($T323))&lt;&gt;"n/a",COUNTIF($T$2:$T$532,$T323)&gt;1),AND($W323&lt;&gt;"",LOWER(TRIM($W323))&lt;&gt;"n/a",COUNTIF($W$2:$W$532,$W323)&gt;1)),"Yes","No"),IF($A323="Cybernet",IF(OR(AND($Y323&lt;&gt;"",LOWER(TRIM($Y323))&lt;&gt;"n/a",COUNTIF($Y$2:$Y$532,$Y323)&gt;1),AND($Z323&lt;&gt;"",LOWER(TRIM($Z323))&lt;&gt;"n/a",COUNTIF($Z$2:$Z$532,$Z323)&gt;1)),"Yes","No"),IF(AND($AL323&lt;&gt;"",LOWER(TRIM($AL323))&lt;&gt;"n/a",COUNTIF($AL$2:$AL$532,$AL323)&gt;1),"Yes","No"))))</f>
      </c>
      <c r="F323">
        <f>IF($B323&lt;&gt;"Yes","",
IF($A323="Neuron",
IF(OR(
AND($S323&lt;&gt;"",LOWER(TRIM($S323))&lt;&gt;"n/a",COUNTIFS($B$2:$B$532,"Yes",$A$2:$A$532,"Neuron",$S$2:$S$532,$S323)&gt;1),
AND($T323&lt;&gt;"",LOWER(TRIM($T323))&lt;&gt;"n/a",COUNTIFS($B$2:$B$532,"Yes",$A$2:$A$532,"Neuron",$T$2:$T$532,$T323)&gt;1),
AND($W323&lt;&gt;"",LOWER(TRIM($W323))&lt;&gt;"n/a",COUNTIFS($B$2:$B$532,"Yes",$A$2:$A$532,"Neuron",$W$2:$W$532,$W323)&gt;1)
),"Yes","No"),
IF($A323="Cybernet",
IF(OR(
AND($Y323&lt;&gt;"",LOWER(TRIM($Y323))&lt;&gt;"n/a",COUNTIFS($B$2:$B$532,"Yes",$A$2:$A$532,"Cybernet",$Y$2:$Y$532,$Y323)&gt;1),
AND($Z323&lt;&gt;"",LOWER(TRIM($Z323))&lt;&gt;"n/a",COUNTIFS($B$2:$B$532,"Yes",$A$2:$A$532,"Cybernet",$Z$2:$Z$532,$Z323)&gt;1)
),"Yes","No"),
IF(AND($AL323&lt;&gt;"",LOWER(TRIM($AL323))&lt;&gt;"n/a"),
IF(COUNTIFS($B$2:$B$532,"Yes",$A$2:$A$532,$A323,$AL$2:$AL$532,$AL323)&gt;1,"Yes","No"),
"No")
)
)
)</f>
      </c>
      <c r="BL323">
        <f>IF($T323="","",IF((IF(AND($AW323&lt;&gt;"Yes",$AW323&lt;&gt;"N/A"),"Power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",""))="","",LEFT(IF(AND($AW323&lt;&gt;"Yes",$AW323&lt;&gt;"N/A"),"Power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",""),LEN(IF(AND($AW323&lt;&gt;"Yes",$AW323&lt;&gt;"N/A"),"Power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",""))-2)))</f>
      </c>
      <c r="BM323">
        <f>IF($T323="","",IF($BL323="","Yes","Blocked"))</f>
      </c>
      <c r="BP323">
        <f>IF($BO323="","",IFERROR(VLOOKUP($BO323,'01_Warehouse_Ledger'!$A:$N,4,FALSE),""))</f>
      </c>
      <c r="BQ323">
        <f>IF($BO323="","",IFERROR(VLOOKUP($BO323,'01_Warehouse_Ledger'!$A:$N,5,FALSE),""))</f>
      </c>
      <c r="BR323">
        <f>IF($BO323="","",IFERROR(VLOOKUP($BO323,'01_Warehouse_Ledger'!$A:$N,13,FALSE),""))</f>
      </c>
    </row>
    <row r="324">
      <c r="D324">
        <f>IF($B324&lt;&gt;"Yes","",IF($C324="No","Yes",IF($C324="Yes","No","")))</f>
      </c>
      <c r="E324">
        <f>IF($A324="","",IF($A324="Neuron",IF(OR(AND($S324&lt;&gt;"",LOWER(TRIM($S324))&lt;&gt;"n/a",COUNTIF($S$2:$S$532,$S324)&gt;1),AND($T324&lt;&gt;"",LOWER(TRIM($T324))&lt;&gt;"n/a",COUNTIF($T$2:$T$532,$T324)&gt;1),AND($W324&lt;&gt;"",LOWER(TRIM($W324))&lt;&gt;"n/a",COUNTIF($W$2:$W$532,$W324)&gt;1)),"Yes","No"),IF($A324="Cybernet",IF(OR(AND($Y324&lt;&gt;"",LOWER(TRIM($Y324))&lt;&gt;"n/a",COUNTIF($Y$2:$Y$532,$Y324)&gt;1),AND($Z324&lt;&gt;"",LOWER(TRIM($Z324))&lt;&gt;"n/a",COUNTIF($Z$2:$Z$532,$Z324)&gt;1)),"Yes","No"),IF(AND($AL324&lt;&gt;"",LOWER(TRIM($AL324))&lt;&gt;"n/a",COUNTIF($AL$2:$AL$532,$AL324)&gt;1),"Yes","No"))))</f>
      </c>
      <c r="F324">
        <f>IF($B324&lt;&gt;"Yes","",
IF($A324="Neuron",
IF(OR(
AND($S324&lt;&gt;"",LOWER(TRIM($S324))&lt;&gt;"n/a",COUNTIFS($B$2:$B$532,"Yes",$A$2:$A$532,"Neuron",$S$2:$S$532,$S324)&gt;1),
AND($T324&lt;&gt;"",LOWER(TRIM($T324))&lt;&gt;"n/a",COUNTIFS($B$2:$B$532,"Yes",$A$2:$A$532,"Neuron",$T$2:$T$532,$T324)&gt;1),
AND($W324&lt;&gt;"",LOWER(TRIM($W324))&lt;&gt;"n/a",COUNTIFS($B$2:$B$532,"Yes",$A$2:$A$532,"Neuron",$W$2:$W$532,$W324)&gt;1)
),"Yes","No"),
IF($A324="Cybernet",
IF(OR(
AND($Y324&lt;&gt;"",LOWER(TRIM($Y324))&lt;&gt;"n/a",COUNTIFS($B$2:$B$532,"Yes",$A$2:$A$532,"Cybernet",$Y$2:$Y$532,$Y324)&gt;1),
AND($Z324&lt;&gt;"",LOWER(TRIM($Z324))&lt;&gt;"n/a",COUNTIFS($B$2:$B$532,"Yes",$A$2:$A$532,"Cybernet",$Z$2:$Z$532,$Z324)&gt;1)
),"Yes","No"),
IF(AND($AL324&lt;&gt;"",LOWER(TRIM($AL324))&lt;&gt;"n/a"),
IF(COUNTIFS($B$2:$B$532,"Yes",$A$2:$A$532,$A324,$AL$2:$AL$532,$AL324)&gt;1,"Yes","No"),
"No")
)
)
)</f>
      </c>
      <c r="BL324">
        <f>IF($T324="","",IF((IF(AND($AW324&lt;&gt;"Yes",$AW324&lt;&gt;"N/A"),"Power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",""))="","",LEFT(IF(AND($AW324&lt;&gt;"Yes",$AW324&lt;&gt;"N/A"),"Power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",""),LEN(IF(AND($AW324&lt;&gt;"Yes",$AW324&lt;&gt;"N/A"),"Power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",""))-2)))</f>
      </c>
      <c r="BM324">
        <f>IF($T324="","",IF($BL324="","Yes","Blocked"))</f>
      </c>
      <c r="BP324">
        <f>IF($BO324="","",IFERROR(VLOOKUP($BO324,'01_Warehouse_Ledger'!$A:$N,4,FALSE),""))</f>
      </c>
      <c r="BQ324">
        <f>IF($BO324="","",IFERROR(VLOOKUP($BO324,'01_Warehouse_Ledger'!$A:$N,5,FALSE),""))</f>
      </c>
      <c r="BR324">
        <f>IF($BO324="","",IFERROR(VLOOKUP($BO324,'01_Warehouse_Ledger'!$A:$N,13,FALSE),""))</f>
      </c>
    </row>
    <row r="325">
      <c r="D325">
        <f>IF($B325&lt;&gt;"Yes","",IF($C325="No","Yes",IF($C325="Yes","No","")))</f>
      </c>
      <c r="E325">
        <f>IF($A325="","",IF($A325="Neuron",IF(OR(AND($S325&lt;&gt;"",LOWER(TRIM($S325))&lt;&gt;"n/a",COUNTIF($S$2:$S$532,$S325)&gt;1),AND($T325&lt;&gt;"",LOWER(TRIM($T325))&lt;&gt;"n/a",COUNTIF($T$2:$T$532,$T325)&gt;1),AND($W325&lt;&gt;"",LOWER(TRIM($W325))&lt;&gt;"n/a",COUNTIF($W$2:$W$532,$W325)&gt;1)),"Yes","No"),IF($A325="Cybernet",IF(OR(AND($Y325&lt;&gt;"",LOWER(TRIM($Y325))&lt;&gt;"n/a",COUNTIF($Y$2:$Y$532,$Y325)&gt;1),AND($Z325&lt;&gt;"",LOWER(TRIM($Z325))&lt;&gt;"n/a",COUNTIF($Z$2:$Z$532,$Z325)&gt;1)),"Yes","No"),IF(AND($AL325&lt;&gt;"",LOWER(TRIM($AL325))&lt;&gt;"n/a",COUNTIF($AL$2:$AL$532,$AL325)&gt;1),"Yes","No"))))</f>
      </c>
      <c r="F325">
        <f>IF($B325&lt;&gt;"Yes","",
IF($A325="Neuron",
IF(OR(
AND($S325&lt;&gt;"",LOWER(TRIM($S325))&lt;&gt;"n/a",COUNTIFS($B$2:$B$532,"Yes",$A$2:$A$532,"Neuron",$S$2:$S$532,$S325)&gt;1),
AND($T325&lt;&gt;"",LOWER(TRIM($T325))&lt;&gt;"n/a",COUNTIFS($B$2:$B$532,"Yes",$A$2:$A$532,"Neuron",$T$2:$T$532,$T325)&gt;1),
AND($W325&lt;&gt;"",LOWER(TRIM($W325))&lt;&gt;"n/a",COUNTIFS($B$2:$B$532,"Yes",$A$2:$A$532,"Neuron",$W$2:$W$532,$W325)&gt;1)
),"Yes","No"),
IF($A325="Cybernet",
IF(OR(
AND($Y325&lt;&gt;"",LOWER(TRIM($Y325))&lt;&gt;"n/a",COUNTIFS($B$2:$B$532,"Yes",$A$2:$A$532,"Cybernet",$Y$2:$Y$532,$Y325)&gt;1),
AND($Z325&lt;&gt;"",LOWER(TRIM($Z325))&lt;&gt;"n/a",COUNTIFS($B$2:$B$532,"Yes",$A$2:$A$532,"Cybernet",$Z$2:$Z$532,$Z325)&gt;1)
),"Yes","No"),
IF(AND($AL325&lt;&gt;"",LOWER(TRIM($AL325))&lt;&gt;"n/a"),
IF(COUNTIFS($B$2:$B$532,"Yes",$A$2:$A$532,$A325,$AL$2:$AL$532,$AL325)&gt;1,"Yes","No"),
"No")
)
)
)</f>
      </c>
      <c r="BL325">
        <f>IF($T325="","",IF((IF(AND($AW325&lt;&gt;"Yes",$AW325&lt;&gt;"N/A"),"Power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",""))="","",LEFT(IF(AND($AW325&lt;&gt;"Yes",$AW325&lt;&gt;"N/A"),"Power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",""),LEN(IF(AND($AW325&lt;&gt;"Yes",$AW325&lt;&gt;"N/A"),"Power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",""))-2)))</f>
      </c>
      <c r="BM325">
        <f>IF($T325="","",IF($BL325="","Yes","Blocked"))</f>
      </c>
      <c r="BP325">
        <f>IF($BO325="","",IFERROR(VLOOKUP($BO325,'01_Warehouse_Ledger'!$A:$N,4,FALSE),""))</f>
      </c>
      <c r="BQ325">
        <f>IF($BO325="","",IFERROR(VLOOKUP($BO325,'01_Warehouse_Ledger'!$A:$N,5,FALSE),""))</f>
      </c>
      <c r="BR325">
        <f>IF($BO325="","",IFERROR(VLOOKUP($BO325,'01_Warehouse_Ledger'!$A:$N,13,FALSE),""))</f>
      </c>
    </row>
    <row r="326">
      <c r="D326">
        <f>IF($B326&lt;&gt;"Yes","",IF($C326="No","Yes",IF($C326="Yes","No","")))</f>
      </c>
      <c r="E326">
        <f>IF($A326="","",IF($A326="Neuron",IF(OR(AND($S326&lt;&gt;"",LOWER(TRIM($S326))&lt;&gt;"n/a",COUNTIF($S$2:$S$532,$S326)&gt;1),AND($T326&lt;&gt;"",LOWER(TRIM($T326))&lt;&gt;"n/a",COUNTIF($T$2:$T$532,$T326)&gt;1),AND($W326&lt;&gt;"",LOWER(TRIM($W326))&lt;&gt;"n/a",COUNTIF($W$2:$W$532,$W326)&gt;1)),"Yes","No"),IF($A326="Cybernet",IF(OR(AND($Y326&lt;&gt;"",LOWER(TRIM($Y326))&lt;&gt;"n/a",COUNTIF($Y$2:$Y$532,$Y326)&gt;1),AND($Z326&lt;&gt;"",LOWER(TRIM($Z326))&lt;&gt;"n/a",COUNTIF($Z$2:$Z$532,$Z326)&gt;1)),"Yes","No"),IF(AND($AL326&lt;&gt;"",LOWER(TRIM($AL326))&lt;&gt;"n/a",COUNTIF($AL$2:$AL$532,$AL326)&gt;1),"Yes","No"))))</f>
      </c>
      <c r="F326">
        <f>IF($B326&lt;&gt;"Yes","",
IF($A326="Neuron",
IF(OR(
AND($S326&lt;&gt;"",LOWER(TRIM($S326))&lt;&gt;"n/a",COUNTIFS($B$2:$B$532,"Yes",$A$2:$A$532,"Neuron",$S$2:$S$532,$S326)&gt;1),
AND($T326&lt;&gt;"",LOWER(TRIM($T326))&lt;&gt;"n/a",COUNTIFS($B$2:$B$532,"Yes",$A$2:$A$532,"Neuron",$T$2:$T$532,$T326)&gt;1),
AND($W326&lt;&gt;"",LOWER(TRIM($W326))&lt;&gt;"n/a",COUNTIFS($B$2:$B$532,"Yes",$A$2:$A$532,"Neuron",$W$2:$W$532,$W326)&gt;1)
),"Yes","No"),
IF($A326="Cybernet",
IF(OR(
AND($Y326&lt;&gt;"",LOWER(TRIM($Y326))&lt;&gt;"n/a",COUNTIFS($B$2:$B$532,"Yes",$A$2:$A$532,"Cybernet",$Y$2:$Y$532,$Y326)&gt;1),
AND($Z326&lt;&gt;"",LOWER(TRIM($Z326))&lt;&gt;"n/a",COUNTIFS($B$2:$B$532,"Yes",$A$2:$A$532,"Cybernet",$Z$2:$Z$532,$Z326)&gt;1)
),"Yes","No"),
IF(AND($AL326&lt;&gt;"",LOWER(TRIM($AL326))&lt;&gt;"n/a"),
IF(COUNTIFS($B$2:$B$532,"Yes",$A$2:$A$532,$A326,$AL$2:$AL$532,$AL326)&gt;1,"Yes","No"),
"No")
)
)
)</f>
      </c>
      <c r="BL326">
        <f>IF($T326="","",IF((IF(AND($AW326&lt;&gt;"Yes",$AW326&lt;&gt;"N/A"),"Power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",""))="","",LEFT(IF(AND($AW326&lt;&gt;"Yes",$AW326&lt;&gt;"N/A"),"Power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",""),LEN(IF(AND($AW326&lt;&gt;"Yes",$AW326&lt;&gt;"N/A"),"Power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",""))-2)))</f>
      </c>
      <c r="BM326">
        <f>IF($T326="","",IF($BL326="","Yes","Blocked"))</f>
      </c>
      <c r="BP326">
        <f>IF($BO326="","",IFERROR(VLOOKUP($BO326,'01_Warehouse_Ledger'!$A:$N,4,FALSE),""))</f>
      </c>
      <c r="BQ326">
        <f>IF($BO326="","",IFERROR(VLOOKUP($BO326,'01_Warehouse_Ledger'!$A:$N,5,FALSE),""))</f>
      </c>
      <c r="BR326">
        <f>IF($BO326="","",IFERROR(VLOOKUP($BO326,'01_Warehouse_Ledger'!$A:$N,13,FALSE),""))</f>
      </c>
    </row>
    <row r="327">
      <c r="D327">
        <f>IF($B327&lt;&gt;"Yes","",IF($C327="No","Yes",IF($C327="Yes","No","")))</f>
      </c>
      <c r="E327">
        <f>IF($A327="","",IF($A327="Neuron",IF(OR(AND($S327&lt;&gt;"",LOWER(TRIM($S327))&lt;&gt;"n/a",COUNTIF($S$2:$S$532,$S327)&gt;1),AND($T327&lt;&gt;"",LOWER(TRIM($T327))&lt;&gt;"n/a",COUNTIF($T$2:$T$532,$T327)&gt;1),AND($W327&lt;&gt;"",LOWER(TRIM($W327))&lt;&gt;"n/a",COUNTIF($W$2:$W$532,$W327)&gt;1)),"Yes","No"),IF($A327="Cybernet",IF(OR(AND($Y327&lt;&gt;"",LOWER(TRIM($Y327))&lt;&gt;"n/a",COUNTIF($Y$2:$Y$532,$Y327)&gt;1),AND($Z327&lt;&gt;"",LOWER(TRIM($Z327))&lt;&gt;"n/a",COUNTIF($Z$2:$Z$532,$Z327)&gt;1)),"Yes","No"),IF(AND($AL327&lt;&gt;"",LOWER(TRIM($AL327))&lt;&gt;"n/a",COUNTIF($AL$2:$AL$532,$AL327)&gt;1),"Yes","No"))))</f>
      </c>
      <c r="F327">
        <f>IF($B327&lt;&gt;"Yes","",
IF($A327="Neuron",
IF(OR(
AND($S327&lt;&gt;"",LOWER(TRIM($S327))&lt;&gt;"n/a",COUNTIFS($B$2:$B$532,"Yes",$A$2:$A$532,"Neuron",$S$2:$S$532,$S327)&gt;1),
AND($T327&lt;&gt;"",LOWER(TRIM($T327))&lt;&gt;"n/a",COUNTIFS($B$2:$B$532,"Yes",$A$2:$A$532,"Neuron",$T$2:$T$532,$T327)&gt;1),
AND($W327&lt;&gt;"",LOWER(TRIM($W327))&lt;&gt;"n/a",COUNTIFS($B$2:$B$532,"Yes",$A$2:$A$532,"Neuron",$W$2:$W$532,$W327)&gt;1)
),"Yes","No"),
IF($A327="Cybernet",
IF(OR(
AND($Y327&lt;&gt;"",LOWER(TRIM($Y327))&lt;&gt;"n/a",COUNTIFS($B$2:$B$532,"Yes",$A$2:$A$532,"Cybernet",$Y$2:$Y$532,$Y327)&gt;1),
AND($Z327&lt;&gt;"",LOWER(TRIM($Z327))&lt;&gt;"n/a",COUNTIFS($B$2:$B$532,"Yes",$A$2:$A$532,"Cybernet",$Z$2:$Z$532,$Z327)&gt;1)
),"Yes","No"),
IF(AND($AL327&lt;&gt;"",LOWER(TRIM($AL327))&lt;&gt;"n/a"),
IF(COUNTIFS($B$2:$B$532,"Yes",$A$2:$A$532,$A327,$AL$2:$AL$532,$AL327)&gt;1,"Yes","No"),
"No")
)
)
)</f>
      </c>
      <c r="BL327">
        <f>IF($T327="","",IF((IF(AND($AW327&lt;&gt;"Yes",$AW327&lt;&gt;"N/A"),"Power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",""))="","",LEFT(IF(AND($AW327&lt;&gt;"Yes",$AW327&lt;&gt;"N/A"),"Power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",""),LEN(IF(AND($AW327&lt;&gt;"Yes",$AW327&lt;&gt;"N/A"),"Power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",""))-2)))</f>
      </c>
      <c r="BM327">
        <f>IF($T327="","",IF($BL327="","Yes","Blocked"))</f>
      </c>
      <c r="BP327">
        <f>IF($BO327="","",IFERROR(VLOOKUP($BO327,'01_Warehouse_Ledger'!$A:$N,4,FALSE),""))</f>
      </c>
      <c r="BQ327">
        <f>IF($BO327="","",IFERROR(VLOOKUP($BO327,'01_Warehouse_Ledger'!$A:$N,5,FALSE),""))</f>
      </c>
      <c r="BR327">
        <f>IF($BO327="","",IFERROR(VLOOKUP($BO327,'01_Warehouse_Ledger'!$A:$N,13,FALSE),""))</f>
      </c>
    </row>
    <row r="328">
      <c r="D328">
        <f>IF($B328&lt;&gt;"Yes","",IF($C328="No","Yes",IF($C328="Yes","No","")))</f>
      </c>
      <c r="E328">
        <f>IF($A328="","",IF($A328="Neuron",IF(OR(AND($S328&lt;&gt;"",LOWER(TRIM($S328))&lt;&gt;"n/a",COUNTIF($S$2:$S$532,$S328)&gt;1),AND($T328&lt;&gt;"",LOWER(TRIM($T328))&lt;&gt;"n/a",COUNTIF($T$2:$T$532,$T328)&gt;1),AND($W328&lt;&gt;"",LOWER(TRIM($W328))&lt;&gt;"n/a",COUNTIF($W$2:$W$532,$W328)&gt;1)),"Yes","No"),IF($A328="Cybernet",IF(OR(AND($Y328&lt;&gt;"",LOWER(TRIM($Y328))&lt;&gt;"n/a",COUNTIF($Y$2:$Y$532,$Y328)&gt;1),AND($Z328&lt;&gt;"",LOWER(TRIM($Z328))&lt;&gt;"n/a",COUNTIF($Z$2:$Z$532,$Z328)&gt;1)),"Yes","No"),IF(AND($AL328&lt;&gt;"",LOWER(TRIM($AL328))&lt;&gt;"n/a",COUNTIF($AL$2:$AL$532,$AL328)&gt;1),"Yes","No"))))</f>
      </c>
      <c r="F328">
        <f>IF($B328&lt;&gt;"Yes","",
IF($A328="Neuron",
IF(OR(
AND($S328&lt;&gt;"",LOWER(TRIM($S328))&lt;&gt;"n/a",COUNTIFS($B$2:$B$532,"Yes",$A$2:$A$532,"Neuron",$S$2:$S$532,$S328)&gt;1),
AND($T328&lt;&gt;"",LOWER(TRIM($T328))&lt;&gt;"n/a",COUNTIFS($B$2:$B$532,"Yes",$A$2:$A$532,"Neuron",$T$2:$T$532,$T328)&gt;1),
AND($W328&lt;&gt;"",LOWER(TRIM($W328))&lt;&gt;"n/a",COUNTIFS($B$2:$B$532,"Yes",$A$2:$A$532,"Neuron",$W$2:$W$532,$W328)&gt;1)
),"Yes","No"),
IF($A328="Cybernet",
IF(OR(
AND($Y328&lt;&gt;"",LOWER(TRIM($Y328))&lt;&gt;"n/a",COUNTIFS($B$2:$B$532,"Yes",$A$2:$A$532,"Cybernet",$Y$2:$Y$532,$Y328)&gt;1),
AND($Z328&lt;&gt;"",LOWER(TRIM($Z328))&lt;&gt;"n/a",COUNTIFS($B$2:$B$532,"Yes",$A$2:$A$532,"Cybernet",$Z$2:$Z$532,$Z328)&gt;1)
),"Yes","No"),
IF(AND($AL328&lt;&gt;"",LOWER(TRIM($AL328))&lt;&gt;"n/a"),
IF(COUNTIFS($B$2:$B$532,"Yes",$A$2:$A$532,$A328,$AL$2:$AL$532,$AL328)&gt;1,"Yes","No"),
"No")
)
)
)</f>
      </c>
      <c r="BL328">
        <f>IF($T328="","",IF((IF(AND($AW328&lt;&gt;"Yes",$AW328&lt;&gt;"N/A"),"Power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",""))="","",LEFT(IF(AND($AW328&lt;&gt;"Yes",$AW328&lt;&gt;"N/A"),"Power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",""),LEN(IF(AND($AW328&lt;&gt;"Yes",$AW328&lt;&gt;"N/A"),"Power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",""))-2)))</f>
      </c>
      <c r="BM328">
        <f>IF($T328="","",IF($BL328="","Yes","Blocked"))</f>
      </c>
      <c r="BP328">
        <f>IF($BO328="","",IFERROR(VLOOKUP($BO328,'01_Warehouse_Ledger'!$A:$N,4,FALSE),""))</f>
      </c>
      <c r="BQ328">
        <f>IF($BO328="","",IFERROR(VLOOKUP($BO328,'01_Warehouse_Ledger'!$A:$N,5,FALSE),""))</f>
      </c>
      <c r="BR328">
        <f>IF($BO328="","",IFERROR(VLOOKUP($BO328,'01_Warehouse_Ledger'!$A:$N,13,FALSE),""))</f>
      </c>
    </row>
    <row r="329">
      <c r="D329">
        <f>IF($B329&lt;&gt;"Yes","",IF($C329="No","Yes",IF($C329="Yes","No","")))</f>
      </c>
      <c r="E329">
        <f>IF($A329="","",IF($A329="Neuron",IF(OR(AND($S329&lt;&gt;"",LOWER(TRIM($S329))&lt;&gt;"n/a",COUNTIF($S$2:$S$532,$S329)&gt;1),AND($T329&lt;&gt;"",LOWER(TRIM($T329))&lt;&gt;"n/a",COUNTIF($T$2:$T$532,$T329)&gt;1),AND($W329&lt;&gt;"",LOWER(TRIM($W329))&lt;&gt;"n/a",COUNTIF($W$2:$W$532,$W329)&gt;1)),"Yes","No"),IF($A329="Cybernet",IF(OR(AND($Y329&lt;&gt;"",LOWER(TRIM($Y329))&lt;&gt;"n/a",COUNTIF($Y$2:$Y$532,$Y329)&gt;1),AND($Z329&lt;&gt;"",LOWER(TRIM($Z329))&lt;&gt;"n/a",COUNTIF($Z$2:$Z$532,$Z329)&gt;1)),"Yes","No"),IF(AND($AL329&lt;&gt;"",LOWER(TRIM($AL329))&lt;&gt;"n/a",COUNTIF($AL$2:$AL$532,$AL329)&gt;1),"Yes","No"))))</f>
      </c>
      <c r="F329">
        <f>IF($B329&lt;&gt;"Yes","",
IF($A329="Neuron",
IF(OR(
AND($S329&lt;&gt;"",LOWER(TRIM($S329))&lt;&gt;"n/a",COUNTIFS($B$2:$B$532,"Yes",$A$2:$A$532,"Neuron",$S$2:$S$532,$S329)&gt;1),
AND($T329&lt;&gt;"",LOWER(TRIM($T329))&lt;&gt;"n/a",COUNTIFS($B$2:$B$532,"Yes",$A$2:$A$532,"Neuron",$T$2:$T$532,$T329)&gt;1),
AND($W329&lt;&gt;"",LOWER(TRIM($W329))&lt;&gt;"n/a",COUNTIFS($B$2:$B$532,"Yes",$A$2:$A$532,"Neuron",$W$2:$W$532,$W329)&gt;1)
),"Yes","No"),
IF($A329="Cybernet",
IF(OR(
AND($Y329&lt;&gt;"",LOWER(TRIM($Y329))&lt;&gt;"n/a",COUNTIFS($B$2:$B$532,"Yes",$A$2:$A$532,"Cybernet",$Y$2:$Y$532,$Y329)&gt;1),
AND($Z329&lt;&gt;"",LOWER(TRIM($Z329))&lt;&gt;"n/a",COUNTIFS($B$2:$B$532,"Yes",$A$2:$A$532,"Cybernet",$Z$2:$Z$532,$Z329)&gt;1)
),"Yes","No"),
IF(AND($AL329&lt;&gt;"",LOWER(TRIM($AL329))&lt;&gt;"n/a"),
IF(COUNTIFS($B$2:$B$532,"Yes",$A$2:$A$532,$A329,$AL$2:$AL$532,$AL329)&gt;1,"Yes","No"),
"No")
)
)
)</f>
      </c>
      <c r="BL329">
        <f>IF($T329="","",IF((IF(AND($AW329&lt;&gt;"Yes",$AW329&lt;&gt;"N/A"),"Power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",""))="","",LEFT(IF(AND($AW329&lt;&gt;"Yes",$AW329&lt;&gt;"N/A"),"Power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",""),LEN(IF(AND($AW329&lt;&gt;"Yes",$AW329&lt;&gt;"N/A"),"Power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",""))-2)))</f>
      </c>
      <c r="BM329">
        <f>IF($T329="","",IF($BL329="","Yes","Blocked"))</f>
      </c>
      <c r="BP329">
        <f>IF($BO329="","",IFERROR(VLOOKUP($BO329,'01_Warehouse_Ledger'!$A:$N,4,FALSE),""))</f>
      </c>
      <c r="BQ329">
        <f>IF($BO329="","",IFERROR(VLOOKUP($BO329,'01_Warehouse_Ledger'!$A:$N,5,FALSE),""))</f>
      </c>
      <c r="BR329">
        <f>IF($BO329="","",IFERROR(VLOOKUP($BO329,'01_Warehouse_Ledger'!$A:$N,13,FALSE),""))</f>
      </c>
    </row>
    <row r="330">
      <c r="D330">
        <f>IF($B330&lt;&gt;"Yes","",IF($C330="No","Yes",IF($C330="Yes","No","")))</f>
      </c>
      <c r="E330">
        <f>IF($A330="","",IF($A330="Neuron",IF(OR(AND($S330&lt;&gt;"",LOWER(TRIM($S330))&lt;&gt;"n/a",COUNTIF($S$2:$S$532,$S330)&gt;1),AND($T330&lt;&gt;"",LOWER(TRIM($T330))&lt;&gt;"n/a",COUNTIF($T$2:$T$532,$T330)&gt;1),AND($W330&lt;&gt;"",LOWER(TRIM($W330))&lt;&gt;"n/a",COUNTIF($W$2:$W$532,$W330)&gt;1)),"Yes","No"),IF($A330="Cybernet",IF(OR(AND($Y330&lt;&gt;"",LOWER(TRIM($Y330))&lt;&gt;"n/a",COUNTIF($Y$2:$Y$532,$Y330)&gt;1),AND($Z330&lt;&gt;"",LOWER(TRIM($Z330))&lt;&gt;"n/a",COUNTIF($Z$2:$Z$532,$Z330)&gt;1)),"Yes","No"),IF(AND($AL330&lt;&gt;"",LOWER(TRIM($AL330))&lt;&gt;"n/a",COUNTIF($AL$2:$AL$532,$AL330)&gt;1),"Yes","No"))))</f>
      </c>
      <c r="F330">
        <f>IF($B330&lt;&gt;"Yes","",
IF($A330="Neuron",
IF(OR(
AND($S330&lt;&gt;"",LOWER(TRIM($S330))&lt;&gt;"n/a",COUNTIFS($B$2:$B$532,"Yes",$A$2:$A$532,"Neuron",$S$2:$S$532,$S330)&gt;1),
AND($T330&lt;&gt;"",LOWER(TRIM($T330))&lt;&gt;"n/a",COUNTIFS($B$2:$B$532,"Yes",$A$2:$A$532,"Neuron",$T$2:$T$532,$T330)&gt;1),
AND($W330&lt;&gt;"",LOWER(TRIM($W330))&lt;&gt;"n/a",COUNTIFS($B$2:$B$532,"Yes",$A$2:$A$532,"Neuron",$W$2:$W$532,$W330)&gt;1)
),"Yes","No"),
IF($A330="Cybernet",
IF(OR(
AND($Y330&lt;&gt;"",LOWER(TRIM($Y330))&lt;&gt;"n/a",COUNTIFS($B$2:$B$532,"Yes",$A$2:$A$532,"Cybernet",$Y$2:$Y$532,$Y330)&gt;1),
AND($Z330&lt;&gt;"",LOWER(TRIM($Z330))&lt;&gt;"n/a",COUNTIFS($B$2:$B$532,"Yes",$A$2:$A$532,"Cybernet",$Z$2:$Z$532,$Z330)&gt;1)
),"Yes","No"),
IF(AND($AL330&lt;&gt;"",LOWER(TRIM($AL330))&lt;&gt;"n/a"),
IF(COUNTIFS($B$2:$B$532,"Yes",$A$2:$A$532,$A330,$AL$2:$AL$532,$AL330)&gt;1,"Yes","No"),
"No")
)
)
)</f>
      </c>
      <c r="BL330">
        <f>IF($T330="","",IF((IF(AND($AW330&lt;&gt;"Yes",$AW330&lt;&gt;"N/A"),"Power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",""))="","",LEFT(IF(AND($AW330&lt;&gt;"Yes",$AW330&lt;&gt;"N/A"),"Power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",""),LEN(IF(AND($AW330&lt;&gt;"Yes",$AW330&lt;&gt;"N/A"),"Power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",""))-2)))</f>
      </c>
      <c r="BM330">
        <f>IF($T330="","",IF($BL330="","Yes","Blocked"))</f>
      </c>
      <c r="BP330">
        <f>IF($BO330="","",IFERROR(VLOOKUP($BO330,'01_Warehouse_Ledger'!$A:$N,4,FALSE),""))</f>
      </c>
      <c r="BQ330">
        <f>IF($BO330="","",IFERROR(VLOOKUP($BO330,'01_Warehouse_Ledger'!$A:$N,5,FALSE),""))</f>
      </c>
      <c r="BR330">
        <f>IF($BO330="","",IFERROR(VLOOKUP($BO330,'01_Warehouse_Ledger'!$A:$N,13,FALSE),""))</f>
      </c>
    </row>
    <row r="331">
      <c r="D331">
        <f>IF($B331&lt;&gt;"Yes","",IF($C331="No","Yes",IF($C331="Yes","No","")))</f>
      </c>
      <c r="E331">
        <f>IF($A331="","",IF($A331="Neuron",IF(OR(AND($S331&lt;&gt;"",LOWER(TRIM($S331))&lt;&gt;"n/a",COUNTIF($S$2:$S$532,$S331)&gt;1),AND($T331&lt;&gt;"",LOWER(TRIM($T331))&lt;&gt;"n/a",COUNTIF($T$2:$T$532,$T331)&gt;1),AND($W331&lt;&gt;"",LOWER(TRIM($W331))&lt;&gt;"n/a",COUNTIF($W$2:$W$532,$W331)&gt;1)),"Yes","No"),IF($A331="Cybernet",IF(OR(AND($Y331&lt;&gt;"",LOWER(TRIM($Y331))&lt;&gt;"n/a",COUNTIF($Y$2:$Y$532,$Y331)&gt;1),AND($Z331&lt;&gt;"",LOWER(TRIM($Z331))&lt;&gt;"n/a",COUNTIF($Z$2:$Z$532,$Z331)&gt;1)),"Yes","No"),IF(AND($AL331&lt;&gt;"",LOWER(TRIM($AL331))&lt;&gt;"n/a",COUNTIF($AL$2:$AL$532,$AL331)&gt;1),"Yes","No"))))</f>
      </c>
      <c r="F331">
        <f>IF($B331&lt;&gt;"Yes","",
IF($A331="Neuron",
IF(OR(
AND($S331&lt;&gt;"",LOWER(TRIM($S331))&lt;&gt;"n/a",COUNTIFS($B$2:$B$532,"Yes",$A$2:$A$532,"Neuron",$S$2:$S$532,$S331)&gt;1),
AND($T331&lt;&gt;"",LOWER(TRIM($T331))&lt;&gt;"n/a",COUNTIFS($B$2:$B$532,"Yes",$A$2:$A$532,"Neuron",$T$2:$T$532,$T331)&gt;1),
AND($W331&lt;&gt;"",LOWER(TRIM($W331))&lt;&gt;"n/a",COUNTIFS($B$2:$B$532,"Yes",$A$2:$A$532,"Neuron",$W$2:$W$532,$W331)&gt;1)
),"Yes","No"),
IF($A331="Cybernet",
IF(OR(
AND($Y331&lt;&gt;"",LOWER(TRIM($Y331))&lt;&gt;"n/a",COUNTIFS($B$2:$B$532,"Yes",$A$2:$A$532,"Cybernet",$Y$2:$Y$532,$Y331)&gt;1),
AND($Z331&lt;&gt;"",LOWER(TRIM($Z331))&lt;&gt;"n/a",COUNTIFS($B$2:$B$532,"Yes",$A$2:$A$532,"Cybernet",$Z$2:$Z$532,$Z331)&gt;1)
),"Yes","No"),
IF(AND($AL331&lt;&gt;"",LOWER(TRIM($AL331))&lt;&gt;"n/a"),
IF(COUNTIFS($B$2:$B$532,"Yes",$A$2:$A$532,$A331,$AL$2:$AL$532,$AL331)&gt;1,"Yes","No"),
"No")
)
)
)</f>
      </c>
      <c r="BL331">
        <f>IF($T331="","",IF((IF(AND($AW331&lt;&gt;"Yes",$AW331&lt;&gt;"N/A"),"Power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",""))="","",LEFT(IF(AND($AW331&lt;&gt;"Yes",$AW331&lt;&gt;"N/A"),"Power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",""),LEN(IF(AND($AW331&lt;&gt;"Yes",$AW331&lt;&gt;"N/A"),"Power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",""))-2)))</f>
      </c>
      <c r="BM331">
        <f>IF($T331="","",IF($BL331="","Yes","Blocked"))</f>
      </c>
      <c r="BP331">
        <f>IF($BO331="","",IFERROR(VLOOKUP($BO331,'01_Warehouse_Ledger'!$A:$N,4,FALSE),""))</f>
      </c>
      <c r="BQ331">
        <f>IF($BO331="","",IFERROR(VLOOKUP($BO331,'01_Warehouse_Ledger'!$A:$N,5,FALSE),""))</f>
      </c>
      <c r="BR331">
        <f>IF($BO331="","",IFERROR(VLOOKUP($BO331,'01_Warehouse_Ledger'!$A:$N,13,FALSE),""))</f>
      </c>
    </row>
    <row r="332">
      <c r="D332">
        <f>IF($B332&lt;&gt;"Yes","",IF($C332="No","Yes",IF($C332="Yes","No","")))</f>
      </c>
      <c r="E332">
        <f>IF($A332="","",IF($A332="Neuron",IF(OR(AND($S332&lt;&gt;"",LOWER(TRIM($S332))&lt;&gt;"n/a",COUNTIF($S$2:$S$532,$S332)&gt;1),AND($T332&lt;&gt;"",LOWER(TRIM($T332))&lt;&gt;"n/a",COUNTIF($T$2:$T$532,$T332)&gt;1),AND($W332&lt;&gt;"",LOWER(TRIM($W332))&lt;&gt;"n/a",COUNTIF($W$2:$W$532,$W332)&gt;1)),"Yes","No"),IF($A332="Cybernet",IF(OR(AND($Y332&lt;&gt;"",LOWER(TRIM($Y332))&lt;&gt;"n/a",COUNTIF($Y$2:$Y$532,$Y332)&gt;1),AND($Z332&lt;&gt;"",LOWER(TRIM($Z332))&lt;&gt;"n/a",COUNTIF($Z$2:$Z$532,$Z332)&gt;1)),"Yes","No"),IF(AND($AL332&lt;&gt;"",LOWER(TRIM($AL332))&lt;&gt;"n/a",COUNTIF($AL$2:$AL$532,$AL332)&gt;1),"Yes","No"))))</f>
      </c>
      <c r="F332">
        <f>IF($B332&lt;&gt;"Yes","",
IF($A332="Neuron",
IF(OR(
AND($S332&lt;&gt;"",LOWER(TRIM($S332))&lt;&gt;"n/a",COUNTIFS($B$2:$B$532,"Yes",$A$2:$A$532,"Neuron",$S$2:$S$532,$S332)&gt;1),
AND($T332&lt;&gt;"",LOWER(TRIM($T332))&lt;&gt;"n/a",COUNTIFS($B$2:$B$532,"Yes",$A$2:$A$532,"Neuron",$T$2:$T$532,$T332)&gt;1),
AND($W332&lt;&gt;"",LOWER(TRIM($W332))&lt;&gt;"n/a",COUNTIFS($B$2:$B$532,"Yes",$A$2:$A$532,"Neuron",$W$2:$W$532,$W332)&gt;1)
),"Yes","No"),
IF($A332="Cybernet",
IF(OR(
AND($Y332&lt;&gt;"",LOWER(TRIM($Y332))&lt;&gt;"n/a",COUNTIFS($B$2:$B$532,"Yes",$A$2:$A$532,"Cybernet",$Y$2:$Y$532,$Y332)&gt;1),
AND($Z332&lt;&gt;"",LOWER(TRIM($Z332))&lt;&gt;"n/a",COUNTIFS($B$2:$B$532,"Yes",$A$2:$A$532,"Cybernet",$Z$2:$Z$532,$Z332)&gt;1)
),"Yes","No"),
IF(AND($AL332&lt;&gt;"",LOWER(TRIM($AL332))&lt;&gt;"n/a"),
IF(COUNTIFS($B$2:$B$532,"Yes",$A$2:$A$532,$A332,$AL$2:$AL$532,$AL332)&gt;1,"Yes","No"),
"No")
)
)
)</f>
      </c>
      <c r="BL332">
        <f>IF($T332="","",IF((IF(AND($AW332&lt;&gt;"Yes",$AW332&lt;&gt;"N/A"),"Power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",""))="","",LEFT(IF(AND($AW332&lt;&gt;"Yes",$AW332&lt;&gt;"N/A"),"Power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",""),LEN(IF(AND($AW332&lt;&gt;"Yes",$AW332&lt;&gt;"N/A"),"Power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",""))-2)))</f>
      </c>
      <c r="BM332">
        <f>IF($T332="","",IF($BL332="","Yes","Blocked"))</f>
      </c>
      <c r="BP332">
        <f>IF($BO332="","",IFERROR(VLOOKUP($BO332,'01_Warehouse_Ledger'!$A:$N,4,FALSE),""))</f>
      </c>
      <c r="BQ332">
        <f>IF($BO332="","",IFERROR(VLOOKUP($BO332,'01_Warehouse_Ledger'!$A:$N,5,FALSE),""))</f>
      </c>
      <c r="BR332">
        <f>IF($BO332="","",IFERROR(VLOOKUP($BO332,'01_Warehouse_Ledger'!$A:$N,13,FALSE),""))</f>
      </c>
    </row>
    <row r="333">
      <c r="D333">
        <f>IF($B333&lt;&gt;"Yes","",IF($C333="No","Yes",IF($C333="Yes","No","")))</f>
      </c>
      <c r="E333">
        <f>IF($A333="","",IF($A333="Neuron",IF(OR(AND($S333&lt;&gt;"",LOWER(TRIM($S333))&lt;&gt;"n/a",COUNTIF($S$2:$S$532,$S333)&gt;1),AND($T333&lt;&gt;"",LOWER(TRIM($T333))&lt;&gt;"n/a",COUNTIF($T$2:$T$532,$T333)&gt;1),AND($W333&lt;&gt;"",LOWER(TRIM($W333))&lt;&gt;"n/a",COUNTIF($W$2:$W$532,$W333)&gt;1)),"Yes","No"),IF($A333="Cybernet",IF(OR(AND($Y333&lt;&gt;"",LOWER(TRIM($Y333))&lt;&gt;"n/a",COUNTIF($Y$2:$Y$532,$Y333)&gt;1),AND($Z333&lt;&gt;"",LOWER(TRIM($Z333))&lt;&gt;"n/a",COUNTIF($Z$2:$Z$532,$Z333)&gt;1)),"Yes","No"),IF(AND($AL333&lt;&gt;"",LOWER(TRIM($AL333))&lt;&gt;"n/a",COUNTIF($AL$2:$AL$532,$AL333)&gt;1),"Yes","No"))))</f>
      </c>
      <c r="F333">
        <f>IF($B333&lt;&gt;"Yes","",
IF($A333="Neuron",
IF(OR(
AND($S333&lt;&gt;"",LOWER(TRIM($S333))&lt;&gt;"n/a",COUNTIFS($B$2:$B$532,"Yes",$A$2:$A$532,"Neuron",$S$2:$S$532,$S333)&gt;1),
AND($T333&lt;&gt;"",LOWER(TRIM($T333))&lt;&gt;"n/a",COUNTIFS($B$2:$B$532,"Yes",$A$2:$A$532,"Neuron",$T$2:$T$532,$T333)&gt;1),
AND($W333&lt;&gt;"",LOWER(TRIM($W333))&lt;&gt;"n/a",COUNTIFS($B$2:$B$532,"Yes",$A$2:$A$532,"Neuron",$W$2:$W$532,$W333)&gt;1)
),"Yes","No"),
IF($A333="Cybernet",
IF(OR(
AND($Y333&lt;&gt;"",LOWER(TRIM($Y333))&lt;&gt;"n/a",COUNTIFS($B$2:$B$532,"Yes",$A$2:$A$532,"Cybernet",$Y$2:$Y$532,$Y333)&gt;1),
AND($Z333&lt;&gt;"",LOWER(TRIM($Z333))&lt;&gt;"n/a",COUNTIFS($B$2:$B$532,"Yes",$A$2:$A$532,"Cybernet",$Z$2:$Z$532,$Z333)&gt;1)
),"Yes","No"),
IF(AND($AL333&lt;&gt;"",LOWER(TRIM($AL333))&lt;&gt;"n/a"),
IF(COUNTIFS($B$2:$B$532,"Yes",$A$2:$A$532,$A333,$AL$2:$AL$532,$AL333)&gt;1,"Yes","No"),
"No")
)
)
)</f>
      </c>
      <c r="BL333">
        <f>IF($T333="","",IF((IF(AND($AW333&lt;&gt;"Yes",$AW333&lt;&gt;"N/A"),"Power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",""))="","",LEFT(IF(AND($AW333&lt;&gt;"Yes",$AW333&lt;&gt;"N/A"),"Power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",""),LEN(IF(AND($AW333&lt;&gt;"Yes",$AW333&lt;&gt;"N/A"),"Power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",""))-2)))</f>
      </c>
      <c r="BM333">
        <f>IF($T333="","",IF($BL333="","Yes","Blocked"))</f>
      </c>
      <c r="BP333">
        <f>IF($BO333="","",IFERROR(VLOOKUP($BO333,'01_Warehouse_Ledger'!$A:$N,4,FALSE),""))</f>
      </c>
      <c r="BQ333">
        <f>IF($BO333="","",IFERROR(VLOOKUP($BO333,'01_Warehouse_Ledger'!$A:$N,5,FALSE),""))</f>
      </c>
      <c r="BR333">
        <f>IF($BO333="","",IFERROR(VLOOKUP($BO333,'01_Warehouse_Ledger'!$A:$N,13,FALSE),""))</f>
      </c>
    </row>
    <row r="334">
      <c r="D334">
        <f>IF($B334&lt;&gt;"Yes","",IF($C334="No","Yes",IF($C334="Yes","No","")))</f>
      </c>
      <c r="E334">
        <f>IF($A334="","",IF($A334="Neuron",IF(OR(AND($S334&lt;&gt;"",LOWER(TRIM($S334))&lt;&gt;"n/a",COUNTIF($S$2:$S$532,$S334)&gt;1),AND($T334&lt;&gt;"",LOWER(TRIM($T334))&lt;&gt;"n/a",COUNTIF($T$2:$T$532,$T334)&gt;1),AND($W334&lt;&gt;"",LOWER(TRIM($W334))&lt;&gt;"n/a",COUNTIF($W$2:$W$532,$W334)&gt;1)),"Yes","No"),IF($A334="Cybernet",IF(OR(AND($Y334&lt;&gt;"",LOWER(TRIM($Y334))&lt;&gt;"n/a",COUNTIF($Y$2:$Y$532,$Y334)&gt;1),AND($Z334&lt;&gt;"",LOWER(TRIM($Z334))&lt;&gt;"n/a",COUNTIF($Z$2:$Z$532,$Z334)&gt;1)),"Yes","No"),IF(AND($AL334&lt;&gt;"",LOWER(TRIM($AL334))&lt;&gt;"n/a",COUNTIF($AL$2:$AL$532,$AL334)&gt;1),"Yes","No"))))</f>
      </c>
      <c r="F334">
        <f>IF($B334&lt;&gt;"Yes","",
IF($A334="Neuron",
IF(OR(
AND($S334&lt;&gt;"",LOWER(TRIM($S334))&lt;&gt;"n/a",COUNTIFS($B$2:$B$532,"Yes",$A$2:$A$532,"Neuron",$S$2:$S$532,$S334)&gt;1),
AND($T334&lt;&gt;"",LOWER(TRIM($T334))&lt;&gt;"n/a",COUNTIFS($B$2:$B$532,"Yes",$A$2:$A$532,"Neuron",$T$2:$T$532,$T334)&gt;1),
AND($W334&lt;&gt;"",LOWER(TRIM($W334))&lt;&gt;"n/a",COUNTIFS($B$2:$B$532,"Yes",$A$2:$A$532,"Neuron",$W$2:$W$532,$W334)&gt;1)
),"Yes","No"),
IF($A334="Cybernet",
IF(OR(
AND($Y334&lt;&gt;"",LOWER(TRIM($Y334))&lt;&gt;"n/a",COUNTIFS($B$2:$B$532,"Yes",$A$2:$A$532,"Cybernet",$Y$2:$Y$532,$Y334)&gt;1),
AND($Z334&lt;&gt;"",LOWER(TRIM($Z334))&lt;&gt;"n/a",COUNTIFS($B$2:$B$532,"Yes",$A$2:$A$532,"Cybernet",$Z$2:$Z$532,$Z334)&gt;1)
),"Yes","No"),
IF(AND($AL334&lt;&gt;"",LOWER(TRIM($AL334))&lt;&gt;"n/a"),
IF(COUNTIFS($B$2:$B$532,"Yes",$A$2:$A$532,$A334,$AL$2:$AL$532,$AL334)&gt;1,"Yes","No"),
"No")
)
)
)</f>
      </c>
      <c r="BL334">
        <f>IF($T334="","",IF((IF(AND($AW334&lt;&gt;"Yes",$AW334&lt;&gt;"N/A"),"Power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",""))="","",LEFT(IF(AND($AW334&lt;&gt;"Yes",$AW334&lt;&gt;"N/A"),"Power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",""),LEN(IF(AND($AW334&lt;&gt;"Yes",$AW334&lt;&gt;"N/A"),"Power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",""))-2)))</f>
      </c>
      <c r="BM334">
        <f>IF($T334="","",IF($BL334="","Yes","Blocked"))</f>
      </c>
      <c r="BP334">
        <f>IF($BO334="","",IFERROR(VLOOKUP($BO334,'01_Warehouse_Ledger'!$A:$N,4,FALSE),""))</f>
      </c>
      <c r="BQ334">
        <f>IF($BO334="","",IFERROR(VLOOKUP($BO334,'01_Warehouse_Ledger'!$A:$N,5,FALSE),""))</f>
      </c>
      <c r="BR334">
        <f>IF($BO334="","",IFERROR(VLOOKUP($BO334,'01_Warehouse_Ledger'!$A:$N,13,FALSE),""))</f>
      </c>
    </row>
    <row r="335">
      <c r="D335">
        <f>IF($B335&lt;&gt;"Yes","",IF($C335="No","Yes",IF($C335="Yes","No","")))</f>
      </c>
      <c r="E335">
        <f>IF($A335="","",IF($A335="Neuron",IF(OR(AND($S335&lt;&gt;"",LOWER(TRIM($S335))&lt;&gt;"n/a",COUNTIF($S$2:$S$532,$S335)&gt;1),AND($T335&lt;&gt;"",LOWER(TRIM($T335))&lt;&gt;"n/a",COUNTIF($T$2:$T$532,$T335)&gt;1),AND($W335&lt;&gt;"",LOWER(TRIM($W335))&lt;&gt;"n/a",COUNTIF($W$2:$W$532,$W335)&gt;1)),"Yes","No"),IF($A335="Cybernet",IF(OR(AND($Y335&lt;&gt;"",LOWER(TRIM($Y335))&lt;&gt;"n/a",COUNTIF($Y$2:$Y$532,$Y335)&gt;1),AND($Z335&lt;&gt;"",LOWER(TRIM($Z335))&lt;&gt;"n/a",COUNTIF($Z$2:$Z$532,$Z335)&gt;1)),"Yes","No"),IF(AND($AL335&lt;&gt;"",LOWER(TRIM($AL335))&lt;&gt;"n/a",COUNTIF($AL$2:$AL$532,$AL335)&gt;1),"Yes","No"))))</f>
      </c>
      <c r="F335">
        <f>IF($B335&lt;&gt;"Yes","",
IF($A335="Neuron",
IF(OR(
AND($S335&lt;&gt;"",LOWER(TRIM($S335))&lt;&gt;"n/a",COUNTIFS($B$2:$B$532,"Yes",$A$2:$A$532,"Neuron",$S$2:$S$532,$S335)&gt;1),
AND($T335&lt;&gt;"",LOWER(TRIM($T335))&lt;&gt;"n/a",COUNTIFS($B$2:$B$532,"Yes",$A$2:$A$532,"Neuron",$T$2:$T$532,$T335)&gt;1),
AND($W335&lt;&gt;"",LOWER(TRIM($W335))&lt;&gt;"n/a",COUNTIFS($B$2:$B$532,"Yes",$A$2:$A$532,"Neuron",$W$2:$W$532,$W335)&gt;1)
),"Yes","No"),
IF($A335="Cybernet",
IF(OR(
AND($Y335&lt;&gt;"",LOWER(TRIM($Y335))&lt;&gt;"n/a",COUNTIFS($B$2:$B$532,"Yes",$A$2:$A$532,"Cybernet",$Y$2:$Y$532,$Y335)&gt;1),
AND($Z335&lt;&gt;"",LOWER(TRIM($Z335))&lt;&gt;"n/a",COUNTIFS($B$2:$B$532,"Yes",$A$2:$A$532,"Cybernet",$Z$2:$Z$532,$Z335)&gt;1)
),"Yes","No"),
IF(AND($AL335&lt;&gt;"",LOWER(TRIM($AL335))&lt;&gt;"n/a"),
IF(COUNTIFS($B$2:$B$532,"Yes",$A$2:$A$532,$A335,$AL$2:$AL$532,$AL335)&gt;1,"Yes","No"),
"No")
)
)
)</f>
      </c>
      <c r="BL335">
        <f>IF($T335="","",IF((IF(AND($AW335&lt;&gt;"Yes",$AW335&lt;&gt;"N/A"),"Power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",""))="","",LEFT(IF(AND($AW335&lt;&gt;"Yes",$AW335&lt;&gt;"N/A"),"Power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",""),LEN(IF(AND($AW335&lt;&gt;"Yes",$AW335&lt;&gt;"N/A"),"Power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",""))-2)))</f>
      </c>
      <c r="BM335">
        <f>IF($T335="","",IF($BL335="","Yes","Blocked"))</f>
      </c>
      <c r="BP335">
        <f>IF($BO335="","",IFERROR(VLOOKUP($BO335,'01_Warehouse_Ledger'!$A:$N,4,FALSE),""))</f>
      </c>
      <c r="BQ335">
        <f>IF($BO335="","",IFERROR(VLOOKUP($BO335,'01_Warehouse_Ledger'!$A:$N,5,FALSE),""))</f>
      </c>
      <c r="BR335">
        <f>IF($BO335="","",IFERROR(VLOOKUP($BO335,'01_Warehouse_Ledger'!$A:$N,13,FALSE),""))</f>
      </c>
    </row>
    <row r="336">
      <c r="D336">
        <f>IF($B336&lt;&gt;"Yes","",IF($C336="No","Yes",IF($C336="Yes","No","")))</f>
      </c>
      <c r="E336">
        <f>IF($A336="","",IF($A336="Neuron",IF(OR(AND($S336&lt;&gt;"",LOWER(TRIM($S336))&lt;&gt;"n/a",COUNTIF($S$2:$S$532,$S336)&gt;1),AND($T336&lt;&gt;"",LOWER(TRIM($T336))&lt;&gt;"n/a",COUNTIF($T$2:$T$532,$T336)&gt;1),AND($W336&lt;&gt;"",LOWER(TRIM($W336))&lt;&gt;"n/a",COUNTIF($W$2:$W$532,$W336)&gt;1)),"Yes","No"),IF($A336="Cybernet",IF(OR(AND($Y336&lt;&gt;"",LOWER(TRIM($Y336))&lt;&gt;"n/a",COUNTIF($Y$2:$Y$532,$Y336)&gt;1),AND($Z336&lt;&gt;"",LOWER(TRIM($Z336))&lt;&gt;"n/a",COUNTIF($Z$2:$Z$532,$Z336)&gt;1)),"Yes","No"),IF(AND($AL336&lt;&gt;"",LOWER(TRIM($AL336))&lt;&gt;"n/a",COUNTIF($AL$2:$AL$532,$AL336)&gt;1),"Yes","No"))))</f>
      </c>
      <c r="F336">
        <f>IF($B336&lt;&gt;"Yes","",
IF($A336="Neuron",
IF(OR(
AND($S336&lt;&gt;"",LOWER(TRIM($S336))&lt;&gt;"n/a",COUNTIFS($B$2:$B$532,"Yes",$A$2:$A$532,"Neuron",$S$2:$S$532,$S336)&gt;1),
AND($T336&lt;&gt;"",LOWER(TRIM($T336))&lt;&gt;"n/a",COUNTIFS($B$2:$B$532,"Yes",$A$2:$A$532,"Neuron",$T$2:$T$532,$T336)&gt;1),
AND($W336&lt;&gt;"",LOWER(TRIM($W336))&lt;&gt;"n/a",COUNTIFS($B$2:$B$532,"Yes",$A$2:$A$532,"Neuron",$W$2:$W$532,$W336)&gt;1)
),"Yes","No"),
IF($A336="Cybernet",
IF(OR(
AND($Y336&lt;&gt;"",LOWER(TRIM($Y336))&lt;&gt;"n/a",COUNTIFS($B$2:$B$532,"Yes",$A$2:$A$532,"Cybernet",$Y$2:$Y$532,$Y336)&gt;1),
AND($Z336&lt;&gt;"",LOWER(TRIM($Z336))&lt;&gt;"n/a",COUNTIFS($B$2:$B$532,"Yes",$A$2:$A$532,"Cybernet",$Z$2:$Z$532,$Z336)&gt;1)
),"Yes","No"),
IF(AND($AL336&lt;&gt;"",LOWER(TRIM($AL336))&lt;&gt;"n/a"),
IF(COUNTIFS($B$2:$B$532,"Yes",$A$2:$A$532,$A336,$AL$2:$AL$532,$AL336)&gt;1,"Yes","No"),
"No")
)
)
)</f>
      </c>
      <c r="BL336">
        <f>IF($T336="","",IF((IF(AND($AW336&lt;&gt;"Yes",$AW336&lt;&gt;"N/A"),"Power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",""))="","",LEFT(IF(AND($AW336&lt;&gt;"Yes",$AW336&lt;&gt;"N/A"),"Power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",""),LEN(IF(AND($AW336&lt;&gt;"Yes",$AW336&lt;&gt;"N/A"),"Power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",""))-2)))</f>
      </c>
      <c r="BM336">
        <f>IF($T336="","",IF($BL336="","Yes","Blocked"))</f>
      </c>
      <c r="BP336">
        <f>IF($BO336="","",IFERROR(VLOOKUP($BO336,'01_Warehouse_Ledger'!$A:$N,4,FALSE),""))</f>
      </c>
      <c r="BQ336">
        <f>IF($BO336="","",IFERROR(VLOOKUP($BO336,'01_Warehouse_Ledger'!$A:$N,5,FALSE),""))</f>
      </c>
      <c r="BR336">
        <f>IF($BO336="","",IFERROR(VLOOKUP($BO336,'01_Warehouse_Ledger'!$A:$N,13,FALSE),""))</f>
      </c>
    </row>
    <row r="337">
      <c r="D337">
        <f>IF($B337&lt;&gt;"Yes","",IF($C337="No","Yes",IF($C337="Yes","No","")))</f>
      </c>
      <c r="E337">
        <f>IF($A337="","",IF($A337="Neuron",IF(OR(AND($S337&lt;&gt;"",LOWER(TRIM($S337))&lt;&gt;"n/a",COUNTIF($S$2:$S$532,$S337)&gt;1),AND($T337&lt;&gt;"",LOWER(TRIM($T337))&lt;&gt;"n/a",COUNTIF($T$2:$T$532,$T337)&gt;1),AND($W337&lt;&gt;"",LOWER(TRIM($W337))&lt;&gt;"n/a",COUNTIF($W$2:$W$532,$W337)&gt;1)),"Yes","No"),IF($A337="Cybernet",IF(OR(AND($Y337&lt;&gt;"",LOWER(TRIM($Y337))&lt;&gt;"n/a",COUNTIF($Y$2:$Y$532,$Y337)&gt;1),AND($Z337&lt;&gt;"",LOWER(TRIM($Z337))&lt;&gt;"n/a",COUNTIF($Z$2:$Z$532,$Z337)&gt;1)),"Yes","No"),IF(AND($AL337&lt;&gt;"",LOWER(TRIM($AL337))&lt;&gt;"n/a",COUNTIF($AL$2:$AL$532,$AL337)&gt;1),"Yes","No"))))</f>
      </c>
      <c r="F337">
        <f>IF($B337&lt;&gt;"Yes","",
IF($A337="Neuron",
IF(OR(
AND($S337&lt;&gt;"",LOWER(TRIM($S337))&lt;&gt;"n/a",COUNTIFS($B$2:$B$532,"Yes",$A$2:$A$532,"Neuron",$S$2:$S$532,$S337)&gt;1),
AND($T337&lt;&gt;"",LOWER(TRIM($T337))&lt;&gt;"n/a",COUNTIFS($B$2:$B$532,"Yes",$A$2:$A$532,"Neuron",$T$2:$T$532,$T337)&gt;1),
AND($W337&lt;&gt;"",LOWER(TRIM($W337))&lt;&gt;"n/a",COUNTIFS($B$2:$B$532,"Yes",$A$2:$A$532,"Neuron",$W$2:$W$532,$W337)&gt;1)
),"Yes","No"),
IF($A337="Cybernet",
IF(OR(
AND($Y337&lt;&gt;"",LOWER(TRIM($Y337))&lt;&gt;"n/a",COUNTIFS($B$2:$B$532,"Yes",$A$2:$A$532,"Cybernet",$Y$2:$Y$532,$Y337)&gt;1),
AND($Z337&lt;&gt;"",LOWER(TRIM($Z337))&lt;&gt;"n/a",COUNTIFS($B$2:$B$532,"Yes",$A$2:$A$532,"Cybernet",$Z$2:$Z$532,$Z337)&gt;1)
),"Yes","No"),
IF(AND($AL337&lt;&gt;"",LOWER(TRIM($AL337))&lt;&gt;"n/a"),
IF(COUNTIFS($B$2:$B$532,"Yes",$A$2:$A$532,$A337,$AL$2:$AL$532,$AL337)&gt;1,"Yes","No"),
"No")
)
)
)</f>
      </c>
      <c r="BL337">
        <f>IF($T337="","",IF((IF(AND($AW337&lt;&gt;"Yes",$AW337&lt;&gt;"N/A"),"Power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",""))="","",LEFT(IF(AND($AW337&lt;&gt;"Yes",$AW337&lt;&gt;"N/A"),"Power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",""),LEN(IF(AND($AW337&lt;&gt;"Yes",$AW337&lt;&gt;"N/A"),"Power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",""))-2)))</f>
      </c>
      <c r="BM337">
        <f>IF($T337="","",IF($BL337="","Yes","Blocked"))</f>
      </c>
      <c r="BP337">
        <f>IF($BO337="","",IFERROR(VLOOKUP($BO337,'01_Warehouse_Ledger'!$A:$N,4,FALSE),""))</f>
      </c>
      <c r="BQ337">
        <f>IF($BO337="","",IFERROR(VLOOKUP($BO337,'01_Warehouse_Ledger'!$A:$N,5,FALSE),""))</f>
      </c>
      <c r="BR337">
        <f>IF($BO337="","",IFERROR(VLOOKUP($BO337,'01_Warehouse_Ledger'!$A:$N,13,FALSE),""))</f>
      </c>
    </row>
    <row r="338">
      <c r="D338">
        <f>IF($B338&lt;&gt;"Yes","",IF($C338="No","Yes",IF($C338="Yes","No","")))</f>
      </c>
      <c r="E338">
        <f>IF($A338="","",IF($A338="Neuron",IF(OR(AND($S338&lt;&gt;"",LOWER(TRIM($S338))&lt;&gt;"n/a",COUNTIF($S$2:$S$532,$S338)&gt;1),AND($T338&lt;&gt;"",LOWER(TRIM($T338))&lt;&gt;"n/a",COUNTIF($T$2:$T$532,$T338)&gt;1),AND($W338&lt;&gt;"",LOWER(TRIM($W338))&lt;&gt;"n/a",COUNTIF($W$2:$W$532,$W338)&gt;1)),"Yes","No"),IF($A338="Cybernet",IF(OR(AND($Y338&lt;&gt;"",LOWER(TRIM($Y338))&lt;&gt;"n/a",COUNTIF($Y$2:$Y$532,$Y338)&gt;1),AND($Z338&lt;&gt;"",LOWER(TRIM($Z338))&lt;&gt;"n/a",COUNTIF($Z$2:$Z$532,$Z338)&gt;1)),"Yes","No"),IF(AND($AL338&lt;&gt;"",LOWER(TRIM($AL338))&lt;&gt;"n/a",COUNTIF($AL$2:$AL$532,$AL338)&gt;1),"Yes","No"))))</f>
      </c>
      <c r="F338">
        <f>IF($B338&lt;&gt;"Yes","",
IF($A338="Neuron",
IF(OR(
AND($S338&lt;&gt;"",LOWER(TRIM($S338))&lt;&gt;"n/a",COUNTIFS($B$2:$B$532,"Yes",$A$2:$A$532,"Neuron",$S$2:$S$532,$S338)&gt;1),
AND($T338&lt;&gt;"",LOWER(TRIM($T338))&lt;&gt;"n/a",COUNTIFS($B$2:$B$532,"Yes",$A$2:$A$532,"Neuron",$T$2:$T$532,$T338)&gt;1),
AND($W338&lt;&gt;"",LOWER(TRIM($W338))&lt;&gt;"n/a",COUNTIFS($B$2:$B$532,"Yes",$A$2:$A$532,"Neuron",$W$2:$W$532,$W338)&gt;1)
),"Yes","No"),
IF($A338="Cybernet",
IF(OR(
AND($Y338&lt;&gt;"",LOWER(TRIM($Y338))&lt;&gt;"n/a",COUNTIFS($B$2:$B$532,"Yes",$A$2:$A$532,"Cybernet",$Y$2:$Y$532,$Y338)&gt;1),
AND($Z338&lt;&gt;"",LOWER(TRIM($Z338))&lt;&gt;"n/a",COUNTIFS($B$2:$B$532,"Yes",$A$2:$A$532,"Cybernet",$Z$2:$Z$532,$Z338)&gt;1)
),"Yes","No"),
IF(AND($AL338&lt;&gt;"",LOWER(TRIM($AL338))&lt;&gt;"n/a"),
IF(COUNTIFS($B$2:$B$532,"Yes",$A$2:$A$532,$A338,$AL$2:$AL$532,$AL338)&gt;1,"Yes","No"),
"No")
)
)
)</f>
      </c>
      <c r="BL338">
        <f>IF($T338="","",IF((IF(AND($AW338&lt;&gt;"Yes",$AW338&lt;&gt;"N/A"),"Power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",""))="","",LEFT(IF(AND($AW338&lt;&gt;"Yes",$AW338&lt;&gt;"N/A"),"Power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",""),LEN(IF(AND($AW338&lt;&gt;"Yes",$AW338&lt;&gt;"N/A"),"Power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",""))-2)))</f>
      </c>
      <c r="BM338">
        <f>IF($T338="","",IF($BL338="","Yes","Blocked"))</f>
      </c>
      <c r="BP338">
        <f>IF($BO338="","",IFERROR(VLOOKUP($BO338,'01_Warehouse_Ledger'!$A:$N,4,FALSE),""))</f>
      </c>
      <c r="BQ338">
        <f>IF($BO338="","",IFERROR(VLOOKUP($BO338,'01_Warehouse_Ledger'!$A:$N,5,FALSE),""))</f>
      </c>
      <c r="BR338">
        <f>IF($BO338="","",IFERROR(VLOOKUP($BO338,'01_Warehouse_Ledger'!$A:$N,13,FALSE),""))</f>
      </c>
    </row>
    <row r="339">
      <c r="D339">
        <f>IF($B339&lt;&gt;"Yes","",IF($C339="No","Yes",IF($C339="Yes","No","")))</f>
      </c>
      <c r="E339">
        <f>IF($A339="","",IF($A339="Neuron",IF(OR(AND($S339&lt;&gt;"",LOWER(TRIM($S339))&lt;&gt;"n/a",COUNTIF($S$2:$S$532,$S339)&gt;1),AND($T339&lt;&gt;"",LOWER(TRIM($T339))&lt;&gt;"n/a",COUNTIF($T$2:$T$532,$T339)&gt;1),AND($W339&lt;&gt;"",LOWER(TRIM($W339))&lt;&gt;"n/a",COUNTIF($W$2:$W$532,$W339)&gt;1)),"Yes","No"),IF($A339="Cybernet",IF(OR(AND($Y339&lt;&gt;"",LOWER(TRIM($Y339))&lt;&gt;"n/a",COUNTIF($Y$2:$Y$532,$Y339)&gt;1),AND($Z339&lt;&gt;"",LOWER(TRIM($Z339))&lt;&gt;"n/a",COUNTIF($Z$2:$Z$532,$Z339)&gt;1)),"Yes","No"),IF(AND($AL339&lt;&gt;"",LOWER(TRIM($AL339))&lt;&gt;"n/a",COUNTIF($AL$2:$AL$532,$AL339)&gt;1),"Yes","No"))))</f>
      </c>
      <c r="F339">
        <f>IF($B339&lt;&gt;"Yes","",
IF($A339="Neuron",
IF(OR(
AND($S339&lt;&gt;"",LOWER(TRIM($S339))&lt;&gt;"n/a",COUNTIFS($B$2:$B$532,"Yes",$A$2:$A$532,"Neuron",$S$2:$S$532,$S339)&gt;1),
AND($T339&lt;&gt;"",LOWER(TRIM($T339))&lt;&gt;"n/a",COUNTIFS($B$2:$B$532,"Yes",$A$2:$A$532,"Neuron",$T$2:$T$532,$T339)&gt;1),
AND($W339&lt;&gt;"",LOWER(TRIM($W339))&lt;&gt;"n/a",COUNTIFS($B$2:$B$532,"Yes",$A$2:$A$532,"Neuron",$W$2:$W$532,$W339)&gt;1)
),"Yes","No"),
IF($A339="Cybernet",
IF(OR(
AND($Y339&lt;&gt;"",LOWER(TRIM($Y339))&lt;&gt;"n/a",COUNTIFS($B$2:$B$532,"Yes",$A$2:$A$532,"Cybernet",$Y$2:$Y$532,$Y339)&gt;1),
AND($Z339&lt;&gt;"",LOWER(TRIM($Z339))&lt;&gt;"n/a",COUNTIFS($B$2:$B$532,"Yes",$A$2:$A$532,"Cybernet",$Z$2:$Z$532,$Z339)&gt;1)
),"Yes","No"),
IF(AND($AL339&lt;&gt;"",LOWER(TRIM($AL339))&lt;&gt;"n/a"),
IF(COUNTIFS($B$2:$B$532,"Yes",$A$2:$A$532,$A339,$AL$2:$AL$532,$AL339)&gt;1,"Yes","No"),
"No")
)
)
)</f>
      </c>
      <c r="BL339">
        <f>IF($T339="","",IF((IF(AND($AW339&lt;&gt;"Yes",$AW339&lt;&gt;"N/A"),"Power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",""))="","",LEFT(IF(AND($AW339&lt;&gt;"Yes",$AW339&lt;&gt;"N/A"),"Power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",""),LEN(IF(AND($AW339&lt;&gt;"Yes",$AW339&lt;&gt;"N/A"),"Power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",""))-2)))</f>
      </c>
      <c r="BM339">
        <f>IF($T339="","",IF($BL339="","Yes","Blocked"))</f>
      </c>
      <c r="BP339">
        <f>IF($BO339="","",IFERROR(VLOOKUP($BO339,'01_Warehouse_Ledger'!$A:$N,4,FALSE),""))</f>
      </c>
      <c r="BQ339">
        <f>IF($BO339="","",IFERROR(VLOOKUP($BO339,'01_Warehouse_Ledger'!$A:$N,5,FALSE),""))</f>
      </c>
      <c r="BR339">
        <f>IF($BO339="","",IFERROR(VLOOKUP($BO339,'01_Warehouse_Ledger'!$A:$N,13,FALSE),""))</f>
      </c>
    </row>
    <row r="340">
      <c r="D340">
        <f>IF($B340&lt;&gt;"Yes","",IF($C340="No","Yes",IF($C340="Yes","No","")))</f>
      </c>
      <c r="E340">
        <f>IF($A340="","",IF($A340="Neuron",IF(OR(AND($S340&lt;&gt;"",LOWER(TRIM($S340))&lt;&gt;"n/a",COUNTIF($S$2:$S$532,$S340)&gt;1),AND($T340&lt;&gt;"",LOWER(TRIM($T340))&lt;&gt;"n/a",COUNTIF($T$2:$T$532,$T340)&gt;1),AND($W340&lt;&gt;"",LOWER(TRIM($W340))&lt;&gt;"n/a",COUNTIF($W$2:$W$532,$W340)&gt;1)),"Yes","No"),IF($A340="Cybernet",IF(OR(AND($Y340&lt;&gt;"",LOWER(TRIM($Y340))&lt;&gt;"n/a",COUNTIF($Y$2:$Y$532,$Y340)&gt;1),AND($Z340&lt;&gt;"",LOWER(TRIM($Z340))&lt;&gt;"n/a",COUNTIF($Z$2:$Z$532,$Z340)&gt;1)),"Yes","No"),IF(AND($AL340&lt;&gt;"",LOWER(TRIM($AL340))&lt;&gt;"n/a",COUNTIF($AL$2:$AL$532,$AL340)&gt;1),"Yes","No"))))</f>
      </c>
      <c r="F340">
        <f>IF($B340&lt;&gt;"Yes","",
IF($A340="Neuron",
IF(OR(
AND($S340&lt;&gt;"",LOWER(TRIM($S340))&lt;&gt;"n/a",COUNTIFS($B$2:$B$532,"Yes",$A$2:$A$532,"Neuron",$S$2:$S$532,$S340)&gt;1),
AND($T340&lt;&gt;"",LOWER(TRIM($T340))&lt;&gt;"n/a",COUNTIFS($B$2:$B$532,"Yes",$A$2:$A$532,"Neuron",$T$2:$T$532,$T340)&gt;1),
AND($W340&lt;&gt;"",LOWER(TRIM($W340))&lt;&gt;"n/a",COUNTIFS($B$2:$B$532,"Yes",$A$2:$A$532,"Neuron",$W$2:$W$532,$W340)&gt;1)
),"Yes","No"),
IF($A340="Cybernet",
IF(OR(
AND($Y340&lt;&gt;"",LOWER(TRIM($Y340))&lt;&gt;"n/a",COUNTIFS($B$2:$B$532,"Yes",$A$2:$A$532,"Cybernet",$Y$2:$Y$532,$Y340)&gt;1),
AND($Z340&lt;&gt;"",LOWER(TRIM($Z340))&lt;&gt;"n/a",COUNTIFS($B$2:$B$532,"Yes",$A$2:$A$532,"Cybernet",$Z$2:$Z$532,$Z340)&gt;1)
),"Yes","No"),
IF(AND($AL340&lt;&gt;"",LOWER(TRIM($AL340))&lt;&gt;"n/a"),
IF(COUNTIFS($B$2:$B$532,"Yes",$A$2:$A$532,$A340,$AL$2:$AL$532,$AL340)&gt;1,"Yes","No"),
"No")
)
)
)</f>
      </c>
      <c r="BL340">
        <f>IF($T340="","",IF((IF(AND($AW340&lt;&gt;"Yes",$AW340&lt;&gt;"N/A"),"Power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",""))="","",LEFT(IF(AND($AW340&lt;&gt;"Yes",$AW340&lt;&gt;"N/A"),"Power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",""),LEN(IF(AND($AW340&lt;&gt;"Yes",$AW340&lt;&gt;"N/A"),"Power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",""))-2)))</f>
      </c>
      <c r="BM340">
        <f>IF($T340="","",IF($BL340="","Yes","Blocked"))</f>
      </c>
      <c r="BP340">
        <f>IF($BO340="","",IFERROR(VLOOKUP($BO340,'01_Warehouse_Ledger'!$A:$N,4,FALSE),""))</f>
      </c>
      <c r="BQ340">
        <f>IF($BO340="","",IFERROR(VLOOKUP($BO340,'01_Warehouse_Ledger'!$A:$N,5,FALSE),""))</f>
      </c>
      <c r="BR340">
        <f>IF($BO340="","",IFERROR(VLOOKUP($BO340,'01_Warehouse_Ledger'!$A:$N,13,FALSE),""))</f>
      </c>
    </row>
    <row r="341">
      <c r="D341">
        <f>IF($B341&lt;&gt;"Yes","",IF($C341="No","Yes",IF($C341="Yes","No","")))</f>
      </c>
      <c r="E341">
        <f>IF($A341="","",IF($A341="Neuron",IF(OR(AND($S341&lt;&gt;"",LOWER(TRIM($S341))&lt;&gt;"n/a",COUNTIF($S$2:$S$532,$S341)&gt;1),AND($T341&lt;&gt;"",LOWER(TRIM($T341))&lt;&gt;"n/a",COUNTIF($T$2:$T$532,$T341)&gt;1),AND($W341&lt;&gt;"",LOWER(TRIM($W341))&lt;&gt;"n/a",COUNTIF($W$2:$W$532,$W341)&gt;1)),"Yes","No"),IF($A341="Cybernet",IF(OR(AND($Y341&lt;&gt;"",LOWER(TRIM($Y341))&lt;&gt;"n/a",COUNTIF($Y$2:$Y$532,$Y341)&gt;1),AND($Z341&lt;&gt;"",LOWER(TRIM($Z341))&lt;&gt;"n/a",COUNTIF($Z$2:$Z$532,$Z341)&gt;1)),"Yes","No"),IF(AND($AL341&lt;&gt;"",LOWER(TRIM($AL341))&lt;&gt;"n/a",COUNTIF($AL$2:$AL$532,$AL341)&gt;1),"Yes","No"))))</f>
      </c>
      <c r="F341">
        <f>IF($B341&lt;&gt;"Yes","",
IF($A341="Neuron",
IF(OR(
AND($S341&lt;&gt;"",LOWER(TRIM($S341))&lt;&gt;"n/a",COUNTIFS($B$2:$B$532,"Yes",$A$2:$A$532,"Neuron",$S$2:$S$532,$S341)&gt;1),
AND($T341&lt;&gt;"",LOWER(TRIM($T341))&lt;&gt;"n/a",COUNTIFS($B$2:$B$532,"Yes",$A$2:$A$532,"Neuron",$T$2:$T$532,$T341)&gt;1),
AND($W341&lt;&gt;"",LOWER(TRIM($W341))&lt;&gt;"n/a",COUNTIFS($B$2:$B$532,"Yes",$A$2:$A$532,"Neuron",$W$2:$W$532,$W341)&gt;1)
),"Yes","No"),
IF($A341="Cybernet",
IF(OR(
AND($Y341&lt;&gt;"",LOWER(TRIM($Y341))&lt;&gt;"n/a",COUNTIFS($B$2:$B$532,"Yes",$A$2:$A$532,"Cybernet",$Y$2:$Y$532,$Y341)&gt;1),
AND($Z341&lt;&gt;"",LOWER(TRIM($Z341))&lt;&gt;"n/a",COUNTIFS($B$2:$B$532,"Yes",$A$2:$A$532,"Cybernet",$Z$2:$Z$532,$Z341)&gt;1)
),"Yes","No"),
IF(AND($AL341&lt;&gt;"",LOWER(TRIM($AL341))&lt;&gt;"n/a"),
IF(COUNTIFS($B$2:$B$532,"Yes",$A$2:$A$532,$A341,$AL$2:$AL$532,$AL341)&gt;1,"Yes","No"),
"No")
)
)
)</f>
      </c>
      <c r="BL341">
        <f>IF($T341="","",IF((IF(AND($AW341&lt;&gt;"Yes",$AW341&lt;&gt;"N/A"),"Power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",""))="","",LEFT(IF(AND($AW341&lt;&gt;"Yes",$AW341&lt;&gt;"N/A"),"Power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",""),LEN(IF(AND($AW341&lt;&gt;"Yes",$AW341&lt;&gt;"N/A"),"Power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",""))-2)))</f>
      </c>
      <c r="BM341">
        <f>IF($T341="","",IF($BL341="","Yes","Blocked"))</f>
      </c>
      <c r="BP341">
        <f>IF($BO341="","",IFERROR(VLOOKUP($BO341,'01_Warehouse_Ledger'!$A:$N,4,FALSE),""))</f>
      </c>
      <c r="BQ341">
        <f>IF($BO341="","",IFERROR(VLOOKUP($BO341,'01_Warehouse_Ledger'!$A:$N,5,FALSE),""))</f>
      </c>
      <c r="BR341">
        <f>IF($BO341="","",IFERROR(VLOOKUP($BO341,'01_Warehouse_Ledger'!$A:$N,13,FALSE),""))</f>
      </c>
    </row>
    <row r="342">
      <c r="D342">
        <f>IF($B342&lt;&gt;"Yes","",IF($C342="No","Yes",IF($C342="Yes","No","")))</f>
      </c>
      <c r="E342">
        <f>IF($A342="","",IF($A342="Neuron",IF(OR(AND($S342&lt;&gt;"",LOWER(TRIM($S342))&lt;&gt;"n/a",COUNTIF($S$2:$S$532,$S342)&gt;1),AND($T342&lt;&gt;"",LOWER(TRIM($T342))&lt;&gt;"n/a",COUNTIF($T$2:$T$532,$T342)&gt;1),AND($W342&lt;&gt;"",LOWER(TRIM($W342))&lt;&gt;"n/a",COUNTIF($W$2:$W$532,$W342)&gt;1)),"Yes","No"),IF($A342="Cybernet",IF(OR(AND($Y342&lt;&gt;"",LOWER(TRIM($Y342))&lt;&gt;"n/a",COUNTIF($Y$2:$Y$532,$Y342)&gt;1),AND($Z342&lt;&gt;"",LOWER(TRIM($Z342))&lt;&gt;"n/a",COUNTIF($Z$2:$Z$532,$Z342)&gt;1)),"Yes","No"),IF(AND($AL342&lt;&gt;"",LOWER(TRIM($AL342))&lt;&gt;"n/a",COUNTIF($AL$2:$AL$532,$AL342)&gt;1),"Yes","No"))))</f>
      </c>
      <c r="F342">
        <f>IF($B342&lt;&gt;"Yes","",
IF($A342="Neuron",
IF(OR(
AND($S342&lt;&gt;"",LOWER(TRIM($S342))&lt;&gt;"n/a",COUNTIFS($B$2:$B$532,"Yes",$A$2:$A$532,"Neuron",$S$2:$S$532,$S342)&gt;1),
AND($T342&lt;&gt;"",LOWER(TRIM($T342))&lt;&gt;"n/a",COUNTIFS($B$2:$B$532,"Yes",$A$2:$A$532,"Neuron",$T$2:$T$532,$T342)&gt;1),
AND($W342&lt;&gt;"",LOWER(TRIM($W342))&lt;&gt;"n/a",COUNTIFS($B$2:$B$532,"Yes",$A$2:$A$532,"Neuron",$W$2:$W$532,$W342)&gt;1)
),"Yes","No"),
IF($A342="Cybernet",
IF(OR(
AND($Y342&lt;&gt;"",LOWER(TRIM($Y342))&lt;&gt;"n/a",COUNTIFS($B$2:$B$532,"Yes",$A$2:$A$532,"Cybernet",$Y$2:$Y$532,$Y342)&gt;1),
AND($Z342&lt;&gt;"",LOWER(TRIM($Z342))&lt;&gt;"n/a",COUNTIFS($B$2:$B$532,"Yes",$A$2:$A$532,"Cybernet",$Z$2:$Z$532,$Z342)&gt;1)
),"Yes","No"),
IF(AND($AL342&lt;&gt;"",LOWER(TRIM($AL342))&lt;&gt;"n/a"),
IF(COUNTIFS($B$2:$B$532,"Yes",$A$2:$A$532,$A342,$AL$2:$AL$532,$AL342)&gt;1,"Yes","No"),
"No")
)
)
)</f>
      </c>
      <c r="BL342">
        <f>IF($T342="","",IF((IF(AND($AW342&lt;&gt;"Yes",$AW342&lt;&gt;"N/A"),"Power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",""))="","",LEFT(IF(AND($AW342&lt;&gt;"Yes",$AW342&lt;&gt;"N/A"),"Power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",""),LEN(IF(AND($AW342&lt;&gt;"Yes",$AW342&lt;&gt;"N/A"),"Power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",""))-2)))</f>
      </c>
      <c r="BM342">
        <f>IF($T342="","",IF($BL342="","Yes","Blocked"))</f>
      </c>
      <c r="BP342">
        <f>IF($BO342="","",IFERROR(VLOOKUP($BO342,'01_Warehouse_Ledger'!$A:$N,4,FALSE),""))</f>
      </c>
      <c r="BQ342">
        <f>IF($BO342="","",IFERROR(VLOOKUP($BO342,'01_Warehouse_Ledger'!$A:$N,5,FALSE),""))</f>
      </c>
      <c r="BR342">
        <f>IF($BO342="","",IFERROR(VLOOKUP($BO342,'01_Warehouse_Ledger'!$A:$N,13,FALSE),""))</f>
      </c>
    </row>
    <row r="343">
      <c r="D343">
        <f>IF($B343&lt;&gt;"Yes","",IF($C343="No","Yes",IF($C343="Yes","No","")))</f>
      </c>
      <c r="E343">
        <f>IF($A343="","",IF($A343="Neuron",IF(OR(AND($S343&lt;&gt;"",LOWER(TRIM($S343))&lt;&gt;"n/a",COUNTIF($S$2:$S$532,$S343)&gt;1),AND($T343&lt;&gt;"",LOWER(TRIM($T343))&lt;&gt;"n/a",COUNTIF($T$2:$T$532,$T343)&gt;1),AND($W343&lt;&gt;"",LOWER(TRIM($W343))&lt;&gt;"n/a",COUNTIF($W$2:$W$532,$W343)&gt;1)),"Yes","No"),IF($A343="Cybernet",IF(OR(AND($Y343&lt;&gt;"",LOWER(TRIM($Y343))&lt;&gt;"n/a",COUNTIF($Y$2:$Y$532,$Y343)&gt;1),AND($Z343&lt;&gt;"",LOWER(TRIM($Z343))&lt;&gt;"n/a",COUNTIF($Z$2:$Z$532,$Z343)&gt;1)),"Yes","No"),IF(AND($AL343&lt;&gt;"",LOWER(TRIM($AL343))&lt;&gt;"n/a",COUNTIF($AL$2:$AL$532,$AL343)&gt;1),"Yes","No"))))</f>
      </c>
      <c r="F343">
        <f>IF($B343&lt;&gt;"Yes","",
IF($A343="Neuron",
IF(OR(
AND($S343&lt;&gt;"",LOWER(TRIM($S343))&lt;&gt;"n/a",COUNTIFS($B$2:$B$532,"Yes",$A$2:$A$532,"Neuron",$S$2:$S$532,$S343)&gt;1),
AND($T343&lt;&gt;"",LOWER(TRIM($T343))&lt;&gt;"n/a",COUNTIFS($B$2:$B$532,"Yes",$A$2:$A$532,"Neuron",$T$2:$T$532,$T343)&gt;1),
AND($W343&lt;&gt;"",LOWER(TRIM($W343))&lt;&gt;"n/a",COUNTIFS($B$2:$B$532,"Yes",$A$2:$A$532,"Neuron",$W$2:$W$532,$W343)&gt;1)
),"Yes","No"),
IF($A343="Cybernet",
IF(OR(
AND($Y343&lt;&gt;"",LOWER(TRIM($Y343))&lt;&gt;"n/a",COUNTIFS($B$2:$B$532,"Yes",$A$2:$A$532,"Cybernet",$Y$2:$Y$532,$Y343)&gt;1),
AND($Z343&lt;&gt;"",LOWER(TRIM($Z343))&lt;&gt;"n/a",COUNTIFS($B$2:$B$532,"Yes",$A$2:$A$532,"Cybernet",$Z$2:$Z$532,$Z343)&gt;1)
),"Yes","No"),
IF(AND($AL343&lt;&gt;"",LOWER(TRIM($AL343))&lt;&gt;"n/a"),
IF(COUNTIFS($B$2:$B$532,"Yes",$A$2:$A$532,$A343,$AL$2:$AL$532,$AL343)&gt;1,"Yes","No"),
"No")
)
)
)</f>
      </c>
      <c r="BL343">
        <f>IF($T343="","",IF((IF(AND($AW343&lt;&gt;"Yes",$AW343&lt;&gt;"N/A"),"Power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",""))="","",LEFT(IF(AND($AW343&lt;&gt;"Yes",$AW343&lt;&gt;"N/A"),"Power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",""),LEN(IF(AND($AW343&lt;&gt;"Yes",$AW343&lt;&gt;"N/A"),"Power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",""))-2)))</f>
      </c>
      <c r="BM343">
        <f>IF($T343="","",IF($BL343="","Yes","Blocked"))</f>
      </c>
      <c r="BP343">
        <f>IF($BO343="","",IFERROR(VLOOKUP($BO343,'01_Warehouse_Ledger'!$A:$N,4,FALSE),""))</f>
      </c>
      <c r="BQ343">
        <f>IF($BO343="","",IFERROR(VLOOKUP($BO343,'01_Warehouse_Ledger'!$A:$N,5,FALSE),""))</f>
      </c>
      <c r="BR343">
        <f>IF($BO343="","",IFERROR(VLOOKUP($BO343,'01_Warehouse_Ledger'!$A:$N,13,FALSE),""))</f>
      </c>
    </row>
    <row r="344">
      <c r="D344">
        <f>IF($B344&lt;&gt;"Yes","",IF($C344="No","Yes",IF($C344="Yes","No","")))</f>
      </c>
      <c r="E344">
        <f>IF($A344="","",IF($A344="Neuron",IF(OR(AND($S344&lt;&gt;"",LOWER(TRIM($S344))&lt;&gt;"n/a",COUNTIF($S$2:$S$532,$S344)&gt;1),AND($T344&lt;&gt;"",LOWER(TRIM($T344))&lt;&gt;"n/a",COUNTIF($T$2:$T$532,$T344)&gt;1),AND($W344&lt;&gt;"",LOWER(TRIM($W344))&lt;&gt;"n/a",COUNTIF($W$2:$W$532,$W344)&gt;1)),"Yes","No"),IF($A344="Cybernet",IF(OR(AND($Y344&lt;&gt;"",LOWER(TRIM($Y344))&lt;&gt;"n/a",COUNTIF($Y$2:$Y$532,$Y344)&gt;1),AND($Z344&lt;&gt;"",LOWER(TRIM($Z344))&lt;&gt;"n/a",COUNTIF($Z$2:$Z$532,$Z344)&gt;1)),"Yes","No"),IF(AND($AL344&lt;&gt;"",LOWER(TRIM($AL344))&lt;&gt;"n/a",COUNTIF($AL$2:$AL$532,$AL344)&gt;1),"Yes","No"))))</f>
      </c>
      <c r="F344">
        <f>IF($B344&lt;&gt;"Yes","",
IF($A344="Neuron",
IF(OR(
AND($S344&lt;&gt;"",LOWER(TRIM($S344))&lt;&gt;"n/a",COUNTIFS($B$2:$B$532,"Yes",$A$2:$A$532,"Neuron",$S$2:$S$532,$S344)&gt;1),
AND($T344&lt;&gt;"",LOWER(TRIM($T344))&lt;&gt;"n/a",COUNTIFS($B$2:$B$532,"Yes",$A$2:$A$532,"Neuron",$T$2:$T$532,$T344)&gt;1),
AND($W344&lt;&gt;"",LOWER(TRIM($W344))&lt;&gt;"n/a",COUNTIFS($B$2:$B$532,"Yes",$A$2:$A$532,"Neuron",$W$2:$W$532,$W344)&gt;1)
),"Yes","No"),
IF($A344="Cybernet",
IF(OR(
AND($Y344&lt;&gt;"",LOWER(TRIM($Y344))&lt;&gt;"n/a",COUNTIFS($B$2:$B$532,"Yes",$A$2:$A$532,"Cybernet",$Y$2:$Y$532,$Y344)&gt;1),
AND($Z344&lt;&gt;"",LOWER(TRIM($Z344))&lt;&gt;"n/a",COUNTIFS($B$2:$B$532,"Yes",$A$2:$A$532,"Cybernet",$Z$2:$Z$532,$Z344)&gt;1)
),"Yes","No"),
IF(AND($AL344&lt;&gt;"",LOWER(TRIM($AL344))&lt;&gt;"n/a"),
IF(COUNTIFS($B$2:$B$532,"Yes",$A$2:$A$532,$A344,$AL$2:$AL$532,$AL344)&gt;1,"Yes","No"),
"No")
)
)
)</f>
      </c>
      <c r="BL344">
        <f>IF($T344="","",IF((IF(AND($AW344&lt;&gt;"Yes",$AW344&lt;&gt;"N/A"),"Power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",""))="","",LEFT(IF(AND($AW344&lt;&gt;"Yes",$AW344&lt;&gt;"N/A"),"Power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",""),LEN(IF(AND($AW344&lt;&gt;"Yes",$AW344&lt;&gt;"N/A"),"Power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",""))-2)))</f>
      </c>
      <c r="BM344">
        <f>IF($T344="","",IF($BL344="","Yes","Blocked"))</f>
      </c>
      <c r="BP344">
        <f>IF($BO344="","",IFERROR(VLOOKUP($BO344,'01_Warehouse_Ledger'!$A:$N,4,FALSE),""))</f>
      </c>
      <c r="BQ344">
        <f>IF($BO344="","",IFERROR(VLOOKUP($BO344,'01_Warehouse_Ledger'!$A:$N,5,FALSE),""))</f>
      </c>
      <c r="BR344">
        <f>IF($BO344="","",IFERROR(VLOOKUP($BO344,'01_Warehouse_Ledger'!$A:$N,13,FALSE),""))</f>
      </c>
    </row>
    <row r="345">
      <c r="D345">
        <f>IF($B345&lt;&gt;"Yes","",IF($C345="No","Yes",IF($C345="Yes","No","")))</f>
      </c>
      <c r="E345">
        <f>IF($A345="","",IF($A345="Neuron",IF(OR(AND($S345&lt;&gt;"",LOWER(TRIM($S345))&lt;&gt;"n/a",COUNTIF($S$2:$S$532,$S345)&gt;1),AND($T345&lt;&gt;"",LOWER(TRIM($T345))&lt;&gt;"n/a",COUNTIF($T$2:$T$532,$T345)&gt;1),AND($W345&lt;&gt;"",LOWER(TRIM($W345))&lt;&gt;"n/a",COUNTIF($W$2:$W$532,$W345)&gt;1)),"Yes","No"),IF($A345="Cybernet",IF(OR(AND($Y345&lt;&gt;"",LOWER(TRIM($Y345))&lt;&gt;"n/a",COUNTIF($Y$2:$Y$532,$Y345)&gt;1),AND($Z345&lt;&gt;"",LOWER(TRIM($Z345))&lt;&gt;"n/a",COUNTIF($Z$2:$Z$532,$Z345)&gt;1)),"Yes","No"),IF(AND($AL345&lt;&gt;"",LOWER(TRIM($AL345))&lt;&gt;"n/a",COUNTIF($AL$2:$AL$532,$AL345)&gt;1),"Yes","No"))))</f>
      </c>
      <c r="F345">
        <f>IF($B345&lt;&gt;"Yes","",
IF($A345="Neuron",
IF(OR(
AND($S345&lt;&gt;"",LOWER(TRIM($S345))&lt;&gt;"n/a",COUNTIFS($B$2:$B$532,"Yes",$A$2:$A$532,"Neuron",$S$2:$S$532,$S345)&gt;1),
AND($T345&lt;&gt;"",LOWER(TRIM($T345))&lt;&gt;"n/a",COUNTIFS($B$2:$B$532,"Yes",$A$2:$A$532,"Neuron",$T$2:$T$532,$T345)&gt;1),
AND($W345&lt;&gt;"",LOWER(TRIM($W345))&lt;&gt;"n/a",COUNTIFS($B$2:$B$532,"Yes",$A$2:$A$532,"Neuron",$W$2:$W$532,$W345)&gt;1)
),"Yes","No"),
IF($A345="Cybernet",
IF(OR(
AND($Y345&lt;&gt;"",LOWER(TRIM($Y345))&lt;&gt;"n/a",COUNTIFS($B$2:$B$532,"Yes",$A$2:$A$532,"Cybernet",$Y$2:$Y$532,$Y345)&gt;1),
AND($Z345&lt;&gt;"",LOWER(TRIM($Z345))&lt;&gt;"n/a",COUNTIFS($B$2:$B$532,"Yes",$A$2:$A$532,"Cybernet",$Z$2:$Z$532,$Z345)&gt;1)
),"Yes","No"),
IF(AND($AL345&lt;&gt;"",LOWER(TRIM($AL345))&lt;&gt;"n/a"),
IF(COUNTIFS($B$2:$B$532,"Yes",$A$2:$A$532,$A345,$AL$2:$AL$532,$AL345)&gt;1,"Yes","No"),
"No")
)
)
)</f>
      </c>
      <c r="BL345">
        <f>IF($T345="","",IF((IF(AND($AW345&lt;&gt;"Yes",$AW345&lt;&gt;"N/A"),"Power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",""))="","",LEFT(IF(AND($AW345&lt;&gt;"Yes",$AW345&lt;&gt;"N/A"),"Power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",""),LEN(IF(AND($AW345&lt;&gt;"Yes",$AW345&lt;&gt;"N/A"),"Power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",""))-2)))</f>
      </c>
      <c r="BM345">
        <f>IF($T345="","",IF($BL345="","Yes","Blocked"))</f>
      </c>
      <c r="BP345">
        <f>IF($BO345="","",IFERROR(VLOOKUP($BO345,'01_Warehouse_Ledger'!$A:$N,4,FALSE),""))</f>
      </c>
      <c r="BQ345">
        <f>IF($BO345="","",IFERROR(VLOOKUP($BO345,'01_Warehouse_Ledger'!$A:$N,5,FALSE),""))</f>
      </c>
      <c r="BR345">
        <f>IF($BO345="","",IFERROR(VLOOKUP($BO345,'01_Warehouse_Ledger'!$A:$N,13,FALSE),""))</f>
      </c>
    </row>
    <row r="346">
      <c r="D346">
        <f>IF($B346&lt;&gt;"Yes","",IF($C346="No","Yes",IF($C346="Yes","No","")))</f>
      </c>
      <c r="E346">
        <f>IF($A346="","",IF($A346="Neuron",IF(OR(AND($S346&lt;&gt;"",LOWER(TRIM($S346))&lt;&gt;"n/a",COUNTIF($S$2:$S$532,$S346)&gt;1),AND($T346&lt;&gt;"",LOWER(TRIM($T346))&lt;&gt;"n/a",COUNTIF($T$2:$T$532,$T346)&gt;1),AND($W346&lt;&gt;"",LOWER(TRIM($W346))&lt;&gt;"n/a",COUNTIF($W$2:$W$532,$W346)&gt;1)),"Yes","No"),IF($A346="Cybernet",IF(OR(AND($Y346&lt;&gt;"",LOWER(TRIM($Y346))&lt;&gt;"n/a",COUNTIF($Y$2:$Y$532,$Y346)&gt;1),AND($Z346&lt;&gt;"",LOWER(TRIM($Z346))&lt;&gt;"n/a",COUNTIF($Z$2:$Z$532,$Z346)&gt;1)),"Yes","No"),IF(AND($AL346&lt;&gt;"",LOWER(TRIM($AL346))&lt;&gt;"n/a",COUNTIF($AL$2:$AL$532,$AL346)&gt;1),"Yes","No"))))</f>
      </c>
      <c r="F346">
        <f>IF($B346&lt;&gt;"Yes","",
IF($A346="Neuron",
IF(OR(
AND($S346&lt;&gt;"",LOWER(TRIM($S346))&lt;&gt;"n/a",COUNTIFS($B$2:$B$532,"Yes",$A$2:$A$532,"Neuron",$S$2:$S$532,$S346)&gt;1),
AND($T346&lt;&gt;"",LOWER(TRIM($T346))&lt;&gt;"n/a",COUNTIFS($B$2:$B$532,"Yes",$A$2:$A$532,"Neuron",$T$2:$T$532,$T346)&gt;1),
AND($W346&lt;&gt;"",LOWER(TRIM($W346))&lt;&gt;"n/a",COUNTIFS($B$2:$B$532,"Yes",$A$2:$A$532,"Neuron",$W$2:$W$532,$W346)&gt;1)
),"Yes","No"),
IF($A346="Cybernet",
IF(OR(
AND($Y346&lt;&gt;"",LOWER(TRIM($Y346))&lt;&gt;"n/a",COUNTIFS($B$2:$B$532,"Yes",$A$2:$A$532,"Cybernet",$Y$2:$Y$532,$Y346)&gt;1),
AND($Z346&lt;&gt;"",LOWER(TRIM($Z346))&lt;&gt;"n/a",COUNTIFS($B$2:$B$532,"Yes",$A$2:$A$532,"Cybernet",$Z$2:$Z$532,$Z346)&gt;1)
),"Yes","No"),
IF(AND($AL346&lt;&gt;"",LOWER(TRIM($AL346))&lt;&gt;"n/a"),
IF(COUNTIFS($B$2:$B$532,"Yes",$A$2:$A$532,$A346,$AL$2:$AL$532,$AL346)&gt;1,"Yes","No"),
"No")
)
)
)</f>
      </c>
      <c r="BL346">
        <f>IF($T346="","",IF((IF(AND($AW346&lt;&gt;"Yes",$AW346&lt;&gt;"N/A"),"Power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",""))="","",LEFT(IF(AND($AW346&lt;&gt;"Yes",$AW346&lt;&gt;"N/A"),"Power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",""),LEN(IF(AND($AW346&lt;&gt;"Yes",$AW346&lt;&gt;"N/A"),"Power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",""))-2)))</f>
      </c>
      <c r="BM346">
        <f>IF($T346="","",IF($BL346="","Yes","Blocked"))</f>
      </c>
      <c r="BP346">
        <f>IF($BO346="","",IFERROR(VLOOKUP($BO346,'01_Warehouse_Ledger'!$A:$N,4,FALSE),""))</f>
      </c>
      <c r="BQ346">
        <f>IF($BO346="","",IFERROR(VLOOKUP($BO346,'01_Warehouse_Ledger'!$A:$N,5,FALSE),""))</f>
      </c>
      <c r="BR346">
        <f>IF($BO346="","",IFERROR(VLOOKUP($BO346,'01_Warehouse_Ledger'!$A:$N,13,FALSE),""))</f>
      </c>
    </row>
    <row r="347">
      <c r="D347">
        <f>IF($B347&lt;&gt;"Yes","",IF($C347="No","Yes",IF($C347="Yes","No","")))</f>
      </c>
      <c r="E347">
        <f>IF($A347="","",IF($A347="Neuron",IF(OR(AND($S347&lt;&gt;"",LOWER(TRIM($S347))&lt;&gt;"n/a",COUNTIF($S$2:$S$532,$S347)&gt;1),AND($T347&lt;&gt;"",LOWER(TRIM($T347))&lt;&gt;"n/a",COUNTIF($T$2:$T$532,$T347)&gt;1),AND($W347&lt;&gt;"",LOWER(TRIM($W347))&lt;&gt;"n/a",COUNTIF($W$2:$W$532,$W347)&gt;1)),"Yes","No"),IF($A347="Cybernet",IF(OR(AND($Y347&lt;&gt;"",LOWER(TRIM($Y347))&lt;&gt;"n/a",COUNTIF($Y$2:$Y$532,$Y347)&gt;1),AND($Z347&lt;&gt;"",LOWER(TRIM($Z347))&lt;&gt;"n/a",COUNTIF($Z$2:$Z$532,$Z347)&gt;1)),"Yes","No"),IF(AND($AL347&lt;&gt;"",LOWER(TRIM($AL347))&lt;&gt;"n/a",COUNTIF($AL$2:$AL$532,$AL347)&gt;1),"Yes","No"))))</f>
      </c>
      <c r="F347">
        <f>IF($B347&lt;&gt;"Yes","",
IF($A347="Neuron",
IF(OR(
AND($S347&lt;&gt;"",LOWER(TRIM($S347))&lt;&gt;"n/a",COUNTIFS($B$2:$B$532,"Yes",$A$2:$A$532,"Neuron",$S$2:$S$532,$S347)&gt;1),
AND($T347&lt;&gt;"",LOWER(TRIM($T347))&lt;&gt;"n/a",COUNTIFS($B$2:$B$532,"Yes",$A$2:$A$532,"Neuron",$T$2:$T$532,$T347)&gt;1),
AND($W347&lt;&gt;"",LOWER(TRIM($W347))&lt;&gt;"n/a",COUNTIFS($B$2:$B$532,"Yes",$A$2:$A$532,"Neuron",$W$2:$W$532,$W347)&gt;1)
),"Yes","No"),
IF($A347="Cybernet",
IF(OR(
AND($Y347&lt;&gt;"",LOWER(TRIM($Y347))&lt;&gt;"n/a",COUNTIFS($B$2:$B$532,"Yes",$A$2:$A$532,"Cybernet",$Y$2:$Y$532,$Y347)&gt;1),
AND($Z347&lt;&gt;"",LOWER(TRIM($Z347))&lt;&gt;"n/a",COUNTIFS($B$2:$B$532,"Yes",$A$2:$A$532,"Cybernet",$Z$2:$Z$532,$Z347)&gt;1)
),"Yes","No"),
IF(AND($AL347&lt;&gt;"",LOWER(TRIM($AL347))&lt;&gt;"n/a"),
IF(COUNTIFS($B$2:$B$532,"Yes",$A$2:$A$532,$A347,$AL$2:$AL$532,$AL347)&gt;1,"Yes","No"),
"No")
)
)
)</f>
      </c>
      <c r="BL347">
        <f>IF($T347="","",IF((IF(AND($AW347&lt;&gt;"Yes",$AW347&lt;&gt;"N/A"),"Power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",""))="","",LEFT(IF(AND($AW347&lt;&gt;"Yes",$AW347&lt;&gt;"N/A"),"Power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",""),LEN(IF(AND($AW347&lt;&gt;"Yes",$AW347&lt;&gt;"N/A"),"Power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",""))-2)))</f>
      </c>
      <c r="BM347">
        <f>IF($T347="","",IF($BL347="","Yes","Blocked"))</f>
      </c>
      <c r="BP347">
        <f>IF($BO347="","",IFERROR(VLOOKUP($BO347,'01_Warehouse_Ledger'!$A:$N,4,FALSE),""))</f>
      </c>
      <c r="BQ347">
        <f>IF($BO347="","",IFERROR(VLOOKUP($BO347,'01_Warehouse_Ledger'!$A:$N,5,FALSE),""))</f>
      </c>
      <c r="BR347">
        <f>IF($BO347="","",IFERROR(VLOOKUP($BO347,'01_Warehouse_Ledger'!$A:$N,13,FALSE),""))</f>
      </c>
    </row>
    <row r="348">
      <c r="D348">
        <f>IF($B348&lt;&gt;"Yes","",IF($C348="No","Yes",IF($C348="Yes","No","")))</f>
      </c>
      <c r="E348">
        <f>IF($A348="","",IF($A348="Neuron",IF(OR(AND($S348&lt;&gt;"",LOWER(TRIM($S348))&lt;&gt;"n/a",COUNTIF($S$2:$S$532,$S348)&gt;1),AND($T348&lt;&gt;"",LOWER(TRIM($T348))&lt;&gt;"n/a",COUNTIF($T$2:$T$532,$T348)&gt;1),AND($W348&lt;&gt;"",LOWER(TRIM($W348))&lt;&gt;"n/a",COUNTIF($W$2:$W$532,$W348)&gt;1)),"Yes","No"),IF($A348="Cybernet",IF(OR(AND($Y348&lt;&gt;"",LOWER(TRIM($Y348))&lt;&gt;"n/a",COUNTIF($Y$2:$Y$532,$Y348)&gt;1),AND($Z348&lt;&gt;"",LOWER(TRIM($Z348))&lt;&gt;"n/a",COUNTIF($Z$2:$Z$532,$Z348)&gt;1)),"Yes","No"),IF(AND($AL348&lt;&gt;"",LOWER(TRIM($AL348))&lt;&gt;"n/a",COUNTIF($AL$2:$AL$532,$AL348)&gt;1),"Yes","No"))))</f>
      </c>
      <c r="F348">
        <f>IF($B348&lt;&gt;"Yes","",
IF($A348="Neuron",
IF(OR(
AND($S348&lt;&gt;"",LOWER(TRIM($S348))&lt;&gt;"n/a",COUNTIFS($B$2:$B$532,"Yes",$A$2:$A$532,"Neuron",$S$2:$S$532,$S348)&gt;1),
AND($T348&lt;&gt;"",LOWER(TRIM($T348))&lt;&gt;"n/a",COUNTIFS($B$2:$B$532,"Yes",$A$2:$A$532,"Neuron",$T$2:$T$532,$T348)&gt;1),
AND($W348&lt;&gt;"",LOWER(TRIM($W348))&lt;&gt;"n/a",COUNTIFS($B$2:$B$532,"Yes",$A$2:$A$532,"Neuron",$W$2:$W$532,$W348)&gt;1)
),"Yes","No"),
IF($A348="Cybernet",
IF(OR(
AND($Y348&lt;&gt;"",LOWER(TRIM($Y348))&lt;&gt;"n/a",COUNTIFS($B$2:$B$532,"Yes",$A$2:$A$532,"Cybernet",$Y$2:$Y$532,$Y348)&gt;1),
AND($Z348&lt;&gt;"",LOWER(TRIM($Z348))&lt;&gt;"n/a",COUNTIFS($B$2:$B$532,"Yes",$A$2:$A$532,"Cybernet",$Z$2:$Z$532,$Z348)&gt;1)
),"Yes","No"),
IF(AND($AL348&lt;&gt;"",LOWER(TRIM($AL348))&lt;&gt;"n/a"),
IF(COUNTIFS($B$2:$B$532,"Yes",$A$2:$A$532,$A348,$AL$2:$AL$532,$AL348)&gt;1,"Yes","No"),
"No")
)
)
)</f>
      </c>
      <c r="BL348">
        <f>IF($T348="","",IF((IF(AND($AW348&lt;&gt;"Yes",$AW348&lt;&gt;"N/A"),"Power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",""))="","",LEFT(IF(AND($AW348&lt;&gt;"Yes",$AW348&lt;&gt;"N/A"),"Power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",""),LEN(IF(AND($AW348&lt;&gt;"Yes",$AW348&lt;&gt;"N/A"),"Power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",""))-2)))</f>
      </c>
      <c r="BM348">
        <f>IF($T348="","",IF($BL348="","Yes","Blocked"))</f>
      </c>
      <c r="BP348">
        <f>IF($BO348="","",IFERROR(VLOOKUP($BO348,'01_Warehouse_Ledger'!$A:$N,4,FALSE),""))</f>
      </c>
      <c r="BQ348">
        <f>IF($BO348="","",IFERROR(VLOOKUP($BO348,'01_Warehouse_Ledger'!$A:$N,5,FALSE),""))</f>
      </c>
      <c r="BR348">
        <f>IF($BO348="","",IFERROR(VLOOKUP($BO348,'01_Warehouse_Ledger'!$A:$N,13,FALSE),""))</f>
      </c>
    </row>
    <row r="349">
      <c r="D349">
        <f>IF($B349&lt;&gt;"Yes","",IF($C349="No","Yes",IF($C349="Yes","No","")))</f>
      </c>
      <c r="E349">
        <f>IF($A349="","",IF($A349="Neuron",IF(OR(AND($S349&lt;&gt;"",LOWER(TRIM($S349))&lt;&gt;"n/a",COUNTIF($S$2:$S$532,$S349)&gt;1),AND($T349&lt;&gt;"",LOWER(TRIM($T349))&lt;&gt;"n/a",COUNTIF($T$2:$T$532,$T349)&gt;1),AND($W349&lt;&gt;"",LOWER(TRIM($W349))&lt;&gt;"n/a",COUNTIF($W$2:$W$532,$W349)&gt;1)),"Yes","No"),IF($A349="Cybernet",IF(OR(AND($Y349&lt;&gt;"",LOWER(TRIM($Y349))&lt;&gt;"n/a",COUNTIF($Y$2:$Y$532,$Y349)&gt;1),AND($Z349&lt;&gt;"",LOWER(TRIM($Z349))&lt;&gt;"n/a",COUNTIF($Z$2:$Z$532,$Z349)&gt;1)),"Yes","No"),IF(AND($AL349&lt;&gt;"",LOWER(TRIM($AL349))&lt;&gt;"n/a",COUNTIF($AL$2:$AL$532,$AL349)&gt;1),"Yes","No"))))</f>
      </c>
      <c r="F349">
        <f>IF($B349&lt;&gt;"Yes","",
IF($A349="Neuron",
IF(OR(
AND($S349&lt;&gt;"",LOWER(TRIM($S349))&lt;&gt;"n/a",COUNTIFS($B$2:$B$532,"Yes",$A$2:$A$532,"Neuron",$S$2:$S$532,$S349)&gt;1),
AND($T349&lt;&gt;"",LOWER(TRIM($T349))&lt;&gt;"n/a",COUNTIFS($B$2:$B$532,"Yes",$A$2:$A$532,"Neuron",$T$2:$T$532,$T349)&gt;1),
AND($W349&lt;&gt;"",LOWER(TRIM($W349))&lt;&gt;"n/a",COUNTIFS($B$2:$B$532,"Yes",$A$2:$A$532,"Neuron",$W$2:$W$532,$W349)&gt;1)
),"Yes","No"),
IF($A349="Cybernet",
IF(OR(
AND($Y349&lt;&gt;"",LOWER(TRIM($Y349))&lt;&gt;"n/a",COUNTIFS($B$2:$B$532,"Yes",$A$2:$A$532,"Cybernet",$Y$2:$Y$532,$Y349)&gt;1),
AND($Z349&lt;&gt;"",LOWER(TRIM($Z349))&lt;&gt;"n/a",COUNTIFS($B$2:$B$532,"Yes",$A$2:$A$532,"Cybernet",$Z$2:$Z$532,$Z349)&gt;1)
),"Yes","No"),
IF(AND($AL349&lt;&gt;"",LOWER(TRIM($AL349))&lt;&gt;"n/a"),
IF(COUNTIFS($B$2:$B$532,"Yes",$A$2:$A$532,$A349,$AL$2:$AL$532,$AL349)&gt;1,"Yes","No"),
"No")
)
)
)</f>
      </c>
      <c r="BL349">
        <f>IF($T349="","",IF((IF(AND($AW349&lt;&gt;"Yes",$AW349&lt;&gt;"N/A"),"Power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",""))="","",LEFT(IF(AND($AW349&lt;&gt;"Yes",$AW349&lt;&gt;"N/A"),"Power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",""),LEN(IF(AND($AW349&lt;&gt;"Yes",$AW349&lt;&gt;"N/A"),"Power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",""))-2)))</f>
      </c>
      <c r="BM349">
        <f>IF($T349="","",IF($BL349="","Yes","Blocked"))</f>
      </c>
      <c r="BP349">
        <f>IF($BO349="","",IFERROR(VLOOKUP($BO349,'01_Warehouse_Ledger'!$A:$N,4,FALSE),""))</f>
      </c>
      <c r="BQ349">
        <f>IF($BO349="","",IFERROR(VLOOKUP($BO349,'01_Warehouse_Ledger'!$A:$N,5,FALSE),""))</f>
      </c>
      <c r="BR349">
        <f>IF($BO349="","",IFERROR(VLOOKUP($BO349,'01_Warehouse_Ledger'!$A:$N,13,FALSE),""))</f>
      </c>
    </row>
    <row r="350">
      <c r="D350">
        <f>IF($B350&lt;&gt;"Yes","",IF($C350="No","Yes",IF($C350="Yes","No","")))</f>
      </c>
      <c r="E350">
        <f>IF($A350="","",IF($A350="Neuron",IF(OR(AND($S350&lt;&gt;"",LOWER(TRIM($S350))&lt;&gt;"n/a",COUNTIF($S$2:$S$532,$S350)&gt;1),AND($T350&lt;&gt;"",LOWER(TRIM($T350))&lt;&gt;"n/a",COUNTIF($T$2:$T$532,$T350)&gt;1),AND($W350&lt;&gt;"",LOWER(TRIM($W350))&lt;&gt;"n/a",COUNTIF($W$2:$W$532,$W350)&gt;1)),"Yes","No"),IF($A350="Cybernet",IF(OR(AND($Y350&lt;&gt;"",LOWER(TRIM($Y350))&lt;&gt;"n/a",COUNTIF($Y$2:$Y$532,$Y350)&gt;1),AND($Z350&lt;&gt;"",LOWER(TRIM($Z350))&lt;&gt;"n/a",COUNTIF($Z$2:$Z$532,$Z350)&gt;1)),"Yes","No"),IF(AND($AL350&lt;&gt;"",LOWER(TRIM($AL350))&lt;&gt;"n/a",COUNTIF($AL$2:$AL$532,$AL350)&gt;1),"Yes","No"))))</f>
      </c>
      <c r="F350">
        <f>IF($B350&lt;&gt;"Yes","",
IF($A350="Neuron",
IF(OR(
AND($S350&lt;&gt;"",LOWER(TRIM($S350))&lt;&gt;"n/a",COUNTIFS($B$2:$B$532,"Yes",$A$2:$A$532,"Neuron",$S$2:$S$532,$S350)&gt;1),
AND($T350&lt;&gt;"",LOWER(TRIM($T350))&lt;&gt;"n/a",COUNTIFS($B$2:$B$532,"Yes",$A$2:$A$532,"Neuron",$T$2:$T$532,$T350)&gt;1),
AND($W350&lt;&gt;"",LOWER(TRIM($W350))&lt;&gt;"n/a",COUNTIFS($B$2:$B$532,"Yes",$A$2:$A$532,"Neuron",$W$2:$W$532,$W350)&gt;1)
),"Yes","No"),
IF($A350="Cybernet",
IF(OR(
AND($Y350&lt;&gt;"",LOWER(TRIM($Y350))&lt;&gt;"n/a",COUNTIFS($B$2:$B$532,"Yes",$A$2:$A$532,"Cybernet",$Y$2:$Y$532,$Y350)&gt;1),
AND($Z350&lt;&gt;"",LOWER(TRIM($Z350))&lt;&gt;"n/a",COUNTIFS($B$2:$B$532,"Yes",$A$2:$A$532,"Cybernet",$Z$2:$Z$532,$Z350)&gt;1)
),"Yes","No"),
IF(AND($AL350&lt;&gt;"",LOWER(TRIM($AL350))&lt;&gt;"n/a"),
IF(COUNTIFS($B$2:$B$532,"Yes",$A$2:$A$532,$A350,$AL$2:$AL$532,$AL350)&gt;1,"Yes","No"),
"No")
)
)
)</f>
      </c>
      <c r="BL350">
        <f>IF($T350="","",IF((IF(AND($AW350&lt;&gt;"Yes",$AW350&lt;&gt;"N/A"),"Power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",""))="","",LEFT(IF(AND($AW350&lt;&gt;"Yes",$AW350&lt;&gt;"N/A"),"Power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",""),LEN(IF(AND($AW350&lt;&gt;"Yes",$AW350&lt;&gt;"N/A"),"Power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",""))-2)))</f>
      </c>
      <c r="BM350">
        <f>IF($T350="","",IF($BL350="","Yes","Blocked"))</f>
      </c>
      <c r="BP350">
        <f>IF($BO350="","",IFERROR(VLOOKUP($BO350,'01_Warehouse_Ledger'!$A:$N,4,FALSE),""))</f>
      </c>
      <c r="BQ350">
        <f>IF($BO350="","",IFERROR(VLOOKUP($BO350,'01_Warehouse_Ledger'!$A:$N,5,FALSE),""))</f>
      </c>
      <c r="BR350">
        <f>IF($BO350="","",IFERROR(VLOOKUP($BO350,'01_Warehouse_Ledger'!$A:$N,13,FALSE),""))</f>
      </c>
    </row>
    <row r="351">
      <c r="D351">
        <f>IF($B351&lt;&gt;"Yes","",IF($C351="No","Yes",IF($C351="Yes","No","")))</f>
      </c>
      <c r="E351">
        <f>IF($A351="","",IF($A351="Neuron",IF(OR(AND($S351&lt;&gt;"",LOWER(TRIM($S351))&lt;&gt;"n/a",COUNTIF($S$2:$S$532,$S351)&gt;1),AND($T351&lt;&gt;"",LOWER(TRIM($T351))&lt;&gt;"n/a",COUNTIF($T$2:$T$532,$T351)&gt;1),AND($W351&lt;&gt;"",LOWER(TRIM($W351))&lt;&gt;"n/a",COUNTIF($W$2:$W$532,$W351)&gt;1)),"Yes","No"),IF($A351="Cybernet",IF(OR(AND($Y351&lt;&gt;"",LOWER(TRIM($Y351))&lt;&gt;"n/a",COUNTIF($Y$2:$Y$532,$Y351)&gt;1),AND($Z351&lt;&gt;"",LOWER(TRIM($Z351))&lt;&gt;"n/a",COUNTIF($Z$2:$Z$532,$Z351)&gt;1)),"Yes","No"),IF(AND($AL351&lt;&gt;"",LOWER(TRIM($AL351))&lt;&gt;"n/a",COUNTIF($AL$2:$AL$532,$AL351)&gt;1),"Yes","No"))))</f>
      </c>
      <c r="F351">
        <f>IF($B351&lt;&gt;"Yes","",
IF($A351="Neuron",
IF(OR(
AND($S351&lt;&gt;"",LOWER(TRIM($S351))&lt;&gt;"n/a",COUNTIFS($B$2:$B$532,"Yes",$A$2:$A$532,"Neuron",$S$2:$S$532,$S351)&gt;1),
AND($T351&lt;&gt;"",LOWER(TRIM($T351))&lt;&gt;"n/a",COUNTIFS($B$2:$B$532,"Yes",$A$2:$A$532,"Neuron",$T$2:$T$532,$T351)&gt;1),
AND($W351&lt;&gt;"",LOWER(TRIM($W351))&lt;&gt;"n/a",COUNTIFS($B$2:$B$532,"Yes",$A$2:$A$532,"Neuron",$W$2:$W$532,$W351)&gt;1)
),"Yes","No"),
IF($A351="Cybernet",
IF(OR(
AND($Y351&lt;&gt;"",LOWER(TRIM($Y351))&lt;&gt;"n/a",COUNTIFS($B$2:$B$532,"Yes",$A$2:$A$532,"Cybernet",$Y$2:$Y$532,$Y351)&gt;1),
AND($Z351&lt;&gt;"",LOWER(TRIM($Z351))&lt;&gt;"n/a",COUNTIFS($B$2:$B$532,"Yes",$A$2:$A$532,"Cybernet",$Z$2:$Z$532,$Z351)&gt;1)
),"Yes","No"),
IF(AND($AL351&lt;&gt;"",LOWER(TRIM($AL351))&lt;&gt;"n/a"),
IF(COUNTIFS($B$2:$B$532,"Yes",$A$2:$A$532,$A351,$AL$2:$AL$532,$AL351)&gt;1,"Yes","No"),
"No")
)
)
)</f>
      </c>
      <c r="BL351">
        <f>IF($T351="","",IF((IF(AND($AW351&lt;&gt;"Yes",$AW351&lt;&gt;"N/A"),"Power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",""))="","",LEFT(IF(AND($AW351&lt;&gt;"Yes",$AW351&lt;&gt;"N/A"),"Power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",""),LEN(IF(AND($AW351&lt;&gt;"Yes",$AW351&lt;&gt;"N/A"),"Power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",""))-2)))</f>
      </c>
      <c r="BM351">
        <f>IF($T351="","",IF($BL351="","Yes","Blocked"))</f>
      </c>
      <c r="BP351">
        <f>IF($BO351="","",IFERROR(VLOOKUP($BO351,'01_Warehouse_Ledger'!$A:$N,4,FALSE),""))</f>
      </c>
      <c r="BQ351">
        <f>IF($BO351="","",IFERROR(VLOOKUP($BO351,'01_Warehouse_Ledger'!$A:$N,5,FALSE),""))</f>
      </c>
      <c r="BR351">
        <f>IF($BO351="","",IFERROR(VLOOKUP($BO351,'01_Warehouse_Ledger'!$A:$N,13,FALSE),""))</f>
      </c>
    </row>
    <row r="352">
      <c r="D352">
        <f>IF($B352&lt;&gt;"Yes","",IF($C352="No","Yes",IF($C352="Yes","No","")))</f>
      </c>
      <c r="E352">
        <f>IF($A352="","",IF($A352="Neuron",IF(OR(AND($S352&lt;&gt;"",LOWER(TRIM($S352))&lt;&gt;"n/a",COUNTIF($S$2:$S$532,$S352)&gt;1),AND($T352&lt;&gt;"",LOWER(TRIM($T352))&lt;&gt;"n/a",COUNTIF($T$2:$T$532,$T352)&gt;1),AND($W352&lt;&gt;"",LOWER(TRIM($W352))&lt;&gt;"n/a",COUNTIF($W$2:$W$532,$W352)&gt;1)),"Yes","No"),IF($A352="Cybernet",IF(OR(AND($Y352&lt;&gt;"",LOWER(TRIM($Y352))&lt;&gt;"n/a",COUNTIF($Y$2:$Y$532,$Y352)&gt;1),AND($Z352&lt;&gt;"",LOWER(TRIM($Z352))&lt;&gt;"n/a",COUNTIF($Z$2:$Z$532,$Z352)&gt;1)),"Yes","No"),IF(AND($AL352&lt;&gt;"",LOWER(TRIM($AL352))&lt;&gt;"n/a",COUNTIF($AL$2:$AL$532,$AL352)&gt;1),"Yes","No"))))</f>
      </c>
      <c r="F352">
        <f>IF($B352&lt;&gt;"Yes","",
IF($A352="Neuron",
IF(OR(
AND($S352&lt;&gt;"",LOWER(TRIM($S352))&lt;&gt;"n/a",COUNTIFS($B$2:$B$532,"Yes",$A$2:$A$532,"Neuron",$S$2:$S$532,$S352)&gt;1),
AND($T352&lt;&gt;"",LOWER(TRIM($T352))&lt;&gt;"n/a",COUNTIFS($B$2:$B$532,"Yes",$A$2:$A$532,"Neuron",$T$2:$T$532,$T352)&gt;1),
AND($W352&lt;&gt;"",LOWER(TRIM($W352))&lt;&gt;"n/a",COUNTIFS($B$2:$B$532,"Yes",$A$2:$A$532,"Neuron",$W$2:$W$532,$W352)&gt;1)
),"Yes","No"),
IF($A352="Cybernet",
IF(OR(
AND($Y352&lt;&gt;"",LOWER(TRIM($Y352))&lt;&gt;"n/a",COUNTIFS($B$2:$B$532,"Yes",$A$2:$A$532,"Cybernet",$Y$2:$Y$532,$Y352)&gt;1),
AND($Z352&lt;&gt;"",LOWER(TRIM($Z352))&lt;&gt;"n/a",COUNTIFS($B$2:$B$532,"Yes",$A$2:$A$532,"Cybernet",$Z$2:$Z$532,$Z352)&gt;1)
),"Yes","No"),
IF(AND($AL352&lt;&gt;"",LOWER(TRIM($AL352))&lt;&gt;"n/a"),
IF(COUNTIFS($B$2:$B$532,"Yes",$A$2:$A$532,$A352,$AL$2:$AL$532,$AL352)&gt;1,"Yes","No"),
"No")
)
)
)</f>
      </c>
      <c r="BL352">
        <f>IF($T352="","",IF((IF(AND($AW352&lt;&gt;"Yes",$AW352&lt;&gt;"N/A"),"Power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",""))="","",LEFT(IF(AND($AW352&lt;&gt;"Yes",$AW352&lt;&gt;"N/A"),"Power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",""),LEN(IF(AND($AW352&lt;&gt;"Yes",$AW352&lt;&gt;"N/A"),"Power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",""))-2)))</f>
      </c>
      <c r="BM352">
        <f>IF($T352="","",IF($BL352="","Yes","Blocked"))</f>
      </c>
      <c r="BP352">
        <f>IF($BO352="","",IFERROR(VLOOKUP($BO352,'01_Warehouse_Ledger'!$A:$N,4,FALSE),""))</f>
      </c>
      <c r="BQ352">
        <f>IF($BO352="","",IFERROR(VLOOKUP($BO352,'01_Warehouse_Ledger'!$A:$N,5,FALSE),""))</f>
      </c>
      <c r="BR352">
        <f>IF($BO352="","",IFERROR(VLOOKUP($BO352,'01_Warehouse_Ledger'!$A:$N,13,FALSE),""))</f>
      </c>
    </row>
    <row r="353">
      <c r="D353">
        <f>IF($B353&lt;&gt;"Yes","",IF($C353="No","Yes",IF($C353="Yes","No","")))</f>
      </c>
      <c r="E353">
        <f>IF($A353="","",IF($A353="Neuron",IF(OR(AND($S353&lt;&gt;"",LOWER(TRIM($S353))&lt;&gt;"n/a",COUNTIF($S$2:$S$532,$S353)&gt;1),AND($T353&lt;&gt;"",LOWER(TRIM($T353))&lt;&gt;"n/a",COUNTIF($T$2:$T$532,$T353)&gt;1),AND($W353&lt;&gt;"",LOWER(TRIM($W353))&lt;&gt;"n/a",COUNTIF($W$2:$W$532,$W353)&gt;1)),"Yes","No"),IF($A353="Cybernet",IF(OR(AND($Y353&lt;&gt;"",LOWER(TRIM($Y353))&lt;&gt;"n/a",COUNTIF($Y$2:$Y$532,$Y353)&gt;1),AND($Z353&lt;&gt;"",LOWER(TRIM($Z353))&lt;&gt;"n/a",COUNTIF($Z$2:$Z$532,$Z353)&gt;1)),"Yes","No"),IF(AND($AL353&lt;&gt;"",LOWER(TRIM($AL353))&lt;&gt;"n/a",COUNTIF($AL$2:$AL$532,$AL353)&gt;1),"Yes","No"))))</f>
      </c>
      <c r="F353">
        <f>IF($B353&lt;&gt;"Yes","",
IF($A353="Neuron",
IF(OR(
AND($S353&lt;&gt;"",LOWER(TRIM($S353))&lt;&gt;"n/a",COUNTIFS($B$2:$B$532,"Yes",$A$2:$A$532,"Neuron",$S$2:$S$532,$S353)&gt;1),
AND($T353&lt;&gt;"",LOWER(TRIM($T353))&lt;&gt;"n/a",COUNTIFS($B$2:$B$532,"Yes",$A$2:$A$532,"Neuron",$T$2:$T$532,$T353)&gt;1),
AND($W353&lt;&gt;"",LOWER(TRIM($W353))&lt;&gt;"n/a",COUNTIFS($B$2:$B$532,"Yes",$A$2:$A$532,"Neuron",$W$2:$W$532,$W353)&gt;1)
),"Yes","No"),
IF($A353="Cybernet",
IF(OR(
AND($Y353&lt;&gt;"",LOWER(TRIM($Y353))&lt;&gt;"n/a",COUNTIFS($B$2:$B$532,"Yes",$A$2:$A$532,"Cybernet",$Y$2:$Y$532,$Y353)&gt;1),
AND($Z353&lt;&gt;"",LOWER(TRIM($Z353))&lt;&gt;"n/a",COUNTIFS($B$2:$B$532,"Yes",$A$2:$A$532,"Cybernet",$Z$2:$Z$532,$Z353)&gt;1)
),"Yes","No"),
IF(AND($AL353&lt;&gt;"",LOWER(TRIM($AL353))&lt;&gt;"n/a"),
IF(COUNTIFS($B$2:$B$532,"Yes",$A$2:$A$532,$A353,$AL$2:$AL$532,$AL353)&gt;1,"Yes","No"),
"No")
)
)
)</f>
      </c>
      <c r="BL353">
        <f>IF($T353="","",IF((IF(AND($AW353&lt;&gt;"Yes",$AW353&lt;&gt;"N/A"),"Power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",""))="","",LEFT(IF(AND($AW353&lt;&gt;"Yes",$AW353&lt;&gt;"N/A"),"Power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",""),LEN(IF(AND($AW353&lt;&gt;"Yes",$AW353&lt;&gt;"N/A"),"Power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",""))-2)))</f>
      </c>
      <c r="BM353">
        <f>IF($T353="","",IF($BL353="","Yes","Blocked"))</f>
      </c>
      <c r="BP353">
        <f>IF($BO353="","",IFERROR(VLOOKUP($BO353,'01_Warehouse_Ledger'!$A:$N,4,FALSE),""))</f>
      </c>
      <c r="BQ353">
        <f>IF($BO353="","",IFERROR(VLOOKUP($BO353,'01_Warehouse_Ledger'!$A:$N,5,FALSE),""))</f>
      </c>
      <c r="BR353">
        <f>IF($BO353="","",IFERROR(VLOOKUP($BO353,'01_Warehouse_Ledger'!$A:$N,13,FALSE),""))</f>
      </c>
    </row>
    <row r="354">
      <c r="D354">
        <f>IF($B354&lt;&gt;"Yes","",IF($C354="No","Yes",IF($C354="Yes","No","")))</f>
      </c>
      <c r="E354">
        <f>IF($A354="","",IF($A354="Neuron",IF(OR(AND($S354&lt;&gt;"",LOWER(TRIM($S354))&lt;&gt;"n/a",COUNTIF($S$2:$S$532,$S354)&gt;1),AND($T354&lt;&gt;"",LOWER(TRIM($T354))&lt;&gt;"n/a",COUNTIF($T$2:$T$532,$T354)&gt;1),AND($W354&lt;&gt;"",LOWER(TRIM($W354))&lt;&gt;"n/a",COUNTIF($W$2:$W$532,$W354)&gt;1)),"Yes","No"),IF($A354="Cybernet",IF(OR(AND($Y354&lt;&gt;"",LOWER(TRIM($Y354))&lt;&gt;"n/a",COUNTIF($Y$2:$Y$532,$Y354)&gt;1),AND($Z354&lt;&gt;"",LOWER(TRIM($Z354))&lt;&gt;"n/a",COUNTIF($Z$2:$Z$532,$Z354)&gt;1)),"Yes","No"),IF(AND($AL354&lt;&gt;"",LOWER(TRIM($AL354))&lt;&gt;"n/a",COUNTIF($AL$2:$AL$532,$AL354)&gt;1),"Yes","No"))))</f>
      </c>
      <c r="F354">
        <f>IF($B354&lt;&gt;"Yes","",
IF($A354="Neuron",
IF(OR(
AND($S354&lt;&gt;"",LOWER(TRIM($S354))&lt;&gt;"n/a",COUNTIFS($B$2:$B$532,"Yes",$A$2:$A$532,"Neuron",$S$2:$S$532,$S354)&gt;1),
AND($T354&lt;&gt;"",LOWER(TRIM($T354))&lt;&gt;"n/a",COUNTIFS($B$2:$B$532,"Yes",$A$2:$A$532,"Neuron",$T$2:$T$532,$T354)&gt;1),
AND($W354&lt;&gt;"",LOWER(TRIM($W354))&lt;&gt;"n/a",COUNTIFS($B$2:$B$532,"Yes",$A$2:$A$532,"Neuron",$W$2:$W$532,$W354)&gt;1)
),"Yes","No"),
IF($A354="Cybernet",
IF(OR(
AND($Y354&lt;&gt;"",LOWER(TRIM($Y354))&lt;&gt;"n/a",COUNTIFS($B$2:$B$532,"Yes",$A$2:$A$532,"Cybernet",$Y$2:$Y$532,$Y354)&gt;1),
AND($Z354&lt;&gt;"",LOWER(TRIM($Z354))&lt;&gt;"n/a",COUNTIFS($B$2:$B$532,"Yes",$A$2:$A$532,"Cybernet",$Z$2:$Z$532,$Z354)&gt;1)
),"Yes","No"),
IF(AND($AL354&lt;&gt;"",LOWER(TRIM($AL354))&lt;&gt;"n/a"),
IF(COUNTIFS($B$2:$B$532,"Yes",$A$2:$A$532,$A354,$AL$2:$AL$532,$AL354)&gt;1,"Yes","No"),
"No")
)
)
)</f>
      </c>
      <c r="BL354">
        <f>IF($T354="","",IF((IF(AND($AW354&lt;&gt;"Yes",$AW354&lt;&gt;"N/A"),"Power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",""))="","",LEFT(IF(AND($AW354&lt;&gt;"Yes",$AW354&lt;&gt;"N/A"),"Power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",""),LEN(IF(AND($AW354&lt;&gt;"Yes",$AW354&lt;&gt;"N/A"),"Power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",""))-2)))</f>
      </c>
      <c r="BM354">
        <f>IF($T354="","",IF($BL354="","Yes","Blocked"))</f>
      </c>
      <c r="BP354">
        <f>IF($BO354="","",IFERROR(VLOOKUP($BO354,'01_Warehouse_Ledger'!$A:$N,4,FALSE),""))</f>
      </c>
      <c r="BQ354">
        <f>IF($BO354="","",IFERROR(VLOOKUP($BO354,'01_Warehouse_Ledger'!$A:$N,5,FALSE),""))</f>
      </c>
      <c r="BR354">
        <f>IF($BO354="","",IFERROR(VLOOKUP($BO354,'01_Warehouse_Ledger'!$A:$N,13,FALSE),""))</f>
      </c>
    </row>
    <row r="355">
      <c r="D355">
        <f>IF($B355&lt;&gt;"Yes","",IF($C355="No","Yes",IF($C355="Yes","No","")))</f>
      </c>
      <c r="E355">
        <f>IF($A355="","",IF($A355="Neuron",IF(OR(AND($S355&lt;&gt;"",LOWER(TRIM($S355))&lt;&gt;"n/a",COUNTIF($S$2:$S$532,$S355)&gt;1),AND($T355&lt;&gt;"",LOWER(TRIM($T355))&lt;&gt;"n/a",COUNTIF($T$2:$T$532,$T355)&gt;1),AND($W355&lt;&gt;"",LOWER(TRIM($W355))&lt;&gt;"n/a",COUNTIF($W$2:$W$532,$W355)&gt;1)),"Yes","No"),IF($A355="Cybernet",IF(OR(AND($Y355&lt;&gt;"",LOWER(TRIM($Y355))&lt;&gt;"n/a",COUNTIF($Y$2:$Y$532,$Y355)&gt;1),AND($Z355&lt;&gt;"",LOWER(TRIM($Z355))&lt;&gt;"n/a",COUNTIF($Z$2:$Z$532,$Z355)&gt;1)),"Yes","No"),IF(AND($AL355&lt;&gt;"",LOWER(TRIM($AL355))&lt;&gt;"n/a",COUNTIF($AL$2:$AL$532,$AL355)&gt;1),"Yes","No"))))</f>
      </c>
      <c r="F355">
        <f>IF($B355&lt;&gt;"Yes","",
IF($A355="Neuron",
IF(OR(
AND($S355&lt;&gt;"",LOWER(TRIM($S355))&lt;&gt;"n/a",COUNTIFS($B$2:$B$532,"Yes",$A$2:$A$532,"Neuron",$S$2:$S$532,$S355)&gt;1),
AND($T355&lt;&gt;"",LOWER(TRIM($T355))&lt;&gt;"n/a",COUNTIFS($B$2:$B$532,"Yes",$A$2:$A$532,"Neuron",$T$2:$T$532,$T355)&gt;1),
AND($W355&lt;&gt;"",LOWER(TRIM($W355))&lt;&gt;"n/a",COUNTIFS($B$2:$B$532,"Yes",$A$2:$A$532,"Neuron",$W$2:$W$532,$W355)&gt;1)
),"Yes","No"),
IF($A355="Cybernet",
IF(OR(
AND($Y355&lt;&gt;"",LOWER(TRIM($Y355))&lt;&gt;"n/a",COUNTIFS($B$2:$B$532,"Yes",$A$2:$A$532,"Cybernet",$Y$2:$Y$532,$Y355)&gt;1),
AND($Z355&lt;&gt;"",LOWER(TRIM($Z355))&lt;&gt;"n/a",COUNTIFS($B$2:$B$532,"Yes",$A$2:$A$532,"Cybernet",$Z$2:$Z$532,$Z355)&gt;1)
),"Yes","No"),
IF(AND($AL355&lt;&gt;"",LOWER(TRIM($AL355))&lt;&gt;"n/a"),
IF(COUNTIFS($B$2:$B$532,"Yes",$A$2:$A$532,$A355,$AL$2:$AL$532,$AL355)&gt;1,"Yes","No"),
"No")
)
)
)</f>
      </c>
      <c r="BL355">
        <f>IF($T355="","",IF((IF(AND($AW355&lt;&gt;"Yes",$AW355&lt;&gt;"N/A"),"Power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",""))="","",LEFT(IF(AND($AW355&lt;&gt;"Yes",$AW355&lt;&gt;"N/A"),"Power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",""),LEN(IF(AND($AW355&lt;&gt;"Yes",$AW355&lt;&gt;"N/A"),"Power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",""))-2)))</f>
      </c>
      <c r="BM355">
        <f>IF($T355="","",IF($BL355="","Yes","Blocked"))</f>
      </c>
      <c r="BP355">
        <f>IF($BO355="","",IFERROR(VLOOKUP($BO355,'01_Warehouse_Ledger'!$A:$N,4,FALSE),""))</f>
      </c>
      <c r="BQ355">
        <f>IF($BO355="","",IFERROR(VLOOKUP($BO355,'01_Warehouse_Ledger'!$A:$N,5,FALSE),""))</f>
      </c>
      <c r="BR355">
        <f>IF($BO355="","",IFERROR(VLOOKUP($BO355,'01_Warehouse_Ledger'!$A:$N,13,FALSE),""))</f>
      </c>
    </row>
    <row r="356">
      <c r="D356">
        <f>IF($B356&lt;&gt;"Yes","",IF($C356="No","Yes",IF($C356="Yes","No","")))</f>
      </c>
      <c r="E356">
        <f>IF($A356="","",IF($A356="Neuron",IF(OR(AND($S356&lt;&gt;"",LOWER(TRIM($S356))&lt;&gt;"n/a",COUNTIF($S$2:$S$532,$S356)&gt;1),AND($T356&lt;&gt;"",LOWER(TRIM($T356))&lt;&gt;"n/a",COUNTIF($T$2:$T$532,$T356)&gt;1),AND($W356&lt;&gt;"",LOWER(TRIM($W356))&lt;&gt;"n/a",COUNTIF($W$2:$W$532,$W356)&gt;1)),"Yes","No"),IF($A356="Cybernet",IF(OR(AND($Y356&lt;&gt;"",LOWER(TRIM($Y356))&lt;&gt;"n/a",COUNTIF($Y$2:$Y$532,$Y356)&gt;1),AND($Z356&lt;&gt;"",LOWER(TRIM($Z356))&lt;&gt;"n/a",COUNTIF($Z$2:$Z$532,$Z356)&gt;1)),"Yes","No"),IF(AND($AL356&lt;&gt;"",LOWER(TRIM($AL356))&lt;&gt;"n/a",COUNTIF($AL$2:$AL$532,$AL356)&gt;1),"Yes","No"))))</f>
      </c>
      <c r="F356">
        <f>IF($B356&lt;&gt;"Yes","",
IF($A356="Neuron",
IF(OR(
AND($S356&lt;&gt;"",LOWER(TRIM($S356))&lt;&gt;"n/a",COUNTIFS($B$2:$B$532,"Yes",$A$2:$A$532,"Neuron",$S$2:$S$532,$S356)&gt;1),
AND($T356&lt;&gt;"",LOWER(TRIM($T356))&lt;&gt;"n/a",COUNTIFS($B$2:$B$532,"Yes",$A$2:$A$532,"Neuron",$T$2:$T$532,$T356)&gt;1),
AND($W356&lt;&gt;"",LOWER(TRIM($W356))&lt;&gt;"n/a",COUNTIFS($B$2:$B$532,"Yes",$A$2:$A$532,"Neuron",$W$2:$W$532,$W356)&gt;1)
),"Yes","No"),
IF($A356="Cybernet",
IF(OR(
AND($Y356&lt;&gt;"",LOWER(TRIM($Y356))&lt;&gt;"n/a",COUNTIFS($B$2:$B$532,"Yes",$A$2:$A$532,"Cybernet",$Y$2:$Y$532,$Y356)&gt;1),
AND($Z356&lt;&gt;"",LOWER(TRIM($Z356))&lt;&gt;"n/a",COUNTIFS($B$2:$B$532,"Yes",$A$2:$A$532,"Cybernet",$Z$2:$Z$532,$Z356)&gt;1)
),"Yes","No"),
IF(AND($AL356&lt;&gt;"",LOWER(TRIM($AL356))&lt;&gt;"n/a"),
IF(COUNTIFS($B$2:$B$532,"Yes",$A$2:$A$532,$A356,$AL$2:$AL$532,$AL356)&gt;1,"Yes","No"),
"No")
)
)
)</f>
      </c>
      <c r="BL356">
        <f>IF($T356="","",IF((IF(AND($AW356&lt;&gt;"Yes",$AW356&lt;&gt;"N/A"),"Power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",""))="","",LEFT(IF(AND($AW356&lt;&gt;"Yes",$AW356&lt;&gt;"N/A"),"Power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",""),LEN(IF(AND($AW356&lt;&gt;"Yes",$AW356&lt;&gt;"N/A"),"Power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",""))-2)))</f>
      </c>
      <c r="BM356">
        <f>IF($T356="","",IF($BL356="","Yes","Blocked"))</f>
      </c>
      <c r="BP356">
        <f>IF($BO356="","",IFERROR(VLOOKUP($BO356,'01_Warehouse_Ledger'!$A:$N,4,FALSE),""))</f>
      </c>
      <c r="BQ356">
        <f>IF($BO356="","",IFERROR(VLOOKUP($BO356,'01_Warehouse_Ledger'!$A:$N,5,FALSE),""))</f>
      </c>
      <c r="BR356">
        <f>IF($BO356="","",IFERROR(VLOOKUP($BO356,'01_Warehouse_Ledger'!$A:$N,13,FALSE),""))</f>
      </c>
    </row>
    <row r="357">
      <c r="D357">
        <f>IF($B357&lt;&gt;"Yes","",IF($C357="No","Yes",IF($C357="Yes","No","")))</f>
      </c>
      <c r="E357">
        <f>IF($A357="","",IF($A357="Neuron",IF(OR(AND($S357&lt;&gt;"",LOWER(TRIM($S357))&lt;&gt;"n/a",COUNTIF($S$2:$S$532,$S357)&gt;1),AND($T357&lt;&gt;"",LOWER(TRIM($T357))&lt;&gt;"n/a",COUNTIF($T$2:$T$532,$T357)&gt;1),AND($W357&lt;&gt;"",LOWER(TRIM($W357))&lt;&gt;"n/a",COUNTIF($W$2:$W$532,$W357)&gt;1)),"Yes","No"),IF($A357="Cybernet",IF(OR(AND($Y357&lt;&gt;"",LOWER(TRIM($Y357))&lt;&gt;"n/a",COUNTIF($Y$2:$Y$532,$Y357)&gt;1),AND($Z357&lt;&gt;"",LOWER(TRIM($Z357))&lt;&gt;"n/a",COUNTIF($Z$2:$Z$532,$Z357)&gt;1)),"Yes","No"),IF(AND($AL357&lt;&gt;"",LOWER(TRIM($AL357))&lt;&gt;"n/a",COUNTIF($AL$2:$AL$532,$AL357)&gt;1),"Yes","No"))))</f>
      </c>
      <c r="F357">
        <f>IF($B357&lt;&gt;"Yes","",
IF($A357="Neuron",
IF(OR(
AND($S357&lt;&gt;"",LOWER(TRIM($S357))&lt;&gt;"n/a",COUNTIFS($B$2:$B$532,"Yes",$A$2:$A$532,"Neuron",$S$2:$S$532,$S357)&gt;1),
AND($T357&lt;&gt;"",LOWER(TRIM($T357))&lt;&gt;"n/a",COUNTIFS($B$2:$B$532,"Yes",$A$2:$A$532,"Neuron",$T$2:$T$532,$T357)&gt;1),
AND($W357&lt;&gt;"",LOWER(TRIM($W357))&lt;&gt;"n/a",COUNTIFS($B$2:$B$532,"Yes",$A$2:$A$532,"Neuron",$W$2:$W$532,$W357)&gt;1)
),"Yes","No"),
IF($A357="Cybernet",
IF(OR(
AND($Y357&lt;&gt;"",LOWER(TRIM($Y357))&lt;&gt;"n/a",COUNTIFS($B$2:$B$532,"Yes",$A$2:$A$532,"Cybernet",$Y$2:$Y$532,$Y357)&gt;1),
AND($Z357&lt;&gt;"",LOWER(TRIM($Z357))&lt;&gt;"n/a",COUNTIFS($B$2:$B$532,"Yes",$A$2:$A$532,"Cybernet",$Z$2:$Z$532,$Z357)&gt;1)
),"Yes","No"),
IF(AND($AL357&lt;&gt;"",LOWER(TRIM($AL357))&lt;&gt;"n/a"),
IF(COUNTIFS($B$2:$B$532,"Yes",$A$2:$A$532,$A357,$AL$2:$AL$532,$AL357)&gt;1,"Yes","No"),
"No")
)
)
)</f>
      </c>
      <c r="BL357">
        <f>IF($T357="","",IF((IF(AND($AW357&lt;&gt;"Yes",$AW357&lt;&gt;"N/A"),"Power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",""))="","",LEFT(IF(AND($AW357&lt;&gt;"Yes",$AW357&lt;&gt;"N/A"),"Power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",""),LEN(IF(AND($AW357&lt;&gt;"Yes",$AW357&lt;&gt;"N/A"),"Power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",""))-2)))</f>
      </c>
      <c r="BM357">
        <f>IF($T357="","",IF($BL357="","Yes","Blocked"))</f>
      </c>
      <c r="BP357">
        <f>IF($BO357="","",IFERROR(VLOOKUP($BO357,'01_Warehouse_Ledger'!$A:$N,4,FALSE),""))</f>
      </c>
      <c r="BQ357">
        <f>IF($BO357="","",IFERROR(VLOOKUP($BO357,'01_Warehouse_Ledger'!$A:$N,5,FALSE),""))</f>
      </c>
      <c r="BR357">
        <f>IF($BO357="","",IFERROR(VLOOKUP($BO357,'01_Warehouse_Ledger'!$A:$N,13,FALSE),""))</f>
      </c>
    </row>
    <row r="358">
      <c r="D358">
        <f>IF($B358&lt;&gt;"Yes","",IF($C358="No","Yes",IF($C358="Yes","No","")))</f>
      </c>
      <c r="E358">
        <f>IF($A358="","",IF($A358="Neuron",IF(OR(AND($S358&lt;&gt;"",LOWER(TRIM($S358))&lt;&gt;"n/a",COUNTIF($S$2:$S$532,$S358)&gt;1),AND($T358&lt;&gt;"",LOWER(TRIM($T358))&lt;&gt;"n/a",COUNTIF($T$2:$T$532,$T358)&gt;1),AND($W358&lt;&gt;"",LOWER(TRIM($W358))&lt;&gt;"n/a",COUNTIF($W$2:$W$532,$W358)&gt;1)),"Yes","No"),IF($A358="Cybernet",IF(OR(AND($Y358&lt;&gt;"",LOWER(TRIM($Y358))&lt;&gt;"n/a",COUNTIF($Y$2:$Y$532,$Y358)&gt;1),AND($Z358&lt;&gt;"",LOWER(TRIM($Z358))&lt;&gt;"n/a",COUNTIF($Z$2:$Z$532,$Z358)&gt;1)),"Yes","No"),IF(AND($AL358&lt;&gt;"",LOWER(TRIM($AL358))&lt;&gt;"n/a",COUNTIF($AL$2:$AL$532,$AL358)&gt;1),"Yes","No"))))</f>
      </c>
      <c r="F358">
        <f>IF($B358&lt;&gt;"Yes","",
IF($A358="Neuron",
IF(OR(
AND($S358&lt;&gt;"",LOWER(TRIM($S358))&lt;&gt;"n/a",COUNTIFS($B$2:$B$532,"Yes",$A$2:$A$532,"Neuron",$S$2:$S$532,$S358)&gt;1),
AND($T358&lt;&gt;"",LOWER(TRIM($T358))&lt;&gt;"n/a",COUNTIFS($B$2:$B$532,"Yes",$A$2:$A$532,"Neuron",$T$2:$T$532,$T358)&gt;1),
AND($W358&lt;&gt;"",LOWER(TRIM($W358))&lt;&gt;"n/a",COUNTIFS($B$2:$B$532,"Yes",$A$2:$A$532,"Neuron",$W$2:$W$532,$W358)&gt;1)
),"Yes","No"),
IF($A358="Cybernet",
IF(OR(
AND($Y358&lt;&gt;"",LOWER(TRIM($Y358))&lt;&gt;"n/a",COUNTIFS($B$2:$B$532,"Yes",$A$2:$A$532,"Cybernet",$Y$2:$Y$532,$Y358)&gt;1),
AND($Z358&lt;&gt;"",LOWER(TRIM($Z358))&lt;&gt;"n/a",COUNTIFS($B$2:$B$532,"Yes",$A$2:$A$532,"Cybernet",$Z$2:$Z$532,$Z358)&gt;1)
),"Yes","No"),
IF(AND($AL358&lt;&gt;"",LOWER(TRIM($AL358))&lt;&gt;"n/a"),
IF(COUNTIFS($B$2:$B$532,"Yes",$A$2:$A$532,$A358,$AL$2:$AL$532,$AL358)&gt;1,"Yes","No"),
"No")
)
)
)</f>
      </c>
      <c r="BL358">
        <f>IF($T358="","",IF((IF(AND($AW358&lt;&gt;"Yes",$AW358&lt;&gt;"N/A"),"Power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",""))="","",LEFT(IF(AND($AW358&lt;&gt;"Yes",$AW358&lt;&gt;"N/A"),"Power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",""),LEN(IF(AND($AW358&lt;&gt;"Yes",$AW358&lt;&gt;"N/A"),"Power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",""))-2)))</f>
      </c>
      <c r="BM358">
        <f>IF($T358="","",IF($BL358="","Yes","Blocked"))</f>
      </c>
      <c r="BP358">
        <f>IF($BO358="","",IFERROR(VLOOKUP($BO358,'01_Warehouse_Ledger'!$A:$N,4,FALSE),""))</f>
      </c>
      <c r="BQ358">
        <f>IF($BO358="","",IFERROR(VLOOKUP($BO358,'01_Warehouse_Ledger'!$A:$N,5,FALSE),""))</f>
      </c>
      <c r="BR358">
        <f>IF($BO358="","",IFERROR(VLOOKUP($BO358,'01_Warehouse_Ledger'!$A:$N,13,FALSE),""))</f>
      </c>
    </row>
    <row r="359">
      <c r="D359">
        <f>IF($B359&lt;&gt;"Yes","",IF($C359="No","Yes",IF($C359="Yes","No","")))</f>
      </c>
      <c r="E359">
        <f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</c>
      <c r="F359">
        <f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</c>
      <c r="BL359">
        <f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</c>
      <c r="BM359">
        <f>IF($T359="","",IF($BL359="","Yes","Blocked"))</f>
      </c>
      <c r="BP359">
        <f>IF($BO359="","",IFERROR(VLOOKUP($BO359,'01_Warehouse_Ledger'!$A:$N,4,FALSE),""))</f>
      </c>
      <c r="BQ359">
        <f>IF($BO359="","",IFERROR(VLOOKUP($BO359,'01_Warehouse_Ledger'!$A:$N,5,FALSE),""))</f>
      </c>
      <c r="BR359">
        <f>IF($BO359="","",IFERROR(VLOOKUP($BO359,'01_Warehouse_Ledger'!$A:$N,13,FALSE),""))</f>
      </c>
    </row>
    <row r="360">
      <c r="D360">
        <f>IF($B360&lt;&gt;"Yes","",IF($C360="No","Yes",IF($C360="Yes","No","")))</f>
      </c>
      <c r="E360">
        <f>IF($A360="","",IF($A360="Neuron",IF(OR(AND($S360&lt;&gt;"",LOWER(TRIM($S360))&lt;&gt;"n/a",COUNTIF($S$2:$S$532,$S360)&gt;1),AND($T360&lt;&gt;"",LOWER(TRIM($T360))&lt;&gt;"n/a",COUNTIF($T$2:$T$532,$T360)&gt;1),AND($W360&lt;&gt;"",LOWER(TRIM($W360))&lt;&gt;"n/a",COUNTIF($W$2:$W$532,$W360)&gt;1)),"Yes","No"),IF($A360="Cybernet",IF(OR(AND($Y360&lt;&gt;"",LOWER(TRIM($Y360))&lt;&gt;"n/a",COUNTIF($Y$2:$Y$532,$Y360)&gt;1),AND($Z360&lt;&gt;"",LOWER(TRIM($Z360))&lt;&gt;"n/a",COUNTIF($Z$2:$Z$532,$Z360)&gt;1)),"Yes","No"),IF(AND($AL360&lt;&gt;"",LOWER(TRIM($AL360))&lt;&gt;"n/a",COUNTIF($AL$2:$AL$532,$AL360)&gt;1),"Yes","No"))))</f>
      </c>
      <c r="F360">
        <f>IF($B360&lt;&gt;"Yes","",
IF($A360="Neuron",
IF(OR(
AND($S360&lt;&gt;"",LOWER(TRIM($S360))&lt;&gt;"n/a",COUNTIFS($B$2:$B$532,"Yes",$A$2:$A$532,"Neuron",$S$2:$S$532,$S360)&gt;1),
AND($T360&lt;&gt;"",LOWER(TRIM($T360))&lt;&gt;"n/a",COUNTIFS($B$2:$B$532,"Yes",$A$2:$A$532,"Neuron",$T$2:$T$532,$T360)&gt;1),
AND($W360&lt;&gt;"",LOWER(TRIM($W360))&lt;&gt;"n/a",COUNTIFS($B$2:$B$532,"Yes",$A$2:$A$532,"Neuron",$W$2:$W$532,$W360)&gt;1)
),"Yes","No"),
IF($A360="Cybernet",
IF(OR(
AND($Y360&lt;&gt;"",LOWER(TRIM($Y360))&lt;&gt;"n/a",COUNTIFS($B$2:$B$532,"Yes",$A$2:$A$532,"Cybernet",$Y$2:$Y$532,$Y360)&gt;1),
AND($Z360&lt;&gt;"",LOWER(TRIM($Z360))&lt;&gt;"n/a",COUNTIFS($B$2:$B$532,"Yes",$A$2:$A$532,"Cybernet",$Z$2:$Z$532,$Z360)&gt;1)
),"Yes","No"),
IF(AND($AL360&lt;&gt;"",LOWER(TRIM($AL360))&lt;&gt;"n/a"),
IF(COUNTIFS($B$2:$B$532,"Yes",$A$2:$A$532,$A360,$AL$2:$AL$532,$AL360)&gt;1,"Yes","No"),
"No")
)
)
)</f>
      </c>
      <c r="BL360">
        <f>IF($T360="","",IF((IF(AND($AW360&lt;&gt;"Yes",$AW360&lt;&gt;"N/A"),"Power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",""))="","",LEFT(IF(AND($AW360&lt;&gt;"Yes",$AW360&lt;&gt;"N/A"),"Power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",""),LEN(IF(AND($AW360&lt;&gt;"Yes",$AW360&lt;&gt;"N/A"),"Power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",""))-2)))</f>
      </c>
      <c r="BM360">
        <f>IF($T360="","",IF($BL360="","Yes","Blocked"))</f>
      </c>
      <c r="BP360">
        <f>IF($BO360="","",IFERROR(VLOOKUP($BO360,'01_Warehouse_Ledger'!$A:$N,4,FALSE),""))</f>
      </c>
      <c r="BQ360">
        <f>IF($BO360="","",IFERROR(VLOOKUP($BO360,'01_Warehouse_Ledger'!$A:$N,5,FALSE),""))</f>
      </c>
      <c r="BR360">
        <f>IF($BO360="","",IFERROR(VLOOKUP($BO360,'01_Warehouse_Ledger'!$A:$N,13,FALSE),""))</f>
      </c>
    </row>
    <row r="361">
      <c r="D361">
        <f>IF($B361&lt;&gt;"Yes","",IF($C361="No","Yes",IF($C361="Yes","No","")))</f>
      </c>
      <c r="E361">
        <f>IF($A361="","",IF($A361="Neuron",IF(OR(AND($S361&lt;&gt;"",LOWER(TRIM($S361))&lt;&gt;"n/a",COUNTIF($S$2:$S$532,$S361)&gt;1),AND($T361&lt;&gt;"",LOWER(TRIM($T361))&lt;&gt;"n/a",COUNTIF($T$2:$T$532,$T361)&gt;1),AND($W361&lt;&gt;"",LOWER(TRIM($W361))&lt;&gt;"n/a",COUNTIF($W$2:$W$532,$W361)&gt;1)),"Yes","No"),IF($A361="Cybernet",IF(OR(AND($Y361&lt;&gt;"",LOWER(TRIM($Y361))&lt;&gt;"n/a",COUNTIF($Y$2:$Y$532,$Y361)&gt;1),AND($Z361&lt;&gt;"",LOWER(TRIM($Z361))&lt;&gt;"n/a",COUNTIF($Z$2:$Z$532,$Z361)&gt;1)),"Yes","No"),IF(AND($AL361&lt;&gt;"",LOWER(TRIM($AL361))&lt;&gt;"n/a",COUNTIF($AL$2:$AL$532,$AL361)&gt;1),"Yes","No"))))</f>
      </c>
      <c r="F361">
        <f>IF($B361&lt;&gt;"Yes","",
IF($A361="Neuron",
IF(OR(
AND($S361&lt;&gt;"",LOWER(TRIM($S361))&lt;&gt;"n/a",COUNTIFS($B$2:$B$532,"Yes",$A$2:$A$532,"Neuron",$S$2:$S$532,$S361)&gt;1),
AND($T361&lt;&gt;"",LOWER(TRIM($T361))&lt;&gt;"n/a",COUNTIFS($B$2:$B$532,"Yes",$A$2:$A$532,"Neuron",$T$2:$T$532,$T361)&gt;1),
AND($W361&lt;&gt;"",LOWER(TRIM($W361))&lt;&gt;"n/a",COUNTIFS($B$2:$B$532,"Yes",$A$2:$A$532,"Neuron",$W$2:$W$532,$W361)&gt;1)
),"Yes","No"),
IF($A361="Cybernet",
IF(OR(
AND($Y361&lt;&gt;"",LOWER(TRIM($Y361))&lt;&gt;"n/a",COUNTIFS($B$2:$B$532,"Yes",$A$2:$A$532,"Cybernet",$Y$2:$Y$532,$Y361)&gt;1),
AND($Z361&lt;&gt;"",LOWER(TRIM($Z361))&lt;&gt;"n/a",COUNTIFS($B$2:$B$532,"Yes",$A$2:$A$532,"Cybernet",$Z$2:$Z$532,$Z361)&gt;1)
),"Yes","No"),
IF(AND($AL361&lt;&gt;"",LOWER(TRIM($AL361))&lt;&gt;"n/a"),
IF(COUNTIFS($B$2:$B$532,"Yes",$A$2:$A$532,$A361,$AL$2:$AL$532,$AL361)&gt;1,"Yes","No"),
"No")
)
)
)</f>
      </c>
      <c r="BL361">
        <f>IF($T361="","",IF((IF(AND($AW361&lt;&gt;"Yes",$AW361&lt;&gt;"N/A"),"Power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",""))="","",LEFT(IF(AND($AW361&lt;&gt;"Yes",$AW361&lt;&gt;"N/A"),"Power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",""),LEN(IF(AND($AW361&lt;&gt;"Yes",$AW361&lt;&gt;"N/A"),"Power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",""))-2)))</f>
      </c>
      <c r="BM361">
        <f>IF($T361="","",IF($BL361="","Yes","Blocked"))</f>
      </c>
      <c r="BP361">
        <f>IF($BO361="","",IFERROR(VLOOKUP($BO361,'01_Warehouse_Ledger'!$A:$N,4,FALSE),""))</f>
      </c>
      <c r="BQ361">
        <f>IF($BO361="","",IFERROR(VLOOKUP($BO361,'01_Warehouse_Ledger'!$A:$N,5,FALSE),""))</f>
      </c>
      <c r="BR361">
        <f>IF($BO361="","",IFERROR(VLOOKUP($BO361,'01_Warehouse_Ledger'!$A:$N,13,FALSE),""))</f>
      </c>
    </row>
    <row r="362">
      <c r="D362">
        <f>IF($B362&lt;&gt;"Yes","",IF($C362="No","Yes",IF($C362="Yes","No","")))</f>
      </c>
      <c r="E362">
        <f>IF($A362="","",IF($A362="Neuron",IF(OR(AND($S362&lt;&gt;"",LOWER(TRIM($S362))&lt;&gt;"n/a",COUNTIF($S$2:$S$532,$S362)&gt;1),AND($T362&lt;&gt;"",LOWER(TRIM($T362))&lt;&gt;"n/a",COUNTIF($T$2:$T$532,$T362)&gt;1),AND($W362&lt;&gt;"",LOWER(TRIM($W362))&lt;&gt;"n/a",COUNTIF($W$2:$W$532,$W362)&gt;1)),"Yes","No"),IF($A362="Cybernet",IF(OR(AND($Y362&lt;&gt;"",LOWER(TRIM($Y362))&lt;&gt;"n/a",COUNTIF($Y$2:$Y$532,$Y362)&gt;1),AND($Z362&lt;&gt;"",LOWER(TRIM($Z362))&lt;&gt;"n/a",COUNTIF($Z$2:$Z$532,$Z362)&gt;1)),"Yes","No"),IF(AND($AL362&lt;&gt;"",LOWER(TRIM($AL362))&lt;&gt;"n/a",COUNTIF($AL$2:$AL$532,$AL362)&gt;1),"Yes","No"))))</f>
      </c>
      <c r="F362">
        <f>IF($B362&lt;&gt;"Yes","",
IF($A362="Neuron",
IF(OR(
AND($S362&lt;&gt;"",LOWER(TRIM($S362))&lt;&gt;"n/a",COUNTIFS($B$2:$B$532,"Yes",$A$2:$A$532,"Neuron",$S$2:$S$532,$S362)&gt;1),
AND($T362&lt;&gt;"",LOWER(TRIM($T362))&lt;&gt;"n/a",COUNTIFS($B$2:$B$532,"Yes",$A$2:$A$532,"Neuron",$T$2:$T$532,$T362)&gt;1),
AND($W362&lt;&gt;"",LOWER(TRIM($W362))&lt;&gt;"n/a",COUNTIFS($B$2:$B$532,"Yes",$A$2:$A$532,"Neuron",$W$2:$W$532,$W362)&gt;1)
),"Yes","No"),
IF($A362="Cybernet",
IF(OR(
AND($Y362&lt;&gt;"",LOWER(TRIM($Y362))&lt;&gt;"n/a",COUNTIFS($B$2:$B$532,"Yes",$A$2:$A$532,"Cybernet",$Y$2:$Y$532,$Y362)&gt;1),
AND($Z362&lt;&gt;"",LOWER(TRIM($Z362))&lt;&gt;"n/a",COUNTIFS($B$2:$B$532,"Yes",$A$2:$A$532,"Cybernet",$Z$2:$Z$532,$Z362)&gt;1)
),"Yes","No"),
IF(AND($AL362&lt;&gt;"",LOWER(TRIM($AL362))&lt;&gt;"n/a"),
IF(COUNTIFS($B$2:$B$532,"Yes",$A$2:$A$532,$A362,$AL$2:$AL$532,$AL362)&gt;1,"Yes","No"),
"No")
)
)
)</f>
      </c>
      <c r="BL362">
        <f>IF($T362="","",IF((IF(AND($AW362&lt;&gt;"Yes",$AW362&lt;&gt;"N/A"),"Power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",""))="","",LEFT(IF(AND($AW362&lt;&gt;"Yes",$AW362&lt;&gt;"N/A"),"Power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",""),LEN(IF(AND($AW362&lt;&gt;"Yes",$AW362&lt;&gt;"N/A"),"Power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",""))-2)))</f>
      </c>
      <c r="BM362">
        <f>IF($T362="","",IF($BL362="","Yes","Blocked"))</f>
      </c>
      <c r="BP362">
        <f>IF($BO362="","",IFERROR(VLOOKUP($BO362,'01_Warehouse_Ledger'!$A:$N,4,FALSE),""))</f>
      </c>
      <c r="BQ362">
        <f>IF($BO362="","",IFERROR(VLOOKUP($BO362,'01_Warehouse_Ledger'!$A:$N,5,FALSE),""))</f>
      </c>
      <c r="BR362">
        <f>IF($BO362="","",IFERROR(VLOOKUP($BO362,'01_Warehouse_Ledger'!$A:$N,13,FALSE),""))</f>
      </c>
    </row>
    <row r="363">
      <c r="D363">
        <f>IF($B363&lt;&gt;"Yes","",IF($C363="No","Yes",IF($C363="Yes","No","")))</f>
      </c>
      <c r="E363">
        <f>IF($A363="","",IF($A363="Neuron",IF(OR(AND($S363&lt;&gt;"",LOWER(TRIM($S363))&lt;&gt;"n/a",COUNTIF($S$2:$S$532,$S363)&gt;1),AND($T363&lt;&gt;"",LOWER(TRIM($T363))&lt;&gt;"n/a",COUNTIF($T$2:$T$532,$T363)&gt;1),AND($W363&lt;&gt;"",LOWER(TRIM($W363))&lt;&gt;"n/a",COUNTIF($W$2:$W$532,$W363)&gt;1)),"Yes","No"),IF($A363="Cybernet",IF(OR(AND($Y363&lt;&gt;"",LOWER(TRIM($Y363))&lt;&gt;"n/a",COUNTIF($Y$2:$Y$532,$Y363)&gt;1),AND($Z363&lt;&gt;"",LOWER(TRIM($Z363))&lt;&gt;"n/a",COUNTIF($Z$2:$Z$532,$Z363)&gt;1)),"Yes","No"),IF(AND($AL363&lt;&gt;"",LOWER(TRIM($AL363))&lt;&gt;"n/a",COUNTIF($AL$2:$AL$532,$AL363)&gt;1),"Yes","No"))))</f>
      </c>
      <c r="F363">
        <f>IF($B363&lt;&gt;"Yes","",
IF($A363="Neuron",
IF(OR(
AND($S363&lt;&gt;"",LOWER(TRIM($S363))&lt;&gt;"n/a",COUNTIFS($B$2:$B$532,"Yes",$A$2:$A$532,"Neuron",$S$2:$S$532,$S363)&gt;1),
AND($T363&lt;&gt;"",LOWER(TRIM($T363))&lt;&gt;"n/a",COUNTIFS($B$2:$B$532,"Yes",$A$2:$A$532,"Neuron",$T$2:$T$532,$T363)&gt;1),
AND($W363&lt;&gt;"",LOWER(TRIM($W363))&lt;&gt;"n/a",COUNTIFS($B$2:$B$532,"Yes",$A$2:$A$532,"Neuron",$W$2:$W$532,$W363)&gt;1)
),"Yes","No"),
IF($A363="Cybernet",
IF(OR(
AND($Y363&lt;&gt;"",LOWER(TRIM($Y363))&lt;&gt;"n/a",COUNTIFS($B$2:$B$532,"Yes",$A$2:$A$532,"Cybernet",$Y$2:$Y$532,$Y363)&gt;1),
AND($Z363&lt;&gt;"",LOWER(TRIM($Z363))&lt;&gt;"n/a",COUNTIFS($B$2:$B$532,"Yes",$A$2:$A$532,"Cybernet",$Z$2:$Z$532,$Z363)&gt;1)
),"Yes","No"),
IF(AND($AL363&lt;&gt;"",LOWER(TRIM($AL363))&lt;&gt;"n/a"),
IF(COUNTIFS($B$2:$B$532,"Yes",$A$2:$A$532,$A363,$AL$2:$AL$532,$AL363)&gt;1,"Yes","No"),
"No")
)
)
)</f>
      </c>
      <c r="BL363">
        <f>IF($T363="","",IF((IF(AND($AW363&lt;&gt;"Yes",$AW363&lt;&gt;"N/A"),"Power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",""))="","",LEFT(IF(AND($AW363&lt;&gt;"Yes",$AW363&lt;&gt;"N/A"),"Power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",""),LEN(IF(AND($AW363&lt;&gt;"Yes",$AW363&lt;&gt;"N/A"),"Power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",""))-2)))</f>
      </c>
      <c r="BM363">
        <f>IF($T363="","",IF($BL363="","Yes","Blocked"))</f>
      </c>
      <c r="BP363">
        <f>IF($BO363="","",IFERROR(VLOOKUP($BO363,'01_Warehouse_Ledger'!$A:$N,4,FALSE),""))</f>
      </c>
      <c r="BQ363">
        <f>IF($BO363="","",IFERROR(VLOOKUP($BO363,'01_Warehouse_Ledger'!$A:$N,5,FALSE),""))</f>
      </c>
      <c r="BR363">
        <f>IF($BO363="","",IFERROR(VLOOKUP($BO363,'01_Warehouse_Ledger'!$A:$N,13,FALSE),""))</f>
      </c>
    </row>
    <row r="364">
      <c r="D364">
        <f>IF($B364&lt;&gt;"Yes","",IF($C364="No","Yes",IF($C364="Yes","No","")))</f>
      </c>
      <c r="E364">
        <f>IF($A364="","",IF($A364="Neuron",IF(OR(AND($S364&lt;&gt;"",LOWER(TRIM($S364))&lt;&gt;"n/a",COUNTIF($S$2:$S$532,$S364)&gt;1),AND($T364&lt;&gt;"",LOWER(TRIM($T364))&lt;&gt;"n/a",COUNTIF($T$2:$T$532,$T364)&gt;1),AND($W364&lt;&gt;"",LOWER(TRIM($W364))&lt;&gt;"n/a",COUNTIF($W$2:$W$532,$W364)&gt;1)),"Yes","No"),IF($A364="Cybernet",IF(OR(AND($Y364&lt;&gt;"",LOWER(TRIM($Y364))&lt;&gt;"n/a",COUNTIF($Y$2:$Y$532,$Y364)&gt;1),AND($Z364&lt;&gt;"",LOWER(TRIM($Z364))&lt;&gt;"n/a",COUNTIF($Z$2:$Z$532,$Z364)&gt;1)),"Yes","No"),IF(AND($AL364&lt;&gt;"",LOWER(TRIM($AL364))&lt;&gt;"n/a",COUNTIF($AL$2:$AL$532,$AL364)&gt;1),"Yes","No"))))</f>
      </c>
      <c r="F364">
        <f>IF($B364&lt;&gt;"Yes","",
IF($A364="Neuron",
IF(OR(
AND($S364&lt;&gt;"",LOWER(TRIM($S364))&lt;&gt;"n/a",COUNTIFS($B$2:$B$532,"Yes",$A$2:$A$532,"Neuron",$S$2:$S$532,$S364)&gt;1),
AND($T364&lt;&gt;"",LOWER(TRIM($T364))&lt;&gt;"n/a",COUNTIFS($B$2:$B$532,"Yes",$A$2:$A$532,"Neuron",$T$2:$T$532,$T364)&gt;1),
AND($W364&lt;&gt;"",LOWER(TRIM($W364))&lt;&gt;"n/a",COUNTIFS($B$2:$B$532,"Yes",$A$2:$A$532,"Neuron",$W$2:$W$532,$W364)&gt;1)
),"Yes","No"),
IF($A364="Cybernet",
IF(OR(
AND($Y364&lt;&gt;"",LOWER(TRIM($Y364))&lt;&gt;"n/a",COUNTIFS($B$2:$B$532,"Yes",$A$2:$A$532,"Cybernet",$Y$2:$Y$532,$Y364)&gt;1),
AND($Z364&lt;&gt;"",LOWER(TRIM($Z364))&lt;&gt;"n/a",COUNTIFS($B$2:$B$532,"Yes",$A$2:$A$532,"Cybernet",$Z$2:$Z$532,$Z364)&gt;1)
),"Yes","No"),
IF(AND($AL364&lt;&gt;"",LOWER(TRIM($AL364))&lt;&gt;"n/a"),
IF(COUNTIFS($B$2:$B$532,"Yes",$A$2:$A$532,$A364,$AL$2:$AL$532,$AL364)&gt;1,"Yes","No"),
"No")
)
)
)</f>
      </c>
      <c r="BL364">
        <f>IF($T364="","",IF((IF(AND($AW364&lt;&gt;"Yes",$AW364&lt;&gt;"N/A"),"Power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",""))="","",LEFT(IF(AND($AW364&lt;&gt;"Yes",$AW364&lt;&gt;"N/A"),"Power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",""),LEN(IF(AND($AW364&lt;&gt;"Yes",$AW364&lt;&gt;"N/A"),"Power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",""))-2)))</f>
      </c>
      <c r="BM364">
        <f>IF($T364="","",IF($BL364="","Yes","Blocked"))</f>
      </c>
      <c r="BP364">
        <f>IF($BO364="","",IFERROR(VLOOKUP($BO364,'01_Warehouse_Ledger'!$A:$N,4,FALSE),""))</f>
      </c>
      <c r="BQ364">
        <f>IF($BO364="","",IFERROR(VLOOKUP($BO364,'01_Warehouse_Ledger'!$A:$N,5,FALSE),""))</f>
      </c>
      <c r="BR364">
        <f>IF($BO364="","",IFERROR(VLOOKUP($BO364,'01_Warehouse_Ledger'!$A:$N,13,FALSE),""))</f>
      </c>
    </row>
    <row r="365">
      <c r="D365">
        <f>IF($B365&lt;&gt;"Yes","",IF($C365="No","Yes",IF($C365="Yes","No","")))</f>
      </c>
      <c r="E365">
        <f>IF($A365="","",IF($A365="Neuron",IF(OR(AND($S365&lt;&gt;"",LOWER(TRIM($S365))&lt;&gt;"n/a",COUNTIF($S$2:$S$532,$S365)&gt;1),AND($T365&lt;&gt;"",LOWER(TRIM($T365))&lt;&gt;"n/a",COUNTIF($T$2:$T$532,$T365)&gt;1),AND($W365&lt;&gt;"",LOWER(TRIM($W365))&lt;&gt;"n/a",COUNTIF($W$2:$W$532,$W365)&gt;1)),"Yes","No"),IF($A365="Cybernet",IF(OR(AND($Y365&lt;&gt;"",LOWER(TRIM($Y365))&lt;&gt;"n/a",COUNTIF($Y$2:$Y$532,$Y365)&gt;1),AND($Z365&lt;&gt;"",LOWER(TRIM($Z365))&lt;&gt;"n/a",COUNTIF($Z$2:$Z$532,$Z365)&gt;1)),"Yes","No"),IF(AND($AL365&lt;&gt;"",LOWER(TRIM($AL365))&lt;&gt;"n/a",COUNTIF($AL$2:$AL$532,$AL365)&gt;1),"Yes","No"))))</f>
      </c>
      <c r="F365">
        <f>IF($B365&lt;&gt;"Yes","",
IF($A365="Neuron",
IF(OR(
AND($S365&lt;&gt;"",LOWER(TRIM($S365))&lt;&gt;"n/a",COUNTIFS($B$2:$B$532,"Yes",$A$2:$A$532,"Neuron",$S$2:$S$532,$S365)&gt;1),
AND($T365&lt;&gt;"",LOWER(TRIM($T365))&lt;&gt;"n/a",COUNTIFS($B$2:$B$532,"Yes",$A$2:$A$532,"Neuron",$T$2:$T$532,$T365)&gt;1),
AND($W365&lt;&gt;"",LOWER(TRIM($W365))&lt;&gt;"n/a",COUNTIFS($B$2:$B$532,"Yes",$A$2:$A$532,"Neuron",$W$2:$W$532,$W365)&gt;1)
),"Yes","No"),
IF($A365="Cybernet",
IF(OR(
AND($Y365&lt;&gt;"",LOWER(TRIM($Y365))&lt;&gt;"n/a",COUNTIFS($B$2:$B$532,"Yes",$A$2:$A$532,"Cybernet",$Y$2:$Y$532,$Y365)&gt;1),
AND($Z365&lt;&gt;"",LOWER(TRIM($Z365))&lt;&gt;"n/a",COUNTIFS($B$2:$B$532,"Yes",$A$2:$A$532,"Cybernet",$Z$2:$Z$532,$Z365)&gt;1)
),"Yes","No"),
IF(AND($AL365&lt;&gt;"",LOWER(TRIM($AL365))&lt;&gt;"n/a"),
IF(COUNTIFS($B$2:$B$532,"Yes",$A$2:$A$532,$A365,$AL$2:$AL$532,$AL365)&gt;1,"Yes","No"),
"No")
)
)
)</f>
      </c>
      <c r="BL365">
        <f>IF($T365="","",IF((IF(AND($AW365&lt;&gt;"Yes",$AW365&lt;&gt;"N/A"),"Power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",""))="","",LEFT(IF(AND($AW365&lt;&gt;"Yes",$AW365&lt;&gt;"N/A"),"Power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",""),LEN(IF(AND($AW365&lt;&gt;"Yes",$AW365&lt;&gt;"N/A"),"Power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",""))-2)))</f>
      </c>
      <c r="BM365">
        <f>IF($T365="","",IF($BL365="","Yes","Blocked"))</f>
      </c>
      <c r="BP365">
        <f>IF($BO365="","",IFERROR(VLOOKUP($BO365,'01_Warehouse_Ledger'!$A:$N,4,FALSE),""))</f>
      </c>
      <c r="BQ365">
        <f>IF($BO365="","",IFERROR(VLOOKUP($BO365,'01_Warehouse_Ledger'!$A:$N,5,FALSE),""))</f>
      </c>
      <c r="BR365">
        <f>IF($BO365="","",IFERROR(VLOOKUP($BO365,'01_Warehouse_Ledger'!$A:$N,13,FALSE),""))</f>
      </c>
    </row>
    <row r="366">
      <c r="D366">
        <f>IF($B366&lt;&gt;"Yes","",IF($C366="No","Yes",IF($C366="Yes","No","")))</f>
      </c>
      <c r="E366">
        <f>IF($A366="","",IF($A366="Neuron",IF(OR(AND($S366&lt;&gt;"",LOWER(TRIM($S366))&lt;&gt;"n/a",COUNTIF($S$2:$S$532,$S366)&gt;1),AND($T366&lt;&gt;"",LOWER(TRIM($T366))&lt;&gt;"n/a",COUNTIF($T$2:$T$532,$T366)&gt;1),AND($W366&lt;&gt;"",LOWER(TRIM($W366))&lt;&gt;"n/a",COUNTIF($W$2:$W$532,$W366)&gt;1)),"Yes","No"),IF($A366="Cybernet",IF(OR(AND($Y366&lt;&gt;"",LOWER(TRIM($Y366))&lt;&gt;"n/a",COUNTIF($Y$2:$Y$532,$Y366)&gt;1),AND($Z366&lt;&gt;"",LOWER(TRIM($Z366))&lt;&gt;"n/a",COUNTIF($Z$2:$Z$532,$Z366)&gt;1)),"Yes","No"),IF(AND($AL366&lt;&gt;"",LOWER(TRIM($AL366))&lt;&gt;"n/a",COUNTIF($AL$2:$AL$532,$AL366)&gt;1),"Yes","No"))))</f>
      </c>
      <c r="F366">
        <f>IF($B366&lt;&gt;"Yes","",
IF($A366="Neuron",
IF(OR(
AND($S366&lt;&gt;"",LOWER(TRIM($S366))&lt;&gt;"n/a",COUNTIFS($B$2:$B$532,"Yes",$A$2:$A$532,"Neuron",$S$2:$S$532,$S366)&gt;1),
AND($T366&lt;&gt;"",LOWER(TRIM($T366))&lt;&gt;"n/a",COUNTIFS($B$2:$B$532,"Yes",$A$2:$A$532,"Neuron",$T$2:$T$532,$T366)&gt;1),
AND($W366&lt;&gt;"",LOWER(TRIM($W366))&lt;&gt;"n/a",COUNTIFS($B$2:$B$532,"Yes",$A$2:$A$532,"Neuron",$W$2:$W$532,$W366)&gt;1)
),"Yes","No"),
IF($A366="Cybernet",
IF(OR(
AND($Y366&lt;&gt;"",LOWER(TRIM($Y366))&lt;&gt;"n/a",COUNTIFS($B$2:$B$532,"Yes",$A$2:$A$532,"Cybernet",$Y$2:$Y$532,$Y366)&gt;1),
AND($Z366&lt;&gt;"",LOWER(TRIM($Z366))&lt;&gt;"n/a",COUNTIFS($B$2:$B$532,"Yes",$A$2:$A$532,"Cybernet",$Z$2:$Z$532,$Z366)&gt;1)
),"Yes","No"),
IF(AND($AL366&lt;&gt;"",LOWER(TRIM($AL366))&lt;&gt;"n/a"),
IF(COUNTIFS($B$2:$B$532,"Yes",$A$2:$A$532,$A366,$AL$2:$AL$532,$AL366)&gt;1,"Yes","No"),
"No")
)
)
)</f>
      </c>
      <c r="BL366">
        <f>IF($T366="","",IF((IF(AND($AW366&lt;&gt;"Yes",$AW366&lt;&gt;"N/A"),"Power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",""))="","",LEFT(IF(AND($AW366&lt;&gt;"Yes",$AW366&lt;&gt;"N/A"),"Power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",""),LEN(IF(AND($AW366&lt;&gt;"Yes",$AW366&lt;&gt;"N/A"),"Power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",""))-2)))</f>
      </c>
      <c r="BM366">
        <f>IF($T366="","",IF($BL366="","Yes","Blocked"))</f>
      </c>
      <c r="BP366">
        <f>IF($BO366="","",IFERROR(VLOOKUP($BO366,'01_Warehouse_Ledger'!$A:$N,4,FALSE),""))</f>
      </c>
      <c r="BQ366">
        <f>IF($BO366="","",IFERROR(VLOOKUP($BO366,'01_Warehouse_Ledger'!$A:$N,5,FALSE),""))</f>
      </c>
      <c r="BR366">
        <f>IF($BO366="","",IFERROR(VLOOKUP($BO366,'01_Warehouse_Ledger'!$A:$N,13,FALSE),""))</f>
      </c>
    </row>
    <row r="367">
      <c r="D367">
        <f>IF($B367&lt;&gt;"Yes","",IF($C367="No","Yes",IF($C367="Yes","No","")))</f>
      </c>
      <c r="E367">
        <f>IF($A367="","",IF($A367="Neuron",IF(OR(AND($S367&lt;&gt;"",LOWER(TRIM($S367))&lt;&gt;"n/a",COUNTIF($S$2:$S$532,$S367)&gt;1),AND($T367&lt;&gt;"",LOWER(TRIM($T367))&lt;&gt;"n/a",COUNTIF($T$2:$T$532,$T367)&gt;1),AND($W367&lt;&gt;"",LOWER(TRIM($W367))&lt;&gt;"n/a",COUNTIF($W$2:$W$532,$W367)&gt;1)),"Yes","No"),IF($A367="Cybernet",IF(OR(AND($Y367&lt;&gt;"",LOWER(TRIM($Y367))&lt;&gt;"n/a",COUNTIF($Y$2:$Y$532,$Y367)&gt;1),AND($Z367&lt;&gt;"",LOWER(TRIM($Z367))&lt;&gt;"n/a",COUNTIF($Z$2:$Z$532,$Z367)&gt;1)),"Yes","No"),IF(AND($AL367&lt;&gt;"",LOWER(TRIM($AL367))&lt;&gt;"n/a",COUNTIF($AL$2:$AL$532,$AL367)&gt;1),"Yes","No"))))</f>
      </c>
      <c r="F367">
        <f>IF($B367&lt;&gt;"Yes","",
IF($A367="Neuron",
IF(OR(
AND($S367&lt;&gt;"",LOWER(TRIM($S367))&lt;&gt;"n/a",COUNTIFS($B$2:$B$532,"Yes",$A$2:$A$532,"Neuron",$S$2:$S$532,$S367)&gt;1),
AND($T367&lt;&gt;"",LOWER(TRIM($T367))&lt;&gt;"n/a",COUNTIFS($B$2:$B$532,"Yes",$A$2:$A$532,"Neuron",$T$2:$T$532,$T367)&gt;1),
AND($W367&lt;&gt;"",LOWER(TRIM($W367))&lt;&gt;"n/a",COUNTIFS($B$2:$B$532,"Yes",$A$2:$A$532,"Neuron",$W$2:$W$532,$W367)&gt;1)
),"Yes","No"),
IF($A367="Cybernet",
IF(OR(
AND($Y367&lt;&gt;"",LOWER(TRIM($Y367))&lt;&gt;"n/a",COUNTIFS($B$2:$B$532,"Yes",$A$2:$A$532,"Cybernet",$Y$2:$Y$532,$Y367)&gt;1),
AND($Z367&lt;&gt;"",LOWER(TRIM($Z367))&lt;&gt;"n/a",COUNTIFS($B$2:$B$532,"Yes",$A$2:$A$532,"Cybernet",$Z$2:$Z$532,$Z367)&gt;1)
),"Yes","No"),
IF(AND($AL367&lt;&gt;"",LOWER(TRIM($AL367))&lt;&gt;"n/a"),
IF(COUNTIFS($B$2:$B$532,"Yes",$A$2:$A$532,$A367,$AL$2:$AL$532,$AL367)&gt;1,"Yes","No"),
"No")
)
)
)</f>
      </c>
      <c r="BL367">
        <f>IF($T367="","",IF((IF(AND($AW367&lt;&gt;"Yes",$AW367&lt;&gt;"N/A"),"Power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",""))="","",LEFT(IF(AND($AW367&lt;&gt;"Yes",$AW367&lt;&gt;"N/A"),"Power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",""),LEN(IF(AND($AW367&lt;&gt;"Yes",$AW367&lt;&gt;"N/A"),"Power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",""))-2)))</f>
      </c>
      <c r="BM367">
        <f>IF($T367="","",IF($BL367="","Yes","Blocked"))</f>
      </c>
      <c r="BP367">
        <f>IF($BO367="","",IFERROR(VLOOKUP($BO367,'01_Warehouse_Ledger'!$A:$N,4,FALSE),""))</f>
      </c>
      <c r="BQ367">
        <f>IF($BO367="","",IFERROR(VLOOKUP($BO367,'01_Warehouse_Ledger'!$A:$N,5,FALSE),""))</f>
      </c>
      <c r="BR367">
        <f>IF($BO367="","",IFERROR(VLOOKUP($BO367,'01_Warehouse_Ledger'!$A:$N,13,FALSE),""))</f>
      </c>
    </row>
    <row r="368">
      <c r="D368">
        <f>IF($B368&lt;&gt;"Yes","",IF($C368="No","Yes",IF($C368="Yes","No","")))</f>
      </c>
      <c r="E368">
        <f>IF($A368="","",IF($A368="Neuron",IF(OR(AND($S368&lt;&gt;"",LOWER(TRIM($S368))&lt;&gt;"n/a",COUNTIF($S$2:$S$532,$S368)&gt;1),AND($T368&lt;&gt;"",LOWER(TRIM($T368))&lt;&gt;"n/a",COUNTIF($T$2:$T$532,$T368)&gt;1),AND($W368&lt;&gt;"",LOWER(TRIM($W368))&lt;&gt;"n/a",COUNTIF($W$2:$W$532,$W368)&gt;1)),"Yes","No"),IF($A368="Cybernet",IF(OR(AND($Y368&lt;&gt;"",LOWER(TRIM($Y368))&lt;&gt;"n/a",COUNTIF($Y$2:$Y$532,$Y368)&gt;1),AND($Z368&lt;&gt;"",LOWER(TRIM($Z368))&lt;&gt;"n/a",COUNTIF($Z$2:$Z$532,$Z368)&gt;1)),"Yes","No"),IF(AND($AL368&lt;&gt;"",LOWER(TRIM($AL368))&lt;&gt;"n/a",COUNTIF($AL$2:$AL$532,$AL368)&gt;1),"Yes","No"))))</f>
      </c>
      <c r="F368">
        <f>IF($B368&lt;&gt;"Yes","",
IF($A368="Neuron",
IF(OR(
AND($S368&lt;&gt;"",LOWER(TRIM($S368))&lt;&gt;"n/a",COUNTIFS($B$2:$B$532,"Yes",$A$2:$A$532,"Neuron",$S$2:$S$532,$S368)&gt;1),
AND($T368&lt;&gt;"",LOWER(TRIM($T368))&lt;&gt;"n/a",COUNTIFS($B$2:$B$532,"Yes",$A$2:$A$532,"Neuron",$T$2:$T$532,$T368)&gt;1),
AND($W368&lt;&gt;"",LOWER(TRIM($W368))&lt;&gt;"n/a",COUNTIFS($B$2:$B$532,"Yes",$A$2:$A$532,"Neuron",$W$2:$W$532,$W368)&gt;1)
),"Yes","No"),
IF($A368="Cybernet",
IF(OR(
AND($Y368&lt;&gt;"",LOWER(TRIM($Y368))&lt;&gt;"n/a",COUNTIFS($B$2:$B$532,"Yes",$A$2:$A$532,"Cybernet",$Y$2:$Y$532,$Y368)&gt;1),
AND($Z368&lt;&gt;"",LOWER(TRIM($Z368))&lt;&gt;"n/a",COUNTIFS($B$2:$B$532,"Yes",$A$2:$A$532,"Cybernet",$Z$2:$Z$532,$Z368)&gt;1)
),"Yes","No"),
IF(AND($AL368&lt;&gt;"",LOWER(TRIM($AL368))&lt;&gt;"n/a"),
IF(COUNTIFS($B$2:$B$532,"Yes",$A$2:$A$532,$A368,$AL$2:$AL$532,$AL368)&gt;1,"Yes","No"),
"No")
)
)
)</f>
      </c>
      <c r="BL368">
        <f>IF($T368="","",IF((IF(AND($AW368&lt;&gt;"Yes",$AW368&lt;&gt;"N/A"),"Power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",""))="","",LEFT(IF(AND($AW368&lt;&gt;"Yes",$AW368&lt;&gt;"N/A"),"Power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",""),LEN(IF(AND($AW368&lt;&gt;"Yes",$AW368&lt;&gt;"N/A"),"Power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",""))-2)))</f>
      </c>
      <c r="BM368">
        <f>IF($T368="","",IF($BL368="","Yes","Blocked"))</f>
      </c>
      <c r="BP368">
        <f>IF($BO368="","",IFERROR(VLOOKUP($BO368,'01_Warehouse_Ledger'!$A:$N,4,FALSE),""))</f>
      </c>
      <c r="BQ368">
        <f>IF($BO368="","",IFERROR(VLOOKUP($BO368,'01_Warehouse_Ledger'!$A:$N,5,FALSE),""))</f>
      </c>
      <c r="BR368">
        <f>IF($BO368="","",IFERROR(VLOOKUP($BO368,'01_Warehouse_Ledger'!$A:$N,13,FALSE),""))</f>
      </c>
    </row>
    <row r="369">
      <c r="D369">
        <f>IF($B369&lt;&gt;"Yes","",IF($C369="No","Yes",IF($C369="Yes","No","")))</f>
      </c>
      <c r="E369">
        <f>IF($A369="","",IF($A369="Neuron",IF(OR(AND($S369&lt;&gt;"",LOWER(TRIM($S369))&lt;&gt;"n/a",COUNTIF($S$2:$S$532,$S369)&gt;1),AND($T369&lt;&gt;"",LOWER(TRIM($T369))&lt;&gt;"n/a",COUNTIF($T$2:$T$532,$T369)&gt;1),AND($W369&lt;&gt;"",LOWER(TRIM($W369))&lt;&gt;"n/a",COUNTIF($W$2:$W$532,$W369)&gt;1)),"Yes","No"),IF($A369="Cybernet",IF(OR(AND($Y369&lt;&gt;"",LOWER(TRIM($Y369))&lt;&gt;"n/a",COUNTIF($Y$2:$Y$532,$Y369)&gt;1),AND($Z369&lt;&gt;"",LOWER(TRIM($Z369))&lt;&gt;"n/a",COUNTIF($Z$2:$Z$532,$Z369)&gt;1)),"Yes","No"),IF(AND($AL369&lt;&gt;"",LOWER(TRIM($AL369))&lt;&gt;"n/a",COUNTIF($AL$2:$AL$532,$AL369)&gt;1),"Yes","No"))))</f>
      </c>
      <c r="F369">
        <f>IF($B369&lt;&gt;"Yes","",
IF($A369="Neuron",
IF(OR(
AND($S369&lt;&gt;"",LOWER(TRIM($S369))&lt;&gt;"n/a",COUNTIFS($B$2:$B$532,"Yes",$A$2:$A$532,"Neuron",$S$2:$S$532,$S369)&gt;1),
AND($T369&lt;&gt;"",LOWER(TRIM($T369))&lt;&gt;"n/a",COUNTIFS($B$2:$B$532,"Yes",$A$2:$A$532,"Neuron",$T$2:$T$532,$T369)&gt;1),
AND($W369&lt;&gt;"",LOWER(TRIM($W369))&lt;&gt;"n/a",COUNTIFS($B$2:$B$532,"Yes",$A$2:$A$532,"Neuron",$W$2:$W$532,$W369)&gt;1)
),"Yes","No"),
IF($A369="Cybernet",
IF(OR(
AND($Y369&lt;&gt;"",LOWER(TRIM($Y369))&lt;&gt;"n/a",COUNTIFS($B$2:$B$532,"Yes",$A$2:$A$532,"Cybernet",$Y$2:$Y$532,$Y369)&gt;1),
AND($Z369&lt;&gt;"",LOWER(TRIM($Z369))&lt;&gt;"n/a",COUNTIFS($B$2:$B$532,"Yes",$A$2:$A$532,"Cybernet",$Z$2:$Z$532,$Z369)&gt;1)
),"Yes","No"),
IF(AND($AL369&lt;&gt;"",LOWER(TRIM($AL369))&lt;&gt;"n/a"),
IF(COUNTIFS($B$2:$B$532,"Yes",$A$2:$A$532,$A369,$AL$2:$AL$532,$AL369)&gt;1,"Yes","No"),
"No")
)
)
)</f>
      </c>
      <c r="BL369">
        <f>IF($T369="","",IF((IF(AND($AW369&lt;&gt;"Yes",$AW369&lt;&gt;"N/A"),"Power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",""))="","",LEFT(IF(AND($AW369&lt;&gt;"Yes",$AW369&lt;&gt;"N/A"),"Power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",""),LEN(IF(AND($AW369&lt;&gt;"Yes",$AW369&lt;&gt;"N/A"),"Power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",""))-2)))</f>
      </c>
      <c r="BM369">
        <f>IF($T369="","",IF($BL369="","Yes","Blocked"))</f>
      </c>
      <c r="BP369">
        <f>IF($BO369="","",IFERROR(VLOOKUP($BO369,'01_Warehouse_Ledger'!$A:$N,4,FALSE),""))</f>
      </c>
      <c r="BQ369">
        <f>IF($BO369="","",IFERROR(VLOOKUP($BO369,'01_Warehouse_Ledger'!$A:$N,5,FALSE),""))</f>
      </c>
      <c r="BR369">
        <f>IF($BO369="","",IFERROR(VLOOKUP($BO369,'01_Warehouse_Ledger'!$A:$N,13,FALSE),""))</f>
      </c>
    </row>
    <row r="370">
      <c r="D370">
        <f>IF($B370&lt;&gt;"Yes","",IF($C370="No","Yes",IF($C370="Yes","No","")))</f>
      </c>
      <c r="E370">
        <f>IF($A370="","",IF($A370="Neuron",IF(OR(AND($S370&lt;&gt;"",LOWER(TRIM($S370))&lt;&gt;"n/a",COUNTIF($S$2:$S$532,$S370)&gt;1),AND($T370&lt;&gt;"",LOWER(TRIM($T370))&lt;&gt;"n/a",COUNTIF($T$2:$T$532,$T370)&gt;1),AND($W370&lt;&gt;"",LOWER(TRIM($W370))&lt;&gt;"n/a",COUNTIF($W$2:$W$532,$W370)&gt;1)),"Yes","No"),IF($A370="Cybernet",IF(OR(AND($Y370&lt;&gt;"",LOWER(TRIM($Y370))&lt;&gt;"n/a",COUNTIF($Y$2:$Y$532,$Y370)&gt;1),AND($Z370&lt;&gt;"",LOWER(TRIM($Z370))&lt;&gt;"n/a",COUNTIF($Z$2:$Z$532,$Z370)&gt;1)),"Yes","No"),IF(AND($AL370&lt;&gt;"",LOWER(TRIM($AL370))&lt;&gt;"n/a",COUNTIF($AL$2:$AL$532,$AL370)&gt;1),"Yes","No"))))</f>
      </c>
      <c r="F370">
        <f>IF($B370&lt;&gt;"Yes","",
IF($A370="Neuron",
IF(OR(
AND($S370&lt;&gt;"",LOWER(TRIM($S370))&lt;&gt;"n/a",COUNTIFS($B$2:$B$532,"Yes",$A$2:$A$532,"Neuron",$S$2:$S$532,$S370)&gt;1),
AND($T370&lt;&gt;"",LOWER(TRIM($T370))&lt;&gt;"n/a",COUNTIFS($B$2:$B$532,"Yes",$A$2:$A$532,"Neuron",$T$2:$T$532,$T370)&gt;1),
AND($W370&lt;&gt;"",LOWER(TRIM($W370))&lt;&gt;"n/a",COUNTIFS($B$2:$B$532,"Yes",$A$2:$A$532,"Neuron",$W$2:$W$532,$W370)&gt;1)
),"Yes","No"),
IF($A370="Cybernet",
IF(OR(
AND($Y370&lt;&gt;"",LOWER(TRIM($Y370))&lt;&gt;"n/a",COUNTIFS($B$2:$B$532,"Yes",$A$2:$A$532,"Cybernet",$Y$2:$Y$532,$Y370)&gt;1),
AND($Z370&lt;&gt;"",LOWER(TRIM($Z370))&lt;&gt;"n/a",COUNTIFS($B$2:$B$532,"Yes",$A$2:$A$532,"Cybernet",$Z$2:$Z$532,$Z370)&gt;1)
),"Yes","No"),
IF(AND($AL370&lt;&gt;"",LOWER(TRIM($AL370))&lt;&gt;"n/a"),
IF(COUNTIFS($B$2:$B$532,"Yes",$A$2:$A$532,$A370,$AL$2:$AL$532,$AL370)&gt;1,"Yes","No"),
"No")
)
)
)</f>
      </c>
      <c r="BL370">
        <f>IF($T370="","",IF((IF(AND($AW370&lt;&gt;"Yes",$AW370&lt;&gt;"N/A"),"Power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",""))="","",LEFT(IF(AND($AW370&lt;&gt;"Yes",$AW370&lt;&gt;"N/A"),"Power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",""),LEN(IF(AND($AW370&lt;&gt;"Yes",$AW370&lt;&gt;"N/A"),"Power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",""))-2)))</f>
      </c>
      <c r="BM370">
        <f>IF($T370="","",IF($BL370="","Yes","Blocked"))</f>
      </c>
      <c r="BP370">
        <f>IF($BO370="","",IFERROR(VLOOKUP($BO370,'01_Warehouse_Ledger'!$A:$N,4,FALSE),""))</f>
      </c>
      <c r="BQ370">
        <f>IF($BO370="","",IFERROR(VLOOKUP($BO370,'01_Warehouse_Ledger'!$A:$N,5,FALSE),""))</f>
      </c>
      <c r="BR370">
        <f>IF($BO370="","",IFERROR(VLOOKUP($BO370,'01_Warehouse_Ledger'!$A:$N,13,FALSE),""))</f>
      </c>
    </row>
    <row r="371">
      <c r="D371">
        <f>IF($B371&lt;&gt;"Yes","",IF($C371="No","Yes",IF($C371="Yes","No","")))</f>
      </c>
      <c r="E371">
        <f>IF($A371="","",IF($A371="Neuron",IF(OR(AND($S371&lt;&gt;"",LOWER(TRIM($S371))&lt;&gt;"n/a",COUNTIF($S$2:$S$532,$S371)&gt;1),AND($T371&lt;&gt;"",LOWER(TRIM($T371))&lt;&gt;"n/a",COUNTIF($T$2:$T$532,$T371)&gt;1),AND($W371&lt;&gt;"",LOWER(TRIM($W371))&lt;&gt;"n/a",COUNTIF($W$2:$W$532,$W371)&gt;1)),"Yes","No"),IF($A371="Cybernet",IF(OR(AND($Y371&lt;&gt;"",LOWER(TRIM($Y371))&lt;&gt;"n/a",COUNTIF($Y$2:$Y$532,$Y371)&gt;1),AND($Z371&lt;&gt;"",LOWER(TRIM($Z371))&lt;&gt;"n/a",COUNTIF($Z$2:$Z$532,$Z371)&gt;1)),"Yes","No"),IF(AND($AL371&lt;&gt;"",LOWER(TRIM($AL371))&lt;&gt;"n/a",COUNTIF($AL$2:$AL$532,$AL371)&gt;1),"Yes","No"))))</f>
      </c>
      <c r="F371">
        <f>IF($B371&lt;&gt;"Yes","",
IF($A371="Neuron",
IF(OR(
AND($S371&lt;&gt;"",LOWER(TRIM($S371))&lt;&gt;"n/a",COUNTIFS($B$2:$B$532,"Yes",$A$2:$A$532,"Neuron",$S$2:$S$532,$S371)&gt;1),
AND($T371&lt;&gt;"",LOWER(TRIM($T371))&lt;&gt;"n/a",COUNTIFS($B$2:$B$532,"Yes",$A$2:$A$532,"Neuron",$T$2:$T$532,$T371)&gt;1),
AND($W371&lt;&gt;"",LOWER(TRIM($W371))&lt;&gt;"n/a",COUNTIFS($B$2:$B$532,"Yes",$A$2:$A$532,"Neuron",$W$2:$W$532,$W371)&gt;1)
),"Yes","No"),
IF($A371="Cybernet",
IF(OR(
AND($Y371&lt;&gt;"",LOWER(TRIM($Y371))&lt;&gt;"n/a",COUNTIFS($B$2:$B$532,"Yes",$A$2:$A$532,"Cybernet",$Y$2:$Y$532,$Y371)&gt;1),
AND($Z371&lt;&gt;"",LOWER(TRIM($Z371))&lt;&gt;"n/a",COUNTIFS($B$2:$B$532,"Yes",$A$2:$A$532,"Cybernet",$Z$2:$Z$532,$Z371)&gt;1)
),"Yes","No"),
IF(AND($AL371&lt;&gt;"",LOWER(TRIM($AL371))&lt;&gt;"n/a"),
IF(COUNTIFS($B$2:$B$532,"Yes",$A$2:$A$532,$A371,$AL$2:$AL$532,$AL371)&gt;1,"Yes","No"),
"No")
)
)
)</f>
      </c>
      <c r="BL371">
        <f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</c>
      <c r="BM371">
        <f>IF($T371="","",IF($BL371="","Yes","Blocked"))</f>
      </c>
      <c r="BP371">
        <f>IF($BO371="","",IFERROR(VLOOKUP($BO371,'01_Warehouse_Ledger'!$A:$N,4,FALSE),""))</f>
      </c>
      <c r="BQ371">
        <f>IF($BO371="","",IFERROR(VLOOKUP($BO371,'01_Warehouse_Ledger'!$A:$N,5,FALSE),""))</f>
      </c>
      <c r="BR371">
        <f>IF($BO371="","",IFERROR(VLOOKUP($BO371,'01_Warehouse_Ledger'!$A:$N,13,FALSE),""))</f>
      </c>
    </row>
    <row r="372">
      <c r="D372">
        <f>IF($B372&lt;&gt;"Yes","",IF($C372="No","Yes",IF($C372="Yes","No","")))</f>
      </c>
      <c r="E372">
        <f>IF($A372="","",IF($A372="Neuron",IF(OR(AND($S372&lt;&gt;"",LOWER(TRIM($S372))&lt;&gt;"n/a",COUNTIF($S$2:$S$532,$S372)&gt;1),AND($T372&lt;&gt;"",LOWER(TRIM($T372))&lt;&gt;"n/a",COUNTIF($T$2:$T$532,$T372)&gt;1),AND($W372&lt;&gt;"",LOWER(TRIM($W372))&lt;&gt;"n/a",COUNTIF($W$2:$W$532,$W372)&gt;1)),"Yes","No"),IF($A372="Cybernet",IF(OR(AND($Y372&lt;&gt;"",LOWER(TRIM($Y372))&lt;&gt;"n/a",COUNTIF($Y$2:$Y$532,$Y372)&gt;1),AND($Z372&lt;&gt;"",LOWER(TRIM($Z372))&lt;&gt;"n/a",COUNTIF($Z$2:$Z$532,$Z372)&gt;1)),"Yes","No"),IF(AND($AL372&lt;&gt;"",LOWER(TRIM($AL372))&lt;&gt;"n/a",COUNTIF($AL$2:$AL$532,$AL372)&gt;1),"Yes","No"))))</f>
      </c>
      <c r="F372">
        <f>IF($B372&lt;&gt;"Yes","",
IF($A372="Neuron",
IF(OR(
AND($S372&lt;&gt;"",LOWER(TRIM($S372))&lt;&gt;"n/a",COUNTIFS($B$2:$B$532,"Yes",$A$2:$A$532,"Neuron",$S$2:$S$532,$S372)&gt;1),
AND($T372&lt;&gt;"",LOWER(TRIM($T372))&lt;&gt;"n/a",COUNTIFS($B$2:$B$532,"Yes",$A$2:$A$532,"Neuron",$T$2:$T$532,$T372)&gt;1),
AND($W372&lt;&gt;"",LOWER(TRIM($W372))&lt;&gt;"n/a",COUNTIFS($B$2:$B$532,"Yes",$A$2:$A$532,"Neuron",$W$2:$W$532,$W372)&gt;1)
),"Yes","No"),
IF($A372="Cybernet",
IF(OR(
AND($Y372&lt;&gt;"",LOWER(TRIM($Y372))&lt;&gt;"n/a",COUNTIFS($B$2:$B$532,"Yes",$A$2:$A$532,"Cybernet",$Y$2:$Y$532,$Y372)&gt;1),
AND($Z372&lt;&gt;"",LOWER(TRIM($Z372))&lt;&gt;"n/a",COUNTIFS($B$2:$B$532,"Yes",$A$2:$A$532,"Cybernet",$Z$2:$Z$532,$Z372)&gt;1)
),"Yes","No"),
IF(AND($AL372&lt;&gt;"",LOWER(TRIM($AL372))&lt;&gt;"n/a"),
IF(COUNTIFS($B$2:$B$532,"Yes",$A$2:$A$532,$A372,$AL$2:$AL$532,$AL372)&gt;1,"Yes","No"),
"No")
)
)
)</f>
      </c>
      <c r="BL372">
        <f>IF($T372="","",IF((IF(AND($AW372&lt;&gt;"Yes",$AW372&lt;&gt;"N/A"),"Power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",""))="","",LEFT(IF(AND($AW372&lt;&gt;"Yes",$AW372&lt;&gt;"N/A"),"Power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",""),LEN(IF(AND($AW372&lt;&gt;"Yes",$AW372&lt;&gt;"N/A"),"Power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",""))-2)))</f>
      </c>
      <c r="BM372">
        <f>IF($T372="","",IF($BL372="","Yes","Blocked"))</f>
      </c>
      <c r="BP372">
        <f>IF($BO372="","",IFERROR(VLOOKUP($BO372,'01_Warehouse_Ledger'!$A:$N,4,FALSE),""))</f>
      </c>
      <c r="BQ372">
        <f>IF($BO372="","",IFERROR(VLOOKUP($BO372,'01_Warehouse_Ledger'!$A:$N,5,FALSE),""))</f>
      </c>
      <c r="BR372">
        <f>IF($BO372="","",IFERROR(VLOOKUP($BO372,'01_Warehouse_Ledger'!$A:$N,13,FALSE),""))</f>
      </c>
    </row>
    <row r="373">
      <c r="D373">
        <f>IF($B373&lt;&gt;"Yes","",IF($C373="No","Yes",IF($C373="Yes","No","")))</f>
      </c>
      <c r="E373">
        <f>IF($A373="","",IF($A373="Neuron",IF(OR(AND($S373&lt;&gt;"",LOWER(TRIM($S373))&lt;&gt;"n/a",COUNTIF($S$2:$S$532,$S373)&gt;1),AND($T373&lt;&gt;"",LOWER(TRIM($T373))&lt;&gt;"n/a",COUNTIF($T$2:$T$532,$T373)&gt;1),AND($W373&lt;&gt;"",LOWER(TRIM($W373))&lt;&gt;"n/a",COUNTIF($W$2:$W$532,$W373)&gt;1)),"Yes","No"),IF($A373="Cybernet",IF(OR(AND($Y373&lt;&gt;"",LOWER(TRIM($Y373))&lt;&gt;"n/a",COUNTIF($Y$2:$Y$532,$Y373)&gt;1),AND($Z373&lt;&gt;"",LOWER(TRIM($Z373))&lt;&gt;"n/a",COUNTIF($Z$2:$Z$532,$Z373)&gt;1)),"Yes","No"),IF(AND($AL373&lt;&gt;"",LOWER(TRIM($AL373))&lt;&gt;"n/a",COUNTIF($AL$2:$AL$532,$AL373)&gt;1),"Yes","No"))))</f>
      </c>
      <c r="F373">
        <f>IF($B373&lt;&gt;"Yes","",
IF($A373="Neuron",
IF(OR(
AND($S373&lt;&gt;"",LOWER(TRIM($S373))&lt;&gt;"n/a",COUNTIFS($B$2:$B$532,"Yes",$A$2:$A$532,"Neuron",$S$2:$S$532,$S373)&gt;1),
AND($T373&lt;&gt;"",LOWER(TRIM($T373))&lt;&gt;"n/a",COUNTIFS($B$2:$B$532,"Yes",$A$2:$A$532,"Neuron",$T$2:$T$532,$T373)&gt;1),
AND($W373&lt;&gt;"",LOWER(TRIM($W373))&lt;&gt;"n/a",COUNTIFS($B$2:$B$532,"Yes",$A$2:$A$532,"Neuron",$W$2:$W$532,$W373)&gt;1)
),"Yes","No"),
IF($A373="Cybernet",
IF(OR(
AND($Y373&lt;&gt;"",LOWER(TRIM($Y373))&lt;&gt;"n/a",COUNTIFS($B$2:$B$532,"Yes",$A$2:$A$532,"Cybernet",$Y$2:$Y$532,$Y373)&gt;1),
AND($Z373&lt;&gt;"",LOWER(TRIM($Z373))&lt;&gt;"n/a",COUNTIFS($B$2:$B$532,"Yes",$A$2:$A$532,"Cybernet",$Z$2:$Z$532,$Z373)&gt;1)
),"Yes","No"),
IF(AND($AL373&lt;&gt;"",LOWER(TRIM($AL373))&lt;&gt;"n/a"),
IF(COUNTIFS($B$2:$B$532,"Yes",$A$2:$A$532,$A373,$AL$2:$AL$532,$AL373)&gt;1,"Yes","No"),
"No")
)
)
)</f>
      </c>
      <c r="BL373">
        <f>IF($T373="","",IF((IF(AND($AW373&lt;&gt;"Yes",$AW373&lt;&gt;"N/A"),"Power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",""))="","",LEFT(IF(AND($AW373&lt;&gt;"Yes",$AW373&lt;&gt;"N/A"),"Power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",""),LEN(IF(AND($AW373&lt;&gt;"Yes",$AW373&lt;&gt;"N/A"),"Power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",""))-2)))</f>
      </c>
      <c r="BM373">
        <f>IF($T373="","",IF($BL373="","Yes","Blocked"))</f>
      </c>
      <c r="BP373">
        <f>IF($BO373="","",IFERROR(VLOOKUP($BO373,'01_Warehouse_Ledger'!$A:$N,4,FALSE),""))</f>
      </c>
      <c r="BQ373">
        <f>IF($BO373="","",IFERROR(VLOOKUP($BO373,'01_Warehouse_Ledger'!$A:$N,5,FALSE),""))</f>
      </c>
      <c r="BR373">
        <f>IF($BO373="","",IFERROR(VLOOKUP($BO373,'01_Warehouse_Ledger'!$A:$N,13,FALSE),""))</f>
      </c>
    </row>
    <row r="374">
      <c r="D374">
        <f>IF($B374&lt;&gt;"Yes","",IF($C374="No","Yes",IF($C374="Yes","No","")))</f>
      </c>
      <c r="E374">
        <f>IF($A374="","",IF($A374="Neuron",IF(OR(AND($S374&lt;&gt;"",LOWER(TRIM($S374))&lt;&gt;"n/a",COUNTIF($S$2:$S$532,$S374)&gt;1),AND($T374&lt;&gt;"",LOWER(TRIM($T374))&lt;&gt;"n/a",COUNTIF($T$2:$T$532,$T374)&gt;1),AND($W374&lt;&gt;"",LOWER(TRIM($W374))&lt;&gt;"n/a",COUNTIF($W$2:$W$532,$W374)&gt;1)),"Yes","No"),IF($A374="Cybernet",IF(OR(AND($Y374&lt;&gt;"",LOWER(TRIM($Y374))&lt;&gt;"n/a",COUNTIF($Y$2:$Y$532,$Y374)&gt;1),AND($Z374&lt;&gt;"",LOWER(TRIM($Z374))&lt;&gt;"n/a",COUNTIF($Z$2:$Z$532,$Z374)&gt;1)),"Yes","No"),IF(AND($AL374&lt;&gt;"",LOWER(TRIM($AL374))&lt;&gt;"n/a",COUNTIF($AL$2:$AL$532,$AL374)&gt;1),"Yes","No"))))</f>
      </c>
      <c r="F374">
        <f>IF($B374&lt;&gt;"Yes","",
IF($A374="Neuron",
IF(OR(
AND($S374&lt;&gt;"",LOWER(TRIM($S374))&lt;&gt;"n/a",COUNTIFS($B$2:$B$532,"Yes",$A$2:$A$532,"Neuron",$S$2:$S$532,$S374)&gt;1),
AND($T374&lt;&gt;"",LOWER(TRIM($T374))&lt;&gt;"n/a",COUNTIFS($B$2:$B$532,"Yes",$A$2:$A$532,"Neuron",$T$2:$T$532,$T374)&gt;1),
AND($W374&lt;&gt;"",LOWER(TRIM($W374))&lt;&gt;"n/a",COUNTIFS($B$2:$B$532,"Yes",$A$2:$A$532,"Neuron",$W$2:$W$532,$W374)&gt;1)
),"Yes","No"),
IF($A374="Cybernet",
IF(OR(
AND($Y374&lt;&gt;"",LOWER(TRIM($Y374))&lt;&gt;"n/a",COUNTIFS($B$2:$B$532,"Yes",$A$2:$A$532,"Cybernet",$Y$2:$Y$532,$Y374)&gt;1),
AND($Z374&lt;&gt;"",LOWER(TRIM($Z374))&lt;&gt;"n/a",COUNTIFS($B$2:$B$532,"Yes",$A$2:$A$532,"Cybernet",$Z$2:$Z$532,$Z374)&gt;1)
),"Yes","No"),
IF(AND($AL374&lt;&gt;"",LOWER(TRIM($AL374))&lt;&gt;"n/a"),
IF(COUNTIFS($B$2:$B$532,"Yes",$A$2:$A$532,$A374,$AL$2:$AL$532,$AL374)&gt;1,"Yes","No"),
"No")
)
)
)</f>
      </c>
      <c r="BL374">
        <f>IF($T374="","",IF((IF(AND($AW374&lt;&gt;"Yes",$AW374&lt;&gt;"N/A"),"Power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",""))="","",LEFT(IF(AND($AW374&lt;&gt;"Yes",$AW374&lt;&gt;"N/A"),"Power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",""),LEN(IF(AND($AW374&lt;&gt;"Yes",$AW374&lt;&gt;"N/A"),"Power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",""))-2)))</f>
      </c>
      <c r="BM374">
        <f>IF($T374="","",IF($BL374="","Yes","Blocked"))</f>
      </c>
      <c r="BP374">
        <f>IF($BO374="","",IFERROR(VLOOKUP($BO374,'01_Warehouse_Ledger'!$A:$N,4,FALSE),""))</f>
      </c>
      <c r="BQ374">
        <f>IF($BO374="","",IFERROR(VLOOKUP($BO374,'01_Warehouse_Ledger'!$A:$N,5,FALSE),""))</f>
      </c>
      <c r="BR374">
        <f>IF($BO374="","",IFERROR(VLOOKUP($BO374,'01_Warehouse_Ledger'!$A:$N,13,FALSE),""))</f>
      </c>
    </row>
    <row r="375">
      <c r="D375">
        <f>IF($B375&lt;&gt;"Yes","",IF($C375="No","Yes",IF($C375="Yes","No","")))</f>
      </c>
      <c r="E375">
        <f>IF($A375="","",IF($A375="Neuron",IF(OR(AND($S375&lt;&gt;"",LOWER(TRIM($S375))&lt;&gt;"n/a",COUNTIF($S$2:$S$532,$S375)&gt;1),AND($T375&lt;&gt;"",LOWER(TRIM($T375))&lt;&gt;"n/a",COUNTIF($T$2:$T$532,$T375)&gt;1),AND($W375&lt;&gt;"",LOWER(TRIM($W375))&lt;&gt;"n/a",COUNTIF($W$2:$W$532,$W375)&gt;1)),"Yes","No"),IF($A375="Cybernet",IF(OR(AND($Y375&lt;&gt;"",LOWER(TRIM($Y375))&lt;&gt;"n/a",COUNTIF($Y$2:$Y$532,$Y375)&gt;1),AND($Z375&lt;&gt;"",LOWER(TRIM($Z375))&lt;&gt;"n/a",COUNTIF($Z$2:$Z$532,$Z375)&gt;1)),"Yes","No"),IF(AND($AL375&lt;&gt;"",LOWER(TRIM($AL375))&lt;&gt;"n/a",COUNTIF($AL$2:$AL$532,$AL375)&gt;1),"Yes","No"))))</f>
      </c>
      <c r="F375">
        <f>IF($B375&lt;&gt;"Yes","",
IF($A375="Neuron",
IF(OR(
AND($S375&lt;&gt;"",LOWER(TRIM($S375))&lt;&gt;"n/a",COUNTIFS($B$2:$B$532,"Yes",$A$2:$A$532,"Neuron",$S$2:$S$532,$S375)&gt;1),
AND($T375&lt;&gt;"",LOWER(TRIM($T375))&lt;&gt;"n/a",COUNTIFS($B$2:$B$532,"Yes",$A$2:$A$532,"Neuron",$T$2:$T$532,$T375)&gt;1),
AND($W375&lt;&gt;"",LOWER(TRIM($W375))&lt;&gt;"n/a",COUNTIFS($B$2:$B$532,"Yes",$A$2:$A$532,"Neuron",$W$2:$W$532,$W375)&gt;1)
),"Yes","No"),
IF($A375="Cybernet",
IF(OR(
AND($Y375&lt;&gt;"",LOWER(TRIM($Y375))&lt;&gt;"n/a",COUNTIFS($B$2:$B$532,"Yes",$A$2:$A$532,"Cybernet",$Y$2:$Y$532,$Y375)&gt;1),
AND($Z375&lt;&gt;"",LOWER(TRIM($Z375))&lt;&gt;"n/a",COUNTIFS($B$2:$B$532,"Yes",$A$2:$A$532,"Cybernet",$Z$2:$Z$532,$Z375)&gt;1)
),"Yes","No"),
IF(AND($AL375&lt;&gt;"",LOWER(TRIM($AL375))&lt;&gt;"n/a"),
IF(COUNTIFS($B$2:$B$532,"Yes",$A$2:$A$532,$A375,$AL$2:$AL$532,$AL375)&gt;1,"Yes","No"),
"No")
)
)
)</f>
      </c>
      <c r="BL375">
        <f>IF($T375="","",IF((IF(AND($AW375&lt;&gt;"Yes",$AW375&lt;&gt;"N/A"),"Power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",""))="","",LEFT(IF(AND($AW375&lt;&gt;"Yes",$AW375&lt;&gt;"N/A"),"Power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",""),LEN(IF(AND($AW375&lt;&gt;"Yes",$AW375&lt;&gt;"N/A"),"Power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",""))-2)))</f>
      </c>
      <c r="BM375">
        <f>IF($T375="","",IF($BL375="","Yes","Blocked"))</f>
      </c>
      <c r="BP375">
        <f>IF($BO375="","",IFERROR(VLOOKUP($BO375,'01_Warehouse_Ledger'!$A:$N,4,FALSE),""))</f>
      </c>
      <c r="BQ375">
        <f>IF($BO375="","",IFERROR(VLOOKUP($BO375,'01_Warehouse_Ledger'!$A:$N,5,FALSE),""))</f>
      </c>
      <c r="BR375">
        <f>IF($BO375="","",IFERROR(VLOOKUP($BO375,'01_Warehouse_Ledger'!$A:$N,13,FALSE),""))</f>
      </c>
    </row>
    <row r="376">
      <c r="D376">
        <f>IF($B376&lt;&gt;"Yes","",IF($C376="No","Yes",IF($C376="Yes","No","")))</f>
      </c>
      <c r="E376">
        <f>IF($A376="","",IF($A376="Neuron",IF(OR(AND($S376&lt;&gt;"",LOWER(TRIM($S376))&lt;&gt;"n/a",COUNTIF($S$2:$S$532,$S376)&gt;1),AND($T376&lt;&gt;"",LOWER(TRIM($T376))&lt;&gt;"n/a",COUNTIF($T$2:$T$532,$T376)&gt;1),AND($W376&lt;&gt;"",LOWER(TRIM($W376))&lt;&gt;"n/a",COUNTIF($W$2:$W$532,$W376)&gt;1)),"Yes","No"),IF($A376="Cybernet",IF(OR(AND($Y376&lt;&gt;"",LOWER(TRIM($Y376))&lt;&gt;"n/a",COUNTIF($Y$2:$Y$532,$Y376)&gt;1),AND($Z376&lt;&gt;"",LOWER(TRIM($Z376))&lt;&gt;"n/a",COUNTIF($Z$2:$Z$532,$Z376)&gt;1)),"Yes","No"),IF(AND($AL376&lt;&gt;"",LOWER(TRIM($AL376))&lt;&gt;"n/a",COUNTIF($AL$2:$AL$532,$AL376)&gt;1),"Yes","No"))))</f>
      </c>
      <c r="F376">
        <f>IF($B376&lt;&gt;"Yes","",
IF($A376="Neuron",
IF(OR(
AND($S376&lt;&gt;"",LOWER(TRIM($S376))&lt;&gt;"n/a",COUNTIFS($B$2:$B$532,"Yes",$A$2:$A$532,"Neuron",$S$2:$S$532,$S376)&gt;1),
AND($T376&lt;&gt;"",LOWER(TRIM($T376))&lt;&gt;"n/a",COUNTIFS($B$2:$B$532,"Yes",$A$2:$A$532,"Neuron",$T$2:$T$532,$T376)&gt;1),
AND($W376&lt;&gt;"",LOWER(TRIM($W376))&lt;&gt;"n/a",COUNTIFS($B$2:$B$532,"Yes",$A$2:$A$532,"Neuron",$W$2:$W$532,$W376)&gt;1)
),"Yes","No"),
IF($A376="Cybernet",
IF(OR(
AND($Y376&lt;&gt;"",LOWER(TRIM($Y376))&lt;&gt;"n/a",COUNTIFS($B$2:$B$532,"Yes",$A$2:$A$532,"Cybernet",$Y$2:$Y$532,$Y376)&gt;1),
AND($Z376&lt;&gt;"",LOWER(TRIM($Z376))&lt;&gt;"n/a",COUNTIFS($B$2:$B$532,"Yes",$A$2:$A$532,"Cybernet",$Z$2:$Z$532,$Z376)&gt;1)
),"Yes","No"),
IF(AND($AL376&lt;&gt;"",LOWER(TRIM($AL376))&lt;&gt;"n/a"),
IF(COUNTIFS($B$2:$B$532,"Yes",$A$2:$A$532,$A376,$AL$2:$AL$532,$AL376)&gt;1,"Yes","No"),
"No")
)
)
)</f>
      </c>
      <c r="BL376">
        <f>IF($T376="","",IF((IF(AND($AW376&lt;&gt;"Yes",$AW376&lt;&gt;"N/A"),"Power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",""))="","",LEFT(IF(AND($AW376&lt;&gt;"Yes",$AW376&lt;&gt;"N/A"),"Power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",""),LEN(IF(AND($AW376&lt;&gt;"Yes",$AW376&lt;&gt;"N/A"),"Power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",""))-2)))</f>
      </c>
      <c r="BM376">
        <f>IF($T376="","",IF($BL376="","Yes","Blocked"))</f>
      </c>
      <c r="BP376">
        <f>IF($BO376="","",IFERROR(VLOOKUP($BO376,'01_Warehouse_Ledger'!$A:$N,4,FALSE),""))</f>
      </c>
      <c r="BQ376">
        <f>IF($BO376="","",IFERROR(VLOOKUP($BO376,'01_Warehouse_Ledger'!$A:$N,5,FALSE),""))</f>
      </c>
      <c r="BR376">
        <f>IF($BO376="","",IFERROR(VLOOKUP($BO376,'01_Warehouse_Ledger'!$A:$N,13,FALSE),""))</f>
      </c>
    </row>
    <row r="377">
      <c r="D377">
        <f>IF($B377&lt;&gt;"Yes","",IF($C377="No","Yes",IF($C377="Yes","No","")))</f>
      </c>
      <c r="E377">
        <f>IF($A377="","",IF($A377="Neuron",IF(OR(AND($S377&lt;&gt;"",LOWER(TRIM($S377))&lt;&gt;"n/a",COUNTIF($S$2:$S$532,$S377)&gt;1),AND($T377&lt;&gt;"",LOWER(TRIM($T377))&lt;&gt;"n/a",COUNTIF($T$2:$T$532,$T377)&gt;1),AND($W377&lt;&gt;"",LOWER(TRIM($W377))&lt;&gt;"n/a",COUNTIF($W$2:$W$532,$W377)&gt;1)),"Yes","No"),IF($A377="Cybernet",IF(OR(AND($Y377&lt;&gt;"",LOWER(TRIM($Y377))&lt;&gt;"n/a",COUNTIF($Y$2:$Y$532,$Y377)&gt;1),AND($Z377&lt;&gt;"",LOWER(TRIM($Z377))&lt;&gt;"n/a",COUNTIF($Z$2:$Z$532,$Z377)&gt;1)),"Yes","No"),IF(AND($AL377&lt;&gt;"",LOWER(TRIM($AL377))&lt;&gt;"n/a",COUNTIF($AL$2:$AL$532,$AL377)&gt;1),"Yes","No"))))</f>
      </c>
      <c r="F377">
        <f>IF($B377&lt;&gt;"Yes","",
IF($A377="Neuron",
IF(OR(
AND($S377&lt;&gt;"",LOWER(TRIM($S377))&lt;&gt;"n/a",COUNTIFS($B$2:$B$532,"Yes",$A$2:$A$532,"Neuron",$S$2:$S$532,$S377)&gt;1),
AND($T377&lt;&gt;"",LOWER(TRIM($T377))&lt;&gt;"n/a",COUNTIFS($B$2:$B$532,"Yes",$A$2:$A$532,"Neuron",$T$2:$T$532,$T377)&gt;1),
AND($W377&lt;&gt;"",LOWER(TRIM($W377))&lt;&gt;"n/a",COUNTIFS($B$2:$B$532,"Yes",$A$2:$A$532,"Neuron",$W$2:$W$532,$W377)&gt;1)
),"Yes","No"),
IF($A377="Cybernet",
IF(OR(
AND($Y377&lt;&gt;"",LOWER(TRIM($Y377))&lt;&gt;"n/a",COUNTIFS($B$2:$B$532,"Yes",$A$2:$A$532,"Cybernet",$Y$2:$Y$532,$Y377)&gt;1),
AND($Z377&lt;&gt;"",LOWER(TRIM($Z377))&lt;&gt;"n/a",COUNTIFS($B$2:$B$532,"Yes",$A$2:$A$532,"Cybernet",$Z$2:$Z$532,$Z377)&gt;1)
),"Yes","No"),
IF(AND($AL377&lt;&gt;"",LOWER(TRIM($AL377))&lt;&gt;"n/a"),
IF(COUNTIFS($B$2:$B$532,"Yes",$A$2:$A$532,$A377,$AL$2:$AL$532,$AL377)&gt;1,"Yes","No"),
"No")
)
)
)</f>
      </c>
      <c r="BL377">
        <f>IF($T377="","",IF((IF(AND($AW377&lt;&gt;"Yes",$AW377&lt;&gt;"N/A"),"Power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",""))="","",LEFT(IF(AND($AW377&lt;&gt;"Yes",$AW377&lt;&gt;"N/A"),"Power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",""),LEN(IF(AND($AW377&lt;&gt;"Yes",$AW377&lt;&gt;"N/A"),"Power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",""))-2)))</f>
      </c>
      <c r="BM377">
        <f>IF($T377="","",IF($BL377="","Yes","Blocked"))</f>
      </c>
      <c r="BP377">
        <f>IF($BO377="","",IFERROR(VLOOKUP($BO377,'01_Warehouse_Ledger'!$A:$N,4,FALSE),""))</f>
      </c>
      <c r="BQ377">
        <f>IF($BO377="","",IFERROR(VLOOKUP($BO377,'01_Warehouse_Ledger'!$A:$N,5,FALSE),""))</f>
      </c>
      <c r="BR377">
        <f>IF($BO377="","",IFERROR(VLOOKUP($BO377,'01_Warehouse_Ledger'!$A:$N,13,FALSE),""))</f>
      </c>
    </row>
    <row r="378">
      <c r="D378">
        <f>IF($B378&lt;&gt;"Yes","",IF($C378="No","Yes",IF($C378="Yes","No","")))</f>
      </c>
      <c r="E378">
        <f>IF($A378="","",IF($A378="Neuron",IF(OR(AND($S378&lt;&gt;"",LOWER(TRIM($S378))&lt;&gt;"n/a",COUNTIF($S$2:$S$532,$S378)&gt;1),AND($T378&lt;&gt;"",LOWER(TRIM($T378))&lt;&gt;"n/a",COUNTIF($T$2:$T$532,$T378)&gt;1),AND($W378&lt;&gt;"",LOWER(TRIM($W378))&lt;&gt;"n/a",COUNTIF($W$2:$W$532,$W378)&gt;1)),"Yes","No"),IF($A378="Cybernet",IF(OR(AND($Y378&lt;&gt;"",LOWER(TRIM($Y378))&lt;&gt;"n/a",COUNTIF($Y$2:$Y$532,$Y378)&gt;1),AND($Z378&lt;&gt;"",LOWER(TRIM($Z378))&lt;&gt;"n/a",COUNTIF($Z$2:$Z$532,$Z378)&gt;1)),"Yes","No"),IF(AND($AL378&lt;&gt;"",LOWER(TRIM($AL378))&lt;&gt;"n/a",COUNTIF($AL$2:$AL$532,$AL378)&gt;1),"Yes","No"))))</f>
      </c>
      <c r="F378">
        <f>IF($B378&lt;&gt;"Yes","",
IF($A378="Neuron",
IF(OR(
AND($S378&lt;&gt;"",LOWER(TRIM($S378))&lt;&gt;"n/a",COUNTIFS($B$2:$B$532,"Yes",$A$2:$A$532,"Neuron",$S$2:$S$532,$S378)&gt;1),
AND($T378&lt;&gt;"",LOWER(TRIM($T378))&lt;&gt;"n/a",COUNTIFS($B$2:$B$532,"Yes",$A$2:$A$532,"Neuron",$T$2:$T$532,$T378)&gt;1),
AND($W378&lt;&gt;"",LOWER(TRIM($W378))&lt;&gt;"n/a",COUNTIFS($B$2:$B$532,"Yes",$A$2:$A$532,"Neuron",$W$2:$W$532,$W378)&gt;1)
),"Yes","No"),
IF($A378="Cybernet",
IF(OR(
AND($Y378&lt;&gt;"",LOWER(TRIM($Y378))&lt;&gt;"n/a",COUNTIFS($B$2:$B$532,"Yes",$A$2:$A$532,"Cybernet",$Y$2:$Y$532,$Y378)&gt;1),
AND($Z378&lt;&gt;"",LOWER(TRIM($Z378))&lt;&gt;"n/a",COUNTIFS($B$2:$B$532,"Yes",$A$2:$A$532,"Cybernet",$Z$2:$Z$532,$Z378)&gt;1)
),"Yes","No"),
IF(AND($AL378&lt;&gt;"",LOWER(TRIM($AL378))&lt;&gt;"n/a"),
IF(COUNTIFS($B$2:$B$532,"Yes",$A$2:$A$532,$A378,$AL$2:$AL$532,$AL378)&gt;1,"Yes","No"),
"No")
)
)
)</f>
      </c>
      <c r="BL378">
        <f>IF($T378="","",IF((IF(AND($AW378&lt;&gt;"Yes",$AW378&lt;&gt;"N/A"),"Power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",""))="","",LEFT(IF(AND($AW378&lt;&gt;"Yes",$AW378&lt;&gt;"N/A"),"Power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",""),LEN(IF(AND($AW378&lt;&gt;"Yes",$AW378&lt;&gt;"N/A"),"Power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",""))-2)))</f>
      </c>
      <c r="BM378">
        <f>IF($T378="","",IF($BL378="","Yes","Blocked"))</f>
      </c>
      <c r="BP378">
        <f>IF($BO378="","",IFERROR(VLOOKUP($BO378,'01_Warehouse_Ledger'!$A:$N,4,FALSE),""))</f>
      </c>
      <c r="BQ378">
        <f>IF($BO378="","",IFERROR(VLOOKUP($BO378,'01_Warehouse_Ledger'!$A:$N,5,FALSE),""))</f>
      </c>
      <c r="BR378">
        <f>IF($BO378="","",IFERROR(VLOOKUP($BO378,'01_Warehouse_Ledger'!$A:$N,13,FALSE),""))</f>
      </c>
    </row>
    <row r="379">
      <c r="D379">
        <f>IF($B379&lt;&gt;"Yes","",IF($C379="No","Yes",IF($C379="Yes","No","")))</f>
      </c>
      <c r="E379">
        <f>IF($A379="","",IF($A379="Neuron",IF(OR(AND($S379&lt;&gt;"",LOWER(TRIM($S379))&lt;&gt;"n/a",COUNTIF($S$2:$S$532,$S379)&gt;1),AND($T379&lt;&gt;"",LOWER(TRIM($T379))&lt;&gt;"n/a",COUNTIF($T$2:$T$532,$T379)&gt;1),AND($W379&lt;&gt;"",LOWER(TRIM($W379))&lt;&gt;"n/a",COUNTIF($W$2:$W$532,$W379)&gt;1)),"Yes","No"),IF($A379="Cybernet",IF(OR(AND($Y379&lt;&gt;"",LOWER(TRIM($Y379))&lt;&gt;"n/a",COUNTIF($Y$2:$Y$532,$Y379)&gt;1),AND($Z379&lt;&gt;"",LOWER(TRIM($Z379))&lt;&gt;"n/a",COUNTIF($Z$2:$Z$532,$Z379)&gt;1)),"Yes","No"),IF(AND($AL379&lt;&gt;"",LOWER(TRIM($AL379))&lt;&gt;"n/a",COUNTIF($AL$2:$AL$532,$AL379)&gt;1),"Yes","No"))))</f>
      </c>
      <c r="F379">
        <f>IF($B379&lt;&gt;"Yes","",
IF($A379="Neuron",
IF(OR(
AND($S379&lt;&gt;"",LOWER(TRIM($S379))&lt;&gt;"n/a",COUNTIFS($B$2:$B$532,"Yes",$A$2:$A$532,"Neuron",$S$2:$S$532,$S379)&gt;1),
AND($T379&lt;&gt;"",LOWER(TRIM($T379))&lt;&gt;"n/a",COUNTIFS($B$2:$B$532,"Yes",$A$2:$A$532,"Neuron",$T$2:$T$532,$T379)&gt;1),
AND($W379&lt;&gt;"",LOWER(TRIM($W379))&lt;&gt;"n/a",COUNTIFS($B$2:$B$532,"Yes",$A$2:$A$532,"Neuron",$W$2:$W$532,$W379)&gt;1)
),"Yes","No"),
IF($A379="Cybernet",
IF(OR(
AND($Y379&lt;&gt;"",LOWER(TRIM($Y379))&lt;&gt;"n/a",COUNTIFS($B$2:$B$532,"Yes",$A$2:$A$532,"Cybernet",$Y$2:$Y$532,$Y379)&gt;1),
AND($Z379&lt;&gt;"",LOWER(TRIM($Z379))&lt;&gt;"n/a",COUNTIFS($B$2:$B$532,"Yes",$A$2:$A$532,"Cybernet",$Z$2:$Z$532,$Z379)&gt;1)
),"Yes","No"),
IF(AND($AL379&lt;&gt;"",LOWER(TRIM($AL379))&lt;&gt;"n/a"),
IF(COUNTIFS($B$2:$B$532,"Yes",$A$2:$A$532,$A379,$AL$2:$AL$532,$AL379)&gt;1,"Yes","No"),
"No")
)
)
)</f>
      </c>
      <c r="BL379">
        <f>IF($T379="","",IF((IF(AND($AW379&lt;&gt;"Yes",$AW379&lt;&gt;"N/A"),"Power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",""))="","",LEFT(IF(AND($AW379&lt;&gt;"Yes",$AW379&lt;&gt;"N/A"),"Power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",""),LEN(IF(AND($AW379&lt;&gt;"Yes",$AW379&lt;&gt;"N/A"),"Power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",""))-2)))</f>
      </c>
      <c r="BM379">
        <f>IF($T379="","",IF($BL379="","Yes","Blocked"))</f>
      </c>
      <c r="BP379">
        <f>IF($BO379="","",IFERROR(VLOOKUP($BO379,'01_Warehouse_Ledger'!$A:$N,4,FALSE),""))</f>
      </c>
      <c r="BQ379">
        <f>IF($BO379="","",IFERROR(VLOOKUP($BO379,'01_Warehouse_Ledger'!$A:$N,5,FALSE),""))</f>
      </c>
      <c r="BR379">
        <f>IF($BO379="","",IFERROR(VLOOKUP($BO379,'01_Warehouse_Ledger'!$A:$N,13,FALSE),""))</f>
      </c>
    </row>
    <row r="380">
      <c r="D380">
        <f>IF($B380&lt;&gt;"Yes","",IF($C380="No","Yes",IF($C380="Yes","No","")))</f>
      </c>
      <c r="E380">
        <f>IF($A380="","",IF($A380="Neuron",IF(OR(AND($S380&lt;&gt;"",LOWER(TRIM($S380))&lt;&gt;"n/a",COUNTIF($S$2:$S$532,$S380)&gt;1),AND($T380&lt;&gt;"",LOWER(TRIM($T380))&lt;&gt;"n/a",COUNTIF($T$2:$T$532,$T380)&gt;1),AND($W380&lt;&gt;"",LOWER(TRIM($W380))&lt;&gt;"n/a",COUNTIF($W$2:$W$532,$W380)&gt;1)),"Yes","No"),IF($A380="Cybernet",IF(OR(AND($Y380&lt;&gt;"",LOWER(TRIM($Y380))&lt;&gt;"n/a",COUNTIF($Y$2:$Y$532,$Y380)&gt;1),AND($Z380&lt;&gt;"",LOWER(TRIM($Z380))&lt;&gt;"n/a",COUNTIF($Z$2:$Z$532,$Z380)&gt;1)),"Yes","No"),IF(AND($AL380&lt;&gt;"",LOWER(TRIM($AL380))&lt;&gt;"n/a",COUNTIF($AL$2:$AL$532,$AL380)&gt;1),"Yes","No"))))</f>
      </c>
      <c r="F380">
        <f>IF($B380&lt;&gt;"Yes","",
IF($A380="Neuron",
IF(OR(
AND($S380&lt;&gt;"",LOWER(TRIM($S380))&lt;&gt;"n/a",COUNTIFS($B$2:$B$532,"Yes",$A$2:$A$532,"Neuron",$S$2:$S$532,$S380)&gt;1),
AND($T380&lt;&gt;"",LOWER(TRIM($T380))&lt;&gt;"n/a",COUNTIFS($B$2:$B$532,"Yes",$A$2:$A$532,"Neuron",$T$2:$T$532,$T380)&gt;1),
AND($W380&lt;&gt;"",LOWER(TRIM($W380))&lt;&gt;"n/a",COUNTIFS($B$2:$B$532,"Yes",$A$2:$A$532,"Neuron",$W$2:$W$532,$W380)&gt;1)
),"Yes","No"),
IF($A380="Cybernet",
IF(OR(
AND($Y380&lt;&gt;"",LOWER(TRIM($Y380))&lt;&gt;"n/a",COUNTIFS($B$2:$B$532,"Yes",$A$2:$A$532,"Cybernet",$Y$2:$Y$532,$Y380)&gt;1),
AND($Z380&lt;&gt;"",LOWER(TRIM($Z380))&lt;&gt;"n/a",COUNTIFS($B$2:$B$532,"Yes",$A$2:$A$532,"Cybernet",$Z$2:$Z$532,$Z380)&gt;1)
),"Yes","No"),
IF(AND($AL380&lt;&gt;"",LOWER(TRIM($AL380))&lt;&gt;"n/a"),
IF(COUNTIFS($B$2:$B$532,"Yes",$A$2:$A$532,$A380,$AL$2:$AL$532,$AL380)&gt;1,"Yes","No"),
"No")
)
)
)</f>
      </c>
      <c r="BL380">
        <f>IF($T380="","",IF((IF(AND($AW380&lt;&gt;"Yes",$AW380&lt;&gt;"N/A"),"Power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",""))="","",LEFT(IF(AND($AW380&lt;&gt;"Yes",$AW380&lt;&gt;"N/A"),"Power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",""),LEN(IF(AND($AW380&lt;&gt;"Yes",$AW380&lt;&gt;"N/A"),"Power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",""))-2)))</f>
      </c>
      <c r="BM380">
        <f>IF($T380="","",IF($BL380="","Yes","Blocked"))</f>
      </c>
      <c r="BP380">
        <f>IF($BO380="","",IFERROR(VLOOKUP($BO380,'01_Warehouse_Ledger'!$A:$N,4,FALSE),""))</f>
      </c>
      <c r="BQ380">
        <f>IF($BO380="","",IFERROR(VLOOKUP($BO380,'01_Warehouse_Ledger'!$A:$N,5,FALSE),""))</f>
      </c>
      <c r="BR380">
        <f>IF($BO380="","",IFERROR(VLOOKUP($BO380,'01_Warehouse_Ledger'!$A:$N,13,FALSE),""))</f>
      </c>
    </row>
    <row r="381">
      <c r="D381">
        <f>IF($B381&lt;&gt;"Yes","",IF($C381="No","Yes",IF($C381="Yes","No","")))</f>
      </c>
      <c r="E381">
        <f>IF($A381="","",IF($A381="Neuron",IF(OR(AND($S381&lt;&gt;"",LOWER(TRIM($S381))&lt;&gt;"n/a",COUNTIF($S$2:$S$532,$S381)&gt;1),AND($T381&lt;&gt;"",LOWER(TRIM($T381))&lt;&gt;"n/a",COUNTIF($T$2:$T$532,$T381)&gt;1),AND($W381&lt;&gt;"",LOWER(TRIM($W381))&lt;&gt;"n/a",COUNTIF($W$2:$W$532,$W381)&gt;1)),"Yes","No"),IF($A381="Cybernet",IF(OR(AND($Y381&lt;&gt;"",LOWER(TRIM($Y381))&lt;&gt;"n/a",COUNTIF($Y$2:$Y$532,$Y381)&gt;1),AND($Z381&lt;&gt;"",LOWER(TRIM($Z381))&lt;&gt;"n/a",COUNTIF($Z$2:$Z$532,$Z381)&gt;1)),"Yes","No"),IF(AND($AL381&lt;&gt;"",LOWER(TRIM($AL381))&lt;&gt;"n/a",COUNTIF($AL$2:$AL$532,$AL381)&gt;1),"Yes","No"))))</f>
      </c>
      <c r="F381">
        <f>IF($B381&lt;&gt;"Yes","",
IF($A381="Neuron",
IF(OR(
AND($S381&lt;&gt;"",LOWER(TRIM($S381))&lt;&gt;"n/a",COUNTIFS($B$2:$B$532,"Yes",$A$2:$A$532,"Neuron",$S$2:$S$532,$S381)&gt;1),
AND($T381&lt;&gt;"",LOWER(TRIM($T381))&lt;&gt;"n/a",COUNTIFS($B$2:$B$532,"Yes",$A$2:$A$532,"Neuron",$T$2:$T$532,$T381)&gt;1),
AND($W381&lt;&gt;"",LOWER(TRIM($W381))&lt;&gt;"n/a",COUNTIFS($B$2:$B$532,"Yes",$A$2:$A$532,"Neuron",$W$2:$W$532,$W381)&gt;1)
),"Yes","No"),
IF($A381="Cybernet",
IF(OR(
AND($Y381&lt;&gt;"",LOWER(TRIM($Y381))&lt;&gt;"n/a",COUNTIFS($B$2:$B$532,"Yes",$A$2:$A$532,"Cybernet",$Y$2:$Y$532,$Y381)&gt;1),
AND($Z381&lt;&gt;"",LOWER(TRIM($Z381))&lt;&gt;"n/a",COUNTIFS($B$2:$B$532,"Yes",$A$2:$A$532,"Cybernet",$Z$2:$Z$532,$Z381)&gt;1)
),"Yes","No"),
IF(AND($AL381&lt;&gt;"",LOWER(TRIM($AL381))&lt;&gt;"n/a"),
IF(COUNTIFS($B$2:$B$532,"Yes",$A$2:$A$532,$A381,$AL$2:$AL$532,$AL381)&gt;1,"Yes","No"),
"No")
)
)
)</f>
      </c>
      <c r="BL381">
        <f>IF($T381="","",IF((IF(AND($AW381&lt;&gt;"Yes",$AW381&lt;&gt;"N/A"),"Power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",""))="","",LEFT(IF(AND($AW381&lt;&gt;"Yes",$AW381&lt;&gt;"N/A"),"Power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",""),LEN(IF(AND($AW381&lt;&gt;"Yes",$AW381&lt;&gt;"N/A"),"Power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",""))-2)))</f>
      </c>
      <c r="BM381">
        <f>IF($T381="","",IF($BL381="","Yes","Blocked"))</f>
      </c>
      <c r="BP381">
        <f>IF($BO381="","",IFERROR(VLOOKUP($BO381,'01_Warehouse_Ledger'!$A:$N,4,FALSE),""))</f>
      </c>
      <c r="BQ381">
        <f>IF($BO381="","",IFERROR(VLOOKUP($BO381,'01_Warehouse_Ledger'!$A:$N,5,FALSE),""))</f>
      </c>
      <c r="BR381">
        <f>IF($BO381="","",IFERROR(VLOOKUP($BO381,'01_Warehouse_Ledger'!$A:$N,13,FALSE),""))</f>
      </c>
    </row>
    <row r="382">
      <c r="D382">
        <f>IF($B382&lt;&gt;"Yes","",IF($C382="No","Yes",IF($C382="Yes","No","")))</f>
      </c>
      <c r="E382">
        <f>IF($A382="","",IF($A382="Neuron",IF(OR(AND($S382&lt;&gt;"",LOWER(TRIM($S382))&lt;&gt;"n/a",COUNTIF($S$2:$S$532,$S382)&gt;1),AND($T382&lt;&gt;"",LOWER(TRIM($T382))&lt;&gt;"n/a",COUNTIF($T$2:$T$532,$T382)&gt;1),AND($W382&lt;&gt;"",LOWER(TRIM($W382))&lt;&gt;"n/a",COUNTIF($W$2:$W$532,$W382)&gt;1)),"Yes","No"),IF($A382="Cybernet",IF(OR(AND($Y382&lt;&gt;"",LOWER(TRIM($Y382))&lt;&gt;"n/a",COUNTIF($Y$2:$Y$532,$Y382)&gt;1),AND($Z382&lt;&gt;"",LOWER(TRIM($Z382))&lt;&gt;"n/a",COUNTIF($Z$2:$Z$532,$Z382)&gt;1)),"Yes","No"),IF(AND($AL382&lt;&gt;"",LOWER(TRIM($AL382))&lt;&gt;"n/a",COUNTIF($AL$2:$AL$532,$AL382)&gt;1),"Yes","No"))))</f>
      </c>
      <c r="F382">
        <f>IF($B382&lt;&gt;"Yes","",
IF($A382="Neuron",
IF(OR(
AND($S382&lt;&gt;"",LOWER(TRIM($S382))&lt;&gt;"n/a",COUNTIFS($B$2:$B$532,"Yes",$A$2:$A$532,"Neuron",$S$2:$S$532,$S382)&gt;1),
AND($T382&lt;&gt;"",LOWER(TRIM($T382))&lt;&gt;"n/a",COUNTIFS($B$2:$B$532,"Yes",$A$2:$A$532,"Neuron",$T$2:$T$532,$T382)&gt;1),
AND($W382&lt;&gt;"",LOWER(TRIM($W382))&lt;&gt;"n/a",COUNTIFS($B$2:$B$532,"Yes",$A$2:$A$532,"Neuron",$W$2:$W$532,$W382)&gt;1)
),"Yes","No"),
IF($A382="Cybernet",
IF(OR(
AND($Y382&lt;&gt;"",LOWER(TRIM($Y382))&lt;&gt;"n/a",COUNTIFS($B$2:$B$532,"Yes",$A$2:$A$532,"Cybernet",$Y$2:$Y$532,$Y382)&gt;1),
AND($Z382&lt;&gt;"",LOWER(TRIM($Z382))&lt;&gt;"n/a",COUNTIFS($B$2:$B$532,"Yes",$A$2:$A$532,"Cybernet",$Z$2:$Z$532,$Z382)&gt;1)
),"Yes","No"),
IF(AND($AL382&lt;&gt;"",LOWER(TRIM($AL382))&lt;&gt;"n/a"),
IF(COUNTIFS($B$2:$B$532,"Yes",$A$2:$A$532,$A382,$AL$2:$AL$532,$AL382)&gt;1,"Yes","No"),
"No")
)
)
)</f>
      </c>
      <c r="BL382">
        <f>IF($T382="","",IF((IF(AND($AW382&lt;&gt;"Yes",$AW382&lt;&gt;"N/A"),"Power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",""))="","",LEFT(IF(AND($AW382&lt;&gt;"Yes",$AW382&lt;&gt;"N/A"),"Power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",""),LEN(IF(AND($AW382&lt;&gt;"Yes",$AW382&lt;&gt;"N/A"),"Power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",""))-2)))</f>
      </c>
      <c r="BM382">
        <f>IF($T382="","",IF($BL382="","Yes","Blocked"))</f>
      </c>
      <c r="BP382">
        <f>IF($BO382="","",IFERROR(VLOOKUP($BO382,'01_Warehouse_Ledger'!$A:$N,4,FALSE),""))</f>
      </c>
      <c r="BQ382">
        <f>IF($BO382="","",IFERROR(VLOOKUP($BO382,'01_Warehouse_Ledger'!$A:$N,5,FALSE),""))</f>
      </c>
      <c r="BR382">
        <f>IF($BO382="","",IFERROR(VLOOKUP($BO382,'01_Warehouse_Ledger'!$A:$N,13,FALSE),""))</f>
      </c>
    </row>
    <row r="383">
      <c r="D383">
        <f>IF($B383&lt;&gt;"Yes","",IF($C383="No","Yes",IF($C383="Yes","No","")))</f>
      </c>
      <c r="E383">
        <f>IF($A383="","",IF($A383="Neuron",IF(OR(AND($S383&lt;&gt;"",LOWER(TRIM($S383))&lt;&gt;"n/a",COUNTIF($S$2:$S$532,$S383)&gt;1),AND($T383&lt;&gt;"",LOWER(TRIM($T383))&lt;&gt;"n/a",COUNTIF($T$2:$T$532,$T383)&gt;1),AND($W383&lt;&gt;"",LOWER(TRIM($W383))&lt;&gt;"n/a",COUNTIF($W$2:$W$532,$W383)&gt;1)),"Yes","No"),IF($A383="Cybernet",IF(OR(AND($Y383&lt;&gt;"",LOWER(TRIM($Y383))&lt;&gt;"n/a",COUNTIF($Y$2:$Y$532,$Y383)&gt;1),AND($Z383&lt;&gt;"",LOWER(TRIM($Z383))&lt;&gt;"n/a",COUNTIF($Z$2:$Z$532,$Z383)&gt;1)),"Yes","No"),IF(AND($AL383&lt;&gt;"",LOWER(TRIM($AL383))&lt;&gt;"n/a",COUNTIF($AL$2:$AL$532,$AL383)&gt;1),"Yes","No"))))</f>
      </c>
      <c r="F383">
        <f>IF($B383&lt;&gt;"Yes","",
IF($A383="Neuron",
IF(OR(
AND($S383&lt;&gt;"",LOWER(TRIM($S383))&lt;&gt;"n/a",COUNTIFS($B$2:$B$532,"Yes",$A$2:$A$532,"Neuron",$S$2:$S$532,$S383)&gt;1),
AND($T383&lt;&gt;"",LOWER(TRIM($T383))&lt;&gt;"n/a",COUNTIFS($B$2:$B$532,"Yes",$A$2:$A$532,"Neuron",$T$2:$T$532,$T383)&gt;1),
AND($W383&lt;&gt;"",LOWER(TRIM($W383))&lt;&gt;"n/a",COUNTIFS($B$2:$B$532,"Yes",$A$2:$A$532,"Neuron",$W$2:$W$532,$W383)&gt;1)
),"Yes","No"),
IF($A383="Cybernet",
IF(OR(
AND($Y383&lt;&gt;"",LOWER(TRIM($Y383))&lt;&gt;"n/a",COUNTIFS($B$2:$B$532,"Yes",$A$2:$A$532,"Cybernet",$Y$2:$Y$532,$Y383)&gt;1),
AND($Z383&lt;&gt;"",LOWER(TRIM($Z383))&lt;&gt;"n/a",COUNTIFS($B$2:$B$532,"Yes",$A$2:$A$532,"Cybernet",$Z$2:$Z$532,$Z383)&gt;1)
),"Yes","No"),
IF(AND($AL383&lt;&gt;"",LOWER(TRIM($AL383))&lt;&gt;"n/a"),
IF(COUNTIFS($B$2:$B$532,"Yes",$A$2:$A$532,$A383,$AL$2:$AL$532,$AL383)&gt;1,"Yes","No"),
"No")
)
)
)</f>
      </c>
      <c r="BL383">
        <f>IF($T383="","",IF((IF(AND($AW383&lt;&gt;"Yes",$AW383&lt;&gt;"N/A"),"Power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",""))="","",LEFT(IF(AND($AW383&lt;&gt;"Yes",$AW383&lt;&gt;"N/A"),"Power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",""),LEN(IF(AND($AW383&lt;&gt;"Yes",$AW383&lt;&gt;"N/A"),"Power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",""))-2)))</f>
      </c>
      <c r="BM383">
        <f>IF($T383="","",IF($BL383="","Yes","Blocked"))</f>
      </c>
      <c r="BP383">
        <f>IF($BO383="","",IFERROR(VLOOKUP($BO383,'01_Warehouse_Ledger'!$A:$N,4,FALSE),""))</f>
      </c>
      <c r="BQ383">
        <f>IF($BO383="","",IFERROR(VLOOKUP($BO383,'01_Warehouse_Ledger'!$A:$N,5,FALSE),""))</f>
      </c>
      <c r="BR383">
        <f>IF($BO383="","",IFERROR(VLOOKUP($BO383,'01_Warehouse_Ledger'!$A:$N,13,FALSE),""))</f>
      </c>
    </row>
    <row r="384">
      <c r="D384">
        <f>IF($B384&lt;&gt;"Yes","",IF($C384="No","Yes",IF($C384="Yes","No","")))</f>
      </c>
      <c r="E384">
        <f>IF($A384="","",IF($A384="Neuron",IF(OR(AND($S384&lt;&gt;"",LOWER(TRIM($S384))&lt;&gt;"n/a",COUNTIF($S$2:$S$532,$S384)&gt;1),AND($T384&lt;&gt;"",LOWER(TRIM($T384))&lt;&gt;"n/a",COUNTIF($T$2:$T$532,$T384)&gt;1),AND($W384&lt;&gt;"",LOWER(TRIM($W384))&lt;&gt;"n/a",COUNTIF($W$2:$W$532,$W384)&gt;1)),"Yes","No"),IF($A384="Cybernet",IF(OR(AND($Y384&lt;&gt;"",LOWER(TRIM($Y384))&lt;&gt;"n/a",COUNTIF($Y$2:$Y$532,$Y384)&gt;1),AND($Z384&lt;&gt;"",LOWER(TRIM($Z384))&lt;&gt;"n/a",COUNTIF($Z$2:$Z$532,$Z384)&gt;1)),"Yes","No"),IF(AND($AL384&lt;&gt;"",LOWER(TRIM($AL384))&lt;&gt;"n/a",COUNTIF($AL$2:$AL$532,$AL384)&gt;1),"Yes","No"))))</f>
      </c>
      <c r="F384">
        <f>IF($B384&lt;&gt;"Yes","",
IF($A384="Neuron",
IF(OR(
AND($S384&lt;&gt;"",LOWER(TRIM($S384))&lt;&gt;"n/a",COUNTIFS($B$2:$B$532,"Yes",$A$2:$A$532,"Neuron",$S$2:$S$532,$S384)&gt;1),
AND($T384&lt;&gt;"",LOWER(TRIM($T384))&lt;&gt;"n/a",COUNTIFS($B$2:$B$532,"Yes",$A$2:$A$532,"Neuron",$T$2:$T$532,$T384)&gt;1),
AND($W384&lt;&gt;"",LOWER(TRIM($W384))&lt;&gt;"n/a",COUNTIFS($B$2:$B$532,"Yes",$A$2:$A$532,"Neuron",$W$2:$W$532,$W384)&gt;1)
),"Yes","No"),
IF($A384="Cybernet",
IF(OR(
AND($Y384&lt;&gt;"",LOWER(TRIM($Y384))&lt;&gt;"n/a",COUNTIFS($B$2:$B$532,"Yes",$A$2:$A$532,"Cybernet",$Y$2:$Y$532,$Y384)&gt;1),
AND($Z384&lt;&gt;"",LOWER(TRIM($Z384))&lt;&gt;"n/a",COUNTIFS($B$2:$B$532,"Yes",$A$2:$A$532,"Cybernet",$Z$2:$Z$532,$Z384)&gt;1)
),"Yes","No"),
IF(AND($AL384&lt;&gt;"",LOWER(TRIM($AL384))&lt;&gt;"n/a"),
IF(COUNTIFS($B$2:$B$532,"Yes",$A$2:$A$532,$A384,$AL$2:$AL$532,$AL384)&gt;1,"Yes","No"),
"No")
)
)
)</f>
      </c>
      <c r="BL384">
        <f>IF($T384="","",IF((IF(AND($AW384&lt;&gt;"Yes",$AW384&lt;&gt;"N/A"),"Power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",""))="","",LEFT(IF(AND($AW384&lt;&gt;"Yes",$AW384&lt;&gt;"N/A"),"Power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",""),LEN(IF(AND($AW384&lt;&gt;"Yes",$AW384&lt;&gt;"N/A"),"Power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",""))-2)))</f>
      </c>
      <c r="BM384">
        <f>IF($T384="","",IF($BL384="","Yes","Blocked"))</f>
      </c>
      <c r="BP384">
        <f>IF($BO384="","",IFERROR(VLOOKUP($BO384,'01_Warehouse_Ledger'!$A:$N,4,FALSE),""))</f>
      </c>
      <c r="BQ384">
        <f>IF($BO384="","",IFERROR(VLOOKUP($BO384,'01_Warehouse_Ledger'!$A:$N,5,FALSE),""))</f>
      </c>
      <c r="BR384">
        <f>IF($BO384="","",IFERROR(VLOOKUP($BO384,'01_Warehouse_Ledger'!$A:$N,13,FALSE),""))</f>
      </c>
    </row>
    <row r="385">
      <c r="D385">
        <f>IF($B385&lt;&gt;"Yes","",IF($C385="No","Yes",IF($C385="Yes","No","")))</f>
      </c>
      <c r="E385">
        <f>IF($A385="","",IF($A385="Neuron",IF(OR(AND($S385&lt;&gt;"",LOWER(TRIM($S385))&lt;&gt;"n/a",COUNTIF($S$2:$S$532,$S385)&gt;1),AND($T385&lt;&gt;"",LOWER(TRIM($T385))&lt;&gt;"n/a",COUNTIF($T$2:$T$532,$T385)&gt;1),AND($W385&lt;&gt;"",LOWER(TRIM($W385))&lt;&gt;"n/a",COUNTIF($W$2:$W$532,$W385)&gt;1)),"Yes","No"),IF($A385="Cybernet",IF(OR(AND($Y385&lt;&gt;"",LOWER(TRIM($Y385))&lt;&gt;"n/a",COUNTIF($Y$2:$Y$532,$Y385)&gt;1),AND($Z385&lt;&gt;"",LOWER(TRIM($Z385))&lt;&gt;"n/a",COUNTIF($Z$2:$Z$532,$Z385)&gt;1)),"Yes","No"),IF(AND($AL385&lt;&gt;"",LOWER(TRIM($AL385))&lt;&gt;"n/a",COUNTIF($AL$2:$AL$532,$AL385)&gt;1),"Yes","No"))))</f>
      </c>
      <c r="F385">
        <f>IF($B385&lt;&gt;"Yes","",
IF($A385="Neuron",
IF(OR(
AND($S385&lt;&gt;"",LOWER(TRIM($S385))&lt;&gt;"n/a",COUNTIFS($B$2:$B$532,"Yes",$A$2:$A$532,"Neuron",$S$2:$S$532,$S385)&gt;1),
AND($T385&lt;&gt;"",LOWER(TRIM($T385))&lt;&gt;"n/a",COUNTIFS($B$2:$B$532,"Yes",$A$2:$A$532,"Neuron",$T$2:$T$532,$T385)&gt;1),
AND($W385&lt;&gt;"",LOWER(TRIM($W385))&lt;&gt;"n/a",COUNTIFS($B$2:$B$532,"Yes",$A$2:$A$532,"Neuron",$W$2:$W$532,$W385)&gt;1)
),"Yes","No"),
IF($A385="Cybernet",
IF(OR(
AND($Y385&lt;&gt;"",LOWER(TRIM($Y385))&lt;&gt;"n/a",COUNTIFS($B$2:$B$532,"Yes",$A$2:$A$532,"Cybernet",$Y$2:$Y$532,$Y385)&gt;1),
AND($Z385&lt;&gt;"",LOWER(TRIM($Z385))&lt;&gt;"n/a",COUNTIFS($B$2:$B$532,"Yes",$A$2:$A$532,"Cybernet",$Z$2:$Z$532,$Z385)&gt;1)
),"Yes","No"),
IF(AND($AL385&lt;&gt;"",LOWER(TRIM($AL385))&lt;&gt;"n/a"),
IF(COUNTIFS($B$2:$B$532,"Yes",$A$2:$A$532,$A385,$AL$2:$AL$532,$AL385)&gt;1,"Yes","No"),
"No")
)
)
)</f>
      </c>
      <c r="BL385">
        <f>IF($T385="","",IF((IF(AND($AW385&lt;&gt;"Yes",$AW385&lt;&gt;"N/A"),"Power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",""))="","",LEFT(IF(AND($AW385&lt;&gt;"Yes",$AW385&lt;&gt;"N/A"),"Power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",""),LEN(IF(AND($AW385&lt;&gt;"Yes",$AW385&lt;&gt;"N/A"),"Power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",""))-2)))</f>
      </c>
      <c r="BM385">
        <f>IF($T385="","",IF($BL385="","Yes","Blocked"))</f>
      </c>
      <c r="BP385">
        <f>IF($BO385="","",IFERROR(VLOOKUP($BO385,'01_Warehouse_Ledger'!$A:$N,4,FALSE),""))</f>
      </c>
      <c r="BQ385">
        <f>IF($BO385="","",IFERROR(VLOOKUP($BO385,'01_Warehouse_Ledger'!$A:$N,5,FALSE),""))</f>
      </c>
      <c r="BR385">
        <f>IF($BO385="","",IFERROR(VLOOKUP($BO385,'01_Warehouse_Ledger'!$A:$N,13,FALSE),""))</f>
      </c>
    </row>
    <row r="386">
      <c r="D386">
        <f>IF($B386&lt;&gt;"Yes","",IF($C386="No","Yes",IF($C386="Yes","No","")))</f>
      </c>
      <c r="E386">
        <f>IF($A386="","",IF($A386="Neuron",IF(OR(AND($S386&lt;&gt;"",LOWER(TRIM($S386))&lt;&gt;"n/a",COUNTIF($S$2:$S$532,$S386)&gt;1),AND($T386&lt;&gt;"",LOWER(TRIM($T386))&lt;&gt;"n/a",COUNTIF($T$2:$T$532,$T386)&gt;1),AND($W386&lt;&gt;"",LOWER(TRIM($W386))&lt;&gt;"n/a",COUNTIF($W$2:$W$532,$W386)&gt;1)),"Yes","No"),IF($A386="Cybernet",IF(OR(AND($Y386&lt;&gt;"",LOWER(TRIM($Y386))&lt;&gt;"n/a",COUNTIF($Y$2:$Y$532,$Y386)&gt;1),AND($Z386&lt;&gt;"",LOWER(TRIM($Z386))&lt;&gt;"n/a",COUNTIF($Z$2:$Z$532,$Z386)&gt;1)),"Yes","No"),IF(AND($AL386&lt;&gt;"",LOWER(TRIM($AL386))&lt;&gt;"n/a",COUNTIF($AL$2:$AL$532,$AL386)&gt;1),"Yes","No"))))</f>
      </c>
      <c r="F386">
        <f>IF($B386&lt;&gt;"Yes","",
IF($A386="Neuron",
IF(OR(
AND($S386&lt;&gt;"",LOWER(TRIM($S386))&lt;&gt;"n/a",COUNTIFS($B$2:$B$532,"Yes",$A$2:$A$532,"Neuron",$S$2:$S$532,$S386)&gt;1),
AND($T386&lt;&gt;"",LOWER(TRIM($T386))&lt;&gt;"n/a",COUNTIFS($B$2:$B$532,"Yes",$A$2:$A$532,"Neuron",$T$2:$T$532,$T386)&gt;1),
AND($W386&lt;&gt;"",LOWER(TRIM($W386))&lt;&gt;"n/a",COUNTIFS($B$2:$B$532,"Yes",$A$2:$A$532,"Neuron",$W$2:$W$532,$W386)&gt;1)
),"Yes","No"),
IF($A386="Cybernet",
IF(OR(
AND($Y386&lt;&gt;"",LOWER(TRIM($Y386))&lt;&gt;"n/a",COUNTIFS($B$2:$B$532,"Yes",$A$2:$A$532,"Cybernet",$Y$2:$Y$532,$Y386)&gt;1),
AND($Z386&lt;&gt;"",LOWER(TRIM($Z386))&lt;&gt;"n/a",COUNTIFS($B$2:$B$532,"Yes",$A$2:$A$532,"Cybernet",$Z$2:$Z$532,$Z386)&gt;1)
),"Yes","No"),
IF(AND($AL386&lt;&gt;"",LOWER(TRIM($AL386))&lt;&gt;"n/a"),
IF(COUNTIFS($B$2:$B$532,"Yes",$A$2:$A$532,$A386,$AL$2:$AL$532,$AL386)&gt;1,"Yes","No"),
"No")
)
)
)</f>
      </c>
      <c r="BL386">
        <f>IF($T386="","",IF((IF(AND($AW386&lt;&gt;"Yes",$AW386&lt;&gt;"N/A"),"Power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",""))="","",LEFT(IF(AND($AW386&lt;&gt;"Yes",$AW386&lt;&gt;"N/A"),"Power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",""),LEN(IF(AND($AW386&lt;&gt;"Yes",$AW386&lt;&gt;"N/A"),"Power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",""))-2)))</f>
      </c>
      <c r="BM386">
        <f>IF($T386="","",IF($BL386="","Yes","Blocked"))</f>
      </c>
      <c r="BP386">
        <f>IF($BO386="","",IFERROR(VLOOKUP($BO386,'01_Warehouse_Ledger'!$A:$N,4,FALSE),""))</f>
      </c>
      <c r="BQ386">
        <f>IF($BO386="","",IFERROR(VLOOKUP($BO386,'01_Warehouse_Ledger'!$A:$N,5,FALSE),""))</f>
      </c>
      <c r="BR386">
        <f>IF($BO386="","",IFERROR(VLOOKUP($BO386,'01_Warehouse_Ledger'!$A:$N,13,FALSE),""))</f>
      </c>
    </row>
    <row r="387">
      <c r="D387">
        <f>IF($B387&lt;&gt;"Yes","",IF($C387="No","Yes",IF($C387="Yes","No","")))</f>
      </c>
      <c r="E387">
        <f>IF($A387="","",IF($A387="Neuron",IF(OR(AND($S387&lt;&gt;"",LOWER(TRIM($S387))&lt;&gt;"n/a",COUNTIF($S$2:$S$532,$S387)&gt;1),AND($T387&lt;&gt;"",LOWER(TRIM($T387))&lt;&gt;"n/a",COUNTIF($T$2:$T$532,$T387)&gt;1),AND($W387&lt;&gt;"",LOWER(TRIM($W387))&lt;&gt;"n/a",COUNTIF($W$2:$W$532,$W387)&gt;1)),"Yes","No"),IF($A387="Cybernet",IF(OR(AND($Y387&lt;&gt;"",LOWER(TRIM($Y387))&lt;&gt;"n/a",COUNTIF($Y$2:$Y$532,$Y387)&gt;1),AND($Z387&lt;&gt;"",LOWER(TRIM($Z387))&lt;&gt;"n/a",COUNTIF($Z$2:$Z$532,$Z387)&gt;1)),"Yes","No"),IF(AND($AL387&lt;&gt;"",LOWER(TRIM($AL387))&lt;&gt;"n/a",COUNTIF($AL$2:$AL$532,$AL387)&gt;1),"Yes","No"))))</f>
      </c>
      <c r="F387">
        <f>IF($B387&lt;&gt;"Yes","",
IF($A387="Neuron",
IF(OR(
AND($S387&lt;&gt;"",LOWER(TRIM($S387))&lt;&gt;"n/a",COUNTIFS($B$2:$B$532,"Yes",$A$2:$A$532,"Neuron",$S$2:$S$532,$S387)&gt;1),
AND($T387&lt;&gt;"",LOWER(TRIM($T387))&lt;&gt;"n/a",COUNTIFS($B$2:$B$532,"Yes",$A$2:$A$532,"Neuron",$T$2:$T$532,$T387)&gt;1),
AND($W387&lt;&gt;"",LOWER(TRIM($W387))&lt;&gt;"n/a",COUNTIFS($B$2:$B$532,"Yes",$A$2:$A$532,"Neuron",$W$2:$W$532,$W387)&gt;1)
),"Yes","No"),
IF($A387="Cybernet",
IF(OR(
AND($Y387&lt;&gt;"",LOWER(TRIM($Y387))&lt;&gt;"n/a",COUNTIFS($B$2:$B$532,"Yes",$A$2:$A$532,"Cybernet",$Y$2:$Y$532,$Y387)&gt;1),
AND($Z387&lt;&gt;"",LOWER(TRIM($Z387))&lt;&gt;"n/a",COUNTIFS($B$2:$B$532,"Yes",$A$2:$A$532,"Cybernet",$Z$2:$Z$532,$Z387)&gt;1)
),"Yes","No"),
IF(AND($AL387&lt;&gt;"",LOWER(TRIM($AL387))&lt;&gt;"n/a"),
IF(COUNTIFS($B$2:$B$532,"Yes",$A$2:$A$532,$A387,$AL$2:$AL$532,$AL387)&gt;1,"Yes","No"),
"No")
)
)
)</f>
      </c>
      <c r="BL387">
        <f>IF($T387="","",IF((IF(AND($AW387&lt;&gt;"Yes",$AW387&lt;&gt;"N/A"),"Power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",""))="","",LEFT(IF(AND($AW387&lt;&gt;"Yes",$AW387&lt;&gt;"N/A"),"Power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",""),LEN(IF(AND($AW387&lt;&gt;"Yes",$AW387&lt;&gt;"N/A"),"Power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",""))-2)))</f>
      </c>
      <c r="BM387">
        <f>IF($T387="","",IF($BL387="","Yes","Blocked"))</f>
      </c>
      <c r="BP387">
        <f>IF($BO387="","",IFERROR(VLOOKUP($BO387,'01_Warehouse_Ledger'!$A:$N,4,FALSE),""))</f>
      </c>
      <c r="BQ387">
        <f>IF($BO387="","",IFERROR(VLOOKUP($BO387,'01_Warehouse_Ledger'!$A:$N,5,FALSE),""))</f>
      </c>
      <c r="BR387">
        <f>IF($BO387="","",IFERROR(VLOOKUP($BO387,'01_Warehouse_Ledger'!$A:$N,13,FALSE),""))</f>
      </c>
    </row>
    <row r="388">
      <c r="D388">
        <f>IF($B388&lt;&gt;"Yes","",IF($C388="No","Yes",IF($C388="Yes","No","")))</f>
      </c>
      <c r="E388">
        <f>IF($A388="","",IF($A388="Neuron",IF(OR(AND($S388&lt;&gt;"",LOWER(TRIM($S388))&lt;&gt;"n/a",COUNTIF($S$2:$S$532,$S388)&gt;1),AND($T388&lt;&gt;"",LOWER(TRIM($T388))&lt;&gt;"n/a",COUNTIF($T$2:$T$532,$T388)&gt;1),AND($W388&lt;&gt;"",LOWER(TRIM($W388))&lt;&gt;"n/a",COUNTIF($W$2:$W$532,$W388)&gt;1)),"Yes","No"),IF($A388="Cybernet",IF(OR(AND($Y388&lt;&gt;"",LOWER(TRIM($Y388))&lt;&gt;"n/a",COUNTIF($Y$2:$Y$532,$Y388)&gt;1),AND($Z388&lt;&gt;"",LOWER(TRIM($Z388))&lt;&gt;"n/a",COUNTIF($Z$2:$Z$532,$Z388)&gt;1)),"Yes","No"),IF(AND($AL388&lt;&gt;"",LOWER(TRIM($AL388))&lt;&gt;"n/a",COUNTIF($AL$2:$AL$532,$AL388)&gt;1),"Yes","No"))))</f>
      </c>
      <c r="F388">
        <f>IF($B388&lt;&gt;"Yes","",
IF($A388="Neuron",
IF(OR(
AND($S388&lt;&gt;"",LOWER(TRIM($S388))&lt;&gt;"n/a",COUNTIFS($B$2:$B$532,"Yes",$A$2:$A$532,"Neuron",$S$2:$S$532,$S388)&gt;1),
AND($T388&lt;&gt;"",LOWER(TRIM($T388))&lt;&gt;"n/a",COUNTIFS($B$2:$B$532,"Yes",$A$2:$A$532,"Neuron",$T$2:$T$532,$T388)&gt;1),
AND($W388&lt;&gt;"",LOWER(TRIM($W388))&lt;&gt;"n/a",COUNTIFS($B$2:$B$532,"Yes",$A$2:$A$532,"Neuron",$W$2:$W$532,$W388)&gt;1)
),"Yes","No"),
IF($A388="Cybernet",
IF(OR(
AND($Y388&lt;&gt;"",LOWER(TRIM($Y388))&lt;&gt;"n/a",COUNTIFS($B$2:$B$532,"Yes",$A$2:$A$532,"Cybernet",$Y$2:$Y$532,$Y388)&gt;1),
AND($Z388&lt;&gt;"",LOWER(TRIM($Z388))&lt;&gt;"n/a",COUNTIFS($B$2:$B$532,"Yes",$A$2:$A$532,"Cybernet",$Z$2:$Z$532,$Z388)&gt;1)
),"Yes","No"),
IF(AND($AL388&lt;&gt;"",LOWER(TRIM($AL388))&lt;&gt;"n/a"),
IF(COUNTIFS($B$2:$B$532,"Yes",$A$2:$A$532,$A388,$AL$2:$AL$532,$AL388)&gt;1,"Yes","No"),
"No")
)
)
)</f>
      </c>
      <c r="BL388">
        <f>IF($T388="","",IF((IF(AND($AW388&lt;&gt;"Yes",$AW388&lt;&gt;"N/A"),"Power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",""))="","",LEFT(IF(AND($AW388&lt;&gt;"Yes",$AW388&lt;&gt;"N/A"),"Power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",""),LEN(IF(AND($AW388&lt;&gt;"Yes",$AW388&lt;&gt;"N/A"),"Power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",""))-2)))</f>
      </c>
      <c r="BM388">
        <f>IF($T388="","",IF($BL388="","Yes","Blocked"))</f>
      </c>
      <c r="BP388">
        <f>IF($BO388="","",IFERROR(VLOOKUP($BO388,'01_Warehouse_Ledger'!$A:$N,4,FALSE),""))</f>
      </c>
      <c r="BQ388">
        <f>IF($BO388="","",IFERROR(VLOOKUP($BO388,'01_Warehouse_Ledger'!$A:$N,5,FALSE),""))</f>
      </c>
      <c r="BR388">
        <f>IF($BO388="","",IFERROR(VLOOKUP($BO388,'01_Warehouse_Ledger'!$A:$N,13,FALSE),""))</f>
      </c>
    </row>
    <row r="389">
      <c r="D389">
        <f>IF($B389&lt;&gt;"Yes","",IF($C389="No","Yes",IF($C389="Yes","No","")))</f>
      </c>
      <c r="E389">
        <f>IF($A389="","",IF($A389="Neuron",IF(OR(AND($S389&lt;&gt;"",LOWER(TRIM($S389))&lt;&gt;"n/a",COUNTIF($S$2:$S$532,$S389)&gt;1),AND($T389&lt;&gt;"",LOWER(TRIM($T389))&lt;&gt;"n/a",COUNTIF($T$2:$T$532,$T389)&gt;1),AND($W389&lt;&gt;"",LOWER(TRIM($W389))&lt;&gt;"n/a",COUNTIF($W$2:$W$532,$W389)&gt;1)),"Yes","No"),IF($A389="Cybernet",IF(OR(AND($Y389&lt;&gt;"",LOWER(TRIM($Y389))&lt;&gt;"n/a",COUNTIF($Y$2:$Y$532,$Y389)&gt;1),AND($Z389&lt;&gt;"",LOWER(TRIM($Z389))&lt;&gt;"n/a",COUNTIF($Z$2:$Z$532,$Z389)&gt;1)),"Yes","No"),IF(AND($AL389&lt;&gt;"",LOWER(TRIM($AL389))&lt;&gt;"n/a",COUNTIF($AL$2:$AL$532,$AL389)&gt;1),"Yes","No"))))</f>
      </c>
      <c r="F389">
        <f>IF($B389&lt;&gt;"Yes","",
IF($A389="Neuron",
IF(OR(
AND($S389&lt;&gt;"",LOWER(TRIM($S389))&lt;&gt;"n/a",COUNTIFS($B$2:$B$532,"Yes",$A$2:$A$532,"Neuron",$S$2:$S$532,$S389)&gt;1),
AND($T389&lt;&gt;"",LOWER(TRIM($T389))&lt;&gt;"n/a",COUNTIFS($B$2:$B$532,"Yes",$A$2:$A$532,"Neuron",$T$2:$T$532,$T389)&gt;1),
AND($W389&lt;&gt;"",LOWER(TRIM($W389))&lt;&gt;"n/a",COUNTIFS($B$2:$B$532,"Yes",$A$2:$A$532,"Neuron",$W$2:$W$532,$W389)&gt;1)
),"Yes","No"),
IF($A389="Cybernet",
IF(OR(
AND($Y389&lt;&gt;"",LOWER(TRIM($Y389))&lt;&gt;"n/a",COUNTIFS($B$2:$B$532,"Yes",$A$2:$A$532,"Cybernet",$Y$2:$Y$532,$Y389)&gt;1),
AND($Z389&lt;&gt;"",LOWER(TRIM($Z389))&lt;&gt;"n/a",COUNTIFS($B$2:$B$532,"Yes",$A$2:$A$532,"Cybernet",$Z$2:$Z$532,$Z389)&gt;1)
),"Yes","No"),
IF(AND($AL389&lt;&gt;"",LOWER(TRIM($AL389))&lt;&gt;"n/a"),
IF(COUNTIFS($B$2:$B$532,"Yes",$A$2:$A$532,$A389,$AL$2:$AL$532,$AL389)&gt;1,"Yes","No"),
"No")
)
)
)</f>
      </c>
      <c r="BL389">
        <f>IF($T389="","",IF((IF(AND($AW389&lt;&gt;"Yes",$AW389&lt;&gt;"N/A"),"Power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",""))="","",LEFT(IF(AND($AW389&lt;&gt;"Yes",$AW389&lt;&gt;"N/A"),"Power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",""),LEN(IF(AND($AW389&lt;&gt;"Yes",$AW389&lt;&gt;"N/A"),"Power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",""))-2)))</f>
      </c>
      <c r="BM389">
        <f>IF($T389="","",IF($BL389="","Yes","Blocked"))</f>
      </c>
      <c r="BP389">
        <f>IF($BO389="","",IFERROR(VLOOKUP($BO389,'01_Warehouse_Ledger'!$A:$N,4,FALSE),""))</f>
      </c>
      <c r="BQ389">
        <f>IF($BO389="","",IFERROR(VLOOKUP($BO389,'01_Warehouse_Ledger'!$A:$N,5,FALSE),""))</f>
      </c>
      <c r="BR389">
        <f>IF($BO389="","",IFERROR(VLOOKUP($BO389,'01_Warehouse_Ledger'!$A:$N,13,FALSE),""))</f>
      </c>
    </row>
    <row r="390">
      <c r="D390">
        <f>IF($B390&lt;&gt;"Yes","",IF($C390="No","Yes",IF($C390="Yes","No","")))</f>
      </c>
      <c r="E390">
        <f>IF($A390="","",IF($A390="Neuron",IF(OR(AND($S390&lt;&gt;"",LOWER(TRIM($S390))&lt;&gt;"n/a",COUNTIF($S$2:$S$532,$S390)&gt;1),AND($T390&lt;&gt;"",LOWER(TRIM($T390))&lt;&gt;"n/a",COUNTIF($T$2:$T$532,$T390)&gt;1),AND($W390&lt;&gt;"",LOWER(TRIM($W390))&lt;&gt;"n/a",COUNTIF($W$2:$W$532,$W390)&gt;1)),"Yes","No"),IF($A390="Cybernet",IF(OR(AND($Y390&lt;&gt;"",LOWER(TRIM($Y390))&lt;&gt;"n/a",COUNTIF($Y$2:$Y$532,$Y390)&gt;1),AND($Z390&lt;&gt;"",LOWER(TRIM($Z390))&lt;&gt;"n/a",COUNTIF($Z$2:$Z$532,$Z390)&gt;1)),"Yes","No"),IF(AND($AL390&lt;&gt;"",LOWER(TRIM($AL390))&lt;&gt;"n/a",COUNTIF($AL$2:$AL$532,$AL390)&gt;1),"Yes","No"))))</f>
      </c>
      <c r="F390">
        <f>IF($B390&lt;&gt;"Yes","",
IF($A390="Neuron",
IF(OR(
AND($S390&lt;&gt;"",LOWER(TRIM($S390))&lt;&gt;"n/a",COUNTIFS($B$2:$B$532,"Yes",$A$2:$A$532,"Neuron",$S$2:$S$532,$S390)&gt;1),
AND($T390&lt;&gt;"",LOWER(TRIM($T390))&lt;&gt;"n/a",COUNTIFS($B$2:$B$532,"Yes",$A$2:$A$532,"Neuron",$T$2:$T$532,$T390)&gt;1),
AND($W390&lt;&gt;"",LOWER(TRIM($W390))&lt;&gt;"n/a",COUNTIFS($B$2:$B$532,"Yes",$A$2:$A$532,"Neuron",$W$2:$W$532,$W390)&gt;1)
),"Yes","No"),
IF($A390="Cybernet",
IF(OR(
AND($Y390&lt;&gt;"",LOWER(TRIM($Y390))&lt;&gt;"n/a",COUNTIFS($B$2:$B$532,"Yes",$A$2:$A$532,"Cybernet",$Y$2:$Y$532,$Y390)&gt;1),
AND($Z390&lt;&gt;"",LOWER(TRIM($Z390))&lt;&gt;"n/a",COUNTIFS($B$2:$B$532,"Yes",$A$2:$A$532,"Cybernet",$Z$2:$Z$532,$Z390)&gt;1)
),"Yes","No"),
IF(AND($AL390&lt;&gt;"",LOWER(TRIM($AL390))&lt;&gt;"n/a"),
IF(COUNTIFS($B$2:$B$532,"Yes",$A$2:$A$532,$A390,$AL$2:$AL$532,$AL390)&gt;1,"Yes","No"),
"No")
)
)
)</f>
      </c>
      <c r="BL390">
        <f>IF($T390="","",IF((IF(AND($AW390&lt;&gt;"Yes",$AW390&lt;&gt;"N/A"),"Power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",""))="","",LEFT(IF(AND($AW390&lt;&gt;"Yes",$AW390&lt;&gt;"N/A"),"Power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",""),LEN(IF(AND($AW390&lt;&gt;"Yes",$AW390&lt;&gt;"N/A"),"Power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",""))-2)))</f>
      </c>
      <c r="BM390">
        <f>IF($T390="","",IF($BL390="","Yes","Blocked"))</f>
      </c>
      <c r="BP390">
        <f>IF($BO390="","",IFERROR(VLOOKUP($BO390,'01_Warehouse_Ledger'!$A:$N,4,FALSE),""))</f>
      </c>
      <c r="BQ390">
        <f>IF($BO390="","",IFERROR(VLOOKUP($BO390,'01_Warehouse_Ledger'!$A:$N,5,FALSE),""))</f>
      </c>
      <c r="BR390">
        <f>IF($BO390="","",IFERROR(VLOOKUP($BO390,'01_Warehouse_Ledger'!$A:$N,13,FALSE),""))</f>
      </c>
    </row>
    <row r="391">
      <c r="D391">
        <f>IF($B391&lt;&gt;"Yes","",IF($C391="No","Yes",IF($C391="Yes","No","")))</f>
      </c>
      <c r="E391">
        <f>IF($A391="","",IF($A391="Neuron",IF(OR(AND($S391&lt;&gt;"",LOWER(TRIM($S391))&lt;&gt;"n/a",COUNTIF($S$2:$S$532,$S391)&gt;1),AND($T391&lt;&gt;"",LOWER(TRIM($T391))&lt;&gt;"n/a",COUNTIF($T$2:$T$532,$T391)&gt;1),AND($W391&lt;&gt;"",LOWER(TRIM($W391))&lt;&gt;"n/a",COUNTIF($W$2:$W$532,$W391)&gt;1)),"Yes","No"),IF($A391="Cybernet",IF(OR(AND($Y391&lt;&gt;"",LOWER(TRIM($Y391))&lt;&gt;"n/a",COUNTIF($Y$2:$Y$532,$Y391)&gt;1),AND($Z391&lt;&gt;"",LOWER(TRIM($Z391))&lt;&gt;"n/a",COUNTIF($Z$2:$Z$532,$Z391)&gt;1)),"Yes","No"),IF(AND($AL391&lt;&gt;"",LOWER(TRIM($AL391))&lt;&gt;"n/a",COUNTIF($AL$2:$AL$532,$AL391)&gt;1),"Yes","No"))))</f>
      </c>
      <c r="F391">
        <f>IF($B391&lt;&gt;"Yes","",
IF($A391="Neuron",
IF(OR(
AND($S391&lt;&gt;"",LOWER(TRIM($S391))&lt;&gt;"n/a",COUNTIFS($B$2:$B$532,"Yes",$A$2:$A$532,"Neuron",$S$2:$S$532,$S391)&gt;1),
AND($T391&lt;&gt;"",LOWER(TRIM($T391))&lt;&gt;"n/a",COUNTIFS($B$2:$B$532,"Yes",$A$2:$A$532,"Neuron",$T$2:$T$532,$T391)&gt;1),
AND($W391&lt;&gt;"",LOWER(TRIM($W391))&lt;&gt;"n/a",COUNTIFS($B$2:$B$532,"Yes",$A$2:$A$532,"Neuron",$W$2:$W$532,$W391)&gt;1)
),"Yes","No"),
IF($A391="Cybernet",
IF(OR(
AND($Y391&lt;&gt;"",LOWER(TRIM($Y391))&lt;&gt;"n/a",COUNTIFS($B$2:$B$532,"Yes",$A$2:$A$532,"Cybernet",$Y$2:$Y$532,$Y391)&gt;1),
AND($Z391&lt;&gt;"",LOWER(TRIM($Z391))&lt;&gt;"n/a",COUNTIFS($B$2:$B$532,"Yes",$A$2:$A$532,"Cybernet",$Z$2:$Z$532,$Z391)&gt;1)
),"Yes","No"),
IF(AND($AL391&lt;&gt;"",LOWER(TRIM($AL391))&lt;&gt;"n/a"),
IF(COUNTIFS($B$2:$B$532,"Yes",$A$2:$A$532,$A391,$AL$2:$AL$532,$AL391)&gt;1,"Yes","No"),
"No")
)
)
)</f>
      </c>
      <c r="BL391">
        <f>IF($T391="","",IF((IF(AND($AW391&lt;&gt;"Yes",$AW391&lt;&gt;"N/A"),"Power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",""))="","",LEFT(IF(AND($AW391&lt;&gt;"Yes",$AW391&lt;&gt;"N/A"),"Power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",""),LEN(IF(AND($AW391&lt;&gt;"Yes",$AW391&lt;&gt;"N/A"),"Power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",""))-2)))</f>
      </c>
      <c r="BM391">
        <f>IF($T391="","",IF($BL391="","Yes","Blocked"))</f>
      </c>
      <c r="BP391">
        <f>IF($BO391="","",IFERROR(VLOOKUP($BO391,'01_Warehouse_Ledger'!$A:$N,4,FALSE),""))</f>
      </c>
      <c r="BQ391">
        <f>IF($BO391="","",IFERROR(VLOOKUP($BO391,'01_Warehouse_Ledger'!$A:$N,5,FALSE),""))</f>
      </c>
      <c r="BR391">
        <f>IF($BO391="","",IFERROR(VLOOKUP($BO391,'01_Warehouse_Ledger'!$A:$N,13,FALSE),""))</f>
      </c>
    </row>
    <row r="392">
      <c r="D392">
        <f>IF($B392&lt;&gt;"Yes","",IF($C392="No","Yes",IF($C392="Yes","No","")))</f>
      </c>
      <c r="E392">
        <f>IF($A392="","",IF($A392="Neuron",IF(OR(AND($S392&lt;&gt;"",LOWER(TRIM($S392))&lt;&gt;"n/a",COUNTIF($S$2:$S$532,$S392)&gt;1),AND($T392&lt;&gt;"",LOWER(TRIM($T392))&lt;&gt;"n/a",COUNTIF($T$2:$T$532,$T392)&gt;1),AND($W392&lt;&gt;"",LOWER(TRIM($W392))&lt;&gt;"n/a",COUNTIF($W$2:$W$532,$W392)&gt;1)),"Yes","No"),IF($A392="Cybernet",IF(OR(AND($Y392&lt;&gt;"",LOWER(TRIM($Y392))&lt;&gt;"n/a",COUNTIF($Y$2:$Y$532,$Y392)&gt;1),AND($Z392&lt;&gt;"",LOWER(TRIM($Z392))&lt;&gt;"n/a",COUNTIF($Z$2:$Z$532,$Z392)&gt;1)),"Yes","No"),IF(AND($AL392&lt;&gt;"",LOWER(TRIM($AL392))&lt;&gt;"n/a",COUNTIF($AL$2:$AL$532,$AL392)&gt;1),"Yes","No"))))</f>
      </c>
      <c r="F392">
        <f>IF($B392&lt;&gt;"Yes","",
IF($A392="Neuron",
IF(OR(
AND($S392&lt;&gt;"",LOWER(TRIM($S392))&lt;&gt;"n/a",COUNTIFS($B$2:$B$532,"Yes",$A$2:$A$532,"Neuron",$S$2:$S$532,$S392)&gt;1),
AND($T392&lt;&gt;"",LOWER(TRIM($T392))&lt;&gt;"n/a",COUNTIFS($B$2:$B$532,"Yes",$A$2:$A$532,"Neuron",$T$2:$T$532,$T392)&gt;1),
AND($W392&lt;&gt;"",LOWER(TRIM($W392))&lt;&gt;"n/a",COUNTIFS($B$2:$B$532,"Yes",$A$2:$A$532,"Neuron",$W$2:$W$532,$W392)&gt;1)
),"Yes","No"),
IF($A392="Cybernet",
IF(OR(
AND($Y392&lt;&gt;"",LOWER(TRIM($Y392))&lt;&gt;"n/a",COUNTIFS($B$2:$B$532,"Yes",$A$2:$A$532,"Cybernet",$Y$2:$Y$532,$Y392)&gt;1),
AND($Z392&lt;&gt;"",LOWER(TRIM($Z392))&lt;&gt;"n/a",COUNTIFS($B$2:$B$532,"Yes",$A$2:$A$532,"Cybernet",$Z$2:$Z$532,$Z392)&gt;1)
),"Yes","No"),
IF(AND($AL392&lt;&gt;"",LOWER(TRIM($AL392))&lt;&gt;"n/a"),
IF(COUNTIFS($B$2:$B$532,"Yes",$A$2:$A$532,$A392,$AL$2:$AL$532,$AL392)&gt;1,"Yes","No"),
"No")
)
)
)</f>
      </c>
      <c r="BL392">
        <f>IF($T392="","",IF((IF(AND($AW392&lt;&gt;"Yes",$AW392&lt;&gt;"N/A"),"Power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",""))="","",LEFT(IF(AND($AW392&lt;&gt;"Yes",$AW392&lt;&gt;"N/A"),"Power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",""),LEN(IF(AND($AW392&lt;&gt;"Yes",$AW392&lt;&gt;"N/A"),"Power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",""))-2)))</f>
      </c>
      <c r="BM392">
        <f>IF($T392="","",IF($BL392="","Yes","Blocked"))</f>
      </c>
      <c r="BP392">
        <f>IF($BO392="","",IFERROR(VLOOKUP($BO392,'01_Warehouse_Ledger'!$A:$N,4,FALSE),""))</f>
      </c>
      <c r="BQ392">
        <f>IF($BO392="","",IFERROR(VLOOKUP($BO392,'01_Warehouse_Ledger'!$A:$N,5,FALSE),""))</f>
      </c>
      <c r="BR392">
        <f>IF($BO392="","",IFERROR(VLOOKUP($BO392,'01_Warehouse_Ledger'!$A:$N,13,FALSE),""))</f>
      </c>
    </row>
    <row r="393">
      <c r="D393">
        <f>IF($B393&lt;&gt;"Yes","",IF($C393="No","Yes",IF($C393="Yes","No","")))</f>
      </c>
      <c r="E393">
        <f>IF($A393="","",IF($A393="Neuron",IF(OR(AND($S393&lt;&gt;"",LOWER(TRIM($S393))&lt;&gt;"n/a",COUNTIF($S$2:$S$532,$S393)&gt;1),AND($T393&lt;&gt;"",LOWER(TRIM($T393))&lt;&gt;"n/a",COUNTIF($T$2:$T$532,$T393)&gt;1),AND($W393&lt;&gt;"",LOWER(TRIM($W393))&lt;&gt;"n/a",COUNTIF($W$2:$W$532,$W393)&gt;1)),"Yes","No"),IF($A393="Cybernet",IF(OR(AND($Y393&lt;&gt;"",LOWER(TRIM($Y393))&lt;&gt;"n/a",COUNTIF($Y$2:$Y$532,$Y393)&gt;1),AND($Z393&lt;&gt;"",LOWER(TRIM($Z393))&lt;&gt;"n/a",COUNTIF($Z$2:$Z$532,$Z393)&gt;1)),"Yes","No"),IF(AND($AL393&lt;&gt;"",LOWER(TRIM($AL393))&lt;&gt;"n/a",COUNTIF($AL$2:$AL$532,$AL393)&gt;1),"Yes","No"))))</f>
      </c>
      <c r="F393">
        <f>IF($B393&lt;&gt;"Yes","",
IF($A393="Neuron",
IF(OR(
AND($S393&lt;&gt;"",LOWER(TRIM($S393))&lt;&gt;"n/a",COUNTIFS($B$2:$B$532,"Yes",$A$2:$A$532,"Neuron",$S$2:$S$532,$S393)&gt;1),
AND($T393&lt;&gt;"",LOWER(TRIM($T393))&lt;&gt;"n/a",COUNTIFS($B$2:$B$532,"Yes",$A$2:$A$532,"Neuron",$T$2:$T$532,$T393)&gt;1),
AND($W393&lt;&gt;"",LOWER(TRIM($W393))&lt;&gt;"n/a",COUNTIFS($B$2:$B$532,"Yes",$A$2:$A$532,"Neuron",$W$2:$W$532,$W393)&gt;1)
),"Yes","No"),
IF($A393="Cybernet",
IF(OR(
AND($Y393&lt;&gt;"",LOWER(TRIM($Y393))&lt;&gt;"n/a",COUNTIFS($B$2:$B$532,"Yes",$A$2:$A$532,"Cybernet",$Y$2:$Y$532,$Y393)&gt;1),
AND($Z393&lt;&gt;"",LOWER(TRIM($Z393))&lt;&gt;"n/a",COUNTIFS($B$2:$B$532,"Yes",$A$2:$A$532,"Cybernet",$Z$2:$Z$532,$Z393)&gt;1)
),"Yes","No"),
IF(AND($AL393&lt;&gt;"",LOWER(TRIM($AL393))&lt;&gt;"n/a"),
IF(COUNTIFS($B$2:$B$532,"Yes",$A$2:$A$532,$A393,$AL$2:$AL$532,$AL393)&gt;1,"Yes","No"),
"No")
)
)
)</f>
      </c>
      <c r="BL393">
        <f>IF($T393="","",IF((IF(AND($AW393&lt;&gt;"Yes",$AW393&lt;&gt;"N/A"),"Power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",""))="","",LEFT(IF(AND($AW393&lt;&gt;"Yes",$AW393&lt;&gt;"N/A"),"Power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",""),LEN(IF(AND($AW393&lt;&gt;"Yes",$AW393&lt;&gt;"N/A"),"Power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",""))-2)))</f>
      </c>
      <c r="BM393">
        <f>IF($T393="","",IF($BL393="","Yes","Blocked"))</f>
      </c>
      <c r="BP393">
        <f>IF($BO393="","",IFERROR(VLOOKUP($BO393,'01_Warehouse_Ledger'!$A:$N,4,FALSE),""))</f>
      </c>
      <c r="BQ393">
        <f>IF($BO393="","",IFERROR(VLOOKUP($BO393,'01_Warehouse_Ledger'!$A:$N,5,FALSE),""))</f>
      </c>
      <c r="BR393">
        <f>IF($BO393="","",IFERROR(VLOOKUP($BO393,'01_Warehouse_Ledger'!$A:$N,13,FALSE),""))</f>
      </c>
    </row>
    <row r="394">
      <c r="D394">
        <f>IF($B394&lt;&gt;"Yes","",IF($C394="No","Yes",IF($C394="Yes","No","")))</f>
      </c>
      <c r="E394">
        <f>IF($A394="","",IF($A394="Neuron",IF(OR(AND($S394&lt;&gt;"",LOWER(TRIM($S394))&lt;&gt;"n/a",COUNTIF($S$2:$S$532,$S394)&gt;1),AND($T394&lt;&gt;"",LOWER(TRIM($T394))&lt;&gt;"n/a",COUNTIF($T$2:$T$532,$T394)&gt;1),AND($W394&lt;&gt;"",LOWER(TRIM($W394))&lt;&gt;"n/a",COUNTIF($W$2:$W$532,$W394)&gt;1)),"Yes","No"),IF($A394="Cybernet",IF(OR(AND($Y394&lt;&gt;"",LOWER(TRIM($Y394))&lt;&gt;"n/a",COUNTIF($Y$2:$Y$532,$Y394)&gt;1),AND($Z394&lt;&gt;"",LOWER(TRIM($Z394))&lt;&gt;"n/a",COUNTIF($Z$2:$Z$532,$Z394)&gt;1)),"Yes","No"),IF(AND($AL394&lt;&gt;"",LOWER(TRIM($AL394))&lt;&gt;"n/a",COUNTIF($AL$2:$AL$532,$AL394)&gt;1),"Yes","No"))))</f>
      </c>
      <c r="F394">
        <f>IF($B394&lt;&gt;"Yes","",
IF($A394="Neuron",
IF(OR(
AND($S394&lt;&gt;"",LOWER(TRIM($S394))&lt;&gt;"n/a",COUNTIFS($B$2:$B$532,"Yes",$A$2:$A$532,"Neuron",$S$2:$S$532,$S394)&gt;1),
AND($T394&lt;&gt;"",LOWER(TRIM($T394))&lt;&gt;"n/a",COUNTIFS($B$2:$B$532,"Yes",$A$2:$A$532,"Neuron",$T$2:$T$532,$T394)&gt;1),
AND($W394&lt;&gt;"",LOWER(TRIM($W394))&lt;&gt;"n/a",COUNTIFS($B$2:$B$532,"Yes",$A$2:$A$532,"Neuron",$W$2:$W$532,$W394)&gt;1)
),"Yes","No"),
IF($A394="Cybernet",
IF(OR(
AND($Y394&lt;&gt;"",LOWER(TRIM($Y394))&lt;&gt;"n/a",COUNTIFS($B$2:$B$532,"Yes",$A$2:$A$532,"Cybernet",$Y$2:$Y$532,$Y394)&gt;1),
AND($Z394&lt;&gt;"",LOWER(TRIM($Z394))&lt;&gt;"n/a",COUNTIFS($B$2:$B$532,"Yes",$A$2:$A$532,"Cybernet",$Z$2:$Z$532,$Z394)&gt;1)
),"Yes","No"),
IF(AND($AL394&lt;&gt;"",LOWER(TRIM($AL394))&lt;&gt;"n/a"),
IF(COUNTIFS($B$2:$B$532,"Yes",$A$2:$A$532,$A394,$AL$2:$AL$532,$AL394)&gt;1,"Yes","No"),
"No")
)
)
)</f>
      </c>
      <c r="BL394">
        <f>IF($T394="","",IF((IF(AND($AW394&lt;&gt;"Yes",$AW394&lt;&gt;"N/A"),"Power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",""))="","",LEFT(IF(AND($AW394&lt;&gt;"Yes",$AW394&lt;&gt;"N/A"),"Power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",""),LEN(IF(AND($AW394&lt;&gt;"Yes",$AW394&lt;&gt;"N/A"),"Power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",""))-2)))</f>
      </c>
      <c r="BM394">
        <f>IF($T394="","",IF($BL394="","Yes","Blocked"))</f>
      </c>
      <c r="BP394">
        <f>IF($BO394="","",IFERROR(VLOOKUP($BO394,'01_Warehouse_Ledger'!$A:$N,4,FALSE),""))</f>
      </c>
      <c r="BQ394">
        <f>IF($BO394="","",IFERROR(VLOOKUP($BO394,'01_Warehouse_Ledger'!$A:$N,5,FALSE),""))</f>
      </c>
      <c r="BR394">
        <f>IF($BO394="","",IFERROR(VLOOKUP($BO394,'01_Warehouse_Ledger'!$A:$N,13,FALSE),""))</f>
      </c>
    </row>
    <row r="395">
      <c r="D395">
        <f>IF($B395&lt;&gt;"Yes","",IF($C395="No","Yes",IF($C395="Yes","No","")))</f>
      </c>
      <c r="E395">
        <f>IF($A395="","",IF($A395="Neuron",IF(OR(AND($S395&lt;&gt;"",LOWER(TRIM($S395))&lt;&gt;"n/a",COUNTIF($S$2:$S$532,$S395)&gt;1),AND($T395&lt;&gt;"",LOWER(TRIM($T395))&lt;&gt;"n/a",COUNTIF($T$2:$T$532,$T395)&gt;1),AND($W395&lt;&gt;"",LOWER(TRIM($W395))&lt;&gt;"n/a",COUNTIF($W$2:$W$532,$W395)&gt;1)),"Yes","No"),IF($A395="Cybernet",IF(OR(AND($Y395&lt;&gt;"",LOWER(TRIM($Y395))&lt;&gt;"n/a",COUNTIF($Y$2:$Y$532,$Y395)&gt;1),AND($Z395&lt;&gt;"",LOWER(TRIM($Z395))&lt;&gt;"n/a",COUNTIF($Z$2:$Z$532,$Z395)&gt;1)),"Yes","No"),IF(AND($AL395&lt;&gt;"",LOWER(TRIM($AL395))&lt;&gt;"n/a",COUNTIF($AL$2:$AL$532,$AL395)&gt;1),"Yes","No"))))</f>
      </c>
      <c r="F395">
        <f>IF($B395&lt;&gt;"Yes","",
IF($A395="Neuron",
IF(OR(
AND($S395&lt;&gt;"",LOWER(TRIM($S395))&lt;&gt;"n/a",COUNTIFS($B$2:$B$532,"Yes",$A$2:$A$532,"Neuron",$S$2:$S$532,$S395)&gt;1),
AND($T395&lt;&gt;"",LOWER(TRIM($T395))&lt;&gt;"n/a",COUNTIFS($B$2:$B$532,"Yes",$A$2:$A$532,"Neuron",$T$2:$T$532,$T395)&gt;1),
AND($W395&lt;&gt;"",LOWER(TRIM($W395))&lt;&gt;"n/a",COUNTIFS($B$2:$B$532,"Yes",$A$2:$A$532,"Neuron",$W$2:$W$532,$W395)&gt;1)
),"Yes","No"),
IF($A395="Cybernet",
IF(OR(
AND($Y395&lt;&gt;"",LOWER(TRIM($Y395))&lt;&gt;"n/a",COUNTIFS($B$2:$B$532,"Yes",$A$2:$A$532,"Cybernet",$Y$2:$Y$532,$Y395)&gt;1),
AND($Z395&lt;&gt;"",LOWER(TRIM($Z395))&lt;&gt;"n/a",COUNTIFS($B$2:$B$532,"Yes",$A$2:$A$532,"Cybernet",$Z$2:$Z$532,$Z395)&gt;1)
),"Yes","No"),
IF(AND($AL395&lt;&gt;"",LOWER(TRIM($AL395))&lt;&gt;"n/a"),
IF(COUNTIFS($B$2:$B$532,"Yes",$A$2:$A$532,$A395,$AL$2:$AL$532,$AL395)&gt;1,"Yes","No"),
"No")
)
)
)</f>
      </c>
      <c r="BL395">
        <f>IF($T395="","",IF((IF(AND($AW395&lt;&gt;"Yes",$AW395&lt;&gt;"N/A"),"Power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",""))="","",LEFT(IF(AND($AW395&lt;&gt;"Yes",$AW395&lt;&gt;"N/A"),"Power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",""),LEN(IF(AND($AW395&lt;&gt;"Yes",$AW395&lt;&gt;"N/A"),"Power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",""))-2)))</f>
      </c>
      <c r="BM395">
        <f>IF($T395="","",IF($BL395="","Yes","Blocked"))</f>
      </c>
      <c r="BP395">
        <f>IF($BO395="","",IFERROR(VLOOKUP($BO395,'01_Warehouse_Ledger'!$A:$N,4,FALSE),""))</f>
      </c>
      <c r="BQ395">
        <f>IF($BO395="","",IFERROR(VLOOKUP($BO395,'01_Warehouse_Ledger'!$A:$N,5,FALSE),""))</f>
      </c>
      <c r="BR395">
        <f>IF($BO395="","",IFERROR(VLOOKUP($BO395,'01_Warehouse_Ledger'!$A:$N,13,FALSE),""))</f>
      </c>
    </row>
    <row r="396">
      <c r="D396">
        <f>IF($B396&lt;&gt;"Yes","",IF($C396="No","Yes",IF($C396="Yes","No","")))</f>
      </c>
      <c r="E396">
        <f>IF($A396="","",IF($A396="Neuron",IF(OR(AND($S396&lt;&gt;"",LOWER(TRIM($S396))&lt;&gt;"n/a",COUNTIF($S$2:$S$532,$S396)&gt;1),AND($T396&lt;&gt;"",LOWER(TRIM($T396))&lt;&gt;"n/a",COUNTIF($T$2:$T$532,$T396)&gt;1),AND($W396&lt;&gt;"",LOWER(TRIM($W396))&lt;&gt;"n/a",COUNTIF($W$2:$W$532,$W396)&gt;1)),"Yes","No"),IF($A396="Cybernet",IF(OR(AND($Y396&lt;&gt;"",LOWER(TRIM($Y396))&lt;&gt;"n/a",COUNTIF($Y$2:$Y$532,$Y396)&gt;1),AND($Z396&lt;&gt;"",LOWER(TRIM($Z396))&lt;&gt;"n/a",COUNTIF($Z$2:$Z$532,$Z396)&gt;1)),"Yes","No"),IF(AND($AL396&lt;&gt;"",LOWER(TRIM($AL396))&lt;&gt;"n/a",COUNTIF($AL$2:$AL$532,$AL396)&gt;1),"Yes","No"))))</f>
      </c>
      <c r="F396">
        <f>IF($B396&lt;&gt;"Yes","",
IF($A396="Neuron",
IF(OR(
AND($S396&lt;&gt;"",LOWER(TRIM($S396))&lt;&gt;"n/a",COUNTIFS($B$2:$B$532,"Yes",$A$2:$A$532,"Neuron",$S$2:$S$532,$S396)&gt;1),
AND($T396&lt;&gt;"",LOWER(TRIM($T396))&lt;&gt;"n/a",COUNTIFS($B$2:$B$532,"Yes",$A$2:$A$532,"Neuron",$T$2:$T$532,$T396)&gt;1),
AND($W396&lt;&gt;"",LOWER(TRIM($W396))&lt;&gt;"n/a",COUNTIFS($B$2:$B$532,"Yes",$A$2:$A$532,"Neuron",$W$2:$W$532,$W396)&gt;1)
),"Yes","No"),
IF($A396="Cybernet",
IF(OR(
AND($Y396&lt;&gt;"",LOWER(TRIM($Y396))&lt;&gt;"n/a",COUNTIFS($B$2:$B$532,"Yes",$A$2:$A$532,"Cybernet",$Y$2:$Y$532,$Y396)&gt;1),
AND($Z396&lt;&gt;"",LOWER(TRIM($Z396))&lt;&gt;"n/a",COUNTIFS($B$2:$B$532,"Yes",$A$2:$A$532,"Cybernet",$Z$2:$Z$532,$Z396)&gt;1)
),"Yes","No"),
IF(AND($AL396&lt;&gt;"",LOWER(TRIM($AL396))&lt;&gt;"n/a"),
IF(COUNTIFS($B$2:$B$532,"Yes",$A$2:$A$532,$A396,$AL$2:$AL$532,$AL396)&gt;1,"Yes","No"),
"No")
)
)
)</f>
      </c>
      <c r="BL396">
        <f>IF($T396="","",IF((IF(AND($AW396&lt;&gt;"Yes",$AW396&lt;&gt;"N/A"),"Power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",""))="","",LEFT(IF(AND($AW396&lt;&gt;"Yes",$AW396&lt;&gt;"N/A"),"Power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",""),LEN(IF(AND($AW396&lt;&gt;"Yes",$AW396&lt;&gt;"N/A"),"Power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",""))-2)))</f>
      </c>
      <c r="BM396">
        <f>IF($T396="","",IF($BL396="","Yes","Blocked"))</f>
      </c>
      <c r="BP396">
        <f>IF($BO396="","",IFERROR(VLOOKUP($BO396,'01_Warehouse_Ledger'!$A:$N,4,FALSE),""))</f>
      </c>
      <c r="BQ396">
        <f>IF($BO396="","",IFERROR(VLOOKUP($BO396,'01_Warehouse_Ledger'!$A:$N,5,FALSE),""))</f>
      </c>
      <c r="BR396">
        <f>IF($BO396="","",IFERROR(VLOOKUP($BO396,'01_Warehouse_Ledger'!$A:$N,13,FALSE),""))</f>
      </c>
    </row>
    <row r="397">
      <c r="D397">
        <f>IF($B397&lt;&gt;"Yes","",IF($C397="No","Yes",IF($C397="Yes","No","")))</f>
      </c>
      <c r="E397">
        <f>IF($A397="","",IF($A397="Neuron",IF(OR(AND($S397&lt;&gt;"",LOWER(TRIM($S397))&lt;&gt;"n/a",COUNTIF($S$2:$S$532,$S397)&gt;1),AND($T397&lt;&gt;"",LOWER(TRIM($T397))&lt;&gt;"n/a",COUNTIF($T$2:$T$532,$T397)&gt;1),AND($W397&lt;&gt;"",LOWER(TRIM($W397))&lt;&gt;"n/a",COUNTIF($W$2:$W$532,$W397)&gt;1)),"Yes","No"),IF($A397="Cybernet",IF(OR(AND($Y397&lt;&gt;"",LOWER(TRIM($Y397))&lt;&gt;"n/a",COUNTIF($Y$2:$Y$532,$Y397)&gt;1),AND($Z397&lt;&gt;"",LOWER(TRIM($Z397))&lt;&gt;"n/a",COUNTIF($Z$2:$Z$532,$Z397)&gt;1)),"Yes","No"),IF(AND($AL397&lt;&gt;"",LOWER(TRIM($AL397))&lt;&gt;"n/a",COUNTIF($AL$2:$AL$532,$AL397)&gt;1),"Yes","No"))))</f>
      </c>
      <c r="F397">
        <f>IF($B397&lt;&gt;"Yes","",
IF($A397="Neuron",
IF(OR(
AND($S397&lt;&gt;"",LOWER(TRIM($S397))&lt;&gt;"n/a",COUNTIFS($B$2:$B$532,"Yes",$A$2:$A$532,"Neuron",$S$2:$S$532,$S397)&gt;1),
AND($T397&lt;&gt;"",LOWER(TRIM($T397))&lt;&gt;"n/a",COUNTIFS($B$2:$B$532,"Yes",$A$2:$A$532,"Neuron",$T$2:$T$532,$T397)&gt;1),
AND($W397&lt;&gt;"",LOWER(TRIM($W397))&lt;&gt;"n/a",COUNTIFS($B$2:$B$532,"Yes",$A$2:$A$532,"Neuron",$W$2:$W$532,$W397)&gt;1)
),"Yes","No"),
IF($A397="Cybernet",
IF(OR(
AND($Y397&lt;&gt;"",LOWER(TRIM($Y397))&lt;&gt;"n/a",COUNTIFS($B$2:$B$532,"Yes",$A$2:$A$532,"Cybernet",$Y$2:$Y$532,$Y397)&gt;1),
AND($Z397&lt;&gt;"",LOWER(TRIM($Z397))&lt;&gt;"n/a",COUNTIFS($B$2:$B$532,"Yes",$A$2:$A$532,"Cybernet",$Z$2:$Z$532,$Z397)&gt;1)
),"Yes","No"),
IF(AND($AL397&lt;&gt;"",LOWER(TRIM($AL397))&lt;&gt;"n/a"),
IF(COUNTIFS($B$2:$B$532,"Yes",$A$2:$A$532,$A397,$AL$2:$AL$532,$AL397)&gt;1,"Yes","No"),
"No")
)
)
)</f>
      </c>
      <c r="BL397">
        <f>IF($T397="","",IF((IF(AND($AW397&lt;&gt;"Yes",$AW397&lt;&gt;"N/A"),"Power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",""))="","",LEFT(IF(AND($AW397&lt;&gt;"Yes",$AW397&lt;&gt;"N/A"),"Power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",""),LEN(IF(AND($AW397&lt;&gt;"Yes",$AW397&lt;&gt;"N/A"),"Power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",""))-2)))</f>
      </c>
      <c r="BM397">
        <f>IF($T397="","",IF($BL397="","Yes","Blocked"))</f>
      </c>
      <c r="BP397">
        <f>IF($BO397="","",IFERROR(VLOOKUP($BO397,'01_Warehouse_Ledger'!$A:$N,4,FALSE),""))</f>
      </c>
      <c r="BQ397">
        <f>IF($BO397="","",IFERROR(VLOOKUP($BO397,'01_Warehouse_Ledger'!$A:$N,5,FALSE),""))</f>
      </c>
      <c r="BR397">
        <f>IF($BO397="","",IFERROR(VLOOKUP($BO397,'01_Warehouse_Ledger'!$A:$N,13,FALSE),""))</f>
      </c>
    </row>
    <row r="398">
      <c r="D398">
        <f>IF($B398&lt;&gt;"Yes","",IF($C398="No","Yes",IF($C398="Yes","No","")))</f>
      </c>
      <c r="E398">
        <f>IF($A398="","",IF($A398="Neuron",IF(OR(AND($S398&lt;&gt;"",LOWER(TRIM($S398))&lt;&gt;"n/a",COUNTIF($S$2:$S$532,$S398)&gt;1),AND($T398&lt;&gt;"",LOWER(TRIM($T398))&lt;&gt;"n/a",COUNTIF($T$2:$T$532,$T398)&gt;1),AND($W398&lt;&gt;"",LOWER(TRIM($W398))&lt;&gt;"n/a",COUNTIF($W$2:$W$532,$W398)&gt;1)),"Yes","No"),IF($A398="Cybernet",IF(OR(AND($Y398&lt;&gt;"",LOWER(TRIM($Y398))&lt;&gt;"n/a",COUNTIF($Y$2:$Y$532,$Y398)&gt;1),AND($Z398&lt;&gt;"",LOWER(TRIM($Z398))&lt;&gt;"n/a",COUNTIF($Z$2:$Z$532,$Z398)&gt;1)),"Yes","No"),IF(AND($AL398&lt;&gt;"",LOWER(TRIM($AL398))&lt;&gt;"n/a",COUNTIF($AL$2:$AL$532,$AL398)&gt;1),"Yes","No"))))</f>
      </c>
      <c r="F398">
        <f>IF($B398&lt;&gt;"Yes","",
IF($A398="Neuron",
IF(OR(
AND($S398&lt;&gt;"",LOWER(TRIM($S398))&lt;&gt;"n/a",COUNTIFS($B$2:$B$532,"Yes",$A$2:$A$532,"Neuron",$S$2:$S$532,$S398)&gt;1),
AND($T398&lt;&gt;"",LOWER(TRIM($T398))&lt;&gt;"n/a",COUNTIFS($B$2:$B$532,"Yes",$A$2:$A$532,"Neuron",$T$2:$T$532,$T398)&gt;1),
AND($W398&lt;&gt;"",LOWER(TRIM($W398))&lt;&gt;"n/a",COUNTIFS($B$2:$B$532,"Yes",$A$2:$A$532,"Neuron",$W$2:$W$532,$W398)&gt;1)
),"Yes","No"),
IF($A398="Cybernet",
IF(OR(
AND($Y398&lt;&gt;"",LOWER(TRIM($Y398))&lt;&gt;"n/a",COUNTIFS($B$2:$B$532,"Yes",$A$2:$A$532,"Cybernet",$Y$2:$Y$532,$Y398)&gt;1),
AND($Z398&lt;&gt;"",LOWER(TRIM($Z398))&lt;&gt;"n/a",COUNTIFS($B$2:$B$532,"Yes",$A$2:$A$532,"Cybernet",$Z$2:$Z$532,$Z398)&gt;1)
),"Yes","No"),
IF(AND($AL398&lt;&gt;"",LOWER(TRIM($AL398))&lt;&gt;"n/a"),
IF(COUNTIFS($B$2:$B$532,"Yes",$A$2:$A$532,$A398,$AL$2:$AL$532,$AL398)&gt;1,"Yes","No"),
"No")
)
)
)</f>
      </c>
      <c r="BL398">
        <f>IF($T398="","",IF((IF(AND($AW398&lt;&gt;"Yes",$AW398&lt;&gt;"N/A"),"Power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",""))="","",LEFT(IF(AND($AW398&lt;&gt;"Yes",$AW398&lt;&gt;"N/A"),"Power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",""),LEN(IF(AND($AW398&lt;&gt;"Yes",$AW398&lt;&gt;"N/A"),"Power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",""))-2)))</f>
      </c>
      <c r="BM398">
        <f>IF($T398="","",IF($BL398="","Yes","Blocked"))</f>
      </c>
      <c r="BP398">
        <f>IF($BO398="","",IFERROR(VLOOKUP($BO398,'01_Warehouse_Ledger'!$A:$N,4,FALSE),""))</f>
      </c>
      <c r="BQ398">
        <f>IF($BO398="","",IFERROR(VLOOKUP($BO398,'01_Warehouse_Ledger'!$A:$N,5,FALSE),""))</f>
      </c>
      <c r="BR398">
        <f>IF($BO398="","",IFERROR(VLOOKUP($BO398,'01_Warehouse_Ledger'!$A:$N,13,FALSE),""))</f>
      </c>
    </row>
    <row r="399">
      <c r="D399">
        <f>IF($B399&lt;&gt;"Yes","",IF($C399="No","Yes",IF($C399="Yes","No","")))</f>
      </c>
      <c r="E399">
        <f>IF($A399="","",IF($A399="Neuron",IF(OR(AND($S399&lt;&gt;"",LOWER(TRIM($S399))&lt;&gt;"n/a",COUNTIF($S$2:$S$532,$S399)&gt;1),AND($T399&lt;&gt;"",LOWER(TRIM($T399))&lt;&gt;"n/a",COUNTIF($T$2:$T$532,$T399)&gt;1),AND($W399&lt;&gt;"",LOWER(TRIM($W399))&lt;&gt;"n/a",COUNTIF($W$2:$W$532,$W399)&gt;1)),"Yes","No"),IF($A399="Cybernet",IF(OR(AND($Y399&lt;&gt;"",LOWER(TRIM($Y399))&lt;&gt;"n/a",COUNTIF($Y$2:$Y$532,$Y399)&gt;1),AND($Z399&lt;&gt;"",LOWER(TRIM($Z399))&lt;&gt;"n/a",COUNTIF($Z$2:$Z$532,$Z399)&gt;1)),"Yes","No"),IF(AND($AL399&lt;&gt;"",LOWER(TRIM($AL399))&lt;&gt;"n/a",COUNTIF($AL$2:$AL$532,$AL399)&gt;1),"Yes","No"))))</f>
      </c>
      <c r="F399">
        <f>IF($B399&lt;&gt;"Yes","",
IF($A399="Neuron",
IF(OR(
AND($S399&lt;&gt;"",LOWER(TRIM($S399))&lt;&gt;"n/a",COUNTIFS($B$2:$B$532,"Yes",$A$2:$A$532,"Neuron",$S$2:$S$532,$S399)&gt;1),
AND($T399&lt;&gt;"",LOWER(TRIM($T399))&lt;&gt;"n/a",COUNTIFS($B$2:$B$532,"Yes",$A$2:$A$532,"Neuron",$T$2:$T$532,$T399)&gt;1),
AND($W399&lt;&gt;"",LOWER(TRIM($W399))&lt;&gt;"n/a",COUNTIFS($B$2:$B$532,"Yes",$A$2:$A$532,"Neuron",$W$2:$W$532,$W399)&gt;1)
),"Yes","No"),
IF($A399="Cybernet",
IF(OR(
AND($Y399&lt;&gt;"",LOWER(TRIM($Y399))&lt;&gt;"n/a",COUNTIFS($B$2:$B$532,"Yes",$A$2:$A$532,"Cybernet",$Y$2:$Y$532,$Y399)&gt;1),
AND($Z399&lt;&gt;"",LOWER(TRIM($Z399))&lt;&gt;"n/a",COUNTIFS($B$2:$B$532,"Yes",$A$2:$A$532,"Cybernet",$Z$2:$Z$532,$Z399)&gt;1)
),"Yes","No"),
IF(AND($AL399&lt;&gt;"",LOWER(TRIM($AL399))&lt;&gt;"n/a"),
IF(COUNTIFS($B$2:$B$532,"Yes",$A$2:$A$532,$A399,$AL$2:$AL$532,$AL399)&gt;1,"Yes","No"),
"No")
)
)
)</f>
      </c>
      <c r="BL399">
        <f>IF($T399="","",IF((IF(AND($AW399&lt;&gt;"Yes",$AW399&lt;&gt;"N/A"),"Power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",""))="","",LEFT(IF(AND($AW399&lt;&gt;"Yes",$AW399&lt;&gt;"N/A"),"Power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",""),LEN(IF(AND($AW399&lt;&gt;"Yes",$AW399&lt;&gt;"N/A"),"Power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",""))-2)))</f>
      </c>
      <c r="BM399">
        <f>IF($T399="","",IF($BL399="","Yes","Blocked"))</f>
      </c>
      <c r="BP399">
        <f>IF($BO399="","",IFERROR(VLOOKUP($BO399,'01_Warehouse_Ledger'!$A:$N,4,FALSE),""))</f>
      </c>
      <c r="BQ399">
        <f>IF($BO399="","",IFERROR(VLOOKUP($BO399,'01_Warehouse_Ledger'!$A:$N,5,FALSE),""))</f>
      </c>
      <c r="BR399">
        <f>IF($BO399="","",IFERROR(VLOOKUP($BO399,'01_Warehouse_Ledger'!$A:$N,13,FALSE),""))</f>
      </c>
    </row>
    <row r="400">
      <c r="D400">
        <f>IF($B400&lt;&gt;"Yes","",IF($C400="No","Yes",IF($C400="Yes","No","")))</f>
      </c>
      <c r="E400">
        <f>IF($A400="","",IF($A400="Neuron",IF(OR(AND($S400&lt;&gt;"",LOWER(TRIM($S400))&lt;&gt;"n/a",COUNTIF($S$2:$S$532,$S400)&gt;1),AND($T400&lt;&gt;"",LOWER(TRIM($T400))&lt;&gt;"n/a",COUNTIF($T$2:$T$532,$T400)&gt;1),AND($W400&lt;&gt;"",LOWER(TRIM($W400))&lt;&gt;"n/a",COUNTIF($W$2:$W$532,$W400)&gt;1)),"Yes","No"),IF($A400="Cybernet",IF(OR(AND($Y400&lt;&gt;"",LOWER(TRIM($Y400))&lt;&gt;"n/a",COUNTIF($Y$2:$Y$532,$Y400)&gt;1),AND($Z400&lt;&gt;"",LOWER(TRIM($Z400))&lt;&gt;"n/a",COUNTIF($Z$2:$Z$532,$Z400)&gt;1)),"Yes","No"),IF(AND($AL400&lt;&gt;"",LOWER(TRIM($AL400))&lt;&gt;"n/a",COUNTIF($AL$2:$AL$532,$AL400)&gt;1),"Yes","No"))))</f>
      </c>
      <c r="F400">
        <f>IF($B400&lt;&gt;"Yes","",
IF($A400="Neuron",
IF(OR(
AND($S400&lt;&gt;"",LOWER(TRIM($S400))&lt;&gt;"n/a",COUNTIFS($B$2:$B$532,"Yes",$A$2:$A$532,"Neuron",$S$2:$S$532,$S400)&gt;1),
AND($T400&lt;&gt;"",LOWER(TRIM($T400))&lt;&gt;"n/a",COUNTIFS($B$2:$B$532,"Yes",$A$2:$A$532,"Neuron",$T$2:$T$532,$T400)&gt;1),
AND($W400&lt;&gt;"",LOWER(TRIM($W400))&lt;&gt;"n/a",COUNTIFS($B$2:$B$532,"Yes",$A$2:$A$532,"Neuron",$W$2:$W$532,$W400)&gt;1)
),"Yes","No"),
IF($A400="Cybernet",
IF(OR(
AND($Y400&lt;&gt;"",LOWER(TRIM($Y400))&lt;&gt;"n/a",COUNTIFS($B$2:$B$532,"Yes",$A$2:$A$532,"Cybernet",$Y$2:$Y$532,$Y400)&gt;1),
AND($Z400&lt;&gt;"",LOWER(TRIM($Z400))&lt;&gt;"n/a",COUNTIFS($B$2:$B$532,"Yes",$A$2:$A$532,"Cybernet",$Z$2:$Z$532,$Z400)&gt;1)
),"Yes","No"),
IF(AND($AL400&lt;&gt;"",LOWER(TRIM($AL400))&lt;&gt;"n/a"),
IF(COUNTIFS($B$2:$B$532,"Yes",$A$2:$A$532,$A400,$AL$2:$AL$532,$AL400)&gt;1,"Yes","No"),
"No")
)
)
)</f>
      </c>
      <c r="BL400">
        <f>IF($T400="","",IF((IF(AND($AW400&lt;&gt;"Yes",$AW400&lt;&gt;"N/A"),"Power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",""))="","",LEFT(IF(AND($AW400&lt;&gt;"Yes",$AW400&lt;&gt;"N/A"),"Power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",""),LEN(IF(AND($AW400&lt;&gt;"Yes",$AW400&lt;&gt;"N/A"),"Power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",""))-2)))</f>
      </c>
      <c r="BM400">
        <f>IF($T400="","",IF($BL400="","Yes","Blocked"))</f>
      </c>
      <c r="BP400">
        <f>IF($BO400="","",IFERROR(VLOOKUP($BO400,'01_Warehouse_Ledger'!$A:$N,4,FALSE),""))</f>
      </c>
      <c r="BQ400">
        <f>IF($BO400="","",IFERROR(VLOOKUP($BO400,'01_Warehouse_Ledger'!$A:$N,5,FALSE),""))</f>
      </c>
      <c r="BR400">
        <f>IF($BO400="","",IFERROR(VLOOKUP($BO400,'01_Warehouse_Ledger'!$A:$N,13,FALSE),""))</f>
      </c>
    </row>
    <row r="401">
      <c r="D401">
        <f>IF($B401&lt;&gt;"Yes","",IF($C401="No","Yes",IF($C401="Yes","No","")))</f>
      </c>
      <c r="E401">
        <f>IF($A401="","",IF($A401="Neuron",IF(OR(AND($S401&lt;&gt;"",LOWER(TRIM($S401))&lt;&gt;"n/a",COUNTIF($S$2:$S$532,$S401)&gt;1),AND($T401&lt;&gt;"",LOWER(TRIM($T401))&lt;&gt;"n/a",COUNTIF($T$2:$T$532,$T401)&gt;1),AND($W401&lt;&gt;"",LOWER(TRIM($W401))&lt;&gt;"n/a",COUNTIF($W$2:$W$532,$W401)&gt;1)),"Yes","No"),IF($A401="Cybernet",IF(OR(AND($Y401&lt;&gt;"",LOWER(TRIM($Y401))&lt;&gt;"n/a",COUNTIF($Y$2:$Y$532,$Y401)&gt;1),AND($Z401&lt;&gt;"",LOWER(TRIM($Z401))&lt;&gt;"n/a",COUNTIF($Z$2:$Z$532,$Z401)&gt;1)),"Yes","No"),IF(AND($AL401&lt;&gt;"",LOWER(TRIM($AL401))&lt;&gt;"n/a",COUNTIF($AL$2:$AL$532,$AL401)&gt;1),"Yes","No"))))</f>
      </c>
      <c r="F401">
        <f>IF($B401&lt;&gt;"Yes","",
IF($A401="Neuron",
IF(OR(
AND($S401&lt;&gt;"",LOWER(TRIM($S401))&lt;&gt;"n/a",COUNTIFS($B$2:$B$532,"Yes",$A$2:$A$532,"Neuron",$S$2:$S$532,$S401)&gt;1),
AND($T401&lt;&gt;"",LOWER(TRIM($T401))&lt;&gt;"n/a",COUNTIFS($B$2:$B$532,"Yes",$A$2:$A$532,"Neuron",$T$2:$T$532,$T401)&gt;1),
AND($W401&lt;&gt;"",LOWER(TRIM($W401))&lt;&gt;"n/a",COUNTIFS($B$2:$B$532,"Yes",$A$2:$A$532,"Neuron",$W$2:$W$532,$W401)&gt;1)
),"Yes","No"),
IF($A401="Cybernet",
IF(OR(
AND($Y401&lt;&gt;"",LOWER(TRIM($Y401))&lt;&gt;"n/a",COUNTIFS($B$2:$B$532,"Yes",$A$2:$A$532,"Cybernet",$Y$2:$Y$532,$Y401)&gt;1),
AND($Z401&lt;&gt;"",LOWER(TRIM($Z401))&lt;&gt;"n/a",COUNTIFS($B$2:$B$532,"Yes",$A$2:$A$532,"Cybernet",$Z$2:$Z$532,$Z401)&gt;1)
),"Yes","No"),
IF(AND($AL401&lt;&gt;"",LOWER(TRIM($AL401))&lt;&gt;"n/a"),
IF(COUNTIFS($B$2:$B$532,"Yes",$A$2:$A$532,$A401,$AL$2:$AL$532,$AL401)&gt;1,"Yes","No"),
"No")
)
)
)</f>
      </c>
      <c r="BL401">
        <f>IF($T401="","",IF((IF(AND($AW401&lt;&gt;"Yes",$AW401&lt;&gt;"N/A"),"Power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",""))="","",LEFT(IF(AND($AW401&lt;&gt;"Yes",$AW401&lt;&gt;"N/A"),"Power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",""),LEN(IF(AND($AW401&lt;&gt;"Yes",$AW401&lt;&gt;"N/A"),"Power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",""))-2)))</f>
      </c>
      <c r="BM401">
        <f>IF($T401="","",IF($BL401="","Yes","Blocked"))</f>
      </c>
      <c r="BP401">
        <f>IF($BO401="","",IFERROR(VLOOKUP($BO401,'01_Warehouse_Ledger'!$A:$N,4,FALSE),""))</f>
      </c>
      <c r="BQ401">
        <f>IF($BO401="","",IFERROR(VLOOKUP($BO401,'01_Warehouse_Ledger'!$A:$N,5,FALSE),""))</f>
      </c>
      <c r="BR401">
        <f>IF($BO401="","",IFERROR(VLOOKUP($BO401,'01_Warehouse_Ledger'!$A:$N,13,FALSE),""))</f>
      </c>
    </row>
    <row r="402">
      <c r="D402">
        <f>IF($B402&lt;&gt;"Yes","",IF($C402="No","Yes",IF($C402="Yes","No","")))</f>
      </c>
      <c r="E402">
        <f>IF($A402="","",IF($A402="Neuron",IF(OR(AND($S402&lt;&gt;"",LOWER(TRIM($S402))&lt;&gt;"n/a",COUNTIF($S$2:$S$532,$S402)&gt;1),AND($T402&lt;&gt;"",LOWER(TRIM($T402))&lt;&gt;"n/a",COUNTIF($T$2:$T$532,$T402)&gt;1),AND($W402&lt;&gt;"",LOWER(TRIM($W402))&lt;&gt;"n/a",COUNTIF($W$2:$W$532,$W402)&gt;1)),"Yes","No"),IF($A402="Cybernet",IF(OR(AND($Y402&lt;&gt;"",LOWER(TRIM($Y402))&lt;&gt;"n/a",COUNTIF($Y$2:$Y$532,$Y402)&gt;1),AND($Z402&lt;&gt;"",LOWER(TRIM($Z402))&lt;&gt;"n/a",COUNTIF($Z$2:$Z$532,$Z402)&gt;1)),"Yes","No"),IF(AND($AL402&lt;&gt;"",LOWER(TRIM($AL402))&lt;&gt;"n/a",COUNTIF($AL$2:$AL$532,$AL402)&gt;1),"Yes","No"))))</f>
      </c>
      <c r="F402">
        <f>IF($B402&lt;&gt;"Yes","",
IF($A402="Neuron",
IF(OR(
AND($S402&lt;&gt;"",LOWER(TRIM($S402))&lt;&gt;"n/a",COUNTIFS($B$2:$B$532,"Yes",$A$2:$A$532,"Neuron",$S$2:$S$532,$S402)&gt;1),
AND($T402&lt;&gt;"",LOWER(TRIM($T402))&lt;&gt;"n/a",COUNTIFS($B$2:$B$532,"Yes",$A$2:$A$532,"Neuron",$T$2:$T$532,$T402)&gt;1),
AND($W402&lt;&gt;"",LOWER(TRIM($W402))&lt;&gt;"n/a",COUNTIFS($B$2:$B$532,"Yes",$A$2:$A$532,"Neuron",$W$2:$W$532,$W402)&gt;1)
),"Yes","No"),
IF($A402="Cybernet",
IF(OR(
AND($Y402&lt;&gt;"",LOWER(TRIM($Y402))&lt;&gt;"n/a",COUNTIFS($B$2:$B$532,"Yes",$A$2:$A$532,"Cybernet",$Y$2:$Y$532,$Y402)&gt;1),
AND($Z402&lt;&gt;"",LOWER(TRIM($Z402))&lt;&gt;"n/a",COUNTIFS($B$2:$B$532,"Yes",$A$2:$A$532,"Cybernet",$Z$2:$Z$532,$Z402)&gt;1)
),"Yes","No"),
IF(AND($AL402&lt;&gt;"",LOWER(TRIM($AL402))&lt;&gt;"n/a"),
IF(COUNTIFS($B$2:$B$532,"Yes",$A$2:$A$532,$A402,$AL$2:$AL$532,$AL402)&gt;1,"Yes","No"),
"No")
)
)
)</f>
      </c>
      <c r="BL402">
        <f>IF($T402="","",IF((IF(AND($AW402&lt;&gt;"Yes",$AW402&lt;&gt;"N/A"),"Power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",""))="","",LEFT(IF(AND($AW402&lt;&gt;"Yes",$AW402&lt;&gt;"N/A"),"Power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",""),LEN(IF(AND($AW402&lt;&gt;"Yes",$AW402&lt;&gt;"N/A"),"Power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",""))-2)))</f>
      </c>
      <c r="BM402">
        <f>IF($T402="","",IF($BL402="","Yes","Blocked"))</f>
      </c>
      <c r="BP402">
        <f>IF($BO402="","",IFERROR(VLOOKUP($BO402,'01_Warehouse_Ledger'!$A:$N,4,FALSE),""))</f>
      </c>
      <c r="BQ402">
        <f>IF($BO402="","",IFERROR(VLOOKUP($BO402,'01_Warehouse_Ledger'!$A:$N,5,FALSE),""))</f>
      </c>
      <c r="BR402">
        <f>IF($BO402="","",IFERROR(VLOOKUP($BO402,'01_Warehouse_Ledger'!$A:$N,13,FALSE),""))</f>
      </c>
    </row>
    <row r="403">
      <c r="D403">
        <f>IF($B403&lt;&gt;"Yes","",IF($C403="No","Yes",IF($C403="Yes","No","")))</f>
      </c>
      <c r="E403">
        <f>IF($A403="","",IF($A403="Neuron",IF(OR(AND($S403&lt;&gt;"",LOWER(TRIM($S403))&lt;&gt;"n/a",COUNTIF($S$2:$S$532,$S403)&gt;1),AND($T403&lt;&gt;"",LOWER(TRIM($T403))&lt;&gt;"n/a",COUNTIF($T$2:$T$532,$T403)&gt;1),AND($W403&lt;&gt;"",LOWER(TRIM($W403))&lt;&gt;"n/a",COUNTIF($W$2:$W$532,$W403)&gt;1)),"Yes","No"),IF($A403="Cybernet",IF(OR(AND($Y403&lt;&gt;"",LOWER(TRIM($Y403))&lt;&gt;"n/a",COUNTIF($Y$2:$Y$532,$Y403)&gt;1),AND($Z403&lt;&gt;"",LOWER(TRIM($Z403))&lt;&gt;"n/a",COUNTIF($Z$2:$Z$532,$Z403)&gt;1)),"Yes","No"),IF(AND($AL403&lt;&gt;"",LOWER(TRIM($AL403))&lt;&gt;"n/a",COUNTIF($AL$2:$AL$532,$AL403)&gt;1),"Yes","No"))))</f>
      </c>
      <c r="F403">
        <f>IF($B403&lt;&gt;"Yes","",
IF($A403="Neuron",
IF(OR(
AND($S403&lt;&gt;"",LOWER(TRIM($S403))&lt;&gt;"n/a",COUNTIFS($B$2:$B$532,"Yes",$A$2:$A$532,"Neuron",$S$2:$S$532,$S403)&gt;1),
AND($T403&lt;&gt;"",LOWER(TRIM($T403))&lt;&gt;"n/a",COUNTIFS($B$2:$B$532,"Yes",$A$2:$A$532,"Neuron",$T$2:$T$532,$T403)&gt;1),
AND($W403&lt;&gt;"",LOWER(TRIM($W403))&lt;&gt;"n/a",COUNTIFS($B$2:$B$532,"Yes",$A$2:$A$532,"Neuron",$W$2:$W$532,$W403)&gt;1)
),"Yes","No"),
IF($A403="Cybernet",
IF(OR(
AND($Y403&lt;&gt;"",LOWER(TRIM($Y403))&lt;&gt;"n/a",COUNTIFS($B$2:$B$532,"Yes",$A$2:$A$532,"Cybernet",$Y$2:$Y$532,$Y403)&gt;1),
AND($Z403&lt;&gt;"",LOWER(TRIM($Z403))&lt;&gt;"n/a",COUNTIFS($B$2:$B$532,"Yes",$A$2:$A$532,"Cybernet",$Z$2:$Z$532,$Z403)&gt;1)
),"Yes","No"),
IF(AND($AL403&lt;&gt;"",LOWER(TRIM($AL403))&lt;&gt;"n/a"),
IF(COUNTIFS($B$2:$B$532,"Yes",$A$2:$A$532,$A403,$AL$2:$AL$532,$AL403)&gt;1,"Yes","No"),
"No")
)
)
)</f>
      </c>
      <c r="BL403">
        <f>IF($T403="","",IF((IF(AND($AW403&lt;&gt;"Yes",$AW403&lt;&gt;"N/A"),"Power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",""))="","",LEFT(IF(AND($AW403&lt;&gt;"Yes",$AW403&lt;&gt;"N/A"),"Power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",""),LEN(IF(AND($AW403&lt;&gt;"Yes",$AW403&lt;&gt;"N/A"),"Power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",""))-2)))</f>
      </c>
      <c r="BM403">
        <f>IF($T403="","",IF($BL403="","Yes","Blocked"))</f>
      </c>
      <c r="BP403">
        <f>IF($BO403="","",IFERROR(VLOOKUP($BO403,'01_Warehouse_Ledger'!$A:$N,4,FALSE),""))</f>
      </c>
      <c r="BQ403">
        <f>IF($BO403="","",IFERROR(VLOOKUP($BO403,'01_Warehouse_Ledger'!$A:$N,5,FALSE),""))</f>
      </c>
      <c r="BR403">
        <f>IF($BO403="","",IFERROR(VLOOKUP($BO403,'01_Warehouse_Ledger'!$A:$N,13,FALSE),""))</f>
      </c>
    </row>
    <row r="404">
      <c r="D404">
        <f>IF($B404&lt;&gt;"Yes","",IF($C404="No","Yes",IF($C404="Yes","No","")))</f>
      </c>
      <c r="E404">
        <f>IF($A404="","",IF($A404="Neuron",IF(OR(AND($S404&lt;&gt;"",LOWER(TRIM($S404))&lt;&gt;"n/a",COUNTIF($S$2:$S$532,$S404)&gt;1),AND($T404&lt;&gt;"",LOWER(TRIM($T404))&lt;&gt;"n/a",COUNTIF($T$2:$T$532,$T404)&gt;1),AND($W404&lt;&gt;"",LOWER(TRIM($W404))&lt;&gt;"n/a",COUNTIF($W$2:$W$532,$W404)&gt;1)),"Yes","No"),IF($A404="Cybernet",IF(OR(AND($Y404&lt;&gt;"",LOWER(TRIM($Y404))&lt;&gt;"n/a",COUNTIF($Y$2:$Y$532,$Y404)&gt;1),AND($Z404&lt;&gt;"",LOWER(TRIM($Z404))&lt;&gt;"n/a",COUNTIF($Z$2:$Z$532,$Z404)&gt;1)),"Yes","No"),IF(AND($AL404&lt;&gt;"",LOWER(TRIM($AL404))&lt;&gt;"n/a",COUNTIF($AL$2:$AL$532,$AL404)&gt;1),"Yes","No"))))</f>
      </c>
      <c r="F404">
        <f>IF($B404&lt;&gt;"Yes","",
IF($A404="Neuron",
IF(OR(
AND($S404&lt;&gt;"",LOWER(TRIM($S404))&lt;&gt;"n/a",COUNTIFS($B$2:$B$532,"Yes",$A$2:$A$532,"Neuron",$S$2:$S$532,$S404)&gt;1),
AND($T404&lt;&gt;"",LOWER(TRIM($T404))&lt;&gt;"n/a",COUNTIFS($B$2:$B$532,"Yes",$A$2:$A$532,"Neuron",$T$2:$T$532,$T404)&gt;1),
AND($W404&lt;&gt;"",LOWER(TRIM($W404))&lt;&gt;"n/a",COUNTIFS($B$2:$B$532,"Yes",$A$2:$A$532,"Neuron",$W$2:$W$532,$W404)&gt;1)
),"Yes","No"),
IF($A404="Cybernet",
IF(OR(
AND($Y404&lt;&gt;"",LOWER(TRIM($Y404))&lt;&gt;"n/a",COUNTIFS($B$2:$B$532,"Yes",$A$2:$A$532,"Cybernet",$Y$2:$Y$532,$Y404)&gt;1),
AND($Z404&lt;&gt;"",LOWER(TRIM($Z404))&lt;&gt;"n/a",COUNTIFS($B$2:$B$532,"Yes",$A$2:$A$532,"Cybernet",$Z$2:$Z$532,$Z404)&gt;1)
),"Yes","No"),
IF(AND($AL404&lt;&gt;"",LOWER(TRIM($AL404))&lt;&gt;"n/a"),
IF(COUNTIFS($B$2:$B$532,"Yes",$A$2:$A$532,$A404,$AL$2:$AL$532,$AL404)&gt;1,"Yes","No"),
"No")
)
)
)</f>
      </c>
      <c r="BL404">
        <f>IF($T404="","",IF((IF(AND($AW404&lt;&gt;"Yes",$AW404&lt;&gt;"N/A"),"Power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",""))="","",LEFT(IF(AND($AW404&lt;&gt;"Yes",$AW404&lt;&gt;"N/A"),"Power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",""),LEN(IF(AND($AW404&lt;&gt;"Yes",$AW404&lt;&gt;"N/A"),"Power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",""))-2)))</f>
      </c>
      <c r="BM404">
        <f>IF($T404="","",IF($BL404="","Yes","Blocked"))</f>
      </c>
      <c r="BP404">
        <f>IF($BO404="","",IFERROR(VLOOKUP($BO404,'01_Warehouse_Ledger'!$A:$N,4,FALSE),""))</f>
      </c>
      <c r="BQ404">
        <f>IF($BO404="","",IFERROR(VLOOKUP($BO404,'01_Warehouse_Ledger'!$A:$N,5,FALSE),""))</f>
      </c>
      <c r="BR404">
        <f>IF($BO404="","",IFERROR(VLOOKUP($BO404,'01_Warehouse_Ledger'!$A:$N,13,FALSE),""))</f>
      </c>
    </row>
    <row r="405">
      <c r="D405">
        <f>IF($B405&lt;&gt;"Yes","",IF($C405="No","Yes",IF($C405="Yes","No","")))</f>
      </c>
      <c r="E405">
        <f>IF($A405="","",IF($A405="Neuron",IF(OR(AND($S405&lt;&gt;"",LOWER(TRIM($S405))&lt;&gt;"n/a",COUNTIF($S$2:$S$532,$S405)&gt;1),AND($T405&lt;&gt;"",LOWER(TRIM($T405))&lt;&gt;"n/a",COUNTIF($T$2:$T$532,$T405)&gt;1),AND($W405&lt;&gt;"",LOWER(TRIM($W405))&lt;&gt;"n/a",COUNTIF($W$2:$W$532,$W405)&gt;1)),"Yes","No"),IF($A405="Cybernet",IF(OR(AND($Y405&lt;&gt;"",LOWER(TRIM($Y405))&lt;&gt;"n/a",COUNTIF($Y$2:$Y$532,$Y405)&gt;1),AND($Z405&lt;&gt;"",LOWER(TRIM($Z405))&lt;&gt;"n/a",COUNTIF($Z$2:$Z$532,$Z405)&gt;1)),"Yes","No"),IF(AND($AL405&lt;&gt;"",LOWER(TRIM($AL405))&lt;&gt;"n/a",COUNTIF($AL$2:$AL$532,$AL405)&gt;1),"Yes","No"))))</f>
      </c>
      <c r="F405">
        <f>IF($B405&lt;&gt;"Yes","",
IF($A405="Neuron",
IF(OR(
AND($S405&lt;&gt;"",LOWER(TRIM($S405))&lt;&gt;"n/a",COUNTIFS($B$2:$B$532,"Yes",$A$2:$A$532,"Neuron",$S$2:$S$532,$S405)&gt;1),
AND($T405&lt;&gt;"",LOWER(TRIM($T405))&lt;&gt;"n/a",COUNTIFS($B$2:$B$532,"Yes",$A$2:$A$532,"Neuron",$T$2:$T$532,$T405)&gt;1),
AND($W405&lt;&gt;"",LOWER(TRIM($W405))&lt;&gt;"n/a",COUNTIFS($B$2:$B$532,"Yes",$A$2:$A$532,"Neuron",$W$2:$W$532,$W405)&gt;1)
),"Yes","No"),
IF($A405="Cybernet",
IF(OR(
AND($Y405&lt;&gt;"",LOWER(TRIM($Y405))&lt;&gt;"n/a",COUNTIFS($B$2:$B$532,"Yes",$A$2:$A$532,"Cybernet",$Y$2:$Y$532,$Y405)&gt;1),
AND($Z405&lt;&gt;"",LOWER(TRIM($Z405))&lt;&gt;"n/a",COUNTIFS($B$2:$B$532,"Yes",$A$2:$A$532,"Cybernet",$Z$2:$Z$532,$Z405)&gt;1)
),"Yes","No"),
IF(AND($AL405&lt;&gt;"",LOWER(TRIM($AL405))&lt;&gt;"n/a"),
IF(COUNTIFS($B$2:$B$532,"Yes",$A$2:$A$532,$A405,$AL$2:$AL$532,$AL405)&gt;1,"Yes","No"),
"No")
)
)
)</f>
      </c>
      <c r="BL405">
        <f>IF($T405="","",IF((IF(AND($AW405&lt;&gt;"Yes",$AW405&lt;&gt;"N/A"),"Power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",""))="","",LEFT(IF(AND($AW405&lt;&gt;"Yes",$AW405&lt;&gt;"N/A"),"Power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",""),LEN(IF(AND($AW405&lt;&gt;"Yes",$AW405&lt;&gt;"N/A"),"Power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",""))-2)))</f>
      </c>
      <c r="BM405">
        <f>IF($T405="","",IF($BL405="","Yes","Blocked"))</f>
      </c>
      <c r="BP405">
        <f>IF($BO405="","",IFERROR(VLOOKUP($BO405,'01_Warehouse_Ledger'!$A:$N,4,FALSE),""))</f>
      </c>
      <c r="BQ405">
        <f>IF($BO405="","",IFERROR(VLOOKUP($BO405,'01_Warehouse_Ledger'!$A:$N,5,FALSE),""))</f>
      </c>
      <c r="BR405">
        <f>IF($BO405="","",IFERROR(VLOOKUP($BO405,'01_Warehouse_Ledger'!$A:$N,13,FALSE),""))</f>
      </c>
    </row>
    <row r="406">
      <c r="D406">
        <f>IF($B406&lt;&gt;"Yes","",IF($C406="No","Yes",IF($C406="Yes","No","")))</f>
      </c>
      <c r="E406">
        <f>IF($A406="","",IF($A406="Neuron",IF(OR(AND($S406&lt;&gt;"",LOWER(TRIM($S406))&lt;&gt;"n/a",COUNTIF($S$2:$S$532,$S406)&gt;1),AND($T406&lt;&gt;"",LOWER(TRIM($T406))&lt;&gt;"n/a",COUNTIF($T$2:$T$532,$T406)&gt;1),AND($W406&lt;&gt;"",LOWER(TRIM($W406))&lt;&gt;"n/a",COUNTIF($W$2:$W$532,$W406)&gt;1)),"Yes","No"),IF($A406="Cybernet",IF(OR(AND($Y406&lt;&gt;"",LOWER(TRIM($Y406))&lt;&gt;"n/a",COUNTIF($Y$2:$Y$532,$Y406)&gt;1),AND($Z406&lt;&gt;"",LOWER(TRIM($Z406))&lt;&gt;"n/a",COUNTIF($Z$2:$Z$532,$Z406)&gt;1)),"Yes","No"),IF(AND($AL406&lt;&gt;"",LOWER(TRIM($AL406))&lt;&gt;"n/a",COUNTIF($AL$2:$AL$532,$AL406)&gt;1),"Yes","No"))))</f>
      </c>
      <c r="F406">
        <f>IF($B406&lt;&gt;"Yes","",
IF($A406="Neuron",
IF(OR(
AND($S406&lt;&gt;"",LOWER(TRIM($S406))&lt;&gt;"n/a",COUNTIFS($B$2:$B$532,"Yes",$A$2:$A$532,"Neuron",$S$2:$S$532,$S406)&gt;1),
AND($T406&lt;&gt;"",LOWER(TRIM($T406))&lt;&gt;"n/a",COUNTIFS($B$2:$B$532,"Yes",$A$2:$A$532,"Neuron",$T$2:$T$532,$T406)&gt;1),
AND($W406&lt;&gt;"",LOWER(TRIM($W406))&lt;&gt;"n/a",COUNTIFS($B$2:$B$532,"Yes",$A$2:$A$532,"Neuron",$W$2:$W$532,$W406)&gt;1)
),"Yes","No"),
IF($A406="Cybernet",
IF(OR(
AND($Y406&lt;&gt;"",LOWER(TRIM($Y406))&lt;&gt;"n/a",COUNTIFS($B$2:$B$532,"Yes",$A$2:$A$532,"Cybernet",$Y$2:$Y$532,$Y406)&gt;1),
AND($Z406&lt;&gt;"",LOWER(TRIM($Z406))&lt;&gt;"n/a",COUNTIFS($B$2:$B$532,"Yes",$A$2:$A$532,"Cybernet",$Z$2:$Z$532,$Z406)&gt;1)
),"Yes","No"),
IF(AND($AL406&lt;&gt;"",LOWER(TRIM($AL406))&lt;&gt;"n/a"),
IF(COUNTIFS($B$2:$B$532,"Yes",$A$2:$A$532,$A406,$AL$2:$AL$532,$AL406)&gt;1,"Yes","No"),
"No")
)
)
)</f>
      </c>
      <c r="BL406">
        <f>IF($T406="","",IF((IF(AND($AW406&lt;&gt;"Yes",$AW406&lt;&gt;"N/A"),"Power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",""))="","",LEFT(IF(AND($AW406&lt;&gt;"Yes",$AW406&lt;&gt;"N/A"),"Power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",""),LEN(IF(AND($AW406&lt;&gt;"Yes",$AW406&lt;&gt;"N/A"),"Power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",""))-2)))</f>
      </c>
      <c r="BM406">
        <f>IF($T406="","",IF($BL406="","Yes","Blocked"))</f>
      </c>
      <c r="BP406">
        <f>IF($BO406="","",IFERROR(VLOOKUP($BO406,'01_Warehouse_Ledger'!$A:$N,4,FALSE),""))</f>
      </c>
      <c r="BQ406">
        <f>IF($BO406="","",IFERROR(VLOOKUP($BO406,'01_Warehouse_Ledger'!$A:$N,5,FALSE),""))</f>
      </c>
      <c r="BR406">
        <f>IF($BO406="","",IFERROR(VLOOKUP($BO406,'01_Warehouse_Ledger'!$A:$N,13,FALSE),""))</f>
      </c>
    </row>
    <row r="407">
      <c r="D407">
        <f>IF($B407&lt;&gt;"Yes","",IF($C407="No","Yes",IF($C407="Yes","No","")))</f>
      </c>
      <c r="E407">
        <f>IF($A407="","",IF($A407="Neuron",IF(OR(AND($S407&lt;&gt;"",LOWER(TRIM($S407))&lt;&gt;"n/a",COUNTIF($S$2:$S$532,$S407)&gt;1),AND($T407&lt;&gt;"",LOWER(TRIM($T407))&lt;&gt;"n/a",COUNTIF($T$2:$T$532,$T407)&gt;1),AND($W407&lt;&gt;"",LOWER(TRIM($W407))&lt;&gt;"n/a",COUNTIF($W$2:$W$532,$W407)&gt;1)),"Yes","No"),IF($A407="Cybernet",IF(OR(AND($Y407&lt;&gt;"",LOWER(TRIM($Y407))&lt;&gt;"n/a",COUNTIF($Y$2:$Y$532,$Y407)&gt;1),AND($Z407&lt;&gt;"",LOWER(TRIM($Z407))&lt;&gt;"n/a",COUNTIF($Z$2:$Z$532,$Z407)&gt;1)),"Yes","No"),IF(AND($AL407&lt;&gt;"",LOWER(TRIM($AL407))&lt;&gt;"n/a",COUNTIF($AL$2:$AL$532,$AL407)&gt;1),"Yes","No"))))</f>
      </c>
      <c r="F407">
        <f>IF($B407&lt;&gt;"Yes","",
IF($A407="Neuron",
IF(OR(
AND($S407&lt;&gt;"",LOWER(TRIM($S407))&lt;&gt;"n/a",COUNTIFS($B$2:$B$532,"Yes",$A$2:$A$532,"Neuron",$S$2:$S$532,$S407)&gt;1),
AND($T407&lt;&gt;"",LOWER(TRIM($T407))&lt;&gt;"n/a",COUNTIFS($B$2:$B$532,"Yes",$A$2:$A$532,"Neuron",$T$2:$T$532,$T407)&gt;1),
AND($W407&lt;&gt;"",LOWER(TRIM($W407))&lt;&gt;"n/a",COUNTIFS($B$2:$B$532,"Yes",$A$2:$A$532,"Neuron",$W$2:$W$532,$W407)&gt;1)
),"Yes","No"),
IF($A407="Cybernet",
IF(OR(
AND($Y407&lt;&gt;"",LOWER(TRIM($Y407))&lt;&gt;"n/a",COUNTIFS($B$2:$B$532,"Yes",$A$2:$A$532,"Cybernet",$Y$2:$Y$532,$Y407)&gt;1),
AND($Z407&lt;&gt;"",LOWER(TRIM($Z407))&lt;&gt;"n/a",COUNTIFS($B$2:$B$532,"Yes",$A$2:$A$532,"Cybernet",$Z$2:$Z$532,$Z407)&gt;1)
),"Yes","No"),
IF(AND($AL407&lt;&gt;"",LOWER(TRIM($AL407))&lt;&gt;"n/a"),
IF(COUNTIFS($B$2:$B$532,"Yes",$A$2:$A$532,$A407,$AL$2:$AL$532,$AL407)&gt;1,"Yes","No"),
"No")
)
)
)</f>
      </c>
      <c r="BL407">
        <f>IF($T407="","",IF((IF(AND($AW407&lt;&gt;"Yes",$AW407&lt;&gt;"N/A"),"Power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",""))="","",LEFT(IF(AND($AW407&lt;&gt;"Yes",$AW407&lt;&gt;"N/A"),"Power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",""),LEN(IF(AND($AW407&lt;&gt;"Yes",$AW407&lt;&gt;"N/A"),"Power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",""))-2)))</f>
      </c>
      <c r="BM407">
        <f>IF($T407="","",IF($BL407="","Yes","Blocked"))</f>
      </c>
      <c r="BP407">
        <f>IF($BO407="","",IFERROR(VLOOKUP($BO407,'01_Warehouse_Ledger'!$A:$N,4,FALSE),""))</f>
      </c>
      <c r="BQ407">
        <f>IF($BO407="","",IFERROR(VLOOKUP($BO407,'01_Warehouse_Ledger'!$A:$N,5,FALSE),""))</f>
      </c>
      <c r="BR407">
        <f>IF($BO407="","",IFERROR(VLOOKUP($BO407,'01_Warehouse_Ledger'!$A:$N,13,FALSE),""))</f>
      </c>
    </row>
    <row r="408">
      <c r="D408">
        <f>IF($B408&lt;&gt;"Yes","",IF($C408="No","Yes",IF($C408="Yes","No","")))</f>
      </c>
      <c r="E408">
        <f>IF($A408="","",IF($A408="Neuron",IF(OR(AND($S408&lt;&gt;"",LOWER(TRIM($S408))&lt;&gt;"n/a",COUNTIF($S$2:$S$532,$S408)&gt;1),AND($T408&lt;&gt;"",LOWER(TRIM($T408))&lt;&gt;"n/a",COUNTIF($T$2:$T$532,$T408)&gt;1),AND($W408&lt;&gt;"",LOWER(TRIM($W408))&lt;&gt;"n/a",COUNTIF($W$2:$W$532,$W408)&gt;1)),"Yes","No"),IF($A408="Cybernet",IF(OR(AND($Y408&lt;&gt;"",LOWER(TRIM($Y408))&lt;&gt;"n/a",COUNTIF($Y$2:$Y$532,$Y408)&gt;1),AND($Z408&lt;&gt;"",LOWER(TRIM($Z408))&lt;&gt;"n/a",COUNTIF($Z$2:$Z$532,$Z408)&gt;1)),"Yes","No"),IF(AND($AL408&lt;&gt;"",LOWER(TRIM($AL408))&lt;&gt;"n/a",COUNTIF($AL$2:$AL$532,$AL408)&gt;1),"Yes","No"))))</f>
      </c>
      <c r="F408">
        <f>IF($B408&lt;&gt;"Yes","",
IF($A408="Neuron",
IF(OR(
AND($S408&lt;&gt;"",LOWER(TRIM($S408))&lt;&gt;"n/a",COUNTIFS($B$2:$B$532,"Yes",$A$2:$A$532,"Neuron",$S$2:$S$532,$S408)&gt;1),
AND($T408&lt;&gt;"",LOWER(TRIM($T408))&lt;&gt;"n/a",COUNTIFS($B$2:$B$532,"Yes",$A$2:$A$532,"Neuron",$T$2:$T$532,$T408)&gt;1),
AND($W408&lt;&gt;"",LOWER(TRIM($W408))&lt;&gt;"n/a",COUNTIFS($B$2:$B$532,"Yes",$A$2:$A$532,"Neuron",$W$2:$W$532,$W408)&gt;1)
),"Yes","No"),
IF($A408="Cybernet",
IF(OR(
AND($Y408&lt;&gt;"",LOWER(TRIM($Y408))&lt;&gt;"n/a",COUNTIFS($B$2:$B$532,"Yes",$A$2:$A$532,"Cybernet",$Y$2:$Y$532,$Y408)&gt;1),
AND($Z408&lt;&gt;"",LOWER(TRIM($Z408))&lt;&gt;"n/a",COUNTIFS($B$2:$B$532,"Yes",$A$2:$A$532,"Cybernet",$Z$2:$Z$532,$Z408)&gt;1)
),"Yes","No"),
IF(AND($AL408&lt;&gt;"",LOWER(TRIM($AL408))&lt;&gt;"n/a"),
IF(COUNTIFS($B$2:$B$532,"Yes",$A$2:$A$532,$A408,$AL$2:$AL$532,$AL408)&gt;1,"Yes","No"),
"No")
)
)
)</f>
      </c>
      <c r="BL408">
        <f>IF($T408="","",IF((IF(AND($AW408&lt;&gt;"Yes",$AW408&lt;&gt;"N/A"),"Power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",""))="","",LEFT(IF(AND($AW408&lt;&gt;"Yes",$AW408&lt;&gt;"N/A"),"Power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",""),LEN(IF(AND($AW408&lt;&gt;"Yes",$AW408&lt;&gt;"N/A"),"Power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",""))-2)))</f>
      </c>
      <c r="BM408">
        <f>IF($T408="","",IF($BL408="","Yes","Blocked"))</f>
      </c>
      <c r="BP408">
        <f>IF($BO408="","",IFERROR(VLOOKUP($BO408,'01_Warehouse_Ledger'!$A:$N,4,FALSE),""))</f>
      </c>
      <c r="BQ408">
        <f>IF($BO408="","",IFERROR(VLOOKUP($BO408,'01_Warehouse_Ledger'!$A:$N,5,FALSE),""))</f>
      </c>
      <c r="BR408">
        <f>IF($BO408="","",IFERROR(VLOOKUP($BO408,'01_Warehouse_Ledger'!$A:$N,13,FALSE),""))</f>
      </c>
    </row>
    <row r="409">
      <c r="D409">
        <f>IF($B409&lt;&gt;"Yes","",IF($C409="No","Yes",IF($C409="Yes","No","")))</f>
      </c>
      <c r="E409">
        <f>IF($A409="","",IF($A409="Neuron",IF(OR(AND($S409&lt;&gt;"",LOWER(TRIM($S409))&lt;&gt;"n/a",COUNTIF($S$2:$S$532,$S409)&gt;1),AND($T409&lt;&gt;"",LOWER(TRIM($T409))&lt;&gt;"n/a",COUNTIF($T$2:$T$532,$T409)&gt;1),AND($W409&lt;&gt;"",LOWER(TRIM($W409))&lt;&gt;"n/a",COUNTIF($W$2:$W$532,$W409)&gt;1)),"Yes","No"),IF($A409="Cybernet",IF(OR(AND($Y409&lt;&gt;"",LOWER(TRIM($Y409))&lt;&gt;"n/a",COUNTIF($Y$2:$Y$532,$Y409)&gt;1),AND($Z409&lt;&gt;"",LOWER(TRIM($Z409))&lt;&gt;"n/a",COUNTIF($Z$2:$Z$532,$Z409)&gt;1)),"Yes","No"),IF(AND($AL409&lt;&gt;"",LOWER(TRIM($AL409))&lt;&gt;"n/a",COUNTIF($AL$2:$AL$532,$AL409)&gt;1),"Yes","No"))))</f>
      </c>
      <c r="F409">
        <f>IF($B409&lt;&gt;"Yes","",
IF($A409="Neuron",
IF(OR(
AND($S409&lt;&gt;"",LOWER(TRIM($S409))&lt;&gt;"n/a",COUNTIFS($B$2:$B$532,"Yes",$A$2:$A$532,"Neuron",$S$2:$S$532,$S409)&gt;1),
AND($T409&lt;&gt;"",LOWER(TRIM($T409))&lt;&gt;"n/a",COUNTIFS($B$2:$B$532,"Yes",$A$2:$A$532,"Neuron",$T$2:$T$532,$T409)&gt;1),
AND($W409&lt;&gt;"",LOWER(TRIM($W409))&lt;&gt;"n/a",COUNTIFS($B$2:$B$532,"Yes",$A$2:$A$532,"Neuron",$W$2:$W$532,$W409)&gt;1)
),"Yes","No"),
IF($A409="Cybernet",
IF(OR(
AND($Y409&lt;&gt;"",LOWER(TRIM($Y409))&lt;&gt;"n/a",COUNTIFS($B$2:$B$532,"Yes",$A$2:$A$532,"Cybernet",$Y$2:$Y$532,$Y409)&gt;1),
AND($Z409&lt;&gt;"",LOWER(TRIM($Z409))&lt;&gt;"n/a",COUNTIFS($B$2:$B$532,"Yes",$A$2:$A$532,"Cybernet",$Z$2:$Z$532,$Z409)&gt;1)
),"Yes","No"),
IF(AND($AL409&lt;&gt;"",LOWER(TRIM($AL409))&lt;&gt;"n/a"),
IF(COUNTIFS($B$2:$B$532,"Yes",$A$2:$A$532,$A409,$AL$2:$AL$532,$AL409)&gt;1,"Yes","No"),
"No")
)
)
)</f>
      </c>
      <c r="BL409">
        <f>IF($T409="","",IF((IF(AND($AW409&lt;&gt;"Yes",$AW409&lt;&gt;"N/A"),"Power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",""))="","",LEFT(IF(AND($AW409&lt;&gt;"Yes",$AW409&lt;&gt;"N/A"),"Power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",""),LEN(IF(AND($AW409&lt;&gt;"Yes",$AW409&lt;&gt;"N/A"),"Power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",""))-2)))</f>
      </c>
      <c r="BM409">
        <f>IF($T409="","",IF($BL409="","Yes","Blocked"))</f>
      </c>
      <c r="BP409">
        <f>IF($BO409="","",IFERROR(VLOOKUP($BO409,'01_Warehouse_Ledger'!$A:$N,4,FALSE),""))</f>
      </c>
      <c r="BQ409">
        <f>IF($BO409="","",IFERROR(VLOOKUP($BO409,'01_Warehouse_Ledger'!$A:$N,5,FALSE),""))</f>
      </c>
      <c r="BR409">
        <f>IF($BO409="","",IFERROR(VLOOKUP($BO409,'01_Warehouse_Ledger'!$A:$N,13,FALSE),""))</f>
      </c>
    </row>
    <row r="410">
      <c r="D410">
        <f>IF($B410&lt;&gt;"Yes","",IF($C410="No","Yes",IF($C410="Yes","No","")))</f>
      </c>
      <c r="E410">
        <f>IF($A410="","",IF($A410="Neuron",IF(OR(AND($S410&lt;&gt;"",LOWER(TRIM($S410))&lt;&gt;"n/a",COUNTIF($S$2:$S$532,$S410)&gt;1),AND($T410&lt;&gt;"",LOWER(TRIM($T410))&lt;&gt;"n/a",COUNTIF($T$2:$T$532,$T410)&gt;1),AND($W410&lt;&gt;"",LOWER(TRIM($W410))&lt;&gt;"n/a",COUNTIF($W$2:$W$532,$W410)&gt;1)),"Yes","No"),IF($A410="Cybernet",IF(OR(AND($Y410&lt;&gt;"",LOWER(TRIM($Y410))&lt;&gt;"n/a",COUNTIF($Y$2:$Y$532,$Y410)&gt;1),AND($Z410&lt;&gt;"",LOWER(TRIM($Z410))&lt;&gt;"n/a",COUNTIF($Z$2:$Z$532,$Z410)&gt;1)),"Yes","No"),IF(AND($AL410&lt;&gt;"",LOWER(TRIM($AL410))&lt;&gt;"n/a",COUNTIF($AL$2:$AL$532,$AL410)&gt;1),"Yes","No"))))</f>
      </c>
      <c r="F410">
        <f>IF($B410&lt;&gt;"Yes","",
IF($A410="Neuron",
IF(OR(
AND($S410&lt;&gt;"",LOWER(TRIM($S410))&lt;&gt;"n/a",COUNTIFS($B$2:$B$532,"Yes",$A$2:$A$532,"Neuron",$S$2:$S$532,$S410)&gt;1),
AND($T410&lt;&gt;"",LOWER(TRIM($T410))&lt;&gt;"n/a",COUNTIFS($B$2:$B$532,"Yes",$A$2:$A$532,"Neuron",$T$2:$T$532,$T410)&gt;1),
AND($W410&lt;&gt;"",LOWER(TRIM($W410))&lt;&gt;"n/a",COUNTIFS($B$2:$B$532,"Yes",$A$2:$A$532,"Neuron",$W$2:$W$532,$W410)&gt;1)
),"Yes","No"),
IF($A410="Cybernet",
IF(OR(
AND($Y410&lt;&gt;"",LOWER(TRIM($Y410))&lt;&gt;"n/a",COUNTIFS($B$2:$B$532,"Yes",$A$2:$A$532,"Cybernet",$Y$2:$Y$532,$Y410)&gt;1),
AND($Z410&lt;&gt;"",LOWER(TRIM($Z410))&lt;&gt;"n/a",COUNTIFS($B$2:$B$532,"Yes",$A$2:$A$532,"Cybernet",$Z$2:$Z$532,$Z410)&gt;1)
),"Yes","No"),
IF(AND($AL410&lt;&gt;"",LOWER(TRIM($AL410))&lt;&gt;"n/a"),
IF(COUNTIFS($B$2:$B$532,"Yes",$A$2:$A$532,$A410,$AL$2:$AL$532,$AL410)&gt;1,"Yes","No"),
"No")
)
)
)</f>
      </c>
      <c r="BL410">
        <f>IF($T410="","",IF((IF(AND($AW410&lt;&gt;"Yes",$AW410&lt;&gt;"N/A"),"Power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",""))="","",LEFT(IF(AND($AW410&lt;&gt;"Yes",$AW410&lt;&gt;"N/A"),"Power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",""),LEN(IF(AND($AW410&lt;&gt;"Yes",$AW410&lt;&gt;"N/A"),"Power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",""))-2)))</f>
      </c>
      <c r="BM410">
        <f>IF($T410="","",IF($BL410="","Yes","Blocked"))</f>
      </c>
      <c r="BP410">
        <f>IF($BO410="","",IFERROR(VLOOKUP($BO410,'01_Warehouse_Ledger'!$A:$N,4,FALSE),""))</f>
      </c>
      <c r="BQ410">
        <f>IF($BO410="","",IFERROR(VLOOKUP($BO410,'01_Warehouse_Ledger'!$A:$N,5,FALSE),""))</f>
      </c>
      <c r="BR410">
        <f>IF($BO410="","",IFERROR(VLOOKUP($BO410,'01_Warehouse_Ledger'!$A:$N,13,FALSE),""))</f>
      </c>
    </row>
    <row r="411">
      <c r="D411">
        <f>IF($B411&lt;&gt;"Yes","",IF($C411="No","Yes",IF($C411="Yes","No","")))</f>
      </c>
      <c r="E411">
        <f>IF($A411="","",IF($A411="Neuron",IF(OR(AND($S411&lt;&gt;"",LOWER(TRIM($S411))&lt;&gt;"n/a",COUNTIF($S$2:$S$532,$S411)&gt;1),AND($T411&lt;&gt;"",LOWER(TRIM($T411))&lt;&gt;"n/a",COUNTIF($T$2:$T$532,$T411)&gt;1),AND($W411&lt;&gt;"",LOWER(TRIM($W411))&lt;&gt;"n/a",COUNTIF($W$2:$W$532,$W411)&gt;1)),"Yes","No"),IF($A411="Cybernet",IF(OR(AND($Y411&lt;&gt;"",LOWER(TRIM($Y411))&lt;&gt;"n/a",COUNTIF($Y$2:$Y$532,$Y411)&gt;1),AND($Z411&lt;&gt;"",LOWER(TRIM($Z411))&lt;&gt;"n/a",COUNTIF($Z$2:$Z$532,$Z411)&gt;1)),"Yes","No"),IF(AND($AL411&lt;&gt;"",LOWER(TRIM($AL411))&lt;&gt;"n/a",COUNTIF($AL$2:$AL$532,$AL411)&gt;1),"Yes","No"))))</f>
      </c>
      <c r="F411">
        <f>IF($B411&lt;&gt;"Yes","",
IF($A411="Neuron",
IF(OR(
AND($S411&lt;&gt;"",LOWER(TRIM($S411))&lt;&gt;"n/a",COUNTIFS($B$2:$B$532,"Yes",$A$2:$A$532,"Neuron",$S$2:$S$532,$S411)&gt;1),
AND($T411&lt;&gt;"",LOWER(TRIM($T411))&lt;&gt;"n/a",COUNTIFS($B$2:$B$532,"Yes",$A$2:$A$532,"Neuron",$T$2:$T$532,$T411)&gt;1),
AND($W411&lt;&gt;"",LOWER(TRIM($W411))&lt;&gt;"n/a",COUNTIFS($B$2:$B$532,"Yes",$A$2:$A$532,"Neuron",$W$2:$W$532,$W411)&gt;1)
),"Yes","No"),
IF($A411="Cybernet",
IF(OR(
AND($Y411&lt;&gt;"",LOWER(TRIM($Y411))&lt;&gt;"n/a",COUNTIFS($B$2:$B$532,"Yes",$A$2:$A$532,"Cybernet",$Y$2:$Y$532,$Y411)&gt;1),
AND($Z411&lt;&gt;"",LOWER(TRIM($Z411))&lt;&gt;"n/a",COUNTIFS($B$2:$B$532,"Yes",$A$2:$A$532,"Cybernet",$Z$2:$Z$532,$Z411)&gt;1)
),"Yes","No"),
IF(AND($AL411&lt;&gt;"",LOWER(TRIM($AL411))&lt;&gt;"n/a"),
IF(COUNTIFS($B$2:$B$532,"Yes",$A$2:$A$532,$A411,$AL$2:$AL$532,$AL411)&gt;1,"Yes","No"),
"No")
)
)
)</f>
      </c>
      <c r="BL411">
        <f>IF($T411="","",IF((IF(AND($AW411&lt;&gt;"Yes",$AW411&lt;&gt;"N/A"),"Power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",""))="","",LEFT(IF(AND($AW411&lt;&gt;"Yes",$AW411&lt;&gt;"N/A"),"Power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",""),LEN(IF(AND($AW411&lt;&gt;"Yes",$AW411&lt;&gt;"N/A"),"Power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",""))-2)))</f>
      </c>
      <c r="BM411">
        <f>IF($T411="","",IF($BL411="","Yes","Blocked"))</f>
      </c>
      <c r="BP411">
        <f>IF($BO411="","",IFERROR(VLOOKUP($BO411,'01_Warehouse_Ledger'!$A:$N,4,FALSE),""))</f>
      </c>
      <c r="BQ411">
        <f>IF($BO411="","",IFERROR(VLOOKUP($BO411,'01_Warehouse_Ledger'!$A:$N,5,FALSE),""))</f>
      </c>
      <c r="BR411">
        <f>IF($BO411="","",IFERROR(VLOOKUP($BO411,'01_Warehouse_Ledger'!$A:$N,13,FALSE),""))</f>
      </c>
    </row>
    <row r="412">
      <c r="D412">
        <f>IF($B412&lt;&gt;"Yes","",IF($C412="No","Yes",IF($C412="Yes","No","")))</f>
      </c>
      <c r="E412">
        <f>IF($A412="","",IF($A412="Neuron",IF(OR(AND($S412&lt;&gt;"",LOWER(TRIM($S412))&lt;&gt;"n/a",COUNTIF($S$2:$S$532,$S412)&gt;1),AND($T412&lt;&gt;"",LOWER(TRIM($T412))&lt;&gt;"n/a",COUNTIF($T$2:$T$532,$T412)&gt;1),AND($W412&lt;&gt;"",LOWER(TRIM($W412))&lt;&gt;"n/a",COUNTIF($W$2:$W$532,$W412)&gt;1)),"Yes","No"),IF($A412="Cybernet",IF(OR(AND($Y412&lt;&gt;"",LOWER(TRIM($Y412))&lt;&gt;"n/a",COUNTIF($Y$2:$Y$532,$Y412)&gt;1),AND($Z412&lt;&gt;"",LOWER(TRIM($Z412))&lt;&gt;"n/a",COUNTIF($Z$2:$Z$532,$Z412)&gt;1)),"Yes","No"),IF(AND($AL412&lt;&gt;"",LOWER(TRIM($AL412))&lt;&gt;"n/a",COUNTIF($AL$2:$AL$532,$AL412)&gt;1),"Yes","No"))))</f>
      </c>
      <c r="F412">
        <f>IF($B412&lt;&gt;"Yes","",
IF($A412="Neuron",
IF(OR(
AND($S412&lt;&gt;"",LOWER(TRIM($S412))&lt;&gt;"n/a",COUNTIFS($B$2:$B$532,"Yes",$A$2:$A$532,"Neuron",$S$2:$S$532,$S412)&gt;1),
AND($T412&lt;&gt;"",LOWER(TRIM($T412))&lt;&gt;"n/a",COUNTIFS($B$2:$B$532,"Yes",$A$2:$A$532,"Neuron",$T$2:$T$532,$T412)&gt;1),
AND($W412&lt;&gt;"",LOWER(TRIM($W412))&lt;&gt;"n/a",COUNTIFS($B$2:$B$532,"Yes",$A$2:$A$532,"Neuron",$W$2:$W$532,$W412)&gt;1)
),"Yes","No"),
IF($A412="Cybernet",
IF(OR(
AND($Y412&lt;&gt;"",LOWER(TRIM($Y412))&lt;&gt;"n/a",COUNTIFS($B$2:$B$532,"Yes",$A$2:$A$532,"Cybernet",$Y$2:$Y$532,$Y412)&gt;1),
AND($Z412&lt;&gt;"",LOWER(TRIM($Z412))&lt;&gt;"n/a",COUNTIFS($B$2:$B$532,"Yes",$A$2:$A$532,"Cybernet",$Z$2:$Z$532,$Z412)&gt;1)
),"Yes","No"),
IF(AND($AL412&lt;&gt;"",LOWER(TRIM($AL412))&lt;&gt;"n/a"),
IF(COUNTIFS($B$2:$B$532,"Yes",$A$2:$A$532,$A412,$AL$2:$AL$532,$AL412)&gt;1,"Yes","No"),
"No")
)
)
)</f>
      </c>
      <c r="BL412">
        <f>IF($T412="","",IF((IF(AND($AW412&lt;&gt;"Yes",$AW412&lt;&gt;"N/A"),"Power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",""))="","",LEFT(IF(AND($AW412&lt;&gt;"Yes",$AW412&lt;&gt;"N/A"),"Power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",""),LEN(IF(AND($AW412&lt;&gt;"Yes",$AW412&lt;&gt;"N/A"),"Power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",""))-2)))</f>
      </c>
      <c r="BM412">
        <f>IF($T412="","",IF($BL412="","Yes","Blocked"))</f>
      </c>
      <c r="BP412">
        <f>IF($BO412="","",IFERROR(VLOOKUP($BO412,'01_Warehouse_Ledger'!$A:$N,4,FALSE),""))</f>
      </c>
      <c r="BQ412">
        <f>IF($BO412="","",IFERROR(VLOOKUP($BO412,'01_Warehouse_Ledger'!$A:$N,5,FALSE),""))</f>
      </c>
      <c r="BR412">
        <f>IF($BO412="","",IFERROR(VLOOKUP($BO412,'01_Warehouse_Ledger'!$A:$N,13,FALSE),""))</f>
      </c>
    </row>
    <row r="413">
      <c r="D413">
        <f>IF($B413&lt;&gt;"Yes","",IF($C413="No","Yes",IF($C413="Yes","No","")))</f>
      </c>
      <c r="E413">
        <f>IF($A413="","",IF($A413="Neuron",IF(OR(AND($S413&lt;&gt;"",LOWER(TRIM($S413))&lt;&gt;"n/a",COUNTIF($S$2:$S$532,$S413)&gt;1),AND($T413&lt;&gt;"",LOWER(TRIM($T413))&lt;&gt;"n/a",COUNTIF($T$2:$T$532,$T413)&gt;1),AND($W413&lt;&gt;"",LOWER(TRIM($W413))&lt;&gt;"n/a",COUNTIF($W$2:$W$532,$W413)&gt;1)),"Yes","No"),IF($A413="Cybernet",IF(OR(AND($Y413&lt;&gt;"",LOWER(TRIM($Y413))&lt;&gt;"n/a",COUNTIF($Y$2:$Y$532,$Y413)&gt;1),AND($Z413&lt;&gt;"",LOWER(TRIM($Z413))&lt;&gt;"n/a",COUNTIF($Z$2:$Z$532,$Z413)&gt;1)),"Yes","No"),IF(AND($AL413&lt;&gt;"",LOWER(TRIM($AL413))&lt;&gt;"n/a",COUNTIF($AL$2:$AL$532,$AL413)&gt;1),"Yes","No"))))</f>
      </c>
      <c r="F413">
        <f>IF($B413&lt;&gt;"Yes","",
IF($A413="Neuron",
IF(OR(
AND($S413&lt;&gt;"",LOWER(TRIM($S413))&lt;&gt;"n/a",COUNTIFS($B$2:$B$532,"Yes",$A$2:$A$532,"Neuron",$S$2:$S$532,$S413)&gt;1),
AND($T413&lt;&gt;"",LOWER(TRIM($T413))&lt;&gt;"n/a",COUNTIFS($B$2:$B$532,"Yes",$A$2:$A$532,"Neuron",$T$2:$T$532,$T413)&gt;1),
AND($W413&lt;&gt;"",LOWER(TRIM($W413))&lt;&gt;"n/a",COUNTIFS($B$2:$B$532,"Yes",$A$2:$A$532,"Neuron",$W$2:$W$532,$W413)&gt;1)
),"Yes","No"),
IF($A413="Cybernet",
IF(OR(
AND($Y413&lt;&gt;"",LOWER(TRIM($Y413))&lt;&gt;"n/a",COUNTIFS($B$2:$B$532,"Yes",$A$2:$A$532,"Cybernet",$Y$2:$Y$532,$Y413)&gt;1),
AND($Z413&lt;&gt;"",LOWER(TRIM($Z413))&lt;&gt;"n/a",COUNTIFS($B$2:$B$532,"Yes",$A$2:$A$532,"Cybernet",$Z$2:$Z$532,$Z413)&gt;1)
),"Yes","No"),
IF(AND($AL413&lt;&gt;"",LOWER(TRIM($AL413))&lt;&gt;"n/a"),
IF(COUNTIFS($B$2:$B$532,"Yes",$A$2:$A$532,$A413,$AL$2:$AL$532,$AL413)&gt;1,"Yes","No"),
"No")
)
)
)</f>
      </c>
      <c r="BL413">
        <f>IF($T413="","",IF((IF(AND($AW413&lt;&gt;"Yes",$AW413&lt;&gt;"N/A"),"Power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",""))="","",LEFT(IF(AND($AW413&lt;&gt;"Yes",$AW413&lt;&gt;"N/A"),"Power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",""),LEN(IF(AND($AW413&lt;&gt;"Yes",$AW413&lt;&gt;"N/A"),"Power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",""))-2)))</f>
      </c>
      <c r="BM413">
        <f>IF($T413="","",IF($BL413="","Yes","Blocked"))</f>
      </c>
      <c r="BP413">
        <f>IF($BO413="","",IFERROR(VLOOKUP($BO413,'01_Warehouse_Ledger'!$A:$N,4,FALSE),""))</f>
      </c>
      <c r="BQ413">
        <f>IF($BO413="","",IFERROR(VLOOKUP($BO413,'01_Warehouse_Ledger'!$A:$N,5,FALSE),""))</f>
      </c>
      <c r="BR413">
        <f>IF($BO413="","",IFERROR(VLOOKUP($BO413,'01_Warehouse_Ledger'!$A:$N,13,FALSE),""))</f>
      </c>
    </row>
    <row r="414">
      <c r="D414">
        <f>IF($B414&lt;&gt;"Yes","",IF($C414="No","Yes",IF($C414="Yes","No","")))</f>
      </c>
      <c r="E414">
        <f>IF($A414="","",IF($A414="Neuron",IF(OR(AND($S414&lt;&gt;"",LOWER(TRIM($S414))&lt;&gt;"n/a",COUNTIF($S$2:$S$532,$S414)&gt;1),AND($T414&lt;&gt;"",LOWER(TRIM($T414))&lt;&gt;"n/a",COUNTIF($T$2:$T$532,$T414)&gt;1),AND($W414&lt;&gt;"",LOWER(TRIM($W414))&lt;&gt;"n/a",COUNTIF($W$2:$W$532,$W414)&gt;1)),"Yes","No"),IF($A414="Cybernet",IF(OR(AND($Y414&lt;&gt;"",LOWER(TRIM($Y414))&lt;&gt;"n/a",COUNTIF($Y$2:$Y$532,$Y414)&gt;1),AND($Z414&lt;&gt;"",LOWER(TRIM($Z414))&lt;&gt;"n/a",COUNTIF($Z$2:$Z$532,$Z414)&gt;1)),"Yes","No"),IF(AND($AL414&lt;&gt;"",LOWER(TRIM($AL414))&lt;&gt;"n/a",COUNTIF($AL$2:$AL$532,$AL414)&gt;1),"Yes","No"))))</f>
      </c>
      <c r="F414">
        <f>IF($B414&lt;&gt;"Yes","",
IF($A414="Neuron",
IF(OR(
AND($S414&lt;&gt;"",LOWER(TRIM($S414))&lt;&gt;"n/a",COUNTIFS($B$2:$B$532,"Yes",$A$2:$A$532,"Neuron",$S$2:$S$532,$S414)&gt;1),
AND($T414&lt;&gt;"",LOWER(TRIM($T414))&lt;&gt;"n/a",COUNTIFS($B$2:$B$532,"Yes",$A$2:$A$532,"Neuron",$T$2:$T$532,$T414)&gt;1),
AND($W414&lt;&gt;"",LOWER(TRIM($W414))&lt;&gt;"n/a",COUNTIFS($B$2:$B$532,"Yes",$A$2:$A$532,"Neuron",$W$2:$W$532,$W414)&gt;1)
),"Yes","No"),
IF($A414="Cybernet",
IF(OR(
AND($Y414&lt;&gt;"",LOWER(TRIM($Y414))&lt;&gt;"n/a",COUNTIFS($B$2:$B$532,"Yes",$A$2:$A$532,"Cybernet",$Y$2:$Y$532,$Y414)&gt;1),
AND($Z414&lt;&gt;"",LOWER(TRIM($Z414))&lt;&gt;"n/a",COUNTIFS($B$2:$B$532,"Yes",$A$2:$A$532,"Cybernet",$Z$2:$Z$532,$Z414)&gt;1)
),"Yes","No"),
IF(AND($AL414&lt;&gt;"",LOWER(TRIM($AL414))&lt;&gt;"n/a"),
IF(COUNTIFS($B$2:$B$532,"Yes",$A$2:$A$532,$A414,$AL$2:$AL$532,$AL414)&gt;1,"Yes","No"),
"No")
)
)
)</f>
      </c>
      <c r="BL414">
        <f>IF($T414="","",IF((IF(AND($AW414&lt;&gt;"Yes",$AW414&lt;&gt;"N/A"),"Power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",""))="","",LEFT(IF(AND($AW414&lt;&gt;"Yes",$AW414&lt;&gt;"N/A"),"Power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",""),LEN(IF(AND($AW414&lt;&gt;"Yes",$AW414&lt;&gt;"N/A"),"Power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",""))-2)))</f>
      </c>
      <c r="BM414">
        <f>IF($T414="","",IF($BL414="","Yes","Blocked"))</f>
      </c>
      <c r="BP414">
        <f>IF($BO414="","",IFERROR(VLOOKUP($BO414,'01_Warehouse_Ledger'!$A:$N,4,FALSE),""))</f>
      </c>
      <c r="BQ414">
        <f>IF($BO414="","",IFERROR(VLOOKUP($BO414,'01_Warehouse_Ledger'!$A:$N,5,FALSE),""))</f>
      </c>
      <c r="BR414">
        <f>IF($BO414="","",IFERROR(VLOOKUP($BO414,'01_Warehouse_Ledger'!$A:$N,13,FALSE),""))</f>
      </c>
    </row>
    <row r="415">
      <c r="D415">
        <f>IF($B415&lt;&gt;"Yes","",IF($C415="No","Yes",IF($C415="Yes","No","")))</f>
      </c>
      <c r="E415">
        <f>IF($A415="","",IF($A415="Neuron",IF(OR(AND($S415&lt;&gt;"",LOWER(TRIM($S415))&lt;&gt;"n/a",COUNTIF($S$2:$S$532,$S415)&gt;1),AND($T415&lt;&gt;"",LOWER(TRIM($T415))&lt;&gt;"n/a",COUNTIF($T$2:$T$532,$T415)&gt;1),AND($W415&lt;&gt;"",LOWER(TRIM($W415))&lt;&gt;"n/a",COUNTIF($W$2:$W$532,$W415)&gt;1)),"Yes","No"),IF($A415="Cybernet",IF(OR(AND($Y415&lt;&gt;"",LOWER(TRIM($Y415))&lt;&gt;"n/a",COUNTIF($Y$2:$Y$532,$Y415)&gt;1),AND($Z415&lt;&gt;"",LOWER(TRIM($Z415))&lt;&gt;"n/a",COUNTIF($Z$2:$Z$532,$Z415)&gt;1)),"Yes","No"),IF(AND($AL415&lt;&gt;"",LOWER(TRIM($AL415))&lt;&gt;"n/a",COUNTIF($AL$2:$AL$532,$AL415)&gt;1),"Yes","No"))))</f>
      </c>
      <c r="F415">
        <f>IF($B415&lt;&gt;"Yes","",
IF($A415="Neuron",
IF(OR(
AND($S415&lt;&gt;"",LOWER(TRIM($S415))&lt;&gt;"n/a",COUNTIFS($B$2:$B$532,"Yes",$A$2:$A$532,"Neuron",$S$2:$S$532,$S415)&gt;1),
AND($T415&lt;&gt;"",LOWER(TRIM($T415))&lt;&gt;"n/a",COUNTIFS($B$2:$B$532,"Yes",$A$2:$A$532,"Neuron",$T$2:$T$532,$T415)&gt;1),
AND($W415&lt;&gt;"",LOWER(TRIM($W415))&lt;&gt;"n/a",COUNTIFS($B$2:$B$532,"Yes",$A$2:$A$532,"Neuron",$W$2:$W$532,$W415)&gt;1)
),"Yes","No"),
IF($A415="Cybernet",
IF(OR(
AND($Y415&lt;&gt;"",LOWER(TRIM($Y415))&lt;&gt;"n/a",COUNTIFS($B$2:$B$532,"Yes",$A$2:$A$532,"Cybernet",$Y$2:$Y$532,$Y415)&gt;1),
AND($Z415&lt;&gt;"",LOWER(TRIM($Z415))&lt;&gt;"n/a",COUNTIFS($B$2:$B$532,"Yes",$A$2:$A$532,"Cybernet",$Z$2:$Z$532,$Z415)&gt;1)
),"Yes","No"),
IF(AND($AL415&lt;&gt;"",LOWER(TRIM($AL415))&lt;&gt;"n/a"),
IF(COUNTIFS($B$2:$B$532,"Yes",$A$2:$A$532,$A415,$AL$2:$AL$532,$AL415)&gt;1,"Yes","No"),
"No")
)
)
)</f>
      </c>
      <c r="BL415">
        <f>IF($T415="","",IF((IF(AND($AW415&lt;&gt;"Yes",$AW415&lt;&gt;"N/A"),"Power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",""))="","",LEFT(IF(AND($AW415&lt;&gt;"Yes",$AW415&lt;&gt;"N/A"),"Power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",""),LEN(IF(AND($AW415&lt;&gt;"Yes",$AW415&lt;&gt;"N/A"),"Power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",""))-2)))</f>
      </c>
      <c r="BM415">
        <f>IF($T415="","",IF($BL415="","Yes","Blocked"))</f>
      </c>
      <c r="BP415">
        <f>IF($BO415="","",IFERROR(VLOOKUP($BO415,'01_Warehouse_Ledger'!$A:$N,4,FALSE),""))</f>
      </c>
      <c r="BQ415">
        <f>IF($BO415="","",IFERROR(VLOOKUP($BO415,'01_Warehouse_Ledger'!$A:$N,5,FALSE),""))</f>
      </c>
      <c r="BR415">
        <f>IF($BO415="","",IFERROR(VLOOKUP($BO415,'01_Warehouse_Ledger'!$A:$N,13,FALSE),""))</f>
      </c>
    </row>
    <row r="416">
      <c r="D416">
        <f>IF($B416&lt;&gt;"Yes","",IF($C416="No","Yes",IF($C416="Yes","No","")))</f>
      </c>
      <c r="E416">
        <f>IF($A416="","",IF($A416="Neuron",IF(OR(AND($S416&lt;&gt;"",LOWER(TRIM($S416))&lt;&gt;"n/a",COUNTIF($S$2:$S$532,$S416)&gt;1),AND($T416&lt;&gt;"",LOWER(TRIM($T416))&lt;&gt;"n/a",COUNTIF($T$2:$T$532,$T416)&gt;1),AND($W416&lt;&gt;"",LOWER(TRIM($W416))&lt;&gt;"n/a",COUNTIF($W$2:$W$532,$W416)&gt;1)),"Yes","No"),IF($A416="Cybernet",IF(OR(AND($Y416&lt;&gt;"",LOWER(TRIM($Y416))&lt;&gt;"n/a",COUNTIF($Y$2:$Y$532,$Y416)&gt;1),AND($Z416&lt;&gt;"",LOWER(TRIM($Z416))&lt;&gt;"n/a",COUNTIF($Z$2:$Z$532,$Z416)&gt;1)),"Yes","No"),IF(AND($AL416&lt;&gt;"",LOWER(TRIM($AL416))&lt;&gt;"n/a",COUNTIF($AL$2:$AL$532,$AL416)&gt;1),"Yes","No"))))</f>
      </c>
      <c r="F416">
        <f>IF($B416&lt;&gt;"Yes","",
IF($A416="Neuron",
IF(OR(
AND($S416&lt;&gt;"",LOWER(TRIM($S416))&lt;&gt;"n/a",COUNTIFS($B$2:$B$532,"Yes",$A$2:$A$532,"Neuron",$S$2:$S$532,$S416)&gt;1),
AND($T416&lt;&gt;"",LOWER(TRIM($T416))&lt;&gt;"n/a",COUNTIFS($B$2:$B$532,"Yes",$A$2:$A$532,"Neuron",$T$2:$T$532,$T416)&gt;1),
AND($W416&lt;&gt;"",LOWER(TRIM($W416))&lt;&gt;"n/a",COUNTIFS($B$2:$B$532,"Yes",$A$2:$A$532,"Neuron",$W$2:$W$532,$W416)&gt;1)
),"Yes","No"),
IF($A416="Cybernet",
IF(OR(
AND($Y416&lt;&gt;"",LOWER(TRIM($Y416))&lt;&gt;"n/a",COUNTIFS($B$2:$B$532,"Yes",$A$2:$A$532,"Cybernet",$Y$2:$Y$532,$Y416)&gt;1),
AND($Z416&lt;&gt;"",LOWER(TRIM($Z416))&lt;&gt;"n/a",COUNTIFS($B$2:$B$532,"Yes",$A$2:$A$532,"Cybernet",$Z$2:$Z$532,$Z416)&gt;1)
),"Yes","No"),
IF(AND($AL416&lt;&gt;"",LOWER(TRIM($AL416))&lt;&gt;"n/a"),
IF(COUNTIFS($B$2:$B$532,"Yes",$A$2:$A$532,$A416,$AL$2:$AL$532,$AL416)&gt;1,"Yes","No"),
"No")
)
)
)</f>
      </c>
      <c r="BL416">
        <f>IF($T416="","",IF((IF(AND($AW416&lt;&gt;"Yes",$AW416&lt;&gt;"N/A"),"Power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",""))="","",LEFT(IF(AND($AW416&lt;&gt;"Yes",$AW416&lt;&gt;"N/A"),"Power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",""),LEN(IF(AND($AW416&lt;&gt;"Yes",$AW416&lt;&gt;"N/A"),"Power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",""))-2)))</f>
      </c>
      <c r="BM416">
        <f>IF($T416="","",IF($BL416="","Yes","Blocked"))</f>
      </c>
      <c r="BP416">
        <f>IF($BO416="","",IFERROR(VLOOKUP($BO416,'01_Warehouse_Ledger'!$A:$N,4,FALSE),""))</f>
      </c>
      <c r="BQ416">
        <f>IF($BO416="","",IFERROR(VLOOKUP($BO416,'01_Warehouse_Ledger'!$A:$N,5,FALSE),""))</f>
      </c>
      <c r="BR416">
        <f>IF($BO416="","",IFERROR(VLOOKUP($BO416,'01_Warehouse_Ledger'!$A:$N,13,FALSE),""))</f>
      </c>
    </row>
    <row r="417">
      <c r="D417">
        <f>IF($B417&lt;&gt;"Yes","",IF($C417="No","Yes",IF($C417="Yes","No","")))</f>
      </c>
      <c r="E417">
        <f>IF($A417="","",IF($A417="Neuron",IF(OR(AND($S417&lt;&gt;"",LOWER(TRIM($S417))&lt;&gt;"n/a",COUNTIF($S$2:$S$532,$S417)&gt;1),AND($T417&lt;&gt;"",LOWER(TRIM($T417))&lt;&gt;"n/a",COUNTIF($T$2:$T$532,$T417)&gt;1),AND($W417&lt;&gt;"",LOWER(TRIM($W417))&lt;&gt;"n/a",COUNTIF($W$2:$W$532,$W417)&gt;1)),"Yes","No"),IF($A417="Cybernet",IF(OR(AND($Y417&lt;&gt;"",LOWER(TRIM($Y417))&lt;&gt;"n/a",COUNTIF($Y$2:$Y$532,$Y417)&gt;1),AND($Z417&lt;&gt;"",LOWER(TRIM($Z417))&lt;&gt;"n/a",COUNTIF($Z$2:$Z$532,$Z417)&gt;1)),"Yes","No"),IF(AND($AL417&lt;&gt;"",LOWER(TRIM($AL417))&lt;&gt;"n/a",COUNTIF($AL$2:$AL$532,$AL417)&gt;1),"Yes","No"))))</f>
      </c>
      <c r="F417">
        <f>IF($B417&lt;&gt;"Yes","",
IF($A417="Neuron",
IF(OR(
AND($S417&lt;&gt;"",LOWER(TRIM($S417))&lt;&gt;"n/a",COUNTIFS($B$2:$B$532,"Yes",$A$2:$A$532,"Neuron",$S$2:$S$532,$S417)&gt;1),
AND($T417&lt;&gt;"",LOWER(TRIM($T417))&lt;&gt;"n/a",COUNTIFS($B$2:$B$532,"Yes",$A$2:$A$532,"Neuron",$T$2:$T$532,$T417)&gt;1),
AND($W417&lt;&gt;"",LOWER(TRIM($W417))&lt;&gt;"n/a",COUNTIFS($B$2:$B$532,"Yes",$A$2:$A$532,"Neuron",$W$2:$W$532,$W417)&gt;1)
),"Yes","No"),
IF($A417="Cybernet",
IF(OR(
AND($Y417&lt;&gt;"",LOWER(TRIM($Y417))&lt;&gt;"n/a",COUNTIFS($B$2:$B$532,"Yes",$A$2:$A$532,"Cybernet",$Y$2:$Y$532,$Y417)&gt;1),
AND($Z417&lt;&gt;"",LOWER(TRIM($Z417))&lt;&gt;"n/a",COUNTIFS($B$2:$B$532,"Yes",$A$2:$A$532,"Cybernet",$Z$2:$Z$532,$Z417)&gt;1)
),"Yes","No"),
IF(AND($AL417&lt;&gt;"",LOWER(TRIM($AL417))&lt;&gt;"n/a"),
IF(COUNTIFS($B$2:$B$532,"Yes",$A$2:$A$532,$A417,$AL$2:$AL$532,$AL417)&gt;1,"Yes","No"),
"No")
)
)
)</f>
      </c>
      <c r="BL417">
        <f>IF($T417="","",IF((IF(AND($AW417&lt;&gt;"Yes",$AW417&lt;&gt;"N/A"),"Power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",""))="","",LEFT(IF(AND($AW417&lt;&gt;"Yes",$AW417&lt;&gt;"N/A"),"Power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",""),LEN(IF(AND($AW417&lt;&gt;"Yes",$AW417&lt;&gt;"N/A"),"Power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",""))-2)))</f>
      </c>
      <c r="BM417">
        <f>IF($T417="","",IF($BL417="","Yes","Blocked"))</f>
      </c>
      <c r="BP417">
        <f>IF($BO417="","",IFERROR(VLOOKUP($BO417,'01_Warehouse_Ledger'!$A:$N,4,FALSE),""))</f>
      </c>
      <c r="BQ417">
        <f>IF($BO417="","",IFERROR(VLOOKUP($BO417,'01_Warehouse_Ledger'!$A:$N,5,FALSE),""))</f>
      </c>
      <c r="BR417">
        <f>IF($BO417="","",IFERROR(VLOOKUP($BO417,'01_Warehouse_Ledger'!$A:$N,13,FALSE),""))</f>
      </c>
    </row>
    <row r="418">
      <c r="D418">
        <f>IF($B418&lt;&gt;"Yes","",IF($C418="No","Yes",IF($C418="Yes","No","")))</f>
      </c>
      <c r="E418">
        <f>IF($A418="","",IF($A418="Neuron",IF(OR(AND($S418&lt;&gt;"",LOWER(TRIM($S418))&lt;&gt;"n/a",COUNTIF($S$2:$S$532,$S418)&gt;1),AND($T418&lt;&gt;"",LOWER(TRIM($T418))&lt;&gt;"n/a",COUNTIF($T$2:$T$532,$T418)&gt;1),AND($W418&lt;&gt;"",LOWER(TRIM($W418))&lt;&gt;"n/a",COUNTIF($W$2:$W$532,$W418)&gt;1)),"Yes","No"),IF($A418="Cybernet",IF(OR(AND($Y418&lt;&gt;"",LOWER(TRIM($Y418))&lt;&gt;"n/a",COUNTIF($Y$2:$Y$532,$Y418)&gt;1),AND($Z418&lt;&gt;"",LOWER(TRIM($Z418))&lt;&gt;"n/a",COUNTIF($Z$2:$Z$532,$Z418)&gt;1)),"Yes","No"),IF(AND($AL418&lt;&gt;"",LOWER(TRIM($AL418))&lt;&gt;"n/a",COUNTIF($AL$2:$AL$532,$AL418)&gt;1),"Yes","No"))))</f>
      </c>
      <c r="F418">
        <f>IF($B418&lt;&gt;"Yes","",
IF($A418="Neuron",
IF(OR(
AND($S418&lt;&gt;"",LOWER(TRIM($S418))&lt;&gt;"n/a",COUNTIFS($B$2:$B$532,"Yes",$A$2:$A$532,"Neuron",$S$2:$S$532,$S418)&gt;1),
AND($T418&lt;&gt;"",LOWER(TRIM($T418))&lt;&gt;"n/a",COUNTIFS($B$2:$B$532,"Yes",$A$2:$A$532,"Neuron",$T$2:$T$532,$T418)&gt;1),
AND($W418&lt;&gt;"",LOWER(TRIM($W418))&lt;&gt;"n/a",COUNTIFS($B$2:$B$532,"Yes",$A$2:$A$532,"Neuron",$W$2:$W$532,$W418)&gt;1)
),"Yes","No"),
IF($A418="Cybernet",
IF(OR(
AND($Y418&lt;&gt;"",LOWER(TRIM($Y418))&lt;&gt;"n/a",COUNTIFS($B$2:$B$532,"Yes",$A$2:$A$532,"Cybernet",$Y$2:$Y$532,$Y418)&gt;1),
AND($Z418&lt;&gt;"",LOWER(TRIM($Z418))&lt;&gt;"n/a",COUNTIFS($B$2:$B$532,"Yes",$A$2:$A$532,"Cybernet",$Z$2:$Z$532,$Z418)&gt;1)
),"Yes","No"),
IF(AND($AL418&lt;&gt;"",LOWER(TRIM($AL418))&lt;&gt;"n/a"),
IF(COUNTIFS($B$2:$B$532,"Yes",$A$2:$A$532,$A418,$AL$2:$AL$532,$AL418)&gt;1,"Yes","No"),
"No")
)
)
)</f>
      </c>
      <c r="BL418">
        <f>IF($T418="","",IF((IF(AND($AW418&lt;&gt;"Yes",$AW418&lt;&gt;"N/A"),"Power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",""))="","",LEFT(IF(AND($AW418&lt;&gt;"Yes",$AW418&lt;&gt;"N/A"),"Power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",""),LEN(IF(AND($AW418&lt;&gt;"Yes",$AW418&lt;&gt;"N/A"),"Power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",""))-2)))</f>
      </c>
      <c r="BM418">
        <f>IF($T418="","",IF($BL418="","Yes","Blocked"))</f>
      </c>
      <c r="BP418">
        <f>IF($BO418="","",IFERROR(VLOOKUP($BO418,'01_Warehouse_Ledger'!$A:$N,4,FALSE),""))</f>
      </c>
      <c r="BQ418">
        <f>IF($BO418="","",IFERROR(VLOOKUP($BO418,'01_Warehouse_Ledger'!$A:$N,5,FALSE),""))</f>
      </c>
      <c r="BR418">
        <f>IF($BO418="","",IFERROR(VLOOKUP($BO418,'01_Warehouse_Ledger'!$A:$N,13,FALSE),""))</f>
      </c>
    </row>
    <row r="419">
      <c r="D419">
        <f>IF($B419&lt;&gt;"Yes","",IF($C419="No","Yes",IF($C419="Yes","No","")))</f>
      </c>
      <c r="E419">
        <f>IF($A419="","",IF($A419="Neuron",IF(OR(AND($S419&lt;&gt;"",LOWER(TRIM($S419))&lt;&gt;"n/a",COUNTIF($S$2:$S$532,$S419)&gt;1),AND($T419&lt;&gt;"",LOWER(TRIM($T419))&lt;&gt;"n/a",COUNTIF($T$2:$T$532,$T419)&gt;1),AND($W419&lt;&gt;"",LOWER(TRIM($W419))&lt;&gt;"n/a",COUNTIF($W$2:$W$532,$W419)&gt;1)),"Yes","No"),IF($A419="Cybernet",IF(OR(AND($Y419&lt;&gt;"",LOWER(TRIM($Y419))&lt;&gt;"n/a",COUNTIF($Y$2:$Y$532,$Y419)&gt;1),AND($Z419&lt;&gt;"",LOWER(TRIM($Z419))&lt;&gt;"n/a",COUNTIF($Z$2:$Z$532,$Z419)&gt;1)),"Yes","No"),IF(AND($AL419&lt;&gt;"",LOWER(TRIM($AL419))&lt;&gt;"n/a",COUNTIF($AL$2:$AL$532,$AL419)&gt;1),"Yes","No"))))</f>
      </c>
      <c r="F419">
        <f>IF($B419&lt;&gt;"Yes","",
IF($A419="Neuron",
IF(OR(
AND($S419&lt;&gt;"",LOWER(TRIM($S419))&lt;&gt;"n/a",COUNTIFS($B$2:$B$532,"Yes",$A$2:$A$532,"Neuron",$S$2:$S$532,$S419)&gt;1),
AND($T419&lt;&gt;"",LOWER(TRIM($T419))&lt;&gt;"n/a",COUNTIFS($B$2:$B$532,"Yes",$A$2:$A$532,"Neuron",$T$2:$T$532,$T419)&gt;1),
AND($W419&lt;&gt;"",LOWER(TRIM($W419))&lt;&gt;"n/a",COUNTIFS($B$2:$B$532,"Yes",$A$2:$A$532,"Neuron",$W$2:$W$532,$W419)&gt;1)
),"Yes","No"),
IF($A419="Cybernet",
IF(OR(
AND($Y419&lt;&gt;"",LOWER(TRIM($Y419))&lt;&gt;"n/a",COUNTIFS($B$2:$B$532,"Yes",$A$2:$A$532,"Cybernet",$Y$2:$Y$532,$Y419)&gt;1),
AND($Z419&lt;&gt;"",LOWER(TRIM($Z419))&lt;&gt;"n/a",COUNTIFS($B$2:$B$532,"Yes",$A$2:$A$532,"Cybernet",$Z$2:$Z$532,$Z419)&gt;1)
),"Yes","No"),
IF(AND($AL419&lt;&gt;"",LOWER(TRIM($AL419))&lt;&gt;"n/a"),
IF(COUNTIFS($B$2:$B$532,"Yes",$A$2:$A$532,$A419,$AL$2:$AL$532,$AL419)&gt;1,"Yes","No"),
"No")
)
)
)</f>
      </c>
      <c r="BL419">
        <f>IF($T419="","",IF((IF(AND($AW419&lt;&gt;"Yes",$AW419&lt;&gt;"N/A"),"Power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",""))="","",LEFT(IF(AND($AW419&lt;&gt;"Yes",$AW419&lt;&gt;"N/A"),"Power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",""),LEN(IF(AND($AW419&lt;&gt;"Yes",$AW419&lt;&gt;"N/A"),"Power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",""))-2)))</f>
      </c>
      <c r="BM419">
        <f>IF($T419="","",IF($BL419="","Yes","Blocked"))</f>
      </c>
      <c r="BP419">
        <f>IF($BO419="","",IFERROR(VLOOKUP($BO419,'01_Warehouse_Ledger'!$A:$N,4,FALSE),""))</f>
      </c>
      <c r="BQ419">
        <f>IF($BO419="","",IFERROR(VLOOKUP($BO419,'01_Warehouse_Ledger'!$A:$N,5,FALSE),""))</f>
      </c>
      <c r="BR419">
        <f>IF($BO419="","",IFERROR(VLOOKUP($BO419,'01_Warehouse_Ledger'!$A:$N,13,FALSE),""))</f>
      </c>
    </row>
    <row r="420">
      <c r="D420">
        <f>IF($B420&lt;&gt;"Yes","",IF($C420="No","Yes",IF($C420="Yes","No","")))</f>
      </c>
      <c r="E420">
        <f>IF($A420="","",IF($A420="Neuron",IF(OR(AND($S420&lt;&gt;"",LOWER(TRIM($S420))&lt;&gt;"n/a",COUNTIF($S$2:$S$532,$S420)&gt;1),AND($T420&lt;&gt;"",LOWER(TRIM($T420))&lt;&gt;"n/a",COUNTIF($T$2:$T$532,$T420)&gt;1),AND($W420&lt;&gt;"",LOWER(TRIM($W420))&lt;&gt;"n/a",COUNTIF($W$2:$W$532,$W420)&gt;1)),"Yes","No"),IF($A420="Cybernet",IF(OR(AND($Y420&lt;&gt;"",LOWER(TRIM($Y420))&lt;&gt;"n/a",COUNTIF($Y$2:$Y$532,$Y420)&gt;1),AND($Z420&lt;&gt;"",LOWER(TRIM($Z420))&lt;&gt;"n/a",COUNTIF($Z$2:$Z$532,$Z420)&gt;1)),"Yes","No"),IF(AND($AL420&lt;&gt;"",LOWER(TRIM($AL420))&lt;&gt;"n/a",COUNTIF($AL$2:$AL$532,$AL420)&gt;1),"Yes","No"))))</f>
      </c>
      <c r="F420">
        <f>IF($B420&lt;&gt;"Yes","",
IF($A420="Neuron",
IF(OR(
AND($S420&lt;&gt;"",LOWER(TRIM($S420))&lt;&gt;"n/a",COUNTIFS($B$2:$B$532,"Yes",$A$2:$A$532,"Neuron",$S$2:$S$532,$S420)&gt;1),
AND($T420&lt;&gt;"",LOWER(TRIM($T420))&lt;&gt;"n/a",COUNTIFS($B$2:$B$532,"Yes",$A$2:$A$532,"Neuron",$T$2:$T$532,$T420)&gt;1),
AND($W420&lt;&gt;"",LOWER(TRIM($W420))&lt;&gt;"n/a",COUNTIFS($B$2:$B$532,"Yes",$A$2:$A$532,"Neuron",$W$2:$W$532,$W420)&gt;1)
),"Yes","No"),
IF($A420="Cybernet",
IF(OR(
AND($Y420&lt;&gt;"",LOWER(TRIM($Y420))&lt;&gt;"n/a",COUNTIFS($B$2:$B$532,"Yes",$A$2:$A$532,"Cybernet",$Y$2:$Y$532,$Y420)&gt;1),
AND($Z420&lt;&gt;"",LOWER(TRIM($Z420))&lt;&gt;"n/a",COUNTIFS($B$2:$B$532,"Yes",$A$2:$A$532,"Cybernet",$Z$2:$Z$532,$Z420)&gt;1)
),"Yes","No"),
IF(AND($AL420&lt;&gt;"",LOWER(TRIM($AL420))&lt;&gt;"n/a"),
IF(COUNTIFS($B$2:$B$532,"Yes",$A$2:$A$532,$A420,$AL$2:$AL$532,$AL420)&gt;1,"Yes","No"),
"No")
)
)
)</f>
      </c>
      <c r="BL420">
        <f>IF($T420="","",IF((IF(AND($AW420&lt;&gt;"Yes",$AW420&lt;&gt;"N/A"),"Power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",""))="","",LEFT(IF(AND($AW420&lt;&gt;"Yes",$AW420&lt;&gt;"N/A"),"Power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",""),LEN(IF(AND($AW420&lt;&gt;"Yes",$AW420&lt;&gt;"N/A"),"Power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",""))-2)))</f>
      </c>
      <c r="BM420">
        <f>IF($T420="","",IF($BL420="","Yes","Blocked"))</f>
      </c>
      <c r="BP420">
        <f>IF($BO420="","",IFERROR(VLOOKUP($BO420,'01_Warehouse_Ledger'!$A:$N,4,FALSE),""))</f>
      </c>
      <c r="BQ420">
        <f>IF($BO420="","",IFERROR(VLOOKUP($BO420,'01_Warehouse_Ledger'!$A:$N,5,FALSE),""))</f>
      </c>
      <c r="BR420">
        <f>IF($BO420="","",IFERROR(VLOOKUP($BO420,'01_Warehouse_Ledger'!$A:$N,13,FALSE),""))</f>
      </c>
    </row>
    <row r="421">
      <c r="D421">
        <f>IF($B421&lt;&gt;"Yes","",IF($C421="No","Yes",IF($C421="Yes","No","")))</f>
      </c>
      <c r="E421">
        <f>IF($A421="","",IF($A421="Neuron",IF(OR(AND($S421&lt;&gt;"",LOWER(TRIM($S421))&lt;&gt;"n/a",COUNTIF($S$2:$S$532,$S421)&gt;1),AND($T421&lt;&gt;"",LOWER(TRIM($T421))&lt;&gt;"n/a",COUNTIF($T$2:$T$532,$T421)&gt;1),AND($W421&lt;&gt;"",LOWER(TRIM($W421))&lt;&gt;"n/a",COUNTIF($W$2:$W$532,$W421)&gt;1)),"Yes","No"),IF($A421="Cybernet",IF(OR(AND($Y421&lt;&gt;"",LOWER(TRIM($Y421))&lt;&gt;"n/a",COUNTIF($Y$2:$Y$532,$Y421)&gt;1),AND($Z421&lt;&gt;"",LOWER(TRIM($Z421))&lt;&gt;"n/a",COUNTIF($Z$2:$Z$532,$Z421)&gt;1)),"Yes","No"),IF(AND($AL421&lt;&gt;"",LOWER(TRIM($AL421))&lt;&gt;"n/a",COUNTIF($AL$2:$AL$532,$AL421)&gt;1),"Yes","No"))))</f>
      </c>
      <c r="F421">
        <f>IF($B421&lt;&gt;"Yes","",
IF($A421="Neuron",
IF(OR(
AND($S421&lt;&gt;"",LOWER(TRIM($S421))&lt;&gt;"n/a",COUNTIFS($B$2:$B$532,"Yes",$A$2:$A$532,"Neuron",$S$2:$S$532,$S421)&gt;1),
AND($T421&lt;&gt;"",LOWER(TRIM($T421))&lt;&gt;"n/a",COUNTIFS($B$2:$B$532,"Yes",$A$2:$A$532,"Neuron",$T$2:$T$532,$T421)&gt;1),
AND($W421&lt;&gt;"",LOWER(TRIM($W421))&lt;&gt;"n/a",COUNTIFS($B$2:$B$532,"Yes",$A$2:$A$532,"Neuron",$W$2:$W$532,$W421)&gt;1)
),"Yes","No"),
IF($A421="Cybernet",
IF(OR(
AND($Y421&lt;&gt;"",LOWER(TRIM($Y421))&lt;&gt;"n/a",COUNTIFS($B$2:$B$532,"Yes",$A$2:$A$532,"Cybernet",$Y$2:$Y$532,$Y421)&gt;1),
AND($Z421&lt;&gt;"",LOWER(TRIM($Z421))&lt;&gt;"n/a",COUNTIFS($B$2:$B$532,"Yes",$A$2:$A$532,"Cybernet",$Z$2:$Z$532,$Z421)&gt;1)
),"Yes","No"),
IF(AND($AL421&lt;&gt;"",LOWER(TRIM($AL421))&lt;&gt;"n/a"),
IF(COUNTIFS($B$2:$B$532,"Yes",$A$2:$A$532,$A421,$AL$2:$AL$532,$AL421)&gt;1,"Yes","No"),
"No")
)
)
)</f>
      </c>
      <c r="BL421">
        <f>IF($T421="","",IF((IF(AND($AW421&lt;&gt;"Yes",$AW421&lt;&gt;"N/A"),"Power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",""))="","",LEFT(IF(AND($AW421&lt;&gt;"Yes",$AW421&lt;&gt;"N/A"),"Power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",""),LEN(IF(AND($AW421&lt;&gt;"Yes",$AW421&lt;&gt;"N/A"),"Power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",""))-2)))</f>
      </c>
      <c r="BM421">
        <f>IF($T421="","",IF($BL421="","Yes","Blocked"))</f>
      </c>
      <c r="BP421">
        <f>IF($BO421="","",IFERROR(VLOOKUP($BO421,'01_Warehouse_Ledger'!$A:$N,4,FALSE),""))</f>
      </c>
      <c r="BQ421">
        <f>IF($BO421="","",IFERROR(VLOOKUP($BO421,'01_Warehouse_Ledger'!$A:$N,5,FALSE),""))</f>
      </c>
      <c r="BR421">
        <f>IF($BO421="","",IFERROR(VLOOKUP($BO421,'01_Warehouse_Ledger'!$A:$N,13,FALSE),""))</f>
      </c>
    </row>
    <row r="422">
      <c r="D422">
        <f>IF($B422&lt;&gt;"Yes","",IF($C422="No","Yes",IF($C422="Yes","No","")))</f>
      </c>
      <c r="E422">
        <f>IF($A422="","",IF($A422="Neuron",IF(OR(AND($S422&lt;&gt;"",LOWER(TRIM($S422))&lt;&gt;"n/a",COUNTIF($S$2:$S$532,$S422)&gt;1),AND($T422&lt;&gt;"",LOWER(TRIM($T422))&lt;&gt;"n/a",COUNTIF($T$2:$T$532,$T422)&gt;1),AND($W422&lt;&gt;"",LOWER(TRIM($W422))&lt;&gt;"n/a",COUNTIF($W$2:$W$532,$W422)&gt;1)),"Yes","No"),IF($A422="Cybernet",IF(OR(AND($Y422&lt;&gt;"",LOWER(TRIM($Y422))&lt;&gt;"n/a",COUNTIF($Y$2:$Y$532,$Y422)&gt;1),AND($Z422&lt;&gt;"",LOWER(TRIM($Z422))&lt;&gt;"n/a",COUNTIF($Z$2:$Z$532,$Z422)&gt;1)),"Yes","No"),IF(AND($AL422&lt;&gt;"",LOWER(TRIM($AL422))&lt;&gt;"n/a",COUNTIF($AL$2:$AL$532,$AL422)&gt;1),"Yes","No"))))</f>
      </c>
      <c r="F422">
        <f>IF($B422&lt;&gt;"Yes","",
IF($A422="Neuron",
IF(OR(
AND($S422&lt;&gt;"",LOWER(TRIM($S422))&lt;&gt;"n/a",COUNTIFS($B$2:$B$532,"Yes",$A$2:$A$532,"Neuron",$S$2:$S$532,$S422)&gt;1),
AND($T422&lt;&gt;"",LOWER(TRIM($T422))&lt;&gt;"n/a",COUNTIFS($B$2:$B$532,"Yes",$A$2:$A$532,"Neuron",$T$2:$T$532,$T422)&gt;1),
AND($W422&lt;&gt;"",LOWER(TRIM($W422))&lt;&gt;"n/a",COUNTIFS($B$2:$B$532,"Yes",$A$2:$A$532,"Neuron",$W$2:$W$532,$W422)&gt;1)
),"Yes","No"),
IF($A422="Cybernet",
IF(OR(
AND($Y422&lt;&gt;"",LOWER(TRIM($Y422))&lt;&gt;"n/a",COUNTIFS($B$2:$B$532,"Yes",$A$2:$A$532,"Cybernet",$Y$2:$Y$532,$Y422)&gt;1),
AND($Z422&lt;&gt;"",LOWER(TRIM($Z422))&lt;&gt;"n/a",COUNTIFS($B$2:$B$532,"Yes",$A$2:$A$532,"Cybernet",$Z$2:$Z$532,$Z422)&gt;1)
),"Yes","No"),
IF(AND($AL422&lt;&gt;"",LOWER(TRIM($AL422))&lt;&gt;"n/a"),
IF(COUNTIFS($B$2:$B$532,"Yes",$A$2:$A$532,$A422,$AL$2:$AL$532,$AL422)&gt;1,"Yes","No"),
"No")
)
)
)</f>
      </c>
      <c r="BL422">
        <f>IF($T422="","",IF((IF(AND($AW422&lt;&gt;"Yes",$AW422&lt;&gt;"N/A"),"Power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",""))="","",LEFT(IF(AND($AW422&lt;&gt;"Yes",$AW422&lt;&gt;"N/A"),"Power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",""),LEN(IF(AND($AW422&lt;&gt;"Yes",$AW422&lt;&gt;"N/A"),"Power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",""))-2)))</f>
      </c>
      <c r="BM422">
        <f>IF($T422="","",IF($BL422="","Yes","Blocked"))</f>
      </c>
      <c r="BP422">
        <f>IF($BO422="","",IFERROR(VLOOKUP($BO422,'01_Warehouse_Ledger'!$A:$N,4,FALSE),""))</f>
      </c>
      <c r="BQ422">
        <f>IF($BO422="","",IFERROR(VLOOKUP($BO422,'01_Warehouse_Ledger'!$A:$N,5,FALSE),""))</f>
      </c>
      <c r="BR422">
        <f>IF($BO422="","",IFERROR(VLOOKUP($BO422,'01_Warehouse_Ledger'!$A:$N,13,FALSE),""))</f>
      </c>
    </row>
    <row r="423">
      <c r="D423">
        <f>IF($B423&lt;&gt;"Yes","",IF($C423="No","Yes",IF($C423="Yes","No","")))</f>
      </c>
      <c r="E423">
        <f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</c>
      <c r="F423">
        <f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</c>
      <c r="BL423">
        <f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</c>
      <c r="BM423">
        <f>IF($T423="","",IF($BL423="","Yes","Blocked"))</f>
      </c>
      <c r="BP423">
        <f>IF($BO423="","",IFERROR(VLOOKUP($BO423,'01_Warehouse_Ledger'!$A:$N,4,FALSE),""))</f>
      </c>
      <c r="BQ423">
        <f>IF($BO423="","",IFERROR(VLOOKUP($BO423,'01_Warehouse_Ledger'!$A:$N,5,FALSE),""))</f>
      </c>
      <c r="BR423">
        <f>IF($BO423="","",IFERROR(VLOOKUP($BO423,'01_Warehouse_Ledger'!$A:$N,13,FALSE),""))</f>
      </c>
    </row>
    <row r="424">
      <c r="D424">
        <f>IF($B424&lt;&gt;"Yes","",IF($C424="No","Yes",IF($C424="Yes","No","")))</f>
      </c>
      <c r="E424">
        <f>IF($A424="","",IF($A424="Neuron",IF(OR(AND($S424&lt;&gt;"",LOWER(TRIM($S424))&lt;&gt;"n/a",COUNTIF($S$2:$S$532,$S424)&gt;1),AND($T424&lt;&gt;"",LOWER(TRIM($T424))&lt;&gt;"n/a",COUNTIF($T$2:$T$532,$T424)&gt;1),AND($W424&lt;&gt;"",LOWER(TRIM($W424))&lt;&gt;"n/a",COUNTIF($W$2:$W$532,$W424)&gt;1)),"Yes","No"),IF($A424="Cybernet",IF(OR(AND($Y424&lt;&gt;"",LOWER(TRIM($Y424))&lt;&gt;"n/a",COUNTIF($Y$2:$Y$532,$Y424)&gt;1),AND($Z424&lt;&gt;"",LOWER(TRIM($Z424))&lt;&gt;"n/a",COUNTIF($Z$2:$Z$532,$Z424)&gt;1)),"Yes","No"),IF(AND($AL424&lt;&gt;"",LOWER(TRIM($AL424))&lt;&gt;"n/a",COUNTIF($AL$2:$AL$532,$AL424)&gt;1),"Yes","No"))))</f>
      </c>
      <c r="F424">
        <f>IF($B424&lt;&gt;"Yes","",
IF($A424="Neuron",
IF(OR(
AND($S424&lt;&gt;"",LOWER(TRIM($S424))&lt;&gt;"n/a",COUNTIFS($B$2:$B$532,"Yes",$A$2:$A$532,"Neuron",$S$2:$S$532,$S424)&gt;1),
AND($T424&lt;&gt;"",LOWER(TRIM($T424))&lt;&gt;"n/a",COUNTIFS($B$2:$B$532,"Yes",$A$2:$A$532,"Neuron",$T$2:$T$532,$T424)&gt;1),
AND($W424&lt;&gt;"",LOWER(TRIM($W424))&lt;&gt;"n/a",COUNTIFS($B$2:$B$532,"Yes",$A$2:$A$532,"Neuron",$W$2:$W$532,$W424)&gt;1)
),"Yes","No"),
IF($A424="Cybernet",
IF(OR(
AND($Y424&lt;&gt;"",LOWER(TRIM($Y424))&lt;&gt;"n/a",COUNTIFS($B$2:$B$532,"Yes",$A$2:$A$532,"Cybernet",$Y$2:$Y$532,$Y424)&gt;1),
AND($Z424&lt;&gt;"",LOWER(TRIM($Z424))&lt;&gt;"n/a",COUNTIFS($B$2:$B$532,"Yes",$A$2:$A$532,"Cybernet",$Z$2:$Z$532,$Z424)&gt;1)
),"Yes","No"),
IF(AND($AL424&lt;&gt;"",LOWER(TRIM($AL424))&lt;&gt;"n/a"),
IF(COUNTIFS($B$2:$B$532,"Yes",$A$2:$A$532,$A424,$AL$2:$AL$532,$AL424)&gt;1,"Yes","No"),
"No")
)
)
)</f>
      </c>
      <c r="BL424">
        <f>IF($T424="","",IF((IF(AND($AW424&lt;&gt;"Yes",$AW424&lt;&gt;"N/A"),"Power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",""))="","",LEFT(IF(AND($AW424&lt;&gt;"Yes",$AW424&lt;&gt;"N/A"),"Power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",""),LEN(IF(AND($AW424&lt;&gt;"Yes",$AW424&lt;&gt;"N/A"),"Power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",""))-2)))</f>
      </c>
      <c r="BM424">
        <f>IF($T424="","",IF($BL424="","Yes","Blocked"))</f>
      </c>
      <c r="BP424">
        <f>IF($BO424="","",IFERROR(VLOOKUP($BO424,'01_Warehouse_Ledger'!$A:$N,4,FALSE),""))</f>
      </c>
      <c r="BQ424">
        <f>IF($BO424="","",IFERROR(VLOOKUP($BO424,'01_Warehouse_Ledger'!$A:$N,5,FALSE),""))</f>
      </c>
      <c r="BR424">
        <f>IF($BO424="","",IFERROR(VLOOKUP($BO424,'01_Warehouse_Ledger'!$A:$N,13,FALSE),""))</f>
      </c>
    </row>
    <row r="425">
      <c r="D425">
        <f>IF($B425&lt;&gt;"Yes","",IF($C425="No","Yes",IF($C425="Yes","No","")))</f>
      </c>
      <c r="E425">
        <f>IF($A425="","",IF($A425="Neuron",IF(OR(AND($S425&lt;&gt;"",LOWER(TRIM($S425))&lt;&gt;"n/a",COUNTIF($S$2:$S$532,$S425)&gt;1),AND($T425&lt;&gt;"",LOWER(TRIM($T425))&lt;&gt;"n/a",COUNTIF($T$2:$T$532,$T425)&gt;1),AND($W425&lt;&gt;"",LOWER(TRIM($W425))&lt;&gt;"n/a",COUNTIF($W$2:$W$532,$W425)&gt;1)),"Yes","No"),IF($A425="Cybernet",IF(OR(AND($Y425&lt;&gt;"",LOWER(TRIM($Y425))&lt;&gt;"n/a",COUNTIF($Y$2:$Y$532,$Y425)&gt;1),AND($Z425&lt;&gt;"",LOWER(TRIM($Z425))&lt;&gt;"n/a",COUNTIF($Z$2:$Z$532,$Z425)&gt;1)),"Yes","No"),IF(AND($AL425&lt;&gt;"",LOWER(TRIM($AL425))&lt;&gt;"n/a",COUNTIF($AL$2:$AL$532,$AL425)&gt;1),"Yes","No"))))</f>
      </c>
      <c r="F425">
        <f>IF($B425&lt;&gt;"Yes","",
IF($A425="Neuron",
IF(OR(
AND($S425&lt;&gt;"",LOWER(TRIM($S425))&lt;&gt;"n/a",COUNTIFS($B$2:$B$532,"Yes",$A$2:$A$532,"Neuron",$S$2:$S$532,$S425)&gt;1),
AND($T425&lt;&gt;"",LOWER(TRIM($T425))&lt;&gt;"n/a",COUNTIFS($B$2:$B$532,"Yes",$A$2:$A$532,"Neuron",$T$2:$T$532,$T425)&gt;1),
AND($W425&lt;&gt;"",LOWER(TRIM($W425))&lt;&gt;"n/a",COUNTIFS($B$2:$B$532,"Yes",$A$2:$A$532,"Neuron",$W$2:$W$532,$W425)&gt;1)
),"Yes","No"),
IF($A425="Cybernet",
IF(OR(
AND($Y425&lt;&gt;"",LOWER(TRIM($Y425))&lt;&gt;"n/a",COUNTIFS($B$2:$B$532,"Yes",$A$2:$A$532,"Cybernet",$Y$2:$Y$532,$Y425)&gt;1),
AND($Z425&lt;&gt;"",LOWER(TRIM($Z425))&lt;&gt;"n/a",COUNTIFS($B$2:$B$532,"Yes",$A$2:$A$532,"Cybernet",$Z$2:$Z$532,$Z425)&gt;1)
),"Yes","No"),
IF(AND($AL425&lt;&gt;"",LOWER(TRIM($AL425))&lt;&gt;"n/a"),
IF(COUNTIFS($B$2:$B$532,"Yes",$A$2:$A$532,$A425,$AL$2:$AL$532,$AL425)&gt;1,"Yes","No"),
"No")
)
)
)</f>
      </c>
      <c r="BL425">
        <f>IF($T425="","",IF((IF(AND($AW425&lt;&gt;"Yes",$AW425&lt;&gt;"N/A"),"Power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",""))="","",LEFT(IF(AND($AW425&lt;&gt;"Yes",$AW425&lt;&gt;"N/A"),"Power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",""),LEN(IF(AND($AW425&lt;&gt;"Yes",$AW425&lt;&gt;"N/A"),"Power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",""))-2)))</f>
      </c>
      <c r="BM425">
        <f>IF($T425="","",IF($BL425="","Yes","Blocked"))</f>
      </c>
      <c r="BP425">
        <f>IF($BO425="","",IFERROR(VLOOKUP($BO425,'01_Warehouse_Ledger'!$A:$N,4,FALSE),""))</f>
      </c>
      <c r="BQ425">
        <f>IF($BO425="","",IFERROR(VLOOKUP($BO425,'01_Warehouse_Ledger'!$A:$N,5,FALSE),""))</f>
      </c>
      <c r="BR425">
        <f>IF($BO425="","",IFERROR(VLOOKUP($BO425,'01_Warehouse_Ledger'!$A:$N,13,FALSE),""))</f>
      </c>
    </row>
    <row r="426">
      <c r="D426">
        <f>IF($B426&lt;&gt;"Yes","",IF($C426="No","Yes",IF($C426="Yes","No","")))</f>
      </c>
      <c r="E426">
        <f>IF($A426="","",IF($A426="Neuron",IF(OR(AND($S426&lt;&gt;"",LOWER(TRIM($S426))&lt;&gt;"n/a",COUNTIF($S$2:$S$532,$S426)&gt;1),AND($T426&lt;&gt;"",LOWER(TRIM($T426))&lt;&gt;"n/a",COUNTIF($T$2:$T$532,$T426)&gt;1),AND($W426&lt;&gt;"",LOWER(TRIM($W426))&lt;&gt;"n/a",COUNTIF($W$2:$W$532,$W426)&gt;1)),"Yes","No"),IF($A426="Cybernet",IF(OR(AND($Y426&lt;&gt;"",LOWER(TRIM($Y426))&lt;&gt;"n/a",COUNTIF($Y$2:$Y$532,$Y426)&gt;1),AND($Z426&lt;&gt;"",LOWER(TRIM($Z426))&lt;&gt;"n/a",COUNTIF($Z$2:$Z$532,$Z426)&gt;1)),"Yes","No"),IF(AND($AL426&lt;&gt;"",LOWER(TRIM($AL426))&lt;&gt;"n/a",COUNTIF($AL$2:$AL$532,$AL426)&gt;1),"Yes","No"))))</f>
      </c>
      <c r="F426">
        <f>IF($B426&lt;&gt;"Yes","",
IF($A426="Neuron",
IF(OR(
AND($S426&lt;&gt;"",LOWER(TRIM($S426))&lt;&gt;"n/a",COUNTIFS($B$2:$B$532,"Yes",$A$2:$A$532,"Neuron",$S$2:$S$532,$S426)&gt;1),
AND($T426&lt;&gt;"",LOWER(TRIM($T426))&lt;&gt;"n/a",COUNTIFS($B$2:$B$532,"Yes",$A$2:$A$532,"Neuron",$T$2:$T$532,$T426)&gt;1),
AND($W426&lt;&gt;"",LOWER(TRIM($W426))&lt;&gt;"n/a",COUNTIFS($B$2:$B$532,"Yes",$A$2:$A$532,"Neuron",$W$2:$W$532,$W426)&gt;1)
),"Yes","No"),
IF($A426="Cybernet",
IF(OR(
AND($Y426&lt;&gt;"",LOWER(TRIM($Y426))&lt;&gt;"n/a",COUNTIFS($B$2:$B$532,"Yes",$A$2:$A$532,"Cybernet",$Y$2:$Y$532,$Y426)&gt;1),
AND($Z426&lt;&gt;"",LOWER(TRIM($Z426))&lt;&gt;"n/a",COUNTIFS($B$2:$B$532,"Yes",$A$2:$A$532,"Cybernet",$Z$2:$Z$532,$Z426)&gt;1)
),"Yes","No"),
IF(AND($AL426&lt;&gt;"",LOWER(TRIM($AL426))&lt;&gt;"n/a"),
IF(COUNTIFS($B$2:$B$532,"Yes",$A$2:$A$532,$A426,$AL$2:$AL$532,$AL426)&gt;1,"Yes","No"),
"No")
)
)
)</f>
      </c>
      <c r="BL426">
        <f>IF($T426="","",IF((IF(AND($AW426&lt;&gt;"Yes",$AW426&lt;&gt;"N/A"),"Power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",""))="","",LEFT(IF(AND($AW426&lt;&gt;"Yes",$AW426&lt;&gt;"N/A"),"Power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",""),LEN(IF(AND($AW426&lt;&gt;"Yes",$AW426&lt;&gt;"N/A"),"Power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",""))-2)))</f>
      </c>
      <c r="BM426">
        <f>IF($T426="","",IF($BL426="","Yes","Blocked"))</f>
      </c>
      <c r="BP426">
        <f>IF($BO426="","",IFERROR(VLOOKUP($BO426,'01_Warehouse_Ledger'!$A:$N,4,FALSE),""))</f>
      </c>
      <c r="BQ426">
        <f>IF($BO426="","",IFERROR(VLOOKUP($BO426,'01_Warehouse_Ledger'!$A:$N,5,FALSE),""))</f>
      </c>
      <c r="BR426">
        <f>IF($BO426="","",IFERROR(VLOOKUP($BO426,'01_Warehouse_Ledger'!$A:$N,13,FALSE),""))</f>
      </c>
    </row>
    <row r="427">
      <c r="D427">
        <f>IF($B427&lt;&gt;"Yes","",IF($C427="No","Yes",IF($C427="Yes","No","")))</f>
      </c>
      <c r="E427">
        <f>IF($A427="","",IF($A427="Neuron",IF(OR(AND($S427&lt;&gt;"",LOWER(TRIM($S427))&lt;&gt;"n/a",COUNTIF($S$2:$S$532,$S427)&gt;1),AND($T427&lt;&gt;"",LOWER(TRIM($T427))&lt;&gt;"n/a",COUNTIF($T$2:$T$532,$T427)&gt;1),AND($W427&lt;&gt;"",LOWER(TRIM($W427))&lt;&gt;"n/a",COUNTIF($W$2:$W$532,$W427)&gt;1)),"Yes","No"),IF($A427="Cybernet",IF(OR(AND($Y427&lt;&gt;"",LOWER(TRIM($Y427))&lt;&gt;"n/a",COUNTIF($Y$2:$Y$532,$Y427)&gt;1),AND($Z427&lt;&gt;"",LOWER(TRIM($Z427))&lt;&gt;"n/a",COUNTIF($Z$2:$Z$532,$Z427)&gt;1)),"Yes","No"),IF(AND($AL427&lt;&gt;"",LOWER(TRIM($AL427))&lt;&gt;"n/a",COUNTIF($AL$2:$AL$532,$AL427)&gt;1),"Yes","No"))))</f>
      </c>
      <c r="F427">
        <f>IF($B427&lt;&gt;"Yes","",
IF($A427="Neuron",
IF(OR(
AND($S427&lt;&gt;"",LOWER(TRIM($S427))&lt;&gt;"n/a",COUNTIFS($B$2:$B$532,"Yes",$A$2:$A$532,"Neuron",$S$2:$S$532,$S427)&gt;1),
AND($T427&lt;&gt;"",LOWER(TRIM($T427))&lt;&gt;"n/a",COUNTIFS($B$2:$B$532,"Yes",$A$2:$A$532,"Neuron",$T$2:$T$532,$T427)&gt;1),
AND($W427&lt;&gt;"",LOWER(TRIM($W427))&lt;&gt;"n/a",COUNTIFS($B$2:$B$532,"Yes",$A$2:$A$532,"Neuron",$W$2:$W$532,$W427)&gt;1)
),"Yes","No"),
IF($A427="Cybernet",
IF(OR(
AND($Y427&lt;&gt;"",LOWER(TRIM($Y427))&lt;&gt;"n/a",COUNTIFS($B$2:$B$532,"Yes",$A$2:$A$532,"Cybernet",$Y$2:$Y$532,$Y427)&gt;1),
AND($Z427&lt;&gt;"",LOWER(TRIM($Z427))&lt;&gt;"n/a",COUNTIFS($B$2:$B$532,"Yes",$A$2:$A$532,"Cybernet",$Z$2:$Z$532,$Z427)&gt;1)
),"Yes","No"),
IF(AND($AL427&lt;&gt;"",LOWER(TRIM($AL427))&lt;&gt;"n/a"),
IF(COUNTIFS($B$2:$B$532,"Yes",$A$2:$A$532,$A427,$AL$2:$AL$532,$AL427)&gt;1,"Yes","No"),
"No")
)
)
)</f>
      </c>
      <c r="BL427">
        <f>IF($T427="","",IF((IF(AND($AW427&lt;&gt;"Yes",$AW427&lt;&gt;"N/A"),"Power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",""))="","",LEFT(IF(AND($AW427&lt;&gt;"Yes",$AW427&lt;&gt;"N/A"),"Power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",""),LEN(IF(AND($AW427&lt;&gt;"Yes",$AW427&lt;&gt;"N/A"),"Power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",""))-2)))</f>
      </c>
      <c r="BM427">
        <f>IF($T427="","",IF($BL427="","Yes","Blocked"))</f>
      </c>
      <c r="BP427">
        <f>IF($BO427="","",IFERROR(VLOOKUP($BO427,'01_Warehouse_Ledger'!$A:$N,4,FALSE),""))</f>
      </c>
      <c r="BQ427">
        <f>IF($BO427="","",IFERROR(VLOOKUP($BO427,'01_Warehouse_Ledger'!$A:$N,5,FALSE),""))</f>
      </c>
      <c r="BR427">
        <f>IF($BO427="","",IFERROR(VLOOKUP($BO427,'01_Warehouse_Ledger'!$A:$N,13,FALSE),""))</f>
      </c>
    </row>
    <row r="428">
      <c r="D428">
        <f>IF($B428&lt;&gt;"Yes","",IF($C428="No","Yes",IF($C428="Yes","No","")))</f>
      </c>
      <c r="E428">
        <f>IF($A428="","",IF($A428="Neuron",IF(OR(AND($S428&lt;&gt;"",LOWER(TRIM($S428))&lt;&gt;"n/a",COUNTIF($S$2:$S$532,$S428)&gt;1),AND($T428&lt;&gt;"",LOWER(TRIM($T428))&lt;&gt;"n/a",COUNTIF($T$2:$T$532,$T428)&gt;1),AND($W428&lt;&gt;"",LOWER(TRIM($W428))&lt;&gt;"n/a",COUNTIF($W$2:$W$532,$W428)&gt;1)),"Yes","No"),IF($A428="Cybernet",IF(OR(AND($Y428&lt;&gt;"",LOWER(TRIM($Y428))&lt;&gt;"n/a",COUNTIF($Y$2:$Y$532,$Y428)&gt;1),AND($Z428&lt;&gt;"",LOWER(TRIM($Z428))&lt;&gt;"n/a",COUNTIF($Z$2:$Z$532,$Z428)&gt;1)),"Yes","No"),IF(AND($AL428&lt;&gt;"",LOWER(TRIM($AL428))&lt;&gt;"n/a",COUNTIF($AL$2:$AL$532,$AL428)&gt;1),"Yes","No"))))</f>
      </c>
      <c r="F428">
        <f>IF($B428&lt;&gt;"Yes","",
IF($A428="Neuron",
IF(OR(
AND($S428&lt;&gt;"",LOWER(TRIM($S428))&lt;&gt;"n/a",COUNTIFS($B$2:$B$532,"Yes",$A$2:$A$532,"Neuron",$S$2:$S$532,$S428)&gt;1),
AND($T428&lt;&gt;"",LOWER(TRIM($T428))&lt;&gt;"n/a",COUNTIFS($B$2:$B$532,"Yes",$A$2:$A$532,"Neuron",$T$2:$T$532,$T428)&gt;1),
AND($W428&lt;&gt;"",LOWER(TRIM($W428))&lt;&gt;"n/a",COUNTIFS($B$2:$B$532,"Yes",$A$2:$A$532,"Neuron",$W$2:$W$532,$W428)&gt;1)
),"Yes","No"),
IF($A428="Cybernet",
IF(OR(
AND($Y428&lt;&gt;"",LOWER(TRIM($Y428))&lt;&gt;"n/a",COUNTIFS($B$2:$B$532,"Yes",$A$2:$A$532,"Cybernet",$Y$2:$Y$532,$Y428)&gt;1),
AND($Z428&lt;&gt;"",LOWER(TRIM($Z428))&lt;&gt;"n/a",COUNTIFS($B$2:$B$532,"Yes",$A$2:$A$532,"Cybernet",$Z$2:$Z$532,$Z428)&gt;1)
),"Yes","No"),
IF(AND($AL428&lt;&gt;"",LOWER(TRIM($AL428))&lt;&gt;"n/a"),
IF(COUNTIFS($B$2:$B$532,"Yes",$A$2:$A$532,$A428,$AL$2:$AL$532,$AL428)&gt;1,"Yes","No"),
"No")
)
)
)</f>
      </c>
      <c r="BL428">
        <f>IF($T428="","",IF((IF(AND($AW428&lt;&gt;"Yes",$AW428&lt;&gt;"N/A"),"Power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",""))="","",LEFT(IF(AND($AW428&lt;&gt;"Yes",$AW428&lt;&gt;"N/A"),"Power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",""),LEN(IF(AND($AW428&lt;&gt;"Yes",$AW428&lt;&gt;"N/A"),"Power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",""))-2)))</f>
      </c>
      <c r="BM428">
        <f>IF($T428="","",IF($BL428="","Yes","Blocked"))</f>
      </c>
      <c r="BP428">
        <f>IF($BO428="","",IFERROR(VLOOKUP($BO428,'01_Warehouse_Ledger'!$A:$N,4,FALSE),""))</f>
      </c>
      <c r="BQ428">
        <f>IF($BO428="","",IFERROR(VLOOKUP($BO428,'01_Warehouse_Ledger'!$A:$N,5,FALSE),""))</f>
      </c>
      <c r="BR428">
        <f>IF($BO428="","",IFERROR(VLOOKUP($BO428,'01_Warehouse_Ledger'!$A:$N,13,FALSE),""))</f>
      </c>
    </row>
    <row r="429">
      <c r="D429">
        <f>IF($B429&lt;&gt;"Yes","",IF($C429="No","Yes",IF($C429="Yes","No","")))</f>
      </c>
      <c r="E429">
        <f>IF($A429="","",IF($A429="Neuron",IF(OR(AND($S429&lt;&gt;"",LOWER(TRIM($S429))&lt;&gt;"n/a",COUNTIF($S$2:$S$532,$S429)&gt;1),AND($T429&lt;&gt;"",LOWER(TRIM($T429))&lt;&gt;"n/a",COUNTIF($T$2:$T$532,$T429)&gt;1),AND($W429&lt;&gt;"",LOWER(TRIM($W429))&lt;&gt;"n/a",COUNTIF($W$2:$W$532,$W429)&gt;1)),"Yes","No"),IF($A429="Cybernet",IF(OR(AND($Y429&lt;&gt;"",LOWER(TRIM($Y429))&lt;&gt;"n/a",COUNTIF($Y$2:$Y$532,$Y429)&gt;1),AND($Z429&lt;&gt;"",LOWER(TRIM($Z429))&lt;&gt;"n/a",COUNTIF($Z$2:$Z$532,$Z429)&gt;1)),"Yes","No"),IF(AND($AL429&lt;&gt;"",LOWER(TRIM($AL429))&lt;&gt;"n/a",COUNTIF($AL$2:$AL$532,$AL429)&gt;1),"Yes","No"))))</f>
      </c>
      <c r="F429">
        <f>IF($B429&lt;&gt;"Yes","",
IF($A429="Neuron",
IF(OR(
AND($S429&lt;&gt;"",LOWER(TRIM($S429))&lt;&gt;"n/a",COUNTIFS($B$2:$B$532,"Yes",$A$2:$A$532,"Neuron",$S$2:$S$532,$S429)&gt;1),
AND($T429&lt;&gt;"",LOWER(TRIM($T429))&lt;&gt;"n/a",COUNTIFS($B$2:$B$532,"Yes",$A$2:$A$532,"Neuron",$T$2:$T$532,$T429)&gt;1),
AND($W429&lt;&gt;"",LOWER(TRIM($W429))&lt;&gt;"n/a",COUNTIFS($B$2:$B$532,"Yes",$A$2:$A$532,"Neuron",$W$2:$W$532,$W429)&gt;1)
),"Yes","No"),
IF($A429="Cybernet",
IF(OR(
AND($Y429&lt;&gt;"",LOWER(TRIM($Y429))&lt;&gt;"n/a",COUNTIFS($B$2:$B$532,"Yes",$A$2:$A$532,"Cybernet",$Y$2:$Y$532,$Y429)&gt;1),
AND($Z429&lt;&gt;"",LOWER(TRIM($Z429))&lt;&gt;"n/a",COUNTIFS($B$2:$B$532,"Yes",$A$2:$A$532,"Cybernet",$Z$2:$Z$532,$Z429)&gt;1)
),"Yes","No"),
IF(AND($AL429&lt;&gt;"",LOWER(TRIM($AL429))&lt;&gt;"n/a"),
IF(COUNTIFS($B$2:$B$532,"Yes",$A$2:$A$532,$A429,$AL$2:$AL$532,$AL429)&gt;1,"Yes","No"),
"No")
)
)
)</f>
      </c>
      <c r="BL429">
        <f>IF($T429="","",IF((IF(AND($AW429&lt;&gt;"Yes",$AW429&lt;&gt;"N/A"),"Power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",""))="","",LEFT(IF(AND($AW429&lt;&gt;"Yes",$AW429&lt;&gt;"N/A"),"Power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",""),LEN(IF(AND($AW429&lt;&gt;"Yes",$AW429&lt;&gt;"N/A"),"Power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",""))-2)))</f>
      </c>
      <c r="BM429">
        <f>IF($T429="","",IF($BL429="","Yes","Blocked"))</f>
      </c>
      <c r="BP429">
        <f>IF($BO429="","",IFERROR(VLOOKUP($BO429,'01_Warehouse_Ledger'!$A:$N,4,FALSE),""))</f>
      </c>
      <c r="BQ429">
        <f>IF($BO429="","",IFERROR(VLOOKUP($BO429,'01_Warehouse_Ledger'!$A:$N,5,FALSE),""))</f>
      </c>
      <c r="BR429">
        <f>IF($BO429="","",IFERROR(VLOOKUP($BO429,'01_Warehouse_Ledger'!$A:$N,13,FALSE),""))</f>
      </c>
    </row>
    <row r="430">
      <c r="D430">
        <f>IF($B430&lt;&gt;"Yes","",IF($C430="No","Yes",IF($C430="Yes","No","")))</f>
      </c>
      <c r="E430">
        <f>IF($A430="","",IF($A430="Neuron",IF(OR(AND($S430&lt;&gt;"",LOWER(TRIM($S430))&lt;&gt;"n/a",COUNTIF($S$2:$S$532,$S430)&gt;1),AND($T430&lt;&gt;"",LOWER(TRIM($T430))&lt;&gt;"n/a",COUNTIF($T$2:$T$532,$T430)&gt;1),AND($W430&lt;&gt;"",LOWER(TRIM($W430))&lt;&gt;"n/a",COUNTIF($W$2:$W$532,$W430)&gt;1)),"Yes","No"),IF($A430="Cybernet",IF(OR(AND($Y430&lt;&gt;"",LOWER(TRIM($Y430))&lt;&gt;"n/a",COUNTIF($Y$2:$Y$532,$Y430)&gt;1),AND($Z430&lt;&gt;"",LOWER(TRIM($Z430))&lt;&gt;"n/a",COUNTIF($Z$2:$Z$532,$Z430)&gt;1)),"Yes","No"),IF(AND($AL430&lt;&gt;"",LOWER(TRIM($AL430))&lt;&gt;"n/a",COUNTIF($AL$2:$AL$532,$AL430)&gt;1),"Yes","No"))))</f>
      </c>
      <c r="F430">
        <f>IF($B430&lt;&gt;"Yes","",
IF($A430="Neuron",
IF(OR(
AND($S430&lt;&gt;"",LOWER(TRIM($S430))&lt;&gt;"n/a",COUNTIFS($B$2:$B$532,"Yes",$A$2:$A$532,"Neuron",$S$2:$S$532,$S430)&gt;1),
AND($T430&lt;&gt;"",LOWER(TRIM($T430))&lt;&gt;"n/a",COUNTIFS($B$2:$B$532,"Yes",$A$2:$A$532,"Neuron",$T$2:$T$532,$T430)&gt;1),
AND($W430&lt;&gt;"",LOWER(TRIM($W430))&lt;&gt;"n/a",COUNTIFS($B$2:$B$532,"Yes",$A$2:$A$532,"Neuron",$W$2:$W$532,$W430)&gt;1)
),"Yes","No"),
IF($A430="Cybernet",
IF(OR(
AND($Y430&lt;&gt;"",LOWER(TRIM($Y430))&lt;&gt;"n/a",COUNTIFS($B$2:$B$532,"Yes",$A$2:$A$532,"Cybernet",$Y$2:$Y$532,$Y430)&gt;1),
AND($Z430&lt;&gt;"",LOWER(TRIM($Z430))&lt;&gt;"n/a",COUNTIFS($B$2:$B$532,"Yes",$A$2:$A$532,"Cybernet",$Z$2:$Z$532,$Z430)&gt;1)
),"Yes","No"),
IF(AND($AL430&lt;&gt;"",LOWER(TRIM($AL430))&lt;&gt;"n/a"),
IF(COUNTIFS($B$2:$B$532,"Yes",$A$2:$A$532,$A430,$AL$2:$AL$532,$AL430)&gt;1,"Yes","No"),
"No")
)
)
)</f>
      </c>
      <c r="BL430">
        <f>IF($T430="","",IF((IF(AND($AW430&lt;&gt;"Yes",$AW430&lt;&gt;"N/A"),"Power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",""))="","",LEFT(IF(AND($AW430&lt;&gt;"Yes",$AW430&lt;&gt;"N/A"),"Power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",""),LEN(IF(AND($AW430&lt;&gt;"Yes",$AW430&lt;&gt;"N/A"),"Power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",""))-2)))</f>
      </c>
      <c r="BM430">
        <f>IF($T430="","",IF($BL430="","Yes","Blocked"))</f>
      </c>
      <c r="BP430">
        <f>IF($BO430="","",IFERROR(VLOOKUP($BO430,'01_Warehouse_Ledger'!$A:$N,4,FALSE),""))</f>
      </c>
      <c r="BQ430">
        <f>IF($BO430="","",IFERROR(VLOOKUP($BO430,'01_Warehouse_Ledger'!$A:$N,5,FALSE),""))</f>
      </c>
      <c r="BR430">
        <f>IF($BO430="","",IFERROR(VLOOKUP($BO430,'01_Warehouse_Ledger'!$A:$N,13,FALSE),""))</f>
      </c>
    </row>
    <row r="431">
      <c r="D431">
        <f>IF($B431&lt;&gt;"Yes","",IF($C431="No","Yes",IF($C431="Yes","No","")))</f>
      </c>
      <c r="E431">
        <f>IF($A431="","",IF($A431="Neuron",IF(OR(AND($S431&lt;&gt;"",LOWER(TRIM($S431))&lt;&gt;"n/a",COUNTIF($S$2:$S$532,$S431)&gt;1),AND($T431&lt;&gt;"",LOWER(TRIM($T431))&lt;&gt;"n/a",COUNTIF($T$2:$T$532,$T431)&gt;1),AND($W431&lt;&gt;"",LOWER(TRIM($W431))&lt;&gt;"n/a",COUNTIF($W$2:$W$532,$W431)&gt;1)),"Yes","No"),IF($A431="Cybernet",IF(OR(AND($Y431&lt;&gt;"",LOWER(TRIM($Y431))&lt;&gt;"n/a",COUNTIF($Y$2:$Y$532,$Y431)&gt;1),AND($Z431&lt;&gt;"",LOWER(TRIM($Z431))&lt;&gt;"n/a",COUNTIF($Z$2:$Z$532,$Z431)&gt;1)),"Yes","No"),IF(AND($AL431&lt;&gt;"",LOWER(TRIM($AL431))&lt;&gt;"n/a",COUNTIF($AL$2:$AL$532,$AL431)&gt;1),"Yes","No"))))</f>
      </c>
      <c r="F431">
        <f>IF($B431&lt;&gt;"Yes","",
IF($A431="Neuron",
IF(OR(
AND($S431&lt;&gt;"",LOWER(TRIM($S431))&lt;&gt;"n/a",COUNTIFS($B$2:$B$532,"Yes",$A$2:$A$532,"Neuron",$S$2:$S$532,$S431)&gt;1),
AND($T431&lt;&gt;"",LOWER(TRIM($T431))&lt;&gt;"n/a",COUNTIFS($B$2:$B$532,"Yes",$A$2:$A$532,"Neuron",$T$2:$T$532,$T431)&gt;1),
AND($W431&lt;&gt;"",LOWER(TRIM($W431))&lt;&gt;"n/a",COUNTIFS($B$2:$B$532,"Yes",$A$2:$A$532,"Neuron",$W$2:$W$532,$W431)&gt;1)
),"Yes","No"),
IF($A431="Cybernet",
IF(OR(
AND($Y431&lt;&gt;"",LOWER(TRIM($Y431))&lt;&gt;"n/a",COUNTIFS($B$2:$B$532,"Yes",$A$2:$A$532,"Cybernet",$Y$2:$Y$532,$Y431)&gt;1),
AND($Z431&lt;&gt;"",LOWER(TRIM($Z431))&lt;&gt;"n/a",COUNTIFS($B$2:$B$532,"Yes",$A$2:$A$532,"Cybernet",$Z$2:$Z$532,$Z431)&gt;1)
),"Yes","No"),
IF(AND($AL431&lt;&gt;"",LOWER(TRIM($AL431))&lt;&gt;"n/a"),
IF(COUNTIFS($B$2:$B$532,"Yes",$A$2:$A$532,$A431,$AL$2:$AL$532,$AL431)&gt;1,"Yes","No"),
"No")
)
)
)</f>
      </c>
      <c r="BL431">
        <f>IF($T431="","",IF((IF(AND($AW431&lt;&gt;"Yes",$AW431&lt;&gt;"N/A"),"Power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",""))="","",LEFT(IF(AND($AW431&lt;&gt;"Yes",$AW431&lt;&gt;"N/A"),"Power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",""),LEN(IF(AND($AW431&lt;&gt;"Yes",$AW431&lt;&gt;"N/A"),"Power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",""))-2)))</f>
      </c>
      <c r="BM431">
        <f>IF($T431="","",IF($BL431="","Yes","Blocked"))</f>
      </c>
      <c r="BP431">
        <f>IF($BO431="","",IFERROR(VLOOKUP($BO431,'01_Warehouse_Ledger'!$A:$N,4,FALSE),""))</f>
      </c>
      <c r="BQ431">
        <f>IF($BO431="","",IFERROR(VLOOKUP($BO431,'01_Warehouse_Ledger'!$A:$N,5,FALSE),""))</f>
      </c>
      <c r="BR431">
        <f>IF($BO431="","",IFERROR(VLOOKUP($BO431,'01_Warehouse_Ledger'!$A:$N,13,FALSE),""))</f>
      </c>
    </row>
    <row r="432">
      <c r="D432">
        <f>IF($B432&lt;&gt;"Yes","",IF($C432="No","Yes",IF($C432="Yes","No","")))</f>
      </c>
      <c r="E432">
        <f>IF($A432="","",IF($A432="Neuron",IF(OR(AND($S432&lt;&gt;"",LOWER(TRIM($S432))&lt;&gt;"n/a",COUNTIF($S$2:$S$532,$S432)&gt;1),AND($T432&lt;&gt;"",LOWER(TRIM($T432))&lt;&gt;"n/a",COUNTIF($T$2:$T$532,$T432)&gt;1),AND($W432&lt;&gt;"",LOWER(TRIM($W432))&lt;&gt;"n/a",COUNTIF($W$2:$W$532,$W432)&gt;1)),"Yes","No"),IF($A432="Cybernet",IF(OR(AND($Y432&lt;&gt;"",LOWER(TRIM($Y432))&lt;&gt;"n/a",COUNTIF($Y$2:$Y$532,$Y432)&gt;1),AND($Z432&lt;&gt;"",LOWER(TRIM($Z432))&lt;&gt;"n/a",COUNTIF($Z$2:$Z$532,$Z432)&gt;1)),"Yes","No"),IF(AND($AL432&lt;&gt;"",LOWER(TRIM($AL432))&lt;&gt;"n/a",COUNTIF($AL$2:$AL$532,$AL432)&gt;1),"Yes","No"))))</f>
      </c>
      <c r="F432">
        <f>IF($B432&lt;&gt;"Yes","",
IF($A432="Neuron",
IF(OR(
AND($S432&lt;&gt;"",LOWER(TRIM($S432))&lt;&gt;"n/a",COUNTIFS($B$2:$B$532,"Yes",$A$2:$A$532,"Neuron",$S$2:$S$532,$S432)&gt;1),
AND($T432&lt;&gt;"",LOWER(TRIM($T432))&lt;&gt;"n/a",COUNTIFS($B$2:$B$532,"Yes",$A$2:$A$532,"Neuron",$T$2:$T$532,$T432)&gt;1),
AND($W432&lt;&gt;"",LOWER(TRIM($W432))&lt;&gt;"n/a",COUNTIFS($B$2:$B$532,"Yes",$A$2:$A$532,"Neuron",$W$2:$W$532,$W432)&gt;1)
),"Yes","No"),
IF($A432="Cybernet",
IF(OR(
AND($Y432&lt;&gt;"",LOWER(TRIM($Y432))&lt;&gt;"n/a",COUNTIFS($B$2:$B$532,"Yes",$A$2:$A$532,"Cybernet",$Y$2:$Y$532,$Y432)&gt;1),
AND($Z432&lt;&gt;"",LOWER(TRIM($Z432))&lt;&gt;"n/a",COUNTIFS($B$2:$B$532,"Yes",$A$2:$A$532,"Cybernet",$Z$2:$Z$532,$Z432)&gt;1)
),"Yes","No"),
IF(AND($AL432&lt;&gt;"",LOWER(TRIM($AL432))&lt;&gt;"n/a"),
IF(COUNTIFS($B$2:$B$532,"Yes",$A$2:$A$532,$A432,$AL$2:$AL$532,$AL432)&gt;1,"Yes","No"),
"No")
)
)
)</f>
      </c>
      <c r="BL432">
        <f>IF($T432="","",IF((IF(AND($AW432&lt;&gt;"Yes",$AW432&lt;&gt;"N/A"),"Power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",""))="","",LEFT(IF(AND($AW432&lt;&gt;"Yes",$AW432&lt;&gt;"N/A"),"Power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",""),LEN(IF(AND($AW432&lt;&gt;"Yes",$AW432&lt;&gt;"N/A"),"Power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",""))-2)))</f>
      </c>
      <c r="BM432">
        <f>IF($T432="","",IF($BL432="","Yes","Blocked"))</f>
      </c>
      <c r="BP432">
        <f>IF($BO432="","",IFERROR(VLOOKUP($BO432,'01_Warehouse_Ledger'!$A:$N,4,FALSE),""))</f>
      </c>
      <c r="BQ432">
        <f>IF($BO432="","",IFERROR(VLOOKUP($BO432,'01_Warehouse_Ledger'!$A:$N,5,FALSE),""))</f>
      </c>
      <c r="BR432">
        <f>IF($BO432="","",IFERROR(VLOOKUP($BO432,'01_Warehouse_Ledger'!$A:$N,13,FALSE),""))</f>
      </c>
    </row>
    <row r="433">
      <c r="D433">
        <f>IF($B433&lt;&gt;"Yes","",IF($C433="No","Yes",IF($C433="Yes","No","")))</f>
      </c>
      <c r="E433">
        <f>IF($A433="","",IF($A433="Neuron",IF(OR(AND($S433&lt;&gt;"",LOWER(TRIM($S433))&lt;&gt;"n/a",COUNTIF($S$2:$S$532,$S433)&gt;1),AND($T433&lt;&gt;"",LOWER(TRIM($T433))&lt;&gt;"n/a",COUNTIF($T$2:$T$532,$T433)&gt;1),AND($W433&lt;&gt;"",LOWER(TRIM($W433))&lt;&gt;"n/a",COUNTIF($W$2:$W$532,$W433)&gt;1)),"Yes","No"),IF($A433="Cybernet",IF(OR(AND($Y433&lt;&gt;"",LOWER(TRIM($Y433))&lt;&gt;"n/a",COUNTIF($Y$2:$Y$532,$Y433)&gt;1),AND($Z433&lt;&gt;"",LOWER(TRIM($Z433))&lt;&gt;"n/a",COUNTIF($Z$2:$Z$532,$Z433)&gt;1)),"Yes","No"),IF(AND($AL433&lt;&gt;"",LOWER(TRIM($AL433))&lt;&gt;"n/a",COUNTIF($AL$2:$AL$532,$AL433)&gt;1),"Yes","No"))))</f>
      </c>
      <c r="F433">
        <f>IF($B433&lt;&gt;"Yes","",
IF($A433="Neuron",
IF(OR(
AND($S433&lt;&gt;"",LOWER(TRIM($S433))&lt;&gt;"n/a",COUNTIFS($B$2:$B$532,"Yes",$A$2:$A$532,"Neuron",$S$2:$S$532,$S433)&gt;1),
AND($T433&lt;&gt;"",LOWER(TRIM($T433))&lt;&gt;"n/a",COUNTIFS($B$2:$B$532,"Yes",$A$2:$A$532,"Neuron",$T$2:$T$532,$T433)&gt;1),
AND($W433&lt;&gt;"",LOWER(TRIM($W433))&lt;&gt;"n/a",COUNTIFS($B$2:$B$532,"Yes",$A$2:$A$532,"Neuron",$W$2:$W$532,$W433)&gt;1)
),"Yes","No"),
IF($A433="Cybernet",
IF(OR(
AND($Y433&lt;&gt;"",LOWER(TRIM($Y433))&lt;&gt;"n/a",COUNTIFS($B$2:$B$532,"Yes",$A$2:$A$532,"Cybernet",$Y$2:$Y$532,$Y433)&gt;1),
AND($Z433&lt;&gt;"",LOWER(TRIM($Z433))&lt;&gt;"n/a",COUNTIFS($B$2:$B$532,"Yes",$A$2:$A$532,"Cybernet",$Z$2:$Z$532,$Z433)&gt;1)
),"Yes","No"),
IF(AND($AL433&lt;&gt;"",LOWER(TRIM($AL433))&lt;&gt;"n/a"),
IF(COUNTIFS($B$2:$B$532,"Yes",$A$2:$A$532,$A433,$AL$2:$AL$532,$AL433)&gt;1,"Yes","No"),
"No")
)
)
)</f>
      </c>
      <c r="BL433">
        <f>IF($T433="","",IF((IF(AND($AW433&lt;&gt;"Yes",$AW433&lt;&gt;"N/A"),"Power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",""))="","",LEFT(IF(AND($AW433&lt;&gt;"Yes",$AW433&lt;&gt;"N/A"),"Power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",""),LEN(IF(AND($AW433&lt;&gt;"Yes",$AW433&lt;&gt;"N/A"),"Power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",""))-2)))</f>
      </c>
      <c r="BM433">
        <f>IF($T433="","",IF($BL433="","Yes","Blocked"))</f>
      </c>
      <c r="BP433">
        <f>IF($BO433="","",IFERROR(VLOOKUP($BO433,'01_Warehouse_Ledger'!$A:$N,4,FALSE),""))</f>
      </c>
      <c r="BQ433">
        <f>IF($BO433="","",IFERROR(VLOOKUP($BO433,'01_Warehouse_Ledger'!$A:$N,5,FALSE),""))</f>
      </c>
      <c r="BR433">
        <f>IF($BO433="","",IFERROR(VLOOKUP($BO433,'01_Warehouse_Ledger'!$A:$N,13,FALSE),""))</f>
      </c>
    </row>
    <row r="434">
      <c r="D434">
        <f>IF($B434&lt;&gt;"Yes","",IF($C434="No","Yes",IF($C434="Yes","No","")))</f>
      </c>
      <c r="E434">
        <f>IF($A434="","",IF($A434="Neuron",IF(OR(AND($S434&lt;&gt;"",LOWER(TRIM($S434))&lt;&gt;"n/a",COUNTIF($S$2:$S$532,$S434)&gt;1),AND($T434&lt;&gt;"",LOWER(TRIM($T434))&lt;&gt;"n/a",COUNTIF($T$2:$T$532,$T434)&gt;1),AND($W434&lt;&gt;"",LOWER(TRIM($W434))&lt;&gt;"n/a",COUNTIF($W$2:$W$532,$W434)&gt;1)),"Yes","No"),IF($A434="Cybernet",IF(OR(AND($Y434&lt;&gt;"",LOWER(TRIM($Y434))&lt;&gt;"n/a",COUNTIF($Y$2:$Y$532,$Y434)&gt;1),AND($Z434&lt;&gt;"",LOWER(TRIM($Z434))&lt;&gt;"n/a",COUNTIF($Z$2:$Z$532,$Z434)&gt;1)),"Yes","No"),IF(AND($AL434&lt;&gt;"",LOWER(TRIM($AL434))&lt;&gt;"n/a",COUNTIF($AL$2:$AL$532,$AL434)&gt;1),"Yes","No"))))</f>
      </c>
      <c r="F434">
        <f>IF($B434&lt;&gt;"Yes","",
IF($A434="Neuron",
IF(OR(
AND($S434&lt;&gt;"",LOWER(TRIM($S434))&lt;&gt;"n/a",COUNTIFS($B$2:$B$532,"Yes",$A$2:$A$532,"Neuron",$S$2:$S$532,$S434)&gt;1),
AND($T434&lt;&gt;"",LOWER(TRIM($T434))&lt;&gt;"n/a",COUNTIFS($B$2:$B$532,"Yes",$A$2:$A$532,"Neuron",$T$2:$T$532,$T434)&gt;1),
AND($W434&lt;&gt;"",LOWER(TRIM($W434))&lt;&gt;"n/a",COUNTIFS($B$2:$B$532,"Yes",$A$2:$A$532,"Neuron",$W$2:$W$532,$W434)&gt;1)
),"Yes","No"),
IF($A434="Cybernet",
IF(OR(
AND($Y434&lt;&gt;"",LOWER(TRIM($Y434))&lt;&gt;"n/a",COUNTIFS($B$2:$B$532,"Yes",$A$2:$A$532,"Cybernet",$Y$2:$Y$532,$Y434)&gt;1),
AND($Z434&lt;&gt;"",LOWER(TRIM($Z434))&lt;&gt;"n/a",COUNTIFS($B$2:$B$532,"Yes",$A$2:$A$532,"Cybernet",$Z$2:$Z$532,$Z434)&gt;1)
),"Yes","No"),
IF(AND($AL434&lt;&gt;"",LOWER(TRIM($AL434))&lt;&gt;"n/a"),
IF(COUNTIFS($B$2:$B$532,"Yes",$A$2:$A$532,$A434,$AL$2:$AL$532,$AL434)&gt;1,"Yes","No"),
"No")
)
)
)</f>
      </c>
      <c r="BL434">
        <f>IF($T434="","",IF((IF(AND($AW434&lt;&gt;"Yes",$AW434&lt;&gt;"N/A"),"Power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",""))="","",LEFT(IF(AND($AW434&lt;&gt;"Yes",$AW434&lt;&gt;"N/A"),"Power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",""),LEN(IF(AND($AW434&lt;&gt;"Yes",$AW434&lt;&gt;"N/A"),"Power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",""))-2)))</f>
      </c>
      <c r="BM434">
        <f>IF($T434="","",IF($BL434="","Yes","Blocked"))</f>
      </c>
      <c r="BP434">
        <f>IF($BO434="","",IFERROR(VLOOKUP($BO434,'01_Warehouse_Ledger'!$A:$N,4,FALSE),""))</f>
      </c>
      <c r="BQ434">
        <f>IF($BO434="","",IFERROR(VLOOKUP($BO434,'01_Warehouse_Ledger'!$A:$N,5,FALSE),""))</f>
      </c>
      <c r="BR434">
        <f>IF($BO434="","",IFERROR(VLOOKUP($BO434,'01_Warehouse_Ledger'!$A:$N,13,FALSE),""))</f>
      </c>
    </row>
    <row r="435">
      <c r="D435">
        <f>IF($B435&lt;&gt;"Yes","",IF($C435="No","Yes",IF($C435="Yes","No","")))</f>
      </c>
      <c r="E435">
        <f>IF($A435="","",IF($A435="Neuron",IF(OR(AND($S435&lt;&gt;"",LOWER(TRIM($S435))&lt;&gt;"n/a",COUNTIF($S$2:$S$532,$S435)&gt;1),AND($T435&lt;&gt;"",LOWER(TRIM($T435))&lt;&gt;"n/a",COUNTIF($T$2:$T$532,$T435)&gt;1),AND($W435&lt;&gt;"",LOWER(TRIM($W435))&lt;&gt;"n/a",COUNTIF($W$2:$W$532,$W435)&gt;1)),"Yes","No"),IF($A435="Cybernet",IF(OR(AND($Y435&lt;&gt;"",LOWER(TRIM($Y435))&lt;&gt;"n/a",COUNTIF($Y$2:$Y$532,$Y435)&gt;1),AND($Z435&lt;&gt;"",LOWER(TRIM($Z435))&lt;&gt;"n/a",COUNTIF($Z$2:$Z$532,$Z435)&gt;1)),"Yes","No"),IF(AND($AL435&lt;&gt;"",LOWER(TRIM($AL435))&lt;&gt;"n/a",COUNTIF($AL$2:$AL$532,$AL435)&gt;1),"Yes","No"))))</f>
      </c>
      <c r="F435">
        <f>IF($B435&lt;&gt;"Yes","",
IF($A435="Neuron",
IF(OR(
AND($S435&lt;&gt;"",LOWER(TRIM($S435))&lt;&gt;"n/a",COUNTIFS($B$2:$B$532,"Yes",$A$2:$A$532,"Neuron",$S$2:$S$532,$S435)&gt;1),
AND($T435&lt;&gt;"",LOWER(TRIM($T435))&lt;&gt;"n/a",COUNTIFS($B$2:$B$532,"Yes",$A$2:$A$532,"Neuron",$T$2:$T$532,$T435)&gt;1),
AND($W435&lt;&gt;"",LOWER(TRIM($W435))&lt;&gt;"n/a",COUNTIFS($B$2:$B$532,"Yes",$A$2:$A$532,"Neuron",$W$2:$W$532,$W435)&gt;1)
),"Yes","No"),
IF($A435="Cybernet",
IF(OR(
AND($Y435&lt;&gt;"",LOWER(TRIM($Y435))&lt;&gt;"n/a",COUNTIFS($B$2:$B$532,"Yes",$A$2:$A$532,"Cybernet",$Y$2:$Y$532,$Y435)&gt;1),
AND($Z435&lt;&gt;"",LOWER(TRIM($Z435))&lt;&gt;"n/a",COUNTIFS($B$2:$B$532,"Yes",$A$2:$A$532,"Cybernet",$Z$2:$Z$532,$Z435)&gt;1)
),"Yes","No"),
IF(AND($AL435&lt;&gt;"",LOWER(TRIM($AL435))&lt;&gt;"n/a"),
IF(COUNTIFS($B$2:$B$532,"Yes",$A$2:$A$532,$A435,$AL$2:$AL$532,$AL435)&gt;1,"Yes","No"),
"No")
)
)
)</f>
      </c>
      <c r="BL435">
        <f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</c>
      <c r="BM435">
        <f>IF($T435="","",IF($BL435="","Yes","Blocked"))</f>
      </c>
      <c r="BP435">
        <f>IF($BO435="","",IFERROR(VLOOKUP($BO435,'01_Warehouse_Ledger'!$A:$N,4,FALSE),""))</f>
      </c>
      <c r="BQ435">
        <f>IF($BO435="","",IFERROR(VLOOKUP($BO435,'01_Warehouse_Ledger'!$A:$N,5,FALSE),""))</f>
      </c>
      <c r="BR435">
        <f>IF($BO435="","",IFERROR(VLOOKUP($BO435,'01_Warehouse_Ledger'!$A:$N,13,FALSE),""))</f>
      </c>
    </row>
    <row r="436">
      <c r="D436">
        <f>IF($B436&lt;&gt;"Yes","",IF($C436="No","Yes",IF($C436="Yes","No","")))</f>
      </c>
      <c r="E436">
        <f>IF($A436="","",IF($A436="Neuron",IF(OR(AND($S436&lt;&gt;"",LOWER(TRIM($S436))&lt;&gt;"n/a",COUNTIF($S$2:$S$532,$S436)&gt;1),AND($T436&lt;&gt;"",LOWER(TRIM($T436))&lt;&gt;"n/a",COUNTIF($T$2:$T$532,$T436)&gt;1),AND($W436&lt;&gt;"",LOWER(TRIM($W436))&lt;&gt;"n/a",COUNTIF($W$2:$W$532,$W436)&gt;1)),"Yes","No"),IF($A436="Cybernet",IF(OR(AND($Y436&lt;&gt;"",LOWER(TRIM($Y436))&lt;&gt;"n/a",COUNTIF($Y$2:$Y$532,$Y436)&gt;1),AND($Z436&lt;&gt;"",LOWER(TRIM($Z436))&lt;&gt;"n/a",COUNTIF($Z$2:$Z$532,$Z436)&gt;1)),"Yes","No"),IF(AND($AL436&lt;&gt;"",LOWER(TRIM($AL436))&lt;&gt;"n/a",COUNTIF($AL$2:$AL$532,$AL436)&gt;1),"Yes","No"))))</f>
      </c>
      <c r="F436">
        <f>IF($B436&lt;&gt;"Yes","",
IF($A436="Neuron",
IF(OR(
AND($S436&lt;&gt;"",LOWER(TRIM($S436))&lt;&gt;"n/a",COUNTIFS($B$2:$B$532,"Yes",$A$2:$A$532,"Neuron",$S$2:$S$532,$S436)&gt;1),
AND($T436&lt;&gt;"",LOWER(TRIM($T436))&lt;&gt;"n/a",COUNTIFS($B$2:$B$532,"Yes",$A$2:$A$532,"Neuron",$T$2:$T$532,$T436)&gt;1),
AND($W436&lt;&gt;"",LOWER(TRIM($W436))&lt;&gt;"n/a",COUNTIFS($B$2:$B$532,"Yes",$A$2:$A$532,"Neuron",$W$2:$W$532,$W436)&gt;1)
),"Yes","No"),
IF($A436="Cybernet",
IF(OR(
AND($Y436&lt;&gt;"",LOWER(TRIM($Y436))&lt;&gt;"n/a",COUNTIFS($B$2:$B$532,"Yes",$A$2:$A$532,"Cybernet",$Y$2:$Y$532,$Y436)&gt;1),
AND($Z436&lt;&gt;"",LOWER(TRIM($Z436))&lt;&gt;"n/a",COUNTIFS($B$2:$B$532,"Yes",$A$2:$A$532,"Cybernet",$Z$2:$Z$532,$Z436)&gt;1)
),"Yes","No"),
IF(AND($AL436&lt;&gt;"",LOWER(TRIM($AL436))&lt;&gt;"n/a"),
IF(COUNTIFS($B$2:$B$532,"Yes",$A$2:$A$532,$A436,$AL$2:$AL$532,$AL436)&gt;1,"Yes","No"),
"No")
)
)
)</f>
      </c>
      <c r="BL436">
        <f>IF($T436="","",IF((IF(AND($AW436&lt;&gt;"Yes",$AW436&lt;&gt;"N/A"),"Power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",""))="","",LEFT(IF(AND($AW436&lt;&gt;"Yes",$AW436&lt;&gt;"N/A"),"Power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",""),LEN(IF(AND($AW436&lt;&gt;"Yes",$AW436&lt;&gt;"N/A"),"Power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",""))-2)))</f>
      </c>
      <c r="BM436">
        <f>IF($T436="","",IF($BL436="","Yes","Blocked"))</f>
      </c>
      <c r="BP436">
        <f>IF($BO436="","",IFERROR(VLOOKUP($BO436,'01_Warehouse_Ledger'!$A:$N,4,FALSE),""))</f>
      </c>
      <c r="BQ436">
        <f>IF($BO436="","",IFERROR(VLOOKUP($BO436,'01_Warehouse_Ledger'!$A:$N,5,FALSE),""))</f>
      </c>
      <c r="BR436">
        <f>IF($BO436="","",IFERROR(VLOOKUP($BO436,'01_Warehouse_Ledger'!$A:$N,13,FALSE),""))</f>
      </c>
    </row>
    <row r="437">
      <c r="D437">
        <f>IF($B437&lt;&gt;"Yes","",IF($C437="No","Yes",IF($C437="Yes","No","")))</f>
      </c>
      <c r="E437">
        <f>IF($A437="","",IF($A437="Neuron",IF(OR(AND($S437&lt;&gt;"",LOWER(TRIM($S437))&lt;&gt;"n/a",COUNTIF($S$2:$S$532,$S437)&gt;1),AND($T437&lt;&gt;"",LOWER(TRIM($T437))&lt;&gt;"n/a",COUNTIF($T$2:$T$532,$T437)&gt;1),AND($W437&lt;&gt;"",LOWER(TRIM($W437))&lt;&gt;"n/a",COUNTIF($W$2:$W$532,$W437)&gt;1)),"Yes","No"),IF($A437="Cybernet",IF(OR(AND($Y437&lt;&gt;"",LOWER(TRIM($Y437))&lt;&gt;"n/a",COUNTIF($Y$2:$Y$532,$Y437)&gt;1),AND($Z437&lt;&gt;"",LOWER(TRIM($Z437))&lt;&gt;"n/a",COUNTIF($Z$2:$Z$532,$Z437)&gt;1)),"Yes","No"),IF(AND($AL437&lt;&gt;"",LOWER(TRIM($AL437))&lt;&gt;"n/a",COUNTIF($AL$2:$AL$532,$AL437)&gt;1),"Yes","No"))))</f>
      </c>
      <c r="F437">
        <f>IF($B437&lt;&gt;"Yes","",
IF($A437="Neuron",
IF(OR(
AND($S437&lt;&gt;"",LOWER(TRIM($S437))&lt;&gt;"n/a",COUNTIFS($B$2:$B$532,"Yes",$A$2:$A$532,"Neuron",$S$2:$S$532,$S437)&gt;1),
AND($T437&lt;&gt;"",LOWER(TRIM($T437))&lt;&gt;"n/a",COUNTIFS($B$2:$B$532,"Yes",$A$2:$A$532,"Neuron",$T$2:$T$532,$T437)&gt;1),
AND($W437&lt;&gt;"",LOWER(TRIM($W437))&lt;&gt;"n/a",COUNTIFS($B$2:$B$532,"Yes",$A$2:$A$532,"Neuron",$W$2:$W$532,$W437)&gt;1)
),"Yes","No"),
IF($A437="Cybernet",
IF(OR(
AND($Y437&lt;&gt;"",LOWER(TRIM($Y437))&lt;&gt;"n/a",COUNTIFS($B$2:$B$532,"Yes",$A$2:$A$532,"Cybernet",$Y$2:$Y$532,$Y437)&gt;1),
AND($Z437&lt;&gt;"",LOWER(TRIM($Z437))&lt;&gt;"n/a",COUNTIFS($B$2:$B$532,"Yes",$A$2:$A$532,"Cybernet",$Z$2:$Z$532,$Z437)&gt;1)
),"Yes","No"),
IF(AND($AL437&lt;&gt;"",LOWER(TRIM($AL437))&lt;&gt;"n/a"),
IF(COUNTIFS($B$2:$B$532,"Yes",$A$2:$A$532,$A437,$AL$2:$AL$532,$AL437)&gt;1,"Yes","No"),
"No")
)
)
)</f>
      </c>
      <c r="BL437">
        <f>IF($T437="","",IF((IF(AND($AW437&lt;&gt;"Yes",$AW437&lt;&gt;"N/A"),"Power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",""))="","",LEFT(IF(AND($AW437&lt;&gt;"Yes",$AW437&lt;&gt;"N/A"),"Power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",""),LEN(IF(AND($AW437&lt;&gt;"Yes",$AW437&lt;&gt;"N/A"),"Power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",""))-2)))</f>
      </c>
      <c r="BM437">
        <f>IF($T437="","",IF($BL437="","Yes","Blocked"))</f>
      </c>
      <c r="BP437">
        <f>IF($BO437="","",IFERROR(VLOOKUP($BO437,'01_Warehouse_Ledger'!$A:$N,4,FALSE),""))</f>
      </c>
      <c r="BQ437">
        <f>IF($BO437="","",IFERROR(VLOOKUP($BO437,'01_Warehouse_Ledger'!$A:$N,5,FALSE),""))</f>
      </c>
      <c r="BR437">
        <f>IF($BO437="","",IFERROR(VLOOKUP($BO437,'01_Warehouse_Ledger'!$A:$N,13,FALSE),""))</f>
      </c>
    </row>
    <row r="438">
      <c r="D438">
        <f>IF($B438&lt;&gt;"Yes","",IF($C438="No","Yes",IF($C438="Yes","No","")))</f>
      </c>
      <c r="E438">
        <f>IF($A438="","",IF($A438="Neuron",IF(OR(AND($S438&lt;&gt;"",LOWER(TRIM($S438))&lt;&gt;"n/a",COUNTIF($S$2:$S$532,$S438)&gt;1),AND($T438&lt;&gt;"",LOWER(TRIM($T438))&lt;&gt;"n/a",COUNTIF($T$2:$T$532,$T438)&gt;1),AND($W438&lt;&gt;"",LOWER(TRIM($W438))&lt;&gt;"n/a",COUNTIF($W$2:$W$532,$W438)&gt;1)),"Yes","No"),IF($A438="Cybernet",IF(OR(AND($Y438&lt;&gt;"",LOWER(TRIM($Y438))&lt;&gt;"n/a",COUNTIF($Y$2:$Y$532,$Y438)&gt;1),AND($Z438&lt;&gt;"",LOWER(TRIM($Z438))&lt;&gt;"n/a",COUNTIF($Z$2:$Z$532,$Z438)&gt;1)),"Yes","No"),IF(AND($AL438&lt;&gt;"",LOWER(TRIM($AL438))&lt;&gt;"n/a",COUNTIF($AL$2:$AL$532,$AL438)&gt;1),"Yes","No"))))</f>
      </c>
      <c r="F438">
        <f>IF($B438&lt;&gt;"Yes","",
IF($A438="Neuron",
IF(OR(
AND($S438&lt;&gt;"",LOWER(TRIM($S438))&lt;&gt;"n/a",COUNTIFS($B$2:$B$532,"Yes",$A$2:$A$532,"Neuron",$S$2:$S$532,$S438)&gt;1),
AND($T438&lt;&gt;"",LOWER(TRIM($T438))&lt;&gt;"n/a",COUNTIFS($B$2:$B$532,"Yes",$A$2:$A$532,"Neuron",$T$2:$T$532,$T438)&gt;1),
AND($W438&lt;&gt;"",LOWER(TRIM($W438))&lt;&gt;"n/a",COUNTIFS($B$2:$B$532,"Yes",$A$2:$A$532,"Neuron",$W$2:$W$532,$W438)&gt;1)
),"Yes","No"),
IF($A438="Cybernet",
IF(OR(
AND($Y438&lt;&gt;"",LOWER(TRIM($Y438))&lt;&gt;"n/a",COUNTIFS($B$2:$B$532,"Yes",$A$2:$A$532,"Cybernet",$Y$2:$Y$532,$Y438)&gt;1),
AND($Z438&lt;&gt;"",LOWER(TRIM($Z438))&lt;&gt;"n/a",COUNTIFS($B$2:$B$532,"Yes",$A$2:$A$532,"Cybernet",$Z$2:$Z$532,$Z438)&gt;1)
),"Yes","No"),
IF(AND($AL438&lt;&gt;"",LOWER(TRIM($AL438))&lt;&gt;"n/a"),
IF(COUNTIFS($B$2:$B$532,"Yes",$A$2:$A$532,$A438,$AL$2:$AL$532,$AL438)&gt;1,"Yes","No"),
"No")
)
)
)</f>
      </c>
      <c r="BL438">
        <f>IF($T438="","",IF((IF(AND($AW438&lt;&gt;"Yes",$AW438&lt;&gt;"N/A"),"Power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",""))="","",LEFT(IF(AND($AW438&lt;&gt;"Yes",$AW438&lt;&gt;"N/A"),"Power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",""),LEN(IF(AND($AW438&lt;&gt;"Yes",$AW438&lt;&gt;"N/A"),"Power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",""))-2)))</f>
      </c>
      <c r="BM438">
        <f>IF($T438="","",IF($BL438="","Yes","Blocked"))</f>
      </c>
      <c r="BP438">
        <f>IF($BO438="","",IFERROR(VLOOKUP($BO438,'01_Warehouse_Ledger'!$A:$N,4,FALSE),""))</f>
      </c>
      <c r="BQ438">
        <f>IF($BO438="","",IFERROR(VLOOKUP($BO438,'01_Warehouse_Ledger'!$A:$N,5,FALSE),""))</f>
      </c>
      <c r="BR438">
        <f>IF($BO438="","",IFERROR(VLOOKUP($BO438,'01_Warehouse_Ledger'!$A:$N,13,FALSE),""))</f>
      </c>
    </row>
    <row r="439">
      <c r="D439">
        <f>IF($B439&lt;&gt;"Yes","",IF($C439="No","Yes",IF($C439="Yes","No","")))</f>
      </c>
      <c r="E439">
        <f>IF($A439="","",IF($A439="Neuron",IF(OR(AND($S439&lt;&gt;"",LOWER(TRIM($S439))&lt;&gt;"n/a",COUNTIF($S$2:$S$532,$S439)&gt;1),AND($T439&lt;&gt;"",LOWER(TRIM($T439))&lt;&gt;"n/a",COUNTIF($T$2:$T$532,$T439)&gt;1),AND($W439&lt;&gt;"",LOWER(TRIM($W439))&lt;&gt;"n/a",COUNTIF($W$2:$W$532,$W439)&gt;1)),"Yes","No"),IF($A439="Cybernet",IF(OR(AND($Y439&lt;&gt;"",LOWER(TRIM($Y439))&lt;&gt;"n/a",COUNTIF($Y$2:$Y$532,$Y439)&gt;1),AND($Z439&lt;&gt;"",LOWER(TRIM($Z439))&lt;&gt;"n/a",COUNTIF($Z$2:$Z$532,$Z439)&gt;1)),"Yes","No"),IF(AND($AL439&lt;&gt;"",LOWER(TRIM($AL439))&lt;&gt;"n/a",COUNTIF($AL$2:$AL$532,$AL439)&gt;1),"Yes","No"))))</f>
      </c>
      <c r="F439">
        <f>IF($B439&lt;&gt;"Yes","",
IF($A439="Neuron",
IF(OR(
AND($S439&lt;&gt;"",LOWER(TRIM($S439))&lt;&gt;"n/a",COUNTIFS($B$2:$B$532,"Yes",$A$2:$A$532,"Neuron",$S$2:$S$532,$S439)&gt;1),
AND($T439&lt;&gt;"",LOWER(TRIM($T439))&lt;&gt;"n/a",COUNTIFS($B$2:$B$532,"Yes",$A$2:$A$532,"Neuron",$T$2:$T$532,$T439)&gt;1),
AND($W439&lt;&gt;"",LOWER(TRIM($W439))&lt;&gt;"n/a",COUNTIFS($B$2:$B$532,"Yes",$A$2:$A$532,"Neuron",$W$2:$W$532,$W439)&gt;1)
),"Yes","No"),
IF($A439="Cybernet",
IF(OR(
AND($Y439&lt;&gt;"",LOWER(TRIM($Y439))&lt;&gt;"n/a",COUNTIFS($B$2:$B$532,"Yes",$A$2:$A$532,"Cybernet",$Y$2:$Y$532,$Y439)&gt;1),
AND($Z439&lt;&gt;"",LOWER(TRIM($Z439))&lt;&gt;"n/a",COUNTIFS($B$2:$B$532,"Yes",$A$2:$A$532,"Cybernet",$Z$2:$Z$532,$Z439)&gt;1)
),"Yes","No"),
IF(AND($AL439&lt;&gt;"",LOWER(TRIM($AL439))&lt;&gt;"n/a"),
IF(COUNTIFS($B$2:$B$532,"Yes",$A$2:$A$532,$A439,$AL$2:$AL$532,$AL439)&gt;1,"Yes","No"),
"No")
)
)
)</f>
      </c>
      <c r="BL439">
        <f>IF($T439="","",IF((IF(AND($AW439&lt;&gt;"Yes",$AW439&lt;&gt;"N/A"),"Power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",""))="","",LEFT(IF(AND($AW439&lt;&gt;"Yes",$AW439&lt;&gt;"N/A"),"Power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",""),LEN(IF(AND($AW439&lt;&gt;"Yes",$AW439&lt;&gt;"N/A"),"Power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",""))-2)))</f>
      </c>
      <c r="BM439">
        <f>IF($T439="","",IF($BL439="","Yes","Blocked"))</f>
      </c>
      <c r="BP439">
        <f>IF($BO439="","",IFERROR(VLOOKUP($BO439,'01_Warehouse_Ledger'!$A:$N,4,FALSE),""))</f>
      </c>
      <c r="BQ439">
        <f>IF($BO439="","",IFERROR(VLOOKUP($BO439,'01_Warehouse_Ledger'!$A:$N,5,FALSE),""))</f>
      </c>
      <c r="BR439">
        <f>IF($BO439="","",IFERROR(VLOOKUP($BO439,'01_Warehouse_Ledger'!$A:$N,13,FALSE),""))</f>
      </c>
    </row>
    <row r="440">
      <c r="D440">
        <f>IF($B440&lt;&gt;"Yes","",IF($C440="No","Yes",IF($C440="Yes","No","")))</f>
      </c>
      <c r="E440">
        <f>IF($A440="","",IF($A440="Neuron",IF(OR(AND($S440&lt;&gt;"",LOWER(TRIM($S440))&lt;&gt;"n/a",COUNTIF($S$2:$S$532,$S440)&gt;1),AND($T440&lt;&gt;"",LOWER(TRIM($T440))&lt;&gt;"n/a",COUNTIF($T$2:$T$532,$T440)&gt;1),AND($W440&lt;&gt;"",LOWER(TRIM($W440))&lt;&gt;"n/a",COUNTIF($W$2:$W$532,$W440)&gt;1)),"Yes","No"),IF($A440="Cybernet",IF(OR(AND($Y440&lt;&gt;"",LOWER(TRIM($Y440))&lt;&gt;"n/a",COUNTIF($Y$2:$Y$532,$Y440)&gt;1),AND($Z440&lt;&gt;"",LOWER(TRIM($Z440))&lt;&gt;"n/a",COUNTIF($Z$2:$Z$532,$Z440)&gt;1)),"Yes","No"),IF(AND($AL440&lt;&gt;"",LOWER(TRIM($AL440))&lt;&gt;"n/a",COUNTIF($AL$2:$AL$532,$AL440)&gt;1),"Yes","No"))))</f>
      </c>
      <c r="F440">
        <f>IF($B440&lt;&gt;"Yes","",
IF($A440="Neuron",
IF(OR(
AND($S440&lt;&gt;"",LOWER(TRIM($S440))&lt;&gt;"n/a",COUNTIFS($B$2:$B$532,"Yes",$A$2:$A$532,"Neuron",$S$2:$S$532,$S440)&gt;1),
AND($T440&lt;&gt;"",LOWER(TRIM($T440))&lt;&gt;"n/a",COUNTIFS($B$2:$B$532,"Yes",$A$2:$A$532,"Neuron",$T$2:$T$532,$T440)&gt;1),
AND($W440&lt;&gt;"",LOWER(TRIM($W440))&lt;&gt;"n/a",COUNTIFS($B$2:$B$532,"Yes",$A$2:$A$532,"Neuron",$W$2:$W$532,$W440)&gt;1)
),"Yes","No"),
IF($A440="Cybernet",
IF(OR(
AND($Y440&lt;&gt;"",LOWER(TRIM($Y440))&lt;&gt;"n/a",COUNTIFS($B$2:$B$532,"Yes",$A$2:$A$532,"Cybernet",$Y$2:$Y$532,$Y440)&gt;1),
AND($Z440&lt;&gt;"",LOWER(TRIM($Z440))&lt;&gt;"n/a",COUNTIFS($B$2:$B$532,"Yes",$A$2:$A$532,"Cybernet",$Z$2:$Z$532,$Z440)&gt;1)
),"Yes","No"),
IF(AND($AL440&lt;&gt;"",LOWER(TRIM($AL440))&lt;&gt;"n/a"),
IF(COUNTIFS($B$2:$B$532,"Yes",$A$2:$A$532,$A440,$AL$2:$AL$532,$AL440)&gt;1,"Yes","No"),
"No")
)
)
)</f>
      </c>
      <c r="BL440">
        <f>IF($T440="","",IF((IF(AND($AW440&lt;&gt;"Yes",$AW440&lt;&gt;"N/A"),"Power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",""))="","",LEFT(IF(AND($AW440&lt;&gt;"Yes",$AW440&lt;&gt;"N/A"),"Power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",""),LEN(IF(AND($AW440&lt;&gt;"Yes",$AW440&lt;&gt;"N/A"),"Power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",""))-2)))</f>
      </c>
      <c r="BM440">
        <f>IF($T440="","",IF($BL440="","Yes","Blocked"))</f>
      </c>
      <c r="BP440">
        <f>IF($BO440="","",IFERROR(VLOOKUP($BO440,'01_Warehouse_Ledger'!$A:$N,4,FALSE),""))</f>
      </c>
      <c r="BQ440">
        <f>IF($BO440="","",IFERROR(VLOOKUP($BO440,'01_Warehouse_Ledger'!$A:$N,5,FALSE),""))</f>
      </c>
      <c r="BR440">
        <f>IF($BO440="","",IFERROR(VLOOKUP($BO440,'01_Warehouse_Ledger'!$A:$N,13,FALSE),""))</f>
      </c>
    </row>
    <row r="441">
      <c r="D441">
        <f>IF($B441&lt;&gt;"Yes","",IF($C441="No","Yes",IF($C441="Yes","No","")))</f>
      </c>
      <c r="E441">
        <f>IF($A441="","",IF($A441="Neuron",IF(OR(AND($S441&lt;&gt;"",LOWER(TRIM($S441))&lt;&gt;"n/a",COUNTIF($S$2:$S$532,$S441)&gt;1),AND($T441&lt;&gt;"",LOWER(TRIM($T441))&lt;&gt;"n/a",COUNTIF($T$2:$T$532,$T441)&gt;1),AND($W441&lt;&gt;"",LOWER(TRIM($W441))&lt;&gt;"n/a",COUNTIF($W$2:$W$532,$W441)&gt;1)),"Yes","No"),IF($A441="Cybernet",IF(OR(AND($Y441&lt;&gt;"",LOWER(TRIM($Y441))&lt;&gt;"n/a",COUNTIF($Y$2:$Y$532,$Y441)&gt;1),AND($Z441&lt;&gt;"",LOWER(TRIM($Z441))&lt;&gt;"n/a",COUNTIF($Z$2:$Z$532,$Z441)&gt;1)),"Yes","No"),IF(AND($AL441&lt;&gt;"",LOWER(TRIM($AL441))&lt;&gt;"n/a",COUNTIF($AL$2:$AL$532,$AL441)&gt;1),"Yes","No"))))</f>
      </c>
      <c r="F441">
        <f>IF($B441&lt;&gt;"Yes","",
IF($A441="Neuron",
IF(OR(
AND($S441&lt;&gt;"",LOWER(TRIM($S441))&lt;&gt;"n/a",COUNTIFS($B$2:$B$532,"Yes",$A$2:$A$532,"Neuron",$S$2:$S$532,$S441)&gt;1),
AND($T441&lt;&gt;"",LOWER(TRIM($T441))&lt;&gt;"n/a",COUNTIFS($B$2:$B$532,"Yes",$A$2:$A$532,"Neuron",$T$2:$T$532,$T441)&gt;1),
AND($W441&lt;&gt;"",LOWER(TRIM($W441))&lt;&gt;"n/a",COUNTIFS($B$2:$B$532,"Yes",$A$2:$A$532,"Neuron",$W$2:$W$532,$W441)&gt;1)
),"Yes","No"),
IF($A441="Cybernet",
IF(OR(
AND($Y441&lt;&gt;"",LOWER(TRIM($Y441))&lt;&gt;"n/a",COUNTIFS($B$2:$B$532,"Yes",$A$2:$A$532,"Cybernet",$Y$2:$Y$532,$Y441)&gt;1),
AND($Z441&lt;&gt;"",LOWER(TRIM($Z441))&lt;&gt;"n/a",COUNTIFS($B$2:$B$532,"Yes",$A$2:$A$532,"Cybernet",$Z$2:$Z$532,$Z441)&gt;1)
),"Yes","No"),
IF(AND($AL441&lt;&gt;"",LOWER(TRIM($AL441))&lt;&gt;"n/a"),
IF(COUNTIFS($B$2:$B$532,"Yes",$A$2:$A$532,$A441,$AL$2:$AL$532,$AL441)&gt;1,"Yes","No"),
"No")
)
)
)</f>
      </c>
      <c r="BL441">
        <f>IF($T441="","",IF((IF(AND($AW441&lt;&gt;"Yes",$AW441&lt;&gt;"N/A"),"Power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",""))="","",LEFT(IF(AND($AW441&lt;&gt;"Yes",$AW441&lt;&gt;"N/A"),"Power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",""),LEN(IF(AND($AW441&lt;&gt;"Yes",$AW441&lt;&gt;"N/A"),"Power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",""))-2)))</f>
      </c>
      <c r="BM441">
        <f>IF($T441="","",IF($BL441="","Yes","Blocked"))</f>
      </c>
      <c r="BP441">
        <f>IF($BO441="","",IFERROR(VLOOKUP($BO441,'01_Warehouse_Ledger'!$A:$N,4,FALSE),""))</f>
      </c>
      <c r="BQ441">
        <f>IF($BO441="","",IFERROR(VLOOKUP($BO441,'01_Warehouse_Ledger'!$A:$N,5,FALSE),""))</f>
      </c>
      <c r="BR441">
        <f>IF($BO441="","",IFERROR(VLOOKUP($BO441,'01_Warehouse_Ledger'!$A:$N,13,FALSE),""))</f>
      </c>
    </row>
    <row r="442">
      <c r="D442">
        <f>IF($B442&lt;&gt;"Yes","",IF($C442="No","Yes",IF($C442="Yes","No","")))</f>
      </c>
      <c r="E442">
        <f>IF($A442="","",IF($A442="Neuron",IF(OR(AND($S442&lt;&gt;"",LOWER(TRIM($S442))&lt;&gt;"n/a",COUNTIF($S$2:$S$532,$S442)&gt;1),AND($T442&lt;&gt;"",LOWER(TRIM($T442))&lt;&gt;"n/a",COUNTIF($T$2:$T$532,$T442)&gt;1),AND($W442&lt;&gt;"",LOWER(TRIM($W442))&lt;&gt;"n/a",COUNTIF($W$2:$W$532,$W442)&gt;1)),"Yes","No"),IF($A442="Cybernet",IF(OR(AND($Y442&lt;&gt;"",LOWER(TRIM($Y442))&lt;&gt;"n/a",COUNTIF($Y$2:$Y$532,$Y442)&gt;1),AND($Z442&lt;&gt;"",LOWER(TRIM($Z442))&lt;&gt;"n/a",COUNTIF($Z$2:$Z$532,$Z442)&gt;1)),"Yes","No"),IF(AND($AL442&lt;&gt;"",LOWER(TRIM($AL442))&lt;&gt;"n/a",COUNTIF($AL$2:$AL$532,$AL442)&gt;1),"Yes","No"))))</f>
      </c>
      <c r="F442">
        <f>IF($B442&lt;&gt;"Yes","",
IF($A442="Neuron",
IF(OR(
AND($S442&lt;&gt;"",LOWER(TRIM($S442))&lt;&gt;"n/a",COUNTIFS($B$2:$B$532,"Yes",$A$2:$A$532,"Neuron",$S$2:$S$532,$S442)&gt;1),
AND($T442&lt;&gt;"",LOWER(TRIM($T442))&lt;&gt;"n/a",COUNTIFS($B$2:$B$532,"Yes",$A$2:$A$532,"Neuron",$T$2:$T$532,$T442)&gt;1),
AND($W442&lt;&gt;"",LOWER(TRIM($W442))&lt;&gt;"n/a",COUNTIFS($B$2:$B$532,"Yes",$A$2:$A$532,"Neuron",$W$2:$W$532,$W442)&gt;1)
),"Yes","No"),
IF($A442="Cybernet",
IF(OR(
AND($Y442&lt;&gt;"",LOWER(TRIM($Y442))&lt;&gt;"n/a",COUNTIFS($B$2:$B$532,"Yes",$A$2:$A$532,"Cybernet",$Y$2:$Y$532,$Y442)&gt;1),
AND($Z442&lt;&gt;"",LOWER(TRIM($Z442))&lt;&gt;"n/a",COUNTIFS($B$2:$B$532,"Yes",$A$2:$A$532,"Cybernet",$Z$2:$Z$532,$Z442)&gt;1)
),"Yes","No"),
IF(AND($AL442&lt;&gt;"",LOWER(TRIM($AL442))&lt;&gt;"n/a"),
IF(COUNTIFS($B$2:$B$532,"Yes",$A$2:$A$532,$A442,$AL$2:$AL$532,$AL442)&gt;1,"Yes","No"),
"No")
)
)
)</f>
      </c>
      <c r="BL442">
        <f>IF($T442="","",IF((IF(AND($AW442&lt;&gt;"Yes",$AW442&lt;&gt;"N/A"),"Power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",""))="","",LEFT(IF(AND($AW442&lt;&gt;"Yes",$AW442&lt;&gt;"N/A"),"Power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",""),LEN(IF(AND($AW442&lt;&gt;"Yes",$AW442&lt;&gt;"N/A"),"Power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",""))-2)))</f>
      </c>
      <c r="BM442">
        <f>IF($T442="","",IF($BL442="","Yes","Blocked"))</f>
      </c>
      <c r="BP442">
        <f>IF($BO442="","",IFERROR(VLOOKUP($BO442,'01_Warehouse_Ledger'!$A:$N,4,FALSE),""))</f>
      </c>
      <c r="BQ442">
        <f>IF($BO442="","",IFERROR(VLOOKUP($BO442,'01_Warehouse_Ledger'!$A:$N,5,FALSE),""))</f>
      </c>
      <c r="BR442">
        <f>IF($BO442="","",IFERROR(VLOOKUP($BO442,'01_Warehouse_Ledger'!$A:$N,13,FALSE),""))</f>
      </c>
    </row>
    <row r="443">
      <c r="D443">
        <f>IF($B443&lt;&gt;"Yes","",IF($C443="No","Yes",IF($C443="Yes","No","")))</f>
      </c>
      <c r="E443">
        <f>IF($A443="","",IF($A443="Neuron",IF(OR(AND($S443&lt;&gt;"",LOWER(TRIM($S443))&lt;&gt;"n/a",COUNTIF($S$2:$S$532,$S443)&gt;1),AND($T443&lt;&gt;"",LOWER(TRIM($T443))&lt;&gt;"n/a",COUNTIF($T$2:$T$532,$T443)&gt;1),AND($W443&lt;&gt;"",LOWER(TRIM($W443))&lt;&gt;"n/a",COUNTIF($W$2:$W$532,$W443)&gt;1)),"Yes","No"),IF($A443="Cybernet",IF(OR(AND($Y443&lt;&gt;"",LOWER(TRIM($Y443))&lt;&gt;"n/a",COUNTIF($Y$2:$Y$532,$Y443)&gt;1),AND($Z443&lt;&gt;"",LOWER(TRIM($Z443))&lt;&gt;"n/a",COUNTIF($Z$2:$Z$532,$Z443)&gt;1)),"Yes","No"),IF(AND($AL443&lt;&gt;"",LOWER(TRIM($AL443))&lt;&gt;"n/a",COUNTIF($AL$2:$AL$532,$AL443)&gt;1),"Yes","No"))))</f>
      </c>
      <c r="F443">
        <f>IF($B443&lt;&gt;"Yes","",
IF($A443="Neuron",
IF(OR(
AND($S443&lt;&gt;"",LOWER(TRIM($S443))&lt;&gt;"n/a",COUNTIFS($B$2:$B$532,"Yes",$A$2:$A$532,"Neuron",$S$2:$S$532,$S443)&gt;1),
AND($T443&lt;&gt;"",LOWER(TRIM($T443))&lt;&gt;"n/a",COUNTIFS($B$2:$B$532,"Yes",$A$2:$A$532,"Neuron",$T$2:$T$532,$T443)&gt;1),
AND($W443&lt;&gt;"",LOWER(TRIM($W443))&lt;&gt;"n/a",COUNTIFS($B$2:$B$532,"Yes",$A$2:$A$532,"Neuron",$W$2:$W$532,$W443)&gt;1)
),"Yes","No"),
IF($A443="Cybernet",
IF(OR(
AND($Y443&lt;&gt;"",LOWER(TRIM($Y443))&lt;&gt;"n/a",COUNTIFS($B$2:$B$532,"Yes",$A$2:$A$532,"Cybernet",$Y$2:$Y$532,$Y443)&gt;1),
AND($Z443&lt;&gt;"",LOWER(TRIM($Z443))&lt;&gt;"n/a",COUNTIFS($B$2:$B$532,"Yes",$A$2:$A$532,"Cybernet",$Z$2:$Z$532,$Z443)&gt;1)
),"Yes","No"),
IF(AND($AL443&lt;&gt;"",LOWER(TRIM($AL443))&lt;&gt;"n/a"),
IF(COUNTIFS($B$2:$B$532,"Yes",$A$2:$A$532,$A443,$AL$2:$AL$532,$AL443)&gt;1,"Yes","No"),
"No")
)
)
)</f>
      </c>
      <c r="BL443">
        <f>IF($T443="","",IF((IF(AND($AW443&lt;&gt;"Yes",$AW443&lt;&gt;"N/A"),"Power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",""))="","",LEFT(IF(AND($AW443&lt;&gt;"Yes",$AW443&lt;&gt;"N/A"),"Power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",""),LEN(IF(AND($AW443&lt;&gt;"Yes",$AW443&lt;&gt;"N/A"),"Power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",""))-2)))</f>
      </c>
      <c r="BM443">
        <f>IF($T443="","",IF($BL443="","Yes","Blocked"))</f>
      </c>
      <c r="BP443">
        <f>IF($BO443="","",IFERROR(VLOOKUP($BO443,'01_Warehouse_Ledger'!$A:$N,4,FALSE),""))</f>
      </c>
      <c r="BQ443">
        <f>IF($BO443="","",IFERROR(VLOOKUP($BO443,'01_Warehouse_Ledger'!$A:$N,5,FALSE),""))</f>
      </c>
      <c r="BR443">
        <f>IF($BO443="","",IFERROR(VLOOKUP($BO443,'01_Warehouse_Ledger'!$A:$N,13,FALSE),""))</f>
      </c>
    </row>
    <row r="444">
      <c r="D444">
        <f>IF($B444&lt;&gt;"Yes","",IF($C444="No","Yes",IF($C444="Yes","No","")))</f>
      </c>
      <c r="E444">
        <f>IF($A444="","",IF($A444="Neuron",IF(OR(AND($S444&lt;&gt;"",LOWER(TRIM($S444))&lt;&gt;"n/a",COUNTIF($S$2:$S$532,$S444)&gt;1),AND($T444&lt;&gt;"",LOWER(TRIM($T444))&lt;&gt;"n/a",COUNTIF($T$2:$T$532,$T444)&gt;1),AND($W444&lt;&gt;"",LOWER(TRIM($W444))&lt;&gt;"n/a",COUNTIF($W$2:$W$532,$W444)&gt;1)),"Yes","No"),IF($A444="Cybernet",IF(OR(AND($Y444&lt;&gt;"",LOWER(TRIM($Y444))&lt;&gt;"n/a",COUNTIF($Y$2:$Y$532,$Y444)&gt;1),AND($Z444&lt;&gt;"",LOWER(TRIM($Z444))&lt;&gt;"n/a",COUNTIF($Z$2:$Z$532,$Z444)&gt;1)),"Yes","No"),IF(AND($AL444&lt;&gt;"",LOWER(TRIM($AL444))&lt;&gt;"n/a",COUNTIF($AL$2:$AL$532,$AL444)&gt;1),"Yes","No"))))</f>
      </c>
      <c r="F444">
        <f>IF($B444&lt;&gt;"Yes","",
IF($A444="Neuron",
IF(OR(
AND($S444&lt;&gt;"",LOWER(TRIM($S444))&lt;&gt;"n/a",COUNTIFS($B$2:$B$532,"Yes",$A$2:$A$532,"Neuron",$S$2:$S$532,$S444)&gt;1),
AND($T444&lt;&gt;"",LOWER(TRIM($T444))&lt;&gt;"n/a",COUNTIFS($B$2:$B$532,"Yes",$A$2:$A$532,"Neuron",$T$2:$T$532,$T444)&gt;1),
AND($W444&lt;&gt;"",LOWER(TRIM($W444))&lt;&gt;"n/a",COUNTIFS($B$2:$B$532,"Yes",$A$2:$A$532,"Neuron",$W$2:$W$532,$W444)&gt;1)
),"Yes","No"),
IF($A444="Cybernet",
IF(OR(
AND($Y444&lt;&gt;"",LOWER(TRIM($Y444))&lt;&gt;"n/a",COUNTIFS($B$2:$B$532,"Yes",$A$2:$A$532,"Cybernet",$Y$2:$Y$532,$Y444)&gt;1),
AND($Z444&lt;&gt;"",LOWER(TRIM($Z444))&lt;&gt;"n/a",COUNTIFS($B$2:$B$532,"Yes",$A$2:$A$532,"Cybernet",$Z$2:$Z$532,$Z444)&gt;1)
),"Yes","No"),
IF(AND($AL444&lt;&gt;"",LOWER(TRIM($AL444))&lt;&gt;"n/a"),
IF(COUNTIFS($B$2:$B$532,"Yes",$A$2:$A$532,$A444,$AL$2:$AL$532,$AL444)&gt;1,"Yes","No"),
"No")
)
)
)</f>
      </c>
      <c r="BL444">
        <f>IF($T444="","",IF((IF(AND($AW444&lt;&gt;"Yes",$AW444&lt;&gt;"N/A"),"Power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",""))="","",LEFT(IF(AND($AW444&lt;&gt;"Yes",$AW444&lt;&gt;"N/A"),"Power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",""),LEN(IF(AND($AW444&lt;&gt;"Yes",$AW444&lt;&gt;"N/A"),"Power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",""))-2)))</f>
      </c>
      <c r="BM444">
        <f>IF($T444="","",IF($BL444="","Yes","Blocked"))</f>
      </c>
      <c r="BP444">
        <f>IF($BO444="","",IFERROR(VLOOKUP($BO444,'01_Warehouse_Ledger'!$A:$N,4,FALSE),""))</f>
      </c>
      <c r="BQ444">
        <f>IF($BO444="","",IFERROR(VLOOKUP($BO444,'01_Warehouse_Ledger'!$A:$N,5,FALSE),""))</f>
      </c>
      <c r="BR444">
        <f>IF($BO444="","",IFERROR(VLOOKUP($BO444,'01_Warehouse_Ledger'!$A:$N,13,FALSE),""))</f>
      </c>
    </row>
    <row r="445">
      <c r="D445">
        <f>IF($B445&lt;&gt;"Yes","",IF($C445="No","Yes",IF($C445="Yes","No","")))</f>
      </c>
      <c r="E445">
        <f>IF($A445="","",IF($A445="Neuron",IF(OR(AND($S445&lt;&gt;"",LOWER(TRIM($S445))&lt;&gt;"n/a",COUNTIF($S$2:$S$532,$S445)&gt;1),AND($T445&lt;&gt;"",LOWER(TRIM($T445))&lt;&gt;"n/a",COUNTIF($T$2:$T$532,$T445)&gt;1),AND($W445&lt;&gt;"",LOWER(TRIM($W445))&lt;&gt;"n/a",COUNTIF($W$2:$W$532,$W445)&gt;1)),"Yes","No"),IF($A445="Cybernet",IF(OR(AND($Y445&lt;&gt;"",LOWER(TRIM($Y445))&lt;&gt;"n/a",COUNTIF($Y$2:$Y$532,$Y445)&gt;1),AND($Z445&lt;&gt;"",LOWER(TRIM($Z445))&lt;&gt;"n/a",COUNTIF($Z$2:$Z$532,$Z445)&gt;1)),"Yes","No"),IF(AND($AL445&lt;&gt;"",LOWER(TRIM($AL445))&lt;&gt;"n/a",COUNTIF($AL$2:$AL$532,$AL445)&gt;1),"Yes","No"))))</f>
      </c>
      <c r="F445">
        <f>IF($B445&lt;&gt;"Yes","",
IF($A445="Neuron",
IF(OR(
AND($S445&lt;&gt;"",LOWER(TRIM($S445))&lt;&gt;"n/a",COUNTIFS($B$2:$B$532,"Yes",$A$2:$A$532,"Neuron",$S$2:$S$532,$S445)&gt;1),
AND($T445&lt;&gt;"",LOWER(TRIM($T445))&lt;&gt;"n/a",COUNTIFS($B$2:$B$532,"Yes",$A$2:$A$532,"Neuron",$T$2:$T$532,$T445)&gt;1),
AND($W445&lt;&gt;"",LOWER(TRIM($W445))&lt;&gt;"n/a",COUNTIFS($B$2:$B$532,"Yes",$A$2:$A$532,"Neuron",$W$2:$W$532,$W445)&gt;1)
),"Yes","No"),
IF($A445="Cybernet",
IF(OR(
AND($Y445&lt;&gt;"",LOWER(TRIM($Y445))&lt;&gt;"n/a",COUNTIFS($B$2:$B$532,"Yes",$A$2:$A$532,"Cybernet",$Y$2:$Y$532,$Y445)&gt;1),
AND($Z445&lt;&gt;"",LOWER(TRIM($Z445))&lt;&gt;"n/a",COUNTIFS($B$2:$B$532,"Yes",$A$2:$A$532,"Cybernet",$Z$2:$Z$532,$Z445)&gt;1)
),"Yes","No"),
IF(AND($AL445&lt;&gt;"",LOWER(TRIM($AL445))&lt;&gt;"n/a"),
IF(COUNTIFS($B$2:$B$532,"Yes",$A$2:$A$532,$A445,$AL$2:$AL$532,$AL445)&gt;1,"Yes","No"),
"No")
)
)
)</f>
      </c>
      <c r="BL445">
        <f>IF($T445="","",IF((IF(AND($AW445&lt;&gt;"Yes",$AW445&lt;&gt;"N/A"),"Power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",""))="","",LEFT(IF(AND($AW445&lt;&gt;"Yes",$AW445&lt;&gt;"N/A"),"Power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",""),LEN(IF(AND($AW445&lt;&gt;"Yes",$AW445&lt;&gt;"N/A"),"Power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",""))-2)))</f>
      </c>
      <c r="BM445">
        <f>IF($T445="","",IF($BL445="","Yes","Blocked"))</f>
      </c>
      <c r="BP445">
        <f>IF($BO445="","",IFERROR(VLOOKUP($BO445,'01_Warehouse_Ledger'!$A:$N,4,FALSE),""))</f>
      </c>
      <c r="BQ445">
        <f>IF($BO445="","",IFERROR(VLOOKUP($BO445,'01_Warehouse_Ledger'!$A:$N,5,FALSE),""))</f>
      </c>
      <c r="BR445">
        <f>IF($BO445="","",IFERROR(VLOOKUP($BO445,'01_Warehouse_Ledger'!$A:$N,13,FALSE),""))</f>
      </c>
    </row>
    <row r="446">
      <c r="D446">
        <f>IF($B446&lt;&gt;"Yes","",IF($C446="No","Yes",IF($C446="Yes","No","")))</f>
      </c>
      <c r="E446">
        <f>IF($A446="","",IF($A446="Neuron",IF(OR(AND($S446&lt;&gt;"",LOWER(TRIM($S446))&lt;&gt;"n/a",COUNTIF($S$2:$S$532,$S446)&gt;1),AND($T446&lt;&gt;"",LOWER(TRIM($T446))&lt;&gt;"n/a",COUNTIF($T$2:$T$532,$T446)&gt;1),AND($W446&lt;&gt;"",LOWER(TRIM($W446))&lt;&gt;"n/a",COUNTIF($W$2:$W$532,$W446)&gt;1)),"Yes","No"),IF($A446="Cybernet",IF(OR(AND($Y446&lt;&gt;"",LOWER(TRIM($Y446))&lt;&gt;"n/a",COUNTIF($Y$2:$Y$532,$Y446)&gt;1),AND($Z446&lt;&gt;"",LOWER(TRIM($Z446))&lt;&gt;"n/a",COUNTIF($Z$2:$Z$532,$Z446)&gt;1)),"Yes","No"),IF(AND($AL446&lt;&gt;"",LOWER(TRIM($AL446))&lt;&gt;"n/a",COUNTIF($AL$2:$AL$532,$AL446)&gt;1),"Yes","No"))))</f>
      </c>
      <c r="F446">
        <f>IF($B446&lt;&gt;"Yes","",
IF($A446="Neuron",
IF(OR(
AND($S446&lt;&gt;"",LOWER(TRIM($S446))&lt;&gt;"n/a",COUNTIFS($B$2:$B$532,"Yes",$A$2:$A$532,"Neuron",$S$2:$S$532,$S446)&gt;1),
AND($T446&lt;&gt;"",LOWER(TRIM($T446))&lt;&gt;"n/a",COUNTIFS($B$2:$B$532,"Yes",$A$2:$A$532,"Neuron",$T$2:$T$532,$T446)&gt;1),
AND($W446&lt;&gt;"",LOWER(TRIM($W446))&lt;&gt;"n/a",COUNTIFS($B$2:$B$532,"Yes",$A$2:$A$532,"Neuron",$W$2:$W$532,$W446)&gt;1)
),"Yes","No"),
IF($A446="Cybernet",
IF(OR(
AND($Y446&lt;&gt;"",LOWER(TRIM($Y446))&lt;&gt;"n/a",COUNTIFS($B$2:$B$532,"Yes",$A$2:$A$532,"Cybernet",$Y$2:$Y$532,$Y446)&gt;1),
AND($Z446&lt;&gt;"",LOWER(TRIM($Z446))&lt;&gt;"n/a",COUNTIFS($B$2:$B$532,"Yes",$A$2:$A$532,"Cybernet",$Z$2:$Z$532,$Z446)&gt;1)
),"Yes","No"),
IF(AND($AL446&lt;&gt;"",LOWER(TRIM($AL446))&lt;&gt;"n/a"),
IF(COUNTIFS($B$2:$B$532,"Yes",$A$2:$A$532,$A446,$AL$2:$AL$532,$AL446)&gt;1,"Yes","No"),
"No")
)
)
)</f>
      </c>
      <c r="BL446">
        <f>IF($T446="","",IF((IF(AND($AW446&lt;&gt;"Yes",$AW446&lt;&gt;"N/A"),"Power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",""))="","",LEFT(IF(AND($AW446&lt;&gt;"Yes",$AW446&lt;&gt;"N/A"),"Power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",""),LEN(IF(AND($AW446&lt;&gt;"Yes",$AW446&lt;&gt;"N/A"),"Power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",""))-2)))</f>
      </c>
      <c r="BM446">
        <f>IF($T446="","",IF($BL446="","Yes","Blocked"))</f>
      </c>
      <c r="BP446">
        <f>IF($BO446="","",IFERROR(VLOOKUP($BO446,'01_Warehouse_Ledger'!$A:$N,4,FALSE),""))</f>
      </c>
      <c r="BQ446">
        <f>IF($BO446="","",IFERROR(VLOOKUP($BO446,'01_Warehouse_Ledger'!$A:$N,5,FALSE),""))</f>
      </c>
      <c r="BR446">
        <f>IF($BO446="","",IFERROR(VLOOKUP($BO446,'01_Warehouse_Ledger'!$A:$N,13,FALSE),""))</f>
      </c>
    </row>
    <row r="447">
      <c r="D447">
        <f>IF($B447&lt;&gt;"Yes","",IF($C447="No","Yes",IF($C447="Yes","No","")))</f>
      </c>
      <c r="E447">
        <f>IF($A447="","",IF($A447="Neuron",IF(OR(AND($S447&lt;&gt;"",LOWER(TRIM($S447))&lt;&gt;"n/a",COUNTIF($S$2:$S$532,$S447)&gt;1),AND($T447&lt;&gt;"",LOWER(TRIM($T447))&lt;&gt;"n/a",COUNTIF($T$2:$T$532,$T447)&gt;1),AND($W447&lt;&gt;"",LOWER(TRIM($W447))&lt;&gt;"n/a",COUNTIF($W$2:$W$532,$W447)&gt;1)),"Yes","No"),IF($A447="Cybernet",IF(OR(AND($Y447&lt;&gt;"",LOWER(TRIM($Y447))&lt;&gt;"n/a",COUNTIF($Y$2:$Y$532,$Y447)&gt;1),AND($Z447&lt;&gt;"",LOWER(TRIM($Z447))&lt;&gt;"n/a",COUNTIF($Z$2:$Z$532,$Z447)&gt;1)),"Yes","No"),IF(AND($AL447&lt;&gt;"",LOWER(TRIM($AL447))&lt;&gt;"n/a",COUNTIF($AL$2:$AL$532,$AL447)&gt;1),"Yes","No"))))</f>
      </c>
      <c r="F447">
        <f>IF($B447&lt;&gt;"Yes","",
IF($A447="Neuron",
IF(OR(
AND($S447&lt;&gt;"",LOWER(TRIM($S447))&lt;&gt;"n/a",COUNTIFS($B$2:$B$532,"Yes",$A$2:$A$532,"Neuron",$S$2:$S$532,$S447)&gt;1),
AND($T447&lt;&gt;"",LOWER(TRIM($T447))&lt;&gt;"n/a",COUNTIFS($B$2:$B$532,"Yes",$A$2:$A$532,"Neuron",$T$2:$T$532,$T447)&gt;1),
AND($W447&lt;&gt;"",LOWER(TRIM($W447))&lt;&gt;"n/a",COUNTIFS($B$2:$B$532,"Yes",$A$2:$A$532,"Neuron",$W$2:$W$532,$W447)&gt;1)
),"Yes","No"),
IF($A447="Cybernet",
IF(OR(
AND($Y447&lt;&gt;"",LOWER(TRIM($Y447))&lt;&gt;"n/a",COUNTIFS($B$2:$B$532,"Yes",$A$2:$A$532,"Cybernet",$Y$2:$Y$532,$Y447)&gt;1),
AND($Z447&lt;&gt;"",LOWER(TRIM($Z447))&lt;&gt;"n/a",COUNTIFS($B$2:$B$532,"Yes",$A$2:$A$532,"Cybernet",$Z$2:$Z$532,$Z447)&gt;1)
),"Yes","No"),
IF(AND($AL447&lt;&gt;"",LOWER(TRIM($AL447))&lt;&gt;"n/a"),
IF(COUNTIFS($B$2:$B$532,"Yes",$A$2:$A$532,$A447,$AL$2:$AL$532,$AL447)&gt;1,"Yes","No"),
"No")
)
)
)</f>
      </c>
      <c r="BL447">
        <f>IF($T447="","",IF((IF(AND($AW447&lt;&gt;"Yes",$AW447&lt;&gt;"N/A"),"Power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",""))="","",LEFT(IF(AND($AW447&lt;&gt;"Yes",$AW447&lt;&gt;"N/A"),"Power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",""),LEN(IF(AND($AW447&lt;&gt;"Yes",$AW447&lt;&gt;"N/A"),"Power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",""))-2)))</f>
      </c>
      <c r="BM447">
        <f>IF($T447="","",IF($BL447="","Yes","Blocked"))</f>
      </c>
      <c r="BP447">
        <f>IF($BO447="","",IFERROR(VLOOKUP($BO447,'01_Warehouse_Ledger'!$A:$N,4,FALSE),""))</f>
      </c>
      <c r="BQ447">
        <f>IF($BO447="","",IFERROR(VLOOKUP($BO447,'01_Warehouse_Ledger'!$A:$N,5,FALSE),""))</f>
      </c>
      <c r="BR447">
        <f>IF($BO447="","",IFERROR(VLOOKUP($BO447,'01_Warehouse_Ledger'!$A:$N,13,FALSE),""))</f>
      </c>
    </row>
    <row r="448">
      <c r="D448">
        <f>IF($B448&lt;&gt;"Yes","",IF($C448="No","Yes",IF($C448="Yes","No","")))</f>
      </c>
      <c r="E448">
        <f>IF($A448="","",IF($A448="Neuron",IF(OR(AND($S448&lt;&gt;"",LOWER(TRIM($S448))&lt;&gt;"n/a",COUNTIF($S$2:$S$532,$S448)&gt;1),AND($T448&lt;&gt;"",LOWER(TRIM($T448))&lt;&gt;"n/a",COUNTIF($T$2:$T$532,$T448)&gt;1),AND($W448&lt;&gt;"",LOWER(TRIM($W448))&lt;&gt;"n/a",COUNTIF($W$2:$W$532,$W448)&gt;1)),"Yes","No"),IF($A448="Cybernet",IF(OR(AND($Y448&lt;&gt;"",LOWER(TRIM($Y448))&lt;&gt;"n/a",COUNTIF($Y$2:$Y$532,$Y448)&gt;1),AND($Z448&lt;&gt;"",LOWER(TRIM($Z448))&lt;&gt;"n/a",COUNTIF($Z$2:$Z$532,$Z448)&gt;1)),"Yes","No"),IF(AND($AL448&lt;&gt;"",LOWER(TRIM($AL448))&lt;&gt;"n/a",COUNTIF($AL$2:$AL$532,$AL448)&gt;1),"Yes","No"))))</f>
      </c>
      <c r="F448">
        <f>IF($B448&lt;&gt;"Yes","",
IF($A448="Neuron",
IF(OR(
AND($S448&lt;&gt;"",LOWER(TRIM($S448))&lt;&gt;"n/a",COUNTIFS($B$2:$B$532,"Yes",$A$2:$A$532,"Neuron",$S$2:$S$532,$S448)&gt;1),
AND($T448&lt;&gt;"",LOWER(TRIM($T448))&lt;&gt;"n/a",COUNTIFS($B$2:$B$532,"Yes",$A$2:$A$532,"Neuron",$T$2:$T$532,$T448)&gt;1),
AND($W448&lt;&gt;"",LOWER(TRIM($W448))&lt;&gt;"n/a",COUNTIFS($B$2:$B$532,"Yes",$A$2:$A$532,"Neuron",$W$2:$W$532,$W448)&gt;1)
),"Yes","No"),
IF($A448="Cybernet",
IF(OR(
AND($Y448&lt;&gt;"",LOWER(TRIM($Y448))&lt;&gt;"n/a",COUNTIFS($B$2:$B$532,"Yes",$A$2:$A$532,"Cybernet",$Y$2:$Y$532,$Y448)&gt;1),
AND($Z448&lt;&gt;"",LOWER(TRIM($Z448))&lt;&gt;"n/a",COUNTIFS($B$2:$B$532,"Yes",$A$2:$A$532,"Cybernet",$Z$2:$Z$532,$Z448)&gt;1)
),"Yes","No"),
IF(AND($AL448&lt;&gt;"",LOWER(TRIM($AL448))&lt;&gt;"n/a"),
IF(COUNTIFS($B$2:$B$532,"Yes",$A$2:$A$532,$A448,$AL$2:$AL$532,$AL448)&gt;1,"Yes","No"),
"No")
)
)
)</f>
      </c>
      <c r="BL448">
        <f>IF($T448="","",IF((IF(AND($AW448&lt;&gt;"Yes",$AW448&lt;&gt;"N/A"),"Power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",""))="","",LEFT(IF(AND($AW448&lt;&gt;"Yes",$AW448&lt;&gt;"N/A"),"Power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",""),LEN(IF(AND($AW448&lt;&gt;"Yes",$AW448&lt;&gt;"N/A"),"Power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",""))-2)))</f>
      </c>
      <c r="BM448">
        <f>IF($T448="","",IF($BL448="","Yes","Blocked"))</f>
      </c>
      <c r="BP448">
        <f>IF($BO448="","",IFERROR(VLOOKUP($BO448,'01_Warehouse_Ledger'!$A:$N,4,FALSE),""))</f>
      </c>
      <c r="BQ448">
        <f>IF($BO448="","",IFERROR(VLOOKUP($BO448,'01_Warehouse_Ledger'!$A:$N,5,FALSE),""))</f>
      </c>
      <c r="BR448">
        <f>IF($BO448="","",IFERROR(VLOOKUP($BO448,'01_Warehouse_Ledger'!$A:$N,13,FALSE),""))</f>
      </c>
    </row>
    <row r="449">
      <c r="D449">
        <f>IF($B449&lt;&gt;"Yes","",IF($C449="No","Yes",IF($C449="Yes","No","")))</f>
      </c>
      <c r="E449">
        <f>IF($A449="","",IF($A449="Neuron",IF(OR(AND($S449&lt;&gt;"",LOWER(TRIM($S449))&lt;&gt;"n/a",COUNTIF($S$2:$S$532,$S449)&gt;1),AND($T449&lt;&gt;"",LOWER(TRIM($T449))&lt;&gt;"n/a",COUNTIF($T$2:$T$532,$T449)&gt;1),AND($W449&lt;&gt;"",LOWER(TRIM($W449))&lt;&gt;"n/a",COUNTIF($W$2:$W$532,$W449)&gt;1)),"Yes","No"),IF($A449="Cybernet",IF(OR(AND($Y449&lt;&gt;"",LOWER(TRIM($Y449))&lt;&gt;"n/a",COUNTIF($Y$2:$Y$532,$Y449)&gt;1),AND($Z449&lt;&gt;"",LOWER(TRIM($Z449))&lt;&gt;"n/a",COUNTIF($Z$2:$Z$532,$Z449)&gt;1)),"Yes","No"),IF(AND($AL449&lt;&gt;"",LOWER(TRIM($AL449))&lt;&gt;"n/a",COUNTIF($AL$2:$AL$532,$AL449)&gt;1),"Yes","No"))))</f>
      </c>
      <c r="F449">
        <f>IF($B449&lt;&gt;"Yes","",
IF($A449="Neuron",
IF(OR(
AND($S449&lt;&gt;"",LOWER(TRIM($S449))&lt;&gt;"n/a",COUNTIFS($B$2:$B$532,"Yes",$A$2:$A$532,"Neuron",$S$2:$S$532,$S449)&gt;1),
AND($T449&lt;&gt;"",LOWER(TRIM($T449))&lt;&gt;"n/a",COUNTIFS($B$2:$B$532,"Yes",$A$2:$A$532,"Neuron",$T$2:$T$532,$T449)&gt;1),
AND($W449&lt;&gt;"",LOWER(TRIM($W449))&lt;&gt;"n/a",COUNTIFS($B$2:$B$532,"Yes",$A$2:$A$532,"Neuron",$W$2:$W$532,$W449)&gt;1)
),"Yes","No"),
IF($A449="Cybernet",
IF(OR(
AND($Y449&lt;&gt;"",LOWER(TRIM($Y449))&lt;&gt;"n/a",COUNTIFS($B$2:$B$532,"Yes",$A$2:$A$532,"Cybernet",$Y$2:$Y$532,$Y449)&gt;1),
AND($Z449&lt;&gt;"",LOWER(TRIM($Z449))&lt;&gt;"n/a",COUNTIFS($B$2:$B$532,"Yes",$A$2:$A$532,"Cybernet",$Z$2:$Z$532,$Z449)&gt;1)
),"Yes","No"),
IF(AND($AL449&lt;&gt;"",LOWER(TRIM($AL449))&lt;&gt;"n/a"),
IF(COUNTIFS($B$2:$B$532,"Yes",$A$2:$A$532,$A449,$AL$2:$AL$532,$AL449)&gt;1,"Yes","No"),
"No")
)
)
)</f>
      </c>
      <c r="BL449">
        <f>IF($T449="","",IF((IF(AND($AW449&lt;&gt;"Yes",$AW449&lt;&gt;"N/A"),"Power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",""))="","",LEFT(IF(AND($AW449&lt;&gt;"Yes",$AW449&lt;&gt;"N/A"),"Power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",""),LEN(IF(AND($AW449&lt;&gt;"Yes",$AW449&lt;&gt;"N/A"),"Power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",""))-2)))</f>
      </c>
      <c r="BM449">
        <f>IF($T449="","",IF($BL449="","Yes","Blocked"))</f>
      </c>
      <c r="BP449">
        <f>IF($BO449="","",IFERROR(VLOOKUP($BO449,'01_Warehouse_Ledger'!$A:$N,4,FALSE),""))</f>
      </c>
      <c r="BQ449">
        <f>IF($BO449="","",IFERROR(VLOOKUP($BO449,'01_Warehouse_Ledger'!$A:$N,5,FALSE),""))</f>
      </c>
      <c r="BR449">
        <f>IF($BO449="","",IFERROR(VLOOKUP($BO449,'01_Warehouse_Ledger'!$A:$N,13,FALSE),""))</f>
      </c>
    </row>
    <row r="450">
      <c r="D450">
        <f>IF($B450&lt;&gt;"Yes","",IF($C450="No","Yes",IF($C450="Yes","No","")))</f>
      </c>
      <c r="E450">
        <f>IF($A450="","",IF($A450="Neuron",IF(OR(AND($S450&lt;&gt;"",LOWER(TRIM($S450))&lt;&gt;"n/a",COUNTIF($S$2:$S$532,$S450)&gt;1),AND($T450&lt;&gt;"",LOWER(TRIM($T450))&lt;&gt;"n/a",COUNTIF($T$2:$T$532,$T450)&gt;1),AND($W450&lt;&gt;"",LOWER(TRIM($W450))&lt;&gt;"n/a",COUNTIF($W$2:$W$532,$W450)&gt;1)),"Yes","No"),IF($A450="Cybernet",IF(OR(AND($Y450&lt;&gt;"",LOWER(TRIM($Y450))&lt;&gt;"n/a",COUNTIF($Y$2:$Y$532,$Y450)&gt;1),AND($Z450&lt;&gt;"",LOWER(TRIM($Z450))&lt;&gt;"n/a",COUNTIF($Z$2:$Z$532,$Z450)&gt;1)),"Yes","No"),IF(AND($AL450&lt;&gt;"",LOWER(TRIM($AL450))&lt;&gt;"n/a",COUNTIF($AL$2:$AL$532,$AL450)&gt;1),"Yes","No"))))</f>
      </c>
      <c r="F450">
        <f>IF($B450&lt;&gt;"Yes","",
IF($A450="Neuron",
IF(OR(
AND($S450&lt;&gt;"",LOWER(TRIM($S450))&lt;&gt;"n/a",COUNTIFS($B$2:$B$532,"Yes",$A$2:$A$532,"Neuron",$S$2:$S$532,$S450)&gt;1),
AND($T450&lt;&gt;"",LOWER(TRIM($T450))&lt;&gt;"n/a",COUNTIFS($B$2:$B$532,"Yes",$A$2:$A$532,"Neuron",$T$2:$T$532,$T450)&gt;1),
AND($W450&lt;&gt;"",LOWER(TRIM($W450))&lt;&gt;"n/a",COUNTIFS($B$2:$B$532,"Yes",$A$2:$A$532,"Neuron",$W$2:$W$532,$W450)&gt;1)
),"Yes","No"),
IF($A450="Cybernet",
IF(OR(
AND($Y450&lt;&gt;"",LOWER(TRIM($Y450))&lt;&gt;"n/a",COUNTIFS($B$2:$B$532,"Yes",$A$2:$A$532,"Cybernet",$Y$2:$Y$532,$Y450)&gt;1),
AND($Z450&lt;&gt;"",LOWER(TRIM($Z450))&lt;&gt;"n/a",COUNTIFS($B$2:$B$532,"Yes",$A$2:$A$532,"Cybernet",$Z$2:$Z$532,$Z450)&gt;1)
),"Yes","No"),
IF(AND($AL450&lt;&gt;"",LOWER(TRIM($AL450))&lt;&gt;"n/a"),
IF(COUNTIFS($B$2:$B$532,"Yes",$A$2:$A$532,$A450,$AL$2:$AL$532,$AL450)&gt;1,"Yes","No"),
"No")
)
)
)</f>
      </c>
      <c r="BL450">
        <f>IF($T450="","",IF((IF(AND($AW450&lt;&gt;"Yes",$AW450&lt;&gt;"N/A"),"Power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",""))="","",LEFT(IF(AND($AW450&lt;&gt;"Yes",$AW450&lt;&gt;"N/A"),"Power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",""),LEN(IF(AND($AW450&lt;&gt;"Yes",$AW450&lt;&gt;"N/A"),"Power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",""))-2)))</f>
      </c>
      <c r="BM450">
        <f>IF($T450="","",IF($BL450="","Yes","Blocked"))</f>
      </c>
      <c r="BP450">
        <f>IF($BO450="","",IFERROR(VLOOKUP($BO450,'01_Warehouse_Ledger'!$A:$N,4,FALSE),""))</f>
      </c>
      <c r="BQ450">
        <f>IF($BO450="","",IFERROR(VLOOKUP($BO450,'01_Warehouse_Ledger'!$A:$N,5,FALSE),""))</f>
      </c>
      <c r="BR450">
        <f>IF($BO450="","",IFERROR(VLOOKUP($BO450,'01_Warehouse_Ledger'!$A:$N,13,FALSE),""))</f>
      </c>
    </row>
    <row r="451">
      <c r="D451">
        <f>IF($B451&lt;&gt;"Yes","",IF($C451="No","Yes",IF($C451="Yes","No","")))</f>
      </c>
      <c r="E451">
        <f>IF($A451="","",IF($A451="Neuron",IF(OR(AND($S451&lt;&gt;"",LOWER(TRIM($S451))&lt;&gt;"n/a",COUNTIF($S$2:$S$532,$S451)&gt;1),AND($T451&lt;&gt;"",LOWER(TRIM($T451))&lt;&gt;"n/a",COUNTIF($T$2:$T$532,$T451)&gt;1),AND($W451&lt;&gt;"",LOWER(TRIM($W451))&lt;&gt;"n/a",COUNTIF($W$2:$W$532,$W451)&gt;1)),"Yes","No"),IF($A451="Cybernet",IF(OR(AND($Y451&lt;&gt;"",LOWER(TRIM($Y451))&lt;&gt;"n/a",COUNTIF($Y$2:$Y$532,$Y451)&gt;1),AND($Z451&lt;&gt;"",LOWER(TRIM($Z451))&lt;&gt;"n/a",COUNTIF($Z$2:$Z$532,$Z451)&gt;1)),"Yes","No"),IF(AND($AL451&lt;&gt;"",LOWER(TRIM($AL451))&lt;&gt;"n/a",COUNTIF($AL$2:$AL$532,$AL451)&gt;1),"Yes","No"))))</f>
      </c>
      <c r="F451">
        <f>IF($B451&lt;&gt;"Yes","",
IF($A451="Neuron",
IF(OR(
AND($S451&lt;&gt;"",LOWER(TRIM($S451))&lt;&gt;"n/a",COUNTIFS($B$2:$B$532,"Yes",$A$2:$A$532,"Neuron",$S$2:$S$532,$S451)&gt;1),
AND($T451&lt;&gt;"",LOWER(TRIM($T451))&lt;&gt;"n/a",COUNTIFS($B$2:$B$532,"Yes",$A$2:$A$532,"Neuron",$T$2:$T$532,$T451)&gt;1),
AND($W451&lt;&gt;"",LOWER(TRIM($W451))&lt;&gt;"n/a",COUNTIFS($B$2:$B$532,"Yes",$A$2:$A$532,"Neuron",$W$2:$W$532,$W451)&gt;1)
),"Yes","No"),
IF($A451="Cybernet",
IF(OR(
AND($Y451&lt;&gt;"",LOWER(TRIM($Y451))&lt;&gt;"n/a",COUNTIFS($B$2:$B$532,"Yes",$A$2:$A$532,"Cybernet",$Y$2:$Y$532,$Y451)&gt;1),
AND($Z451&lt;&gt;"",LOWER(TRIM($Z451))&lt;&gt;"n/a",COUNTIFS($B$2:$B$532,"Yes",$A$2:$A$532,"Cybernet",$Z$2:$Z$532,$Z451)&gt;1)
),"Yes","No"),
IF(AND($AL451&lt;&gt;"",LOWER(TRIM($AL451))&lt;&gt;"n/a"),
IF(COUNTIFS($B$2:$B$532,"Yes",$A$2:$A$532,$A451,$AL$2:$AL$532,$AL451)&gt;1,"Yes","No"),
"No")
)
)
)</f>
      </c>
      <c r="BL451">
        <f>IF($T451="","",IF((IF(AND($AW451&lt;&gt;"Yes",$AW451&lt;&gt;"N/A"),"Power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",""))="","",LEFT(IF(AND($AW451&lt;&gt;"Yes",$AW451&lt;&gt;"N/A"),"Power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",""),LEN(IF(AND($AW451&lt;&gt;"Yes",$AW451&lt;&gt;"N/A"),"Power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",""))-2)))</f>
      </c>
      <c r="BM451">
        <f>IF($T451="","",IF($BL451="","Yes","Blocked"))</f>
      </c>
      <c r="BP451">
        <f>IF($BO451="","",IFERROR(VLOOKUP($BO451,'01_Warehouse_Ledger'!$A:$N,4,FALSE),""))</f>
      </c>
      <c r="BQ451">
        <f>IF($BO451="","",IFERROR(VLOOKUP($BO451,'01_Warehouse_Ledger'!$A:$N,5,FALSE),""))</f>
      </c>
      <c r="BR451">
        <f>IF($BO451="","",IFERROR(VLOOKUP($BO451,'01_Warehouse_Ledger'!$A:$N,13,FALSE),""))</f>
      </c>
    </row>
    <row r="452">
      <c r="D452">
        <f>IF($B452&lt;&gt;"Yes","",IF($C452="No","Yes",IF($C452="Yes","No","")))</f>
      </c>
      <c r="E452">
        <f>IF($A452="","",IF($A452="Neuron",IF(OR(AND($S452&lt;&gt;"",LOWER(TRIM($S452))&lt;&gt;"n/a",COUNTIF($S$2:$S$532,$S452)&gt;1),AND($T452&lt;&gt;"",LOWER(TRIM($T452))&lt;&gt;"n/a",COUNTIF($T$2:$T$532,$T452)&gt;1),AND($W452&lt;&gt;"",LOWER(TRIM($W452))&lt;&gt;"n/a",COUNTIF($W$2:$W$532,$W452)&gt;1)),"Yes","No"),IF($A452="Cybernet",IF(OR(AND($Y452&lt;&gt;"",LOWER(TRIM($Y452))&lt;&gt;"n/a",COUNTIF($Y$2:$Y$532,$Y452)&gt;1),AND($Z452&lt;&gt;"",LOWER(TRIM($Z452))&lt;&gt;"n/a",COUNTIF($Z$2:$Z$532,$Z452)&gt;1)),"Yes","No"),IF(AND($AL452&lt;&gt;"",LOWER(TRIM($AL452))&lt;&gt;"n/a",COUNTIF($AL$2:$AL$532,$AL452)&gt;1),"Yes","No"))))</f>
      </c>
      <c r="F452">
        <f>IF($B452&lt;&gt;"Yes","",
IF($A452="Neuron",
IF(OR(
AND($S452&lt;&gt;"",LOWER(TRIM($S452))&lt;&gt;"n/a",COUNTIFS($B$2:$B$532,"Yes",$A$2:$A$532,"Neuron",$S$2:$S$532,$S452)&gt;1),
AND($T452&lt;&gt;"",LOWER(TRIM($T452))&lt;&gt;"n/a",COUNTIFS($B$2:$B$532,"Yes",$A$2:$A$532,"Neuron",$T$2:$T$532,$T452)&gt;1),
AND($W452&lt;&gt;"",LOWER(TRIM($W452))&lt;&gt;"n/a",COUNTIFS($B$2:$B$532,"Yes",$A$2:$A$532,"Neuron",$W$2:$W$532,$W452)&gt;1)
),"Yes","No"),
IF($A452="Cybernet",
IF(OR(
AND($Y452&lt;&gt;"",LOWER(TRIM($Y452))&lt;&gt;"n/a",COUNTIFS($B$2:$B$532,"Yes",$A$2:$A$532,"Cybernet",$Y$2:$Y$532,$Y452)&gt;1),
AND($Z452&lt;&gt;"",LOWER(TRIM($Z452))&lt;&gt;"n/a",COUNTIFS($B$2:$B$532,"Yes",$A$2:$A$532,"Cybernet",$Z$2:$Z$532,$Z452)&gt;1)
),"Yes","No"),
IF(AND($AL452&lt;&gt;"",LOWER(TRIM($AL452))&lt;&gt;"n/a"),
IF(COUNTIFS($B$2:$B$532,"Yes",$A$2:$A$532,$A452,$AL$2:$AL$532,$AL452)&gt;1,"Yes","No"),
"No")
)
)
)</f>
      </c>
      <c r="BL452">
        <f>IF($T452="","",IF((IF(AND($AW452&lt;&gt;"Yes",$AW452&lt;&gt;"N/A"),"Power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",""))="","",LEFT(IF(AND($AW452&lt;&gt;"Yes",$AW452&lt;&gt;"N/A"),"Power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",""),LEN(IF(AND($AW452&lt;&gt;"Yes",$AW452&lt;&gt;"N/A"),"Power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",""))-2)))</f>
      </c>
      <c r="BM452">
        <f>IF($T452="","",IF($BL452="","Yes","Blocked"))</f>
      </c>
      <c r="BP452">
        <f>IF($BO452="","",IFERROR(VLOOKUP($BO452,'01_Warehouse_Ledger'!$A:$N,4,FALSE),""))</f>
      </c>
      <c r="BQ452">
        <f>IF($BO452="","",IFERROR(VLOOKUP($BO452,'01_Warehouse_Ledger'!$A:$N,5,FALSE),""))</f>
      </c>
      <c r="BR452">
        <f>IF($BO452="","",IFERROR(VLOOKUP($BO452,'01_Warehouse_Ledger'!$A:$N,13,FALSE),""))</f>
      </c>
    </row>
    <row r="453">
      <c r="D453">
        <f>IF($B453&lt;&gt;"Yes","",IF($C453="No","Yes",IF($C453="Yes","No","")))</f>
      </c>
      <c r="E453">
        <f>IF($A453="","",IF($A453="Neuron",IF(OR(AND($S453&lt;&gt;"",LOWER(TRIM($S453))&lt;&gt;"n/a",COUNTIF($S$2:$S$532,$S453)&gt;1),AND($T453&lt;&gt;"",LOWER(TRIM($T453))&lt;&gt;"n/a",COUNTIF($T$2:$T$532,$T453)&gt;1),AND($W453&lt;&gt;"",LOWER(TRIM($W453))&lt;&gt;"n/a",COUNTIF($W$2:$W$532,$W453)&gt;1)),"Yes","No"),IF($A453="Cybernet",IF(OR(AND($Y453&lt;&gt;"",LOWER(TRIM($Y453))&lt;&gt;"n/a",COUNTIF($Y$2:$Y$532,$Y453)&gt;1),AND($Z453&lt;&gt;"",LOWER(TRIM($Z453))&lt;&gt;"n/a",COUNTIF($Z$2:$Z$532,$Z453)&gt;1)),"Yes","No"),IF(AND($AL453&lt;&gt;"",LOWER(TRIM($AL453))&lt;&gt;"n/a",COUNTIF($AL$2:$AL$532,$AL453)&gt;1),"Yes","No"))))</f>
      </c>
      <c r="F453">
        <f>IF($B453&lt;&gt;"Yes","",
IF($A453="Neuron",
IF(OR(
AND($S453&lt;&gt;"",LOWER(TRIM($S453))&lt;&gt;"n/a",COUNTIFS($B$2:$B$532,"Yes",$A$2:$A$532,"Neuron",$S$2:$S$532,$S453)&gt;1),
AND($T453&lt;&gt;"",LOWER(TRIM($T453))&lt;&gt;"n/a",COUNTIFS($B$2:$B$532,"Yes",$A$2:$A$532,"Neuron",$T$2:$T$532,$T453)&gt;1),
AND($W453&lt;&gt;"",LOWER(TRIM($W453))&lt;&gt;"n/a",COUNTIFS($B$2:$B$532,"Yes",$A$2:$A$532,"Neuron",$W$2:$W$532,$W453)&gt;1)
),"Yes","No"),
IF($A453="Cybernet",
IF(OR(
AND($Y453&lt;&gt;"",LOWER(TRIM($Y453))&lt;&gt;"n/a",COUNTIFS($B$2:$B$532,"Yes",$A$2:$A$532,"Cybernet",$Y$2:$Y$532,$Y453)&gt;1),
AND($Z453&lt;&gt;"",LOWER(TRIM($Z453))&lt;&gt;"n/a",COUNTIFS($B$2:$B$532,"Yes",$A$2:$A$532,"Cybernet",$Z$2:$Z$532,$Z453)&gt;1)
),"Yes","No"),
IF(AND($AL453&lt;&gt;"",LOWER(TRIM($AL453))&lt;&gt;"n/a"),
IF(COUNTIFS($B$2:$B$532,"Yes",$A$2:$A$532,$A453,$AL$2:$AL$532,$AL453)&gt;1,"Yes","No"),
"No")
)
)
)</f>
      </c>
      <c r="BL453">
        <f>IF($T453="","",IF((IF(AND($AW453&lt;&gt;"Yes",$AW453&lt;&gt;"N/A"),"Power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",""))="","",LEFT(IF(AND($AW453&lt;&gt;"Yes",$AW453&lt;&gt;"N/A"),"Power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",""),LEN(IF(AND($AW453&lt;&gt;"Yes",$AW453&lt;&gt;"N/A"),"Power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",""))-2)))</f>
      </c>
      <c r="BM453">
        <f>IF($T453="","",IF($BL453="","Yes","Blocked"))</f>
      </c>
      <c r="BP453">
        <f>IF($BO453="","",IFERROR(VLOOKUP($BO453,'01_Warehouse_Ledger'!$A:$N,4,FALSE),""))</f>
      </c>
      <c r="BQ453">
        <f>IF($BO453="","",IFERROR(VLOOKUP($BO453,'01_Warehouse_Ledger'!$A:$N,5,FALSE),""))</f>
      </c>
      <c r="BR453">
        <f>IF($BO453="","",IFERROR(VLOOKUP($BO453,'01_Warehouse_Ledger'!$A:$N,13,FALSE),""))</f>
      </c>
    </row>
    <row r="454">
      <c r="D454">
        <f>IF($B454&lt;&gt;"Yes","",IF($C454="No","Yes",IF($C454="Yes","No","")))</f>
      </c>
      <c r="E454">
        <f>IF($A454="","",IF($A454="Neuron",IF(OR(AND($S454&lt;&gt;"",LOWER(TRIM($S454))&lt;&gt;"n/a",COUNTIF($S$2:$S$532,$S454)&gt;1),AND($T454&lt;&gt;"",LOWER(TRIM($T454))&lt;&gt;"n/a",COUNTIF($T$2:$T$532,$T454)&gt;1),AND($W454&lt;&gt;"",LOWER(TRIM($W454))&lt;&gt;"n/a",COUNTIF($W$2:$W$532,$W454)&gt;1)),"Yes","No"),IF($A454="Cybernet",IF(OR(AND($Y454&lt;&gt;"",LOWER(TRIM($Y454))&lt;&gt;"n/a",COUNTIF($Y$2:$Y$532,$Y454)&gt;1),AND($Z454&lt;&gt;"",LOWER(TRIM($Z454))&lt;&gt;"n/a",COUNTIF($Z$2:$Z$532,$Z454)&gt;1)),"Yes","No"),IF(AND($AL454&lt;&gt;"",LOWER(TRIM($AL454))&lt;&gt;"n/a",COUNTIF($AL$2:$AL$532,$AL454)&gt;1),"Yes","No"))))</f>
      </c>
      <c r="F454">
        <f>IF($B454&lt;&gt;"Yes","",
IF($A454="Neuron",
IF(OR(
AND($S454&lt;&gt;"",LOWER(TRIM($S454))&lt;&gt;"n/a",COUNTIFS($B$2:$B$532,"Yes",$A$2:$A$532,"Neuron",$S$2:$S$532,$S454)&gt;1),
AND($T454&lt;&gt;"",LOWER(TRIM($T454))&lt;&gt;"n/a",COUNTIFS($B$2:$B$532,"Yes",$A$2:$A$532,"Neuron",$T$2:$T$532,$T454)&gt;1),
AND($W454&lt;&gt;"",LOWER(TRIM($W454))&lt;&gt;"n/a",COUNTIFS($B$2:$B$532,"Yes",$A$2:$A$532,"Neuron",$W$2:$W$532,$W454)&gt;1)
),"Yes","No"),
IF($A454="Cybernet",
IF(OR(
AND($Y454&lt;&gt;"",LOWER(TRIM($Y454))&lt;&gt;"n/a",COUNTIFS($B$2:$B$532,"Yes",$A$2:$A$532,"Cybernet",$Y$2:$Y$532,$Y454)&gt;1),
AND($Z454&lt;&gt;"",LOWER(TRIM($Z454))&lt;&gt;"n/a",COUNTIFS($B$2:$B$532,"Yes",$A$2:$A$532,"Cybernet",$Z$2:$Z$532,$Z454)&gt;1)
),"Yes","No"),
IF(AND($AL454&lt;&gt;"",LOWER(TRIM($AL454))&lt;&gt;"n/a"),
IF(COUNTIFS($B$2:$B$532,"Yes",$A$2:$A$532,$A454,$AL$2:$AL$532,$AL454)&gt;1,"Yes","No"),
"No")
)
)
)</f>
      </c>
      <c r="BL454">
        <f>IF($T454="","",IF((IF(AND($AW454&lt;&gt;"Yes",$AW454&lt;&gt;"N/A"),"Power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",""))="","",LEFT(IF(AND($AW454&lt;&gt;"Yes",$AW454&lt;&gt;"N/A"),"Power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",""),LEN(IF(AND($AW454&lt;&gt;"Yes",$AW454&lt;&gt;"N/A"),"Power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",""))-2)))</f>
      </c>
      <c r="BM454">
        <f>IF($T454="","",IF($BL454="","Yes","Blocked"))</f>
      </c>
      <c r="BP454">
        <f>IF($BO454="","",IFERROR(VLOOKUP($BO454,'01_Warehouse_Ledger'!$A:$N,4,FALSE),""))</f>
      </c>
      <c r="BQ454">
        <f>IF($BO454="","",IFERROR(VLOOKUP($BO454,'01_Warehouse_Ledger'!$A:$N,5,FALSE),""))</f>
      </c>
      <c r="BR454">
        <f>IF($BO454="","",IFERROR(VLOOKUP($BO454,'01_Warehouse_Ledger'!$A:$N,13,FALSE),""))</f>
      </c>
    </row>
    <row r="455">
      <c r="D455">
        <f>IF($B455&lt;&gt;"Yes","",IF($C455="No","Yes",IF($C455="Yes","No","")))</f>
      </c>
      <c r="E455">
        <f>IF($A455="","",IF($A455="Neuron",IF(OR(AND($S455&lt;&gt;"",LOWER(TRIM($S455))&lt;&gt;"n/a",COUNTIF($S$2:$S$532,$S455)&gt;1),AND($T455&lt;&gt;"",LOWER(TRIM($T455))&lt;&gt;"n/a",COUNTIF($T$2:$T$532,$T455)&gt;1),AND($W455&lt;&gt;"",LOWER(TRIM($W455))&lt;&gt;"n/a",COUNTIF($W$2:$W$532,$W455)&gt;1)),"Yes","No"),IF($A455="Cybernet",IF(OR(AND($Y455&lt;&gt;"",LOWER(TRIM($Y455))&lt;&gt;"n/a",COUNTIF($Y$2:$Y$532,$Y455)&gt;1),AND($Z455&lt;&gt;"",LOWER(TRIM($Z455))&lt;&gt;"n/a",COUNTIF($Z$2:$Z$532,$Z455)&gt;1)),"Yes","No"),IF(AND($AL455&lt;&gt;"",LOWER(TRIM($AL455))&lt;&gt;"n/a",COUNTIF($AL$2:$AL$532,$AL455)&gt;1),"Yes","No"))))</f>
      </c>
      <c r="F455">
        <f>IF($B455&lt;&gt;"Yes","",
IF($A455="Neuron",
IF(OR(
AND($S455&lt;&gt;"",LOWER(TRIM($S455))&lt;&gt;"n/a",COUNTIFS($B$2:$B$532,"Yes",$A$2:$A$532,"Neuron",$S$2:$S$532,$S455)&gt;1),
AND($T455&lt;&gt;"",LOWER(TRIM($T455))&lt;&gt;"n/a",COUNTIFS($B$2:$B$532,"Yes",$A$2:$A$532,"Neuron",$T$2:$T$532,$T455)&gt;1),
AND($W455&lt;&gt;"",LOWER(TRIM($W455))&lt;&gt;"n/a",COUNTIFS($B$2:$B$532,"Yes",$A$2:$A$532,"Neuron",$W$2:$W$532,$W455)&gt;1)
),"Yes","No"),
IF($A455="Cybernet",
IF(OR(
AND($Y455&lt;&gt;"",LOWER(TRIM($Y455))&lt;&gt;"n/a",COUNTIFS($B$2:$B$532,"Yes",$A$2:$A$532,"Cybernet",$Y$2:$Y$532,$Y455)&gt;1),
AND($Z455&lt;&gt;"",LOWER(TRIM($Z455))&lt;&gt;"n/a",COUNTIFS($B$2:$B$532,"Yes",$A$2:$A$532,"Cybernet",$Z$2:$Z$532,$Z455)&gt;1)
),"Yes","No"),
IF(AND($AL455&lt;&gt;"",LOWER(TRIM($AL455))&lt;&gt;"n/a"),
IF(COUNTIFS($B$2:$B$532,"Yes",$A$2:$A$532,$A455,$AL$2:$AL$532,$AL455)&gt;1,"Yes","No"),
"No")
)
)
)</f>
      </c>
      <c r="BL455">
        <f>IF($T455="","",IF((IF(AND($AW455&lt;&gt;"Yes",$AW455&lt;&gt;"N/A"),"Power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",""))="","",LEFT(IF(AND($AW455&lt;&gt;"Yes",$AW455&lt;&gt;"N/A"),"Power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",""),LEN(IF(AND($AW455&lt;&gt;"Yes",$AW455&lt;&gt;"N/A"),"Power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",""))-2)))</f>
      </c>
      <c r="BM455">
        <f>IF($T455="","",IF($BL455="","Yes","Blocked"))</f>
      </c>
      <c r="BP455">
        <f>IF($BO455="","",IFERROR(VLOOKUP($BO455,'01_Warehouse_Ledger'!$A:$N,4,FALSE),""))</f>
      </c>
      <c r="BQ455">
        <f>IF($BO455="","",IFERROR(VLOOKUP($BO455,'01_Warehouse_Ledger'!$A:$N,5,FALSE),""))</f>
      </c>
      <c r="BR455">
        <f>IF($BO455="","",IFERROR(VLOOKUP($BO455,'01_Warehouse_Ledger'!$A:$N,13,FALSE),""))</f>
      </c>
    </row>
    <row r="456">
      <c r="D456">
        <f>IF($B456&lt;&gt;"Yes","",IF($C456="No","Yes",IF($C456="Yes","No","")))</f>
      </c>
      <c r="E456">
        <f>IF($A456="","",IF($A456="Neuron",IF(OR(AND($S456&lt;&gt;"",LOWER(TRIM($S456))&lt;&gt;"n/a",COUNTIF($S$2:$S$532,$S456)&gt;1),AND($T456&lt;&gt;"",LOWER(TRIM($T456))&lt;&gt;"n/a",COUNTIF($T$2:$T$532,$T456)&gt;1),AND($W456&lt;&gt;"",LOWER(TRIM($W456))&lt;&gt;"n/a",COUNTIF($W$2:$W$532,$W456)&gt;1)),"Yes","No"),IF($A456="Cybernet",IF(OR(AND($Y456&lt;&gt;"",LOWER(TRIM($Y456))&lt;&gt;"n/a",COUNTIF($Y$2:$Y$532,$Y456)&gt;1),AND($Z456&lt;&gt;"",LOWER(TRIM($Z456))&lt;&gt;"n/a",COUNTIF($Z$2:$Z$532,$Z456)&gt;1)),"Yes","No"),IF(AND($AL456&lt;&gt;"",LOWER(TRIM($AL456))&lt;&gt;"n/a",COUNTIF($AL$2:$AL$532,$AL456)&gt;1),"Yes","No"))))</f>
      </c>
      <c r="F456">
        <f>IF($B456&lt;&gt;"Yes","",
IF($A456="Neuron",
IF(OR(
AND($S456&lt;&gt;"",LOWER(TRIM($S456))&lt;&gt;"n/a",COUNTIFS($B$2:$B$532,"Yes",$A$2:$A$532,"Neuron",$S$2:$S$532,$S456)&gt;1),
AND($T456&lt;&gt;"",LOWER(TRIM($T456))&lt;&gt;"n/a",COUNTIFS($B$2:$B$532,"Yes",$A$2:$A$532,"Neuron",$T$2:$T$532,$T456)&gt;1),
AND($W456&lt;&gt;"",LOWER(TRIM($W456))&lt;&gt;"n/a",COUNTIFS($B$2:$B$532,"Yes",$A$2:$A$532,"Neuron",$W$2:$W$532,$W456)&gt;1)
),"Yes","No"),
IF($A456="Cybernet",
IF(OR(
AND($Y456&lt;&gt;"",LOWER(TRIM($Y456))&lt;&gt;"n/a",COUNTIFS($B$2:$B$532,"Yes",$A$2:$A$532,"Cybernet",$Y$2:$Y$532,$Y456)&gt;1),
AND($Z456&lt;&gt;"",LOWER(TRIM($Z456))&lt;&gt;"n/a",COUNTIFS($B$2:$B$532,"Yes",$A$2:$A$532,"Cybernet",$Z$2:$Z$532,$Z456)&gt;1)
),"Yes","No"),
IF(AND($AL456&lt;&gt;"",LOWER(TRIM($AL456))&lt;&gt;"n/a"),
IF(COUNTIFS($B$2:$B$532,"Yes",$A$2:$A$532,$A456,$AL$2:$AL$532,$AL456)&gt;1,"Yes","No"),
"No")
)
)
)</f>
      </c>
      <c r="BL456">
        <f>IF($T456="","",IF((IF(AND($AW456&lt;&gt;"Yes",$AW456&lt;&gt;"N/A"),"Power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",""))="","",LEFT(IF(AND($AW456&lt;&gt;"Yes",$AW456&lt;&gt;"N/A"),"Power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",""),LEN(IF(AND($AW456&lt;&gt;"Yes",$AW456&lt;&gt;"N/A"),"Power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",""))-2)))</f>
      </c>
      <c r="BM456">
        <f>IF($T456="","",IF($BL456="","Yes","Blocked"))</f>
      </c>
      <c r="BP456">
        <f>IF($BO456="","",IFERROR(VLOOKUP($BO456,'01_Warehouse_Ledger'!$A:$N,4,FALSE),""))</f>
      </c>
      <c r="BQ456">
        <f>IF($BO456="","",IFERROR(VLOOKUP($BO456,'01_Warehouse_Ledger'!$A:$N,5,FALSE),""))</f>
      </c>
      <c r="BR456">
        <f>IF($BO456="","",IFERROR(VLOOKUP($BO456,'01_Warehouse_Ledger'!$A:$N,13,FALSE),""))</f>
      </c>
    </row>
    <row r="457">
      <c r="D457">
        <f>IF($B457&lt;&gt;"Yes","",IF($C457="No","Yes",IF($C457="Yes","No","")))</f>
      </c>
      <c r="E457">
        <f>IF($A457="","",IF($A457="Neuron",IF(OR(AND($S457&lt;&gt;"",LOWER(TRIM($S457))&lt;&gt;"n/a",COUNTIF($S$2:$S$532,$S457)&gt;1),AND($T457&lt;&gt;"",LOWER(TRIM($T457))&lt;&gt;"n/a",COUNTIF($T$2:$T$532,$T457)&gt;1),AND($W457&lt;&gt;"",LOWER(TRIM($W457))&lt;&gt;"n/a",COUNTIF($W$2:$W$532,$W457)&gt;1)),"Yes","No"),IF($A457="Cybernet",IF(OR(AND($Y457&lt;&gt;"",LOWER(TRIM($Y457))&lt;&gt;"n/a",COUNTIF($Y$2:$Y$532,$Y457)&gt;1),AND($Z457&lt;&gt;"",LOWER(TRIM($Z457))&lt;&gt;"n/a",COUNTIF($Z$2:$Z$532,$Z457)&gt;1)),"Yes","No"),IF(AND($AL457&lt;&gt;"",LOWER(TRIM($AL457))&lt;&gt;"n/a",COUNTIF($AL$2:$AL$532,$AL457)&gt;1),"Yes","No"))))</f>
      </c>
      <c r="F457">
        <f>IF($B457&lt;&gt;"Yes","",
IF($A457="Neuron",
IF(OR(
AND($S457&lt;&gt;"",LOWER(TRIM($S457))&lt;&gt;"n/a",COUNTIFS($B$2:$B$532,"Yes",$A$2:$A$532,"Neuron",$S$2:$S$532,$S457)&gt;1),
AND($T457&lt;&gt;"",LOWER(TRIM($T457))&lt;&gt;"n/a",COUNTIFS($B$2:$B$532,"Yes",$A$2:$A$532,"Neuron",$T$2:$T$532,$T457)&gt;1),
AND($W457&lt;&gt;"",LOWER(TRIM($W457))&lt;&gt;"n/a",COUNTIFS($B$2:$B$532,"Yes",$A$2:$A$532,"Neuron",$W$2:$W$532,$W457)&gt;1)
),"Yes","No"),
IF($A457="Cybernet",
IF(OR(
AND($Y457&lt;&gt;"",LOWER(TRIM($Y457))&lt;&gt;"n/a",COUNTIFS($B$2:$B$532,"Yes",$A$2:$A$532,"Cybernet",$Y$2:$Y$532,$Y457)&gt;1),
AND($Z457&lt;&gt;"",LOWER(TRIM($Z457))&lt;&gt;"n/a",COUNTIFS($B$2:$B$532,"Yes",$A$2:$A$532,"Cybernet",$Z$2:$Z$532,$Z457)&gt;1)
),"Yes","No"),
IF(AND($AL457&lt;&gt;"",LOWER(TRIM($AL457))&lt;&gt;"n/a"),
IF(COUNTIFS($B$2:$B$532,"Yes",$A$2:$A$532,$A457,$AL$2:$AL$532,$AL457)&gt;1,"Yes","No"),
"No")
)
)
)</f>
      </c>
      <c r="BL457">
        <f>IF($T457="","",IF((IF(AND($AW457&lt;&gt;"Yes",$AW457&lt;&gt;"N/A"),"Power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",""))="","",LEFT(IF(AND($AW457&lt;&gt;"Yes",$AW457&lt;&gt;"N/A"),"Power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",""),LEN(IF(AND($AW457&lt;&gt;"Yes",$AW457&lt;&gt;"N/A"),"Power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",""))-2)))</f>
      </c>
      <c r="BM457">
        <f>IF($T457="","",IF($BL457="","Yes","Blocked"))</f>
      </c>
      <c r="BP457">
        <f>IF($BO457="","",IFERROR(VLOOKUP($BO457,'01_Warehouse_Ledger'!$A:$N,4,FALSE),""))</f>
      </c>
      <c r="BQ457">
        <f>IF($BO457="","",IFERROR(VLOOKUP($BO457,'01_Warehouse_Ledger'!$A:$N,5,FALSE),""))</f>
      </c>
      <c r="BR457">
        <f>IF($BO457="","",IFERROR(VLOOKUP($BO457,'01_Warehouse_Ledger'!$A:$N,13,FALSE),""))</f>
      </c>
    </row>
    <row r="458">
      <c r="D458">
        <f>IF($B458&lt;&gt;"Yes","",IF($C458="No","Yes",IF($C458="Yes","No","")))</f>
      </c>
      <c r="E458">
        <f>IF($A458="","",IF($A458="Neuron",IF(OR(AND($S458&lt;&gt;"",LOWER(TRIM($S458))&lt;&gt;"n/a",COUNTIF($S$2:$S$532,$S458)&gt;1),AND($T458&lt;&gt;"",LOWER(TRIM($T458))&lt;&gt;"n/a",COUNTIF($T$2:$T$532,$T458)&gt;1),AND($W458&lt;&gt;"",LOWER(TRIM($W458))&lt;&gt;"n/a",COUNTIF($W$2:$W$532,$W458)&gt;1)),"Yes","No"),IF($A458="Cybernet",IF(OR(AND($Y458&lt;&gt;"",LOWER(TRIM($Y458))&lt;&gt;"n/a",COUNTIF($Y$2:$Y$532,$Y458)&gt;1),AND($Z458&lt;&gt;"",LOWER(TRIM($Z458))&lt;&gt;"n/a",COUNTIF($Z$2:$Z$532,$Z458)&gt;1)),"Yes","No"),IF(AND($AL458&lt;&gt;"",LOWER(TRIM($AL458))&lt;&gt;"n/a",COUNTIF($AL$2:$AL$532,$AL458)&gt;1),"Yes","No"))))</f>
      </c>
      <c r="F458">
        <f>IF($B458&lt;&gt;"Yes","",
IF($A458="Neuron",
IF(OR(
AND($S458&lt;&gt;"",LOWER(TRIM($S458))&lt;&gt;"n/a",COUNTIFS($B$2:$B$532,"Yes",$A$2:$A$532,"Neuron",$S$2:$S$532,$S458)&gt;1),
AND($T458&lt;&gt;"",LOWER(TRIM($T458))&lt;&gt;"n/a",COUNTIFS($B$2:$B$532,"Yes",$A$2:$A$532,"Neuron",$T$2:$T$532,$T458)&gt;1),
AND($W458&lt;&gt;"",LOWER(TRIM($W458))&lt;&gt;"n/a",COUNTIFS($B$2:$B$532,"Yes",$A$2:$A$532,"Neuron",$W$2:$W$532,$W458)&gt;1)
),"Yes","No"),
IF($A458="Cybernet",
IF(OR(
AND($Y458&lt;&gt;"",LOWER(TRIM($Y458))&lt;&gt;"n/a",COUNTIFS($B$2:$B$532,"Yes",$A$2:$A$532,"Cybernet",$Y$2:$Y$532,$Y458)&gt;1),
AND($Z458&lt;&gt;"",LOWER(TRIM($Z458))&lt;&gt;"n/a",COUNTIFS($B$2:$B$532,"Yes",$A$2:$A$532,"Cybernet",$Z$2:$Z$532,$Z458)&gt;1)
),"Yes","No"),
IF(AND($AL458&lt;&gt;"",LOWER(TRIM($AL458))&lt;&gt;"n/a"),
IF(COUNTIFS($B$2:$B$532,"Yes",$A$2:$A$532,$A458,$AL$2:$AL$532,$AL458)&gt;1,"Yes","No"),
"No")
)
)
)</f>
      </c>
      <c r="BL458">
        <f>IF($T458="","",IF((IF(AND($AW458&lt;&gt;"Yes",$AW458&lt;&gt;"N/A"),"Power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",""))="","",LEFT(IF(AND($AW458&lt;&gt;"Yes",$AW458&lt;&gt;"N/A"),"Power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",""),LEN(IF(AND($AW458&lt;&gt;"Yes",$AW458&lt;&gt;"N/A"),"Power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",""))-2)))</f>
      </c>
      <c r="BM458">
        <f>IF($T458="","",IF($BL458="","Yes","Blocked"))</f>
      </c>
      <c r="BP458">
        <f>IF($BO458="","",IFERROR(VLOOKUP($BO458,'01_Warehouse_Ledger'!$A:$N,4,FALSE),""))</f>
      </c>
      <c r="BQ458">
        <f>IF($BO458="","",IFERROR(VLOOKUP($BO458,'01_Warehouse_Ledger'!$A:$N,5,FALSE),""))</f>
      </c>
      <c r="BR458">
        <f>IF($BO458="","",IFERROR(VLOOKUP($BO458,'01_Warehouse_Ledger'!$A:$N,13,FALSE),""))</f>
      </c>
    </row>
    <row r="459">
      <c r="D459">
        <f>IF($B459&lt;&gt;"Yes","",IF($C459="No","Yes",IF($C459="Yes","No","")))</f>
      </c>
      <c r="E459">
        <f>IF($A459="","",IF($A459="Neuron",IF(OR(AND($S459&lt;&gt;"",LOWER(TRIM($S459))&lt;&gt;"n/a",COUNTIF($S$2:$S$532,$S459)&gt;1),AND($T459&lt;&gt;"",LOWER(TRIM($T459))&lt;&gt;"n/a",COUNTIF($T$2:$T$532,$T459)&gt;1),AND($W459&lt;&gt;"",LOWER(TRIM($W459))&lt;&gt;"n/a",COUNTIF($W$2:$W$532,$W459)&gt;1)),"Yes","No"),IF($A459="Cybernet",IF(OR(AND($Y459&lt;&gt;"",LOWER(TRIM($Y459))&lt;&gt;"n/a",COUNTIF($Y$2:$Y$532,$Y459)&gt;1),AND($Z459&lt;&gt;"",LOWER(TRIM($Z459))&lt;&gt;"n/a",COUNTIF($Z$2:$Z$532,$Z459)&gt;1)),"Yes","No"),IF(AND($AL459&lt;&gt;"",LOWER(TRIM($AL459))&lt;&gt;"n/a",COUNTIF($AL$2:$AL$532,$AL459)&gt;1),"Yes","No"))))</f>
      </c>
      <c r="F459">
        <f>IF($B459&lt;&gt;"Yes","",
IF($A459="Neuron",
IF(OR(
AND($S459&lt;&gt;"",LOWER(TRIM($S459))&lt;&gt;"n/a",COUNTIFS($B$2:$B$532,"Yes",$A$2:$A$532,"Neuron",$S$2:$S$532,$S459)&gt;1),
AND($T459&lt;&gt;"",LOWER(TRIM($T459))&lt;&gt;"n/a",COUNTIFS($B$2:$B$532,"Yes",$A$2:$A$532,"Neuron",$T$2:$T$532,$T459)&gt;1),
AND($W459&lt;&gt;"",LOWER(TRIM($W459))&lt;&gt;"n/a",COUNTIFS($B$2:$B$532,"Yes",$A$2:$A$532,"Neuron",$W$2:$W$532,$W459)&gt;1)
),"Yes","No"),
IF($A459="Cybernet",
IF(OR(
AND($Y459&lt;&gt;"",LOWER(TRIM($Y459))&lt;&gt;"n/a",COUNTIFS($B$2:$B$532,"Yes",$A$2:$A$532,"Cybernet",$Y$2:$Y$532,$Y459)&gt;1),
AND($Z459&lt;&gt;"",LOWER(TRIM($Z459))&lt;&gt;"n/a",COUNTIFS($B$2:$B$532,"Yes",$A$2:$A$532,"Cybernet",$Z$2:$Z$532,$Z459)&gt;1)
),"Yes","No"),
IF(AND($AL459&lt;&gt;"",LOWER(TRIM($AL459))&lt;&gt;"n/a"),
IF(COUNTIFS($B$2:$B$532,"Yes",$A$2:$A$532,$A459,$AL$2:$AL$532,$AL459)&gt;1,"Yes","No"),
"No")
)
)
)</f>
      </c>
      <c r="BL459">
        <f>IF($T459="","",IF((IF(AND($AW459&lt;&gt;"Yes",$AW459&lt;&gt;"N/A"),"Power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",""))="","",LEFT(IF(AND($AW459&lt;&gt;"Yes",$AW459&lt;&gt;"N/A"),"Power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",""),LEN(IF(AND($AW459&lt;&gt;"Yes",$AW459&lt;&gt;"N/A"),"Power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",""))-2)))</f>
      </c>
      <c r="BM459">
        <f>IF($T459="","",IF($BL459="","Yes","Blocked"))</f>
      </c>
      <c r="BP459">
        <f>IF($BO459="","",IFERROR(VLOOKUP($BO459,'01_Warehouse_Ledger'!$A:$N,4,FALSE),""))</f>
      </c>
      <c r="BQ459">
        <f>IF($BO459="","",IFERROR(VLOOKUP($BO459,'01_Warehouse_Ledger'!$A:$N,5,FALSE),""))</f>
      </c>
      <c r="BR459">
        <f>IF($BO459="","",IFERROR(VLOOKUP($BO459,'01_Warehouse_Ledger'!$A:$N,13,FALSE),""))</f>
      </c>
    </row>
    <row r="460">
      <c r="D460">
        <f>IF($B460&lt;&gt;"Yes","",IF($C460="No","Yes",IF($C460="Yes","No","")))</f>
      </c>
      <c r="E460">
        <f>IF($A460="","",IF($A460="Neuron",IF(OR(AND($S460&lt;&gt;"",LOWER(TRIM($S460))&lt;&gt;"n/a",COUNTIF($S$2:$S$532,$S460)&gt;1),AND($T460&lt;&gt;"",LOWER(TRIM($T460))&lt;&gt;"n/a",COUNTIF($T$2:$T$532,$T460)&gt;1),AND($W460&lt;&gt;"",LOWER(TRIM($W460))&lt;&gt;"n/a",COUNTIF($W$2:$W$532,$W460)&gt;1)),"Yes","No"),IF($A460="Cybernet",IF(OR(AND($Y460&lt;&gt;"",LOWER(TRIM($Y460))&lt;&gt;"n/a",COUNTIF($Y$2:$Y$532,$Y460)&gt;1),AND($Z460&lt;&gt;"",LOWER(TRIM($Z460))&lt;&gt;"n/a",COUNTIF($Z$2:$Z$532,$Z460)&gt;1)),"Yes","No"),IF(AND($AL460&lt;&gt;"",LOWER(TRIM($AL460))&lt;&gt;"n/a",COUNTIF($AL$2:$AL$532,$AL460)&gt;1),"Yes","No"))))</f>
      </c>
      <c r="F460">
        <f>IF($B460&lt;&gt;"Yes","",
IF($A460="Neuron",
IF(OR(
AND($S460&lt;&gt;"",LOWER(TRIM($S460))&lt;&gt;"n/a",COUNTIFS($B$2:$B$532,"Yes",$A$2:$A$532,"Neuron",$S$2:$S$532,$S460)&gt;1),
AND($T460&lt;&gt;"",LOWER(TRIM($T460))&lt;&gt;"n/a",COUNTIFS($B$2:$B$532,"Yes",$A$2:$A$532,"Neuron",$T$2:$T$532,$T460)&gt;1),
AND($W460&lt;&gt;"",LOWER(TRIM($W460))&lt;&gt;"n/a",COUNTIFS($B$2:$B$532,"Yes",$A$2:$A$532,"Neuron",$W$2:$W$532,$W460)&gt;1)
),"Yes","No"),
IF($A460="Cybernet",
IF(OR(
AND($Y460&lt;&gt;"",LOWER(TRIM($Y460))&lt;&gt;"n/a",COUNTIFS($B$2:$B$532,"Yes",$A$2:$A$532,"Cybernet",$Y$2:$Y$532,$Y460)&gt;1),
AND($Z460&lt;&gt;"",LOWER(TRIM($Z460))&lt;&gt;"n/a",COUNTIFS($B$2:$B$532,"Yes",$A$2:$A$532,"Cybernet",$Z$2:$Z$532,$Z460)&gt;1)
),"Yes","No"),
IF(AND($AL460&lt;&gt;"",LOWER(TRIM($AL460))&lt;&gt;"n/a"),
IF(COUNTIFS($B$2:$B$532,"Yes",$A$2:$A$532,$A460,$AL$2:$AL$532,$AL460)&gt;1,"Yes","No"),
"No")
)
)
)</f>
      </c>
      <c r="BL460">
        <f>IF($T460="","",IF((IF(AND($AW460&lt;&gt;"Yes",$AW460&lt;&gt;"N/A"),"Power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",""))="","",LEFT(IF(AND($AW460&lt;&gt;"Yes",$AW460&lt;&gt;"N/A"),"Power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",""),LEN(IF(AND($AW460&lt;&gt;"Yes",$AW460&lt;&gt;"N/A"),"Power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",""))-2)))</f>
      </c>
      <c r="BM460">
        <f>IF($T460="","",IF($BL460="","Yes","Blocked"))</f>
      </c>
      <c r="BP460">
        <f>IF($BO460="","",IFERROR(VLOOKUP($BO460,'01_Warehouse_Ledger'!$A:$N,4,FALSE),""))</f>
      </c>
      <c r="BQ460">
        <f>IF($BO460="","",IFERROR(VLOOKUP($BO460,'01_Warehouse_Ledger'!$A:$N,5,FALSE),""))</f>
      </c>
      <c r="BR460">
        <f>IF($BO460="","",IFERROR(VLOOKUP($BO460,'01_Warehouse_Ledger'!$A:$N,13,FALSE),""))</f>
      </c>
    </row>
    <row r="461">
      <c r="D461">
        <f>IF($B461&lt;&gt;"Yes","",IF($C461="No","Yes",IF($C461="Yes","No","")))</f>
      </c>
      <c r="E461">
        <f>IF($A461="","",IF($A461="Neuron",IF(OR(AND($S461&lt;&gt;"",LOWER(TRIM($S461))&lt;&gt;"n/a",COUNTIF($S$2:$S$532,$S461)&gt;1),AND($T461&lt;&gt;"",LOWER(TRIM($T461))&lt;&gt;"n/a",COUNTIF($T$2:$T$532,$T461)&gt;1),AND($W461&lt;&gt;"",LOWER(TRIM($W461))&lt;&gt;"n/a",COUNTIF($W$2:$W$532,$W461)&gt;1)),"Yes","No"),IF($A461="Cybernet",IF(OR(AND($Y461&lt;&gt;"",LOWER(TRIM($Y461))&lt;&gt;"n/a",COUNTIF($Y$2:$Y$532,$Y461)&gt;1),AND($Z461&lt;&gt;"",LOWER(TRIM($Z461))&lt;&gt;"n/a",COUNTIF($Z$2:$Z$532,$Z461)&gt;1)),"Yes","No"),IF(AND($AL461&lt;&gt;"",LOWER(TRIM($AL461))&lt;&gt;"n/a",COUNTIF($AL$2:$AL$532,$AL461)&gt;1),"Yes","No"))))</f>
      </c>
      <c r="F461">
        <f>IF($B461&lt;&gt;"Yes","",
IF($A461="Neuron",
IF(OR(
AND($S461&lt;&gt;"",LOWER(TRIM($S461))&lt;&gt;"n/a",COUNTIFS($B$2:$B$532,"Yes",$A$2:$A$532,"Neuron",$S$2:$S$532,$S461)&gt;1),
AND($T461&lt;&gt;"",LOWER(TRIM($T461))&lt;&gt;"n/a",COUNTIFS($B$2:$B$532,"Yes",$A$2:$A$532,"Neuron",$T$2:$T$532,$T461)&gt;1),
AND($W461&lt;&gt;"",LOWER(TRIM($W461))&lt;&gt;"n/a",COUNTIFS($B$2:$B$532,"Yes",$A$2:$A$532,"Neuron",$W$2:$W$532,$W461)&gt;1)
),"Yes","No"),
IF($A461="Cybernet",
IF(OR(
AND($Y461&lt;&gt;"",LOWER(TRIM($Y461))&lt;&gt;"n/a",COUNTIFS($B$2:$B$532,"Yes",$A$2:$A$532,"Cybernet",$Y$2:$Y$532,$Y461)&gt;1),
AND($Z461&lt;&gt;"",LOWER(TRIM($Z461))&lt;&gt;"n/a",COUNTIFS($B$2:$B$532,"Yes",$A$2:$A$532,"Cybernet",$Z$2:$Z$532,$Z461)&gt;1)
),"Yes","No"),
IF(AND($AL461&lt;&gt;"",LOWER(TRIM($AL461))&lt;&gt;"n/a"),
IF(COUNTIFS($B$2:$B$532,"Yes",$A$2:$A$532,$A461,$AL$2:$AL$532,$AL461)&gt;1,"Yes","No"),
"No")
)
)
)</f>
      </c>
      <c r="BL461">
        <f>IF($T461="","",IF((IF(AND($AW461&lt;&gt;"Yes",$AW461&lt;&gt;"N/A"),"Power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",""))="","",LEFT(IF(AND($AW461&lt;&gt;"Yes",$AW461&lt;&gt;"N/A"),"Power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",""),LEN(IF(AND($AW461&lt;&gt;"Yes",$AW461&lt;&gt;"N/A"),"Power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",""))-2)))</f>
      </c>
      <c r="BM461">
        <f>IF($T461="","",IF($BL461="","Yes","Blocked"))</f>
      </c>
      <c r="BP461">
        <f>IF($BO461="","",IFERROR(VLOOKUP($BO461,'01_Warehouse_Ledger'!$A:$N,4,FALSE),""))</f>
      </c>
      <c r="BQ461">
        <f>IF($BO461="","",IFERROR(VLOOKUP($BO461,'01_Warehouse_Ledger'!$A:$N,5,FALSE),""))</f>
      </c>
      <c r="BR461">
        <f>IF($BO461="","",IFERROR(VLOOKUP($BO461,'01_Warehouse_Ledger'!$A:$N,13,FALSE),""))</f>
      </c>
    </row>
    <row r="462">
      <c r="D462">
        <f>IF($B462&lt;&gt;"Yes","",IF($C462="No","Yes",IF($C462="Yes","No","")))</f>
      </c>
      <c r="E462">
        <f>IF($A462="","",IF($A462="Neuron",IF(OR(AND($S462&lt;&gt;"",LOWER(TRIM($S462))&lt;&gt;"n/a",COUNTIF($S$2:$S$532,$S462)&gt;1),AND($T462&lt;&gt;"",LOWER(TRIM($T462))&lt;&gt;"n/a",COUNTIF($T$2:$T$532,$T462)&gt;1),AND($W462&lt;&gt;"",LOWER(TRIM($W462))&lt;&gt;"n/a",COUNTIF($W$2:$W$532,$W462)&gt;1)),"Yes","No"),IF($A462="Cybernet",IF(OR(AND($Y462&lt;&gt;"",LOWER(TRIM($Y462))&lt;&gt;"n/a",COUNTIF($Y$2:$Y$532,$Y462)&gt;1),AND($Z462&lt;&gt;"",LOWER(TRIM($Z462))&lt;&gt;"n/a",COUNTIF($Z$2:$Z$532,$Z462)&gt;1)),"Yes","No"),IF(AND($AL462&lt;&gt;"",LOWER(TRIM($AL462))&lt;&gt;"n/a",COUNTIF($AL$2:$AL$532,$AL462)&gt;1),"Yes","No"))))</f>
      </c>
      <c r="F462">
        <f>IF($B462&lt;&gt;"Yes","",
IF($A462="Neuron",
IF(OR(
AND($S462&lt;&gt;"",LOWER(TRIM($S462))&lt;&gt;"n/a",COUNTIFS($B$2:$B$532,"Yes",$A$2:$A$532,"Neuron",$S$2:$S$532,$S462)&gt;1),
AND($T462&lt;&gt;"",LOWER(TRIM($T462))&lt;&gt;"n/a",COUNTIFS($B$2:$B$532,"Yes",$A$2:$A$532,"Neuron",$T$2:$T$532,$T462)&gt;1),
AND($W462&lt;&gt;"",LOWER(TRIM($W462))&lt;&gt;"n/a",COUNTIFS($B$2:$B$532,"Yes",$A$2:$A$532,"Neuron",$W$2:$W$532,$W462)&gt;1)
),"Yes","No"),
IF($A462="Cybernet",
IF(OR(
AND($Y462&lt;&gt;"",LOWER(TRIM($Y462))&lt;&gt;"n/a",COUNTIFS($B$2:$B$532,"Yes",$A$2:$A$532,"Cybernet",$Y$2:$Y$532,$Y462)&gt;1),
AND($Z462&lt;&gt;"",LOWER(TRIM($Z462))&lt;&gt;"n/a",COUNTIFS($B$2:$B$532,"Yes",$A$2:$A$532,"Cybernet",$Z$2:$Z$532,$Z462)&gt;1)
),"Yes","No"),
IF(AND($AL462&lt;&gt;"",LOWER(TRIM($AL462))&lt;&gt;"n/a"),
IF(COUNTIFS($B$2:$B$532,"Yes",$A$2:$A$532,$A462,$AL$2:$AL$532,$AL462)&gt;1,"Yes","No"),
"No")
)
)
)</f>
      </c>
      <c r="BL462">
        <f>IF($T462="","",IF((IF(AND($AW462&lt;&gt;"Yes",$AW462&lt;&gt;"N/A"),"Power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",""))="","",LEFT(IF(AND($AW462&lt;&gt;"Yes",$AW462&lt;&gt;"N/A"),"Power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",""),LEN(IF(AND($AW462&lt;&gt;"Yes",$AW462&lt;&gt;"N/A"),"Power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",""))-2)))</f>
      </c>
      <c r="BM462">
        <f>IF($T462="","",IF($BL462="","Yes","Blocked"))</f>
      </c>
      <c r="BP462">
        <f>IF($BO462="","",IFERROR(VLOOKUP($BO462,'01_Warehouse_Ledger'!$A:$N,4,FALSE),""))</f>
      </c>
      <c r="BQ462">
        <f>IF($BO462="","",IFERROR(VLOOKUP($BO462,'01_Warehouse_Ledger'!$A:$N,5,FALSE),""))</f>
      </c>
      <c r="BR462">
        <f>IF($BO462="","",IFERROR(VLOOKUP($BO462,'01_Warehouse_Ledger'!$A:$N,13,FALSE),""))</f>
      </c>
    </row>
    <row r="463">
      <c r="D463">
        <f>IF($B463&lt;&gt;"Yes","",IF($C463="No","Yes",IF($C463="Yes","No","")))</f>
      </c>
      <c r="E463">
        <f>IF($A463="","",IF($A463="Neuron",IF(OR(AND($S463&lt;&gt;"",LOWER(TRIM($S463))&lt;&gt;"n/a",COUNTIF($S$2:$S$532,$S463)&gt;1),AND($T463&lt;&gt;"",LOWER(TRIM($T463))&lt;&gt;"n/a",COUNTIF($T$2:$T$532,$T463)&gt;1),AND($W463&lt;&gt;"",LOWER(TRIM($W463))&lt;&gt;"n/a",COUNTIF($W$2:$W$532,$W463)&gt;1)),"Yes","No"),IF($A463="Cybernet",IF(OR(AND($Y463&lt;&gt;"",LOWER(TRIM($Y463))&lt;&gt;"n/a",COUNTIF($Y$2:$Y$532,$Y463)&gt;1),AND($Z463&lt;&gt;"",LOWER(TRIM($Z463))&lt;&gt;"n/a",COUNTIF($Z$2:$Z$532,$Z463)&gt;1)),"Yes","No"),IF(AND($AL463&lt;&gt;"",LOWER(TRIM($AL463))&lt;&gt;"n/a",COUNTIF($AL$2:$AL$532,$AL463)&gt;1),"Yes","No"))))</f>
      </c>
      <c r="F463">
        <f>IF($B463&lt;&gt;"Yes","",
IF($A463="Neuron",
IF(OR(
AND($S463&lt;&gt;"",LOWER(TRIM($S463))&lt;&gt;"n/a",COUNTIFS($B$2:$B$532,"Yes",$A$2:$A$532,"Neuron",$S$2:$S$532,$S463)&gt;1),
AND($T463&lt;&gt;"",LOWER(TRIM($T463))&lt;&gt;"n/a",COUNTIFS($B$2:$B$532,"Yes",$A$2:$A$532,"Neuron",$T$2:$T$532,$T463)&gt;1),
AND($W463&lt;&gt;"",LOWER(TRIM($W463))&lt;&gt;"n/a",COUNTIFS($B$2:$B$532,"Yes",$A$2:$A$532,"Neuron",$W$2:$W$532,$W463)&gt;1)
),"Yes","No"),
IF($A463="Cybernet",
IF(OR(
AND($Y463&lt;&gt;"",LOWER(TRIM($Y463))&lt;&gt;"n/a",COUNTIFS($B$2:$B$532,"Yes",$A$2:$A$532,"Cybernet",$Y$2:$Y$532,$Y463)&gt;1),
AND($Z463&lt;&gt;"",LOWER(TRIM($Z463))&lt;&gt;"n/a",COUNTIFS($B$2:$B$532,"Yes",$A$2:$A$532,"Cybernet",$Z$2:$Z$532,$Z463)&gt;1)
),"Yes","No"),
IF(AND($AL463&lt;&gt;"",LOWER(TRIM($AL463))&lt;&gt;"n/a"),
IF(COUNTIFS($B$2:$B$532,"Yes",$A$2:$A$532,$A463,$AL$2:$AL$532,$AL463)&gt;1,"Yes","No"),
"No")
)
)
)</f>
      </c>
      <c r="BL463">
        <f>IF($T463="","",IF((IF(AND($AW463&lt;&gt;"Yes",$AW463&lt;&gt;"N/A"),"Power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",""))="","",LEFT(IF(AND($AW463&lt;&gt;"Yes",$AW463&lt;&gt;"N/A"),"Power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",""),LEN(IF(AND($AW463&lt;&gt;"Yes",$AW463&lt;&gt;"N/A"),"Power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",""))-2)))</f>
      </c>
      <c r="BM463">
        <f>IF($T463="","",IF($BL463="","Yes","Blocked"))</f>
      </c>
      <c r="BP463">
        <f>IF($BO463="","",IFERROR(VLOOKUP($BO463,'01_Warehouse_Ledger'!$A:$N,4,FALSE),""))</f>
      </c>
      <c r="BQ463">
        <f>IF($BO463="","",IFERROR(VLOOKUP($BO463,'01_Warehouse_Ledger'!$A:$N,5,FALSE),""))</f>
      </c>
      <c r="BR463">
        <f>IF($BO463="","",IFERROR(VLOOKUP($BO463,'01_Warehouse_Ledger'!$A:$N,13,FALSE),""))</f>
      </c>
    </row>
    <row r="464">
      <c r="D464">
        <f>IF($B464&lt;&gt;"Yes","",IF($C464="No","Yes",IF($C464="Yes","No","")))</f>
      </c>
      <c r="E464">
        <f>IF($A464="","",IF($A464="Neuron",IF(OR(AND($S464&lt;&gt;"",LOWER(TRIM($S464))&lt;&gt;"n/a",COUNTIF($S$2:$S$532,$S464)&gt;1),AND($T464&lt;&gt;"",LOWER(TRIM($T464))&lt;&gt;"n/a",COUNTIF($T$2:$T$532,$T464)&gt;1),AND($W464&lt;&gt;"",LOWER(TRIM($W464))&lt;&gt;"n/a",COUNTIF($W$2:$W$532,$W464)&gt;1)),"Yes","No"),IF($A464="Cybernet",IF(OR(AND($Y464&lt;&gt;"",LOWER(TRIM($Y464))&lt;&gt;"n/a",COUNTIF($Y$2:$Y$532,$Y464)&gt;1),AND($Z464&lt;&gt;"",LOWER(TRIM($Z464))&lt;&gt;"n/a",COUNTIF($Z$2:$Z$532,$Z464)&gt;1)),"Yes","No"),IF(AND($AL464&lt;&gt;"",LOWER(TRIM($AL464))&lt;&gt;"n/a",COUNTIF($AL$2:$AL$532,$AL464)&gt;1),"Yes","No"))))</f>
      </c>
      <c r="F464">
        <f>IF($B464&lt;&gt;"Yes","",
IF($A464="Neuron",
IF(OR(
AND($S464&lt;&gt;"",LOWER(TRIM($S464))&lt;&gt;"n/a",COUNTIFS($B$2:$B$532,"Yes",$A$2:$A$532,"Neuron",$S$2:$S$532,$S464)&gt;1),
AND($T464&lt;&gt;"",LOWER(TRIM($T464))&lt;&gt;"n/a",COUNTIFS($B$2:$B$532,"Yes",$A$2:$A$532,"Neuron",$T$2:$T$532,$T464)&gt;1),
AND($W464&lt;&gt;"",LOWER(TRIM($W464))&lt;&gt;"n/a",COUNTIFS($B$2:$B$532,"Yes",$A$2:$A$532,"Neuron",$W$2:$W$532,$W464)&gt;1)
),"Yes","No"),
IF($A464="Cybernet",
IF(OR(
AND($Y464&lt;&gt;"",LOWER(TRIM($Y464))&lt;&gt;"n/a",COUNTIFS($B$2:$B$532,"Yes",$A$2:$A$532,"Cybernet",$Y$2:$Y$532,$Y464)&gt;1),
AND($Z464&lt;&gt;"",LOWER(TRIM($Z464))&lt;&gt;"n/a",COUNTIFS($B$2:$B$532,"Yes",$A$2:$A$532,"Cybernet",$Z$2:$Z$532,$Z464)&gt;1)
),"Yes","No"),
IF(AND($AL464&lt;&gt;"",LOWER(TRIM($AL464))&lt;&gt;"n/a"),
IF(COUNTIFS($B$2:$B$532,"Yes",$A$2:$A$532,$A464,$AL$2:$AL$532,$AL464)&gt;1,"Yes","No"),
"No")
)
)
)</f>
      </c>
      <c r="BL464">
        <f>IF($T464="","",IF((IF(AND($AW464&lt;&gt;"Yes",$AW464&lt;&gt;"N/A"),"Power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",""))="","",LEFT(IF(AND($AW464&lt;&gt;"Yes",$AW464&lt;&gt;"N/A"),"Power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",""),LEN(IF(AND($AW464&lt;&gt;"Yes",$AW464&lt;&gt;"N/A"),"Power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",""))-2)))</f>
      </c>
      <c r="BM464">
        <f>IF($T464="","",IF($BL464="","Yes","Blocked"))</f>
      </c>
      <c r="BP464">
        <f>IF($BO464="","",IFERROR(VLOOKUP($BO464,'01_Warehouse_Ledger'!$A:$N,4,FALSE),""))</f>
      </c>
      <c r="BQ464">
        <f>IF($BO464="","",IFERROR(VLOOKUP($BO464,'01_Warehouse_Ledger'!$A:$N,5,FALSE),""))</f>
      </c>
      <c r="BR464">
        <f>IF($BO464="","",IFERROR(VLOOKUP($BO464,'01_Warehouse_Ledger'!$A:$N,13,FALSE),""))</f>
      </c>
    </row>
    <row r="465">
      <c r="D465">
        <f>IF($B465&lt;&gt;"Yes","",IF($C465="No","Yes",IF($C465="Yes","No","")))</f>
      </c>
      <c r="E465">
        <f>IF($A465="","",IF($A465="Neuron",IF(OR(AND($S465&lt;&gt;"",LOWER(TRIM($S465))&lt;&gt;"n/a",COUNTIF($S$2:$S$532,$S465)&gt;1),AND($T465&lt;&gt;"",LOWER(TRIM($T465))&lt;&gt;"n/a",COUNTIF($T$2:$T$532,$T465)&gt;1),AND($W465&lt;&gt;"",LOWER(TRIM($W465))&lt;&gt;"n/a",COUNTIF($W$2:$W$532,$W465)&gt;1)),"Yes","No"),IF($A465="Cybernet",IF(OR(AND($Y465&lt;&gt;"",LOWER(TRIM($Y465))&lt;&gt;"n/a",COUNTIF($Y$2:$Y$532,$Y465)&gt;1),AND($Z465&lt;&gt;"",LOWER(TRIM($Z465))&lt;&gt;"n/a",COUNTIF($Z$2:$Z$532,$Z465)&gt;1)),"Yes","No"),IF(AND($AL465&lt;&gt;"",LOWER(TRIM($AL465))&lt;&gt;"n/a",COUNTIF($AL$2:$AL$532,$AL465)&gt;1),"Yes","No"))))</f>
      </c>
      <c r="F465">
        <f>IF($B465&lt;&gt;"Yes","",
IF($A465="Neuron",
IF(OR(
AND($S465&lt;&gt;"",LOWER(TRIM($S465))&lt;&gt;"n/a",COUNTIFS($B$2:$B$532,"Yes",$A$2:$A$532,"Neuron",$S$2:$S$532,$S465)&gt;1),
AND($T465&lt;&gt;"",LOWER(TRIM($T465))&lt;&gt;"n/a",COUNTIFS($B$2:$B$532,"Yes",$A$2:$A$532,"Neuron",$T$2:$T$532,$T465)&gt;1),
AND($W465&lt;&gt;"",LOWER(TRIM($W465))&lt;&gt;"n/a",COUNTIFS($B$2:$B$532,"Yes",$A$2:$A$532,"Neuron",$W$2:$W$532,$W465)&gt;1)
),"Yes","No"),
IF($A465="Cybernet",
IF(OR(
AND($Y465&lt;&gt;"",LOWER(TRIM($Y465))&lt;&gt;"n/a",COUNTIFS($B$2:$B$532,"Yes",$A$2:$A$532,"Cybernet",$Y$2:$Y$532,$Y465)&gt;1),
AND($Z465&lt;&gt;"",LOWER(TRIM($Z465))&lt;&gt;"n/a",COUNTIFS($B$2:$B$532,"Yes",$A$2:$A$532,"Cybernet",$Z$2:$Z$532,$Z465)&gt;1)
),"Yes","No"),
IF(AND($AL465&lt;&gt;"",LOWER(TRIM($AL465))&lt;&gt;"n/a"),
IF(COUNTIFS($B$2:$B$532,"Yes",$A$2:$A$532,$A465,$AL$2:$AL$532,$AL465)&gt;1,"Yes","No"),
"No")
)
)
)</f>
      </c>
      <c r="BL465">
        <f>IF($T465="","",IF((IF(AND($AW465&lt;&gt;"Yes",$AW465&lt;&gt;"N/A"),"Power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",""))="","",LEFT(IF(AND($AW465&lt;&gt;"Yes",$AW465&lt;&gt;"N/A"),"Power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",""),LEN(IF(AND($AW465&lt;&gt;"Yes",$AW465&lt;&gt;"N/A"),"Power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",""))-2)))</f>
      </c>
      <c r="BM465">
        <f>IF($T465="","",IF($BL465="","Yes","Blocked"))</f>
      </c>
      <c r="BP465">
        <f>IF($BO465="","",IFERROR(VLOOKUP($BO465,'01_Warehouse_Ledger'!$A:$N,4,FALSE),""))</f>
      </c>
      <c r="BQ465">
        <f>IF($BO465="","",IFERROR(VLOOKUP($BO465,'01_Warehouse_Ledger'!$A:$N,5,FALSE),""))</f>
      </c>
      <c r="BR465">
        <f>IF($BO465="","",IFERROR(VLOOKUP($BO465,'01_Warehouse_Ledger'!$A:$N,13,FALSE),""))</f>
      </c>
    </row>
    <row r="466">
      <c r="D466">
        <f>IF($B466&lt;&gt;"Yes","",IF($C466="No","Yes",IF($C466="Yes","No","")))</f>
      </c>
      <c r="E466">
        <f>IF($A466="","",IF($A466="Neuron",IF(OR(AND($S466&lt;&gt;"",LOWER(TRIM($S466))&lt;&gt;"n/a",COUNTIF($S$2:$S$532,$S466)&gt;1),AND($T466&lt;&gt;"",LOWER(TRIM($T466))&lt;&gt;"n/a",COUNTIF($T$2:$T$532,$T466)&gt;1),AND($W466&lt;&gt;"",LOWER(TRIM($W466))&lt;&gt;"n/a",COUNTIF($W$2:$W$532,$W466)&gt;1)),"Yes","No"),IF($A466="Cybernet",IF(OR(AND($Y466&lt;&gt;"",LOWER(TRIM($Y466))&lt;&gt;"n/a",COUNTIF($Y$2:$Y$532,$Y466)&gt;1),AND($Z466&lt;&gt;"",LOWER(TRIM($Z466))&lt;&gt;"n/a",COUNTIF($Z$2:$Z$532,$Z466)&gt;1)),"Yes","No"),IF(AND($AL466&lt;&gt;"",LOWER(TRIM($AL466))&lt;&gt;"n/a",COUNTIF($AL$2:$AL$532,$AL466)&gt;1),"Yes","No"))))</f>
      </c>
      <c r="F466">
        <f>IF($B466&lt;&gt;"Yes","",
IF($A466="Neuron",
IF(OR(
AND($S466&lt;&gt;"",LOWER(TRIM($S466))&lt;&gt;"n/a",COUNTIFS($B$2:$B$532,"Yes",$A$2:$A$532,"Neuron",$S$2:$S$532,$S466)&gt;1),
AND($T466&lt;&gt;"",LOWER(TRIM($T466))&lt;&gt;"n/a",COUNTIFS($B$2:$B$532,"Yes",$A$2:$A$532,"Neuron",$T$2:$T$532,$T466)&gt;1),
AND($W466&lt;&gt;"",LOWER(TRIM($W466))&lt;&gt;"n/a",COUNTIFS($B$2:$B$532,"Yes",$A$2:$A$532,"Neuron",$W$2:$W$532,$W466)&gt;1)
),"Yes","No"),
IF($A466="Cybernet",
IF(OR(
AND($Y466&lt;&gt;"",LOWER(TRIM($Y466))&lt;&gt;"n/a",COUNTIFS($B$2:$B$532,"Yes",$A$2:$A$532,"Cybernet",$Y$2:$Y$532,$Y466)&gt;1),
AND($Z466&lt;&gt;"",LOWER(TRIM($Z466))&lt;&gt;"n/a",COUNTIFS($B$2:$B$532,"Yes",$A$2:$A$532,"Cybernet",$Z$2:$Z$532,$Z466)&gt;1)
),"Yes","No"),
IF(AND($AL466&lt;&gt;"",LOWER(TRIM($AL466))&lt;&gt;"n/a"),
IF(COUNTIFS($B$2:$B$532,"Yes",$A$2:$A$532,$A466,$AL$2:$AL$532,$AL466)&gt;1,"Yes","No"),
"No")
)
)
)</f>
      </c>
      <c r="BL466">
        <f>IF($T466="","",IF((IF(AND($AW466&lt;&gt;"Yes",$AW466&lt;&gt;"N/A"),"Power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",""))="","",LEFT(IF(AND($AW466&lt;&gt;"Yes",$AW466&lt;&gt;"N/A"),"Power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",""),LEN(IF(AND($AW466&lt;&gt;"Yes",$AW466&lt;&gt;"N/A"),"Power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",""))-2)))</f>
      </c>
      <c r="BM466">
        <f>IF($T466="","",IF($BL466="","Yes","Blocked"))</f>
      </c>
      <c r="BP466">
        <f>IF($BO466="","",IFERROR(VLOOKUP($BO466,'01_Warehouse_Ledger'!$A:$N,4,FALSE),""))</f>
      </c>
      <c r="BQ466">
        <f>IF($BO466="","",IFERROR(VLOOKUP($BO466,'01_Warehouse_Ledger'!$A:$N,5,FALSE),""))</f>
      </c>
      <c r="BR466">
        <f>IF($BO466="","",IFERROR(VLOOKUP($BO466,'01_Warehouse_Ledger'!$A:$N,13,FALSE),""))</f>
      </c>
    </row>
    <row r="467">
      <c r="D467">
        <f>IF($B467&lt;&gt;"Yes","",IF($C467="No","Yes",IF($C467="Yes","No","")))</f>
      </c>
      <c r="E467">
        <f>IF($A467="","",IF($A467="Neuron",IF(OR(AND($S467&lt;&gt;"",LOWER(TRIM($S467))&lt;&gt;"n/a",COUNTIF($S$2:$S$532,$S467)&gt;1),AND($T467&lt;&gt;"",LOWER(TRIM($T467))&lt;&gt;"n/a",COUNTIF($T$2:$T$532,$T467)&gt;1),AND($W467&lt;&gt;"",LOWER(TRIM($W467))&lt;&gt;"n/a",COUNTIF($W$2:$W$532,$W467)&gt;1)),"Yes","No"),IF($A467="Cybernet",IF(OR(AND($Y467&lt;&gt;"",LOWER(TRIM($Y467))&lt;&gt;"n/a",COUNTIF($Y$2:$Y$532,$Y467)&gt;1),AND($Z467&lt;&gt;"",LOWER(TRIM($Z467))&lt;&gt;"n/a",COUNTIF($Z$2:$Z$532,$Z467)&gt;1)),"Yes","No"),IF(AND($AL467&lt;&gt;"",LOWER(TRIM($AL467))&lt;&gt;"n/a",COUNTIF($AL$2:$AL$532,$AL467)&gt;1),"Yes","No"))))</f>
      </c>
      <c r="F467">
        <f>IF($B467&lt;&gt;"Yes","",
IF($A467="Neuron",
IF(OR(
AND($S467&lt;&gt;"",LOWER(TRIM($S467))&lt;&gt;"n/a",COUNTIFS($B$2:$B$532,"Yes",$A$2:$A$532,"Neuron",$S$2:$S$532,$S467)&gt;1),
AND($T467&lt;&gt;"",LOWER(TRIM($T467))&lt;&gt;"n/a",COUNTIFS($B$2:$B$532,"Yes",$A$2:$A$532,"Neuron",$T$2:$T$532,$T467)&gt;1),
AND($W467&lt;&gt;"",LOWER(TRIM($W467))&lt;&gt;"n/a",COUNTIFS($B$2:$B$532,"Yes",$A$2:$A$532,"Neuron",$W$2:$W$532,$W467)&gt;1)
),"Yes","No"),
IF($A467="Cybernet",
IF(OR(
AND($Y467&lt;&gt;"",LOWER(TRIM($Y467))&lt;&gt;"n/a",COUNTIFS($B$2:$B$532,"Yes",$A$2:$A$532,"Cybernet",$Y$2:$Y$532,$Y467)&gt;1),
AND($Z467&lt;&gt;"",LOWER(TRIM($Z467))&lt;&gt;"n/a",COUNTIFS($B$2:$B$532,"Yes",$A$2:$A$532,"Cybernet",$Z$2:$Z$532,$Z467)&gt;1)
),"Yes","No"),
IF(AND($AL467&lt;&gt;"",LOWER(TRIM($AL467))&lt;&gt;"n/a"),
IF(COUNTIFS($B$2:$B$532,"Yes",$A$2:$A$532,$A467,$AL$2:$AL$532,$AL467)&gt;1,"Yes","No"),
"No")
)
)
)</f>
      </c>
      <c r="BL467">
        <f>IF($T467="","",IF((IF(AND($AW467&lt;&gt;"Yes",$AW467&lt;&gt;"N/A"),"Power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",""))="","",LEFT(IF(AND($AW467&lt;&gt;"Yes",$AW467&lt;&gt;"N/A"),"Power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",""),LEN(IF(AND($AW467&lt;&gt;"Yes",$AW467&lt;&gt;"N/A"),"Power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",""))-2)))</f>
      </c>
      <c r="BM467">
        <f>IF($T467="","",IF($BL467="","Yes","Blocked"))</f>
      </c>
      <c r="BP467">
        <f>IF($BO467="","",IFERROR(VLOOKUP($BO467,'01_Warehouse_Ledger'!$A:$N,4,FALSE),""))</f>
      </c>
      <c r="BQ467">
        <f>IF($BO467="","",IFERROR(VLOOKUP($BO467,'01_Warehouse_Ledger'!$A:$N,5,FALSE),""))</f>
      </c>
      <c r="BR467">
        <f>IF($BO467="","",IFERROR(VLOOKUP($BO467,'01_Warehouse_Ledger'!$A:$N,13,FALSE),""))</f>
      </c>
    </row>
    <row r="468">
      <c r="D468">
        <f>IF($B468&lt;&gt;"Yes","",IF($C468="No","Yes",IF($C468="Yes","No","")))</f>
      </c>
      <c r="E468">
        <f>IF($A468="","",IF($A468="Neuron",IF(OR(AND($S468&lt;&gt;"",LOWER(TRIM($S468))&lt;&gt;"n/a",COUNTIF($S$2:$S$532,$S468)&gt;1),AND($T468&lt;&gt;"",LOWER(TRIM($T468))&lt;&gt;"n/a",COUNTIF($T$2:$T$532,$T468)&gt;1),AND($W468&lt;&gt;"",LOWER(TRIM($W468))&lt;&gt;"n/a",COUNTIF($W$2:$W$532,$W468)&gt;1)),"Yes","No"),IF($A468="Cybernet",IF(OR(AND($Y468&lt;&gt;"",LOWER(TRIM($Y468))&lt;&gt;"n/a",COUNTIF($Y$2:$Y$532,$Y468)&gt;1),AND($Z468&lt;&gt;"",LOWER(TRIM($Z468))&lt;&gt;"n/a",COUNTIF($Z$2:$Z$532,$Z468)&gt;1)),"Yes","No"),IF(AND($AL468&lt;&gt;"",LOWER(TRIM($AL468))&lt;&gt;"n/a",COUNTIF($AL$2:$AL$532,$AL468)&gt;1),"Yes","No"))))</f>
      </c>
      <c r="F468">
        <f>IF($B468&lt;&gt;"Yes","",
IF($A468="Neuron",
IF(OR(
AND($S468&lt;&gt;"",LOWER(TRIM($S468))&lt;&gt;"n/a",COUNTIFS($B$2:$B$532,"Yes",$A$2:$A$532,"Neuron",$S$2:$S$532,$S468)&gt;1),
AND($T468&lt;&gt;"",LOWER(TRIM($T468))&lt;&gt;"n/a",COUNTIFS($B$2:$B$532,"Yes",$A$2:$A$532,"Neuron",$T$2:$T$532,$T468)&gt;1),
AND($W468&lt;&gt;"",LOWER(TRIM($W468))&lt;&gt;"n/a",COUNTIFS($B$2:$B$532,"Yes",$A$2:$A$532,"Neuron",$W$2:$W$532,$W468)&gt;1)
),"Yes","No"),
IF($A468="Cybernet",
IF(OR(
AND($Y468&lt;&gt;"",LOWER(TRIM($Y468))&lt;&gt;"n/a",COUNTIFS($B$2:$B$532,"Yes",$A$2:$A$532,"Cybernet",$Y$2:$Y$532,$Y468)&gt;1),
AND($Z468&lt;&gt;"",LOWER(TRIM($Z468))&lt;&gt;"n/a",COUNTIFS($B$2:$B$532,"Yes",$A$2:$A$532,"Cybernet",$Z$2:$Z$532,$Z468)&gt;1)
),"Yes","No"),
IF(AND($AL468&lt;&gt;"",LOWER(TRIM($AL468))&lt;&gt;"n/a"),
IF(COUNTIFS($B$2:$B$532,"Yes",$A$2:$A$532,$A468,$AL$2:$AL$532,$AL468)&gt;1,"Yes","No"),
"No")
)
)
)</f>
      </c>
      <c r="BL468">
        <f>IF($T468="","",IF((IF(AND($AW468&lt;&gt;"Yes",$AW468&lt;&gt;"N/A"),"Power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",""))="","",LEFT(IF(AND($AW468&lt;&gt;"Yes",$AW468&lt;&gt;"N/A"),"Power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",""),LEN(IF(AND($AW468&lt;&gt;"Yes",$AW468&lt;&gt;"N/A"),"Power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",""))-2)))</f>
      </c>
      <c r="BM468">
        <f>IF($T468="","",IF($BL468="","Yes","Blocked"))</f>
      </c>
      <c r="BP468">
        <f>IF($BO468="","",IFERROR(VLOOKUP($BO468,'01_Warehouse_Ledger'!$A:$N,4,FALSE),""))</f>
      </c>
      <c r="BQ468">
        <f>IF($BO468="","",IFERROR(VLOOKUP($BO468,'01_Warehouse_Ledger'!$A:$N,5,FALSE),""))</f>
      </c>
      <c r="BR468">
        <f>IF($BO468="","",IFERROR(VLOOKUP($BO468,'01_Warehouse_Ledger'!$A:$N,13,FALSE),""))</f>
      </c>
    </row>
    <row r="469">
      <c r="D469">
        <f>IF($B469&lt;&gt;"Yes","",IF($C469="No","Yes",IF($C469="Yes","No","")))</f>
      </c>
      <c r="E469">
        <f>IF($A469="","",IF($A469="Neuron",IF(OR(AND($S469&lt;&gt;"",LOWER(TRIM($S469))&lt;&gt;"n/a",COUNTIF($S$2:$S$532,$S469)&gt;1),AND($T469&lt;&gt;"",LOWER(TRIM($T469))&lt;&gt;"n/a",COUNTIF($T$2:$T$532,$T469)&gt;1),AND($W469&lt;&gt;"",LOWER(TRIM($W469))&lt;&gt;"n/a",COUNTIF($W$2:$W$532,$W469)&gt;1)),"Yes","No"),IF($A469="Cybernet",IF(OR(AND($Y469&lt;&gt;"",LOWER(TRIM($Y469))&lt;&gt;"n/a",COUNTIF($Y$2:$Y$532,$Y469)&gt;1),AND($Z469&lt;&gt;"",LOWER(TRIM($Z469))&lt;&gt;"n/a",COUNTIF($Z$2:$Z$532,$Z469)&gt;1)),"Yes","No"),IF(AND($AL469&lt;&gt;"",LOWER(TRIM($AL469))&lt;&gt;"n/a",COUNTIF($AL$2:$AL$532,$AL469)&gt;1),"Yes","No"))))</f>
      </c>
      <c r="F469">
        <f>IF($B469&lt;&gt;"Yes","",
IF($A469="Neuron",
IF(OR(
AND($S469&lt;&gt;"",LOWER(TRIM($S469))&lt;&gt;"n/a",COUNTIFS($B$2:$B$532,"Yes",$A$2:$A$532,"Neuron",$S$2:$S$532,$S469)&gt;1),
AND($T469&lt;&gt;"",LOWER(TRIM($T469))&lt;&gt;"n/a",COUNTIFS($B$2:$B$532,"Yes",$A$2:$A$532,"Neuron",$T$2:$T$532,$T469)&gt;1),
AND($W469&lt;&gt;"",LOWER(TRIM($W469))&lt;&gt;"n/a",COUNTIFS($B$2:$B$532,"Yes",$A$2:$A$532,"Neuron",$W$2:$W$532,$W469)&gt;1)
),"Yes","No"),
IF($A469="Cybernet",
IF(OR(
AND($Y469&lt;&gt;"",LOWER(TRIM($Y469))&lt;&gt;"n/a",COUNTIFS($B$2:$B$532,"Yes",$A$2:$A$532,"Cybernet",$Y$2:$Y$532,$Y469)&gt;1),
AND($Z469&lt;&gt;"",LOWER(TRIM($Z469))&lt;&gt;"n/a",COUNTIFS($B$2:$B$532,"Yes",$A$2:$A$532,"Cybernet",$Z$2:$Z$532,$Z469)&gt;1)
),"Yes","No"),
IF(AND($AL469&lt;&gt;"",LOWER(TRIM($AL469))&lt;&gt;"n/a"),
IF(COUNTIFS($B$2:$B$532,"Yes",$A$2:$A$532,$A469,$AL$2:$AL$532,$AL469)&gt;1,"Yes","No"),
"No")
)
)
)</f>
      </c>
      <c r="BL469">
        <f>IF($T469="","",IF((IF(AND($AW469&lt;&gt;"Yes",$AW469&lt;&gt;"N/A"),"Power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",""))="","",LEFT(IF(AND($AW469&lt;&gt;"Yes",$AW469&lt;&gt;"N/A"),"Power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",""),LEN(IF(AND($AW469&lt;&gt;"Yes",$AW469&lt;&gt;"N/A"),"Power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",""))-2)))</f>
      </c>
      <c r="BM469">
        <f>IF($T469="","",IF($BL469="","Yes","Blocked"))</f>
      </c>
      <c r="BP469">
        <f>IF($BO469="","",IFERROR(VLOOKUP($BO469,'01_Warehouse_Ledger'!$A:$N,4,FALSE),""))</f>
      </c>
      <c r="BQ469">
        <f>IF($BO469="","",IFERROR(VLOOKUP($BO469,'01_Warehouse_Ledger'!$A:$N,5,FALSE),""))</f>
      </c>
      <c r="BR469">
        <f>IF($BO469="","",IFERROR(VLOOKUP($BO469,'01_Warehouse_Ledger'!$A:$N,13,FALSE),""))</f>
      </c>
    </row>
    <row r="470">
      <c r="D470">
        <f>IF($B470&lt;&gt;"Yes","",IF($C470="No","Yes",IF($C470="Yes","No","")))</f>
      </c>
      <c r="E470">
        <f>IF($A470="","",IF($A470="Neuron",IF(OR(AND($S470&lt;&gt;"",LOWER(TRIM($S470))&lt;&gt;"n/a",COUNTIF($S$2:$S$532,$S470)&gt;1),AND($T470&lt;&gt;"",LOWER(TRIM($T470))&lt;&gt;"n/a",COUNTIF($T$2:$T$532,$T470)&gt;1),AND($W470&lt;&gt;"",LOWER(TRIM($W470))&lt;&gt;"n/a",COUNTIF($W$2:$W$532,$W470)&gt;1)),"Yes","No"),IF($A470="Cybernet",IF(OR(AND($Y470&lt;&gt;"",LOWER(TRIM($Y470))&lt;&gt;"n/a",COUNTIF($Y$2:$Y$532,$Y470)&gt;1),AND($Z470&lt;&gt;"",LOWER(TRIM($Z470))&lt;&gt;"n/a",COUNTIF($Z$2:$Z$532,$Z470)&gt;1)),"Yes","No"),IF(AND($AL470&lt;&gt;"",LOWER(TRIM($AL470))&lt;&gt;"n/a",COUNTIF($AL$2:$AL$532,$AL470)&gt;1),"Yes","No"))))</f>
      </c>
      <c r="F470">
        <f>IF($B470&lt;&gt;"Yes","",
IF($A470="Neuron",
IF(OR(
AND($S470&lt;&gt;"",LOWER(TRIM($S470))&lt;&gt;"n/a",COUNTIFS($B$2:$B$532,"Yes",$A$2:$A$532,"Neuron",$S$2:$S$532,$S470)&gt;1),
AND($T470&lt;&gt;"",LOWER(TRIM($T470))&lt;&gt;"n/a",COUNTIFS($B$2:$B$532,"Yes",$A$2:$A$532,"Neuron",$T$2:$T$532,$T470)&gt;1),
AND($W470&lt;&gt;"",LOWER(TRIM($W470))&lt;&gt;"n/a",COUNTIFS($B$2:$B$532,"Yes",$A$2:$A$532,"Neuron",$W$2:$W$532,$W470)&gt;1)
),"Yes","No"),
IF($A470="Cybernet",
IF(OR(
AND($Y470&lt;&gt;"",LOWER(TRIM($Y470))&lt;&gt;"n/a",COUNTIFS($B$2:$B$532,"Yes",$A$2:$A$532,"Cybernet",$Y$2:$Y$532,$Y470)&gt;1),
AND($Z470&lt;&gt;"",LOWER(TRIM($Z470))&lt;&gt;"n/a",COUNTIFS($B$2:$B$532,"Yes",$A$2:$A$532,"Cybernet",$Z$2:$Z$532,$Z470)&gt;1)
),"Yes","No"),
IF(AND($AL470&lt;&gt;"",LOWER(TRIM($AL470))&lt;&gt;"n/a"),
IF(COUNTIFS($B$2:$B$532,"Yes",$A$2:$A$532,$A470,$AL$2:$AL$532,$AL470)&gt;1,"Yes","No"),
"No")
)
)
)</f>
      </c>
      <c r="BL470">
        <f>IF($T470="","",IF((IF(AND($AW470&lt;&gt;"Yes",$AW470&lt;&gt;"N/A"),"Power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",""))="","",LEFT(IF(AND($AW470&lt;&gt;"Yes",$AW470&lt;&gt;"N/A"),"Power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",""),LEN(IF(AND($AW470&lt;&gt;"Yes",$AW470&lt;&gt;"N/A"),"Power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",""))-2)))</f>
      </c>
      <c r="BM470">
        <f>IF($T470="","",IF($BL470="","Yes","Blocked"))</f>
      </c>
      <c r="BP470">
        <f>IF($BO470="","",IFERROR(VLOOKUP($BO470,'01_Warehouse_Ledger'!$A:$N,4,FALSE),""))</f>
      </c>
      <c r="BQ470">
        <f>IF($BO470="","",IFERROR(VLOOKUP($BO470,'01_Warehouse_Ledger'!$A:$N,5,FALSE),""))</f>
      </c>
      <c r="BR470">
        <f>IF($BO470="","",IFERROR(VLOOKUP($BO470,'01_Warehouse_Ledger'!$A:$N,13,FALSE),""))</f>
      </c>
    </row>
    <row r="471">
      <c r="D471">
        <f>IF($B471&lt;&gt;"Yes","",IF($C471="No","Yes",IF($C471="Yes","No","")))</f>
      </c>
      <c r="E471">
        <f>IF($A471="","",IF($A471="Neuron",IF(OR(AND($S471&lt;&gt;"",LOWER(TRIM($S471))&lt;&gt;"n/a",COUNTIF($S$2:$S$532,$S471)&gt;1),AND($T471&lt;&gt;"",LOWER(TRIM($T471))&lt;&gt;"n/a",COUNTIF($T$2:$T$532,$T471)&gt;1),AND($W471&lt;&gt;"",LOWER(TRIM($W471))&lt;&gt;"n/a",COUNTIF($W$2:$W$532,$W471)&gt;1)),"Yes","No"),IF($A471="Cybernet",IF(OR(AND($Y471&lt;&gt;"",LOWER(TRIM($Y471))&lt;&gt;"n/a",COUNTIF($Y$2:$Y$532,$Y471)&gt;1),AND($Z471&lt;&gt;"",LOWER(TRIM($Z471))&lt;&gt;"n/a",COUNTIF($Z$2:$Z$532,$Z471)&gt;1)),"Yes","No"),IF(AND($AL471&lt;&gt;"",LOWER(TRIM($AL471))&lt;&gt;"n/a",COUNTIF($AL$2:$AL$532,$AL471)&gt;1),"Yes","No"))))</f>
      </c>
      <c r="F471">
        <f>IF($B471&lt;&gt;"Yes","",
IF($A471="Neuron",
IF(OR(
AND($S471&lt;&gt;"",LOWER(TRIM($S471))&lt;&gt;"n/a",COUNTIFS($B$2:$B$532,"Yes",$A$2:$A$532,"Neuron",$S$2:$S$532,$S471)&gt;1),
AND($T471&lt;&gt;"",LOWER(TRIM($T471))&lt;&gt;"n/a",COUNTIFS($B$2:$B$532,"Yes",$A$2:$A$532,"Neuron",$T$2:$T$532,$T471)&gt;1),
AND($W471&lt;&gt;"",LOWER(TRIM($W471))&lt;&gt;"n/a",COUNTIFS($B$2:$B$532,"Yes",$A$2:$A$532,"Neuron",$W$2:$W$532,$W471)&gt;1)
),"Yes","No"),
IF($A471="Cybernet",
IF(OR(
AND($Y471&lt;&gt;"",LOWER(TRIM($Y471))&lt;&gt;"n/a",COUNTIFS($B$2:$B$532,"Yes",$A$2:$A$532,"Cybernet",$Y$2:$Y$532,$Y471)&gt;1),
AND($Z471&lt;&gt;"",LOWER(TRIM($Z471))&lt;&gt;"n/a",COUNTIFS($B$2:$B$532,"Yes",$A$2:$A$532,"Cybernet",$Z$2:$Z$532,$Z471)&gt;1)
),"Yes","No"),
IF(AND($AL471&lt;&gt;"",LOWER(TRIM($AL471))&lt;&gt;"n/a"),
IF(COUNTIFS($B$2:$B$532,"Yes",$A$2:$A$532,$A471,$AL$2:$AL$532,$AL471)&gt;1,"Yes","No"),
"No")
)
)
)</f>
      </c>
      <c r="BL471">
        <f>IF($T471="","",IF((IF(AND($AW471&lt;&gt;"Yes",$AW471&lt;&gt;"N/A"),"Power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",""))="","",LEFT(IF(AND($AW471&lt;&gt;"Yes",$AW471&lt;&gt;"N/A"),"Power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",""),LEN(IF(AND($AW471&lt;&gt;"Yes",$AW471&lt;&gt;"N/A"),"Power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",""))-2)))</f>
      </c>
      <c r="BM471">
        <f>IF($T471="","",IF($BL471="","Yes","Blocked"))</f>
      </c>
      <c r="BP471">
        <f>IF($BO471="","",IFERROR(VLOOKUP($BO471,'01_Warehouse_Ledger'!$A:$N,4,FALSE),""))</f>
      </c>
      <c r="BQ471">
        <f>IF($BO471="","",IFERROR(VLOOKUP($BO471,'01_Warehouse_Ledger'!$A:$N,5,FALSE),""))</f>
      </c>
      <c r="BR471">
        <f>IF($BO471="","",IFERROR(VLOOKUP($BO471,'01_Warehouse_Ledger'!$A:$N,13,FALSE),""))</f>
      </c>
    </row>
    <row r="472">
      <c r="D472">
        <f>IF($B472&lt;&gt;"Yes","",IF($C472="No","Yes",IF($C472="Yes","No","")))</f>
      </c>
      <c r="E472">
        <f>IF($A472="","",IF($A472="Neuron",IF(OR(AND($S472&lt;&gt;"",LOWER(TRIM($S472))&lt;&gt;"n/a",COUNTIF($S$2:$S$532,$S472)&gt;1),AND($T472&lt;&gt;"",LOWER(TRIM($T472))&lt;&gt;"n/a",COUNTIF($T$2:$T$532,$T472)&gt;1),AND($W472&lt;&gt;"",LOWER(TRIM($W472))&lt;&gt;"n/a",COUNTIF($W$2:$W$532,$W472)&gt;1)),"Yes","No"),IF($A472="Cybernet",IF(OR(AND($Y472&lt;&gt;"",LOWER(TRIM($Y472))&lt;&gt;"n/a",COUNTIF($Y$2:$Y$532,$Y472)&gt;1),AND($Z472&lt;&gt;"",LOWER(TRIM($Z472))&lt;&gt;"n/a",COUNTIF($Z$2:$Z$532,$Z472)&gt;1)),"Yes","No"),IF(AND($AL472&lt;&gt;"",LOWER(TRIM($AL472))&lt;&gt;"n/a",COUNTIF($AL$2:$AL$532,$AL472)&gt;1),"Yes","No"))))</f>
      </c>
      <c r="F472">
        <f>IF($B472&lt;&gt;"Yes","",
IF($A472="Neuron",
IF(OR(
AND($S472&lt;&gt;"",LOWER(TRIM($S472))&lt;&gt;"n/a",COUNTIFS($B$2:$B$532,"Yes",$A$2:$A$532,"Neuron",$S$2:$S$532,$S472)&gt;1),
AND($T472&lt;&gt;"",LOWER(TRIM($T472))&lt;&gt;"n/a",COUNTIFS($B$2:$B$532,"Yes",$A$2:$A$532,"Neuron",$T$2:$T$532,$T472)&gt;1),
AND($W472&lt;&gt;"",LOWER(TRIM($W472))&lt;&gt;"n/a",COUNTIFS($B$2:$B$532,"Yes",$A$2:$A$532,"Neuron",$W$2:$W$532,$W472)&gt;1)
),"Yes","No"),
IF($A472="Cybernet",
IF(OR(
AND($Y472&lt;&gt;"",LOWER(TRIM($Y472))&lt;&gt;"n/a",COUNTIFS($B$2:$B$532,"Yes",$A$2:$A$532,"Cybernet",$Y$2:$Y$532,$Y472)&gt;1),
AND($Z472&lt;&gt;"",LOWER(TRIM($Z472))&lt;&gt;"n/a",COUNTIFS($B$2:$B$532,"Yes",$A$2:$A$532,"Cybernet",$Z$2:$Z$532,$Z472)&gt;1)
),"Yes","No"),
IF(AND($AL472&lt;&gt;"",LOWER(TRIM($AL472))&lt;&gt;"n/a"),
IF(COUNTIFS($B$2:$B$532,"Yes",$A$2:$A$532,$A472,$AL$2:$AL$532,$AL472)&gt;1,"Yes","No"),
"No")
)
)
)</f>
      </c>
      <c r="BL472">
        <f>IF($T472="","",IF((IF(AND($AW472&lt;&gt;"Yes",$AW472&lt;&gt;"N/A"),"Power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",""))="","",LEFT(IF(AND($AW472&lt;&gt;"Yes",$AW472&lt;&gt;"N/A"),"Power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",""),LEN(IF(AND($AW472&lt;&gt;"Yes",$AW472&lt;&gt;"N/A"),"Power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",""))-2)))</f>
      </c>
      <c r="BM472">
        <f>IF($T472="","",IF($BL472="","Yes","Blocked"))</f>
      </c>
      <c r="BP472">
        <f>IF($BO472="","",IFERROR(VLOOKUP($BO472,'01_Warehouse_Ledger'!$A:$N,4,FALSE),""))</f>
      </c>
      <c r="BQ472">
        <f>IF($BO472="","",IFERROR(VLOOKUP($BO472,'01_Warehouse_Ledger'!$A:$N,5,FALSE),""))</f>
      </c>
      <c r="BR472">
        <f>IF($BO472="","",IFERROR(VLOOKUP($BO472,'01_Warehouse_Ledger'!$A:$N,13,FALSE),""))</f>
      </c>
    </row>
    <row r="473">
      <c r="D473">
        <f>IF($B473&lt;&gt;"Yes","",IF($C473="No","Yes",IF($C473="Yes","No","")))</f>
      </c>
      <c r="E473">
        <f>IF($A473="","",IF($A473="Neuron",IF(OR(AND($S473&lt;&gt;"",LOWER(TRIM($S473))&lt;&gt;"n/a",COUNTIF($S$2:$S$532,$S473)&gt;1),AND($T473&lt;&gt;"",LOWER(TRIM($T473))&lt;&gt;"n/a",COUNTIF($T$2:$T$532,$T473)&gt;1),AND($W473&lt;&gt;"",LOWER(TRIM($W473))&lt;&gt;"n/a",COUNTIF($W$2:$W$532,$W473)&gt;1)),"Yes","No"),IF($A473="Cybernet",IF(OR(AND($Y473&lt;&gt;"",LOWER(TRIM($Y473))&lt;&gt;"n/a",COUNTIF($Y$2:$Y$532,$Y473)&gt;1),AND($Z473&lt;&gt;"",LOWER(TRIM($Z473))&lt;&gt;"n/a",COUNTIF($Z$2:$Z$532,$Z473)&gt;1)),"Yes","No"),IF(AND($AL473&lt;&gt;"",LOWER(TRIM($AL473))&lt;&gt;"n/a",COUNTIF($AL$2:$AL$532,$AL473)&gt;1),"Yes","No"))))</f>
      </c>
      <c r="F473">
        <f>IF($B473&lt;&gt;"Yes","",
IF($A473="Neuron",
IF(OR(
AND($S473&lt;&gt;"",LOWER(TRIM($S473))&lt;&gt;"n/a",COUNTIFS($B$2:$B$532,"Yes",$A$2:$A$532,"Neuron",$S$2:$S$532,$S473)&gt;1),
AND($T473&lt;&gt;"",LOWER(TRIM($T473))&lt;&gt;"n/a",COUNTIFS($B$2:$B$532,"Yes",$A$2:$A$532,"Neuron",$T$2:$T$532,$T473)&gt;1),
AND($W473&lt;&gt;"",LOWER(TRIM($W473))&lt;&gt;"n/a",COUNTIFS($B$2:$B$532,"Yes",$A$2:$A$532,"Neuron",$W$2:$W$532,$W473)&gt;1)
),"Yes","No"),
IF($A473="Cybernet",
IF(OR(
AND($Y473&lt;&gt;"",LOWER(TRIM($Y473))&lt;&gt;"n/a",COUNTIFS($B$2:$B$532,"Yes",$A$2:$A$532,"Cybernet",$Y$2:$Y$532,$Y473)&gt;1),
AND($Z473&lt;&gt;"",LOWER(TRIM($Z473))&lt;&gt;"n/a",COUNTIFS($B$2:$B$532,"Yes",$A$2:$A$532,"Cybernet",$Z$2:$Z$532,$Z473)&gt;1)
),"Yes","No"),
IF(AND($AL473&lt;&gt;"",LOWER(TRIM($AL473))&lt;&gt;"n/a"),
IF(COUNTIFS($B$2:$B$532,"Yes",$A$2:$A$532,$A473,$AL$2:$AL$532,$AL473)&gt;1,"Yes","No"),
"No")
)
)
)</f>
      </c>
      <c r="BL473">
        <f>IF($T473="","",IF((IF(AND($AW473&lt;&gt;"Yes",$AW473&lt;&gt;"N/A"),"Power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",""))="","",LEFT(IF(AND($AW473&lt;&gt;"Yes",$AW473&lt;&gt;"N/A"),"Power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",""),LEN(IF(AND($AW473&lt;&gt;"Yes",$AW473&lt;&gt;"N/A"),"Power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",""))-2)))</f>
      </c>
      <c r="BM473">
        <f>IF($T473="","",IF($BL473="","Yes","Blocked"))</f>
      </c>
      <c r="BP473">
        <f>IF($BO473="","",IFERROR(VLOOKUP($BO473,'01_Warehouse_Ledger'!$A:$N,4,FALSE),""))</f>
      </c>
      <c r="BQ473">
        <f>IF($BO473="","",IFERROR(VLOOKUP($BO473,'01_Warehouse_Ledger'!$A:$N,5,FALSE),""))</f>
      </c>
      <c r="BR473">
        <f>IF($BO473="","",IFERROR(VLOOKUP($BO473,'01_Warehouse_Ledger'!$A:$N,13,FALSE),""))</f>
      </c>
    </row>
    <row r="474">
      <c r="D474">
        <f>IF($B474&lt;&gt;"Yes","",IF($C474="No","Yes",IF($C474="Yes","No","")))</f>
      </c>
      <c r="E474">
        <f>IF($A474="","",IF($A474="Neuron",IF(OR(AND($S474&lt;&gt;"",LOWER(TRIM($S474))&lt;&gt;"n/a",COUNTIF($S$2:$S$532,$S474)&gt;1),AND($T474&lt;&gt;"",LOWER(TRIM($T474))&lt;&gt;"n/a",COUNTIF($T$2:$T$532,$T474)&gt;1),AND($W474&lt;&gt;"",LOWER(TRIM($W474))&lt;&gt;"n/a",COUNTIF($W$2:$W$532,$W474)&gt;1)),"Yes","No"),IF($A474="Cybernet",IF(OR(AND($Y474&lt;&gt;"",LOWER(TRIM($Y474))&lt;&gt;"n/a",COUNTIF($Y$2:$Y$532,$Y474)&gt;1),AND($Z474&lt;&gt;"",LOWER(TRIM($Z474))&lt;&gt;"n/a",COUNTIF($Z$2:$Z$532,$Z474)&gt;1)),"Yes","No"),IF(AND($AL474&lt;&gt;"",LOWER(TRIM($AL474))&lt;&gt;"n/a",COUNTIF($AL$2:$AL$532,$AL474)&gt;1),"Yes","No"))))</f>
      </c>
      <c r="F474">
        <f>IF($B474&lt;&gt;"Yes","",
IF($A474="Neuron",
IF(OR(
AND($S474&lt;&gt;"",LOWER(TRIM($S474))&lt;&gt;"n/a",COUNTIFS($B$2:$B$532,"Yes",$A$2:$A$532,"Neuron",$S$2:$S$532,$S474)&gt;1),
AND($T474&lt;&gt;"",LOWER(TRIM($T474))&lt;&gt;"n/a",COUNTIFS($B$2:$B$532,"Yes",$A$2:$A$532,"Neuron",$T$2:$T$532,$T474)&gt;1),
AND($W474&lt;&gt;"",LOWER(TRIM($W474))&lt;&gt;"n/a",COUNTIFS($B$2:$B$532,"Yes",$A$2:$A$532,"Neuron",$W$2:$W$532,$W474)&gt;1)
),"Yes","No"),
IF($A474="Cybernet",
IF(OR(
AND($Y474&lt;&gt;"",LOWER(TRIM($Y474))&lt;&gt;"n/a",COUNTIFS($B$2:$B$532,"Yes",$A$2:$A$532,"Cybernet",$Y$2:$Y$532,$Y474)&gt;1),
AND($Z474&lt;&gt;"",LOWER(TRIM($Z474))&lt;&gt;"n/a",COUNTIFS($B$2:$B$532,"Yes",$A$2:$A$532,"Cybernet",$Z$2:$Z$532,$Z474)&gt;1)
),"Yes","No"),
IF(AND($AL474&lt;&gt;"",LOWER(TRIM($AL474))&lt;&gt;"n/a"),
IF(COUNTIFS($B$2:$B$532,"Yes",$A$2:$A$532,$A474,$AL$2:$AL$532,$AL474)&gt;1,"Yes","No"),
"No")
)
)
)</f>
      </c>
      <c r="BL474">
        <f>IF($T474="","",IF((IF(AND($AW474&lt;&gt;"Yes",$AW474&lt;&gt;"N/A"),"Power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",""))="","",LEFT(IF(AND($AW474&lt;&gt;"Yes",$AW474&lt;&gt;"N/A"),"Power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",""),LEN(IF(AND($AW474&lt;&gt;"Yes",$AW474&lt;&gt;"N/A"),"Power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",""))-2)))</f>
      </c>
      <c r="BM474">
        <f>IF($T474="","",IF($BL474="","Yes","Blocked"))</f>
      </c>
      <c r="BP474">
        <f>IF($BO474="","",IFERROR(VLOOKUP($BO474,'01_Warehouse_Ledger'!$A:$N,4,FALSE),""))</f>
      </c>
      <c r="BQ474">
        <f>IF($BO474="","",IFERROR(VLOOKUP($BO474,'01_Warehouse_Ledger'!$A:$N,5,FALSE),""))</f>
      </c>
      <c r="BR474">
        <f>IF($BO474="","",IFERROR(VLOOKUP($BO474,'01_Warehouse_Ledger'!$A:$N,13,FALSE),""))</f>
      </c>
    </row>
    <row r="475">
      <c r="D475">
        <f>IF($B475&lt;&gt;"Yes","",IF($C475="No","Yes",IF($C475="Yes","No","")))</f>
      </c>
      <c r="E475">
        <f>IF($A475="","",IF($A475="Neuron",IF(OR(AND($S475&lt;&gt;"",LOWER(TRIM($S475))&lt;&gt;"n/a",COUNTIF($S$2:$S$532,$S475)&gt;1),AND($T475&lt;&gt;"",LOWER(TRIM($T475))&lt;&gt;"n/a",COUNTIF($T$2:$T$532,$T475)&gt;1),AND($W475&lt;&gt;"",LOWER(TRIM($W475))&lt;&gt;"n/a",COUNTIF($W$2:$W$532,$W475)&gt;1)),"Yes","No"),IF($A475="Cybernet",IF(OR(AND($Y475&lt;&gt;"",LOWER(TRIM($Y475))&lt;&gt;"n/a",COUNTIF($Y$2:$Y$532,$Y475)&gt;1),AND($Z475&lt;&gt;"",LOWER(TRIM($Z475))&lt;&gt;"n/a",COUNTIF($Z$2:$Z$532,$Z475)&gt;1)),"Yes","No"),IF(AND($AL475&lt;&gt;"",LOWER(TRIM($AL475))&lt;&gt;"n/a",COUNTIF($AL$2:$AL$532,$AL475)&gt;1),"Yes","No"))))</f>
      </c>
      <c r="F475">
        <f>IF($B475&lt;&gt;"Yes","",
IF($A475="Neuron",
IF(OR(
AND($S475&lt;&gt;"",LOWER(TRIM($S475))&lt;&gt;"n/a",COUNTIFS($B$2:$B$532,"Yes",$A$2:$A$532,"Neuron",$S$2:$S$532,$S475)&gt;1),
AND($T475&lt;&gt;"",LOWER(TRIM($T475))&lt;&gt;"n/a",COUNTIFS($B$2:$B$532,"Yes",$A$2:$A$532,"Neuron",$T$2:$T$532,$T475)&gt;1),
AND($W475&lt;&gt;"",LOWER(TRIM($W475))&lt;&gt;"n/a",COUNTIFS($B$2:$B$532,"Yes",$A$2:$A$532,"Neuron",$W$2:$W$532,$W475)&gt;1)
),"Yes","No"),
IF($A475="Cybernet",
IF(OR(
AND($Y475&lt;&gt;"",LOWER(TRIM($Y475))&lt;&gt;"n/a",COUNTIFS($B$2:$B$532,"Yes",$A$2:$A$532,"Cybernet",$Y$2:$Y$532,$Y475)&gt;1),
AND($Z475&lt;&gt;"",LOWER(TRIM($Z475))&lt;&gt;"n/a",COUNTIFS($B$2:$B$532,"Yes",$A$2:$A$532,"Cybernet",$Z$2:$Z$532,$Z475)&gt;1)
),"Yes","No"),
IF(AND($AL475&lt;&gt;"",LOWER(TRIM($AL475))&lt;&gt;"n/a"),
IF(COUNTIFS($B$2:$B$532,"Yes",$A$2:$A$532,$A475,$AL$2:$AL$532,$AL475)&gt;1,"Yes","No"),
"No")
)
)
)</f>
      </c>
      <c r="BL475">
        <f>IF($T475="","",IF((IF(AND($AW475&lt;&gt;"Yes",$AW475&lt;&gt;"N/A"),"Power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",""))="","",LEFT(IF(AND($AW475&lt;&gt;"Yes",$AW475&lt;&gt;"N/A"),"Power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",""),LEN(IF(AND($AW475&lt;&gt;"Yes",$AW475&lt;&gt;"N/A"),"Power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",""))-2)))</f>
      </c>
      <c r="BM475">
        <f>IF($T475="","",IF($BL475="","Yes","Blocked"))</f>
      </c>
      <c r="BP475">
        <f>IF($BO475="","",IFERROR(VLOOKUP($BO475,'01_Warehouse_Ledger'!$A:$N,4,FALSE),""))</f>
      </c>
      <c r="BQ475">
        <f>IF($BO475="","",IFERROR(VLOOKUP($BO475,'01_Warehouse_Ledger'!$A:$N,5,FALSE),""))</f>
      </c>
      <c r="BR475">
        <f>IF($BO475="","",IFERROR(VLOOKUP($BO475,'01_Warehouse_Ledger'!$A:$N,13,FALSE),""))</f>
      </c>
    </row>
    <row r="476">
      <c r="D476">
        <f>IF($B476&lt;&gt;"Yes","",IF($C476="No","Yes",IF($C476="Yes","No","")))</f>
      </c>
      <c r="E476">
        <f>IF($A476="","",IF($A476="Neuron",IF(OR(AND($S476&lt;&gt;"",LOWER(TRIM($S476))&lt;&gt;"n/a",COUNTIF($S$2:$S$532,$S476)&gt;1),AND($T476&lt;&gt;"",LOWER(TRIM($T476))&lt;&gt;"n/a",COUNTIF($T$2:$T$532,$T476)&gt;1),AND($W476&lt;&gt;"",LOWER(TRIM($W476))&lt;&gt;"n/a",COUNTIF($W$2:$W$532,$W476)&gt;1)),"Yes","No"),IF($A476="Cybernet",IF(OR(AND($Y476&lt;&gt;"",LOWER(TRIM($Y476))&lt;&gt;"n/a",COUNTIF($Y$2:$Y$532,$Y476)&gt;1),AND($Z476&lt;&gt;"",LOWER(TRIM($Z476))&lt;&gt;"n/a",COUNTIF($Z$2:$Z$532,$Z476)&gt;1)),"Yes","No"),IF(AND($AL476&lt;&gt;"",LOWER(TRIM($AL476))&lt;&gt;"n/a",COUNTIF($AL$2:$AL$532,$AL476)&gt;1),"Yes","No"))))</f>
      </c>
      <c r="F476">
        <f>IF($B476&lt;&gt;"Yes","",
IF($A476="Neuron",
IF(OR(
AND($S476&lt;&gt;"",LOWER(TRIM($S476))&lt;&gt;"n/a",COUNTIFS($B$2:$B$532,"Yes",$A$2:$A$532,"Neuron",$S$2:$S$532,$S476)&gt;1),
AND($T476&lt;&gt;"",LOWER(TRIM($T476))&lt;&gt;"n/a",COUNTIFS($B$2:$B$532,"Yes",$A$2:$A$532,"Neuron",$T$2:$T$532,$T476)&gt;1),
AND($W476&lt;&gt;"",LOWER(TRIM($W476))&lt;&gt;"n/a",COUNTIFS($B$2:$B$532,"Yes",$A$2:$A$532,"Neuron",$W$2:$W$532,$W476)&gt;1)
),"Yes","No"),
IF($A476="Cybernet",
IF(OR(
AND($Y476&lt;&gt;"",LOWER(TRIM($Y476))&lt;&gt;"n/a",COUNTIFS($B$2:$B$532,"Yes",$A$2:$A$532,"Cybernet",$Y$2:$Y$532,$Y476)&gt;1),
AND($Z476&lt;&gt;"",LOWER(TRIM($Z476))&lt;&gt;"n/a",COUNTIFS($B$2:$B$532,"Yes",$A$2:$A$532,"Cybernet",$Z$2:$Z$532,$Z476)&gt;1)
),"Yes","No"),
IF(AND($AL476&lt;&gt;"",LOWER(TRIM($AL476))&lt;&gt;"n/a"),
IF(COUNTIFS($B$2:$B$532,"Yes",$A$2:$A$532,$A476,$AL$2:$AL$532,$AL476)&gt;1,"Yes","No"),
"No")
)
)
)</f>
      </c>
      <c r="BL476">
        <f>IF($T476="","",IF((IF(AND($AW476&lt;&gt;"Yes",$AW476&lt;&gt;"N/A"),"Power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",""))="","",LEFT(IF(AND($AW476&lt;&gt;"Yes",$AW476&lt;&gt;"N/A"),"Power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",""),LEN(IF(AND($AW476&lt;&gt;"Yes",$AW476&lt;&gt;"N/A"),"Power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",""))-2)))</f>
      </c>
      <c r="BM476">
        <f>IF($T476="","",IF($BL476="","Yes","Blocked"))</f>
      </c>
      <c r="BP476">
        <f>IF($BO476="","",IFERROR(VLOOKUP($BO476,'01_Warehouse_Ledger'!$A:$N,4,FALSE),""))</f>
      </c>
      <c r="BQ476">
        <f>IF($BO476="","",IFERROR(VLOOKUP($BO476,'01_Warehouse_Ledger'!$A:$N,5,FALSE),""))</f>
      </c>
      <c r="BR476">
        <f>IF($BO476="","",IFERROR(VLOOKUP($BO476,'01_Warehouse_Ledger'!$A:$N,13,FALSE),""))</f>
      </c>
    </row>
    <row r="477">
      <c r="D477">
        <f>IF($B477&lt;&gt;"Yes","",IF($C477="No","Yes",IF($C477="Yes","No","")))</f>
      </c>
      <c r="E477">
        <f>IF($A477="","",IF($A477="Neuron",IF(OR(AND($S477&lt;&gt;"",LOWER(TRIM($S477))&lt;&gt;"n/a",COUNTIF($S$2:$S$532,$S477)&gt;1),AND($T477&lt;&gt;"",LOWER(TRIM($T477))&lt;&gt;"n/a",COUNTIF($T$2:$T$532,$T477)&gt;1),AND($W477&lt;&gt;"",LOWER(TRIM($W477))&lt;&gt;"n/a",COUNTIF($W$2:$W$532,$W477)&gt;1)),"Yes","No"),IF($A477="Cybernet",IF(OR(AND($Y477&lt;&gt;"",LOWER(TRIM($Y477))&lt;&gt;"n/a",COUNTIF($Y$2:$Y$532,$Y477)&gt;1),AND($Z477&lt;&gt;"",LOWER(TRIM($Z477))&lt;&gt;"n/a",COUNTIF($Z$2:$Z$532,$Z477)&gt;1)),"Yes","No"),IF(AND($AL477&lt;&gt;"",LOWER(TRIM($AL477))&lt;&gt;"n/a",COUNTIF($AL$2:$AL$532,$AL477)&gt;1),"Yes","No"))))</f>
      </c>
      <c r="F477">
        <f>IF($B477&lt;&gt;"Yes","",
IF($A477="Neuron",
IF(OR(
AND($S477&lt;&gt;"",LOWER(TRIM($S477))&lt;&gt;"n/a",COUNTIFS($B$2:$B$532,"Yes",$A$2:$A$532,"Neuron",$S$2:$S$532,$S477)&gt;1),
AND($T477&lt;&gt;"",LOWER(TRIM($T477))&lt;&gt;"n/a",COUNTIFS($B$2:$B$532,"Yes",$A$2:$A$532,"Neuron",$T$2:$T$532,$T477)&gt;1),
AND($W477&lt;&gt;"",LOWER(TRIM($W477))&lt;&gt;"n/a",COUNTIFS($B$2:$B$532,"Yes",$A$2:$A$532,"Neuron",$W$2:$W$532,$W477)&gt;1)
),"Yes","No"),
IF($A477="Cybernet",
IF(OR(
AND($Y477&lt;&gt;"",LOWER(TRIM($Y477))&lt;&gt;"n/a",COUNTIFS($B$2:$B$532,"Yes",$A$2:$A$532,"Cybernet",$Y$2:$Y$532,$Y477)&gt;1),
AND($Z477&lt;&gt;"",LOWER(TRIM($Z477))&lt;&gt;"n/a",COUNTIFS($B$2:$B$532,"Yes",$A$2:$A$532,"Cybernet",$Z$2:$Z$532,$Z477)&gt;1)
),"Yes","No"),
IF(AND($AL477&lt;&gt;"",LOWER(TRIM($AL477))&lt;&gt;"n/a"),
IF(COUNTIFS($B$2:$B$532,"Yes",$A$2:$A$532,$A477,$AL$2:$AL$532,$AL477)&gt;1,"Yes","No"),
"No")
)
)
)</f>
      </c>
      <c r="BL477">
        <f>IF($T477="","",IF((IF(AND($AW477&lt;&gt;"Yes",$AW477&lt;&gt;"N/A"),"Power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",""))="","",LEFT(IF(AND($AW477&lt;&gt;"Yes",$AW477&lt;&gt;"N/A"),"Power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",""),LEN(IF(AND($AW477&lt;&gt;"Yes",$AW477&lt;&gt;"N/A"),"Power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",""))-2)))</f>
      </c>
      <c r="BM477">
        <f>IF($T477="","",IF($BL477="","Yes","Blocked"))</f>
      </c>
      <c r="BP477">
        <f>IF($BO477="","",IFERROR(VLOOKUP($BO477,'01_Warehouse_Ledger'!$A:$N,4,FALSE),""))</f>
      </c>
      <c r="BQ477">
        <f>IF($BO477="","",IFERROR(VLOOKUP($BO477,'01_Warehouse_Ledger'!$A:$N,5,FALSE),""))</f>
      </c>
      <c r="BR477">
        <f>IF($BO477="","",IFERROR(VLOOKUP($BO477,'01_Warehouse_Ledger'!$A:$N,13,FALSE),""))</f>
      </c>
    </row>
    <row r="478">
      <c r="D478">
        <f>IF($B478&lt;&gt;"Yes","",IF($C478="No","Yes",IF($C478="Yes","No","")))</f>
      </c>
      <c r="E478">
        <f>IF($A478="","",IF($A478="Neuron",IF(OR(AND($S478&lt;&gt;"",LOWER(TRIM($S478))&lt;&gt;"n/a",COUNTIF($S$2:$S$532,$S478)&gt;1),AND($T478&lt;&gt;"",LOWER(TRIM($T478))&lt;&gt;"n/a",COUNTIF($T$2:$T$532,$T478)&gt;1),AND($W478&lt;&gt;"",LOWER(TRIM($W478))&lt;&gt;"n/a",COUNTIF($W$2:$W$532,$W478)&gt;1)),"Yes","No"),IF($A478="Cybernet",IF(OR(AND($Y478&lt;&gt;"",LOWER(TRIM($Y478))&lt;&gt;"n/a",COUNTIF($Y$2:$Y$532,$Y478)&gt;1),AND($Z478&lt;&gt;"",LOWER(TRIM($Z478))&lt;&gt;"n/a",COUNTIF($Z$2:$Z$532,$Z478)&gt;1)),"Yes","No"),IF(AND($AL478&lt;&gt;"",LOWER(TRIM($AL478))&lt;&gt;"n/a",COUNTIF($AL$2:$AL$532,$AL478)&gt;1),"Yes","No"))))</f>
      </c>
      <c r="F478">
        <f>IF($B478&lt;&gt;"Yes","",
IF($A478="Neuron",
IF(OR(
AND($S478&lt;&gt;"",LOWER(TRIM($S478))&lt;&gt;"n/a",COUNTIFS($B$2:$B$532,"Yes",$A$2:$A$532,"Neuron",$S$2:$S$532,$S478)&gt;1),
AND($T478&lt;&gt;"",LOWER(TRIM($T478))&lt;&gt;"n/a",COUNTIFS($B$2:$B$532,"Yes",$A$2:$A$532,"Neuron",$T$2:$T$532,$T478)&gt;1),
AND($W478&lt;&gt;"",LOWER(TRIM($W478))&lt;&gt;"n/a",COUNTIFS($B$2:$B$532,"Yes",$A$2:$A$532,"Neuron",$W$2:$W$532,$W478)&gt;1)
),"Yes","No"),
IF($A478="Cybernet",
IF(OR(
AND($Y478&lt;&gt;"",LOWER(TRIM($Y478))&lt;&gt;"n/a",COUNTIFS($B$2:$B$532,"Yes",$A$2:$A$532,"Cybernet",$Y$2:$Y$532,$Y478)&gt;1),
AND($Z478&lt;&gt;"",LOWER(TRIM($Z478))&lt;&gt;"n/a",COUNTIFS($B$2:$B$532,"Yes",$A$2:$A$532,"Cybernet",$Z$2:$Z$532,$Z478)&gt;1)
),"Yes","No"),
IF(AND($AL478&lt;&gt;"",LOWER(TRIM($AL478))&lt;&gt;"n/a"),
IF(COUNTIFS($B$2:$B$532,"Yes",$A$2:$A$532,$A478,$AL$2:$AL$532,$AL478)&gt;1,"Yes","No"),
"No")
)
)
)</f>
      </c>
      <c r="BL478">
        <f>IF($T478="","",IF((IF(AND($AW478&lt;&gt;"Yes",$AW478&lt;&gt;"N/A"),"Power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",""))="","",LEFT(IF(AND($AW478&lt;&gt;"Yes",$AW478&lt;&gt;"N/A"),"Power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",""),LEN(IF(AND($AW478&lt;&gt;"Yes",$AW478&lt;&gt;"N/A"),"Power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",""))-2)))</f>
      </c>
      <c r="BM478">
        <f>IF($T478="","",IF($BL478="","Yes","Blocked"))</f>
      </c>
      <c r="BP478">
        <f>IF($BO478="","",IFERROR(VLOOKUP($BO478,'01_Warehouse_Ledger'!$A:$N,4,FALSE),""))</f>
      </c>
      <c r="BQ478">
        <f>IF($BO478="","",IFERROR(VLOOKUP($BO478,'01_Warehouse_Ledger'!$A:$N,5,FALSE),""))</f>
      </c>
      <c r="BR478">
        <f>IF($BO478="","",IFERROR(VLOOKUP($BO478,'01_Warehouse_Ledger'!$A:$N,13,FALSE),""))</f>
      </c>
    </row>
    <row r="479">
      <c r="D479">
        <f>IF($B479&lt;&gt;"Yes","",IF($C479="No","Yes",IF($C479="Yes","No","")))</f>
      </c>
      <c r="E479">
        <f>IF($A479="","",IF($A479="Neuron",IF(OR(AND($S479&lt;&gt;"",LOWER(TRIM($S479))&lt;&gt;"n/a",COUNTIF($S$2:$S$532,$S479)&gt;1),AND($T479&lt;&gt;"",LOWER(TRIM($T479))&lt;&gt;"n/a",COUNTIF($T$2:$T$532,$T479)&gt;1),AND($W479&lt;&gt;"",LOWER(TRIM($W479))&lt;&gt;"n/a",COUNTIF($W$2:$W$532,$W479)&gt;1)),"Yes","No"),IF($A479="Cybernet",IF(OR(AND($Y479&lt;&gt;"",LOWER(TRIM($Y479))&lt;&gt;"n/a",COUNTIF($Y$2:$Y$532,$Y479)&gt;1),AND($Z479&lt;&gt;"",LOWER(TRIM($Z479))&lt;&gt;"n/a",COUNTIF($Z$2:$Z$532,$Z479)&gt;1)),"Yes","No"),IF(AND($AL479&lt;&gt;"",LOWER(TRIM($AL479))&lt;&gt;"n/a",COUNTIF($AL$2:$AL$532,$AL479)&gt;1),"Yes","No"))))</f>
      </c>
      <c r="F479">
        <f>IF($B479&lt;&gt;"Yes","",
IF($A479="Neuron",
IF(OR(
AND($S479&lt;&gt;"",LOWER(TRIM($S479))&lt;&gt;"n/a",COUNTIFS($B$2:$B$532,"Yes",$A$2:$A$532,"Neuron",$S$2:$S$532,$S479)&gt;1),
AND($T479&lt;&gt;"",LOWER(TRIM($T479))&lt;&gt;"n/a",COUNTIFS($B$2:$B$532,"Yes",$A$2:$A$532,"Neuron",$T$2:$T$532,$T479)&gt;1),
AND($W479&lt;&gt;"",LOWER(TRIM($W479))&lt;&gt;"n/a",COUNTIFS($B$2:$B$532,"Yes",$A$2:$A$532,"Neuron",$W$2:$W$532,$W479)&gt;1)
),"Yes","No"),
IF($A479="Cybernet",
IF(OR(
AND($Y479&lt;&gt;"",LOWER(TRIM($Y479))&lt;&gt;"n/a",COUNTIFS($B$2:$B$532,"Yes",$A$2:$A$532,"Cybernet",$Y$2:$Y$532,$Y479)&gt;1),
AND($Z479&lt;&gt;"",LOWER(TRIM($Z479))&lt;&gt;"n/a",COUNTIFS($B$2:$B$532,"Yes",$A$2:$A$532,"Cybernet",$Z$2:$Z$532,$Z479)&gt;1)
),"Yes","No"),
IF(AND($AL479&lt;&gt;"",LOWER(TRIM($AL479))&lt;&gt;"n/a"),
IF(COUNTIFS($B$2:$B$532,"Yes",$A$2:$A$532,$A479,$AL$2:$AL$532,$AL479)&gt;1,"Yes","No"),
"No")
)
)
)</f>
      </c>
      <c r="BL479">
        <f>IF($T479="","",IF((IF(AND($AW479&lt;&gt;"Yes",$AW479&lt;&gt;"N/A"),"Power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",""))="","",LEFT(IF(AND($AW479&lt;&gt;"Yes",$AW479&lt;&gt;"N/A"),"Power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",""),LEN(IF(AND($AW479&lt;&gt;"Yes",$AW479&lt;&gt;"N/A"),"Power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",""))-2)))</f>
      </c>
      <c r="BM479">
        <f>IF($T479="","",IF($BL479="","Yes","Blocked"))</f>
      </c>
      <c r="BP479">
        <f>IF($BO479="","",IFERROR(VLOOKUP($BO479,'01_Warehouse_Ledger'!$A:$N,4,FALSE),""))</f>
      </c>
      <c r="BQ479">
        <f>IF($BO479="","",IFERROR(VLOOKUP($BO479,'01_Warehouse_Ledger'!$A:$N,5,FALSE),""))</f>
      </c>
      <c r="BR479">
        <f>IF($BO479="","",IFERROR(VLOOKUP($BO479,'01_Warehouse_Ledger'!$A:$N,13,FALSE),""))</f>
      </c>
    </row>
    <row r="480">
      <c r="D480">
        <f>IF($B480&lt;&gt;"Yes","",IF($C480="No","Yes",IF($C480="Yes","No","")))</f>
      </c>
      <c r="E480">
        <f>IF($A480="","",IF($A480="Neuron",IF(OR(AND($S480&lt;&gt;"",LOWER(TRIM($S480))&lt;&gt;"n/a",COUNTIF($S$2:$S$532,$S480)&gt;1),AND($T480&lt;&gt;"",LOWER(TRIM($T480))&lt;&gt;"n/a",COUNTIF($T$2:$T$532,$T480)&gt;1),AND($W480&lt;&gt;"",LOWER(TRIM($W480))&lt;&gt;"n/a",COUNTIF($W$2:$W$532,$W480)&gt;1)),"Yes","No"),IF($A480="Cybernet",IF(OR(AND($Y480&lt;&gt;"",LOWER(TRIM($Y480))&lt;&gt;"n/a",COUNTIF($Y$2:$Y$532,$Y480)&gt;1),AND($Z480&lt;&gt;"",LOWER(TRIM($Z480))&lt;&gt;"n/a",COUNTIF($Z$2:$Z$532,$Z480)&gt;1)),"Yes","No"),IF(AND($AL480&lt;&gt;"",LOWER(TRIM($AL480))&lt;&gt;"n/a",COUNTIF($AL$2:$AL$532,$AL480)&gt;1),"Yes","No"))))</f>
      </c>
      <c r="F480">
        <f>IF($B480&lt;&gt;"Yes","",
IF($A480="Neuron",
IF(OR(
AND($S480&lt;&gt;"",LOWER(TRIM($S480))&lt;&gt;"n/a",COUNTIFS($B$2:$B$532,"Yes",$A$2:$A$532,"Neuron",$S$2:$S$532,$S480)&gt;1),
AND($T480&lt;&gt;"",LOWER(TRIM($T480))&lt;&gt;"n/a",COUNTIFS($B$2:$B$532,"Yes",$A$2:$A$532,"Neuron",$T$2:$T$532,$T480)&gt;1),
AND($W480&lt;&gt;"",LOWER(TRIM($W480))&lt;&gt;"n/a",COUNTIFS($B$2:$B$532,"Yes",$A$2:$A$532,"Neuron",$W$2:$W$532,$W480)&gt;1)
),"Yes","No"),
IF($A480="Cybernet",
IF(OR(
AND($Y480&lt;&gt;"",LOWER(TRIM($Y480))&lt;&gt;"n/a",COUNTIFS($B$2:$B$532,"Yes",$A$2:$A$532,"Cybernet",$Y$2:$Y$532,$Y480)&gt;1),
AND($Z480&lt;&gt;"",LOWER(TRIM($Z480))&lt;&gt;"n/a",COUNTIFS($B$2:$B$532,"Yes",$A$2:$A$532,"Cybernet",$Z$2:$Z$532,$Z480)&gt;1)
),"Yes","No"),
IF(AND($AL480&lt;&gt;"",LOWER(TRIM($AL480))&lt;&gt;"n/a"),
IF(COUNTIFS($B$2:$B$532,"Yes",$A$2:$A$532,$A480,$AL$2:$AL$532,$AL480)&gt;1,"Yes","No"),
"No")
)
)
)</f>
      </c>
      <c r="BL480">
        <f>IF($T480="","",IF((IF(AND($AW480&lt;&gt;"Yes",$AW480&lt;&gt;"N/A"),"Power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",""))="","",LEFT(IF(AND($AW480&lt;&gt;"Yes",$AW480&lt;&gt;"N/A"),"Power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",""),LEN(IF(AND($AW480&lt;&gt;"Yes",$AW480&lt;&gt;"N/A"),"Power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",""))-2)))</f>
      </c>
      <c r="BM480">
        <f>IF($T480="","",IF($BL480="","Yes","Blocked"))</f>
      </c>
      <c r="BP480">
        <f>IF($BO480="","",IFERROR(VLOOKUP($BO480,'01_Warehouse_Ledger'!$A:$N,4,FALSE),""))</f>
      </c>
      <c r="BQ480">
        <f>IF($BO480="","",IFERROR(VLOOKUP($BO480,'01_Warehouse_Ledger'!$A:$N,5,FALSE),""))</f>
      </c>
      <c r="BR480">
        <f>IF($BO480="","",IFERROR(VLOOKUP($BO480,'01_Warehouse_Ledger'!$A:$N,13,FALSE),""))</f>
      </c>
    </row>
    <row r="481">
      <c r="D481">
        <f>IF($B481&lt;&gt;"Yes","",IF($C481="No","Yes",IF($C481="Yes","No","")))</f>
      </c>
      <c r="E481">
        <f>IF($A481="","",IF($A481="Neuron",IF(OR(AND($S481&lt;&gt;"",LOWER(TRIM($S481))&lt;&gt;"n/a",COUNTIF($S$2:$S$532,$S481)&gt;1),AND($T481&lt;&gt;"",LOWER(TRIM($T481))&lt;&gt;"n/a",COUNTIF($T$2:$T$532,$T481)&gt;1),AND($W481&lt;&gt;"",LOWER(TRIM($W481))&lt;&gt;"n/a",COUNTIF($W$2:$W$532,$W481)&gt;1)),"Yes","No"),IF($A481="Cybernet",IF(OR(AND($Y481&lt;&gt;"",LOWER(TRIM($Y481))&lt;&gt;"n/a",COUNTIF($Y$2:$Y$532,$Y481)&gt;1),AND($Z481&lt;&gt;"",LOWER(TRIM($Z481))&lt;&gt;"n/a",COUNTIF($Z$2:$Z$532,$Z481)&gt;1)),"Yes","No"),IF(AND($AL481&lt;&gt;"",LOWER(TRIM($AL481))&lt;&gt;"n/a",COUNTIF($AL$2:$AL$532,$AL481)&gt;1),"Yes","No"))))</f>
      </c>
      <c r="F481">
        <f>IF($B481&lt;&gt;"Yes","",
IF($A481="Neuron",
IF(OR(
AND($S481&lt;&gt;"",LOWER(TRIM($S481))&lt;&gt;"n/a",COUNTIFS($B$2:$B$532,"Yes",$A$2:$A$532,"Neuron",$S$2:$S$532,$S481)&gt;1),
AND($T481&lt;&gt;"",LOWER(TRIM($T481))&lt;&gt;"n/a",COUNTIFS($B$2:$B$532,"Yes",$A$2:$A$532,"Neuron",$T$2:$T$532,$T481)&gt;1),
AND($W481&lt;&gt;"",LOWER(TRIM($W481))&lt;&gt;"n/a",COUNTIFS($B$2:$B$532,"Yes",$A$2:$A$532,"Neuron",$W$2:$W$532,$W481)&gt;1)
),"Yes","No"),
IF($A481="Cybernet",
IF(OR(
AND($Y481&lt;&gt;"",LOWER(TRIM($Y481))&lt;&gt;"n/a",COUNTIFS($B$2:$B$532,"Yes",$A$2:$A$532,"Cybernet",$Y$2:$Y$532,$Y481)&gt;1),
AND($Z481&lt;&gt;"",LOWER(TRIM($Z481))&lt;&gt;"n/a",COUNTIFS($B$2:$B$532,"Yes",$A$2:$A$532,"Cybernet",$Z$2:$Z$532,$Z481)&gt;1)
),"Yes","No"),
IF(AND($AL481&lt;&gt;"",LOWER(TRIM($AL481))&lt;&gt;"n/a"),
IF(COUNTIFS($B$2:$B$532,"Yes",$A$2:$A$532,$A481,$AL$2:$AL$532,$AL481)&gt;1,"Yes","No"),
"No")
)
)
)</f>
      </c>
      <c r="BL481">
        <f>IF($T481="","",IF((IF(AND($AW481&lt;&gt;"Yes",$AW481&lt;&gt;"N/A"),"Power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",""))="","",LEFT(IF(AND($AW481&lt;&gt;"Yes",$AW481&lt;&gt;"N/A"),"Power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",""),LEN(IF(AND($AW481&lt;&gt;"Yes",$AW481&lt;&gt;"N/A"),"Power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",""))-2)))</f>
      </c>
      <c r="BM481">
        <f>IF($T481="","",IF($BL481="","Yes","Blocked"))</f>
      </c>
      <c r="BP481">
        <f>IF($BO481="","",IFERROR(VLOOKUP($BO481,'01_Warehouse_Ledger'!$A:$N,4,FALSE),""))</f>
      </c>
      <c r="BQ481">
        <f>IF($BO481="","",IFERROR(VLOOKUP($BO481,'01_Warehouse_Ledger'!$A:$N,5,FALSE),""))</f>
      </c>
      <c r="BR481">
        <f>IF($BO481="","",IFERROR(VLOOKUP($BO481,'01_Warehouse_Ledger'!$A:$N,13,FALSE),""))</f>
      </c>
    </row>
    <row r="482">
      <c r="D482">
        <f>IF($B482&lt;&gt;"Yes","",IF($C482="No","Yes",IF($C482="Yes","No","")))</f>
      </c>
      <c r="E482">
        <f>IF($A482="","",IF($A482="Neuron",IF(OR(AND($S482&lt;&gt;"",LOWER(TRIM($S482))&lt;&gt;"n/a",COUNTIF($S$2:$S$532,$S482)&gt;1),AND($T482&lt;&gt;"",LOWER(TRIM($T482))&lt;&gt;"n/a",COUNTIF($T$2:$T$532,$T482)&gt;1),AND($W482&lt;&gt;"",LOWER(TRIM($W482))&lt;&gt;"n/a",COUNTIF($W$2:$W$532,$W482)&gt;1)),"Yes","No"),IF($A482="Cybernet",IF(OR(AND($Y482&lt;&gt;"",LOWER(TRIM($Y482))&lt;&gt;"n/a",COUNTIF($Y$2:$Y$532,$Y482)&gt;1),AND($Z482&lt;&gt;"",LOWER(TRIM($Z482))&lt;&gt;"n/a",COUNTIF($Z$2:$Z$532,$Z482)&gt;1)),"Yes","No"),IF(AND($AL482&lt;&gt;"",LOWER(TRIM($AL482))&lt;&gt;"n/a",COUNTIF($AL$2:$AL$532,$AL482)&gt;1),"Yes","No"))))</f>
      </c>
      <c r="F482">
        <f>IF($B482&lt;&gt;"Yes","",
IF($A482="Neuron",
IF(OR(
AND($S482&lt;&gt;"",LOWER(TRIM($S482))&lt;&gt;"n/a",COUNTIFS($B$2:$B$532,"Yes",$A$2:$A$532,"Neuron",$S$2:$S$532,$S482)&gt;1),
AND($T482&lt;&gt;"",LOWER(TRIM($T482))&lt;&gt;"n/a",COUNTIFS($B$2:$B$532,"Yes",$A$2:$A$532,"Neuron",$T$2:$T$532,$T482)&gt;1),
AND($W482&lt;&gt;"",LOWER(TRIM($W482))&lt;&gt;"n/a",COUNTIFS($B$2:$B$532,"Yes",$A$2:$A$532,"Neuron",$W$2:$W$532,$W482)&gt;1)
),"Yes","No"),
IF($A482="Cybernet",
IF(OR(
AND($Y482&lt;&gt;"",LOWER(TRIM($Y482))&lt;&gt;"n/a",COUNTIFS($B$2:$B$532,"Yes",$A$2:$A$532,"Cybernet",$Y$2:$Y$532,$Y482)&gt;1),
AND($Z482&lt;&gt;"",LOWER(TRIM($Z482))&lt;&gt;"n/a",COUNTIFS($B$2:$B$532,"Yes",$A$2:$A$532,"Cybernet",$Z$2:$Z$532,$Z482)&gt;1)
),"Yes","No"),
IF(AND($AL482&lt;&gt;"",LOWER(TRIM($AL482))&lt;&gt;"n/a"),
IF(COUNTIFS($B$2:$B$532,"Yes",$A$2:$A$532,$A482,$AL$2:$AL$532,$AL482)&gt;1,"Yes","No"),
"No")
)
)
)</f>
      </c>
      <c r="BL482">
        <f>IF($T482="","",IF((IF(AND($AW482&lt;&gt;"Yes",$AW482&lt;&gt;"N/A"),"Power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",""))="","",LEFT(IF(AND($AW482&lt;&gt;"Yes",$AW482&lt;&gt;"N/A"),"Power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",""),LEN(IF(AND($AW482&lt;&gt;"Yes",$AW482&lt;&gt;"N/A"),"Power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",""))-2)))</f>
      </c>
      <c r="BM482">
        <f>IF($T482="","",IF($BL482="","Yes","Blocked"))</f>
      </c>
      <c r="BP482">
        <f>IF($BO482="","",IFERROR(VLOOKUP($BO482,'01_Warehouse_Ledger'!$A:$N,4,FALSE),""))</f>
      </c>
      <c r="BQ482">
        <f>IF($BO482="","",IFERROR(VLOOKUP($BO482,'01_Warehouse_Ledger'!$A:$N,5,FALSE),""))</f>
      </c>
      <c r="BR482">
        <f>IF($BO482="","",IFERROR(VLOOKUP($BO482,'01_Warehouse_Ledger'!$A:$N,13,FALSE),""))</f>
      </c>
    </row>
    <row r="483">
      <c r="D483">
        <f>IF($B483&lt;&gt;"Yes","",IF($C483="No","Yes",IF($C483="Yes","No","")))</f>
      </c>
      <c r="E483">
        <f>IF($A483="","",IF($A483="Neuron",IF(OR(AND($S483&lt;&gt;"",LOWER(TRIM($S483))&lt;&gt;"n/a",COUNTIF($S$2:$S$532,$S483)&gt;1),AND($T483&lt;&gt;"",LOWER(TRIM($T483))&lt;&gt;"n/a",COUNTIF($T$2:$T$532,$T483)&gt;1),AND($W483&lt;&gt;"",LOWER(TRIM($W483))&lt;&gt;"n/a",COUNTIF($W$2:$W$532,$W483)&gt;1)),"Yes","No"),IF($A483="Cybernet",IF(OR(AND($Y483&lt;&gt;"",LOWER(TRIM($Y483))&lt;&gt;"n/a",COUNTIF($Y$2:$Y$532,$Y483)&gt;1),AND($Z483&lt;&gt;"",LOWER(TRIM($Z483))&lt;&gt;"n/a",COUNTIF($Z$2:$Z$532,$Z483)&gt;1)),"Yes","No"),IF(AND($AL483&lt;&gt;"",LOWER(TRIM($AL483))&lt;&gt;"n/a",COUNTIF($AL$2:$AL$532,$AL483)&gt;1),"Yes","No"))))</f>
      </c>
      <c r="F483">
        <f>IF($B483&lt;&gt;"Yes","",
IF($A483="Neuron",
IF(OR(
AND($S483&lt;&gt;"",LOWER(TRIM($S483))&lt;&gt;"n/a",COUNTIFS($B$2:$B$532,"Yes",$A$2:$A$532,"Neuron",$S$2:$S$532,$S483)&gt;1),
AND($T483&lt;&gt;"",LOWER(TRIM($T483))&lt;&gt;"n/a",COUNTIFS($B$2:$B$532,"Yes",$A$2:$A$532,"Neuron",$T$2:$T$532,$T483)&gt;1),
AND($W483&lt;&gt;"",LOWER(TRIM($W483))&lt;&gt;"n/a",COUNTIFS($B$2:$B$532,"Yes",$A$2:$A$532,"Neuron",$W$2:$W$532,$W483)&gt;1)
),"Yes","No"),
IF($A483="Cybernet",
IF(OR(
AND($Y483&lt;&gt;"",LOWER(TRIM($Y483))&lt;&gt;"n/a",COUNTIFS($B$2:$B$532,"Yes",$A$2:$A$532,"Cybernet",$Y$2:$Y$532,$Y483)&gt;1),
AND($Z483&lt;&gt;"",LOWER(TRIM($Z483))&lt;&gt;"n/a",COUNTIFS($B$2:$B$532,"Yes",$A$2:$A$532,"Cybernet",$Z$2:$Z$532,$Z483)&gt;1)
),"Yes","No"),
IF(AND($AL483&lt;&gt;"",LOWER(TRIM($AL483))&lt;&gt;"n/a"),
IF(COUNTIFS($B$2:$B$532,"Yes",$A$2:$A$532,$A483,$AL$2:$AL$532,$AL483)&gt;1,"Yes","No"),
"No")
)
)
)</f>
      </c>
      <c r="BL483">
        <f>IF($T483="","",IF((IF(AND($AW483&lt;&gt;"Yes",$AW483&lt;&gt;"N/A"),"Power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",""))="","",LEFT(IF(AND($AW483&lt;&gt;"Yes",$AW483&lt;&gt;"N/A"),"Power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",""),LEN(IF(AND($AW483&lt;&gt;"Yes",$AW483&lt;&gt;"N/A"),"Power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",""))-2)))</f>
      </c>
      <c r="BM483">
        <f>IF($T483="","",IF($BL483="","Yes","Blocked"))</f>
      </c>
      <c r="BP483">
        <f>IF($BO483="","",IFERROR(VLOOKUP($BO483,'01_Warehouse_Ledger'!$A:$N,4,FALSE),""))</f>
      </c>
      <c r="BQ483">
        <f>IF($BO483="","",IFERROR(VLOOKUP($BO483,'01_Warehouse_Ledger'!$A:$N,5,FALSE),""))</f>
      </c>
      <c r="BR483">
        <f>IF($BO483="","",IFERROR(VLOOKUP($BO483,'01_Warehouse_Ledger'!$A:$N,13,FALSE),""))</f>
      </c>
    </row>
    <row r="484">
      <c r="D484">
        <f>IF($B484&lt;&gt;"Yes","",IF($C484="No","Yes",IF($C484="Yes","No","")))</f>
      </c>
      <c r="E484">
        <f>IF($A484="","",IF($A484="Neuron",IF(OR(AND($S484&lt;&gt;"",LOWER(TRIM($S484))&lt;&gt;"n/a",COUNTIF($S$2:$S$532,$S484)&gt;1),AND($T484&lt;&gt;"",LOWER(TRIM($T484))&lt;&gt;"n/a",COUNTIF($T$2:$T$532,$T484)&gt;1),AND($W484&lt;&gt;"",LOWER(TRIM($W484))&lt;&gt;"n/a",COUNTIF($W$2:$W$532,$W484)&gt;1)),"Yes","No"),IF($A484="Cybernet",IF(OR(AND($Y484&lt;&gt;"",LOWER(TRIM($Y484))&lt;&gt;"n/a",COUNTIF($Y$2:$Y$532,$Y484)&gt;1),AND($Z484&lt;&gt;"",LOWER(TRIM($Z484))&lt;&gt;"n/a",COUNTIF($Z$2:$Z$532,$Z484)&gt;1)),"Yes","No"),IF(AND($AL484&lt;&gt;"",LOWER(TRIM($AL484))&lt;&gt;"n/a",COUNTIF($AL$2:$AL$532,$AL484)&gt;1),"Yes","No"))))</f>
      </c>
      <c r="F484">
        <f>IF($B484&lt;&gt;"Yes","",
IF($A484="Neuron",
IF(OR(
AND($S484&lt;&gt;"",LOWER(TRIM($S484))&lt;&gt;"n/a",COUNTIFS($B$2:$B$532,"Yes",$A$2:$A$532,"Neuron",$S$2:$S$532,$S484)&gt;1),
AND($T484&lt;&gt;"",LOWER(TRIM($T484))&lt;&gt;"n/a",COUNTIFS($B$2:$B$532,"Yes",$A$2:$A$532,"Neuron",$T$2:$T$532,$T484)&gt;1),
AND($W484&lt;&gt;"",LOWER(TRIM($W484))&lt;&gt;"n/a",COUNTIFS($B$2:$B$532,"Yes",$A$2:$A$532,"Neuron",$W$2:$W$532,$W484)&gt;1)
),"Yes","No"),
IF($A484="Cybernet",
IF(OR(
AND($Y484&lt;&gt;"",LOWER(TRIM($Y484))&lt;&gt;"n/a",COUNTIFS($B$2:$B$532,"Yes",$A$2:$A$532,"Cybernet",$Y$2:$Y$532,$Y484)&gt;1),
AND($Z484&lt;&gt;"",LOWER(TRIM($Z484))&lt;&gt;"n/a",COUNTIFS($B$2:$B$532,"Yes",$A$2:$A$532,"Cybernet",$Z$2:$Z$532,$Z484)&gt;1)
),"Yes","No"),
IF(AND($AL484&lt;&gt;"",LOWER(TRIM($AL484))&lt;&gt;"n/a"),
IF(COUNTIFS($B$2:$B$532,"Yes",$A$2:$A$532,$A484,$AL$2:$AL$532,$AL484)&gt;1,"Yes","No"),
"No")
)
)
)</f>
      </c>
      <c r="BL484">
        <f>IF($T484="","",IF((IF(AND($AW484&lt;&gt;"Yes",$AW484&lt;&gt;"N/A"),"Power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",""))="","",LEFT(IF(AND($AW484&lt;&gt;"Yes",$AW484&lt;&gt;"N/A"),"Power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",""),LEN(IF(AND($AW484&lt;&gt;"Yes",$AW484&lt;&gt;"N/A"),"Power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",""))-2)))</f>
      </c>
      <c r="BM484">
        <f>IF($T484="","",IF($BL484="","Yes","Blocked"))</f>
      </c>
      <c r="BP484">
        <f>IF($BO484="","",IFERROR(VLOOKUP($BO484,'01_Warehouse_Ledger'!$A:$N,4,FALSE),""))</f>
      </c>
      <c r="BQ484">
        <f>IF($BO484="","",IFERROR(VLOOKUP($BO484,'01_Warehouse_Ledger'!$A:$N,5,FALSE),""))</f>
      </c>
      <c r="BR484">
        <f>IF($BO484="","",IFERROR(VLOOKUP($BO484,'01_Warehouse_Ledger'!$A:$N,13,FALSE),""))</f>
      </c>
    </row>
    <row r="485">
      <c r="D485">
        <f>IF($B485&lt;&gt;"Yes","",IF($C485="No","Yes",IF($C485="Yes","No","")))</f>
      </c>
      <c r="E485">
        <f>IF($A485="","",IF($A485="Neuron",IF(OR(AND($S485&lt;&gt;"",LOWER(TRIM($S485))&lt;&gt;"n/a",COUNTIF($S$2:$S$532,$S485)&gt;1),AND($T485&lt;&gt;"",LOWER(TRIM($T485))&lt;&gt;"n/a",COUNTIF($T$2:$T$532,$T485)&gt;1),AND($W485&lt;&gt;"",LOWER(TRIM($W485))&lt;&gt;"n/a",COUNTIF($W$2:$W$532,$W485)&gt;1)),"Yes","No"),IF($A485="Cybernet",IF(OR(AND($Y485&lt;&gt;"",LOWER(TRIM($Y485))&lt;&gt;"n/a",COUNTIF($Y$2:$Y$532,$Y485)&gt;1),AND($Z485&lt;&gt;"",LOWER(TRIM($Z485))&lt;&gt;"n/a",COUNTIF($Z$2:$Z$532,$Z485)&gt;1)),"Yes","No"),IF(AND($AL485&lt;&gt;"",LOWER(TRIM($AL485))&lt;&gt;"n/a",COUNTIF($AL$2:$AL$532,$AL485)&gt;1),"Yes","No"))))</f>
      </c>
      <c r="F485">
        <f>IF($B485&lt;&gt;"Yes","",
IF($A485="Neuron",
IF(OR(
AND($S485&lt;&gt;"",LOWER(TRIM($S485))&lt;&gt;"n/a",COUNTIFS($B$2:$B$532,"Yes",$A$2:$A$532,"Neuron",$S$2:$S$532,$S485)&gt;1),
AND($T485&lt;&gt;"",LOWER(TRIM($T485))&lt;&gt;"n/a",COUNTIFS($B$2:$B$532,"Yes",$A$2:$A$532,"Neuron",$T$2:$T$532,$T485)&gt;1),
AND($W485&lt;&gt;"",LOWER(TRIM($W485))&lt;&gt;"n/a",COUNTIFS($B$2:$B$532,"Yes",$A$2:$A$532,"Neuron",$W$2:$W$532,$W485)&gt;1)
),"Yes","No"),
IF($A485="Cybernet",
IF(OR(
AND($Y485&lt;&gt;"",LOWER(TRIM($Y485))&lt;&gt;"n/a",COUNTIFS($B$2:$B$532,"Yes",$A$2:$A$532,"Cybernet",$Y$2:$Y$532,$Y485)&gt;1),
AND($Z485&lt;&gt;"",LOWER(TRIM($Z485))&lt;&gt;"n/a",COUNTIFS($B$2:$B$532,"Yes",$A$2:$A$532,"Cybernet",$Z$2:$Z$532,$Z485)&gt;1)
),"Yes","No"),
IF(AND($AL485&lt;&gt;"",LOWER(TRIM($AL485))&lt;&gt;"n/a"),
IF(COUNTIFS($B$2:$B$532,"Yes",$A$2:$A$532,$A485,$AL$2:$AL$532,$AL485)&gt;1,"Yes","No"),
"No")
)
)
)</f>
      </c>
      <c r="BL485">
        <f>IF($T485="","",IF((IF(AND($AW485&lt;&gt;"Yes",$AW485&lt;&gt;"N/A"),"Power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",""))="","",LEFT(IF(AND($AW485&lt;&gt;"Yes",$AW485&lt;&gt;"N/A"),"Power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",""),LEN(IF(AND($AW485&lt;&gt;"Yes",$AW485&lt;&gt;"N/A"),"Power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",""))-2)))</f>
      </c>
      <c r="BM485">
        <f>IF($T485="","",IF($BL485="","Yes","Blocked"))</f>
      </c>
      <c r="BP485">
        <f>IF($BO485="","",IFERROR(VLOOKUP($BO485,'01_Warehouse_Ledger'!$A:$N,4,FALSE),""))</f>
      </c>
      <c r="BQ485">
        <f>IF($BO485="","",IFERROR(VLOOKUP($BO485,'01_Warehouse_Ledger'!$A:$N,5,FALSE),""))</f>
      </c>
      <c r="BR485">
        <f>IF($BO485="","",IFERROR(VLOOKUP($BO485,'01_Warehouse_Ledger'!$A:$N,13,FALSE),""))</f>
      </c>
    </row>
    <row r="486">
      <c r="D486">
        <f>IF($B486&lt;&gt;"Yes","",IF($C486="No","Yes",IF($C486="Yes","No","")))</f>
      </c>
      <c r="E486">
        <f>IF($A486="","",IF($A486="Neuron",IF(OR(AND($S486&lt;&gt;"",LOWER(TRIM($S486))&lt;&gt;"n/a",COUNTIF($S$2:$S$532,$S486)&gt;1),AND($T486&lt;&gt;"",LOWER(TRIM($T486))&lt;&gt;"n/a",COUNTIF($T$2:$T$532,$T486)&gt;1),AND($W486&lt;&gt;"",LOWER(TRIM($W486))&lt;&gt;"n/a",COUNTIF($W$2:$W$532,$W486)&gt;1)),"Yes","No"),IF($A486="Cybernet",IF(OR(AND($Y486&lt;&gt;"",LOWER(TRIM($Y486))&lt;&gt;"n/a",COUNTIF($Y$2:$Y$532,$Y486)&gt;1),AND($Z486&lt;&gt;"",LOWER(TRIM($Z486))&lt;&gt;"n/a",COUNTIF($Z$2:$Z$532,$Z486)&gt;1)),"Yes","No"),IF(AND($AL486&lt;&gt;"",LOWER(TRIM($AL486))&lt;&gt;"n/a",COUNTIF($AL$2:$AL$532,$AL486)&gt;1),"Yes","No"))))</f>
      </c>
      <c r="F486">
        <f>IF($B486&lt;&gt;"Yes","",
IF($A486="Neuron",
IF(OR(
AND($S486&lt;&gt;"",LOWER(TRIM($S486))&lt;&gt;"n/a",COUNTIFS($B$2:$B$532,"Yes",$A$2:$A$532,"Neuron",$S$2:$S$532,$S486)&gt;1),
AND($T486&lt;&gt;"",LOWER(TRIM($T486))&lt;&gt;"n/a",COUNTIFS($B$2:$B$532,"Yes",$A$2:$A$532,"Neuron",$T$2:$T$532,$T486)&gt;1),
AND($W486&lt;&gt;"",LOWER(TRIM($W486))&lt;&gt;"n/a",COUNTIFS($B$2:$B$532,"Yes",$A$2:$A$532,"Neuron",$W$2:$W$532,$W486)&gt;1)
),"Yes","No"),
IF($A486="Cybernet",
IF(OR(
AND($Y486&lt;&gt;"",LOWER(TRIM($Y486))&lt;&gt;"n/a",COUNTIFS($B$2:$B$532,"Yes",$A$2:$A$532,"Cybernet",$Y$2:$Y$532,$Y486)&gt;1),
AND($Z486&lt;&gt;"",LOWER(TRIM($Z486))&lt;&gt;"n/a",COUNTIFS($B$2:$B$532,"Yes",$A$2:$A$532,"Cybernet",$Z$2:$Z$532,$Z486)&gt;1)
),"Yes","No"),
IF(AND($AL486&lt;&gt;"",LOWER(TRIM($AL486))&lt;&gt;"n/a"),
IF(COUNTIFS($B$2:$B$532,"Yes",$A$2:$A$532,$A486,$AL$2:$AL$532,$AL486)&gt;1,"Yes","No"),
"No")
)
)
)</f>
      </c>
      <c r="BL486">
        <f>IF($T486="","",IF((IF(AND($AW486&lt;&gt;"Yes",$AW486&lt;&gt;"N/A"),"Power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",""))="","",LEFT(IF(AND($AW486&lt;&gt;"Yes",$AW486&lt;&gt;"N/A"),"Power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",""),LEN(IF(AND($AW486&lt;&gt;"Yes",$AW486&lt;&gt;"N/A"),"Power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",""))-2)))</f>
      </c>
      <c r="BM486">
        <f>IF($T486="","",IF($BL486="","Yes","Blocked"))</f>
      </c>
      <c r="BP486">
        <f>IF($BO486="","",IFERROR(VLOOKUP($BO486,'01_Warehouse_Ledger'!$A:$N,4,FALSE),""))</f>
      </c>
      <c r="BQ486">
        <f>IF($BO486="","",IFERROR(VLOOKUP($BO486,'01_Warehouse_Ledger'!$A:$N,5,FALSE),""))</f>
      </c>
      <c r="BR486">
        <f>IF($BO486="","",IFERROR(VLOOKUP($BO486,'01_Warehouse_Ledger'!$A:$N,13,FALSE),""))</f>
      </c>
    </row>
    <row r="487">
      <c r="D487">
        <f>IF($B487&lt;&gt;"Yes","",IF($C487="No","Yes",IF($C487="Yes","No","")))</f>
      </c>
      <c r="E487">
        <f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</c>
      <c r="F487">
        <f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</c>
      <c r="BL487">
        <f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</c>
      <c r="BM487">
        <f>IF($T487="","",IF($BL487="","Yes","Blocked"))</f>
      </c>
      <c r="BP487">
        <f>IF($BO487="","",IFERROR(VLOOKUP($BO487,'01_Warehouse_Ledger'!$A:$N,4,FALSE),""))</f>
      </c>
      <c r="BQ487">
        <f>IF($BO487="","",IFERROR(VLOOKUP($BO487,'01_Warehouse_Ledger'!$A:$N,5,FALSE),""))</f>
      </c>
      <c r="BR487">
        <f>IF($BO487="","",IFERROR(VLOOKUP($BO487,'01_Warehouse_Ledger'!$A:$N,13,FALSE),""))</f>
      </c>
    </row>
    <row r="488">
      <c r="D488">
        <f>IF($B488&lt;&gt;"Yes","",IF($C488="No","Yes",IF($C488="Yes","No","")))</f>
      </c>
      <c r="E488">
        <f>IF($A488="","",IF($A488="Neuron",IF(OR(AND($S488&lt;&gt;"",LOWER(TRIM($S488))&lt;&gt;"n/a",COUNTIF($S$2:$S$532,$S488)&gt;1),AND($T488&lt;&gt;"",LOWER(TRIM($T488))&lt;&gt;"n/a",COUNTIF($T$2:$T$532,$T488)&gt;1),AND($W488&lt;&gt;"",LOWER(TRIM($W488))&lt;&gt;"n/a",COUNTIF($W$2:$W$532,$W488)&gt;1)),"Yes","No"),IF($A488="Cybernet",IF(OR(AND($Y488&lt;&gt;"",LOWER(TRIM($Y488))&lt;&gt;"n/a",COUNTIF($Y$2:$Y$532,$Y488)&gt;1),AND($Z488&lt;&gt;"",LOWER(TRIM($Z488))&lt;&gt;"n/a",COUNTIF($Z$2:$Z$532,$Z488)&gt;1)),"Yes","No"),IF(AND($AL488&lt;&gt;"",LOWER(TRIM($AL488))&lt;&gt;"n/a",COUNTIF($AL$2:$AL$532,$AL488)&gt;1),"Yes","No"))))</f>
      </c>
      <c r="F488">
        <f>IF($B488&lt;&gt;"Yes","",
IF($A488="Neuron",
IF(OR(
AND($S488&lt;&gt;"",LOWER(TRIM($S488))&lt;&gt;"n/a",COUNTIFS($B$2:$B$532,"Yes",$A$2:$A$532,"Neuron",$S$2:$S$532,$S488)&gt;1),
AND($T488&lt;&gt;"",LOWER(TRIM($T488))&lt;&gt;"n/a",COUNTIFS($B$2:$B$532,"Yes",$A$2:$A$532,"Neuron",$T$2:$T$532,$T488)&gt;1),
AND($W488&lt;&gt;"",LOWER(TRIM($W488))&lt;&gt;"n/a",COUNTIFS($B$2:$B$532,"Yes",$A$2:$A$532,"Neuron",$W$2:$W$532,$W488)&gt;1)
),"Yes","No"),
IF($A488="Cybernet",
IF(OR(
AND($Y488&lt;&gt;"",LOWER(TRIM($Y488))&lt;&gt;"n/a",COUNTIFS($B$2:$B$532,"Yes",$A$2:$A$532,"Cybernet",$Y$2:$Y$532,$Y488)&gt;1),
AND($Z488&lt;&gt;"",LOWER(TRIM($Z488))&lt;&gt;"n/a",COUNTIFS($B$2:$B$532,"Yes",$A$2:$A$532,"Cybernet",$Z$2:$Z$532,$Z488)&gt;1)
),"Yes","No"),
IF(AND($AL488&lt;&gt;"",LOWER(TRIM($AL488))&lt;&gt;"n/a"),
IF(COUNTIFS($B$2:$B$532,"Yes",$A$2:$A$532,$A488,$AL$2:$AL$532,$AL488)&gt;1,"Yes","No"),
"No")
)
)
)</f>
      </c>
      <c r="BL488">
        <f>IF($T488="","",IF((IF(AND($AW488&lt;&gt;"Yes",$AW488&lt;&gt;"N/A"),"Power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",""))="","",LEFT(IF(AND($AW488&lt;&gt;"Yes",$AW488&lt;&gt;"N/A"),"Power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",""),LEN(IF(AND($AW488&lt;&gt;"Yes",$AW488&lt;&gt;"N/A"),"Power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",""))-2)))</f>
      </c>
      <c r="BM488">
        <f>IF($T488="","",IF($BL488="","Yes","Blocked"))</f>
      </c>
      <c r="BP488">
        <f>IF($BO488="","",IFERROR(VLOOKUP($BO488,'01_Warehouse_Ledger'!$A:$N,4,FALSE),""))</f>
      </c>
      <c r="BQ488">
        <f>IF($BO488="","",IFERROR(VLOOKUP($BO488,'01_Warehouse_Ledger'!$A:$N,5,FALSE),""))</f>
      </c>
      <c r="BR488">
        <f>IF($BO488="","",IFERROR(VLOOKUP($BO488,'01_Warehouse_Ledger'!$A:$N,13,FALSE),""))</f>
      </c>
    </row>
    <row r="489">
      <c r="D489">
        <f>IF($B489&lt;&gt;"Yes","",IF($C489="No","Yes",IF($C489="Yes","No","")))</f>
      </c>
      <c r="E489">
        <f>IF($A489="","",IF($A489="Neuron",IF(OR(AND($S489&lt;&gt;"",LOWER(TRIM($S489))&lt;&gt;"n/a",COUNTIF($S$2:$S$532,$S489)&gt;1),AND($T489&lt;&gt;"",LOWER(TRIM($T489))&lt;&gt;"n/a",COUNTIF($T$2:$T$532,$T489)&gt;1),AND($W489&lt;&gt;"",LOWER(TRIM($W489))&lt;&gt;"n/a",COUNTIF($W$2:$W$532,$W489)&gt;1)),"Yes","No"),IF($A489="Cybernet",IF(OR(AND($Y489&lt;&gt;"",LOWER(TRIM($Y489))&lt;&gt;"n/a",COUNTIF($Y$2:$Y$532,$Y489)&gt;1),AND($Z489&lt;&gt;"",LOWER(TRIM($Z489))&lt;&gt;"n/a",COUNTIF($Z$2:$Z$532,$Z489)&gt;1)),"Yes","No"),IF(AND($AL489&lt;&gt;"",LOWER(TRIM($AL489))&lt;&gt;"n/a",COUNTIF($AL$2:$AL$532,$AL489)&gt;1),"Yes","No"))))</f>
      </c>
      <c r="F489">
        <f>IF($B489&lt;&gt;"Yes","",
IF($A489="Neuron",
IF(OR(
AND($S489&lt;&gt;"",LOWER(TRIM($S489))&lt;&gt;"n/a",COUNTIFS($B$2:$B$532,"Yes",$A$2:$A$532,"Neuron",$S$2:$S$532,$S489)&gt;1),
AND($T489&lt;&gt;"",LOWER(TRIM($T489))&lt;&gt;"n/a",COUNTIFS($B$2:$B$532,"Yes",$A$2:$A$532,"Neuron",$T$2:$T$532,$T489)&gt;1),
AND($W489&lt;&gt;"",LOWER(TRIM($W489))&lt;&gt;"n/a",COUNTIFS($B$2:$B$532,"Yes",$A$2:$A$532,"Neuron",$W$2:$W$532,$W489)&gt;1)
),"Yes","No"),
IF($A489="Cybernet",
IF(OR(
AND($Y489&lt;&gt;"",LOWER(TRIM($Y489))&lt;&gt;"n/a",COUNTIFS($B$2:$B$532,"Yes",$A$2:$A$532,"Cybernet",$Y$2:$Y$532,$Y489)&gt;1),
AND($Z489&lt;&gt;"",LOWER(TRIM($Z489))&lt;&gt;"n/a",COUNTIFS($B$2:$B$532,"Yes",$A$2:$A$532,"Cybernet",$Z$2:$Z$532,$Z489)&gt;1)
),"Yes","No"),
IF(AND($AL489&lt;&gt;"",LOWER(TRIM($AL489))&lt;&gt;"n/a"),
IF(COUNTIFS($B$2:$B$532,"Yes",$A$2:$A$532,$A489,$AL$2:$AL$532,$AL489)&gt;1,"Yes","No"),
"No")
)
)
)</f>
      </c>
      <c r="BL489">
        <f>IF($T489="","",IF((IF(AND($AW489&lt;&gt;"Yes",$AW489&lt;&gt;"N/A"),"Power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",""))="","",LEFT(IF(AND($AW489&lt;&gt;"Yes",$AW489&lt;&gt;"N/A"),"Power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",""),LEN(IF(AND($AW489&lt;&gt;"Yes",$AW489&lt;&gt;"N/A"),"Power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",""))-2)))</f>
      </c>
      <c r="BM489">
        <f>IF($T489="","",IF($BL489="","Yes","Blocked"))</f>
      </c>
      <c r="BP489">
        <f>IF($BO489="","",IFERROR(VLOOKUP($BO489,'01_Warehouse_Ledger'!$A:$N,4,FALSE),""))</f>
      </c>
      <c r="BQ489">
        <f>IF($BO489="","",IFERROR(VLOOKUP($BO489,'01_Warehouse_Ledger'!$A:$N,5,FALSE),""))</f>
      </c>
      <c r="BR489">
        <f>IF($BO489="","",IFERROR(VLOOKUP($BO489,'01_Warehouse_Ledger'!$A:$N,13,FALSE),""))</f>
      </c>
    </row>
    <row r="490">
      <c r="D490">
        <f>IF($B490&lt;&gt;"Yes","",IF($C490="No","Yes",IF($C490="Yes","No","")))</f>
      </c>
      <c r="E490">
        <f>IF($A490="","",IF($A490="Neuron",IF(OR(AND($S490&lt;&gt;"",LOWER(TRIM($S490))&lt;&gt;"n/a",COUNTIF($S$2:$S$532,$S490)&gt;1),AND($T490&lt;&gt;"",LOWER(TRIM($T490))&lt;&gt;"n/a",COUNTIF($T$2:$T$532,$T490)&gt;1),AND($W490&lt;&gt;"",LOWER(TRIM($W490))&lt;&gt;"n/a",COUNTIF($W$2:$W$532,$W490)&gt;1)),"Yes","No"),IF($A490="Cybernet",IF(OR(AND($Y490&lt;&gt;"",LOWER(TRIM($Y490))&lt;&gt;"n/a",COUNTIF($Y$2:$Y$532,$Y490)&gt;1),AND($Z490&lt;&gt;"",LOWER(TRIM($Z490))&lt;&gt;"n/a",COUNTIF($Z$2:$Z$532,$Z490)&gt;1)),"Yes","No"),IF(AND($AL490&lt;&gt;"",LOWER(TRIM($AL490))&lt;&gt;"n/a",COUNTIF($AL$2:$AL$532,$AL490)&gt;1),"Yes","No"))))</f>
      </c>
      <c r="F490">
        <f>IF($B490&lt;&gt;"Yes","",
IF($A490="Neuron",
IF(OR(
AND($S490&lt;&gt;"",LOWER(TRIM($S490))&lt;&gt;"n/a",COUNTIFS($B$2:$B$532,"Yes",$A$2:$A$532,"Neuron",$S$2:$S$532,$S490)&gt;1),
AND($T490&lt;&gt;"",LOWER(TRIM($T490))&lt;&gt;"n/a",COUNTIFS($B$2:$B$532,"Yes",$A$2:$A$532,"Neuron",$T$2:$T$532,$T490)&gt;1),
AND($W490&lt;&gt;"",LOWER(TRIM($W490))&lt;&gt;"n/a",COUNTIFS($B$2:$B$532,"Yes",$A$2:$A$532,"Neuron",$W$2:$W$532,$W490)&gt;1)
),"Yes","No"),
IF($A490="Cybernet",
IF(OR(
AND($Y490&lt;&gt;"",LOWER(TRIM($Y490))&lt;&gt;"n/a",COUNTIFS($B$2:$B$532,"Yes",$A$2:$A$532,"Cybernet",$Y$2:$Y$532,$Y490)&gt;1),
AND($Z490&lt;&gt;"",LOWER(TRIM($Z490))&lt;&gt;"n/a",COUNTIFS($B$2:$B$532,"Yes",$A$2:$A$532,"Cybernet",$Z$2:$Z$532,$Z490)&gt;1)
),"Yes","No"),
IF(AND($AL490&lt;&gt;"",LOWER(TRIM($AL490))&lt;&gt;"n/a"),
IF(COUNTIFS($B$2:$B$532,"Yes",$A$2:$A$532,$A490,$AL$2:$AL$532,$AL490)&gt;1,"Yes","No"),
"No")
)
)
)</f>
      </c>
      <c r="BL490">
        <f>IF($T490="","",IF((IF(AND($AW490&lt;&gt;"Yes",$AW490&lt;&gt;"N/A"),"Power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",""))="","",LEFT(IF(AND($AW490&lt;&gt;"Yes",$AW490&lt;&gt;"N/A"),"Power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",""),LEN(IF(AND($AW490&lt;&gt;"Yes",$AW490&lt;&gt;"N/A"),"Power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",""))-2)))</f>
      </c>
      <c r="BM490">
        <f>IF($T490="","",IF($BL490="","Yes","Blocked"))</f>
      </c>
      <c r="BP490">
        <f>IF($BO490="","",IFERROR(VLOOKUP($BO490,'01_Warehouse_Ledger'!$A:$N,4,FALSE),""))</f>
      </c>
      <c r="BQ490">
        <f>IF($BO490="","",IFERROR(VLOOKUP($BO490,'01_Warehouse_Ledger'!$A:$N,5,FALSE),""))</f>
      </c>
      <c r="BR490">
        <f>IF($BO490="","",IFERROR(VLOOKUP($BO490,'01_Warehouse_Ledger'!$A:$N,13,FALSE),""))</f>
      </c>
    </row>
    <row r="491">
      <c r="D491">
        <f>IF($B491&lt;&gt;"Yes","",IF($C491="No","Yes",IF($C491="Yes","No","")))</f>
      </c>
      <c r="E491">
        <f>IF($A491="","",IF($A491="Neuron",IF(OR(AND($S491&lt;&gt;"",LOWER(TRIM($S491))&lt;&gt;"n/a",COUNTIF($S$2:$S$532,$S491)&gt;1),AND($T491&lt;&gt;"",LOWER(TRIM($T491))&lt;&gt;"n/a",COUNTIF($T$2:$T$532,$T491)&gt;1),AND($W491&lt;&gt;"",LOWER(TRIM($W491))&lt;&gt;"n/a",COUNTIF($W$2:$W$532,$W491)&gt;1)),"Yes","No"),IF($A491="Cybernet",IF(OR(AND($Y491&lt;&gt;"",LOWER(TRIM($Y491))&lt;&gt;"n/a",COUNTIF($Y$2:$Y$532,$Y491)&gt;1),AND($Z491&lt;&gt;"",LOWER(TRIM($Z491))&lt;&gt;"n/a",COUNTIF($Z$2:$Z$532,$Z491)&gt;1)),"Yes","No"),IF(AND($AL491&lt;&gt;"",LOWER(TRIM($AL491))&lt;&gt;"n/a",COUNTIF($AL$2:$AL$532,$AL491)&gt;1),"Yes","No"))))</f>
      </c>
      <c r="F491">
        <f>IF($B491&lt;&gt;"Yes","",
IF($A491="Neuron",
IF(OR(
AND($S491&lt;&gt;"",LOWER(TRIM($S491))&lt;&gt;"n/a",COUNTIFS($B$2:$B$532,"Yes",$A$2:$A$532,"Neuron",$S$2:$S$532,$S491)&gt;1),
AND($T491&lt;&gt;"",LOWER(TRIM($T491))&lt;&gt;"n/a",COUNTIFS($B$2:$B$532,"Yes",$A$2:$A$532,"Neuron",$T$2:$T$532,$T491)&gt;1),
AND($W491&lt;&gt;"",LOWER(TRIM($W491))&lt;&gt;"n/a",COUNTIFS($B$2:$B$532,"Yes",$A$2:$A$532,"Neuron",$W$2:$W$532,$W491)&gt;1)
),"Yes","No"),
IF($A491="Cybernet",
IF(OR(
AND($Y491&lt;&gt;"",LOWER(TRIM($Y491))&lt;&gt;"n/a",COUNTIFS($B$2:$B$532,"Yes",$A$2:$A$532,"Cybernet",$Y$2:$Y$532,$Y491)&gt;1),
AND($Z491&lt;&gt;"",LOWER(TRIM($Z491))&lt;&gt;"n/a",COUNTIFS($B$2:$B$532,"Yes",$A$2:$A$532,"Cybernet",$Z$2:$Z$532,$Z491)&gt;1)
),"Yes","No"),
IF(AND($AL491&lt;&gt;"",LOWER(TRIM($AL491))&lt;&gt;"n/a"),
IF(COUNTIFS($B$2:$B$532,"Yes",$A$2:$A$532,$A491,$AL$2:$AL$532,$AL491)&gt;1,"Yes","No"),
"No")
)
)
)</f>
      </c>
      <c r="BL491">
        <f>IF($T491="","",IF((IF(AND($AW491&lt;&gt;"Yes",$AW491&lt;&gt;"N/A"),"Power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",""))="","",LEFT(IF(AND($AW491&lt;&gt;"Yes",$AW491&lt;&gt;"N/A"),"Power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",""),LEN(IF(AND($AW491&lt;&gt;"Yes",$AW491&lt;&gt;"N/A"),"Power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",""))-2)))</f>
      </c>
      <c r="BM491">
        <f>IF($T491="","",IF($BL491="","Yes","Blocked"))</f>
      </c>
      <c r="BP491">
        <f>IF($BO491="","",IFERROR(VLOOKUP($BO491,'01_Warehouse_Ledger'!$A:$N,4,FALSE),""))</f>
      </c>
      <c r="BQ491">
        <f>IF($BO491="","",IFERROR(VLOOKUP($BO491,'01_Warehouse_Ledger'!$A:$N,5,FALSE),""))</f>
      </c>
      <c r="BR491">
        <f>IF($BO491="","",IFERROR(VLOOKUP($BO491,'01_Warehouse_Ledger'!$A:$N,13,FALSE),""))</f>
      </c>
    </row>
    <row r="492">
      <c r="D492">
        <f>IF($B492&lt;&gt;"Yes","",IF($C492="No","Yes",IF($C492="Yes","No","")))</f>
      </c>
      <c r="E492">
        <f>IF($A492="","",IF($A492="Neuron",IF(OR(AND($S492&lt;&gt;"",LOWER(TRIM($S492))&lt;&gt;"n/a",COUNTIF($S$2:$S$532,$S492)&gt;1),AND($T492&lt;&gt;"",LOWER(TRIM($T492))&lt;&gt;"n/a",COUNTIF($T$2:$T$532,$T492)&gt;1),AND($W492&lt;&gt;"",LOWER(TRIM($W492))&lt;&gt;"n/a",COUNTIF($W$2:$W$532,$W492)&gt;1)),"Yes","No"),IF($A492="Cybernet",IF(OR(AND($Y492&lt;&gt;"",LOWER(TRIM($Y492))&lt;&gt;"n/a",COUNTIF($Y$2:$Y$532,$Y492)&gt;1),AND($Z492&lt;&gt;"",LOWER(TRIM($Z492))&lt;&gt;"n/a",COUNTIF($Z$2:$Z$532,$Z492)&gt;1)),"Yes","No"),IF(AND($AL492&lt;&gt;"",LOWER(TRIM($AL492))&lt;&gt;"n/a",COUNTIF($AL$2:$AL$532,$AL492)&gt;1),"Yes","No"))))</f>
      </c>
      <c r="F492">
        <f>IF($B492&lt;&gt;"Yes","",
IF($A492="Neuron",
IF(OR(
AND($S492&lt;&gt;"",LOWER(TRIM($S492))&lt;&gt;"n/a",COUNTIFS($B$2:$B$532,"Yes",$A$2:$A$532,"Neuron",$S$2:$S$532,$S492)&gt;1),
AND($T492&lt;&gt;"",LOWER(TRIM($T492))&lt;&gt;"n/a",COUNTIFS($B$2:$B$532,"Yes",$A$2:$A$532,"Neuron",$T$2:$T$532,$T492)&gt;1),
AND($W492&lt;&gt;"",LOWER(TRIM($W492))&lt;&gt;"n/a",COUNTIFS($B$2:$B$532,"Yes",$A$2:$A$532,"Neuron",$W$2:$W$532,$W492)&gt;1)
),"Yes","No"),
IF($A492="Cybernet",
IF(OR(
AND($Y492&lt;&gt;"",LOWER(TRIM($Y492))&lt;&gt;"n/a",COUNTIFS($B$2:$B$532,"Yes",$A$2:$A$532,"Cybernet",$Y$2:$Y$532,$Y492)&gt;1),
AND($Z492&lt;&gt;"",LOWER(TRIM($Z492))&lt;&gt;"n/a",COUNTIFS($B$2:$B$532,"Yes",$A$2:$A$532,"Cybernet",$Z$2:$Z$532,$Z492)&gt;1)
),"Yes","No"),
IF(AND($AL492&lt;&gt;"",LOWER(TRIM($AL492))&lt;&gt;"n/a"),
IF(COUNTIFS($B$2:$B$532,"Yes",$A$2:$A$532,$A492,$AL$2:$AL$532,$AL492)&gt;1,"Yes","No"),
"No")
)
)
)</f>
      </c>
      <c r="BL492">
        <f>IF($T492="","",IF((IF(AND($AW492&lt;&gt;"Yes",$AW492&lt;&gt;"N/A"),"Power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",""))="","",LEFT(IF(AND($AW492&lt;&gt;"Yes",$AW492&lt;&gt;"N/A"),"Power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",""),LEN(IF(AND($AW492&lt;&gt;"Yes",$AW492&lt;&gt;"N/A"),"Power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",""))-2)))</f>
      </c>
      <c r="BM492">
        <f>IF($T492="","",IF($BL492="","Yes","Blocked"))</f>
      </c>
      <c r="BP492">
        <f>IF($BO492="","",IFERROR(VLOOKUP($BO492,'01_Warehouse_Ledger'!$A:$N,4,FALSE),""))</f>
      </c>
      <c r="BQ492">
        <f>IF($BO492="","",IFERROR(VLOOKUP($BO492,'01_Warehouse_Ledger'!$A:$N,5,FALSE),""))</f>
      </c>
      <c r="BR492">
        <f>IF($BO492="","",IFERROR(VLOOKUP($BO492,'01_Warehouse_Ledger'!$A:$N,13,FALSE),""))</f>
      </c>
    </row>
    <row r="493">
      <c r="D493">
        <f>IF($B493&lt;&gt;"Yes","",IF($C493="No","Yes",IF($C493="Yes","No","")))</f>
      </c>
      <c r="E493">
        <f>IF($A493="","",IF($A493="Neuron",IF(OR(AND($S493&lt;&gt;"",LOWER(TRIM($S493))&lt;&gt;"n/a",COUNTIF($S$2:$S$532,$S493)&gt;1),AND($T493&lt;&gt;"",LOWER(TRIM($T493))&lt;&gt;"n/a",COUNTIF($T$2:$T$532,$T493)&gt;1),AND($W493&lt;&gt;"",LOWER(TRIM($W493))&lt;&gt;"n/a",COUNTIF($W$2:$W$532,$W493)&gt;1)),"Yes","No"),IF($A493="Cybernet",IF(OR(AND($Y493&lt;&gt;"",LOWER(TRIM($Y493))&lt;&gt;"n/a",COUNTIF($Y$2:$Y$532,$Y493)&gt;1),AND($Z493&lt;&gt;"",LOWER(TRIM($Z493))&lt;&gt;"n/a",COUNTIF($Z$2:$Z$532,$Z493)&gt;1)),"Yes","No"),IF(AND($AL493&lt;&gt;"",LOWER(TRIM($AL493))&lt;&gt;"n/a",COUNTIF($AL$2:$AL$532,$AL493)&gt;1),"Yes","No"))))</f>
      </c>
      <c r="F493">
        <f>IF($B493&lt;&gt;"Yes","",
IF($A493="Neuron",
IF(OR(
AND($S493&lt;&gt;"",LOWER(TRIM($S493))&lt;&gt;"n/a",COUNTIFS($B$2:$B$532,"Yes",$A$2:$A$532,"Neuron",$S$2:$S$532,$S493)&gt;1),
AND($T493&lt;&gt;"",LOWER(TRIM($T493))&lt;&gt;"n/a",COUNTIFS($B$2:$B$532,"Yes",$A$2:$A$532,"Neuron",$T$2:$T$532,$T493)&gt;1),
AND($W493&lt;&gt;"",LOWER(TRIM($W493))&lt;&gt;"n/a",COUNTIFS($B$2:$B$532,"Yes",$A$2:$A$532,"Neuron",$W$2:$W$532,$W493)&gt;1)
),"Yes","No"),
IF($A493="Cybernet",
IF(OR(
AND($Y493&lt;&gt;"",LOWER(TRIM($Y493))&lt;&gt;"n/a",COUNTIFS($B$2:$B$532,"Yes",$A$2:$A$532,"Cybernet",$Y$2:$Y$532,$Y493)&gt;1),
AND($Z493&lt;&gt;"",LOWER(TRIM($Z493))&lt;&gt;"n/a",COUNTIFS($B$2:$B$532,"Yes",$A$2:$A$532,"Cybernet",$Z$2:$Z$532,$Z493)&gt;1)
),"Yes","No"),
IF(AND($AL493&lt;&gt;"",LOWER(TRIM($AL493))&lt;&gt;"n/a"),
IF(COUNTIFS($B$2:$B$532,"Yes",$A$2:$A$532,$A493,$AL$2:$AL$532,$AL493)&gt;1,"Yes","No"),
"No")
)
)
)</f>
      </c>
      <c r="BL493">
        <f>IF($T493="","",IF((IF(AND($AW493&lt;&gt;"Yes",$AW493&lt;&gt;"N/A"),"Power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",""))="","",LEFT(IF(AND($AW493&lt;&gt;"Yes",$AW493&lt;&gt;"N/A"),"Power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",""),LEN(IF(AND($AW493&lt;&gt;"Yes",$AW493&lt;&gt;"N/A"),"Power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",""))-2)))</f>
      </c>
      <c r="BM493">
        <f>IF($T493="","",IF($BL493="","Yes","Blocked"))</f>
      </c>
      <c r="BP493">
        <f>IF($BO493="","",IFERROR(VLOOKUP($BO493,'01_Warehouse_Ledger'!$A:$N,4,FALSE),""))</f>
      </c>
      <c r="BQ493">
        <f>IF($BO493="","",IFERROR(VLOOKUP($BO493,'01_Warehouse_Ledger'!$A:$N,5,FALSE),""))</f>
      </c>
      <c r="BR493">
        <f>IF($BO493="","",IFERROR(VLOOKUP($BO493,'01_Warehouse_Ledger'!$A:$N,13,FALSE),""))</f>
      </c>
    </row>
    <row r="494">
      <c r="D494">
        <f>IF($B494&lt;&gt;"Yes","",IF($C494="No","Yes",IF($C494="Yes","No","")))</f>
      </c>
      <c r="E494">
        <f>IF($A494="","",IF($A494="Neuron",IF(OR(AND($S494&lt;&gt;"",LOWER(TRIM($S494))&lt;&gt;"n/a",COUNTIF($S$2:$S$532,$S494)&gt;1),AND($T494&lt;&gt;"",LOWER(TRIM($T494))&lt;&gt;"n/a",COUNTIF($T$2:$T$532,$T494)&gt;1),AND($W494&lt;&gt;"",LOWER(TRIM($W494))&lt;&gt;"n/a",COUNTIF($W$2:$W$532,$W494)&gt;1)),"Yes","No"),IF($A494="Cybernet",IF(OR(AND($Y494&lt;&gt;"",LOWER(TRIM($Y494))&lt;&gt;"n/a",COUNTIF($Y$2:$Y$532,$Y494)&gt;1),AND($Z494&lt;&gt;"",LOWER(TRIM($Z494))&lt;&gt;"n/a",COUNTIF($Z$2:$Z$532,$Z494)&gt;1)),"Yes","No"),IF(AND($AL494&lt;&gt;"",LOWER(TRIM($AL494))&lt;&gt;"n/a",COUNTIF($AL$2:$AL$532,$AL494)&gt;1),"Yes","No"))))</f>
      </c>
      <c r="F494">
        <f>IF($B494&lt;&gt;"Yes","",
IF($A494="Neuron",
IF(OR(
AND($S494&lt;&gt;"",LOWER(TRIM($S494))&lt;&gt;"n/a",COUNTIFS($B$2:$B$532,"Yes",$A$2:$A$532,"Neuron",$S$2:$S$532,$S494)&gt;1),
AND($T494&lt;&gt;"",LOWER(TRIM($T494))&lt;&gt;"n/a",COUNTIFS($B$2:$B$532,"Yes",$A$2:$A$532,"Neuron",$T$2:$T$532,$T494)&gt;1),
AND($W494&lt;&gt;"",LOWER(TRIM($W494))&lt;&gt;"n/a",COUNTIFS($B$2:$B$532,"Yes",$A$2:$A$532,"Neuron",$W$2:$W$532,$W494)&gt;1)
),"Yes","No"),
IF($A494="Cybernet",
IF(OR(
AND($Y494&lt;&gt;"",LOWER(TRIM($Y494))&lt;&gt;"n/a",COUNTIFS($B$2:$B$532,"Yes",$A$2:$A$532,"Cybernet",$Y$2:$Y$532,$Y494)&gt;1),
AND($Z494&lt;&gt;"",LOWER(TRIM($Z494))&lt;&gt;"n/a",COUNTIFS($B$2:$B$532,"Yes",$A$2:$A$532,"Cybernet",$Z$2:$Z$532,$Z494)&gt;1)
),"Yes","No"),
IF(AND($AL494&lt;&gt;"",LOWER(TRIM($AL494))&lt;&gt;"n/a"),
IF(COUNTIFS($B$2:$B$532,"Yes",$A$2:$A$532,$A494,$AL$2:$AL$532,$AL494)&gt;1,"Yes","No"),
"No")
)
)
)</f>
      </c>
      <c r="BL494">
        <f>IF($T494="","",IF((IF(AND($AW494&lt;&gt;"Yes",$AW494&lt;&gt;"N/A"),"Power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",""))="","",LEFT(IF(AND($AW494&lt;&gt;"Yes",$AW494&lt;&gt;"N/A"),"Power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",""),LEN(IF(AND($AW494&lt;&gt;"Yes",$AW494&lt;&gt;"N/A"),"Power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",""))-2)))</f>
      </c>
      <c r="BM494">
        <f>IF($T494="","",IF($BL494="","Yes","Blocked"))</f>
      </c>
      <c r="BP494">
        <f>IF($BO494="","",IFERROR(VLOOKUP($BO494,'01_Warehouse_Ledger'!$A:$N,4,FALSE),""))</f>
      </c>
      <c r="BQ494">
        <f>IF($BO494="","",IFERROR(VLOOKUP($BO494,'01_Warehouse_Ledger'!$A:$N,5,FALSE),""))</f>
      </c>
      <c r="BR494">
        <f>IF($BO494="","",IFERROR(VLOOKUP($BO494,'01_Warehouse_Ledger'!$A:$N,13,FALSE),""))</f>
      </c>
    </row>
    <row r="495">
      <c r="D495">
        <f>IF($B495&lt;&gt;"Yes","",IF($C495="No","Yes",IF($C495="Yes","No","")))</f>
      </c>
      <c r="E495">
        <f>IF($A495="","",IF($A495="Neuron",IF(OR(AND($S495&lt;&gt;"",LOWER(TRIM($S495))&lt;&gt;"n/a",COUNTIF($S$2:$S$532,$S495)&gt;1),AND($T495&lt;&gt;"",LOWER(TRIM($T495))&lt;&gt;"n/a",COUNTIF($T$2:$T$532,$T495)&gt;1),AND($W495&lt;&gt;"",LOWER(TRIM($W495))&lt;&gt;"n/a",COUNTIF($W$2:$W$532,$W495)&gt;1)),"Yes","No"),IF($A495="Cybernet",IF(OR(AND($Y495&lt;&gt;"",LOWER(TRIM($Y495))&lt;&gt;"n/a",COUNTIF($Y$2:$Y$532,$Y495)&gt;1),AND($Z495&lt;&gt;"",LOWER(TRIM($Z495))&lt;&gt;"n/a",COUNTIF($Z$2:$Z$532,$Z495)&gt;1)),"Yes","No"),IF(AND($AL495&lt;&gt;"",LOWER(TRIM($AL495))&lt;&gt;"n/a",COUNTIF($AL$2:$AL$532,$AL495)&gt;1),"Yes","No"))))</f>
      </c>
      <c r="F495">
        <f>IF($B495&lt;&gt;"Yes","",
IF($A495="Neuron",
IF(OR(
AND($S495&lt;&gt;"",LOWER(TRIM($S495))&lt;&gt;"n/a",COUNTIFS($B$2:$B$532,"Yes",$A$2:$A$532,"Neuron",$S$2:$S$532,$S495)&gt;1),
AND($T495&lt;&gt;"",LOWER(TRIM($T495))&lt;&gt;"n/a",COUNTIFS($B$2:$B$532,"Yes",$A$2:$A$532,"Neuron",$T$2:$T$532,$T495)&gt;1),
AND($W495&lt;&gt;"",LOWER(TRIM($W495))&lt;&gt;"n/a",COUNTIFS($B$2:$B$532,"Yes",$A$2:$A$532,"Neuron",$W$2:$W$532,$W495)&gt;1)
),"Yes","No"),
IF($A495="Cybernet",
IF(OR(
AND($Y495&lt;&gt;"",LOWER(TRIM($Y495))&lt;&gt;"n/a",COUNTIFS($B$2:$B$532,"Yes",$A$2:$A$532,"Cybernet",$Y$2:$Y$532,$Y495)&gt;1),
AND($Z495&lt;&gt;"",LOWER(TRIM($Z495))&lt;&gt;"n/a",COUNTIFS($B$2:$B$532,"Yes",$A$2:$A$532,"Cybernet",$Z$2:$Z$532,$Z495)&gt;1)
),"Yes","No"),
IF(AND($AL495&lt;&gt;"",LOWER(TRIM($AL495))&lt;&gt;"n/a"),
IF(COUNTIFS($B$2:$B$532,"Yes",$A$2:$A$532,$A495,$AL$2:$AL$532,$AL495)&gt;1,"Yes","No"),
"No")
)
)
)</f>
      </c>
      <c r="BL495">
        <f>IF($T495="","",IF((IF(AND($AW495&lt;&gt;"Yes",$AW495&lt;&gt;"N/A"),"Power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",""))="","",LEFT(IF(AND($AW495&lt;&gt;"Yes",$AW495&lt;&gt;"N/A"),"Power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",""),LEN(IF(AND($AW495&lt;&gt;"Yes",$AW495&lt;&gt;"N/A"),"Power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",""))-2)))</f>
      </c>
      <c r="BM495">
        <f>IF($T495="","",IF($BL495="","Yes","Blocked"))</f>
      </c>
      <c r="BP495">
        <f>IF($BO495="","",IFERROR(VLOOKUP($BO495,'01_Warehouse_Ledger'!$A:$N,4,FALSE),""))</f>
      </c>
      <c r="BQ495">
        <f>IF($BO495="","",IFERROR(VLOOKUP($BO495,'01_Warehouse_Ledger'!$A:$N,5,FALSE),""))</f>
      </c>
      <c r="BR495">
        <f>IF($BO495="","",IFERROR(VLOOKUP($BO495,'01_Warehouse_Ledger'!$A:$N,13,FALSE),""))</f>
      </c>
    </row>
    <row r="496">
      <c r="D496">
        <f>IF($B496&lt;&gt;"Yes","",IF($C496="No","Yes",IF($C496="Yes","No","")))</f>
      </c>
      <c r="E496">
        <f>IF($A496="","",IF($A496="Neuron",IF(OR(AND($S496&lt;&gt;"",LOWER(TRIM($S496))&lt;&gt;"n/a",COUNTIF($S$2:$S$532,$S496)&gt;1),AND($T496&lt;&gt;"",LOWER(TRIM($T496))&lt;&gt;"n/a",COUNTIF($T$2:$T$532,$T496)&gt;1),AND($W496&lt;&gt;"",LOWER(TRIM($W496))&lt;&gt;"n/a",COUNTIF($W$2:$W$532,$W496)&gt;1)),"Yes","No"),IF($A496="Cybernet",IF(OR(AND($Y496&lt;&gt;"",LOWER(TRIM($Y496))&lt;&gt;"n/a",COUNTIF($Y$2:$Y$532,$Y496)&gt;1),AND($Z496&lt;&gt;"",LOWER(TRIM($Z496))&lt;&gt;"n/a",COUNTIF($Z$2:$Z$532,$Z496)&gt;1)),"Yes","No"),IF(AND($AL496&lt;&gt;"",LOWER(TRIM($AL496))&lt;&gt;"n/a",COUNTIF($AL$2:$AL$532,$AL496)&gt;1),"Yes","No"))))</f>
      </c>
      <c r="F496">
        <f>IF($B496&lt;&gt;"Yes","",
IF($A496="Neuron",
IF(OR(
AND($S496&lt;&gt;"",LOWER(TRIM($S496))&lt;&gt;"n/a",COUNTIFS($B$2:$B$532,"Yes",$A$2:$A$532,"Neuron",$S$2:$S$532,$S496)&gt;1),
AND($T496&lt;&gt;"",LOWER(TRIM($T496))&lt;&gt;"n/a",COUNTIFS($B$2:$B$532,"Yes",$A$2:$A$532,"Neuron",$T$2:$T$532,$T496)&gt;1),
AND($W496&lt;&gt;"",LOWER(TRIM($W496))&lt;&gt;"n/a",COUNTIFS($B$2:$B$532,"Yes",$A$2:$A$532,"Neuron",$W$2:$W$532,$W496)&gt;1)
),"Yes","No"),
IF($A496="Cybernet",
IF(OR(
AND($Y496&lt;&gt;"",LOWER(TRIM($Y496))&lt;&gt;"n/a",COUNTIFS($B$2:$B$532,"Yes",$A$2:$A$532,"Cybernet",$Y$2:$Y$532,$Y496)&gt;1),
AND($Z496&lt;&gt;"",LOWER(TRIM($Z496))&lt;&gt;"n/a",COUNTIFS($B$2:$B$532,"Yes",$A$2:$A$532,"Cybernet",$Z$2:$Z$532,$Z496)&gt;1)
),"Yes","No"),
IF(AND($AL496&lt;&gt;"",LOWER(TRIM($AL496))&lt;&gt;"n/a"),
IF(COUNTIFS($B$2:$B$532,"Yes",$A$2:$A$532,$A496,$AL$2:$AL$532,$AL496)&gt;1,"Yes","No"),
"No")
)
)
)</f>
      </c>
      <c r="BL496">
        <f>IF($T496="","",IF((IF(AND($AW496&lt;&gt;"Yes",$AW496&lt;&gt;"N/A"),"Power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",""))="","",LEFT(IF(AND($AW496&lt;&gt;"Yes",$AW496&lt;&gt;"N/A"),"Power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",""),LEN(IF(AND($AW496&lt;&gt;"Yes",$AW496&lt;&gt;"N/A"),"Power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",""))-2)))</f>
      </c>
      <c r="BM496">
        <f>IF($T496="","",IF($BL496="","Yes","Blocked"))</f>
      </c>
      <c r="BP496">
        <f>IF($BO496="","",IFERROR(VLOOKUP($BO496,'01_Warehouse_Ledger'!$A:$N,4,FALSE),""))</f>
      </c>
      <c r="BQ496">
        <f>IF($BO496="","",IFERROR(VLOOKUP($BO496,'01_Warehouse_Ledger'!$A:$N,5,FALSE),""))</f>
      </c>
      <c r="BR496">
        <f>IF($BO496="","",IFERROR(VLOOKUP($BO496,'01_Warehouse_Ledger'!$A:$N,13,FALSE),""))</f>
      </c>
    </row>
    <row r="497">
      <c r="D497">
        <f>IF($B497&lt;&gt;"Yes","",IF($C497="No","Yes",IF($C497="Yes","No","")))</f>
      </c>
      <c r="E497">
        <f>IF($A497="","",IF($A497="Neuron",IF(OR(AND($S497&lt;&gt;"",LOWER(TRIM($S497))&lt;&gt;"n/a",COUNTIF($S$2:$S$532,$S497)&gt;1),AND($T497&lt;&gt;"",LOWER(TRIM($T497))&lt;&gt;"n/a",COUNTIF($T$2:$T$532,$T497)&gt;1),AND($W497&lt;&gt;"",LOWER(TRIM($W497))&lt;&gt;"n/a",COUNTIF($W$2:$W$532,$W497)&gt;1)),"Yes","No"),IF($A497="Cybernet",IF(OR(AND($Y497&lt;&gt;"",LOWER(TRIM($Y497))&lt;&gt;"n/a",COUNTIF($Y$2:$Y$532,$Y497)&gt;1),AND($Z497&lt;&gt;"",LOWER(TRIM($Z497))&lt;&gt;"n/a",COUNTIF($Z$2:$Z$532,$Z497)&gt;1)),"Yes","No"),IF(AND($AL497&lt;&gt;"",LOWER(TRIM($AL497))&lt;&gt;"n/a",COUNTIF($AL$2:$AL$532,$AL497)&gt;1),"Yes","No"))))</f>
      </c>
      <c r="F497">
        <f>IF($B497&lt;&gt;"Yes","",
IF($A497="Neuron",
IF(OR(
AND($S497&lt;&gt;"",LOWER(TRIM($S497))&lt;&gt;"n/a",COUNTIFS($B$2:$B$532,"Yes",$A$2:$A$532,"Neuron",$S$2:$S$532,$S497)&gt;1),
AND($T497&lt;&gt;"",LOWER(TRIM($T497))&lt;&gt;"n/a",COUNTIFS($B$2:$B$532,"Yes",$A$2:$A$532,"Neuron",$T$2:$T$532,$T497)&gt;1),
AND($W497&lt;&gt;"",LOWER(TRIM($W497))&lt;&gt;"n/a",COUNTIFS($B$2:$B$532,"Yes",$A$2:$A$532,"Neuron",$W$2:$W$532,$W497)&gt;1)
),"Yes","No"),
IF($A497="Cybernet",
IF(OR(
AND($Y497&lt;&gt;"",LOWER(TRIM($Y497))&lt;&gt;"n/a",COUNTIFS($B$2:$B$532,"Yes",$A$2:$A$532,"Cybernet",$Y$2:$Y$532,$Y497)&gt;1),
AND($Z497&lt;&gt;"",LOWER(TRIM($Z497))&lt;&gt;"n/a",COUNTIFS($B$2:$B$532,"Yes",$A$2:$A$532,"Cybernet",$Z$2:$Z$532,$Z497)&gt;1)
),"Yes","No"),
IF(AND($AL497&lt;&gt;"",LOWER(TRIM($AL497))&lt;&gt;"n/a"),
IF(COUNTIFS($B$2:$B$532,"Yes",$A$2:$A$532,$A497,$AL$2:$AL$532,$AL497)&gt;1,"Yes","No"),
"No")
)
)
)</f>
      </c>
      <c r="BL497">
        <f>IF($T497="","",IF((IF(AND($AW497&lt;&gt;"Yes",$AW497&lt;&gt;"N/A"),"Power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",""))="","",LEFT(IF(AND($AW497&lt;&gt;"Yes",$AW497&lt;&gt;"N/A"),"Power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",""),LEN(IF(AND($AW497&lt;&gt;"Yes",$AW497&lt;&gt;"N/A"),"Power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",""))-2)))</f>
      </c>
      <c r="BM497">
        <f>IF($T497="","",IF($BL497="","Yes","Blocked"))</f>
      </c>
      <c r="BP497">
        <f>IF($BO497="","",IFERROR(VLOOKUP($BO497,'01_Warehouse_Ledger'!$A:$N,4,FALSE),""))</f>
      </c>
      <c r="BQ497">
        <f>IF($BO497="","",IFERROR(VLOOKUP($BO497,'01_Warehouse_Ledger'!$A:$N,5,FALSE),""))</f>
      </c>
      <c r="BR497">
        <f>IF($BO497="","",IFERROR(VLOOKUP($BO497,'01_Warehouse_Ledger'!$A:$N,13,FALSE),""))</f>
      </c>
    </row>
    <row r="498">
      <c r="D498">
        <f>IF($B498&lt;&gt;"Yes","",IF($C498="No","Yes",IF($C498="Yes","No","")))</f>
      </c>
      <c r="E498">
        <f>IF($A498="","",IF($A498="Neuron",IF(OR(AND($S498&lt;&gt;"",LOWER(TRIM($S498))&lt;&gt;"n/a",COUNTIF($S$2:$S$532,$S498)&gt;1),AND($T498&lt;&gt;"",LOWER(TRIM($T498))&lt;&gt;"n/a",COUNTIF($T$2:$T$532,$T498)&gt;1),AND($W498&lt;&gt;"",LOWER(TRIM($W498))&lt;&gt;"n/a",COUNTIF($W$2:$W$532,$W498)&gt;1)),"Yes","No"),IF($A498="Cybernet",IF(OR(AND($Y498&lt;&gt;"",LOWER(TRIM($Y498))&lt;&gt;"n/a",COUNTIF($Y$2:$Y$532,$Y498)&gt;1),AND($Z498&lt;&gt;"",LOWER(TRIM($Z498))&lt;&gt;"n/a",COUNTIF($Z$2:$Z$532,$Z498)&gt;1)),"Yes","No"),IF(AND($AL498&lt;&gt;"",LOWER(TRIM($AL498))&lt;&gt;"n/a",COUNTIF($AL$2:$AL$532,$AL498)&gt;1),"Yes","No"))))</f>
      </c>
      <c r="F498">
        <f>IF($B498&lt;&gt;"Yes","",
IF($A498="Neuron",
IF(OR(
AND($S498&lt;&gt;"",LOWER(TRIM($S498))&lt;&gt;"n/a",COUNTIFS($B$2:$B$532,"Yes",$A$2:$A$532,"Neuron",$S$2:$S$532,$S498)&gt;1),
AND($T498&lt;&gt;"",LOWER(TRIM($T498))&lt;&gt;"n/a",COUNTIFS($B$2:$B$532,"Yes",$A$2:$A$532,"Neuron",$T$2:$T$532,$T498)&gt;1),
AND($W498&lt;&gt;"",LOWER(TRIM($W498))&lt;&gt;"n/a",COUNTIFS($B$2:$B$532,"Yes",$A$2:$A$532,"Neuron",$W$2:$W$532,$W498)&gt;1)
),"Yes","No"),
IF($A498="Cybernet",
IF(OR(
AND($Y498&lt;&gt;"",LOWER(TRIM($Y498))&lt;&gt;"n/a",COUNTIFS($B$2:$B$532,"Yes",$A$2:$A$532,"Cybernet",$Y$2:$Y$532,$Y498)&gt;1),
AND($Z498&lt;&gt;"",LOWER(TRIM($Z498))&lt;&gt;"n/a",COUNTIFS($B$2:$B$532,"Yes",$A$2:$A$532,"Cybernet",$Z$2:$Z$532,$Z498)&gt;1)
),"Yes","No"),
IF(AND($AL498&lt;&gt;"",LOWER(TRIM($AL498))&lt;&gt;"n/a"),
IF(COUNTIFS($B$2:$B$532,"Yes",$A$2:$A$532,$A498,$AL$2:$AL$532,$AL498)&gt;1,"Yes","No"),
"No")
)
)
)</f>
      </c>
      <c r="BL498">
        <f>IF($T498="","",IF((IF(AND($AW498&lt;&gt;"Yes",$AW498&lt;&gt;"N/A"),"Power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",""))="","",LEFT(IF(AND($AW498&lt;&gt;"Yes",$AW498&lt;&gt;"N/A"),"Power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",""),LEN(IF(AND($AW498&lt;&gt;"Yes",$AW498&lt;&gt;"N/A"),"Power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",""))-2)))</f>
      </c>
      <c r="BM498">
        <f>IF($T498="","",IF($BL498="","Yes","Blocked"))</f>
      </c>
      <c r="BP498">
        <f>IF($BO498="","",IFERROR(VLOOKUP($BO498,'01_Warehouse_Ledger'!$A:$N,4,FALSE),""))</f>
      </c>
      <c r="BQ498">
        <f>IF($BO498="","",IFERROR(VLOOKUP($BO498,'01_Warehouse_Ledger'!$A:$N,5,FALSE),""))</f>
      </c>
      <c r="BR498">
        <f>IF($BO498="","",IFERROR(VLOOKUP($BO498,'01_Warehouse_Ledger'!$A:$N,13,FALSE),""))</f>
      </c>
    </row>
    <row r="499">
      <c r="D499">
        <f>IF($B499&lt;&gt;"Yes","",IF($C499="No","Yes",IF($C499="Yes","No","")))</f>
      </c>
      <c r="E499">
        <f>IF($A499="","",IF($A499="Neuron",IF(OR(AND($S499&lt;&gt;"",LOWER(TRIM($S499))&lt;&gt;"n/a",COUNTIF($S$2:$S$532,$S499)&gt;1),AND($T499&lt;&gt;"",LOWER(TRIM($T499))&lt;&gt;"n/a",COUNTIF($T$2:$T$532,$T499)&gt;1),AND($W499&lt;&gt;"",LOWER(TRIM($W499))&lt;&gt;"n/a",COUNTIF($W$2:$W$532,$W499)&gt;1)),"Yes","No"),IF($A499="Cybernet",IF(OR(AND($Y499&lt;&gt;"",LOWER(TRIM($Y499))&lt;&gt;"n/a",COUNTIF($Y$2:$Y$532,$Y499)&gt;1),AND($Z499&lt;&gt;"",LOWER(TRIM($Z499))&lt;&gt;"n/a",COUNTIF($Z$2:$Z$532,$Z499)&gt;1)),"Yes","No"),IF(AND($AL499&lt;&gt;"",LOWER(TRIM($AL499))&lt;&gt;"n/a",COUNTIF($AL$2:$AL$532,$AL499)&gt;1),"Yes","No"))))</f>
      </c>
      <c r="F499">
        <f>IF($B499&lt;&gt;"Yes","",
IF($A499="Neuron",
IF(OR(
AND($S499&lt;&gt;"",LOWER(TRIM($S499))&lt;&gt;"n/a",COUNTIFS($B$2:$B$532,"Yes",$A$2:$A$532,"Neuron",$S$2:$S$532,$S499)&gt;1),
AND($T499&lt;&gt;"",LOWER(TRIM($T499))&lt;&gt;"n/a",COUNTIFS($B$2:$B$532,"Yes",$A$2:$A$532,"Neuron",$T$2:$T$532,$T499)&gt;1),
AND($W499&lt;&gt;"",LOWER(TRIM($W499))&lt;&gt;"n/a",COUNTIFS($B$2:$B$532,"Yes",$A$2:$A$532,"Neuron",$W$2:$W$532,$W499)&gt;1)
),"Yes","No"),
IF($A499="Cybernet",
IF(OR(
AND($Y499&lt;&gt;"",LOWER(TRIM($Y499))&lt;&gt;"n/a",COUNTIFS($B$2:$B$532,"Yes",$A$2:$A$532,"Cybernet",$Y$2:$Y$532,$Y499)&gt;1),
AND($Z499&lt;&gt;"",LOWER(TRIM($Z499))&lt;&gt;"n/a",COUNTIFS($B$2:$B$532,"Yes",$A$2:$A$532,"Cybernet",$Z$2:$Z$532,$Z499)&gt;1)
),"Yes","No"),
IF(AND($AL499&lt;&gt;"",LOWER(TRIM($AL499))&lt;&gt;"n/a"),
IF(COUNTIFS($B$2:$B$532,"Yes",$A$2:$A$532,$A499,$AL$2:$AL$532,$AL499)&gt;1,"Yes","No"),
"No")
)
)
)</f>
      </c>
      <c r="BL499">
        <f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</c>
      <c r="BM499">
        <f>IF($T499="","",IF($BL499="","Yes","Blocked"))</f>
      </c>
      <c r="BP499">
        <f>IF($BO499="","",IFERROR(VLOOKUP($BO499,'01_Warehouse_Ledger'!$A:$N,4,FALSE),""))</f>
      </c>
      <c r="BQ499">
        <f>IF($BO499="","",IFERROR(VLOOKUP($BO499,'01_Warehouse_Ledger'!$A:$N,5,FALSE),""))</f>
      </c>
      <c r="BR499">
        <f>IF($BO499="","",IFERROR(VLOOKUP($BO499,'01_Warehouse_Ledger'!$A:$N,13,FALSE),""))</f>
      </c>
    </row>
    <row r="500">
      <c r="D500">
        <f>IF($B500&lt;&gt;"Yes","",IF($C500="No","Yes",IF($C500="Yes","No","")))</f>
      </c>
      <c r="E500">
        <f>IF($A500="","",IF($A500="Neuron",IF(OR(AND($S500&lt;&gt;"",LOWER(TRIM($S500))&lt;&gt;"n/a",COUNTIF($S$2:$S$532,$S500)&gt;1),AND($T500&lt;&gt;"",LOWER(TRIM($T500))&lt;&gt;"n/a",COUNTIF($T$2:$T$532,$T500)&gt;1),AND($W500&lt;&gt;"",LOWER(TRIM($W500))&lt;&gt;"n/a",COUNTIF($W$2:$W$532,$W500)&gt;1)),"Yes","No"),IF($A500="Cybernet",IF(OR(AND($Y500&lt;&gt;"",LOWER(TRIM($Y500))&lt;&gt;"n/a",COUNTIF($Y$2:$Y$532,$Y500)&gt;1),AND($Z500&lt;&gt;"",LOWER(TRIM($Z500))&lt;&gt;"n/a",COUNTIF($Z$2:$Z$532,$Z500)&gt;1)),"Yes","No"),IF(AND($AL500&lt;&gt;"",LOWER(TRIM($AL500))&lt;&gt;"n/a",COUNTIF($AL$2:$AL$532,$AL500)&gt;1),"Yes","No"))))</f>
      </c>
      <c r="F500">
        <f>IF($B500&lt;&gt;"Yes","",
IF($A500="Neuron",
IF(OR(
AND($S500&lt;&gt;"",LOWER(TRIM($S500))&lt;&gt;"n/a",COUNTIFS($B$2:$B$532,"Yes",$A$2:$A$532,"Neuron",$S$2:$S$532,$S500)&gt;1),
AND($T500&lt;&gt;"",LOWER(TRIM($T500))&lt;&gt;"n/a",COUNTIFS($B$2:$B$532,"Yes",$A$2:$A$532,"Neuron",$T$2:$T$532,$T500)&gt;1),
AND($W500&lt;&gt;"",LOWER(TRIM($W500))&lt;&gt;"n/a",COUNTIFS($B$2:$B$532,"Yes",$A$2:$A$532,"Neuron",$W$2:$W$532,$W500)&gt;1)
),"Yes","No"),
IF($A500="Cybernet",
IF(OR(
AND($Y500&lt;&gt;"",LOWER(TRIM($Y500))&lt;&gt;"n/a",COUNTIFS($B$2:$B$532,"Yes",$A$2:$A$532,"Cybernet",$Y$2:$Y$532,$Y500)&gt;1),
AND($Z500&lt;&gt;"",LOWER(TRIM($Z500))&lt;&gt;"n/a",COUNTIFS($B$2:$B$532,"Yes",$A$2:$A$532,"Cybernet",$Z$2:$Z$532,$Z500)&gt;1)
),"Yes","No"),
IF(AND($AL500&lt;&gt;"",LOWER(TRIM($AL500))&lt;&gt;"n/a"),
IF(COUNTIFS($B$2:$B$532,"Yes",$A$2:$A$532,$A500,$AL$2:$AL$532,$AL500)&gt;1,"Yes","No"),
"No")
)
)
)</f>
      </c>
      <c r="BL500">
        <f>IF($T500="","",IF((IF(AND($AW500&lt;&gt;"Yes",$AW500&lt;&gt;"N/A"),"Power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",""))="","",LEFT(IF(AND($AW500&lt;&gt;"Yes",$AW500&lt;&gt;"N/A"),"Power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",""),LEN(IF(AND($AW500&lt;&gt;"Yes",$AW500&lt;&gt;"N/A"),"Power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",""))-2)))</f>
      </c>
      <c r="BM500">
        <f>IF($T500="","",IF($BL500="","Yes","Blocked"))</f>
      </c>
      <c r="BP500">
        <f>IF($BO500="","",IFERROR(VLOOKUP($BO500,'01_Warehouse_Ledger'!$A:$N,4,FALSE),""))</f>
      </c>
      <c r="BQ500">
        <f>IF($BO500="","",IFERROR(VLOOKUP($BO500,'01_Warehouse_Ledger'!$A:$N,5,FALSE),""))</f>
      </c>
      <c r="BR500">
        <f>IF($BO500="","",IFERROR(VLOOKUP($BO500,'01_Warehouse_Ledger'!$A:$N,13,FALSE),""))</f>
      </c>
    </row>
    <row r="501">
      <c r="D501">
        <f>IF($B501&lt;&gt;"Yes","",IF($C501="No","Yes",IF($C501="Yes","No","")))</f>
      </c>
      <c r="E501">
        <f>IF($A501="","",IF($A501="Neuron",IF(OR(AND($S501&lt;&gt;"",LOWER(TRIM($S501))&lt;&gt;"n/a",COUNTIF($S$2:$S$532,$S501)&gt;1),AND($T501&lt;&gt;"",LOWER(TRIM($T501))&lt;&gt;"n/a",COUNTIF($T$2:$T$532,$T501)&gt;1),AND($W501&lt;&gt;"",LOWER(TRIM($W501))&lt;&gt;"n/a",COUNTIF($W$2:$W$532,$W501)&gt;1)),"Yes","No"),IF($A501="Cybernet",IF(OR(AND($Y501&lt;&gt;"",LOWER(TRIM($Y501))&lt;&gt;"n/a",COUNTIF($Y$2:$Y$532,$Y501)&gt;1),AND($Z501&lt;&gt;"",LOWER(TRIM($Z501))&lt;&gt;"n/a",COUNTIF($Z$2:$Z$532,$Z501)&gt;1)),"Yes","No"),IF(AND($AL501&lt;&gt;"",LOWER(TRIM($AL501))&lt;&gt;"n/a",COUNTIF($AL$2:$AL$532,$AL501)&gt;1),"Yes","No"))))</f>
      </c>
      <c r="F501">
        <f>IF($B501&lt;&gt;"Yes","",
IF($A501="Neuron",
IF(OR(
AND($S501&lt;&gt;"",LOWER(TRIM($S501))&lt;&gt;"n/a",COUNTIFS($B$2:$B$532,"Yes",$A$2:$A$532,"Neuron",$S$2:$S$532,$S501)&gt;1),
AND($T501&lt;&gt;"",LOWER(TRIM($T501))&lt;&gt;"n/a",COUNTIFS($B$2:$B$532,"Yes",$A$2:$A$532,"Neuron",$T$2:$T$532,$T501)&gt;1),
AND($W501&lt;&gt;"",LOWER(TRIM($W501))&lt;&gt;"n/a",COUNTIFS($B$2:$B$532,"Yes",$A$2:$A$532,"Neuron",$W$2:$W$532,$W501)&gt;1)
),"Yes","No"),
IF($A501="Cybernet",
IF(OR(
AND($Y501&lt;&gt;"",LOWER(TRIM($Y501))&lt;&gt;"n/a",COUNTIFS($B$2:$B$532,"Yes",$A$2:$A$532,"Cybernet",$Y$2:$Y$532,$Y501)&gt;1),
AND($Z501&lt;&gt;"",LOWER(TRIM($Z501))&lt;&gt;"n/a",COUNTIFS($B$2:$B$532,"Yes",$A$2:$A$532,"Cybernet",$Z$2:$Z$532,$Z501)&gt;1)
),"Yes","No"),
IF(AND($AL501&lt;&gt;"",LOWER(TRIM($AL501))&lt;&gt;"n/a"),
IF(COUNTIFS($B$2:$B$532,"Yes",$A$2:$A$532,$A501,$AL$2:$AL$532,$AL501)&gt;1,"Yes","No"),
"No")
)
)
)</f>
      </c>
      <c r="BL501">
        <f>IF($T501="","",IF((IF(AND($AW501&lt;&gt;"Yes",$AW501&lt;&gt;"N/A"),"Power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",""))="","",LEFT(IF(AND($AW501&lt;&gt;"Yes",$AW501&lt;&gt;"N/A"),"Power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",""),LEN(IF(AND($AW501&lt;&gt;"Yes",$AW501&lt;&gt;"N/A"),"Power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",""))-2)))</f>
      </c>
      <c r="BM501">
        <f>IF($T501="","",IF($BL501="","Yes","Blocked"))</f>
      </c>
      <c r="BP501">
        <f>IF($BO501="","",IFERROR(VLOOKUP($BO501,'01_Warehouse_Ledger'!$A:$N,4,FALSE),""))</f>
      </c>
      <c r="BQ501">
        <f>IF($BO501="","",IFERROR(VLOOKUP($BO501,'01_Warehouse_Ledger'!$A:$N,5,FALSE),""))</f>
      </c>
      <c r="BR501">
        <f>IF($BO501="","",IFERROR(VLOOKUP($BO501,'01_Warehouse_Ledger'!$A:$N,13,FALSE),""))</f>
      </c>
    </row>
    <row r="502">
      <c r="D502">
        <f>IF($B502&lt;&gt;"Yes","",IF($C502="No","Yes",IF($C502="Yes","No","")))</f>
      </c>
      <c r="E502">
        <f>IF($A502="","",IF($A502="Neuron",IF(OR(AND($S502&lt;&gt;"",LOWER(TRIM($S502))&lt;&gt;"n/a",COUNTIF($S$2:$S$532,$S502)&gt;1),AND($T502&lt;&gt;"",LOWER(TRIM($T502))&lt;&gt;"n/a",COUNTIF($T$2:$T$532,$T502)&gt;1),AND($W502&lt;&gt;"",LOWER(TRIM($W502))&lt;&gt;"n/a",COUNTIF($W$2:$W$532,$W502)&gt;1)),"Yes","No"),IF($A502="Cybernet",IF(OR(AND($Y502&lt;&gt;"",LOWER(TRIM($Y502))&lt;&gt;"n/a",COUNTIF($Y$2:$Y$532,$Y502)&gt;1),AND($Z502&lt;&gt;"",LOWER(TRIM($Z502))&lt;&gt;"n/a",COUNTIF($Z$2:$Z$532,$Z502)&gt;1)),"Yes","No"),IF(AND($AL502&lt;&gt;"",LOWER(TRIM($AL502))&lt;&gt;"n/a",COUNTIF($AL$2:$AL$532,$AL502)&gt;1),"Yes","No"))))</f>
      </c>
      <c r="F502">
        <f>IF($B502&lt;&gt;"Yes","",
IF($A502="Neuron",
IF(OR(
AND($S502&lt;&gt;"",LOWER(TRIM($S502))&lt;&gt;"n/a",COUNTIFS($B$2:$B$532,"Yes",$A$2:$A$532,"Neuron",$S$2:$S$532,$S502)&gt;1),
AND($T502&lt;&gt;"",LOWER(TRIM($T502))&lt;&gt;"n/a",COUNTIFS($B$2:$B$532,"Yes",$A$2:$A$532,"Neuron",$T$2:$T$532,$T502)&gt;1),
AND($W502&lt;&gt;"",LOWER(TRIM($W502))&lt;&gt;"n/a",COUNTIFS($B$2:$B$532,"Yes",$A$2:$A$532,"Neuron",$W$2:$W$532,$W502)&gt;1)
),"Yes","No"),
IF($A502="Cybernet",
IF(OR(
AND($Y502&lt;&gt;"",LOWER(TRIM($Y502))&lt;&gt;"n/a",COUNTIFS($B$2:$B$532,"Yes",$A$2:$A$532,"Cybernet",$Y$2:$Y$532,$Y502)&gt;1),
AND($Z502&lt;&gt;"",LOWER(TRIM($Z502))&lt;&gt;"n/a",COUNTIFS($B$2:$B$532,"Yes",$A$2:$A$532,"Cybernet",$Z$2:$Z$532,$Z502)&gt;1)
),"Yes","No"),
IF(AND($AL502&lt;&gt;"",LOWER(TRIM($AL502))&lt;&gt;"n/a"),
IF(COUNTIFS($B$2:$B$532,"Yes",$A$2:$A$532,$A502,$AL$2:$AL$532,$AL502)&gt;1,"Yes","No"),
"No")
)
)
)</f>
      </c>
      <c r="BL502">
        <f>IF($T502="","",IF((IF(AND($AW502&lt;&gt;"Yes",$AW502&lt;&gt;"N/A"),"Power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",""))="","",LEFT(IF(AND($AW502&lt;&gt;"Yes",$AW502&lt;&gt;"N/A"),"Power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",""),LEN(IF(AND($AW502&lt;&gt;"Yes",$AW502&lt;&gt;"N/A"),"Power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",""))-2)))</f>
      </c>
      <c r="BM502">
        <f>IF($T502="","",IF($BL502="","Yes","Blocked"))</f>
      </c>
      <c r="BP502">
        <f>IF($BO502="","",IFERROR(VLOOKUP($BO502,'01_Warehouse_Ledger'!$A:$N,4,FALSE),""))</f>
      </c>
      <c r="BQ502">
        <f>IF($BO502="","",IFERROR(VLOOKUP($BO502,'01_Warehouse_Ledger'!$A:$N,5,FALSE),""))</f>
      </c>
      <c r="BR502">
        <f>IF($BO502="","",IFERROR(VLOOKUP($BO502,'01_Warehouse_Ledger'!$A:$N,13,FALSE),""))</f>
      </c>
    </row>
    <row r="503">
      <c r="D503">
        <f>IF($B503&lt;&gt;"Yes","",IF($C503="No","Yes",IF($C503="Yes","No","")))</f>
      </c>
      <c r="E503">
        <f>IF($A503="","",IF($A503="Neuron",IF(OR(AND($S503&lt;&gt;"",LOWER(TRIM($S503))&lt;&gt;"n/a",COUNTIF($S$2:$S$532,$S503)&gt;1),AND($T503&lt;&gt;"",LOWER(TRIM($T503))&lt;&gt;"n/a",COUNTIF($T$2:$T$532,$T503)&gt;1),AND($W503&lt;&gt;"",LOWER(TRIM($W503))&lt;&gt;"n/a",COUNTIF($W$2:$W$532,$W503)&gt;1)),"Yes","No"),IF($A503="Cybernet",IF(OR(AND($Y503&lt;&gt;"",LOWER(TRIM($Y503))&lt;&gt;"n/a",COUNTIF($Y$2:$Y$532,$Y503)&gt;1),AND($Z503&lt;&gt;"",LOWER(TRIM($Z503))&lt;&gt;"n/a",COUNTIF($Z$2:$Z$532,$Z503)&gt;1)),"Yes","No"),IF(AND($AL503&lt;&gt;"",LOWER(TRIM($AL503))&lt;&gt;"n/a",COUNTIF($AL$2:$AL$532,$AL503)&gt;1),"Yes","No"))))</f>
      </c>
      <c r="F503">
        <f>IF($B503&lt;&gt;"Yes","",
IF($A503="Neuron",
IF(OR(
AND($S503&lt;&gt;"",LOWER(TRIM($S503))&lt;&gt;"n/a",COUNTIFS($B$2:$B$532,"Yes",$A$2:$A$532,"Neuron",$S$2:$S$532,$S503)&gt;1),
AND($T503&lt;&gt;"",LOWER(TRIM($T503))&lt;&gt;"n/a",COUNTIFS($B$2:$B$532,"Yes",$A$2:$A$532,"Neuron",$T$2:$T$532,$T503)&gt;1),
AND($W503&lt;&gt;"",LOWER(TRIM($W503))&lt;&gt;"n/a",COUNTIFS($B$2:$B$532,"Yes",$A$2:$A$532,"Neuron",$W$2:$W$532,$W503)&gt;1)
),"Yes","No"),
IF($A503="Cybernet",
IF(OR(
AND($Y503&lt;&gt;"",LOWER(TRIM($Y503))&lt;&gt;"n/a",COUNTIFS($B$2:$B$532,"Yes",$A$2:$A$532,"Cybernet",$Y$2:$Y$532,$Y503)&gt;1),
AND($Z503&lt;&gt;"",LOWER(TRIM($Z503))&lt;&gt;"n/a",COUNTIFS($B$2:$B$532,"Yes",$A$2:$A$532,"Cybernet",$Z$2:$Z$532,$Z503)&gt;1)
),"Yes","No"),
IF(AND($AL503&lt;&gt;"",LOWER(TRIM($AL503))&lt;&gt;"n/a"),
IF(COUNTIFS($B$2:$B$532,"Yes",$A$2:$A$532,$A503,$AL$2:$AL$532,$AL503)&gt;1,"Yes","No"),
"No")
)
)
)</f>
      </c>
      <c r="BL503">
        <f>IF($T503="","",IF((IF(AND($AW503&lt;&gt;"Yes",$AW503&lt;&gt;"N/A"),"Power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",""))="","",LEFT(IF(AND($AW503&lt;&gt;"Yes",$AW503&lt;&gt;"N/A"),"Power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",""),LEN(IF(AND($AW503&lt;&gt;"Yes",$AW503&lt;&gt;"N/A"),"Power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",""))-2)))</f>
      </c>
      <c r="BM503">
        <f>IF($T503="","",IF($BL503="","Yes","Blocked"))</f>
      </c>
      <c r="BP503">
        <f>IF($BO503="","",IFERROR(VLOOKUP($BO503,'01_Warehouse_Ledger'!$A:$N,4,FALSE),""))</f>
      </c>
      <c r="BQ503">
        <f>IF($BO503="","",IFERROR(VLOOKUP($BO503,'01_Warehouse_Ledger'!$A:$N,5,FALSE),""))</f>
      </c>
      <c r="BR503">
        <f>IF($BO503="","",IFERROR(VLOOKUP($BO503,'01_Warehouse_Ledger'!$A:$N,13,FALSE),""))</f>
      </c>
    </row>
    <row r="504">
      <c r="D504">
        <f>IF($B504&lt;&gt;"Yes","",IF($C504="No","Yes",IF($C504="Yes","No","")))</f>
      </c>
      <c r="E504">
        <f>IF($A504="","",IF($A504="Neuron",IF(OR(AND($S504&lt;&gt;"",LOWER(TRIM($S504))&lt;&gt;"n/a",COUNTIF($S$2:$S$532,$S504)&gt;1),AND($T504&lt;&gt;"",LOWER(TRIM($T504))&lt;&gt;"n/a",COUNTIF($T$2:$T$532,$T504)&gt;1),AND($W504&lt;&gt;"",LOWER(TRIM($W504))&lt;&gt;"n/a",COUNTIF($W$2:$W$532,$W504)&gt;1)),"Yes","No"),IF($A504="Cybernet",IF(OR(AND($Y504&lt;&gt;"",LOWER(TRIM($Y504))&lt;&gt;"n/a",COUNTIF($Y$2:$Y$532,$Y504)&gt;1),AND($Z504&lt;&gt;"",LOWER(TRIM($Z504))&lt;&gt;"n/a",COUNTIF($Z$2:$Z$532,$Z504)&gt;1)),"Yes","No"),IF(AND($AL504&lt;&gt;"",LOWER(TRIM($AL504))&lt;&gt;"n/a",COUNTIF($AL$2:$AL$532,$AL504)&gt;1),"Yes","No"))))</f>
      </c>
      <c r="F504">
        <f>IF($B504&lt;&gt;"Yes","",
IF($A504="Neuron",
IF(OR(
AND($S504&lt;&gt;"",LOWER(TRIM($S504))&lt;&gt;"n/a",COUNTIFS($B$2:$B$532,"Yes",$A$2:$A$532,"Neuron",$S$2:$S$532,$S504)&gt;1),
AND($T504&lt;&gt;"",LOWER(TRIM($T504))&lt;&gt;"n/a",COUNTIFS($B$2:$B$532,"Yes",$A$2:$A$532,"Neuron",$T$2:$T$532,$T504)&gt;1),
AND($W504&lt;&gt;"",LOWER(TRIM($W504))&lt;&gt;"n/a",COUNTIFS($B$2:$B$532,"Yes",$A$2:$A$532,"Neuron",$W$2:$W$532,$W504)&gt;1)
),"Yes","No"),
IF($A504="Cybernet",
IF(OR(
AND($Y504&lt;&gt;"",LOWER(TRIM($Y504))&lt;&gt;"n/a",COUNTIFS($B$2:$B$532,"Yes",$A$2:$A$532,"Cybernet",$Y$2:$Y$532,$Y504)&gt;1),
AND($Z504&lt;&gt;"",LOWER(TRIM($Z504))&lt;&gt;"n/a",COUNTIFS($B$2:$B$532,"Yes",$A$2:$A$532,"Cybernet",$Z$2:$Z$532,$Z504)&gt;1)
),"Yes","No"),
IF(AND($AL504&lt;&gt;"",LOWER(TRIM($AL504))&lt;&gt;"n/a"),
IF(COUNTIFS($B$2:$B$532,"Yes",$A$2:$A$532,$A504,$AL$2:$AL$532,$AL504)&gt;1,"Yes","No"),
"No")
)
)
)</f>
      </c>
      <c r="BL504">
        <f>IF($T504="","",IF((IF(AND($AW504&lt;&gt;"Yes",$AW504&lt;&gt;"N/A"),"Power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",""))="","",LEFT(IF(AND($AW504&lt;&gt;"Yes",$AW504&lt;&gt;"N/A"),"Power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",""),LEN(IF(AND($AW504&lt;&gt;"Yes",$AW504&lt;&gt;"N/A"),"Power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",""))-2)))</f>
      </c>
      <c r="BM504">
        <f>IF($T504="","",IF($BL504="","Yes","Blocked"))</f>
      </c>
      <c r="BP504">
        <f>IF($BO504="","",IFERROR(VLOOKUP($BO504,'01_Warehouse_Ledger'!$A:$N,4,FALSE),""))</f>
      </c>
      <c r="BQ504">
        <f>IF($BO504="","",IFERROR(VLOOKUP($BO504,'01_Warehouse_Ledger'!$A:$N,5,FALSE),""))</f>
      </c>
      <c r="BR504">
        <f>IF($BO504="","",IFERROR(VLOOKUP($BO504,'01_Warehouse_Ledger'!$A:$N,13,FALSE),""))</f>
      </c>
    </row>
    <row r="505">
      <c r="D505">
        <f>IF($B505&lt;&gt;"Yes","",IF($C505="No","Yes",IF($C505="Yes","No","")))</f>
      </c>
      <c r="E505">
        <f>IF($A505="","",IF($A505="Neuron",IF(OR(AND($S505&lt;&gt;"",LOWER(TRIM($S505))&lt;&gt;"n/a",COUNTIF($S$2:$S$532,$S505)&gt;1),AND($T505&lt;&gt;"",LOWER(TRIM($T505))&lt;&gt;"n/a",COUNTIF($T$2:$T$532,$T505)&gt;1),AND($W505&lt;&gt;"",LOWER(TRIM($W505))&lt;&gt;"n/a",COUNTIF($W$2:$W$532,$W505)&gt;1)),"Yes","No"),IF($A505="Cybernet",IF(OR(AND($Y505&lt;&gt;"",LOWER(TRIM($Y505))&lt;&gt;"n/a",COUNTIF($Y$2:$Y$532,$Y505)&gt;1),AND($Z505&lt;&gt;"",LOWER(TRIM($Z505))&lt;&gt;"n/a",COUNTIF($Z$2:$Z$532,$Z505)&gt;1)),"Yes","No"),IF(AND($AL505&lt;&gt;"",LOWER(TRIM($AL505))&lt;&gt;"n/a",COUNTIF($AL$2:$AL$532,$AL505)&gt;1),"Yes","No"))))</f>
      </c>
      <c r="F505">
        <f>IF($B505&lt;&gt;"Yes","",
IF($A505="Neuron",
IF(OR(
AND($S505&lt;&gt;"",LOWER(TRIM($S505))&lt;&gt;"n/a",COUNTIFS($B$2:$B$532,"Yes",$A$2:$A$532,"Neuron",$S$2:$S$532,$S505)&gt;1),
AND($T505&lt;&gt;"",LOWER(TRIM($T505))&lt;&gt;"n/a",COUNTIFS($B$2:$B$532,"Yes",$A$2:$A$532,"Neuron",$T$2:$T$532,$T505)&gt;1),
AND($W505&lt;&gt;"",LOWER(TRIM($W505))&lt;&gt;"n/a",COUNTIFS($B$2:$B$532,"Yes",$A$2:$A$532,"Neuron",$W$2:$W$532,$W505)&gt;1)
),"Yes","No"),
IF($A505="Cybernet",
IF(OR(
AND($Y505&lt;&gt;"",LOWER(TRIM($Y505))&lt;&gt;"n/a",COUNTIFS($B$2:$B$532,"Yes",$A$2:$A$532,"Cybernet",$Y$2:$Y$532,$Y505)&gt;1),
AND($Z505&lt;&gt;"",LOWER(TRIM($Z505))&lt;&gt;"n/a",COUNTIFS($B$2:$B$532,"Yes",$A$2:$A$532,"Cybernet",$Z$2:$Z$532,$Z505)&gt;1)
),"Yes","No"),
IF(AND($AL505&lt;&gt;"",LOWER(TRIM($AL505))&lt;&gt;"n/a"),
IF(COUNTIFS($B$2:$B$532,"Yes",$A$2:$A$532,$A505,$AL$2:$AL$532,$AL505)&gt;1,"Yes","No"),
"No")
)
)
)</f>
      </c>
      <c r="BL505">
        <f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</c>
      <c r="BM505">
        <f>IF($T505="","",IF($BL505="","Yes","Blocked"))</f>
      </c>
      <c r="BP505">
        <f>IF($BO505="","",IFERROR(VLOOKUP($BO505,'01_Warehouse_Ledger'!$A:$N,4,FALSE),""))</f>
      </c>
      <c r="BQ505">
        <f>IF($BO505="","",IFERROR(VLOOKUP($BO505,'01_Warehouse_Ledger'!$A:$N,5,FALSE),""))</f>
      </c>
      <c r="BR505">
        <f>IF($BO505="","",IFERROR(VLOOKUP($BO505,'01_Warehouse_Ledger'!$A:$N,13,FALSE),""))</f>
      </c>
    </row>
    <row r="506">
      <c r="D506">
        <f>IF($B506&lt;&gt;"Yes","",IF($C506="No","Yes",IF($C506="Yes","No","")))</f>
      </c>
      <c r="E506">
        <f>IF($A506="","",IF($A506="Neuron",IF(OR(AND($S506&lt;&gt;"",LOWER(TRIM($S506))&lt;&gt;"n/a",COUNTIF($S$2:$S$532,$S506)&gt;1),AND($T506&lt;&gt;"",LOWER(TRIM($T506))&lt;&gt;"n/a",COUNTIF($T$2:$T$532,$T506)&gt;1),AND($W506&lt;&gt;"",LOWER(TRIM($W506))&lt;&gt;"n/a",COUNTIF($W$2:$W$532,$W506)&gt;1)),"Yes","No"),IF($A506="Cybernet",IF(OR(AND($Y506&lt;&gt;"",LOWER(TRIM($Y506))&lt;&gt;"n/a",COUNTIF($Y$2:$Y$532,$Y506)&gt;1),AND($Z506&lt;&gt;"",LOWER(TRIM($Z506))&lt;&gt;"n/a",COUNTIF($Z$2:$Z$532,$Z506)&gt;1)),"Yes","No"),IF(AND($AL506&lt;&gt;"",LOWER(TRIM($AL506))&lt;&gt;"n/a",COUNTIF($AL$2:$AL$532,$AL506)&gt;1),"Yes","No"))))</f>
      </c>
      <c r="F506">
        <f>IF($B506&lt;&gt;"Yes","",
IF($A506="Neuron",
IF(OR(
AND($S506&lt;&gt;"",LOWER(TRIM($S506))&lt;&gt;"n/a",COUNTIFS($B$2:$B$532,"Yes",$A$2:$A$532,"Neuron",$S$2:$S$532,$S506)&gt;1),
AND($T506&lt;&gt;"",LOWER(TRIM($T506))&lt;&gt;"n/a",COUNTIFS($B$2:$B$532,"Yes",$A$2:$A$532,"Neuron",$T$2:$T$532,$T506)&gt;1),
AND($W506&lt;&gt;"",LOWER(TRIM($W506))&lt;&gt;"n/a",COUNTIFS($B$2:$B$532,"Yes",$A$2:$A$532,"Neuron",$W$2:$W$532,$W506)&gt;1)
),"Yes","No"),
IF($A506="Cybernet",
IF(OR(
AND($Y506&lt;&gt;"",LOWER(TRIM($Y506))&lt;&gt;"n/a",COUNTIFS($B$2:$B$532,"Yes",$A$2:$A$532,"Cybernet",$Y$2:$Y$532,$Y506)&gt;1),
AND($Z506&lt;&gt;"",LOWER(TRIM($Z506))&lt;&gt;"n/a",COUNTIFS($B$2:$B$532,"Yes",$A$2:$A$532,"Cybernet",$Z$2:$Z$532,$Z506)&gt;1)
),"Yes","No"),
IF(AND($AL506&lt;&gt;"",LOWER(TRIM($AL506))&lt;&gt;"n/a"),
IF(COUNTIFS($B$2:$B$532,"Yes",$A$2:$A$532,$A506,$AL$2:$AL$532,$AL506)&gt;1,"Yes","No"),
"No")
)
)
)</f>
      </c>
      <c r="BL506">
        <f>IF($T506="","",IF((IF(AND($AW506&lt;&gt;"Yes",$AW506&lt;&gt;"N/A"),"Power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",""))="","",LEFT(IF(AND($AW506&lt;&gt;"Yes",$AW506&lt;&gt;"N/A"),"Power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",""),LEN(IF(AND($AW506&lt;&gt;"Yes",$AW506&lt;&gt;"N/A"),"Power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",""))-2)))</f>
      </c>
      <c r="BM506">
        <f>IF($T506="","",IF($BL506="","Yes","Blocked"))</f>
      </c>
      <c r="BP506">
        <f>IF($BO506="","",IFERROR(VLOOKUP($BO506,'01_Warehouse_Ledger'!$A:$N,4,FALSE),""))</f>
      </c>
      <c r="BQ506">
        <f>IF($BO506="","",IFERROR(VLOOKUP($BO506,'01_Warehouse_Ledger'!$A:$N,5,FALSE),""))</f>
      </c>
      <c r="BR506">
        <f>IF($BO506="","",IFERROR(VLOOKUP($BO506,'01_Warehouse_Ledger'!$A:$N,13,FALSE),""))</f>
      </c>
    </row>
    <row r="507">
      <c r="D507">
        <f>IF($B507&lt;&gt;"Yes","",IF($C507="No","Yes",IF($C507="Yes","No","")))</f>
      </c>
      <c r="E507">
        <f>IF($A507="","",IF($A507="Neuron",IF(OR(AND($S507&lt;&gt;"",LOWER(TRIM($S507))&lt;&gt;"n/a",COUNTIF($S$2:$S$532,$S507)&gt;1),AND($T507&lt;&gt;"",LOWER(TRIM($T507))&lt;&gt;"n/a",COUNTIF($T$2:$T$532,$T507)&gt;1),AND($W507&lt;&gt;"",LOWER(TRIM($W507))&lt;&gt;"n/a",COUNTIF($W$2:$W$532,$W507)&gt;1)),"Yes","No"),IF($A507="Cybernet",IF(OR(AND($Y507&lt;&gt;"",LOWER(TRIM($Y507))&lt;&gt;"n/a",COUNTIF($Y$2:$Y$532,$Y507)&gt;1),AND($Z507&lt;&gt;"",LOWER(TRIM($Z507))&lt;&gt;"n/a",COUNTIF($Z$2:$Z$532,$Z507)&gt;1)),"Yes","No"),IF(AND($AL507&lt;&gt;"",LOWER(TRIM($AL507))&lt;&gt;"n/a",COUNTIF($AL$2:$AL$532,$AL507)&gt;1),"Yes","No"))))</f>
      </c>
      <c r="F507">
        <f>IF($B507&lt;&gt;"Yes","",
IF($A507="Neuron",
IF(OR(
AND($S507&lt;&gt;"",LOWER(TRIM($S507))&lt;&gt;"n/a",COUNTIFS($B$2:$B$532,"Yes",$A$2:$A$532,"Neuron",$S$2:$S$532,$S507)&gt;1),
AND($T507&lt;&gt;"",LOWER(TRIM($T507))&lt;&gt;"n/a",COUNTIFS($B$2:$B$532,"Yes",$A$2:$A$532,"Neuron",$T$2:$T$532,$T507)&gt;1),
AND($W507&lt;&gt;"",LOWER(TRIM($W507))&lt;&gt;"n/a",COUNTIFS($B$2:$B$532,"Yes",$A$2:$A$532,"Neuron",$W$2:$W$532,$W507)&gt;1)
),"Yes","No"),
IF($A507="Cybernet",
IF(OR(
AND($Y507&lt;&gt;"",LOWER(TRIM($Y507))&lt;&gt;"n/a",COUNTIFS($B$2:$B$532,"Yes",$A$2:$A$532,"Cybernet",$Y$2:$Y$532,$Y507)&gt;1),
AND($Z507&lt;&gt;"",LOWER(TRIM($Z507))&lt;&gt;"n/a",COUNTIFS($B$2:$B$532,"Yes",$A$2:$A$532,"Cybernet",$Z$2:$Z$532,$Z507)&gt;1)
),"Yes","No"),
IF(AND($AL507&lt;&gt;"",LOWER(TRIM($AL507))&lt;&gt;"n/a"),
IF(COUNTIFS($B$2:$B$532,"Yes",$A$2:$A$532,$A507,$AL$2:$AL$532,$AL507)&gt;1,"Yes","No"),
"No")
)
)
)</f>
      </c>
      <c r="BL507">
        <f>IF($T507="","",IF((IF(AND($AW507&lt;&gt;"Yes",$AW507&lt;&gt;"N/A"),"Power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",""))="","",LEFT(IF(AND($AW507&lt;&gt;"Yes",$AW507&lt;&gt;"N/A"),"Power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",""),LEN(IF(AND($AW507&lt;&gt;"Yes",$AW507&lt;&gt;"N/A"),"Power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",""))-2)))</f>
      </c>
      <c r="BM507">
        <f>IF($T507="","",IF($BL507="","Yes","Blocked"))</f>
      </c>
      <c r="BP507">
        <f>IF($BO507="","",IFERROR(VLOOKUP($BO507,'01_Warehouse_Ledger'!$A:$N,4,FALSE),""))</f>
      </c>
      <c r="BQ507">
        <f>IF($BO507="","",IFERROR(VLOOKUP($BO507,'01_Warehouse_Ledger'!$A:$N,5,FALSE),""))</f>
      </c>
      <c r="BR507">
        <f>IF($BO507="","",IFERROR(VLOOKUP($BO507,'01_Warehouse_Ledger'!$A:$N,13,FALSE),""))</f>
      </c>
    </row>
    <row r="508">
      <c r="D508">
        <f>IF($B508&lt;&gt;"Yes","",IF($C508="No","Yes",IF($C508="Yes","No","")))</f>
      </c>
      <c r="E508">
        <f>IF($A508="","",IF($A508="Neuron",IF(OR(AND($S508&lt;&gt;"",LOWER(TRIM($S508))&lt;&gt;"n/a",COUNTIF($S$2:$S$532,$S508)&gt;1),AND($T508&lt;&gt;"",LOWER(TRIM($T508))&lt;&gt;"n/a",COUNTIF($T$2:$T$532,$T508)&gt;1),AND($W508&lt;&gt;"",LOWER(TRIM($W508))&lt;&gt;"n/a",COUNTIF($W$2:$W$532,$W508)&gt;1)),"Yes","No"),IF($A508="Cybernet",IF(OR(AND($Y508&lt;&gt;"",LOWER(TRIM($Y508))&lt;&gt;"n/a",COUNTIF($Y$2:$Y$532,$Y508)&gt;1),AND($Z508&lt;&gt;"",LOWER(TRIM($Z508))&lt;&gt;"n/a",COUNTIF($Z$2:$Z$532,$Z508)&gt;1)),"Yes","No"),IF(AND($AL508&lt;&gt;"",LOWER(TRIM($AL508))&lt;&gt;"n/a",COUNTIF($AL$2:$AL$532,$AL508)&gt;1),"Yes","No"))))</f>
      </c>
      <c r="F508">
        <f>IF($B508&lt;&gt;"Yes","",
IF($A508="Neuron",
IF(OR(
AND($S508&lt;&gt;"",LOWER(TRIM($S508))&lt;&gt;"n/a",COUNTIFS($B$2:$B$532,"Yes",$A$2:$A$532,"Neuron",$S$2:$S$532,$S508)&gt;1),
AND($T508&lt;&gt;"",LOWER(TRIM($T508))&lt;&gt;"n/a",COUNTIFS($B$2:$B$532,"Yes",$A$2:$A$532,"Neuron",$T$2:$T$532,$T508)&gt;1),
AND($W508&lt;&gt;"",LOWER(TRIM($W508))&lt;&gt;"n/a",COUNTIFS($B$2:$B$532,"Yes",$A$2:$A$532,"Neuron",$W$2:$W$532,$W508)&gt;1)
),"Yes","No"),
IF($A508="Cybernet",
IF(OR(
AND($Y508&lt;&gt;"",LOWER(TRIM($Y508))&lt;&gt;"n/a",COUNTIFS($B$2:$B$532,"Yes",$A$2:$A$532,"Cybernet",$Y$2:$Y$532,$Y508)&gt;1),
AND($Z508&lt;&gt;"",LOWER(TRIM($Z508))&lt;&gt;"n/a",COUNTIFS($B$2:$B$532,"Yes",$A$2:$A$532,"Cybernet",$Z$2:$Z$532,$Z508)&gt;1)
),"Yes","No"),
IF(AND($AL508&lt;&gt;"",LOWER(TRIM($AL508))&lt;&gt;"n/a"),
IF(COUNTIFS($B$2:$B$532,"Yes",$A$2:$A$532,$A508,$AL$2:$AL$532,$AL508)&gt;1,"Yes","No"),
"No")
)
)
)</f>
      </c>
      <c r="BL508">
        <f>IF($T508="","",IF((IF(AND($AW508&lt;&gt;"Yes",$AW508&lt;&gt;"N/A"),"Power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",""))="","",LEFT(IF(AND($AW508&lt;&gt;"Yes",$AW508&lt;&gt;"N/A"),"Power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",""),LEN(IF(AND($AW508&lt;&gt;"Yes",$AW508&lt;&gt;"N/A"),"Power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",""))-2)))</f>
      </c>
      <c r="BM508">
        <f>IF($T508="","",IF($BL508="","Yes","Blocked"))</f>
      </c>
      <c r="BP508">
        <f>IF($BO508="","",IFERROR(VLOOKUP($BO508,'01_Warehouse_Ledger'!$A:$N,4,FALSE),""))</f>
      </c>
      <c r="BQ508">
        <f>IF($BO508="","",IFERROR(VLOOKUP($BO508,'01_Warehouse_Ledger'!$A:$N,5,FALSE),""))</f>
      </c>
      <c r="BR508">
        <f>IF($BO508="","",IFERROR(VLOOKUP($BO508,'01_Warehouse_Ledger'!$A:$N,13,FALSE),""))</f>
      </c>
    </row>
    <row r="509">
      <c r="D509">
        <f>IF($B509&lt;&gt;"Yes","",IF($C509="No","Yes",IF($C509="Yes","No","")))</f>
      </c>
      <c r="E509">
        <f>IF($A509="","",IF($A509="Neuron",IF(OR(AND($S509&lt;&gt;"",LOWER(TRIM($S509))&lt;&gt;"n/a",COUNTIF($S$2:$S$532,$S509)&gt;1),AND($T509&lt;&gt;"",LOWER(TRIM($T509))&lt;&gt;"n/a",COUNTIF($T$2:$T$532,$T509)&gt;1),AND($W509&lt;&gt;"",LOWER(TRIM($W509))&lt;&gt;"n/a",COUNTIF($W$2:$W$532,$W509)&gt;1)),"Yes","No"),IF($A509="Cybernet",IF(OR(AND($Y509&lt;&gt;"",LOWER(TRIM($Y509))&lt;&gt;"n/a",COUNTIF($Y$2:$Y$532,$Y509)&gt;1),AND($Z509&lt;&gt;"",LOWER(TRIM($Z509))&lt;&gt;"n/a",COUNTIF($Z$2:$Z$532,$Z509)&gt;1)),"Yes","No"),IF(AND($AL509&lt;&gt;"",LOWER(TRIM($AL509))&lt;&gt;"n/a",COUNTIF($AL$2:$AL$532,$AL509)&gt;1),"Yes","No"))))</f>
      </c>
      <c r="F509">
        <f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</c>
      <c r="BL509">
        <f>IF($T509="","",IF((IF(AND($AW509&lt;&gt;"Yes",$AW509&lt;&gt;"N/A"),"Power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",""))="","",LEFT(IF(AND($AW509&lt;&gt;"Yes",$AW509&lt;&gt;"N/A"),"Power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",""),LEN(IF(AND($AW509&lt;&gt;"Yes",$AW509&lt;&gt;"N/A"),"Power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",""))-2)))</f>
      </c>
      <c r="BM509">
        <f>IF($T509="","",IF($BL509="","Yes","Blocked"))</f>
      </c>
    </row>
    <row r="510">
      <c r="D510">
        <f>IF($B510&lt;&gt;"Yes","",IF($C510="No","Yes",IF($C510="Yes","No","")))</f>
      </c>
      <c r="E510">
        <f>IF($A510="","",IF($A510="Neuron",IF(OR(AND($S510&lt;&gt;"",LOWER(TRIM($S510))&lt;&gt;"n/a",COUNTIF($S$2:$S$532,$S510)&gt;1),AND($T510&lt;&gt;"",LOWER(TRIM($T510))&lt;&gt;"n/a",COUNTIF($T$2:$T$532,$T510)&gt;1),AND($W510&lt;&gt;"",LOWER(TRIM($W510))&lt;&gt;"n/a",COUNTIF($W$2:$W$532,$W510)&gt;1)),"Yes","No"),IF($A510="Cybernet",IF(OR(AND($Y510&lt;&gt;"",LOWER(TRIM($Y510))&lt;&gt;"n/a",COUNTIF($Y$2:$Y$532,$Y510)&gt;1),AND($Z510&lt;&gt;"",LOWER(TRIM($Z510))&lt;&gt;"n/a",COUNTIF($Z$2:$Z$532,$Z510)&gt;1)),"Yes","No"),IF(AND($AL510&lt;&gt;"",LOWER(TRIM($AL510))&lt;&gt;"n/a",COUNTIF($AL$2:$AL$532,$AL510)&gt;1),"Yes","No"))))</f>
      </c>
      <c r="F510">
        <f>IF($B510&lt;&gt;"Yes","",IF($A510="Neuron",IF(OR(AND($S510&lt;&gt;"",LOWER(TRIM($S510))&lt;&gt;"n/a",COUNTIFS($B$2:$B$532,"Yes",$A$2:$A$532,"Neuron",$S$2:$S$532,$S510)&gt;1),AND($T510&lt;&gt;"",LOWER(TRIM($T510))&lt;&gt;"n/a",COUNTIFS($B$2:$B$532,"Yes",$A$2:$A$532,"Neuron",$T$2:$T$532,$T510)&gt;1),AND($W510&lt;&gt;"",LOWER(TRIM($W510))&lt;&gt;"n/a",COUNTIFS($B$2:$B$532,"Yes",$A$2:$A$532,"Neuron",$W$2:$W$532,$W510)&gt;1)),"Yes","No"),IF($A510="Cybernet",IF(OR(AND($Y510&lt;&gt;"",LOWER(TRIM($Y510))&lt;&gt;"n/a",COUNTIFS($B$2:$B$532,"Yes",$A$2:$A$532,"Cybernet",$Y$2:$Y$532,$Y510)&gt;1),AND($Z510&lt;&gt;"",LOWER(TRIM($Z510))&lt;&gt;"n/a",COUNTIFS($B$2:$B$532,"Yes",$A$2:$A$532,"Cybernet",$Z$2:$Z$532,$Z510)&gt;1)),"Yes","No"),IF(AND($AL510&lt;&gt;"",LOWER(TRIM($AL510))&lt;&gt;"n/a"),IF(COUNTIFS($B$2:$B$532,"Yes",$A$2:$A$532,$A510,$AL$2:$AL$532,$AL510)&gt;1,"Yes","No"),"No"))))</f>
      </c>
      <c r="BL510">
        <f>IF($T510="","",IF((IF(AND($AW510&lt;&gt;"Yes",$AW510&lt;&gt;"N/A"),"Power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",""))="","",LEFT(IF(AND($AW510&lt;&gt;"Yes",$AW510&lt;&gt;"N/A"),"Power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",""),LEN(IF(AND($AW510&lt;&gt;"Yes",$AW510&lt;&gt;"N/A"),"Power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",""))-2)))</f>
      </c>
      <c r="BM510">
        <f>IF($T510="","",IF($BL510="","Yes","Blocked"))</f>
      </c>
    </row>
    <row r="511">
      <c r="D511">
        <f>IF($B511&lt;&gt;"Yes","",IF($C511="No","Yes",IF($C511="Yes","No","")))</f>
      </c>
      <c r="E511">
        <f>IF($A511="","",IF($A511="Neuron",IF(OR(AND($S511&lt;&gt;"",LOWER(TRIM($S511))&lt;&gt;"n/a",COUNTIF($S$2:$S$532,$S511)&gt;1),AND($T511&lt;&gt;"",LOWER(TRIM($T511))&lt;&gt;"n/a",COUNTIF($T$2:$T$532,$T511)&gt;1),AND($W511&lt;&gt;"",LOWER(TRIM($W511))&lt;&gt;"n/a",COUNTIF($W$2:$W$532,$W511)&gt;1)),"Yes","No"),IF($A511="Cybernet",IF(OR(AND($Y511&lt;&gt;"",LOWER(TRIM($Y511))&lt;&gt;"n/a",COUNTIF($Y$2:$Y$532,$Y511)&gt;1),AND($Z511&lt;&gt;"",LOWER(TRIM($Z511))&lt;&gt;"n/a",COUNTIF($Z$2:$Z$532,$Z511)&gt;1)),"Yes","No"),IF(AND($AL511&lt;&gt;"",LOWER(TRIM($AL511))&lt;&gt;"n/a",COUNTIF($AL$2:$AL$532,$AL511)&gt;1),"Yes","No"))))</f>
      </c>
      <c r="F511">
        <f>IF($B511&lt;&gt;"Yes","",IF($A511="Neuron",IF(OR(AND($S511&lt;&gt;"",LOWER(TRIM($S511))&lt;&gt;"n/a",COUNTIFS($B$2:$B$532,"Yes",$A$2:$A$532,"Neuron",$S$2:$S$532,$S511)&gt;1),AND($T511&lt;&gt;"",LOWER(TRIM($T511))&lt;&gt;"n/a",COUNTIFS($B$2:$B$532,"Yes",$A$2:$A$532,"Neuron",$T$2:$T$532,$T511)&gt;1),AND($W511&lt;&gt;"",LOWER(TRIM($W511))&lt;&gt;"n/a",COUNTIFS($B$2:$B$532,"Yes",$A$2:$A$532,"Neuron",$W$2:$W$532,$W511)&gt;1)),"Yes","No"),IF($A511="Cybernet",IF(OR(AND($Y511&lt;&gt;"",LOWER(TRIM($Y511))&lt;&gt;"n/a",COUNTIFS($B$2:$B$532,"Yes",$A$2:$A$532,"Cybernet",$Y$2:$Y$532,$Y511)&gt;1),AND($Z511&lt;&gt;"",LOWER(TRIM($Z511))&lt;&gt;"n/a",COUNTIFS($B$2:$B$532,"Yes",$A$2:$A$532,"Cybernet",$Z$2:$Z$532,$Z511)&gt;1)),"Yes","No"),IF(AND($AL511&lt;&gt;"",LOWER(TRIM($AL511))&lt;&gt;"n/a"),IF(COUNTIFS($B$2:$B$532,"Yes",$A$2:$A$532,$A511,$AL$2:$AL$532,$AL511)&gt;1,"Yes","No"),"No"))))</f>
      </c>
      <c r="BL511">
        <f>IF($T511="","",IF((IF(AND($AW511&lt;&gt;"Yes",$AW511&lt;&gt;"N/A"),"Power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",""))="","",LEFT(IF(AND($AW511&lt;&gt;"Yes",$AW511&lt;&gt;"N/A"),"Power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",""),LEN(IF(AND($AW511&lt;&gt;"Yes",$AW511&lt;&gt;"N/A"),"Power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",""))-2)))</f>
      </c>
      <c r="BM511">
        <f>IF($T511="","",IF($BL511="","Yes","Blocked"))</f>
      </c>
    </row>
    <row r="512">
      <c r="D512">
        <f>IF($B512&lt;&gt;"Yes","",IF($C512="No","Yes",IF($C512="Yes","No","")))</f>
      </c>
      <c r="E512">
        <f>IF($A512="","",IF($A512="Neuron",IF(OR(AND($S512&lt;&gt;"",LOWER(TRIM($S512))&lt;&gt;"n/a",COUNTIF($S$2:$S$532,$S512)&gt;1),AND($T512&lt;&gt;"",LOWER(TRIM($T512))&lt;&gt;"n/a",COUNTIF($T$2:$T$532,$T512)&gt;1),AND($W512&lt;&gt;"",LOWER(TRIM($W512))&lt;&gt;"n/a",COUNTIF($W$2:$W$532,$W512)&gt;1)),"Yes","No"),IF($A512="Cybernet",IF(OR(AND($Y512&lt;&gt;"",LOWER(TRIM($Y512))&lt;&gt;"n/a",COUNTIF($Y$2:$Y$532,$Y512)&gt;1),AND($Z512&lt;&gt;"",LOWER(TRIM($Z512))&lt;&gt;"n/a",COUNTIF($Z$2:$Z$532,$Z512)&gt;1)),"Yes","No"),IF(AND($AL512&lt;&gt;"",LOWER(TRIM($AL512))&lt;&gt;"n/a",COUNTIF($AL$2:$AL$532,$AL512)&gt;1),"Yes","No"))))</f>
      </c>
      <c r="F512">
        <f>IF($B512&lt;&gt;"Yes","",IF($A512="Neuron",IF(OR(AND($S512&lt;&gt;"",LOWER(TRIM($S512))&lt;&gt;"n/a",COUNTIFS($B$2:$B$532,"Yes",$A$2:$A$532,"Neuron",$S$2:$S$532,$S512)&gt;1),AND($T512&lt;&gt;"",LOWER(TRIM($T512))&lt;&gt;"n/a",COUNTIFS($B$2:$B$532,"Yes",$A$2:$A$532,"Neuron",$T$2:$T$532,$T512)&gt;1),AND($W512&lt;&gt;"",LOWER(TRIM($W512))&lt;&gt;"n/a",COUNTIFS($B$2:$B$532,"Yes",$A$2:$A$532,"Neuron",$W$2:$W$532,$W512)&gt;1)),"Yes","No"),IF($A512="Cybernet",IF(OR(AND($Y512&lt;&gt;"",LOWER(TRIM($Y512))&lt;&gt;"n/a",COUNTIFS($B$2:$B$532,"Yes",$A$2:$A$532,"Cybernet",$Y$2:$Y$532,$Y512)&gt;1),AND($Z512&lt;&gt;"",LOWER(TRIM($Z512))&lt;&gt;"n/a",COUNTIFS($B$2:$B$532,"Yes",$A$2:$A$532,"Cybernet",$Z$2:$Z$532,$Z512)&gt;1)),"Yes","No"),IF(AND($AL512&lt;&gt;"",LOWER(TRIM($AL512))&lt;&gt;"n/a"),IF(COUNTIFS($B$2:$B$532,"Yes",$A$2:$A$532,$A512,$AL$2:$AL$532,$AL512)&gt;1,"Yes","No"),"No"))))</f>
      </c>
      <c r="BL512">
        <f>IF($T512="","",IF((IF(AND($AW512&lt;&gt;"Yes",$AW512&lt;&gt;"N/A"),"Power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",""))="","",LEFT(IF(AND($AW512&lt;&gt;"Yes",$AW512&lt;&gt;"N/A"),"Power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",""),LEN(IF(AND($AW512&lt;&gt;"Yes",$AW512&lt;&gt;"N/A"),"Power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",""))-2)))</f>
      </c>
      <c r="BM512">
        <f>IF($T512="","",IF($BL512="","Yes","Blocked"))</f>
      </c>
    </row>
    <row r="513">
      <c r="D513">
        <f>IF($B513&lt;&gt;"Yes","",IF($C513="No","Yes",IF($C513="Yes","No","")))</f>
      </c>
      <c r="E513">
        <f>IF($A513="","",IF($A513="Neuron",IF(OR(AND($S513&lt;&gt;"",LOWER(TRIM($S513))&lt;&gt;"n/a",COUNTIF($S$2:$S$532,$S513)&gt;1),AND($T513&lt;&gt;"",LOWER(TRIM($T513))&lt;&gt;"n/a",COUNTIF($T$2:$T$532,$T513)&gt;1),AND($W513&lt;&gt;"",LOWER(TRIM($W513))&lt;&gt;"n/a",COUNTIF($W$2:$W$532,$W513)&gt;1)),"Yes","No"),IF($A513="Cybernet",IF(OR(AND($Y513&lt;&gt;"",LOWER(TRIM($Y513))&lt;&gt;"n/a",COUNTIF($Y$2:$Y$532,$Y513)&gt;1),AND($Z513&lt;&gt;"",LOWER(TRIM($Z513))&lt;&gt;"n/a",COUNTIF($Z$2:$Z$532,$Z513)&gt;1)),"Yes","No"),IF(AND($AL513&lt;&gt;"",LOWER(TRIM($AL513))&lt;&gt;"n/a",COUNTIF($AL$2:$AL$532,$AL513)&gt;1),"Yes","No"))))</f>
      </c>
      <c r="F513">
        <f>IF($B513&lt;&gt;"Yes","",IF($A513="Neuron",IF(OR(AND($S513&lt;&gt;"",LOWER(TRIM($S513))&lt;&gt;"n/a",COUNTIFS($B$2:$B$532,"Yes",$A$2:$A$532,"Neuron",$S$2:$S$532,$S513)&gt;1),AND($T513&lt;&gt;"",LOWER(TRIM($T513))&lt;&gt;"n/a",COUNTIFS($B$2:$B$532,"Yes",$A$2:$A$532,"Neuron",$T$2:$T$532,$T513)&gt;1),AND($W513&lt;&gt;"",LOWER(TRIM($W513))&lt;&gt;"n/a",COUNTIFS($B$2:$B$532,"Yes",$A$2:$A$532,"Neuron",$W$2:$W$532,$W513)&gt;1)),"Yes","No"),IF($A513="Cybernet",IF(OR(AND($Y513&lt;&gt;"",LOWER(TRIM($Y513))&lt;&gt;"n/a",COUNTIFS($B$2:$B$532,"Yes",$A$2:$A$532,"Cybernet",$Y$2:$Y$532,$Y513)&gt;1),AND($Z513&lt;&gt;"",LOWER(TRIM($Z513))&lt;&gt;"n/a",COUNTIFS($B$2:$B$532,"Yes",$A$2:$A$532,"Cybernet",$Z$2:$Z$532,$Z513)&gt;1)),"Yes","No"),IF(AND($AL513&lt;&gt;"",LOWER(TRIM($AL513))&lt;&gt;"n/a"),IF(COUNTIFS($B$2:$B$532,"Yes",$A$2:$A$532,$A513,$AL$2:$AL$532,$AL513)&gt;1,"Yes","No"),"No"))))</f>
      </c>
      <c r="BL513">
        <f>IF($T513="","",IF((IF(AND($AW513&lt;&gt;"Yes",$AW513&lt;&gt;"N/A"),"Power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",""))="","",LEFT(IF(AND($AW513&lt;&gt;"Yes",$AW513&lt;&gt;"N/A"),"Power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",""),LEN(IF(AND($AW513&lt;&gt;"Yes",$AW513&lt;&gt;"N/A"),"Power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",""))-2)))</f>
      </c>
      <c r="BM513">
        <f>IF($T513="","",IF($BL513="","Yes","Blocked"))</f>
      </c>
    </row>
    <row r="514">
      <c r="D514">
        <f>IF($B514&lt;&gt;"Yes","",IF($C514="No","Yes",IF($C514="Yes","No","")))</f>
      </c>
      <c r="E514">
        <f>IF($A514="","",IF($A514="Neuron",IF(OR(AND($S514&lt;&gt;"",LOWER(TRIM($S514))&lt;&gt;"n/a",COUNTIF($S$2:$S$532,$S514)&gt;1),AND($T514&lt;&gt;"",LOWER(TRIM($T514))&lt;&gt;"n/a",COUNTIF($T$2:$T$532,$T514)&gt;1),AND($W514&lt;&gt;"",LOWER(TRIM($W514))&lt;&gt;"n/a",COUNTIF($W$2:$W$532,$W514)&gt;1)),"Yes","No"),IF($A514="Cybernet",IF(OR(AND($Y514&lt;&gt;"",LOWER(TRIM($Y514))&lt;&gt;"n/a",COUNTIF($Y$2:$Y$532,$Y514)&gt;1),AND($Z514&lt;&gt;"",LOWER(TRIM($Z514))&lt;&gt;"n/a",COUNTIF($Z$2:$Z$532,$Z514)&gt;1)),"Yes","No"),IF(AND($AL514&lt;&gt;"",LOWER(TRIM($AL514))&lt;&gt;"n/a",COUNTIF($AL$2:$AL$532,$AL514)&gt;1),"Yes","No"))))</f>
      </c>
      <c r="F514">
        <f>IF($B514&lt;&gt;"Yes","",IF($A514="Neuron",IF(OR(AND($S514&lt;&gt;"",LOWER(TRIM($S514))&lt;&gt;"n/a",COUNTIFS($B$2:$B$532,"Yes",$A$2:$A$532,"Neuron",$S$2:$S$532,$S514)&gt;1),AND($T514&lt;&gt;"",LOWER(TRIM($T514))&lt;&gt;"n/a",COUNTIFS($B$2:$B$532,"Yes",$A$2:$A$532,"Neuron",$T$2:$T$532,$T514)&gt;1),AND($W514&lt;&gt;"",LOWER(TRIM($W514))&lt;&gt;"n/a",COUNTIFS($B$2:$B$532,"Yes",$A$2:$A$532,"Neuron",$W$2:$W$532,$W514)&gt;1)),"Yes","No"),IF($A514="Cybernet",IF(OR(AND($Y514&lt;&gt;"",LOWER(TRIM($Y514))&lt;&gt;"n/a",COUNTIFS($B$2:$B$532,"Yes",$A$2:$A$532,"Cybernet",$Y$2:$Y$532,$Y514)&gt;1),AND($Z514&lt;&gt;"",LOWER(TRIM($Z514))&lt;&gt;"n/a",COUNTIFS($B$2:$B$532,"Yes",$A$2:$A$532,"Cybernet",$Z$2:$Z$532,$Z514)&gt;1)),"Yes","No"),IF(AND($AL514&lt;&gt;"",LOWER(TRIM($AL514))&lt;&gt;"n/a"),IF(COUNTIFS($B$2:$B$532,"Yes",$A$2:$A$532,$A514,$AL$2:$AL$532,$AL514)&gt;1,"Yes","No"),"No"))))</f>
      </c>
      <c r="BL514">
        <f>IF($T514="","",IF((IF(AND($AW514&lt;&gt;"Yes",$AW514&lt;&gt;"N/A"),"Power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",""))="","",LEFT(IF(AND($AW514&lt;&gt;"Yes",$AW514&lt;&gt;"N/A"),"Power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",""),LEN(IF(AND($AW514&lt;&gt;"Yes",$AW514&lt;&gt;"N/A"),"Power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",""))-2)))</f>
      </c>
      <c r="BM514">
        <f>IF($T514="","",IF($BL514="","Yes","Blocked"))</f>
      </c>
    </row>
    <row r="515">
      <c r="D515">
        <f>IF($B515&lt;&gt;"Yes","",IF($C515="No","Yes",IF($C515="Yes","No","")))</f>
      </c>
      <c r="E515">
        <f>IF($A515="","",IF($A515="Neuron",IF(OR(AND($S515&lt;&gt;"",LOWER(TRIM($S515))&lt;&gt;"n/a",COUNTIF($S$2:$S$532,$S515)&gt;1),AND($T515&lt;&gt;"",LOWER(TRIM($T515))&lt;&gt;"n/a",COUNTIF($T$2:$T$532,$T515)&gt;1),AND($W515&lt;&gt;"",LOWER(TRIM($W515))&lt;&gt;"n/a",COUNTIF($W$2:$W$532,$W515)&gt;1)),"Yes","No"),IF($A515="Cybernet",IF(OR(AND($Y515&lt;&gt;"",LOWER(TRIM($Y515))&lt;&gt;"n/a",COUNTIF($Y$2:$Y$532,$Y515)&gt;1),AND($Z515&lt;&gt;"",LOWER(TRIM($Z515))&lt;&gt;"n/a",COUNTIF($Z$2:$Z$532,$Z515)&gt;1)),"Yes","No"),IF(AND($AL515&lt;&gt;"",LOWER(TRIM($AL515))&lt;&gt;"n/a",COUNTIF($AL$2:$AL$532,$AL515)&gt;1),"Yes","No"))))</f>
      </c>
      <c r="F515">
        <f>IF($B515&lt;&gt;"Yes","",IF($A515="Neuron",IF(OR(AND($S515&lt;&gt;"",LOWER(TRIM($S515))&lt;&gt;"n/a",COUNTIFS($B$2:$B$532,"Yes",$A$2:$A$532,"Neuron",$S$2:$S$532,$S515)&gt;1),AND($T515&lt;&gt;"",LOWER(TRIM($T515))&lt;&gt;"n/a",COUNTIFS($B$2:$B$532,"Yes",$A$2:$A$532,"Neuron",$T$2:$T$532,$T515)&gt;1),AND($W515&lt;&gt;"",LOWER(TRIM($W515))&lt;&gt;"n/a",COUNTIFS($B$2:$B$532,"Yes",$A$2:$A$532,"Neuron",$W$2:$W$532,$W515)&gt;1)),"Yes","No"),IF($A515="Cybernet",IF(OR(AND($Y515&lt;&gt;"",LOWER(TRIM($Y515))&lt;&gt;"n/a",COUNTIFS($B$2:$B$532,"Yes",$A$2:$A$532,"Cybernet",$Y$2:$Y$532,$Y515)&gt;1),AND($Z515&lt;&gt;"",LOWER(TRIM($Z515))&lt;&gt;"n/a",COUNTIFS($B$2:$B$532,"Yes",$A$2:$A$532,"Cybernet",$Z$2:$Z$532,$Z515)&gt;1)),"Yes","No"),IF(AND($AL515&lt;&gt;"",LOWER(TRIM($AL515))&lt;&gt;"n/a"),IF(COUNTIFS($B$2:$B$532,"Yes",$A$2:$A$532,$A515,$AL$2:$AL$532,$AL515)&gt;1,"Yes","No"),"No"))))</f>
      </c>
      <c r="BL515">
        <f>IF($T515="","",IF((IF(AND($AW515&lt;&gt;"Yes",$AW515&lt;&gt;"N/A"),"Power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",""))="","",LEFT(IF(AND($AW515&lt;&gt;"Yes",$AW515&lt;&gt;"N/A"),"Power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",""),LEN(IF(AND($AW515&lt;&gt;"Yes",$AW515&lt;&gt;"N/A"),"Power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",""))-2)))</f>
      </c>
      <c r="BM515">
        <f>IF($T515="","",IF($BL515="","Yes","Blocked"))</f>
      </c>
    </row>
    <row r="516">
      <c r="D516">
        <f>IF($B516&lt;&gt;"Yes","",IF($C516="No","Yes",IF($C516="Yes","No","")))</f>
      </c>
      <c r="E516">
        <f>IF($A516="","",IF($A516="Neuron",IF(OR(AND($S516&lt;&gt;"",LOWER(TRIM($S516))&lt;&gt;"n/a",COUNTIF($S$2:$S$532,$S516)&gt;1),AND($T516&lt;&gt;"",LOWER(TRIM($T516))&lt;&gt;"n/a",COUNTIF($T$2:$T$532,$T516)&gt;1),AND($W516&lt;&gt;"",LOWER(TRIM($W516))&lt;&gt;"n/a",COUNTIF($W$2:$W$532,$W516)&gt;1)),"Yes","No"),IF($A516="Cybernet",IF(OR(AND($Y516&lt;&gt;"",LOWER(TRIM($Y516))&lt;&gt;"n/a",COUNTIF($Y$2:$Y$532,$Y516)&gt;1),AND($Z516&lt;&gt;"",LOWER(TRIM($Z516))&lt;&gt;"n/a",COUNTIF($Z$2:$Z$532,$Z516)&gt;1)),"Yes","No"),IF(AND($AL516&lt;&gt;"",LOWER(TRIM($AL516))&lt;&gt;"n/a",COUNTIF($AL$2:$AL$532,$AL516)&gt;1),"Yes","No"))))</f>
      </c>
      <c r="F516">
        <f>IF($B516&lt;&gt;"Yes","",IF($A516="Neuron",IF(OR(AND($S516&lt;&gt;"",LOWER(TRIM($S516))&lt;&gt;"n/a",COUNTIFS($B$2:$B$532,"Yes",$A$2:$A$532,"Neuron",$S$2:$S$532,$S516)&gt;1),AND($T516&lt;&gt;"",LOWER(TRIM($T516))&lt;&gt;"n/a",COUNTIFS($B$2:$B$532,"Yes",$A$2:$A$532,"Neuron",$T$2:$T$532,$T516)&gt;1),AND($W516&lt;&gt;"",LOWER(TRIM($W516))&lt;&gt;"n/a",COUNTIFS($B$2:$B$532,"Yes",$A$2:$A$532,"Neuron",$W$2:$W$532,$W516)&gt;1)),"Yes","No"),IF($A516="Cybernet",IF(OR(AND($Y516&lt;&gt;"",LOWER(TRIM($Y516))&lt;&gt;"n/a",COUNTIFS($B$2:$B$532,"Yes",$A$2:$A$532,"Cybernet",$Y$2:$Y$532,$Y516)&gt;1),AND($Z516&lt;&gt;"",LOWER(TRIM($Z516))&lt;&gt;"n/a",COUNTIFS($B$2:$B$532,"Yes",$A$2:$A$532,"Cybernet",$Z$2:$Z$532,$Z516)&gt;1)),"Yes","No"),IF(AND($AL516&lt;&gt;"",LOWER(TRIM($AL516))&lt;&gt;"n/a"),IF(COUNTIFS($B$2:$B$532,"Yes",$A$2:$A$532,$A516,$AL$2:$AL$532,$AL516)&gt;1,"Yes","No"),"No"))))</f>
      </c>
      <c r="BL516">
        <f>IF($T516="","",IF((IF(AND($AW516&lt;&gt;"Yes",$AW516&lt;&gt;"N/A"),"Power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",""))="","",LEFT(IF(AND($AW516&lt;&gt;"Yes",$AW516&lt;&gt;"N/A"),"Power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",""),LEN(IF(AND($AW516&lt;&gt;"Yes",$AW516&lt;&gt;"N/A"),"Power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",""))-2)))</f>
      </c>
      <c r="BM516">
        <f>IF($T516="","",IF($BL516="","Yes","Blocked"))</f>
      </c>
    </row>
    <row r="517">
      <c r="D517">
        <f>IF($B517&lt;&gt;"Yes","",IF($C517="No","Yes",IF($C517="Yes","No","")))</f>
      </c>
      <c r="E517">
        <f>IF($A517="","",IF($A517="Neuron",IF(OR(AND($S517&lt;&gt;"",LOWER(TRIM($S517))&lt;&gt;"n/a",COUNTIF($S$2:$S$532,$S517)&gt;1),AND($T517&lt;&gt;"",LOWER(TRIM($T517))&lt;&gt;"n/a",COUNTIF($T$2:$T$532,$T517)&gt;1),AND($W517&lt;&gt;"",LOWER(TRIM($W517))&lt;&gt;"n/a",COUNTIF($W$2:$W$532,$W517)&gt;1)),"Yes","No"),IF($A517="Cybernet",IF(OR(AND($Y517&lt;&gt;"",LOWER(TRIM($Y517))&lt;&gt;"n/a",COUNTIF($Y$2:$Y$532,$Y517)&gt;1),AND($Z517&lt;&gt;"",LOWER(TRIM($Z517))&lt;&gt;"n/a",COUNTIF($Z$2:$Z$532,$Z517)&gt;1)),"Yes","No"),IF(AND($AL517&lt;&gt;"",LOWER(TRIM($AL517))&lt;&gt;"n/a",COUNTIF($AL$2:$AL$532,$AL517)&gt;1),"Yes","No"))))</f>
      </c>
      <c r="F517">
        <f>IF($B517&lt;&gt;"Yes","",IF($A517="Neuron",IF(OR(AND($S517&lt;&gt;"",LOWER(TRIM($S517))&lt;&gt;"n/a",COUNTIFS($B$2:$B$532,"Yes",$A$2:$A$532,"Neuron",$S$2:$S$532,$S517)&gt;1),AND($T517&lt;&gt;"",LOWER(TRIM($T517))&lt;&gt;"n/a",COUNTIFS($B$2:$B$532,"Yes",$A$2:$A$532,"Neuron",$T$2:$T$532,$T517)&gt;1),AND($W517&lt;&gt;"",LOWER(TRIM($W517))&lt;&gt;"n/a",COUNTIFS($B$2:$B$532,"Yes",$A$2:$A$532,"Neuron",$W$2:$W$532,$W517)&gt;1)),"Yes","No"),IF($A517="Cybernet",IF(OR(AND($Y517&lt;&gt;"",LOWER(TRIM($Y517))&lt;&gt;"n/a",COUNTIFS($B$2:$B$532,"Yes",$A$2:$A$532,"Cybernet",$Y$2:$Y$532,$Y517)&gt;1),AND($Z517&lt;&gt;"",LOWER(TRIM($Z517))&lt;&gt;"n/a",COUNTIFS($B$2:$B$532,"Yes",$A$2:$A$532,"Cybernet",$Z$2:$Z$532,$Z517)&gt;1)),"Yes","No"),IF(AND($AL517&lt;&gt;"",LOWER(TRIM($AL517))&lt;&gt;"n/a"),IF(COUNTIFS($B$2:$B$532,"Yes",$A$2:$A$532,$A517,$AL$2:$AL$532,$AL517)&gt;1,"Yes","No"),"No"))))</f>
      </c>
      <c r="BL517">
        <f>IF($T517="","",IF((IF(AND($AW517&lt;&gt;"Yes",$AW517&lt;&gt;"N/A"),"Power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",""))="","",LEFT(IF(AND($AW517&lt;&gt;"Yes",$AW517&lt;&gt;"N/A"),"Power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",""),LEN(IF(AND($AW517&lt;&gt;"Yes",$AW517&lt;&gt;"N/A"),"Power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",""))-2)))</f>
      </c>
      <c r="BM517">
        <f>IF($T517="","",IF($BL517="","Yes","Blocked"))</f>
      </c>
    </row>
    <row r="518">
      <c r="D518">
        <f>IF($B518&lt;&gt;"Yes","",IF($C518="No","Yes",IF($C518="Yes","No","")))</f>
      </c>
      <c r="E518">
        <f>IF($A518="","",IF($A518="Neuron",IF(OR(AND($S518&lt;&gt;"",LOWER(TRIM($S518))&lt;&gt;"n/a",COUNTIF($S$2:$S$532,$S518)&gt;1),AND($T518&lt;&gt;"",LOWER(TRIM($T518))&lt;&gt;"n/a",COUNTIF($T$2:$T$532,$T518)&gt;1),AND($W518&lt;&gt;"",LOWER(TRIM($W518))&lt;&gt;"n/a",COUNTIF($W$2:$W$532,$W518)&gt;1)),"Yes","No"),IF($A518="Cybernet",IF(OR(AND($Y518&lt;&gt;"",LOWER(TRIM($Y518))&lt;&gt;"n/a",COUNTIF($Y$2:$Y$532,$Y518)&gt;1),AND($Z518&lt;&gt;"",LOWER(TRIM($Z518))&lt;&gt;"n/a",COUNTIF($Z$2:$Z$532,$Z518)&gt;1)),"Yes","No"),IF(AND($AL518&lt;&gt;"",LOWER(TRIM($AL518))&lt;&gt;"n/a",COUNTIF($AL$2:$AL$532,$AL518)&gt;1),"Yes","No"))))</f>
      </c>
      <c r="F518">
        <f>IF($B518&lt;&gt;"Yes","",IF($A518="Neuron",IF(OR(AND($S518&lt;&gt;"",LOWER(TRIM($S518))&lt;&gt;"n/a",COUNTIFS($B$2:$B$532,"Yes",$A$2:$A$532,"Neuron",$S$2:$S$532,$S518)&gt;1),AND($T518&lt;&gt;"",LOWER(TRIM($T518))&lt;&gt;"n/a",COUNTIFS($B$2:$B$532,"Yes",$A$2:$A$532,"Neuron",$T$2:$T$532,$T518)&gt;1),AND($W518&lt;&gt;"",LOWER(TRIM($W518))&lt;&gt;"n/a",COUNTIFS($B$2:$B$532,"Yes",$A$2:$A$532,"Neuron",$W$2:$W$532,$W518)&gt;1)),"Yes","No"),IF($A518="Cybernet",IF(OR(AND($Y518&lt;&gt;"",LOWER(TRIM($Y518))&lt;&gt;"n/a",COUNTIFS($B$2:$B$532,"Yes",$A$2:$A$532,"Cybernet",$Y$2:$Y$532,$Y518)&gt;1),AND($Z518&lt;&gt;"",LOWER(TRIM($Z518))&lt;&gt;"n/a",COUNTIFS($B$2:$B$532,"Yes",$A$2:$A$532,"Cybernet",$Z$2:$Z$532,$Z518)&gt;1)),"Yes","No"),IF(AND($AL518&lt;&gt;"",LOWER(TRIM($AL518))&lt;&gt;"n/a"),IF(COUNTIFS($B$2:$B$532,"Yes",$A$2:$A$532,$A518,$AL$2:$AL$532,$AL518)&gt;1,"Yes","No"),"No"))))</f>
      </c>
      <c r="BL518">
        <f>IF($T518="","",IF((IF(AND($AW518&lt;&gt;"Yes",$AW518&lt;&gt;"N/A"),"Power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",""))="","",LEFT(IF(AND($AW518&lt;&gt;"Yes",$AW518&lt;&gt;"N/A"),"Power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",""),LEN(IF(AND($AW518&lt;&gt;"Yes",$AW518&lt;&gt;"N/A"),"Power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",""))-2)))</f>
      </c>
      <c r="BM518">
        <f>IF($T518="","",IF($BL518="","Yes","Blocked"))</f>
      </c>
    </row>
    <row r="519">
      <c r="D519">
        <f>IF($B519&lt;&gt;"Yes","",IF($C519="No","Yes",IF($C519="Yes","No","")))</f>
      </c>
      <c r="E519">
        <f>IF($A519="","",IF($A519="Neuron",IF(OR(AND($S519&lt;&gt;"",LOWER(TRIM($S519))&lt;&gt;"n/a",COUNTIF($S$2:$S$532,$S519)&gt;1),AND($T519&lt;&gt;"",LOWER(TRIM($T519))&lt;&gt;"n/a",COUNTIF($T$2:$T$532,$T519)&gt;1),AND($W519&lt;&gt;"",LOWER(TRIM($W519))&lt;&gt;"n/a",COUNTIF($W$2:$W$532,$W519)&gt;1)),"Yes","No"),IF($A519="Cybernet",IF(OR(AND($Y519&lt;&gt;"",LOWER(TRIM($Y519))&lt;&gt;"n/a",COUNTIF($Y$2:$Y$532,$Y519)&gt;1),AND($Z519&lt;&gt;"",LOWER(TRIM($Z519))&lt;&gt;"n/a",COUNTIF($Z$2:$Z$532,$Z519)&gt;1)),"Yes","No"),IF(AND($AL519&lt;&gt;"",LOWER(TRIM($AL519))&lt;&gt;"n/a",COUNTIF($AL$2:$AL$532,$AL519)&gt;1),"Yes","No"))))</f>
      </c>
      <c r="F519">
        <f>IF($B519&lt;&gt;"Yes","",IF($A519="Neuron",IF(OR(AND($S519&lt;&gt;"",LOWER(TRIM($S519))&lt;&gt;"n/a",COUNTIFS($B$2:$B$532,"Yes",$A$2:$A$532,"Neuron",$S$2:$S$532,$S519)&gt;1),AND($T519&lt;&gt;"",LOWER(TRIM($T519))&lt;&gt;"n/a",COUNTIFS($B$2:$B$532,"Yes",$A$2:$A$532,"Neuron",$T$2:$T$532,$T519)&gt;1),AND($W519&lt;&gt;"",LOWER(TRIM($W519))&lt;&gt;"n/a",COUNTIFS($B$2:$B$532,"Yes",$A$2:$A$532,"Neuron",$W$2:$W$532,$W519)&gt;1)),"Yes","No"),IF($A519="Cybernet",IF(OR(AND($Y519&lt;&gt;"",LOWER(TRIM($Y519))&lt;&gt;"n/a",COUNTIFS($B$2:$B$532,"Yes",$A$2:$A$532,"Cybernet",$Y$2:$Y$532,$Y519)&gt;1),AND($Z519&lt;&gt;"",LOWER(TRIM($Z519))&lt;&gt;"n/a",COUNTIFS($B$2:$B$532,"Yes",$A$2:$A$532,"Cybernet",$Z$2:$Z$532,$Z519)&gt;1)),"Yes","No"),IF(AND($AL519&lt;&gt;"",LOWER(TRIM($AL519))&lt;&gt;"n/a"),IF(COUNTIFS($B$2:$B$532,"Yes",$A$2:$A$532,$A519,$AL$2:$AL$532,$AL519)&gt;1,"Yes","No"),"No"))))</f>
      </c>
      <c r="BL519">
        <f>IF($T519="","",IF((IF(AND($AW519&lt;&gt;"Yes",$AW519&lt;&gt;"N/A"),"Power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",""))="","",LEFT(IF(AND($AW519&lt;&gt;"Yes",$AW519&lt;&gt;"N/A"),"Power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",""),LEN(IF(AND($AW519&lt;&gt;"Yes",$AW519&lt;&gt;"N/A"),"Power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",""))-2)))</f>
      </c>
      <c r="BM519">
        <f>IF($T519="","",IF($BL519="","Yes","Blocked"))</f>
      </c>
    </row>
    <row r="520">
      <c r="D520">
        <f>IF($B520&lt;&gt;"Yes","",IF($C520="No","Yes",IF($C520="Yes","No","")))</f>
      </c>
      <c r="E520">
        <f>IF($A520="","",IF($A520="Neuron",IF(OR(AND($S520&lt;&gt;"",LOWER(TRIM($S520))&lt;&gt;"n/a",COUNTIF($S$2:$S$532,$S520)&gt;1),AND($T520&lt;&gt;"",LOWER(TRIM($T520))&lt;&gt;"n/a",COUNTIF($T$2:$T$532,$T520)&gt;1),AND($W520&lt;&gt;"",LOWER(TRIM($W520))&lt;&gt;"n/a",COUNTIF($W$2:$W$532,$W520)&gt;1)),"Yes","No"),IF($A520="Cybernet",IF(OR(AND($Y520&lt;&gt;"",LOWER(TRIM($Y520))&lt;&gt;"n/a",COUNTIF($Y$2:$Y$532,$Y520)&gt;1),AND($Z520&lt;&gt;"",LOWER(TRIM($Z520))&lt;&gt;"n/a",COUNTIF($Z$2:$Z$532,$Z520)&gt;1)),"Yes","No"),IF(AND($AL520&lt;&gt;"",LOWER(TRIM($AL520))&lt;&gt;"n/a",COUNTIF($AL$2:$AL$532,$AL520)&gt;1),"Yes","No"))))</f>
      </c>
      <c r="F520">
        <f>IF($B520&lt;&gt;"Yes","",IF($A520="Neuron",IF(OR(AND($S520&lt;&gt;"",LOWER(TRIM($S520))&lt;&gt;"n/a",COUNTIFS($B$2:$B$532,"Yes",$A$2:$A$532,"Neuron",$S$2:$S$532,$S520)&gt;1),AND($T520&lt;&gt;"",LOWER(TRIM($T520))&lt;&gt;"n/a",COUNTIFS($B$2:$B$532,"Yes",$A$2:$A$532,"Neuron",$T$2:$T$532,$T520)&gt;1),AND($W520&lt;&gt;"",LOWER(TRIM($W520))&lt;&gt;"n/a",COUNTIFS($B$2:$B$532,"Yes",$A$2:$A$532,"Neuron",$W$2:$W$532,$W520)&gt;1)),"Yes","No"),IF($A520="Cybernet",IF(OR(AND($Y520&lt;&gt;"",LOWER(TRIM($Y520))&lt;&gt;"n/a",COUNTIFS($B$2:$B$532,"Yes",$A$2:$A$532,"Cybernet",$Y$2:$Y$532,$Y520)&gt;1),AND($Z520&lt;&gt;"",LOWER(TRIM($Z520))&lt;&gt;"n/a",COUNTIFS($B$2:$B$532,"Yes",$A$2:$A$532,"Cybernet",$Z$2:$Z$532,$Z520)&gt;1)),"Yes","No"),IF(AND($AL520&lt;&gt;"",LOWER(TRIM($AL520))&lt;&gt;"n/a"),IF(COUNTIFS($B$2:$B$532,"Yes",$A$2:$A$532,$A520,$AL$2:$AL$532,$AL520)&gt;1,"Yes","No"),"No"))))</f>
      </c>
      <c r="BL520">
        <f>IF($T520="","",IF((IF(AND($AW520&lt;&gt;"Yes",$AW520&lt;&gt;"N/A"),"Power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",""))="","",LEFT(IF(AND($AW520&lt;&gt;"Yes",$AW520&lt;&gt;"N/A"),"Power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",""),LEN(IF(AND($AW520&lt;&gt;"Yes",$AW520&lt;&gt;"N/A"),"Power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",""))-2)))</f>
      </c>
      <c r="BM520">
        <f>IF($T520="","",IF($BL520="","Yes","Blocked"))</f>
      </c>
    </row>
    <row r="521">
      <c r="D521">
        <f>IF($B521&lt;&gt;"Yes","",IF($C521="No","Yes",IF($C521="Yes","No","")))</f>
      </c>
      <c r="E521">
        <f>IF($A521="","",IF($A521="Neuron",IF(OR(AND($S521&lt;&gt;"",LOWER(TRIM($S521))&lt;&gt;"n/a",COUNTIF($S$2:$S$532,$S521)&gt;1),AND($T521&lt;&gt;"",LOWER(TRIM($T521))&lt;&gt;"n/a",COUNTIF($T$2:$T$532,$T521)&gt;1),AND($W521&lt;&gt;"",LOWER(TRIM($W521))&lt;&gt;"n/a",COUNTIF($W$2:$W$532,$W521)&gt;1)),"Yes","No"),IF($A521="Cybernet",IF(OR(AND($Y521&lt;&gt;"",LOWER(TRIM($Y521))&lt;&gt;"n/a",COUNTIF($Y$2:$Y$532,$Y521)&gt;1),AND($Z521&lt;&gt;"",LOWER(TRIM($Z521))&lt;&gt;"n/a",COUNTIF($Z$2:$Z$532,$Z521)&gt;1)),"Yes","No"),IF(AND($AL521&lt;&gt;"",LOWER(TRIM($AL521))&lt;&gt;"n/a",COUNTIF($AL$2:$AL$532,$AL521)&gt;1),"Yes","No"))))</f>
      </c>
      <c r="F521">
        <f>IF($B521&lt;&gt;"Yes","",IF($A521="Neuron",IF(OR(AND($S521&lt;&gt;"",LOWER(TRIM($S521))&lt;&gt;"n/a",COUNTIFS($B$2:$B$532,"Yes",$A$2:$A$532,"Neuron",$S$2:$S$532,$S521)&gt;1),AND($T521&lt;&gt;"",LOWER(TRIM($T521))&lt;&gt;"n/a",COUNTIFS($B$2:$B$532,"Yes",$A$2:$A$532,"Neuron",$T$2:$T$532,$T521)&gt;1),AND($W521&lt;&gt;"",LOWER(TRIM($W521))&lt;&gt;"n/a",COUNTIFS($B$2:$B$532,"Yes",$A$2:$A$532,"Neuron",$W$2:$W$532,$W521)&gt;1)),"Yes","No"),IF($A521="Cybernet",IF(OR(AND($Y521&lt;&gt;"",LOWER(TRIM($Y521))&lt;&gt;"n/a",COUNTIFS($B$2:$B$532,"Yes",$A$2:$A$532,"Cybernet",$Y$2:$Y$532,$Y521)&gt;1),AND($Z521&lt;&gt;"",LOWER(TRIM($Z521))&lt;&gt;"n/a",COUNTIFS($B$2:$B$532,"Yes",$A$2:$A$532,"Cybernet",$Z$2:$Z$532,$Z521)&gt;1)),"Yes","No"),IF(AND($AL521&lt;&gt;"",LOWER(TRIM($AL521))&lt;&gt;"n/a"),IF(COUNTIFS($B$2:$B$532,"Yes",$A$2:$A$532,$A521,$AL$2:$AL$532,$AL521)&gt;1,"Yes","No"),"No"))))</f>
      </c>
      <c r="BL521">
        <f>IF($T521="","",IF((IF(AND($AW521&lt;&gt;"Yes",$AW521&lt;&gt;"N/A"),"Power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",""))="","",LEFT(IF(AND($AW521&lt;&gt;"Yes",$AW521&lt;&gt;"N/A"),"Power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",""),LEN(IF(AND($AW521&lt;&gt;"Yes",$AW521&lt;&gt;"N/A"),"Power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",""))-2)))</f>
      </c>
      <c r="BM521">
        <f>IF($T521="","",IF($BL521="","Yes","Blocked"))</f>
      </c>
    </row>
    <row r="522">
      <c r="D522">
        <f>IF($B522&lt;&gt;"Yes","",IF($C522="No","Yes",IF($C522="Yes","No","")))</f>
      </c>
      <c r="E522">
        <f>IF($A522="","",IF($A522="Neuron",IF(OR(AND($S522&lt;&gt;"",LOWER(TRIM($S522))&lt;&gt;"n/a",COUNTIF($S$2:$S$532,$S522)&gt;1),AND($T522&lt;&gt;"",LOWER(TRIM($T522))&lt;&gt;"n/a",COUNTIF($T$2:$T$532,$T522)&gt;1),AND($W522&lt;&gt;"",LOWER(TRIM($W522))&lt;&gt;"n/a",COUNTIF($W$2:$W$532,$W522)&gt;1)),"Yes","No"),IF($A522="Cybernet",IF(OR(AND($Y522&lt;&gt;"",LOWER(TRIM($Y522))&lt;&gt;"n/a",COUNTIF($Y$2:$Y$532,$Y522)&gt;1),AND($Z522&lt;&gt;"",LOWER(TRIM($Z522))&lt;&gt;"n/a",COUNTIF($Z$2:$Z$532,$Z522)&gt;1)),"Yes","No"),IF(AND($AL522&lt;&gt;"",LOWER(TRIM($AL522))&lt;&gt;"n/a",COUNTIF($AL$2:$AL$532,$AL522)&gt;1),"Yes","No"))))</f>
      </c>
      <c r="F522">
        <f>IF($B522&lt;&gt;"Yes","",IF($A522="Neuron",IF(OR(AND($S522&lt;&gt;"",LOWER(TRIM($S522))&lt;&gt;"n/a",COUNTIFS($B$2:$B$532,"Yes",$A$2:$A$532,"Neuron",$S$2:$S$532,$S522)&gt;1),AND($T522&lt;&gt;"",LOWER(TRIM($T522))&lt;&gt;"n/a",COUNTIFS($B$2:$B$532,"Yes",$A$2:$A$532,"Neuron",$T$2:$T$532,$T522)&gt;1),AND($W522&lt;&gt;"",LOWER(TRIM($W522))&lt;&gt;"n/a",COUNTIFS($B$2:$B$532,"Yes",$A$2:$A$532,"Neuron",$W$2:$W$532,$W522)&gt;1)),"Yes","No"),IF($A522="Cybernet",IF(OR(AND($Y522&lt;&gt;"",LOWER(TRIM($Y522))&lt;&gt;"n/a",COUNTIFS($B$2:$B$532,"Yes",$A$2:$A$532,"Cybernet",$Y$2:$Y$532,$Y522)&gt;1),AND($Z522&lt;&gt;"",LOWER(TRIM($Z522))&lt;&gt;"n/a",COUNTIFS($B$2:$B$532,"Yes",$A$2:$A$532,"Cybernet",$Z$2:$Z$532,$Z522)&gt;1)),"Yes","No"),IF(AND($AL522&lt;&gt;"",LOWER(TRIM($AL522))&lt;&gt;"n/a"),IF(COUNTIFS($B$2:$B$532,"Yes",$A$2:$A$532,$A522,$AL$2:$AL$532,$AL522)&gt;1,"Yes","No"),"No"))))</f>
      </c>
      <c r="BL522">
        <f>IF($T522="","",IF((IF(AND($AW522&lt;&gt;"Yes",$AW522&lt;&gt;"N/A"),"Power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",""))="","",LEFT(IF(AND($AW522&lt;&gt;"Yes",$AW522&lt;&gt;"N/A"),"Power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",""),LEN(IF(AND($AW522&lt;&gt;"Yes",$AW522&lt;&gt;"N/A"),"Power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",""))-2)))</f>
      </c>
      <c r="BM522">
        <f>IF($T522="","",IF($BL522="","Yes","Blocked"))</f>
      </c>
    </row>
    <row r="523">
      <c r="D523">
        <f>IF($B523&lt;&gt;"Yes","",IF($C523="No","Yes",IF($C523="Yes","No","")))</f>
      </c>
      <c r="E523">
        <f>IF($A523="","",IF($A523="Neuron",IF(OR(AND($S523&lt;&gt;"",LOWER(TRIM($S523))&lt;&gt;"n/a",COUNTIF($S$2:$S$532,$S523)&gt;1),AND($T523&lt;&gt;"",LOWER(TRIM($T523))&lt;&gt;"n/a",COUNTIF($T$2:$T$532,$T523)&gt;1),AND($W523&lt;&gt;"",LOWER(TRIM($W523))&lt;&gt;"n/a",COUNTIF($W$2:$W$532,$W523)&gt;1)),"Yes","No"),IF($A523="Cybernet",IF(OR(AND($Y523&lt;&gt;"",LOWER(TRIM($Y523))&lt;&gt;"n/a",COUNTIF($Y$2:$Y$532,$Y523)&gt;1),AND($Z523&lt;&gt;"",LOWER(TRIM($Z523))&lt;&gt;"n/a",COUNTIF($Z$2:$Z$532,$Z523)&gt;1)),"Yes","No"),IF(AND($AL523&lt;&gt;"",LOWER(TRIM($AL523))&lt;&gt;"n/a",COUNTIF($AL$2:$AL$532,$AL523)&gt;1),"Yes","No"))))</f>
      </c>
      <c r="F523">
        <f>IF($B523&lt;&gt;"Yes","",IF($A523="Neuron",IF(OR(AND($S523&lt;&gt;"",LOWER(TRIM($S523))&lt;&gt;"n/a",COUNTIFS($B$2:$B$532,"Yes",$A$2:$A$532,"Neuron",$S$2:$S$532,$S523)&gt;1),AND($T523&lt;&gt;"",LOWER(TRIM($T523))&lt;&gt;"n/a",COUNTIFS($B$2:$B$532,"Yes",$A$2:$A$532,"Neuron",$T$2:$T$532,$T523)&gt;1),AND($W523&lt;&gt;"",LOWER(TRIM($W523))&lt;&gt;"n/a",COUNTIFS($B$2:$B$532,"Yes",$A$2:$A$532,"Neuron",$W$2:$W$532,$W523)&gt;1)),"Yes","No"),IF($A523="Cybernet",IF(OR(AND($Y523&lt;&gt;"",LOWER(TRIM($Y523))&lt;&gt;"n/a",COUNTIFS($B$2:$B$532,"Yes",$A$2:$A$532,"Cybernet",$Y$2:$Y$532,$Y523)&gt;1),AND($Z523&lt;&gt;"",LOWER(TRIM($Z523))&lt;&gt;"n/a",COUNTIFS($B$2:$B$532,"Yes",$A$2:$A$532,"Cybernet",$Z$2:$Z$532,$Z523)&gt;1)),"Yes","No"),IF(AND($AL523&lt;&gt;"",LOWER(TRIM($AL523))&lt;&gt;"n/a"),IF(COUNTIFS($B$2:$B$532,"Yes",$A$2:$A$532,$A523,$AL$2:$AL$532,$AL523)&gt;1,"Yes","No"),"No"))))</f>
      </c>
      <c r="BL523">
        <f>IF($T523="","",IF((IF(AND($AW523&lt;&gt;"Yes",$AW523&lt;&gt;"N/A"),"Power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",""))="","",LEFT(IF(AND($AW523&lt;&gt;"Yes",$AW523&lt;&gt;"N/A"),"Power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",""),LEN(IF(AND($AW523&lt;&gt;"Yes",$AW523&lt;&gt;"N/A"),"Power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",""))-2)))</f>
      </c>
      <c r="BM523">
        <f>IF($T523="","",IF($BL523="","Yes","Blocked"))</f>
      </c>
    </row>
    <row r="524">
      <c r="D524">
        <f>IF($B524&lt;&gt;"Yes","",IF($C524="No","Yes",IF($C524="Yes","No","")))</f>
      </c>
      <c r="E524">
        <f>IF($A524="","",IF($A524="Neuron",IF(OR(AND($S524&lt;&gt;"",LOWER(TRIM($S524))&lt;&gt;"n/a",COUNTIF($S$2:$S$532,$S524)&gt;1),AND($T524&lt;&gt;"",LOWER(TRIM($T524))&lt;&gt;"n/a",COUNTIF($T$2:$T$532,$T524)&gt;1),AND($W524&lt;&gt;"",LOWER(TRIM($W524))&lt;&gt;"n/a",COUNTIF($W$2:$W$532,$W524)&gt;1)),"Yes","No"),IF($A524="Cybernet",IF(OR(AND($Y524&lt;&gt;"",LOWER(TRIM($Y524))&lt;&gt;"n/a",COUNTIF($Y$2:$Y$532,$Y524)&gt;1),AND($Z524&lt;&gt;"",LOWER(TRIM($Z524))&lt;&gt;"n/a",COUNTIF($Z$2:$Z$532,$Z524)&gt;1)),"Yes","No"),IF(AND($AL524&lt;&gt;"",LOWER(TRIM($AL524))&lt;&gt;"n/a",COUNTIF($AL$2:$AL$532,$AL524)&gt;1),"Yes","No"))))</f>
      </c>
      <c r="F524">
        <f>IF($B524&lt;&gt;"Yes","",IF($A524="Neuron",IF(OR(AND($S524&lt;&gt;"",LOWER(TRIM($S524))&lt;&gt;"n/a",COUNTIFS($B$2:$B$532,"Yes",$A$2:$A$532,"Neuron",$S$2:$S$532,$S524)&gt;1),AND($T524&lt;&gt;"",LOWER(TRIM($T524))&lt;&gt;"n/a",COUNTIFS($B$2:$B$532,"Yes",$A$2:$A$532,"Neuron",$T$2:$T$532,$T524)&gt;1),AND($W524&lt;&gt;"",LOWER(TRIM($W524))&lt;&gt;"n/a",COUNTIFS($B$2:$B$532,"Yes",$A$2:$A$532,"Neuron",$W$2:$W$532,$W524)&gt;1)),"Yes","No"),IF($A524="Cybernet",IF(OR(AND($Y524&lt;&gt;"",LOWER(TRIM($Y524))&lt;&gt;"n/a",COUNTIFS($B$2:$B$532,"Yes",$A$2:$A$532,"Cybernet",$Y$2:$Y$532,$Y524)&gt;1),AND($Z524&lt;&gt;"",LOWER(TRIM($Z524))&lt;&gt;"n/a",COUNTIFS($B$2:$B$532,"Yes",$A$2:$A$532,"Cybernet",$Z$2:$Z$532,$Z524)&gt;1)),"Yes","No"),IF(AND($AL524&lt;&gt;"",LOWER(TRIM($AL524))&lt;&gt;"n/a"),IF(COUNTIFS($B$2:$B$532,"Yes",$A$2:$A$532,$A524,$AL$2:$AL$532,$AL524)&gt;1,"Yes","No"),"No"))))</f>
      </c>
      <c r="BL524">
        <f>IF($T524="","",IF((IF(AND($AW524&lt;&gt;"Yes",$AW524&lt;&gt;"N/A"),"Power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",""))="","",LEFT(IF(AND($AW524&lt;&gt;"Yes",$AW524&lt;&gt;"N/A"),"Power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",""),LEN(IF(AND($AW524&lt;&gt;"Yes",$AW524&lt;&gt;"N/A"),"Power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",""))-2)))</f>
      </c>
      <c r="BM524">
        <f>IF($T524="","",IF($BL524="","Yes","Blocked"))</f>
      </c>
    </row>
    <row r="525">
      <c r="D525">
        <f>IF($B525&lt;&gt;"Yes","",IF($C525="No","Yes",IF($C525="Yes","No","")))</f>
      </c>
      <c r="E525">
        <f>IF($A525="","",IF($A525="Neuron",IF(OR(AND($S525&lt;&gt;"",LOWER(TRIM($S525))&lt;&gt;"n/a",COUNTIF($S$2:$S$532,$S525)&gt;1),AND($T525&lt;&gt;"",LOWER(TRIM($T525))&lt;&gt;"n/a",COUNTIF($T$2:$T$532,$T525)&gt;1),AND($W525&lt;&gt;"",LOWER(TRIM($W525))&lt;&gt;"n/a",COUNTIF($W$2:$W$532,$W525)&gt;1)),"Yes","No"),IF($A525="Cybernet",IF(OR(AND($Y525&lt;&gt;"",LOWER(TRIM($Y525))&lt;&gt;"n/a",COUNTIF($Y$2:$Y$532,$Y525)&gt;1),AND($Z525&lt;&gt;"",LOWER(TRIM($Z525))&lt;&gt;"n/a",COUNTIF($Z$2:$Z$532,$Z525)&gt;1)),"Yes","No"),IF(AND($AL525&lt;&gt;"",LOWER(TRIM($AL525))&lt;&gt;"n/a",COUNTIF($AL$2:$AL$532,$AL525)&gt;1),"Yes","No"))))</f>
      </c>
      <c r="F525">
        <f>IF($B525&lt;&gt;"Yes","",IF($A525="Neuron",IF(OR(AND($S525&lt;&gt;"",LOWER(TRIM($S525))&lt;&gt;"n/a",COUNTIFS($B$2:$B$532,"Yes",$A$2:$A$532,"Neuron",$S$2:$S$532,$S525)&gt;1),AND($T525&lt;&gt;"",LOWER(TRIM($T525))&lt;&gt;"n/a",COUNTIFS($B$2:$B$532,"Yes",$A$2:$A$532,"Neuron",$T$2:$T$532,$T525)&gt;1),AND($W525&lt;&gt;"",LOWER(TRIM($W525))&lt;&gt;"n/a",COUNTIFS($B$2:$B$532,"Yes",$A$2:$A$532,"Neuron",$W$2:$W$532,$W525)&gt;1)),"Yes","No"),IF($A525="Cybernet",IF(OR(AND($Y525&lt;&gt;"",LOWER(TRIM($Y525))&lt;&gt;"n/a",COUNTIFS($B$2:$B$532,"Yes",$A$2:$A$532,"Cybernet",$Y$2:$Y$532,$Y525)&gt;1),AND($Z525&lt;&gt;"",LOWER(TRIM($Z525))&lt;&gt;"n/a",COUNTIFS($B$2:$B$532,"Yes",$A$2:$A$532,"Cybernet",$Z$2:$Z$532,$Z525)&gt;1)),"Yes","No"),IF(AND($AL525&lt;&gt;"",LOWER(TRIM($AL525))&lt;&gt;"n/a"),IF(COUNTIFS($B$2:$B$532,"Yes",$A$2:$A$532,$A525,$AL$2:$AL$532,$AL525)&gt;1,"Yes","No"),"No"))))</f>
      </c>
      <c r="BL525">
        <f>IF($T525="","",IF((IF(AND($AW525&lt;&gt;"Yes",$AW525&lt;&gt;"N/A"),"Power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",""))="","",LEFT(IF(AND($AW525&lt;&gt;"Yes",$AW525&lt;&gt;"N/A"),"Power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",""),LEN(IF(AND($AW525&lt;&gt;"Yes",$AW525&lt;&gt;"N/A"),"Power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",""))-2)))</f>
      </c>
      <c r="BM525">
        <f>IF($T525="","",IF($BL525="","Yes","Blocked"))</f>
      </c>
    </row>
    <row r="526">
      <c r="D526">
        <f>IF($B526&lt;&gt;"Yes","",IF($C526="No","Yes",IF($C526="Yes","No","")))</f>
      </c>
      <c r="E526">
        <f>IF($A526="","",IF($A526="Neuron",IF(OR(AND($S526&lt;&gt;"",LOWER(TRIM($S526))&lt;&gt;"n/a",COUNTIF($S$2:$S$532,$S526)&gt;1),AND($T526&lt;&gt;"",LOWER(TRIM($T526))&lt;&gt;"n/a",COUNTIF($T$2:$T$532,$T526)&gt;1),AND($W526&lt;&gt;"",LOWER(TRIM($W526))&lt;&gt;"n/a",COUNTIF($W$2:$W$532,$W526)&gt;1)),"Yes","No"),IF($A526="Cybernet",IF(OR(AND($Y526&lt;&gt;"",LOWER(TRIM($Y526))&lt;&gt;"n/a",COUNTIF($Y$2:$Y$532,$Y526)&gt;1),AND($Z526&lt;&gt;"",LOWER(TRIM($Z526))&lt;&gt;"n/a",COUNTIF($Z$2:$Z$532,$Z526)&gt;1)),"Yes","No"),IF(AND($AL526&lt;&gt;"",LOWER(TRIM($AL526))&lt;&gt;"n/a",COUNTIF($AL$2:$AL$532,$AL526)&gt;1),"Yes","No"))))</f>
      </c>
      <c r="F526">
        <f>IF($B526&lt;&gt;"Yes","",IF($A526="Neuron",IF(OR(AND($S526&lt;&gt;"",LOWER(TRIM($S526))&lt;&gt;"n/a",COUNTIFS($B$2:$B$532,"Yes",$A$2:$A$532,"Neuron",$S$2:$S$532,$S526)&gt;1),AND($T526&lt;&gt;"",LOWER(TRIM($T526))&lt;&gt;"n/a",COUNTIFS($B$2:$B$532,"Yes",$A$2:$A$532,"Neuron",$T$2:$T$532,$T526)&gt;1),AND($W526&lt;&gt;"",LOWER(TRIM($W526))&lt;&gt;"n/a",COUNTIFS($B$2:$B$532,"Yes",$A$2:$A$532,"Neuron",$W$2:$W$532,$W526)&gt;1)),"Yes","No"),IF($A526="Cybernet",IF(OR(AND($Y526&lt;&gt;"",LOWER(TRIM($Y526))&lt;&gt;"n/a",COUNTIFS($B$2:$B$532,"Yes",$A$2:$A$532,"Cybernet",$Y$2:$Y$532,$Y526)&gt;1),AND($Z526&lt;&gt;"",LOWER(TRIM($Z526))&lt;&gt;"n/a",COUNTIFS($B$2:$B$532,"Yes",$A$2:$A$532,"Cybernet",$Z$2:$Z$532,$Z526)&gt;1)),"Yes","No"),IF(AND($AL526&lt;&gt;"",LOWER(TRIM($AL526))&lt;&gt;"n/a"),IF(COUNTIFS($B$2:$B$532,"Yes",$A$2:$A$532,$A526,$AL$2:$AL$532,$AL526)&gt;1,"Yes","No"),"No"))))</f>
      </c>
      <c r="BL526">
        <f>IF($T526="","",IF((IF(AND($AW526&lt;&gt;"Yes",$AW526&lt;&gt;"N/A"),"Power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",""))="","",LEFT(IF(AND($AW526&lt;&gt;"Yes",$AW526&lt;&gt;"N/A"),"Power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",""),LEN(IF(AND($AW526&lt;&gt;"Yes",$AW526&lt;&gt;"N/A"),"Power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",""))-2)))</f>
      </c>
      <c r="BM526">
        <f>IF($T526="","",IF($BL526="","Yes","Blocked"))</f>
      </c>
    </row>
    <row r="527">
      <c r="D527">
        <f>IF($B527&lt;&gt;"Yes","",IF($C527="No","Yes",IF($C527="Yes","No","")))</f>
      </c>
      <c r="E527">
        <f>IF($A527="","",IF($A527="Neuron",IF(OR(AND($S527&lt;&gt;"",LOWER(TRIM($S527))&lt;&gt;"n/a",COUNTIF($S$2:$S$532,$S527)&gt;1),AND($T527&lt;&gt;"",LOWER(TRIM($T527))&lt;&gt;"n/a",COUNTIF($T$2:$T$532,$T527)&gt;1),AND($W527&lt;&gt;"",LOWER(TRIM($W527))&lt;&gt;"n/a",COUNTIF($W$2:$W$532,$W527)&gt;1)),"Yes","No"),IF($A527="Cybernet",IF(OR(AND($Y527&lt;&gt;"",LOWER(TRIM($Y527))&lt;&gt;"n/a",COUNTIF($Y$2:$Y$532,$Y527)&gt;1),AND($Z527&lt;&gt;"",LOWER(TRIM($Z527))&lt;&gt;"n/a",COUNTIF($Z$2:$Z$532,$Z527)&gt;1)),"Yes","No"),IF(AND($AL527&lt;&gt;"",LOWER(TRIM($AL527))&lt;&gt;"n/a",COUNTIF($AL$2:$AL$532,$AL527)&gt;1),"Yes","No"))))</f>
      </c>
      <c r="F527">
        <f>IF($B527&lt;&gt;"Yes","",IF($A527="Neuron",IF(OR(AND($S527&lt;&gt;"",LOWER(TRIM($S527))&lt;&gt;"n/a",COUNTIFS($B$2:$B$532,"Yes",$A$2:$A$532,"Neuron",$S$2:$S$532,$S527)&gt;1),AND($T527&lt;&gt;"",LOWER(TRIM($T527))&lt;&gt;"n/a",COUNTIFS($B$2:$B$532,"Yes",$A$2:$A$532,"Neuron",$T$2:$T$532,$T527)&gt;1),AND($W527&lt;&gt;"",LOWER(TRIM($W527))&lt;&gt;"n/a",COUNTIFS($B$2:$B$532,"Yes",$A$2:$A$532,"Neuron",$W$2:$W$532,$W527)&gt;1)),"Yes","No"),IF($A527="Cybernet",IF(OR(AND($Y527&lt;&gt;"",LOWER(TRIM($Y527))&lt;&gt;"n/a",COUNTIFS($B$2:$B$532,"Yes",$A$2:$A$532,"Cybernet",$Y$2:$Y$532,$Y527)&gt;1),AND($Z527&lt;&gt;"",LOWER(TRIM($Z527))&lt;&gt;"n/a",COUNTIFS($B$2:$B$532,"Yes",$A$2:$A$532,"Cybernet",$Z$2:$Z$532,$Z527)&gt;1)),"Yes","No"),IF(AND($AL527&lt;&gt;"",LOWER(TRIM($AL527))&lt;&gt;"n/a"),IF(COUNTIFS($B$2:$B$532,"Yes",$A$2:$A$532,$A527,$AL$2:$AL$532,$AL527)&gt;1,"Yes","No"),"No"))))</f>
      </c>
      <c r="BM527">
        <f>IF($T527="","",IF($BL527="","Yes","Blocked"))</f>
      </c>
    </row>
    <row r="528">
      <c r="D528">
        <f>IF($B528&lt;&gt;"Yes","",IF($C528="No","Yes",IF($C528="Yes","No","")))</f>
      </c>
      <c r="E528">
        <f>IF($A528="","",IF($A528="Neuron",IF(OR(AND($S528&lt;&gt;"",LOWER(TRIM($S528))&lt;&gt;"n/a",COUNTIF($S$2:$S$532,$S528)&gt;1),AND($T528&lt;&gt;"",LOWER(TRIM($T528))&lt;&gt;"n/a",COUNTIF($T$2:$T$532,$T528)&gt;1),AND($W528&lt;&gt;"",LOWER(TRIM($W528))&lt;&gt;"n/a",COUNTIF($W$2:$W$532,$W528)&gt;1)),"Yes","No"),IF($A528="Cybernet",IF(OR(AND($Y528&lt;&gt;"",LOWER(TRIM($Y528))&lt;&gt;"n/a",COUNTIF($Y$2:$Y$532,$Y528)&gt;1),AND($Z528&lt;&gt;"",LOWER(TRIM($Z528))&lt;&gt;"n/a",COUNTIF($Z$2:$Z$532,$Z528)&gt;1)),"Yes","No"),IF(AND($AL528&lt;&gt;"",LOWER(TRIM($AL528))&lt;&gt;"n/a",COUNTIF($AL$2:$AL$532,$AL528)&gt;1),"Yes","No"))))</f>
      </c>
      <c r="F528">
        <f>IF($B528&lt;&gt;"Yes","",IF($A528="Neuron",IF(OR(AND($S528&lt;&gt;"",LOWER(TRIM($S528))&lt;&gt;"n/a",COUNTIFS($B$2:$B$532,"Yes",$A$2:$A$532,"Neuron",$S$2:$S$532,$S528)&gt;1),AND($T528&lt;&gt;"",LOWER(TRIM($T528))&lt;&gt;"n/a",COUNTIFS($B$2:$B$532,"Yes",$A$2:$A$532,"Neuron",$T$2:$T$532,$T528)&gt;1),AND($W528&lt;&gt;"",LOWER(TRIM($W528))&lt;&gt;"n/a",COUNTIFS($B$2:$B$532,"Yes",$A$2:$A$532,"Neuron",$W$2:$W$532,$W528)&gt;1)),"Yes","No"),IF($A528="Cybernet",IF(OR(AND($Y528&lt;&gt;"",LOWER(TRIM($Y528))&lt;&gt;"n/a",COUNTIFS($B$2:$B$532,"Yes",$A$2:$A$532,"Cybernet",$Y$2:$Y$532,$Y528)&gt;1),AND($Z528&lt;&gt;"",LOWER(TRIM($Z528))&lt;&gt;"n/a",COUNTIFS($B$2:$B$532,"Yes",$A$2:$A$532,"Cybernet",$Z$2:$Z$532,$Z528)&gt;1)),"Yes","No"),IF(AND($AL528&lt;&gt;"",LOWER(TRIM($AL528))&lt;&gt;"n/a"),IF(COUNTIFS($B$2:$B$532,"Yes",$A$2:$A$532,$A528,$AL$2:$AL$532,$AL528)&gt;1,"Yes","No"),"No"))))</f>
      </c>
      <c r="BM528">
        <f>IF($T528="","",IF($BL528="","Yes","Blocked"))</f>
      </c>
    </row>
    <row r="529">
      <c r="D529">
        <f>IF($B529&lt;&gt;"Yes","",IF($C529="No","Yes",IF($C529="Yes","No","")))</f>
      </c>
      <c r="E529">
        <f>IF($A529="","",IF($A529="Neuron",IF(OR(AND($S529&lt;&gt;"",LOWER(TRIM($S529))&lt;&gt;"n/a",COUNTIF($S$2:$S$532,$S529)&gt;1),AND($T529&lt;&gt;"",LOWER(TRIM($T529))&lt;&gt;"n/a",COUNTIF($T$2:$T$532,$T529)&gt;1),AND($W529&lt;&gt;"",LOWER(TRIM($W529))&lt;&gt;"n/a",COUNTIF($W$2:$W$532,$W529)&gt;1)),"Yes","No"),IF($A529="Cybernet",IF(OR(AND($Y529&lt;&gt;"",LOWER(TRIM($Y529))&lt;&gt;"n/a",COUNTIF($Y$2:$Y$532,$Y529)&gt;1),AND($Z529&lt;&gt;"",LOWER(TRIM($Z529))&lt;&gt;"n/a",COUNTIF($Z$2:$Z$532,$Z529)&gt;1)),"Yes","No"),IF(AND($AL529&lt;&gt;"",LOWER(TRIM($AL529))&lt;&gt;"n/a",COUNTIF($AL$2:$AL$532,$AL529)&gt;1),"Yes","No"))))</f>
      </c>
      <c r="F529">
        <f>IF($B529&lt;&gt;"Yes","",IF($A529="Neuron",IF(OR(AND($S529&lt;&gt;"",LOWER(TRIM($S529))&lt;&gt;"n/a",COUNTIFS($B$2:$B$532,"Yes",$A$2:$A$532,"Neuron",$S$2:$S$532,$S529)&gt;1),AND($T529&lt;&gt;"",LOWER(TRIM($T529))&lt;&gt;"n/a",COUNTIFS($B$2:$B$532,"Yes",$A$2:$A$532,"Neuron",$T$2:$T$532,$T529)&gt;1),AND($W529&lt;&gt;"",LOWER(TRIM($W529))&lt;&gt;"n/a",COUNTIFS($B$2:$B$532,"Yes",$A$2:$A$532,"Neuron",$W$2:$W$532,$W529)&gt;1)),"Yes","No"),IF($A529="Cybernet",IF(OR(AND($Y529&lt;&gt;"",LOWER(TRIM($Y529))&lt;&gt;"n/a",COUNTIFS($B$2:$B$532,"Yes",$A$2:$A$532,"Cybernet",$Y$2:$Y$532,$Y529)&gt;1),AND($Z529&lt;&gt;"",LOWER(TRIM($Z529))&lt;&gt;"n/a",COUNTIFS($B$2:$B$532,"Yes",$A$2:$A$532,"Cybernet",$Z$2:$Z$532,$Z529)&gt;1)),"Yes","No"),IF(AND($AL529&lt;&gt;"",LOWER(TRIM($AL529))&lt;&gt;"n/a"),IF(COUNTIFS($B$2:$B$532,"Yes",$A$2:$A$532,$A529,$AL$2:$AL$532,$AL529)&gt;1,"Yes","No"),"No"))))</f>
      </c>
      <c r="BM529">
        <f>IF($T529="","",IF($BL529="","Yes","Blocked"))</f>
      </c>
    </row>
    <row r="530">
      <c r="D530">
        <f>IF($B530&lt;&gt;"Yes","",IF($C530="No","Yes",IF($C530="Yes","No","")))</f>
      </c>
      <c r="E530">
        <f>IF($A530="","",IF($A530="Neuron",IF(OR(AND($S530&lt;&gt;"",LOWER(TRIM($S530))&lt;&gt;"n/a",COUNTIF($S$2:$S$532,$S530)&gt;1),AND($T530&lt;&gt;"",LOWER(TRIM($T530))&lt;&gt;"n/a",COUNTIF($T$2:$T$532,$T530)&gt;1),AND($W530&lt;&gt;"",LOWER(TRIM($W530))&lt;&gt;"n/a",COUNTIF($W$2:$W$532,$W530)&gt;1)),"Yes","No"),IF($A530="Cybernet",IF(OR(AND($Y530&lt;&gt;"",LOWER(TRIM($Y530))&lt;&gt;"n/a",COUNTIF($Y$2:$Y$532,$Y530)&gt;1),AND($Z530&lt;&gt;"",LOWER(TRIM($Z530))&lt;&gt;"n/a",COUNTIF($Z$2:$Z$532,$Z530)&gt;1)),"Yes","No"),IF(AND($AL530&lt;&gt;"",LOWER(TRIM($AL530))&lt;&gt;"n/a",COUNTIF($AL$2:$AL$532,$AL530)&gt;1),"Yes","No"))))</f>
      </c>
      <c r="F530">
        <f>IF($B530&lt;&gt;"Yes","",IF($A530="Neuron",IF(OR(AND($S530&lt;&gt;"",LOWER(TRIM($S530))&lt;&gt;"n/a",COUNTIFS($B$2:$B$532,"Yes",$A$2:$A$532,"Neuron",$S$2:$S$532,$S530)&gt;1),AND($T530&lt;&gt;"",LOWER(TRIM($T530))&lt;&gt;"n/a",COUNTIFS($B$2:$B$532,"Yes",$A$2:$A$532,"Neuron",$T$2:$T$532,$T530)&gt;1),AND($W530&lt;&gt;"",LOWER(TRIM($W530))&lt;&gt;"n/a",COUNTIFS($B$2:$B$532,"Yes",$A$2:$A$532,"Neuron",$W$2:$W$532,$W530)&gt;1)),"Yes","No"),IF($A530="Cybernet",IF(OR(AND($Y530&lt;&gt;"",LOWER(TRIM($Y530))&lt;&gt;"n/a",COUNTIFS($B$2:$B$532,"Yes",$A$2:$A$532,"Cybernet",$Y$2:$Y$532,$Y530)&gt;1),AND($Z530&lt;&gt;"",LOWER(TRIM($Z530))&lt;&gt;"n/a",COUNTIFS($B$2:$B$532,"Yes",$A$2:$A$532,"Cybernet",$Z$2:$Z$532,$Z530)&gt;1)),"Yes","No"),IF(AND($AL530&lt;&gt;"",LOWER(TRIM($AL530))&lt;&gt;"n/a"),IF(COUNTIFS($B$2:$B$532,"Yes",$A$2:$A$532,$A530,$AL$2:$AL$532,$AL530)&gt;1,"Yes","No"),"No"))))</f>
      </c>
      <c r="BM530">
        <f>IF($T530="","",IF($BL530="","Yes","Blocked"))</f>
      </c>
    </row>
    <row r="531">
      <c r="A531" t="s">
        <v>1331</v>
      </c>
      <c r="B531" t="s">
        <v>1727</v>
      </c>
      <c r="C531" t="s">
        <v>1727</v>
      </c>
      <c r="D531">
        <f>IF($B531&lt;&gt;"Yes","",IF($C531="No","Yes",IF($C531="Yes","No","")))</f>
      </c>
      <c r="E531">
        <f>IF($A531="","",IF($A531="Neuron",IF(OR(AND($S531&lt;&gt;"",LOWER(TRIM($S531))&lt;&gt;"n/a",COUNTIF($S$2:$S$532,$S531)&gt;1),AND($T531&lt;&gt;"",LOWER(TRIM($T531))&lt;&gt;"n/a",COUNTIF($T$2:$T$532,$T531)&gt;1),AND($W531&lt;&gt;"",LOWER(TRIM($W531))&lt;&gt;"n/a",COUNTIF($W$2:$W$532,$W531)&gt;1)),"Yes","No"),IF($A531="Cybernet",IF(OR(AND($Y531&lt;&gt;"",LOWER(TRIM($Y531))&lt;&gt;"n/a",COUNTIF($Y$2:$Y$532,$Y531)&gt;1),AND($Z531&lt;&gt;"",LOWER(TRIM($Z531))&lt;&gt;"n/a",COUNTIF($Z$2:$Z$532,$Z531)&gt;1)),"Yes","No"),IF(AND($AL531&lt;&gt;"",LOWER(TRIM($AL531))&lt;&gt;"n/a",COUNTIF($AL$2:$AL$532,$AL531)&gt;1),"Yes","No"))))</f>
      </c>
      <c r="F531">
        <f>IF($B531&lt;&gt;"Yes","",IF($A531="Neuron",IF(OR(AND($S531&lt;&gt;"",LOWER(TRIM($S531))&lt;&gt;"n/a",COUNTIFS($B$2:$B$532,"Yes",$A$2:$A$532,"Neuron",$S$2:$S$532,$S531)&gt;1),AND($T531&lt;&gt;"",LOWER(TRIM($T531))&lt;&gt;"n/a",COUNTIFS($B$2:$B$532,"Yes",$A$2:$A$532,"Neuron",$T$2:$T$532,$T531)&gt;1),AND($W531&lt;&gt;"",LOWER(TRIM($W531))&lt;&gt;"n/a",COUNTIFS($B$2:$B$532,"Yes",$A$2:$A$532,"Neuron",$W$2:$W$532,$W531)&gt;1)),"Yes","No"),IF($A531="Cybernet",IF(OR(AND($Y531&lt;&gt;"",LOWER(TRIM($Y531))&lt;&gt;"n/a",COUNTIFS($B$2:$B$532,"Yes",$A$2:$A$532,"Cybernet",$Y$2:$Y$532,$Y531)&gt;1),AND($Z531&lt;&gt;"",LOWER(TRIM($Z531))&lt;&gt;"n/a",COUNTIFS($B$2:$B$532,"Yes",$A$2:$A$532,"Cybernet",$Z$2:$Z$532,$Z531)&gt;1)),"Yes","No"),IF(AND($AL531&lt;&gt;"",LOWER(TRIM($AL531))&lt;&gt;"n/a"),IF(COUNTIFS($B$2:$B$532,"Yes",$A$2:$A$532,$A531,$AL$2:$AL$532,$AL531)&gt;1,"Yes","No"),"No"))))</f>
      </c>
      <c r="S531" t="s">
        <v>2056</v>
      </c>
      <c r="BM531">
        <f>IF($T531="","",IF($BL531="","Yes","Blocked"))</f>
      </c>
    </row>
    <row r="532">
      <c r="A532" t="s">
        <v>1331</v>
      </c>
      <c r="B532" t="s">
        <v>1727</v>
      </c>
      <c r="C532" t="s">
        <v>1727</v>
      </c>
      <c r="E532">
        <f>IF($A532="","",IF($A532="Neuron",IF(OR(AND($S532&lt;&gt;"",LOWER(TRIM($S532))&lt;&gt;"n/a",COUNTIF($S$2:$S$532,$S532)&gt;1),AND($T532&lt;&gt;"",LOWER(TRIM($T532))&lt;&gt;"n/a",COUNTIF($T$2:$T$532,$T532)&gt;1),AND($W532&lt;&gt;"",LOWER(TRIM($W532))&lt;&gt;"n/a",COUNTIF($W$2:$W$532,$W532)&gt;1)),"Yes","No"),IF($A532="Cybernet",IF(OR(AND($Y532&lt;&gt;"",LOWER(TRIM($Y532))&lt;&gt;"n/a",COUNTIF($Y$2:$Y$532,$Y532)&gt;1),AND($Z532&lt;&gt;"",LOWER(TRIM($Z532))&lt;&gt;"n/a",COUNTIF($Z$2:$Z$532,$Z532)&gt;1)),"Yes","No"),IF(AND($AL532&lt;&gt;"",LOWER(TRIM($AL532))&lt;&gt;"n/a",COUNTIF($AL$2:$AL$532,$AL532)&gt;1),"Yes","No"))))</f>
      </c>
      <c r="F532">
        <f>IF($B532&lt;&gt;"Yes","",IF($A532="Neuron",IF(OR(AND($S532&lt;&gt;"",LOWER(TRIM($S532))&lt;&gt;"n/a",COUNTIFS($B$2:$B$532,"Yes",$A$2:$A$532,"Neuron",$S$2:$S$532,$S532)&gt;1),AND($T532&lt;&gt;"",LOWER(TRIM($T532))&lt;&gt;"n/a",COUNTIFS($B$2:$B$532,"Yes",$A$2:$A$532,"Neuron",$T$2:$T$532,$T532)&gt;1),AND($W532&lt;&gt;"",LOWER(TRIM($W532))&lt;&gt;"n/a",COUNTIFS($B$2:$B$532,"Yes",$A$2:$A$532,"Neuron",$W$2:$W$532,$W532)&gt;1)),"Yes","No"),IF($A532="Cybernet",IF(OR(AND($Y532&lt;&gt;"",LOWER(TRIM($Y532))&lt;&gt;"n/a",COUNTIFS($B$2:$B$532,"Yes",$A$2:$A$532,"Cybernet",$Y$2:$Y$532,$Y532)&gt;1),AND($Z532&lt;&gt;"",LOWER(TRIM($Z532))&lt;&gt;"n/a",COUNTIFS($B$2:$B$532,"Yes",$A$2:$A$532,"Cybernet",$Z$2:$Z$532,$Z532)&gt;1)),"Yes","No"),IF(AND($AL532&lt;&gt;"",LOWER(TRIM($AL532))&lt;&gt;"n/a"),IF(COUNTIFS($B$2:$B$532,"Yes",$A$2:$A$532,$A532,$AL$2:$AL$532,$AL532)&gt;1,"Yes","No"),"No"))))</f>
      </c>
      <c r="S532" t="s">
        <v>2056</v>
      </c>
      <c r="BL532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</c>
      <c r="BM532">
        <f>IF($T532="","",IF($BL532="","Yes","Blocked"))</f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1353</v>
      </c>
      <c r="B1" s="19" t="s">
        <v>1354</v>
      </c>
      <c r="C1" s="19" t="s">
        <v>1355</v>
      </c>
      <c r="D1" s="19" t="s">
        <v>1356</v>
      </c>
      <c r="E1" s="19" t="s">
        <v>1357</v>
      </c>
      <c r="F1" s="19" t="s">
        <v>1358</v>
      </c>
      <c r="G1" s="19" t="s">
        <v>1359</v>
      </c>
      <c r="H1" s="19" t="s">
        <v>1360</v>
      </c>
      <c r="I1" s="19" t="s">
        <v>1361</v>
      </c>
    </row>
    <row r="2" spans="1:9">
      <c r="A2" t="s">
        <v>1362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9</v>
      </c>
      <c r="G2" t="s">
        <v>1363</v>
      </c>
      <c r="H2" s="17" t="s">
        <v>1364</v>
      </c>
    </row>
    <row r="3" spans="1:9">
      <c r="A3" t="s">
        <v>1365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-12</v>
      </c>
      <c r="G3" t="s">
        <v>1366</v>
      </c>
      <c r="H3" t="s">
        <v>1367</v>
      </c>
    </row>
    <row r="4" spans="1:9">
      <c r="A4" t="s">
        <v>1368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2</v>
      </c>
      <c r="G4" t="s">
        <v>1369</v>
      </c>
      <c r="H4" s="17" t="s">
        <v>1370</v>
      </c>
      <c r="I4" t="s">
        <v>1371</v>
      </c>
    </row>
    <row r="5" spans="1:9">
      <c r="A5" t="s">
        <v>1372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-5</v>
      </c>
      <c r="G5" t="s">
        <v>1373</v>
      </c>
      <c r="H5" s="17" t="s">
        <v>1370</v>
      </c>
      <c r="I5" t="s">
        <v>1374</v>
      </c>
    </row>
    <row r="6" spans="1:9">
      <c r="A6" t="s">
        <v>1375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2</v>
      </c>
      <c r="G6" t="s">
        <v>1376</v>
      </c>
      <c r="H6" s="17" t="s">
        <v>1370</v>
      </c>
    </row>
    <row r="7" spans="1:9">
      <c r="A7" t="s">
        <v>1377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9</v>
      </c>
      <c r="G7" t="s">
        <v>1378</v>
      </c>
    </row>
    <row r="8" spans="1:9">
      <c r="A8" t="s">
        <v>1379</v>
      </c>
      <c r="B8">
        <v>3</v>
      </c>
      <c r="C8">
        <v>0</v>
      </c>
      <c r="D8" s="54">
        <f t="shared" si="0"/>
        <v>0</v>
      </c>
      <c r="E8" t="s">
        <v>1380</v>
      </c>
      <c r="F8" t="e">
        <f t="shared" ca="1" si="1"/>
        <v>#VALUE!</v>
      </c>
      <c r="G8" t="s">
        <v>1381</v>
      </c>
    </row>
    <row r="9" spans="1:9">
      <c r="A9" t="s">
        <v>1382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23</v>
      </c>
      <c r="G9" t="s">
        <v>1383</v>
      </c>
    </row>
    <row r="10" spans="1:9">
      <c r="A10" t="s">
        <v>1384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24</v>
      </c>
      <c r="G10" t="s">
        <v>1383</v>
      </c>
    </row>
    <row r="11" spans="1:9">
      <c r="A11" t="s">
        <v>1385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16</v>
      </c>
      <c r="G11" t="s">
        <v>1383</v>
      </c>
    </row>
    <row r="12" spans="1:9">
      <c r="A12" t="s">
        <v>1386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30</v>
      </c>
      <c r="G12" t="s">
        <v>1383</v>
      </c>
    </row>
    <row r="13" spans="1:9">
      <c r="A13" t="s">
        <v>1387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37</v>
      </c>
      <c r="G13" t="s">
        <v>1383</v>
      </c>
    </row>
    <row r="14" spans="1:9">
      <c r="A14" t="s">
        <v>1388</v>
      </c>
      <c r="B14">
        <v>6</v>
      </c>
      <c r="C14">
        <v>0</v>
      </c>
      <c r="D14" s="54">
        <f t="shared" si="0"/>
        <v>0</v>
      </c>
      <c r="E14" t="s">
        <v>1380</v>
      </c>
      <c r="F14" t="e">
        <f t="shared" ca="1" si="1"/>
        <v>#VALUE!</v>
      </c>
      <c r="G14" t="s">
        <v>1383</v>
      </c>
    </row>
    <row r="15" spans="1:9">
      <c r="A15" s="18" t="s">
        <v>1389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1390</v>
      </c>
      <c r="B1" s="41" t="s">
        <v>1391</v>
      </c>
      <c r="C1" s="41" t="s">
        <v>1392</v>
      </c>
      <c r="D1" s="41" t="s">
        <v>1393</v>
      </c>
      <c r="E1" s="41" t="s">
        <v>1394</v>
      </c>
      <c r="F1" s="41" t="s">
        <v>1395</v>
      </c>
      <c r="G1" s="41" t="s">
        <v>1396</v>
      </c>
      <c r="H1" s="41" t="s">
        <v>1</v>
      </c>
      <c r="I1" s="41" t="s">
        <v>1397</v>
      </c>
      <c r="J1" s="41" t="s">
        <v>1398</v>
      </c>
      <c r="K1" s="41" t="s">
        <v>1399</v>
      </c>
      <c r="L1" s="41" t="s">
        <v>1400</v>
      </c>
      <c r="M1" s="41" t="s">
        <v>1401</v>
      </c>
      <c r="N1" s="41" t="s">
        <v>1402</v>
      </c>
      <c r="O1" s="41" t="s">
        <v>1403</v>
      </c>
      <c r="P1" s="41" t="s">
        <v>1404</v>
      </c>
      <c r="Q1" s="41" t="s">
        <v>1405</v>
      </c>
      <c r="R1" s="41" t="s">
        <v>1406</v>
      </c>
      <c r="S1" s="41" t="s">
        <v>1407</v>
      </c>
      <c r="T1" s="41" t="s">
        <v>1408</v>
      </c>
      <c r="U1" s="41" t="s">
        <v>1409</v>
      </c>
      <c r="V1" s="41" t="s">
        <v>1410</v>
      </c>
      <c r="W1" s="41" t="s">
        <v>1411</v>
      </c>
      <c r="X1" s="41" t="s">
        <v>1412</v>
      </c>
      <c r="Y1" s="41" t="s">
        <v>189</v>
      </c>
      <c r="Z1" s="41" t="s">
        <v>1413</v>
      </c>
      <c r="AA1" s="41" t="s">
        <v>1414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1415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1331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1392</v>
      </c>
      <c r="B1" s="42" t="s">
        <v>1416</v>
      </c>
      <c r="C1" s="42" t="s">
        <v>1417</v>
      </c>
      <c r="D1" s="42" t="s">
        <v>1398</v>
      </c>
      <c r="E1" s="42" t="s">
        <v>1402</v>
      </c>
      <c r="F1" s="42" t="s">
        <v>1403</v>
      </c>
      <c r="G1" s="42" t="s">
        <v>1404</v>
      </c>
      <c r="H1" s="42" t="s">
        <v>1401</v>
      </c>
      <c r="I1" s="42" t="s">
        <v>1418</v>
      </c>
      <c r="J1" s="42" t="s">
        <v>1419</v>
      </c>
      <c r="K1" s="42" t="s">
        <v>1420</v>
      </c>
      <c r="L1" s="42" t="s">
        <v>1413</v>
      </c>
      <c r="M1" s="42" t="s">
        <v>1414</v>
      </c>
      <c r="N1" s="42" t="s">
        <v>1412</v>
      </c>
      <c r="O1" s="42" t="s">
        <v>1421</v>
      </c>
      <c r="P1" s="42" t="s">
        <v>1410</v>
      </c>
      <c r="Q1" s="42" t="s">
        <v>1422</v>
      </c>
      <c r="R1" s="42" t="s">
        <v>1423</v>
      </c>
      <c r="S1" s="42" t="s">
        <v>1424</v>
      </c>
      <c r="T1" s="42" t="s">
        <v>1425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Blocked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Blocked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Blocked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Blocked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Blocked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Blocked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Blocked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Blocked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Blocked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Blocked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Blocked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Blocked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Blocked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Blocked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Blocked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Blocked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Blocked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Blocked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Blocked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Blocked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Blocked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Blocked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Blocked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Blocked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Blocked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Blocked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Blocked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Blocked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Blocked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Blocked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Blocked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Blocked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Blocked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Blocked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Blocked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Blocked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Blocked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Blocked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Blocked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Blocked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Blocked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Blocked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Blocked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Blocked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Blocked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Blocked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Blocked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Blocked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/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/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/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str">
        <f>'12 - Device_Configuration'!BL104</f>
        <v/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/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/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/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/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/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/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/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/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/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/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/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/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/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/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/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/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/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>Blocked</v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>Blocked</v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>Blocked</v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>Blocked</v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Blocked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Blocked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Blocked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/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/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/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/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1452</v>
      </c>
      <c r="B1" s="50" t="s">
        <v>1453</v>
      </c>
      <c r="C1" s="50" t="s">
        <v>1454</v>
      </c>
      <c r="D1" s="50" t="s">
        <v>1</v>
      </c>
      <c r="E1" s="50" t="s">
        <v>1455</v>
      </c>
      <c r="F1" s="50" t="s">
        <v>1456</v>
      </c>
      <c r="G1" s="50" t="s">
        <v>1457</v>
      </c>
      <c r="H1" s="50" t="s">
        <v>1426</v>
      </c>
      <c r="I1" s="50" t="s">
        <v>1458</v>
      </c>
      <c r="J1" s="50" t="s">
        <v>1459</v>
      </c>
      <c r="K1" s="50" t="s">
        <v>189</v>
      </c>
    </row>
    <row r="2" spans="1:11" ht="30">
      <c r="A2" s="3"/>
      <c r="B2" s="4" t="s">
        <v>1460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1461</v>
      </c>
      <c r="C3" s="4" t="s">
        <v>1462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1463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1464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1465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1466</v>
      </c>
      <c r="C7" s="4" t="s">
        <v>1467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1468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1469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1470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1471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1472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1473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1474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1475</v>
      </c>
      <c r="B15" s="4" t="s">
        <v>1476</v>
      </c>
      <c r="C15" s="4" t="s">
        <v>1477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1478</v>
      </c>
    </row>
    <row r="3" spans="1:6">
      <c r="A3" s="10" t="s">
        <v>1479</v>
      </c>
    </row>
    <row r="4" spans="1:6" ht="30" customHeight="1">
      <c r="A4" s="50" t="s">
        <v>1458</v>
      </c>
      <c r="B4" s="50" t="s">
        <v>1480</v>
      </c>
      <c r="C4" s="50" t="s">
        <v>1481</v>
      </c>
      <c r="D4" s="50" t="s">
        <v>1482</v>
      </c>
      <c r="E4" s="50" t="s">
        <v>1341</v>
      </c>
      <c r="F4" s="50" t="s">
        <v>1483</v>
      </c>
    </row>
    <row r="5" spans="1:6">
      <c r="A5" s="7" t="s">
        <v>1484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1485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1486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1487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1488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1489</v>
      </c>
    </row>
    <row r="14" spans="1:6">
      <c r="A14" s="50" t="s">
        <v>1490</v>
      </c>
      <c r="B14" s="50" t="s">
        <v>1292</v>
      </c>
    </row>
    <row r="15" spans="1:6">
      <c r="A15" s="7" t="s">
        <v>1491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1492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1493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1494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1495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1496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1497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1498</v>
      </c>
    </row>
    <row r="3" spans="1:7" ht="30" customHeight="1">
      <c r="A3" s="50" t="s">
        <v>1453</v>
      </c>
      <c r="B3" s="50" t="s">
        <v>1499</v>
      </c>
      <c r="C3" s="50" t="s">
        <v>1500</v>
      </c>
      <c r="D3" s="50" t="s">
        <v>1501</v>
      </c>
      <c r="E3" s="50" t="s">
        <v>1502</v>
      </c>
      <c r="F3" s="50" t="s">
        <v>1503</v>
      </c>
      <c r="G3" s="50" t="s">
        <v>189</v>
      </c>
    </row>
    <row r="4" spans="1:7" ht="150">
      <c r="A4" s="8" t="s">
        <v>1331</v>
      </c>
      <c r="B4" s="4" t="s">
        <v>1504</v>
      </c>
      <c r="C4" s="8" t="s">
        <v>1331</v>
      </c>
      <c r="D4" s="8" t="s">
        <v>1505</v>
      </c>
      <c r="E4" s="8"/>
      <c r="F4" s="12"/>
      <c r="G4" s="4"/>
    </row>
    <row r="5" spans="1:7" ht="30" customHeight="1">
      <c r="A5" s="8" t="s">
        <v>1331</v>
      </c>
      <c r="B5" s="4" t="s">
        <v>1506</v>
      </c>
      <c r="C5" s="8" t="s">
        <v>1331</v>
      </c>
      <c r="D5" s="8" t="s">
        <v>1505</v>
      </c>
      <c r="E5" s="8"/>
      <c r="F5" s="12"/>
      <c r="G5" s="4"/>
    </row>
    <row r="6" spans="1:7" ht="30" customHeight="1">
      <c r="A6" s="8" t="s">
        <v>1331</v>
      </c>
      <c r="B6" s="4" t="s">
        <v>1507</v>
      </c>
      <c r="C6" s="8" t="s">
        <v>1331</v>
      </c>
      <c r="D6" s="8" t="s">
        <v>1505</v>
      </c>
      <c r="E6" s="8"/>
      <c r="F6" s="12"/>
      <c r="G6" s="4"/>
    </row>
    <row r="7" spans="1:7" ht="30" customHeight="1">
      <c r="A7" s="8" t="s">
        <v>1331</v>
      </c>
      <c r="B7" s="4" t="s">
        <v>1508</v>
      </c>
      <c r="C7" s="8" t="s">
        <v>1331</v>
      </c>
      <c r="D7" s="8" t="s">
        <v>1505</v>
      </c>
      <c r="E7" s="8"/>
      <c r="F7" s="12"/>
      <c r="G7" s="4"/>
    </row>
    <row r="8" spans="1:7" ht="150">
      <c r="A8" s="8" t="s">
        <v>1331</v>
      </c>
      <c r="B8" s="4" t="s">
        <v>1509</v>
      </c>
      <c r="C8" s="8" t="s">
        <v>1331</v>
      </c>
      <c r="D8" s="8" t="s">
        <v>1505</v>
      </c>
      <c r="E8" s="8"/>
      <c r="F8" s="12"/>
      <c r="G8" s="4"/>
    </row>
    <row r="9" spans="1:7" ht="30" customHeight="1">
      <c r="A9" s="8" t="s">
        <v>1331</v>
      </c>
      <c r="B9" s="4" t="s">
        <v>1510</v>
      </c>
      <c r="C9" s="8" t="s">
        <v>1331</v>
      </c>
      <c r="D9" s="8" t="s">
        <v>1505</v>
      </c>
      <c r="E9" s="8"/>
      <c r="F9" s="12"/>
      <c r="G9" s="4"/>
    </row>
    <row r="10" spans="1:7" ht="45" customHeight="1">
      <c r="A10" s="8" t="s">
        <v>1511</v>
      </c>
      <c r="B10" s="4" t="s">
        <v>1512</v>
      </c>
      <c r="C10" s="8" t="s">
        <v>1331</v>
      </c>
      <c r="D10" s="8" t="s">
        <v>1505</v>
      </c>
      <c r="E10" s="8"/>
      <c r="F10" s="12"/>
      <c r="G10" s="4"/>
    </row>
    <row r="11" spans="1:7" ht="30" customHeight="1">
      <c r="A11" s="8" t="s">
        <v>1513</v>
      </c>
      <c r="B11" s="4" t="s">
        <v>1514</v>
      </c>
      <c r="C11" s="8" t="s">
        <v>1515</v>
      </c>
      <c r="D11" s="8" t="s">
        <v>1505</v>
      </c>
      <c r="E11" s="8"/>
      <c r="F11" s="12"/>
      <c r="G11" s="4"/>
    </row>
    <row r="12" spans="1:7" ht="30" customHeight="1">
      <c r="A12" s="8" t="s">
        <v>1516</v>
      </c>
      <c r="B12" s="4" t="s">
        <v>1517</v>
      </c>
      <c r="C12" s="8" t="s">
        <v>1331</v>
      </c>
      <c r="D12" s="8" t="s">
        <v>1505</v>
      </c>
      <c r="E12" s="8"/>
      <c r="F12" s="12"/>
      <c r="G12" s="4"/>
    </row>
    <row r="13" spans="1:7" ht="30" customHeight="1">
      <c r="A13" s="8" t="s">
        <v>1518</v>
      </c>
      <c r="B13" s="4" t="s">
        <v>1519</v>
      </c>
      <c r="C13" s="8" t="s">
        <v>1331</v>
      </c>
      <c r="D13" s="8" t="s">
        <v>1505</v>
      </c>
      <c r="E13" s="8"/>
      <c r="F13" s="12"/>
      <c r="G13" s="4"/>
    </row>
    <row r="14" spans="1:7" ht="30" customHeight="1">
      <c r="A14" s="8" t="s">
        <v>1520</v>
      </c>
      <c r="B14" s="4" t="s">
        <v>1521</v>
      </c>
      <c r="C14" s="8" t="s">
        <v>1522</v>
      </c>
      <c r="D14" s="8" t="s">
        <v>1505</v>
      </c>
      <c r="E14" s="8"/>
      <c r="F14" s="12"/>
      <c r="G14" s="4"/>
    </row>
    <row r="15" spans="1:7" ht="30" customHeight="1">
      <c r="A15" s="8" t="s">
        <v>1520</v>
      </c>
      <c r="B15" s="4" t="s">
        <v>1523</v>
      </c>
      <c r="C15" s="8" t="s">
        <v>1331</v>
      </c>
      <c r="D15" s="8" t="s">
        <v>1505</v>
      </c>
      <c r="E15" s="8"/>
      <c r="F15" s="12"/>
      <c r="G15" s="4"/>
    </row>
    <row r="16" spans="1:7" ht="30" customHeight="1">
      <c r="A16" s="8" t="s">
        <v>1520</v>
      </c>
      <c r="B16" s="4" t="s">
        <v>1524</v>
      </c>
      <c r="C16" s="8" t="s">
        <v>1415</v>
      </c>
      <c r="D16" s="8" t="s">
        <v>1505</v>
      </c>
      <c r="E16" s="8"/>
      <c r="F16" s="12"/>
      <c r="G16" s="4"/>
    </row>
    <row r="17" spans="1:7" ht="30" customHeight="1">
      <c r="A17" s="8" t="s">
        <v>1520</v>
      </c>
      <c r="B17" s="4" t="s">
        <v>1525</v>
      </c>
      <c r="C17" s="8" t="s">
        <v>1415</v>
      </c>
      <c r="D17" s="8" t="s">
        <v>1505</v>
      </c>
      <c r="E17" s="8"/>
      <c r="F17" s="12"/>
      <c r="G17" s="4"/>
    </row>
    <row r="18" spans="1:7" ht="150">
      <c r="A18" s="8" t="s">
        <v>1520</v>
      </c>
      <c r="B18" s="4" t="s">
        <v>1526</v>
      </c>
      <c r="C18" s="8" t="s">
        <v>1415</v>
      </c>
      <c r="D18" s="8" t="s">
        <v>1505</v>
      </c>
      <c r="E18" s="8"/>
      <c r="F18" s="12"/>
      <c r="G18" s="4"/>
    </row>
    <row r="19" spans="1:7" ht="30" customHeight="1">
      <c r="A19" s="8" t="s">
        <v>1527</v>
      </c>
      <c r="B19" s="4" t="s">
        <v>1528</v>
      </c>
      <c r="C19" s="8" t="s">
        <v>1415</v>
      </c>
      <c r="D19" s="8" t="s">
        <v>1505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1529</v>
      </c>
    </row>
    <row r="3" spans="1:8" ht="30" customHeight="1">
      <c r="A3" s="50" t="s">
        <v>1426</v>
      </c>
      <c r="B3" s="50" t="s">
        <v>1530</v>
      </c>
      <c r="C3" s="50" t="s">
        <v>1531</v>
      </c>
      <c r="D3" s="50" t="s">
        <v>1532</v>
      </c>
      <c r="E3" s="50" t="s">
        <v>1533</v>
      </c>
      <c r="F3" s="50" t="s">
        <v>1534</v>
      </c>
      <c r="G3" s="50" t="s">
        <v>34</v>
      </c>
      <c r="H3" s="50" t="s">
        <v>189</v>
      </c>
    </row>
    <row r="4" spans="1:8" ht="75">
      <c r="A4" s="8" t="s">
        <v>1434</v>
      </c>
      <c r="B4" s="8" t="s">
        <v>1535</v>
      </c>
      <c r="C4" s="8" t="s">
        <v>1535</v>
      </c>
      <c r="D4" s="8" t="s">
        <v>1535</v>
      </c>
      <c r="E4" s="8" t="s">
        <v>1535</v>
      </c>
      <c r="F4" s="8" t="s">
        <v>1535</v>
      </c>
      <c r="G4" s="8" t="s">
        <v>1535</v>
      </c>
      <c r="H4" s="4"/>
    </row>
    <row r="5" spans="1:8" ht="75">
      <c r="A5" s="8" t="s">
        <v>1435</v>
      </c>
      <c r="B5" s="8" t="s">
        <v>1535</v>
      </c>
      <c r="C5" s="8" t="s">
        <v>1535</v>
      </c>
      <c r="D5" s="8" t="s">
        <v>1535</v>
      </c>
      <c r="E5" s="8" t="s">
        <v>1535</v>
      </c>
      <c r="F5" s="8" t="s">
        <v>1535</v>
      </c>
      <c r="G5" s="8" t="s">
        <v>1535</v>
      </c>
      <c r="H5" s="4"/>
    </row>
    <row r="6" spans="1:8" ht="75">
      <c r="A6" s="8" t="s">
        <v>1436</v>
      </c>
      <c r="B6" s="8" t="s">
        <v>1535</v>
      </c>
      <c r="C6" s="8" t="s">
        <v>1535</v>
      </c>
      <c r="D6" s="8" t="s">
        <v>1535</v>
      </c>
      <c r="E6" s="8" t="s">
        <v>1535</v>
      </c>
      <c r="F6" s="8" t="s">
        <v>1535</v>
      </c>
      <c r="G6" s="8" t="s">
        <v>1535</v>
      </c>
      <c r="H6" s="4"/>
    </row>
    <row r="7" spans="1:8" ht="75">
      <c r="A7" s="8" t="s">
        <v>1437</v>
      </c>
      <c r="B7" s="8" t="s">
        <v>1535</v>
      </c>
      <c r="C7" s="8" t="s">
        <v>1535</v>
      </c>
      <c r="D7" s="8" t="s">
        <v>1535</v>
      </c>
      <c r="E7" s="8" t="s">
        <v>1535</v>
      </c>
      <c r="F7" s="8" t="s">
        <v>1535</v>
      </c>
      <c r="G7" s="8" t="s">
        <v>1535</v>
      </c>
      <c r="H7" s="4"/>
    </row>
    <row r="8" spans="1:8" ht="75">
      <c r="A8" s="8" t="s">
        <v>1438</v>
      </c>
      <c r="B8" s="8" t="s">
        <v>1535</v>
      </c>
      <c r="C8" s="8" t="s">
        <v>1535</v>
      </c>
      <c r="D8" s="8" t="s">
        <v>1535</v>
      </c>
      <c r="E8" s="8" t="s">
        <v>1535</v>
      </c>
      <c r="F8" s="8" t="s">
        <v>1535</v>
      </c>
      <c r="G8" s="8" t="s">
        <v>1535</v>
      </c>
      <c r="H8" s="4"/>
    </row>
    <row r="9" spans="1:8" ht="75">
      <c r="A9" s="8" t="s">
        <v>1439</v>
      </c>
      <c r="B9" s="8" t="s">
        <v>1535</v>
      </c>
      <c r="C9" s="8" t="s">
        <v>1535</v>
      </c>
      <c r="D9" s="8" t="s">
        <v>1535</v>
      </c>
      <c r="E9" s="8" t="s">
        <v>1535</v>
      </c>
      <c r="F9" s="8" t="s">
        <v>1535</v>
      </c>
      <c r="G9" s="8" t="s">
        <v>1535</v>
      </c>
      <c r="H9" s="4"/>
    </row>
    <row r="10" spans="1:8" ht="75">
      <c r="A10" s="8" t="s">
        <v>1440</v>
      </c>
      <c r="B10" s="8" t="s">
        <v>1535</v>
      </c>
      <c r="C10" s="8" t="s">
        <v>1535</v>
      </c>
      <c r="D10" s="8" t="s">
        <v>1535</v>
      </c>
      <c r="E10" s="8" t="s">
        <v>1535</v>
      </c>
      <c r="F10" s="8" t="s">
        <v>1535</v>
      </c>
      <c r="G10" s="8" t="s">
        <v>1535</v>
      </c>
      <c r="H10" s="4"/>
    </row>
    <row r="11" spans="1:8" ht="75">
      <c r="A11" s="8" t="s">
        <v>1441</v>
      </c>
      <c r="B11" s="8" t="s">
        <v>1535</v>
      </c>
      <c r="C11" s="8" t="s">
        <v>1535</v>
      </c>
      <c r="D11" s="8" t="s">
        <v>1535</v>
      </c>
      <c r="E11" s="8" t="s">
        <v>1535</v>
      </c>
      <c r="F11" s="8" t="s">
        <v>1535</v>
      </c>
      <c r="G11" s="8" t="s">
        <v>1535</v>
      </c>
      <c r="H11" s="4"/>
    </row>
    <row r="12" spans="1:8" ht="75">
      <c r="A12" s="8" t="s">
        <v>1442</v>
      </c>
      <c r="B12" s="8" t="s">
        <v>1535</v>
      </c>
      <c r="C12" s="8" t="s">
        <v>1535</v>
      </c>
      <c r="D12" s="8" t="s">
        <v>1535</v>
      </c>
      <c r="E12" s="8" t="s">
        <v>1535</v>
      </c>
      <c r="F12" s="8" t="s">
        <v>1535</v>
      </c>
      <c r="G12" s="8" t="s">
        <v>1535</v>
      </c>
      <c r="H12" s="4"/>
    </row>
    <row r="13" spans="1:8" ht="75">
      <c r="A13" s="8" t="s">
        <v>1443</v>
      </c>
      <c r="B13" s="8" t="s">
        <v>1535</v>
      </c>
      <c r="C13" s="8" t="s">
        <v>1535</v>
      </c>
      <c r="D13" s="8" t="s">
        <v>1535</v>
      </c>
      <c r="E13" s="8" t="s">
        <v>1535</v>
      </c>
      <c r="F13" s="8" t="s">
        <v>1535</v>
      </c>
      <c r="G13" s="8" t="s">
        <v>1535</v>
      </c>
      <c r="H13" s="4"/>
    </row>
    <row r="14" spans="1:8" ht="75">
      <c r="A14" s="8" t="s">
        <v>1444</v>
      </c>
      <c r="B14" s="8" t="s">
        <v>1535</v>
      </c>
      <c r="C14" s="8" t="s">
        <v>1535</v>
      </c>
      <c r="D14" s="8" t="s">
        <v>1535</v>
      </c>
      <c r="E14" s="8" t="s">
        <v>1535</v>
      </c>
      <c r="F14" s="8" t="s">
        <v>1535</v>
      </c>
      <c r="G14" s="8" t="s">
        <v>1535</v>
      </c>
      <c r="H14" s="4"/>
    </row>
    <row r="15" spans="1:8" ht="75">
      <c r="A15" s="8" t="s">
        <v>1445</v>
      </c>
      <c r="B15" s="8" t="s">
        <v>1535</v>
      </c>
      <c r="C15" s="8" t="s">
        <v>1535</v>
      </c>
      <c r="D15" s="8" t="s">
        <v>1535</v>
      </c>
      <c r="E15" s="8" t="s">
        <v>1535</v>
      </c>
      <c r="F15" s="8" t="s">
        <v>1535</v>
      </c>
      <c r="G15" s="8" t="s">
        <v>1535</v>
      </c>
      <c r="H15" s="4"/>
    </row>
    <row r="16" spans="1:8" ht="75">
      <c r="A16" s="8" t="s">
        <v>1446</v>
      </c>
      <c r="B16" s="8" t="s">
        <v>1535</v>
      </c>
      <c r="C16" s="8" t="s">
        <v>1535</v>
      </c>
      <c r="D16" s="8" t="s">
        <v>1535</v>
      </c>
      <c r="E16" s="8" t="s">
        <v>1535</v>
      </c>
      <c r="F16" s="8" t="s">
        <v>1535</v>
      </c>
      <c r="G16" s="8" t="s">
        <v>1535</v>
      </c>
      <c r="H16" s="4"/>
    </row>
    <row r="17" spans="1:8" ht="75">
      <c r="A17" s="8" t="s">
        <v>1447</v>
      </c>
      <c r="B17" s="8" t="s">
        <v>1535</v>
      </c>
      <c r="C17" s="8" t="s">
        <v>1535</v>
      </c>
      <c r="D17" s="8" t="s">
        <v>1535</v>
      </c>
      <c r="E17" s="8" t="s">
        <v>1535</v>
      </c>
      <c r="F17" s="8" t="s">
        <v>1535</v>
      </c>
      <c r="G17" s="8" t="s">
        <v>1535</v>
      </c>
      <c r="H17" s="4"/>
    </row>
    <row r="18" spans="1:8" ht="75">
      <c r="A18" s="8" t="s">
        <v>1448</v>
      </c>
      <c r="B18" s="8" t="s">
        <v>1535</v>
      </c>
      <c r="C18" s="8" t="s">
        <v>1535</v>
      </c>
      <c r="D18" s="8" t="s">
        <v>1535</v>
      </c>
      <c r="E18" s="8" t="s">
        <v>1535</v>
      </c>
      <c r="F18" s="8" t="s">
        <v>1535</v>
      </c>
      <c r="G18" s="8" t="s">
        <v>1535</v>
      </c>
      <c r="H18" s="4"/>
    </row>
    <row r="19" spans="1:8" ht="75">
      <c r="A19" s="8" t="s">
        <v>1449</v>
      </c>
      <c r="B19" s="8" t="s">
        <v>1535</v>
      </c>
      <c r="C19" s="8" t="s">
        <v>1535</v>
      </c>
      <c r="D19" s="8" t="s">
        <v>1535</v>
      </c>
      <c r="E19" s="8" t="s">
        <v>1535</v>
      </c>
      <c r="F19" s="8" t="s">
        <v>1535</v>
      </c>
      <c r="G19" s="8" t="s">
        <v>1535</v>
      </c>
      <c r="H19" s="4"/>
    </row>
    <row r="20" spans="1:8" ht="75">
      <c r="A20" s="8" t="s">
        <v>1450</v>
      </c>
      <c r="B20" s="8" t="s">
        <v>1535</v>
      </c>
      <c r="C20" s="8" t="s">
        <v>1535</v>
      </c>
      <c r="D20" s="8" t="s">
        <v>1535</v>
      </c>
      <c r="E20" s="8" t="s">
        <v>1535</v>
      </c>
      <c r="F20" s="8" t="s">
        <v>1535</v>
      </c>
      <c r="G20" s="8" t="s">
        <v>1535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1536</v>
      </c>
    </row>
    <row r="3" spans="1:5" ht="90">
      <c r="A3" s="50" t="s">
        <v>18</v>
      </c>
      <c r="B3" s="50" t="s">
        <v>1537</v>
      </c>
      <c r="C3" s="50" t="s">
        <v>1538</v>
      </c>
      <c r="D3" s="50" t="s">
        <v>1539</v>
      </c>
      <c r="E3" s="50" t="s">
        <v>1540</v>
      </c>
    </row>
    <row r="4" spans="1:5" ht="60" customHeight="1">
      <c r="A4" s="4">
        <f>374</f>
        <v>374</v>
      </c>
      <c r="B4" s="4" t="s">
        <v>1541</v>
      </c>
      <c r="C4" s="4"/>
      <c r="D4" s="4"/>
      <c r="E4" s="4"/>
    </row>
    <row r="5" spans="1:5" ht="60" customHeight="1">
      <c r="A5" s="4">
        <f>4/4</f>
        <v>1</v>
      </c>
      <c r="B5" s="4" t="s">
        <v>1542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1543</v>
      </c>
      <c r="C6" s="4"/>
      <c r="D6" s="4"/>
      <c r="E6" s="4"/>
    </row>
    <row r="7" spans="1:5" ht="30" customHeight="1">
      <c r="A7" s="4">
        <f>D22/38</f>
        <v>0</v>
      </c>
      <c r="B7" s="4" t="s">
        <v>1544</v>
      </c>
      <c r="C7" s="4"/>
      <c r="D7" s="4"/>
      <c r="E7" s="4"/>
    </row>
    <row r="8" spans="1:5" ht="30" customHeight="1">
      <c r="A8" s="4">
        <f>D23/38</f>
        <v>0</v>
      </c>
      <c r="B8" s="4" t="s">
        <v>1545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1546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1547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1548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1549</v>
      </c>
      <c r="C12" s="4"/>
      <c r="D12" s="4"/>
      <c r="E12" s="4"/>
    </row>
    <row r="13" spans="1:5" ht="30" customHeight="1">
      <c r="A13" s="4">
        <f>389/389</f>
        <v>1</v>
      </c>
      <c r="B13" s="4" t="s">
        <v>1550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1551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1552</v>
      </c>
      <c r="C15" s="4"/>
      <c r="D15" s="4"/>
      <c r="E15" s="4"/>
    </row>
    <row r="16" spans="1:5" ht="60" customHeight="1">
      <c r="A16" s="4">
        <f>COUNTA(#REF!)</f>
        <v>1</v>
      </c>
      <c r="B16" s="4" t="s">
        <v>1553</v>
      </c>
      <c r="C16" s="4"/>
      <c r="D16" s="4"/>
      <c r="E16" s="4"/>
    </row>
    <row r="17" spans="1:5" ht="30" customHeight="1">
      <c r="A17" s="4">
        <f>SUM(AY3:AY10)</f>
        <v>0</v>
      </c>
      <c r="B17" s="4" t="s">
        <v>1554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1555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1556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1557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1558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1559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1560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1561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1562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1563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1564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1565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1566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1567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1568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1569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1570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1571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1572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1573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1574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1575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1576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1577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1578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1579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1580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1581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1582</v>
      </c>
      <c r="C45" s="4"/>
      <c r="D45" s="4"/>
      <c r="E45" s="4"/>
    </row>
    <row r="46" spans="1:5" ht="30.75" customHeight="1">
      <c r="A46" s="4" t="e">
        <v>#VALUE!</v>
      </c>
      <c r="B46" s="4" t="s">
        <v>1583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1584</v>
      </c>
      <c r="C47" s="4"/>
      <c r="D47" s="4"/>
      <c r="E47" s="4"/>
    </row>
    <row r="48" spans="1:5" ht="30.75" customHeight="1">
      <c r="A48" s="4" t="e">
        <v>#VALUE!</v>
      </c>
      <c r="B48" s="4" t="s">
        <v>1585</v>
      </c>
      <c r="C48" s="4"/>
      <c r="D48" s="4"/>
      <c r="E48" s="4"/>
    </row>
    <row r="49" spans="1:5" ht="30.75" customHeight="1">
      <c r="A49" s="4" t="e">
        <v>#VALUE!</v>
      </c>
      <c r="B49" s="4" t="s">
        <v>1586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1587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1588</v>
      </c>
      <c r="C51" s="4"/>
      <c r="D51" s="4"/>
      <c r="E51" s="4"/>
    </row>
    <row r="52" spans="1:5" ht="30.75" customHeight="1">
      <c r="A52" s="4" t="e">
        <v>#VALUE!</v>
      </c>
      <c r="B52" s="4" t="s">
        <v>1589</v>
      </c>
      <c r="C52" s="4"/>
      <c r="D52" s="4"/>
      <c r="E52" s="4"/>
    </row>
    <row r="53" spans="1:5" ht="30.75" customHeight="1">
      <c r="A53" s="4" t="e">
        <v>#VALUE!</v>
      </c>
      <c r="B53" s="4" t="s">
        <v>1590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1591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1592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1593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1594</v>
      </c>
      <c r="C57" s="4"/>
      <c r="D57" s="4"/>
      <c r="E57" s="4"/>
    </row>
    <row r="58" spans="1:5" ht="30" customHeight="1">
      <c r="A58" s="4"/>
      <c r="B58" s="4" t="s">
        <v>1595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1596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1597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1598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1599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1600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1601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1602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1603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1604</v>
      </c>
    </row>
    <row r="3" spans="1:7">
      <c r="A3" t="s">
        <v>1605</v>
      </c>
      <c r="C3" t="s">
        <v>1606</v>
      </c>
      <c r="E3" t="s">
        <v>1607</v>
      </c>
      <c r="G3" t="s">
        <v>1608</v>
      </c>
    </row>
    <row r="4" spans="1:7" ht="195" customHeight="1">
      <c r="A4" s="2" t="s">
        <v>1609</v>
      </c>
      <c r="C4" s="2" t="s">
        <v>1610</v>
      </c>
      <c r="E4" s="2" t="s">
        <v>1611</v>
      </c>
      <c r="G4" s="2" t="s">
        <v>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i:0#.f|membership|rperez26@northwell.edu</cp:lastModifiedBy>
  <cp:revision/>
  <dcterms:created xsi:type="dcterms:W3CDTF">2025-12-30T18:30:35Z</dcterms:created>
  <dcterms:modified xsi:type="dcterms:W3CDTF">2026-02-26T22:22:53Z</dcterms:modified>
  <cp:category/>
  <cp:contentStatus/>
</cp:coreProperties>
</file>